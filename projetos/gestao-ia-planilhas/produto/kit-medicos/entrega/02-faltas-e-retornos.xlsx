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Agenda" sheetId="4" state="visible" r:id="rId4"/>
  </sheets>
  <definedNames>
    <definedName name="_xlnm._FilterDatabase" localSheetId="3" hidden="1">'Agenda'!$A$4:$T$3004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hh:mm"/>
    <numFmt numFmtId="167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9"/>
    </font>
    <font>
      <name val="Arial"/>
      <b val="1"/>
      <color rgb="003B1F5E"/>
      <sz val="13"/>
    </font>
    <font>
      <name val="Arial"/>
      <color rgb="00C0392B"/>
      <sz val="10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BE4E4"/>
      </patternFill>
    </fill>
    <fill>
      <patternFill patternType="solid">
        <fgColor rgb="00DDF3E7"/>
      </patternFill>
    </fill>
    <fill>
      <patternFill patternType="solid">
        <fgColor rgb="00F3EEFB"/>
      </patternFill>
    </fill>
    <fill>
      <patternFill patternType="solid">
        <fgColor rgb="00FFC83D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2" fillId="6" borderId="0" applyAlignment="1" pivotButton="0" quotePrefix="0" xfId="0">
      <alignment horizontal="center"/>
    </xf>
    <xf numFmtId="0" fontId="0" fillId="6" borderId="0" pivotButton="0" quotePrefix="0" xfId="0"/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167" fontId="9" fillId="4" borderId="0" applyAlignment="1" pivotButton="0" quotePrefix="0" xfId="0">
      <alignment horizontal="center"/>
    </xf>
    <xf numFmtId="1" fontId="9" fillId="4" borderId="0" applyAlignment="1" pivotButton="0" quotePrefix="0" xfId="0">
      <alignment horizontal="center"/>
    </xf>
    <xf numFmtId="1" fontId="11" fillId="5" borderId="0" applyAlignment="1" pivotButton="0" quotePrefix="0" xfId="0">
      <alignment horizontal="center"/>
    </xf>
    <xf numFmtId="1" fontId="1" fillId="6" borderId="0" applyAlignment="1" pivotButton="0" quotePrefix="0" xfId="0">
      <alignment horizontal="center"/>
    </xf>
    <xf numFmtId="1" fontId="1" fillId="7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0" fontId="14" fillId="0" borderId="1" pivotButton="0" quotePrefix="0" xfId="0"/>
    <xf numFmtId="0" fontId="5" fillId="0" borderId="0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center"/>
    </xf>
    <xf numFmtId="0" fontId="5" fillId="0" borderId="0" pivotButton="0" quotePrefix="0" xfId="0"/>
    <xf numFmtId="1" fontId="4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0" fontId="4" fillId="0" borderId="0" pivotButton="0" quotePrefix="0" xfId="0"/>
    <xf numFmtId="165" fontId="4" fillId="2" borderId="1" applyProtection="1" pivotButton="0" quotePrefix="0" xfId="0">
      <protection locked="0" hidden="0"/>
    </xf>
    <xf numFmtId="165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5">
    <dxf>
      <font>
        <name val="Arial"/>
        <b val="1"/>
        <color rgb="00C8402E"/>
        <sz val="10"/>
      </font>
    </dxf>
    <dxf>
      <fill>
        <patternFill patternType="solid">
          <fgColor rgb="00FFC83D"/>
        </patternFill>
      </fill>
    </dxf>
    <dxf>
      <fill>
        <patternFill patternType="solid">
          <fgColor rgb="00FFF4CC"/>
        </patternFill>
      </fill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8A86A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 de falta por dia da semana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'Painel'!D10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'Painel'!$A$11:$A$15</f>
            </numRef>
          </cat>
          <val>
            <numRef>
              <f>'Painel'!$D$11:$D$15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Faltas, remarcações e lista de retorno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Mede por que a agenda esvazia: taxa de falta por dia da semana, período, pagador e profissional, a série das últimas 8 semanas, quem faltou mais de uma vez no mês e a lista de retorno (pacientes que passaram do retorno previsto e não têm horário marcado).</t>
        </is>
      </c>
    </row>
    <row r="5" ht="46" customHeight="1">
      <c r="A5" s="3" t="inlineStr">
        <is>
          <t>Passo 1</t>
        </is>
      </c>
      <c r="B5" s="4" t="inlineStr">
        <is>
          <t>Em Config, confira as listas (iguais às da planilha 01) e, para cada procedimento, em quantos dias se espera o retorno. A data de referência fica em =HOJE().</t>
        </is>
      </c>
    </row>
    <row r="6" ht="46" customHeight="1">
      <c r="A6" s="3" t="inlineStr">
        <is>
          <t>Passo 2</t>
        </is>
      </c>
      <c r="B6" s="4" t="inlineStr">
        <is>
          <t>Em Agenda, cole as colunas A a K da Agenda da planilha 01 (a 01 é a fonte; não digite aqui uma agenda diferente). Toda sexta, cole de novo a agenda atualizada.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Config. Leia de cima para baixo: taxa de falta, onde ela é maior, a tendência semanal, a lista de retorno e os reincidentes.</t>
        </is>
      </c>
    </row>
    <row r="8" ht="46" customHeight="1">
      <c r="A8" s="3" t="inlineStr">
        <is>
          <t>Rotina de segunda</t>
        </is>
      </c>
      <c r="B8" s="4" t="inlineStr">
        <is>
          <t>4 minutos: a recepção liga ou manda mensagem para a lista de retorno (os 25 primeiros), oferece as vagas dos próximos 7 dias (Painel da 01) e registra as faltas da semana passada. Marque o retorno na 01: o paciente sai da lista sozinho. A rotina completa da semana (12 min na segunda, 18 na sexta) está na planilha 03.</t>
        </is>
      </c>
    </row>
    <row r="9" ht="46" customHeight="1">
      <c r="A9" s="3" t="inlineStr">
        <is>
          <t>Limite e como estender</t>
        </is>
      </c>
      <c r="B9" s="4" t="inlineStr">
        <is>
          <t>A aba Agenda tem 3.000 linhas (5 a 3004), a mesma da planilha 01: cerca de 10 meses com 300 atendimentos por mês. Perto do fim, copie a última linha para baixo (desproteja a aba antes) e ajuste o número final nas fórmulas do Painel, ou comece um arquivo por ano junto com a 01.</t>
        </is>
      </c>
    </row>
    <row r="10" ht="46" customHeight="1">
      <c r="A10" s="3" t="inlineStr">
        <is>
          <t>Ligação com as outras planilhas</t>
        </is>
      </c>
      <c r="B10" s="4" t="inlineStr">
        <is>
          <t>O Painel da clínica (17) copia a taxa de falta do mês e o tamanho da lista de retorno daqui. As metas do trimestre (19) acompanham os dois.</t>
        </is>
      </c>
    </row>
    <row r="11" ht="46" customHeight="1">
      <c r="A11" s="3" t="inlineStr">
        <is>
          <t>Com a IA</t>
        </is>
      </c>
      <c r="B11" s="4" t="inlineStr">
        <is>
          <t>Copie "Por dia da semana" e "Por pagador" e use o prompt "Agenda 02 · Reduzir faltas sem brigar com o paciente" da biblioteca do kit; para a lista de retorno, "Agenda 03 · Mensagem de retorno educada" (sem nomes: a IA não precisa deles).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Dados de pacientes</t>
        </is>
      </c>
      <c r="B15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6" ht="46" customHeight="1">
      <c r="A16" s="3" t="inlineStr">
        <is>
          <t>Google Sheets</t>
        </is>
      </c>
      <c r="B16" s="4" t="inlineStr">
        <is>
          <t>Faça upload no Google Drive e abra com o Google Sheets. Fórmulas, listas, cores e gráficos funcionam.</t>
        </is>
      </c>
    </row>
    <row r="17" ht="46" customHeight="1">
      <c r="A17" s="3" t="inlineStr">
        <is>
          <t>Exemplos</t>
        </is>
      </c>
      <c r="B17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8" ht="46" customHeight="1">
      <c r="A18" s="3" t="inlineStr">
        <is>
          <t>Data de referência</t>
        </is>
      </c>
      <c r="B18" s="4" t="inlineStr">
        <is>
          <t>O exemplo está congelado em 14/09/2026, para todos os arquivos do kit mostrarem a mesma foto e os números fecharem entre eles. Ao começar a usar com os seus dados, troque a data de referência em Config por =HOJE(): daí em diante ela acompanha o dia.</t>
        </is>
      </c>
    </row>
    <row r="19" ht="46" customHeight="1">
      <c r="A19" s="3" t="inlineStr">
        <is>
          <t>Suporte</t>
        </is>
      </c>
      <c r="B19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5" t="str">
        <f>Config!$B$4&amp;" · Faltas, remarcações e lista de retorno · "&amp;Config!$B$6&amp;" de "&amp;Config!$B$5</f>
        <v>Clínica Vida Plena (exemplo fictício) · Faltas, remarcações e lista de retorno · Setembro de 2026</v>
      </c>
    </row>
    <row r="2">
      <c r="A2" s="6" t="inlineStr">
        <is>
          <t>Nada para digitar aqui. Escolha o mês em Config; tudo vem de Agenda. Taxa de falta = faltas ÷ (faltas + realizados).</t>
        </is>
      </c>
    </row>
    <row r="3"/>
    <row r="4">
      <c r="A4" s="7" t="inlineStr">
        <is>
          <t>Taxa de falta no mês</t>
        </is>
      </c>
      <c r="B4" s="8" t="n"/>
      <c r="C4" s="7" t="inlineStr">
        <is>
          <t>Faltas</t>
        </is>
      </c>
      <c r="D4" s="8" t="n"/>
      <c r="E4" s="9" t="inlineStr">
        <is>
          <t>Realizados</t>
        </is>
      </c>
      <c r="F4" s="10" t="n"/>
      <c r="G4" s="11" t="inlineStr">
        <is>
          <t>Cancelamentos</t>
        </is>
      </c>
      <c r="H4" s="12" t="n"/>
      <c r="I4" s="11" t="inlineStr">
        <is>
          <t>Remarcações</t>
        </is>
      </c>
      <c r="J4" s="12" t="n"/>
      <c r="K4" s="13" t="inlineStr">
        <is>
          <t>Na lista de retorno</t>
        </is>
      </c>
      <c r="L4" s="14" t="n"/>
    </row>
    <row r="5" ht="30" customHeight="1">
      <c r="A5" s="15">
        <f>IF(C5+E5=0,"",C5/(C5+E5))</f>
        <v>0.0530973451327434</v>
      </c>
      <c r="B5" s="8" t="n"/>
      <c r="C5" s="16">
        <f>COUNTIFS(Agenda!$H$5:$H$3004,"Falta",Agenda!$L$5:$L$3004,Config!$B$7,Agenda!$M$5:$M$3004,Config!$B$5)</f>
        <v>6</v>
      </c>
      <c r="D5" s="8" t="n"/>
      <c r="E5" s="17">
        <f>COUNTIFS(Agenda!$H$5:$H$3004,"Realizado",Agenda!$L$5:$L$3004,Config!$B$7,Agenda!$M$5:$M$3004,Config!$B$5)</f>
        <v>107</v>
      </c>
      <c r="F5" s="10" t="n"/>
      <c r="G5" s="18">
        <f>COUNTIFS(Agenda!$H$5:$H$3004,"Cancelado",Agenda!$L$5:$L$3004,Config!$B$7,Agenda!$M$5:$M$3004,Config!$B$5)</f>
        <v>3</v>
      </c>
      <c r="H5" s="12" t="n"/>
      <c r="I5" s="18">
        <f>COUNTIFS(Agenda!$H$5:$H$3004,"Remarcado",Agenda!$L$5:$L$3004,Config!$B$7,Agenda!$M$5:$M$3004,Config!$B$5)</f>
        <v>0</v>
      </c>
      <c r="J5" s="12" t="n"/>
      <c r="K5" s="19">
        <f>COUNTIF(Agenda!$T$5:$T$3004,"Sim")</f>
        <v>8</v>
      </c>
      <c r="L5" s="14" t="n"/>
    </row>
    <row r="6"/>
    <row r="7" ht="30" customHeight="1">
      <c r="A7" s="20" t="inlineStr">
        <is>
          <t>Cancelamento = o paciente avisou; remarcação = pediu outra data (o novo horário é outra linha). Falta = não veio e não avisou: é a que custa, porque o horário já não pode ser oferecido a ninguém. A lista de retorno vale para hoje, não só para o mês.</t>
        </is>
      </c>
    </row>
    <row r="8"/>
    <row r="9">
      <c r="A9" s="21" t="inlineStr">
        <is>
          <t>Por dia da semana</t>
        </is>
      </c>
    </row>
    <row r="10" ht="26" customHeight="1">
      <c r="A10" s="22" t="inlineStr">
        <is>
          <t>Dia da semana</t>
        </is>
      </c>
      <c r="B10" s="22" t="inlineStr">
        <is>
          <t>Realizados</t>
        </is>
      </c>
      <c r="C10" s="22" t="inlineStr">
        <is>
          <t>Faltas</t>
        </is>
      </c>
      <c r="D10" s="22" t="inlineStr">
        <is>
          <t>Taxa de falta</t>
        </is>
      </c>
      <c r="E10" s="22" t="inlineStr">
        <is>
          <t>Cancelamentos</t>
        </is>
      </c>
      <c r="F10" s="22" t="inlineStr">
        <is>
          <t>Remarcações</t>
        </is>
      </c>
      <c r="G10" s="22" t="inlineStr">
        <is>
          <t>Barra</t>
        </is>
      </c>
      <c r="H10" s="23" t="n"/>
      <c r="I10" s="24" t="n"/>
    </row>
    <row r="11">
      <c r="A11" s="25" t="inlineStr">
        <is>
          <t>Segunda</t>
        </is>
      </c>
      <c r="B11" s="26">
        <f>IF(A11="","",COUNTIFS(Agenda!$N$5:$N$3004,A11,Agenda!$H$5:$H$3004,"Realizado",Agenda!$L$5:$L$3004,Config!$B$7,Agenda!$M$5:$M$3004,Config!$B$5))</f>
        <v>0</v>
      </c>
      <c r="C11" s="26">
        <f>IF(A11="","",COUNTIFS(Agenda!$N$5:$N$3004,A11,Agenda!$H$5:$H$3004,"Falta",Agenda!$L$5:$L$3004,Config!$B$7,Agenda!$M$5:$M$3004,Config!$B$5))</f>
        <v>0</v>
      </c>
      <c r="D11" s="27">
        <f>IF(A11="","",IF(B11+C11=0,"",C11/(B11+C11)))</f>
        <v/>
      </c>
      <c r="E11" s="26">
        <f>IF(A11="","",COUNTIFS(Agenda!$N$5:$N$3004,A11,Agenda!$H$5:$H$3004,"Cancelado",Agenda!$L$5:$L$3004,Config!$B$7,Agenda!$M$5:$M$3004,Config!$B$5))</f>
        <v>0</v>
      </c>
      <c r="F11" s="26">
        <f>IF(A11="","",COUNTIFS(Agenda!$N$5:$N$3004,A11,Agenda!$H$5:$H$3004,"Remarcado",Agenda!$L$5:$L$3004,Config!$B$7,Agenda!$M$5:$M$3004,Config!$B$5))</f>
        <v>0</v>
      </c>
      <c r="G11" s="28">
        <f>IF(D11="","",REPT("█",ROUND(MIN(1,D11/0.25)*24,0)))</f>
        <v/>
      </c>
      <c r="H11" s="23" t="n"/>
      <c r="I11" s="24" t="n"/>
    </row>
    <row r="12">
      <c r="A12" s="25" t="inlineStr">
        <is>
          <t>Terça</t>
        </is>
      </c>
      <c r="B12" s="26">
        <f>IF(A12="","",COUNTIFS(Agenda!$N$5:$N$3004,A12,Agenda!$H$5:$H$3004,"Realizado",Agenda!$L$5:$L$3004,Config!$B$7,Agenda!$M$5:$M$3004,Config!$B$5))</f>
        <v>41</v>
      </c>
      <c r="C12" s="26">
        <f>IF(A12="","",COUNTIFS(Agenda!$N$5:$N$3004,A12,Agenda!$H$5:$H$3004,"Falta",Agenda!$L$5:$L$3004,Config!$B$7,Agenda!$M$5:$M$3004,Config!$B$5))</f>
        <v>2</v>
      </c>
      <c r="D12" s="27">
        <f>IF(A12="","",IF(B12+C12=0,"",C12/(B12+C12)))</f>
        <v>0.0465116279069767</v>
      </c>
      <c r="E12" s="26">
        <f>IF(A12="","",COUNTIFS(Agenda!$N$5:$N$3004,A12,Agenda!$H$5:$H$3004,"Cancelado",Agenda!$L$5:$L$3004,Config!$B$7,Agenda!$M$5:$M$3004,Config!$B$5))</f>
        <v>2</v>
      </c>
      <c r="F12" s="26">
        <f>IF(A12="","",COUNTIFS(Agenda!$N$5:$N$3004,A12,Agenda!$H$5:$H$3004,"Remarcado",Agenda!$L$5:$L$3004,Config!$B$7,Agenda!$M$5:$M$3004,Config!$B$5))</f>
        <v>0</v>
      </c>
      <c r="G12" s="28" t="str">
        <f>IF(D12="","",REPT("█",ROUND(MIN(1,D12/0.25)*24,0)))</f>
        <v>████</v>
      </c>
      <c r="H12" s="23" t="n"/>
      <c r="I12" s="24" t="n"/>
    </row>
    <row r="13">
      <c r="A13" s="25" t="inlineStr">
        <is>
          <t>Quarta</t>
        </is>
      </c>
      <c r="B13" s="26">
        <f>IF(A13="","",COUNTIFS(Agenda!$N$5:$N$3004,A13,Agenda!$H$5:$H$3004,"Realizado",Agenda!$L$5:$L$3004,Config!$B$7,Agenda!$M$5:$M$3004,Config!$B$5))</f>
        <v>17</v>
      </c>
      <c r="C13" s="26">
        <f>IF(A13="","",COUNTIFS(Agenda!$N$5:$N$3004,A13,Agenda!$H$5:$H$3004,"Falta",Agenda!$L$5:$L$3004,Config!$B$7,Agenda!$M$5:$M$3004,Config!$B$5))</f>
        <v>0</v>
      </c>
      <c r="D13" s="27">
        <f>IF(A13="","",IF(B13+C13=0,"",C13/(B13+C13)))</f>
        <v>0</v>
      </c>
      <c r="E13" s="26">
        <f>IF(A13="","",COUNTIFS(Agenda!$N$5:$N$3004,A13,Agenda!$H$5:$H$3004,"Cancelado",Agenda!$L$5:$L$3004,Config!$B$7,Agenda!$M$5:$M$3004,Config!$B$5))</f>
        <v>0</v>
      </c>
      <c r="F13" s="26">
        <f>IF(A13="","",COUNTIFS(Agenda!$N$5:$N$3004,A13,Agenda!$H$5:$H$3004,"Remarcado",Agenda!$L$5:$L$3004,Config!$B$7,Agenda!$M$5:$M$3004,Config!$B$5))</f>
        <v>0</v>
      </c>
      <c r="G13" s="28">
        <f>IF(D13="","",REPT("█",ROUND(MIN(1,D13/0.25)*24,0)))</f>
        <v/>
      </c>
      <c r="H13" s="23" t="n"/>
      <c r="I13" s="24" t="n"/>
    </row>
    <row r="14">
      <c r="A14" s="25" t="inlineStr">
        <is>
          <t>Quinta</t>
        </is>
      </c>
      <c r="B14" s="26">
        <f>IF(A14="","",COUNTIFS(Agenda!$N$5:$N$3004,A14,Agenda!$H$5:$H$3004,"Realizado",Agenda!$L$5:$L$3004,Config!$B$7,Agenda!$M$5:$M$3004,Config!$B$5))</f>
        <v>38</v>
      </c>
      <c r="C14" s="26">
        <f>IF(A14="","",COUNTIFS(Agenda!$N$5:$N$3004,A14,Agenda!$H$5:$H$3004,"Falta",Agenda!$L$5:$L$3004,Config!$B$7,Agenda!$M$5:$M$3004,Config!$B$5))</f>
        <v>2</v>
      </c>
      <c r="D14" s="27">
        <f>IF(A14="","",IF(B14+C14=0,"",C14/(B14+C14)))</f>
        <v>0.05</v>
      </c>
      <c r="E14" s="26">
        <f>IF(A14="","",COUNTIFS(Agenda!$N$5:$N$3004,A14,Agenda!$H$5:$H$3004,"Cancelado",Agenda!$L$5:$L$3004,Config!$B$7,Agenda!$M$5:$M$3004,Config!$B$5))</f>
        <v>0</v>
      </c>
      <c r="F14" s="26">
        <f>IF(A14="","",COUNTIFS(Agenda!$N$5:$N$3004,A14,Agenda!$H$5:$H$3004,"Remarcado",Agenda!$L$5:$L$3004,Config!$B$7,Agenda!$M$5:$M$3004,Config!$B$5))</f>
        <v>0</v>
      </c>
      <c r="G14" s="28" t="str">
        <f>IF(D14="","",REPT("█",ROUND(MIN(1,D14/0.25)*24,0)))</f>
        <v>█████</v>
      </c>
      <c r="H14" s="23" t="n"/>
      <c r="I14" s="24" t="n"/>
    </row>
    <row r="15">
      <c r="A15" s="25" t="inlineStr">
        <is>
          <t>Sexta</t>
        </is>
      </c>
      <c r="B15" s="26">
        <f>IF(A15="","",COUNTIFS(Agenda!$N$5:$N$3004,A15,Agenda!$H$5:$H$3004,"Realizado",Agenda!$L$5:$L$3004,Config!$B$7,Agenda!$M$5:$M$3004,Config!$B$5))</f>
        <v>11</v>
      </c>
      <c r="C15" s="26">
        <f>IF(A15="","",COUNTIFS(Agenda!$N$5:$N$3004,A15,Agenda!$H$5:$H$3004,"Falta",Agenda!$L$5:$L$3004,Config!$B$7,Agenda!$M$5:$M$3004,Config!$B$5))</f>
        <v>2</v>
      </c>
      <c r="D15" s="27">
        <f>IF(A15="","",IF(B15+C15=0,"",C15/(B15+C15)))</f>
        <v>0.153846153846154</v>
      </c>
      <c r="E15" s="26">
        <f>IF(A15="","",COUNTIFS(Agenda!$N$5:$N$3004,A15,Agenda!$H$5:$H$3004,"Cancelado",Agenda!$L$5:$L$3004,Config!$B$7,Agenda!$M$5:$M$3004,Config!$B$5))</f>
        <v>1</v>
      </c>
      <c r="F15" s="26">
        <f>IF(A15="","",COUNTIFS(Agenda!$N$5:$N$3004,A15,Agenda!$H$5:$H$3004,"Remarcado",Agenda!$L$5:$L$3004,Config!$B$7,Agenda!$M$5:$M$3004,Config!$B$5))</f>
        <v>0</v>
      </c>
      <c r="G15" s="28" t="str">
        <f>IF(D15="","",REPT("█",ROUND(MIN(1,D15/0.25)*24,0)))</f>
        <v>███████████████</v>
      </c>
      <c r="H15" s="23" t="n"/>
      <c r="I15" s="24" t="n"/>
    </row>
    <row r="16">
      <c r="A16" s="25" t="inlineStr">
        <is>
          <t>Sábado</t>
        </is>
      </c>
      <c r="B16" s="26">
        <f>IF(A16="","",COUNTIFS(Agenda!$N$5:$N$3004,A16,Agenda!$H$5:$H$3004,"Realizado",Agenda!$L$5:$L$3004,Config!$B$7,Agenda!$M$5:$M$3004,Config!$B$5))</f>
        <v>0</v>
      </c>
      <c r="C16" s="26">
        <f>IF(A16="","",COUNTIFS(Agenda!$N$5:$N$3004,A16,Agenda!$H$5:$H$3004,"Falta",Agenda!$L$5:$L$3004,Config!$B$7,Agenda!$M$5:$M$3004,Config!$B$5))</f>
        <v>0</v>
      </c>
      <c r="D16" s="27">
        <f>IF(A16="","",IF(B16+C16=0,"",C16/(B16+C16)))</f>
        <v/>
      </c>
      <c r="E16" s="26">
        <f>IF(A16="","",COUNTIFS(Agenda!$N$5:$N$3004,A16,Agenda!$H$5:$H$3004,"Cancelado",Agenda!$L$5:$L$3004,Config!$B$7,Agenda!$M$5:$M$3004,Config!$B$5))</f>
        <v>0</v>
      </c>
      <c r="F16" s="26">
        <f>IF(A16="","",COUNTIFS(Agenda!$N$5:$N$3004,A16,Agenda!$H$5:$H$3004,"Remarcado",Agenda!$L$5:$L$3004,Config!$B$7,Agenda!$M$5:$M$3004,Config!$B$5))</f>
        <v>0</v>
      </c>
      <c r="G16" s="28">
        <f>IF(D16="","",REPT("█",ROUND(MIN(1,D16/0.25)*24,0)))</f>
        <v/>
      </c>
      <c r="H16" s="23" t="n"/>
      <c r="I16" s="24" t="n"/>
    </row>
    <row r="17"/>
    <row r="18">
      <c r="A18" s="21" t="inlineStr">
        <is>
          <t>Por período</t>
        </is>
      </c>
    </row>
    <row r="19" ht="26" customHeight="1">
      <c r="A19" s="22" t="inlineStr">
        <is>
          <t>Período</t>
        </is>
      </c>
      <c r="B19" s="22" t="inlineStr">
        <is>
          <t>Realizados</t>
        </is>
      </c>
      <c r="C19" s="22" t="inlineStr">
        <is>
          <t>Faltas</t>
        </is>
      </c>
      <c r="D19" s="22" t="inlineStr">
        <is>
          <t>Taxa de falta</t>
        </is>
      </c>
      <c r="E19" s="22" t="inlineStr">
        <is>
          <t>Cancelamentos</t>
        </is>
      </c>
      <c r="F19" s="22" t="inlineStr">
        <is>
          <t>Remarcações</t>
        </is>
      </c>
      <c r="G19" s="22" t="inlineStr">
        <is>
          <t>Barra</t>
        </is>
      </c>
      <c r="H19" s="23" t="n"/>
      <c r="I19" s="24" t="n"/>
    </row>
    <row r="20">
      <c r="A20" s="25" t="inlineStr">
        <is>
          <t>Manhã</t>
        </is>
      </c>
      <c r="B20" s="26">
        <f>IF(A20="","",COUNTIFS(Agenda!$O$5:$O$3004,A20,Agenda!$H$5:$H$3004,"Realizado",Agenda!$L$5:$L$3004,Config!$B$7,Agenda!$M$5:$M$3004,Config!$B$5))</f>
        <v>41</v>
      </c>
      <c r="C20" s="26">
        <f>IF(A20="","",COUNTIFS(Agenda!$O$5:$O$3004,A20,Agenda!$H$5:$H$3004,"Falta",Agenda!$L$5:$L$3004,Config!$B$7,Agenda!$M$5:$M$3004,Config!$B$5))</f>
        <v>3</v>
      </c>
      <c r="D20" s="27">
        <f>IF(A20="","",IF(B20+C20=0,"",C20/(B20+C20)))</f>
        <v>0.0681818181818182</v>
      </c>
      <c r="E20" s="26">
        <f>IF(A20="","",COUNTIFS(Agenda!$O$5:$O$3004,A20,Agenda!$H$5:$H$3004,"Cancelado",Agenda!$L$5:$L$3004,Config!$B$7,Agenda!$M$5:$M$3004,Config!$B$5))</f>
        <v>2</v>
      </c>
      <c r="F20" s="26">
        <f>IF(A20="","",COUNTIFS(Agenda!$O$5:$O$3004,A20,Agenda!$H$5:$H$3004,"Remarcado",Agenda!$L$5:$L$3004,Config!$B$7,Agenda!$M$5:$M$3004,Config!$B$5))</f>
        <v>0</v>
      </c>
      <c r="G20" s="28" t="str">
        <f>IF(D20="","",REPT("█",ROUND(MIN(1,D20/0.25)*24,0)))</f>
        <v>███████</v>
      </c>
      <c r="H20" s="23" t="n"/>
      <c r="I20" s="24" t="n"/>
    </row>
    <row r="21">
      <c r="A21" s="25" t="inlineStr">
        <is>
          <t>Tarde</t>
        </is>
      </c>
      <c r="B21" s="26">
        <f>IF(A21="","",COUNTIFS(Agenda!$O$5:$O$3004,A21,Agenda!$H$5:$H$3004,"Realizado",Agenda!$L$5:$L$3004,Config!$B$7,Agenda!$M$5:$M$3004,Config!$B$5))</f>
        <v>66</v>
      </c>
      <c r="C21" s="26">
        <f>IF(A21="","",COUNTIFS(Agenda!$O$5:$O$3004,A21,Agenda!$H$5:$H$3004,"Falta",Agenda!$L$5:$L$3004,Config!$B$7,Agenda!$M$5:$M$3004,Config!$B$5))</f>
        <v>3</v>
      </c>
      <c r="D21" s="27">
        <f>IF(A21="","",IF(B21+C21=0,"",C21/(B21+C21)))</f>
        <v>0.0434782608695652</v>
      </c>
      <c r="E21" s="26">
        <f>IF(A21="","",COUNTIFS(Agenda!$O$5:$O$3004,A21,Agenda!$H$5:$H$3004,"Cancelado",Agenda!$L$5:$L$3004,Config!$B$7,Agenda!$M$5:$M$3004,Config!$B$5))</f>
        <v>1</v>
      </c>
      <c r="F21" s="26">
        <f>IF(A21="","",COUNTIFS(Agenda!$O$5:$O$3004,A21,Agenda!$H$5:$H$3004,"Remarcado",Agenda!$L$5:$L$3004,Config!$B$7,Agenda!$M$5:$M$3004,Config!$B$5))</f>
        <v>0</v>
      </c>
      <c r="G21" s="28" t="str">
        <f>IF(D21="","",REPT("█",ROUND(MIN(1,D21/0.25)*24,0)))</f>
        <v>████</v>
      </c>
      <c r="H21" s="23" t="n"/>
      <c r="I21" s="24" t="n"/>
    </row>
    <row r="22">
      <c r="A22" s="25" t="inlineStr">
        <is>
          <t>Noite</t>
        </is>
      </c>
      <c r="B22" s="26">
        <f>IF(A22="","",COUNTIFS(Agenda!$O$5:$O$3004,A22,Agenda!$H$5:$H$3004,"Realizado",Agenda!$L$5:$L$3004,Config!$B$7,Agenda!$M$5:$M$3004,Config!$B$5))</f>
        <v>0</v>
      </c>
      <c r="C22" s="26">
        <f>IF(A22="","",COUNTIFS(Agenda!$O$5:$O$3004,A22,Agenda!$H$5:$H$3004,"Falta",Agenda!$L$5:$L$3004,Config!$B$7,Agenda!$M$5:$M$3004,Config!$B$5))</f>
        <v>0</v>
      </c>
      <c r="D22" s="27">
        <f>IF(A22="","",IF(B22+C22=0,"",C22/(B22+C22)))</f>
        <v/>
      </c>
      <c r="E22" s="26">
        <f>IF(A22="","",COUNTIFS(Agenda!$O$5:$O$3004,A22,Agenda!$H$5:$H$3004,"Cancelado",Agenda!$L$5:$L$3004,Config!$B$7,Agenda!$M$5:$M$3004,Config!$B$5))</f>
        <v>0</v>
      </c>
      <c r="F22" s="26">
        <f>IF(A22="","",COUNTIFS(Agenda!$O$5:$O$3004,A22,Agenda!$H$5:$H$3004,"Remarcado",Agenda!$L$5:$L$3004,Config!$B$7,Agenda!$M$5:$M$3004,Config!$B$5))</f>
        <v>0</v>
      </c>
      <c r="G22" s="28">
        <f>IF(D22="","",REPT("█",ROUND(MIN(1,D22/0.25)*24,0)))</f>
        <v/>
      </c>
      <c r="H22" s="23" t="n"/>
      <c r="I22" s="24" t="n"/>
    </row>
    <row r="23"/>
    <row r="24">
      <c r="A24" s="21" t="inlineStr">
        <is>
          <t>Por pagador</t>
        </is>
      </c>
    </row>
    <row r="25" ht="26" customHeight="1">
      <c r="A25" s="22" t="inlineStr">
        <is>
          <t>Pagador</t>
        </is>
      </c>
      <c r="B25" s="22" t="inlineStr">
        <is>
          <t>Realizados</t>
        </is>
      </c>
      <c r="C25" s="22" t="inlineStr">
        <is>
          <t>Faltas</t>
        </is>
      </c>
      <c r="D25" s="22" t="inlineStr">
        <is>
          <t>Taxa de falta</t>
        </is>
      </c>
      <c r="E25" s="22" t="inlineStr">
        <is>
          <t>Cancelamentos</t>
        </is>
      </c>
      <c r="F25" s="22" t="inlineStr">
        <is>
          <t>Remarcações</t>
        </is>
      </c>
      <c r="G25" s="22" t="inlineStr">
        <is>
          <t>Barra</t>
        </is>
      </c>
      <c r="H25" s="23" t="n"/>
      <c r="I25" s="24" t="n"/>
    </row>
    <row r="26">
      <c r="A26" s="25" t="str">
        <f>IF(Config!$F$5="","",Config!$F$5)</f>
        <v>Particular</v>
      </c>
      <c r="B26" s="26">
        <f>IF(A26="","",COUNTIFS(Agenda!$F$5:$F$3004,A26,Agenda!$H$5:$H$3004,"Realizado",Agenda!$L$5:$L$3004,Config!$B$7,Agenda!$M$5:$M$3004,Config!$B$5))</f>
        <v>55</v>
      </c>
      <c r="C26" s="26">
        <f>IF(A26="","",COUNTIFS(Agenda!$F$5:$F$3004,A26,Agenda!$H$5:$H$3004,"Falta",Agenda!$L$5:$L$3004,Config!$B$7,Agenda!$M$5:$M$3004,Config!$B$5))</f>
        <v>2</v>
      </c>
      <c r="D26" s="27">
        <f>IF(A26="","",IF(B26+C26=0,"",C26/(B26+C26)))</f>
        <v>0.0350877192982456</v>
      </c>
      <c r="E26" s="26">
        <f>IF(A26="","",COUNTIFS(Agenda!$F$5:$F$3004,A26,Agenda!$H$5:$H$3004,"Cancelado",Agenda!$L$5:$L$3004,Config!$B$7,Agenda!$M$5:$M$3004,Config!$B$5))</f>
        <v>1</v>
      </c>
      <c r="F26" s="26">
        <f>IF(A26="","",COUNTIFS(Agenda!$F$5:$F$3004,A26,Agenda!$H$5:$H$3004,"Remarcado",Agenda!$L$5:$L$3004,Config!$B$7,Agenda!$M$5:$M$3004,Config!$B$5))</f>
        <v>0</v>
      </c>
      <c r="G26" s="28" t="str">
        <f>IF(D26="","",REPT("█",ROUND(MIN(1,D26/0.25)*24,0)))</f>
        <v>███</v>
      </c>
      <c r="H26" s="23" t="n"/>
      <c r="I26" s="24" t="n"/>
    </row>
    <row r="27">
      <c r="A27" s="25" t="str">
        <f>IF(Config!$F$6="","",Config!$F$6)</f>
        <v>Saúde Total</v>
      </c>
      <c r="B27" s="26">
        <f>IF(A27="","",COUNTIFS(Agenda!$F$5:$F$3004,A27,Agenda!$H$5:$H$3004,"Realizado",Agenda!$L$5:$L$3004,Config!$B$7,Agenda!$M$5:$M$3004,Config!$B$5))</f>
        <v>26</v>
      </c>
      <c r="C27" s="26">
        <f>IF(A27="","",COUNTIFS(Agenda!$F$5:$F$3004,A27,Agenda!$H$5:$H$3004,"Falta",Agenda!$L$5:$L$3004,Config!$B$7,Agenda!$M$5:$M$3004,Config!$B$5))</f>
        <v>2</v>
      </c>
      <c r="D27" s="27">
        <f>IF(A27="","",IF(B27+C27=0,"",C27/(B27+C27)))</f>
        <v>0.0714285714285714</v>
      </c>
      <c r="E27" s="26">
        <f>IF(A27="","",COUNTIFS(Agenda!$F$5:$F$3004,A27,Agenda!$H$5:$H$3004,"Cancelado",Agenda!$L$5:$L$3004,Config!$B$7,Agenda!$M$5:$M$3004,Config!$B$5))</f>
        <v>0</v>
      </c>
      <c r="F27" s="26">
        <f>IF(A27="","",COUNTIFS(Agenda!$F$5:$F$3004,A27,Agenda!$H$5:$H$3004,"Remarcado",Agenda!$L$5:$L$3004,Config!$B$7,Agenda!$M$5:$M$3004,Config!$B$5))</f>
        <v>0</v>
      </c>
      <c r="G27" s="28" t="str">
        <f>IF(D27="","",REPT("█",ROUND(MIN(1,D27/0.25)*24,0)))</f>
        <v>███████</v>
      </c>
      <c r="H27" s="23" t="n"/>
      <c r="I27" s="24" t="n"/>
    </row>
    <row r="28">
      <c r="A28" s="25" t="str">
        <f>IF(Config!$F$7="","",Config!$F$7)</f>
        <v>MediPlan</v>
      </c>
      <c r="B28" s="26">
        <f>IF(A28="","",COUNTIFS(Agenda!$F$5:$F$3004,A28,Agenda!$H$5:$H$3004,"Realizado",Agenda!$L$5:$L$3004,Config!$B$7,Agenda!$M$5:$M$3004,Config!$B$5))</f>
        <v>19</v>
      </c>
      <c r="C28" s="26">
        <f>IF(A28="","",COUNTIFS(Agenda!$F$5:$F$3004,A28,Agenda!$H$5:$H$3004,"Falta",Agenda!$L$5:$L$3004,Config!$B$7,Agenda!$M$5:$M$3004,Config!$B$5))</f>
        <v>1</v>
      </c>
      <c r="D28" s="27">
        <f>IF(A28="","",IF(B28+C28=0,"",C28/(B28+C28)))</f>
        <v>0.05</v>
      </c>
      <c r="E28" s="26">
        <f>IF(A28="","",COUNTIFS(Agenda!$F$5:$F$3004,A28,Agenda!$H$5:$H$3004,"Cancelado",Agenda!$L$5:$L$3004,Config!$B$7,Agenda!$M$5:$M$3004,Config!$B$5))</f>
        <v>1</v>
      </c>
      <c r="F28" s="26">
        <f>IF(A28="","",COUNTIFS(Agenda!$F$5:$F$3004,A28,Agenda!$H$5:$H$3004,"Remarcado",Agenda!$L$5:$L$3004,Config!$B$7,Agenda!$M$5:$M$3004,Config!$B$5))</f>
        <v>0</v>
      </c>
      <c r="G28" s="28" t="str">
        <f>IF(D28="","",REPT("█",ROUND(MIN(1,D28/0.25)*24,0)))</f>
        <v>█████</v>
      </c>
      <c r="H28" s="23" t="n"/>
      <c r="I28" s="24" t="n"/>
    </row>
    <row r="29">
      <c r="A29" s="25" t="str">
        <f>IF(Config!$F$8="","",Config!$F$8)</f>
        <v>Vida Care</v>
      </c>
      <c r="B29" s="26">
        <f>IF(A29="","",COUNTIFS(Agenda!$F$5:$F$3004,A29,Agenda!$H$5:$H$3004,"Realizado",Agenda!$L$5:$L$3004,Config!$B$7,Agenda!$M$5:$M$3004,Config!$B$5))</f>
        <v>7</v>
      </c>
      <c r="C29" s="26">
        <f>IF(A29="","",COUNTIFS(Agenda!$F$5:$F$3004,A29,Agenda!$H$5:$H$3004,"Falta",Agenda!$L$5:$L$3004,Config!$B$7,Agenda!$M$5:$M$3004,Config!$B$5))</f>
        <v>1</v>
      </c>
      <c r="D29" s="27">
        <f>IF(A29="","",IF(B29+C29=0,"",C29/(B29+C29)))</f>
        <v>0.125</v>
      </c>
      <c r="E29" s="26">
        <f>IF(A29="","",COUNTIFS(Agenda!$F$5:$F$3004,A29,Agenda!$H$5:$H$3004,"Cancelado",Agenda!$L$5:$L$3004,Config!$B$7,Agenda!$M$5:$M$3004,Config!$B$5))</f>
        <v>1</v>
      </c>
      <c r="F29" s="26">
        <f>IF(A29="","",COUNTIFS(Agenda!$F$5:$F$3004,A29,Agenda!$H$5:$H$3004,"Remarcado",Agenda!$L$5:$L$3004,Config!$B$7,Agenda!$M$5:$M$3004,Config!$B$5))</f>
        <v>0</v>
      </c>
      <c r="G29" s="28" t="str">
        <f>IF(D29="","",REPT("█",ROUND(MIN(1,D29/0.25)*24,0)))</f>
        <v>████████████</v>
      </c>
      <c r="H29" s="23" t="n"/>
      <c r="I29" s="24" t="n"/>
    </row>
    <row r="30">
      <c r="A30" s="25">
        <f>IF(Config!$F$9="","",Config!$F$9)</f>
        <v/>
      </c>
      <c r="B30" s="26">
        <f>IF(A30="","",COUNTIFS(Agenda!$F$5:$F$3004,A30,Agenda!$H$5:$H$3004,"Realizado",Agenda!$L$5:$L$3004,Config!$B$7,Agenda!$M$5:$M$3004,Config!$B$5))</f>
        <v/>
      </c>
      <c r="C30" s="26">
        <f>IF(A30="","",COUNTIFS(Agenda!$F$5:$F$3004,A30,Agenda!$H$5:$H$3004,"Falta",Agenda!$L$5:$L$3004,Config!$B$7,Agenda!$M$5:$M$3004,Config!$B$5))</f>
        <v/>
      </c>
      <c r="D30" s="27">
        <f>IF(A30="","",IF(B30+C30=0,"",C30/(B30+C30)))</f>
        <v/>
      </c>
      <c r="E30" s="26">
        <f>IF(A30="","",COUNTIFS(Agenda!$F$5:$F$3004,A30,Agenda!$H$5:$H$3004,"Cancelado",Agenda!$L$5:$L$3004,Config!$B$7,Agenda!$M$5:$M$3004,Config!$B$5))</f>
        <v/>
      </c>
      <c r="F30" s="26">
        <f>IF(A30="","",COUNTIFS(Agenda!$F$5:$F$3004,A30,Agenda!$H$5:$H$3004,"Remarcado",Agenda!$L$5:$L$3004,Config!$B$7,Agenda!$M$5:$M$3004,Config!$B$5))</f>
        <v/>
      </c>
      <c r="G30" s="28">
        <f>IF(D30="","",REPT("█",ROUND(MIN(1,D30/0.25)*24,0)))</f>
        <v/>
      </c>
      <c r="H30" s="23" t="n"/>
      <c r="I30" s="24" t="n"/>
    </row>
    <row r="31">
      <c r="A31" s="25">
        <f>IF(Config!$F$10="","",Config!$F$10)</f>
        <v/>
      </c>
      <c r="B31" s="26">
        <f>IF(A31="","",COUNTIFS(Agenda!$F$5:$F$3004,A31,Agenda!$H$5:$H$3004,"Realizado",Agenda!$L$5:$L$3004,Config!$B$7,Agenda!$M$5:$M$3004,Config!$B$5))</f>
        <v/>
      </c>
      <c r="C31" s="26">
        <f>IF(A31="","",COUNTIFS(Agenda!$F$5:$F$3004,A31,Agenda!$H$5:$H$3004,"Falta",Agenda!$L$5:$L$3004,Config!$B$7,Agenda!$M$5:$M$3004,Config!$B$5))</f>
        <v/>
      </c>
      <c r="D31" s="27">
        <f>IF(A31="","",IF(B31+C31=0,"",C31/(B31+C31)))</f>
        <v/>
      </c>
      <c r="E31" s="26">
        <f>IF(A31="","",COUNTIFS(Agenda!$F$5:$F$3004,A31,Agenda!$H$5:$H$3004,"Cancelado",Agenda!$L$5:$L$3004,Config!$B$7,Agenda!$M$5:$M$3004,Config!$B$5))</f>
        <v/>
      </c>
      <c r="F31" s="26">
        <f>IF(A31="","",COUNTIFS(Agenda!$F$5:$F$3004,A31,Agenda!$H$5:$H$3004,"Remarcado",Agenda!$L$5:$L$3004,Config!$B$7,Agenda!$M$5:$M$3004,Config!$B$5))</f>
        <v/>
      </c>
      <c r="G31" s="28">
        <f>IF(D31="","",REPT("█",ROUND(MIN(1,D31/0.25)*24,0)))</f>
        <v/>
      </c>
      <c r="H31" s="23" t="n"/>
      <c r="I31" s="24" t="n"/>
    </row>
    <row r="32"/>
    <row r="33">
      <c r="A33" s="21" t="inlineStr">
        <is>
          <t>Por profissional</t>
        </is>
      </c>
    </row>
    <row r="34" ht="26" customHeight="1">
      <c r="A34" s="22" t="inlineStr">
        <is>
          <t>Profissional</t>
        </is>
      </c>
      <c r="B34" s="22" t="inlineStr">
        <is>
          <t>Realizados</t>
        </is>
      </c>
      <c r="C34" s="22" t="inlineStr">
        <is>
          <t>Faltas</t>
        </is>
      </c>
      <c r="D34" s="22" t="inlineStr">
        <is>
          <t>Taxa de falta</t>
        </is>
      </c>
      <c r="E34" s="22" t="inlineStr">
        <is>
          <t>Cancelamentos</t>
        </is>
      </c>
      <c r="F34" s="22" t="inlineStr">
        <is>
          <t>Remarcações</t>
        </is>
      </c>
      <c r="G34" s="22" t="inlineStr">
        <is>
          <t>Barra</t>
        </is>
      </c>
      <c r="H34" s="23" t="n"/>
      <c r="I34" s="24" t="n"/>
    </row>
    <row r="35">
      <c r="A35" s="25" t="str">
        <f>IF(Config!$D$5="","",Config!$D$5)</f>
        <v>Dra. Carolina Mendes</v>
      </c>
      <c r="B35" s="26">
        <f>IF(A35="","",COUNTIFS(Agenda!$C$5:$C$3004,A35,Agenda!$H$5:$H$3004,"Realizado",Agenda!$L$5:$L$3004,Config!$B$7,Agenda!$M$5:$M$3004,Config!$B$5))</f>
        <v>47</v>
      </c>
      <c r="C35" s="26">
        <f>IF(A35="","",COUNTIFS(Agenda!$C$5:$C$3004,A35,Agenda!$H$5:$H$3004,"Falta",Agenda!$L$5:$L$3004,Config!$B$7,Agenda!$M$5:$M$3004,Config!$B$5))</f>
        <v>1</v>
      </c>
      <c r="D35" s="27">
        <f>IF(A35="","",IF(B35+C35=0,"",C35/(B35+C35)))</f>
        <v>0.0208333333333333</v>
      </c>
      <c r="E35" s="26">
        <f>IF(A35="","",COUNTIFS(Agenda!$C$5:$C$3004,A35,Agenda!$H$5:$H$3004,"Cancelado",Agenda!$L$5:$L$3004,Config!$B$7,Agenda!$M$5:$M$3004,Config!$B$5))</f>
        <v>1</v>
      </c>
      <c r="F35" s="26">
        <f>IF(A35="","",COUNTIFS(Agenda!$C$5:$C$3004,A35,Agenda!$H$5:$H$3004,"Remarcado",Agenda!$L$5:$L$3004,Config!$B$7,Agenda!$M$5:$M$3004,Config!$B$5))</f>
        <v>0</v>
      </c>
      <c r="G35" s="28" t="str">
        <f>IF(D35="","",REPT("█",ROUND(MIN(1,D35/0.25)*24,0)))</f>
        <v>██</v>
      </c>
      <c r="H35" s="23" t="n"/>
      <c r="I35" s="24" t="n"/>
    </row>
    <row r="36">
      <c r="A36" s="25" t="str">
        <f>IF(Config!$D$6="","",Config!$D$6)</f>
        <v>Dr. Paulo Andrade</v>
      </c>
      <c r="B36" s="26">
        <f>IF(A36="","",COUNTIFS(Agenda!$C$5:$C$3004,A36,Agenda!$H$5:$H$3004,"Realizado",Agenda!$L$5:$L$3004,Config!$B$7,Agenda!$M$5:$M$3004,Config!$B$5))</f>
        <v>36</v>
      </c>
      <c r="C36" s="26">
        <f>IF(A36="","",COUNTIFS(Agenda!$C$5:$C$3004,A36,Agenda!$H$5:$H$3004,"Falta",Agenda!$L$5:$L$3004,Config!$B$7,Agenda!$M$5:$M$3004,Config!$B$5))</f>
        <v>4</v>
      </c>
      <c r="D36" s="27">
        <f>IF(A36="","",IF(B36+C36=0,"",C36/(B36+C36)))</f>
        <v>0.1</v>
      </c>
      <c r="E36" s="26">
        <f>IF(A36="","",COUNTIFS(Agenda!$C$5:$C$3004,A36,Agenda!$H$5:$H$3004,"Cancelado",Agenda!$L$5:$L$3004,Config!$B$7,Agenda!$M$5:$M$3004,Config!$B$5))</f>
        <v>2</v>
      </c>
      <c r="F36" s="26">
        <f>IF(A36="","",COUNTIFS(Agenda!$C$5:$C$3004,A36,Agenda!$H$5:$H$3004,"Remarcado",Agenda!$L$5:$L$3004,Config!$B$7,Agenda!$M$5:$M$3004,Config!$B$5))</f>
        <v>0</v>
      </c>
      <c r="G36" s="28" t="str">
        <f>IF(D36="","",REPT("█",ROUND(MIN(1,D36/0.25)*24,0)))</f>
        <v>██████████</v>
      </c>
      <c r="H36" s="23" t="n"/>
      <c r="I36" s="24" t="n"/>
    </row>
    <row r="37">
      <c r="A37" s="25" t="str">
        <f>IF(Config!$D$7="","",Config!$D$7)</f>
        <v>Dra. Renata Sousa</v>
      </c>
      <c r="B37" s="26">
        <f>IF(A37="","",COUNTIFS(Agenda!$C$5:$C$3004,A37,Agenda!$H$5:$H$3004,"Realizado",Agenda!$L$5:$L$3004,Config!$B$7,Agenda!$M$5:$M$3004,Config!$B$5))</f>
        <v>24</v>
      </c>
      <c r="C37" s="26">
        <f>IF(A37="","",COUNTIFS(Agenda!$C$5:$C$3004,A37,Agenda!$H$5:$H$3004,"Falta",Agenda!$L$5:$L$3004,Config!$B$7,Agenda!$M$5:$M$3004,Config!$B$5))</f>
        <v>1</v>
      </c>
      <c r="D37" s="27">
        <f>IF(A37="","",IF(B37+C37=0,"",C37/(B37+C37)))</f>
        <v>0.04</v>
      </c>
      <c r="E37" s="26">
        <f>IF(A37="","",COUNTIFS(Agenda!$C$5:$C$3004,A37,Agenda!$H$5:$H$3004,"Cancelado",Agenda!$L$5:$L$3004,Config!$B$7,Agenda!$M$5:$M$3004,Config!$B$5))</f>
        <v>0</v>
      </c>
      <c r="F37" s="26">
        <f>IF(A37="","",COUNTIFS(Agenda!$C$5:$C$3004,A37,Agenda!$H$5:$H$3004,"Remarcado",Agenda!$L$5:$L$3004,Config!$B$7,Agenda!$M$5:$M$3004,Config!$B$5))</f>
        <v>0</v>
      </c>
      <c r="G37" s="28" t="str">
        <f>IF(D37="","",REPT("█",ROUND(MIN(1,D37/0.25)*24,0)))</f>
        <v>████</v>
      </c>
      <c r="H37" s="23" t="n"/>
      <c r="I37" s="24" t="n"/>
    </row>
    <row r="38">
      <c r="A38" s="25">
        <f>IF(Config!$D$8="","",Config!$D$8)</f>
        <v/>
      </c>
      <c r="B38" s="26">
        <f>IF(A38="","",COUNTIFS(Agenda!$C$5:$C$3004,A38,Agenda!$H$5:$H$3004,"Realizado",Agenda!$L$5:$L$3004,Config!$B$7,Agenda!$M$5:$M$3004,Config!$B$5))</f>
        <v/>
      </c>
      <c r="C38" s="26">
        <f>IF(A38="","",COUNTIFS(Agenda!$C$5:$C$3004,A38,Agenda!$H$5:$H$3004,"Falta",Agenda!$L$5:$L$3004,Config!$B$7,Agenda!$M$5:$M$3004,Config!$B$5))</f>
        <v/>
      </c>
      <c r="D38" s="27">
        <f>IF(A38="","",IF(B38+C38=0,"",C38/(B38+C38)))</f>
        <v/>
      </c>
      <c r="E38" s="26">
        <f>IF(A38="","",COUNTIFS(Agenda!$C$5:$C$3004,A38,Agenda!$H$5:$H$3004,"Cancelado",Agenda!$L$5:$L$3004,Config!$B$7,Agenda!$M$5:$M$3004,Config!$B$5))</f>
        <v/>
      </c>
      <c r="F38" s="26">
        <f>IF(A38="","",COUNTIFS(Agenda!$C$5:$C$3004,A38,Agenda!$H$5:$H$3004,"Remarcado",Agenda!$L$5:$L$3004,Config!$B$7,Agenda!$M$5:$M$3004,Config!$B$5))</f>
        <v/>
      </c>
      <c r="G38" s="28">
        <f>IF(D38="","",REPT("█",ROUND(MIN(1,D38/0.25)*24,0)))</f>
        <v/>
      </c>
      <c r="H38" s="23" t="n"/>
      <c r="I38" s="24" t="n"/>
    </row>
    <row r="39">
      <c r="A39" s="25">
        <f>IF(Config!$D$9="","",Config!$D$9)</f>
        <v/>
      </c>
      <c r="B39" s="26">
        <f>IF(A39="","",COUNTIFS(Agenda!$C$5:$C$3004,A39,Agenda!$H$5:$H$3004,"Realizado",Agenda!$L$5:$L$3004,Config!$B$7,Agenda!$M$5:$M$3004,Config!$B$5))</f>
        <v/>
      </c>
      <c r="C39" s="26">
        <f>IF(A39="","",COUNTIFS(Agenda!$C$5:$C$3004,A39,Agenda!$H$5:$H$3004,"Falta",Agenda!$L$5:$L$3004,Config!$B$7,Agenda!$M$5:$M$3004,Config!$B$5))</f>
        <v/>
      </c>
      <c r="D39" s="27">
        <f>IF(A39="","",IF(B39+C39=0,"",C39/(B39+C39)))</f>
        <v/>
      </c>
      <c r="E39" s="26">
        <f>IF(A39="","",COUNTIFS(Agenda!$C$5:$C$3004,A39,Agenda!$H$5:$H$3004,"Cancelado",Agenda!$L$5:$L$3004,Config!$B$7,Agenda!$M$5:$M$3004,Config!$B$5))</f>
        <v/>
      </c>
      <c r="F39" s="26">
        <f>IF(A39="","",COUNTIFS(Agenda!$C$5:$C$3004,A39,Agenda!$H$5:$H$3004,"Remarcado",Agenda!$L$5:$L$3004,Config!$B$7,Agenda!$M$5:$M$3004,Config!$B$5))</f>
        <v/>
      </c>
      <c r="G39" s="28">
        <f>IF(D39="","",REPT("█",ROUND(MIN(1,D39/0.25)*24,0)))</f>
        <v/>
      </c>
      <c r="H39" s="23" t="n"/>
      <c r="I39" s="24" t="n"/>
    </row>
    <row r="40">
      <c r="A40" s="25">
        <f>IF(Config!$D$10="","",Config!$D$10)</f>
        <v/>
      </c>
      <c r="B40" s="26">
        <f>IF(A40="","",COUNTIFS(Agenda!$C$5:$C$3004,A40,Agenda!$H$5:$H$3004,"Realizado",Agenda!$L$5:$L$3004,Config!$B$7,Agenda!$M$5:$M$3004,Config!$B$5))</f>
        <v/>
      </c>
      <c r="C40" s="26">
        <f>IF(A40="","",COUNTIFS(Agenda!$C$5:$C$3004,A40,Agenda!$H$5:$H$3004,"Falta",Agenda!$L$5:$L$3004,Config!$B$7,Agenda!$M$5:$M$3004,Config!$B$5))</f>
        <v/>
      </c>
      <c r="D40" s="27">
        <f>IF(A40="","",IF(B40+C40=0,"",C40/(B40+C40)))</f>
        <v/>
      </c>
      <c r="E40" s="26">
        <f>IF(A40="","",COUNTIFS(Agenda!$C$5:$C$3004,A40,Agenda!$H$5:$H$3004,"Cancelado",Agenda!$L$5:$L$3004,Config!$B$7,Agenda!$M$5:$M$3004,Config!$B$5))</f>
        <v/>
      </c>
      <c r="F40" s="26">
        <f>IF(A40="","",COUNTIFS(Agenda!$C$5:$C$3004,A40,Agenda!$H$5:$H$3004,"Remarcado",Agenda!$L$5:$L$3004,Config!$B$7,Agenda!$M$5:$M$3004,Config!$B$5))</f>
        <v/>
      </c>
      <c r="G40" s="28">
        <f>IF(D40="","",REPT("█",ROUND(MIN(1,D40/0.25)*24,0)))</f>
        <v/>
      </c>
      <c r="H40" s="23" t="n"/>
      <c r="I40" s="24" t="n"/>
    </row>
    <row r="41">
      <c r="A41" s="25">
        <f>IF(Config!$D$11="","",Config!$D$11)</f>
        <v/>
      </c>
      <c r="B41" s="26">
        <f>IF(A41="","",COUNTIFS(Agenda!$C$5:$C$3004,A41,Agenda!$H$5:$H$3004,"Realizado",Agenda!$L$5:$L$3004,Config!$B$7,Agenda!$M$5:$M$3004,Config!$B$5))</f>
        <v/>
      </c>
      <c r="C41" s="26">
        <f>IF(A41="","",COUNTIFS(Agenda!$C$5:$C$3004,A41,Agenda!$H$5:$H$3004,"Falta",Agenda!$L$5:$L$3004,Config!$B$7,Agenda!$M$5:$M$3004,Config!$B$5))</f>
        <v/>
      </c>
      <c r="D41" s="27">
        <f>IF(A41="","",IF(B41+C41=0,"",C41/(B41+C41)))</f>
        <v/>
      </c>
      <c r="E41" s="26">
        <f>IF(A41="","",COUNTIFS(Agenda!$C$5:$C$3004,A41,Agenda!$H$5:$H$3004,"Cancelado",Agenda!$L$5:$L$3004,Config!$B$7,Agenda!$M$5:$M$3004,Config!$B$5))</f>
        <v/>
      </c>
      <c r="F41" s="26">
        <f>IF(A41="","",COUNTIFS(Agenda!$C$5:$C$3004,A41,Agenda!$H$5:$H$3004,"Remarcado",Agenda!$L$5:$L$3004,Config!$B$7,Agenda!$M$5:$M$3004,Config!$B$5))</f>
        <v/>
      </c>
      <c r="G41" s="28">
        <f>IF(D41="","",REPT("█",ROUND(MIN(1,D41/0.25)*24,0)))</f>
        <v/>
      </c>
      <c r="H41" s="23" t="n"/>
      <c r="I41" s="24" t="n"/>
    </row>
    <row r="42">
      <c r="A42" s="25">
        <f>IF(Config!$D$12="","",Config!$D$12)</f>
        <v/>
      </c>
      <c r="B42" s="26">
        <f>IF(A42="","",COUNTIFS(Agenda!$C$5:$C$3004,A42,Agenda!$H$5:$H$3004,"Realizado",Agenda!$L$5:$L$3004,Config!$B$7,Agenda!$M$5:$M$3004,Config!$B$5))</f>
        <v/>
      </c>
      <c r="C42" s="26">
        <f>IF(A42="","",COUNTIFS(Agenda!$C$5:$C$3004,A42,Agenda!$H$5:$H$3004,"Falta",Agenda!$L$5:$L$3004,Config!$B$7,Agenda!$M$5:$M$3004,Config!$B$5))</f>
        <v/>
      </c>
      <c r="D42" s="27">
        <f>IF(A42="","",IF(B42+C42=0,"",C42/(B42+C42)))</f>
        <v/>
      </c>
      <c r="E42" s="26">
        <f>IF(A42="","",COUNTIFS(Agenda!$C$5:$C$3004,A42,Agenda!$H$5:$H$3004,"Cancelado",Agenda!$L$5:$L$3004,Config!$B$7,Agenda!$M$5:$M$3004,Config!$B$5))</f>
        <v/>
      </c>
      <c r="F42" s="26">
        <f>IF(A42="","",COUNTIFS(Agenda!$C$5:$C$3004,A42,Agenda!$H$5:$H$3004,"Remarcado",Agenda!$L$5:$L$3004,Config!$B$7,Agenda!$M$5:$M$3004,Config!$B$5))</f>
        <v/>
      </c>
      <c r="G42" s="28">
        <f>IF(D42="","",REPT("█",ROUND(MIN(1,D42/0.25)*24,0)))</f>
        <v/>
      </c>
      <c r="H42" s="23" t="n"/>
      <c r="I42" s="24" t="n"/>
    </row>
    <row r="43" ht="30" customHeight="1">
      <c r="A43" s="29" t="inlineStr">
        <is>
          <t>Taxa acima de 10 % em vermelho. A barra vai até 25 %. Compare pagadores e dias antes de decidir a regra de confirmação (mensagem de véspera, lista de espera, política de remarcação).</t>
        </is>
      </c>
    </row>
    <row r="44"/>
    <row r="45">
      <c r="A45" s="21" t="inlineStr">
        <is>
          <t>Últimas 8 semanas (segunda a domingo)</t>
        </is>
      </c>
    </row>
    <row r="46" ht="26" customHeight="1">
      <c r="A46" s="22" t="inlineStr">
        <is>
          <t>Semana</t>
        </is>
      </c>
      <c r="B46" s="22" t="inlineStr">
        <is>
          <t>Segunda-feira</t>
        </is>
      </c>
      <c r="C46" s="22" t="inlineStr">
        <is>
          <t>Realizados</t>
        </is>
      </c>
      <c r="D46" s="22" t="inlineStr">
        <is>
          <t>Faltas</t>
        </is>
      </c>
      <c r="E46" s="22" t="inlineStr">
        <is>
          <t>Taxa de falta</t>
        </is>
      </c>
      <c r="F46" s="22" t="inlineStr">
        <is>
          <t>Cancelamentos</t>
        </is>
      </c>
      <c r="G46" s="22" t="inlineStr">
        <is>
          <t>Remarcações</t>
        </is>
      </c>
      <c r="H46" s="22" t="inlineStr">
        <is>
          <t>Barra</t>
        </is>
      </c>
    </row>
    <row r="47">
      <c r="A47" s="26" t="str">
        <f>"S"&amp;TEXT(B47,"dd/mm")</f>
        <v>S27/07</v>
      </c>
      <c r="B47" s="30">
        <f>Config!$B$8-WEEKDAY(Config!$B$8,2)+1-49</f>
        <v>46230.0</v>
      </c>
      <c r="C47" s="26">
        <f>COUNTIFS(Agenda!$A$5:$A$3004,"&gt;="&amp;B47,Agenda!$A$5:$A$3004,"&lt;="&amp;B47+6,Agenda!$H$5:$H$3004,"Realizado")</f>
        <v>57</v>
      </c>
      <c r="D47" s="26">
        <f>COUNTIFS(Agenda!$A$5:$A$3004,"&gt;="&amp;B47,Agenda!$A$5:$A$3004,"&lt;="&amp;B47+6,Agenda!$H$5:$H$3004,"Falta")</f>
        <v>7</v>
      </c>
      <c r="E47" s="27">
        <f>IF(C47+D47=0,"",D47/(C47+D47))</f>
        <v>0.109375</v>
      </c>
      <c r="F47" s="26">
        <f>COUNTIFS(Agenda!$A$5:$A$3004,"&gt;="&amp;B47,Agenda!$A$5:$A$3004,"&lt;="&amp;B47+6,Agenda!$H$5:$H$3004,"Cancelado")</f>
        <v>2</v>
      </c>
      <c r="G47" s="26">
        <f>COUNTIFS(Agenda!$A$5:$A$3004,"&gt;="&amp;B47,Agenda!$A$5:$A$3004,"&lt;="&amp;B47+6,Agenda!$H$5:$H$3004,"Remarcado")</f>
        <v>1</v>
      </c>
      <c r="H47" s="28" t="str">
        <f>IF(E47="","",REPT("█",ROUND(MIN(1,E47/0.25)*24,0)))</f>
        <v>███████████</v>
      </c>
      <c r="I47" s="23" t="n"/>
      <c r="J47" s="24" t="n"/>
    </row>
    <row r="48">
      <c r="A48" s="26" t="str">
        <f>"S"&amp;TEXT(B48,"dd/mm")</f>
        <v>S03/08</v>
      </c>
      <c r="B48" s="30">
        <f>Config!$B$8-WEEKDAY(Config!$B$8,2)+1-42</f>
        <v>46237.0</v>
      </c>
      <c r="C48" s="26">
        <f>COUNTIFS(Agenda!$A$5:$A$3004,"&gt;="&amp;B48,Agenda!$A$5:$A$3004,"&lt;="&amp;B48+6,Agenda!$H$5:$H$3004,"Realizado")</f>
        <v>58</v>
      </c>
      <c r="D48" s="26">
        <f>COUNTIFS(Agenda!$A$5:$A$3004,"&gt;="&amp;B48,Agenda!$A$5:$A$3004,"&lt;="&amp;B48+6,Agenda!$H$5:$H$3004,"Falta")</f>
        <v>6</v>
      </c>
      <c r="E48" s="27">
        <f>IF(C48+D48=0,"",D48/(C48+D48))</f>
        <v>0.09375</v>
      </c>
      <c r="F48" s="26">
        <f>COUNTIFS(Agenda!$A$5:$A$3004,"&gt;="&amp;B48,Agenda!$A$5:$A$3004,"&lt;="&amp;B48+6,Agenda!$H$5:$H$3004,"Cancelado")</f>
        <v>4</v>
      </c>
      <c r="G48" s="26">
        <f>COUNTIFS(Agenda!$A$5:$A$3004,"&gt;="&amp;B48,Agenda!$A$5:$A$3004,"&lt;="&amp;B48+6,Agenda!$H$5:$H$3004,"Remarcado")</f>
        <v>0</v>
      </c>
      <c r="H48" s="28" t="str">
        <f>IF(E48="","",REPT("█",ROUND(MIN(1,E48/0.25)*24,0)))</f>
        <v>█████████</v>
      </c>
      <c r="I48" s="23" t="n"/>
      <c r="J48" s="24" t="n"/>
    </row>
    <row r="49">
      <c r="A49" s="26" t="str">
        <f>"S"&amp;TEXT(B49,"dd/mm")</f>
        <v>S10/08</v>
      </c>
      <c r="B49" s="30">
        <f>Config!$B$8-WEEKDAY(Config!$B$8,2)+1-35</f>
        <v>46244.0</v>
      </c>
      <c r="C49" s="26">
        <f>COUNTIFS(Agenda!$A$5:$A$3004,"&gt;="&amp;B49,Agenda!$A$5:$A$3004,"&lt;="&amp;B49+6,Agenda!$H$5:$H$3004,"Realizado")</f>
        <v>64</v>
      </c>
      <c r="D49" s="26">
        <f>COUNTIFS(Agenda!$A$5:$A$3004,"&gt;="&amp;B49,Agenda!$A$5:$A$3004,"&lt;="&amp;B49+6,Agenda!$H$5:$H$3004,"Falta")</f>
        <v>5</v>
      </c>
      <c r="E49" s="27">
        <f>IF(C49+D49=0,"",D49/(C49+D49))</f>
        <v>0.072463768115942</v>
      </c>
      <c r="F49" s="26">
        <f>COUNTIFS(Agenda!$A$5:$A$3004,"&gt;="&amp;B49,Agenda!$A$5:$A$3004,"&lt;="&amp;B49+6,Agenda!$H$5:$H$3004,"Cancelado")</f>
        <v>2</v>
      </c>
      <c r="G49" s="26">
        <f>COUNTIFS(Agenda!$A$5:$A$3004,"&gt;="&amp;B49,Agenda!$A$5:$A$3004,"&lt;="&amp;B49+6,Agenda!$H$5:$H$3004,"Remarcado")</f>
        <v>1</v>
      </c>
      <c r="H49" s="28" t="str">
        <f>IF(E49="","",REPT("█",ROUND(MIN(1,E49/0.25)*24,0)))</f>
        <v>███████</v>
      </c>
      <c r="I49" s="23" t="n"/>
      <c r="J49" s="24" t="n"/>
    </row>
    <row r="50">
      <c r="A50" s="26" t="str">
        <f>"S"&amp;TEXT(B50,"dd/mm")</f>
        <v>S17/08</v>
      </c>
      <c r="B50" s="30">
        <f>Config!$B$8-WEEKDAY(Config!$B$8,2)+1-28</f>
        <v>46251.0</v>
      </c>
      <c r="C50" s="26">
        <f>COUNTIFS(Agenda!$A$5:$A$3004,"&gt;="&amp;B50,Agenda!$A$5:$A$3004,"&lt;="&amp;B50+6,Agenda!$H$5:$H$3004,"Realizado")</f>
        <v>52</v>
      </c>
      <c r="D50" s="26">
        <f>COUNTIFS(Agenda!$A$5:$A$3004,"&gt;="&amp;B50,Agenda!$A$5:$A$3004,"&lt;="&amp;B50+6,Agenda!$H$5:$H$3004,"Falta")</f>
        <v>6</v>
      </c>
      <c r="E50" s="27">
        <f>IF(C50+D50=0,"",D50/(C50+D50))</f>
        <v>0.103448275862069</v>
      </c>
      <c r="F50" s="26">
        <f>COUNTIFS(Agenda!$A$5:$A$3004,"&gt;="&amp;B50,Agenda!$A$5:$A$3004,"&lt;="&amp;B50+6,Agenda!$H$5:$H$3004,"Cancelado")</f>
        <v>5</v>
      </c>
      <c r="G50" s="26">
        <f>COUNTIFS(Agenda!$A$5:$A$3004,"&gt;="&amp;B50,Agenda!$A$5:$A$3004,"&lt;="&amp;B50+6,Agenda!$H$5:$H$3004,"Remarcado")</f>
        <v>2</v>
      </c>
      <c r="H50" s="28" t="str">
        <f>IF(E50="","",REPT("█",ROUND(MIN(1,E50/0.25)*24,0)))</f>
        <v>██████████</v>
      </c>
      <c r="I50" s="23" t="n"/>
      <c r="J50" s="24" t="n"/>
    </row>
    <row r="51">
      <c r="A51" s="26" t="str">
        <f>"S"&amp;TEXT(B51,"dd/mm")</f>
        <v>S24/08</v>
      </c>
      <c r="B51" s="30">
        <f>Config!$B$8-WEEKDAY(Config!$B$8,2)+1-21</f>
        <v>46258.0</v>
      </c>
      <c r="C51" s="26">
        <f>COUNTIFS(Agenda!$A$5:$A$3004,"&gt;="&amp;B51,Agenda!$A$5:$A$3004,"&lt;="&amp;B51+6,Agenda!$H$5:$H$3004,"Realizado")</f>
        <v>64</v>
      </c>
      <c r="D51" s="26">
        <f>COUNTIFS(Agenda!$A$5:$A$3004,"&gt;="&amp;B51,Agenda!$A$5:$A$3004,"&lt;="&amp;B51+6,Agenda!$H$5:$H$3004,"Falta")</f>
        <v>6</v>
      </c>
      <c r="E51" s="27">
        <f>IF(C51+D51=0,"",D51/(C51+D51))</f>
        <v>0.0857142857142857</v>
      </c>
      <c r="F51" s="26">
        <f>COUNTIFS(Agenda!$A$5:$A$3004,"&gt;="&amp;B51,Agenda!$A$5:$A$3004,"&lt;="&amp;B51+6,Agenda!$H$5:$H$3004,"Cancelado")</f>
        <v>1</v>
      </c>
      <c r="G51" s="26">
        <f>COUNTIFS(Agenda!$A$5:$A$3004,"&gt;="&amp;B51,Agenda!$A$5:$A$3004,"&lt;="&amp;B51+6,Agenda!$H$5:$H$3004,"Remarcado")</f>
        <v>1</v>
      </c>
      <c r="H51" s="28" t="str">
        <f>IF(E51="","",REPT("█",ROUND(MIN(1,E51/0.25)*24,0)))</f>
        <v>████████</v>
      </c>
      <c r="I51" s="23" t="n"/>
      <c r="J51" s="24" t="n"/>
    </row>
    <row r="52">
      <c r="A52" s="26" t="str">
        <f>"S"&amp;TEXT(B52,"dd/mm")</f>
        <v>S31/08</v>
      </c>
      <c r="B52" s="30">
        <f>Config!$B$8-WEEKDAY(Config!$B$8,2)+1-14</f>
        <v>46265.0</v>
      </c>
      <c r="C52" s="26">
        <f>COUNTIFS(Agenda!$A$5:$A$3004,"&gt;="&amp;B52,Agenda!$A$5:$A$3004,"&lt;="&amp;B52+6,Agenda!$H$5:$H$3004,"Realizado")</f>
        <v>72</v>
      </c>
      <c r="D52" s="26">
        <f>COUNTIFS(Agenda!$A$5:$A$3004,"&gt;="&amp;B52,Agenda!$A$5:$A$3004,"&lt;="&amp;B52+6,Agenda!$H$5:$H$3004,"Falta")</f>
        <v>3</v>
      </c>
      <c r="E52" s="27">
        <f>IF(C52+D52=0,"",D52/(C52+D52))</f>
        <v>0.04</v>
      </c>
      <c r="F52" s="26">
        <f>COUNTIFS(Agenda!$A$5:$A$3004,"&gt;="&amp;B52,Agenda!$A$5:$A$3004,"&lt;="&amp;B52+6,Agenda!$H$5:$H$3004,"Cancelado")</f>
        <v>1</v>
      </c>
      <c r="G52" s="26">
        <f>COUNTIFS(Agenda!$A$5:$A$3004,"&gt;="&amp;B52,Agenda!$A$5:$A$3004,"&lt;="&amp;B52+6,Agenda!$H$5:$H$3004,"Remarcado")</f>
        <v>0</v>
      </c>
      <c r="H52" s="28" t="str">
        <f>IF(E52="","",REPT("█",ROUND(MIN(1,E52/0.25)*24,0)))</f>
        <v>████</v>
      </c>
      <c r="I52" s="23" t="n"/>
      <c r="J52" s="24" t="n"/>
    </row>
    <row r="53">
      <c r="A53" s="26" t="str">
        <f>"S"&amp;TEXT(B53,"dd/mm")</f>
        <v>S07/09</v>
      </c>
      <c r="B53" s="30">
        <f>Config!$B$8-WEEKDAY(Config!$B$8,2)+1-7</f>
        <v>46272.0</v>
      </c>
      <c r="C53" s="26">
        <f>COUNTIFS(Agenda!$A$5:$A$3004,"&gt;="&amp;B53,Agenda!$A$5:$A$3004,"&lt;="&amp;B53+6,Agenda!$H$5:$H$3004,"Realizado")</f>
        <v>49</v>
      </c>
      <c r="D53" s="26">
        <f>COUNTIFS(Agenda!$A$5:$A$3004,"&gt;="&amp;B53,Agenda!$A$5:$A$3004,"&lt;="&amp;B53+6,Agenda!$H$5:$H$3004,"Falta")</f>
        <v>3</v>
      </c>
      <c r="E53" s="27">
        <f>IF(C53+D53=0,"",D53/(C53+D53))</f>
        <v>0.0576923076923077</v>
      </c>
      <c r="F53" s="26">
        <f>COUNTIFS(Agenda!$A$5:$A$3004,"&gt;="&amp;B53,Agenda!$A$5:$A$3004,"&lt;="&amp;B53+6,Agenda!$H$5:$H$3004,"Cancelado")</f>
        <v>3</v>
      </c>
      <c r="G53" s="26">
        <f>COUNTIFS(Agenda!$A$5:$A$3004,"&gt;="&amp;B53,Agenda!$A$5:$A$3004,"&lt;="&amp;B53+6,Agenda!$H$5:$H$3004,"Remarcado")</f>
        <v>0</v>
      </c>
      <c r="H53" s="28" t="str">
        <f>IF(E53="","",REPT("█",ROUND(MIN(1,E53/0.25)*24,0)))</f>
        <v>██████</v>
      </c>
      <c r="I53" s="23" t="n"/>
      <c r="J53" s="24" t="n"/>
    </row>
    <row r="54">
      <c r="A54" s="26" t="str">
        <f>"S"&amp;TEXT(B54,"dd/mm")</f>
        <v>S14/09</v>
      </c>
      <c r="B54" s="30">
        <f>Config!$B$8-WEEKDAY(Config!$B$8,2)+1-0</f>
        <v>46279.0</v>
      </c>
      <c r="C54" s="26">
        <f>COUNTIFS(Agenda!$A$5:$A$3004,"&gt;="&amp;B54,Agenda!$A$5:$A$3004,"&lt;="&amp;B54+6,Agenda!$H$5:$H$3004,"Realizado")</f>
        <v>0</v>
      </c>
      <c r="D54" s="26">
        <f>COUNTIFS(Agenda!$A$5:$A$3004,"&gt;="&amp;B54,Agenda!$A$5:$A$3004,"&lt;="&amp;B54+6,Agenda!$H$5:$H$3004,"Falta")</f>
        <v>0</v>
      </c>
      <c r="E54" s="27">
        <f>IF(C54+D54=0,"",D54/(C54+D54))</f>
        <v/>
      </c>
      <c r="F54" s="26">
        <f>COUNTIFS(Agenda!$A$5:$A$3004,"&gt;="&amp;B54,Agenda!$A$5:$A$3004,"&lt;="&amp;B54+6,Agenda!$H$5:$H$3004,"Cancelado")</f>
        <v>0</v>
      </c>
      <c r="G54" s="26">
        <f>COUNTIFS(Agenda!$A$5:$A$3004,"&gt;="&amp;B54,Agenda!$A$5:$A$3004,"&lt;="&amp;B54+6,Agenda!$H$5:$H$3004,"Remarcado")</f>
        <v>0</v>
      </c>
      <c r="H54" s="28">
        <f>IF(E54="","",REPT("█",ROUND(MIN(1,E54/0.25)*24,0)))</f>
        <v/>
      </c>
      <c r="I54" s="23" t="n"/>
      <c r="J54" s="24" t="n"/>
    </row>
    <row r="55">
      <c r="A55" s="29" t="inlineStr">
        <is>
          <t>A semana atual (destacada) ainda está em andamento. A mensagem de confirmação de véspera costuma derrubar a taxa de falta; meça aqui se derrubou.</t>
        </is>
      </c>
    </row>
    <row r="56"/>
    <row r="57"/>
    <row r="58">
      <c r="A58" s="21" t="inlineStr">
        <is>
          <t>Lista de retorno: quem passou do retorno previsto e não tem horário marcado</t>
        </is>
      </c>
    </row>
    <row r="59">
      <c r="A59" s="31" t="inlineStr">
        <is>
          <t>Quem está há mais tempo sem voltar primeiro. Mostra os 25 primeiros; os demais ficam na aba Agenda (filtre "Na lista de retorno?" = Sim). Ligar ou mandar mensagem é decisão da clínica; a planilha só avisa.</t>
        </is>
      </c>
    </row>
    <row r="60" ht="26" customHeight="1">
      <c r="A60" s="22" t="inlineStr">
        <is>
          <t>#</t>
        </is>
      </c>
      <c r="B60" s="22" t="inlineStr">
        <is>
          <t>Paciente</t>
        </is>
      </c>
      <c r="C60" s="22" t="inlineStr">
        <is>
          <t>Profissional</t>
        </is>
      </c>
      <c r="D60" s="22" t="inlineStr">
        <is>
          <t>Pagador</t>
        </is>
      </c>
      <c r="E60" s="22" t="inlineStr">
        <is>
          <t>Último atendimento</t>
        </is>
      </c>
      <c r="F60" s="22" t="inlineStr">
        <is>
          <t>Procedimento</t>
        </is>
      </c>
      <c r="G60" s="22" t="inlineStr">
        <is>
          <t>Retorno previsto</t>
        </is>
      </c>
      <c r="H60" s="22" t="inlineStr">
        <is>
          <t>Dias além do previsto</t>
        </is>
      </c>
    </row>
    <row r="61">
      <c r="A61" s="26" t="n">
        <v>1</v>
      </c>
      <c r="B61" s="25" t="str">
        <f>IFERROR(IF(LARGE(Agenda!$U$5:$U$3004,1)&gt;0,INDEX(Agenda!$E$5:$E$3004,MATCH(LARGE(Agenda!$U$5:$U$3004,1),Agenda!$U$5:$U$3004,0)),""),"")</f>
        <v>Gabriel Fernandes</v>
      </c>
      <c r="C61" s="25" t="str">
        <f>IFERROR(IF(LARGE(Agenda!$U$5:$U$3004,1)&gt;0,INDEX(Agenda!$C$5:$C$3004,MATCH(LARGE(Agenda!$U$5:$U$3004,1),Agenda!$U$5:$U$3004,0)),""),"")</f>
        <v>Dr. Paulo Andrade</v>
      </c>
      <c r="D61" s="26" t="str">
        <f>IFERROR(IF(LARGE(Agenda!$U$5:$U$3004,1)&gt;0,INDEX(Agenda!$F$5:$F$3004,MATCH(LARGE(Agenda!$U$5:$U$3004,1),Agenda!$U$5:$U$3004,0)),""),"")</f>
        <v>Particular</v>
      </c>
      <c r="E61" s="30">
        <f>IFERROR(IF(LARGE(Agenda!$U$5:$U$3004,1)&gt;0,INDEX(Agenda!$A$5:$A$3004,MATCH(LARGE(Agenda!$U$5:$U$3004,1),Agenda!$U$5:$U$3004,0)),""),"")</f>
        <v>46198.0</v>
      </c>
      <c r="F61" s="25" t="str">
        <f>IFERROR(IF(LARGE(Agenda!$U$5:$U$3004,1)&gt;0,INDEX(Agenda!$G$5:$G$3004,MATCH(LARGE(Agenda!$U$5:$U$3004,1),Agenda!$U$5:$U$3004,0)),""),"")</f>
        <v>Consulta</v>
      </c>
      <c r="G61" s="30">
        <f>IFERROR(IF(LARGE(Agenda!$U$5:$U$3004,1)&gt;0,INDEX(Agenda!$Q$5:$Q$3004,MATCH(LARGE(Agenda!$U$5:$U$3004,1),Agenda!$U$5:$U$3004,0)),""),"")</f>
        <v>46228.0</v>
      </c>
      <c r="H61" s="32">
        <f>IFERROR(IF(LARGE(Agenda!$U$5:$U$3004,1)&gt;0,INDEX(Agenda!$S$5:$S$3004,MATCH(LARGE(Agenda!$U$5:$U$3004,1),Agenda!$U$5:$U$3004,0)),""),"")</f>
        <v>51</v>
      </c>
    </row>
    <row r="62">
      <c r="A62" s="26" t="n">
        <v>2</v>
      </c>
      <c r="B62" s="25" t="str">
        <f>IFERROR(IF(LARGE(Agenda!$U$5:$U$3004,2)&gt;0,INDEX(Agenda!$E$5:$E$3004,MATCH(LARGE(Agenda!$U$5:$U$3004,2),Agenda!$U$5:$U$3004,0)),""),"")</f>
        <v>Priscila Pinto</v>
      </c>
      <c r="C62" s="25" t="str">
        <f>IFERROR(IF(LARGE(Agenda!$U$5:$U$3004,2)&gt;0,INDEX(Agenda!$C$5:$C$3004,MATCH(LARGE(Agenda!$U$5:$U$3004,2),Agenda!$U$5:$U$3004,0)),""),"")</f>
        <v>Dr. Paulo Andrade</v>
      </c>
      <c r="D62" s="26" t="str">
        <f>IFERROR(IF(LARGE(Agenda!$U$5:$U$3004,2)&gt;0,INDEX(Agenda!$F$5:$F$3004,MATCH(LARGE(Agenda!$U$5:$U$3004,2),Agenda!$U$5:$U$3004,0)),""),"")</f>
        <v>Saúde Total</v>
      </c>
      <c r="E62" s="30">
        <f>IFERROR(IF(LARGE(Agenda!$U$5:$U$3004,2)&gt;0,INDEX(Agenda!$A$5:$A$3004,MATCH(LARGE(Agenda!$U$5:$U$3004,2),Agenda!$U$5:$U$3004,0)),""),"")</f>
        <v>46212.0</v>
      </c>
      <c r="F62" s="25" t="str">
        <f>IFERROR(IF(LARGE(Agenda!$U$5:$U$3004,2)&gt;0,INDEX(Agenda!$G$5:$G$3004,MATCH(LARGE(Agenda!$U$5:$U$3004,2),Agenda!$U$5:$U$3004,0)),""),"")</f>
        <v>Consulta</v>
      </c>
      <c r="G62" s="30">
        <f>IFERROR(IF(LARGE(Agenda!$U$5:$U$3004,2)&gt;0,INDEX(Agenda!$Q$5:$Q$3004,MATCH(LARGE(Agenda!$U$5:$U$3004,2),Agenda!$U$5:$U$3004,0)),""),"")</f>
        <v>46242.0</v>
      </c>
      <c r="H62" s="32">
        <f>IFERROR(IF(LARGE(Agenda!$U$5:$U$3004,2)&gt;0,INDEX(Agenda!$S$5:$S$3004,MATCH(LARGE(Agenda!$U$5:$U$3004,2),Agenda!$U$5:$U$3004,0)),""),"")</f>
        <v>37</v>
      </c>
    </row>
    <row r="63">
      <c r="A63" s="26" t="n">
        <v>3</v>
      </c>
      <c r="B63" s="25" t="str">
        <f>IFERROR(IF(LARGE(Agenda!$U$5:$U$3004,3)&gt;0,INDEX(Agenda!$E$5:$E$3004,MATCH(LARGE(Agenda!$U$5:$U$3004,3),Agenda!$U$5:$U$3004,0)),""),"")</f>
        <v>Roberta Almeida</v>
      </c>
      <c r="C63" s="25" t="str">
        <f>IFERROR(IF(LARGE(Agenda!$U$5:$U$3004,3)&gt;0,INDEX(Agenda!$C$5:$C$3004,MATCH(LARGE(Agenda!$U$5:$U$3004,3),Agenda!$U$5:$U$3004,0)),""),"")</f>
        <v>Dr. Paulo Andrade</v>
      </c>
      <c r="D63" s="26" t="str">
        <f>IFERROR(IF(LARGE(Agenda!$U$5:$U$3004,3)&gt;0,INDEX(Agenda!$F$5:$F$3004,MATCH(LARGE(Agenda!$U$5:$U$3004,3),Agenda!$U$5:$U$3004,0)),""),"")</f>
        <v>Saúde Total</v>
      </c>
      <c r="E63" s="30">
        <f>IFERROR(IF(LARGE(Agenda!$U$5:$U$3004,3)&gt;0,INDEX(Agenda!$A$5:$A$3004,MATCH(LARGE(Agenda!$U$5:$U$3004,3),Agenda!$U$5:$U$3004,0)),""),"")</f>
        <v>46230.0</v>
      </c>
      <c r="F63" s="25" t="str">
        <f>IFERROR(IF(LARGE(Agenda!$U$5:$U$3004,3)&gt;0,INDEX(Agenda!$G$5:$G$3004,MATCH(LARGE(Agenda!$U$5:$U$3004,3),Agenda!$U$5:$U$3004,0)),""),"")</f>
        <v>Consulta</v>
      </c>
      <c r="G63" s="30">
        <f>IFERROR(IF(LARGE(Agenda!$U$5:$U$3004,3)&gt;0,INDEX(Agenda!$Q$5:$Q$3004,MATCH(LARGE(Agenda!$U$5:$U$3004,3),Agenda!$U$5:$U$3004,0)),""),"")</f>
        <v>46260.0</v>
      </c>
      <c r="H63" s="32">
        <f>IFERROR(IF(LARGE(Agenda!$U$5:$U$3004,3)&gt;0,INDEX(Agenda!$S$5:$S$3004,MATCH(LARGE(Agenda!$U$5:$U$3004,3),Agenda!$U$5:$U$3004,0)),""),"")</f>
        <v>19</v>
      </c>
    </row>
    <row r="64">
      <c r="A64" s="26" t="n">
        <v>4</v>
      </c>
      <c r="B64" s="25" t="str">
        <f>IFERROR(IF(LARGE(Agenda!$U$5:$U$3004,4)&gt;0,INDEX(Agenda!$E$5:$E$3004,MATCH(LARGE(Agenda!$U$5:$U$3004,4),Agenda!$U$5:$U$3004,0)),""),"")</f>
        <v>Rafael Araújo</v>
      </c>
      <c r="C64" s="25" t="str">
        <f>IFERROR(IF(LARGE(Agenda!$U$5:$U$3004,4)&gt;0,INDEX(Agenda!$C$5:$C$3004,MATCH(LARGE(Agenda!$U$5:$U$3004,4),Agenda!$U$5:$U$3004,0)),""),"")</f>
        <v>Dr. Paulo Andrade</v>
      </c>
      <c r="D64" s="26" t="str">
        <f>IFERROR(IF(LARGE(Agenda!$U$5:$U$3004,4)&gt;0,INDEX(Agenda!$F$5:$F$3004,MATCH(LARGE(Agenda!$U$5:$U$3004,4),Agenda!$U$5:$U$3004,0)),""),"")</f>
        <v>MediPlan</v>
      </c>
      <c r="E64" s="30">
        <f>IFERROR(IF(LARGE(Agenda!$U$5:$U$3004,4)&gt;0,INDEX(Agenda!$A$5:$A$3004,MATCH(LARGE(Agenda!$U$5:$U$3004,4),Agenda!$U$5:$U$3004,0)),""),"")</f>
        <v>46234.0</v>
      </c>
      <c r="F64" s="25" t="str">
        <f>IFERROR(IF(LARGE(Agenda!$U$5:$U$3004,4)&gt;0,INDEX(Agenda!$G$5:$G$3004,MATCH(LARGE(Agenda!$U$5:$U$3004,4),Agenda!$U$5:$U$3004,0)),""),"")</f>
        <v>Consulta</v>
      </c>
      <c r="G64" s="30">
        <f>IFERROR(IF(LARGE(Agenda!$U$5:$U$3004,4)&gt;0,INDEX(Agenda!$Q$5:$Q$3004,MATCH(LARGE(Agenda!$U$5:$U$3004,4),Agenda!$U$5:$U$3004,0)),""),"")</f>
        <v>46264.0</v>
      </c>
      <c r="H64" s="32">
        <f>IFERROR(IF(LARGE(Agenda!$U$5:$U$3004,4)&gt;0,INDEX(Agenda!$S$5:$S$3004,MATCH(LARGE(Agenda!$U$5:$U$3004,4),Agenda!$U$5:$U$3004,0)),""),"")</f>
        <v>15</v>
      </c>
    </row>
    <row r="65">
      <c r="A65" s="26" t="n">
        <v>5</v>
      </c>
      <c r="B65" s="25" t="str">
        <f>IFERROR(IF(LARGE(Agenda!$U$5:$U$3004,5)&gt;0,INDEX(Agenda!$E$5:$E$3004,MATCH(LARGE(Agenda!$U$5:$U$3004,5),Agenda!$U$5:$U$3004,0)),""),"")</f>
        <v>Viviane Teixeira</v>
      </c>
      <c r="C65" s="25" t="str">
        <f>IFERROR(IF(LARGE(Agenda!$U$5:$U$3004,5)&gt;0,INDEX(Agenda!$C$5:$C$3004,MATCH(LARGE(Agenda!$U$5:$U$3004,5),Agenda!$U$5:$U$3004,0)),""),"")</f>
        <v>Dr. Paulo Andrade</v>
      </c>
      <c r="D65" s="26" t="str">
        <f>IFERROR(IF(LARGE(Agenda!$U$5:$U$3004,5)&gt;0,INDEX(Agenda!$F$5:$F$3004,MATCH(LARGE(Agenda!$U$5:$U$3004,5),Agenda!$U$5:$U$3004,0)),""),"")</f>
        <v>Particular</v>
      </c>
      <c r="E65" s="30">
        <f>IFERROR(IF(LARGE(Agenda!$U$5:$U$3004,5)&gt;0,INDEX(Agenda!$A$5:$A$3004,MATCH(LARGE(Agenda!$U$5:$U$3004,5),Agenda!$U$5:$U$3004,0)),""),"")</f>
        <v>46238.0</v>
      </c>
      <c r="F65" s="25" t="str">
        <f>IFERROR(IF(LARGE(Agenda!$U$5:$U$3004,5)&gt;0,INDEX(Agenda!$G$5:$G$3004,MATCH(LARGE(Agenda!$U$5:$U$3004,5),Agenda!$U$5:$U$3004,0)),""),"")</f>
        <v>Consulta</v>
      </c>
      <c r="G65" s="30">
        <f>IFERROR(IF(LARGE(Agenda!$U$5:$U$3004,5)&gt;0,INDEX(Agenda!$Q$5:$Q$3004,MATCH(LARGE(Agenda!$U$5:$U$3004,5),Agenda!$U$5:$U$3004,0)),""),"")</f>
        <v>46268.0</v>
      </c>
      <c r="H65" s="32">
        <f>IFERROR(IF(LARGE(Agenda!$U$5:$U$3004,5)&gt;0,INDEX(Agenda!$S$5:$S$3004,MATCH(LARGE(Agenda!$U$5:$U$3004,5),Agenda!$U$5:$U$3004,0)),""),"")</f>
        <v>11</v>
      </c>
    </row>
    <row r="66">
      <c r="A66" s="26" t="n">
        <v>6</v>
      </c>
      <c r="B66" s="25" t="str">
        <f>IFERROR(IF(LARGE(Agenda!$U$5:$U$3004,6)&gt;0,INDEX(Agenda!$E$5:$E$3004,MATCH(LARGE(Agenda!$U$5:$U$3004,6),Agenda!$U$5:$U$3004,0)),""),"")</f>
        <v>Patrícia Vieira</v>
      </c>
      <c r="C66" s="25" t="str">
        <f>IFERROR(IF(LARGE(Agenda!$U$5:$U$3004,6)&gt;0,INDEX(Agenda!$C$5:$C$3004,MATCH(LARGE(Agenda!$U$5:$U$3004,6),Agenda!$U$5:$U$3004,0)),""),"")</f>
        <v>Dr. Paulo Andrade</v>
      </c>
      <c r="D66" s="26" t="str">
        <f>IFERROR(IF(LARGE(Agenda!$U$5:$U$3004,6)&gt;0,INDEX(Agenda!$F$5:$F$3004,MATCH(LARGE(Agenda!$U$5:$U$3004,6),Agenda!$U$5:$U$3004,0)),""),"")</f>
        <v>Saúde Total</v>
      </c>
      <c r="E66" s="30">
        <f>IFERROR(IF(LARGE(Agenda!$U$5:$U$3004,6)&gt;0,INDEX(Agenda!$A$5:$A$3004,MATCH(LARGE(Agenda!$U$5:$U$3004,6),Agenda!$U$5:$U$3004,0)),""),"")</f>
        <v>46241.0</v>
      </c>
      <c r="F66" s="25" t="str">
        <f>IFERROR(IF(LARGE(Agenda!$U$5:$U$3004,6)&gt;0,INDEX(Agenda!$G$5:$G$3004,MATCH(LARGE(Agenda!$U$5:$U$3004,6),Agenda!$U$5:$U$3004,0)),""),"")</f>
        <v>Consulta</v>
      </c>
      <c r="G66" s="30">
        <f>IFERROR(IF(LARGE(Agenda!$U$5:$U$3004,6)&gt;0,INDEX(Agenda!$Q$5:$Q$3004,MATCH(LARGE(Agenda!$U$5:$U$3004,6),Agenda!$U$5:$U$3004,0)),""),"")</f>
        <v>46271.0</v>
      </c>
      <c r="H66" s="32">
        <f>IFERROR(IF(LARGE(Agenda!$U$5:$U$3004,6)&gt;0,INDEX(Agenda!$S$5:$S$3004,MATCH(LARGE(Agenda!$U$5:$U$3004,6),Agenda!$U$5:$U$3004,0)),""),"")</f>
        <v>8</v>
      </c>
    </row>
    <row r="67">
      <c r="A67" s="26" t="n">
        <v>7</v>
      </c>
      <c r="B67" s="25" t="str">
        <f>IFERROR(IF(LARGE(Agenda!$U$5:$U$3004,7)&gt;0,INDEX(Agenda!$E$5:$E$3004,MATCH(LARGE(Agenda!$U$5:$U$3004,7),Agenda!$U$5:$U$3004,0)),""),"")</f>
        <v>Tatiana Rocha</v>
      </c>
      <c r="C67" s="25" t="str">
        <f>IFERROR(IF(LARGE(Agenda!$U$5:$U$3004,7)&gt;0,INDEX(Agenda!$C$5:$C$3004,MATCH(LARGE(Agenda!$U$5:$U$3004,7),Agenda!$U$5:$U$3004,0)),""),"")</f>
        <v>Dra. Carolina Mendes</v>
      </c>
      <c r="D67" s="26" t="str">
        <f>IFERROR(IF(LARGE(Agenda!$U$5:$U$3004,7)&gt;0,INDEX(Agenda!$F$5:$F$3004,MATCH(LARGE(Agenda!$U$5:$U$3004,7),Agenda!$U$5:$U$3004,0)),""),"")</f>
        <v>Vida Care</v>
      </c>
      <c r="E67" s="30">
        <f>IFERROR(IF(LARGE(Agenda!$U$5:$U$3004,7)&gt;0,INDEX(Agenda!$A$5:$A$3004,MATCH(LARGE(Agenda!$U$5:$U$3004,7),Agenda!$U$5:$U$3004,0)),""),"")</f>
        <v>46245.0</v>
      </c>
      <c r="F67" s="25" t="str">
        <f>IFERROR(IF(LARGE(Agenda!$U$5:$U$3004,7)&gt;0,INDEX(Agenda!$G$5:$G$3004,MATCH(LARGE(Agenda!$U$5:$U$3004,7),Agenda!$U$5:$U$3004,0)),""),"")</f>
        <v>Consulta</v>
      </c>
      <c r="G67" s="30">
        <f>IFERROR(IF(LARGE(Agenda!$U$5:$U$3004,7)&gt;0,INDEX(Agenda!$Q$5:$Q$3004,MATCH(LARGE(Agenda!$U$5:$U$3004,7),Agenda!$U$5:$U$3004,0)),""),"")</f>
        <v>46275.0</v>
      </c>
      <c r="H67" s="32">
        <f>IFERROR(IF(LARGE(Agenda!$U$5:$U$3004,7)&gt;0,INDEX(Agenda!$S$5:$S$3004,MATCH(LARGE(Agenda!$U$5:$U$3004,7),Agenda!$U$5:$U$3004,0)),""),"")</f>
        <v>4</v>
      </c>
    </row>
    <row r="68">
      <c r="A68" s="26" t="n">
        <v>8</v>
      </c>
      <c r="B68" s="25" t="str">
        <f>IFERROR(IF(LARGE(Agenda!$U$5:$U$3004,8)&gt;0,INDEX(Agenda!$E$5:$E$3004,MATCH(LARGE(Agenda!$U$5:$U$3004,8),Agenda!$U$5:$U$3004,0)),""),"")</f>
        <v>Paulo Freitas</v>
      </c>
      <c r="C68" s="25" t="str">
        <f>IFERROR(IF(LARGE(Agenda!$U$5:$U$3004,8)&gt;0,INDEX(Agenda!$C$5:$C$3004,MATCH(LARGE(Agenda!$U$5:$U$3004,8),Agenda!$U$5:$U$3004,0)),""),"")</f>
        <v>Dra. Renata Sousa</v>
      </c>
      <c r="D68" s="26" t="str">
        <f>IFERROR(IF(LARGE(Agenda!$U$5:$U$3004,8)&gt;0,INDEX(Agenda!$F$5:$F$3004,MATCH(LARGE(Agenda!$U$5:$U$3004,8),Agenda!$U$5:$U$3004,0)),""),"")</f>
        <v>Saúde Total</v>
      </c>
      <c r="E68" s="30">
        <f>IFERROR(IF(LARGE(Agenda!$U$5:$U$3004,8)&gt;0,INDEX(Agenda!$A$5:$A$3004,MATCH(LARGE(Agenda!$U$5:$U$3004,8),Agenda!$U$5:$U$3004,0)),""),"")</f>
        <v>46233.0</v>
      </c>
      <c r="F68" s="25" t="str">
        <f>IFERROR(IF(LARGE(Agenda!$U$5:$U$3004,8)&gt;0,INDEX(Agenda!$G$5:$G$3004,MATCH(LARGE(Agenda!$U$5:$U$3004,8),Agenda!$U$5:$U$3004,0)),""),"")</f>
        <v>Avaliação endócrina</v>
      </c>
      <c r="G68" s="30">
        <f>IFERROR(IF(LARGE(Agenda!$U$5:$U$3004,8)&gt;0,INDEX(Agenda!$Q$5:$Q$3004,MATCH(LARGE(Agenda!$U$5:$U$3004,8),Agenda!$U$5:$U$3004,0)),""),"")</f>
        <v>46278.0</v>
      </c>
      <c r="H68" s="32">
        <f>IFERROR(IF(LARGE(Agenda!$U$5:$U$3004,8)&gt;0,INDEX(Agenda!$S$5:$S$3004,MATCH(LARGE(Agenda!$U$5:$U$3004,8),Agenda!$U$5:$U$3004,0)),""),"")</f>
        <v>1</v>
      </c>
    </row>
    <row r="69">
      <c r="A69" s="26" t="n">
        <v>9</v>
      </c>
      <c r="B69" s="25">
        <f>IFERROR(IF(LARGE(Agenda!$U$5:$U$3004,9)&gt;0,INDEX(Agenda!$E$5:$E$3004,MATCH(LARGE(Agenda!$U$5:$U$3004,9),Agenda!$U$5:$U$3004,0)),""),"")</f>
        <v/>
      </c>
      <c r="C69" s="25">
        <f>IFERROR(IF(LARGE(Agenda!$U$5:$U$3004,9)&gt;0,INDEX(Agenda!$C$5:$C$3004,MATCH(LARGE(Agenda!$U$5:$U$3004,9),Agenda!$U$5:$U$3004,0)),""),"")</f>
        <v/>
      </c>
      <c r="D69" s="26">
        <f>IFERROR(IF(LARGE(Agenda!$U$5:$U$3004,9)&gt;0,INDEX(Agenda!$F$5:$F$3004,MATCH(LARGE(Agenda!$U$5:$U$3004,9),Agenda!$U$5:$U$3004,0)),""),"")</f>
        <v/>
      </c>
      <c r="E69" s="30">
        <f>IFERROR(IF(LARGE(Agenda!$U$5:$U$3004,9)&gt;0,INDEX(Agenda!$A$5:$A$3004,MATCH(LARGE(Agenda!$U$5:$U$3004,9),Agenda!$U$5:$U$3004,0)),""),"")</f>
        <v/>
      </c>
      <c r="F69" s="25">
        <f>IFERROR(IF(LARGE(Agenda!$U$5:$U$3004,9)&gt;0,INDEX(Agenda!$G$5:$G$3004,MATCH(LARGE(Agenda!$U$5:$U$3004,9),Agenda!$U$5:$U$3004,0)),""),"")</f>
        <v/>
      </c>
      <c r="G69" s="30">
        <f>IFERROR(IF(LARGE(Agenda!$U$5:$U$3004,9)&gt;0,INDEX(Agenda!$Q$5:$Q$3004,MATCH(LARGE(Agenda!$U$5:$U$3004,9),Agenda!$U$5:$U$3004,0)),""),"")</f>
        <v/>
      </c>
      <c r="H69" s="32">
        <f>IFERROR(IF(LARGE(Agenda!$U$5:$U$3004,9)&gt;0,INDEX(Agenda!$S$5:$S$3004,MATCH(LARGE(Agenda!$U$5:$U$3004,9),Agenda!$U$5:$U$3004,0)),""),"")</f>
        <v/>
      </c>
    </row>
    <row r="70">
      <c r="A70" s="26" t="n">
        <v>10</v>
      </c>
      <c r="B70" s="25">
        <f>IFERROR(IF(LARGE(Agenda!$U$5:$U$3004,10)&gt;0,INDEX(Agenda!$E$5:$E$3004,MATCH(LARGE(Agenda!$U$5:$U$3004,10),Agenda!$U$5:$U$3004,0)),""),"")</f>
        <v/>
      </c>
      <c r="C70" s="25">
        <f>IFERROR(IF(LARGE(Agenda!$U$5:$U$3004,10)&gt;0,INDEX(Agenda!$C$5:$C$3004,MATCH(LARGE(Agenda!$U$5:$U$3004,10),Agenda!$U$5:$U$3004,0)),""),"")</f>
        <v/>
      </c>
      <c r="D70" s="26">
        <f>IFERROR(IF(LARGE(Agenda!$U$5:$U$3004,10)&gt;0,INDEX(Agenda!$F$5:$F$3004,MATCH(LARGE(Agenda!$U$5:$U$3004,10),Agenda!$U$5:$U$3004,0)),""),"")</f>
        <v/>
      </c>
      <c r="E70" s="30">
        <f>IFERROR(IF(LARGE(Agenda!$U$5:$U$3004,10)&gt;0,INDEX(Agenda!$A$5:$A$3004,MATCH(LARGE(Agenda!$U$5:$U$3004,10),Agenda!$U$5:$U$3004,0)),""),"")</f>
        <v/>
      </c>
      <c r="F70" s="25">
        <f>IFERROR(IF(LARGE(Agenda!$U$5:$U$3004,10)&gt;0,INDEX(Agenda!$G$5:$G$3004,MATCH(LARGE(Agenda!$U$5:$U$3004,10),Agenda!$U$5:$U$3004,0)),""),"")</f>
        <v/>
      </c>
      <c r="G70" s="30">
        <f>IFERROR(IF(LARGE(Agenda!$U$5:$U$3004,10)&gt;0,INDEX(Agenda!$Q$5:$Q$3004,MATCH(LARGE(Agenda!$U$5:$U$3004,10),Agenda!$U$5:$U$3004,0)),""),"")</f>
        <v/>
      </c>
      <c r="H70" s="32">
        <f>IFERROR(IF(LARGE(Agenda!$U$5:$U$3004,10)&gt;0,INDEX(Agenda!$S$5:$S$3004,MATCH(LARGE(Agenda!$U$5:$U$3004,10),Agenda!$U$5:$U$3004,0)),""),"")</f>
        <v/>
      </c>
    </row>
    <row r="71">
      <c r="A71" s="26" t="n">
        <v>11</v>
      </c>
      <c r="B71" s="25">
        <f>IFERROR(IF(LARGE(Agenda!$U$5:$U$3004,11)&gt;0,INDEX(Agenda!$E$5:$E$3004,MATCH(LARGE(Agenda!$U$5:$U$3004,11),Agenda!$U$5:$U$3004,0)),""),"")</f>
        <v/>
      </c>
      <c r="C71" s="25">
        <f>IFERROR(IF(LARGE(Agenda!$U$5:$U$3004,11)&gt;0,INDEX(Agenda!$C$5:$C$3004,MATCH(LARGE(Agenda!$U$5:$U$3004,11),Agenda!$U$5:$U$3004,0)),""),"")</f>
        <v/>
      </c>
      <c r="D71" s="26">
        <f>IFERROR(IF(LARGE(Agenda!$U$5:$U$3004,11)&gt;0,INDEX(Agenda!$F$5:$F$3004,MATCH(LARGE(Agenda!$U$5:$U$3004,11),Agenda!$U$5:$U$3004,0)),""),"")</f>
        <v/>
      </c>
      <c r="E71" s="30">
        <f>IFERROR(IF(LARGE(Agenda!$U$5:$U$3004,11)&gt;0,INDEX(Agenda!$A$5:$A$3004,MATCH(LARGE(Agenda!$U$5:$U$3004,11),Agenda!$U$5:$U$3004,0)),""),"")</f>
        <v/>
      </c>
      <c r="F71" s="25">
        <f>IFERROR(IF(LARGE(Agenda!$U$5:$U$3004,11)&gt;0,INDEX(Agenda!$G$5:$G$3004,MATCH(LARGE(Agenda!$U$5:$U$3004,11),Agenda!$U$5:$U$3004,0)),""),"")</f>
        <v/>
      </c>
      <c r="G71" s="30">
        <f>IFERROR(IF(LARGE(Agenda!$U$5:$U$3004,11)&gt;0,INDEX(Agenda!$Q$5:$Q$3004,MATCH(LARGE(Agenda!$U$5:$U$3004,11),Agenda!$U$5:$U$3004,0)),""),"")</f>
        <v/>
      </c>
      <c r="H71" s="32">
        <f>IFERROR(IF(LARGE(Agenda!$U$5:$U$3004,11)&gt;0,INDEX(Agenda!$S$5:$S$3004,MATCH(LARGE(Agenda!$U$5:$U$3004,11),Agenda!$U$5:$U$3004,0)),""),"")</f>
        <v/>
      </c>
    </row>
    <row r="72">
      <c r="A72" s="26" t="n">
        <v>12</v>
      </c>
      <c r="B72" s="25">
        <f>IFERROR(IF(LARGE(Agenda!$U$5:$U$3004,12)&gt;0,INDEX(Agenda!$E$5:$E$3004,MATCH(LARGE(Agenda!$U$5:$U$3004,12),Agenda!$U$5:$U$3004,0)),""),"")</f>
        <v/>
      </c>
      <c r="C72" s="25">
        <f>IFERROR(IF(LARGE(Agenda!$U$5:$U$3004,12)&gt;0,INDEX(Agenda!$C$5:$C$3004,MATCH(LARGE(Agenda!$U$5:$U$3004,12),Agenda!$U$5:$U$3004,0)),""),"")</f>
        <v/>
      </c>
      <c r="D72" s="26">
        <f>IFERROR(IF(LARGE(Agenda!$U$5:$U$3004,12)&gt;0,INDEX(Agenda!$F$5:$F$3004,MATCH(LARGE(Agenda!$U$5:$U$3004,12),Agenda!$U$5:$U$3004,0)),""),"")</f>
        <v/>
      </c>
      <c r="E72" s="30">
        <f>IFERROR(IF(LARGE(Agenda!$U$5:$U$3004,12)&gt;0,INDEX(Agenda!$A$5:$A$3004,MATCH(LARGE(Agenda!$U$5:$U$3004,12),Agenda!$U$5:$U$3004,0)),""),"")</f>
        <v/>
      </c>
      <c r="F72" s="25">
        <f>IFERROR(IF(LARGE(Agenda!$U$5:$U$3004,12)&gt;0,INDEX(Agenda!$G$5:$G$3004,MATCH(LARGE(Agenda!$U$5:$U$3004,12),Agenda!$U$5:$U$3004,0)),""),"")</f>
        <v/>
      </c>
      <c r="G72" s="30">
        <f>IFERROR(IF(LARGE(Agenda!$U$5:$U$3004,12)&gt;0,INDEX(Agenda!$Q$5:$Q$3004,MATCH(LARGE(Agenda!$U$5:$U$3004,12),Agenda!$U$5:$U$3004,0)),""),"")</f>
        <v/>
      </c>
      <c r="H72" s="32">
        <f>IFERROR(IF(LARGE(Agenda!$U$5:$U$3004,12)&gt;0,INDEX(Agenda!$S$5:$S$3004,MATCH(LARGE(Agenda!$U$5:$U$3004,12),Agenda!$U$5:$U$3004,0)),""),"")</f>
        <v/>
      </c>
    </row>
    <row r="73">
      <c r="A73" s="26" t="n">
        <v>13</v>
      </c>
      <c r="B73" s="25">
        <f>IFERROR(IF(LARGE(Agenda!$U$5:$U$3004,13)&gt;0,INDEX(Agenda!$E$5:$E$3004,MATCH(LARGE(Agenda!$U$5:$U$3004,13),Agenda!$U$5:$U$3004,0)),""),"")</f>
        <v/>
      </c>
      <c r="C73" s="25">
        <f>IFERROR(IF(LARGE(Agenda!$U$5:$U$3004,13)&gt;0,INDEX(Agenda!$C$5:$C$3004,MATCH(LARGE(Agenda!$U$5:$U$3004,13),Agenda!$U$5:$U$3004,0)),""),"")</f>
        <v/>
      </c>
      <c r="D73" s="26">
        <f>IFERROR(IF(LARGE(Agenda!$U$5:$U$3004,13)&gt;0,INDEX(Agenda!$F$5:$F$3004,MATCH(LARGE(Agenda!$U$5:$U$3004,13),Agenda!$U$5:$U$3004,0)),""),"")</f>
        <v/>
      </c>
      <c r="E73" s="30">
        <f>IFERROR(IF(LARGE(Agenda!$U$5:$U$3004,13)&gt;0,INDEX(Agenda!$A$5:$A$3004,MATCH(LARGE(Agenda!$U$5:$U$3004,13),Agenda!$U$5:$U$3004,0)),""),"")</f>
        <v/>
      </c>
      <c r="F73" s="25">
        <f>IFERROR(IF(LARGE(Agenda!$U$5:$U$3004,13)&gt;0,INDEX(Agenda!$G$5:$G$3004,MATCH(LARGE(Agenda!$U$5:$U$3004,13),Agenda!$U$5:$U$3004,0)),""),"")</f>
        <v/>
      </c>
      <c r="G73" s="30">
        <f>IFERROR(IF(LARGE(Agenda!$U$5:$U$3004,13)&gt;0,INDEX(Agenda!$Q$5:$Q$3004,MATCH(LARGE(Agenda!$U$5:$U$3004,13),Agenda!$U$5:$U$3004,0)),""),"")</f>
        <v/>
      </c>
      <c r="H73" s="32">
        <f>IFERROR(IF(LARGE(Agenda!$U$5:$U$3004,13)&gt;0,INDEX(Agenda!$S$5:$S$3004,MATCH(LARGE(Agenda!$U$5:$U$3004,13),Agenda!$U$5:$U$3004,0)),""),"")</f>
        <v/>
      </c>
    </row>
    <row r="74">
      <c r="A74" s="26" t="n">
        <v>14</v>
      </c>
      <c r="B74" s="25">
        <f>IFERROR(IF(LARGE(Agenda!$U$5:$U$3004,14)&gt;0,INDEX(Agenda!$E$5:$E$3004,MATCH(LARGE(Agenda!$U$5:$U$3004,14),Agenda!$U$5:$U$3004,0)),""),"")</f>
        <v/>
      </c>
      <c r="C74" s="25">
        <f>IFERROR(IF(LARGE(Agenda!$U$5:$U$3004,14)&gt;0,INDEX(Agenda!$C$5:$C$3004,MATCH(LARGE(Agenda!$U$5:$U$3004,14),Agenda!$U$5:$U$3004,0)),""),"")</f>
        <v/>
      </c>
      <c r="D74" s="26">
        <f>IFERROR(IF(LARGE(Agenda!$U$5:$U$3004,14)&gt;0,INDEX(Agenda!$F$5:$F$3004,MATCH(LARGE(Agenda!$U$5:$U$3004,14),Agenda!$U$5:$U$3004,0)),""),"")</f>
        <v/>
      </c>
      <c r="E74" s="30">
        <f>IFERROR(IF(LARGE(Agenda!$U$5:$U$3004,14)&gt;0,INDEX(Agenda!$A$5:$A$3004,MATCH(LARGE(Agenda!$U$5:$U$3004,14),Agenda!$U$5:$U$3004,0)),""),"")</f>
        <v/>
      </c>
      <c r="F74" s="25">
        <f>IFERROR(IF(LARGE(Agenda!$U$5:$U$3004,14)&gt;0,INDEX(Agenda!$G$5:$G$3004,MATCH(LARGE(Agenda!$U$5:$U$3004,14),Agenda!$U$5:$U$3004,0)),""),"")</f>
        <v/>
      </c>
      <c r="G74" s="30">
        <f>IFERROR(IF(LARGE(Agenda!$U$5:$U$3004,14)&gt;0,INDEX(Agenda!$Q$5:$Q$3004,MATCH(LARGE(Agenda!$U$5:$U$3004,14),Agenda!$U$5:$U$3004,0)),""),"")</f>
        <v/>
      </c>
      <c r="H74" s="32">
        <f>IFERROR(IF(LARGE(Agenda!$U$5:$U$3004,14)&gt;0,INDEX(Agenda!$S$5:$S$3004,MATCH(LARGE(Agenda!$U$5:$U$3004,14),Agenda!$U$5:$U$3004,0)),""),"")</f>
        <v/>
      </c>
    </row>
    <row r="75">
      <c r="A75" s="26" t="n">
        <v>15</v>
      </c>
      <c r="B75" s="25">
        <f>IFERROR(IF(LARGE(Agenda!$U$5:$U$3004,15)&gt;0,INDEX(Agenda!$E$5:$E$3004,MATCH(LARGE(Agenda!$U$5:$U$3004,15),Agenda!$U$5:$U$3004,0)),""),"")</f>
        <v/>
      </c>
      <c r="C75" s="25">
        <f>IFERROR(IF(LARGE(Agenda!$U$5:$U$3004,15)&gt;0,INDEX(Agenda!$C$5:$C$3004,MATCH(LARGE(Agenda!$U$5:$U$3004,15),Agenda!$U$5:$U$3004,0)),""),"")</f>
        <v/>
      </c>
      <c r="D75" s="26">
        <f>IFERROR(IF(LARGE(Agenda!$U$5:$U$3004,15)&gt;0,INDEX(Agenda!$F$5:$F$3004,MATCH(LARGE(Agenda!$U$5:$U$3004,15),Agenda!$U$5:$U$3004,0)),""),"")</f>
        <v/>
      </c>
      <c r="E75" s="30">
        <f>IFERROR(IF(LARGE(Agenda!$U$5:$U$3004,15)&gt;0,INDEX(Agenda!$A$5:$A$3004,MATCH(LARGE(Agenda!$U$5:$U$3004,15),Agenda!$U$5:$U$3004,0)),""),"")</f>
        <v/>
      </c>
      <c r="F75" s="25">
        <f>IFERROR(IF(LARGE(Agenda!$U$5:$U$3004,15)&gt;0,INDEX(Agenda!$G$5:$G$3004,MATCH(LARGE(Agenda!$U$5:$U$3004,15),Agenda!$U$5:$U$3004,0)),""),"")</f>
        <v/>
      </c>
      <c r="G75" s="30">
        <f>IFERROR(IF(LARGE(Agenda!$U$5:$U$3004,15)&gt;0,INDEX(Agenda!$Q$5:$Q$3004,MATCH(LARGE(Agenda!$U$5:$U$3004,15),Agenda!$U$5:$U$3004,0)),""),"")</f>
        <v/>
      </c>
      <c r="H75" s="32">
        <f>IFERROR(IF(LARGE(Agenda!$U$5:$U$3004,15)&gt;0,INDEX(Agenda!$S$5:$S$3004,MATCH(LARGE(Agenda!$U$5:$U$3004,15),Agenda!$U$5:$U$3004,0)),""),"")</f>
        <v/>
      </c>
    </row>
    <row r="76">
      <c r="A76" s="26" t="n">
        <v>16</v>
      </c>
      <c r="B76" s="25">
        <f>IFERROR(IF(LARGE(Agenda!$U$5:$U$3004,16)&gt;0,INDEX(Agenda!$E$5:$E$3004,MATCH(LARGE(Agenda!$U$5:$U$3004,16),Agenda!$U$5:$U$3004,0)),""),"")</f>
        <v/>
      </c>
      <c r="C76" s="25">
        <f>IFERROR(IF(LARGE(Agenda!$U$5:$U$3004,16)&gt;0,INDEX(Agenda!$C$5:$C$3004,MATCH(LARGE(Agenda!$U$5:$U$3004,16),Agenda!$U$5:$U$3004,0)),""),"")</f>
        <v/>
      </c>
      <c r="D76" s="26">
        <f>IFERROR(IF(LARGE(Agenda!$U$5:$U$3004,16)&gt;0,INDEX(Agenda!$F$5:$F$3004,MATCH(LARGE(Agenda!$U$5:$U$3004,16),Agenda!$U$5:$U$3004,0)),""),"")</f>
        <v/>
      </c>
      <c r="E76" s="30">
        <f>IFERROR(IF(LARGE(Agenda!$U$5:$U$3004,16)&gt;0,INDEX(Agenda!$A$5:$A$3004,MATCH(LARGE(Agenda!$U$5:$U$3004,16),Agenda!$U$5:$U$3004,0)),""),"")</f>
        <v/>
      </c>
      <c r="F76" s="25">
        <f>IFERROR(IF(LARGE(Agenda!$U$5:$U$3004,16)&gt;0,INDEX(Agenda!$G$5:$G$3004,MATCH(LARGE(Agenda!$U$5:$U$3004,16),Agenda!$U$5:$U$3004,0)),""),"")</f>
        <v/>
      </c>
      <c r="G76" s="30">
        <f>IFERROR(IF(LARGE(Agenda!$U$5:$U$3004,16)&gt;0,INDEX(Agenda!$Q$5:$Q$3004,MATCH(LARGE(Agenda!$U$5:$U$3004,16),Agenda!$U$5:$U$3004,0)),""),"")</f>
        <v/>
      </c>
      <c r="H76" s="32">
        <f>IFERROR(IF(LARGE(Agenda!$U$5:$U$3004,16)&gt;0,INDEX(Agenda!$S$5:$S$3004,MATCH(LARGE(Agenda!$U$5:$U$3004,16),Agenda!$U$5:$U$3004,0)),""),"")</f>
        <v/>
      </c>
    </row>
    <row r="77">
      <c r="A77" s="26" t="n">
        <v>17</v>
      </c>
      <c r="B77" s="25">
        <f>IFERROR(IF(LARGE(Agenda!$U$5:$U$3004,17)&gt;0,INDEX(Agenda!$E$5:$E$3004,MATCH(LARGE(Agenda!$U$5:$U$3004,17),Agenda!$U$5:$U$3004,0)),""),"")</f>
        <v/>
      </c>
      <c r="C77" s="25">
        <f>IFERROR(IF(LARGE(Agenda!$U$5:$U$3004,17)&gt;0,INDEX(Agenda!$C$5:$C$3004,MATCH(LARGE(Agenda!$U$5:$U$3004,17),Agenda!$U$5:$U$3004,0)),""),"")</f>
        <v/>
      </c>
      <c r="D77" s="26">
        <f>IFERROR(IF(LARGE(Agenda!$U$5:$U$3004,17)&gt;0,INDEX(Agenda!$F$5:$F$3004,MATCH(LARGE(Agenda!$U$5:$U$3004,17),Agenda!$U$5:$U$3004,0)),""),"")</f>
        <v/>
      </c>
      <c r="E77" s="30">
        <f>IFERROR(IF(LARGE(Agenda!$U$5:$U$3004,17)&gt;0,INDEX(Agenda!$A$5:$A$3004,MATCH(LARGE(Agenda!$U$5:$U$3004,17),Agenda!$U$5:$U$3004,0)),""),"")</f>
        <v/>
      </c>
      <c r="F77" s="25">
        <f>IFERROR(IF(LARGE(Agenda!$U$5:$U$3004,17)&gt;0,INDEX(Agenda!$G$5:$G$3004,MATCH(LARGE(Agenda!$U$5:$U$3004,17),Agenda!$U$5:$U$3004,0)),""),"")</f>
        <v/>
      </c>
      <c r="G77" s="30">
        <f>IFERROR(IF(LARGE(Agenda!$U$5:$U$3004,17)&gt;0,INDEX(Agenda!$Q$5:$Q$3004,MATCH(LARGE(Agenda!$U$5:$U$3004,17),Agenda!$U$5:$U$3004,0)),""),"")</f>
        <v/>
      </c>
      <c r="H77" s="32">
        <f>IFERROR(IF(LARGE(Agenda!$U$5:$U$3004,17)&gt;0,INDEX(Agenda!$S$5:$S$3004,MATCH(LARGE(Agenda!$U$5:$U$3004,17),Agenda!$U$5:$U$3004,0)),""),"")</f>
        <v/>
      </c>
    </row>
    <row r="78">
      <c r="A78" s="26" t="n">
        <v>18</v>
      </c>
      <c r="B78" s="25">
        <f>IFERROR(IF(LARGE(Agenda!$U$5:$U$3004,18)&gt;0,INDEX(Agenda!$E$5:$E$3004,MATCH(LARGE(Agenda!$U$5:$U$3004,18),Agenda!$U$5:$U$3004,0)),""),"")</f>
        <v/>
      </c>
      <c r="C78" s="25">
        <f>IFERROR(IF(LARGE(Agenda!$U$5:$U$3004,18)&gt;0,INDEX(Agenda!$C$5:$C$3004,MATCH(LARGE(Agenda!$U$5:$U$3004,18),Agenda!$U$5:$U$3004,0)),""),"")</f>
        <v/>
      </c>
      <c r="D78" s="26">
        <f>IFERROR(IF(LARGE(Agenda!$U$5:$U$3004,18)&gt;0,INDEX(Agenda!$F$5:$F$3004,MATCH(LARGE(Agenda!$U$5:$U$3004,18),Agenda!$U$5:$U$3004,0)),""),"")</f>
        <v/>
      </c>
      <c r="E78" s="30">
        <f>IFERROR(IF(LARGE(Agenda!$U$5:$U$3004,18)&gt;0,INDEX(Agenda!$A$5:$A$3004,MATCH(LARGE(Agenda!$U$5:$U$3004,18),Agenda!$U$5:$U$3004,0)),""),"")</f>
        <v/>
      </c>
      <c r="F78" s="25">
        <f>IFERROR(IF(LARGE(Agenda!$U$5:$U$3004,18)&gt;0,INDEX(Agenda!$G$5:$G$3004,MATCH(LARGE(Agenda!$U$5:$U$3004,18),Agenda!$U$5:$U$3004,0)),""),"")</f>
        <v/>
      </c>
      <c r="G78" s="30">
        <f>IFERROR(IF(LARGE(Agenda!$U$5:$U$3004,18)&gt;0,INDEX(Agenda!$Q$5:$Q$3004,MATCH(LARGE(Agenda!$U$5:$U$3004,18),Agenda!$U$5:$U$3004,0)),""),"")</f>
        <v/>
      </c>
      <c r="H78" s="32">
        <f>IFERROR(IF(LARGE(Agenda!$U$5:$U$3004,18)&gt;0,INDEX(Agenda!$S$5:$S$3004,MATCH(LARGE(Agenda!$U$5:$U$3004,18),Agenda!$U$5:$U$3004,0)),""),"")</f>
        <v/>
      </c>
    </row>
    <row r="79">
      <c r="A79" s="26" t="n">
        <v>19</v>
      </c>
      <c r="B79" s="25">
        <f>IFERROR(IF(LARGE(Agenda!$U$5:$U$3004,19)&gt;0,INDEX(Agenda!$E$5:$E$3004,MATCH(LARGE(Agenda!$U$5:$U$3004,19),Agenda!$U$5:$U$3004,0)),""),"")</f>
        <v/>
      </c>
      <c r="C79" s="25">
        <f>IFERROR(IF(LARGE(Agenda!$U$5:$U$3004,19)&gt;0,INDEX(Agenda!$C$5:$C$3004,MATCH(LARGE(Agenda!$U$5:$U$3004,19),Agenda!$U$5:$U$3004,0)),""),"")</f>
        <v/>
      </c>
      <c r="D79" s="26">
        <f>IFERROR(IF(LARGE(Agenda!$U$5:$U$3004,19)&gt;0,INDEX(Agenda!$F$5:$F$3004,MATCH(LARGE(Agenda!$U$5:$U$3004,19),Agenda!$U$5:$U$3004,0)),""),"")</f>
        <v/>
      </c>
      <c r="E79" s="30">
        <f>IFERROR(IF(LARGE(Agenda!$U$5:$U$3004,19)&gt;0,INDEX(Agenda!$A$5:$A$3004,MATCH(LARGE(Agenda!$U$5:$U$3004,19),Agenda!$U$5:$U$3004,0)),""),"")</f>
        <v/>
      </c>
      <c r="F79" s="25">
        <f>IFERROR(IF(LARGE(Agenda!$U$5:$U$3004,19)&gt;0,INDEX(Agenda!$G$5:$G$3004,MATCH(LARGE(Agenda!$U$5:$U$3004,19),Agenda!$U$5:$U$3004,0)),""),"")</f>
        <v/>
      </c>
      <c r="G79" s="30">
        <f>IFERROR(IF(LARGE(Agenda!$U$5:$U$3004,19)&gt;0,INDEX(Agenda!$Q$5:$Q$3004,MATCH(LARGE(Agenda!$U$5:$U$3004,19),Agenda!$U$5:$U$3004,0)),""),"")</f>
        <v/>
      </c>
      <c r="H79" s="32">
        <f>IFERROR(IF(LARGE(Agenda!$U$5:$U$3004,19)&gt;0,INDEX(Agenda!$S$5:$S$3004,MATCH(LARGE(Agenda!$U$5:$U$3004,19),Agenda!$U$5:$U$3004,0)),""),"")</f>
        <v/>
      </c>
    </row>
    <row r="80">
      <c r="A80" s="26" t="n">
        <v>20</v>
      </c>
      <c r="B80" s="25">
        <f>IFERROR(IF(LARGE(Agenda!$U$5:$U$3004,20)&gt;0,INDEX(Agenda!$E$5:$E$3004,MATCH(LARGE(Agenda!$U$5:$U$3004,20),Agenda!$U$5:$U$3004,0)),""),"")</f>
        <v/>
      </c>
      <c r="C80" s="25">
        <f>IFERROR(IF(LARGE(Agenda!$U$5:$U$3004,20)&gt;0,INDEX(Agenda!$C$5:$C$3004,MATCH(LARGE(Agenda!$U$5:$U$3004,20),Agenda!$U$5:$U$3004,0)),""),"")</f>
        <v/>
      </c>
      <c r="D80" s="26">
        <f>IFERROR(IF(LARGE(Agenda!$U$5:$U$3004,20)&gt;0,INDEX(Agenda!$F$5:$F$3004,MATCH(LARGE(Agenda!$U$5:$U$3004,20),Agenda!$U$5:$U$3004,0)),""),"")</f>
        <v/>
      </c>
      <c r="E80" s="30">
        <f>IFERROR(IF(LARGE(Agenda!$U$5:$U$3004,20)&gt;0,INDEX(Agenda!$A$5:$A$3004,MATCH(LARGE(Agenda!$U$5:$U$3004,20),Agenda!$U$5:$U$3004,0)),""),"")</f>
        <v/>
      </c>
      <c r="F80" s="25">
        <f>IFERROR(IF(LARGE(Agenda!$U$5:$U$3004,20)&gt;0,INDEX(Agenda!$G$5:$G$3004,MATCH(LARGE(Agenda!$U$5:$U$3004,20),Agenda!$U$5:$U$3004,0)),""),"")</f>
        <v/>
      </c>
      <c r="G80" s="30">
        <f>IFERROR(IF(LARGE(Agenda!$U$5:$U$3004,20)&gt;0,INDEX(Agenda!$Q$5:$Q$3004,MATCH(LARGE(Agenda!$U$5:$U$3004,20),Agenda!$U$5:$U$3004,0)),""),"")</f>
        <v/>
      </c>
      <c r="H80" s="32">
        <f>IFERROR(IF(LARGE(Agenda!$U$5:$U$3004,20)&gt;0,INDEX(Agenda!$S$5:$S$3004,MATCH(LARGE(Agenda!$U$5:$U$3004,20),Agenda!$U$5:$U$3004,0)),""),"")</f>
        <v/>
      </c>
    </row>
    <row r="81">
      <c r="A81" s="26" t="n">
        <v>21</v>
      </c>
      <c r="B81" s="25">
        <f>IFERROR(IF(LARGE(Agenda!$U$5:$U$3004,21)&gt;0,INDEX(Agenda!$E$5:$E$3004,MATCH(LARGE(Agenda!$U$5:$U$3004,21),Agenda!$U$5:$U$3004,0)),""),"")</f>
        <v/>
      </c>
      <c r="C81" s="25">
        <f>IFERROR(IF(LARGE(Agenda!$U$5:$U$3004,21)&gt;0,INDEX(Agenda!$C$5:$C$3004,MATCH(LARGE(Agenda!$U$5:$U$3004,21),Agenda!$U$5:$U$3004,0)),""),"")</f>
        <v/>
      </c>
      <c r="D81" s="26">
        <f>IFERROR(IF(LARGE(Agenda!$U$5:$U$3004,21)&gt;0,INDEX(Agenda!$F$5:$F$3004,MATCH(LARGE(Agenda!$U$5:$U$3004,21),Agenda!$U$5:$U$3004,0)),""),"")</f>
        <v/>
      </c>
      <c r="E81" s="30">
        <f>IFERROR(IF(LARGE(Agenda!$U$5:$U$3004,21)&gt;0,INDEX(Agenda!$A$5:$A$3004,MATCH(LARGE(Agenda!$U$5:$U$3004,21),Agenda!$U$5:$U$3004,0)),""),"")</f>
        <v/>
      </c>
      <c r="F81" s="25">
        <f>IFERROR(IF(LARGE(Agenda!$U$5:$U$3004,21)&gt;0,INDEX(Agenda!$G$5:$G$3004,MATCH(LARGE(Agenda!$U$5:$U$3004,21),Agenda!$U$5:$U$3004,0)),""),"")</f>
        <v/>
      </c>
      <c r="G81" s="30">
        <f>IFERROR(IF(LARGE(Agenda!$U$5:$U$3004,21)&gt;0,INDEX(Agenda!$Q$5:$Q$3004,MATCH(LARGE(Agenda!$U$5:$U$3004,21),Agenda!$U$5:$U$3004,0)),""),"")</f>
        <v/>
      </c>
      <c r="H81" s="32">
        <f>IFERROR(IF(LARGE(Agenda!$U$5:$U$3004,21)&gt;0,INDEX(Agenda!$S$5:$S$3004,MATCH(LARGE(Agenda!$U$5:$U$3004,21),Agenda!$U$5:$U$3004,0)),""),"")</f>
        <v/>
      </c>
    </row>
    <row r="82">
      <c r="A82" s="26" t="n">
        <v>22</v>
      </c>
      <c r="B82" s="25">
        <f>IFERROR(IF(LARGE(Agenda!$U$5:$U$3004,22)&gt;0,INDEX(Agenda!$E$5:$E$3004,MATCH(LARGE(Agenda!$U$5:$U$3004,22),Agenda!$U$5:$U$3004,0)),""),"")</f>
        <v/>
      </c>
      <c r="C82" s="25">
        <f>IFERROR(IF(LARGE(Agenda!$U$5:$U$3004,22)&gt;0,INDEX(Agenda!$C$5:$C$3004,MATCH(LARGE(Agenda!$U$5:$U$3004,22),Agenda!$U$5:$U$3004,0)),""),"")</f>
        <v/>
      </c>
      <c r="D82" s="26">
        <f>IFERROR(IF(LARGE(Agenda!$U$5:$U$3004,22)&gt;0,INDEX(Agenda!$F$5:$F$3004,MATCH(LARGE(Agenda!$U$5:$U$3004,22),Agenda!$U$5:$U$3004,0)),""),"")</f>
        <v/>
      </c>
      <c r="E82" s="30">
        <f>IFERROR(IF(LARGE(Agenda!$U$5:$U$3004,22)&gt;0,INDEX(Agenda!$A$5:$A$3004,MATCH(LARGE(Agenda!$U$5:$U$3004,22),Agenda!$U$5:$U$3004,0)),""),"")</f>
        <v/>
      </c>
      <c r="F82" s="25">
        <f>IFERROR(IF(LARGE(Agenda!$U$5:$U$3004,22)&gt;0,INDEX(Agenda!$G$5:$G$3004,MATCH(LARGE(Agenda!$U$5:$U$3004,22),Agenda!$U$5:$U$3004,0)),""),"")</f>
        <v/>
      </c>
      <c r="G82" s="30">
        <f>IFERROR(IF(LARGE(Agenda!$U$5:$U$3004,22)&gt;0,INDEX(Agenda!$Q$5:$Q$3004,MATCH(LARGE(Agenda!$U$5:$U$3004,22),Agenda!$U$5:$U$3004,0)),""),"")</f>
        <v/>
      </c>
      <c r="H82" s="32">
        <f>IFERROR(IF(LARGE(Agenda!$U$5:$U$3004,22)&gt;0,INDEX(Agenda!$S$5:$S$3004,MATCH(LARGE(Agenda!$U$5:$U$3004,22),Agenda!$U$5:$U$3004,0)),""),"")</f>
        <v/>
      </c>
    </row>
    <row r="83">
      <c r="A83" s="26" t="n">
        <v>23</v>
      </c>
      <c r="B83" s="25">
        <f>IFERROR(IF(LARGE(Agenda!$U$5:$U$3004,23)&gt;0,INDEX(Agenda!$E$5:$E$3004,MATCH(LARGE(Agenda!$U$5:$U$3004,23),Agenda!$U$5:$U$3004,0)),""),"")</f>
        <v/>
      </c>
      <c r="C83" s="25">
        <f>IFERROR(IF(LARGE(Agenda!$U$5:$U$3004,23)&gt;0,INDEX(Agenda!$C$5:$C$3004,MATCH(LARGE(Agenda!$U$5:$U$3004,23),Agenda!$U$5:$U$3004,0)),""),"")</f>
        <v/>
      </c>
      <c r="D83" s="26">
        <f>IFERROR(IF(LARGE(Agenda!$U$5:$U$3004,23)&gt;0,INDEX(Agenda!$F$5:$F$3004,MATCH(LARGE(Agenda!$U$5:$U$3004,23),Agenda!$U$5:$U$3004,0)),""),"")</f>
        <v/>
      </c>
      <c r="E83" s="30">
        <f>IFERROR(IF(LARGE(Agenda!$U$5:$U$3004,23)&gt;0,INDEX(Agenda!$A$5:$A$3004,MATCH(LARGE(Agenda!$U$5:$U$3004,23),Agenda!$U$5:$U$3004,0)),""),"")</f>
        <v/>
      </c>
      <c r="F83" s="25">
        <f>IFERROR(IF(LARGE(Agenda!$U$5:$U$3004,23)&gt;0,INDEX(Agenda!$G$5:$G$3004,MATCH(LARGE(Agenda!$U$5:$U$3004,23),Agenda!$U$5:$U$3004,0)),""),"")</f>
        <v/>
      </c>
      <c r="G83" s="30">
        <f>IFERROR(IF(LARGE(Agenda!$U$5:$U$3004,23)&gt;0,INDEX(Agenda!$Q$5:$Q$3004,MATCH(LARGE(Agenda!$U$5:$U$3004,23),Agenda!$U$5:$U$3004,0)),""),"")</f>
        <v/>
      </c>
      <c r="H83" s="32">
        <f>IFERROR(IF(LARGE(Agenda!$U$5:$U$3004,23)&gt;0,INDEX(Agenda!$S$5:$S$3004,MATCH(LARGE(Agenda!$U$5:$U$3004,23),Agenda!$U$5:$U$3004,0)),""),"")</f>
        <v/>
      </c>
    </row>
    <row r="84">
      <c r="A84" s="26" t="n">
        <v>24</v>
      </c>
      <c r="B84" s="25">
        <f>IFERROR(IF(LARGE(Agenda!$U$5:$U$3004,24)&gt;0,INDEX(Agenda!$E$5:$E$3004,MATCH(LARGE(Agenda!$U$5:$U$3004,24),Agenda!$U$5:$U$3004,0)),""),"")</f>
        <v/>
      </c>
      <c r="C84" s="25">
        <f>IFERROR(IF(LARGE(Agenda!$U$5:$U$3004,24)&gt;0,INDEX(Agenda!$C$5:$C$3004,MATCH(LARGE(Agenda!$U$5:$U$3004,24),Agenda!$U$5:$U$3004,0)),""),"")</f>
        <v/>
      </c>
      <c r="D84" s="26">
        <f>IFERROR(IF(LARGE(Agenda!$U$5:$U$3004,24)&gt;0,INDEX(Agenda!$F$5:$F$3004,MATCH(LARGE(Agenda!$U$5:$U$3004,24),Agenda!$U$5:$U$3004,0)),""),"")</f>
        <v/>
      </c>
      <c r="E84" s="30">
        <f>IFERROR(IF(LARGE(Agenda!$U$5:$U$3004,24)&gt;0,INDEX(Agenda!$A$5:$A$3004,MATCH(LARGE(Agenda!$U$5:$U$3004,24),Agenda!$U$5:$U$3004,0)),""),"")</f>
        <v/>
      </c>
      <c r="F84" s="25">
        <f>IFERROR(IF(LARGE(Agenda!$U$5:$U$3004,24)&gt;0,INDEX(Agenda!$G$5:$G$3004,MATCH(LARGE(Agenda!$U$5:$U$3004,24),Agenda!$U$5:$U$3004,0)),""),"")</f>
        <v/>
      </c>
      <c r="G84" s="30">
        <f>IFERROR(IF(LARGE(Agenda!$U$5:$U$3004,24)&gt;0,INDEX(Agenda!$Q$5:$Q$3004,MATCH(LARGE(Agenda!$U$5:$U$3004,24),Agenda!$U$5:$U$3004,0)),""),"")</f>
        <v/>
      </c>
      <c r="H84" s="32">
        <f>IFERROR(IF(LARGE(Agenda!$U$5:$U$3004,24)&gt;0,INDEX(Agenda!$S$5:$S$3004,MATCH(LARGE(Agenda!$U$5:$U$3004,24),Agenda!$U$5:$U$3004,0)),""),"")</f>
        <v/>
      </c>
    </row>
    <row r="85">
      <c r="A85" s="26" t="n">
        <v>25</v>
      </c>
      <c r="B85" s="25">
        <f>IFERROR(IF(LARGE(Agenda!$U$5:$U$3004,25)&gt;0,INDEX(Agenda!$E$5:$E$3004,MATCH(LARGE(Agenda!$U$5:$U$3004,25),Agenda!$U$5:$U$3004,0)),""),"")</f>
        <v/>
      </c>
      <c r="C85" s="25">
        <f>IFERROR(IF(LARGE(Agenda!$U$5:$U$3004,25)&gt;0,INDEX(Agenda!$C$5:$C$3004,MATCH(LARGE(Agenda!$U$5:$U$3004,25),Agenda!$U$5:$U$3004,0)),""),"")</f>
        <v/>
      </c>
      <c r="D85" s="26">
        <f>IFERROR(IF(LARGE(Agenda!$U$5:$U$3004,25)&gt;0,INDEX(Agenda!$F$5:$F$3004,MATCH(LARGE(Agenda!$U$5:$U$3004,25),Agenda!$U$5:$U$3004,0)),""),"")</f>
        <v/>
      </c>
      <c r="E85" s="30">
        <f>IFERROR(IF(LARGE(Agenda!$U$5:$U$3004,25)&gt;0,INDEX(Agenda!$A$5:$A$3004,MATCH(LARGE(Agenda!$U$5:$U$3004,25),Agenda!$U$5:$U$3004,0)),""),"")</f>
        <v/>
      </c>
      <c r="F85" s="25">
        <f>IFERROR(IF(LARGE(Agenda!$U$5:$U$3004,25)&gt;0,INDEX(Agenda!$G$5:$G$3004,MATCH(LARGE(Agenda!$U$5:$U$3004,25),Agenda!$U$5:$U$3004,0)),""),"")</f>
        <v/>
      </c>
      <c r="G85" s="30">
        <f>IFERROR(IF(LARGE(Agenda!$U$5:$U$3004,25)&gt;0,INDEX(Agenda!$Q$5:$Q$3004,MATCH(LARGE(Agenda!$U$5:$U$3004,25),Agenda!$U$5:$U$3004,0)),""),"")</f>
        <v/>
      </c>
      <c r="H85" s="32">
        <f>IFERROR(IF(LARGE(Agenda!$U$5:$U$3004,25)&gt;0,INDEX(Agenda!$S$5:$S$3004,MATCH(LARGE(Agenda!$U$5:$U$3004,25),Agenda!$U$5:$U$3004,0)),""),"")</f>
        <v/>
      </c>
    </row>
    <row r="86"/>
    <row r="87"/>
    <row r="88">
      <c r="A88" s="21" t="inlineStr">
        <is>
          <t>Faltaram mais de uma vez no mês</t>
        </is>
      </c>
    </row>
    <row r="89" ht="26" customHeight="1">
      <c r="A89" s="22" t="inlineStr">
        <is>
          <t>#</t>
        </is>
      </c>
      <c r="B89" s="22" t="inlineStr">
        <is>
          <t>Paciente</t>
        </is>
      </c>
      <c r="C89" s="22" t="inlineStr">
        <is>
          <t>Faltas no mês</t>
        </is>
      </c>
      <c r="D89" s="22" t="inlineStr">
        <is>
          <t>Pagador</t>
        </is>
      </c>
      <c r="E89" s="22" t="inlineStr">
        <is>
          <t>Profissional</t>
        </is>
      </c>
    </row>
    <row r="90">
      <c r="A90" s="26" t="n">
        <v>1</v>
      </c>
      <c r="B90" s="25">
        <f>IFERROR(IF(LARGE(Agenda!$V$5:$V$3004,1)&gt;=2000,INDEX(Agenda!$E$5:$E$3004,MATCH(LARGE(Agenda!$V$5:$V$3004,1),Agenda!$V$5:$V$3004,0)),""),"")</f>
        <v/>
      </c>
      <c r="C90" s="26">
        <f>IFERROR(IF(LARGE(Agenda!$V$5:$V$3004,1)&gt;=2000,INT(LARGE(Agenda!$V$5:$V$3004,1)/1000),""),"")</f>
        <v/>
      </c>
      <c r="D90" s="26">
        <f>IFERROR(IF(LARGE(Agenda!$V$5:$V$3004,1)&gt;=2000,INDEX(Agenda!$F$5:$F$3004,MATCH(LARGE(Agenda!$V$5:$V$3004,1),Agenda!$V$5:$V$3004,0)),""),"")</f>
        <v/>
      </c>
      <c r="E90" s="25">
        <f>IFERROR(IF(LARGE(Agenda!$V$5:$V$3004,1)&gt;=2000,INDEX(Agenda!$C$5:$C$3004,MATCH(LARGE(Agenda!$V$5:$V$3004,1),Agenda!$V$5:$V$3004,0)),""),"")</f>
        <v/>
      </c>
    </row>
    <row r="91">
      <c r="A91" s="26" t="n">
        <v>2</v>
      </c>
      <c r="B91" s="25">
        <f>IFERROR(IF(LARGE(Agenda!$V$5:$V$3004,2)&gt;=2000,INDEX(Agenda!$E$5:$E$3004,MATCH(LARGE(Agenda!$V$5:$V$3004,2),Agenda!$V$5:$V$3004,0)),""),"")</f>
        <v/>
      </c>
      <c r="C91" s="26">
        <f>IFERROR(IF(LARGE(Agenda!$V$5:$V$3004,2)&gt;=2000,INT(LARGE(Agenda!$V$5:$V$3004,2)/1000),""),"")</f>
        <v/>
      </c>
      <c r="D91" s="26">
        <f>IFERROR(IF(LARGE(Agenda!$V$5:$V$3004,2)&gt;=2000,INDEX(Agenda!$F$5:$F$3004,MATCH(LARGE(Agenda!$V$5:$V$3004,2),Agenda!$V$5:$V$3004,0)),""),"")</f>
        <v/>
      </c>
      <c r="E91" s="25">
        <f>IFERROR(IF(LARGE(Agenda!$V$5:$V$3004,2)&gt;=2000,INDEX(Agenda!$C$5:$C$3004,MATCH(LARGE(Agenda!$V$5:$V$3004,2),Agenda!$V$5:$V$3004,0)),""),"")</f>
        <v/>
      </c>
    </row>
    <row r="92">
      <c r="A92" s="26" t="n">
        <v>3</v>
      </c>
      <c r="B92" s="25">
        <f>IFERROR(IF(LARGE(Agenda!$V$5:$V$3004,3)&gt;=2000,INDEX(Agenda!$E$5:$E$3004,MATCH(LARGE(Agenda!$V$5:$V$3004,3),Agenda!$V$5:$V$3004,0)),""),"")</f>
        <v/>
      </c>
      <c r="C92" s="26">
        <f>IFERROR(IF(LARGE(Agenda!$V$5:$V$3004,3)&gt;=2000,INT(LARGE(Agenda!$V$5:$V$3004,3)/1000),""),"")</f>
        <v/>
      </c>
      <c r="D92" s="26">
        <f>IFERROR(IF(LARGE(Agenda!$V$5:$V$3004,3)&gt;=2000,INDEX(Agenda!$F$5:$F$3004,MATCH(LARGE(Agenda!$V$5:$V$3004,3),Agenda!$V$5:$V$3004,0)),""),"")</f>
        <v/>
      </c>
      <c r="E92" s="25">
        <f>IFERROR(IF(LARGE(Agenda!$V$5:$V$3004,3)&gt;=2000,INDEX(Agenda!$C$5:$C$3004,MATCH(LARGE(Agenda!$V$5:$V$3004,3),Agenda!$V$5:$V$3004,0)),""),"")</f>
        <v/>
      </c>
    </row>
    <row r="93">
      <c r="A93" s="26" t="n">
        <v>4</v>
      </c>
      <c r="B93" s="25">
        <f>IFERROR(IF(LARGE(Agenda!$V$5:$V$3004,4)&gt;=2000,INDEX(Agenda!$E$5:$E$3004,MATCH(LARGE(Agenda!$V$5:$V$3004,4),Agenda!$V$5:$V$3004,0)),""),"")</f>
        <v/>
      </c>
      <c r="C93" s="26">
        <f>IFERROR(IF(LARGE(Agenda!$V$5:$V$3004,4)&gt;=2000,INT(LARGE(Agenda!$V$5:$V$3004,4)/1000),""),"")</f>
        <v/>
      </c>
      <c r="D93" s="26">
        <f>IFERROR(IF(LARGE(Agenda!$V$5:$V$3004,4)&gt;=2000,INDEX(Agenda!$F$5:$F$3004,MATCH(LARGE(Agenda!$V$5:$V$3004,4),Agenda!$V$5:$V$3004,0)),""),"")</f>
        <v/>
      </c>
      <c r="E93" s="25">
        <f>IFERROR(IF(LARGE(Agenda!$V$5:$V$3004,4)&gt;=2000,INDEX(Agenda!$C$5:$C$3004,MATCH(LARGE(Agenda!$V$5:$V$3004,4),Agenda!$V$5:$V$3004,0)),""),"")</f>
        <v/>
      </c>
    </row>
    <row r="94">
      <c r="A94" s="26" t="n">
        <v>5</v>
      </c>
      <c r="B94" s="25">
        <f>IFERROR(IF(LARGE(Agenda!$V$5:$V$3004,5)&gt;=2000,INDEX(Agenda!$E$5:$E$3004,MATCH(LARGE(Agenda!$V$5:$V$3004,5),Agenda!$V$5:$V$3004,0)),""),"")</f>
        <v/>
      </c>
      <c r="C94" s="26">
        <f>IFERROR(IF(LARGE(Agenda!$V$5:$V$3004,5)&gt;=2000,INT(LARGE(Agenda!$V$5:$V$3004,5)/1000),""),"")</f>
        <v/>
      </c>
      <c r="D94" s="26">
        <f>IFERROR(IF(LARGE(Agenda!$V$5:$V$3004,5)&gt;=2000,INDEX(Agenda!$F$5:$F$3004,MATCH(LARGE(Agenda!$V$5:$V$3004,5),Agenda!$V$5:$V$3004,0)),""),"")</f>
        <v/>
      </c>
      <c r="E94" s="25">
        <f>IFERROR(IF(LARGE(Agenda!$V$5:$V$3004,5)&gt;=2000,INDEX(Agenda!$C$5:$C$3004,MATCH(LARGE(Agenda!$V$5:$V$3004,5),Agenda!$V$5:$V$3004,0)),""),"")</f>
        <v/>
      </c>
    </row>
    <row r="95">
      <c r="A95" s="26" t="n">
        <v>6</v>
      </c>
      <c r="B95" s="25">
        <f>IFERROR(IF(LARGE(Agenda!$V$5:$V$3004,6)&gt;=2000,INDEX(Agenda!$E$5:$E$3004,MATCH(LARGE(Agenda!$V$5:$V$3004,6),Agenda!$V$5:$V$3004,0)),""),"")</f>
        <v/>
      </c>
      <c r="C95" s="26">
        <f>IFERROR(IF(LARGE(Agenda!$V$5:$V$3004,6)&gt;=2000,INT(LARGE(Agenda!$V$5:$V$3004,6)/1000),""),"")</f>
        <v/>
      </c>
      <c r="D95" s="26">
        <f>IFERROR(IF(LARGE(Agenda!$V$5:$V$3004,6)&gt;=2000,INDEX(Agenda!$F$5:$F$3004,MATCH(LARGE(Agenda!$V$5:$V$3004,6),Agenda!$V$5:$V$3004,0)),""),"")</f>
        <v/>
      </c>
      <c r="E95" s="25">
        <f>IFERROR(IF(LARGE(Agenda!$V$5:$V$3004,6)&gt;=2000,INDEX(Agenda!$C$5:$C$3004,MATCH(LARGE(Agenda!$V$5:$V$3004,6),Agenda!$V$5:$V$3004,0)),""),"")</f>
        <v/>
      </c>
    </row>
    <row r="96">
      <c r="A96" s="26" t="n">
        <v>7</v>
      </c>
      <c r="B96" s="25">
        <f>IFERROR(IF(LARGE(Agenda!$V$5:$V$3004,7)&gt;=2000,INDEX(Agenda!$E$5:$E$3004,MATCH(LARGE(Agenda!$V$5:$V$3004,7),Agenda!$V$5:$V$3004,0)),""),"")</f>
        <v/>
      </c>
      <c r="C96" s="26">
        <f>IFERROR(IF(LARGE(Agenda!$V$5:$V$3004,7)&gt;=2000,INT(LARGE(Agenda!$V$5:$V$3004,7)/1000),""),"")</f>
        <v/>
      </c>
      <c r="D96" s="26">
        <f>IFERROR(IF(LARGE(Agenda!$V$5:$V$3004,7)&gt;=2000,INDEX(Agenda!$F$5:$F$3004,MATCH(LARGE(Agenda!$V$5:$V$3004,7),Agenda!$V$5:$V$3004,0)),""),"")</f>
        <v/>
      </c>
      <c r="E96" s="25">
        <f>IFERROR(IF(LARGE(Agenda!$V$5:$V$3004,7)&gt;=2000,INDEX(Agenda!$C$5:$C$3004,MATCH(LARGE(Agenda!$V$5:$V$3004,7),Agenda!$V$5:$V$3004,0)),""),"")</f>
        <v/>
      </c>
    </row>
    <row r="97">
      <c r="A97" s="26" t="n">
        <v>8</v>
      </c>
      <c r="B97" s="25">
        <f>IFERROR(IF(LARGE(Agenda!$V$5:$V$3004,8)&gt;=2000,INDEX(Agenda!$E$5:$E$3004,MATCH(LARGE(Agenda!$V$5:$V$3004,8),Agenda!$V$5:$V$3004,0)),""),"")</f>
        <v/>
      </c>
      <c r="C97" s="26">
        <f>IFERROR(IF(LARGE(Agenda!$V$5:$V$3004,8)&gt;=2000,INT(LARGE(Agenda!$V$5:$V$3004,8)/1000),""),"")</f>
        <v/>
      </c>
      <c r="D97" s="26">
        <f>IFERROR(IF(LARGE(Agenda!$V$5:$V$3004,8)&gt;=2000,INDEX(Agenda!$F$5:$F$3004,MATCH(LARGE(Agenda!$V$5:$V$3004,8),Agenda!$V$5:$V$3004,0)),""),"")</f>
        <v/>
      </c>
      <c r="E97" s="25">
        <f>IFERROR(IF(LARGE(Agenda!$V$5:$V$3004,8)&gt;=2000,INDEX(Agenda!$C$5:$C$3004,MATCH(LARGE(Agenda!$V$5:$V$3004,8),Agenda!$V$5:$V$3004,0)),""),"")</f>
        <v/>
      </c>
    </row>
    <row r="98">
      <c r="A98" s="26" t="n">
        <v>9</v>
      </c>
      <c r="B98" s="25">
        <f>IFERROR(IF(LARGE(Agenda!$V$5:$V$3004,9)&gt;=2000,INDEX(Agenda!$E$5:$E$3004,MATCH(LARGE(Agenda!$V$5:$V$3004,9),Agenda!$V$5:$V$3004,0)),""),"")</f>
        <v/>
      </c>
      <c r="C98" s="26">
        <f>IFERROR(IF(LARGE(Agenda!$V$5:$V$3004,9)&gt;=2000,INT(LARGE(Agenda!$V$5:$V$3004,9)/1000),""),"")</f>
        <v/>
      </c>
      <c r="D98" s="26">
        <f>IFERROR(IF(LARGE(Agenda!$V$5:$V$3004,9)&gt;=2000,INDEX(Agenda!$F$5:$F$3004,MATCH(LARGE(Agenda!$V$5:$V$3004,9),Agenda!$V$5:$V$3004,0)),""),"")</f>
        <v/>
      </c>
      <c r="E98" s="25">
        <f>IFERROR(IF(LARGE(Agenda!$V$5:$V$3004,9)&gt;=2000,INDEX(Agenda!$C$5:$C$3004,MATCH(LARGE(Agenda!$V$5:$V$3004,9),Agenda!$V$5:$V$3004,0)),""),"")</f>
        <v/>
      </c>
    </row>
    <row r="99">
      <c r="A99" s="26" t="n">
        <v>10</v>
      </c>
      <c r="B99" s="25">
        <f>IFERROR(IF(LARGE(Agenda!$V$5:$V$3004,10)&gt;=2000,INDEX(Agenda!$E$5:$E$3004,MATCH(LARGE(Agenda!$V$5:$V$3004,10),Agenda!$V$5:$V$3004,0)),""),"")</f>
        <v/>
      </c>
      <c r="C99" s="26">
        <f>IFERROR(IF(LARGE(Agenda!$V$5:$V$3004,10)&gt;=2000,INT(LARGE(Agenda!$V$5:$V$3004,10)/1000),""),"")</f>
        <v/>
      </c>
      <c r="D99" s="26">
        <f>IFERROR(IF(LARGE(Agenda!$V$5:$V$3004,10)&gt;=2000,INDEX(Agenda!$F$5:$F$3004,MATCH(LARGE(Agenda!$V$5:$V$3004,10),Agenda!$V$5:$V$3004,0)),""),"")</f>
        <v/>
      </c>
      <c r="E99" s="25">
        <f>IFERROR(IF(LARGE(Agenda!$V$5:$V$3004,10)&gt;=2000,INDEX(Agenda!$C$5:$C$3004,MATCH(LARGE(Agenda!$V$5:$V$3004,10),Agenda!$V$5:$V$3004,0)),""),"")</f>
        <v/>
      </c>
    </row>
    <row r="100">
      <c r="A100" s="31" t="inlineStr">
        <is>
          <t>Duas faltas no mesmo mês pedem uma conversa antes do próximo agendamento (confirmação obrigatória, horário de encaixe). Sem cobrança de multa aqui: é decisão da clínica e tem regras próprias.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1">
    <mergeCell ref="G38:I38"/>
    <mergeCell ref="H49:J49"/>
    <mergeCell ref="H51:J51"/>
    <mergeCell ref="A7:L7"/>
    <mergeCell ref="G10:I10"/>
    <mergeCell ref="G28:I28"/>
    <mergeCell ref="G13:I13"/>
    <mergeCell ref="G19:I19"/>
    <mergeCell ref="G37:I37"/>
    <mergeCell ref="H52:J52"/>
    <mergeCell ref="C5:D5"/>
    <mergeCell ref="E5:F5"/>
    <mergeCell ref="K5:L5"/>
    <mergeCell ref="G34:I34"/>
    <mergeCell ref="A43:J43"/>
    <mergeCell ref="G30:I30"/>
    <mergeCell ref="G15:I15"/>
    <mergeCell ref="C4:D4"/>
    <mergeCell ref="A2:L2"/>
    <mergeCell ref="E4:F4"/>
    <mergeCell ref="G14:I14"/>
    <mergeCell ref="A58:J58"/>
    <mergeCell ref="A9:J9"/>
    <mergeCell ref="H47:J47"/>
    <mergeCell ref="G35:I35"/>
    <mergeCell ref="G20:I20"/>
    <mergeCell ref="G26:I26"/>
    <mergeCell ref="A24:J24"/>
    <mergeCell ref="G29:I29"/>
    <mergeCell ref="H48:J48"/>
    <mergeCell ref="G25:I25"/>
    <mergeCell ref="A100:L100"/>
    <mergeCell ref="G16:I16"/>
    <mergeCell ref="A45:J45"/>
    <mergeCell ref="G41:I41"/>
    <mergeCell ref="G22:I22"/>
    <mergeCell ref="A88:J88"/>
    <mergeCell ref="G31:I31"/>
    <mergeCell ref="A5:B5"/>
    <mergeCell ref="G5:H5"/>
    <mergeCell ref="G40:I40"/>
    <mergeCell ref="I5:J5"/>
    <mergeCell ref="G12:I12"/>
    <mergeCell ref="G21:I21"/>
    <mergeCell ref="H53:J53"/>
    <mergeCell ref="A59:L59"/>
    <mergeCell ref="G11:I11"/>
    <mergeCell ref="A4:B4"/>
    <mergeCell ref="G4:H4"/>
    <mergeCell ref="I4:J4"/>
    <mergeCell ref="G36:I36"/>
    <mergeCell ref="G42:I42"/>
    <mergeCell ref="H54:J54"/>
    <mergeCell ref="G27:I27"/>
    <mergeCell ref="H50:J50"/>
    <mergeCell ref="A18:J18"/>
    <mergeCell ref="A1:L1"/>
    <mergeCell ref="G39:I39"/>
    <mergeCell ref="A55:J55"/>
    <mergeCell ref="K4:L4"/>
    <mergeCell ref="A33:J33"/>
  </mergeCells>
  <conditionalFormatting sqref="D11:D16">
    <cfRule type="expression" priority="1" dxfId="0">
      <formula>AND(ISNUMBER(D11),D11&gt;0.1)</formula>
    </cfRule>
  </conditionalFormatting>
  <conditionalFormatting sqref="D20:D22">
    <cfRule type="expression" priority="2" dxfId="0">
      <formula>AND(ISNUMBER(D20),D20&gt;0.1)</formula>
    </cfRule>
  </conditionalFormatting>
  <conditionalFormatting sqref="D26:D31">
    <cfRule type="expression" priority="3" dxfId="0">
      <formula>AND(ISNUMBER(D26),D26&gt;0.1)</formula>
    </cfRule>
  </conditionalFormatting>
  <conditionalFormatting sqref="D35:D42">
    <cfRule type="expression" priority="4" dxfId="0">
      <formula>AND(ISNUMBER(D35),D35&gt;0.1)</formula>
    </cfRule>
  </conditionalFormatting>
  <conditionalFormatting sqref="A47:H54">
    <cfRule type="expression" priority="5" dxfId="1">
      <formula>$B47&gt;Config!$B$8-7</formula>
    </cfRule>
  </conditionalFormatting>
  <conditionalFormatting sqref="A61:H85">
    <cfRule type="expression" priority="6" dxfId="2">
      <formula>AND(ISNUMBER($H61),$H61&gt;=30)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" customWidth="1" min="3" max="3"/>
    <col width="26" customWidth="1" min="4" max="4"/>
    <col width="3" customWidth="1" min="5" max="5"/>
    <col width="16" customWidth="1" min="6" max="6"/>
    <col width="3" customWidth="1" min="7" max="7"/>
    <col width="22" customWidth="1" min="8" max="8"/>
    <col width="14" customWidth="1" min="9" max="9"/>
    <col width="3" customWidth="1" min="10" max="10"/>
    <col width="3" customWidth="1" min="11" max="11"/>
    <col width="12" customWidth="1" min="12" max="12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Listas iguais às da planilha 01; o retorno esperado por procedimento monta a lista de retorno.</t>
        </is>
      </c>
    </row>
    <row r="4">
      <c r="A4" s="33" t="inlineStr">
        <is>
          <t>Clínica</t>
        </is>
      </c>
      <c r="B4" s="34" t="inlineStr">
        <is>
          <t>Clínica Vida Plena (exemplo fictício)</t>
        </is>
      </c>
      <c r="D4" s="33" t="inlineStr">
        <is>
          <t>Profissionais (até 8)</t>
        </is>
      </c>
      <c r="F4" s="33" t="inlineStr">
        <is>
          <t>Pagadores (até 6)</t>
        </is>
      </c>
      <c r="H4" s="33" t="inlineStr">
        <is>
          <t>Procedimentos (até 12)</t>
        </is>
      </c>
      <c r="I4" s="33" t="inlineStr">
        <is>
          <t>Retorno em (dias)</t>
        </is>
      </c>
      <c r="L4" s="33" t="inlineStr">
        <is>
          <t>Meses</t>
        </is>
      </c>
    </row>
    <row r="5">
      <c r="A5" s="33" t="inlineStr">
        <is>
          <t>Ano do painel</t>
        </is>
      </c>
      <c r="B5" s="35" t="n">
        <v>2026</v>
      </c>
      <c r="D5" s="34" t="inlineStr">
        <is>
          <t>Dra. Carolina Mendes</t>
        </is>
      </c>
      <c r="F5" s="34" t="inlineStr">
        <is>
          <t>Particular</t>
        </is>
      </c>
      <c r="H5" s="34" t="inlineStr">
        <is>
          <t>Consulta</t>
        </is>
      </c>
      <c r="I5" s="36" t="n">
        <v>30</v>
      </c>
      <c r="L5" s="37" t="inlineStr">
        <is>
          <t>Janeiro</t>
        </is>
      </c>
    </row>
    <row r="6">
      <c r="A6" s="33" t="inlineStr">
        <is>
          <t>Mês do painel</t>
        </is>
      </c>
      <c r="B6" s="35" t="inlineStr">
        <is>
          <t>Setembro</t>
        </is>
      </c>
      <c r="D6" s="34" t="inlineStr">
        <is>
          <t>Dr. Paulo Andrade</t>
        </is>
      </c>
      <c r="F6" s="34" t="inlineStr">
        <is>
          <t>Saúde Total</t>
        </is>
      </c>
      <c r="H6" s="34" t="inlineStr">
        <is>
          <t>Retorno</t>
        </is>
      </c>
      <c r="I6" s="36" t="n">
        <v>0</v>
      </c>
      <c r="L6" s="37" t="inlineStr">
        <is>
          <t>Fevereiro</t>
        </is>
      </c>
    </row>
    <row r="7">
      <c r="A7" s="33" t="inlineStr">
        <is>
          <t>Número do mês</t>
        </is>
      </c>
      <c r="B7" s="26">
        <f>MATCH(B6,$L$5:$L$16,0)</f>
        <v>9</v>
      </c>
      <c r="D7" s="34" t="inlineStr">
        <is>
          <t>Dra. Renata Sousa</t>
        </is>
      </c>
      <c r="F7" s="34" t="inlineStr">
        <is>
          <t>MediPlan</t>
        </is>
      </c>
      <c r="H7" s="34" t="inlineStr">
        <is>
          <t>ECG</t>
        </is>
      </c>
      <c r="I7" s="36" t="n">
        <v>0</v>
      </c>
      <c r="L7" s="37" t="inlineStr">
        <is>
          <t>Março</t>
        </is>
      </c>
    </row>
    <row r="8">
      <c r="A8" s="33" t="inlineStr">
        <is>
          <t>Data de referência (hoje)</t>
        </is>
      </c>
      <c r="B8" s="38" t="n">
        <v>46279</v>
      </c>
      <c r="D8" s="34" t="n"/>
      <c r="F8" s="34" t="inlineStr">
        <is>
          <t>Vida Care</t>
        </is>
      </c>
      <c r="H8" s="34" t="inlineStr">
        <is>
          <t>MAPA</t>
        </is>
      </c>
      <c r="I8" s="36" t="n">
        <v>0</v>
      </c>
      <c r="L8" s="37" t="inlineStr">
        <is>
          <t>Abril</t>
        </is>
      </c>
    </row>
    <row r="9">
      <c r="A9" s="33" t="inlineStr">
        <is>
          <t>Lista de retorno: incluir quem passou do prazo há mais de (dias)</t>
        </is>
      </c>
      <c r="B9" s="36" t="n">
        <v>0</v>
      </c>
      <c r="C9" s="31" t="inlineStr">
        <is>
          <t>0 = entra na lista no dia em que o retorno previsto passa. 7 = só uma semana depois.</t>
        </is>
      </c>
      <c r="D9" s="34" t="n"/>
      <c r="F9" s="34" t="n"/>
      <c r="H9" s="34" t="inlineStr">
        <is>
          <t>Holter</t>
        </is>
      </c>
      <c r="I9" s="36" t="n">
        <v>0</v>
      </c>
      <c r="L9" s="37" t="inlineStr">
        <is>
          <t>Maio</t>
        </is>
      </c>
    </row>
    <row r="10">
      <c r="D10" s="34" t="n"/>
      <c r="F10" s="34" t="n"/>
      <c r="H10" s="34" t="inlineStr">
        <is>
          <t>Teste ergométrico</t>
        </is>
      </c>
      <c r="I10" s="36" t="n">
        <v>0</v>
      </c>
      <c r="L10" s="37" t="inlineStr">
        <is>
          <t>Junho</t>
        </is>
      </c>
    </row>
    <row r="11">
      <c r="D11" s="34" t="n"/>
      <c r="H11" s="34" t="inlineStr">
        <is>
          <t>Avaliação endócrina</t>
        </is>
      </c>
      <c r="I11" s="36" t="n">
        <v>45</v>
      </c>
      <c r="L11" s="37" t="inlineStr">
        <is>
          <t>Julho</t>
        </is>
      </c>
    </row>
    <row r="12">
      <c r="D12" s="34" t="n"/>
      <c r="H12" s="34" t="n"/>
      <c r="I12" s="36" t="n"/>
      <c r="L12" s="37" t="inlineStr">
        <is>
          <t>Agosto</t>
        </is>
      </c>
    </row>
    <row r="13">
      <c r="H13" s="34" t="n"/>
      <c r="I13" s="36" t="n"/>
      <c r="L13" s="37" t="inlineStr">
        <is>
          <t>Setembro</t>
        </is>
      </c>
    </row>
    <row r="14">
      <c r="H14" s="34" t="n"/>
      <c r="I14" s="36" t="n"/>
      <c r="L14" s="37" t="inlineStr">
        <is>
          <t>Outubro</t>
        </is>
      </c>
    </row>
    <row r="15">
      <c r="H15" s="34" t="n"/>
      <c r="I15" s="36" t="n"/>
      <c r="L15" s="37" t="inlineStr">
        <is>
          <t>Novembro</t>
        </is>
      </c>
    </row>
    <row r="16">
      <c r="H16" s="34" t="n"/>
      <c r="I16" s="36" t="n"/>
      <c r="L16" s="37" t="inlineStr">
        <is>
          <t>Dezembro</t>
        </is>
      </c>
    </row>
    <row r="18">
      <c r="D18" s="31" t="inlineStr">
        <is>
          <t>Copie as listas da planilha 01 (Config). Retorno em (dias): em quantos dias se espera o paciente de volta depois desse procedimento (0 = não gera retorno). Preencha de cima para baixo, sem pular linha.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L2"/>
    <mergeCell ref="A1:L1"/>
  </mergeCells>
  <dataValidations count="1">
    <dataValidation sqref="B6" showDropDown="0" showInputMessage="0" showErrorMessage="1" allowBlank="0" type="list">
      <formula1>=Config!$L$5:$L$16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07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22" customWidth="1" min="3" max="3"/>
    <col width="8" customWidth="1" min="4" max="4"/>
    <col width="26" customWidth="1" min="5" max="5"/>
    <col width="12" customWidth="1" min="6" max="6"/>
    <col width="18" customWidth="1" min="7" max="7"/>
    <col width="11" customWidth="1" min="8" max="8"/>
    <col width="16" customWidth="1" min="9" max="9"/>
    <col width="9" customWidth="1" min="10" max="10"/>
    <col width="24" customWidth="1" min="11" max="11"/>
    <col width="6" customWidth="1" min="12" max="12"/>
    <col width="6" customWidth="1" min="13" max="13"/>
    <col width="11" customWidth="1" min="14" max="14"/>
    <col width="8" customWidth="1" min="15" max="15"/>
    <col width="9" customWidth="1" min="16" max="16"/>
    <col width="12" customWidth="1" min="17" max="17"/>
    <col width="12" customWidth="1" min="18" max="18"/>
    <col width="11" customWidth="1" min="19" max="19"/>
    <col width="11" customWidth="1" min="20" max="20"/>
    <col hidden="1" width="13" customWidth="1" min="21" max="21"/>
    <col hidden="1" width="13" customWidth="1" min="22" max="22"/>
  </cols>
  <sheetData>
    <row r="1" ht="28" customHeight="1">
      <c r="A1" s="5" t="inlineStr">
        <is>
          <t>Agenda (cópia da planilha 01)</t>
        </is>
      </c>
    </row>
    <row r="2">
      <c r="A2" s="6" t="inlineStr">
        <is>
          <t>Cole aqui as colunas A a K da Agenda da planilha 01 (a 01 é a fonte). As colunas brancas calculam faltas, retorno previsto e a lista de retorno.</t>
        </is>
      </c>
    </row>
    <row r="4" ht="40" customHeight="1">
      <c r="A4" s="22" t="inlineStr">
        <is>
          <t>Data</t>
        </is>
      </c>
      <c r="B4" s="22" t="inlineStr">
        <is>
          <t>Hora</t>
        </is>
      </c>
      <c r="C4" s="22" t="inlineStr">
        <is>
          <t>Profissional</t>
        </is>
      </c>
      <c r="D4" s="22" t="inlineStr">
        <is>
          <t>Sala</t>
        </is>
      </c>
      <c r="E4" s="22" t="inlineStr">
        <is>
          <t>Paciente</t>
        </is>
      </c>
      <c r="F4" s="22" t="inlineStr">
        <is>
          <t>Pagador</t>
        </is>
      </c>
      <c r="G4" s="22" t="inlineStr">
        <is>
          <t>Procedimento</t>
        </is>
      </c>
      <c r="H4" s="22" t="inlineStr">
        <is>
          <t>Situação</t>
        </is>
      </c>
      <c r="I4" s="22" t="inlineStr">
        <is>
          <t>Forma de pagamento</t>
        </is>
      </c>
      <c r="J4" s="22" t="inlineStr">
        <is>
          <t>Parcelas (cartão)</t>
        </is>
      </c>
      <c r="K4" s="22" t="inlineStr">
        <is>
          <t>Observação</t>
        </is>
      </c>
      <c r="L4" s="22" t="inlineStr">
        <is>
          <t>Mês</t>
        </is>
      </c>
      <c r="M4" s="22" t="inlineStr">
        <is>
          <t>Ano</t>
        </is>
      </c>
      <c r="N4" s="22" t="inlineStr">
        <is>
          <t>Dia da semana</t>
        </is>
      </c>
      <c r="O4" s="22" t="inlineStr">
        <is>
          <t>Período</t>
        </is>
      </c>
      <c r="P4" s="22" t="inlineStr">
        <is>
          <t>Retorno em (dias)</t>
        </is>
      </c>
      <c r="Q4" s="22" t="inlineStr">
        <is>
          <t>Retorno previsto</t>
        </is>
      </c>
      <c r="R4" s="22" t="inlineStr">
        <is>
          <t>Voltou ou tem horário?</t>
        </is>
      </c>
      <c r="S4" s="22" t="inlineStr">
        <is>
          <t>Dias além do previsto</t>
        </is>
      </c>
      <c r="T4" s="22" t="inlineStr">
        <is>
          <t>Na lista de retorno?</t>
        </is>
      </c>
    </row>
    <row r="5">
      <c r="A5" s="39" t="n">
        <v>46174</v>
      </c>
      <c r="B5" s="40" t="n">
        <v>0.3333333333333333</v>
      </c>
      <c r="C5" s="35" t="inlineStr">
        <is>
          <t>Dra. Carolina Mendes</t>
        </is>
      </c>
      <c r="D5" s="35" t="inlineStr">
        <is>
          <t>Sala 1</t>
        </is>
      </c>
      <c r="E5" s="34" t="inlineStr">
        <is>
          <t>Isabela Pinto</t>
        </is>
      </c>
      <c r="F5" s="35" t="inlineStr">
        <is>
          <t>Saúde Total</t>
        </is>
      </c>
      <c r="G5" s="35" t="inlineStr">
        <is>
          <t>Consulta</t>
        </is>
      </c>
      <c r="H5" s="35" t="inlineStr">
        <is>
          <t>Realizado</t>
        </is>
      </c>
      <c r="I5" s="35" t="inlineStr">
        <is>
          <t>Convênio</t>
        </is>
      </c>
      <c r="J5" s="35" t="n"/>
      <c r="K5" s="34" t="n"/>
      <c r="L5" s="26">
        <f>IF(A5="","",MONTH(A5))</f>
        <v>6</v>
      </c>
      <c r="M5" s="26">
        <f>IF(A5="","",YEAR(A5))</f>
        <v>2026</v>
      </c>
      <c r="N5" s="26" t="str">
        <f>IF(A5="","",CHOOSE(WEEKDAY(A5,2),"Segunda","Terça","Quarta","Quinta","Sexta","Sábado","Domingo"))</f>
        <v>Segunda</v>
      </c>
      <c r="O5" s="26" t="str">
        <f>IF(B5="","",IF(B5&lt;TIME(12,0,0),"Manhã",IF(B5&lt;TIME(18,0,0),"Tarde","Noite")))</f>
        <v>Manhã</v>
      </c>
      <c r="P5" s="32">
        <f>IF(G5="","",IFERROR(INDEX(Config!$I$5:$I$16,MATCH(G5,Config!$H$5:$H$16,0)),0))</f>
        <v>30</v>
      </c>
      <c r="Q5" s="30">
        <f>IF(OR(H5&lt;&gt;"Realizado",P5="",P5=0),"",A5+P5)</f>
        <v>46204.0</v>
      </c>
      <c r="R5" s="26" t="str">
        <f>IF(Q5="","",IF(COUNTIFS($E$5:$E$3004,E5,$A$5:$A$3004,"&gt;"&amp;A5,$H$5:$H$3004,"&lt;&gt;Falta",$H$5:$H$3004,"&lt;&gt;Cancelado",$H$5:$H$3004,"&lt;&gt;Remarcado")&gt;0,"Sim","Não"))</f>
        <v>Sim</v>
      </c>
      <c r="S5" s="32">
        <f>IF(R5&lt;&gt;"Não","",IF(Q5+Config!$B$9&lt;=Config!$B$8,Config!$B$8-Q5,""))</f>
        <v/>
      </c>
      <c r="T5" s="26">
        <f>IF(S5="","","Sim")</f>
        <v/>
      </c>
      <c r="U5" s="41">
        <f>IF(T5="Sim",S5+ROW()/100000,0)</f>
        <v>0</v>
      </c>
      <c r="V5" s="41">
        <f>IF(AND(H5="Falta",L5=Config!$B$7,M5=Config!$B$5,COUNTIFS($E$5:E5,E5,$H$5:H5,"Falta",$L$5:L5,Config!$B$7,$M$5:M5,Config!$B$5)=1),COUNTIFS($E$5:$E$3004,E5,$H$5:$H$3004,"Falta",$L$5:$L$3004,Config!$B$7,$M$5:$M$3004,Config!$B$5)*1000-ROW()/100000,0)</f>
        <v>0</v>
      </c>
    </row>
    <row r="6">
      <c r="A6" s="39" t="n">
        <v>46174</v>
      </c>
      <c r="B6" s="40" t="n">
        <v>0.375</v>
      </c>
      <c r="C6" s="35" t="inlineStr">
        <is>
          <t>Dra. Carolina Mendes</t>
        </is>
      </c>
      <c r="D6" s="35" t="inlineStr">
        <is>
          <t>Sala 1</t>
        </is>
      </c>
      <c r="E6" s="34" t="inlineStr">
        <is>
          <t>Tatiana Cunha</t>
        </is>
      </c>
      <c r="F6" s="35" t="inlineStr">
        <is>
          <t>Saúde Total</t>
        </is>
      </c>
      <c r="G6" s="35" t="inlineStr">
        <is>
          <t>Consulta</t>
        </is>
      </c>
      <c r="H6" s="35" t="inlineStr">
        <is>
          <t>Realizado</t>
        </is>
      </c>
      <c r="I6" s="35" t="inlineStr">
        <is>
          <t>Convênio</t>
        </is>
      </c>
      <c r="J6" s="35" t="n"/>
      <c r="K6" s="34" t="n"/>
      <c r="L6" s="26">
        <f>IF(A6="","",MONTH(A6))</f>
        <v>6</v>
      </c>
      <c r="M6" s="26">
        <f>IF(A6="","",YEAR(A6))</f>
        <v>2026</v>
      </c>
      <c r="N6" s="26" t="str">
        <f>IF(A6="","",CHOOSE(WEEKDAY(A6,2),"Segunda","Terça","Quarta","Quinta","Sexta","Sábado","Domingo"))</f>
        <v>Segunda</v>
      </c>
      <c r="O6" s="26" t="str">
        <f>IF(B6="","",IF(B6&lt;TIME(12,0,0),"Manhã",IF(B6&lt;TIME(18,0,0),"Tarde","Noite")))</f>
        <v>Manhã</v>
      </c>
      <c r="P6" s="32">
        <f>IF(G6="","",IFERROR(INDEX(Config!$I$5:$I$16,MATCH(G6,Config!$H$5:$H$16,0)),0))</f>
        <v>30</v>
      </c>
      <c r="Q6" s="30">
        <f>IF(OR(H6&lt;&gt;"Realizado",P6="",P6=0),"",A6+P6)</f>
        <v>46204.0</v>
      </c>
      <c r="R6" s="26" t="str">
        <f>IF(Q6="","",IF(COUNTIFS($E$5:$E$3004,E6,$A$5:$A$3004,"&gt;"&amp;A6,$H$5:$H$3004,"&lt;&gt;Falta",$H$5:$H$3004,"&lt;&gt;Cancelado",$H$5:$H$3004,"&lt;&gt;Remarcado")&gt;0,"Sim","Não"))</f>
        <v>Sim</v>
      </c>
      <c r="S6" s="32">
        <f>IF(R6&lt;&gt;"Não","",IF(Q6+Config!$B$9&lt;=Config!$B$8,Config!$B$8-Q6,""))</f>
        <v/>
      </c>
      <c r="T6" s="26">
        <f>IF(S6="","","Sim")</f>
        <v/>
      </c>
      <c r="U6" s="41">
        <f>IF(T6="Sim",S6+ROW()/100000,0)</f>
        <v>0</v>
      </c>
      <c r="V6" s="41">
        <f>IF(AND(H6="Falta",L6=Config!$B$7,M6=Config!$B$5,COUNTIFS($E$5:E6,E6,$H$5:H6,"Falta",$L$5:L6,Config!$B$7,$M$5:M6,Config!$B$5)=1),COUNTIFS($E$5:$E$3004,E6,$H$5:$H$3004,"Falta",$L$5:$L$3004,Config!$B$7,$M$5:$M$3004,Config!$B$5)*1000-ROW()/100000,0)</f>
        <v>0</v>
      </c>
    </row>
    <row r="7">
      <c r="A7" s="39" t="n">
        <v>46174</v>
      </c>
      <c r="B7" s="40" t="n">
        <v>0.3958333333333333</v>
      </c>
      <c r="C7" s="35" t="inlineStr">
        <is>
          <t>Dra. Carolina Mendes</t>
        </is>
      </c>
      <c r="D7" s="35" t="inlineStr">
        <is>
          <t>Sala 1</t>
        </is>
      </c>
      <c r="E7" s="34" t="inlineStr">
        <is>
          <t>Débora Machado</t>
        </is>
      </c>
      <c r="F7" s="35" t="inlineStr">
        <is>
          <t>Saúde Total</t>
        </is>
      </c>
      <c r="G7" s="35" t="inlineStr">
        <is>
          <t>Consulta</t>
        </is>
      </c>
      <c r="H7" s="35" t="inlineStr">
        <is>
          <t>Realizado</t>
        </is>
      </c>
      <c r="I7" s="35" t="inlineStr">
        <is>
          <t>Convênio</t>
        </is>
      </c>
      <c r="J7" s="35" t="n"/>
      <c r="K7" s="34" t="n"/>
      <c r="L7" s="26">
        <f>IF(A7="","",MONTH(A7))</f>
        <v>6</v>
      </c>
      <c r="M7" s="26">
        <f>IF(A7="","",YEAR(A7))</f>
        <v>2026</v>
      </c>
      <c r="N7" s="26" t="str">
        <f>IF(A7="","",CHOOSE(WEEKDAY(A7,2),"Segunda","Terça","Quarta","Quinta","Sexta","Sábado","Domingo"))</f>
        <v>Segunda</v>
      </c>
      <c r="O7" s="26" t="str">
        <f>IF(B7="","",IF(B7&lt;TIME(12,0,0),"Manhã",IF(B7&lt;TIME(18,0,0),"Tarde","Noite")))</f>
        <v>Manhã</v>
      </c>
      <c r="P7" s="32">
        <f>IF(G7="","",IFERROR(INDEX(Config!$I$5:$I$16,MATCH(G7,Config!$H$5:$H$16,0)),0))</f>
        <v>30</v>
      </c>
      <c r="Q7" s="30">
        <f>IF(OR(H7&lt;&gt;"Realizado",P7="",P7=0),"",A7+P7)</f>
        <v>46204.0</v>
      </c>
      <c r="R7" s="26" t="str">
        <f>IF(Q7="","",IF(COUNTIFS($E$5:$E$3004,E7,$A$5:$A$3004,"&gt;"&amp;A7,$H$5:$H$3004,"&lt;&gt;Falta",$H$5:$H$3004,"&lt;&gt;Cancelado",$H$5:$H$3004,"&lt;&gt;Remarcado")&gt;0,"Sim","Não"))</f>
        <v>Sim</v>
      </c>
      <c r="S7" s="32">
        <f>IF(R7&lt;&gt;"Não","",IF(Q7+Config!$B$9&lt;=Config!$B$8,Config!$B$8-Q7,""))</f>
        <v/>
      </c>
      <c r="T7" s="26">
        <f>IF(S7="","","Sim")</f>
        <v/>
      </c>
      <c r="U7" s="41">
        <f>IF(T7="Sim",S7+ROW()/100000,0)</f>
        <v>0</v>
      </c>
      <c r="V7" s="41">
        <f>IF(AND(H7="Falta",L7=Config!$B$7,M7=Config!$B$5,COUNTIFS($E$5:E7,E7,$H$5:H7,"Falta",$L$5:L7,Config!$B$7,$M$5:M7,Config!$B$5)=1),COUNTIFS($E$5:$E$3004,E7,$H$5:$H$3004,"Falta",$L$5:$L$3004,Config!$B$7,$M$5:$M$3004,Config!$B$5)*1000-ROW()/100000,0)</f>
        <v>0</v>
      </c>
    </row>
    <row r="8">
      <c r="A8" s="39" t="n">
        <v>46174</v>
      </c>
      <c r="B8" s="40" t="n">
        <v>0.4166666666666667</v>
      </c>
      <c r="C8" s="35" t="inlineStr">
        <is>
          <t>Dra. Carolina Mendes</t>
        </is>
      </c>
      <c r="D8" s="35" t="inlineStr">
        <is>
          <t>Sala 1</t>
        </is>
      </c>
      <c r="E8" s="34" t="inlineStr">
        <is>
          <t>Gustavo Ferreira</t>
        </is>
      </c>
      <c r="F8" s="35" t="inlineStr">
        <is>
          <t>Particular</t>
        </is>
      </c>
      <c r="G8" s="35" t="inlineStr">
        <is>
          <t>Retorno</t>
        </is>
      </c>
      <c r="H8" s="35" t="inlineStr">
        <is>
          <t>Realizado</t>
        </is>
      </c>
      <c r="I8" s="35" t="inlineStr">
        <is>
          <t>Sem cobrança</t>
        </is>
      </c>
      <c r="J8" s="35" t="n"/>
      <c r="K8" s="34" t="n"/>
      <c r="L8" s="26">
        <f>IF(A8="","",MONTH(A8))</f>
        <v>6</v>
      </c>
      <c r="M8" s="26">
        <f>IF(A8="","",YEAR(A8))</f>
        <v>2026</v>
      </c>
      <c r="N8" s="26" t="str">
        <f>IF(A8="","",CHOOSE(WEEKDAY(A8,2),"Segunda","Terça","Quarta","Quinta","Sexta","Sábado","Domingo"))</f>
        <v>Segunda</v>
      </c>
      <c r="O8" s="26" t="str">
        <f>IF(B8="","",IF(B8&lt;TIME(12,0,0),"Manhã",IF(B8&lt;TIME(18,0,0),"Tarde","Noite")))</f>
        <v>Manhã</v>
      </c>
      <c r="P8" s="32">
        <f>IF(G8="","",IFERROR(INDEX(Config!$I$5:$I$16,MATCH(G8,Config!$H$5:$H$16,0)),0))</f>
        <v>0</v>
      </c>
      <c r="Q8" s="30">
        <f>IF(OR(H8&lt;&gt;"Realizado",P8="",P8=0),"",A8+P8)</f>
        <v/>
      </c>
      <c r="R8" s="26">
        <f>IF(Q8="","",IF(COUNTIFS($E$5:$E$3004,E8,$A$5:$A$3004,"&gt;"&amp;A8,$H$5:$H$3004,"&lt;&gt;Falta",$H$5:$H$3004,"&lt;&gt;Cancelado",$H$5:$H$3004,"&lt;&gt;Remarcado")&gt;0,"Sim","Não"))</f>
        <v/>
      </c>
      <c r="S8" s="32">
        <f>IF(R8&lt;&gt;"Não","",IF(Q8+Config!$B$9&lt;=Config!$B$8,Config!$B$8-Q8,""))</f>
        <v/>
      </c>
      <c r="T8" s="26">
        <f>IF(S8="","","Sim")</f>
        <v/>
      </c>
      <c r="U8" s="41">
        <f>IF(T8="Sim",S8+ROW()/100000,0)</f>
        <v>0</v>
      </c>
      <c r="V8" s="41">
        <f>IF(AND(H8="Falta",L8=Config!$B$7,M8=Config!$B$5,COUNTIFS($E$5:E8,E8,$H$5:H8,"Falta",$L$5:L8,Config!$B$7,$M$5:M8,Config!$B$5)=1),COUNTIFS($E$5:$E$3004,E8,$H$5:$H$3004,"Falta",$L$5:$L$3004,Config!$B$7,$M$5:$M$3004,Config!$B$5)*1000-ROW()/100000,0)</f>
        <v>0</v>
      </c>
    </row>
    <row r="9">
      <c r="A9" s="39" t="n">
        <v>46174</v>
      </c>
      <c r="B9" s="40" t="n">
        <v>0.4513888888888889</v>
      </c>
      <c r="C9" s="35" t="inlineStr">
        <is>
          <t>Dra. Carolina Mendes</t>
        </is>
      </c>
      <c r="D9" s="35" t="inlineStr">
        <is>
          <t>Sala 1</t>
        </is>
      </c>
      <c r="E9" s="34" t="inlineStr">
        <is>
          <t>Sérgio Batista</t>
        </is>
      </c>
      <c r="F9" s="35" t="inlineStr">
        <is>
          <t>MediPlan</t>
        </is>
      </c>
      <c r="G9" s="35" t="inlineStr">
        <is>
          <t>Consulta</t>
        </is>
      </c>
      <c r="H9" s="35" t="inlineStr">
        <is>
          <t>Falta</t>
        </is>
      </c>
      <c r="I9" s="35" t="n"/>
      <c r="J9" s="35" t="n"/>
      <c r="K9" s="34" t="n"/>
      <c r="L9" s="26">
        <f>IF(A9="","",MONTH(A9))</f>
        <v>6</v>
      </c>
      <c r="M9" s="26">
        <f>IF(A9="","",YEAR(A9))</f>
        <v>2026</v>
      </c>
      <c r="N9" s="26" t="str">
        <f>IF(A9="","",CHOOSE(WEEKDAY(A9,2),"Segunda","Terça","Quarta","Quinta","Sexta","Sábado","Domingo"))</f>
        <v>Segunda</v>
      </c>
      <c r="O9" s="26" t="str">
        <f>IF(B9="","",IF(B9&lt;TIME(12,0,0),"Manhã",IF(B9&lt;TIME(18,0,0),"Tarde","Noite")))</f>
        <v>Manhã</v>
      </c>
      <c r="P9" s="32">
        <f>IF(G9="","",IFERROR(INDEX(Config!$I$5:$I$16,MATCH(G9,Config!$H$5:$H$16,0)),0))</f>
        <v>30</v>
      </c>
      <c r="Q9" s="30">
        <f>IF(OR(H9&lt;&gt;"Realizado",P9="",P9=0),"",A9+P9)</f>
        <v/>
      </c>
      <c r="R9" s="26">
        <f>IF(Q9="","",IF(COUNTIFS($E$5:$E$3004,E9,$A$5:$A$3004,"&gt;"&amp;A9,$H$5:$H$3004,"&lt;&gt;Falta",$H$5:$H$3004,"&lt;&gt;Cancelado",$H$5:$H$3004,"&lt;&gt;Remarcado")&gt;0,"Sim","Não"))</f>
        <v/>
      </c>
      <c r="S9" s="32">
        <f>IF(R9&lt;&gt;"Não","",IF(Q9+Config!$B$9&lt;=Config!$B$8,Config!$B$8-Q9,""))</f>
        <v/>
      </c>
      <c r="T9" s="26">
        <f>IF(S9="","","Sim")</f>
        <v/>
      </c>
      <c r="U9" s="41">
        <f>IF(T9="Sim",S9+ROW()/100000,0)</f>
        <v>0</v>
      </c>
      <c r="V9" s="41">
        <f>IF(AND(H9="Falta",L9=Config!$B$7,M9=Config!$B$5,COUNTIFS($E$5:E9,E9,$H$5:H9,"Falta",$L$5:L9,Config!$B$7,$M$5:M9,Config!$B$5)=1),COUNTIFS($E$5:$E$3004,E9,$H$5:$H$3004,"Falta",$L$5:$L$3004,Config!$B$7,$M$5:$M$3004,Config!$B$5)*1000-ROW()/100000,0)</f>
        <v>0</v>
      </c>
    </row>
    <row r="10">
      <c r="A10" s="39" t="n">
        <v>46174</v>
      </c>
      <c r="B10" s="40" t="n">
        <v>0.6041666666666666</v>
      </c>
      <c r="C10" s="35" t="inlineStr">
        <is>
          <t>Dr. Paulo Andrade</t>
        </is>
      </c>
      <c r="D10" s="35" t="inlineStr">
        <is>
          <t>Sala 2</t>
        </is>
      </c>
      <c r="E10" s="34" t="inlineStr">
        <is>
          <t>Otávio Martins</t>
        </is>
      </c>
      <c r="F10" s="35" t="inlineStr">
        <is>
          <t>MediPlan</t>
        </is>
      </c>
      <c r="G10" s="35" t="inlineStr">
        <is>
          <t>Consulta</t>
        </is>
      </c>
      <c r="H10" s="35" t="inlineStr">
        <is>
          <t>Falta</t>
        </is>
      </c>
      <c r="I10" s="35" t="n"/>
      <c r="J10" s="35" t="n"/>
      <c r="K10" s="34" t="n"/>
      <c r="L10" s="26">
        <f>IF(A10="","",MONTH(A10))</f>
        <v>6</v>
      </c>
      <c r="M10" s="26">
        <f>IF(A10="","",YEAR(A10))</f>
        <v>2026</v>
      </c>
      <c r="N10" s="26" t="str">
        <f>IF(A10="","",CHOOSE(WEEKDAY(A10,2),"Segunda","Terça","Quarta","Quinta","Sexta","Sábado","Domingo"))</f>
        <v>Segunda</v>
      </c>
      <c r="O10" s="26" t="str">
        <f>IF(B10="","",IF(B10&lt;TIME(12,0,0),"Manhã",IF(B10&lt;TIME(18,0,0),"Tarde","Noite")))</f>
        <v>Tarde</v>
      </c>
      <c r="P10" s="32">
        <f>IF(G10="","",IFERROR(INDEX(Config!$I$5:$I$16,MATCH(G10,Config!$H$5:$H$16,0)),0))</f>
        <v>30</v>
      </c>
      <c r="Q10" s="30">
        <f>IF(OR(H10&lt;&gt;"Realizado",P10="",P10=0),"",A10+P10)</f>
        <v/>
      </c>
      <c r="R10" s="26">
        <f>IF(Q10="","",IF(COUNTIFS($E$5:$E$3004,E10,$A$5:$A$3004,"&gt;"&amp;A10,$H$5:$H$3004,"&lt;&gt;Falta",$H$5:$H$3004,"&lt;&gt;Cancelado",$H$5:$H$3004,"&lt;&gt;Remarcado")&gt;0,"Sim","Não"))</f>
        <v/>
      </c>
      <c r="S10" s="32">
        <f>IF(R10&lt;&gt;"Não","",IF(Q10+Config!$B$9&lt;=Config!$B$8,Config!$B$8-Q10,""))</f>
        <v/>
      </c>
      <c r="T10" s="26">
        <f>IF(S10="","","Sim")</f>
        <v/>
      </c>
      <c r="U10" s="41">
        <f>IF(T10="Sim",S10+ROW()/100000,0)</f>
        <v>0</v>
      </c>
      <c r="V10" s="41">
        <f>IF(AND(H10="Falta",L10=Config!$B$7,M10=Config!$B$5,COUNTIFS($E$5:E10,E10,$H$5:H10,"Falta",$L$5:L10,Config!$B$7,$M$5:M10,Config!$B$5)=1),COUNTIFS($E$5:$E$3004,E10,$H$5:$H$3004,"Falta",$L$5:$L$3004,Config!$B$7,$M$5:$M$3004,Config!$B$5)*1000-ROW()/100000,0)</f>
        <v>0</v>
      </c>
    </row>
    <row r="11">
      <c r="A11" s="39" t="n">
        <v>46174</v>
      </c>
      <c r="B11" s="40" t="n">
        <v>0.625</v>
      </c>
      <c r="C11" s="35" t="inlineStr">
        <is>
          <t>Dr. Paulo Andrade</t>
        </is>
      </c>
      <c r="D11" s="35" t="inlineStr">
        <is>
          <t>Sala 2</t>
        </is>
      </c>
      <c r="E11" s="34" t="inlineStr">
        <is>
          <t>Natália Martins</t>
        </is>
      </c>
      <c r="F11" s="35" t="inlineStr">
        <is>
          <t>Particular</t>
        </is>
      </c>
      <c r="G11" s="35" t="inlineStr">
        <is>
          <t>Consulta</t>
        </is>
      </c>
      <c r="H11" s="35" t="inlineStr">
        <is>
          <t>Falta</t>
        </is>
      </c>
      <c r="I11" s="35" t="n"/>
      <c r="J11" s="35" t="n"/>
      <c r="K11" s="34" t="n"/>
      <c r="L11" s="26">
        <f>IF(A11="","",MONTH(A11))</f>
        <v>6</v>
      </c>
      <c r="M11" s="26">
        <f>IF(A11="","",YEAR(A11))</f>
        <v>2026</v>
      </c>
      <c r="N11" s="26" t="str">
        <f>IF(A11="","",CHOOSE(WEEKDAY(A11,2),"Segunda","Terça","Quarta","Quinta","Sexta","Sábado","Domingo"))</f>
        <v>Segunda</v>
      </c>
      <c r="O11" s="26" t="str">
        <f>IF(B11="","",IF(B11&lt;TIME(12,0,0),"Manhã",IF(B11&lt;TIME(18,0,0),"Tarde","Noite")))</f>
        <v>Tarde</v>
      </c>
      <c r="P11" s="32">
        <f>IF(G11="","",IFERROR(INDEX(Config!$I$5:$I$16,MATCH(G11,Config!$H$5:$H$16,0)),0))</f>
        <v>30</v>
      </c>
      <c r="Q11" s="30">
        <f>IF(OR(H11&lt;&gt;"Realizado",P11="",P11=0),"",A11+P11)</f>
        <v/>
      </c>
      <c r="R11" s="26">
        <f>IF(Q11="","",IF(COUNTIFS($E$5:$E$3004,E11,$A$5:$A$3004,"&gt;"&amp;A11,$H$5:$H$3004,"&lt;&gt;Falta",$H$5:$H$3004,"&lt;&gt;Cancelado",$H$5:$H$3004,"&lt;&gt;Remarcado")&gt;0,"Sim","Não"))</f>
        <v/>
      </c>
      <c r="S11" s="32">
        <f>IF(R11&lt;&gt;"Não","",IF(Q11+Config!$B$9&lt;=Config!$B$8,Config!$B$8-Q11,""))</f>
        <v/>
      </c>
      <c r="T11" s="26">
        <f>IF(S11="","","Sim")</f>
        <v/>
      </c>
      <c r="U11" s="41">
        <f>IF(T11="Sim",S11+ROW()/100000,0)</f>
        <v>0</v>
      </c>
      <c r="V11" s="41">
        <f>IF(AND(H11="Falta",L11=Config!$B$7,M11=Config!$B$5,COUNTIFS($E$5:E11,E11,$H$5:H11,"Falta",$L$5:L11,Config!$B$7,$M$5:M11,Config!$B$5)=1),COUNTIFS($E$5:$E$3004,E11,$H$5:$H$3004,"Falta",$L$5:$L$3004,Config!$B$7,$M$5:$M$3004,Config!$B$5)*1000-ROW()/100000,0)</f>
        <v>0</v>
      </c>
    </row>
    <row r="12">
      <c r="A12" s="39" t="n">
        <v>46174</v>
      </c>
      <c r="B12" s="40" t="n">
        <v>0.6458333333333334</v>
      </c>
      <c r="C12" s="35" t="inlineStr">
        <is>
          <t>Dr. Paulo Andrade</t>
        </is>
      </c>
      <c r="D12" s="35" t="inlineStr">
        <is>
          <t>Sala 2</t>
        </is>
      </c>
      <c r="E12" s="34" t="inlineStr">
        <is>
          <t>Otávio Martins</t>
        </is>
      </c>
      <c r="F12" s="35" t="inlineStr">
        <is>
          <t>MediPlan</t>
        </is>
      </c>
      <c r="G12" s="35" t="inlineStr">
        <is>
          <t>Consulta</t>
        </is>
      </c>
      <c r="H12" s="35" t="inlineStr">
        <is>
          <t>Realizado</t>
        </is>
      </c>
      <c r="I12" s="35" t="inlineStr">
        <is>
          <t>Convênio</t>
        </is>
      </c>
      <c r="J12" s="35" t="n"/>
      <c r="K12" s="34" t="n"/>
      <c r="L12" s="26">
        <f>IF(A12="","",MONTH(A12))</f>
        <v>6</v>
      </c>
      <c r="M12" s="26">
        <f>IF(A12="","",YEAR(A12))</f>
        <v>2026</v>
      </c>
      <c r="N12" s="26" t="str">
        <f>IF(A12="","",CHOOSE(WEEKDAY(A12,2),"Segunda","Terça","Quarta","Quinta","Sexta","Sábado","Domingo"))</f>
        <v>Segunda</v>
      </c>
      <c r="O12" s="26" t="str">
        <f>IF(B12="","",IF(B12&lt;TIME(12,0,0),"Manhã",IF(B12&lt;TIME(18,0,0),"Tarde","Noite")))</f>
        <v>Tarde</v>
      </c>
      <c r="P12" s="32">
        <f>IF(G12="","",IFERROR(INDEX(Config!$I$5:$I$16,MATCH(G12,Config!$H$5:$H$16,0)),0))</f>
        <v>30</v>
      </c>
      <c r="Q12" s="30">
        <f>IF(OR(H12&lt;&gt;"Realizado",P12="",P12=0),"",A12+P12)</f>
        <v>46204.0</v>
      </c>
      <c r="R12" s="26" t="str">
        <f>IF(Q12="","",IF(COUNTIFS($E$5:$E$3004,E12,$A$5:$A$3004,"&gt;"&amp;A12,$H$5:$H$3004,"&lt;&gt;Falta",$H$5:$H$3004,"&lt;&gt;Cancelado",$H$5:$H$3004,"&lt;&gt;Remarcado")&gt;0,"Sim","Não"))</f>
        <v>Sim</v>
      </c>
      <c r="S12" s="32">
        <f>IF(R12&lt;&gt;"Não","",IF(Q12+Config!$B$9&lt;=Config!$B$8,Config!$B$8-Q12,""))</f>
        <v/>
      </c>
      <c r="T12" s="26">
        <f>IF(S12="","","Sim")</f>
        <v/>
      </c>
      <c r="U12" s="41">
        <f>IF(T12="Sim",S12+ROW()/100000,0)</f>
        <v>0</v>
      </c>
      <c r="V12" s="41">
        <f>IF(AND(H12="Falta",L12=Config!$B$7,M12=Config!$B$5,COUNTIFS($E$5:E12,E12,$H$5:H12,"Falta",$L$5:L12,Config!$B$7,$M$5:M12,Config!$B$5)=1),COUNTIFS($E$5:$E$3004,E12,$H$5:$H$3004,"Falta",$L$5:$L$3004,Config!$B$7,$M$5:$M$3004,Config!$B$5)*1000-ROW()/100000,0)</f>
        <v>0</v>
      </c>
    </row>
    <row r="13">
      <c r="A13" s="39" t="n">
        <v>46174</v>
      </c>
      <c r="B13" s="40" t="n">
        <v>0.6666666666666666</v>
      </c>
      <c r="C13" s="35" t="inlineStr">
        <is>
          <t>Dr. Paulo Andrade</t>
        </is>
      </c>
      <c r="D13" s="35" t="inlineStr">
        <is>
          <t>Sala 2</t>
        </is>
      </c>
      <c r="E13" s="34" t="inlineStr">
        <is>
          <t>Cláudia Santos</t>
        </is>
      </c>
      <c r="F13" s="35" t="inlineStr">
        <is>
          <t>Particular</t>
        </is>
      </c>
      <c r="G13" s="35" t="inlineStr">
        <is>
          <t>MAPA</t>
        </is>
      </c>
      <c r="H13" s="35" t="inlineStr">
        <is>
          <t>Realizado</t>
        </is>
      </c>
      <c r="I13" s="35" t="inlineStr">
        <is>
          <t>Pix</t>
        </is>
      </c>
      <c r="J13" s="35" t="n"/>
      <c r="K13" s="34" t="n"/>
      <c r="L13" s="26">
        <f>IF(A13="","",MONTH(A13))</f>
        <v>6</v>
      </c>
      <c r="M13" s="26">
        <f>IF(A13="","",YEAR(A13))</f>
        <v>2026</v>
      </c>
      <c r="N13" s="26" t="str">
        <f>IF(A13="","",CHOOSE(WEEKDAY(A13,2),"Segunda","Terça","Quarta","Quinta","Sexta","Sábado","Domingo"))</f>
        <v>Segunda</v>
      </c>
      <c r="O13" s="26" t="str">
        <f>IF(B13="","",IF(B13&lt;TIME(12,0,0),"Manhã",IF(B13&lt;TIME(18,0,0),"Tarde","Noite")))</f>
        <v>Tarde</v>
      </c>
      <c r="P13" s="32">
        <f>IF(G13="","",IFERROR(INDEX(Config!$I$5:$I$16,MATCH(G13,Config!$H$5:$H$16,0)),0))</f>
        <v>0</v>
      </c>
      <c r="Q13" s="30">
        <f>IF(OR(H13&lt;&gt;"Realizado",P13="",P13=0),"",A13+P13)</f>
        <v/>
      </c>
      <c r="R13" s="26">
        <f>IF(Q13="","",IF(COUNTIFS($E$5:$E$3004,E13,$A$5:$A$3004,"&gt;"&amp;A13,$H$5:$H$3004,"&lt;&gt;Falta",$H$5:$H$3004,"&lt;&gt;Cancelado",$H$5:$H$3004,"&lt;&gt;Remarcado")&gt;0,"Sim","Não"))</f>
        <v/>
      </c>
      <c r="S13" s="32">
        <f>IF(R13&lt;&gt;"Não","",IF(Q13+Config!$B$9&lt;=Config!$B$8,Config!$B$8-Q13,""))</f>
        <v/>
      </c>
      <c r="T13" s="26">
        <f>IF(S13="","","Sim")</f>
        <v/>
      </c>
      <c r="U13" s="41">
        <f>IF(T13="Sim",S13+ROW()/100000,0)</f>
        <v>0</v>
      </c>
      <c r="V13" s="41">
        <f>IF(AND(H13="Falta",L13=Config!$B$7,M13=Config!$B$5,COUNTIFS($E$5:E13,E13,$H$5:H13,"Falta",$L$5:L13,Config!$B$7,$M$5:M13,Config!$B$5)=1),COUNTIFS($E$5:$E$3004,E13,$H$5:$H$3004,"Falta",$L$5:$L$3004,Config!$B$7,$M$5:$M$3004,Config!$B$5)*1000-ROW()/100000,0)</f>
        <v>0</v>
      </c>
    </row>
    <row r="14">
      <c r="A14" s="39" t="n">
        <v>46174</v>
      </c>
      <c r="B14" s="40" t="n">
        <v>0.6805555555555556</v>
      </c>
      <c r="C14" s="35" t="inlineStr">
        <is>
          <t>Dr. Paulo Andrade</t>
        </is>
      </c>
      <c r="D14" s="35" t="inlineStr">
        <is>
          <t>Sala 2</t>
        </is>
      </c>
      <c r="E14" s="34" t="inlineStr">
        <is>
          <t>Mateus Martins</t>
        </is>
      </c>
      <c r="F14" s="35" t="inlineStr">
        <is>
          <t>Vida Care</t>
        </is>
      </c>
      <c r="G14" s="35" t="inlineStr">
        <is>
          <t>Consulta</t>
        </is>
      </c>
      <c r="H14" s="35" t="inlineStr">
        <is>
          <t>Realizado</t>
        </is>
      </c>
      <c r="I14" s="35" t="inlineStr">
        <is>
          <t>Convênio</t>
        </is>
      </c>
      <c r="J14" s="35" t="n"/>
      <c r="K14" s="34" t="n"/>
      <c r="L14" s="26">
        <f>IF(A14="","",MONTH(A14))</f>
        <v>6</v>
      </c>
      <c r="M14" s="26">
        <f>IF(A14="","",YEAR(A14))</f>
        <v>2026</v>
      </c>
      <c r="N14" s="26" t="str">
        <f>IF(A14="","",CHOOSE(WEEKDAY(A14,2),"Segunda","Terça","Quarta","Quinta","Sexta","Sábado","Domingo"))</f>
        <v>Segunda</v>
      </c>
      <c r="O14" s="26" t="str">
        <f>IF(B14="","",IF(B14&lt;TIME(12,0,0),"Manhã",IF(B14&lt;TIME(18,0,0),"Tarde","Noite")))</f>
        <v>Tarde</v>
      </c>
      <c r="P14" s="32">
        <f>IF(G14="","",IFERROR(INDEX(Config!$I$5:$I$16,MATCH(G14,Config!$H$5:$H$16,0)),0))</f>
        <v>30</v>
      </c>
      <c r="Q14" s="30">
        <f>IF(OR(H14&lt;&gt;"Realizado",P14="",P14=0),"",A14+P14)</f>
        <v>46204.0</v>
      </c>
      <c r="R14" s="26" t="str">
        <f>IF(Q14="","",IF(COUNTIFS($E$5:$E$3004,E14,$A$5:$A$3004,"&gt;"&amp;A14,$H$5:$H$3004,"&lt;&gt;Falta",$H$5:$H$3004,"&lt;&gt;Cancelado",$H$5:$H$3004,"&lt;&gt;Remarcado")&gt;0,"Sim","Não"))</f>
        <v>Sim</v>
      </c>
      <c r="S14" s="32">
        <f>IF(R14&lt;&gt;"Não","",IF(Q14+Config!$B$9&lt;=Config!$B$8,Config!$B$8-Q14,""))</f>
        <v/>
      </c>
      <c r="T14" s="26">
        <f>IF(S14="","","Sim")</f>
        <v/>
      </c>
      <c r="U14" s="41">
        <f>IF(T14="Sim",S14+ROW()/100000,0)</f>
        <v>0</v>
      </c>
      <c r="V14" s="41">
        <f>IF(AND(H14="Falta",L14=Config!$B$7,M14=Config!$B$5,COUNTIFS($E$5:E14,E14,$H$5:H14,"Falta",$L$5:L14,Config!$B$7,$M$5:M14,Config!$B$5)=1),COUNTIFS($E$5:$E$3004,E14,$H$5:$H$3004,"Falta",$L$5:$L$3004,Config!$B$7,$M$5:$M$3004,Config!$B$5)*1000-ROW()/100000,0)</f>
        <v>0</v>
      </c>
    </row>
    <row r="15">
      <c r="A15" s="39" t="n">
        <v>46174</v>
      </c>
      <c r="B15" s="40" t="n">
        <v>0.7013888888888888</v>
      </c>
      <c r="C15" s="35" t="inlineStr">
        <is>
          <t>Dr. Paulo Andrade</t>
        </is>
      </c>
      <c r="D15" s="35" t="inlineStr">
        <is>
          <t>Sala 2</t>
        </is>
      </c>
      <c r="E15" s="34" t="inlineStr">
        <is>
          <t>Wagner Lima</t>
        </is>
      </c>
      <c r="F15" s="35" t="inlineStr">
        <is>
          <t>Particular</t>
        </is>
      </c>
      <c r="G15" s="35" t="inlineStr">
        <is>
          <t>Retorno</t>
        </is>
      </c>
      <c r="H15" s="35" t="inlineStr">
        <is>
          <t>Realizado</t>
        </is>
      </c>
      <c r="I15" s="35" t="inlineStr">
        <is>
          <t>Sem cobrança</t>
        </is>
      </c>
      <c r="J15" s="35" t="n"/>
      <c r="K15" s="34" t="n"/>
      <c r="L15" s="26">
        <f>IF(A15="","",MONTH(A15))</f>
        <v>6</v>
      </c>
      <c r="M15" s="26">
        <f>IF(A15="","",YEAR(A15))</f>
        <v>2026</v>
      </c>
      <c r="N15" s="26" t="str">
        <f>IF(A15="","",CHOOSE(WEEKDAY(A15,2),"Segunda","Terça","Quarta","Quinta","Sexta","Sábado","Domingo"))</f>
        <v>Segunda</v>
      </c>
      <c r="O15" s="26" t="str">
        <f>IF(B15="","",IF(B15&lt;TIME(12,0,0),"Manhã",IF(B15&lt;TIME(18,0,0),"Tarde","Noite")))</f>
        <v>Tarde</v>
      </c>
      <c r="P15" s="32">
        <f>IF(G15="","",IFERROR(INDEX(Config!$I$5:$I$16,MATCH(G15,Config!$H$5:$H$16,0)),0))</f>
        <v>0</v>
      </c>
      <c r="Q15" s="30">
        <f>IF(OR(H15&lt;&gt;"Realizado",P15="",P15=0),"",A15+P15)</f>
        <v/>
      </c>
      <c r="R15" s="26">
        <f>IF(Q15="","",IF(COUNTIFS($E$5:$E$3004,E15,$A$5:$A$3004,"&gt;"&amp;A15,$H$5:$H$3004,"&lt;&gt;Falta",$H$5:$H$3004,"&lt;&gt;Cancelado",$H$5:$H$3004,"&lt;&gt;Remarcado")&gt;0,"Sim","Não"))</f>
        <v/>
      </c>
      <c r="S15" s="32">
        <f>IF(R15&lt;&gt;"Não","",IF(Q15+Config!$B$9&lt;=Config!$B$8,Config!$B$8-Q15,""))</f>
        <v/>
      </c>
      <c r="T15" s="26">
        <f>IF(S15="","","Sim")</f>
        <v/>
      </c>
      <c r="U15" s="41">
        <f>IF(T15="Sim",S15+ROW()/100000,0)</f>
        <v>0</v>
      </c>
      <c r="V15" s="41">
        <f>IF(AND(H15="Falta",L15=Config!$B$7,M15=Config!$B$5,COUNTIFS($E$5:E15,E15,$H$5:H15,"Falta",$L$5:L15,Config!$B$7,$M$5:M15,Config!$B$5)=1),COUNTIFS($E$5:$E$3004,E15,$H$5:$H$3004,"Falta",$L$5:$L$3004,Config!$B$7,$M$5:$M$3004,Config!$B$5)*1000-ROW()/100000,0)</f>
        <v>0</v>
      </c>
    </row>
    <row r="16">
      <c r="A16" s="39" t="n">
        <v>46174</v>
      </c>
      <c r="B16" s="40" t="n">
        <v>0.7152777777777778</v>
      </c>
      <c r="C16" s="35" t="inlineStr">
        <is>
          <t>Dr. Paulo Andrade</t>
        </is>
      </c>
      <c r="D16" s="35" t="inlineStr">
        <is>
          <t>Sala 2</t>
        </is>
      </c>
      <c r="E16" s="34" t="inlineStr">
        <is>
          <t>Fábio Martins</t>
        </is>
      </c>
      <c r="F16" s="35" t="inlineStr">
        <is>
          <t>MediPlan</t>
        </is>
      </c>
      <c r="G16" s="35" t="inlineStr">
        <is>
          <t>Retorno</t>
        </is>
      </c>
      <c r="H16" s="35" t="inlineStr">
        <is>
          <t>Realizado</t>
        </is>
      </c>
      <c r="I16" s="35" t="inlineStr">
        <is>
          <t>Sem cobrança</t>
        </is>
      </c>
      <c r="J16" s="35" t="n"/>
      <c r="K16" s="34" t="n"/>
      <c r="L16" s="26">
        <f>IF(A16="","",MONTH(A16))</f>
        <v>6</v>
      </c>
      <c r="M16" s="26">
        <f>IF(A16="","",YEAR(A16))</f>
        <v>2026</v>
      </c>
      <c r="N16" s="26" t="str">
        <f>IF(A16="","",CHOOSE(WEEKDAY(A16,2),"Segunda","Terça","Quarta","Quinta","Sexta","Sábado","Domingo"))</f>
        <v>Segunda</v>
      </c>
      <c r="O16" s="26" t="str">
        <f>IF(B16="","",IF(B16&lt;TIME(12,0,0),"Manhã",IF(B16&lt;TIME(18,0,0),"Tarde","Noite")))</f>
        <v>Tarde</v>
      </c>
      <c r="P16" s="32">
        <f>IF(G16="","",IFERROR(INDEX(Config!$I$5:$I$16,MATCH(G16,Config!$H$5:$H$16,0)),0))</f>
        <v>0</v>
      </c>
      <c r="Q16" s="30">
        <f>IF(OR(H16&lt;&gt;"Realizado",P16="",P16=0),"",A16+P16)</f>
        <v/>
      </c>
      <c r="R16" s="26">
        <f>IF(Q16="","",IF(COUNTIFS($E$5:$E$3004,E16,$A$5:$A$3004,"&gt;"&amp;A16,$H$5:$H$3004,"&lt;&gt;Falta",$H$5:$H$3004,"&lt;&gt;Cancelado",$H$5:$H$3004,"&lt;&gt;Remarcado")&gt;0,"Sim","Não"))</f>
        <v/>
      </c>
      <c r="S16" s="32">
        <f>IF(R16&lt;&gt;"Não","",IF(Q16+Config!$B$9&lt;=Config!$B$8,Config!$B$8-Q16,""))</f>
        <v/>
      </c>
      <c r="T16" s="26">
        <f>IF(S16="","","Sim")</f>
        <v/>
      </c>
      <c r="U16" s="41">
        <f>IF(T16="Sim",S16+ROW()/100000,0)</f>
        <v>0</v>
      </c>
      <c r="V16" s="41">
        <f>IF(AND(H16="Falta",L16=Config!$B$7,M16=Config!$B$5,COUNTIFS($E$5:E16,E16,$H$5:H16,"Falta",$L$5:L16,Config!$B$7,$M$5:M16,Config!$B$5)=1),COUNTIFS($E$5:$E$3004,E16,$H$5:$H$3004,"Falta",$L$5:$L$3004,Config!$B$7,$M$5:$M$3004,Config!$B$5)*1000-ROW()/100000,0)</f>
        <v>0</v>
      </c>
    </row>
    <row r="17">
      <c r="A17" s="39" t="n">
        <v>46174</v>
      </c>
      <c r="B17" s="40" t="n">
        <v>0.7291666666666666</v>
      </c>
      <c r="C17" s="35" t="inlineStr">
        <is>
          <t>Dr. Paulo Andrade</t>
        </is>
      </c>
      <c r="D17" s="35" t="inlineStr">
        <is>
          <t>Sala 2</t>
        </is>
      </c>
      <c r="E17" s="34" t="inlineStr">
        <is>
          <t>Leandro Ferreira</t>
        </is>
      </c>
      <c r="F17" s="35" t="inlineStr">
        <is>
          <t>Saúde Total</t>
        </is>
      </c>
      <c r="G17" s="35" t="inlineStr">
        <is>
          <t>Holter</t>
        </is>
      </c>
      <c r="H17" s="35" t="inlineStr">
        <is>
          <t>Realizado</t>
        </is>
      </c>
      <c r="I17" s="35" t="inlineStr">
        <is>
          <t>Convênio</t>
        </is>
      </c>
      <c r="J17" s="35" t="n"/>
      <c r="K17" s="34" t="n"/>
      <c r="L17" s="26">
        <f>IF(A17="","",MONTH(A17))</f>
        <v>6</v>
      </c>
      <c r="M17" s="26">
        <f>IF(A17="","",YEAR(A17))</f>
        <v>2026</v>
      </c>
      <c r="N17" s="26" t="str">
        <f>IF(A17="","",CHOOSE(WEEKDAY(A17,2),"Segunda","Terça","Quarta","Quinta","Sexta","Sábado","Domingo"))</f>
        <v>Segunda</v>
      </c>
      <c r="O17" s="26" t="str">
        <f>IF(B17="","",IF(B17&lt;TIME(12,0,0),"Manhã",IF(B17&lt;TIME(18,0,0),"Tarde","Noite")))</f>
        <v>Tarde</v>
      </c>
      <c r="P17" s="32">
        <f>IF(G17="","",IFERROR(INDEX(Config!$I$5:$I$16,MATCH(G17,Config!$H$5:$H$16,0)),0))</f>
        <v>0</v>
      </c>
      <c r="Q17" s="30">
        <f>IF(OR(H17&lt;&gt;"Realizado",P17="",P17=0),"",A17+P17)</f>
        <v/>
      </c>
      <c r="R17" s="26">
        <f>IF(Q17="","",IF(COUNTIFS($E$5:$E$3004,E17,$A$5:$A$3004,"&gt;"&amp;A17,$H$5:$H$3004,"&lt;&gt;Falta",$H$5:$H$3004,"&lt;&gt;Cancelado",$H$5:$H$3004,"&lt;&gt;Remarcado")&gt;0,"Sim","Não"))</f>
        <v/>
      </c>
      <c r="S17" s="32">
        <f>IF(R17&lt;&gt;"Não","",IF(Q17+Config!$B$9&lt;=Config!$B$8,Config!$B$8-Q17,""))</f>
        <v/>
      </c>
      <c r="T17" s="26">
        <f>IF(S17="","","Sim")</f>
        <v/>
      </c>
      <c r="U17" s="41">
        <f>IF(T17="Sim",S17+ROW()/100000,0)</f>
        <v>0</v>
      </c>
      <c r="V17" s="41">
        <f>IF(AND(H17="Falta",L17=Config!$B$7,M17=Config!$B$5,COUNTIFS($E$5:E17,E17,$H$5:H17,"Falta",$L$5:L17,Config!$B$7,$M$5:M17,Config!$B$5)=1),COUNTIFS($E$5:$E$3004,E17,$H$5:$H$3004,"Falta",$L$5:$L$3004,Config!$B$7,$M$5:$M$3004,Config!$B$5)*1000-ROW()/100000,0)</f>
        <v>0</v>
      </c>
    </row>
    <row r="18">
      <c r="A18" s="39" t="n">
        <v>46175</v>
      </c>
      <c r="B18" s="40" t="n">
        <v>0.3333333333333333</v>
      </c>
      <c r="C18" s="35" t="inlineStr">
        <is>
          <t>Dra. Carolina Mendes</t>
        </is>
      </c>
      <c r="D18" s="35" t="inlineStr">
        <is>
          <t>Sala 1</t>
        </is>
      </c>
      <c r="E18" s="34" t="inlineStr">
        <is>
          <t>Ricardo Melo</t>
        </is>
      </c>
      <c r="F18" s="35" t="inlineStr">
        <is>
          <t>Saúde Total</t>
        </is>
      </c>
      <c r="G18" s="35" t="inlineStr">
        <is>
          <t>Retorno</t>
        </is>
      </c>
      <c r="H18" s="35" t="inlineStr">
        <is>
          <t>Realizado</t>
        </is>
      </c>
      <c r="I18" s="35" t="inlineStr">
        <is>
          <t>Sem cobrança</t>
        </is>
      </c>
      <c r="J18" s="35" t="n"/>
      <c r="K18" s="34" t="n"/>
      <c r="L18" s="26">
        <f>IF(A18="","",MONTH(A18))</f>
        <v>6</v>
      </c>
      <c r="M18" s="26">
        <f>IF(A18="","",YEAR(A18))</f>
        <v>2026</v>
      </c>
      <c r="N18" s="26" t="str">
        <f>IF(A18="","",CHOOSE(WEEKDAY(A18,2),"Segunda","Terça","Quarta","Quinta","Sexta","Sábado","Domingo"))</f>
        <v>Terça</v>
      </c>
      <c r="O18" s="26" t="str">
        <f>IF(B18="","",IF(B18&lt;TIME(12,0,0),"Manhã",IF(B18&lt;TIME(18,0,0),"Tarde","Noite")))</f>
        <v>Manhã</v>
      </c>
      <c r="P18" s="32">
        <f>IF(G18="","",IFERROR(INDEX(Config!$I$5:$I$16,MATCH(G18,Config!$H$5:$H$16,0)),0))</f>
        <v>0</v>
      </c>
      <c r="Q18" s="30">
        <f>IF(OR(H18&lt;&gt;"Realizado",P18="",P18=0),"",A18+P18)</f>
        <v/>
      </c>
      <c r="R18" s="26">
        <f>IF(Q18="","",IF(COUNTIFS($E$5:$E$3004,E18,$A$5:$A$3004,"&gt;"&amp;A18,$H$5:$H$3004,"&lt;&gt;Falta",$H$5:$H$3004,"&lt;&gt;Cancelado",$H$5:$H$3004,"&lt;&gt;Remarcado")&gt;0,"Sim","Não"))</f>
        <v/>
      </c>
      <c r="S18" s="32">
        <f>IF(R18&lt;&gt;"Não","",IF(Q18+Config!$B$9&lt;=Config!$B$8,Config!$B$8-Q18,""))</f>
        <v/>
      </c>
      <c r="T18" s="26">
        <f>IF(S18="","","Sim")</f>
        <v/>
      </c>
      <c r="U18" s="41">
        <f>IF(T18="Sim",S18+ROW()/100000,0)</f>
        <v>0</v>
      </c>
      <c r="V18" s="41">
        <f>IF(AND(H18="Falta",L18=Config!$B$7,M18=Config!$B$5,COUNTIFS($E$5:E18,E18,$H$5:H18,"Falta",$L$5:L18,Config!$B$7,$M$5:M18,Config!$B$5)=1),COUNTIFS($E$5:$E$3004,E18,$H$5:$H$3004,"Falta",$L$5:$L$3004,Config!$B$7,$M$5:$M$3004,Config!$B$5)*1000-ROW()/100000,0)</f>
        <v>0</v>
      </c>
    </row>
    <row r="19">
      <c r="A19" s="39" t="n">
        <v>46175</v>
      </c>
      <c r="B19" s="40" t="n">
        <v>0.3472222222222222</v>
      </c>
      <c r="C19" s="35" t="inlineStr">
        <is>
          <t>Dra. Carolina Mendes</t>
        </is>
      </c>
      <c r="D19" s="35" t="inlineStr">
        <is>
          <t>Sala 1</t>
        </is>
      </c>
      <c r="E19" s="34" t="inlineStr">
        <is>
          <t>Sérgio Batista</t>
        </is>
      </c>
      <c r="F19" s="35" t="inlineStr">
        <is>
          <t>MediPlan</t>
        </is>
      </c>
      <c r="G19" s="35" t="inlineStr">
        <is>
          <t>Consulta</t>
        </is>
      </c>
      <c r="H19" s="35" t="inlineStr">
        <is>
          <t>Realizado</t>
        </is>
      </c>
      <c r="I19" s="35" t="inlineStr">
        <is>
          <t>Convênio</t>
        </is>
      </c>
      <c r="J19" s="35" t="n"/>
      <c r="K19" s="34" t="n"/>
      <c r="L19" s="26">
        <f>IF(A19="","",MONTH(A19))</f>
        <v>6</v>
      </c>
      <c r="M19" s="26">
        <f>IF(A19="","",YEAR(A19))</f>
        <v>2026</v>
      </c>
      <c r="N19" s="26" t="str">
        <f>IF(A19="","",CHOOSE(WEEKDAY(A19,2),"Segunda","Terça","Quarta","Quinta","Sexta","Sábado","Domingo"))</f>
        <v>Terça</v>
      </c>
      <c r="O19" s="26" t="str">
        <f>IF(B19="","",IF(B19&lt;TIME(12,0,0),"Manhã",IF(B19&lt;TIME(18,0,0),"Tarde","Noite")))</f>
        <v>Manhã</v>
      </c>
      <c r="P19" s="32">
        <f>IF(G19="","",IFERROR(INDEX(Config!$I$5:$I$16,MATCH(G19,Config!$H$5:$H$16,0)),0))</f>
        <v>30</v>
      </c>
      <c r="Q19" s="30">
        <f>IF(OR(H19&lt;&gt;"Realizado",P19="",P19=0),"",A19+P19)</f>
        <v>46205.0</v>
      </c>
      <c r="R19" s="26" t="str">
        <f>IF(Q19="","",IF(COUNTIFS($E$5:$E$3004,E19,$A$5:$A$3004,"&gt;"&amp;A19,$H$5:$H$3004,"&lt;&gt;Falta",$H$5:$H$3004,"&lt;&gt;Cancelado",$H$5:$H$3004,"&lt;&gt;Remarcado")&gt;0,"Sim","Não"))</f>
        <v>Sim</v>
      </c>
      <c r="S19" s="32">
        <f>IF(R19&lt;&gt;"Não","",IF(Q19+Config!$B$9&lt;=Config!$B$8,Config!$B$8-Q19,""))</f>
        <v/>
      </c>
      <c r="T19" s="26">
        <f>IF(S19="","","Sim")</f>
        <v/>
      </c>
      <c r="U19" s="41">
        <f>IF(T19="Sim",S19+ROW()/100000,0)</f>
        <v>0</v>
      </c>
      <c r="V19" s="41">
        <f>IF(AND(H19="Falta",L19=Config!$B$7,M19=Config!$B$5,COUNTIFS($E$5:E19,E19,$H$5:H19,"Falta",$L$5:L19,Config!$B$7,$M$5:M19,Config!$B$5)=1),COUNTIFS($E$5:$E$3004,E19,$H$5:$H$3004,"Falta",$L$5:$L$3004,Config!$B$7,$M$5:$M$3004,Config!$B$5)*1000-ROW()/100000,0)</f>
        <v>0</v>
      </c>
    </row>
    <row r="20">
      <c r="A20" s="39" t="n">
        <v>46175</v>
      </c>
      <c r="B20" s="40" t="n">
        <v>0.3680555555555556</v>
      </c>
      <c r="C20" s="35" t="inlineStr">
        <is>
          <t>Dra. Carolina Mendes</t>
        </is>
      </c>
      <c r="D20" s="35" t="inlineStr">
        <is>
          <t>Sala 1</t>
        </is>
      </c>
      <c r="E20" s="34" t="inlineStr">
        <is>
          <t>Otávio Nascimento</t>
        </is>
      </c>
      <c r="F20" s="35" t="inlineStr">
        <is>
          <t>Particular</t>
        </is>
      </c>
      <c r="G20" s="35" t="inlineStr">
        <is>
          <t>Consulta</t>
        </is>
      </c>
      <c r="H20" s="35" t="inlineStr">
        <is>
          <t>Realizado</t>
        </is>
      </c>
      <c r="I20" s="35" t="inlineStr">
        <is>
          <t>Cartão de crédito</t>
        </is>
      </c>
      <c r="J20" s="35" t="n"/>
      <c r="K20" s="34" t="n"/>
      <c r="L20" s="26">
        <f>IF(A20="","",MONTH(A20))</f>
        <v>6</v>
      </c>
      <c r="M20" s="26">
        <f>IF(A20="","",YEAR(A20))</f>
        <v>2026</v>
      </c>
      <c r="N20" s="26" t="str">
        <f>IF(A20="","",CHOOSE(WEEKDAY(A20,2),"Segunda","Terça","Quarta","Quinta","Sexta","Sábado","Domingo"))</f>
        <v>Terça</v>
      </c>
      <c r="O20" s="26" t="str">
        <f>IF(B20="","",IF(B20&lt;TIME(12,0,0),"Manhã",IF(B20&lt;TIME(18,0,0),"Tarde","Noite")))</f>
        <v>Manhã</v>
      </c>
      <c r="P20" s="32">
        <f>IF(G20="","",IFERROR(INDEX(Config!$I$5:$I$16,MATCH(G20,Config!$H$5:$H$16,0)),0))</f>
        <v>30</v>
      </c>
      <c r="Q20" s="30">
        <f>IF(OR(H20&lt;&gt;"Realizado",P20="",P20=0),"",A20+P20)</f>
        <v>46205.0</v>
      </c>
      <c r="R20" s="26" t="str">
        <f>IF(Q20="","",IF(COUNTIFS($E$5:$E$3004,E20,$A$5:$A$3004,"&gt;"&amp;A20,$H$5:$H$3004,"&lt;&gt;Falta",$H$5:$H$3004,"&lt;&gt;Cancelado",$H$5:$H$3004,"&lt;&gt;Remarcado")&gt;0,"Sim","Não"))</f>
        <v>Sim</v>
      </c>
      <c r="S20" s="32">
        <f>IF(R20&lt;&gt;"Não","",IF(Q20+Config!$B$9&lt;=Config!$B$8,Config!$B$8-Q20,""))</f>
        <v/>
      </c>
      <c r="T20" s="26">
        <f>IF(S20="","","Sim")</f>
        <v/>
      </c>
      <c r="U20" s="41">
        <f>IF(T20="Sim",S20+ROW()/100000,0)</f>
        <v>0</v>
      </c>
      <c r="V20" s="41">
        <f>IF(AND(H20="Falta",L20=Config!$B$7,M20=Config!$B$5,COUNTIFS($E$5:E20,E20,$H$5:H20,"Falta",$L$5:L20,Config!$B$7,$M$5:M20,Config!$B$5)=1),COUNTIFS($E$5:$E$3004,E20,$H$5:$H$3004,"Falta",$L$5:$L$3004,Config!$B$7,$M$5:$M$3004,Config!$B$5)*1000-ROW()/100000,0)</f>
        <v>0</v>
      </c>
    </row>
    <row r="21">
      <c r="A21" s="39" t="n">
        <v>46175</v>
      </c>
      <c r="B21" s="40" t="n">
        <v>0.3888888888888889</v>
      </c>
      <c r="C21" s="35" t="inlineStr">
        <is>
          <t>Dra. Carolina Mendes</t>
        </is>
      </c>
      <c r="D21" s="35" t="inlineStr">
        <is>
          <t>Sala 1</t>
        </is>
      </c>
      <c r="E21" s="34" t="inlineStr">
        <is>
          <t>Leandro Oliveira</t>
        </is>
      </c>
      <c r="F21" s="35" t="inlineStr">
        <is>
          <t>Particular</t>
        </is>
      </c>
      <c r="G21" s="35" t="inlineStr">
        <is>
          <t>Consulta</t>
        </is>
      </c>
      <c r="H21" s="35" t="inlineStr">
        <is>
          <t>Cancelado</t>
        </is>
      </c>
      <c r="I21" s="35" t="n"/>
      <c r="J21" s="35" t="n"/>
      <c r="K21" s="34" t="n"/>
      <c r="L21" s="26">
        <f>IF(A21="","",MONTH(A21))</f>
        <v>6</v>
      </c>
      <c r="M21" s="26">
        <f>IF(A21="","",YEAR(A21))</f>
        <v>2026</v>
      </c>
      <c r="N21" s="26" t="str">
        <f>IF(A21="","",CHOOSE(WEEKDAY(A21,2),"Segunda","Terça","Quarta","Quinta","Sexta","Sábado","Domingo"))</f>
        <v>Terça</v>
      </c>
      <c r="O21" s="26" t="str">
        <f>IF(B21="","",IF(B21&lt;TIME(12,0,0),"Manhã",IF(B21&lt;TIME(18,0,0),"Tarde","Noite")))</f>
        <v>Manhã</v>
      </c>
      <c r="P21" s="32">
        <f>IF(G21="","",IFERROR(INDEX(Config!$I$5:$I$16,MATCH(G21,Config!$H$5:$H$16,0)),0))</f>
        <v>30</v>
      </c>
      <c r="Q21" s="30">
        <f>IF(OR(H21&lt;&gt;"Realizado",P21="",P21=0),"",A21+P21)</f>
        <v/>
      </c>
      <c r="R21" s="26">
        <f>IF(Q21="","",IF(COUNTIFS($E$5:$E$3004,E21,$A$5:$A$3004,"&gt;"&amp;A21,$H$5:$H$3004,"&lt;&gt;Falta",$H$5:$H$3004,"&lt;&gt;Cancelado",$H$5:$H$3004,"&lt;&gt;Remarcado")&gt;0,"Sim","Não"))</f>
        <v/>
      </c>
      <c r="S21" s="32">
        <f>IF(R21&lt;&gt;"Não","",IF(Q21+Config!$B$9&lt;=Config!$B$8,Config!$B$8-Q21,""))</f>
        <v/>
      </c>
      <c r="T21" s="26">
        <f>IF(S21="","","Sim")</f>
        <v/>
      </c>
      <c r="U21" s="41">
        <f>IF(T21="Sim",S21+ROW()/100000,0)</f>
        <v>0</v>
      </c>
      <c r="V21" s="41">
        <f>IF(AND(H21="Falta",L21=Config!$B$7,M21=Config!$B$5,COUNTIFS($E$5:E21,E21,$H$5:H21,"Falta",$L$5:L21,Config!$B$7,$M$5:M21,Config!$B$5)=1),COUNTIFS($E$5:$E$3004,E21,$H$5:$H$3004,"Falta",$L$5:$L$3004,Config!$B$7,$M$5:$M$3004,Config!$B$5)*1000-ROW()/100000,0)</f>
        <v>0</v>
      </c>
    </row>
    <row r="22">
      <c r="A22" s="39" t="n">
        <v>46175</v>
      </c>
      <c r="B22" s="40" t="n">
        <v>0.4097222222222222</v>
      </c>
      <c r="C22" s="35" t="inlineStr">
        <is>
          <t>Dra. Carolina Mendes</t>
        </is>
      </c>
      <c r="D22" s="35" t="inlineStr">
        <is>
          <t>Sala 1</t>
        </is>
      </c>
      <c r="E22" s="34" t="inlineStr">
        <is>
          <t>Leandro Oliveira</t>
        </is>
      </c>
      <c r="F22" s="35" t="inlineStr">
        <is>
          <t>Particular</t>
        </is>
      </c>
      <c r="G22" s="35" t="inlineStr">
        <is>
          <t>Consulta</t>
        </is>
      </c>
      <c r="H22" s="35" t="inlineStr">
        <is>
          <t>Realizado</t>
        </is>
      </c>
      <c r="I22" s="35" t="inlineStr">
        <is>
          <t>Pix</t>
        </is>
      </c>
      <c r="J22" s="35" t="n"/>
      <c r="K22" s="34" t="n"/>
      <c r="L22" s="26">
        <f>IF(A22="","",MONTH(A22))</f>
        <v>6</v>
      </c>
      <c r="M22" s="26">
        <f>IF(A22="","",YEAR(A22))</f>
        <v>2026</v>
      </c>
      <c r="N22" s="26" t="str">
        <f>IF(A22="","",CHOOSE(WEEKDAY(A22,2),"Segunda","Terça","Quarta","Quinta","Sexta","Sábado","Domingo"))</f>
        <v>Terça</v>
      </c>
      <c r="O22" s="26" t="str">
        <f>IF(B22="","",IF(B22&lt;TIME(12,0,0),"Manhã",IF(B22&lt;TIME(18,0,0),"Tarde","Noite")))</f>
        <v>Manhã</v>
      </c>
      <c r="P22" s="32">
        <f>IF(G22="","",IFERROR(INDEX(Config!$I$5:$I$16,MATCH(G22,Config!$H$5:$H$16,0)),0))</f>
        <v>30</v>
      </c>
      <c r="Q22" s="30">
        <f>IF(OR(H22&lt;&gt;"Realizado",P22="",P22=0),"",A22+P22)</f>
        <v>46205.0</v>
      </c>
      <c r="R22" s="26" t="str">
        <f>IF(Q22="","",IF(COUNTIFS($E$5:$E$3004,E22,$A$5:$A$3004,"&gt;"&amp;A22,$H$5:$H$3004,"&lt;&gt;Falta",$H$5:$H$3004,"&lt;&gt;Cancelado",$H$5:$H$3004,"&lt;&gt;Remarcado")&gt;0,"Sim","Não"))</f>
        <v>Sim</v>
      </c>
      <c r="S22" s="32">
        <f>IF(R22&lt;&gt;"Não","",IF(Q22+Config!$B$9&lt;=Config!$B$8,Config!$B$8-Q22,""))</f>
        <v/>
      </c>
      <c r="T22" s="26">
        <f>IF(S22="","","Sim")</f>
        <v/>
      </c>
      <c r="U22" s="41">
        <f>IF(T22="Sim",S22+ROW()/100000,0)</f>
        <v>0</v>
      </c>
      <c r="V22" s="41">
        <f>IF(AND(H22="Falta",L22=Config!$B$7,M22=Config!$B$5,COUNTIFS($E$5:E22,E22,$H$5:H22,"Falta",$L$5:L22,Config!$B$7,$M$5:M22,Config!$B$5)=1),COUNTIFS($E$5:$E$3004,E22,$H$5:$H$3004,"Falta",$L$5:$L$3004,Config!$B$7,$M$5:$M$3004,Config!$B$5)*1000-ROW()/100000,0)</f>
        <v>0</v>
      </c>
    </row>
    <row r="23">
      <c r="A23" s="39" t="n">
        <v>46175</v>
      </c>
      <c r="B23" s="40" t="n">
        <v>0.4305555555555556</v>
      </c>
      <c r="C23" s="35" t="inlineStr">
        <is>
          <t>Dra. Carolina Mendes</t>
        </is>
      </c>
      <c r="D23" s="35" t="inlineStr">
        <is>
          <t>Sala 1</t>
        </is>
      </c>
      <c r="E23" s="34" t="inlineStr">
        <is>
          <t>Carlos Castro</t>
        </is>
      </c>
      <c r="F23" s="35" t="inlineStr">
        <is>
          <t>Saúde Total</t>
        </is>
      </c>
      <c r="G23" s="35" t="inlineStr">
        <is>
          <t>Consulta</t>
        </is>
      </c>
      <c r="H23" s="35" t="inlineStr">
        <is>
          <t>Realizado</t>
        </is>
      </c>
      <c r="I23" s="35" t="inlineStr">
        <is>
          <t>Convênio</t>
        </is>
      </c>
      <c r="J23" s="35" t="n"/>
      <c r="K23" s="34" t="n"/>
      <c r="L23" s="26">
        <f>IF(A23="","",MONTH(A23))</f>
        <v>6</v>
      </c>
      <c r="M23" s="26">
        <f>IF(A23="","",YEAR(A23))</f>
        <v>2026</v>
      </c>
      <c r="N23" s="26" t="str">
        <f>IF(A23="","",CHOOSE(WEEKDAY(A23,2),"Segunda","Terça","Quarta","Quinta","Sexta","Sábado","Domingo"))</f>
        <v>Terça</v>
      </c>
      <c r="O23" s="26" t="str">
        <f>IF(B23="","",IF(B23&lt;TIME(12,0,0),"Manhã",IF(B23&lt;TIME(18,0,0),"Tarde","Noite")))</f>
        <v>Manhã</v>
      </c>
      <c r="P23" s="32">
        <f>IF(G23="","",IFERROR(INDEX(Config!$I$5:$I$16,MATCH(G23,Config!$H$5:$H$16,0)),0))</f>
        <v>30</v>
      </c>
      <c r="Q23" s="30">
        <f>IF(OR(H23&lt;&gt;"Realizado",P23="",P23=0),"",A23+P23)</f>
        <v>46205.0</v>
      </c>
      <c r="R23" s="26" t="str">
        <f>IF(Q23="","",IF(COUNTIFS($E$5:$E$3004,E23,$A$5:$A$3004,"&gt;"&amp;A23,$H$5:$H$3004,"&lt;&gt;Falta",$H$5:$H$3004,"&lt;&gt;Cancelado",$H$5:$H$3004,"&lt;&gt;Remarcado")&gt;0,"Sim","Não"))</f>
        <v>Sim</v>
      </c>
      <c r="S23" s="32">
        <f>IF(R23&lt;&gt;"Não","",IF(Q23+Config!$B$9&lt;=Config!$B$8,Config!$B$8-Q23,""))</f>
        <v/>
      </c>
      <c r="T23" s="26">
        <f>IF(S23="","","Sim")</f>
        <v/>
      </c>
      <c r="U23" s="41">
        <f>IF(T23="Sim",S23+ROW()/100000,0)</f>
        <v>0</v>
      </c>
      <c r="V23" s="41">
        <f>IF(AND(H23="Falta",L23=Config!$B$7,M23=Config!$B$5,COUNTIFS($E$5:E23,E23,$H$5:H23,"Falta",$L$5:L23,Config!$B$7,$M$5:M23,Config!$B$5)=1),COUNTIFS($E$5:$E$3004,E23,$H$5:$H$3004,"Falta",$L$5:$L$3004,Config!$B$7,$M$5:$M$3004,Config!$B$5)*1000-ROW()/100000,0)</f>
        <v>0</v>
      </c>
    </row>
    <row r="24">
      <c r="A24" s="39" t="n">
        <v>46175</v>
      </c>
      <c r="B24" s="40" t="n">
        <v>0.4513888888888889</v>
      </c>
      <c r="C24" s="35" t="inlineStr">
        <is>
          <t>Dra. Carolina Mendes</t>
        </is>
      </c>
      <c r="D24" s="35" t="inlineStr">
        <is>
          <t>Sala 1</t>
        </is>
      </c>
      <c r="E24" s="34" t="inlineStr">
        <is>
          <t>Cláudia Costa</t>
        </is>
      </c>
      <c r="F24" s="35" t="inlineStr">
        <is>
          <t>Particular</t>
        </is>
      </c>
      <c r="G24" s="35" t="inlineStr">
        <is>
          <t>Consulta</t>
        </is>
      </c>
      <c r="H24" s="35" t="inlineStr">
        <is>
          <t>Realizado</t>
        </is>
      </c>
      <c r="I24" s="35" t="inlineStr">
        <is>
          <t>Pix</t>
        </is>
      </c>
      <c r="J24" s="35" t="n"/>
      <c r="K24" s="34" t="n"/>
      <c r="L24" s="26">
        <f>IF(A24="","",MONTH(A24))</f>
        <v>6</v>
      </c>
      <c r="M24" s="26">
        <f>IF(A24="","",YEAR(A24))</f>
        <v>2026</v>
      </c>
      <c r="N24" s="26" t="str">
        <f>IF(A24="","",CHOOSE(WEEKDAY(A24,2),"Segunda","Terça","Quarta","Quinta","Sexta","Sábado","Domingo"))</f>
        <v>Terça</v>
      </c>
      <c r="O24" s="26" t="str">
        <f>IF(B24="","",IF(B24&lt;TIME(12,0,0),"Manhã",IF(B24&lt;TIME(18,0,0),"Tarde","Noite")))</f>
        <v>Manhã</v>
      </c>
      <c r="P24" s="32">
        <f>IF(G24="","",IFERROR(INDEX(Config!$I$5:$I$16,MATCH(G24,Config!$H$5:$H$16,0)),0))</f>
        <v>30</v>
      </c>
      <c r="Q24" s="30">
        <f>IF(OR(H24&lt;&gt;"Realizado",P24="",P24=0),"",A24+P24)</f>
        <v>46205.0</v>
      </c>
      <c r="R24" s="26" t="str">
        <f>IF(Q24="","",IF(COUNTIFS($E$5:$E$3004,E24,$A$5:$A$3004,"&gt;"&amp;A24,$H$5:$H$3004,"&lt;&gt;Falta",$H$5:$H$3004,"&lt;&gt;Cancelado",$H$5:$H$3004,"&lt;&gt;Remarcado")&gt;0,"Sim","Não"))</f>
        <v>Sim</v>
      </c>
      <c r="S24" s="32">
        <f>IF(R24&lt;&gt;"Não","",IF(Q24+Config!$B$9&lt;=Config!$B$8,Config!$B$8-Q24,""))</f>
        <v/>
      </c>
      <c r="T24" s="26">
        <f>IF(S24="","","Sim")</f>
        <v/>
      </c>
      <c r="U24" s="41">
        <f>IF(T24="Sim",S24+ROW()/100000,0)</f>
        <v>0</v>
      </c>
      <c r="V24" s="41">
        <f>IF(AND(H24="Falta",L24=Config!$B$7,M24=Config!$B$5,COUNTIFS($E$5:E24,E24,$H$5:H24,"Falta",$L$5:L24,Config!$B$7,$M$5:M24,Config!$B$5)=1),COUNTIFS($E$5:$E$3004,E24,$H$5:$H$3004,"Falta",$L$5:$L$3004,Config!$B$7,$M$5:$M$3004,Config!$B$5)*1000-ROW()/100000,0)</f>
        <v>0</v>
      </c>
    </row>
    <row r="25">
      <c r="A25" s="39" t="n">
        <v>46175</v>
      </c>
      <c r="B25" s="40" t="n">
        <v>0.4722222222222222</v>
      </c>
      <c r="C25" s="35" t="inlineStr">
        <is>
          <t>Dra. Carolina Mendes</t>
        </is>
      </c>
      <c r="D25" s="35" t="inlineStr">
        <is>
          <t>Sala 1</t>
        </is>
      </c>
      <c r="E25" s="34" t="inlineStr">
        <is>
          <t>Lucas Xavier</t>
        </is>
      </c>
      <c r="F25" s="35" t="inlineStr">
        <is>
          <t>Saúde Total</t>
        </is>
      </c>
      <c r="G25" s="35" t="inlineStr">
        <is>
          <t>Consulta</t>
        </is>
      </c>
      <c r="H25" s="35" t="inlineStr">
        <is>
          <t>Realizado</t>
        </is>
      </c>
      <c r="I25" s="35" t="inlineStr">
        <is>
          <t>Convênio</t>
        </is>
      </c>
      <c r="J25" s="35" t="n"/>
      <c r="K25" s="34" t="n"/>
      <c r="L25" s="26">
        <f>IF(A25="","",MONTH(A25))</f>
        <v>6</v>
      </c>
      <c r="M25" s="26">
        <f>IF(A25="","",YEAR(A25))</f>
        <v>2026</v>
      </c>
      <c r="N25" s="26" t="str">
        <f>IF(A25="","",CHOOSE(WEEKDAY(A25,2),"Segunda","Terça","Quarta","Quinta","Sexta","Sábado","Domingo"))</f>
        <v>Terça</v>
      </c>
      <c r="O25" s="26" t="str">
        <f>IF(B25="","",IF(B25&lt;TIME(12,0,0),"Manhã",IF(B25&lt;TIME(18,0,0),"Tarde","Noite")))</f>
        <v>Manhã</v>
      </c>
      <c r="P25" s="32">
        <f>IF(G25="","",IFERROR(INDEX(Config!$I$5:$I$16,MATCH(G25,Config!$H$5:$H$16,0)),0))</f>
        <v>30</v>
      </c>
      <c r="Q25" s="30">
        <f>IF(OR(H25&lt;&gt;"Realizado",P25="",P25=0),"",A25+P25)</f>
        <v>46205.0</v>
      </c>
      <c r="R25" s="26" t="str">
        <f>IF(Q25="","",IF(COUNTIFS($E$5:$E$3004,E25,$A$5:$A$3004,"&gt;"&amp;A25,$H$5:$H$3004,"&lt;&gt;Falta",$H$5:$H$3004,"&lt;&gt;Cancelado",$H$5:$H$3004,"&lt;&gt;Remarcado")&gt;0,"Sim","Não"))</f>
        <v>Sim</v>
      </c>
      <c r="S25" s="32">
        <f>IF(R25&lt;&gt;"Não","",IF(Q25+Config!$B$9&lt;=Config!$B$8,Config!$B$8-Q25,""))</f>
        <v/>
      </c>
      <c r="T25" s="26">
        <f>IF(S25="","","Sim")</f>
        <v/>
      </c>
      <c r="U25" s="41">
        <f>IF(T25="Sim",S25+ROW()/100000,0)</f>
        <v>0</v>
      </c>
      <c r="V25" s="41">
        <f>IF(AND(H25="Falta",L25=Config!$B$7,M25=Config!$B$5,COUNTIFS($E$5:E25,E25,$H$5:H25,"Falta",$L$5:L25,Config!$B$7,$M$5:M25,Config!$B$5)=1),COUNTIFS($E$5:$E$3004,E25,$H$5:$H$3004,"Falta",$L$5:$L$3004,Config!$B$7,$M$5:$M$3004,Config!$B$5)*1000-ROW()/100000,0)</f>
        <v>0</v>
      </c>
    </row>
    <row r="26">
      <c r="A26" s="39" t="n">
        <v>46175</v>
      </c>
      <c r="B26" s="40" t="n">
        <v>0.5833333333333334</v>
      </c>
      <c r="C26" s="35" t="inlineStr">
        <is>
          <t>Dra. Renata Sousa</t>
        </is>
      </c>
      <c r="D26" s="35" t="inlineStr">
        <is>
          <t>Sala 1</t>
        </is>
      </c>
      <c r="E26" s="34" t="inlineStr">
        <is>
          <t>Rafael Nascimento</t>
        </is>
      </c>
      <c r="F26" s="35" t="inlineStr">
        <is>
          <t>Saúde Total</t>
        </is>
      </c>
      <c r="G26" s="35" t="inlineStr">
        <is>
          <t>Avaliação endócrina</t>
        </is>
      </c>
      <c r="H26" s="35" t="inlineStr">
        <is>
          <t>Realizado</t>
        </is>
      </c>
      <c r="I26" s="35" t="inlineStr">
        <is>
          <t>Convênio</t>
        </is>
      </c>
      <c r="J26" s="35" t="n"/>
      <c r="K26" s="34" t="n"/>
      <c r="L26" s="26">
        <f>IF(A26="","",MONTH(A26))</f>
        <v>6</v>
      </c>
      <c r="M26" s="26">
        <f>IF(A26="","",YEAR(A26))</f>
        <v>2026</v>
      </c>
      <c r="N26" s="26" t="str">
        <f>IF(A26="","",CHOOSE(WEEKDAY(A26,2),"Segunda","Terça","Quarta","Quinta","Sexta","Sábado","Domingo"))</f>
        <v>Terça</v>
      </c>
      <c r="O26" s="26" t="str">
        <f>IF(B26="","",IF(B26&lt;TIME(12,0,0),"Manhã",IF(B26&lt;TIME(18,0,0),"Tarde","Noite")))</f>
        <v>Tarde</v>
      </c>
      <c r="P26" s="32">
        <f>IF(G26="","",IFERROR(INDEX(Config!$I$5:$I$16,MATCH(G26,Config!$H$5:$H$16,0)),0))</f>
        <v>45</v>
      </c>
      <c r="Q26" s="30">
        <f>IF(OR(H26&lt;&gt;"Realizado",P26="",P26=0),"",A26+P26)</f>
        <v>46220.0</v>
      </c>
      <c r="R26" s="26" t="str">
        <f>IF(Q26="","",IF(COUNTIFS($E$5:$E$3004,E26,$A$5:$A$3004,"&gt;"&amp;A26,$H$5:$H$3004,"&lt;&gt;Falta",$H$5:$H$3004,"&lt;&gt;Cancelado",$H$5:$H$3004,"&lt;&gt;Remarcado")&gt;0,"Sim","Não"))</f>
        <v>Sim</v>
      </c>
      <c r="S26" s="32">
        <f>IF(R26&lt;&gt;"Não","",IF(Q26+Config!$B$9&lt;=Config!$B$8,Config!$B$8-Q26,""))</f>
        <v/>
      </c>
      <c r="T26" s="26">
        <f>IF(S26="","","Sim")</f>
        <v/>
      </c>
      <c r="U26" s="41">
        <f>IF(T26="Sim",S26+ROW()/100000,0)</f>
        <v>0</v>
      </c>
      <c r="V26" s="41">
        <f>IF(AND(H26="Falta",L26=Config!$B$7,M26=Config!$B$5,COUNTIFS($E$5:E26,E26,$H$5:H26,"Falta",$L$5:L26,Config!$B$7,$M$5:M26,Config!$B$5)=1),COUNTIFS($E$5:$E$3004,E26,$H$5:$H$3004,"Falta",$L$5:$L$3004,Config!$B$7,$M$5:$M$3004,Config!$B$5)*1000-ROW()/100000,0)</f>
        <v>0</v>
      </c>
    </row>
    <row r="27">
      <c r="A27" s="39" t="n">
        <v>46175</v>
      </c>
      <c r="B27" s="40" t="n">
        <v>0.5833333333333334</v>
      </c>
      <c r="C27" s="35" t="inlineStr">
        <is>
          <t>Dr. Paulo Andrade</t>
        </is>
      </c>
      <c r="D27" s="35" t="inlineStr">
        <is>
          <t>Sala 2</t>
        </is>
      </c>
      <c r="E27" s="34" t="inlineStr">
        <is>
          <t>Sérgio Teixeira</t>
        </is>
      </c>
      <c r="F27" s="35" t="inlineStr">
        <is>
          <t>MediPlan</t>
        </is>
      </c>
      <c r="G27" s="35" t="inlineStr">
        <is>
          <t>Retorno</t>
        </is>
      </c>
      <c r="H27" s="35" t="inlineStr">
        <is>
          <t>Realizado</t>
        </is>
      </c>
      <c r="I27" s="35" t="inlineStr">
        <is>
          <t>Sem cobrança</t>
        </is>
      </c>
      <c r="J27" s="35" t="n"/>
      <c r="K27" s="34" t="n"/>
      <c r="L27" s="26">
        <f>IF(A27="","",MONTH(A27))</f>
        <v>6</v>
      </c>
      <c r="M27" s="26">
        <f>IF(A27="","",YEAR(A27))</f>
        <v>2026</v>
      </c>
      <c r="N27" s="26" t="str">
        <f>IF(A27="","",CHOOSE(WEEKDAY(A27,2),"Segunda","Terça","Quarta","Quinta","Sexta","Sábado","Domingo"))</f>
        <v>Terça</v>
      </c>
      <c r="O27" s="26" t="str">
        <f>IF(B27="","",IF(B27&lt;TIME(12,0,0),"Manhã",IF(B27&lt;TIME(18,0,0),"Tarde","Noite")))</f>
        <v>Tarde</v>
      </c>
      <c r="P27" s="32">
        <f>IF(G27="","",IFERROR(INDEX(Config!$I$5:$I$16,MATCH(G27,Config!$H$5:$H$16,0)),0))</f>
        <v>0</v>
      </c>
      <c r="Q27" s="30">
        <f>IF(OR(H27&lt;&gt;"Realizado",P27="",P27=0),"",A27+P27)</f>
        <v/>
      </c>
      <c r="R27" s="26">
        <f>IF(Q27="","",IF(COUNTIFS($E$5:$E$3004,E27,$A$5:$A$3004,"&gt;"&amp;A27,$H$5:$H$3004,"&lt;&gt;Falta",$H$5:$H$3004,"&lt;&gt;Cancelado",$H$5:$H$3004,"&lt;&gt;Remarcado")&gt;0,"Sim","Não"))</f>
        <v/>
      </c>
      <c r="S27" s="32">
        <f>IF(R27&lt;&gt;"Não","",IF(Q27+Config!$B$9&lt;=Config!$B$8,Config!$B$8-Q27,""))</f>
        <v/>
      </c>
      <c r="T27" s="26">
        <f>IF(S27="","","Sim")</f>
        <v/>
      </c>
      <c r="U27" s="41">
        <f>IF(T27="Sim",S27+ROW()/100000,0)</f>
        <v>0</v>
      </c>
      <c r="V27" s="41">
        <f>IF(AND(H27="Falta",L27=Config!$B$7,M27=Config!$B$5,COUNTIFS($E$5:E27,E27,$H$5:H27,"Falta",$L$5:L27,Config!$B$7,$M$5:M27,Config!$B$5)=1),COUNTIFS($E$5:$E$3004,E27,$H$5:$H$3004,"Falta",$L$5:$L$3004,Config!$B$7,$M$5:$M$3004,Config!$B$5)*1000-ROW()/100000,0)</f>
        <v>0</v>
      </c>
    </row>
    <row r="28">
      <c r="A28" s="39" t="n">
        <v>46175</v>
      </c>
      <c r="B28" s="40" t="n">
        <v>0.6111111111111112</v>
      </c>
      <c r="C28" s="35" t="inlineStr">
        <is>
          <t>Dra. Renata Sousa</t>
        </is>
      </c>
      <c r="D28" s="35" t="inlineStr">
        <is>
          <t>Sala 1</t>
        </is>
      </c>
      <c r="E28" s="34" t="inlineStr">
        <is>
          <t>Roberta Lima</t>
        </is>
      </c>
      <c r="F28" s="35" t="inlineStr">
        <is>
          <t>Particular</t>
        </is>
      </c>
      <c r="G28" s="35" t="inlineStr">
        <is>
          <t>Retorno</t>
        </is>
      </c>
      <c r="H28" s="35" t="inlineStr">
        <is>
          <t>Realizado</t>
        </is>
      </c>
      <c r="I28" s="35" t="inlineStr">
        <is>
          <t>Sem cobrança</t>
        </is>
      </c>
      <c r="J28" s="35" t="n"/>
      <c r="K28" s="34" t="n"/>
      <c r="L28" s="26">
        <f>IF(A28="","",MONTH(A28))</f>
        <v>6</v>
      </c>
      <c r="M28" s="26">
        <f>IF(A28="","",YEAR(A28))</f>
        <v>2026</v>
      </c>
      <c r="N28" s="26" t="str">
        <f>IF(A28="","",CHOOSE(WEEKDAY(A28,2),"Segunda","Terça","Quarta","Quinta","Sexta","Sábado","Domingo"))</f>
        <v>Terça</v>
      </c>
      <c r="O28" s="26" t="str">
        <f>IF(B28="","",IF(B28&lt;TIME(12,0,0),"Manhã",IF(B28&lt;TIME(18,0,0),"Tarde","Noite")))</f>
        <v>Tarde</v>
      </c>
      <c r="P28" s="32">
        <f>IF(G28="","",IFERROR(INDEX(Config!$I$5:$I$16,MATCH(G28,Config!$H$5:$H$16,0)),0))</f>
        <v>0</v>
      </c>
      <c r="Q28" s="30">
        <f>IF(OR(H28&lt;&gt;"Realizado",P28="",P28=0),"",A28+P28)</f>
        <v/>
      </c>
      <c r="R28" s="26">
        <f>IF(Q28="","",IF(COUNTIFS($E$5:$E$3004,E28,$A$5:$A$3004,"&gt;"&amp;A28,$H$5:$H$3004,"&lt;&gt;Falta",$H$5:$H$3004,"&lt;&gt;Cancelado",$H$5:$H$3004,"&lt;&gt;Remarcado")&gt;0,"Sim","Não"))</f>
        <v/>
      </c>
      <c r="S28" s="32">
        <f>IF(R28&lt;&gt;"Não","",IF(Q28+Config!$B$9&lt;=Config!$B$8,Config!$B$8-Q28,""))</f>
        <v/>
      </c>
      <c r="T28" s="26">
        <f>IF(S28="","","Sim")</f>
        <v/>
      </c>
      <c r="U28" s="41">
        <f>IF(T28="Sim",S28+ROW()/100000,0)</f>
        <v>0</v>
      </c>
      <c r="V28" s="41">
        <f>IF(AND(H28="Falta",L28=Config!$B$7,M28=Config!$B$5,COUNTIFS($E$5:E28,E28,$H$5:H28,"Falta",$L$5:L28,Config!$B$7,$M$5:M28,Config!$B$5)=1),COUNTIFS($E$5:$E$3004,E28,$H$5:$H$3004,"Falta",$L$5:$L$3004,Config!$B$7,$M$5:$M$3004,Config!$B$5)*1000-ROW()/100000,0)</f>
        <v>0</v>
      </c>
    </row>
    <row r="29">
      <c r="A29" s="39" t="n">
        <v>46175</v>
      </c>
      <c r="B29" s="40" t="n">
        <v>0.625</v>
      </c>
      <c r="C29" s="35" t="inlineStr">
        <is>
          <t>Dra. Renata Sousa</t>
        </is>
      </c>
      <c r="D29" s="35" t="inlineStr">
        <is>
          <t>Sala 1</t>
        </is>
      </c>
      <c r="E29" s="34" t="inlineStr">
        <is>
          <t>Beatriz Monteiro</t>
        </is>
      </c>
      <c r="F29" s="35" t="inlineStr">
        <is>
          <t>Particular</t>
        </is>
      </c>
      <c r="G29" s="35" t="inlineStr">
        <is>
          <t>Retorno</t>
        </is>
      </c>
      <c r="H29" s="35" t="inlineStr">
        <is>
          <t>Realizado</t>
        </is>
      </c>
      <c r="I29" s="35" t="inlineStr">
        <is>
          <t>Sem cobrança</t>
        </is>
      </c>
      <c r="J29" s="35" t="n"/>
      <c r="K29" s="34" t="n"/>
      <c r="L29" s="26">
        <f>IF(A29="","",MONTH(A29))</f>
        <v>6</v>
      </c>
      <c r="M29" s="26">
        <f>IF(A29="","",YEAR(A29))</f>
        <v>2026</v>
      </c>
      <c r="N29" s="26" t="str">
        <f>IF(A29="","",CHOOSE(WEEKDAY(A29,2),"Segunda","Terça","Quarta","Quinta","Sexta","Sábado","Domingo"))</f>
        <v>Terça</v>
      </c>
      <c r="O29" s="26" t="str">
        <f>IF(B29="","",IF(B29&lt;TIME(12,0,0),"Manhã",IF(B29&lt;TIME(18,0,0),"Tarde","Noite")))</f>
        <v>Tarde</v>
      </c>
      <c r="P29" s="32">
        <f>IF(G29="","",IFERROR(INDEX(Config!$I$5:$I$16,MATCH(G29,Config!$H$5:$H$16,0)),0))</f>
        <v>0</v>
      </c>
      <c r="Q29" s="30">
        <f>IF(OR(H29&lt;&gt;"Realizado",P29="",P29=0),"",A29+P29)</f>
        <v/>
      </c>
      <c r="R29" s="26">
        <f>IF(Q29="","",IF(COUNTIFS($E$5:$E$3004,E29,$A$5:$A$3004,"&gt;"&amp;A29,$H$5:$H$3004,"&lt;&gt;Falta",$H$5:$H$3004,"&lt;&gt;Cancelado",$H$5:$H$3004,"&lt;&gt;Remarcado")&gt;0,"Sim","Não"))</f>
        <v/>
      </c>
      <c r="S29" s="32">
        <f>IF(R29&lt;&gt;"Não","",IF(Q29+Config!$B$9&lt;=Config!$B$8,Config!$B$8-Q29,""))</f>
        <v/>
      </c>
      <c r="T29" s="26">
        <f>IF(S29="","","Sim")</f>
        <v/>
      </c>
      <c r="U29" s="41">
        <f>IF(T29="Sim",S29+ROW()/100000,0)</f>
        <v>0</v>
      </c>
      <c r="V29" s="41">
        <f>IF(AND(H29="Falta",L29=Config!$B$7,M29=Config!$B$5,COUNTIFS($E$5:E29,E29,$H$5:H29,"Falta",$L$5:L29,Config!$B$7,$M$5:M29,Config!$B$5)=1),COUNTIFS($E$5:$E$3004,E29,$H$5:$H$3004,"Falta",$L$5:$L$3004,Config!$B$7,$M$5:$M$3004,Config!$B$5)*1000-ROW()/100000,0)</f>
        <v>0</v>
      </c>
    </row>
    <row r="30">
      <c r="A30" s="39" t="n">
        <v>46175</v>
      </c>
      <c r="B30" s="40" t="n">
        <v>0.6388888888888888</v>
      </c>
      <c r="C30" s="35" t="inlineStr">
        <is>
          <t>Dra. Renata Sousa</t>
        </is>
      </c>
      <c r="D30" s="35" t="inlineStr">
        <is>
          <t>Sala 1</t>
        </is>
      </c>
      <c r="E30" s="34" t="inlineStr">
        <is>
          <t>Eduardo Pereira</t>
        </is>
      </c>
      <c r="F30" s="35" t="inlineStr">
        <is>
          <t>Particular</t>
        </is>
      </c>
      <c r="G30" s="35" t="inlineStr">
        <is>
          <t>Avaliação endócrina</t>
        </is>
      </c>
      <c r="H30" s="35" t="inlineStr">
        <is>
          <t>Realizado</t>
        </is>
      </c>
      <c r="I30" s="35" t="inlineStr">
        <is>
          <t>Pix</t>
        </is>
      </c>
      <c r="J30" s="35" t="n"/>
      <c r="K30" s="34" t="n"/>
      <c r="L30" s="26">
        <f>IF(A30="","",MONTH(A30))</f>
        <v>6</v>
      </c>
      <c r="M30" s="26">
        <f>IF(A30="","",YEAR(A30))</f>
        <v>2026</v>
      </c>
      <c r="N30" s="26" t="str">
        <f>IF(A30="","",CHOOSE(WEEKDAY(A30,2),"Segunda","Terça","Quarta","Quinta","Sexta","Sábado","Domingo"))</f>
        <v>Terça</v>
      </c>
      <c r="O30" s="26" t="str">
        <f>IF(B30="","",IF(B30&lt;TIME(12,0,0),"Manhã",IF(B30&lt;TIME(18,0,0),"Tarde","Noite")))</f>
        <v>Tarde</v>
      </c>
      <c r="P30" s="32">
        <f>IF(G30="","",IFERROR(INDEX(Config!$I$5:$I$16,MATCH(G30,Config!$H$5:$H$16,0)),0))</f>
        <v>45</v>
      </c>
      <c r="Q30" s="30">
        <f>IF(OR(H30&lt;&gt;"Realizado",P30="",P30=0),"",A30+P30)</f>
        <v>46220.0</v>
      </c>
      <c r="R30" s="26" t="str">
        <f>IF(Q30="","",IF(COUNTIFS($E$5:$E$3004,E30,$A$5:$A$3004,"&gt;"&amp;A30,$H$5:$H$3004,"&lt;&gt;Falta",$H$5:$H$3004,"&lt;&gt;Cancelado",$H$5:$H$3004,"&lt;&gt;Remarcado")&gt;0,"Sim","Não"))</f>
        <v>Sim</v>
      </c>
      <c r="S30" s="32">
        <f>IF(R30&lt;&gt;"Não","",IF(Q30+Config!$B$9&lt;=Config!$B$8,Config!$B$8-Q30,""))</f>
        <v/>
      </c>
      <c r="T30" s="26">
        <f>IF(S30="","","Sim")</f>
        <v/>
      </c>
      <c r="U30" s="41">
        <f>IF(T30="Sim",S30+ROW()/100000,0)</f>
        <v>0</v>
      </c>
      <c r="V30" s="41">
        <f>IF(AND(H30="Falta",L30=Config!$B$7,M30=Config!$B$5,COUNTIFS($E$5:E30,E30,$H$5:H30,"Falta",$L$5:L30,Config!$B$7,$M$5:M30,Config!$B$5)=1),COUNTIFS($E$5:$E$3004,E30,$H$5:$H$3004,"Falta",$L$5:$L$3004,Config!$B$7,$M$5:$M$3004,Config!$B$5)*1000-ROW()/100000,0)</f>
        <v>0</v>
      </c>
    </row>
    <row r="31">
      <c r="A31" s="39" t="n">
        <v>46175</v>
      </c>
      <c r="B31" s="40" t="n">
        <v>0.6388888888888888</v>
      </c>
      <c r="C31" s="35" t="inlineStr">
        <is>
          <t>Dr. Paulo Andrade</t>
        </is>
      </c>
      <c r="D31" s="35" t="inlineStr">
        <is>
          <t>Sala 2</t>
        </is>
      </c>
      <c r="E31" s="34" t="inlineStr">
        <is>
          <t>Wagner Costa</t>
        </is>
      </c>
      <c r="F31" s="35" t="inlineStr">
        <is>
          <t>Particular</t>
        </is>
      </c>
      <c r="G31" s="35" t="inlineStr">
        <is>
          <t>Consulta</t>
        </is>
      </c>
      <c r="H31" s="35" t="inlineStr">
        <is>
          <t>Realizado</t>
        </is>
      </c>
      <c r="I31" s="35" t="inlineStr">
        <is>
          <t>A prazo</t>
        </is>
      </c>
      <c r="J31" s="35" t="n"/>
      <c r="K31" s="34" t="n"/>
      <c r="L31" s="26">
        <f>IF(A31="","",MONTH(A31))</f>
        <v>6</v>
      </c>
      <c r="M31" s="26">
        <f>IF(A31="","",YEAR(A31))</f>
        <v>2026</v>
      </c>
      <c r="N31" s="26" t="str">
        <f>IF(A31="","",CHOOSE(WEEKDAY(A31,2),"Segunda","Terça","Quarta","Quinta","Sexta","Sábado","Domingo"))</f>
        <v>Terça</v>
      </c>
      <c r="O31" s="26" t="str">
        <f>IF(B31="","",IF(B31&lt;TIME(12,0,0),"Manhã",IF(B31&lt;TIME(18,0,0),"Tarde","Noite")))</f>
        <v>Tarde</v>
      </c>
      <c r="P31" s="32">
        <f>IF(G31="","",IFERROR(INDEX(Config!$I$5:$I$16,MATCH(G31,Config!$H$5:$H$16,0)),0))</f>
        <v>30</v>
      </c>
      <c r="Q31" s="30">
        <f>IF(OR(H31&lt;&gt;"Realizado",P31="",P31=0),"",A31+P31)</f>
        <v>46205.0</v>
      </c>
      <c r="R31" s="26" t="str">
        <f>IF(Q31="","",IF(COUNTIFS($E$5:$E$3004,E31,$A$5:$A$3004,"&gt;"&amp;A31,$H$5:$H$3004,"&lt;&gt;Falta",$H$5:$H$3004,"&lt;&gt;Cancelado",$H$5:$H$3004,"&lt;&gt;Remarcado")&gt;0,"Sim","Não"))</f>
        <v>Sim</v>
      </c>
      <c r="S31" s="32">
        <f>IF(R31&lt;&gt;"Não","",IF(Q31+Config!$B$9&lt;=Config!$B$8,Config!$B$8-Q31,""))</f>
        <v/>
      </c>
      <c r="T31" s="26">
        <f>IF(S31="","","Sim")</f>
        <v/>
      </c>
      <c r="U31" s="41">
        <f>IF(T31="Sim",S31+ROW()/100000,0)</f>
        <v>0</v>
      </c>
      <c r="V31" s="41">
        <f>IF(AND(H31="Falta",L31=Config!$B$7,M31=Config!$B$5,COUNTIFS($E$5:E31,E31,$H$5:H31,"Falta",$L$5:L31,Config!$B$7,$M$5:M31,Config!$B$5)=1),COUNTIFS($E$5:$E$3004,E31,$H$5:$H$3004,"Falta",$L$5:$L$3004,Config!$B$7,$M$5:$M$3004,Config!$B$5)*1000-ROW()/100000,0)</f>
        <v>0</v>
      </c>
    </row>
    <row r="32">
      <c r="A32" s="39" t="n">
        <v>46175</v>
      </c>
      <c r="B32" s="40" t="n">
        <v>0.6597222222222222</v>
      </c>
      <c r="C32" s="35" t="inlineStr">
        <is>
          <t>Dr. Paulo Andrade</t>
        </is>
      </c>
      <c r="D32" s="35" t="inlineStr">
        <is>
          <t>Sala 2</t>
        </is>
      </c>
      <c r="E32" s="34" t="inlineStr">
        <is>
          <t>Fábio Correia</t>
        </is>
      </c>
      <c r="F32" s="35" t="inlineStr">
        <is>
          <t>Particular</t>
        </is>
      </c>
      <c r="G32" s="35" t="inlineStr">
        <is>
          <t>Retorno</t>
        </is>
      </c>
      <c r="H32" s="35" t="inlineStr">
        <is>
          <t>Realizado</t>
        </is>
      </c>
      <c r="I32" s="35" t="inlineStr">
        <is>
          <t>Sem cobrança</t>
        </is>
      </c>
      <c r="J32" s="35" t="n"/>
      <c r="K32" s="34" t="n"/>
      <c r="L32" s="26">
        <f>IF(A32="","",MONTH(A32))</f>
        <v>6</v>
      </c>
      <c r="M32" s="26">
        <f>IF(A32="","",YEAR(A32))</f>
        <v>2026</v>
      </c>
      <c r="N32" s="26" t="str">
        <f>IF(A32="","",CHOOSE(WEEKDAY(A32,2),"Segunda","Terça","Quarta","Quinta","Sexta","Sábado","Domingo"))</f>
        <v>Terça</v>
      </c>
      <c r="O32" s="26" t="str">
        <f>IF(B32="","",IF(B32&lt;TIME(12,0,0),"Manhã",IF(B32&lt;TIME(18,0,0),"Tarde","Noite")))</f>
        <v>Tarde</v>
      </c>
      <c r="P32" s="32">
        <f>IF(G32="","",IFERROR(INDEX(Config!$I$5:$I$16,MATCH(G32,Config!$H$5:$H$16,0)),0))</f>
        <v>0</v>
      </c>
      <c r="Q32" s="30">
        <f>IF(OR(H32&lt;&gt;"Realizado",P32="",P32=0),"",A32+P32)</f>
        <v/>
      </c>
      <c r="R32" s="26">
        <f>IF(Q32="","",IF(COUNTIFS($E$5:$E$3004,E32,$A$5:$A$3004,"&gt;"&amp;A32,$H$5:$H$3004,"&lt;&gt;Falta",$H$5:$H$3004,"&lt;&gt;Cancelado",$H$5:$H$3004,"&lt;&gt;Remarcado")&gt;0,"Sim","Não"))</f>
        <v/>
      </c>
      <c r="S32" s="32">
        <f>IF(R32&lt;&gt;"Não","",IF(Q32+Config!$B$9&lt;=Config!$B$8,Config!$B$8-Q32,""))</f>
        <v/>
      </c>
      <c r="T32" s="26">
        <f>IF(S32="","","Sim")</f>
        <v/>
      </c>
      <c r="U32" s="41">
        <f>IF(T32="Sim",S32+ROW()/100000,0)</f>
        <v>0</v>
      </c>
      <c r="V32" s="41">
        <f>IF(AND(H32="Falta",L32=Config!$B$7,M32=Config!$B$5,COUNTIFS($E$5:E32,E32,$H$5:H32,"Falta",$L$5:L32,Config!$B$7,$M$5:M32,Config!$B$5)=1),COUNTIFS($E$5:$E$3004,E32,$H$5:$H$3004,"Falta",$L$5:$L$3004,Config!$B$7,$M$5:$M$3004,Config!$B$5)*1000-ROW()/100000,0)</f>
        <v>0</v>
      </c>
    </row>
    <row r="33">
      <c r="A33" s="39" t="n">
        <v>46175</v>
      </c>
      <c r="B33" s="40" t="n">
        <v>0.6666666666666666</v>
      </c>
      <c r="C33" s="35" t="inlineStr">
        <is>
          <t>Dra. Renata Sousa</t>
        </is>
      </c>
      <c r="D33" s="35" t="inlineStr">
        <is>
          <t>Sala 1</t>
        </is>
      </c>
      <c r="E33" s="34" t="inlineStr">
        <is>
          <t>Rafael Pereira</t>
        </is>
      </c>
      <c r="F33" s="35" t="inlineStr">
        <is>
          <t>Particular</t>
        </is>
      </c>
      <c r="G33" s="35" t="inlineStr">
        <is>
          <t>Avaliação endócrina</t>
        </is>
      </c>
      <c r="H33" s="35" t="inlineStr">
        <is>
          <t>Realizado</t>
        </is>
      </c>
      <c r="I33" s="35" t="inlineStr">
        <is>
          <t>Pix</t>
        </is>
      </c>
      <c r="J33" s="35" t="n"/>
      <c r="K33" s="34" t="n"/>
      <c r="L33" s="26">
        <f>IF(A33="","",MONTH(A33))</f>
        <v>6</v>
      </c>
      <c r="M33" s="26">
        <f>IF(A33="","",YEAR(A33))</f>
        <v>2026</v>
      </c>
      <c r="N33" s="26" t="str">
        <f>IF(A33="","",CHOOSE(WEEKDAY(A33,2),"Segunda","Terça","Quarta","Quinta","Sexta","Sábado","Domingo"))</f>
        <v>Terça</v>
      </c>
      <c r="O33" s="26" t="str">
        <f>IF(B33="","",IF(B33&lt;TIME(12,0,0),"Manhã",IF(B33&lt;TIME(18,0,0),"Tarde","Noite")))</f>
        <v>Tarde</v>
      </c>
      <c r="P33" s="32">
        <f>IF(G33="","",IFERROR(INDEX(Config!$I$5:$I$16,MATCH(G33,Config!$H$5:$H$16,0)),0))</f>
        <v>45</v>
      </c>
      <c r="Q33" s="30">
        <f>IF(OR(H33&lt;&gt;"Realizado",P33="",P33=0),"",A33+P33)</f>
        <v>46220.0</v>
      </c>
      <c r="R33" s="26" t="str">
        <f>IF(Q33="","",IF(COUNTIFS($E$5:$E$3004,E33,$A$5:$A$3004,"&gt;"&amp;A33,$H$5:$H$3004,"&lt;&gt;Falta",$H$5:$H$3004,"&lt;&gt;Cancelado",$H$5:$H$3004,"&lt;&gt;Remarcado")&gt;0,"Sim","Não"))</f>
        <v>Sim</v>
      </c>
      <c r="S33" s="32">
        <f>IF(R33&lt;&gt;"Não","",IF(Q33+Config!$B$9&lt;=Config!$B$8,Config!$B$8-Q33,""))</f>
        <v/>
      </c>
      <c r="T33" s="26">
        <f>IF(S33="","","Sim")</f>
        <v/>
      </c>
      <c r="U33" s="41">
        <f>IF(T33="Sim",S33+ROW()/100000,0)</f>
        <v>0</v>
      </c>
      <c r="V33" s="41">
        <f>IF(AND(H33="Falta",L33=Config!$B$7,M33=Config!$B$5,COUNTIFS($E$5:E33,E33,$H$5:H33,"Falta",$L$5:L33,Config!$B$7,$M$5:M33,Config!$B$5)=1),COUNTIFS($E$5:$E$3004,E33,$H$5:$H$3004,"Falta",$L$5:$L$3004,Config!$B$7,$M$5:$M$3004,Config!$B$5)*1000-ROW()/100000,0)</f>
        <v>0</v>
      </c>
    </row>
    <row r="34">
      <c r="A34" s="39" t="n">
        <v>46175</v>
      </c>
      <c r="B34" s="40" t="n">
        <v>0.6736111111111112</v>
      </c>
      <c r="C34" s="35" t="inlineStr">
        <is>
          <t>Dr. Paulo Andrade</t>
        </is>
      </c>
      <c r="D34" s="35" t="inlineStr">
        <is>
          <t>Sala 2</t>
        </is>
      </c>
      <c r="E34" s="34" t="inlineStr">
        <is>
          <t>Marcelo Moreira</t>
        </is>
      </c>
      <c r="F34" s="35" t="inlineStr">
        <is>
          <t>Particular</t>
        </is>
      </c>
      <c r="G34" s="35" t="inlineStr">
        <is>
          <t>MAPA</t>
        </is>
      </c>
      <c r="H34" s="35" t="inlineStr">
        <is>
          <t>Realizado</t>
        </is>
      </c>
      <c r="I34" s="35" t="inlineStr">
        <is>
          <t>A prazo</t>
        </is>
      </c>
      <c r="J34" s="35" t="n"/>
      <c r="K34" s="34" t="n"/>
      <c r="L34" s="26">
        <f>IF(A34="","",MONTH(A34))</f>
        <v>6</v>
      </c>
      <c r="M34" s="26">
        <f>IF(A34="","",YEAR(A34))</f>
        <v>2026</v>
      </c>
      <c r="N34" s="26" t="str">
        <f>IF(A34="","",CHOOSE(WEEKDAY(A34,2),"Segunda","Terça","Quarta","Quinta","Sexta","Sábado","Domingo"))</f>
        <v>Terça</v>
      </c>
      <c r="O34" s="26" t="str">
        <f>IF(B34="","",IF(B34&lt;TIME(12,0,0),"Manhã",IF(B34&lt;TIME(18,0,0),"Tarde","Noite")))</f>
        <v>Tarde</v>
      </c>
      <c r="P34" s="32">
        <f>IF(G34="","",IFERROR(INDEX(Config!$I$5:$I$16,MATCH(G34,Config!$H$5:$H$16,0)),0))</f>
        <v>0</v>
      </c>
      <c r="Q34" s="30">
        <f>IF(OR(H34&lt;&gt;"Realizado",P34="",P34=0),"",A34+P34)</f>
        <v/>
      </c>
      <c r="R34" s="26">
        <f>IF(Q34="","",IF(COUNTIFS($E$5:$E$3004,E34,$A$5:$A$3004,"&gt;"&amp;A34,$H$5:$H$3004,"&lt;&gt;Falta",$H$5:$H$3004,"&lt;&gt;Cancelado",$H$5:$H$3004,"&lt;&gt;Remarcado")&gt;0,"Sim","Não"))</f>
        <v/>
      </c>
      <c r="S34" s="32">
        <f>IF(R34&lt;&gt;"Não","",IF(Q34+Config!$B$9&lt;=Config!$B$8,Config!$B$8-Q34,""))</f>
        <v/>
      </c>
      <c r="T34" s="26">
        <f>IF(S34="","","Sim")</f>
        <v/>
      </c>
      <c r="U34" s="41">
        <f>IF(T34="Sim",S34+ROW()/100000,0)</f>
        <v>0</v>
      </c>
      <c r="V34" s="41">
        <f>IF(AND(H34="Falta",L34=Config!$B$7,M34=Config!$B$5,COUNTIFS($E$5:E34,E34,$H$5:H34,"Falta",$L$5:L34,Config!$B$7,$M$5:M34,Config!$B$5)=1),COUNTIFS($E$5:$E$3004,E34,$H$5:$H$3004,"Falta",$L$5:$L$3004,Config!$B$7,$M$5:$M$3004,Config!$B$5)*1000-ROW()/100000,0)</f>
        <v>0</v>
      </c>
    </row>
    <row r="35">
      <c r="A35" s="39" t="n">
        <v>46175</v>
      </c>
      <c r="B35" s="40" t="n">
        <v>0.6875</v>
      </c>
      <c r="C35" s="35" t="inlineStr">
        <is>
          <t>Dr. Paulo Andrade</t>
        </is>
      </c>
      <c r="D35" s="35" t="inlineStr">
        <is>
          <t>Sala 2</t>
        </is>
      </c>
      <c r="E35" s="34" t="inlineStr">
        <is>
          <t>Leandro Cardoso</t>
        </is>
      </c>
      <c r="F35" s="35" t="inlineStr">
        <is>
          <t>MediPlan</t>
        </is>
      </c>
      <c r="G35" s="35" t="inlineStr">
        <is>
          <t>Consulta</t>
        </is>
      </c>
      <c r="H35" s="35" t="inlineStr">
        <is>
          <t>Realizado</t>
        </is>
      </c>
      <c r="I35" s="35" t="inlineStr">
        <is>
          <t>Convênio</t>
        </is>
      </c>
      <c r="J35" s="35" t="n"/>
      <c r="K35" s="34" t="n"/>
      <c r="L35" s="26">
        <f>IF(A35="","",MONTH(A35))</f>
        <v>6</v>
      </c>
      <c r="M35" s="26">
        <f>IF(A35="","",YEAR(A35))</f>
        <v>2026</v>
      </c>
      <c r="N35" s="26" t="str">
        <f>IF(A35="","",CHOOSE(WEEKDAY(A35,2),"Segunda","Terça","Quarta","Quinta","Sexta","Sábado","Domingo"))</f>
        <v>Terça</v>
      </c>
      <c r="O35" s="26" t="str">
        <f>IF(B35="","",IF(B35&lt;TIME(12,0,0),"Manhã",IF(B35&lt;TIME(18,0,0),"Tarde","Noite")))</f>
        <v>Tarde</v>
      </c>
      <c r="P35" s="32">
        <f>IF(G35="","",IFERROR(INDEX(Config!$I$5:$I$16,MATCH(G35,Config!$H$5:$H$16,0)),0))</f>
        <v>30</v>
      </c>
      <c r="Q35" s="30">
        <f>IF(OR(H35&lt;&gt;"Realizado",P35="",P35=0),"",A35+P35)</f>
        <v>46205.0</v>
      </c>
      <c r="R35" s="26" t="str">
        <f>IF(Q35="","",IF(COUNTIFS($E$5:$E$3004,E35,$A$5:$A$3004,"&gt;"&amp;A35,$H$5:$H$3004,"&lt;&gt;Falta",$H$5:$H$3004,"&lt;&gt;Cancelado",$H$5:$H$3004,"&lt;&gt;Remarcado")&gt;0,"Sim","Não"))</f>
        <v>Sim</v>
      </c>
      <c r="S35" s="32">
        <f>IF(R35&lt;&gt;"Não","",IF(Q35+Config!$B$9&lt;=Config!$B$8,Config!$B$8-Q35,""))</f>
        <v/>
      </c>
      <c r="T35" s="26">
        <f>IF(S35="","","Sim")</f>
        <v/>
      </c>
      <c r="U35" s="41">
        <f>IF(T35="Sim",S35+ROW()/100000,0)</f>
        <v>0</v>
      </c>
      <c r="V35" s="41">
        <f>IF(AND(H35="Falta",L35=Config!$B$7,M35=Config!$B$5,COUNTIFS($E$5:E35,E35,$H$5:H35,"Falta",$L$5:L35,Config!$B$7,$M$5:M35,Config!$B$5)=1),COUNTIFS($E$5:$E$3004,E35,$H$5:$H$3004,"Falta",$L$5:$L$3004,Config!$B$7,$M$5:$M$3004,Config!$B$5)*1000-ROW()/100000,0)</f>
        <v>0</v>
      </c>
    </row>
    <row r="36">
      <c r="A36" s="39" t="n">
        <v>46175</v>
      </c>
      <c r="B36" s="40" t="n">
        <v>0.7083333333333334</v>
      </c>
      <c r="C36" s="35" t="inlineStr">
        <is>
          <t>Dr. Paulo Andrade</t>
        </is>
      </c>
      <c r="D36" s="35" t="inlineStr">
        <is>
          <t>Sala 2</t>
        </is>
      </c>
      <c r="E36" s="34" t="inlineStr">
        <is>
          <t>Elaine Cardoso</t>
        </is>
      </c>
      <c r="F36" s="35" t="inlineStr">
        <is>
          <t>Particular</t>
        </is>
      </c>
      <c r="G36" s="35" t="inlineStr">
        <is>
          <t>Teste ergométrico</t>
        </is>
      </c>
      <c r="H36" s="35" t="inlineStr">
        <is>
          <t>Realizado</t>
        </is>
      </c>
      <c r="I36" s="35" t="inlineStr">
        <is>
          <t>Cartão de crédito</t>
        </is>
      </c>
      <c r="J36" s="35" t="n">
        <v>2</v>
      </c>
      <c r="K36" s="34" t="n"/>
      <c r="L36" s="26">
        <f>IF(A36="","",MONTH(A36))</f>
        <v>6</v>
      </c>
      <c r="M36" s="26">
        <f>IF(A36="","",YEAR(A36))</f>
        <v>2026</v>
      </c>
      <c r="N36" s="26" t="str">
        <f>IF(A36="","",CHOOSE(WEEKDAY(A36,2),"Segunda","Terça","Quarta","Quinta","Sexta","Sábado","Domingo"))</f>
        <v>Terça</v>
      </c>
      <c r="O36" s="26" t="str">
        <f>IF(B36="","",IF(B36&lt;TIME(12,0,0),"Manhã",IF(B36&lt;TIME(18,0,0),"Tarde","Noite")))</f>
        <v>Tarde</v>
      </c>
      <c r="P36" s="32">
        <f>IF(G36="","",IFERROR(INDEX(Config!$I$5:$I$16,MATCH(G36,Config!$H$5:$H$16,0)),0))</f>
        <v>0</v>
      </c>
      <c r="Q36" s="30">
        <f>IF(OR(H36&lt;&gt;"Realizado",P36="",P36=0),"",A36+P36)</f>
        <v/>
      </c>
      <c r="R36" s="26">
        <f>IF(Q36="","",IF(COUNTIFS($E$5:$E$3004,E36,$A$5:$A$3004,"&gt;"&amp;A36,$H$5:$H$3004,"&lt;&gt;Falta",$H$5:$H$3004,"&lt;&gt;Cancelado",$H$5:$H$3004,"&lt;&gt;Remarcado")&gt;0,"Sim","Não"))</f>
        <v/>
      </c>
      <c r="S36" s="32">
        <f>IF(R36&lt;&gt;"Não","",IF(Q36+Config!$B$9&lt;=Config!$B$8,Config!$B$8-Q36,""))</f>
        <v/>
      </c>
      <c r="T36" s="26">
        <f>IF(S36="","","Sim")</f>
        <v/>
      </c>
      <c r="U36" s="41">
        <f>IF(T36="Sim",S36+ROW()/100000,0)</f>
        <v>0</v>
      </c>
      <c r="V36" s="41">
        <f>IF(AND(H36="Falta",L36=Config!$B$7,M36=Config!$B$5,COUNTIFS($E$5:E36,E36,$H$5:H36,"Falta",$L$5:L36,Config!$B$7,$M$5:M36,Config!$B$5)=1),COUNTIFS($E$5:$E$3004,E36,$H$5:$H$3004,"Falta",$L$5:$L$3004,Config!$B$7,$M$5:$M$3004,Config!$B$5)*1000-ROW()/100000,0)</f>
        <v>0</v>
      </c>
    </row>
    <row r="37">
      <c r="A37" s="39" t="n">
        <v>46175</v>
      </c>
      <c r="B37" s="40" t="n">
        <v>0.7152777777777778</v>
      </c>
      <c r="C37" s="35" t="inlineStr">
        <is>
          <t>Dra. Renata Sousa</t>
        </is>
      </c>
      <c r="D37" s="35" t="inlineStr">
        <is>
          <t>Sala 1</t>
        </is>
      </c>
      <c r="E37" s="34" t="inlineStr">
        <is>
          <t>Gisele Lopes</t>
        </is>
      </c>
      <c r="F37" s="35" t="inlineStr">
        <is>
          <t>Saúde Total</t>
        </is>
      </c>
      <c r="G37" s="35" t="inlineStr">
        <is>
          <t>Avaliação endócrina</t>
        </is>
      </c>
      <c r="H37" s="35" t="inlineStr">
        <is>
          <t>Realizado</t>
        </is>
      </c>
      <c r="I37" s="35" t="inlineStr">
        <is>
          <t>Convênio</t>
        </is>
      </c>
      <c r="J37" s="35" t="n"/>
      <c r="K37" s="34" t="n"/>
      <c r="L37" s="26">
        <f>IF(A37="","",MONTH(A37))</f>
        <v>6</v>
      </c>
      <c r="M37" s="26">
        <f>IF(A37="","",YEAR(A37))</f>
        <v>2026</v>
      </c>
      <c r="N37" s="26" t="str">
        <f>IF(A37="","",CHOOSE(WEEKDAY(A37,2),"Segunda","Terça","Quarta","Quinta","Sexta","Sábado","Domingo"))</f>
        <v>Terça</v>
      </c>
      <c r="O37" s="26" t="str">
        <f>IF(B37="","",IF(B37&lt;TIME(12,0,0),"Manhã",IF(B37&lt;TIME(18,0,0),"Tarde","Noite")))</f>
        <v>Tarde</v>
      </c>
      <c r="P37" s="32">
        <f>IF(G37="","",IFERROR(INDEX(Config!$I$5:$I$16,MATCH(G37,Config!$H$5:$H$16,0)),0))</f>
        <v>45</v>
      </c>
      <c r="Q37" s="30">
        <f>IF(OR(H37&lt;&gt;"Realizado",P37="",P37=0),"",A37+P37)</f>
        <v>46220.0</v>
      </c>
      <c r="R37" s="26" t="str">
        <f>IF(Q37="","",IF(COUNTIFS($E$5:$E$3004,E37,$A$5:$A$3004,"&gt;"&amp;A37,$H$5:$H$3004,"&lt;&gt;Falta",$H$5:$H$3004,"&lt;&gt;Cancelado",$H$5:$H$3004,"&lt;&gt;Remarcado")&gt;0,"Sim","Não"))</f>
        <v>Sim</v>
      </c>
      <c r="S37" s="32">
        <f>IF(R37&lt;&gt;"Não","",IF(Q37+Config!$B$9&lt;=Config!$B$8,Config!$B$8-Q37,""))</f>
        <v/>
      </c>
      <c r="T37" s="26">
        <f>IF(S37="","","Sim")</f>
        <v/>
      </c>
      <c r="U37" s="41">
        <f>IF(T37="Sim",S37+ROW()/100000,0)</f>
        <v>0</v>
      </c>
      <c r="V37" s="41">
        <f>IF(AND(H37="Falta",L37=Config!$B$7,M37=Config!$B$5,COUNTIFS($E$5:E37,E37,$H$5:H37,"Falta",$L$5:L37,Config!$B$7,$M$5:M37,Config!$B$5)=1),COUNTIFS($E$5:$E$3004,E37,$H$5:$H$3004,"Falta",$L$5:$L$3004,Config!$B$7,$M$5:$M$3004,Config!$B$5)*1000-ROW()/100000,0)</f>
        <v>0</v>
      </c>
    </row>
    <row r="38">
      <c r="A38" s="39" t="n">
        <v>46175</v>
      </c>
      <c r="B38" s="40" t="n">
        <v>0.7361111111111112</v>
      </c>
      <c r="C38" s="35" t="inlineStr">
        <is>
          <t>Dr. Paulo Andrade</t>
        </is>
      </c>
      <c r="D38" s="35" t="inlineStr">
        <is>
          <t>Sala 2</t>
        </is>
      </c>
      <c r="E38" s="34" t="inlineStr">
        <is>
          <t>Camila Batista</t>
        </is>
      </c>
      <c r="F38" s="35" t="inlineStr">
        <is>
          <t>MediPlan</t>
        </is>
      </c>
      <c r="G38" s="35" t="inlineStr">
        <is>
          <t>ECG</t>
        </is>
      </c>
      <c r="H38" s="35" t="inlineStr">
        <is>
          <t>Realizado</t>
        </is>
      </c>
      <c r="I38" s="35" t="inlineStr">
        <is>
          <t>Convênio</t>
        </is>
      </c>
      <c r="J38" s="35" t="n"/>
      <c r="K38" s="34" t="n"/>
      <c r="L38" s="26">
        <f>IF(A38="","",MONTH(A38))</f>
        <v>6</v>
      </c>
      <c r="M38" s="26">
        <f>IF(A38="","",YEAR(A38))</f>
        <v>2026</v>
      </c>
      <c r="N38" s="26" t="str">
        <f>IF(A38="","",CHOOSE(WEEKDAY(A38,2),"Segunda","Terça","Quarta","Quinta","Sexta","Sábado","Domingo"))</f>
        <v>Terça</v>
      </c>
      <c r="O38" s="26" t="str">
        <f>IF(B38="","",IF(B38&lt;TIME(12,0,0),"Manhã",IF(B38&lt;TIME(18,0,0),"Tarde","Noite")))</f>
        <v>Tarde</v>
      </c>
      <c r="P38" s="32">
        <f>IF(G38="","",IFERROR(INDEX(Config!$I$5:$I$16,MATCH(G38,Config!$H$5:$H$16,0)),0))</f>
        <v>0</v>
      </c>
      <c r="Q38" s="30">
        <f>IF(OR(H38&lt;&gt;"Realizado",P38="",P38=0),"",A38+P38)</f>
        <v/>
      </c>
      <c r="R38" s="26">
        <f>IF(Q38="","",IF(COUNTIFS($E$5:$E$3004,E38,$A$5:$A$3004,"&gt;"&amp;A38,$H$5:$H$3004,"&lt;&gt;Falta",$H$5:$H$3004,"&lt;&gt;Cancelado",$H$5:$H$3004,"&lt;&gt;Remarcado")&gt;0,"Sim","Não"))</f>
        <v/>
      </c>
      <c r="S38" s="32">
        <f>IF(R38&lt;&gt;"Não","",IF(Q38+Config!$B$9&lt;=Config!$B$8,Config!$B$8-Q38,""))</f>
        <v/>
      </c>
      <c r="T38" s="26">
        <f>IF(S38="","","Sim")</f>
        <v/>
      </c>
      <c r="U38" s="41">
        <f>IF(T38="Sim",S38+ROW()/100000,0)</f>
        <v>0</v>
      </c>
      <c r="V38" s="41">
        <f>IF(AND(H38="Falta",L38=Config!$B$7,M38=Config!$B$5,COUNTIFS($E$5:E38,E38,$H$5:H38,"Falta",$L$5:L38,Config!$B$7,$M$5:M38,Config!$B$5)=1),COUNTIFS($E$5:$E$3004,E38,$H$5:$H$3004,"Falta",$L$5:$L$3004,Config!$B$7,$M$5:$M$3004,Config!$B$5)*1000-ROW()/100000,0)</f>
        <v>0</v>
      </c>
    </row>
    <row r="39">
      <c r="A39" s="39" t="n">
        <v>46176</v>
      </c>
      <c r="B39" s="40" t="n">
        <v>0.5833333333333334</v>
      </c>
      <c r="C39" s="35" t="inlineStr">
        <is>
          <t>Dra. Carolina Mendes</t>
        </is>
      </c>
      <c r="D39" s="35" t="inlineStr">
        <is>
          <t>Sala 1</t>
        </is>
      </c>
      <c r="E39" s="34" t="inlineStr">
        <is>
          <t>Leandro Gomes</t>
        </is>
      </c>
      <c r="F39" s="35" t="inlineStr">
        <is>
          <t>Saúde Total</t>
        </is>
      </c>
      <c r="G39" s="35" t="inlineStr">
        <is>
          <t>Consulta</t>
        </is>
      </c>
      <c r="H39" s="35" t="inlineStr">
        <is>
          <t>Falta</t>
        </is>
      </c>
      <c r="I39" s="35" t="n"/>
      <c r="J39" s="35" t="n"/>
      <c r="K39" s="34" t="n"/>
      <c r="L39" s="26">
        <f>IF(A39="","",MONTH(A39))</f>
        <v>6</v>
      </c>
      <c r="M39" s="26">
        <f>IF(A39="","",YEAR(A39))</f>
        <v>2026</v>
      </c>
      <c r="N39" s="26" t="str">
        <f>IF(A39="","",CHOOSE(WEEKDAY(A39,2),"Segunda","Terça","Quarta","Quinta","Sexta","Sábado","Domingo"))</f>
        <v>Quarta</v>
      </c>
      <c r="O39" s="26" t="str">
        <f>IF(B39="","",IF(B39&lt;TIME(12,0,0),"Manhã",IF(B39&lt;TIME(18,0,0),"Tarde","Noite")))</f>
        <v>Tarde</v>
      </c>
      <c r="P39" s="32">
        <f>IF(G39="","",IFERROR(INDEX(Config!$I$5:$I$16,MATCH(G39,Config!$H$5:$H$16,0)),0))</f>
        <v>30</v>
      </c>
      <c r="Q39" s="30">
        <f>IF(OR(H39&lt;&gt;"Realizado",P39="",P39=0),"",A39+P39)</f>
        <v/>
      </c>
      <c r="R39" s="26">
        <f>IF(Q39="","",IF(COUNTIFS($E$5:$E$3004,E39,$A$5:$A$3004,"&gt;"&amp;A39,$H$5:$H$3004,"&lt;&gt;Falta",$H$5:$H$3004,"&lt;&gt;Cancelado",$H$5:$H$3004,"&lt;&gt;Remarcado")&gt;0,"Sim","Não"))</f>
        <v/>
      </c>
      <c r="S39" s="32">
        <f>IF(R39&lt;&gt;"Não","",IF(Q39+Config!$B$9&lt;=Config!$B$8,Config!$B$8-Q39,""))</f>
        <v/>
      </c>
      <c r="T39" s="26">
        <f>IF(S39="","","Sim")</f>
        <v/>
      </c>
      <c r="U39" s="41">
        <f>IF(T39="Sim",S39+ROW()/100000,0)</f>
        <v>0</v>
      </c>
      <c r="V39" s="41">
        <f>IF(AND(H39="Falta",L39=Config!$B$7,M39=Config!$B$5,COUNTIFS($E$5:E39,E39,$H$5:H39,"Falta",$L$5:L39,Config!$B$7,$M$5:M39,Config!$B$5)=1),COUNTIFS($E$5:$E$3004,E39,$H$5:$H$3004,"Falta",$L$5:$L$3004,Config!$B$7,$M$5:$M$3004,Config!$B$5)*1000-ROW()/100000,0)</f>
        <v>0</v>
      </c>
    </row>
    <row r="40">
      <c r="A40" s="39" t="n">
        <v>46176</v>
      </c>
      <c r="B40" s="40" t="n">
        <v>0.6041666666666666</v>
      </c>
      <c r="C40" s="35" t="inlineStr">
        <is>
          <t>Dra. Carolina Mendes</t>
        </is>
      </c>
      <c r="D40" s="35" t="inlineStr">
        <is>
          <t>Sala 1</t>
        </is>
      </c>
      <c r="E40" s="34" t="inlineStr">
        <is>
          <t>Fernanda Freitas</t>
        </is>
      </c>
      <c r="F40" s="35" t="inlineStr">
        <is>
          <t>Particular</t>
        </is>
      </c>
      <c r="G40" s="35" t="inlineStr">
        <is>
          <t>Retorno</t>
        </is>
      </c>
      <c r="H40" s="35" t="inlineStr">
        <is>
          <t>Realizado</t>
        </is>
      </c>
      <c r="I40" s="35" t="inlineStr">
        <is>
          <t>Sem cobrança</t>
        </is>
      </c>
      <c r="J40" s="35" t="n"/>
      <c r="K40" s="34" t="n"/>
      <c r="L40" s="26">
        <f>IF(A40="","",MONTH(A40))</f>
        <v>6</v>
      </c>
      <c r="M40" s="26">
        <f>IF(A40="","",YEAR(A40))</f>
        <v>2026</v>
      </c>
      <c r="N40" s="26" t="str">
        <f>IF(A40="","",CHOOSE(WEEKDAY(A40,2),"Segunda","Terça","Quarta","Quinta","Sexta","Sábado","Domingo"))</f>
        <v>Quarta</v>
      </c>
      <c r="O40" s="26" t="str">
        <f>IF(B40="","",IF(B40&lt;TIME(12,0,0),"Manhã",IF(B40&lt;TIME(18,0,0),"Tarde","Noite")))</f>
        <v>Tarde</v>
      </c>
      <c r="P40" s="32">
        <f>IF(G40="","",IFERROR(INDEX(Config!$I$5:$I$16,MATCH(G40,Config!$H$5:$H$16,0)),0))</f>
        <v>0</v>
      </c>
      <c r="Q40" s="30">
        <f>IF(OR(H40&lt;&gt;"Realizado",P40="",P40=0),"",A40+P40)</f>
        <v/>
      </c>
      <c r="R40" s="26">
        <f>IF(Q40="","",IF(COUNTIFS($E$5:$E$3004,E40,$A$5:$A$3004,"&gt;"&amp;A40,$H$5:$H$3004,"&lt;&gt;Falta",$H$5:$H$3004,"&lt;&gt;Cancelado",$H$5:$H$3004,"&lt;&gt;Remarcado")&gt;0,"Sim","Não"))</f>
        <v/>
      </c>
      <c r="S40" s="32">
        <f>IF(R40&lt;&gt;"Não","",IF(Q40+Config!$B$9&lt;=Config!$B$8,Config!$B$8-Q40,""))</f>
        <v/>
      </c>
      <c r="T40" s="26">
        <f>IF(S40="","","Sim")</f>
        <v/>
      </c>
      <c r="U40" s="41">
        <f>IF(T40="Sim",S40+ROW()/100000,0)</f>
        <v>0</v>
      </c>
      <c r="V40" s="41">
        <f>IF(AND(H40="Falta",L40=Config!$B$7,M40=Config!$B$5,COUNTIFS($E$5:E40,E40,$H$5:H40,"Falta",$L$5:L40,Config!$B$7,$M$5:M40,Config!$B$5)=1),COUNTIFS($E$5:$E$3004,E40,$H$5:$H$3004,"Falta",$L$5:$L$3004,Config!$B$7,$M$5:$M$3004,Config!$B$5)*1000-ROW()/100000,0)</f>
        <v>0</v>
      </c>
    </row>
    <row r="41">
      <c r="A41" s="39" t="n">
        <v>46176</v>
      </c>
      <c r="B41" s="40" t="n">
        <v>0.6180555555555556</v>
      </c>
      <c r="C41" s="35" t="inlineStr">
        <is>
          <t>Dra. Carolina Mendes</t>
        </is>
      </c>
      <c r="D41" s="35" t="inlineStr">
        <is>
          <t>Sala 1</t>
        </is>
      </c>
      <c r="E41" s="34" t="inlineStr">
        <is>
          <t>Ana Costa</t>
        </is>
      </c>
      <c r="F41" s="35" t="inlineStr">
        <is>
          <t>Particular</t>
        </is>
      </c>
      <c r="G41" s="35" t="inlineStr">
        <is>
          <t>Consulta</t>
        </is>
      </c>
      <c r="H41" s="35" t="inlineStr">
        <is>
          <t>Realizado</t>
        </is>
      </c>
      <c r="I41" s="35" t="inlineStr">
        <is>
          <t>A prazo</t>
        </is>
      </c>
      <c r="J41" s="35" t="n"/>
      <c r="K41" s="34" t="n"/>
      <c r="L41" s="26">
        <f>IF(A41="","",MONTH(A41))</f>
        <v>6</v>
      </c>
      <c r="M41" s="26">
        <f>IF(A41="","",YEAR(A41))</f>
        <v>2026</v>
      </c>
      <c r="N41" s="26" t="str">
        <f>IF(A41="","",CHOOSE(WEEKDAY(A41,2),"Segunda","Terça","Quarta","Quinta","Sexta","Sábado","Domingo"))</f>
        <v>Quarta</v>
      </c>
      <c r="O41" s="26" t="str">
        <f>IF(B41="","",IF(B41&lt;TIME(12,0,0),"Manhã",IF(B41&lt;TIME(18,0,0),"Tarde","Noite")))</f>
        <v>Tarde</v>
      </c>
      <c r="P41" s="32">
        <f>IF(G41="","",IFERROR(INDEX(Config!$I$5:$I$16,MATCH(G41,Config!$H$5:$H$16,0)),0))</f>
        <v>30</v>
      </c>
      <c r="Q41" s="30">
        <f>IF(OR(H41&lt;&gt;"Realizado",P41="",P41=0),"",A41+P41)</f>
        <v>46206.0</v>
      </c>
      <c r="R41" s="26" t="str">
        <f>IF(Q41="","",IF(COUNTIFS($E$5:$E$3004,E41,$A$5:$A$3004,"&gt;"&amp;A41,$H$5:$H$3004,"&lt;&gt;Falta",$H$5:$H$3004,"&lt;&gt;Cancelado",$H$5:$H$3004,"&lt;&gt;Remarcado")&gt;0,"Sim","Não"))</f>
        <v>Sim</v>
      </c>
      <c r="S41" s="32">
        <f>IF(R41&lt;&gt;"Não","",IF(Q41+Config!$B$9&lt;=Config!$B$8,Config!$B$8-Q41,""))</f>
        <v/>
      </c>
      <c r="T41" s="26">
        <f>IF(S41="","","Sim")</f>
        <v/>
      </c>
      <c r="U41" s="41">
        <f>IF(T41="Sim",S41+ROW()/100000,0)</f>
        <v>0</v>
      </c>
      <c r="V41" s="41">
        <f>IF(AND(H41="Falta",L41=Config!$B$7,M41=Config!$B$5,COUNTIFS($E$5:E41,E41,$H$5:H41,"Falta",$L$5:L41,Config!$B$7,$M$5:M41,Config!$B$5)=1),COUNTIFS($E$5:$E$3004,E41,$H$5:$H$3004,"Falta",$L$5:$L$3004,Config!$B$7,$M$5:$M$3004,Config!$B$5)*1000-ROW()/100000,0)</f>
        <v>0</v>
      </c>
    </row>
    <row r="42">
      <c r="A42" s="39" t="n">
        <v>46176</v>
      </c>
      <c r="B42" s="40" t="n">
        <v>0.6597222222222222</v>
      </c>
      <c r="C42" s="35" t="inlineStr">
        <is>
          <t>Dra. Carolina Mendes</t>
        </is>
      </c>
      <c r="D42" s="35" t="inlineStr">
        <is>
          <t>Sala 1</t>
        </is>
      </c>
      <c r="E42" s="34" t="inlineStr">
        <is>
          <t>Priscila Carvalho</t>
        </is>
      </c>
      <c r="F42" s="35" t="inlineStr">
        <is>
          <t>Vida Care</t>
        </is>
      </c>
      <c r="G42" s="35" t="inlineStr">
        <is>
          <t>Consulta</t>
        </is>
      </c>
      <c r="H42" s="35" t="inlineStr">
        <is>
          <t>Realizado</t>
        </is>
      </c>
      <c r="I42" s="35" t="inlineStr">
        <is>
          <t>Convênio</t>
        </is>
      </c>
      <c r="J42" s="35" t="n"/>
      <c r="K42" s="34" t="n"/>
      <c r="L42" s="26">
        <f>IF(A42="","",MONTH(A42))</f>
        <v>6</v>
      </c>
      <c r="M42" s="26">
        <f>IF(A42="","",YEAR(A42))</f>
        <v>2026</v>
      </c>
      <c r="N42" s="26" t="str">
        <f>IF(A42="","",CHOOSE(WEEKDAY(A42,2),"Segunda","Terça","Quarta","Quinta","Sexta","Sábado","Domingo"))</f>
        <v>Quarta</v>
      </c>
      <c r="O42" s="26" t="str">
        <f>IF(B42="","",IF(B42&lt;TIME(12,0,0),"Manhã",IF(B42&lt;TIME(18,0,0),"Tarde","Noite")))</f>
        <v>Tarde</v>
      </c>
      <c r="P42" s="32">
        <f>IF(G42="","",IFERROR(INDEX(Config!$I$5:$I$16,MATCH(G42,Config!$H$5:$H$16,0)),0))</f>
        <v>30</v>
      </c>
      <c r="Q42" s="30">
        <f>IF(OR(H42&lt;&gt;"Realizado",P42="",P42=0),"",A42+P42)</f>
        <v>46206.0</v>
      </c>
      <c r="R42" s="26" t="str">
        <f>IF(Q42="","",IF(COUNTIFS($E$5:$E$3004,E42,$A$5:$A$3004,"&gt;"&amp;A42,$H$5:$H$3004,"&lt;&gt;Falta",$H$5:$H$3004,"&lt;&gt;Cancelado",$H$5:$H$3004,"&lt;&gt;Remarcado")&gt;0,"Sim","Não"))</f>
        <v>Sim</v>
      </c>
      <c r="S42" s="32">
        <f>IF(R42&lt;&gt;"Não","",IF(Q42+Config!$B$9&lt;=Config!$B$8,Config!$B$8-Q42,""))</f>
        <v/>
      </c>
      <c r="T42" s="26">
        <f>IF(S42="","","Sim")</f>
        <v/>
      </c>
      <c r="U42" s="41">
        <f>IF(T42="Sim",S42+ROW()/100000,0)</f>
        <v>0</v>
      </c>
      <c r="V42" s="41">
        <f>IF(AND(H42="Falta",L42=Config!$B$7,M42=Config!$B$5,COUNTIFS($E$5:E42,E42,$H$5:H42,"Falta",$L$5:L42,Config!$B$7,$M$5:M42,Config!$B$5)=1),COUNTIFS($E$5:$E$3004,E42,$H$5:$H$3004,"Falta",$L$5:$L$3004,Config!$B$7,$M$5:$M$3004,Config!$B$5)*1000-ROW()/100000,0)</f>
        <v>0</v>
      </c>
    </row>
    <row r="43">
      <c r="A43" s="39" t="n">
        <v>46176</v>
      </c>
      <c r="B43" s="40" t="n">
        <v>0.6805555555555556</v>
      </c>
      <c r="C43" s="35" t="inlineStr">
        <is>
          <t>Dra. Carolina Mendes</t>
        </is>
      </c>
      <c r="D43" s="35" t="inlineStr">
        <is>
          <t>Sala 1</t>
        </is>
      </c>
      <c r="E43" s="34" t="inlineStr">
        <is>
          <t>Lucas Lopes</t>
        </is>
      </c>
      <c r="F43" s="35" t="inlineStr">
        <is>
          <t>Particular</t>
        </is>
      </c>
      <c r="G43" s="35" t="inlineStr">
        <is>
          <t>Consulta</t>
        </is>
      </c>
      <c r="H43" s="35" t="inlineStr">
        <is>
          <t>Realizado</t>
        </is>
      </c>
      <c r="I43" s="35" t="inlineStr">
        <is>
          <t>Cartão de crédito</t>
        </is>
      </c>
      <c r="J43" s="35" t="n"/>
      <c r="K43" s="34" t="n"/>
      <c r="L43" s="26">
        <f>IF(A43="","",MONTH(A43))</f>
        <v>6</v>
      </c>
      <c r="M43" s="26">
        <f>IF(A43="","",YEAR(A43))</f>
        <v>2026</v>
      </c>
      <c r="N43" s="26" t="str">
        <f>IF(A43="","",CHOOSE(WEEKDAY(A43,2),"Segunda","Terça","Quarta","Quinta","Sexta","Sábado","Domingo"))</f>
        <v>Quarta</v>
      </c>
      <c r="O43" s="26" t="str">
        <f>IF(B43="","",IF(B43&lt;TIME(12,0,0),"Manhã",IF(B43&lt;TIME(18,0,0),"Tarde","Noite")))</f>
        <v>Tarde</v>
      </c>
      <c r="P43" s="32">
        <f>IF(G43="","",IFERROR(INDEX(Config!$I$5:$I$16,MATCH(G43,Config!$H$5:$H$16,0)),0))</f>
        <v>30</v>
      </c>
      <c r="Q43" s="30">
        <f>IF(OR(H43&lt;&gt;"Realizado",P43="",P43=0),"",A43+P43)</f>
        <v>46206.0</v>
      </c>
      <c r="R43" s="26" t="str">
        <f>IF(Q43="","",IF(COUNTIFS($E$5:$E$3004,E43,$A$5:$A$3004,"&gt;"&amp;A43,$H$5:$H$3004,"&lt;&gt;Falta",$H$5:$H$3004,"&lt;&gt;Cancelado",$H$5:$H$3004,"&lt;&gt;Remarcado")&gt;0,"Sim","Não"))</f>
        <v>Sim</v>
      </c>
      <c r="S43" s="32">
        <f>IF(R43&lt;&gt;"Não","",IF(Q43+Config!$B$9&lt;=Config!$B$8,Config!$B$8-Q43,""))</f>
        <v/>
      </c>
      <c r="T43" s="26">
        <f>IF(S43="","","Sim")</f>
        <v/>
      </c>
      <c r="U43" s="41">
        <f>IF(T43="Sim",S43+ROW()/100000,0)</f>
        <v>0</v>
      </c>
      <c r="V43" s="41">
        <f>IF(AND(H43="Falta",L43=Config!$B$7,M43=Config!$B$5,COUNTIFS($E$5:E43,E43,$H$5:H43,"Falta",$L$5:L43,Config!$B$7,$M$5:M43,Config!$B$5)=1),COUNTIFS($E$5:$E$3004,E43,$H$5:$H$3004,"Falta",$L$5:$L$3004,Config!$B$7,$M$5:$M$3004,Config!$B$5)*1000-ROW()/100000,0)</f>
        <v>0</v>
      </c>
    </row>
    <row r="44">
      <c r="A44" s="39" t="n">
        <v>46176</v>
      </c>
      <c r="B44" s="40" t="n">
        <v>0.7013888888888888</v>
      </c>
      <c r="C44" s="35" t="inlineStr">
        <is>
          <t>Dra. Carolina Mendes</t>
        </is>
      </c>
      <c r="D44" s="35" t="inlineStr">
        <is>
          <t>Sala 1</t>
        </is>
      </c>
      <c r="E44" s="34" t="inlineStr">
        <is>
          <t>Helena Moreira</t>
        </is>
      </c>
      <c r="F44" s="35" t="inlineStr">
        <is>
          <t>Particular</t>
        </is>
      </c>
      <c r="G44" s="35" t="inlineStr">
        <is>
          <t>Consulta</t>
        </is>
      </c>
      <c r="H44" s="35" t="inlineStr">
        <is>
          <t>Realizado</t>
        </is>
      </c>
      <c r="I44" s="35" t="inlineStr">
        <is>
          <t>Pix</t>
        </is>
      </c>
      <c r="J44" s="35" t="n"/>
      <c r="K44" s="34" t="n"/>
      <c r="L44" s="26">
        <f>IF(A44="","",MONTH(A44))</f>
        <v>6</v>
      </c>
      <c r="M44" s="26">
        <f>IF(A44="","",YEAR(A44))</f>
        <v>2026</v>
      </c>
      <c r="N44" s="26" t="str">
        <f>IF(A44="","",CHOOSE(WEEKDAY(A44,2),"Segunda","Terça","Quarta","Quinta","Sexta","Sábado","Domingo"))</f>
        <v>Quarta</v>
      </c>
      <c r="O44" s="26" t="str">
        <f>IF(B44="","",IF(B44&lt;TIME(12,0,0),"Manhã",IF(B44&lt;TIME(18,0,0),"Tarde","Noite")))</f>
        <v>Tarde</v>
      </c>
      <c r="P44" s="32">
        <f>IF(G44="","",IFERROR(INDEX(Config!$I$5:$I$16,MATCH(G44,Config!$H$5:$H$16,0)),0))</f>
        <v>30</v>
      </c>
      <c r="Q44" s="30">
        <f>IF(OR(H44&lt;&gt;"Realizado",P44="",P44=0),"",A44+P44)</f>
        <v>46206.0</v>
      </c>
      <c r="R44" s="26" t="str">
        <f>IF(Q44="","",IF(COUNTIFS($E$5:$E$3004,E44,$A$5:$A$3004,"&gt;"&amp;A44,$H$5:$H$3004,"&lt;&gt;Falta",$H$5:$H$3004,"&lt;&gt;Cancelado",$H$5:$H$3004,"&lt;&gt;Remarcado")&gt;0,"Sim","Não"))</f>
        <v>Sim</v>
      </c>
      <c r="S44" s="32">
        <f>IF(R44&lt;&gt;"Não","",IF(Q44+Config!$B$9&lt;=Config!$B$8,Config!$B$8-Q44,""))</f>
        <v/>
      </c>
      <c r="T44" s="26">
        <f>IF(S44="","","Sim")</f>
        <v/>
      </c>
      <c r="U44" s="41">
        <f>IF(T44="Sim",S44+ROW()/100000,0)</f>
        <v>0</v>
      </c>
      <c r="V44" s="41">
        <f>IF(AND(H44="Falta",L44=Config!$B$7,M44=Config!$B$5,COUNTIFS($E$5:E44,E44,$H$5:H44,"Falta",$L$5:L44,Config!$B$7,$M$5:M44,Config!$B$5)=1),COUNTIFS($E$5:$E$3004,E44,$H$5:$H$3004,"Falta",$L$5:$L$3004,Config!$B$7,$M$5:$M$3004,Config!$B$5)*1000-ROW()/100000,0)</f>
        <v>0</v>
      </c>
    </row>
    <row r="45">
      <c r="A45" s="39" t="n">
        <v>46176</v>
      </c>
      <c r="B45" s="40" t="n">
        <v>0.7222222222222222</v>
      </c>
      <c r="C45" s="35" t="inlineStr">
        <is>
          <t>Dra. Carolina Mendes</t>
        </is>
      </c>
      <c r="D45" s="35" t="inlineStr">
        <is>
          <t>Sala 1</t>
        </is>
      </c>
      <c r="E45" s="34" t="inlineStr">
        <is>
          <t>Mônica Batista</t>
        </is>
      </c>
      <c r="F45" s="35" t="inlineStr">
        <is>
          <t>MediPlan</t>
        </is>
      </c>
      <c r="G45" s="35" t="inlineStr">
        <is>
          <t>Consulta</t>
        </is>
      </c>
      <c r="H45" s="35" t="inlineStr">
        <is>
          <t>Falta</t>
        </is>
      </c>
      <c r="I45" s="35" t="n"/>
      <c r="J45" s="35" t="n"/>
      <c r="K45" s="34" t="n"/>
      <c r="L45" s="26">
        <f>IF(A45="","",MONTH(A45))</f>
        <v>6</v>
      </c>
      <c r="M45" s="26">
        <f>IF(A45="","",YEAR(A45))</f>
        <v>2026</v>
      </c>
      <c r="N45" s="26" t="str">
        <f>IF(A45="","",CHOOSE(WEEKDAY(A45,2),"Segunda","Terça","Quarta","Quinta","Sexta","Sábado","Domingo"))</f>
        <v>Quarta</v>
      </c>
      <c r="O45" s="26" t="str">
        <f>IF(B45="","",IF(B45&lt;TIME(12,0,0),"Manhã",IF(B45&lt;TIME(18,0,0),"Tarde","Noite")))</f>
        <v>Tarde</v>
      </c>
      <c r="P45" s="32">
        <f>IF(G45="","",IFERROR(INDEX(Config!$I$5:$I$16,MATCH(G45,Config!$H$5:$H$16,0)),0))</f>
        <v>30</v>
      </c>
      <c r="Q45" s="30">
        <f>IF(OR(H45&lt;&gt;"Realizado",P45="",P45=0),"",A45+P45)</f>
        <v/>
      </c>
      <c r="R45" s="26">
        <f>IF(Q45="","",IF(COUNTIFS($E$5:$E$3004,E45,$A$5:$A$3004,"&gt;"&amp;A45,$H$5:$H$3004,"&lt;&gt;Falta",$H$5:$H$3004,"&lt;&gt;Cancelado",$H$5:$H$3004,"&lt;&gt;Remarcado")&gt;0,"Sim","Não"))</f>
        <v/>
      </c>
      <c r="S45" s="32">
        <f>IF(R45&lt;&gt;"Não","",IF(Q45+Config!$B$9&lt;=Config!$B$8,Config!$B$8-Q45,""))</f>
        <v/>
      </c>
      <c r="T45" s="26">
        <f>IF(S45="","","Sim")</f>
        <v/>
      </c>
      <c r="U45" s="41">
        <f>IF(T45="Sim",S45+ROW()/100000,0)</f>
        <v>0</v>
      </c>
      <c r="V45" s="41">
        <f>IF(AND(H45="Falta",L45=Config!$B$7,M45=Config!$B$5,COUNTIFS($E$5:E45,E45,$H$5:H45,"Falta",$L$5:L45,Config!$B$7,$M$5:M45,Config!$B$5)=1),COUNTIFS($E$5:$E$3004,E45,$H$5:$H$3004,"Falta",$L$5:$L$3004,Config!$B$7,$M$5:$M$3004,Config!$B$5)*1000-ROW()/100000,0)</f>
        <v>0</v>
      </c>
    </row>
    <row r="46">
      <c r="A46" s="39" t="n">
        <v>46178</v>
      </c>
      <c r="B46" s="40" t="n">
        <v>0.3333333333333333</v>
      </c>
      <c r="C46" s="35" t="inlineStr">
        <is>
          <t>Dr. Paulo Andrade</t>
        </is>
      </c>
      <c r="D46" s="35" t="inlineStr">
        <is>
          <t>Sala 2</t>
        </is>
      </c>
      <c r="E46" s="34" t="inlineStr">
        <is>
          <t>Priscila Castro</t>
        </is>
      </c>
      <c r="F46" s="35" t="inlineStr">
        <is>
          <t>Saúde Total</t>
        </is>
      </c>
      <c r="G46" s="35" t="inlineStr">
        <is>
          <t>ECG</t>
        </is>
      </c>
      <c r="H46" s="35" t="inlineStr">
        <is>
          <t>Realizado</t>
        </is>
      </c>
      <c r="I46" s="35" t="inlineStr">
        <is>
          <t>Convênio</t>
        </is>
      </c>
      <c r="J46" s="35" t="n"/>
      <c r="K46" s="34" t="n"/>
      <c r="L46" s="26">
        <f>IF(A46="","",MONTH(A46))</f>
        <v>6</v>
      </c>
      <c r="M46" s="26">
        <f>IF(A46="","",YEAR(A46))</f>
        <v>2026</v>
      </c>
      <c r="N46" s="26" t="str">
        <f>IF(A46="","",CHOOSE(WEEKDAY(A46,2),"Segunda","Terça","Quarta","Quinta","Sexta","Sábado","Domingo"))</f>
        <v>Sexta</v>
      </c>
      <c r="O46" s="26" t="str">
        <f>IF(B46="","",IF(B46&lt;TIME(12,0,0),"Manhã",IF(B46&lt;TIME(18,0,0),"Tarde","Noite")))</f>
        <v>Manhã</v>
      </c>
      <c r="P46" s="32">
        <f>IF(G46="","",IFERROR(INDEX(Config!$I$5:$I$16,MATCH(G46,Config!$H$5:$H$16,0)),0))</f>
        <v>0</v>
      </c>
      <c r="Q46" s="30">
        <f>IF(OR(H46&lt;&gt;"Realizado",P46="",P46=0),"",A46+P46)</f>
        <v/>
      </c>
      <c r="R46" s="26">
        <f>IF(Q46="","",IF(COUNTIFS($E$5:$E$3004,E46,$A$5:$A$3004,"&gt;"&amp;A46,$H$5:$H$3004,"&lt;&gt;Falta",$H$5:$H$3004,"&lt;&gt;Cancelado",$H$5:$H$3004,"&lt;&gt;Remarcado")&gt;0,"Sim","Não"))</f>
        <v/>
      </c>
      <c r="S46" s="32">
        <f>IF(R46&lt;&gt;"Não","",IF(Q46+Config!$B$9&lt;=Config!$B$8,Config!$B$8-Q46,""))</f>
        <v/>
      </c>
      <c r="T46" s="26">
        <f>IF(S46="","","Sim")</f>
        <v/>
      </c>
      <c r="U46" s="41">
        <f>IF(T46="Sim",S46+ROW()/100000,0)</f>
        <v>0</v>
      </c>
      <c r="V46" s="41">
        <f>IF(AND(H46="Falta",L46=Config!$B$7,M46=Config!$B$5,COUNTIFS($E$5:E46,E46,$H$5:H46,"Falta",$L$5:L46,Config!$B$7,$M$5:M46,Config!$B$5)=1),COUNTIFS($E$5:$E$3004,E46,$H$5:$H$3004,"Falta",$L$5:$L$3004,Config!$B$7,$M$5:$M$3004,Config!$B$5)*1000-ROW()/100000,0)</f>
        <v>0</v>
      </c>
    </row>
    <row r="47">
      <c r="A47" s="39" t="n">
        <v>46178</v>
      </c>
      <c r="B47" s="40" t="n">
        <v>0.3472222222222222</v>
      </c>
      <c r="C47" s="35" t="inlineStr">
        <is>
          <t>Dr. Paulo Andrade</t>
        </is>
      </c>
      <c r="D47" s="35" t="inlineStr">
        <is>
          <t>Sala 2</t>
        </is>
      </c>
      <c r="E47" s="34" t="inlineStr">
        <is>
          <t>Carlos Fernandes</t>
        </is>
      </c>
      <c r="F47" s="35" t="inlineStr">
        <is>
          <t>Particular</t>
        </is>
      </c>
      <c r="G47" s="35" t="inlineStr">
        <is>
          <t>ECG</t>
        </is>
      </c>
      <c r="H47" s="35" t="inlineStr">
        <is>
          <t>Realizado</t>
        </is>
      </c>
      <c r="I47" s="35" t="inlineStr">
        <is>
          <t>Dinheiro</t>
        </is>
      </c>
      <c r="J47" s="35" t="n"/>
      <c r="K47" s="34" t="n"/>
      <c r="L47" s="26">
        <f>IF(A47="","",MONTH(A47))</f>
        <v>6</v>
      </c>
      <c r="M47" s="26">
        <f>IF(A47="","",YEAR(A47))</f>
        <v>2026</v>
      </c>
      <c r="N47" s="26" t="str">
        <f>IF(A47="","",CHOOSE(WEEKDAY(A47,2),"Segunda","Terça","Quarta","Quinta","Sexta","Sábado","Domingo"))</f>
        <v>Sexta</v>
      </c>
      <c r="O47" s="26" t="str">
        <f>IF(B47="","",IF(B47&lt;TIME(12,0,0),"Manhã",IF(B47&lt;TIME(18,0,0),"Tarde","Noite")))</f>
        <v>Manhã</v>
      </c>
      <c r="P47" s="32">
        <f>IF(G47="","",IFERROR(INDEX(Config!$I$5:$I$16,MATCH(G47,Config!$H$5:$H$16,0)),0))</f>
        <v>0</v>
      </c>
      <c r="Q47" s="30">
        <f>IF(OR(H47&lt;&gt;"Realizado",P47="",P47=0),"",A47+P47)</f>
        <v/>
      </c>
      <c r="R47" s="26">
        <f>IF(Q47="","",IF(COUNTIFS($E$5:$E$3004,E47,$A$5:$A$3004,"&gt;"&amp;A47,$H$5:$H$3004,"&lt;&gt;Falta",$H$5:$H$3004,"&lt;&gt;Cancelado",$H$5:$H$3004,"&lt;&gt;Remarcado")&gt;0,"Sim","Não"))</f>
        <v/>
      </c>
      <c r="S47" s="32">
        <f>IF(R47&lt;&gt;"Não","",IF(Q47+Config!$B$9&lt;=Config!$B$8,Config!$B$8-Q47,""))</f>
        <v/>
      </c>
      <c r="T47" s="26">
        <f>IF(S47="","","Sim")</f>
        <v/>
      </c>
      <c r="U47" s="41">
        <f>IF(T47="Sim",S47+ROW()/100000,0)</f>
        <v>0</v>
      </c>
      <c r="V47" s="41">
        <f>IF(AND(H47="Falta",L47=Config!$B$7,M47=Config!$B$5,COUNTIFS($E$5:E47,E47,$H$5:H47,"Falta",$L$5:L47,Config!$B$7,$M$5:M47,Config!$B$5)=1),COUNTIFS($E$5:$E$3004,E47,$H$5:$H$3004,"Falta",$L$5:$L$3004,Config!$B$7,$M$5:$M$3004,Config!$B$5)*1000-ROW()/100000,0)</f>
        <v>0</v>
      </c>
    </row>
    <row r="48">
      <c r="A48" s="39" t="n">
        <v>46178</v>
      </c>
      <c r="B48" s="40" t="n">
        <v>0.3819444444444444</v>
      </c>
      <c r="C48" s="35" t="inlineStr">
        <is>
          <t>Dr. Paulo Andrade</t>
        </is>
      </c>
      <c r="D48" s="35" t="inlineStr">
        <is>
          <t>Sala 2</t>
        </is>
      </c>
      <c r="E48" s="34" t="inlineStr">
        <is>
          <t>Priscila Pinto</t>
        </is>
      </c>
      <c r="F48" s="35" t="inlineStr">
        <is>
          <t>Saúde Total</t>
        </is>
      </c>
      <c r="G48" s="35" t="inlineStr">
        <is>
          <t>Consulta</t>
        </is>
      </c>
      <c r="H48" s="35" t="inlineStr">
        <is>
          <t>Falta</t>
        </is>
      </c>
      <c r="I48" s="35" t="n"/>
      <c r="J48" s="35" t="n"/>
      <c r="K48" s="34" t="n"/>
      <c r="L48" s="26">
        <f>IF(A48="","",MONTH(A48))</f>
        <v>6</v>
      </c>
      <c r="M48" s="26">
        <f>IF(A48="","",YEAR(A48))</f>
        <v>2026</v>
      </c>
      <c r="N48" s="26" t="str">
        <f>IF(A48="","",CHOOSE(WEEKDAY(A48,2),"Segunda","Terça","Quarta","Quinta","Sexta","Sábado","Domingo"))</f>
        <v>Sexta</v>
      </c>
      <c r="O48" s="26" t="str">
        <f>IF(B48="","",IF(B48&lt;TIME(12,0,0),"Manhã",IF(B48&lt;TIME(18,0,0),"Tarde","Noite")))</f>
        <v>Manhã</v>
      </c>
      <c r="P48" s="32">
        <f>IF(G48="","",IFERROR(INDEX(Config!$I$5:$I$16,MATCH(G48,Config!$H$5:$H$16,0)),0))</f>
        <v>30</v>
      </c>
      <c r="Q48" s="30">
        <f>IF(OR(H48&lt;&gt;"Realizado",P48="",P48=0),"",A48+P48)</f>
        <v/>
      </c>
      <c r="R48" s="26">
        <f>IF(Q48="","",IF(COUNTIFS($E$5:$E$3004,E48,$A$5:$A$3004,"&gt;"&amp;A48,$H$5:$H$3004,"&lt;&gt;Falta",$H$5:$H$3004,"&lt;&gt;Cancelado",$H$5:$H$3004,"&lt;&gt;Remarcado")&gt;0,"Sim","Não"))</f>
        <v/>
      </c>
      <c r="S48" s="32">
        <f>IF(R48&lt;&gt;"Não","",IF(Q48+Config!$B$9&lt;=Config!$B$8,Config!$B$8-Q48,""))</f>
        <v/>
      </c>
      <c r="T48" s="26">
        <f>IF(S48="","","Sim")</f>
        <v/>
      </c>
      <c r="U48" s="41">
        <f>IF(T48="Sim",S48+ROW()/100000,0)</f>
        <v>0</v>
      </c>
      <c r="V48" s="41">
        <f>IF(AND(H48="Falta",L48=Config!$B$7,M48=Config!$B$5,COUNTIFS($E$5:E48,E48,$H$5:H48,"Falta",$L$5:L48,Config!$B$7,$M$5:M48,Config!$B$5)=1),COUNTIFS($E$5:$E$3004,E48,$H$5:$H$3004,"Falta",$L$5:$L$3004,Config!$B$7,$M$5:$M$3004,Config!$B$5)*1000-ROW()/100000,0)</f>
        <v>0</v>
      </c>
    </row>
    <row r="49">
      <c r="A49" s="39" t="n">
        <v>46178</v>
      </c>
      <c r="B49" s="40" t="n">
        <v>0.4652777777777778</v>
      </c>
      <c r="C49" s="35" t="inlineStr">
        <is>
          <t>Dr. Paulo Andrade</t>
        </is>
      </c>
      <c r="D49" s="35" t="inlineStr">
        <is>
          <t>Sala 2</t>
        </is>
      </c>
      <c r="E49" s="34" t="inlineStr">
        <is>
          <t>Simone Monteiro</t>
        </is>
      </c>
      <c r="F49" s="35" t="inlineStr">
        <is>
          <t>Vida Care</t>
        </is>
      </c>
      <c r="G49" s="35" t="inlineStr">
        <is>
          <t>Holter</t>
        </is>
      </c>
      <c r="H49" s="35" t="inlineStr">
        <is>
          <t>Realizado</t>
        </is>
      </c>
      <c r="I49" s="35" t="inlineStr">
        <is>
          <t>Convênio</t>
        </is>
      </c>
      <c r="J49" s="35" t="n"/>
      <c r="K49" s="34" t="n"/>
      <c r="L49" s="26">
        <f>IF(A49="","",MONTH(A49))</f>
        <v>6</v>
      </c>
      <c r="M49" s="26">
        <f>IF(A49="","",YEAR(A49))</f>
        <v>2026</v>
      </c>
      <c r="N49" s="26" t="str">
        <f>IF(A49="","",CHOOSE(WEEKDAY(A49,2),"Segunda","Terça","Quarta","Quinta","Sexta","Sábado","Domingo"))</f>
        <v>Sexta</v>
      </c>
      <c r="O49" s="26" t="str">
        <f>IF(B49="","",IF(B49&lt;TIME(12,0,0),"Manhã",IF(B49&lt;TIME(18,0,0),"Tarde","Noite")))</f>
        <v>Manhã</v>
      </c>
      <c r="P49" s="32">
        <f>IF(G49="","",IFERROR(INDEX(Config!$I$5:$I$16,MATCH(G49,Config!$H$5:$H$16,0)),0))</f>
        <v>0</v>
      </c>
      <c r="Q49" s="30">
        <f>IF(OR(H49&lt;&gt;"Realizado",P49="",P49=0),"",A49+P49)</f>
        <v/>
      </c>
      <c r="R49" s="26">
        <f>IF(Q49="","",IF(COUNTIFS($E$5:$E$3004,E49,$A$5:$A$3004,"&gt;"&amp;A49,$H$5:$H$3004,"&lt;&gt;Falta",$H$5:$H$3004,"&lt;&gt;Cancelado",$H$5:$H$3004,"&lt;&gt;Remarcado")&gt;0,"Sim","Não"))</f>
        <v/>
      </c>
      <c r="S49" s="32">
        <f>IF(R49&lt;&gt;"Não","",IF(Q49+Config!$B$9&lt;=Config!$B$8,Config!$B$8-Q49,""))</f>
        <v/>
      </c>
      <c r="T49" s="26">
        <f>IF(S49="","","Sim")</f>
        <v/>
      </c>
      <c r="U49" s="41">
        <f>IF(T49="Sim",S49+ROW()/100000,0)</f>
        <v>0</v>
      </c>
      <c r="V49" s="41">
        <f>IF(AND(H49="Falta",L49=Config!$B$7,M49=Config!$B$5,COUNTIFS($E$5:E49,E49,$H$5:H49,"Falta",$L$5:L49,Config!$B$7,$M$5:M49,Config!$B$5)=1),COUNTIFS($E$5:$E$3004,E49,$H$5:$H$3004,"Falta",$L$5:$L$3004,Config!$B$7,$M$5:$M$3004,Config!$B$5)*1000-ROW()/100000,0)</f>
        <v>0</v>
      </c>
    </row>
    <row r="50">
      <c r="A50" s="39" t="n">
        <v>46178</v>
      </c>
      <c r="B50" s="40" t="n">
        <v>0.4791666666666667</v>
      </c>
      <c r="C50" s="35" t="inlineStr">
        <is>
          <t>Dr. Paulo Andrade</t>
        </is>
      </c>
      <c r="D50" s="35" t="inlineStr">
        <is>
          <t>Sala 2</t>
        </is>
      </c>
      <c r="E50" s="34" t="inlineStr">
        <is>
          <t>Tatiana Gonçalves</t>
        </is>
      </c>
      <c r="F50" s="35" t="inlineStr">
        <is>
          <t>Saúde Total</t>
        </is>
      </c>
      <c r="G50" s="35" t="inlineStr">
        <is>
          <t>Consulta</t>
        </is>
      </c>
      <c r="H50" s="35" t="inlineStr">
        <is>
          <t>Realizado</t>
        </is>
      </c>
      <c r="I50" s="35" t="inlineStr">
        <is>
          <t>Convênio</t>
        </is>
      </c>
      <c r="J50" s="35" t="n"/>
      <c r="K50" s="34" t="n"/>
      <c r="L50" s="26">
        <f>IF(A50="","",MONTH(A50))</f>
        <v>6</v>
      </c>
      <c r="M50" s="26">
        <f>IF(A50="","",YEAR(A50))</f>
        <v>2026</v>
      </c>
      <c r="N50" s="26" t="str">
        <f>IF(A50="","",CHOOSE(WEEKDAY(A50,2),"Segunda","Terça","Quarta","Quinta","Sexta","Sábado","Domingo"))</f>
        <v>Sexta</v>
      </c>
      <c r="O50" s="26" t="str">
        <f>IF(B50="","",IF(B50&lt;TIME(12,0,0),"Manhã",IF(B50&lt;TIME(18,0,0),"Tarde","Noite")))</f>
        <v>Manhã</v>
      </c>
      <c r="P50" s="32">
        <f>IF(G50="","",IFERROR(INDEX(Config!$I$5:$I$16,MATCH(G50,Config!$H$5:$H$16,0)),0))</f>
        <v>30</v>
      </c>
      <c r="Q50" s="30">
        <f>IF(OR(H50&lt;&gt;"Realizado",P50="",P50=0),"",A50+P50)</f>
        <v>46208.0</v>
      </c>
      <c r="R50" s="26" t="str">
        <f>IF(Q50="","",IF(COUNTIFS($E$5:$E$3004,E50,$A$5:$A$3004,"&gt;"&amp;A50,$H$5:$H$3004,"&lt;&gt;Falta",$H$5:$H$3004,"&lt;&gt;Cancelado",$H$5:$H$3004,"&lt;&gt;Remarcado")&gt;0,"Sim","Não"))</f>
        <v>Sim</v>
      </c>
      <c r="S50" s="32">
        <f>IF(R50&lt;&gt;"Não","",IF(Q50+Config!$B$9&lt;=Config!$B$8,Config!$B$8-Q50,""))</f>
        <v/>
      </c>
      <c r="T50" s="26">
        <f>IF(S50="","","Sim")</f>
        <v/>
      </c>
      <c r="U50" s="41">
        <f>IF(T50="Sim",S50+ROW()/100000,0)</f>
        <v>0</v>
      </c>
      <c r="V50" s="41">
        <f>IF(AND(H50="Falta",L50=Config!$B$7,M50=Config!$B$5,COUNTIFS($E$5:E50,E50,$H$5:H50,"Falta",$L$5:L50,Config!$B$7,$M$5:M50,Config!$B$5)=1),COUNTIFS($E$5:$E$3004,E50,$H$5:$H$3004,"Falta",$L$5:$L$3004,Config!$B$7,$M$5:$M$3004,Config!$B$5)*1000-ROW()/100000,0)</f>
        <v>0</v>
      </c>
    </row>
    <row r="51">
      <c r="A51" s="39" t="n">
        <v>46181</v>
      </c>
      <c r="B51" s="40" t="n">
        <v>0.3333333333333333</v>
      </c>
      <c r="C51" s="35" t="inlineStr">
        <is>
          <t>Dra. Carolina Mendes</t>
        </is>
      </c>
      <c r="D51" s="35" t="inlineStr">
        <is>
          <t>Sala 1</t>
        </is>
      </c>
      <c r="E51" s="34" t="inlineStr">
        <is>
          <t>Gisele Xavier</t>
        </is>
      </c>
      <c r="F51" s="35" t="inlineStr">
        <is>
          <t>Particular</t>
        </is>
      </c>
      <c r="G51" s="35" t="inlineStr">
        <is>
          <t>Retorno</t>
        </is>
      </c>
      <c r="H51" s="35" t="inlineStr">
        <is>
          <t>Realizado</t>
        </is>
      </c>
      <c r="I51" s="35" t="inlineStr">
        <is>
          <t>Sem cobrança</t>
        </is>
      </c>
      <c r="J51" s="35" t="n"/>
      <c r="K51" s="34" t="n"/>
      <c r="L51" s="26">
        <f>IF(A51="","",MONTH(A51))</f>
        <v>6</v>
      </c>
      <c r="M51" s="26">
        <f>IF(A51="","",YEAR(A51))</f>
        <v>2026</v>
      </c>
      <c r="N51" s="26" t="str">
        <f>IF(A51="","",CHOOSE(WEEKDAY(A51,2),"Segunda","Terça","Quarta","Quinta","Sexta","Sábado","Domingo"))</f>
        <v>Segunda</v>
      </c>
      <c r="O51" s="26" t="str">
        <f>IF(B51="","",IF(B51&lt;TIME(12,0,0),"Manhã",IF(B51&lt;TIME(18,0,0),"Tarde","Noite")))</f>
        <v>Manhã</v>
      </c>
      <c r="P51" s="32">
        <f>IF(G51="","",IFERROR(INDEX(Config!$I$5:$I$16,MATCH(G51,Config!$H$5:$H$16,0)),0))</f>
        <v>0</v>
      </c>
      <c r="Q51" s="30">
        <f>IF(OR(H51&lt;&gt;"Realizado",P51="",P51=0),"",A51+P51)</f>
        <v/>
      </c>
      <c r="R51" s="26">
        <f>IF(Q51="","",IF(COUNTIFS($E$5:$E$3004,E51,$A$5:$A$3004,"&gt;"&amp;A51,$H$5:$H$3004,"&lt;&gt;Falta",$H$5:$H$3004,"&lt;&gt;Cancelado",$H$5:$H$3004,"&lt;&gt;Remarcado")&gt;0,"Sim","Não"))</f>
        <v/>
      </c>
      <c r="S51" s="32">
        <f>IF(R51&lt;&gt;"Não","",IF(Q51+Config!$B$9&lt;=Config!$B$8,Config!$B$8-Q51,""))</f>
        <v/>
      </c>
      <c r="T51" s="26">
        <f>IF(S51="","","Sim")</f>
        <v/>
      </c>
      <c r="U51" s="41">
        <f>IF(T51="Sim",S51+ROW()/100000,0)</f>
        <v>0</v>
      </c>
      <c r="V51" s="41">
        <f>IF(AND(H51="Falta",L51=Config!$B$7,M51=Config!$B$5,COUNTIFS($E$5:E51,E51,$H$5:H51,"Falta",$L$5:L51,Config!$B$7,$M$5:M51,Config!$B$5)=1),COUNTIFS($E$5:$E$3004,E51,$H$5:$H$3004,"Falta",$L$5:$L$3004,Config!$B$7,$M$5:$M$3004,Config!$B$5)*1000-ROW()/100000,0)</f>
        <v>0</v>
      </c>
    </row>
    <row r="52">
      <c r="A52" s="39" t="n">
        <v>46181</v>
      </c>
      <c r="B52" s="40" t="n">
        <v>0.3472222222222222</v>
      </c>
      <c r="C52" s="35" t="inlineStr">
        <is>
          <t>Dra. Carolina Mendes</t>
        </is>
      </c>
      <c r="D52" s="35" t="inlineStr">
        <is>
          <t>Sala 1</t>
        </is>
      </c>
      <c r="E52" s="34" t="inlineStr">
        <is>
          <t>Juliana Silva</t>
        </is>
      </c>
      <c r="F52" s="35" t="inlineStr">
        <is>
          <t>Vida Care</t>
        </is>
      </c>
      <c r="G52" s="35" t="inlineStr">
        <is>
          <t>Retorno</t>
        </is>
      </c>
      <c r="H52" s="35" t="inlineStr">
        <is>
          <t>Realizado</t>
        </is>
      </c>
      <c r="I52" s="35" t="inlineStr">
        <is>
          <t>Sem cobrança</t>
        </is>
      </c>
      <c r="J52" s="35" t="n"/>
      <c r="K52" s="34" t="n"/>
      <c r="L52" s="26">
        <f>IF(A52="","",MONTH(A52))</f>
        <v>6</v>
      </c>
      <c r="M52" s="26">
        <f>IF(A52="","",YEAR(A52))</f>
        <v>2026</v>
      </c>
      <c r="N52" s="26" t="str">
        <f>IF(A52="","",CHOOSE(WEEKDAY(A52,2),"Segunda","Terça","Quarta","Quinta","Sexta","Sábado","Domingo"))</f>
        <v>Segunda</v>
      </c>
      <c r="O52" s="26" t="str">
        <f>IF(B52="","",IF(B52&lt;TIME(12,0,0),"Manhã",IF(B52&lt;TIME(18,0,0),"Tarde","Noite")))</f>
        <v>Manhã</v>
      </c>
      <c r="P52" s="32">
        <f>IF(G52="","",IFERROR(INDEX(Config!$I$5:$I$16,MATCH(G52,Config!$H$5:$H$16,0)),0))</f>
        <v>0</v>
      </c>
      <c r="Q52" s="30">
        <f>IF(OR(H52&lt;&gt;"Realizado",P52="",P52=0),"",A52+P52)</f>
        <v/>
      </c>
      <c r="R52" s="26">
        <f>IF(Q52="","",IF(COUNTIFS($E$5:$E$3004,E52,$A$5:$A$3004,"&gt;"&amp;A52,$H$5:$H$3004,"&lt;&gt;Falta",$H$5:$H$3004,"&lt;&gt;Cancelado",$H$5:$H$3004,"&lt;&gt;Remarcado")&gt;0,"Sim","Não"))</f>
        <v/>
      </c>
      <c r="S52" s="32">
        <f>IF(R52&lt;&gt;"Não","",IF(Q52+Config!$B$9&lt;=Config!$B$8,Config!$B$8-Q52,""))</f>
        <v/>
      </c>
      <c r="T52" s="26">
        <f>IF(S52="","","Sim")</f>
        <v/>
      </c>
      <c r="U52" s="41">
        <f>IF(T52="Sim",S52+ROW()/100000,0)</f>
        <v>0</v>
      </c>
      <c r="V52" s="41">
        <f>IF(AND(H52="Falta",L52=Config!$B$7,M52=Config!$B$5,COUNTIFS($E$5:E52,E52,$H$5:H52,"Falta",$L$5:L52,Config!$B$7,$M$5:M52,Config!$B$5)=1),COUNTIFS($E$5:$E$3004,E52,$H$5:$H$3004,"Falta",$L$5:$L$3004,Config!$B$7,$M$5:$M$3004,Config!$B$5)*1000-ROW()/100000,0)</f>
        <v>0</v>
      </c>
    </row>
    <row r="53">
      <c r="A53" s="39" t="n">
        <v>46181</v>
      </c>
      <c r="B53" s="40" t="n">
        <v>0.3819444444444444</v>
      </c>
      <c r="C53" s="35" t="inlineStr">
        <is>
          <t>Dra. Carolina Mendes</t>
        </is>
      </c>
      <c r="D53" s="35" t="inlineStr">
        <is>
          <t>Sala 1</t>
        </is>
      </c>
      <c r="E53" s="34" t="inlineStr">
        <is>
          <t>Rodrigo Gomes</t>
        </is>
      </c>
      <c r="F53" s="35" t="inlineStr">
        <is>
          <t>Vida Care</t>
        </is>
      </c>
      <c r="G53" s="35" t="inlineStr">
        <is>
          <t>Retorno</t>
        </is>
      </c>
      <c r="H53" s="35" t="inlineStr">
        <is>
          <t>Realizado</t>
        </is>
      </c>
      <c r="I53" s="35" t="inlineStr">
        <is>
          <t>Sem cobrança</t>
        </is>
      </c>
      <c r="J53" s="35" t="n"/>
      <c r="K53" s="34" t="n"/>
      <c r="L53" s="26">
        <f>IF(A53="","",MONTH(A53))</f>
        <v>6</v>
      </c>
      <c r="M53" s="26">
        <f>IF(A53="","",YEAR(A53))</f>
        <v>2026</v>
      </c>
      <c r="N53" s="26" t="str">
        <f>IF(A53="","",CHOOSE(WEEKDAY(A53,2),"Segunda","Terça","Quarta","Quinta","Sexta","Sábado","Domingo"))</f>
        <v>Segunda</v>
      </c>
      <c r="O53" s="26" t="str">
        <f>IF(B53="","",IF(B53&lt;TIME(12,0,0),"Manhã",IF(B53&lt;TIME(18,0,0),"Tarde","Noite")))</f>
        <v>Manhã</v>
      </c>
      <c r="P53" s="32">
        <f>IF(G53="","",IFERROR(INDEX(Config!$I$5:$I$16,MATCH(G53,Config!$H$5:$H$16,0)),0))</f>
        <v>0</v>
      </c>
      <c r="Q53" s="30">
        <f>IF(OR(H53&lt;&gt;"Realizado",P53="",P53=0),"",A53+P53)</f>
        <v/>
      </c>
      <c r="R53" s="26">
        <f>IF(Q53="","",IF(COUNTIFS($E$5:$E$3004,E53,$A$5:$A$3004,"&gt;"&amp;A53,$H$5:$H$3004,"&lt;&gt;Falta",$H$5:$H$3004,"&lt;&gt;Cancelado",$H$5:$H$3004,"&lt;&gt;Remarcado")&gt;0,"Sim","Não"))</f>
        <v/>
      </c>
      <c r="S53" s="32">
        <f>IF(R53&lt;&gt;"Não","",IF(Q53+Config!$B$9&lt;=Config!$B$8,Config!$B$8-Q53,""))</f>
        <v/>
      </c>
      <c r="T53" s="26">
        <f>IF(S53="","","Sim")</f>
        <v/>
      </c>
      <c r="U53" s="41">
        <f>IF(T53="Sim",S53+ROW()/100000,0)</f>
        <v>0</v>
      </c>
      <c r="V53" s="41">
        <f>IF(AND(H53="Falta",L53=Config!$B$7,M53=Config!$B$5,COUNTIFS($E$5:E53,E53,$H$5:H53,"Falta",$L$5:L53,Config!$B$7,$M$5:M53,Config!$B$5)=1),COUNTIFS($E$5:$E$3004,E53,$H$5:$H$3004,"Falta",$L$5:$L$3004,Config!$B$7,$M$5:$M$3004,Config!$B$5)*1000-ROW()/100000,0)</f>
        <v>0</v>
      </c>
    </row>
    <row r="54">
      <c r="A54" s="39" t="n">
        <v>46181</v>
      </c>
      <c r="B54" s="40" t="n">
        <v>0.3958333333333333</v>
      </c>
      <c r="C54" s="35" t="inlineStr">
        <is>
          <t>Dra. Carolina Mendes</t>
        </is>
      </c>
      <c r="D54" s="35" t="inlineStr">
        <is>
          <t>Sala 1</t>
        </is>
      </c>
      <c r="E54" s="34" t="inlineStr">
        <is>
          <t>Mônica Martins</t>
        </is>
      </c>
      <c r="F54" s="35" t="inlineStr">
        <is>
          <t>Particular</t>
        </is>
      </c>
      <c r="G54" s="35" t="inlineStr">
        <is>
          <t>Consulta</t>
        </is>
      </c>
      <c r="H54" s="35" t="inlineStr">
        <is>
          <t>Realizado</t>
        </is>
      </c>
      <c r="I54" s="35" t="inlineStr">
        <is>
          <t>Cartão de débito</t>
        </is>
      </c>
      <c r="J54" s="35" t="n"/>
      <c r="K54" s="34" t="n"/>
      <c r="L54" s="26">
        <f>IF(A54="","",MONTH(A54))</f>
        <v>6</v>
      </c>
      <c r="M54" s="26">
        <f>IF(A54="","",YEAR(A54))</f>
        <v>2026</v>
      </c>
      <c r="N54" s="26" t="str">
        <f>IF(A54="","",CHOOSE(WEEKDAY(A54,2),"Segunda","Terça","Quarta","Quinta","Sexta","Sábado","Domingo"))</f>
        <v>Segunda</v>
      </c>
      <c r="O54" s="26" t="str">
        <f>IF(B54="","",IF(B54&lt;TIME(12,0,0),"Manhã",IF(B54&lt;TIME(18,0,0),"Tarde","Noite")))</f>
        <v>Manhã</v>
      </c>
      <c r="P54" s="32">
        <f>IF(G54="","",IFERROR(INDEX(Config!$I$5:$I$16,MATCH(G54,Config!$H$5:$H$16,0)),0))</f>
        <v>30</v>
      </c>
      <c r="Q54" s="30">
        <f>IF(OR(H54&lt;&gt;"Realizado",P54="",P54=0),"",A54+P54)</f>
        <v>46211.0</v>
      </c>
      <c r="R54" s="26" t="str">
        <f>IF(Q54="","",IF(COUNTIFS($E$5:$E$3004,E54,$A$5:$A$3004,"&gt;"&amp;A54,$H$5:$H$3004,"&lt;&gt;Falta",$H$5:$H$3004,"&lt;&gt;Cancelado",$H$5:$H$3004,"&lt;&gt;Remarcado")&gt;0,"Sim","Não"))</f>
        <v>Sim</v>
      </c>
      <c r="S54" s="32">
        <f>IF(R54&lt;&gt;"Não","",IF(Q54+Config!$B$9&lt;=Config!$B$8,Config!$B$8-Q54,""))</f>
        <v/>
      </c>
      <c r="T54" s="26">
        <f>IF(S54="","","Sim")</f>
        <v/>
      </c>
      <c r="U54" s="41">
        <f>IF(T54="Sim",S54+ROW()/100000,0)</f>
        <v>0</v>
      </c>
      <c r="V54" s="41">
        <f>IF(AND(H54="Falta",L54=Config!$B$7,M54=Config!$B$5,COUNTIFS($E$5:E54,E54,$H$5:H54,"Falta",$L$5:L54,Config!$B$7,$M$5:M54,Config!$B$5)=1),COUNTIFS($E$5:$E$3004,E54,$H$5:$H$3004,"Falta",$L$5:$L$3004,Config!$B$7,$M$5:$M$3004,Config!$B$5)*1000-ROW()/100000,0)</f>
        <v>0</v>
      </c>
    </row>
    <row r="55">
      <c r="A55" s="39" t="n">
        <v>46181</v>
      </c>
      <c r="B55" s="40" t="n">
        <v>0.4166666666666667</v>
      </c>
      <c r="C55" s="35" t="inlineStr">
        <is>
          <t>Dra. Carolina Mendes</t>
        </is>
      </c>
      <c r="D55" s="35" t="inlineStr">
        <is>
          <t>Sala 1</t>
        </is>
      </c>
      <c r="E55" s="34" t="inlineStr">
        <is>
          <t>Eduardo Nunes</t>
        </is>
      </c>
      <c r="F55" s="35" t="inlineStr">
        <is>
          <t>MediPlan</t>
        </is>
      </c>
      <c r="G55" s="35" t="inlineStr">
        <is>
          <t>Consulta</t>
        </is>
      </c>
      <c r="H55" s="35" t="inlineStr">
        <is>
          <t>Realizado</t>
        </is>
      </c>
      <c r="I55" s="35" t="inlineStr">
        <is>
          <t>Convênio</t>
        </is>
      </c>
      <c r="J55" s="35" t="n"/>
      <c r="K55" s="34" t="n"/>
      <c r="L55" s="26">
        <f>IF(A55="","",MONTH(A55))</f>
        <v>6</v>
      </c>
      <c r="M55" s="26">
        <f>IF(A55="","",YEAR(A55))</f>
        <v>2026</v>
      </c>
      <c r="N55" s="26" t="str">
        <f>IF(A55="","",CHOOSE(WEEKDAY(A55,2),"Segunda","Terça","Quarta","Quinta","Sexta","Sábado","Domingo"))</f>
        <v>Segunda</v>
      </c>
      <c r="O55" s="26" t="str">
        <f>IF(B55="","",IF(B55&lt;TIME(12,0,0),"Manhã",IF(B55&lt;TIME(18,0,0),"Tarde","Noite")))</f>
        <v>Manhã</v>
      </c>
      <c r="P55" s="32">
        <f>IF(G55="","",IFERROR(INDEX(Config!$I$5:$I$16,MATCH(G55,Config!$H$5:$H$16,0)),0))</f>
        <v>30</v>
      </c>
      <c r="Q55" s="30">
        <f>IF(OR(H55&lt;&gt;"Realizado",P55="",P55=0),"",A55+P55)</f>
        <v>46211.0</v>
      </c>
      <c r="R55" s="26" t="str">
        <f>IF(Q55="","",IF(COUNTIFS($E$5:$E$3004,E55,$A$5:$A$3004,"&gt;"&amp;A55,$H$5:$H$3004,"&lt;&gt;Falta",$H$5:$H$3004,"&lt;&gt;Cancelado",$H$5:$H$3004,"&lt;&gt;Remarcado")&gt;0,"Sim","Não"))</f>
        <v>Sim</v>
      </c>
      <c r="S55" s="32">
        <f>IF(R55&lt;&gt;"Não","",IF(Q55+Config!$B$9&lt;=Config!$B$8,Config!$B$8-Q55,""))</f>
        <v/>
      </c>
      <c r="T55" s="26">
        <f>IF(S55="","","Sim")</f>
        <v/>
      </c>
      <c r="U55" s="41">
        <f>IF(T55="Sim",S55+ROW()/100000,0)</f>
        <v>0</v>
      </c>
      <c r="V55" s="41">
        <f>IF(AND(H55="Falta",L55=Config!$B$7,M55=Config!$B$5,COUNTIFS($E$5:E55,E55,$H$5:H55,"Falta",$L$5:L55,Config!$B$7,$M$5:M55,Config!$B$5)=1),COUNTIFS($E$5:$E$3004,E55,$H$5:$H$3004,"Falta",$L$5:$L$3004,Config!$B$7,$M$5:$M$3004,Config!$B$5)*1000-ROW()/100000,0)</f>
        <v>0</v>
      </c>
    </row>
    <row r="56">
      <c r="A56" s="39" t="n">
        <v>46181</v>
      </c>
      <c r="B56" s="40" t="n">
        <v>0.4375</v>
      </c>
      <c r="C56" s="35" t="inlineStr">
        <is>
          <t>Dra. Carolina Mendes</t>
        </is>
      </c>
      <c r="D56" s="35" t="inlineStr">
        <is>
          <t>Sala 1</t>
        </is>
      </c>
      <c r="E56" s="34" t="inlineStr">
        <is>
          <t>Priscila Castro</t>
        </is>
      </c>
      <c r="F56" s="35" t="inlineStr">
        <is>
          <t>Saúde Total</t>
        </is>
      </c>
      <c r="G56" s="35" t="inlineStr">
        <is>
          <t>Consulta</t>
        </is>
      </c>
      <c r="H56" s="35" t="inlineStr">
        <is>
          <t>Realizado</t>
        </is>
      </c>
      <c r="I56" s="35" t="inlineStr">
        <is>
          <t>Convênio</t>
        </is>
      </c>
      <c r="J56" s="35" t="n"/>
      <c r="K56" s="34" t="n"/>
      <c r="L56" s="26">
        <f>IF(A56="","",MONTH(A56))</f>
        <v>6</v>
      </c>
      <c r="M56" s="26">
        <f>IF(A56="","",YEAR(A56))</f>
        <v>2026</v>
      </c>
      <c r="N56" s="26" t="str">
        <f>IF(A56="","",CHOOSE(WEEKDAY(A56,2),"Segunda","Terça","Quarta","Quinta","Sexta","Sábado","Domingo"))</f>
        <v>Segunda</v>
      </c>
      <c r="O56" s="26" t="str">
        <f>IF(B56="","",IF(B56&lt;TIME(12,0,0),"Manhã",IF(B56&lt;TIME(18,0,0),"Tarde","Noite")))</f>
        <v>Manhã</v>
      </c>
      <c r="P56" s="32">
        <f>IF(G56="","",IFERROR(INDEX(Config!$I$5:$I$16,MATCH(G56,Config!$H$5:$H$16,0)),0))</f>
        <v>30</v>
      </c>
      <c r="Q56" s="30">
        <f>IF(OR(H56&lt;&gt;"Realizado",P56="",P56=0),"",A56+P56)</f>
        <v>46211.0</v>
      </c>
      <c r="R56" s="26" t="str">
        <f>IF(Q56="","",IF(COUNTIFS($E$5:$E$3004,E56,$A$5:$A$3004,"&gt;"&amp;A56,$H$5:$H$3004,"&lt;&gt;Falta",$H$5:$H$3004,"&lt;&gt;Cancelado",$H$5:$H$3004,"&lt;&gt;Remarcado")&gt;0,"Sim","Não"))</f>
        <v>Sim</v>
      </c>
      <c r="S56" s="32">
        <f>IF(R56&lt;&gt;"Não","",IF(Q56+Config!$B$9&lt;=Config!$B$8,Config!$B$8-Q56,""))</f>
        <v/>
      </c>
      <c r="T56" s="26">
        <f>IF(S56="","","Sim")</f>
        <v/>
      </c>
      <c r="U56" s="41">
        <f>IF(T56="Sim",S56+ROW()/100000,0)</f>
        <v>0</v>
      </c>
      <c r="V56" s="41">
        <f>IF(AND(H56="Falta",L56=Config!$B$7,M56=Config!$B$5,COUNTIFS($E$5:E56,E56,$H$5:H56,"Falta",$L$5:L56,Config!$B$7,$M$5:M56,Config!$B$5)=1),COUNTIFS($E$5:$E$3004,E56,$H$5:$H$3004,"Falta",$L$5:$L$3004,Config!$B$7,$M$5:$M$3004,Config!$B$5)*1000-ROW()/100000,0)</f>
        <v>0</v>
      </c>
    </row>
    <row r="57">
      <c r="A57" s="39" t="n">
        <v>46181</v>
      </c>
      <c r="B57" s="40" t="n">
        <v>0.4583333333333333</v>
      </c>
      <c r="C57" s="35" t="inlineStr">
        <is>
          <t>Dra. Carolina Mendes</t>
        </is>
      </c>
      <c r="D57" s="35" t="inlineStr">
        <is>
          <t>Sala 1</t>
        </is>
      </c>
      <c r="E57" s="34" t="inlineStr">
        <is>
          <t>Tatiana Cunha</t>
        </is>
      </c>
      <c r="F57" s="35" t="inlineStr">
        <is>
          <t>Saúde Total</t>
        </is>
      </c>
      <c r="G57" s="35" t="inlineStr">
        <is>
          <t>Consulta</t>
        </is>
      </c>
      <c r="H57" s="35" t="inlineStr">
        <is>
          <t>Realizado</t>
        </is>
      </c>
      <c r="I57" s="35" t="inlineStr">
        <is>
          <t>Convênio</t>
        </is>
      </c>
      <c r="J57" s="35" t="n"/>
      <c r="K57" s="34" t="n"/>
      <c r="L57" s="26">
        <f>IF(A57="","",MONTH(A57))</f>
        <v>6</v>
      </c>
      <c r="M57" s="26">
        <f>IF(A57="","",YEAR(A57))</f>
        <v>2026</v>
      </c>
      <c r="N57" s="26" t="str">
        <f>IF(A57="","",CHOOSE(WEEKDAY(A57,2),"Segunda","Terça","Quarta","Quinta","Sexta","Sábado","Domingo"))</f>
        <v>Segunda</v>
      </c>
      <c r="O57" s="26" t="str">
        <f>IF(B57="","",IF(B57&lt;TIME(12,0,0),"Manhã",IF(B57&lt;TIME(18,0,0),"Tarde","Noite")))</f>
        <v>Manhã</v>
      </c>
      <c r="P57" s="32">
        <f>IF(G57="","",IFERROR(INDEX(Config!$I$5:$I$16,MATCH(G57,Config!$H$5:$H$16,0)),0))</f>
        <v>30</v>
      </c>
      <c r="Q57" s="30">
        <f>IF(OR(H57&lt;&gt;"Realizado",P57="",P57=0),"",A57+P57)</f>
        <v>46211.0</v>
      </c>
      <c r="R57" s="26" t="str">
        <f>IF(Q57="","",IF(COUNTIFS($E$5:$E$3004,E57,$A$5:$A$3004,"&gt;"&amp;A57,$H$5:$H$3004,"&lt;&gt;Falta",$H$5:$H$3004,"&lt;&gt;Cancelado",$H$5:$H$3004,"&lt;&gt;Remarcado")&gt;0,"Sim","Não"))</f>
        <v>Sim</v>
      </c>
      <c r="S57" s="32">
        <f>IF(R57&lt;&gt;"Não","",IF(Q57+Config!$B$9&lt;=Config!$B$8,Config!$B$8-Q57,""))</f>
        <v/>
      </c>
      <c r="T57" s="26">
        <f>IF(S57="","","Sim")</f>
        <v/>
      </c>
      <c r="U57" s="41">
        <f>IF(T57="Sim",S57+ROW()/100000,0)</f>
        <v>0</v>
      </c>
      <c r="V57" s="41">
        <f>IF(AND(H57="Falta",L57=Config!$B$7,M57=Config!$B$5,COUNTIFS($E$5:E57,E57,$H$5:H57,"Falta",$L$5:L57,Config!$B$7,$M$5:M57,Config!$B$5)=1),COUNTIFS($E$5:$E$3004,E57,$H$5:$H$3004,"Falta",$L$5:$L$3004,Config!$B$7,$M$5:$M$3004,Config!$B$5)*1000-ROW()/100000,0)</f>
        <v>0</v>
      </c>
    </row>
    <row r="58">
      <c r="A58" s="39" t="n">
        <v>46181</v>
      </c>
      <c r="B58" s="40" t="n">
        <v>0.4791666666666667</v>
      </c>
      <c r="C58" s="35" t="inlineStr">
        <is>
          <t>Dra. Carolina Mendes</t>
        </is>
      </c>
      <c r="D58" s="35" t="inlineStr">
        <is>
          <t>Sala 1</t>
        </is>
      </c>
      <c r="E58" s="34" t="inlineStr">
        <is>
          <t>Mariana Nascimento</t>
        </is>
      </c>
      <c r="F58" s="35" t="inlineStr">
        <is>
          <t>Particular</t>
        </is>
      </c>
      <c r="G58" s="35" t="inlineStr">
        <is>
          <t>Consulta</t>
        </is>
      </c>
      <c r="H58" s="35" t="inlineStr">
        <is>
          <t>Realizado</t>
        </is>
      </c>
      <c r="I58" s="35" t="inlineStr">
        <is>
          <t>Pix</t>
        </is>
      </c>
      <c r="J58" s="35" t="n"/>
      <c r="K58" s="34" t="n"/>
      <c r="L58" s="26">
        <f>IF(A58="","",MONTH(A58))</f>
        <v>6</v>
      </c>
      <c r="M58" s="26">
        <f>IF(A58="","",YEAR(A58))</f>
        <v>2026</v>
      </c>
      <c r="N58" s="26" t="str">
        <f>IF(A58="","",CHOOSE(WEEKDAY(A58,2),"Segunda","Terça","Quarta","Quinta","Sexta","Sábado","Domingo"))</f>
        <v>Segunda</v>
      </c>
      <c r="O58" s="26" t="str">
        <f>IF(B58="","",IF(B58&lt;TIME(12,0,0),"Manhã",IF(B58&lt;TIME(18,0,0),"Tarde","Noite")))</f>
        <v>Manhã</v>
      </c>
      <c r="P58" s="32">
        <f>IF(G58="","",IFERROR(INDEX(Config!$I$5:$I$16,MATCH(G58,Config!$H$5:$H$16,0)),0))</f>
        <v>30</v>
      </c>
      <c r="Q58" s="30">
        <f>IF(OR(H58&lt;&gt;"Realizado",P58="",P58=0),"",A58+P58)</f>
        <v>46211.0</v>
      </c>
      <c r="R58" s="26" t="str">
        <f>IF(Q58="","",IF(COUNTIFS($E$5:$E$3004,E58,$A$5:$A$3004,"&gt;"&amp;A58,$H$5:$H$3004,"&lt;&gt;Falta",$H$5:$H$3004,"&lt;&gt;Cancelado",$H$5:$H$3004,"&lt;&gt;Remarcado")&gt;0,"Sim","Não"))</f>
        <v>Sim</v>
      </c>
      <c r="S58" s="32">
        <f>IF(R58&lt;&gt;"Não","",IF(Q58+Config!$B$9&lt;=Config!$B$8,Config!$B$8-Q58,""))</f>
        <v/>
      </c>
      <c r="T58" s="26">
        <f>IF(S58="","","Sim")</f>
        <v/>
      </c>
      <c r="U58" s="41">
        <f>IF(T58="Sim",S58+ROW()/100000,0)</f>
        <v>0</v>
      </c>
      <c r="V58" s="41">
        <f>IF(AND(H58="Falta",L58=Config!$B$7,M58=Config!$B$5,COUNTIFS($E$5:E58,E58,$H$5:H58,"Falta",$L$5:L58,Config!$B$7,$M$5:M58,Config!$B$5)=1),COUNTIFS($E$5:$E$3004,E58,$H$5:$H$3004,"Falta",$L$5:$L$3004,Config!$B$7,$M$5:$M$3004,Config!$B$5)*1000-ROW()/100000,0)</f>
        <v>0</v>
      </c>
    </row>
    <row r="59">
      <c r="A59" s="39" t="n">
        <v>46181</v>
      </c>
      <c r="B59" s="40" t="n">
        <v>0.5833333333333334</v>
      </c>
      <c r="C59" s="35" t="inlineStr">
        <is>
          <t>Dr. Paulo Andrade</t>
        </is>
      </c>
      <c r="D59" s="35" t="inlineStr">
        <is>
          <t>Sala 2</t>
        </is>
      </c>
      <c r="E59" s="34" t="inlineStr">
        <is>
          <t>Priscila Nunes</t>
        </is>
      </c>
      <c r="F59" s="35" t="inlineStr">
        <is>
          <t>MediPlan</t>
        </is>
      </c>
      <c r="G59" s="35" t="inlineStr">
        <is>
          <t>Teste ergométrico</t>
        </is>
      </c>
      <c r="H59" s="35" t="inlineStr">
        <is>
          <t>Realizado</t>
        </is>
      </c>
      <c r="I59" s="35" t="inlineStr">
        <is>
          <t>Convênio</t>
        </is>
      </c>
      <c r="J59" s="35" t="n"/>
      <c r="K59" s="34" t="n"/>
      <c r="L59" s="26">
        <f>IF(A59="","",MONTH(A59))</f>
        <v>6</v>
      </c>
      <c r="M59" s="26">
        <f>IF(A59="","",YEAR(A59))</f>
        <v>2026</v>
      </c>
      <c r="N59" s="26" t="str">
        <f>IF(A59="","",CHOOSE(WEEKDAY(A59,2),"Segunda","Terça","Quarta","Quinta","Sexta","Sábado","Domingo"))</f>
        <v>Segunda</v>
      </c>
      <c r="O59" s="26" t="str">
        <f>IF(B59="","",IF(B59&lt;TIME(12,0,0),"Manhã",IF(B59&lt;TIME(18,0,0),"Tarde","Noite")))</f>
        <v>Tarde</v>
      </c>
      <c r="P59" s="32">
        <f>IF(G59="","",IFERROR(INDEX(Config!$I$5:$I$16,MATCH(G59,Config!$H$5:$H$16,0)),0))</f>
        <v>0</v>
      </c>
      <c r="Q59" s="30">
        <f>IF(OR(H59&lt;&gt;"Realizado",P59="",P59=0),"",A59+P59)</f>
        <v/>
      </c>
      <c r="R59" s="26">
        <f>IF(Q59="","",IF(COUNTIFS($E$5:$E$3004,E59,$A$5:$A$3004,"&gt;"&amp;A59,$H$5:$H$3004,"&lt;&gt;Falta",$H$5:$H$3004,"&lt;&gt;Cancelado",$H$5:$H$3004,"&lt;&gt;Remarcado")&gt;0,"Sim","Não"))</f>
        <v/>
      </c>
      <c r="S59" s="32">
        <f>IF(R59&lt;&gt;"Não","",IF(Q59+Config!$B$9&lt;=Config!$B$8,Config!$B$8-Q59,""))</f>
        <v/>
      </c>
      <c r="T59" s="26">
        <f>IF(S59="","","Sim")</f>
        <v/>
      </c>
      <c r="U59" s="41">
        <f>IF(T59="Sim",S59+ROW()/100000,0)</f>
        <v>0</v>
      </c>
      <c r="V59" s="41">
        <f>IF(AND(H59="Falta",L59=Config!$B$7,M59=Config!$B$5,COUNTIFS($E$5:E59,E59,$H$5:H59,"Falta",$L$5:L59,Config!$B$7,$M$5:M59,Config!$B$5)=1),COUNTIFS($E$5:$E$3004,E59,$H$5:$H$3004,"Falta",$L$5:$L$3004,Config!$B$7,$M$5:$M$3004,Config!$B$5)*1000-ROW()/100000,0)</f>
        <v>0</v>
      </c>
    </row>
    <row r="60">
      <c r="A60" s="39" t="n">
        <v>46181</v>
      </c>
      <c r="B60" s="40" t="n">
        <v>0.6111111111111112</v>
      </c>
      <c r="C60" s="35" t="inlineStr">
        <is>
          <t>Dr. Paulo Andrade</t>
        </is>
      </c>
      <c r="D60" s="35" t="inlineStr">
        <is>
          <t>Sala 2</t>
        </is>
      </c>
      <c r="E60" s="34" t="inlineStr">
        <is>
          <t>Daniel Melo</t>
        </is>
      </c>
      <c r="F60" s="35" t="inlineStr">
        <is>
          <t>Saúde Total</t>
        </is>
      </c>
      <c r="G60" s="35" t="inlineStr">
        <is>
          <t>Holter</t>
        </is>
      </c>
      <c r="H60" s="35" t="inlineStr">
        <is>
          <t>Realizado</t>
        </is>
      </c>
      <c r="I60" s="35" t="inlineStr">
        <is>
          <t>Convênio</t>
        </is>
      </c>
      <c r="J60" s="35" t="n"/>
      <c r="K60" s="34" t="n"/>
      <c r="L60" s="26">
        <f>IF(A60="","",MONTH(A60))</f>
        <v>6</v>
      </c>
      <c r="M60" s="26">
        <f>IF(A60="","",YEAR(A60))</f>
        <v>2026</v>
      </c>
      <c r="N60" s="26" t="str">
        <f>IF(A60="","",CHOOSE(WEEKDAY(A60,2),"Segunda","Terça","Quarta","Quinta","Sexta","Sábado","Domingo"))</f>
        <v>Segunda</v>
      </c>
      <c r="O60" s="26" t="str">
        <f>IF(B60="","",IF(B60&lt;TIME(12,0,0),"Manhã",IF(B60&lt;TIME(18,0,0),"Tarde","Noite")))</f>
        <v>Tarde</v>
      </c>
      <c r="P60" s="32">
        <f>IF(G60="","",IFERROR(INDEX(Config!$I$5:$I$16,MATCH(G60,Config!$H$5:$H$16,0)),0))</f>
        <v>0</v>
      </c>
      <c r="Q60" s="30">
        <f>IF(OR(H60&lt;&gt;"Realizado",P60="",P60=0),"",A60+P60)</f>
        <v/>
      </c>
      <c r="R60" s="26">
        <f>IF(Q60="","",IF(COUNTIFS($E$5:$E$3004,E60,$A$5:$A$3004,"&gt;"&amp;A60,$H$5:$H$3004,"&lt;&gt;Falta",$H$5:$H$3004,"&lt;&gt;Cancelado",$H$5:$H$3004,"&lt;&gt;Remarcado")&gt;0,"Sim","Não"))</f>
        <v/>
      </c>
      <c r="S60" s="32">
        <f>IF(R60&lt;&gt;"Não","",IF(Q60+Config!$B$9&lt;=Config!$B$8,Config!$B$8-Q60,""))</f>
        <v/>
      </c>
      <c r="T60" s="26">
        <f>IF(S60="","","Sim")</f>
        <v/>
      </c>
      <c r="U60" s="41">
        <f>IF(T60="Sim",S60+ROW()/100000,0)</f>
        <v>0</v>
      </c>
      <c r="V60" s="41">
        <f>IF(AND(H60="Falta",L60=Config!$B$7,M60=Config!$B$5,COUNTIFS($E$5:E60,E60,$H$5:H60,"Falta",$L$5:L60,Config!$B$7,$M$5:M60,Config!$B$5)=1),COUNTIFS($E$5:$E$3004,E60,$H$5:$H$3004,"Falta",$L$5:$L$3004,Config!$B$7,$M$5:$M$3004,Config!$B$5)*1000-ROW()/100000,0)</f>
        <v>0</v>
      </c>
    </row>
    <row r="61">
      <c r="A61" s="39" t="n">
        <v>46181</v>
      </c>
      <c r="B61" s="40" t="n">
        <v>0.625</v>
      </c>
      <c r="C61" s="35" t="inlineStr">
        <is>
          <t>Dr. Paulo Andrade</t>
        </is>
      </c>
      <c r="D61" s="35" t="inlineStr">
        <is>
          <t>Sala 2</t>
        </is>
      </c>
      <c r="E61" s="34" t="inlineStr">
        <is>
          <t>Rodrigo Moreira</t>
        </is>
      </c>
      <c r="F61" s="35" t="inlineStr">
        <is>
          <t>Particular</t>
        </is>
      </c>
      <c r="G61" s="35" t="inlineStr">
        <is>
          <t>ECG</t>
        </is>
      </c>
      <c r="H61" s="35" t="inlineStr">
        <is>
          <t>Realizado</t>
        </is>
      </c>
      <c r="I61" s="35" t="inlineStr">
        <is>
          <t>Cartão de crédito</t>
        </is>
      </c>
      <c r="J61" s="35" t="n"/>
      <c r="K61" s="34" t="n"/>
      <c r="L61" s="26">
        <f>IF(A61="","",MONTH(A61))</f>
        <v>6</v>
      </c>
      <c r="M61" s="26">
        <f>IF(A61="","",YEAR(A61))</f>
        <v>2026</v>
      </c>
      <c r="N61" s="26" t="str">
        <f>IF(A61="","",CHOOSE(WEEKDAY(A61,2),"Segunda","Terça","Quarta","Quinta","Sexta","Sábado","Domingo"))</f>
        <v>Segunda</v>
      </c>
      <c r="O61" s="26" t="str">
        <f>IF(B61="","",IF(B61&lt;TIME(12,0,0),"Manhã",IF(B61&lt;TIME(18,0,0),"Tarde","Noite")))</f>
        <v>Tarde</v>
      </c>
      <c r="P61" s="32">
        <f>IF(G61="","",IFERROR(INDEX(Config!$I$5:$I$16,MATCH(G61,Config!$H$5:$H$16,0)),0))</f>
        <v>0</v>
      </c>
      <c r="Q61" s="30">
        <f>IF(OR(H61&lt;&gt;"Realizado",P61="",P61=0),"",A61+P61)</f>
        <v/>
      </c>
      <c r="R61" s="26">
        <f>IF(Q61="","",IF(COUNTIFS($E$5:$E$3004,E61,$A$5:$A$3004,"&gt;"&amp;A61,$H$5:$H$3004,"&lt;&gt;Falta",$H$5:$H$3004,"&lt;&gt;Cancelado",$H$5:$H$3004,"&lt;&gt;Remarcado")&gt;0,"Sim","Não"))</f>
        <v/>
      </c>
      <c r="S61" s="32">
        <f>IF(R61&lt;&gt;"Não","",IF(Q61+Config!$B$9&lt;=Config!$B$8,Config!$B$8-Q61,""))</f>
        <v/>
      </c>
      <c r="T61" s="26">
        <f>IF(S61="","","Sim")</f>
        <v/>
      </c>
      <c r="U61" s="41">
        <f>IF(T61="Sim",S61+ROW()/100000,0)</f>
        <v>0</v>
      </c>
      <c r="V61" s="41">
        <f>IF(AND(H61="Falta",L61=Config!$B$7,M61=Config!$B$5,COUNTIFS($E$5:E61,E61,$H$5:H61,"Falta",$L$5:L61,Config!$B$7,$M$5:M61,Config!$B$5)=1),COUNTIFS($E$5:$E$3004,E61,$H$5:$H$3004,"Falta",$L$5:$L$3004,Config!$B$7,$M$5:$M$3004,Config!$B$5)*1000-ROW()/100000,0)</f>
        <v>0</v>
      </c>
    </row>
    <row r="62">
      <c r="A62" s="39" t="n">
        <v>46181</v>
      </c>
      <c r="B62" s="40" t="n">
        <v>0.6388888888888888</v>
      </c>
      <c r="C62" s="35" t="inlineStr">
        <is>
          <t>Dr. Paulo Andrade</t>
        </is>
      </c>
      <c r="D62" s="35" t="inlineStr">
        <is>
          <t>Sala 2</t>
        </is>
      </c>
      <c r="E62" s="34" t="inlineStr">
        <is>
          <t>Débora Machado</t>
        </is>
      </c>
      <c r="F62" s="35" t="inlineStr">
        <is>
          <t>Saúde Total</t>
        </is>
      </c>
      <c r="G62" s="35" t="inlineStr">
        <is>
          <t>Holter</t>
        </is>
      </c>
      <c r="H62" s="35" t="inlineStr">
        <is>
          <t>Realizado</t>
        </is>
      </c>
      <c r="I62" s="35" t="inlineStr">
        <is>
          <t>Convênio</t>
        </is>
      </c>
      <c r="J62" s="35" t="n"/>
      <c r="K62" s="34" t="n"/>
      <c r="L62" s="26">
        <f>IF(A62="","",MONTH(A62))</f>
        <v>6</v>
      </c>
      <c r="M62" s="26">
        <f>IF(A62="","",YEAR(A62))</f>
        <v>2026</v>
      </c>
      <c r="N62" s="26" t="str">
        <f>IF(A62="","",CHOOSE(WEEKDAY(A62,2),"Segunda","Terça","Quarta","Quinta","Sexta","Sábado","Domingo"))</f>
        <v>Segunda</v>
      </c>
      <c r="O62" s="26" t="str">
        <f>IF(B62="","",IF(B62&lt;TIME(12,0,0),"Manhã",IF(B62&lt;TIME(18,0,0),"Tarde","Noite")))</f>
        <v>Tarde</v>
      </c>
      <c r="P62" s="32">
        <f>IF(G62="","",IFERROR(INDEX(Config!$I$5:$I$16,MATCH(G62,Config!$H$5:$H$16,0)),0))</f>
        <v>0</v>
      </c>
      <c r="Q62" s="30">
        <f>IF(OR(H62&lt;&gt;"Realizado",P62="",P62=0),"",A62+P62)</f>
        <v/>
      </c>
      <c r="R62" s="26">
        <f>IF(Q62="","",IF(COUNTIFS($E$5:$E$3004,E62,$A$5:$A$3004,"&gt;"&amp;A62,$H$5:$H$3004,"&lt;&gt;Falta",$H$5:$H$3004,"&lt;&gt;Cancelado",$H$5:$H$3004,"&lt;&gt;Remarcado")&gt;0,"Sim","Não"))</f>
        <v/>
      </c>
      <c r="S62" s="32">
        <f>IF(R62&lt;&gt;"Não","",IF(Q62+Config!$B$9&lt;=Config!$B$8,Config!$B$8-Q62,""))</f>
        <v/>
      </c>
      <c r="T62" s="26">
        <f>IF(S62="","","Sim")</f>
        <v/>
      </c>
      <c r="U62" s="41">
        <f>IF(T62="Sim",S62+ROW()/100000,0)</f>
        <v>0</v>
      </c>
      <c r="V62" s="41">
        <f>IF(AND(H62="Falta",L62=Config!$B$7,M62=Config!$B$5,COUNTIFS($E$5:E62,E62,$H$5:H62,"Falta",$L$5:L62,Config!$B$7,$M$5:M62,Config!$B$5)=1),COUNTIFS($E$5:$E$3004,E62,$H$5:$H$3004,"Falta",$L$5:$L$3004,Config!$B$7,$M$5:$M$3004,Config!$B$5)*1000-ROW()/100000,0)</f>
        <v>0</v>
      </c>
    </row>
    <row r="63">
      <c r="A63" s="39" t="n">
        <v>46181</v>
      </c>
      <c r="B63" s="40" t="n">
        <v>0.6527777777777778</v>
      </c>
      <c r="C63" s="35" t="inlineStr">
        <is>
          <t>Dr. Paulo Andrade</t>
        </is>
      </c>
      <c r="D63" s="35" t="inlineStr">
        <is>
          <t>Sala 2</t>
        </is>
      </c>
      <c r="E63" s="34" t="inlineStr">
        <is>
          <t>Paulo Reis</t>
        </is>
      </c>
      <c r="F63" s="35" t="inlineStr">
        <is>
          <t>Particular</t>
        </is>
      </c>
      <c r="G63" s="35" t="inlineStr">
        <is>
          <t>Retorno</t>
        </is>
      </c>
      <c r="H63" s="35" t="inlineStr">
        <is>
          <t>Realizado</t>
        </is>
      </c>
      <c r="I63" s="35" t="inlineStr">
        <is>
          <t>Sem cobrança</t>
        </is>
      </c>
      <c r="J63" s="35" t="n"/>
      <c r="K63" s="34" t="n"/>
      <c r="L63" s="26">
        <f>IF(A63="","",MONTH(A63))</f>
        <v>6</v>
      </c>
      <c r="M63" s="26">
        <f>IF(A63="","",YEAR(A63))</f>
        <v>2026</v>
      </c>
      <c r="N63" s="26" t="str">
        <f>IF(A63="","",CHOOSE(WEEKDAY(A63,2),"Segunda","Terça","Quarta","Quinta","Sexta","Sábado","Domingo"))</f>
        <v>Segunda</v>
      </c>
      <c r="O63" s="26" t="str">
        <f>IF(B63="","",IF(B63&lt;TIME(12,0,0),"Manhã",IF(B63&lt;TIME(18,0,0),"Tarde","Noite")))</f>
        <v>Tarde</v>
      </c>
      <c r="P63" s="32">
        <f>IF(G63="","",IFERROR(INDEX(Config!$I$5:$I$16,MATCH(G63,Config!$H$5:$H$16,0)),0))</f>
        <v>0</v>
      </c>
      <c r="Q63" s="30">
        <f>IF(OR(H63&lt;&gt;"Realizado",P63="",P63=0),"",A63+P63)</f>
        <v/>
      </c>
      <c r="R63" s="26">
        <f>IF(Q63="","",IF(COUNTIFS($E$5:$E$3004,E63,$A$5:$A$3004,"&gt;"&amp;A63,$H$5:$H$3004,"&lt;&gt;Falta",$H$5:$H$3004,"&lt;&gt;Cancelado",$H$5:$H$3004,"&lt;&gt;Remarcado")&gt;0,"Sim","Não"))</f>
        <v/>
      </c>
      <c r="S63" s="32">
        <f>IF(R63&lt;&gt;"Não","",IF(Q63+Config!$B$9&lt;=Config!$B$8,Config!$B$8-Q63,""))</f>
        <v/>
      </c>
      <c r="T63" s="26">
        <f>IF(S63="","","Sim")</f>
        <v/>
      </c>
      <c r="U63" s="41">
        <f>IF(T63="Sim",S63+ROW()/100000,0)</f>
        <v>0</v>
      </c>
      <c r="V63" s="41">
        <f>IF(AND(H63="Falta",L63=Config!$B$7,M63=Config!$B$5,COUNTIFS($E$5:E63,E63,$H$5:H63,"Falta",$L$5:L63,Config!$B$7,$M$5:M63,Config!$B$5)=1),COUNTIFS($E$5:$E$3004,E63,$H$5:$H$3004,"Falta",$L$5:$L$3004,Config!$B$7,$M$5:$M$3004,Config!$B$5)*1000-ROW()/100000,0)</f>
        <v>0</v>
      </c>
    </row>
    <row r="64">
      <c r="A64" s="39" t="n">
        <v>46181</v>
      </c>
      <c r="B64" s="40" t="n">
        <v>0.6666666666666666</v>
      </c>
      <c r="C64" s="35" t="inlineStr">
        <is>
          <t>Dr. Paulo Andrade</t>
        </is>
      </c>
      <c r="D64" s="35" t="inlineStr">
        <is>
          <t>Sala 2</t>
        </is>
      </c>
      <c r="E64" s="34" t="inlineStr">
        <is>
          <t>Cláudia Castro</t>
        </is>
      </c>
      <c r="F64" s="35" t="inlineStr">
        <is>
          <t>Vida Care</t>
        </is>
      </c>
      <c r="G64" s="35" t="inlineStr">
        <is>
          <t>Consulta</t>
        </is>
      </c>
      <c r="H64" s="35" t="inlineStr">
        <is>
          <t>Realizado</t>
        </is>
      </c>
      <c r="I64" s="35" t="inlineStr">
        <is>
          <t>Convênio</t>
        </is>
      </c>
      <c r="J64" s="35" t="n"/>
      <c r="K64" s="34" t="n"/>
      <c r="L64" s="26">
        <f>IF(A64="","",MONTH(A64))</f>
        <v>6</v>
      </c>
      <c r="M64" s="26">
        <f>IF(A64="","",YEAR(A64))</f>
        <v>2026</v>
      </c>
      <c r="N64" s="26" t="str">
        <f>IF(A64="","",CHOOSE(WEEKDAY(A64,2),"Segunda","Terça","Quarta","Quinta","Sexta","Sábado","Domingo"))</f>
        <v>Segunda</v>
      </c>
      <c r="O64" s="26" t="str">
        <f>IF(B64="","",IF(B64&lt;TIME(12,0,0),"Manhã",IF(B64&lt;TIME(18,0,0),"Tarde","Noite")))</f>
        <v>Tarde</v>
      </c>
      <c r="P64" s="32">
        <f>IF(G64="","",IFERROR(INDEX(Config!$I$5:$I$16,MATCH(G64,Config!$H$5:$H$16,0)),0))</f>
        <v>30</v>
      </c>
      <c r="Q64" s="30">
        <f>IF(OR(H64&lt;&gt;"Realizado",P64="",P64=0),"",A64+P64)</f>
        <v>46211.0</v>
      </c>
      <c r="R64" s="26" t="str">
        <f>IF(Q64="","",IF(COUNTIFS($E$5:$E$3004,E64,$A$5:$A$3004,"&gt;"&amp;A64,$H$5:$H$3004,"&lt;&gt;Falta",$H$5:$H$3004,"&lt;&gt;Cancelado",$H$5:$H$3004,"&lt;&gt;Remarcado")&gt;0,"Sim","Não"))</f>
        <v>Sim</v>
      </c>
      <c r="S64" s="32">
        <f>IF(R64&lt;&gt;"Não","",IF(Q64+Config!$B$9&lt;=Config!$B$8,Config!$B$8-Q64,""))</f>
        <v/>
      </c>
      <c r="T64" s="26">
        <f>IF(S64="","","Sim")</f>
        <v/>
      </c>
      <c r="U64" s="41">
        <f>IF(T64="Sim",S64+ROW()/100000,0)</f>
        <v>0</v>
      </c>
      <c r="V64" s="41">
        <f>IF(AND(H64="Falta",L64=Config!$B$7,M64=Config!$B$5,COUNTIFS($E$5:E64,E64,$H$5:H64,"Falta",$L$5:L64,Config!$B$7,$M$5:M64,Config!$B$5)=1),COUNTIFS($E$5:$E$3004,E64,$H$5:$H$3004,"Falta",$L$5:$L$3004,Config!$B$7,$M$5:$M$3004,Config!$B$5)*1000-ROW()/100000,0)</f>
        <v>0</v>
      </c>
    </row>
    <row r="65">
      <c r="A65" s="39" t="n">
        <v>46181</v>
      </c>
      <c r="B65" s="40" t="n">
        <v>0.6875</v>
      </c>
      <c r="C65" s="35" t="inlineStr">
        <is>
          <t>Dr. Paulo Andrade</t>
        </is>
      </c>
      <c r="D65" s="35" t="inlineStr">
        <is>
          <t>Sala 2</t>
        </is>
      </c>
      <c r="E65" s="34" t="inlineStr">
        <is>
          <t>Ricardo Melo</t>
        </is>
      </c>
      <c r="F65" s="35" t="inlineStr">
        <is>
          <t>Saúde Total</t>
        </is>
      </c>
      <c r="G65" s="35" t="inlineStr">
        <is>
          <t>ECG</t>
        </is>
      </c>
      <c r="H65" s="35" t="inlineStr">
        <is>
          <t>Realizado</t>
        </is>
      </c>
      <c r="I65" s="35" t="inlineStr">
        <is>
          <t>Convênio</t>
        </is>
      </c>
      <c r="J65" s="35" t="n"/>
      <c r="K65" s="34" t="n"/>
      <c r="L65" s="26">
        <f>IF(A65="","",MONTH(A65))</f>
        <v>6</v>
      </c>
      <c r="M65" s="26">
        <f>IF(A65="","",YEAR(A65))</f>
        <v>2026</v>
      </c>
      <c r="N65" s="26" t="str">
        <f>IF(A65="","",CHOOSE(WEEKDAY(A65,2),"Segunda","Terça","Quarta","Quinta","Sexta","Sábado","Domingo"))</f>
        <v>Segunda</v>
      </c>
      <c r="O65" s="26" t="str">
        <f>IF(B65="","",IF(B65&lt;TIME(12,0,0),"Manhã",IF(B65&lt;TIME(18,0,0),"Tarde","Noite")))</f>
        <v>Tarde</v>
      </c>
      <c r="P65" s="32">
        <f>IF(G65="","",IFERROR(INDEX(Config!$I$5:$I$16,MATCH(G65,Config!$H$5:$H$16,0)),0))</f>
        <v>0</v>
      </c>
      <c r="Q65" s="30">
        <f>IF(OR(H65&lt;&gt;"Realizado",P65="",P65=0),"",A65+P65)</f>
        <v/>
      </c>
      <c r="R65" s="26">
        <f>IF(Q65="","",IF(COUNTIFS($E$5:$E$3004,E65,$A$5:$A$3004,"&gt;"&amp;A65,$H$5:$H$3004,"&lt;&gt;Falta",$H$5:$H$3004,"&lt;&gt;Cancelado",$H$5:$H$3004,"&lt;&gt;Remarcado")&gt;0,"Sim","Não"))</f>
        <v/>
      </c>
      <c r="S65" s="32">
        <f>IF(R65&lt;&gt;"Não","",IF(Q65+Config!$B$9&lt;=Config!$B$8,Config!$B$8-Q65,""))</f>
        <v/>
      </c>
      <c r="T65" s="26">
        <f>IF(S65="","","Sim")</f>
        <v/>
      </c>
      <c r="U65" s="41">
        <f>IF(T65="Sim",S65+ROW()/100000,0)</f>
        <v>0</v>
      </c>
      <c r="V65" s="41">
        <f>IF(AND(H65="Falta",L65=Config!$B$7,M65=Config!$B$5,COUNTIFS($E$5:E65,E65,$H$5:H65,"Falta",$L$5:L65,Config!$B$7,$M$5:M65,Config!$B$5)=1),COUNTIFS($E$5:$E$3004,E65,$H$5:$H$3004,"Falta",$L$5:$L$3004,Config!$B$7,$M$5:$M$3004,Config!$B$5)*1000-ROW()/100000,0)</f>
        <v>0</v>
      </c>
    </row>
    <row r="66">
      <c r="A66" s="39" t="n">
        <v>46181</v>
      </c>
      <c r="B66" s="40" t="n">
        <v>0.7013888888888888</v>
      </c>
      <c r="C66" s="35" t="inlineStr">
        <is>
          <t>Dr. Paulo Andrade</t>
        </is>
      </c>
      <c r="D66" s="35" t="inlineStr">
        <is>
          <t>Sala 2</t>
        </is>
      </c>
      <c r="E66" s="34" t="inlineStr">
        <is>
          <t>Roberta Almeida</t>
        </is>
      </c>
      <c r="F66" s="35" t="inlineStr">
        <is>
          <t>Saúde Total</t>
        </is>
      </c>
      <c r="G66" s="35" t="inlineStr">
        <is>
          <t>Retorno</t>
        </is>
      </c>
      <c r="H66" s="35" t="inlineStr">
        <is>
          <t>Realizado</t>
        </is>
      </c>
      <c r="I66" s="35" t="inlineStr">
        <is>
          <t>Sem cobrança</t>
        </is>
      </c>
      <c r="J66" s="35" t="n"/>
      <c r="K66" s="34" t="n"/>
      <c r="L66" s="26">
        <f>IF(A66="","",MONTH(A66))</f>
        <v>6</v>
      </c>
      <c r="M66" s="26">
        <f>IF(A66="","",YEAR(A66))</f>
        <v>2026</v>
      </c>
      <c r="N66" s="26" t="str">
        <f>IF(A66="","",CHOOSE(WEEKDAY(A66,2),"Segunda","Terça","Quarta","Quinta","Sexta","Sábado","Domingo"))</f>
        <v>Segunda</v>
      </c>
      <c r="O66" s="26" t="str">
        <f>IF(B66="","",IF(B66&lt;TIME(12,0,0),"Manhã",IF(B66&lt;TIME(18,0,0),"Tarde","Noite")))</f>
        <v>Tarde</v>
      </c>
      <c r="P66" s="32">
        <f>IF(G66="","",IFERROR(INDEX(Config!$I$5:$I$16,MATCH(G66,Config!$H$5:$H$16,0)),0))</f>
        <v>0</v>
      </c>
      <c r="Q66" s="30">
        <f>IF(OR(H66&lt;&gt;"Realizado",P66="",P66=0),"",A66+P66)</f>
        <v/>
      </c>
      <c r="R66" s="26">
        <f>IF(Q66="","",IF(COUNTIFS($E$5:$E$3004,E66,$A$5:$A$3004,"&gt;"&amp;A66,$H$5:$H$3004,"&lt;&gt;Falta",$H$5:$H$3004,"&lt;&gt;Cancelado",$H$5:$H$3004,"&lt;&gt;Remarcado")&gt;0,"Sim","Não"))</f>
        <v/>
      </c>
      <c r="S66" s="32">
        <f>IF(R66&lt;&gt;"Não","",IF(Q66+Config!$B$9&lt;=Config!$B$8,Config!$B$8-Q66,""))</f>
        <v/>
      </c>
      <c r="T66" s="26">
        <f>IF(S66="","","Sim")</f>
        <v/>
      </c>
      <c r="U66" s="41">
        <f>IF(T66="Sim",S66+ROW()/100000,0)</f>
        <v>0</v>
      </c>
      <c r="V66" s="41">
        <f>IF(AND(H66="Falta",L66=Config!$B$7,M66=Config!$B$5,COUNTIFS($E$5:E66,E66,$H$5:H66,"Falta",$L$5:L66,Config!$B$7,$M$5:M66,Config!$B$5)=1),COUNTIFS($E$5:$E$3004,E66,$H$5:$H$3004,"Falta",$L$5:$L$3004,Config!$B$7,$M$5:$M$3004,Config!$B$5)*1000-ROW()/100000,0)</f>
        <v>0</v>
      </c>
    </row>
    <row r="67">
      <c r="A67" s="39" t="n">
        <v>46181</v>
      </c>
      <c r="B67" s="40" t="n">
        <v>0.7152777777777778</v>
      </c>
      <c r="C67" s="35" t="inlineStr">
        <is>
          <t>Dr. Paulo Andrade</t>
        </is>
      </c>
      <c r="D67" s="35" t="inlineStr">
        <is>
          <t>Sala 2</t>
        </is>
      </c>
      <c r="E67" s="34" t="inlineStr">
        <is>
          <t>Wagner Santos</t>
        </is>
      </c>
      <c r="F67" s="35" t="inlineStr">
        <is>
          <t>Particular</t>
        </is>
      </c>
      <c r="G67" s="35" t="inlineStr">
        <is>
          <t>ECG</t>
        </is>
      </c>
      <c r="H67" s="35" t="inlineStr">
        <is>
          <t>Realizado</t>
        </is>
      </c>
      <c r="I67" s="35" t="inlineStr">
        <is>
          <t>Cartão de crédito</t>
        </is>
      </c>
      <c r="J67" s="35" t="n"/>
      <c r="K67" s="34" t="n"/>
      <c r="L67" s="26">
        <f>IF(A67="","",MONTH(A67))</f>
        <v>6</v>
      </c>
      <c r="M67" s="26">
        <f>IF(A67="","",YEAR(A67))</f>
        <v>2026</v>
      </c>
      <c r="N67" s="26" t="str">
        <f>IF(A67="","",CHOOSE(WEEKDAY(A67,2),"Segunda","Terça","Quarta","Quinta","Sexta","Sábado","Domingo"))</f>
        <v>Segunda</v>
      </c>
      <c r="O67" s="26" t="str">
        <f>IF(B67="","",IF(B67&lt;TIME(12,0,0),"Manhã",IF(B67&lt;TIME(18,0,0),"Tarde","Noite")))</f>
        <v>Tarde</v>
      </c>
      <c r="P67" s="32">
        <f>IF(G67="","",IFERROR(INDEX(Config!$I$5:$I$16,MATCH(G67,Config!$H$5:$H$16,0)),0))</f>
        <v>0</v>
      </c>
      <c r="Q67" s="30">
        <f>IF(OR(H67&lt;&gt;"Realizado",P67="",P67=0),"",A67+P67)</f>
        <v/>
      </c>
      <c r="R67" s="26">
        <f>IF(Q67="","",IF(COUNTIFS($E$5:$E$3004,E67,$A$5:$A$3004,"&gt;"&amp;A67,$H$5:$H$3004,"&lt;&gt;Falta",$H$5:$H$3004,"&lt;&gt;Cancelado",$H$5:$H$3004,"&lt;&gt;Remarcado")&gt;0,"Sim","Não"))</f>
        <v/>
      </c>
      <c r="S67" s="32">
        <f>IF(R67&lt;&gt;"Não","",IF(Q67+Config!$B$9&lt;=Config!$B$8,Config!$B$8-Q67,""))</f>
        <v/>
      </c>
      <c r="T67" s="26">
        <f>IF(S67="","","Sim")</f>
        <v/>
      </c>
      <c r="U67" s="41">
        <f>IF(T67="Sim",S67+ROW()/100000,0)</f>
        <v>0</v>
      </c>
      <c r="V67" s="41">
        <f>IF(AND(H67="Falta",L67=Config!$B$7,M67=Config!$B$5,COUNTIFS($E$5:E67,E67,$H$5:H67,"Falta",$L$5:L67,Config!$B$7,$M$5:M67,Config!$B$5)=1),COUNTIFS($E$5:$E$3004,E67,$H$5:$H$3004,"Falta",$L$5:$L$3004,Config!$B$7,$M$5:$M$3004,Config!$B$5)*1000-ROW()/100000,0)</f>
        <v>0</v>
      </c>
    </row>
    <row r="68">
      <c r="A68" s="39" t="n">
        <v>46181</v>
      </c>
      <c r="B68" s="40" t="n">
        <v>0.7291666666666666</v>
      </c>
      <c r="C68" s="35" t="inlineStr">
        <is>
          <t>Dr. Paulo Andrade</t>
        </is>
      </c>
      <c r="D68" s="35" t="inlineStr">
        <is>
          <t>Sala 2</t>
        </is>
      </c>
      <c r="E68" s="34" t="inlineStr">
        <is>
          <t>Gustavo Barbosa</t>
        </is>
      </c>
      <c r="F68" s="35" t="inlineStr">
        <is>
          <t>Saúde Total</t>
        </is>
      </c>
      <c r="G68" s="35" t="inlineStr">
        <is>
          <t>ECG</t>
        </is>
      </c>
      <c r="H68" s="35" t="inlineStr">
        <is>
          <t>Realizado</t>
        </is>
      </c>
      <c r="I68" s="35" t="inlineStr">
        <is>
          <t>Convênio</t>
        </is>
      </c>
      <c r="J68" s="35" t="n"/>
      <c r="K68" s="34" t="n"/>
      <c r="L68" s="26">
        <f>IF(A68="","",MONTH(A68))</f>
        <v>6</v>
      </c>
      <c r="M68" s="26">
        <f>IF(A68="","",YEAR(A68))</f>
        <v>2026</v>
      </c>
      <c r="N68" s="26" t="str">
        <f>IF(A68="","",CHOOSE(WEEKDAY(A68,2),"Segunda","Terça","Quarta","Quinta","Sexta","Sábado","Domingo"))</f>
        <v>Segunda</v>
      </c>
      <c r="O68" s="26" t="str">
        <f>IF(B68="","",IF(B68&lt;TIME(12,0,0),"Manhã",IF(B68&lt;TIME(18,0,0),"Tarde","Noite")))</f>
        <v>Tarde</v>
      </c>
      <c r="P68" s="32">
        <f>IF(G68="","",IFERROR(INDEX(Config!$I$5:$I$16,MATCH(G68,Config!$H$5:$H$16,0)),0))</f>
        <v>0</v>
      </c>
      <c r="Q68" s="30">
        <f>IF(OR(H68&lt;&gt;"Realizado",P68="",P68=0),"",A68+P68)</f>
        <v/>
      </c>
      <c r="R68" s="26">
        <f>IF(Q68="","",IF(COUNTIFS($E$5:$E$3004,E68,$A$5:$A$3004,"&gt;"&amp;A68,$H$5:$H$3004,"&lt;&gt;Falta",$H$5:$H$3004,"&lt;&gt;Cancelado",$H$5:$H$3004,"&lt;&gt;Remarcado")&gt;0,"Sim","Não"))</f>
        <v/>
      </c>
      <c r="S68" s="32">
        <f>IF(R68&lt;&gt;"Não","",IF(Q68+Config!$B$9&lt;=Config!$B$8,Config!$B$8-Q68,""))</f>
        <v/>
      </c>
      <c r="T68" s="26">
        <f>IF(S68="","","Sim")</f>
        <v/>
      </c>
      <c r="U68" s="41">
        <f>IF(T68="Sim",S68+ROW()/100000,0)</f>
        <v>0</v>
      </c>
      <c r="V68" s="41">
        <f>IF(AND(H68="Falta",L68=Config!$B$7,M68=Config!$B$5,COUNTIFS($E$5:E68,E68,$H$5:H68,"Falta",$L$5:L68,Config!$B$7,$M$5:M68,Config!$B$5)=1),COUNTIFS($E$5:$E$3004,E68,$H$5:$H$3004,"Falta",$L$5:$L$3004,Config!$B$7,$M$5:$M$3004,Config!$B$5)*1000-ROW()/100000,0)</f>
        <v>0</v>
      </c>
    </row>
    <row r="69">
      <c r="A69" s="39" t="n">
        <v>46182</v>
      </c>
      <c r="B69" s="40" t="n">
        <v>0.3333333333333333</v>
      </c>
      <c r="C69" s="35" t="inlineStr">
        <is>
          <t>Dra. Carolina Mendes</t>
        </is>
      </c>
      <c r="D69" s="35" t="inlineStr">
        <is>
          <t>Sala 1</t>
        </is>
      </c>
      <c r="E69" s="34" t="inlineStr">
        <is>
          <t>Patrícia Fernandes</t>
        </is>
      </c>
      <c r="F69" s="35" t="inlineStr">
        <is>
          <t>Particular</t>
        </is>
      </c>
      <c r="G69" s="35" t="inlineStr">
        <is>
          <t>Consulta</t>
        </is>
      </c>
      <c r="H69" s="35" t="inlineStr">
        <is>
          <t>Realizado</t>
        </is>
      </c>
      <c r="I69" s="35" t="inlineStr">
        <is>
          <t>Dinheiro</t>
        </is>
      </c>
      <c r="J69" s="35" t="n"/>
      <c r="K69" s="34" t="n"/>
      <c r="L69" s="26">
        <f>IF(A69="","",MONTH(A69))</f>
        <v>6</v>
      </c>
      <c r="M69" s="26">
        <f>IF(A69="","",YEAR(A69))</f>
        <v>2026</v>
      </c>
      <c r="N69" s="26" t="str">
        <f>IF(A69="","",CHOOSE(WEEKDAY(A69,2),"Segunda","Terça","Quarta","Quinta","Sexta","Sábado","Domingo"))</f>
        <v>Terça</v>
      </c>
      <c r="O69" s="26" t="str">
        <f>IF(B69="","",IF(B69&lt;TIME(12,0,0),"Manhã",IF(B69&lt;TIME(18,0,0),"Tarde","Noite")))</f>
        <v>Manhã</v>
      </c>
      <c r="P69" s="32">
        <f>IF(G69="","",IFERROR(INDEX(Config!$I$5:$I$16,MATCH(G69,Config!$H$5:$H$16,0)),0))</f>
        <v>30</v>
      </c>
      <c r="Q69" s="30">
        <f>IF(OR(H69&lt;&gt;"Realizado",P69="",P69=0),"",A69+P69)</f>
        <v>46212.0</v>
      </c>
      <c r="R69" s="26" t="str">
        <f>IF(Q69="","",IF(COUNTIFS($E$5:$E$3004,E69,$A$5:$A$3004,"&gt;"&amp;A69,$H$5:$H$3004,"&lt;&gt;Falta",$H$5:$H$3004,"&lt;&gt;Cancelado",$H$5:$H$3004,"&lt;&gt;Remarcado")&gt;0,"Sim","Não"))</f>
        <v>Sim</v>
      </c>
      <c r="S69" s="32">
        <f>IF(R69&lt;&gt;"Não","",IF(Q69+Config!$B$9&lt;=Config!$B$8,Config!$B$8-Q69,""))</f>
        <v/>
      </c>
      <c r="T69" s="26">
        <f>IF(S69="","","Sim")</f>
        <v/>
      </c>
      <c r="U69" s="41">
        <f>IF(T69="Sim",S69+ROW()/100000,0)</f>
        <v>0</v>
      </c>
      <c r="V69" s="41">
        <f>IF(AND(H69="Falta",L69=Config!$B$7,M69=Config!$B$5,COUNTIFS($E$5:E69,E69,$H$5:H69,"Falta",$L$5:L69,Config!$B$7,$M$5:M69,Config!$B$5)=1),COUNTIFS($E$5:$E$3004,E69,$H$5:$H$3004,"Falta",$L$5:$L$3004,Config!$B$7,$M$5:$M$3004,Config!$B$5)*1000-ROW()/100000,0)</f>
        <v>0</v>
      </c>
    </row>
    <row r="70">
      <c r="A70" s="39" t="n">
        <v>46182</v>
      </c>
      <c r="B70" s="40" t="n">
        <v>0.3541666666666667</v>
      </c>
      <c r="C70" s="35" t="inlineStr">
        <is>
          <t>Dra. Carolina Mendes</t>
        </is>
      </c>
      <c r="D70" s="35" t="inlineStr">
        <is>
          <t>Sala 1</t>
        </is>
      </c>
      <c r="E70" s="34" t="inlineStr">
        <is>
          <t>Mônica Batista</t>
        </is>
      </c>
      <c r="F70" s="35" t="inlineStr">
        <is>
          <t>MediPlan</t>
        </is>
      </c>
      <c r="G70" s="35" t="inlineStr">
        <is>
          <t>Retorno</t>
        </is>
      </c>
      <c r="H70" s="35" t="inlineStr">
        <is>
          <t>Realizado</t>
        </is>
      </c>
      <c r="I70" s="35" t="inlineStr">
        <is>
          <t>Sem cobrança</t>
        </is>
      </c>
      <c r="J70" s="35" t="n"/>
      <c r="K70" s="34" t="n"/>
      <c r="L70" s="26">
        <f>IF(A70="","",MONTH(A70))</f>
        <v>6</v>
      </c>
      <c r="M70" s="26">
        <f>IF(A70="","",YEAR(A70))</f>
        <v>2026</v>
      </c>
      <c r="N70" s="26" t="str">
        <f>IF(A70="","",CHOOSE(WEEKDAY(A70,2),"Segunda","Terça","Quarta","Quinta","Sexta","Sábado","Domingo"))</f>
        <v>Terça</v>
      </c>
      <c r="O70" s="26" t="str">
        <f>IF(B70="","",IF(B70&lt;TIME(12,0,0),"Manhã",IF(B70&lt;TIME(18,0,0),"Tarde","Noite")))</f>
        <v>Manhã</v>
      </c>
      <c r="P70" s="32">
        <f>IF(G70="","",IFERROR(INDEX(Config!$I$5:$I$16,MATCH(G70,Config!$H$5:$H$16,0)),0))</f>
        <v>0</v>
      </c>
      <c r="Q70" s="30">
        <f>IF(OR(H70&lt;&gt;"Realizado",P70="",P70=0),"",A70+P70)</f>
        <v/>
      </c>
      <c r="R70" s="26">
        <f>IF(Q70="","",IF(COUNTIFS($E$5:$E$3004,E70,$A$5:$A$3004,"&gt;"&amp;A70,$H$5:$H$3004,"&lt;&gt;Falta",$H$5:$H$3004,"&lt;&gt;Cancelado",$H$5:$H$3004,"&lt;&gt;Remarcado")&gt;0,"Sim","Não"))</f>
        <v/>
      </c>
      <c r="S70" s="32">
        <f>IF(R70&lt;&gt;"Não","",IF(Q70+Config!$B$9&lt;=Config!$B$8,Config!$B$8-Q70,""))</f>
        <v/>
      </c>
      <c r="T70" s="26">
        <f>IF(S70="","","Sim")</f>
        <v/>
      </c>
      <c r="U70" s="41">
        <f>IF(T70="Sim",S70+ROW()/100000,0)</f>
        <v>0</v>
      </c>
      <c r="V70" s="41">
        <f>IF(AND(H70="Falta",L70=Config!$B$7,M70=Config!$B$5,COUNTIFS($E$5:E70,E70,$H$5:H70,"Falta",$L$5:L70,Config!$B$7,$M$5:M70,Config!$B$5)=1),COUNTIFS($E$5:$E$3004,E70,$H$5:$H$3004,"Falta",$L$5:$L$3004,Config!$B$7,$M$5:$M$3004,Config!$B$5)*1000-ROW()/100000,0)</f>
        <v>0</v>
      </c>
    </row>
    <row r="71">
      <c r="A71" s="39" t="n">
        <v>46182</v>
      </c>
      <c r="B71" s="40" t="n">
        <v>0.3680555555555556</v>
      </c>
      <c r="C71" s="35" t="inlineStr">
        <is>
          <t>Dra. Carolina Mendes</t>
        </is>
      </c>
      <c r="D71" s="35" t="inlineStr">
        <is>
          <t>Sala 1</t>
        </is>
      </c>
      <c r="E71" s="34" t="inlineStr">
        <is>
          <t>Juliana Ribeiro</t>
        </is>
      </c>
      <c r="F71" s="35" t="inlineStr">
        <is>
          <t>Saúde Total</t>
        </is>
      </c>
      <c r="G71" s="35" t="inlineStr">
        <is>
          <t>Consulta</t>
        </is>
      </c>
      <c r="H71" s="35" t="inlineStr">
        <is>
          <t>Realizado</t>
        </is>
      </c>
      <c r="I71" s="35" t="inlineStr">
        <is>
          <t>Convênio</t>
        </is>
      </c>
      <c r="J71" s="35" t="n"/>
      <c r="K71" s="34" t="n"/>
      <c r="L71" s="26">
        <f>IF(A71="","",MONTH(A71))</f>
        <v>6</v>
      </c>
      <c r="M71" s="26">
        <f>IF(A71="","",YEAR(A71))</f>
        <v>2026</v>
      </c>
      <c r="N71" s="26" t="str">
        <f>IF(A71="","",CHOOSE(WEEKDAY(A71,2),"Segunda","Terça","Quarta","Quinta","Sexta","Sábado","Domingo"))</f>
        <v>Terça</v>
      </c>
      <c r="O71" s="26" t="str">
        <f>IF(B71="","",IF(B71&lt;TIME(12,0,0),"Manhã",IF(B71&lt;TIME(18,0,0),"Tarde","Noite")))</f>
        <v>Manhã</v>
      </c>
      <c r="P71" s="32">
        <f>IF(G71="","",IFERROR(INDEX(Config!$I$5:$I$16,MATCH(G71,Config!$H$5:$H$16,0)),0))</f>
        <v>30</v>
      </c>
      <c r="Q71" s="30">
        <f>IF(OR(H71&lt;&gt;"Realizado",P71="",P71=0),"",A71+P71)</f>
        <v>46212.0</v>
      </c>
      <c r="R71" s="26" t="str">
        <f>IF(Q71="","",IF(COUNTIFS($E$5:$E$3004,E71,$A$5:$A$3004,"&gt;"&amp;A71,$H$5:$H$3004,"&lt;&gt;Falta",$H$5:$H$3004,"&lt;&gt;Cancelado",$H$5:$H$3004,"&lt;&gt;Remarcado")&gt;0,"Sim","Não"))</f>
        <v>Sim</v>
      </c>
      <c r="S71" s="32">
        <f>IF(R71&lt;&gt;"Não","",IF(Q71+Config!$B$9&lt;=Config!$B$8,Config!$B$8-Q71,""))</f>
        <v/>
      </c>
      <c r="T71" s="26">
        <f>IF(S71="","","Sim")</f>
        <v/>
      </c>
      <c r="U71" s="41">
        <f>IF(T71="Sim",S71+ROW()/100000,0)</f>
        <v>0</v>
      </c>
      <c r="V71" s="41">
        <f>IF(AND(H71="Falta",L71=Config!$B$7,M71=Config!$B$5,COUNTIFS($E$5:E71,E71,$H$5:H71,"Falta",$L$5:L71,Config!$B$7,$M$5:M71,Config!$B$5)=1),COUNTIFS($E$5:$E$3004,E71,$H$5:$H$3004,"Falta",$L$5:$L$3004,Config!$B$7,$M$5:$M$3004,Config!$B$5)*1000-ROW()/100000,0)</f>
        <v>0</v>
      </c>
    </row>
    <row r="72">
      <c r="A72" s="39" t="n">
        <v>46182</v>
      </c>
      <c r="B72" s="40" t="n">
        <v>0.3888888888888889</v>
      </c>
      <c r="C72" s="35" t="inlineStr">
        <is>
          <t>Dra. Carolina Mendes</t>
        </is>
      </c>
      <c r="D72" s="35" t="inlineStr">
        <is>
          <t>Sala 1</t>
        </is>
      </c>
      <c r="E72" s="34" t="inlineStr">
        <is>
          <t>Lucas Xavier</t>
        </is>
      </c>
      <c r="F72" s="35" t="inlineStr">
        <is>
          <t>Saúde Total</t>
        </is>
      </c>
      <c r="G72" s="35" t="inlineStr">
        <is>
          <t>Retorno</t>
        </is>
      </c>
      <c r="H72" s="35" t="inlineStr">
        <is>
          <t>Falta</t>
        </is>
      </c>
      <c r="I72" s="35" t="n"/>
      <c r="J72" s="35" t="n"/>
      <c r="K72" s="34" t="n"/>
      <c r="L72" s="26">
        <f>IF(A72="","",MONTH(A72))</f>
        <v>6</v>
      </c>
      <c r="M72" s="26">
        <f>IF(A72="","",YEAR(A72))</f>
        <v>2026</v>
      </c>
      <c r="N72" s="26" t="str">
        <f>IF(A72="","",CHOOSE(WEEKDAY(A72,2),"Segunda","Terça","Quarta","Quinta","Sexta","Sábado","Domingo"))</f>
        <v>Terça</v>
      </c>
      <c r="O72" s="26" t="str">
        <f>IF(B72="","",IF(B72&lt;TIME(12,0,0),"Manhã",IF(B72&lt;TIME(18,0,0),"Tarde","Noite")))</f>
        <v>Manhã</v>
      </c>
      <c r="P72" s="32">
        <f>IF(G72="","",IFERROR(INDEX(Config!$I$5:$I$16,MATCH(G72,Config!$H$5:$H$16,0)),0))</f>
        <v>0</v>
      </c>
      <c r="Q72" s="30">
        <f>IF(OR(H72&lt;&gt;"Realizado",P72="",P72=0),"",A72+P72)</f>
        <v/>
      </c>
      <c r="R72" s="26">
        <f>IF(Q72="","",IF(COUNTIFS($E$5:$E$3004,E72,$A$5:$A$3004,"&gt;"&amp;A72,$H$5:$H$3004,"&lt;&gt;Falta",$H$5:$H$3004,"&lt;&gt;Cancelado",$H$5:$H$3004,"&lt;&gt;Remarcado")&gt;0,"Sim","Não"))</f>
        <v/>
      </c>
      <c r="S72" s="32">
        <f>IF(R72&lt;&gt;"Não","",IF(Q72+Config!$B$9&lt;=Config!$B$8,Config!$B$8-Q72,""))</f>
        <v/>
      </c>
      <c r="T72" s="26">
        <f>IF(S72="","","Sim")</f>
        <v/>
      </c>
      <c r="U72" s="41">
        <f>IF(T72="Sim",S72+ROW()/100000,0)</f>
        <v>0</v>
      </c>
      <c r="V72" s="41">
        <f>IF(AND(H72="Falta",L72=Config!$B$7,M72=Config!$B$5,COUNTIFS($E$5:E72,E72,$H$5:H72,"Falta",$L$5:L72,Config!$B$7,$M$5:M72,Config!$B$5)=1),COUNTIFS($E$5:$E$3004,E72,$H$5:$H$3004,"Falta",$L$5:$L$3004,Config!$B$7,$M$5:$M$3004,Config!$B$5)*1000-ROW()/100000,0)</f>
        <v>0</v>
      </c>
    </row>
    <row r="73">
      <c r="A73" s="39" t="n">
        <v>46182</v>
      </c>
      <c r="B73" s="40" t="n">
        <v>0.4027777777777778</v>
      </c>
      <c r="C73" s="35" t="inlineStr">
        <is>
          <t>Dra. Carolina Mendes</t>
        </is>
      </c>
      <c r="D73" s="35" t="inlineStr">
        <is>
          <t>Sala 1</t>
        </is>
      </c>
      <c r="E73" s="34" t="inlineStr">
        <is>
          <t>Regina Macedo</t>
        </is>
      </c>
      <c r="F73" s="35" t="inlineStr">
        <is>
          <t>Particular</t>
        </is>
      </c>
      <c r="G73" s="35" t="inlineStr">
        <is>
          <t>Consulta</t>
        </is>
      </c>
      <c r="H73" s="35" t="inlineStr">
        <is>
          <t>Realizado</t>
        </is>
      </c>
      <c r="I73" s="35" t="inlineStr">
        <is>
          <t>Cartão de crédito</t>
        </is>
      </c>
      <c r="J73" s="35" t="n"/>
      <c r="K73" s="34" t="n"/>
      <c r="L73" s="26">
        <f>IF(A73="","",MONTH(A73))</f>
        <v>6</v>
      </c>
      <c r="M73" s="26">
        <f>IF(A73="","",YEAR(A73))</f>
        <v>2026</v>
      </c>
      <c r="N73" s="26" t="str">
        <f>IF(A73="","",CHOOSE(WEEKDAY(A73,2),"Segunda","Terça","Quarta","Quinta","Sexta","Sábado","Domingo"))</f>
        <v>Terça</v>
      </c>
      <c r="O73" s="26" t="str">
        <f>IF(B73="","",IF(B73&lt;TIME(12,0,0),"Manhã",IF(B73&lt;TIME(18,0,0),"Tarde","Noite")))</f>
        <v>Manhã</v>
      </c>
      <c r="P73" s="32">
        <f>IF(G73="","",IFERROR(INDEX(Config!$I$5:$I$16,MATCH(G73,Config!$H$5:$H$16,0)),0))</f>
        <v>30</v>
      </c>
      <c r="Q73" s="30">
        <f>IF(OR(H73&lt;&gt;"Realizado",P73="",P73=0),"",A73+P73)</f>
        <v>46212.0</v>
      </c>
      <c r="R73" s="26" t="str">
        <f>IF(Q73="","",IF(COUNTIFS($E$5:$E$3004,E73,$A$5:$A$3004,"&gt;"&amp;A73,$H$5:$H$3004,"&lt;&gt;Falta",$H$5:$H$3004,"&lt;&gt;Cancelado",$H$5:$H$3004,"&lt;&gt;Remarcado")&gt;0,"Sim","Não"))</f>
        <v>Sim</v>
      </c>
      <c r="S73" s="32">
        <f>IF(R73&lt;&gt;"Não","",IF(Q73+Config!$B$9&lt;=Config!$B$8,Config!$B$8-Q73,""))</f>
        <v/>
      </c>
      <c r="T73" s="26">
        <f>IF(S73="","","Sim")</f>
        <v/>
      </c>
      <c r="U73" s="41">
        <f>IF(T73="Sim",S73+ROW()/100000,0)</f>
        <v>0</v>
      </c>
      <c r="V73" s="41">
        <f>IF(AND(H73="Falta",L73=Config!$B$7,M73=Config!$B$5,COUNTIFS($E$5:E73,E73,$H$5:H73,"Falta",$L$5:L73,Config!$B$7,$M$5:M73,Config!$B$5)=1),COUNTIFS($E$5:$E$3004,E73,$H$5:$H$3004,"Falta",$L$5:$L$3004,Config!$B$7,$M$5:$M$3004,Config!$B$5)*1000-ROW()/100000,0)</f>
        <v>0</v>
      </c>
    </row>
    <row r="74">
      <c r="A74" s="39" t="n">
        <v>46182</v>
      </c>
      <c r="B74" s="40" t="n">
        <v>0.4236111111111111</v>
      </c>
      <c r="C74" s="35" t="inlineStr">
        <is>
          <t>Dra. Carolina Mendes</t>
        </is>
      </c>
      <c r="D74" s="35" t="inlineStr">
        <is>
          <t>Sala 1</t>
        </is>
      </c>
      <c r="E74" s="34" t="inlineStr">
        <is>
          <t>Cláudia Santos</t>
        </is>
      </c>
      <c r="F74" s="35" t="inlineStr">
        <is>
          <t>Particular</t>
        </is>
      </c>
      <c r="G74" s="35" t="inlineStr">
        <is>
          <t>Consulta</t>
        </is>
      </c>
      <c r="H74" s="35" t="inlineStr">
        <is>
          <t>Realizado</t>
        </is>
      </c>
      <c r="I74" s="35" t="inlineStr">
        <is>
          <t>Cartão de crédito</t>
        </is>
      </c>
      <c r="J74" s="35" t="n">
        <v>2</v>
      </c>
      <c r="K74" s="34" t="n"/>
      <c r="L74" s="26">
        <f>IF(A74="","",MONTH(A74))</f>
        <v>6</v>
      </c>
      <c r="M74" s="26">
        <f>IF(A74="","",YEAR(A74))</f>
        <v>2026</v>
      </c>
      <c r="N74" s="26" t="str">
        <f>IF(A74="","",CHOOSE(WEEKDAY(A74,2),"Segunda","Terça","Quarta","Quinta","Sexta","Sábado","Domingo"))</f>
        <v>Terça</v>
      </c>
      <c r="O74" s="26" t="str">
        <f>IF(B74="","",IF(B74&lt;TIME(12,0,0),"Manhã",IF(B74&lt;TIME(18,0,0),"Tarde","Noite")))</f>
        <v>Manhã</v>
      </c>
      <c r="P74" s="32">
        <f>IF(G74="","",IFERROR(INDEX(Config!$I$5:$I$16,MATCH(G74,Config!$H$5:$H$16,0)),0))</f>
        <v>30</v>
      </c>
      <c r="Q74" s="30">
        <f>IF(OR(H74&lt;&gt;"Realizado",P74="",P74=0),"",A74+P74)</f>
        <v>46212.0</v>
      </c>
      <c r="R74" s="26" t="str">
        <f>IF(Q74="","",IF(COUNTIFS($E$5:$E$3004,E74,$A$5:$A$3004,"&gt;"&amp;A74,$H$5:$H$3004,"&lt;&gt;Falta",$H$5:$H$3004,"&lt;&gt;Cancelado",$H$5:$H$3004,"&lt;&gt;Remarcado")&gt;0,"Sim","Não"))</f>
        <v>Sim</v>
      </c>
      <c r="S74" s="32">
        <f>IF(R74&lt;&gt;"Não","",IF(Q74+Config!$B$9&lt;=Config!$B$8,Config!$B$8-Q74,""))</f>
        <v/>
      </c>
      <c r="T74" s="26">
        <f>IF(S74="","","Sim")</f>
        <v/>
      </c>
      <c r="U74" s="41">
        <f>IF(T74="Sim",S74+ROW()/100000,0)</f>
        <v>0</v>
      </c>
      <c r="V74" s="41">
        <f>IF(AND(H74="Falta",L74=Config!$B$7,M74=Config!$B$5,COUNTIFS($E$5:E74,E74,$H$5:H74,"Falta",$L$5:L74,Config!$B$7,$M$5:M74,Config!$B$5)=1),COUNTIFS($E$5:$E$3004,E74,$H$5:$H$3004,"Falta",$L$5:$L$3004,Config!$B$7,$M$5:$M$3004,Config!$B$5)*1000-ROW()/100000,0)</f>
        <v>0</v>
      </c>
    </row>
    <row r="75">
      <c r="A75" s="39" t="n">
        <v>46182</v>
      </c>
      <c r="B75" s="40" t="n">
        <v>0.4444444444444444</v>
      </c>
      <c r="C75" s="35" t="inlineStr">
        <is>
          <t>Dra. Carolina Mendes</t>
        </is>
      </c>
      <c r="D75" s="35" t="inlineStr">
        <is>
          <t>Sala 1</t>
        </is>
      </c>
      <c r="E75" s="34" t="inlineStr">
        <is>
          <t>Simone Monteiro</t>
        </is>
      </c>
      <c r="F75" s="35" t="inlineStr">
        <is>
          <t>Vida Care</t>
        </is>
      </c>
      <c r="G75" s="35" t="inlineStr">
        <is>
          <t>Consulta</t>
        </is>
      </c>
      <c r="H75" s="35" t="inlineStr">
        <is>
          <t>Realizado</t>
        </is>
      </c>
      <c r="I75" s="35" t="inlineStr">
        <is>
          <t>Convênio</t>
        </is>
      </c>
      <c r="J75" s="35" t="n"/>
      <c r="K75" s="34" t="n"/>
      <c r="L75" s="26">
        <f>IF(A75="","",MONTH(A75))</f>
        <v>6</v>
      </c>
      <c r="M75" s="26">
        <f>IF(A75="","",YEAR(A75))</f>
        <v>2026</v>
      </c>
      <c r="N75" s="26" t="str">
        <f>IF(A75="","",CHOOSE(WEEKDAY(A75,2),"Segunda","Terça","Quarta","Quinta","Sexta","Sábado","Domingo"))</f>
        <v>Terça</v>
      </c>
      <c r="O75" s="26" t="str">
        <f>IF(B75="","",IF(B75&lt;TIME(12,0,0),"Manhã",IF(B75&lt;TIME(18,0,0),"Tarde","Noite")))</f>
        <v>Manhã</v>
      </c>
      <c r="P75" s="32">
        <f>IF(G75="","",IFERROR(INDEX(Config!$I$5:$I$16,MATCH(G75,Config!$H$5:$H$16,0)),0))</f>
        <v>30</v>
      </c>
      <c r="Q75" s="30">
        <f>IF(OR(H75&lt;&gt;"Realizado",P75="",P75=0),"",A75+P75)</f>
        <v>46212.0</v>
      </c>
      <c r="R75" s="26" t="str">
        <f>IF(Q75="","",IF(COUNTIFS($E$5:$E$3004,E75,$A$5:$A$3004,"&gt;"&amp;A75,$H$5:$H$3004,"&lt;&gt;Falta",$H$5:$H$3004,"&lt;&gt;Cancelado",$H$5:$H$3004,"&lt;&gt;Remarcado")&gt;0,"Sim","Não"))</f>
        <v>Sim</v>
      </c>
      <c r="S75" s="32">
        <f>IF(R75&lt;&gt;"Não","",IF(Q75+Config!$B$9&lt;=Config!$B$8,Config!$B$8-Q75,""))</f>
        <v/>
      </c>
      <c r="T75" s="26">
        <f>IF(S75="","","Sim")</f>
        <v/>
      </c>
      <c r="U75" s="41">
        <f>IF(T75="Sim",S75+ROW()/100000,0)</f>
        <v>0</v>
      </c>
      <c r="V75" s="41">
        <f>IF(AND(H75="Falta",L75=Config!$B$7,M75=Config!$B$5,COUNTIFS($E$5:E75,E75,$H$5:H75,"Falta",$L$5:L75,Config!$B$7,$M$5:M75,Config!$B$5)=1),COUNTIFS($E$5:$E$3004,E75,$H$5:$H$3004,"Falta",$L$5:$L$3004,Config!$B$7,$M$5:$M$3004,Config!$B$5)*1000-ROW()/100000,0)</f>
        <v>0</v>
      </c>
    </row>
    <row r="76">
      <c r="A76" s="39" t="n">
        <v>46182</v>
      </c>
      <c r="B76" s="40" t="n">
        <v>0.4652777777777778</v>
      </c>
      <c r="C76" s="35" t="inlineStr">
        <is>
          <t>Dra. Carolina Mendes</t>
        </is>
      </c>
      <c r="D76" s="35" t="inlineStr">
        <is>
          <t>Sala 1</t>
        </is>
      </c>
      <c r="E76" s="34" t="inlineStr">
        <is>
          <t>Otávio Cardoso</t>
        </is>
      </c>
      <c r="F76" s="35" t="inlineStr">
        <is>
          <t>Particular</t>
        </is>
      </c>
      <c r="G76" s="35" t="inlineStr">
        <is>
          <t>Retorno</t>
        </is>
      </c>
      <c r="H76" s="35" t="inlineStr">
        <is>
          <t>Realizado</t>
        </is>
      </c>
      <c r="I76" s="35" t="inlineStr">
        <is>
          <t>Sem cobrança</t>
        </is>
      </c>
      <c r="J76" s="35" t="n"/>
      <c r="K76" s="34" t="n"/>
      <c r="L76" s="26">
        <f>IF(A76="","",MONTH(A76))</f>
        <v>6</v>
      </c>
      <c r="M76" s="26">
        <f>IF(A76="","",YEAR(A76))</f>
        <v>2026</v>
      </c>
      <c r="N76" s="26" t="str">
        <f>IF(A76="","",CHOOSE(WEEKDAY(A76,2),"Segunda","Terça","Quarta","Quinta","Sexta","Sábado","Domingo"))</f>
        <v>Terça</v>
      </c>
      <c r="O76" s="26" t="str">
        <f>IF(B76="","",IF(B76&lt;TIME(12,0,0),"Manhã",IF(B76&lt;TIME(18,0,0),"Tarde","Noite")))</f>
        <v>Manhã</v>
      </c>
      <c r="P76" s="32">
        <f>IF(G76="","",IFERROR(INDEX(Config!$I$5:$I$16,MATCH(G76,Config!$H$5:$H$16,0)),0))</f>
        <v>0</v>
      </c>
      <c r="Q76" s="30">
        <f>IF(OR(H76&lt;&gt;"Realizado",P76="",P76=0),"",A76+P76)</f>
        <v/>
      </c>
      <c r="R76" s="26">
        <f>IF(Q76="","",IF(COUNTIFS($E$5:$E$3004,E76,$A$5:$A$3004,"&gt;"&amp;A76,$H$5:$H$3004,"&lt;&gt;Falta",$H$5:$H$3004,"&lt;&gt;Cancelado",$H$5:$H$3004,"&lt;&gt;Remarcado")&gt;0,"Sim","Não"))</f>
        <v/>
      </c>
      <c r="S76" s="32">
        <f>IF(R76&lt;&gt;"Não","",IF(Q76+Config!$B$9&lt;=Config!$B$8,Config!$B$8-Q76,""))</f>
        <v/>
      </c>
      <c r="T76" s="26">
        <f>IF(S76="","","Sim")</f>
        <v/>
      </c>
      <c r="U76" s="41">
        <f>IF(T76="Sim",S76+ROW()/100000,0)</f>
        <v>0</v>
      </c>
      <c r="V76" s="41">
        <f>IF(AND(H76="Falta",L76=Config!$B$7,M76=Config!$B$5,COUNTIFS($E$5:E76,E76,$H$5:H76,"Falta",$L$5:L76,Config!$B$7,$M$5:M76,Config!$B$5)=1),COUNTIFS($E$5:$E$3004,E76,$H$5:$H$3004,"Falta",$L$5:$L$3004,Config!$B$7,$M$5:$M$3004,Config!$B$5)*1000-ROW()/100000,0)</f>
        <v>0</v>
      </c>
    </row>
    <row r="77">
      <c r="A77" s="39" t="n">
        <v>46182</v>
      </c>
      <c r="B77" s="40" t="n">
        <v>0.4791666666666667</v>
      </c>
      <c r="C77" s="35" t="inlineStr">
        <is>
          <t>Dra. Carolina Mendes</t>
        </is>
      </c>
      <c r="D77" s="35" t="inlineStr">
        <is>
          <t>Sala 1</t>
        </is>
      </c>
      <c r="E77" s="34" t="inlineStr">
        <is>
          <t>Leandro Gomes</t>
        </is>
      </c>
      <c r="F77" s="35" t="inlineStr">
        <is>
          <t>Saúde Total</t>
        </is>
      </c>
      <c r="G77" s="35" t="inlineStr">
        <is>
          <t>Consulta</t>
        </is>
      </c>
      <c r="H77" s="35" t="inlineStr">
        <is>
          <t>Realizado</t>
        </is>
      </c>
      <c r="I77" s="35" t="inlineStr">
        <is>
          <t>Convênio</t>
        </is>
      </c>
      <c r="J77" s="35" t="n"/>
      <c r="K77" s="34" t="n"/>
      <c r="L77" s="26">
        <f>IF(A77="","",MONTH(A77))</f>
        <v>6</v>
      </c>
      <c r="M77" s="26">
        <f>IF(A77="","",YEAR(A77))</f>
        <v>2026</v>
      </c>
      <c r="N77" s="26" t="str">
        <f>IF(A77="","",CHOOSE(WEEKDAY(A77,2),"Segunda","Terça","Quarta","Quinta","Sexta","Sábado","Domingo"))</f>
        <v>Terça</v>
      </c>
      <c r="O77" s="26" t="str">
        <f>IF(B77="","",IF(B77&lt;TIME(12,0,0),"Manhã",IF(B77&lt;TIME(18,0,0),"Tarde","Noite")))</f>
        <v>Manhã</v>
      </c>
      <c r="P77" s="32">
        <f>IF(G77="","",IFERROR(INDEX(Config!$I$5:$I$16,MATCH(G77,Config!$H$5:$H$16,0)),0))</f>
        <v>30</v>
      </c>
      <c r="Q77" s="30">
        <f>IF(OR(H77&lt;&gt;"Realizado",P77="",P77=0),"",A77+P77)</f>
        <v>46212.0</v>
      </c>
      <c r="R77" s="26" t="str">
        <f>IF(Q77="","",IF(COUNTIFS($E$5:$E$3004,E77,$A$5:$A$3004,"&gt;"&amp;A77,$H$5:$H$3004,"&lt;&gt;Falta",$H$5:$H$3004,"&lt;&gt;Cancelado",$H$5:$H$3004,"&lt;&gt;Remarcado")&gt;0,"Sim","Não"))</f>
        <v>Sim</v>
      </c>
      <c r="S77" s="32">
        <f>IF(R77&lt;&gt;"Não","",IF(Q77+Config!$B$9&lt;=Config!$B$8,Config!$B$8-Q77,""))</f>
        <v/>
      </c>
      <c r="T77" s="26">
        <f>IF(S77="","","Sim")</f>
        <v/>
      </c>
      <c r="U77" s="41">
        <f>IF(T77="Sim",S77+ROW()/100000,0)</f>
        <v>0</v>
      </c>
      <c r="V77" s="41">
        <f>IF(AND(H77="Falta",L77=Config!$B$7,M77=Config!$B$5,COUNTIFS($E$5:E77,E77,$H$5:H77,"Falta",$L$5:L77,Config!$B$7,$M$5:M77,Config!$B$5)=1),COUNTIFS($E$5:$E$3004,E77,$H$5:$H$3004,"Falta",$L$5:$L$3004,Config!$B$7,$M$5:$M$3004,Config!$B$5)*1000-ROW()/100000,0)</f>
        <v>0</v>
      </c>
    </row>
    <row r="78">
      <c r="A78" s="39" t="n">
        <v>46182</v>
      </c>
      <c r="B78" s="40" t="n">
        <v>0.5833333333333334</v>
      </c>
      <c r="C78" s="35" t="inlineStr">
        <is>
          <t>Dr. Paulo Andrade</t>
        </is>
      </c>
      <c r="D78" s="35" t="inlineStr">
        <is>
          <t>Sala 2</t>
        </is>
      </c>
      <c r="E78" s="34" t="inlineStr">
        <is>
          <t>Eduardo Reis</t>
        </is>
      </c>
      <c r="F78" s="35" t="inlineStr">
        <is>
          <t>Vida Care</t>
        </is>
      </c>
      <c r="G78" s="35" t="inlineStr">
        <is>
          <t>Teste ergométrico</t>
        </is>
      </c>
      <c r="H78" s="35" t="inlineStr">
        <is>
          <t>Realizado</t>
        </is>
      </c>
      <c r="I78" s="35" t="inlineStr">
        <is>
          <t>Convênio</t>
        </is>
      </c>
      <c r="J78" s="35" t="n"/>
      <c r="K78" s="34" t="n"/>
      <c r="L78" s="26">
        <f>IF(A78="","",MONTH(A78))</f>
        <v>6</v>
      </c>
      <c r="M78" s="26">
        <f>IF(A78="","",YEAR(A78))</f>
        <v>2026</v>
      </c>
      <c r="N78" s="26" t="str">
        <f>IF(A78="","",CHOOSE(WEEKDAY(A78,2),"Segunda","Terça","Quarta","Quinta","Sexta","Sábado","Domingo"))</f>
        <v>Terça</v>
      </c>
      <c r="O78" s="26" t="str">
        <f>IF(B78="","",IF(B78&lt;TIME(12,0,0),"Manhã",IF(B78&lt;TIME(18,0,0),"Tarde","Noite")))</f>
        <v>Tarde</v>
      </c>
      <c r="P78" s="32">
        <f>IF(G78="","",IFERROR(INDEX(Config!$I$5:$I$16,MATCH(G78,Config!$H$5:$H$16,0)),0))</f>
        <v>0</v>
      </c>
      <c r="Q78" s="30">
        <f>IF(OR(H78&lt;&gt;"Realizado",P78="",P78=0),"",A78+P78)</f>
        <v/>
      </c>
      <c r="R78" s="26">
        <f>IF(Q78="","",IF(COUNTIFS($E$5:$E$3004,E78,$A$5:$A$3004,"&gt;"&amp;A78,$H$5:$H$3004,"&lt;&gt;Falta",$H$5:$H$3004,"&lt;&gt;Cancelado",$H$5:$H$3004,"&lt;&gt;Remarcado")&gt;0,"Sim","Não"))</f>
        <v/>
      </c>
      <c r="S78" s="32">
        <f>IF(R78&lt;&gt;"Não","",IF(Q78+Config!$B$9&lt;=Config!$B$8,Config!$B$8-Q78,""))</f>
        <v/>
      </c>
      <c r="T78" s="26">
        <f>IF(S78="","","Sim")</f>
        <v/>
      </c>
      <c r="U78" s="41">
        <f>IF(T78="Sim",S78+ROW()/100000,0)</f>
        <v>0</v>
      </c>
      <c r="V78" s="41">
        <f>IF(AND(H78="Falta",L78=Config!$B$7,M78=Config!$B$5,COUNTIFS($E$5:E78,E78,$H$5:H78,"Falta",$L$5:L78,Config!$B$7,$M$5:M78,Config!$B$5)=1),COUNTIFS($E$5:$E$3004,E78,$H$5:$H$3004,"Falta",$L$5:$L$3004,Config!$B$7,$M$5:$M$3004,Config!$B$5)*1000-ROW()/100000,0)</f>
        <v>0</v>
      </c>
    </row>
    <row r="79">
      <c r="A79" s="39" t="n">
        <v>46182</v>
      </c>
      <c r="B79" s="40" t="n">
        <v>0.6041666666666666</v>
      </c>
      <c r="C79" s="35" t="inlineStr">
        <is>
          <t>Dra. Renata Sousa</t>
        </is>
      </c>
      <c r="D79" s="35" t="inlineStr">
        <is>
          <t>Sala 1</t>
        </is>
      </c>
      <c r="E79" s="34" t="inlineStr">
        <is>
          <t>Camila Dias</t>
        </is>
      </c>
      <c r="F79" s="35" t="inlineStr">
        <is>
          <t>Particular</t>
        </is>
      </c>
      <c r="G79" s="35" t="inlineStr">
        <is>
          <t>Avaliação endócrina</t>
        </is>
      </c>
      <c r="H79" s="35" t="inlineStr">
        <is>
          <t>Realizado</t>
        </is>
      </c>
      <c r="I79" s="35" t="inlineStr">
        <is>
          <t>Pix</t>
        </is>
      </c>
      <c r="J79" s="35" t="n"/>
      <c r="K79" s="34" t="n"/>
      <c r="L79" s="26">
        <f>IF(A79="","",MONTH(A79))</f>
        <v>6</v>
      </c>
      <c r="M79" s="26">
        <f>IF(A79="","",YEAR(A79))</f>
        <v>2026</v>
      </c>
      <c r="N79" s="26" t="str">
        <f>IF(A79="","",CHOOSE(WEEKDAY(A79,2),"Segunda","Terça","Quarta","Quinta","Sexta","Sábado","Domingo"))</f>
        <v>Terça</v>
      </c>
      <c r="O79" s="26" t="str">
        <f>IF(B79="","",IF(B79&lt;TIME(12,0,0),"Manhã",IF(B79&lt;TIME(18,0,0),"Tarde","Noite")))</f>
        <v>Tarde</v>
      </c>
      <c r="P79" s="32">
        <f>IF(G79="","",IFERROR(INDEX(Config!$I$5:$I$16,MATCH(G79,Config!$H$5:$H$16,0)),0))</f>
        <v>45</v>
      </c>
      <c r="Q79" s="30">
        <f>IF(OR(H79&lt;&gt;"Realizado",P79="",P79=0),"",A79+P79)</f>
        <v>46227.0</v>
      </c>
      <c r="R79" s="26" t="str">
        <f>IF(Q79="","",IF(COUNTIFS($E$5:$E$3004,E79,$A$5:$A$3004,"&gt;"&amp;A79,$H$5:$H$3004,"&lt;&gt;Falta",$H$5:$H$3004,"&lt;&gt;Cancelado",$H$5:$H$3004,"&lt;&gt;Remarcado")&gt;0,"Sim","Não"))</f>
        <v>Sim</v>
      </c>
      <c r="S79" s="32">
        <f>IF(R79&lt;&gt;"Não","",IF(Q79+Config!$B$9&lt;=Config!$B$8,Config!$B$8-Q79,""))</f>
        <v/>
      </c>
      <c r="T79" s="26">
        <f>IF(S79="","","Sim")</f>
        <v/>
      </c>
      <c r="U79" s="41">
        <f>IF(T79="Sim",S79+ROW()/100000,0)</f>
        <v>0</v>
      </c>
      <c r="V79" s="41">
        <f>IF(AND(H79="Falta",L79=Config!$B$7,M79=Config!$B$5,COUNTIFS($E$5:E79,E79,$H$5:H79,"Falta",$L$5:L79,Config!$B$7,$M$5:M79,Config!$B$5)=1),COUNTIFS($E$5:$E$3004,E79,$H$5:$H$3004,"Falta",$L$5:$L$3004,Config!$B$7,$M$5:$M$3004,Config!$B$5)*1000-ROW()/100000,0)</f>
        <v>0</v>
      </c>
    </row>
    <row r="80">
      <c r="A80" s="39" t="n">
        <v>46182</v>
      </c>
      <c r="B80" s="40" t="n">
        <v>0.6111111111111112</v>
      </c>
      <c r="C80" s="35" t="inlineStr">
        <is>
          <t>Dr. Paulo Andrade</t>
        </is>
      </c>
      <c r="D80" s="35" t="inlineStr">
        <is>
          <t>Sala 2</t>
        </is>
      </c>
      <c r="E80" s="34" t="inlineStr">
        <is>
          <t>Vanessa Carvalho</t>
        </is>
      </c>
      <c r="F80" s="35" t="inlineStr">
        <is>
          <t>Saúde Total</t>
        </is>
      </c>
      <c r="G80" s="35" t="inlineStr">
        <is>
          <t>Consulta</t>
        </is>
      </c>
      <c r="H80" s="35" t="inlineStr">
        <is>
          <t>Realizado</t>
        </is>
      </c>
      <c r="I80" s="35" t="inlineStr">
        <is>
          <t>Convênio</t>
        </is>
      </c>
      <c r="J80" s="35" t="n"/>
      <c r="K80" s="34" t="n"/>
      <c r="L80" s="26">
        <f>IF(A80="","",MONTH(A80))</f>
        <v>6</v>
      </c>
      <c r="M80" s="26">
        <f>IF(A80="","",YEAR(A80))</f>
        <v>2026</v>
      </c>
      <c r="N80" s="26" t="str">
        <f>IF(A80="","",CHOOSE(WEEKDAY(A80,2),"Segunda","Terça","Quarta","Quinta","Sexta","Sábado","Domingo"))</f>
        <v>Terça</v>
      </c>
      <c r="O80" s="26" t="str">
        <f>IF(B80="","",IF(B80&lt;TIME(12,0,0),"Manhã",IF(B80&lt;TIME(18,0,0),"Tarde","Noite")))</f>
        <v>Tarde</v>
      </c>
      <c r="P80" s="32">
        <f>IF(G80="","",IFERROR(INDEX(Config!$I$5:$I$16,MATCH(G80,Config!$H$5:$H$16,0)),0))</f>
        <v>30</v>
      </c>
      <c r="Q80" s="30">
        <f>IF(OR(H80&lt;&gt;"Realizado",P80="",P80=0),"",A80+P80)</f>
        <v>46212.0</v>
      </c>
      <c r="R80" s="26" t="str">
        <f>IF(Q80="","",IF(COUNTIFS($E$5:$E$3004,E80,$A$5:$A$3004,"&gt;"&amp;A80,$H$5:$H$3004,"&lt;&gt;Falta",$H$5:$H$3004,"&lt;&gt;Cancelado",$H$5:$H$3004,"&lt;&gt;Remarcado")&gt;0,"Sim","Não"))</f>
        <v>Sim</v>
      </c>
      <c r="S80" s="32">
        <f>IF(R80&lt;&gt;"Não","",IF(Q80+Config!$B$9&lt;=Config!$B$8,Config!$B$8-Q80,""))</f>
        <v/>
      </c>
      <c r="T80" s="26">
        <f>IF(S80="","","Sim")</f>
        <v/>
      </c>
      <c r="U80" s="41">
        <f>IF(T80="Sim",S80+ROW()/100000,0)</f>
        <v>0</v>
      </c>
      <c r="V80" s="41">
        <f>IF(AND(H80="Falta",L80=Config!$B$7,M80=Config!$B$5,COUNTIFS($E$5:E80,E80,$H$5:H80,"Falta",$L$5:L80,Config!$B$7,$M$5:M80,Config!$B$5)=1),COUNTIFS($E$5:$E$3004,E80,$H$5:$H$3004,"Falta",$L$5:$L$3004,Config!$B$7,$M$5:$M$3004,Config!$B$5)*1000-ROW()/100000,0)</f>
        <v>0</v>
      </c>
    </row>
    <row r="81">
      <c r="A81" s="39" t="n">
        <v>46182</v>
      </c>
      <c r="B81" s="40" t="n">
        <v>0.6319444444444444</v>
      </c>
      <c r="C81" s="35" t="inlineStr">
        <is>
          <t>Dra. Renata Sousa</t>
        </is>
      </c>
      <c r="D81" s="35" t="inlineStr">
        <is>
          <t>Sala 1</t>
        </is>
      </c>
      <c r="E81" s="34" t="inlineStr">
        <is>
          <t>Mariana Gomes</t>
        </is>
      </c>
      <c r="F81" s="35" t="inlineStr">
        <is>
          <t>Particular</t>
        </is>
      </c>
      <c r="G81" s="35" t="inlineStr">
        <is>
          <t>Avaliação endócrina</t>
        </is>
      </c>
      <c r="H81" s="35" t="inlineStr">
        <is>
          <t>Realizado</t>
        </is>
      </c>
      <c r="I81" s="35" t="inlineStr">
        <is>
          <t>Cartão de crédito</t>
        </is>
      </c>
      <c r="J81" s="35" t="n">
        <v>2</v>
      </c>
      <c r="K81" s="34" t="n"/>
      <c r="L81" s="26">
        <f>IF(A81="","",MONTH(A81))</f>
        <v>6</v>
      </c>
      <c r="M81" s="26">
        <f>IF(A81="","",YEAR(A81))</f>
        <v>2026</v>
      </c>
      <c r="N81" s="26" t="str">
        <f>IF(A81="","",CHOOSE(WEEKDAY(A81,2),"Segunda","Terça","Quarta","Quinta","Sexta","Sábado","Domingo"))</f>
        <v>Terça</v>
      </c>
      <c r="O81" s="26" t="str">
        <f>IF(B81="","",IF(B81&lt;TIME(12,0,0),"Manhã",IF(B81&lt;TIME(18,0,0),"Tarde","Noite")))</f>
        <v>Tarde</v>
      </c>
      <c r="P81" s="32">
        <f>IF(G81="","",IFERROR(INDEX(Config!$I$5:$I$16,MATCH(G81,Config!$H$5:$H$16,0)),0))</f>
        <v>45</v>
      </c>
      <c r="Q81" s="30">
        <f>IF(OR(H81&lt;&gt;"Realizado",P81="",P81=0),"",A81+P81)</f>
        <v>46227.0</v>
      </c>
      <c r="R81" s="26" t="str">
        <f>IF(Q81="","",IF(COUNTIFS($E$5:$E$3004,E81,$A$5:$A$3004,"&gt;"&amp;A81,$H$5:$H$3004,"&lt;&gt;Falta",$H$5:$H$3004,"&lt;&gt;Cancelado",$H$5:$H$3004,"&lt;&gt;Remarcado")&gt;0,"Sim","Não"))</f>
        <v>Sim</v>
      </c>
      <c r="S81" s="32">
        <f>IF(R81&lt;&gt;"Não","",IF(Q81+Config!$B$9&lt;=Config!$B$8,Config!$B$8-Q81,""))</f>
        <v/>
      </c>
      <c r="T81" s="26">
        <f>IF(S81="","","Sim")</f>
        <v/>
      </c>
      <c r="U81" s="41">
        <f>IF(T81="Sim",S81+ROW()/100000,0)</f>
        <v>0</v>
      </c>
      <c r="V81" s="41">
        <f>IF(AND(H81="Falta",L81=Config!$B$7,M81=Config!$B$5,COUNTIFS($E$5:E81,E81,$H$5:H81,"Falta",$L$5:L81,Config!$B$7,$M$5:M81,Config!$B$5)=1),COUNTIFS($E$5:$E$3004,E81,$H$5:$H$3004,"Falta",$L$5:$L$3004,Config!$B$7,$M$5:$M$3004,Config!$B$5)*1000-ROW()/100000,0)</f>
        <v>0</v>
      </c>
    </row>
    <row r="82">
      <c r="A82" s="39" t="n">
        <v>46182</v>
      </c>
      <c r="B82" s="40" t="n">
        <v>0.6319444444444444</v>
      </c>
      <c r="C82" s="35" t="inlineStr">
        <is>
          <t>Dr. Paulo Andrade</t>
        </is>
      </c>
      <c r="D82" s="35" t="inlineStr">
        <is>
          <t>Sala 2</t>
        </is>
      </c>
      <c r="E82" s="34" t="inlineStr">
        <is>
          <t>Bruno Carvalho</t>
        </is>
      </c>
      <c r="F82" s="35" t="inlineStr">
        <is>
          <t>Saúde Total</t>
        </is>
      </c>
      <c r="G82" s="35" t="inlineStr">
        <is>
          <t>Consulta</t>
        </is>
      </c>
      <c r="H82" s="35" t="inlineStr">
        <is>
          <t>Realizado</t>
        </is>
      </c>
      <c r="I82" s="35" t="inlineStr">
        <is>
          <t>Convênio</t>
        </is>
      </c>
      <c r="J82" s="35" t="n"/>
      <c r="K82" s="34" t="n"/>
      <c r="L82" s="26">
        <f>IF(A82="","",MONTH(A82))</f>
        <v>6</v>
      </c>
      <c r="M82" s="26">
        <f>IF(A82="","",YEAR(A82))</f>
        <v>2026</v>
      </c>
      <c r="N82" s="26" t="str">
        <f>IF(A82="","",CHOOSE(WEEKDAY(A82,2),"Segunda","Terça","Quarta","Quinta","Sexta","Sábado","Domingo"))</f>
        <v>Terça</v>
      </c>
      <c r="O82" s="26" t="str">
        <f>IF(B82="","",IF(B82&lt;TIME(12,0,0),"Manhã",IF(B82&lt;TIME(18,0,0),"Tarde","Noite")))</f>
        <v>Tarde</v>
      </c>
      <c r="P82" s="32">
        <f>IF(G82="","",IFERROR(INDEX(Config!$I$5:$I$16,MATCH(G82,Config!$H$5:$H$16,0)),0))</f>
        <v>30</v>
      </c>
      <c r="Q82" s="30">
        <f>IF(OR(H82&lt;&gt;"Realizado",P82="",P82=0),"",A82+P82)</f>
        <v>46212.0</v>
      </c>
      <c r="R82" s="26" t="str">
        <f>IF(Q82="","",IF(COUNTIFS($E$5:$E$3004,E82,$A$5:$A$3004,"&gt;"&amp;A82,$H$5:$H$3004,"&lt;&gt;Falta",$H$5:$H$3004,"&lt;&gt;Cancelado",$H$5:$H$3004,"&lt;&gt;Remarcado")&gt;0,"Sim","Não"))</f>
        <v>Sim</v>
      </c>
      <c r="S82" s="32">
        <f>IF(R82&lt;&gt;"Não","",IF(Q82+Config!$B$9&lt;=Config!$B$8,Config!$B$8-Q82,""))</f>
        <v/>
      </c>
      <c r="T82" s="26">
        <f>IF(S82="","","Sim")</f>
        <v/>
      </c>
      <c r="U82" s="41">
        <f>IF(T82="Sim",S82+ROW()/100000,0)</f>
        <v>0</v>
      </c>
      <c r="V82" s="41">
        <f>IF(AND(H82="Falta",L82=Config!$B$7,M82=Config!$B$5,COUNTIFS($E$5:E82,E82,$H$5:H82,"Falta",$L$5:L82,Config!$B$7,$M$5:M82,Config!$B$5)=1),COUNTIFS($E$5:$E$3004,E82,$H$5:$H$3004,"Falta",$L$5:$L$3004,Config!$B$7,$M$5:$M$3004,Config!$B$5)*1000-ROW()/100000,0)</f>
        <v>0</v>
      </c>
    </row>
    <row r="83">
      <c r="A83" s="39" t="n">
        <v>46182</v>
      </c>
      <c r="B83" s="40" t="n">
        <v>0.6597222222222222</v>
      </c>
      <c r="C83" s="35" t="inlineStr">
        <is>
          <t>Dra. Renata Sousa</t>
        </is>
      </c>
      <c r="D83" s="35" t="inlineStr">
        <is>
          <t>Sala 1</t>
        </is>
      </c>
      <c r="E83" s="34" t="inlineStr">
        <is>
          <t>Márcia Duarte</t>
        </is>
      </c>
      <c r="F83" s="35" t="inlineStr">
        <is>
          <t>Particular</t>
        </is>
      </c>
      <c r="G83" s="35" t="inlineStr">
        <is>
          <t>Retorno</t>
        </is>
      </c>
      <c r="H83" s="35" t="inlineStr">
        <is>
          <t>Falta</t>
        </is>
      </c>
      <c r="I83" s="35" t="n"/>
      <c r="J83" s="35" t="n"/>
      <c r="K83" s="34" t="n"/>
      <c r="L83" s="26">
        <f>IF(A83="","",MONTH(A83))</f>
        <v>6</v>
      </c>
      <c r="M83" s="26">
        <f>IF(A83="","",YEAR(A83))</f>
        <v>2026</v>
      </c>
      <c r="N83" s="26" t="str">
        <f>IF(A83="","",CHOOSE(WEEKDAY(A83,2),"Segunda","Terça","Quarta","Quinta","Sexta","Sábado","Domingo"))</f>
        <v>Terça</v>
      </c>
      <c r="O83" s="26" t="str">
        <f>IF(B83="","",IF(B83&lt;TIME(12,0,0),"Manhã",IF(B83&lt;TIME(18,0,0),"Tarde","Noite")))</f>
        <v>Tarde</v>
      </c>
      <c r="P83" s="32">
        <f>IF(G83="","",IFERROR(INDEX(Config!$I$5:$I$16,MATCH(G83,Config!$H$5:$H$16,0)),0))</f>
        <v>0</v>
      </c>
      <c r="Q83" s="30">
        <f>IF(OR(H83&lt;&gt;"Realizado",P83="",P83=0),"",A83+P83)</f>
        <v/>
      </c>
      <c r="R83" s="26">
        <f>IF(Q83="","",IF(COUNTIFS($E$5:$E$3004,E83,$A$5:$A$3004,"&gt;"&amp;A83,$H$5:$H$3004,"&lt;&gt;Falta",$H$5:$H$3004,"&lt;&gt;Cancelado",$H$5:$H$3004,"&lt;&gt;Remarcado")&gt;0,"Sim","Não"))</f>
        <v/>
      </c>
      <c r="S83" s="32">
        <f>IF(R83&lt;&gt;"Não","",IF(Q83+Config!$B$9&lt;=Config!$B$8,Config!$B$8-Q83,""))</f>
        <v/>
      </c>
      <c r="T83" s="26">
        <f>IF(S83="","","Sim")</f>
        <v/>
      </c>
      <c r="U83" s="41">
        <f>IF(T83="Sim",S83+ROW()/100000,0)</f>
        <v>0</v>
      </c>
      <c r="V83" s="41">
        <f>IF(AND(H83="Falta",L83=Config!$B$7,M83=Config!$B$5,COUNTIFS($E$5:E83,E83,$H$5:H83,"Falta",$L$5:L83,Config!$B$7,$M$5:M83,Config!$B$5)=1),COUNTIFS($E$5:$E$3004,E83,$H$5:$H$3004,"Falta",$L$5:$L$3004,Config!$B$7,$M$5:$M$3004,Config!$B$5)*1000-ROW()/100000,0)</f>
        <v>0</v>
      </c>
    </row>
    <row r="84">
      <c r="A84" s="39" t="n">
        <v>46182</v>
      </c>
      <c r="B84" s="40" t="n">
        <v>0.6736111111111112</v>
      </c>
      <c r="C84" s="35" t="inlineStr">
        <is>
          <t>Dra. Renata Sousa</t>
        </is>
      </c>
      <c r="D84" s="35" t="inlineStr">
        <is>
          <t>Sala 1</t>
        </is>
      </c>
      <c r="E84" s="34" t="inlineStr">
        <is>
          <t>Cláudia Melo</t>
        </is>
      </c>
      <c r="F84" s="35" t="inlineStr">
        <is>
          <t>Particular</t>
        </is>
      </c>
      <c r="G84" s="35" t="inlineStr">
        <is>
          <t>Avaliação endócrina</t>
        </is>
      </c>
      <c r="H84" s="35" t="inlineStr">
        <is>
          <t>Realizado</t>
        </is>
      </c>
      <c r="I84" s="35" t="inlineStr">
        <is>
          <t>Cartão de crédito</t>
        </is>
      </c>
      <c r="J84" s="35" t="n"/>
      <c r="K84" s="34" t="n"/>
      <c r="L84" s="26">
        <f>IF(A84="","",MONTH(A84))</f>
        <v>6</v>
      </c>
      <c r="M84" s="26">
        <f>IF(A84="","",YEAR(A84))</f>
        <v>2026</v>
      </c>
      <c r="N84" s="26" t="str">
        <f>IF(A84="","",CHOOSE(WEEKDAY(A84,2),"Segunda","Terça","Quarta","Quinta","Sexta","Sábado","Domingo"))</f>
        <v>Terça</v>
      </c>
      <c r="O84" s="26" t="str">
        <f>IF(B84="","",IF(B84&lt;TIME(12,0,0),"Manhã",IF(B84&lt;TIME(18,0,0),"Tarde","Noite")))</f>
        <v>Tarde</v>
      </c>
      <c r="P84" s="32">
        <f>IF(G84="","",IFERROR(INDEX(Config!$I$5:$I$16,MATCH(G84,Config!$H$5:$H$16,0)),0))</f>
        <v>45</v>
      </c>
      <c r="Q84" s="30">
        <f>IF(OR(H84&lt;&gt;"Realizado",P84="",P84=0),"",A84+P84)</f>
        <v>46227.0</v>
      </c>
      <c r="R84" s="26" t="str">
        <f>IF(Q84="","",IF(COUNTIFS($E$5:$E$3004,E84,$A$5:$A$3004,"&gt;"&amp;A84,$H$5:$H$3004,"&lt;&gt;Falta",$H$5:$H$3004,"&lt;&gt;Cancelado",$H$5:$H$3004,"&lt;&gt;Remarcado")&gt;0,"Sim","Não"))</f>
        <v>Sim</v>
      </c>
      <c r="S84" s="32">
        <f>IF(R84&lt;&gt;"Não","",IF(Q84+Config!$B$9&lt;=Config!$B$8,Config!$B$8-Q84,""))</f>
        <v/>
      </c>
      <c r="T84" s="26">
        <f>IF(S84="","","Sim")</f>
        <v/>
      </c>
      <c r="U84" s="41">
        <f>IF(T84="Sim",S84+ROW()/100000,0)</f>
        <v>0</v>
      </c>
      <c r="V84" s="41">
        <f>IF(AND(H84="Falta",L84=Config!$B$7,M84=Config!$B$5,COUNTIFS($E$5:E84,E84,$H$5:H84,"Falta",$L$5:L84,Config!$B$7,$M$5:M84,Config!$B$5)=1),COUNTIFS($E$5:$E$3004,E84,$H$5:$H$3004,"Falta",$L$5:$L$3004,Config!$B$7,$M$5:$M$3004,Config!$B$5)*1000-ROW()/100000,0)</f>
        <v>0</v>
      </c>
    </row>
    <row r="85">
      <c r="A85" s="39" t="n">
        <v>46182</v>
      </c>
      <c r="B85" s="40" t="n">
        <v>0.6736111111111112</v>
      </c>
      <c r="C85" s="35" t="inlineStr">
        <is>
          <t>Dr. Paulo Andrade</t>
        </is>
      </c>
      <c r="D85" s="35" t="inlineStr">
        <is>
          <t>Sala 2</t>
        </is>
      </c>
      <c r="E85" s="34" t="inlineStr">
        <is>
          <t>Fernanda Nunes</t>
        </is>
      </c>
      <c r="F85" s="35" t="inlineStr">
        <is>
          <t>MediPlan</t>
        </is>
      </c>
      <c r="G85" s="35" t="inlineStr">
        <is>
          <t>Retorno</t>
        </is>
      </c>
      <c r="H85" s="35" t="inlineStr">
        <is>
          <t>Realizado</t>
        </is>
      </c>
      <c r="I85" s="35" t="inlineStr">
        <is>
          <t>Sem cobrança</t>
        </is>
      </c>
      <c r="J85" s="35" t="n"/>
      <c r="K85" s="34" t="n"/>
      <c r="L85" s="26">
        <f>IF(A85="","",MONTH(A85))</f>
        <v>6</v>
      </c>
      <c r="M85" s="26">
        <f>IF(A85="","",YEAR(A85))</f>
        <v>2026</v>
      </c>
      <c r="N85" s="26" t="str">
        <f>IF(A85="","",CHOOSE(WEEKDAY(A85,2),"Segunda","Terça","Quarta","Quinta","Sexta","Sábado","Domingo"))</f>
        <v>Terça</v>
      </c>
      <c r="O85" s="26" t="str">
        <f>IF(B85="","",IF(B85&lt;TIME(12,0,0),"Manhã",IF(B85&lt;TIME(18,0,0),"Tarde","Noite")))</f>
        <v>Tarde</v>
      </c>
      <c r="P85" s="32">
        <f>IF(G85="","",IFERROR(INDEX(Config!$I$5:$I$16,MATCH(G85,Config!$H$5:$H$16,0)),0))</f>
        <v>0</v>
      </c>
      <c r="Q85" s="30">
        <f>IF(OR(H85&lt;&gt;"Realizado",P85="",P85=0),"",A85+P85)</f>
        <v/>
      </c>
      <c r="R85" s="26">
        <f>IF(Q85="","",IF(COUNTIFS($E$5:$E$3004,E85,$A$5:$A$3004,"&gt;"&amp;A85,$H$5:$H$3004,"&lt;&gt;Falta",$H$5:$H$3004,"&lt;&gt;Cancelado",$H$5:$H$3004,"&lt;&gt;Remarcado")&gt;0,"Sim","Não"))</f>
        <v/>
      </c>
      <c r="S85" s="32">
        <f>IF(R85&lt;&gt;"Não","",IF(Q85+Config!$B$9&lt;=Config!$B$8,Config!$B$8-Q85,""))</f>
        <v/>
      </c>
      <c r="T85" s="26">
        <f>IF(S85="","","Sim")</f>
        <v/>
      </c>
      <c r="U85" s="41">
        <f>IF(T85="Sim",S85+ROW()/100000,0)</f>
        <v>0</v>
      </c>
      <c r="V85" s="41">
        <f>IF(AND(H85="Falta",L85=Config!$B$7,M85=Config!$B$5,COUNTIFS($E$5:E85,E85,$H$5:H85,"Falta",$L$5:L85,Config!$B$7,$M$5:M85,Config!$B$5)=1),COUNTIFS($E$5:$E$3004,E85,$H$5:$H$3004,"Falta",$L$5:$L$3004,Config!$B$7,$M$5:$M$3004,Config!$B$5)*1000-ROW()/100000,0)</f>
        <v>0</v>
      </c>
    </row>
    <row r="86">
      <c r="A86" s="39" t="n">
        <v>46182</v>
      </c>
      <c r="B86" s="40" t="n">
        <v>0.6875</v>
      </c>
      <c r="C86" s="35" t="inlineStr">
        <is>
          <t>Dr. Paulo Andrade</t>
        </is>
      </c>
      <c r="D86" s="35" t="inlineStr">
        <is>
          <t>Sala 2</t>
        </is>
      </c>
      <c r="E86" s="34" t="inlineStr">
        <is>
          <t>Natália Martins</t>
        </is>
      </c>
      <c r="F86" s="35" t="inlineStr">
        <is>
          <t>Particular</t>
        </is>
      </c>
      <c r="G86" s="35" t="inlineStr">
        <is>
          <t>Consulta</t>
        </is>
      </c>
      <c r="H86" s="35" t="inlineStr">
        <is>
          <t>Realizado</t>
        </is>
      </c>
      <c r="I86" s="35" t="inlineStr">
        <is>
          <t>Pix</t>
        </is>
      </c>
      <c r="J86" s="35" t="n"/>
      <c r="K86" s="34" t="n"/>
      <c r="L86" s="26">
        <f>IF(A86="","",MONTH(A86))</f>
        <v>6</v>
      </c>
      <c r="M86" s="26">
        <f>IF(A86="","",YEAR(A86))</f>
        <v>2026</v>
      </c>
      <c r="N86" s="26" t="str">
        <f>IF(A86="","",CHOOSE(WEEKDAY(A86,2),"Segunda","Terça","Quarta","Quinta","Sexta","Sábado","Domingo"))</f>
        <v>Terça</v>
      </c>
      <c r="O86" s="26" t="str">
        <f>IF(B86="","",IF(B86&lt;TIME(12,0,0),"Manhã",IF(B86&lt;TIME(18,0,0),"Tarde","Noite")))</f>
        <v>Tarde</v>
      </c>
      <c r="P86" s="32">
        <f>IF(G86="","",IFERROR(INDEX(Config!$I$5:$I$16,MATCH(G86,Config!$H$5:$H$16,0)),0))</f>
        <v>30</v>
      </c>
      <c r="Q86" s="30">
        <f>IF(OR(H86&lt;&gt;"Realizado",P86="",P86=0),"",A86+P86)</f>
        <v>46212.0</v>
      </c>
      <c r="R86" s="26" t="str">
        <f>IF(Q86="","",IF(COUNTIFS($E$5:$E$3004,E86,$A$5:$A$3004,"&gt;"&amp;A86,$H$5:$H$3004,"&lt;&gt;Falta",$H$5:$H$3004,"&lt;&gt;Cancelado",$H$5:$H$3004,"&lt;&gt;Remarcado")&gt;0,"Sim","Não"))</f>
        <v>Sim</v>
      </c>
      <c r="S86" s="32">
        <f>IF(R86&lt;&gt;"Não","",IF(Q86+Config!$B$9&lt;=Config!$B$8,Config!$B$8-Q86,""))</f>
        <v/>
      </c>
      <c r="T86" s="26">
        <f>IF(S86="","","Sim")</f>
        <v/>
      </c>
      <c r="U86" s="41">
        <f>IF(T86="Sim",S86+ROW()/100000,0)</f>
        <v>0</v>
      </c>
      <c r="V86" s="41">
        <f>IF(AND(H86="Falta",L86=Config!$B$7,M86=Config!$B$5,COUNTIFS($E$5:E86,E86,$H$5:H86,"Falta",$L$5:L86,Config!$B$7,$M$5:M86,Config!$B$5)=1),COUNTIFS($E$5:$E$3004,E86,$H$5:$H$3004,"Falta",$L$5:$L$3004,Config!$B$7,$M$5:$M$3004,Config!$B$5)*1000-ROW()/100000,0)</f>
        <v>0</v>
      </c>
    </row>
    <row r="87">
      <c r="A87" s="39" t="n">
        <v>46182</v>
      </c>
      <c r="B87" s="40" t="n">
        <v>0.7013888888888888</v>
      </c>
      <c r="C87" s="35" t="inlineStr">
        <is>
          <t>Dra. Renata Sousa</t>
        </is>
      </c>
      <c r="D87" s="35" t="inlineStr">
        <is>
          <t>Sala 1</t>
        </is>
      </c>
      <c r="E87" s="34" t="inlineStr">
        <is>
          <t>Paulo Freitas</t>
        </is>
      </c>
      <c r="F87" s="35" t="inlineStr">
        <is>
          <t>Saúde Total</t>
        </is>
      </c>
      <c r="G87" s="35" t="inlineStr">
        <is>
          <t>Retorno</t>
        </is>
      </c>
      <c r="H87" s="35" t="inlineStr">
        <is>
          <t>Realizado</t>
        </is>
      </c>
      <c r="I87" s="35" t="inlineStr">
        <is>
          <t>Sem cobrança</t>
        </is>
      </c>
      <c r="J87" s="35" t="n"/>
      <c r="K87" s="34" t="n"/>
      <c r="L87" s="26">
        <f>IF(A87="","",MONTH(A87))</f>
        <v>6</v>
      </c>
      <c r="M87" s="26">
        <f>IF(A87="","",YEAR(A87))</f>
        <v>2026</v>
      </c>
      <c r="N87" s="26" t="str">
        <f>IF(A87="","",CHOOSE(WEEKDAY(A87,2),"Segunda","Terça","Quarta","Quinta","Sexta","Sábado","Domingo"))</f>
        <v>Terça</v>
      </c>
      <c r="O87" s="26" t="str">
        <f>IF(B87="","",IF(B87&lt;TIME(12,0,0),"Manhã",IF(B87&lt;TIME(18,0,0),"Tarde","Noite")))</f>
        <v>Tarde</v>
      </c>
      <c r="P87" s="32">
        <f>IF(G87="","",IFERROR(INDEX(Config!$I$5:$I$16,MATCH(G87,Config!$H$5:$H$16,0)),0))</f>
        <v>0</v>
      </c>
      <c r="Q87" s="30">
        <f>IF(OR(H87&lt;&gt;"Realizado",P87="",P87=0),"",A87+P87)</f>
        <v/>
      </c>
      <c r="R87" s="26">
        <f>IF(Q87="","",IF(COUNTIFS($E$5:$E$3004,E87,$A$5:$A$3004,"&gt;"&amp;A87,$H$5:$H$3004,"&lt;&gt;Falta",$H$5:$H$3004,"&lt;&gt;Cancelado",$H$5:$H$3004,"&lt;&gt;Remarcado")&gt;0,"Sim","Não"))</f>
        <v/>
      </c>
      <c r="S87" s="32">
        <f>IF(R87&lt;&gt;"Não","",IF(Q87+Config!$B$9&lt;=Config!$B$8,Config!$B$8-Q87,""))</f>
        <v/>
      </c>
      <c r="T87" s="26">
        <f>IF(S87="","","Sim")</f>
        <v/>
      </c>
      <c r="U87" s="41">
        <f>IF(T87="Sim",S87+ROW()/100000,0)</f>
        <v>0</v>
      </c>
      <c r="V87" s="41">
        <f>IF(AND(H87="Falta",L87=Config!$B$7,M87=Config!$B$5,COUNTIFS($E$5:E87,E87,$H$5:H87,"Falta",$L$5:L87,Config!$B$7,$M$5:M87,Config!$B$5)=1),COUNTIFS($E$5:$E$3004,E87,$H$5:$H$3004,"Falta",$L$5:$L$3004,Config!$B$7,$M$5:$M$3004,Config!$B$5)*1000-ROW()/100000,0)</f>
        <v>0</v>
      </c>
    </row>
    <row r="88">
      <c r="A88" s="39" t="n">
        <v>46182</v>
      </c>
      <c r="B88" s="40" t="n">
        <v>0.7083333333333334</v>
      </c>
      <c r="C88" s="35" t="inlineStr">
        <is>
          <t>Dr. Paulo Andrade</t>
        </is>
      </c>
      <c r="D88" s="35" t="inlineStr">
        <is>
          <t>Sala 2</t>
        </is>
      </c>
      <c r="E88" s="34" t="inlineStr">
        <is>
          <t>Paulo Ribeiro</t>
        </is>
      </c>
      <c r="F88" s="35" t="inlineStr">
        <is>
          <t>Saúde Total</t>
        </is>
      </c>
      <c r="G88" s="35" t="inlineStr">
        <is>
          <t>Consulta</t>
        </is>
      </c>
      <c r="H88" s="35" t="inlineStr">
        <is>
          <t>Realizado</t>
        </is>
      </c>
      <c r="I88" s="35" t="inlineStr">
        <is>
          <t>Convênio</t>
        </is>
      </c>
      <c r="J88" s="35" t="n"/>
      <c r="K88" s="34" t="n"/>
      <c r="L88" s="26">
        <f>IF(A88="","",MONTH(A88))</f>
        <v>6</v>
      </c>
      <c r="M88" s="26">
        <f>IF(A88="","",YEAR(A88))</f>
        <v>2026</v>
      </c>
      <c r="N88" s="26" t="str">
        <f>IF(A88="","",CHOOSE(WEEKDAY(A88,2),"Segunda","Terça","Quarta","Quinta","Sexta","Sábado","Domingo"))</f>
        <v>Terça</v>
      </c>
      <c r="O88" s="26" t="str">
        <f>IF(B88="","",IF(B88&lt;TIME(12,0,0),"Manhã",IF(B88&lt;TIME(18,0,0),"Tarde","Noite")))</f>
        <v>Tarde</v>
      </c>
      <c r="P88" s="32">
        <f>IF(G88="","",IFERROR(INDEX(Config!$I$5:$I$16,MATCH(G88,Config!$H$5:$H$16,0)),0))</f>
        <v>30</v>
      </c>
      <c r="Q88" s="30">
        <f>IF(OR(H88&lt;&gt;"Realizado",P88="",P88=0),"",A88+P88)</f>
        <v>46212.0</v>
      </c>
      <c r="R88" s="26" t="str">
        <f>IF(Q88="","",IF(COUNTIFS($E$5:$E$3004,E88,$A$5:$A$3004,"&gt;"&amp;A88,$H$5:$H$3004,"&lt;&gt;Falta",$H$5:$H$3004,"&lt;&gt;Cancelado",$H$5:$H$3004,"&lt;&gt;Remarcado")&gt;0,"Sim","Não"))</f>
        <v>Sim</v>
      </c>
      <c r="S88" s="32">
        <f>IF(R88&lt;&gt;"Não","",IF(Q88+Config!$B$9&lt;=Config!$B$8,Config!$B$8-Q88,""))</f>
        <v/>
      </c>
      <c r="T88" s="26">
        <f>IF(S88="","","Sim")</f>
        <v/>
      </c>
      <c r="U88" s="41">
        <f>IF(T88="Sim",S88+ROW()/100000,0)</f>
        <v>0</v>
      </c>
      <c r="V88" s="41">
        <f>IF(AND(H88="Falta",L88=Config!$B$7,M88=Config!$B$5,COUNTIFS($E$5:E88,E88,$H$5:H88,"Falta",$L$5:L88,Config!$B$7,$M$5:M88,Config!$B$5)=1),COUNTIFS($E$5:$E$3004,E88,$H$5:$H$3004,"Falta",$L$5:$L$3004,Config!$B$7,$M$5:$M$3004,Config!$B$5)*1000-ROW()/100000,0)</f>
        <v>0</v>
      </c>
    </row>
    <row r="89">
      <c r="A89" s="39" t="n">
        <v>46182</v>
      </c>
      <c r="B89" s="40" t="n">
        <v>0.7152777777777778</v>
      </c>
      <c r="C89" s="35" t="inlineStr">
        <is>
          <t>Dra. Renata Sousa</t>
        </is>
      </c>
      <c r="D89" s="35" t="inlineStr">
        <is>
          <t>Sala 1</t>
        </is>
      </c>
      <c r="E89" s="34" t="inlineStr">
        <is>
          <t>Carlos Gomes</t>
        </is>
      </c>
      <c r="F89" s="35" t="inlineStr">
        <is>
          <t>Saúde Total</t>
        </is>
      </c>
      <c r="G89" s="35" t="inlineStr">
        <is>
          <t>Retorno</t>
        </is>
      </c>
      <c r="H89" s="35" t="inlineStr">
        <is>
          <t>Realizado</t>
        </is>
      </c>
      <c r="I89" s="35" t="inlineStr">
        <is>
          <t>Sem cobrança</t>
        </is>
      </c>
      <c r="J89" s="35" t="n"/>
      <c r="K89" s="34" t="n"/>
      <c r="L89" s="26">
        <f>IF(A89="","",MONTH(A89))</f>
        <v>6</v>
      </c>
      <c r="M89" s="26">
        <f>IF(A89="","",YEAR(A89))</f>
        <v>2026</v>
      </c>
      <c r="N89" s="26" t="str">
        <f>IF(A89="","",CHOOSE(WEEKDAY(A89,2),"Segunda","Terça","Quarta","Quinta","Sexta","Sábado","Domingo"))</f>
        <v>Terça</v>
      </c>
      <c r="O89" s="26" t="str">
        <f>IF(B89="","",IF(B89&lt;TIME(12,0,0),"Manhã",IF(B89&lt;TIME(18,0,0),"Tarde","Noite")))</f>
        <v>Tarde</v>
      </c>
      <c r="P89" s="32">
        <f>IF(G89="","",IFERROR(INDEX(Config!$I$5:$I$16,MATCH(G89,Config!$H$5:$H$16,0)),0))</f>
        <v>0</v>
      </c>
      <c r="Q89" s="30">
        <f>IF(OR(H89&lt;&gt;"Realizado",P89="",P89=0),"",A89+P89)</f>
        <v/>
      </c>
      <c r="R89" s="26">
        <f>IF(Q89="","",IF(COUNTIFS($E$5:$E$3004,E89,$A$5:$A$3004,"&gt;"&amp;A89,$H$5:$H$3004,"&lt;&gt;Falta",$H$5:$H$3004,"&lt;&gt;Cancelado",$H$5:$H$3004,"&lt;&gt;Remarcado")&gt;0,"Sim","Não"))</f>
        <v/>
      </c>
      <c r="S89" s="32">
        <f>IF(R89&lt;&gt;"Não","",IF(Q89+Config!$B$9&lt;=Config!$B$8,Config!$B$8-Q89,""))</f>
        <v/>
      </c>
      <c r="T89" s="26">
        <f>IF(S89="","","Sim")</f>
        <v/>
      </c>
      <c r="U89" s="41">
        <f>IF(T89="Sim",S89+ROW()/100000,0)</f>
        <v>0</v>
      </c>
      <c r="V89" s="41">
        <f>IF(AND(H89="Falta",L89=Config!$B$7,M89=Config!$B$5,COUNTIFS($E$5:E89,E89,$H$5:H89,"Falta",$L$5:L89,Config!$B$7,$M$5:M89,Config!$B$5)=1),COUNTIFS($E$5:$E$3004,E89,$H$5:$H$3004,"Falta",$L$5:$L$3004,Config!$B$7,$M$5:$M$3004,Config!$B$5)*1000-ROW()/100000,0)</f>
        <v>0</v>
      </c>
    </row>
    <row r="90">
      <c r="A90" s="39" t="n">
        <v>46182</v>
      </c>
      <c r="B90" s="40" t="n">
        <v>0.7291666666666666</v>
      </c>
      <c r="C90" s="35" t="inlineStr">
        <is>
          <t>Dra. Renata Sousa</t>
        </is>
      </c>
      <c r="D90" s="35" t="inlineStr">
        <is>
          <t>Sala 1</t>
        </is>
      </c>
      <c r="E90" s="34" t="inlineStr">
        <is>
          <t>Paulo Fernandes</t>
        </is>
      </c>
      <c r="F90" s="35" t="inlineStr">
        <is>
          <t>Particular</t>
        </is>
      </c>
      <c r="G90" s="35" t="inlineStr">
        <is>
          <t>Retorno</t>
        </is>
      </c>
      <c r="H90" s="35" t="inlineStr">
        <is>
          <t>Realizado</t>
        </is>
      </c>
      <c r="I90" s="35" t="inlineStr">
        <is>
          <t>Sem cobrança</t>
        </is>
      </c>
      <c r="J90" s="35" t="n"/>
      <c r="K90" s="34" t="n"/>
      <c r="L90" s="26">
        <f>IF(A90="","",MONTH(A90))</f>
        <v>6</v>
      </c>
      <c r="M90" s="26">
        <f>IF(A90="","",YEAR(A90))</f>
        <v>2026</v>
      </c>
      <c r="N90" s="26" t="str">
        <f>IF(A90="","",CHOOSE(WEEKDAY(A90,2),"Segunda","Terça","Quarta","Quinta","Sexta","Sábado","Domingo"))</f>
        <v>Terça</v>
      </c>
      <c r="O90" s="26" t="str">
        <f>IF(B90="","",IF(B90&lt;TIME(12,0,0),"Manhã",IF(B90&lt;TIME(18,0,0),"Tarde","Noite")))</f>
        <v>Tarde</v>
      </c>
      <c r="P90" s="32">
        <f>IF(G90="","",IFERROR(INDEX(Config!$I$5:$I$16,MATCH(G90,Config!$H$5:$H$16,0)),0))</f>
        <v>0</v>
      </c>
      <c r="Q90" s="30">
        <f>IF(OR(H90&lt;&gt;"Realizado",P90="",P90=0),"",A90+P90)</f>
        <v/>
      </c>
      <c r="R90" s="26">
        <f>IF(Q90="","",IF(COUNTIFS($E$5:$E$3004,E90,$A$5:$A$3004,"&gt;"&amp;A90,$H$5:$H$3004,"&lt;&gt;Falta",$H$5:$H$3004,"&lt;&gt;Cancelado",$H$5:$H$3004,"&lt;&gt;Remarcado")&gt;0,"Sim","Não"))</f>
        <v/>
      </c>
      <c r="S90" s="32">
        <f>IF(R90&lt;&gt;"Não","",IF(Q90+Config!$B$9&lt;=Config!$B$8,Config!$B$8-Q90,""))</f>
        <v/>
      </c>
      <c r="T90" s="26">
        <f>IF(S90="","","Sim")</f>
        <v/>
      </c>
      <c r="U90" s="41">
        <f>IF(T90="Sim",S90+ROW()/100000,0)</f>
        <v>0</v>
      </c>
      <c r="V90" s="41">
        <f>IF(AND(H90="Falta",L90=Config!$B$7,M90=Config!$B$5,COUNTIFS($E$5:E90,E90,$H$5:H90,"Falta",$L$5:L90,Config!$B$7,$M$5:M90,Config!$B$5)=1),COUNTIFS($E$5:$E$3004,E90,$H$5:$H$3004,"Falta",$L$5:$L$3004,Config!$B$7,$M$5:$M$3004,Config!$B$5)*1000-ROW()/100000,0)</f>
        <v>0</v>
      </c>
    </row>
    <row r="91">
      <c r="A91" s="39" t="n">
        <v>46182</v>
      </c>
      <c r="B91" s="40" t="n">
        <v>0.7291666666666666</v>
      </c>
      <c r="C91" s="35" t="inlineStr">
        <is>
          <t>Dr. Paulo Andrade</t>
        </is>
      </c>
      <c r="D91" s="35" t="inlineStr">
        <is>
          <t>Sala 2</t>
        </is>
      </c>
      <c r="E91" s="34" t="inlineStr">
        <is>
          <t>Marcelo Santos</t>
        </is>
      </c>
      <c r="F91" s="35" t="inlineStr">
        <is>
          <t>Particular</t>
        </is>
      </c>
      <c r="G91" s="35" t="inlineStr">
        <is>
          <t>ECG</t>
        </is>
      </c>
      <c r="H91" s="35" t="inlineStr">
        <is>
          <t>Realizado</t>
        </is>
      </c>
      <c r="I91" s="35" t="inlineStr">
        <is>
          <t>Pix</t>
        </is>
      </c>
      <c r="J91" s="35" t="n"/>
      <c r="K91" s="34" t="n"/>
      <c r="L91" s="26">
        <f>IF(A91="","",MONTH(A91))</f>
        <v>6</v>
      </c>
      <c r="M91" s="26">
        <f>IF(A91="","",YEAR(A91))</f>
        <v>2026</v>
      </c>
      <c r="N91" s="26" t="str">
        <f>IF(A91="","",CHOOSE(WEEKDAY(A91,2),"Segunda","Terça","Quarta","Quinta","Sexta","Sábado","Domingo"))</f>
        <v>Terça</v>
      </c>
      <c r="O91" s="26" t="str">
        <f>IF(B91="","",IF(B91&lt;TIME(12,0,0),"Manhã",IF(B91&lt;TIME(18,0,0),"Tarde","Noite")))</f>
        <v>Tarde</v>
      </c>
      <c r="P91" s="32">
        <f>IF(G91="","",IFERROR(INDEX(Config!$I$5:$I$16,MATCH(G91,Config!$H$5:$H$16,0)),0))</f>
        <v>0</v>
      </c>
      <c r="Q91" s="30">
        <f>IF(OR(H91&lt;&gt;"Realizado",P91="",P91=0),"",A91+P91)</f>
        <v/>
      </c>
      <c r="R91" s="26">
        <f>IF(Q91="","",IF(COUNTIFS($E$5:$E$3004,E91,$A$5:$A$3004,"&gt;"&amp;A91,$H$5:$H$3004,"&lt;&gt;Falta",$H$5:$H$3004,"&lt;&gt;Cancelado",$H$5:$H$3004,"&lt;&gt;Remarcado")&gt;0,"Sim","Não"))</f>
        <v/>
      </c>
      <c r="S91" s="32">
        <f>IF(R91&lt;&gt;"Não","",IF(Q91+Config!$B$9&lt;=Config!$B$8,Config!$B$8-Q91,""))</f>
        <v/>
      </c>
      <c r="T91" s="26">
        <f>IF(S91="","","Sim")</f>
        <v/>
      </c>
      <c r="U91" s="41">
        <f>IF(T91="Sim",S91+ROW()/100000,0)</f>
        <v>0</v>
      </c>
      <c r="V91" s="41">
        <f>IF(AND(H91="Falta",L91=Config!$B$7,M91=Config!$B$5,COUNTIFS($E$5:E91,E91,$H$5:H91,"Falta",$L$5:L91,Config!$B$7,$M$5:M91,Config!$B$5)=1),COUNTIFS($E$5:$E$3004,E91,$H$5:$H$3004,"Falta",$L$5:$L$3004,Config!$B$7,$M$5:$M$3004,Config!$B$5)*1000-ROW()/100000,0)</f>
        <v>0</v>
      </c>
    </row>
    <row r="92">
      <c r="A92" s="39" t="n">
        <v>46183</v>
      </c>
      <c r="B92" s="40" t="n">
        <v>0.5833333333333334</v>
      </c>
      <c r="C92" s="35" t="inlineStr">
        <is>
          <t>Dra. Carolina Mendes</t>
        </is>
      </c>
      <c r="D92" s="35" t="inlineStr">
        <is>
          <t>Sala 1</t>
        </is>
      </c>
      <c r="E92" s="34" t="inlineStr">
        <is>
          <t>Leandro Gomes</t>
        </is>
      </c>
      <c r="F92" s="35" t="inlineStr">
        <is>
          <t>Saúde Total</t>
        </is>
      </c>
      <c r="G92" s="35" t="inlineStr">
        <is>
          <t>Retorno</t>
        </is>
      </c>
      <c r="H92" s="35" t="inlineStr">
        <is>
          <t>Realizado</t>
        </is>
      </c>
      <c r="I92" s="35" t="inlineStr">
        <is>
          <t>Sem cobrança</t>
        </is>
      </c>
      <c r="J92" s="35" t="n"/>
      <c r="K92" s="34" t="n"/>
      <c r="L92" s="26">
        <f>IF(A92="","",MONTH(A92))</f>
        <v>6</v>
      </c>
      <c r="M92" s="26">
        <f>IF(A92="","",YEAR(A92))</f>
        <v>2026</v>
      </c>
      <c r="N92" s="26" t="str">
        <f>IF(A92="","",CHOOSE(WEEKDAY(A92,2),"Segunda","Terça","Quarta","Quinta","Sexta","Sábado","Domingo"))</f>
        <v>Quarta</v>
      </c>
      <c r="O92" s="26" t="str">
        <f>IF(B92="","",IF(B92&lt;TIME(12,0,0),"Manhã",IF(B92&lt;TIME(18,0,0),"Tarde","Noite")))</f>
        <v>Tarde</v>
      </c>
      <c r="P92" s="32">
        <f>IF(G92="","",IFERROR(INDEX(Config!$I$5:$I$16,MATCH(G92,Config!$H$5:$H$16,0)),0))</f>
        <v>0</v>
      </c>
      <c r="Q92" s="30">
        <f>IF(OR(H92&lt;&gt;"Realizado",P92="",P92=0),"",A92+P92)</f>
        <v/>
      </c>
      <c r="R92" s="26">
        <f>IF(Q92="","",IF(COUNTIFS($E$5:$E$3004,E92,$A$5:$A$3004,"&gt;"&amp;A92,$H$5:$H$3004,"&lt;&gt;Falta",$H$5:$H$3004,"&lt;&gt;Cancelado",$H$5:$H$3004,"&lt;&gt;Remarcado")&gt;0,"Sim","Não"))</f>
        <v/>
      </c>
      <c r="S92" s="32">
        <f>IF(R92&lt;&gt;"Não","",IF(Q92+Config!$B$9&lt;=Config!$B$8,Config!$B$8-Q92,""))</f>
        <v/>
      </c>
      <c r="T92" s="26">
        <f>IF(S92="","","Sim")</f>
        <v/>
      </c>
      <c r="U92" s="41">
        <f>IF(T92="Sim",S92+ROW()/100000,0)</f>
        <v>0</v>
      </c>
      <c r="V92" s="41">
        <f>IF(AND(H92="Falta",L92=Config!$B$7,M92=Config!$B$5,COUNTIFS($E$5:E92,E92,$H$5:H92,"Falta",$L$5:L92,Config!$B$7,$M$5:M92,Config!$B$5)=1),COUNTIFS($E$5:$E$3004,E92,$H$5:$H$3004,"Falta",$L$5:$L$3004,Config!$B$7,$M$5:$M$3004,Config!$B$5)*1000-ROW()/100000,0)</f>
        <v>0</v>
      </c>
    </row>
    <row r="93">
      <c r="A93" s="39" t="n">
        <v>46183</v>
      </c>
      <c r="B93" s="40" t="n">
        <v>0.5972222222222222</v>
      </c>
      <c r="C93" s="35" t="inlineStr">
        <is>
          <t>Dra. Carolina Mendes</t>
        </is>
      </c>
      <c r="D93" s="35" t="inlineStr">
        <is>
          <t>Sala 1</t>
        </is>
      </c>
      <c r="E93" s="34" t="inlineStr">
        <is>
          <t>Débora Machado</t>
        </is>
      </c>
      <c r="F93" s="35" t="inlineStr">
        <is>
          <t>Saúde Total</t>
        </is>
      </c>
      <c r="G93" s="35" t="inlineStr">
        <is>
          <t>Consulta</t>
        </is>
      </c>
      <c r="H93" s="35" t="inlineStr">
        <is>
          <t>Realizado</t>
        </is>
      </c>
      <c r="I93" s="35" t="inlineStr">
        <is>
          <t>Convênio</t>
        </is>
      </c>
      <c r="J93" s="35" t="n"/>
      <c r="K93" s="34" t="n"/>
      <c r="L93" s="26">
        <f>IF(A93="","",MONTH(A93))</f>
        <v>6</v>
      </c>
      <c r="M93" s="26">
        <f>IF(A93="","",YEAR(A93))</f>
        <v>2026</v>
      </c>
      <c r="N93" s="26" t="str">
        <f>IF(A93="","",CHOOSE(WEEKDAY(A93,2),"Segunda","Terça","Quarta","Quinta","Sexta","Sábado","Domingo"))</f>
        <v>Quarta</v>
      </c>
      <c r="O93" s="26" t="str">
        <f>IF(B93="","",IF(B93&lt;TIME(12,0,0),"Manhã",IF(B93&lt;TIME(18,0,0),"Tarde","Noite")))</f>
        <v>Tarde</v>
      </c>
      <c r="P93" s="32">
        <f>IF(G93="","",IFERROR(INDEX(Config!$I$5:$I$16,MATCH(G93,Config!$H$5:$H$16,0)),0))</f>
        <v>30</v>
      </c>
      <c r="Q93" s="30">
        <f>IF(OR(H93&lt;&gt;"Realizado",P93="",P93=0),"",A93+P93)</f>
        <v>46213.0</v>
      </c>
      <c r="R93" s="26" t="str">
        <f>IF(Q93="","",IF(COUNTIFS($E$5:$E$3004,E93,$A$5:$A$3004,"&gt;"&amp;A93,$H$5:$H$3004,"&lt;&gt;Falta",$H$5:$H$3004,"&lt;&gt;Cancelado",$H$5:$H$3004,"&lt;&gt;Remarcado")&gt;0,"Sim","Não"))</f>
        <v>Sim</v>
      </c>
      <c r="S93" s="32">
        <f>IF(R93&lt;&gt;"Não","",IF(Q93+Config!$B$9&lt;=Config!$B$8,Config!$B$8-Q93,""))</f>
        <v/>
      </c>
      <c r="T93" s="26">
        <f>IF(S93="","","Sim")</f>
        <v/>
      </c>
      <c r="U93" s="41">
        <f>IF(T93="Sim",S93+ROW()/100000,0)</f>
        <v>0</v>
      </c>
      <c r="V93" s="41">
        <f>IF(AND(H93="Falta",L93=Config!$B$7,M93=Config!$B$5,COUNTIFS($E$5:E93,E93,$H$5:H93,"Falta",$L$5:L93,Config!$B$7,$M$5:M93,Config!$B$5)=1),COUNTIFS($E$5:$E$3004,E93,$H$5:$H$3004,"Falta",$L$5:$L$3004,Config!$B$7,$M$5:$M$3004,Config!$B$5)*1000-ROW()/100000,0)</f>
        <v>0</v>
      </c>
    </row>
    <row r="94">
      <c r="A94" s="39" t="n">
        <v>46183</v>
      </c>
      <c r="B94" s="40" t="n">
        <v>0.6180555555555556</v>
      </c>
      <c r="C94" s="35" t="inlineStr">
        <is>
          <t>Dra. Carolina Mendes</t>
        </is>
      </c>
      <c r="D94" s="35" t="inlineStr">
        <is>
          <t>Sala 1</t>
        </is>
      </c>
      <c r="E94" s="34" t="inlineStr">
        <is>
          <t>Elaine Cardoso</t>
        </is>
      </c>
      <c r="F94" s="35" t="inlineStr">
        <is>
          <t>Particular</t>
        </is>
      </c>
      <c r="G94" s="35" t="inlineStr">
        <is>
          <t>Consulta</t>
        </is>
      </c>
      <c r="H94" s="35" t="inlineStr">
        <is>
          <t>Falta</t>
        </is>
      </c>
      <c r="I94" s="35" t="n"/>
      <c r="J94" s="35" t="n"/>
      <c r="K94" s="34" t="n"/>
      <c r="L94" s="26">
        <f>IF(A94="","",MONTH(A94))</f>
        <v>6</v>
      </c>
      <c r="M94" s="26">
        <f>IF(A94="","",YEAR(A94))</f>
        <v>2026</v>
      </c>
      <c r="N94" s="26" t="str">
        <f>IF(A94="","",CHOOSE(WEEKDAY(A94,2),"Segunda","Terça","Quarta","Quinta","Sexta","Sábado","Domingo"))</f>
        <v>Quarta</v>
      </c>
      <c r="O94" s="26" t="str">
        <f>IF(B94="","",IF(B94&lt;TIME(12,0,0),"Manhã",IF(B94&lt;TIME(18,0,0),"Tarde","Noite")))</f>
        <v>Tarde</v>
      </c>
      <c r="P94" s="32">
        <f>IF(G94="","",IFERROR(INDEX(Config!$I$5:$I$16,MATCH(G94,Config!$H$5:$H$16,0)),0))</f>
        <v>30</v>
      </c>
      <c r="Q94" s="30">
        <f>IF(OR(H94&lt;&gt;"Realizado",P94="",P94=0),"",A94+P94)</f>
        <v/>
      </c>
      <c r="R94" s="26">
        <f>IF(Q94="","",IF(COUNTIFS($E$5:$E$3004,E94,$A$5:$A$3004,"&gt;"&amp;A94,$H$5:$H$3004,"&lt;&gt;Falta",$H$5:$H$3004,"&lt;&gt;Cancelado",$H$5:$H$3004,"&lt;&gt;Remarcado")&gt;0,"Sim","Não"))</f>
        <v/>
      </c>
      <c r="S94" s="32">
        <f>IF(R94&lt;&gt;"Não","",IF(Q94+Config!$B$9&lt;=Config!$B$8,Config!$B$8-Q94,""))</f>
        <v/>
      </c>
      <c r="T94" s="26">
        <f>IF(S94="","","Sim")</f>
        <v/>
      </c>
      <c r="U94" s="41">
        <f>IF(T94="Sim",S94+ROW()/100000,0)</f>
        <v>0</v>
      </c>
      <c r="V94" s="41">
        <f>IF(AND(H94="Falta",L94=Config!$B$7,M94=Config!$B$5,COUNTIFS($E$5:E94,E94,$H$5:H94,"Falta",$L$5:L94,Config!$B$7,$M$5:M94,Config!$B$5)=1),COUNTIFS($E$5:$E$3004,E94,$H$5:$H$3004,"Falta",$L$5:$L$3004,Config!$B$7,$M$5:$M$3004,Config!$B$5)*1000-ROW()/100000,0)</f>
        <v>0</v>
      </c>
    </row>
    <row r="95">
      <c r="A95" s="39" t="n">
        <v>46183</v>
      </c>
      <c r="B95" s="40" t="n">
        <v>0.6597222222222222</v>
      </c>
      <c r="C95" s="35" t="inlineStr">
        <is>
          <t>Dra. Carolina Mendes</t>
        </is>
      </c>
      <c r="D95" s="35" t="inlineStr">
        <is>
          <t>Sala 1</t>
        </is>
      </c>
      <c r="E95" s="34" t="inlineStr">
        <is>
          <t>Patrícia Fernandes</t>
        </is>
      </c>
      <c r="F95" s="35" t="inlineStr">
        <is>
          <t>Particular</t>
        </is>
      </c>
      <c r="G95" s="35" t="inlineStr">
        <is>
          <t>Retorno</t>
        </is>
      </c>
      <c r="H95" s="35" t="inlineStr">
        <is>
          <t>Realizado</t>
        </is>
      </c>
      <c r="I95" s="35" t="inlineStr">
        <is>
          <t>Sem cobrança</t>
        </is>
      </c>
      <c r="J95" s="35" t="n"/>
      <c r="K95" s="34" t="n"/>
      <c r="L95" s="26">
        <f>IF(A95="","",MONTH(A95))</f>
        <v>6</v>
      </c>
      <c r="M95" s="26">
        <f>IF(A95="","",YEAR(A95))</f>
        <v>2026</v>
      </c>
      <c r="N95" s="26" t="str">
        <f>IF(A95="","",CHOOSE(WEEKDAY(A95,2),"Segunda","Terça","Quarta","Quinta","Sexta","Sábado","Domingo"))</f>
        <v>Quarta</v>
      </c>
      <c r="O95" s="26" t="str">
        <f>IF(B95="","",IF(B95&lt;TIME(12,0,0),"Manhã",IF(B95&lt;TIME(18,0,0),"Tarde","Noite")))</f>
        <v>Tarde</v>
      </c>
      <c r="P95" s="32">
        <f>IF(G95="","",IFERROR(INDEX(Config!$I$5:$I$16,MATCH(G95,Config!$H$5:$H$16,0)),0))</f>
        <v>0</v>
      </c>
      <c r="Q95" s="30">
        <f>IF(OR(H95&lt;&gt;"Realizado",P95="",P95=0),"",A95+P95)</f>
        <v/>
      </c>
      <c r="R95" s="26">
        <f>IF(Q95="","",IF(COUNTIFS($E$5:$E$3004,E95,$A$5:$A$3004,"&gt;"&amp;A95,$H$5:$H$3004,"&lt;&gt;Falta",$H$5:$H$3004,"&lt;&gt;Cancelado",$H$5:$H$3004,"&lt;&gt;Remarcado")&gt;0,"Sim","Não"))</f>
        <v/>
      </c>
      <c r="S95" s="32">
        <f>IF(R95&lt;&gt;"Não","",IF(Q95+Config!$B$9&lt;=Config!$B$8,Config!$B$8-Q95,""))</f>
        <v/>
      </c>
      <c r="T95" s="26">
        <f>IF(S95="","","Sim")</f>
        <v/>
      </c>
      <c r="U95" s="41">
        <f>IF(T95="Sim",S95+ROW()/100000,0)</f>
        <v>0</v>
      </c>
      <c r="V95" s="41">
        <f>IF(AND(H95="Falta",L95=Config!$B$7,M95=Config!$B$5,COUNTIFS($E$5:E95,E95,$H$5:H95,"Falta",$L$5:L95,Config!$B$7,$M$5:M95,Config!$B$5)=1),COUNTIFS($E$5:$E$3004,E95,$H$5:$H$3004,"Falta",$L$5:$L$3004,Config!$B$7,$M$5:$M$3004,Config!$B$5)*1000-ROW()/100000,0)</f>
        <v>0</v>
      </c>
    </row>
    <row r="96">
      <c r="A96" s="39" t="n">
        <v>46183</v>
      </c>
      <c r="B96" s="40" t="n">
        <v>0.6736111111111112</v>
      </c>
      <c r="C96" s="35" t="inlineStr">
        <is>
          <t>Dra. Carolina Mendes</t>
        </is>
      </c>
      <c r="D96" s="35" t="inlineStr">
        <is>
          <t>Sala 1</t>
        </is>
      </c>
      <c r="E96" s="34" t="inlineStr">
        <is>
          <t>Viviane Ribeiro</t>
        </is>
      </c>
      <c r="F96" s="35" t="inlineStr">
        <is>
          <t>Particular</t>
        </is>
      </c>
      <c r="G96" s="35" t="inlineStr">
        <is>
          <t>Retorno</t>
        </is>
      </c>
      <c r="H96" s="35" t="inlineStr">
        <is>
          <t>Realizado</t>
        </is>
      </c>
      <c r="I96" s="35" t="inlineStr">
        <is>
          <t>Sem cobrança</t>
        </is>
      </c>
      <c r="J96" s="35" t="n"/>
      <c r="K96" s="34" t="n"/>
      <c r="L96" s="26">
        <f>IF(A96="","",MONTH(A96))</f>
        <v>6</v>
      </c>
      <c r="M96" s="26">
        <f>IF(A96="","",YEAR(A96))</f>
        <v>2026</v>
      </c>
      <c r="N96" s="26" t="str">
        <f>IF(A96="","",CHOOSE(WEEKDAY(A96,2),"Segunda","Terça","Quarta","Quinta","Sexta","Sábado","Domingo"))</f>
        <v>Quarta</v>
      </c>
      <c r="O96" s="26" t="str">
        <f>IF(B96="","",IF(B96&lt;TIME(12,0,0),"Manhã",IF(B96&lt;TIME(18,0,0),"Tarde","Noite")))</f>
        <v>Tarde</v>
      </c>
      <c r="P96" s="32">
        <f>IF(G96="","",IFERROR(INDEX(Config!$I$5:$I$16,MATCH(G96,Config!$H$5:$H$16,0)),0))</f>
        <v>0</v>
      </c>
      <c r="Q96" s="30">
        <f>IF(OR(H96&lt;&gt;"Realizado",P96="",P96=0),"",A96+P96)</f>
        <v/>
      </c>
      <c r="R96" s="26">
        <f>IF(Q96="","",IF(COUNTIFS($E$5:$E$3004,E96,$A$5:$A$3004,"&gt;"&amp;A96,$H$5:$H$3004,"&lt;&gt;Falta",$H$5:$H$3004,"&lt;&gt;Cancelado",$H$5:$H$3004,"&lt;&gt;Remarcado")&gt;0,"Sim","Não"))</f>
        <v/>
      </c>
      <c r="S96" s="32">
        <f>IF(R96&lt;&gt;"Não","",IF(Q96+Config!$B$9&lt;=Config!$B$8,Config!$B$8-Q96,""))</f>
        <v/>
      </c>
      <c r="T96" s="26">
        <f>IF(S96="","","Sim")</f>
        <v/>
      </c>
      <c r="U96" s="41">
        <f>IF(T96="Sim",S96+ROW()/100000,0)</f>
        <v>0</v>
      </c>
      <c r="V96" s="41">
        <f>IF(AND(H96="Falta",L96=Config!$B$7,M96=Config!$B$5,COUNTIFS($E$5:E96,E96,$H$5:H96,"Falta",$L$5:L96,Config!$B$7,$M$5:M96,Config!$B$5)=1),COUNTIFS($E$5:$E$3004,E96,$H$5:$H$3004,"Falta",$L$5:$L$3004,Config!$B$7,$M$5:$M$3004,Config!$B$5)*1000-ROW()/100000,0)</f>
        <v>0</v>
      </c>
    </row>
    <row r="97">
      <c r="A97" s="39" t="n">
        <v>46183</v>
      </c>
      <c r="B97" s="40" t="n">
        <v>0.6875</v>
      </c>
      <c r="C97" s="35" t="inlineStr">
        <is>
          <t>Dra. Carolina Mendes</t>
        </is>
      </c>
      <c r="D97" s="35" t="inlineStr">
        <is>
          <t>Sala 1</t>
        </is>
      </c>
      <c r="E97" s="34" t="inlineStr">
        <is>
          <t>Carlos Castro</t>
        </is>
      </c>
      <c r="F97" s="35" t="inlineStr">
        <is>
          <t>Saúde Total</t>
        </is>
      </c>
      <c r="G97" s="35" t="inlineStr">
        <is>
          <t>Consulta</t>
        </is>
      </c>
      <c r="H97" s="35" t="inlineStr">
        <is>
          <t>Cancelado</t>
        </is>
      </c>
      <c r="I97" s="35" t="n"/>
      <c r="J97" s="35" t="n"/>
      <c r="K97" s="34" t="n"/>
      <c r="L97" s="26">
        <f>IF(A97="","",MONTH(A97))</f>
        <v>6</v>
      </c>
      <c r="M97" s="26">
        <f>IF(A97="","",YEAR(A97))</f>
        <v>2026</v>
      </c>
      <c r="N97" s="26" t="str">
        <f>IF(A97="","",CHOOSE(WEEKDAY(A97,2),"Segunda","Terça","Quarta","Quinta","Sexta","Sábado","Domingo"))</f>
        <v>Quarta</v>
      </c>
      <c r="O97" s="26" t="str">
        <f>IF(B97="","",IF(B97&lt;TIME(12,0,0),"Manhã",IF(B97&lt;TIME(18,0,0),"Tarde","Noite")))</f>
        <v>Tarde</v>
      </c>
      <c r="P97" s="32">
        <f>IF(G97="","",IFERROR(INDEX(Config!$I$5:$I$16,MATCH(G97,Config!$H$5:$H$16,0)),0))</f>
        <v>30</v>
      </c>
      <c r="Q97" s="30">
        <f>IF(OR(H97&lt;&gt;"Realizado",P97="",P97=0),"",A97+P97)</f>
        <v/>
      </c>
      <c r="R97" s="26">
        <f>IF(Q97="","",IF(COUNTIFS($E$5:$E$3004,E97,$A$5:$A$3004,"&gt;"&amp;A97,$H$5:$H$3004,"&lt;&gt;Falta",$H$5:$H$3004,"&lt;&gt;Cancelado",$H$5:$H$3004,"&lt;&gt;Remarcado")&gt;0,"Sim","Não"))</f>
        <v/>
      </c>
      <c r="S97" s="32">
        <f>IF(R97&lt;&gt;"Não","",IF(Q97+Config!$B$9&lt;=Config!$B$8,Config!$B$8-Q97,""))</f>
        <v/>
      </c>
      <c r="T97" s="26">
        <f>IF(S97="","","Sim")</f>
        <v/>
      </c>
      <c r="U97" s="41">
        <f>IF(T97="Sim",S97+ROW()/100000,0)</f>
        <v>0</v>
      </c>
      <c r="V97" s="41">
        <f>IF(AND(H97="Falta",L97=Config!$B$7,M97=Config!$B$5,COUNTIFS($E$5:E97,E97,$H$5:H97,"Falta",$L$5:L97,Config!$B$7,$M$5:M97,Config!$B$5)=1),COUNTIFS($E$5:$E$3004,E97,$H$5:$H$3004,"Falta",$L$5:$L$3004,Config!$B$7,$M$5:$M$3004,Config!$B$5)*1000-ROW()/100000,0)</f>
        <v>0</v>
      </c>
    </row>
    <row r="98">
      <c r="A98" s="39" t="n">
        <v>46183</v>
      </c>
      <c r="B98" s="40" t="n">
        <v>0.7083333333333334</v>
      </c>
      <c r="C98" s="35" t="inlineStr">
        <is>
          <t>Dra. Carolina Mendes</t>
        </is>
      </c>
      <c r="D98" s="35" t="inlineStr">
        <is>
          <t>Sala 1</t>
        </is>
      </c>
      <c r="E98" s="34" t="inlineStr">
        <is>
          <t>Lucas Lopes</t>
        </is>
      </c>
      <c r="F98" s="35" t="inlineStr">
        <is>
          <t>Particular</t>
        </is>
      </c>
      <c r="G98" s="35" t="inlineStr">
        <is>
          <t>Consulta</t>
        </is>
      </c>
      <c r="H98" s="35" t="inlineStr">
        <is>
          <t>Realizado</t>
        </is>
      </c>
      <c r="I98" s="35" t="inlineStr">
        <is>
          <t>Pix</t>
        </is>
      </c>
      <c r="J98" s="35" t="n"/>
      <c r="K98" s="34" t="n"/>
      <c r="L98" s="26">
        <f>IF(A98="","",MONTH(A98))</f>
        <v>6</v>
      </c>
      <c r="M98" s="26">
        <f>IF(A98="","",YEAR(A98))</f>
        <v>2026</v>
      </c>
      <c r="N98" s="26" t="str">
        <f>IF(A98="","",CHOOSE(WEEKDAY(A98,2),"Segunda","Terça","Quarta","Quinta","Sexta","Sábado","Domingo"))</f>
        <v>Quarta</v>
      </c>
      <c r="O98" s="26" t="str">
        <f>IF(B98="","",IF(B98&lt;TIME(12,0,0),"Manhã",IF(B98&lt;TIME(18,0,0),"Tarde","Noite")))</f>
        <v>Tarde</v>
      </c>
      <c r="P98" s="32">
        <f>IF(G98="","",IFERROR(INDEX(Config!$I$5:$I$16,MATCH(G98,Config!$H$5:$H$16,0)),0))</f>
        <v>30</v>
      </c>
      <c r="Q98" s="30">
        <f>IF(OR(H98&lt;&gt;"Realizado",P98="",P98=0),"",A98+P98)</f>
        <v>46213.0</v>
      </c>
      <c r="R98" s="26" t="str">
        <f>IF(Q98="","",IF(COUNTIFS($E$5:$E$3004,E98,$A$5:$A$3004,"&gt;"&amp;A98,$H$5:$H$3004,"&lt;&gt;Falta",$H$5:$H$3004,"&lt;&gt;Cancelado",$H$5:$H$3004,"&lt;&gt;Remarcado")&gt;0,"Sim","Não"))</f>
        <v>Sim</v>
      </c>
      <c r="S98" s="32">
        <f>IF(R98&lt;&gt;"Não","",IF(Q98+Config!$B$9&lt;=Config!$B$8,Config!$B$8-Q98,""))</f>
        <v/>
      </c>
      <c r="T98" s="26">
        <f>IF(S98="","","Sim")</f>
        <v/>
      </c>
      <c r="U98" s="41">
        <f>IF(T98="Sim",S98+ROW()/100000,0)</f>
        <v>0</v>
      </c>
      <c r="V98" s="41">
        <f>IF(AND(H98="Falta",L98=Config!$B$7,M98=Config!$B$5,COUNTIFS($E$5:E98,E98,$H$5:H98,"Falta",$L$5:L98,Config!$B$7,$M$5:M98,Config!$B$5)=1),COUNTIFS($E$5:$E$3004,E98,$H$5:$H$3004,"Falta",$L$5:$L$3004,Config!$B$7,$M$5:$M$3004,Config!$B$5)*1000-ROW()/100000,0)</f>
        <v>0</v>
      </c>
    </row>
    <row r="99">
      <c r="A99" s="39" t="n">
        <v>46183</v>
      </c>
      <c r="B99" s="40" t="n">
        <v>0.7291666666666666</v>
      </c>
      <c r="C99" s="35" t="inlineStr">
        <is>
          <t>Dra. Carolina Mendes</t>
        </is>
      </c>
      <c r="D99" s="35" t="inlineStr">
        <is>
          <t>Sala 1</t>
        </is>
      </c>
      <c r="E99" s="34" t="inlineStr">
        <is>
          <t>Regina Teixeira</t>
        </is>
      </c>
      <c r="F99" s="35" t="inlineStr">
        <is>
          <t>Particular</t>
        </is>
      </c>
      <c r="G99" s="35" t="inlineStr">
        <is>
          <t>Consulta</t>
        </is>
      </c>
      <c r="H99" s="35" t="inlineStr">
        <is>
          <t>Realizado</t>
        </is>
      </c>
      <c r="I99" s="35" t="inlineStr">
        <is>
          <t>A prazo</t>
        </is>
      </c>
      <c r="J99" s="35" t="n"/>
      <c r="K99" s="34" t="n"/>
      <c r="L99" s="26">
        <f>IF(A99="","",MONTH(A99))</f>
        <v>6</v>
      </c>
      <c r="M99" s="26">
        <f>IF(A99="","",YEAR(A99))</f>
        <v>2026</v>
      </c>
      <c r="N99" s="26" t="str">
        <f>IF(A99="","",CHOOSE(WEEKDAY(A99,2),"Segunda","Terça","Quarta","Quinta","Sexta","Sábado","Domingo"))</f>
        <v>Quarta</v>
      </c>
      <c r="O99" s="26" t="str">
        <f>IF(B99="","",IF(B99&lt;TIME(12,0,0),"Manhã",IF(B99&lt;TIME(18,0,0),"Tarde","Noite")))</f>
        <v>Tarde</v>
      </c>
      <c r="P99" s="32">
        <f>IF(G99="","",IFERROR(INDEX(Config!$I$5:$I$16,MATCH(G99,Config!$H$5:$H$16,0)),0))</f>
        <v>30</v>
      </c>
      <c r="Q99" s="30">
        <f>IF(OR(H99&lt;&gt;"Realizado",P99="",P99=0),"",A99+P99)</f>
        <v>46213.0</v>
      </c>
      <c r="R99" s="26" t="str">
        <f>IF(Q99="","",IF(COUNTIFS($E$5:$E$3004,E99,$A$5:$A$3004,"&gt;"&amp;A99,$H$5:$H$3004,"&lt;&gt;Falta",$H$5:$H$3004,"&lt;&gt;Cancelado",$H$5:$H$3004,"&lt;&gt;Remarcado")&gt;0,"Sim","Não"))</f>
        <v>Sim</v>
      </c>
      <c r="S99" s="32">
        <f>IF(R99&lt;&gt;"Não","",IF(Q99+Config!$B$9&lt;=Config!$B$8,Config!$B$8-Q99,""))</f>
        <v/>
      </c>
      <c r="T99" s="26">
        <f>IF(S99="","","Sim")</f>
        <v/>
      </c>
      <c r="U99" s="41">
        <f>IF(T99="Sim",S99+ROW()/100000,0)</f>
        <v>0</v>
      </c>
      <c r="V99" s="41">
        <f>IF(AND(H99="Falta",L99=Config!$B$7,M99=Config!$B$5,COUNTIFS($E$5:E99,E99,$H$5:H99,"Falta",$L$5:L99,Config!$B$7,$M$5:M99,Config!$B$5)=1),COUNTIFS($E$5:$E$3004,E99,$H$5:$H$3004,"Falta",$L$5:$L$3004,Config!$B$7,$M$5:$M$3004,Config!$B$5)*1000-ROW()/100000,0)</f>
        <v>0</v>
      </c>
    </row>
    <row r="100">
      <c r="A100" s="39" t="n">
        <v>46184</v>
      </c>
      <c r="B100" s="40" t="n">
        <v>0.3333333333333333</v>
      </c>
      <c r="C100" s="35" t="inlineStr">
        <is>
          <t>Dra. Carolina Mendes</t>
        </is>
      </c>
      <c r="D100" s="35" t="inlineStr">
        <is>
          <t>Sala 1</t>
        </is>
      </c>
      <c r="E100" s="34" t="inlineStr">
        <is>
          <t>Daniel Melo</t>
        </is>
      </c>
      <c r="F100" s="35" t="inlineStr">
        <is>
          <t>Saúde Total</t>
        </is>
      </c>
      <c r="G100" s="35" t="inlineStr">
        <is>
          <t>Retorno</t>
        </is>
      </c>
      <c r="H100" s="35" t="inlineStr">
        <is>
          <t>Falta</t>
        </is>
      </c>
      <c r="I100" s="35" t="n"/>
      <c r="J100" s="35" t="n"/>
      <c r="K100" s="34" t="n"/>
      <c r="L100" s="26">
        <f>IF(A100="","",MONTH(A100))</f>
        <v>6</v>
      </c>
      <c r="M100" s="26">
        <f>IF(A100="","",YEAR(A100))</f>
        <v>2026</v>
      </c>
      <c r="N100" s="26" t="str">
        <f>IF(A100="","",CHOOSE(WEEKDAY(A100,2),"Segunda","Terça","Quarta","Quinta","Sexta","Sábado","Domingo"))</f>
        <v>Quinta</v>
      </c>
      <c r="O100" s="26" t="str">
        <f>IF(B100="","",IF(B100&lt;TIME(12,0,0),"Manhã",IF(B100&lt;TIME(18,0,0),"Tarde","Noite")))</f>
        <v>Manhã</v>
      </c>
      <c r="P100" s="32">
        <f>IF(G100="","",IFERROR(INDEX(Config!$I$5:$I$16,MATCH(G100,Config!$H$5:$H$16,0)),0))</f>
        <v>0</v>
      </c>
      <c r="Q100" s="30">
        <f>IF(OR(H100&lt;&gt;"Realizado",P100="",P100=0),"",A100+P100)</f>
        <v/>
      </c>
      <c r="R100" s="26">
        <f>IF(Q100="","",IF(COUNTIFS($E$5:$E$3004,E100,$A$5:$A$3004,"&gt;"&amp;A100,$H$5:$H$3004,"&lt;&gt;Falta",$H$5:$H$3004,"&lt;&gt;Cancelado",$H$5:$H$3004,"&lt;&gt;Remarcado")&gt;0,"Sim","Não"))</f>
        <v/>
      </c>
      <c r="S100" s="32">
        <f>IF(R100&lt;&gt;"Não","",IF(Q100+Config!$B$9&lt;=Config!$B$8,Config!$B$8-Q100,""))</f>
        <v/>
      </c>
      <c r="T100" s="26">
        <f>IF(S100="","","Sim")</f>
        <v/>
      </c>
      <c r="U100" s="41">
        <f>IF(T100="Sim",S100+ROW()/100000,0)</f>
        <v>0</v>
      </c>
      <c r="V100" s="41">
        <f>IF(AND(H100="Falta",L100=Config!$B$7,M100=Config!$B$5,COUNTIFS($E$5:E100,E100,$H$5:H100,"Falta",$L$5:L100,Config!$B$7,$M$5:M100,Config!$B$5)=1),COUNTIFS($E$5:$E$3004,E100,$H$5:$H$3004,"Falta",$L$5:$L$3004,Config!$B$7,$M$5:$M$3004,Config!$B$5)*1000-ROW()/100000,0)</f>
        <v>0</v>
      </c>
    </row>
    <row r="101">
      <c r="A101" s="39" t="n">
        <v>46184</v>
      </c>
      <c r="B101" s="40" t="n">
        <v>0.3680555555555556</v>
      </c>
      <c r="C101" s="35" t="inlineStr">
        <is>
          <t>Dra. Carolina Mendes</t>
        </is>
      </c>
      <c r="D101" s="35" t="inlineStr">
        <is>
          <t>Sala 1</t>
        </is>
      </c>
      <c r="E101" s="34" t="inlineStr">
        <is>
          <t>Elaine Cardoso</t>
        </is>
      </c>
      <c r="F101" s="35" t="inlineStr">
        <is>
          <t>Particular</t>
        </is>
      </c>
      <c r="G101" s="35" t="inlineStr">
        <is>
          <t>Consulta</t>
        </is>
      </c>
      <c r="H101" s="35" t="inlineStr">
        <is>
          <t>Realizado</t>
        </is>
      </c>
      <c r="I101" s="35" t="inlineStr">
        <is>
          <t>Pix</t>
        </is>
      </c>
      <c r="J101" s="35" t="n"/>
      <c r="K101" s="34" t="n"/>
      <c r="L101" s="26">
        <f>IF(A101="","",MONTH(A101))</f>
        <v>6</v>
      </c>
      <c r="M101" s="26">
        <f>IF(A101="","",YEAR(A101))</f>
        <v>2026</v>
      </c>
      <c r="N101" s="26" t="str">
        <f>IF(A101="","",CHOOSE(WEEKDAY(A101,2),"Segunda","Terça","Quarta","Quinta","Sexta","Sábado","Domingo"))</f>
        <v>Quinta</v>
      </c>
      <c r="O101" s="26" t="str">
        <f>IF(B101="","",IF(B101&lt;TIME(12,0,0),"Manhã",IF(B101&lt;TIME(18,0,0),"Tarde","Noite")))</f>
        <v>Manhã</v>
      </c>
      <c r="P101" s="32">
        <f>IF(G101="","",IFERROR(INDEX(Config!$I$5:$I$16,MATCH(G101,Config!$H$5:$H$16,0)),0))</f>
        <v>30</v>
      </c>
      <c r="Q101" s="30">
        <f>IF(OR(H101&lt;&gt;"Realizado",P101="",P101=0),"",A101+P101)</f>
        <v>46214.0</v>
      </c>
      <c r="R101" s="26" t="str">
        <f>IF(Q101="","",IF(COUNTIFS($E$5:$E$3004,E101,$A$5:$A$3004,"&gt;"&amp;A101,$H$5:$H$3004,"&lt;&gt;Falta",$H$5:$H$3004,"&lt;&gt;Cancelado",$H$5:$H$3004,"&lt;&gt;Remarcado")&gt;0,"Sim","Não"))</f>
        <v>Sim</v>
      </c>
      <c r="S101" s="32">
        <f>IF(R101&lt;&gt;"Não","",IF(Q101+Config!$B$9&lt;=Config!$B$8,Config!$B$8-Q101,""))</f>
        <v/>
      </c>
      <c r="T101" s="26">
        <f>IF(S101="","","Sim")</f>
        <v/>
      </c>
      <c r="U101" s="41">
        <f>IF(T101="Sim",S101+ROW()/100000,0)</f>
        <v>0</v>
      </c>
      <c r="V101" s="41">
        <f>IF(AND(H101="Falta",L101=Config!$B$7,M101=Config!$B$5,COUNTIFS($E$5:E101,E101,$H$5:H101,"Falta",$L$5:L101,Config!$B$7,$M$5:M101,Config!$B$5)=1),COUNTIFS($E$5:$E$3004,E101,$H$5:$H$3004,"Falta",$L$5:$L$3004,Config!$B$7,$M$5:$M$3004,Config!$B$5)*1000-ROW()/100000,0)</f>
        <v>0</v>
      </c>
    </row>
    <row r="102">
      <c r="A102" s="39" t="n">
        <v>46184</v>
      </c>
      <c r="B102" s="40" t="n">
        <v>0.3888888888888889</v>
      </c>
      <c r="C102" s="35" t="inlineStr">
        <is>
          <t>Dra. Carolina Mendes</t>
        </is>
      </c>
      <c r="D102" s="35" t="inlineStr">
        <is>
          <t>Sala 1</t>
        </is>
      </c>
      <c r="E102" s="34" t="inlineStr">
        <is>
          <t>Gustavo Ferreira</t>
        </is>
      </c>
      <c r="F102" s="35" t="inlineStr">
        <is>
          <t>Particular</t>
        </is>
      </c>
      <c r="G102" s="35" t="inlineStr">
        <is>
          <t>Consulta</t>
        </is>
      </c>
      <c r="H102" s="35" t="inlineStr">
        <is>
          <t>Realizado</t>
        </is>
      </c>
      <c r="I102" s="35" t="inlineStr">
        <is>
          <t>Dinheiro</t>
        </is>
      </c>
      <c r="J102" s="35" t="n"/>
      <c r="K102" s="34" t="n"/>
      <c r="L102" s="26">
        <f>IF(A102="","",MONTH(A102))</f>
        <v>6</v>
      </c>
      <c r="M102" s="26">
        <f>IF(A102="","",YEAR(A102))</f>
        <v>2026</v>
      </c>
      <c r="N102" s="26" t="str">
        <f>IF(A102="","",CHOOSE(WEEKDAY(A102,2),"Segunda","Terça","Quarta","Quinta","Sexta","Sábado","Domingo"))</f>
        <v>Quinta</v>
      </c>
      <c r="O102" s="26" t="str">
        <f>IF(B102="","",IF(B102&lt;TIME(12,0,0),"Manhã",IF(B102&lt;TIME(18,0,0),"Tarde","Noite")))</f>
        <v>Manhã</v>
      </c>
      <c r="P102" s="32">
        <f>IF(G102="","",IFERROR(INDEX(Config!$I$5:$I$16,MATCH(G102,Config!$H$5:$H$16,0)),0))</f>
        <v>30</v>
      </c>
      <c r="Q102" s="30">
        <f>IF(OR(H102&lt;&gt;"Realizado",P102="",P102=0),"",A102+P102)</f>
        <v>46214.0</v>
      </c>
      <c r="R102" s="26" t="str">
        <f>IF(Q102="","",IF(COUNTIFS($E$5:$E$3004,E102,$A$5:$A$3004,"&gt;"&amp;A102,$H$5:$H$3004,"&lt;&gt;Falta",$H$5:$H$3004,"&lt;&gt;Cancelado",$H$5:$H$3004,"&lt;&gt;Remarcado")&gt;0,"Sim","Não"))</f>
        <v>Sim</v>
      </c>
      <c r="S102" s="32">
        <f>IF(R102&lt;&gt;"Não","",IF(Q102+Config!$B$9&lt;=Config!$B$8,Config!$B$8-Q102,""))</f>
        <v/>
      </c>
      <c r="T102" s="26">
        <f>IF(S102="","","Sim")</f>
        <v/>
      </c>
      <c r="U102" s="41">
        <f>IF(T102="Sim",S102+ROW()/100000,0)</f>
        <v>0</v>
      </c>
      <c r="V102" s="41">
        <f>IF(AND(H102="Falta",L102=Config!$B$7,M102=Config!$B$5,COUNTIFS($E$5:E102,E102,$H$5:H102,"Falta",$L$5:L102,Config!$B$7,$M$5:M102,Config!$B$5)=1),COUNTIFS($E$5:$E$3004,E102,$H$5:$H$3004,"Falta",$L$5:$L$3004,Config!$B$7,$M$5:$M$3004,Config!$B$5)*1000-ROW()/100000,0)</f>
        <v>0</v>
      </c>
    </row>
    <row r="103">
      <c r="A103" s="39" t="n">
        <v>46184</v>
      </c>
      <c r="B103" s="40" t="n">
        <v>0.4097222222222222</v>
      </c>
      <c r="C103" s="35" t="inlineStr">
        <is>
          <t>Dra. Carolina Mendes</t>
        </is>
      </c>
      <c r="D103" s="35" t="inlineStr">
        <is>
          <t>Sala 1</t>
        </is>
      </c>
      <c r="E103" s="34" t="inlineStr">
        <is>
          <t>Ricardo Melo</t>
        </is>
      </c>
      <c r="F103" s="35" t="inlineStr">
        <is>
          <t>Saúde Total</t>
        </is>
      </c>
      <c r="G103" s="35" t="inlineStr">
        <is>
          <t>Consulta</t>
        </is>
      </c>
      <c r="H103" s="35" t="inlineStr">
        <is>
          <t>Realizado</t>
        </is>
      </c>
      <c r="I103" s="35" t="inlineStr">
        <is>
          <t>Convênio</t>
        </is>
      </c>
      <c r="J103" s="35" t="n"/>
      <c r="K103" s="34" t="n"/>
      <c r="L103" s="26">
        <f>IF(A103="","",MONTH(A103))</f>
        <v>6</v>
      </c>
      <c r="M103" s="26">
        <f>IF(A103="","",YEAR(A103))</f>
        <v>2026</v>
      </c>
      <c r="N103" s="26" t="str">
        <f>IF(A103="","",CHOOSE(WEEKDAY(A103,2),"Segunda","Terça","Quarta","Quinta","Sexta","Sábado","Domingo"))</f>
        <v>Quinta</v>
      </c>
      <c r="O103" s="26" t="str">
        <f>IF(B103="","",IF(B103&lt;TIME(12,0,0),"Manhã",IF(B103&lt;TIME(18,0,0),"Tarde","Noite")))</f>
        <v>Manhã</v>
      </c>
      <c r="P103" s="32">
        <f>IF(G103="","",IFERROR(INDEX(Config!$I$5:$I$16,MATCH(G103,Config!$H$5:$H$16,0)),0))</f>
        <v>30</v>
      </c>
      <c r="Q103" s="30">
        <f>IF(OR(H103&lt;&gt;"Realizado",P103="",P103=0),"",A103+P103)</f>
        <v>46214.0</v>
      </c>
      <c r="R103" s="26" t="str">
        <f>IF(Q103="","",IF(COUNTIFS($E$5:$E$3004,E103,$A$5:$A$3004,"&gt;"&amp;A103,$H$5:$H$3004,"&lt;&gt;Falta",$H$5:$H$3004,"&lt;&gt;Cancelado",$H$5:$H$3004,"&lt;&gt;Remarcado")&gt;0,"Sim","Não"))</f>
        <v>Sim</v>
      </c>
      <c r="S103" s="32">
        <f>IF(R103&lt;&gt;"Não","",IF(Q103+Config!$B$9&lt;=Config!$B$8,Config!$B$8-Q103,""))</f>
        <v/>
      </c>
      <c r="T103" s="26">
        <f>IF(S103="","","Sim")</f>
        <v/>
      </c>
      <c r="U103" s="41">
        <f>IF(T103="Sim",S103+ROW()/100000,0)</f>
        <v>0</v>
      </c>
      <c r="V103" s="41">
        <f>IF(AND(H103="Falta",L103=Config!$B$7,M103=Config!$B$5,COUNTIFS($E$5:E103,E103,$H$5:H103,"Falta",$L$5:L103,Config!$B$7,$M$5:M103,Config!$B$5)=1),COUNTIFS($E$5:$E$3004,E103,$H$5:$H$3004,"Falta",$L$5:$L$3004,Config!$B$7,$M$5:$M$3004,Config!$B$5)*1000-ROW()/100000,0)</f>
        <v>0</v>
      </c>
    </row>
    <row r="104">
      <c r="A104" s="39" t="n">
        <v>46184</v>
      </c>
      <c r="B104" s="40" t="n">
        <v>0.4305555555555556</v>
      </c>
      <c r="C104" s="35" t="inlineStr">
        <is>
          <t>Dra. Carolina Mendes</t>
        </is>
      </c>
      <c r="D104" s="35" t="inlineStr">
        <is>
          <t>Sala 1</t>
        </is>
      </c>
      <c r="E104" s="34" t="inlineStr">
        <is>
          <t>Daniel Melo</t>
        </is>
      </c>
      <c r="F104" s="35" t="inlineStr">
        <is>
          <t>Saúde Total</t>
        </is>
      </c>
      <c r="G104" s="35" t="inlineStr">
        <is>
          <t>Consulta</t>
        </is>
      </c>
      <c r="H104" s="35" t="inlineStr">
        <is>
          <t>Realizado</t>
        </is>
      </c>
      <c r="I104" s="35" t="inlineStr">
        <is>
          <t>Convênio</t>
        </is>
      </c>
      <c r="J104" s="35" t="n"/>
      <c r="K104" s="34" t="n"/>
      <c r="L104" s="26">
        <f>IF(A104="","",MONTH(A104))</f>
        <v>6</v>
      </c>
      <c r="M104" s="26">
        <f>IF(A104="","",YEAR(A104))</f>
        <v>2026</v>
      </c>
      <c r="N104" s="26" t="str">
        <f>IF(A104="","",CHOOSE(WEEKDAY(A104,2),"Segunda","Terça","Quarta","Quinta","Sexta","Sábado","Domingo"))</f>
        <v>Quinta</v>
      </c>
      <c r="O104" s="26" t="str">
        <f>IF(B104="","",IF(B104&lt;TIME(12,0,0),"Manhã",IF(B104&lt;TIME(18,0,0),"Tarde","Noite")))</f>
        <v>Manhã</v>
      </c>
      <c r="P104" s="32">
        <f>IF(G104="","",IFERROR(INDEX(Config!$I$5:$I$16,MATCH(G104,Config!$H$5:$H$16,0)),0))</f>
        <v>30</v>
      </c>
      <c r="Q104" s="30">
        <f>IF(OR(H104&lt;&gt;"Realizado",P104="",P104=0),"",A104+P104)</f>
        <v>46214.0</v>
      </c>
      <c r="R104" s="26" t="str">
        <f>IF(Q104="","",IF(COUNTIFS($E$5:$E$3004,E104,$A$5:$A$3004,"&gt;"&amp;A104,$H$5:$H$3004,"&lt;&gt;Falta",$H$5:$H$3004,"&lt;&gt;Cancelado",$H$5:$H$3004,"&lt;&gt;Remarcado")&gt;0,"Sim","Não"))</f>
        <v>Sim</v>
      </c>
      <c r="S104" s="32">
        <f>IF(R104&lt;&gt;"Não","",IF(Q104+Config!$B$9&lt;=Config!$B$8,Config!$B$8-Q104,""))</f>
        <v/>
      </c>
      <c r="T104" s="26">
        <f>IF(S104="","","Sim")</f>
        <v/>
      </c>
      <c r="U104" s="41">
        <f>IF(T104="Sim",S104+ROW()/100000,0)</f>
        <v>0</v>
      </c>
      <c r="V104" s="41">
        <f>IF(AND(H104="Falta",L104=Config!$B$7,M104=Config!$B$5,COUNTIFS($E$5:E104,E104,$H$5:H104,"Falta",$L$5:L104,Config!$B$7,$M$5:M104,Config!$B$5)=1),COUNTIFS($E$5:$E$3004,E104,$H$5:$H$3004,"Falta",$L$5:$L$3004,Config!$B$7,$M$5:$M$3004,Config!$B$5)*1000-ROW()/100000,0)</f>
        <v>0</v>
      </c>
    </row>
    <row r="105">
      <c r="A105" s="39" t="n">
        <v>46184</v>
      </c>
      <c r="B105" s="40" t="n">
        <v>0.4513888888888889</v>
      </c>
      <c r="C105" s="35" t="inlineStr">
        <is>
          <t>Dra. Carolina Mendes</t>
        </is>
      </c>
      <c r="D105" s="35" t="inlineStr">
        <is>
          <t>Sala 1</t>
        </is>
      </c>
      <c r="E105" s="34" t="inlineStr">
        <is>
          <t>Wagner Santos</t>
        </is>
      </c>
      <c r="F105" s="35" t="inlineStr">
        <is>
          <t>Particular</t>
        </is>
      </c>
      <c r="G105" s="35" t="inlineStr">
        <is>
          <t>Consulta</t>
        </is>
      </c>
      <c r="H105" s="35" t="inlineStr">
        <is>
          <t>Realizado</t>
        </is>
      </c>
      <c r="I105" s="35" t="inlineStr">
        <is>
          <t>Pix</t>
        </is>
      </c>
      <c r="J105" s="35" t="n"/>
      <c r="K105" s="34" t="n"/>
      <c r="L105" s="26">
        <f>IF(A105="","",MONTH(A105))</f>
        <v>6</v>
      </c>
      <c r="M105" s="26">
        <f>IF(A105="","",YEAR(A105))</f>
        <v>2026</v>
      </c>
      <c r="N105" s="26" t="str">
        <f>IF(A105="","",CHOOSE(WEEKDAY(A105,2),"Segunda","Terça","Quarta","Quinta","Sexta","Sábado","Domingo"))</f>
        <v>Quinta</v>
      </c>
      <c r="O105" s="26" t="str">
        <f>IF(B105="","",IF(B105&lt;TIME(12,0,0),"Manhã",IF(B105&lt;TIME(18,0,0),"Tarde","Noite")))</f>
        <v>Manhã</v>
      </c>
      <c r="P105" s="32">
        <f>IF(G105="","",IFERROR(INDEX(Config!$I$5:$I$16,MATCH(G105,Config!$H$5:$H$16,0)),0))</f>
        <v>30</v>
      </c>
      <c r="Q105" s="30">
        <f>IF(OR(H105&lt;&gt;"Realizado",P105="",P105=0),"",A105+P105)</f>
        <v>46214.0</v>
      </c>
      <c r="R105" s="26" t="str">
        <f>IF(Q105="","",IF(COUNTIFS($E$5:$E$3004,E105,$A$5:$A$3004,"&gt;"&amp;A105,$H$5:$H$3004,"&lt;&gt;Falta",$H$5:$H$3004,"&lt;&gt;Cancelado",$H$5:$H$3004,"&lt;&gt;Remarcado")&gt;0,"Sim","Não"))</f>
        <v>Sim</v>
      </c>
      <c r="S105" s="32">
        <f>IF(R105&lt;&gt;"Não","",IF(Q105+Config!$B$9&lt;=Config!$B$8,Config!$B$8-Q105,""))</f>
        <v/>
      </c>
      <c r="T105" s="26">
        <f>IF(S105="","","Sim")</f>
        <v/>
      </c>
      <c r="U105" s="41">
        <f>IF(T105="Sim",S105+ROW()/100000,0)</f>
        <v>0</v>
      </c>
      <c r="V105" s="41">
        <f>IF(AND(H105="Falta",L105=Config!$B$7,M105=Config!$B$5,COUNTIFS($E$5:E105,E105,$H$5:H105,"Falta",$L$5:L105,Config!$B$7,$M$5:M105,Config!$B$5)=1),COUNTIFS($E$5:$E$3004,E105,$H$5:$H$3004,"Falta",$L$5:$L$3004,Config!$B$7,$M$5:$M$3004,Config!$B$5)*1000-ROW()/100000,0)</f>
        <v>0</v>
      </c>
    </row>
    <row r="106">
      <c r="A106" s="39" t="n">
        <v>46184</v>
      </c>
      <c r="B106" s="40" t="n">
        <v>0.4722222222222222</v>
      </c>
      <c r="C106" s="35" t="inlineStr">
        <is>
          <t>Dra. Carolina Mendes</t>
        </is>
      </c>
      <c r="D106" s="35" t="inlineStr">
        <is>
          <t>Sala 1</t>
        </is>
      </c>
      <c r="E106" s="34" t="inlineStr">
        <is>
          <t>Isabela Pinto</t>
        </is>
      </c>
      <c r="F106" s="35" t="inlineStr">
        <is>
          <t>Saúde Total</t>
        </is>
      </c>
      <c r="G106" s="35" t="inlineStr">
        <is>
          <t>Consulta</t>
        </is>
      </c>
      <c r="H106" s="35" t="inlineStr">
        <is>
          <t>Realizado</t>
        </is>
      </c>
      <c r="I106" s="35" t="inlineStr">
        <is>
          <t>Convênio</t>
        </is>
      </c>
      <c r="J106" s="35" t="n"/>
      <c r="K106" s="34" t="n"/>
      <c r="L106" s="26">
        <f>IF(A106="","",MONTH(A106))</f>
        <v>6</v>
      </c>
      <c r="M106" s="26">
        <f>IF(A106="","",YEAR(A106))</f>
        <v>2026</v>
      </c>
      <c r="N106" s="26" t="str">
        <f>IF(A106="","",CHOOSE(WEEKDAY(A106,2),"Segunda","Terça","Quarta","Quinta","Sexta","Sábado","Domingo"))</f>
        <v>Quinta</v>
      </c>
      <c r="O106" s="26" t="str">
        <f>IF(B106="","",IF(B106&lt;TIME(12,0,0),"Manhã",IF(B106&lt;TIME(18,0,0),"Tarde","Noite")))</f>
        <v>Manhã</v>
      </c>
      <c r="P106" s="32">
        <f>IF(G106="","",IFERROR(INDEX(Config!$I$5:$I$16,MATCH(G106,Config!$H$5:$H$16,0)),0))</f>
        <v>30</v>
      </c>
      <c r="Q106" s="30">
        <f>IF(OR(H106&lt;&gt;"Realizado",P106="",P106=0),"",A106+P106)</f>
        <v>46214.0</v>
      </c>
      <c r="R106" s="26" t="str">
        <f>IF(Q106="","",IF(COUNTIFS($E$5:$E$3004,E106,$A$5:$A$3004,"&gt;"&amp;A106,$H$5:$H$3004,"&lt;&gt;Falta",$H$5:$H$3004,"&lt;&gt;Cancelado",$H$5:$H$3004,"&lt;&gt;Remarcado")&gt;0,"Sim","Não"))</f>
        <v>Sim</v>
      </c>
      <c r="S106" s="32">
        <f>IF(R106&lt;&gt;"Não","",IF(Q106+Config!$B$9&lt;=Config!$B$8,Config!$B$8-Q106,""))</f>
        <v/>
      </c>
      <c r="T106" s="26">
        <f>IF(S106="","","Sim")</f>
        <v/>
      </c>
      <c r="U106" s="41">
        <f>IF(T106="Sim",S106+ROW()/100000,0)</f>
        <v>0</v>
      </c>
      <c r="V106" s="41">
        <f>IF(AND(H106="Falta",L106=Config!$B$7,M106=Config!$B$5,COUNTIFS($E$5:E106,E106,$H$5:H106,"Falta",$L$5:L106,Config!$B$7,$M$5:M106,Config!$B$5)=1),COUNTIFS($E$5:$E$3004,E106,$H$5:$H$3004,"Falta",$L$5:$L$3004,Config!$B$7,$M$5:$M$3004,Config!$B$5)*1000-ROW()/100000,0)</f>
        <v>0</v>
      </c>
    </row>
    <row r="107">
      <c r="A107" s="39" t="n">
        <v>46184</v>
      </c>
      <c r="B107" s="40" t="n">
        <v>0.5833333333333334</v>
      </c>
      <c r="C107" s="35" t="inlineStr">
        <is>
          <t>Dra. Renata Sousa</t>
        </is>
      </c>
      <c r="D107" s="35" t="inlineStr">
        <is>
          <t>Sala 1</t>
        </is>
      </c>
      <c r="E107" s="34" t="inlineStr">
        <is>
          <t>Daniel Moreira</t>
        </is>
      </c>
      <c r="F107" s="35" t="inlineStr">
        <is>
          <t>Saúde Total</t>
        </is>
      </c>
      <c r="G107" s="35" t="inlineStr">
        <is>
          <t>Avaliação endócrina</t>
        </is>
      </c>
      <c r="H107" s="35" t="inlineStr">
        <is>
          <t>Realizado</t>
        </is>
      </c>
      <c r="I107" s="35" t="inlineStr">
        <is>
          <t>Convênio</t>
        </is>
      </c>
      <c r="J107" s="35" t="n"/>
      <c r="K107" s="34" t="n"/>
      <c r="L107" s="26">
        <f>IF(A107="","",MONTH(A107))</f>
        <v>6</v>
      </c>
      <c r="M107" s="26">
        <f>IF(A107="","",YEAR(A107))</f>
        <v>2026</v>
      </c>
      <c r="N107" s="26" t="str">
        <f>IF(A107="","",CHOOSE(WEEKDAY(A107,2),"Segunda","Terça","Quarta","Quinta","Sexta","Sábado","Domingo"))</f>
        <v>Quinta</v>
      </c>
      <c r="O107" s="26" t="str">
        <f>IF(B107="","",IF(B107&lt;TIME(12,0,0),"Manhã",IF(B107&lt;TIME(18,0,0),"Tarde","Noite")))</f>
        <v>Tarde</v>
      </c>
      <c r="P107" s="32">
        <f>IF(G107="","",IFERROR(INDEX(Config!$I$5:$I$16,MATCH(G107,Config!$H$5:$H$16,0)),0))</f>
        <v>45</v>
      </c>
      <c r="Q107" s="30">
        <f>IF(OR(H107&lt;&gt;"Realizado",P107="",P107=0),"",A107+P107)</f>
        <v>46229.0</v>
      </c>
      <c r="R107" s="26" t="str">
        <f>IF(Q107="","",IF(COUNTIFS($E$5:$E$3004,E107,$A$5:$A$3004,"&gt;"&amp;A107,$H$5:$H$3004,"&lt;&gt;Falta",$H$5:$H$3004,"&lt;&gt;Cancelado",$H$5:$H$3004,"&lt;&gt;Remarcado")&gt;0,"Sim","Não"))</f>
        <v>Sim</v>
      </c>
      <c r="S107" s="32">
        <f>IF(R107&lt;&gt;"Não","",IF(Q107+Config!$B$9&lt;=Config!$B$8,Config!$B$8-Q107,""))</f>
        <v/>
      </c>
      <c r="T107" s="26">
        <f>IF(S107="","","Sim")</f>
        <v/>
      </c>
      <c r="U107" s="41">
        <f>IF(T107="Sim",S107+ROW()/100000,0)</f>
        <v>0</v>
      </c>
      <c r="V107" s="41">
        <f>IF(AND(H107="Falta",L107=Config!$B$7,M107=Config!$B$5,COUNTIFS($E$5:E107,E107,$H$5:H107,"Falta",$L$5:L107,Config!$B$7,$M$5:M107,Config!$B$5)=1),COUNTIFS($E$5:$E$3004,E107,$H$5:$H$3004,"Falta",$L$5:$L$3004,Config!$B$7,$M$5:$M$3004,Config!$B$5)*1000-ROW()/100000,0)</f>
        <v>0</v>
      </c>
    </row>
    <row r="108">
      <c r="A108" s="39" t="n">
        <v>46184</v>
      </c>
      <c r="B108" s="40" t="n">
        <v>0.5833333333333334</v>
      </c>
      <c r="C108" s="35" t="inlineStr">
        <is>
          <t>Dr. Paulo Andrade</t>
        </is>
      </c>
      <c r="D108" s="35" t="inlineStr">
        <is>
          <t>Sala 2</t>
        </is>
      </c>
      <c r="E108" s="34" t="inlineStr">
        <is>
          <t>Fábio Correia</t>
        </is>
      </c>
      <c r="F108" s="35" t="inlineStr">
        <is>
          <t>Particular</t>
        </is>
      </c>
      <c r="G108" s="35" t="inlineStr">
        <is>
          <t>Consulta</t>
        </is>
      </c>
      <c r="H108" s="35" t="inlineStr">
        <is>
          <t>Falta</t>
        </is>
      </c>
      <c r="I108" s="35" t="n"/>
      <c r="J108" s="35" t="n"/>
      <c r="K108" s="34" t="n"/>
      <c r="L108" s="26">
        <f>IF(A108="","",MONTH(A108))</f>
        <v>6</v>
      </c>
      <c r="M108" s="26">
        <f>IF(A108="","",YEAR(A108))</f>
        <v>2026</v>
      </c>
      <c r="N108" s="26" t="str">
        <f>IF(A108="","",CHOOSE(WEEKDAY(A108,2),"Segunda","Terça","Quarta","Quinta","Sexta","Sábado","Domingo"))</f>
        <v>Quinta</v>
      </c>
      <c r="O108" s="26" t="str">
        <f>IF(B108="","",IF(B108&lt;TIME(12,0,0),"Manhã",IF(B108&lt;TIME(18,0,0),"Tarde","Noite")))</f>
        <v>Tarde</v>
      </c>
      <c r="P108" s="32">
        <f>IF(G108="","",IFERROR(INDEX(Config!$I$5:$I$16,MATCH(G108,Config!$H$5:$H$16,0)),0))</f>
        <v>30</v>
      </c>
      <c r="Q108" s="30">
        <f>IF(OR(H108&lt;&gt;"Realizado",P108="",P108=0),"",A108+P108)</f>
        <v/>
      </c>
      <c r="R108" s="26">
        <f>IF(Q108="","",IF(COUNTIFS($E$5:$E$3004,E108,$A$5:$A$3004,"&gt;"&amp;A108,$H$5:$H$3004,"&lt;&gt;Falta",$H$5:$H$3004,"&lt;&gt;Cancelado",$H$5:$H$3004,"&lt;&gt;Remarcado")&gt;0,"Sim","Não"))</f>
        <v/>
      </c>
      <c r="S108" s="32">
        <f>IF(R108&lt;&gt;"Não","",IF(Q108+Config!$B$9&lt;=Config!$B$8,Config!$B$8-Q108,""))</f>
        <v/>
      </c>
      <c r="T108" s="26">
        <f>IF(S108="","","Sim")</f>
        <v/>
      </c>
      <c r="U108" s="41">
        <f>IF(T108="Sim",S108+ROW()/100000,0)</f>
        <v>0</v>
      </c>
      <c r="V108" s="41">
        <f>IF(AND(H108="Falta",L108=Config!$B$7,M108=Config!$B$5,COUNTIFS($E$5:E108,E108,$H$5:H108,"Falta",$L$5:L108,Config!$B$7,$M$5:M108,Config!$B$5)=1),COUNTIFS($E$5:$E$3004,E108,$H$5:$H$3004,"Falta",$L$5:$L$3004,Config!$B$7,$M$5:$M$3004,Config!$B$5)*1000-ROW()/100000,0)</f>
        <v>0</v>
      </c>
    </row>
    <row r="109">
      <c r="A109" s="39" t="n">
        <v>46184</v>
      </c>
      <c r="B109" s="40" t="n">
        <v>0.6041666666666666</v>
      </c>
      <c r="C109" s="35" t="inlineStr">
        <is>
          <t>Dr. Paulo Andrade</t>
        </is>
      </c>
      <c r="D109" s="35" t="inlineStr">
        <is>
          <t>Sala 2</t>
        </is>
      </c>
      <c r="E109" s="34" t="inlineStr">
        <is>
          <t>Priscila Pinto</t>
        </is>
      </c>
      <c r="F109" s="35" t="inlineStr">
        <is>
          <t>Saúde Total</t>
        </is>
      </c>
      <c r="G109" s="35" t="inlineStr">
        <is>
          <t>Consulta</t>
        </is>
      </c>
      <c r="H109" s="35" t="inlineStr">
        <is>
          <t>Realizado</t>
        </is>
      </c>
      <c r="I109" s="35" t="inlineStr">
        <is>
          <t>Convênio</t>
        </is>
      </c>
      <c r="J109" s="35" t="n"/>
      <c r="K109" s="34" t="n"/>
      <c r="L109" s="26">
        <f>IF(A109="","",MONTH(A109))</f>
        <v>6</v>
      </c>
      <c r="M109" s="26">
        <f>IF(A109="","",YEAR(A109))</f>
        <v>2026</v>
      </c>
      <c r="N109" s="26" t="str">
        <f>IF(A109="","",CHOOSE(WEEKDAY(A109,2),"Segunda","Terça","Quarta","Quinta","Sexta","Sábado","Domingo"))</f>
        <v>Quinta</v>
      </c>
      <c r="O109" s="26" t="str">
        <f>IF(B109="","",IF(B109&lt;TIME(12,0,0),"Manhã",IF(B109&lt;TIME(18,0,0),"Tarde","Noite")))</f>
        <v>Tarde</v>
      </c>
      <c r="P109" s="32">
        <f>IF(G109="","",IFERROR(INDEX(Config!$I$5:$I$16,MATCH(G109,Config!$H$5:$H$16,0)),0))</f>
        <v>30</v>
      </c>
      <c r="Q109" s="30">
        <f>IF(OR(H109&lt;&gt;"Realizado",P109="",P109=0),"",A109+P109)</f>
        <v>46214.0</v>
      </c>
      <c r="R109" s="26" t="str">
        <f>IF(Q109="","",IF(COUNTIFS($E$5:$E$3004,E109,$A$5:$A$3004,"&gt;"&amp;A109,$H$5:$H$3004,"&lt;&gt;Falta",$H$5:$H$3004,"&lt;&gt;Cancelado",$H$5:$H$3004,"&lt;&gt;Remarcado")&gt;0,"Sim","Não"))</f>
        <v>Sim</v>
      </c>
      <c r="S109" s="32">
        <f>IF(R109&lt;&gt;"Não","",IF(Q109+Config!$B$9&lt;=Config!$B$8,Config!$B$8-Q109,""))</f>
        <v/>
      </c>
      <c r="T109" s="26">
        <f>IF(S109="","","Sim")</f>
        <v/>
      </c>
      <c r="U109" s="41">
        <f>IF(T109="Sim",S109+ROW()/100000,0)</f>
        <v>0</v>
      </c>
      <c r="V109" s="41">
        <f>IF(AND(H109="Falta",L109=Config!$B$7,M109=Config!$B$5,COUNTIFS($E$5:E109,E109,$H$5:H109,"Falta",$L$5:L109,Config!$B$7,$M$5:M109,Config!$B$5)=1),COUNTIFS($E$5:$E$3004,E109,$H$5:$H$3004,"Falta",$L$5:$L$3004,Config!$B$7,$M$5:$M$3004,Config!$B$5)*1000-ROW()/100000,0)</f>
        <v>0</v>
      </c>
    </row>
    <row r="110">
      <c r="A110" s="39" t="n">
        <v>46184</v>
      </c>
      <c r="B110" s="40" t="n">
        <v>0.6319444444444444</v>
      </c>
      <c r="C110" s="35" t="inlineStr">
        <is>
          <t>Dra. Renata Sousa</t>
        </is>
      </c>
      <c r="D110" s="35" t="inlineStr">
        <is>
          <t>Sala 1</t>
        </is>
      </c>
      <c r="E110" s="34" t="inlineStr">
        <is>
          <t>Roberta Lima</t>
        </is>
      </c>
      <c r="F110" s="35" t="inlineStr">
        <is>
          <t>Particular</t>
        </is>
      </c>
      <c r="G110" s="35" t="inlineStr">
        <is>
          <t>Avaliação endócrina</t>
        </is>
      </c>
      <c r="H110" s="35" t="inlineStr">
        <is>
          <t>Realizado</t>
        </is>
      </c>
      <c r="I110" s="35" t="inlineStr">
        <is>
          <t>Pix</t>
        </is>
      </c>
      <c r="J110" s="35" t="n"/>
      <c r="K110" s="34" t="n"/>
      <c r="L110" s="26">
        <f>IF(A110="","",MONTH(A110))</f>
        <v>6</v>
      </c>
      <c r="M110" s="26">
        <f>IF(A110="","",YEAR(A110))</f>
        <v>2026</v>
      </c>
      <c r="N110" s="26" t="str">
        <f>IF(A110="","",CHOOSE(WEEKDAY(A110,2),"Segunda","Terça","Quarta","Quinta","Sexta","Sábado","Domingo"))</f>
        <v>Quinta</v>
      </c>
      <c r="O110" s="26" t="str">
        <f>IF(B110="","",IF(B110&lt;TIME(12,0,0),"Manhã",IF(B110&lt;TIME(18,0,0),"Tarde","Noite")))</f>
        <v>Tarde</v>
      </c>
      <c r="P110" s="32">
        <f>IF(G110="","",IFERROR(INDEX(Config!$I$5:$I$16,MATCH(G110,Config!$H$5:$H$16,0)),0))</f>
        <v>45</v>
      </c>
      <c r="Q110" s="30">
        <f>IF(OR(H110&lt;&gt;"Realizado",P110="",P110=0),"",A110+P110)</f>
        <v>46229.0</v>
      </c>
      <c r="R110" s="26" t="str">
        <f>IF(Q110="","",IF(COUNTIFS($E$5:$E$3004,E110,$A$5:$A$3004,"&gt;"&amp;A110,$H$5:$H$3004,"&lt;&gt;Falta",$H$5:$H$3004,"&lt;&gt;Cancelado",$H$5:$H$3004,"&lt;&gt;Remarcado")&gt;0,"Sim","Não"))</f>
        <v>Sim</v>
      </c>
      <c r="S110" s="32">
        <f>IF(R110&lt;&gt;"Não","",IF(Q110+Config!$B$9&lt;=Config!$B$8,Config!$B$8-Q110,""))</f>
        <v/>
      </c>
      <c r="T110" s="26">
        <f>IF(S110="","","Sim")</f>
        <v/>
      </c>
      <c r="U110" s="41">
        <f>IF(T110="Sim",S110+ROW()/100000,0)</f>
        <v>0</v>
      </c>
      <c r="V110" s="41">
        <f>IF(AND(H110="Falta",L110=Config!$B$7,M110=Config!$B$5,COUNTIFS($E$5:E110,E110,$H$5:H110,"Falta",$L$5:L110,Config!$B$7,$M$5:M110,Config!$B$5)=1),COUNTIFS($E$5:$E$3004,E110,$H$5:$H$3004,"Falta",$L$5:$L$3004,Config!$B$7,$M$5:$M$3004,Config!$B$5)*1000-ROW()/100000,0)</f>
        <v>0</v>
      </c>
    </row>
    <row r="111">
      <c r="A111" s="39" t="n">
        <v>46184</v>
      </c>
      <c r="B111" s="40" t="n">
        <v>0.6458333333333334</v>
      </c>
      <c r="C111" s="35" t="inlineStr">
        <is>
          <t>Dr. Paulo Andrade</t>
        </is>
      </c>
      <c r="D111" s="35" t="inlineStr">
        <is>
          <t>Sala 2</t>
        </is>
      </c>
      <c r="E111" s="34" t="inlineStr">
        <is>
          <t>Fábio Martins</t>
        </is>
      </c>
      <c r="F111" s="35" t="inlineStr">
        <is>
          <t>MediPlan</t>
        </is>
      </c>
      <c r="G111" s="35" t="inlineStr">
        <is>
          <t>ECG</t>
        </is>
      </c>
      <c r="H111" s="35" t="inlineStr">
        <is>
          <t>Realizado</t>
        </is>
      </c>
      <c r="I111" s="35" t="inlineStr">
        <is>
          <t>Convênio</t>
        </is>
      </c>
      <c r="J111" s="35" t="n"/>
      <c r="K111" s="34" t="n"/>
      <c r="L111" s="26">
        <f>IF(A111="","",MONTH(A111))</f>
        <v>6</v>
      </c>
      <c r="M111" s="26">
        <f>IF(A111="","",YEAR(A111))</f>
        <v>2026</v>
      </c>
      <c r="N111" s="26" t="str">
        <f>IF(A111="","",CHOOSE(WEEKDAY(A111,2),"Segunda","Terça","Quarta","Quinta","Sexta","Sábado","Domingo"))</f>
        <v>Quinta</v>
      </c>
      <c r="O111" s="26" t="str">
        <f>IF(B111="","",IF(B111&lt;TIME(12,0,0),"Manhã",IF(B111&lt;TIME(18,0,0),"Tarde","Noite")))</f>
        <v>Tarde</v>
      </c>
      <c r="P111" s="32">
        <f>IF(G111="","",IFERROR(INDEX(Config!$I$5:$I$16,MATCH(G111,Config!$H$5:$H$16,0)),0))</f>
        <v>0</v>
      </c>
      <c r="Q111" s="30">
        <f>IF(OR(H111&lt;&gt;"Realizado",P111="",P111=0),"",A111+P111)</f>
        <v/>
      </c>
      <c r="R111" s="26">
        <f>IF(Q111="","",IF(COUNTIFS($E$5:$E$3004,E111,$A$5:$A$3004,"&gt;"&amp;A111,$H$5:$H$3004,"&lt;&gt;Falta",$H$5:$H$3004,"&lt;&gt;Cancelado",$H$5:$H$3004,"&lt;&gt;Remarcado")&gt;0,"Sim","Não"))</f>
        <v/>
      </c>
      <c r="S111" s="32">
        <f>IF(R111&lt;&gt;"Não","",IF(Q111+Config!$B$9&lt;=Config!$B$8,Config!$B$8-Q111,""))</f>
        <v/>
      </c>
      <c r="T111" s="26">
        <f>IF(S111="","","Sim")</f>
        <v/>
      </c>
      <c r="U111" s="41">
        <f>IF(T111="Sim",S111+ROW()/100000,0)</f>
        <v>0</v>
      </c>
      <c r="V111" s="41">
        <f>IF(AND(H111="Falta",L111=Config!$B$7,M111=Config!$B$5,COUNTIFS($E$5:E111,E111,$H$5:H111,"Falta",$L$5:L111,Config!$B$7,$M$5:M111,Config!$B$5)=1),COUNTIFS($E$5:$E$3004,E111,$H$5:$H$3004,"Falta",$L$5:$L$3004,Config!$B$7,$M$5:$M$3004,Config!$B$5)*1000-ROW()/100000,0)</f>
        <v>0</v>
      </c>
    </row>
    <row r="112">
      <c r="A112" s="39" t="n">
        <v>46184</v>
      </c>
      <c r="B112" s="40" t="n">
        <v>0.6597222222222222</v>
      </c>
      <c r="C112" s="35" t="inlineStr">
        <is>
          <t>Dr. Paulo Andrade</t>
        </is>
      </c>
      <c r="D112" s="35" t="inlineStr">
        <is>
          <t>Sala 2</t>
        </is>
      </c>
      <c r="E112" s="34" t="inlineStr">
        <is>
          <t>Rafael Araújo</t>
        </is>
      </c>
      <c r="F112" s="35" t="inlineStr">
        <is>
          <t>MediPlan</t>
        </is>
      </c>
      <c r="G112" s="35" t="inlineStr">
        <is>
          <t>Consulta</t>
        </is>
      </c>
      <c r="H112" s="35" t="inlineStr">
        <is>
          <t>Cancelado</t>
        </is>
      </c>
      <c r="I112" s="35" t="n"/>
      <c r="J112" s="35" t="n"/>
      <c r="K112" s="34" t="n"/>
      <c r="L112" s="26">
        <f>IF(A112="","",MONTH(A112))</f>
        <v>6</v>
      </c>
      <c r="M112" s="26">
        <f>IF(A112="","",YEAR(A112))</f>
        <v>2026</v>
      </c>
      <c r="N112" s="26" t="str">
        <f>IF(A112="","",CHOOSE(WEEKDAY(A112,2),"Segunda","Terça","Quarta","Quinta","Sexta","Sábado","Domingo"))</f>
        <v>Quinta</v>
      </c>
      <c r="O112" s="26" t="str">
        <f>IF(B112="","",IF(B112&lt;TIME(12,0,0),"Manhã",IF(B112&lt;TIME(18,0,0),"Tarde","Noite")))</f>
        <v>Tarde</v>
      </c>
      <c r="P112" s="32">
        <f>IF(G112="","",IFERROR(INDEX(Config!$I$5:$I$16,MATCH(G112,Config!$H$5:$H$16,0)),0))</f>
        <v>30</v>
      </c>
      <c r="Q112" s="30">
        <f>IF(OR(H112&lt;&gt;"Realizado",P112="",P112=0),"",A112+P112)</f>
        <v/>
      </c>
      <c r="R112" s="26">
        <f>IF(Q112="","",IF(COUNTIFS($E$5:$E$3004,E112,$A$5:$A$3004,"&gt;"&amp;A112,$H$5:$H$3004,"&lt;&gt;Falta",$H$5:$H$3004,"&lt;&gt;Cancelado",$H$5:$H$3004,"&lt;&gt;Remarcado")&gt;0,"Sim","Não"))</f>
        <v/>
      </c>
      <c r="S112" s="32">
        <f>IF(R112&lt;&gt;"Não","",IF(Q112+Config!$B$9&lt;=Config!$B$8,Config!$B$8-Q112,""))</f>
        <v/>
      </c>
      <c r="T112" s="26">
        <f>IF(S112="","","Sim")</f>
        <v/>
      </c>
      <c r="U112" s="41">
        <f>IF(T112="Sim",S112+ROW()/100000,0)</f>
        <v>0</v>
      </c>
      <c r="V112" s="41">
        <f>IF(AND(H112="Falta",L112=Config!$B$7,M112=Config!$B$5,COUNTIFS($E$5:E112,E112,$H$5:H112,"Falta",$L$5:L112,Config!$B$7,$M$5:M112,Config!$B$5)=1),COUNTIFS($E$5:$E$3004,E112,$H$5:$H$3004,"Falta",$L$5:$L$3004,Config!$B$7,$M$5:$M$3004,Config!$B$5)*1000-ROW()/100000,0)</f>
        <v>0</v>
      </c>
    </row>
    <row r="113">
      <c r="A113" s="39" t="n">
        <v>46184</v>
      </c>
      <c r="B113" s="40" t="n">
        <v>0.6805555555555556</v>
      </c>
      <c r="C113" s="35" t="inlineStr">
        <is>
          <t>Dra. Renata Sousa</t>
        </is>
      </c>
      <c r="D113" s="35" t="inlineStr">
        <is>
          <t>Sala 1</t>
        </is>
      </c>
      <c r="E113" s="34" t="inlineStr">
        <is>
          <t>Gustavo Carvalho</t>
        </is>
      </c>
      <c r="F113" s="35" t="inlineStr">
        <is>
          <t>Particular</t>
        </is>
      </c>
      <c r="G113" s="35" t="inlineStr">
        <is>
          <t>Retorno</t>
        </is>
      </c>
      <c r="H113" s="35" t="inlineStr">
        <is>
          <t>Realizado</t>
        </is>
      </c>
      <c r="I113" s="35" t="inlineStr">
        <is>
          <t>Sem cobrança</t>
        </is>
      </c>
      <c r="J113" s="35" t="n"/>
      <c r="K113" s="34" t="n"/>
      <c r="L113" s="26">
        <f>IF(A113="","",MONTH(A113))</f>
        <v>6</v>
      </c>
      <c r="M113" s="26">
        <f>IF(A113="","",YEAR(A113))</f>
        <v>2026</v>
      </c>
      <c r="N113" s="26" t="str">
        <f>IF(A113="","",CHOOSE(WEEKDAY(A113,2),"Segunda","Terça","Quarta","Quinta","Sexta","Sábado","Domingo"))</f>
        <v>Quinta</v>
      </c>
      <c r="O113" s="26" t="str">
        <f>IF(B113="","",IF(B113&lt;TIME(12,0,0),"Manhã",IF(B113&lt;TIME(18,0,0),"Tarde","Noite")))</f>
        <v>Tarde</v>
      </c>
      <c r="P113" s="32">
        <f>IF(G113="","",IFERROR(INDEX(Config!$I$5:$I$16,MATCH(G113,Config!$H$5:$H$16,0)),0))</f>
        <v>0</v>
      </c>
      <c r="Q113" s="30">
        <f>IF(OR(H113&lt;&gt;"Realizado",P113="",P113=0),"",A113+P113)</f>
        <v/>
      </c>
      <c r="R113" s="26">
        <f>IF(Q113="","",IF(COUNTIFS($E$5:$E$3004,E113,$A$5:$A$3004,"&gt;"&amp;A113,$H$5:$H$3004,"&lt;&gt;Falta",$H$5:$H$3004,"&lt;&gt;Cancelado",$H$5:$H$3004,"&lt;&gt;Remarcado")&gt;0,"Sim","Não"))</f>
        <v/>
      </c>
      <c r="S113" s="32">
        <f>IF(R113&lt;&gt;"Não","",IF(Q113+Config!$B$9&lt;=Config!$B$8,Config!$B$8-Q113,""))</f>
        <v/>
      </c>
      <c r="T113" s="26">
        <f>IF(S113="","","Sim")</f>
        <v/>
      </c>
      <c r="U113" s="41">
        <f>IF(T113="Sim",S113+ROW()/100000,0)</f>
        <v>0</v>
      </c>
      <c r="V113" s="41">
        <f>IF(AND(H113="Falta",L113=Config!$B$7,M113=Config!$B$5,COUNTIFS($E$5:E113,E113,$H$5:H113,"Falta",$L$5:L113,Config!$B$7,$M$5:M113,Config!$B$5)=1),COUNTIFS($E$5:$E$3004,E113,$H$5:$H$3004,"Falta",$L$5:$L$3004,Config!$B$7,$M$5:$M$3004,Config!$B$5)*1000-ROW()/100000,0)</f>
        <v>0</v>
      </c>
    </row>
    <row r="114">
      <c r="A114" s="39" t="n">
        <v>46184</v>
      </c>
      <c r="B114" s="40" t="n">
        <v>0.6805555555555556</v>
      </c>
      <c r="C114" s="35" t="inlineStr">
        <is>
          <t>Dr. Paulo Andrade</t>
        </is>
      </c>
      <c r="D114" s="35" t="inlineStr">
        <is>
          <t>Sala 2</t>
        </is>
      </c>
      <c r="E114" s="34" t="inlineStr">
        <is>
          <t>Helena Ribeiro</t>
        </is>
      </c>
      <c r="F114" s="35" t="inlineStr">
        <is>
          <t>MediPlan</t>
        </is>
      </c>
      <c r="G114" s="35" t="inlineStr">
        <is>
          <t>Consulta</t>
        </is>
      </c>
      <c r="H114" s="35" t="inlineStr">
        <is>
          <t>Realizado</t>
        </is>
      </c>
      <c r="I114" s="35" t="inlineStr">
        <is>
          <t>Convênio</t>
        </is>
      </c>
      <c r="J114" s="35" t="n"/>
      <c r="K114" s="34" t="n"/>
      <c r="L114" s="26">
        <f>IF(A114="","",MONTH(A114))</f>
        <v>6</v>
      </c>
      <c r="M114" s="26">
        <f>IF(A114="","",YEAR(A114))</f>
        <v>2026</v>
      </c>
      <c r="N114" s="26" t="str">
        <f>IF(A114="","",CHOOSE(WEEKDAY(A114,2),"Segunda","Terça","Quarta","Quinta","Sexta","Sábado","Domingo"))</f>
        <v>Quinta</v>
      </c>
      <c r="O114" s="26" t="str">
        <f>IF(B114="","",IF(B114&lt;TIME(12,0,0),"Manhã",IF(B114&lt;TIME(18,0,0),"Tarde","Noite")))</f>
        <v>Tarde</v>
      </c>
      <c r="P114" s="32">
        <f>IF(G114="","",IFERROR(INDEX(Config!$I$5:$I$16,MATCH(G114,Config!$H$5:$H$16,0)),0))</f>
        <v>30</v>
      </c>
      <c r="Q114" s="30">
        <f>IF(OR(H114&lt;&gt;"Realizado",P114="",P114=0),"",A114+P114)</f>
        <v>46214.0</v>
      </c>
      <c r="R114" s="26" t="str">
        <f>IF(Q114="","",IF(COUNTIFS($E$5:$E$3004,E114,$A$5:$A$3004,"&gt;"&amp;A114,$H$5:$H$3004,"&lt;&gt;Falta",$H$5:$H$3004,"&lt;&gt;Cancelado",$H$5:$H$3004,"&lt;&gt;Remarcado")&gt;0,"Sim","Não"))</f>
        <v>Sim</v>
      </c>
      <c r="S114" s="32">
        <f>IF(R114&lt;&gt;"Não","",IF(Q114+Config!$B$9&lt;=Config!$B$8,Config!$B$8-Q114,""))</f>
        <v/>
      </c>
      <c r="T114" s="26">
        <f>IF(S114="","","Sim")</f>
        <v/>
      </c>
      <c r="U114" s="41">
        <f>IF(T114="Sim",S114+ROW()/100000,0)</f>
        <v>0</v>
      </c>
      <c r="V114" s="41">
        <f>IF(AND(H114="Falta",L114=Config!$B$7,M114=Config!$B$5,COUNTIFS($E$5:E114,E114,$H$5:H114,"Falta",$L$5:L114,Config!$B$7,$M$5:M114,Config!$B$5)=1),COUNTIFS($E$5:$E$3004,E114,$H$5:$H$3004,"Falta",$L$5:$L$3004,Config!$B$7,$M$5:$M$3004,Config!$B$5)*1000-ROW()/100000,0)</f>
        <v>0</v>
      </c>
    </row>
    <row r="115">
      <c r="A115" s="39" t="n">
        <v>46184</v>
      </c>
      <c r="B115" s="40" t="n">
        <v>0.6944444444444444</v>
      </c>
      <c r="C115" s="35" t="inlineStr">
        <is>
          <t>Dra. Renata Sousa</t>
        </is>
      </c>
      <c r="D115" s="35" t="inlineStr">
        <is>
          <t>Sala 1</t>
        </is>
      </c>
      <c r="E115" s="34" t="inlineStr">
        <is>
          <t>Thiago Melo</t>
        </is>
      </c>
      <c r="F115" s="35" t="inlineStr">
        <is>
          <t>Particular</t>
        </is>
      </c>
      <c r="G115" s="35" t="inlineStr">
        <is>
          <t>Avaliação endócrina</t>
        </is>
      </c>
      <c r="H115" s="35" t="inlineStr">
        <is>
          <t>Realizado</t>
        </is>
      </c>
      <c r="I115" s="35" t="inlineStr">
        <is>
          <t>Pix</t>
        </is>
      </c>
      <c r="J115" s="35" t="n"/>
      <c r="K115" s="34" t="n"/>
      <c r="L115" s="26">
        <f>IF(A115="","",MONTH(A115))</f>
        <v>6</v>
      </c>
      <c r="M115" s="26">
        <f>IF(A115="","",YEAR(A115))</f>
        <v>2026</v>
      </c>
      <c r="N115" s="26" t="str">
        <f>IF(A115="","",CHOOSE(WEEKDAY(A115,2),"Segunda","Terça","Quarta","Quinta","Sexta","Sábado","Domingo"))</f>
        <v>Quinta</v>
      </c>
      <c r="O115" s="26" t="str">
        <f>IF(B115="","",IF(B115&lt;TIME(12,0,0),"Manhã",IF(B115&lt;TIME(18,0,0),"Tarde","Noite")))</f>
        <v>Tarde</v>
      </c>
      <c r="P115" s="32">
        <f>IF(G115="","",IFERROR(INDEX(Config!$I$5:$I$16,MATCH(G115,Config!$H$5:$H$16,0)),0))</f>
        <v>45</v>
      </c>
      <c r="Q115" s="30">
        <f>IF(OR(H115&lt;&gt;"Realizado",P115="",P115=0),"",A115+P115)</f>
        <v>46229.0</v>
      </c>
      <c r="R115" s="26" t="str">
        <f>IF(Q115="","",IF(COUNTIFS($E$5:$E$3004,E115,$A$5:$A$3004,"&gt;"&amp;A115,$H$5:$H$3004,"&lt;&gt;Falta",$H$5:$H$3004,"&lt;&gt;Cancelado",$H$5:$H$3004,"&lt;&gt;Remarcado")&gt;0,"Sim","Não"))</f>
        <v>Sim</v>
      </c>
      <c r="S115" s="32">
        <f>IF(R115&lt;&gt;"Não","",IF(Q115+Config!$B$9&lt;=Config!$B$8,Config!$B$8-Q115,""))</f>
        <v/>
      </c>
      <c r="T115" s="26">
        <f>IF(S115="","","Sim")</f>
        <v/>
      </c>
      <c r="U115" s="41">
        <f>IF(T115="Sim",S115+ROW()/100000,0)</f>
        <v>0</v>
      </c>
      <c r="V115" s="41">
        <f>IF(AND(H115="Falta",L115=Config!$B$7,M115=Config!$B$5,COUNTIFS($E$5:E115,E115,$H$5:H115,"Falta",$L$5:L115,Config!$B$7,$M$5:M115,Config!$B$5)=1),COUNTIFS($E$5:$E$3004,E115,$H$5:$H$3004,"Falta",$L$5:$L$3004,Config!$B$7,$M$5:$M$3004,Config!$B$5)*1000-ROW()/100000,0)</f>
        <v>0</v>
      </c>
    </row>
    <row r="116">
      <c r="A116" s="39" t="n">
        <v>46184</v>
      </c>
      <c r="B116" s="40" t="n">
        <v>0.7013888888888888</v>
      </c>
      <c r="C116" s="35" t="inlineStr">
        <is>
          <t>Dr. Paulo Andrade</t>
        </is>
      </c>
      <c r="D116" s="35" t="inlineStr">
        <is>
          <t>Sala 2</t>
        </is>
      </c>
      <c r="E116" s="34" t="inlineStr">
        <is>
          <t>Rafael Batista</t>
        </is>
      </c>
      <c r="F116" s="35" t="inlineStr">
        <is>
          <t>Saúde Total</t>
        </is>
      </c>
      <c r="G116" s="35" t="inlineStr">
        <is>
          <t>Holter</t>
        </is>
      </c>
      <c r="H116" s="35" t="inlineStr">
        <is>
          <t>Realizado</t>
        </is>
      </c>
      <c r="I116" s="35" t="inlineStr">
        <is>
          <t>Convênio</t>
        </is>
      </c>
      <c r="J116" s="35" t="n"/>
      <c r="K116" s="34" t="n"/>
      <c r="L116" s="26">
        <f>IF(A116="","",MONTH(A116))</f>
        <v>6</v>
      </c>
      <c r="M116" s="26">
        <f>IF(A116="","",YEAR(A116))</f>
        <v>2026</v>
      </c>
      <c r="N116" s="26" t="str">
        <f>IF(A116="","",CHOOSE(WEEKDAY(A116,2),"Segunda","Terça","Quarta","Quinta","Sexta","Sábado","Domingo"))</f>
        <v>Quinta</v>
      </c>
      <c r="O116" s="26" t="str">
        <f>IF(B116="","",IF(B116&lt;TIME(12,0,0),"Manhã",IF(B116&lt;TIME(18,0,0),"Tarde","Noite")))</f>
        <v>Tarde</v>
      </c>
      <c r="P116" s="32">
        <f>IF(G116="","",IFERROR(INDEX(Config!$I$5:$I$16,MATCH(G116,Config!$H$5:$H$16,0)),0))</f>
        <v>0</v>
      </c>
      <c r="Q116" s="30">
        <f>IF(OR(H116&lt;&gt;"Realizado",P116="",P116=0),"",A116+P116)</f>
        <v/>
      </c>
      <c r="R116" s="26">
        <f>IF(Q116="","",IF(COUNTIFS($E$5:$E$3004,E116,$A$5:$A$3004,"&gt;"&amp;A116,$H$5:$H$3004,"&lt;&gt;Falta",$H$5:$H$3004,"&lt;&gt;Cancelado",$H$5:$H$3004,"&lt;&gt;Remarcado")&gt;0,"Sim","Não"))</f>
        <v/>
      </c>
      <c r="S116" s="32">
        <f>IF(R116&lt;&gt;"Não","",IF(Q116+Config!$B$9&lt;=Config!$B$8,Config!$B$8-Q116,""))</f>
        <v/>
      </c>
      <c r="T116" s="26">
        <f>IF(S116="","","Sim")</f>
        <v/>
      </c>
      <c r="U116" s="41">
        <f>IF(T116="Sim",S116+ROW()/100000,0)</f>
        <v>0</v>
      </c>
      <c r="V116" s="41">
        <f>IF(AND(H116="Falta",L116=Config!$B$7,M116=Config!$B$5,COUNTIFS($E$5:E116,E116,$H$5:H116,"Falta",$L$5:L116,Config!$B$7,$M$5:M116,Config!$B$5)=1),COUNTIFS($E$5:$E$3004,E116,$H$5:$H$3004,"Falta",$L$5:$L$3004,Config!$B$7,$M$5:$M$3004,Config!$B$5)*1000-ROW()/100000,0)</f>
        <v>0</v>
      </c>
    </row>
    <row r="117">
      <c r="A117" s="39" t="n">
        <v>46184</v>
      </c>
      <c r="B117" s="40" t="n">
        <v>0.7152777777777778</v>
      </c>
      <c r="C117" s="35" t="inlineStr">
        <is>
          <t>Dr. Paulo Andrade</t>
        </is>
      </c>
      <c r="D117" s="35" t="inlineStr">
        <is>
          <t>Sala 2</t>
        </is>
      </c>
      <c r="E117" s="34" t="inlineStr">
        <is>
          <t>Vanessa Moreira</t>
        </is>
      </c>
      <c r="F117" s="35" t="inlineStr">
        <is>
          <t>Saúde Total</t>
        </is>
      </c>
      <c r="G117" s="35" t="inlineStr">
        <is>
          <t>Retorno</t>
        </is>
      </c>
      <c r="H117" s="35" t="inlineStr">
        <is>
          <t>Realizado</t>
        </is>
      </c>
      <c r="I117" s="35" t="inlineStr">
        <is>
          <t>Sem cobrança</t>
        </is>
      </c>
      <c r="J117" s="35" t="n"/>
      <c r="K117" s="34" t="n"/>
      <c r="L117" s="26">
        <f>IF(A117="","",MONTH(A117))</f>
        <v>6</v>
      </c>
      <c r="M117" s="26">
        <f>IF(A117="","",YEAR(A117))</f>
        <v>2026</v>
      </c>
      <c r="N117" s="26" t="str">
        <f>IF(A117="","",CHOOSE(WEEKDAY(A117,2),"Segunda","Terça","Quarta","Quinta","Sexta","Sábado","Domingo"))</f>
        <v>Quinta</v>
      </c>
      <c r="O117" s="26" t="str">
        <f>IF(B117="","",IF(B117&lt;TIME(12,0,0),"Manhã",IF(B117&lt;TIME(18,0,0),"Tarde","Noite")))</f>
        <v>Tarde</v>
      </c>
      <c r="P117" s="32">
        <f>IF(G117="","",IFERROR(INDEX(Config!$I$5:$I$16,MATCH(G117,Config!$H$5:$H$16,0)),0))</f>
        <v>0</v>
      </c>
      <c r="Q117" s="30">
        <f>IF(OR(H117&lt;&gt;"Realizado",P117="",P117=0),"",A117+P117)</f>
        <v/>
      </c>
      <c r="R117" s="26">
        <f>IF(Q117="","",IF(COUNTIFS($E$5:$E$3004,E117,$A$5:$A$3004,"&gt;"&amp;A117,$H$5:$H$3004,"&lt;&gt;Falta",$H$5:$H$3004,"&lt;&gt;Cancelado",$H$5:$H$3004,"&lt;&gt;Remarcado")&gt;0,"Sim","Não"))</f>
        <v/>
      </c>
      <c r="S117" s="32">
        <f>IF(R117&lt;&gt;"Não","",IF(Q117+Config!$B$9&lt;=Config!$B$8,Config!$B$8-Q117,""))</f>
        <v/>
      </c>
      <c r="T117" s="26">
        <f>IF(S117="","","Sim")</f>
        <v/>
      </c>
      <c r="U117" s="41">
        <f>IF(T117="Sim",S117+ROW()/100000,0)</f>
        <v>0</v>
      </c>
      <c r="V117" s="41">
        <f>IF(AND(H117="Falta",L117=Config!$B$7,M117=Config!$B$5,COUNTIFS($E$5:E117,E117,$H$5:H117,"Falta",$L$5:L117,Config!$B$7,$M$5:M117,Config!$B$5)=1),COUNTIFS($E$5:$E$3004,E117,$H$5:$H$3004,"Falta",$L$5:$L$3004,Config!$B$7,$M$5:$M$3004,Config!$B$5)*1000-ROW()/100000,0)</f>
        <v>0</v>
      </c>
    </row>
    <row r="118">
      <c r="A118" s="39" t="n">
        <v>46184</v>
      </c>
      <c r="B118" s="40" t="n">
        <v>0.7222222222222222</v>
      </c>
      <c r="C118" s="35" t="inlineStr">
        <is>
          <t>Dra. Renata Sousa</t>
        </is>
      </c>
      <c r="D118" s="35" t="inlineStr">
        <is>
          <t>Sala 1</t>
        </is>
      </c>
      <c r="E118" s="34" t="inlineStr">
        <is>
          <t>Carlos Gonçalves</t>
        </is>
      </c>
      <c r="F118" s="35" t="inlineStr">
        <is>
          <t>Saúde Total</t>
        </is>
      </c>
      <c r="G118" s="35" t="inlineStr">
        <is>
          <t>Retorno</t>
        </is>
      </c>
      <c r="H118" s="35" t="inlineStr">
        <is>
          <t>Realizado</t>
        </is>
      </c>
      <c r="I118" s="35" t="inlineStr">
        <is>
          <t>Sem cobrança</t>
        </is>
      </c>
      <c r="J118" s="35" t="n"/>
      <c r="K118" s="34" t="n"/>
      <c r="L118" s="26">
        <f>IF(A118="","",MONTH(A118))</f>
        <v>6</v>
      </c>
      <c r="M118" s="26">
        <f>IF(A118="","",YEAR(A118))</f>
        <v>2026</v>
      </c>
      <c r="N118" s="26" t="str">
        <f>IF(A118="","",CHOOSE(WEEKDAY(A118,2),"Segunda","Terça","Quarta","Quinta","Sexta","Sábado","Domingo"))</f>
        <v>Quinta</v>
      </c>
      <c r="O118" s="26" t="str">
        <f>IF(B118="","",IF(B118&lt;TIME(12,0,0),"Manhã",IF(B118&lt;TIME(18,0,0),"Tarde","Noite")))</f>
        <v>Tarde</v>
      </c>
      <c r="P118" s="32">
        <f>IF(G118="","",IFERROR(INDEX(Config!$I$5:$I$16,MATCH(G118,Config!$H$5:$H$16,0)),0))</f>
        <v>0</v>
      </c>
      <c r="Q118" s="30">
        <f>IF(OR(H118&lt;&gt;"Realizado",P118="",P118=0),"",A118+P118)</f>
        <v/>
      </c>
      <c r="R118" s="26">
        <f>IF(Q118="","",IF(COUNTIFS($E$5:$E$3004,E118,$A$5:$A$3004,"&gt;"&amp;A118,$H$5:$H$3004,"&lt;&gt;Falta",$H$5:$H$3004,"&lt;&gt;Cancelado",$H$5:$H$3004,"&lt;&gt;Remarcado")&gt;0,"Sim","Não"))</f>
        <v/>
      </c>
      <c r="S118" s="32">
        <f>IF(R118&lt;&gt;"Não","",IF(Q118+Config!$B$9&lt;=Config!$B$8,Config!$B$8-Q118,""))</f>
        <v/>
      </c>
      <c r="T118" s="26">
        <f>IF(S118="","","Sim")</f>
        <v/>
      </c>
      <c r="U118" s="41">
        <f>IF(T118="Sim",S118+ROW()/100000,0)</f>
        <v>0</v>
      </c>
      <c r="V118" s="41">
        <f>IF(AND(H118="Falta",L118=Config!$B$7,M118=Config!$B$5,COUNTIFS($E$5:E118,E118,$H$5:H118,"Falta",$L$5:L118,Config!$B$7,$M$5:M118,Config!$B$5)=1),COUNTIFS($E$5:$E$3004,E118,$H$5:$H$3004,"Falta",$L$5:$L$3004,Config!$B$7,$M$5:$M$3004,Config!$B$5)*1000-ROW()/100000,0)</f>
        <v>0</v>
      </c>
    </row>
    <row r="119">
      <c r="A119" s="39" t="n">
        <v>46184</v>
      </c>
      <c r="B119" s="40" t="n">
        <v>0.7291666666666666</v>
      </c>
      <c r="C119" s="35" t="inlineStr">
        <is>
          <t>Dr. Paulo Andrade</t>
        </is>
      </c>
      <c r="D119" s="35" t="inlineStr">
        <is>
          <t>Sala 2</t>
        </is>
      </c>
      <c r="E119" s="34" t="inlineStr">
        <is>
          <t>Roberta Fernandes</t>
        </is>
      </c>
      <c r="F119" s="35" t="inlineStr">
        <is>
          <t>Saúde Total</t>
        </is>
      </c>
      <c r="G119" s="35" t="inlineStr">
        <is>
          <t>Holter</t>
        </is>
      </c>
      <c r="H119" s="35" t="inlineStr">
        <is>
          <t>Remarcado</t>
        </is>
      </c>
      <c r="I119" s="35" t="n"/>
      <c r="J119" s="35" t="n"/>
      <c r="K119" s="34" t="inlineStr">
        <is>
          <t>Paciente pediu outra data</t>
        </is>
      </c>
      <c r="L119" s="26">
        <f>IF(A119="","",MONTH(A119))</f>
        <v>6</v>
      </c>
      <c r="M119" s="26">
        <f>IF(A119="","",YEAR(A119))</f>
        <v>2026</v>
      </c>
      <c r="N119" s="26" t="str">
        <f>IF(A119="","",CHOOSE(WEEKDAY(A119,2),"Segunda","Terça","Quarta","Quinta","Sexta","Sábado","Domingo"))</f>
        <v>Quinta</v>
      </c>
      <c r="O119" s="26" t="str">
        <f>IF(B119="","",IF(B119&lt;TIME(12,0,0),"Manhã",IF(B119&lt;TIME(18,0,0),"Tarde","Noite")))</f>
        <v>Tarde</v>
      </c>
      <c r="P119" s="32">
        <f>IF(G119="","",IFERROR(INDEX(Config!$I$5:$I$16,MATCH(G119,Config!$H$5:$H$16,0)),0))</f>
        <v>0</v>
      </c>
      <c r="Q119" s="30">
        <f>IF(OR(H119&lt;&gt;"Realizado",P119="",P119=0),"",A119+P119)</f>
        <v/>
      </c>
      <c r="R119" s="26">
        <f>IF(Q119="","",IF(COUNTIFS($E$5:$E$3004,E119,$A$5:$A$3004,"&gt;"&amp;A119,$H$5:$H$3004,"&lt;&gt;Falta",$H$5:$H$3004,"&lt;&gt;Cancelado",$H$5:$H$3004,"&lt;&gt;Remarcado")&gt;0,"Sim","Não"))</f>
        <v/>
      </c>
      <c r="S119" s="32">
        <f>IF(R119&lt;&gt;"Não","",IF(Q119+Config!$B$9&lt;=Config!$B$8,Config!$B$8-Q119,""))</f>
        <v/>
      </c>
      <c r="T119" s="26">
        <f>IF(S119="","","Sim")</f>
        <v/>
      </c>
      <c r="U119" s="41">
        <f>IF(T119="Sim",S119+ROW()/100000,0)</f>
        <v>0</v>
      </c>
      <c r="V119" s="41">
        <f>IF(AND(H119="Falta",L119=Config!$B$7,M119=Config!$B$5,COUNTIFS($E$5:E119,E119,$H$5:H119,"Falta",$L$5:L119,Config!$B$7,$M$5:M119,Config!$B$5)=1),COUNTIFS($E$5:$E$3004,E119,$H$5:$H$3004,"Falta",$L$5:$L$3004,Config!$B$7,$M$5:$M$3004,Config!$B$5)*1000-ROW()/100000,0)</f>
        <v>0</v>
      </c>
    </row>
    <row r="120">
      <c r="A120" s="39" t="n">
        <v>46185</v>
      </c>
      <c r="B120" s="40" t="n">
        <v>0.3333333333333333</v>
      </c>
      <c r="C120" s="35" t="inlineStr">
        <is>
          <t>Dr. Paulo Andrade</t>
        </is>
      </c>
      <c r="D120" s="35" t="inlineStr">
        <is>
          <t>Sala 2</t>
        </is>
      </c>
      <c r="E120" s="34" t="inlineStr">
        <is>
          <t>Leandro Cardoso</t>
        </is>
      </c>
      <c r="F120" s="35" t="inlineStr">
        <is>
          <t>MediPlan</t>
        </is>
      </c>
      <c r="G120" s="35" t="inlineStr">
        <is>
          <t>Consulta</t>
        </is>
      </c>
      <c r="H120" s="35" t="inlineStr">
        <is>
          <t>Realizado</t>
        </is>
      </c>
      <c r="I120" s="35" t="inlineStr">
        <is>
          <t>Convênio</t>
        </is>
      </c>
      <c r="J120" s="35" t="n"/>
      <c r="K120" s="34" t="n"/>
      <c r="L120" s="26">
        <f>IF(A120="","",MONTH(A120))</f>
        <v>6</v>
      </c>
      <c r="M120" s="26">
        <f>IF(A120="","",YEAR(A120))</f>
        <v>2026</v>
      </c>
      <c r="N120" s="26" t="str">
        <f>IF(A120="","",CHOOSE(WEEKDAY(A120,2),"Segunda","Terça","Quarta","Quinta","Sexta","Sábado","Domingo"))</f>
        <v>Sexta</v>
      </c>
      <c r="O120" s="26" t="str">
        <f>IF(B120="","",IF(B120&lt;TIME(12,0,0),"Manhã",IF(B120&lt;TIME(18,0,0),"Tarde","Noite")))</f>
        <v>Manhã</v>
      </c>
      <c r="P120" s="32">
        <f>IF(G120="","",IFERROR(INDEX(Config!$I$5:$I$16,MATCH(G120,Config!$H$5:$H$16,0)),0))</f>
        <v>30</v>
      </c>
      <c r="Q120" s="30">
        <f>IF(OR(H120&lt;&gt;"Realizado",P120="",P120=0),"",A120+P120)</f>
        <v>46215.0</v>
      </c>
      <c r="R120" s="26" t="str">
        <f>IF(Q120="","",IF(COUNTIFS($E$5:$E$3004,E120,$A$5:$A$3004,"&gt;"&amp;A120,$H$5:$H$3004,"&lt;&gt;Falta",$H$5:$H$3004,"&lt;&gt;Cancelado",$H$5:$H$3004,"&lt;&gt;Remarcado")&gt;0,"Sim","Não"))</f>
        <v>Sim</v>
      </c>
      <c r="S120" s="32">
        <f>IF(R120&lt;&gt;"Não","",IF(Q120+Config!$B$9&lt;=Config!$B$8,Config!$B$8-Q120,""))</f>
        <v/>
      </c>
      <c r="T120" s="26">
        <f>IF(S120="","","Sim")</f>
        <v/>
      </c>
      <c r="U120" s="41">
        <f>IF(T120="Sim",S120+ROW()/100000,0)</f>
        <v>0</v>
      </c>
      <c r="V120" s="41">
        <f>IF(AND(H120="Falta",L120=Config!$B$7,M120=Config!$B$5,COUNTIFS($E$5:E120,E120,$H$5:H120,"Falta",$L$5:L120,Config!$B$7,$M$5:M120,Config!$B$5)=1),COUNTIFS($E$5:$E$3004,E120,$H$5:$H$3004,"Falta",$L$5:$L$3004,Config!$B$7,$M$5:$M$3004,Config!$B$5)*1000-ROW()/100000,0)</f>
        <v>0</v>
      </c>
    </row>
    <row r="121">
      <c r="A121" s="39" t="n">
        <v>46185</v>
      </c>
      <c r="B121" s="40" t="n">
        <v>0.3541666666666667</v>
      </c>
      <c r="C121" s="35" t="inlineStr">
        <is>
          <t>Dr. Paulo Andrade</t>
        </is>
      </c>
      <c r="D121" s="35" t="inlineStr">
        <is>
          <t>Sala 2</t>
        </is>
      </c>
      <c r="E121" s="34" t="inlineStr">
        <is>
          <t>Leandro Oliveira</t>
        </is>
      </c>
      <c r="F121" s="35" t="inlineStr">
        <is>
          <t>Particular</t>
        </is>
      </c>
      <c r="G121" s="35" t="inlineStr">
        <is>
          <t>ECG</t>
        </is>
      </c>
      <c r="H121" s="35" t="inlineStr">
        <is>
          <t>Realizado</t>
        </is>
      </c>
      <c r="I121" s="35" t="inlineStr">
        <is>
          <t>A prazo</t>
        </is>
      </c>
      <c r="J121" s="35" t="n"/>
      <c r="K121" s="34" t="n"/>
      <c r="L121" s="26">
        <f>IF(A121="","",MONTH(A121))</f>
        <v>6</v>
      </c>
      <c r="M121" s="26">
        <f>IF(A121="","",YEAR(A121))</f>
        <v>2026</v>
      </c>
      <c r="N121" s="26" t="str">
        <f>IF(A121="","",CHOOSE(WEEKDAY(A121,2),"Segunda","Terça","Quarta","Quinta","Sexta","Sábado","Domingo"))</f>
        <v>Sexta</v>
      </c>
      <c r="O121" s="26" t="str">
        <f>IF(B121="","",IF(B121&lt;TIME(12,0,0),"Manhã",IF(B121&lt;TIME(18,0,0),"Tarde","Noite")))</f>
        <v>Manhã</v>
      </c>
      <c r="P121" s="32">
        <f>IF(G121="","",IFERROR(INDEX(Config!$I$5:$I$16,MATCH(G121,Config!$H$5:$H$16,0)),0))</f>
        <v>0</v>
      </c>
      <c r="Q121" s="30">
        <f>IF(OR(H121&lt;&gt;"Realizado",P121="",P121=0),"",A121+P121)</f>
        <v/>
      </c>
      <c r="R121" s="26">
        <f>IF(Q121="","",IF(COUNTIFS($E$5:$E$3004,E121,$A$5:$A$3004,"&gt;"&amp;A121,$H$5:$H$3004,"&lt;&gt;Falta",$H$5:$H$3004,"&lt;&gt;Cancelado",$H$5:$H$3004,"&lt;&gt;Remarcado")&gt;0,"Sim","Não"))</f>
        <v/>
      </c>
      <c r="S121" s="32">
        <f>IF(R121&lt;&gt;"Não","",IF(Q121+Config!$B$9&lt;=Config!$B$8,Config!$B$8-Q121,""))</f>
        <v/>
      </c>
      <c r="T121" s="26">
        <f>IF(S121="","","Sim")</f>
        <v/>
      </c>
      <c r="U121" s="41">
        <f>IF(T121="Sim",S121+ROW()/100000,0)</f>
        <v>0</v>
      </c>
      <c r="V121" s="41">
        <f>IF(AND(H121="Falta",L121=Config!$B$7,M121=Config!$B$5,COUNTIFS($E$5:E121,E121,$H$5:H121,"Falta",$L$5:L121,Config!$B$7,$M$5:M121,Config!$B$5)=1),COUNTIFS($E$5:$E$3004,E121,$H$5:$H$3004,"Falta",$L$5:$L$3004,Config!$B$7,$M$5:$M$3004,Config!$B$5)*1000-ROW()/100000,0)</f>
        <v>0</v>
      </c>
    </row>
    <row r="122">
      <c r="A122" s="39" t="n">
        <v>46185</v>
      </c>
      <c r="B122" s="40" t="n">
        <v>0.3680555555555556</v>
      </c>
      <c r="C122" s="35" t="inlineStr">
        <is>
          <t>Dr. Paulo Andrade</t>
        </is>
      </c>
      <c r="D122" s="35" t="inlineStr">
        <is>
          <t>Sala 2</t>
        </is>
      </c>
      <c r="E122" s="34" t="inlineStr">
        <is>
          <t>Daniel Almeida</t>
        </is>
      </c>
      <c r="F122" s="35" t="inlineStr">
        <is>
          <t>Saúde Total</t>
        </is>
      </c>
      <c r="G122" s="35" t="inlineStr">
        <is>
          <t>Holter</t>
        </is>
      </c>
      <c r="H122" s="35" t="inlineStr">
        <is>
          <t>Realizado</t>
        </is>
      </c>
      <c r="I122" s="35" t="inlineStr">
        <is>
          <t>Convênio</t>
        </is>
      </c>
      <c r="J122" s="35" t="n"/>
      <c r="K122" s="34" t="n"/>
      <c r="L122" s="26">
        <f>IF(A122="","",MONTH(A122))</f>
        <v>6</v>
      </c>
      <c r="M122" s="26">
        <f>IF(A122="","",YEAR(A122))</f>
        <v>2026</v>
      </c>
      <c r="N122" s="26" t="str">
        <f>IF(A122="","",CHOOSE(WEEKDAY(A122,2),"Segunda","Terça","Quarta","Quinta","Sexta","Sábado","Domingo"))</f>
        <v>Sexta</v>
      </c>
      <c r="O122" s="26" t="str">
        <f>IF(B122="","",IF(B122&lt;TIME(12,0,0),"Manhã",IF(B122&lt;TIME(18,0,0),"Tarde","Noite")))</f>
        <v>Manhã</v>
      </c>
      <c r="P122" s="32">
        <f>IF(G122="","",IFERROR(INDEX(Config!$I$5:$I$16,MATCH(G122,Config!$H$5:$H$16,0)),0))</f>
        <v>0</v>
      </c>
      <c r="Q122" s="30">
        <f>IF(OR(H122&lt;&gt;"Realizado",P122="",P122=0),"",A122+P122)</f>
        <v/>
      </c>
      <c r="R122" s="26">
        <f>IF(Q122="","",IF(COUNTIFS($E$5:$E$3004,E122,$A$5:$A$3004,"&gt;"&amp;A122,$H$5:$H$3004,"&lt;&gt;Falta",$H$5:$H$3004,"&lt;&gt;Cancelado",$H$5:$H$3004,"&lt;&gt;Remarcado")&gt;0,"Sim","Não"))</f>
        <v/>
      </c>
      <c r="S122" s="32">
        <f>IF(R122&lt;&gt;"Não","",IF(Q122+Config!$B$9&lt;=Config!$B$8,Config!$B$8-Q122,""))</f>
        <v/>
      </c>
      <c r="T122" s="26">
        <f>IF(S122="","","Sim")</f>
        <v/>
      </c>
      <c r="U122" s="41">
        <f>IF(T122="Sim",S122+ROW()/100000,0)</f>
        <v>0</v>
      </c>
      <c r="V122" s="41">
        <f>IF(AND(H122="Falta",L122=Config!$B$7,M122=Config!$B$5,COUNTIFS($E$5:E122,E122,$H$5:H122,"Falta",$L$5:L122,Config!$B$7,$M$5:M122,Config!$B$5)=1),COUNTIFS($E$5:$E$3004,E122,$H$5:$H$3004,"Falta",$L$5:$L$3004,Config!$B$7,$M$5:$M$3004,Config!$B$5)*1000-ROW()/100000,0)</f>
        <v>0</v>
      </c>
    </row>
    <row r="123">
      <c r="A123" s="39" t="n">
        <v>46185</v>
      </c>
      <c r="B123" s="40" t="n">
        <v>0.3819444444444444</v>
      </c>
      <c r="C123" s="35" t="inlineStr">
        <is>
          <t>Dr. Paulo Andrade</t>
        </is>
      </c>
      <c r="D123" s="35" t="inlineStr">
        <is>
          <t>Sala 2</t>
        </is>
      </c>
      <c r="E123" s="34" t="inlineStr">
        <is>
          <t>Gisele Xavier</t>
        </is>
      </c>
      <c r="F123" s="35" t="inlineStr">
        <is>
          <t>Particular</t>
        </is>
      </c>
      <c r="G123" s="35" t="inlineStr">
        <is>
          <t>ECG</t>
        </is>
      </c>
      <c r="H123" s="35" t="inlineStr">
        <is>
          <t>Realizado</t>
        </is>
      </c>
      <c r="I123" s="35" t="inlineStr">
        <is>
          <t>Cartão de crédito</t>
        </is>
      </c>
      <c r="J123" s="35" t="n"/>
      <c r="K123" s="34" t="n"/>
      <c r="L123" s="26">
        <f>IF(A123="","",MONTH(A123))</f>
        <v>6</v>
      </c>
      <c r="M123" s="26">
        <f>IF(A123="","",YEAR(A123))</f>
        <v>2026</v>
      </c>
      <c r="N123" s="26" t="str">
        <f>IF(A123="","",CHOOSE(WEEKDAY(A123,2),"Segunda","Terça","Quarta","Quinta","Sexta","Sábado","Domingo"))</f>
        <v>Sexta</v>
      </c>
      <c r="O123" s="26" t="str">
        <f>IF(B123="","",IF(B123&lt;TIME(12,0,0),"Manhã",IF(B123&lt;TIME(18,0,0),"Tarde","Noite")))</f>
        <v>Manhã</v>
      </c>
      <c r="P123" s="32">
        <f>IF(G123="","",IFERROR(INDEX(Config!$I$5:$I$16,MATCH(G123,Config!$H$5:$H$16,0)),0))</f>
        <v>0</v>
      </c>
      <c r="Q123" s="30">
        <f>IF(OR(H123&lt;&gt;"Realizado",P123="",P123=0),"",A123+P123)</f>
        <v/>
      </c>
      <c r="R123" s="26">
        <f>IF(Q123="","",IF(COUNTIFS($E$5:$E$3004,E123,$A$5:$A$3004,"&gt;"&amp;A123,$H$5:$H$3004,"&lt;&gt;Falta",$H$5:$H$3004,"&lt;&gt;Cancelado",$H$5:$H$3004,"&lt;&gt;Remarcado")&gt;0,"Sim","Não"))</f>
        <v/>
      </c>
      <c r="S123" s="32">
        <f>IF(R123&lt;&gt;"Não","",IF(Q123+Config!$B$9&lt;=Config!$B$8,Config!$B$8-Q123,""))</f>
        <v/>
      </c>
      <c r="T123" s="26">
        <f>IF(S123="","","Sim")</f>
        <v/>
      </c>
      <c r="U123" s="41">
        <f>IF(T123="Sim",S123+ROW()/100000,0)</f>
        <v>0</v>
      </c>
      <c r="V123" s="41">
        <f>IF(AND(H123="Falta",L123=Config!$B$7,M123=Config!$B$5,COUNTIFS($E$5:E123,E123,$H$5:H123,"Falta",$L$5:L123,Config!$B$7,$M$5:M123,Config!$B$5)=1),COUNTIFS($E$5:$E$3004,E123,$H$5:$H$3004,"Falta",$L$5:$L$3004,Config!$B$7,$M$5:$M$3004,Config!$B$5)*1000-ROW()/100000,0)</f>
        <v>0</v>
      </c>
    </row>
    <row r="124">
      <c r="A124" s="39" t="n">
        <v>46185</v>
      </c>
      <c r="B124" s="40" t="n">
        <v>0.4166666666666667</v>
      </c>
      <c r="C124" s="35" t="inlineStr">
        <is>
          <t>Dr. Paulo Andrade</t>
        </is>
      </c>
      <c r="D124" s="35" t="inlineStr">
        <is>
          <t>Sala 2</t>
        </is>
      </c>
      <c r="E124" s="34" t="inlineStr">
        <is>
          <t>Mariana Nascimento</t>
        </is>
      </c>
      <c r="F124" s="35" t="inlineStr">
        <is>
          <t>Particular</t>
        </is>
      </c>
      <c r="G124" s="35" t="inlineStr">
        <is>
          <t>Teste ergométrico</t>
        </is>
      </c>
      <c r="H124" s="35" t="inlineStr">
        <is>
          <t>Realizado</t>
        </is>
      </c>
      <c r="I124" s="35" t="inlineStr">
        <is>
          <t>Cartão de crédito</t>
        </is>
      </c>
      <c r="J124" s="35" t="n">
        <v>2</v>
      </c>
      <c r="K124" s="34" t="n"/>
      <c r="L124" s="26">
        <f>IF(A124="","",MONTH(A124))</f>
        <v>6</v>
      </c>
      <c r="M124" s="26">
        <f>IF(A124="","",YEAR(A124))</f>
        <v>2026</v>
      </c>
      <c r="N124" s="26" t="str">
        <f>IF(A124="","",CHOOSE(WEEKDAY(A124,2),"Segunda","Terça","Quarta","Quinta","Sexta","Sábado","Domingo"))</f>
        <v>Sexta</v>
      </c>
      <c r="O124" s="26" t="str">
        <f>IF(B124="","",IF(B124&lt;TIME(12,0,0),"Manhã",IF(B124&lt;TIME(18,0,0),"Tarde","Noite")))</f>
        <v>Manhã</v>
      </c>
      <c r="P124" s="32">
        <f>IF(G124="","",IFERROR(INDEX(Config!$I$5:$I$16,MATCH(G124,Config!$H$5:$H$16,0)),0))</f>
        <v>0</v>
      </c>
      <c r="Q124" s="30">
        <f>IF(OR(H124&lt;&gt;"Realizado",P124="",P124=0),"",A124+P124)</f>
        <v/>
      </c>
      <c r="R124" s="26">
        <f>IF(Q124="","",IF(COUNTIFS($E$5:$E$3004,E124,$A$5:$A$3004,"&gt;"&amp;A124,$H$5:$H$3004,"&lt;&gt;Falta",$H$5:$H$3004,"&lt;&gt;Cancelado",$H$5:$H$3004,"&lt;&gt;Remarcado")&gt;0,"Sim","Não"))</f>
        <v/>
      </c>
      <c r="S124" s="32">
        <f>IF(R124&lt;&gt;"Não","",IF(Q124+Config!$B$9&lt;=Config!$B$8,Config!$B$8-Q124,""))</f>
        <v/>
      </c>
      <c r="T124" s="26">
        <f>IF(S124="","","Sim")</f>
        <v/>
      </c>
      <c r="U124" s="41">
        <f>IF(T124="Sim",S124+ROW()/100000,0)</f>
        <v>0</v>
      </c>
      <c r="V124" s="41">
        <f>IF(AND(H124="Falta",L124=Config!$B$7,M124=Config!$B$5,COUNTIFS($E$5:E124,E124,$H$5:H124,"Falta",$L$5:L124,Config!$B$7,$M$5:M124,Config!$B$5)=1),COUNTIFS($E$5:$E$3004,E124,$H$5:$H$3004,"Falta",$L$5:$L$3004,Config!$B$7,$M$5:$M$3004,Config!$B$5)*1000-ROW()/100000,0)</f>
        <v>0</v>
      </c>
    </row>
    <row r="125">
      <c r="A125" s="39" t="n">
        <v>46185</v>
      </c>
      <c r="B125" s="40" t="n">
        <v>0.4444444444444444</v>
      </c>
      <c r="C125" s="35" t="inlineStr">
        <is>
          <t>Dr. Paulo Andrade</t>
        </is>
      </c>
      <c r="D125" s="35" t="inlineStr">
        <is>
          <t>Sala 2</t>
        </is>
      </c>
      <c r="E125" s="34" t="inlineStr">
        <is>
          <t>Natália Xavier</t>
        </is>
      </c>
      <c r="F125" s="35" t="inlineStr">
        <is>
          <t>MediPlan</t>
        </is>
      </c>
      <c r="G125" s="35" t="inlineStr">
        <is>
          <t>Retorno</t>
        </is>
      </c>
      <c r="H125" s="35" t="inlineStr">
        <is>
          <t>Realizado</t>
        </is>
      </c>
      <c r="I125" s="35" t="inlineStr">
        <is>
          <t>Sem cobrança</t>
        </is>
      </c>
      <c r="J125" s="35" t="n"/>
      <c r="K125" s="34" t="n"/>
      <c r="L125" s="26">
        <f>IF(A125="","",MONTH(A125))</f>
        <v>6</v>
      </c>
      <c r="M125" s="26">
        <f>IF(A125="","",YEAR(A125))</f>
        <v>2026</v>
      </c>
      <c r="N125" s="26" t="str">
        <f>IF(A125="","",CHOOSE(WEEKDAY(A125,2),"Segunda","Terça","Quarta","Quinta","Sexta","Sábado","Domingo"))</f>
        <v>Sexta</v>
      </c>
      <c r="O125" s="26" t="str">
        <f>IF(B125="","",IF(B125&lt;TIME(12,0,0),"Manhã",IF(B125&lt;TIME(18,0,0),"Tarde","Noite")))</f>
        <v>Manhã</v>
      </c>
      <c r="P125" s="32">
        <f>IF(G125="","",IFERROR(INDEX(Config!$I$5:$I$16,MATCH(G125,Config!$H$5:$H$16,0)),0))</f>
        <v>0</v>
      </c>
      <c r="Q125" s="30">
        <f>IF(OR(H125&lt;&gt;"Realizado",P125="",P125=0),"",A125+P125)</f>
        <v/>
      </c>
      <c r="R125" s="26">
        <f>IF(Q125="","",IF(COUNTIFS($E$5:$E$3004,E125,$A$5:$A$3004,"&gt;"&amp;A125,$H$5:$H$3004,"&lt;&gt;Falta",$H$5:$H$3004,"&lt;&gt;Cancelado",$H$5:$H$3004,"&lt;&gt;Remarcado")&gt;0,"Sim","Não"))</f>
        <v/>
      </c>
      <c r="S125" s="32">
        <f>IF(R125&lt;&gt;"Não","",IF(Q125+Config!$B$9&lt;=Config!$B$8,Config!$B$8-Q125,""))</f>
        <v/>
      </c>
      <c r="T125" s="26">
        <f>IF(S125="","","Sim")</f>
        <v/>
      </c>
      <c r="U125" s="41">
        <f>IF(T125="Sim",S125+ROW()/100000,0)</f>
        <v>0</v>
      </c>
      <c r="V125" s="41">
        <f>IF(AND(H125="Falta",L125=Config!$B$7,M125=Config!$B$5,COUNTIFS($E$5:E125,E125,$H$5:H125,"Falta",$L$5:L125,Config!$B$7,$M$5:M125,Config!$B$5)=1),COUNTIFS($E$5:$E$3004,E125,$H$5:$H$3004,"Falta",$L$5:$L$3004,Config!$B$7,$M$5:$M$3004,Config!$B$5)*1000-ROW()/100000,0)</f>
        <v>0</v>
      </c>
    </row>
    <row r="126">
      <c r="A126" s="39" t="n">
        <v>46185</v>
      </c>
      <c r="B126" s="40" t="n">
        <v>0.4791666666666667</v>
      </c>
      <c r="C126" s="35" t="inlineStr">
        <is>
          <t>Dr. Paulo Andrade</t>
        </is>
      </c>
      <c r="D126" s="35" t="inlineStr">
        <is>
          <t>Sala 2</t>
        </is>
      </c>
      <c r="E126" s="34" t="inlineStr">
        <is>
          <t>Rafael Araújo</t>
        </is>
      </c>
      <c r="F126" s="35" t="inlineStr">
        <is>
          <t>MediPlan</t>
        </is>
      </c>
      <c r="G126" s="35" t="inlineStr">
        <is>
          <t>Consulta</t>
        </is>
      </c>
      <c r="H126" s="35" t="inlineStr">
        <is>
          <t>Cancelado</t>
        </is>
      </c>
      <c r="I126" s="35" t="n"/>
      <c r="J126" s="35" t="n"/>
      <c r="K126" s="34" t="n"/>
      <c r="L126" s="26">
        <f>IF(A126="","",MONTH(A126))</f>
        <v>6</v>
      </c>
      <c r="M126" s="26">
        <f>IF(A126="","",YEAR(A126))</f>
        <v>2026</v>
      </c>
      <c r="N126" s="26" t="str">
        <f>IF(A126="","",CHOOSE(WEEKDAY(A126,2),"Segunda","Terça","Quarta","Quinta","Sexta","Sábado","Domingo"))</f>
        <v>Sexta</v>
      </c>
      <c r="O126" s="26" t="str">
        <f>IF(B126="","",IF(B126&lt;TIME(12,0,0),"Manhã",IF(B126&lt;TIME(18,0,0),"Tarde","Noite")))</f>
        <v>Manhã</v>
      </c>
      <c r="P126" s="32">
        <f>IF(G126="","",IFERROR(INDEX(Config!$I$5:$I$16,MATCH(G126,Config!$H$5:$H$16,0)),0))</f>
        <v>30</v>
      </c>
      <c r="Q126" s="30">
        <f>IF(OR(H126&lt;&gt;"Realizado",P126="",P126=0),"",A126+P126)</f>
        <v/>
      </c>
      <c r="R126" s="26">
        <f>IF(Q126="","",IF(COUNTIFS($E$5:$E$3004,E126,$A$5:$A$3004,"&gt;"&amp;A126,$H$5:$H$3004,"&lt;&gt;Falta",$H$5:$H$3004,"&lt;&gt;Cancelado",$H$5:$H$3004,"&lt;&gt;Remarcado")&gt;0,"Sim","Não"))</f>
        <v/>
      </c>
      <c r="S126" s="32">
        <f>IF(R126&lt;&gt;"Não","",IF(Q126+Config!$B$9&lt;=Config!$B$8,Config!$B$8-Q126,""))</f>
        <v/>
      </c>
      <c r="T126" s="26">
        <f>IF(S126="","","Sim")</f>
        <v/>
      </c>
      <c r="U126" s="41">
        <f>IF(T126="Sim",S126+ROW()/100000,0)</f>
        <v>0</v>
      </c>
      <c r="V126" s="41">
        <f>IF(AND(H126="Falta",L126=Config!$B$7,M126=Config!$B$5,COUNTIFS($E$5:E126,E126,$H$5:H126,"Falta",$L$5:L126,Config!$B$7,$M$5:M126,Config!$B$5)=1),COUNTIFS($E$5:$E$3004,E126,$H$5:$H$3004,"Falta",$L$5:$L$3004,Config!$B$7,$M$5:$M$3004,Config!$B$5)*1000-ROW()/100000,0)</f>
        <v>0</v>
      </c>
    </row>
    <row r="127">
      <c r="A127" s="39" t="n">
        <v>46188</v>
      </c>
      <c r="B127" s="40" t="n">
        <v>0.3333333333333333</v>
      </c>
      <c r="C127" s="35" t="inlineStr">
        <is>
          <t>Dra. Carolina Mendes</t>
        </is>
      </c>
      <c r="D127" s="35" t="inlineStr">
        <is>
          <t>Sala 1</t>
        </is>
      </c>
      <c r="E127" s="34" t="inlineStr">
        <is>
          <t>Mariana Nascimento</t>
        </is>
      </c>
      <c r="F127" s="35" t="inlineStr">
        <is>
          <t>Particular</t>
        </is>
      </c>
      <c r="G127" s="35" t="inlineStr">
        <is>
          <t>Consulta</t>
        </is>
      </c>
      <c r="H127" s="35" t="inlineStr">
        <is>
          <t>Realizado</t>
        </is>
      </c>
      <c r="I127" s="35" t="inlineStr">
        <is>
          <t>Pix</t>
        </is>
      </c>
      <c r="J127" s="35" t="n"/>
      <c r="K127" s="34" t="n"/>
      <c r="L127" s="26">
        <f>IF(A127="","",MONTH(A127))</f>
        <v>6</v>
      </c>
      <c r="M127" s="26">
        <f>IF(A127="","",YEAR(A127))</f>
        <v>2026</v>
      </c>
      <c r="N127" s="26" t="str">
        <f>IF(A127="","",CHOOSE(WEEKDAY(A127,2),"Segunda","Terça","Quarta","Quinta","Sexta","Sábado","Domingo"))</f>
        <v>Segunda</v>
      </c>
      <c r="O127" s="26" t="str">
        <f>IF(B127="","",IF(B127&lt;TIME(12,0,0),"Manhã",IF(B127&lt;TIME(18,0,0),"Tarde","Noite")))</f>
        <v>Manhã</v>
      </c>
      <c r="P127" s="32">
        <f>IF(G127="","",IFERROR(INDEX(Config!$I$5:$I$16,MATCH(G127,Config!$H$5:$H$16,0)),0))</f>
        <v>30</v>
      </c>
      <c r="Q127" s="30">
        <f>IF(OR(H127&lt;&gt;"Realizado",P127="",P127=0),"",A127+P127)</f>
        <v>46218.0</v>
      </c>
      <c r="R127" s="26" t="str">
        <f>IF(Q127="","",IF(COUNTIFS($E$5:$E$3004,E127,$A$5:$A$3004,"&gt;"&amp;A127,$H$5:$H$3004,"&lt;&gt;Falta",$H$5:$H$3004,"&lt;&gt;Cancelado",$H$5:$H$3004,"&lt;&gt;Remarcado")&gt;0,"Sim","Não"))</f>
        <v>Sim</v>
      </c>
      <c r="S127" s="32">
        <f>IF(R127&lt;&gt;"Não","",IF(Q127+Config!$B$9&lt;=Config!$B$8,Config!$B$8-Q127,""))</f>
        <v/>
      </c>
      <c r="T127" s="26">
        <f>IF(S127="","","Sim")</f>
        <v/>
      </c>
      <c r="U127" s="41">
        <f>IF(T127="Sim",S127+ROW()/100000,0)</f>
        <v>0</v>
      </c>
      <c r="V127" s="41">
        <f>IF(AND(H127="Falta",L127=Config!$B$7,M127=Config!$B$5,COUNTIFS($E$5:E127,E127,$H$5:H127,"Falta",$L$5:L127,Config!$B$7,$M$5:M127,Config!$B$5)=1),COUNTIFS($E$5:$E$3004,E127,$H$5:$H$3004,"Falta",$L$5:$L$3004,Config!$B$7,$M$5:$M$3004,Config!$B$5)*1000-ROW()/100000,0)</f>
        <v>0</v>
      </c>
    </row>
    <row r="128">
      <c r="A128" s="39" t="n">
        <v>46188</v>
      </c>
      <c r="B128" s="40" t="n">
        <v>0.3541666666666667</v>
      </c>
      <c r="C128" s="35" t="inlineStr">
        <is>
          <t>Dra. Carolina Mendes</t>
        </is>
      </c>
      <c r="D128" s="35" t="inlineStr">
        <is>
          <t>Sala 1</t>
        </is>
      </c>
      <c r="E128" s="34" t="inlineStr">
        <is>
          <t>Priscila Carvalho</t>
        </is>
      </c>
      <c r="F128" s="35" t="inlineStr">
        <is>
          <t>Vida Care</t>
        </is>
      </c>
      <c r="G128" s="35" t="inlineStr">
        <is>
          <t>Consulta</t>
        </is>
      </c>
      <c r="H128" s="35" t="inlineStr">
        <is>
          <t>Realizado</t>
        </is>
      </c>
      <c r="I128" s="35" t="inlineStr">
        <is>
          <t>Convênio</t>
        </is>
      </c>
      <c r="J128" s="35" t="n"/>
      <c r="K128" s="34" t="n"/>
      <c r="L128" s="26">
        <f>IF(A128="","",MONTH(A128))</f>
        <v>6</v>
      </c>
      <c r="M128" s="26">
        <f>IF(A128="","",YEAR(A128))</f>
        <v>2026</v>
      </c>
      <c r="N128" s="26" t="str">
        <f>IF(A128="","",CHOOSE(WEEKDAY(A128,2),"Segunda","Terça","Quarta","Quinta","Sexta","Sábado","Domingo"))</f>
        <v>Segunda</v>
      </c>
      <c r="O128" s="26" t="str">
        <f>IF(B128="","",IF(B128&lt;TIME(12,0,0),"Manhã",IF(B128&lt;TIME(18,0,0),"Tarde","Noite")))</f>
        <v>Manhã</v>
      </c>
      <c r="P128" s="32">
        <f>IF(G128="","",IFERROR(INDEX(Config!$I$5:$I$16,MATCH(G128,Config!$H$5:$H$16,0)),0))</f>
        <v>30</v>
      </c>
      <c r="Q128" s="30">
        <f>IF(OR(H128&lt;&gt;"Realizado",P128="",P128=0),"",A128+P128)</f>
        <v>46218.0</v>
      </c>
      <c r="R128" s="26" t="str">
        <f>IF(Q128="","",IF(COUNTIFS($E$5:$E$3004,E128,$A$5:$A$3004,"&gt;"&amp;A128,$H$5:$H$3004,"&lt;&gt;Falta",$H$5:$H$3004,"&lt;&gt;Cancelado",$H$5:$H$3004,"&lt;&gt;Remarcado")&gt;0,"Sim","Não"))</f>
        <v>Sim</v>
      </c>
      <c r="S128" s="32">
        <f>IF(R128&lt;&gt;"Não","",IF(Q128+Config!$B$9&lt;=Config!$B$8,Config!$B$8-Q128,""))</f>
        <v/>
      </c>
      <c r="T128" s="26">
        <f>IF(S128="","","Sim")</f>
        <v/>
      </c>
      <c r="U128" s="41">
        <f>IF(T128="Sim",S128+ROW()/100000,0)</f>
        <v>0</v>
      </c>
      <c r="V128" s="41">
        <f>IF(AND(H128="Falta",L128=Config!$B$7,M128=Config!$B$5,COUNTIFS($E$5:E128,E128,$H$5:H128,"Falta",$L$5:L128,Config!$B$7,$M$5:M128,Config!$B$5)=1),COUNTIFS($E$5:$E$3004,E128,$H$5:$H$3004,"Falta",$L$5:$L$3004,Config!$B$7,$M$5:$M$3004,Config!$B$5)*1000-ROW()/100000,0)</f>
        <v>0</v>
      </c>
    </row>
    <row r="129">
      <c r="A129" s="39" t="n">
        <v>46188</v>
      </c>
      <c r="B129" s="40" t="n">
        <v>0.375</v>
      </c>
      <c r="C129" s="35" t="inlineStr">
        <is>
          <t>Dra. Carolina Mendes</t>
        </is>
      </c>
      <c r="D129" s="35" t="inlineStr">
        <is>
          <t>Sala 1</t>
        </is>
      </c>
      <c r="E129" s="34" t="inlineStr">
        <is>
          <t>Rodrigo Gomes</t>
        </is>
      </c>
      <c r="F129" s="35" t="inlineStr">
        <is>
          <t>Vida Care</t>
        </is>
      </c>
      <c r="G129" s="35" t="inlineStr">
        <is>
          <t>Consulta</t>
        </is>
      </c>
      <c r="H129" s="35" t="inlineStr">
        <is>
          <t>Realizado</t>
        </is>
      </c>
      <c r="I129" s="35" t="inlineStr">
        <is>
          <t>Convênio</t>
        </is>
      </c>
      <c r="J129" s="35" t="n"/>
      <c r="K129" s="34" t="n"/>
      <c r="L129" s="26">
        <f>IF(A129="","",MONTH(A129))</f>
        <v>6</v>
      </c>
      <c r="M129" s="26">
        <f>IF(A129="","",YEAR(A129))</f>
        <v>2026</v>
      </c>
      <c r="N129" s="26" t="str">
        <f>IF(A129="","",CHOOSE(WEEKDAY(A129,2),"Segunda","Terça","Quarta","Quinta","Sexta","Sábado","Domingo"))</f>
        <v>Segunda</v>
      </c>
      <c r="O129" s="26" t="str">
        <f>IF(B129="","",IF(B129&lt;TIME(12,0,0),"Manhã",IF(B129&lt;TIME(18,0,0),"Tarde","Noite")))</f>
        <v>Manhã</v>
      </c>
      <c r="P129" s="32">
        <f>IF(G129="","",IFERROR(INDEX(Config!$I$5:$I$16,MATCH(G129,Config!$H$5:$H$16,0)),0))</f>
        <v>30</v>
      </c>
      <c r="Q129" s="30">
        <f>IF(OR(H129&lt;&gt;"Realizado",P129="",P129=0),"",A129+P129)</f>
        <v>46218.0</v>
      </c>
      <c r="R129" s="26" t="str">
        <f>IF(Q129="","",IF(COUNTIFS($E$5:$E$3004,E129,$A$5:$A$3004,"&gt;"&amp;A129,$H$5:$H$3004,"&lt;&gt;Falta",$H$5:$H$3004,"&lt;&gt;Cancelado",$H$5:$H$3004,"&lt;&gt;Remarcado")&gt;0,"Sim","Não"))</f>
        <v>Sim</v>
      </c>
      <c r="S129" s="32">
        <f>IF(R129&lt;&gt;"Não","",IF(Q129+Config!$B$9&lt;=Config!$B$8,Config!$B$8-Q129,""))</f>
        <v/>
      </c>
      <c r="T129" s="26">
        <f>IF(S129="","","Sim")</f>
        <v/>
      </c>
      <c r="U129" s="41">
        <f>IF(T129="Sim",S129+ROW()/100000,0)</f>
        <v>0</v>
      </c>
      <c r="V129" s="41">
        <f>IF(AND(H129="Falta",L129=Config!$B$7,M129=Config!$B$5,COUNTIFS($E$5:E129,E129,$H$5:H129,"Falta",$L$5:L129,Config!$B$7,$M$5:M129,Config!$B$5)=1),COUNTIFS($E$5:$E$3004,E129,$H$5:$H$3004,"Falta",$L$5:$L$3004,Config!$B$7,$M$5:$M$3004,Config!$B$5)*1000-ROW()/100000,0)</f>
        <v>0</v>
      </c>
    </row>
    <row r="130">
      <c r="A130" s="39" t="n">
        <v>46188</v>
      </c>
      <c r="B130" s="40" t="n">
        <v>0.3958333333333333</v>
      </c>
      <c r="C130" s="35" t="inlineStr">
        <is>
          <t>Dra. Carolina Mendes</t>
        </is>
      </c>
      <c r="D130" s="35" t="inlineStr">
        <is>
          <t>Sala 1</t>
        </is>
      </c>
      <c r="E130" s="34" t="inlineStr">
        <is>
          <t>Mônica Martins</t>
        </is>
      </c>
      <c r="F130" s="35" t="inlineStr">
        <is>
          <t>Particular</t>
        </is>
      </c>
      <c r="G130" s="35" t="inlineStr">
        <is>
          <t>Consulta</t>
        </is>
      </c>
      <c r="H130" s="35" t="inlineStr">
        <is>
          <t>Falta</t>
        </is>
      </c>
      <c r="I130" s="35" t="n"/>
      <c r="J130" s="35" t="n"/>
      <c r="K130" s="34" t="n"/>
      <c r="L130" s="26">
        <f>IF(A130="","",MONTH(A130))</f>
        <v>6</v>
      </c>
      <c r="M130" s="26">
        <f>IF(A130="","",YEAR(A130))</f>
        <v>2026</v>
      </c>
      <c r="N130" s="26" t="str">
        <f>IF(A130="","",CHOOSE(WEEKDAY(A130,2),"Segunda","Terça","Quarta","Quinta","Sexta","Sábado","Domingo"))</f>
        <v>Segunda</v>
      </c>
      <c r="O130" s="26" t="str">
        <f>IF(B130="","",IF(B130&lt;TIME(12,0,0),"Manhã",IF(B130&lt;TIME(18,0,0),"Tarde","Noite")))</f>
        <v>Manhã</v>
      </c>
      <c r="P130" s="32">
        <f>IF(G130="","",IFERROR(INDEX(Config!$I$5:$I$16,MATCH(G130,Config!$H$5:$H$16,0)),0))</f>
        <v>30</v>
      </c>
      <c r="Q130" s="30">
        <f>IF(OR(H130&lt;&gt;"Realizado",P130="",P130=0),"",A130+P130)</f>
        <v/>
      </c>
      <c r="R130" s="26">
        <f>IF(Q130="","",IF(COUNTIFS($E$5:$E$3004,E130,$A$5:$A$3004,"&gt;"&amp;A130,$H$5:$H$3004,"&lt;&gt;Falta",$H$5:$H$3004,"&lt;&gt;Cancelado",$H$5:$H$3004,"&lt;&gt;Remarcado")&gt;0,"Sim","Não"))</f>
        <v/>
      </c>
      <c r="S130" s="32">
        <f>IF(R130&lt;&gt;"Não","",IF(Q130+Config!$B$9&lt;=Config!$B$8,Config!$B$8-Q130,""))</f>
        <v/>
      </c>
      <c r="T130" s="26">
        <f>IF(S130="","","Sim")</f>
        <v/>
      </c>
      <c r="U130" s="41">
        <f>IF(T130="Sim",S130+ROW()/100000,0)</f>
        <v>0</v>
      </c>
      <c r="V130" s="41">
        <f>IF(AND(H130="Falta",L130=Config!$B$7,M130=Config!$B$5,COUNTIFS($E$5:E130,E130,$H$5:H130,"Falta",$L$5:L130,Config!$B$7,$M$5:M130,Config!$B$5)=1),COUNTIFS($E$5:$E$3004,E130,$H$5:$H$3004,"Falta",$L$5:$L$3004,Config!$B$7,$M$5:$M$3004,Config!$B$5)*1000-ROW()/100000,0)</f>
        <v>0</v>
      </c>
    </row>
    <row r="131">
      <c r="A131" s="39" t="n">
        <v>46188</v>
      </c>
      <c r="B131" s="40" t="n">
        <v>0.4166666666666667</v>
      </c>
      <c r="C131" s="35" t="inlineStr">
        <is>
          <t>Dra. Carolina Mendes</t>
        </is>
      </c>
      <c r="D131" s="35" t="inlineStr">
        <is>
          <t>Sala 1</t>
        </is>
      </c>
      <c r="E131" s="34" t="inlineStr">
        <is>
          <t>Ana Costa</t>
        </is>
      </c>
      <c r="F131" s="35" t="inlineStr">
        <is>
          <t>Particular</t>
        </is>
      </c>
      <c r="G131" s="35" t="inlineStr">
        <is>
          <t>Consulta</t>
        </is>
      </c>
      <c r="H131" s="35" t="inlineStr">
        <is>
          <t>Realizado</t>
        </is>
      </c>
      <c r="I131" s="35" t="inlineStr">
        <is>
          <t>Cartão de débito</t>
        </is>
      </c>
      <c r="J131" s="35" t="n"/>
      <c r="K131" s="34" t="n"/>
      <c r="L131" s="26">
        <f>IF(A131="","",MONTH(A131))</f>
        <v>6</v>
      </c>
      <c r="M131" s="26">
        <f>IF(A131="","",YEAR(A131))</f>
        <v>2026</v>
      </c>
      <c r="N131" s="26" t="str">
        <f>IF(A131="","",CHOOSE(WEEKDAY(A131,2),"Segunda","Terça","Quarta","Quinta","Sexta","Sábado","Domingo"))</f>
        <v>Segunda</v>
      </c>
      <c r="O131" s="26" t="str">
        <f>IF(B131="","",IF(B131&lt;TIME(12,0,0),"Manhã",IF(B131&lt;TIME(18,0,0),"Tarde","Noite")))</f>
        <v>Manhã</v>
      </c>
      <c r="P131" s="32">
        <f>IF(G131="","",IFERROR(INDEX(Config!$I$5:$I$16,MATCH(G131,Config!$H$5:$H$16,0)),0))</f>
        <v>30</v>
      </c>
      <c r="Q131" s="30">
        <f>IF(OR(H131&lt;&gt;"Realizado",P131="",P131=0),"",A131+P131)</f>
        <v>46218.0</v>
      </c>
      <c r="R131" s="26" t="str">
        <f>IF(Q131="","",IF(COUNTIFS($E$5:$E$3004,E131,$A$5:$A$3004,"&gt;"&amp;A131,$H$5:$H$3004,"&lt;&gt;Falta",$H$5:$H$3004,"&lt;&gt;Cancelado",$H$5:$H$3004,"&lt;&gt;Remarcado")&gt;0,"Sim","Não"))</f>
        <v>Sim</v>
      </c>
      <c r="S131" s="32">
        <f>IF(R131&lt;&gt;"Não","",IF(Q131+Config!$B$9&lt;=Config!$B$8,Config!$B$8-Q131,""))</f>
        <v/>
      </c>
      <c r="T131" s="26">
        <f>IF(S131="","","Sim")</f>
        <v/>
      </c>
      <c r="U131" s="41">
        <f>IF(T131="Sim",S131+ROW()/100000,0)</f>
        <v>0</v>
      </c>
      <c r="V131" s="41">
        <f>IF(AND(H131="Falta",L131=Config!$B$7,M131=Config!$B$5,COUNTIFS($E$5:E131,E131,$H$5:H131,"Falta",$L$5:L131,Config!$B$7,$M$5:M131,Config!$B$5)=1),COUNTIFS($E$5:$E$3004,E131,$H$5:$H$3004,"Falta",$L$5:$L$3004,Config!$B$7,$M$5:$M$3004,Config!$B$5)*1000-ROW()/100000,0)</f>
        <v>0</v>
      </c>
    </row>
    <row r="132">
      <c r="A132" s="39" t="n">
        <v>46188</v>
      </c>
      <c r="B132" s="40" t="n">
        <v>0.4375</v>
      </c>
      <c r="C132" s="35" t="inlineStr">
        <is>
          <t>Dra. Carolina Mendes</t>
        </is>
      </c>
      <c r="D132" s="35" t="inlineStr">
        <is>
          <t>Sala 1</t>
        </is>
      </c>
      <c r="E132" s="34" t="inlineStr">
        <is>
          <t>Cláudia Costa</t>
        </is>
      </c>
      <c r="F132" s="35" t="inlineStr">
        <is>
          <t>Particular</t>
        </is>
      </c>
      <c r="G132" s="35" t="inlineStr">
        <is>
          <t>Consulta</t>
        </is>
      </c>
      <c r="H132" s="35" t="inlineStr">
        <is>
          <t>Realizado</t>
        </is>
      </c>
      <c r="I132" s="35" t="inlineStr">
        <is>
          <t>A prazo</t>
        </is>
      </c>
      <c r="J132" s="35" t="n"/>
      <c r="K132" s="34" t="n"/>
      <c r="L132" s="26">
        <f>IF(A132="","",MONTH(A132))</f>
        <v>6</v>
      </c>
      <c r="M132" s="26">
        <f>IF(A132="","",YEAR(A132))</f>
        <v>2026</v>
      </c>
      <c r="N132" s="26" t="str">
        <f>IF(A132="","",CHOOSE(WEEKDAY(A132,2),"Segunda","Terça","Quarta","Quinta","Sexta","Sábado","Domingo"))</f>
        <v>Segunda</v>
      </c>
      <c r="O132" s="26" t="str">
        <f>IF(B132="","",IF(B132&lt;TIME(12,0,0),"Manhã",IF(B132&lt;TIME(18,0,0),"Tarde","Noite")))</f>
        <v>Manhã</v>
      </c>
      <c r="P132" s="32">
        <f>IF(G132="","",IFERROR(INDEX(Config!$I$5:$I$16,MATCH(G132,Config!$H$5:$H$16,0)),0))</f>
        <v>30</v>
      </c>
      <c r="Q132" s="30">
        <f>IF(OR(H132&lt;&gt;"Realizado",P132="",P132=0),"",A132+P132)</f>
        <v>46218.0</v>
      </c>
      <c r="R132" s="26" t="str">
        <f>IF(Q132="","",IF(COUNTIFS($E$5:$E$3004,E132,$A$5:$A$3004,"&gt;"&amp;A132,$H$5:$H$3004,"&lt;&gt;Falta",$H$5:$H$3004,"&lt;&gt;Cancelado",$H$5:$H$3004,"&lt;&gt;Remarcado")&gt;0,"Sim","Não"))</f>
        <v>Sim</v>
      </c>
      <c r="S132" s="32">
        <f>IF(R132&lt;&gt;"Não","",IF(Q132+Config!$B$9&lt;=Config!$B$8,Config!$B$8-Q132,""))</f>
        <v/>
      </c>
      <c r="T132" s="26">
        <f>IF(S132="","","Sim")</f>
        <v/>
      </c>
      <c r="U132" s="41">
        <f>IF(T132="Sim",S132+ROW()/100000,0)</f>
        <v>0</v>
      </c>
      <c r="V132" s="41">
        <f>IF(AND(H132="Falta",L132=Config!$B$7,M132=Config!$B$5,COUNTIFS($E$5:E132,E132,$H$5:H132,"Falta",$L$5:L132,Config!$B$7,$M$5:M132,Config!$B$5)=1),COUNTIFS($E$5:$E$3004,E132,$H$5:$H$3004,"Falta",$L$5:$L$3004,Config!$B$7,$M$5:$M$3004,Config!$B$5)*1000-ROW()/100000,0)</f>
        <v>0</v>
      </c>
    </row>
    <row r="133">
      <c r="A133" s="39" t="n">
        <v>46188</v>
      </c>
      <c r="B133" s="40" t="n">
        <v>0.4791666666666667</v>
      </c>
      <c r="C133" s="35" t="inlineStr">
        <is>
          <t>Dra. Carolina Mendes</t>
        </is>
      </c>
      <c r="D133" s="35" t="inlineStr">
        <is>
          <t>Sala 1</t>
        </is>
      </c>
      <c r="E133" s="34" t="inlineStr">
        <is>
          <t>Leandro Oliveira</t>
        </is>
      </c>
      <c r="F133" s="35" t="inlineStr">
        <is>
          <t>Particular</t>
        </is>
      </c>
      <c r="G133" s="35" t="inlineStr">
        <is>
          <t>Consulta</t>
        </is>
      </c>
      <c r="H133" s="35" t="inlineStr">
        <is>
          <t>Realizado</t>
        </is>
      </c>
      <c r="I133" s="35" t="inlineStr">
        <is>
          <t>Cartão de crédito</t>
        </is>
      </c>
      <c r="J133" s="35" t="n"/>
      <c r="K133" s="34" t="n"/>
      <c r="L133" s="26">
        <f>IF(A133="","",MONTH(A133))</f>
        <v>6</v>
      </c>
      <c r="M133" s="26">
        <f>IF(A133="","",YEAR(A133))</f>
        <v>2026</v>
      </c>
      <c r="N133" s="26" t="str">
        <f>IF(A133="","",CHOOSE(WEEKDAY(A133,2),"Segunda","Terça","Quarta","Quinta","Sexta","Sábado","Domingo"))</f>
        <v>Segunda</v>
      </c>
      <c r="O133" s="26" t="str">
        <f>IF(B133="","",IF(B133&lt;TIME(12,0,0),"Manhã",IF(B133&lt;TIME(18,0,0),"Tarde","Noite")))</f>
        <v>Manhã</v>
      </c>
      <c r="P133" s="32">
        <f>IF(G133="","",IFERROR(INDEX(Config!$I$5:$I$16,MATCH(G133,Config!$H$5:$H$16,0)),0))</f>
        <v>30</v>
      </c>
      <c r="Q133" s="30">
        <f>IF(OR(H133&lt;&gt;"Realizado",P133="",P133=0),"",A133+P133)</f>
        <v>46218.0</v>
      </c>
      <c r="R133" s="26" t="str">
        <f>IF(Q133="","",IF(COUNTIFS($E$5:$E$3004,E133,$A$5:$A$3004,"&gt;"&amp;A133,$H$5:$H$3004,"&lt;&gt;Falta",$H$5:$H$3004,"&lt;&gt;Cancelado",$H$5:$H$3004,"&lt;&gt;Remarcado")&gt;0,"Sim","Não"))</f>
        <v>Sim</v>
      </c>
      <c r="S133" s="32">
        <f>IF(R133&lt;&gt;"Não","",IF(Q133+Config!$B$9&lt;=Config!$B$8,Config!$B$8-Q133,""))</f>
        <v/>
      </c>
      <c r="T133" s="26">
        <f>IF(S133="","","Sim")</f>
        <v/>
      </c>
      <c r="U133" s="41">
        <f>IF(T133="Sim",S133+ROW()/100000,0)</f>
        <v>0</v>
      </c>
      <c r="V133" s="41">
        <f>IF(AND(H133="Falta",L133=Config!$B$7,M133=Config!$B$5,COUNTIFS($E$5:E133,E133,$H$5:H133,"Falta",$L$5:L133,Config!$B$7,$M$5:M133,Config!$B$5)=1),COUNTIFS($E$5:$E$3004,E133,$H$5:$H$3004,"Falta",$L$5:$L$3004,Config!$B$7,$M$5:$M$3004,Config!$B$5)*1000-ROW()/100000,0)</f>
        <v>0</v>
      </c>
    </row>
    <row r="134">
      <c r="A134" s="39" t="n">
        <v>46188</v>
      </c>
      <c r="B134" s="40" t="n">
        <v>0.5833333333333334</v>
      </c>
      <c r="C134" s="35" t="inlineStr">
        <is>
          <t>Dr. Paulo Andrade</t>
        </is>
      </c>
      <c r="D134" s="35" t="inlineStr">
        <is>
          <t>Sala 2</t>
        </is>
      </c>
      <c r="E134" s="34" t="inlineStr">
        <is>
          <t>Sandra Cardoso</t>
        </is>
      </c>
      <c r="F134" s="35" t="inlineStr">
        <is>
          <t>Saúde Total</t>
        </is>
      </c>
      <c r="G134" s="35" t="inlineStr">
        <is>
          <t>Retorno</t>
        </is>
      </c>
      <c r="H134" s="35" t="inlineStr">
        <is>
          <t>Realizado</t>
        </is>
      </c>
      <c r="I134" s="35" t="inlineStr">
        <is>
          <t>Sem cobrança</t>
        </is>
      </c>
      <c r="J134" s="35" t="n"/>
      <c r="K134" s="34" t="n"/>
      <c r="L134" s="26">
        <f>IF(A134="","",MONTH(A134))</f>
        <v>6</v>
      </c>
      <c r="M134" s="26">
        <f>IF(A134="","",YEAR(A134))</f>
        <v>2026</v>
      </c>
      <c r="N134" s="26" t="str">
        <f>IF(A134="","",CHOOSE(WEEKDAY(A134,2),"Segunda","Terça","Quarta","Quinta","Sexta","Sábado","Domingo"))</f>
        <v>Segunda</v>
      </c>
      <c r="O134" s="26" t="str">
        <f>IF(B134="","",IF(B134&lt;TIME(12,0,0),"Manhã",IF(B134&lt;TIME(18,0,0),"Tarde","Noite")))</f>
        <v>Tarde</v>
      </c>
      <c r="P134" s="32">
        <f>IF(G134="","",IFERROR(INDEX(Config!$I$5:$I$16,MATCH(G134,Config!$H$5:$H$16,0)),0))</f>
        <v>0</v>
      </c>
      <c r="Q134" s="30">
        <f>IF(OR(H134&lt;&gt;"Realizado",P134="",P134=0),"",A134+P134)</f>
        <v/>
      </c>
      <c r="R134" s="26">
        <f>IF(Q134="","",IF(COUNTIFS($E$5:$E$3004,E134,$A$5:$A$3004,"&gt;"&amp;A134,$H$5:$H$3004,"&lt;&gt;Falta",$H$5:$H$3004,"&lt;&gt;Cancelado",$H$5:$H$3004,"&lt;&gt;Remarcado")&gt;0,"Sim","Não"))</f>
        <v/>
      </c>
      <c r="S134" s="32">
        <f>IF(R134&lt;&gt;"Não","",IF(Q134+Config!$B$9&lt;=Config!$B$8,Config!$B$8-Q134,""))</f>
        <v/>
      </c>
      <c r="T134" s="26">
        <f>IF(S134="","","Sim")</f>
        <v/>
      </c>
      <c r="U134" s="41">
        <f>IF(T134="Sim",S134+ROW()/100000,0)</f>
        <v>0</v>
      </c>
      <c r="V134" s="41">
        <f>IF(AND(H134="Falta",L134=Config!$B$7,M134=Config!$B$5,COUNTIFS($E$5:E134,E134,$H$5:H134,"Falta",$L$5:L134,Config!$B$7,$M$5:M134,Config!$B$5)=1),COUNTIFS($E$5:$E$3004,E134,$H$5:$H$3004,"Falta",$L$5:$L$3004,Config!$B$7,$M$5:$M$3004,Config!$B$5)*1000-ROW()/100000,0)</f>
        <v>0</v>
      </c>
    </row>
    <row r="135">
      <c r="A135" s="39" t="n">
        <v>46188</v>
      </c>
      <c r="B135" s="40" t="n">
        <v>0.5972222222222222</v>
      </c>
      <c r="C135" s="35" t="inlineStr">
        <is>
          <t>Dr. Paulo Andrade</t>
        </is>
      </c>
      <c r="D135" s="35" t="inlineStr">
        <is>
          <t>Sala 2</t>
        </is>
      </c>
      <c r="E135" s="34" t="inlineStr">
        <is>
          <t>Lucas Cardoso</t>
        </is>
      </c>
      <c r="F135" s="35" t="inlineStr">
        <is>
          <t>Particular</t>
        </is>
      </c>
      <c r="G135" s="35" t="inlineStr">
        <is>
          <t>Consulta</t>
        </is>
      </c>
      <c r="H135" s="35" t="inlineStr">
        <is>
          <t>Realizado</t>
        </is>
      </c>
      <c r="I135" s="35" t="inlineStr">
        <is>
          <t>Cartão de crédito</t>
        </is>
      </c>
      <c r="J135" s="35" t="n"/>
      <c r="K135" s="34" t="n"/>
      <c r="L135" s="26">
        <f>IF(A135="","",MONTH(A135))</f>
        <v>6</v>
      </c>
      <c r="M135" s="26">
        <f>IF(A135="","",YEAR(A135))</f>
        <v>2026</v>
      </c>
      <c r="N135" s="26" t="str">
        <f>IF(A135="","",CHOOSE(WEEKDAY(A135,2),"Segunda","Terça","Quarta","Quinta","Sexta","Sábado","Domingo"))</f>
        <v>Segunda</v>
      </c>
      <c r="O135" s="26" t="str">
        <f>IF(B135="","",IF(B135&lt;TIME(12,0,0),"Manhã",IF(B135&lt;TIME(18,0,0),"Tarde","Noite")))</f>
        <v>Tarde</v>
      </c>
      <c r="P135" s="32">
        <f>IF(G135="","",IFERROR(INDEX(Config!$I$5:$I$16,MATCH(G135,Config!$H$5:$H$16,0)),0))</f>
        <v>30</v>
      </c>
      <c r="Q135" s="30">
        <f>IF(OR(H135&lt;&gt;"Realizado",P135="",P135=0),"",A135+P135)</f>
        <v>46218.0</v>
      </c>
      <c r="R135" s="26" t="str">
        <f>IF(Q135="","",IF(COUNTIFS($E$5:$E$3004,E135,$A$5:$A$3004,"&gt;"&amp;A135,$H$5:$H$3004,"&lt;&gt;Falta",$H$5:$H$3004,"&lt;&gt;Cancelado",$H$5:$H$3004,"&lt;&gt;Remarcado")&gt;0,"Sim","Não"))</f>
        <v>Sim</v>
      </c>
      <c r="S135" s="32">
        <f>IF(R135&lt;&gt;"Não","",IF(Q135+Config!$B$9&lt;=Config!$B$8,Config!$B$8-Q135,""))</f>
        <v/>
      </c>
      <c r="T135" s="26">
        <f>IF(S135="","","Sim")</f>
        <v/>
      </c>
      <c r="U135" s="41">
        <f>IF(T135="Sim",S135+ROW()/100000,0)</f>
        <v>0</v>
      </c>
      <c r="V135" s="41">
        <f>IF(AND(H135="Falta",L135=Config!$B$7,M135=Config!$B$5,COUNTIFS($E$5:E135,E135,$H$5:H135,"Falta",$L$5:L135,Config!$B$7,$M$5:M135,Config!$B$5)=1),COUNTIFS($E$5:$E$3004,E135,$H$5:$H$3004,"Falta",$L$5:$L$3004,Config!$B$7,$M$5:$M$3004,Config!$B$5)*1000-ROW()/100000,0)</f>
        <v>0</v>
      </c>
    </row>
    <row r="136">
      <c r="A136" s="39" t="n">
        <v>46188</v>
      </c>
      <c r="B136" s="40" t="n">
        <v>0.6388888888888888</v>
      </c>
      <c r="C136" s="35" t="inlineStr">
        <is>
          <t>Dr. Paulo Andrade</t>
        </is>
      </c>
      <c r="D136" s="35" t="inlineStr">
        <is>
          <t>Sala 2</t>
        </is>
      </c>
      <c r="E136" s="34" t="inlineStr">
        <is>
          <t>Rafael Barros</t>
        </is>
      </c>
      <c r="F136" s="35" t="inlineStr">
        <is>
          <t>Particular</t>
        </is>
      </c>
      <c r="G136" s="35" t="inlineStr">
        <is>
          <t>Holter</t>
        </is>
      </c>
      <c r="H136" s="35" t="inlineStr">
        <is>
          <t>Realizado</t>
        </is>
      </c>
      <c r="I136" s="35" t="inlineStr">
        <is>
          <t>A prazo</t>
        </is>
      </c>
      <c r="J136" s="35" t="n"/>
      <c r="K136" s="34" t="n"/>
      <c r="L136" s="26">
        <f>IF(A136="","",MONTH(A136))</f>
        <v>6</v>
      </c>
      <c r="M136" s="26">
        <f>IF(A136="","",YEAR(A136))</f>
        <v>2026</v>
      </c>
      <c r="N136" s="26" t="str">
        <f>IF(A136="","",CHOOSE(WEEKDAY(A136,2),"Segunda","Terça","Quarta","Quinta","Sexta","Sábado","Domingo"))</f>
        <v>Segunda</v>
      </c>
      <c r="O136" s="26" t="str">
        <f>IF(B136="","",IF(B136&lt;TIME(12,0,0),"Manhã",IF(B136&lt;TIME(18,0,0),"Tarde","Noite")))</f>
        <v>Tarde</v>
      </c>
      <c r="P136" s="32">
        <f>IF(G136="","",IFERROR(INDEX(Config!$I$5:$I$16,MATCH(G136,Config!$H$5:$H$16,0)),0))</f>
        <v>0</v>
      </c>
      <c r="Q136" s="30">
        <f>IF(OR(H136&lt;&gt;"Realizado",P136="",P136=0),"",A136+P136)</f>
        <v/>
      </c>
      <c r="R136" s="26">
        <f>IF(Q136="","",IF(COUNTIFS($E$5:$E$3004,E136,$A$5:$A$3004,"&gt;"&amp;A136,$H$5:$H$3004,"&lt;&gt;Falta",$H$5:$H$3004,"&lt;&gt;Cancelado",$H$5:$H$3004,"&lt;&gt;Remarcado")&gt;0,"Sim","Não"))</f>
        <v/>
      </c>
      <c r="S136" s="32">
        <f>IF(R136&lt;&gt;"Não","",IF(Q136+Config!$B$9&lt;=Config!$B$8,Config!$B$8-Q136,""))</f>
        <v/>
      </c>
      <c r="T136" s="26">
        <f>IF(S136="","","Sim")</f>
        <v/>
      </c>
      <c r="U136" s="41">
        <f>IF(T136="Sim",S136+ROW()/100000,0)</f>
        <v>0</v>
      </c>
      <c r="V136" s="41">
        <f>IF(AND(H136="Falta",L136=Config!$B$7,M136=Config!$B$5,COUNTIFS($E$5:E136,E136,$H$5:H136,"Falta",$L$5:L136,Config!$B$7,$M$5:M136,Config!$B$5)=1),COUNTIFS($E$5:$E$3004,E136,$H$5:$H$3004,"Falta",$L$5:$L$3004,Config!$B$7,$M$5:$M$3004,Config!$B$5)*1000-ROW()/100000,0)</f>
        <v>0</v>
      </c>
    </row>
    <row r="137">
      <c r="A137" s="39" t="n">
        <v>46188</v>
      </c>
      <c r="B137" s="40" t="n">
        <v>0.6736111111111112</v>
      </c>
      <c r="C137" s="35" t="inlineStr">
        <is>
          <t>Dr. Paulo Andrade</t>
        </is>
      </c>
      <c r="D137" s="35" t="inlineStr">
        <is>
          <t>Sala 2</t>
        </is>
      </c>
      <c r="E137" s="34" t="inlineStr">
        <is>
          <t>Rafael Araújo</t>
        </is>
      </c>
      <c r="F137" s="35" t="inlineStr">
        <is>
          <t>MediPlan</t>
        </is>
      </c>
      <c r="G137" s="35" t="inlineStr">
        <is>
          <t>Consulta</t>
        </is>
      </c>
      <c r="H137" s="35" t="inlineStr">
        <is>
          <t>Remarcado</t>
        </is>
      </c>
      <c r="I137" s="35" t="n"/>
      <c r="J137" s="35" t="n"/>
      <c r="K137" s="34" t="inlineStr">
        <is>
          <t>Paciente pediu outra data</t>
        </is>
      </c>
      <c r="L137" s="26">
        <f>IF(A137="","",MONTH(A137))</f>
        <v>6</v>
      </c>
      <c r="M137" s="26">
        <f>IF(A137="","",YEAR(A137))</f>
        <v>2026</v>
      </c>
      <c r="N137" s="26" t="str">
        <f>IF(A137="","",CHOOSE(WEEKDAY(A137,2),"Segunda","Terça","Quarta","Quinta","Sexta","Sábado","Domingo"))</f>
        <v>Segunda</v>
      </c>
      <c r="O137" s="26" t="str">
        <f>IF(B137="","",IF(B137&lt;TIME(12,0,0),"Manhã",IF(B137&lt;TIME(18,0,0),"Tarde","Noite")))</f>
        <v>Tarde</v>
      </c>
      <c r="P137" s="32">
        <f>IF(G137="","",IFERROR(INDEX(Config!$I$5:$I$16,MATCH(G137,Config!$H$5:$H$16,0)),0))</f>
        <v>30</v>
      </c>
      <c r="Q137" s="30">
        <f>IF(OR(H137&lt;&gt;"Realizado",P137="",P137=0),"",A137+P137)</f>
        <v/>
      </c>
      <c r="R137" s="26">
        <f>IF(Q137="","",IF(COUNTIFS($E$5:$E$3004,E137,$A$5:$A$3004,"&gt;"&amp;A137,$H$5:$H$3004,"&lt;&gt;Falta",$H$5:$H$3004,"&lt;&gt;Cancelado",$H$5:$H$3004,"&lt;&gt;Remarcado")&gt;0,"Sim","Não"))</f>
        <v/>
      </c>
      <c r="S137" s="32">
        <f>IF(R137&lt;&gt;"Não","",IF(Q137+Config!$B$9&lt;=Config!$B$8,Config!$B$8-Q137,""))</f>
        <v/>
      </c>
      <c r="T137" s="26">
        <f>IF(S137="","","Sim")</f>
        <v/>
      </c>
      <c r="U137" s="41">
        <f>IF(T137="Sim",S137+ROW()/100000,0)</f>
        <v>0</v>
      </c>
      <c r="V137" s="41">
        <f>IF(AND(H137="Falta",L137=Config!$B$7,M137=Config!$B$5,COUNTIFS($E$5:E137,E137,$H$5:H137,"Falta",$L$5:L137,Config!$B$7,$M$5:M137,Config!$B$5)=1),COUNTIFS($E$5:$E$3004,E137,$H$5:$H$3004,"Falta",$L$5:$L$3004,Config!$B$7,$M$5:$M$3004,Config!$B$5)*1000-ROW()/100000,0)</f>
        <v>0</v>
      </c>
    </row>
    <row r="138">
      <c r="A138" s="39" t="n">
        <v>46188</v>
      </c>
      <c r="B138" s="40" t="n">
        <v>0.6944444444444444</v>
      </c>
      <c r="C138" s="35" t="inlineStr">
        <is>
          <t>Dr. Paulo Andrade</t>
        </is>
      </c>
      <c r="D138" s="35" t="inlineStr">
        <is>
          <t>Sala 2</t>
        </is>
      </c>
      <c r="E138" s="34" t="inlineStr">
        <is>
          <t>Isabela Pinto</t>
        </is>
      </c>
      <c r="F138" s="35" t="inlineStr">
        <is>
          <t>Saúde Total</t>
        </is>
      </c>
      <c r="G138" s="35" t="inlineStr">
        <is>
          <t>ECG</t>
        </is>
      </c>
      <c r="H138" s="35" t="inlineStr">
        <is>
          <t>Realizado</t>
        </is>
      </c>
      <c r="I138" s="35" t="inlineStr">
        <is>
          <t>Convênio</t>
        </is>
      </c>
      <c r="J138" s="35" t="n"/>
      <c r="K138" s="34" t="n"/>
      <c r="L138" s="26">
        <f>IF(A138="","",MONTH(A138))</f>
        <v>6</v>
      </c>
      <c r="M138" s="26">
        <f>IF(A138="","",YEAR(A138))</f>
        <v>2026</v>
      </c>
      <c r="N138" s="26" t="str">
        <f>IF(A138="","",CHOOSE(WEEKDAY(A138,2),"Segunda","Terça","Quarta","Quinta","Sexta","Sábado","Domingo"))</f>
        <v>Segunda</v>
      </c>
      <c r="O138" s="26" t="str">
        <f>IF(B138="","",IF(B138&lt;TIME(12,0,0),"Manhã",IF(B138&lt;TIME(18,0,0),"Tarde","Noite")))</f>
        <v>Tarde</v>
      </c>
      <c r="P138" s="32">
        <f>IF(G138="","",IFERROR(INDEX(Config!$I$5:$I$16,MATCH(G138,Config!$H$5:$H$16,0)),0))</f>
        <v>0</v>
      </c>
      <c r="Q138" s="30">
        <f>IF(OR(H138&lt;&gt;"Realizado",P138="",P138=0),"",A138+P138)</f>
        <v/>
      </c>
      <c r="R138" s="26">
        <f>IF(Q138="","",IF(COUNTIFS($E$5:$E$3004,E138,$A$5:$A$3004,"&gt;"&amp;A138,$H$5:$H$3004,"&lt;&gt;Falta",$H$5:$H$3004,"&lt;&gt;Cancelado",$H$5:$H$3004,"&lt;&gt;Remarcado")&gt;0,"Sim","Não"))</f>
        <v/>
      </c>
      <c r="S138" s="32">
        <f>IF(R138&lt;&gt;"Não","",IF(Q138+Config!$B$9&lt;=Config!$B$8,Config!$B$8-Q138,""))</f>
        <v/>
      </c>
      <c r="T138" s="26">
        <f>IF(S138="","","Sim")</f>
        <v/>
      </c>
      <c r="U138" s="41">
        <f>IF(T138="Sim",S138+ROW()/100000,0)</f>
        <v>0</v>
      </c>
      <c r="V138" s="41">
        <f>IF(AND(H138="Falta",L138=Config!$B$7,M138=Config!$B$5,COUNTIFS($E$5:E138,E138,$H$5:H138,"Falta",$L$5:L138,Config!$B$7,$M$5:M138,Config!$B$5)=1),COUNTIFS($E$5:$E$3004,E138,$H$5:$H$3004,"Falta",$L$5:$L$3004,Config!$B$7,$M$5:$M$3004,Config!$B$5)*1000-ROW()/100000,0)</f>
        <v>0</v>
      </c>
    </row>
    <row r="139">
      <c r="A139" s="39" t="n">
        <v>46188</v>
      </c>
      <c r="B139" s="40" t="n">
        <v>0.7291666666666666</v>
      </c>
      <c r="C139" s="35" t="inlineStr">
        <is>
          <t>Dr. Paulo Andrade</t>
        </is>
      </c>
      <c r="D139" s="35" t="inlineStr">
        <is>
          <t>Sala 2</t>
        </is>
      </c>
      <c r="E139" s="34" t="inlineStr">
        <is>
          <t>Paulo Nascimento</t>
        </is>
      </c>
      <c r="F139" s="35" t="inlineStr">
        <is>
          <t>MediPlan</t>
        </is>
      </c>
      <c r="G139" s="35" t="inlineStr">
        <is>
          <t>Consulta</t>
        </is>
      </c>
      <c r="H139" s="35" t="inlineStr">
        <is>
          <t>Realizado</t>
        </is>
      </c>
      <c r="I139" s="35" t="inlineStr">
        <is>
          <t>Convênio</t>
        </is>
      </c>
      <c r="J139" s="35" t="n"/>
      <c r="K139" s="34" t="n"/>
      <c r="L139" s="26">
        <f>IF(A139="","",MONTH(A139))</f>
        <v>6</v>
      </c>
      <c r="M139" s="26">
        <f>IF(A139="","",YEAR(A139))</f>
        <v>2026</v>
      </c>
      <c r="N139" s="26" t="str">
        <f>IF(A139="","",CHOOSE(WEEKDAY(A139,2),"Segunda","Terça","Quarta","Quinta","Sexta","Sábado","Domingo"))</f>
        <v>Segunda</v>
      </c>
      <c r="O139" s="26" t="str">
        <f>IF(B139="","",IF(B139&lt;TIME(12,0,0),"Manhã",IF(B139&lt;TIME(18,0,0),"Tarde","Noite")))</f>
        <v>Tarde</v>
      </c>
      <c r="P139" s="32">
        <f>IF(G139="","",IFERROR(INDEX(Config!$I$5:$I$16,MATCH(G139,Config!$H$5:$H$16,0)),0))</f>
        <v>30</v>
      </c>
      <c r="Q139" s="30">
        <f>IF(OR(H139&lt;&gt;"Realizado",P139="",P139=0),"",A139+P139)</f>
        <v>46218.0</v>
      </c>
      <c r="R139" s="26" t="str">
        <f>IF(Q139="","",IF(COUNTIFS($E$5:$E$3004,E139,$A$5:$A$3004,"&gt;"&amp;A139,$H$5:$H$3004,"&lt;&gt;Falta",$H$5:$H$3004,"&lt;&gt;Cancelado",$H$5:$H$3004,"&lt;&gt;Remarcado")&gt;0,"Sim","Não"))</f>
        <v>Sim</v>
      </c>
      <c r="S139" s="32">
        <f>IF(R139&lt;&gt;"Não","",IF(Q139+Config!$B$9&lt;=Config!$B$8,Config!$B$8-Q139,""))</f>
        <v/>
      </c>
      <c r="T139" s="26">
        <f>IF(S139="","","Sim")</f>
        <v/>
      </c>
      <c r="U139" s="41">
        <f>IF(T139="Sim",S139+ROW()/100000,0)</f>
        <v>0</v>
      </c>
      <c r="V139" s="41">
        <f>IF(AND(H139="Falta",L139=Config!$B$7,M139=Config!$B$5,COUNTIFS($E$5:E139,E139,$H$5:H139,"Falta",$L$5:L139,Config!$B$7,$M$5:M139,Config!$B$5)=1),COUNTIFS($E$5:$E$3004,E139,$H$5:$H$3004,"Falta",$L$5:$L$3004,Config!$B$7,$M$5:$M$3004,Config!$B$5)*1000-ROW()/100000,0)</f>
        <v>0</v>
      </c>
    </row>
    <row r="140">
      <c r="A140" s="39" t="n">
        <v>46189</v>
      </c>
      <c r="B140" s="40" t="n">
        <v>0.3333333333333333</v>
      </c>
      <c r="C140" s="35" t="inlineStr">
        <is>
          <t>Dra. Carolina Mendes</t>
        </is>
      </c>
      <c r="D140" s="35" t="inlineStr">
        <is>
          <t>Sala 1</t>
        </is>
      </c>
      <c r="E140" s="34" t="inlineStr">
        <is>
          <t>Sandra Barros</t>
        </is>
      </c>
      <c r="F140" s="35" t="inlineStr">
        <is>
          <t>Saúde Total</t>
        </is>
      </c>
      <c r="G140" s="35" t="inlineStr">
        <is>
          <t>Consulta</t>
        </is>
      </c>
      <c r="H140" s="35" t="inlineStr">
        <is>
          <t>Realizado</t>
        </is>
      </c>
      <c r="I140" s="35" t="inlineStr">
        <is>
          <t>Convênio</t>
        </is>
      </c>
      <c r="J140" s="35" t="n"/>
      <c r="K140" s="34" t="n"/>
      <c r="L140" s="26">
        <f>IF(A140="","",MONTH(A140))</f>
        <v>6</v>
      </c>
      <c r="M140" s="26">
        <f>IF(A140="","",YEAR(A140))</f>
        <v>2026</v>
      </c>
      <c r="N140" s="26" t="str">
        <f>IF(A140="","",CHOOSE(WEEKDAY(A140,2),"Segunda","Terça","Quarta","Quinta","Sexta","Sábado","Domingo"))</f>
        <v>Terça</v>
      </c>
      <c r="O140" s="26" t="str">
        <f>IF(B140="","",IF(B140&lt;TIME(12,0,0),"Manhã",IF(B140&lt;TIME(18,0,0),"Tarde","Noite")))</f>
        <v>Manhã</v>
      </c>
      <c r="P140" s="32">
        <f>IF(G140="","",IFERROR(INDEX(Config!$I$5:$I$16,MATCH(G140,Config!$H$5:$H$16,0)),0))</f>
        <v>30</v>
      </c>
      <c r="Q140" s="30">
        <f>IF(OR(H140&lt;&gt;"Realizado",P140="",P140=0),"",A140+P140)</f>
        <v>46219.0</v>
      </c>
      <c r="R140" s="26" t="str">
        <f>IF(Q140="","",IF(COUNTIFS($E$5:$E$3004,E140,$A$5:$A$3004,"&gt;"&amp;A140,$H$5:$H$3004,"&lt;&gt;Falta",$H$5:$H$3004,"&lt;&gt;Cancelado",$H$5:$H$3004,"&lt;&gt;Remarcado")&gt;0,"Sim","Não"))</f>
        <v>Sim</v>
      </c>
      <c r="S140" s="32">
        <f>IF(R140&lt;&gt;"Não","",IF(Q140+Config!$B$9&lt;=Config!$B$8,Config!$B$8-Q140,""))</f>
        <v/>
      </c>
      <c r="T140" s="26">
        <f>IF(S140="","","Sim")</f>
        <v/>
      </c>
      <c r="U140" s="41">
        <f>IF(T140="Sim",S140+ROW()/100000,0)</f>
        <v>0</v>
      </c>
      <c r="V140" s="41">
        <f>IF(AND(H140="Falta",L140=Config!$B$7,M140=Config!$B$5,COUNTIFS($E$5:E140,E140,$H$5:H140,"Falta",$L$5:L140,Config!$B$7,$M$5:M140,Config!$B$5)=1),COUNTIFS($E$5:$E$3004,E140,$H$5:$H$3004,"Falta",$L$5:$L$3004,Config!$B$7,$M$5:$M$3004,Config!$B$5)*1000-ROW()/100000,0)</f>
        <v>0</v>
      </c>
    </row>
    <row r="141">
      <c r="A141" s="39" t="n">
        <v>46189</v>
      </c>
      <c r="B141" s="40" t="n">
        <v>0.3541666666666667</v>
      </c>
      <c r="C141" s="35" t="inlineStr">
        <is>
          <t>Dra. Carolina Mendes</t>
        </is>
      </c>
      <c r="D141" s="35" t="inlineStr">
        <is>
          <t>Sala 1</t>
        </is>
      </c>
      <c r="E141" s="34" t="inlineStr">
        <is>
          <t>Mônica Martins</t>
        </is>
      </c>
      <c r="F141" s="35" t="inlineStr">
        <is>
          <t>Particular</t>
        </is>
      </c>
      <c r="G141" s="35" t="inlineStr">
        <is>
          <t>Consulta</t>
        </is>
      </c>
      <c r="H141" s="35" t="inlineStr">
        <is>
          <t>Realizado</t>
        </is>
      </c>
      <c r="I141" s="35" t="inlineStr">
        <is>
          <t>Pix</t>
        </is>
      </c>
      <c r="J141" s="35" t="n"/>
      <c r="K141" s="34" t="n"/>
      <c r="L141" s="26">
        <f>IF(A141="","",MONTH(A141))</f>
        <v>6</v>
      </c>
      <c r="M141" s="26">
        <f>IF(A141="","",YEAR(A141))</f>
        <v>2026</v>
      </c>
      <c r="N141" s="26" t="str">
        <f>IF(A141="","",CHOOSE(WEEKDAY(A141,2),"Segunda","Terça","Quarta","Quinta","Sexta","Sábado","Domingo"))</f>
        <v>Terça</v>
      </c>
      <c r="O141" s="26" t="str">
        <f>IF(B141="","",IF(B141&lt;TIME(12,0,0),"Manhã",IF(B141&lt;TIME(18,0,0),"Tarde","Noite")))</f>
        <v>Manhã</v>
      </c>
      <c r="P141" s="32">
        <f>IF(G141="","",IFERROR(INDEX(Config!$I$5:$I$16,MATCH(G141,Config!$H$5:$H$16,0)),0))</f>
        <v>30</v>
      </c>
      <c r="Q141" s="30">
        <f>IF(OR(H141&lt;&gt;"Realizado",P141="",P141=0),"",A141+P141)</f>
        <v>46219.0</v>
      </c>
      <c r="R141" s="26" t="str">
        <f>IF(Q141="","",IF(COUNTIFS($E$5:$E$3004,E141,$A$5:$A$3004,"&gt;"&amp;A141,$H$5:$H$3004,"&lt;&gt;Falta",$H$5:$H$3004,"&lt;&gt;Cancelado",$H$5:$H$3004,"&lt;&gt;Remarcado")&gt;0,"Sim","Não"))</f>
        <v>Sim</v>
      </c>
      <c r="S141" s="32">
        <f>IF(R141&lt;&gt;"Não","",IF(Q141+Config!$B$9&lt;=Config!$B$8,Config!$B$8-Q141,""))</f>
        <v/>
      </c>
      <c r="T141" s="26">
        <f>IF(S141="","","Sim")</f>
        <v/>
      </c>
      <c r="U141" s="41">
        <f>IF(T141="Sim",S141+ROW()/100000,0)</f>
        <v>0</v>
      </c>
      <c r="V141" s="41">
        <f>IF(AND(H141="Falta",L141=Config!$B$7,M141=Config!$B$5,COUNTIFS($E$5:E141,E141,$H$5:H141,"Falta",$L$5:L141,Config!$B$7,$M$5:M141,Config!$B$5)=1),COUNTIFS($E$5:$E$3004,E141,$H$5:$H$3004,"Falta",$L$5:$L$3004,Config!$B$7,$M$5:$M$3004,Config!$B$5)*1000-ROW()/100000,0)</f>
        <v>0</v>
      </c>
    </row>
    <row r="142">
      <c r="A142" s="39" t="n">
        <v>46189</v>
      </c>
      <c r="B142" s="40" t="n">
        <v>0.375</v>
      </c>
      <c r="C142" s="35" t="inlineStr">
        <is>
          <t>Dra. Carolina Mendes</t>
        </is>
      </c>
      <c r="D142" s="35" t="inlineStr">
        <is>
          <t>Sala 1</t>
        </is>
      </c>
      <c r="E142" s="34" t="inlineStr">
        <is>
          <t>Juliana Silva</t>
        </is>
      </c>
      <c r="F142" s="35" t="inlineStr">
        <is>
          <t>Vida Care</t>
        </is>
      </c>
      <c r="G142" s="35" t="inlineStr">
        <is>
          <t>Consulta</t>
        </is>
      </c>
      <c r="H142" s="35" t="inlineStr">
        <is>
          <t>Realizado</t>
        </is>
      </c>
      <c r="I142" s="35" t="inlineStr">
        <is>
          <t>Convênio</t>
        </is>
      </c>
      <c r="J142" s="35" t="n"/>
      <c r="K142" s="34" t="n"/>
      <c r="L142" s="26">
        <f>IF(A142="","",MONTH(A142))</f>
        <v>6</v>
      </c>
      <c r="M142" s="26">
        <f>IF(A142="","",YEAR(A142))</f>
        <v>2026</v>
      </c>
      <c r="N142" s="26" t="str">
        <f>IF(A142="","",CHOOSE(WEEKDAY(A142,2),"Segunda","Terça","Quarta","Quinta","Sexta","Sábado","Domingo"))</f>
        <v>Terça</v>
      </c>
      <c r="O142" s="26" t="str">
        <f>IF(B142="","",IF(B142&lt;TIME(12,0,0),"Manhã",IF(B142&lt;TIME(18,0,0),"Tarde","Noite")))</f>
        <v>Manhã</v>
      </c>
      <c r="P142" s="32">
        <f>IF(G142="","",IFERROR(INDEX(Config!$I$5:$I$16,MATCH(G142,Config!$H$5:$H$16,0)),0))</f>
        <v>30</v>
      </c>
      <c r="Q142" s="30">
        <f>IF(OR(H142&lt;&gt;"Realizado",P142="",P142=0),"",A142+P142)</f>
        <v>46219.0</v>
      </c>
      <c r="R142" s="26" t="str">
        <f>IF(Q142="","",IF(COUNTIFS($E$5:$E$3004,E142,$A$5:$A$3004,"&gt;"&amp;A142,$H$5:$H$3004,"&lt;&gt;Falta",$H$5:$H$3004,"&lt;&gt;Cancelado",$H$5:$H$3004,"&lt;&gt;Remarcado")&gt;0,"Sim","Não"))</f>
        <v>Sim</v>
      </c>
      <c r="S142" s="32">
        <f>IF(R142&lt;&gt;"Não","",IF(Q142+Config!$B$9&lt;=Config!$B$8,Config!$B$8-Q142,""))</f>
        <v/>
      </c>
      <c r="T142" s="26">
        <f>IF(S142="","","Sim")</f>
        <v/>
      </c>
      <c r="U142" s="41">
        <f>IF(T142="Sim",S142+ROW()/100000,0)</f>
        <v>0</v>
      </c>
      <c r="V142" s="41">
        <f>IF(AND(H142="Falta",L142=Config!$B$7,M142=Config!$B$5,COUNTIFS($E$5:E142,E142,$H$5:H142,"Falta",$L$5:L142,Config!$B$7,$M$5:M142,Config!$B$5)=1),COUNTIFS($E$5:$E$3004,E142,$H$5:$H$3004,"Falta",$L$5:$L$3004,Config!$B$7,$M$5:$M$3004,Config!$B$5)*1000-ROW()/100000,0)</f>
        <v>0</v>
      </c>
    </row>
    <row r="143">
      <c r="A143" s="39" t="n">
        <v>46189</v>
      </c>
      <c r="B143" s="40" t="n">
        <v>0.3958333333333333</v>
      </c>
      <c r="C143" s="35" t="inlineStr">
        <is>
          <t>Dra. Carolina Mendes</t>
        </is>
      </c>
      <c r="D143" s="35" t="inlineStr">
        <is>
          <t>Sala 1</t>
        </is>
      </c>
      <c r="E143" s="34" t="inlineStr">
        <is>
          <t>Carlos Castro</t>
        </is>
      </c>
      <c r="F143" s="35" t="inlineStr">
        <is>
          <t>Saúde Total</t>
        </is>
      </c>
      <c r="G143" s="35" t="inlineStr">
        <is>
          <t>Consulta</t>
        </is>
      </c>
      <c r="H143" s="35" t="inlineStr">
        <is>
          <t>Realizado</t>
        </is>
      </c>
      <c r="I143" s="35" t="inlineStr">
        <is>
          <t>Convênio</t>
        </is>
      </c>
      <c r="J143" s="35" t="n"/>
      <c r="K143" s="34" t="n"/>
      <c r="L143" s="26">
        <f>IF(A143="","",MONTH(A143))</f>
        <v>6</v>
      </c>
      <c r="M143" s="26">
        <f>IF(A143="","",YEAR(A143))</f>
        <v>2026</v>
      </c>
      <c r="N143" s="26" t="str">
        <f>IF(A143="","",CHOOSE(WEEKDAY(A143,2),"Segunda","Terça","Quarta","Quinta","Sexta","Sábado","Domingo"))</f>
        <v>Terça</v>
      </c>
      <c r="O143" s="26" t="str">
        <f>IF(B143="","",IF(B143&lt;TIME(12,0,0),"Manhã",IF(B143&lt;TIME(18,0,0),"Tarde","Noite")))</f>
        <v>Manhã</v>
      </c>
      <c r="P143" s="32">
        <f>IF(G143="","",IFERROR(INDEX(Config!$I$5:$I$16,MATCH(G143,Config!$H$5:$H$16,0)),0))</f>
        <v>30</v>
      </c>
      <c r="Q143" s="30">
        <f>IF(OR(H143&lt;&gt;"Realizado",P143="",P143=0),"",A143+P143)</f>
        <v>46219.0</v>
      </c>
      <c r="R143" s="26" t="str">
        <f>IF(Q143="","",IF(COUNTIFS($E$5:$E$3004,E143,$A$5:$A$3004,"&gt;"&amp;A143,$H$5:$H$3004,"&lt;&gt;Falta",$H$5:$H$3004,"&lt;&gt;Cancelado",$H$5:$H$3004,"&lt;&gt;Remarcado")&gt;0,"Sim","Não"))</f>
        <v>Sim</v>
      </c>
      <c r="S143" s="32">
        <f>IF(R143&lt;&gt;"Não","",IF(Q143+Config!$B$9&lt;=Config!$B$8,Config!$B$8-Q143,""))</f>
        <v/>
      </c>
      <c r="T143" s="26">
        <f>IF(S143="","","Sim")</f>
        <v/>
      </c>
      <c r="U143" s="41">
        <f>IF(T143="Sim",S143+ROW()/100000,0)</f>
        <v>0</v>
      </c>
      <c r="V143" s="41">
        <f>IF(AND(H143="Falta",L143=Config!$B$7,M143=Config!$B$5,COUNTIFS($E$5:E143,E143,$H$5:H143,"Falta",$L$5:L143,Config!$B$7,$M$5:M143,Config!$B$5)=1),COUNTIFS($E$5:$E$3004,E143,$H$5:$H$3004,"Falta",$L$5:$L$3004,Config!$B$7,$M$5:$M$3004,Config!$B$5)*1000-ROW()/100000,0)</f>
        <v>0</v>
      </c>
    </row>
    <row r="144">
      <c r="A144" s="39" t="n">
        <v>46189</v>
      </c>
      <c r="B144" s="40" t="n">
        <v>0.4375</v>
      </c>
      <c r="C144" s="35" t="inlineStr">
        <is>
          <t>Dra. Carolina Mendes</t>
        </is>
      </c>
      <c r="D144" s="35" t="inlineStr">
        <is>
          <t>Sala 1</t>
        </is>
      </c>
      <c r="E144" s="34" t="inlineStr">
        <is>
          <t>Otávio Cardoso</t>
        </is>
      </c>
      <c r="F144" s="35" t="inlineStr">
        <is>
          <t>Particular</t>
        </is>
      </c>
      <c r="G144" s="35" t="inlineStr">
        <is>
          <t>Consulta</t>
        </is>
      </c>
      <c r="H144" s="35" t="inlineStr">
        <is>
          <t>Realizado</t>
        </is>
      </c>
      <c r="I144" s="35" t="inlineStr">
        <is>
          <t>A prazo</t>
        </is>
      </c>
      <c r="J144" s="35" t="n"/>
      <c r="K144" s="34" t="n"/>
      <c r="L144" s="26">
        <f>IF(A144="","",MONTH(A144))</f>
        <v>6</v>
      </c>
      <c r="M144" s="26">
        <f>IF(A144="","",YEAR(A144))</f>
        <v>2026</v>
      </c>
      <c r="N144" s="26" t="str">
        <f>IF(A144="","",CHOOSE(WEEKDAY(A144,2),"Segunda","Terça","Quarta","Quinta","Sexta","Sábado","Domingo"))</f>
        <v>Terça</v>
      </c>
      <c r="O144" s="26" t="str">
        <f>IF(B144="","",IF(B144&lt;TIME(12,0,0),"Manhã",IF(B144&lt;TIME(18,0,0),"Tarde","Noite")))</f>
        <v>Manhã</v>
      </c>
      <c r="P144" s="32">
        <f>IF(G144="","",IFERROR(INDEX(Config!$I$5:$I$16,MATCH(G144,Config!$H$5:$H$16,0)),0))</f>
        <v>30</v>
      </c>
      <c r="Q144" s="30">
        <f>IF(OR(H144&lt;&gt;"Realizado",P144="",P144=0),"",A144+P144)</f>
        <v>46219.0</v>
      </c>
      <c r="R144" s="26" t="str">
        <f>IF(Q144="","",IF(COUNTIFS($E$5:$E$3004,E144,$A$5:$A$3004,"&gt;"&amp;A144,$H$5:$H$3004,"&lt;&gt;Falta",$H$5:$H$3004,"&lt;&gt;Cancelado",$H$5:$H$3004,"&lt;&gt;Remarcado")&gt;0,"Sim","Não"))</f>
        <v>Sim</v>
      </c>
      <c r="S144" s="32">
        <f>IF(R144&lt;&gt;"Não","",IF(Q144+Config!$B$9&lt;=Config!$B$8,Config!$B$8-Q144,""))</f>
        <v/>
      </c>
      <c r="T144" s="26">
        <f>IF(S144="","","Sim")</f>
        <v/>
      </c>
      <c r="U144" s="41">
        <f>IF(T144="Sim",S144+ROW()/100000,0)</f>
        <v>0</v>
      </c>
      <c r="V144" s="41">
        <f>IF(AND(H144="Falta",L144=Config!$B$7,M144=Config!$B$5,COUNTIFS($E$5:E144,E144,$H$5:H144,"Falta",$L$5:L144,Config!$B$7,$M$5:M144,Config!$B$5)=1),COUNTIFS($E$5:$E$3004,E144,$H$5:$H$3004,"Falta",$L$5:$L$3004,Config!$B$7,$M$5:$M$3004,Config!$B$5)*1000-ROW()/100000,0)</f>
        <v>0</v>
      </c>
    </row>
    <row r="145">
      <c r="A145" s="39" t="n">
        <v>46189</v>
      </c>
      <c r="B145" s="40" t="n">
        <v>0.4583333333333333</v>
      </c>
      <c r="C145" s="35" t="inlineStr">
        <is>
          <t>Dra. Carolina Mendes</t>
        </is>
      </c>
      <c r="D145" s="35" t="inlineStr">
        <is>
          <t>Sala 1</t>
        </is>
      </c>
      <c r="E145" s="34" t="inlineStr">
        <is>
          <t>Otávio Nascimento</t>
        </is>
      </c>
      <c r="F145" s="35" t="inlineStr">
        <is>
          <t>Particular</t>
        </is>
      </c>
      <c r="G145" s="35" t="inlineStr">
        <is>
          <t>Retorno</t>
        </is>
      </c>
      <c r="H145" s="35" t="inlineStr">
        <is>
          <t>Realizado</t>
        </is>
      </c>
      <c r="I145" s="35" t="inlineStr">
        <is>
          <t>Sem cobrança</t>
        </is>
      </c>
      <c r="J145" s="35" t="n"/>
      <c r="K145" s="34" t="n"/>
      <c r="L145" s="26">
        <f>IF(A145="","",MONTH(A145))</f>
        <v>6</v>
      </c>
      <c r="M145" s="26">
        <f>IF(A145="","",YEAR(A145))</f>
        <v>2026</v>
      </c>
      <c r="N145" s="26" t="str">
        <f>IF(A145="","",CHOOSE(WEEKDAY(A145,2),"Segunda","Terça","Quarta","Quinta","Sexta","Sábado","Domingo"))</f>
        <v>Terça</v>
      </c>
      <c r="O145" s="26" t="str">
        <f>IF(B145="","",IF(B145&lt;TIME(12,0,0),"Manhã",IF(B145&lt;TIME(18,0,0),"Tarde","Noite")))</f>
        <v>Manhã</v>
      </c>
      <c r="P145" s="32">
        <f>IF(G145="","",IFERROR(INDEX(Config!$I$5:$I$16,MATCH(G145,Config!$H$5:$H$16,0)),0))</f>
        <v>0</v>
      </c>
      <c r="Q145" s="30">
        <f>IF(OR(H145&lt;&gt;"Realizado",P145="",P145=0),"",A145+P145)</f>
        <v/>
      </c>
      <c r="R145" s="26">
        <f>IF(Q145="","",IF(COUNTIFS($E$5:$E$3004,E145,$A$5:$A$3004,"&gt;"&amp;A145,$H$5:$H$3004,"&lt;&gt;Falta",$H$5:$H$3004,"&lt;&gt;Cancelado",$H$5:$H$3004,"&lt;&gt;Remarcado")&gt;0,"Sim","Não"))</f>
        <v/>
      </c>
      <c r="S145" s="32">
        <f>IF(R145&lt;&gt;"Não","",IF(Q145+Config!$B$9&lt;=Config!$B$8,Config!$B$8-Q145,""))</f>
        <v/>
      </c>
      <c r="T145" s="26">
        <f>IF(S145="","","Sim")</f>
        <v/>
      </c>
      <c r="U145" s="41">
        <f>IF(T145="Sim",S145+ROW()/100000,0)</f>
        <v>0</v>
      </c>
      <c r="V145" s="41">
        <f>IF(AND(H145="Falta",L145=Config!$B$7,M145=Config!$B$5,COUNTIFS($E$5:E145,E145,$H$5:H145,"Falta",$L$5:L145,Config!$B$7,$M$5:M145,Config!$B$5)=1),COUNTIFS($E$5:$E$3004,E145,$H$5:$H$3004,"Falta",$L$5:$L$3004,Config!$B$7,$M$5:$M$3004,Config!$B$5)*1000-ROW()/100000,0)</f>
        <v>0</v>
      </c>
    </row>
    <row r="146">
      <c r="A146" s="39" t="n">
        <v>46189</v>
      </c>
      <c r="B146" s="40" t="n">
        <v>0.4722222222222222</v>
      </c>
      <c r="C146" s="35" t="inlineStr">
        <is>
          <t>Dra. Carolina Mendes</t>
        </is>
      </c>
      <c r="D146" s="35" t="inlineStr">
        <is>
          <t>Sala 1</t>
        </is>
      </c>
      <c r="E146" s="34" t="inlineStr">
        <is>
          <t>Sérgio Batista</t>
        </is>
      </c>
      <c r="F146" s="35" t="inlineStr">
        <is>
          <t>MediPlan</t>
        </is>
      </c>
      <c r="G146" s="35" t="inlineStr">
        <is>
          <t>Retorno</t>
        </is>
      </c>
      <c r="H146" s="35" t="inlineStr">
        <is>
          <t>Realizado</t>
        </is>
      </c>
      <c r="I146" s="35" t="inlineStr">
        <is>
          <t>Sem cobrança</t>
        </is>
      </c>
      <c r="J146" s="35" t="n"/>
      <c r="K146" s="34" t="n"/>
      <c r="L146" s="26">
        <f>IF(A146="","",MONTH(A146))</f>
        <v>6</v>
      </c>
      <c r="M146" s="26">
        <f>IF(A146="","",YEAR(A146))</f>
        <v>2026</v>
      </c>
      <c r="N146" s="26" t="str">
        <f>IF(A146="","",CHOOSE(WEEKDAY(A146,2),"Segunda","Terça","Quarta","Quinta","Sexta","Sábado","Domingo"))</f>
        <v>Terça</v>
      </c>
      <c r="O146" s="26" t="str">
        <f>IF(B146="","",IF(B146&lt;TIME(12,0,0),"Manhã",IF(B146&lt;TIME(18,0,0),"Tarde","Noite")))</f>
        <v>Manhã</v>
      </c>
      <c r="P146" s="32">
        <f>IF(G146="","",IFERROR(INDEX(Config!$I$5:$I$16,MATCH(G146,Config!$H$5:$H$16,0)),0))</f>
        <v>0</v>
      </c>
      <c r="Q146" s="30">
        <f>IF(OR(H146&lt;&gt;"Realizado",P146="",P146=0),"",A146+P146)</f>
        <v/>
      </c>
      <c r="R146" s="26">
        <f>IF(Q146="","",IF(COUNTIFS($E$5:$E$3004,E146,$A$5:$A$3004,"&gt;"&amp;A146,$H$5:$H$3004,"&lt;&gt;Falta",$H$5:$H$3004,"&lt;&gt;Cancelado",$H$5:$H$3004,"&lt;&gt;Remarcado")&gt;0,"Sim","Não"))</f>
        <v/>
      </c>
      <c r="S146" s="32">
        <f>IF(R146&lt;&gt;"Não","",IF(Q146+Config!$B$9&lt;=Config!$B$8,Config!$B$8-Q146,""))</f>
        <v/>
      </c>
      <c r="T146" s="26">
        <f>IF(S146="","","Sim")</f>
        <v/>
      </c>
      <c r="U146" s="41">
        <f>IF(T146="Sim",S146+ROW()/100000,0)</f>
        <v>0</v>
      </c>
      <c r="V146" s="41">
        <f>IF(AND(H146="Falta",L146=Config!$B$7,M146=Config!$B$5,COUNTIFS($E$5:E146,E146,$H$5:H146,"Falta",$L$5:L146,Config!$B$7,$M$5:M146,Config!$B$5)=1),COUNTIFS($E$5:$E$3004,E146,$H$5:$H$3004,"Falta",$L$5:$L$3004,Config!$B$7,$M$5:$M$3004,Config!$B$5)*1000-ROW()/100000,0)</f>
        <v>0</v>
      </c>
    </row>
    <row r="147">
      <c r="A147" s="39" t="n">
        <v>46189</v>
      </c>
      <c r="B147" s="40" t="n">
        <v>0.4861111111111111</v>
      </c>
      <c r="C147" s="35" t="inlineStr">
        <is>
          <t>Dra. Carolina Mendes</t>
        </is>
      </c>
      <c r="D147" s="35" t="inlineStr">
        <is>
          <t>Sala 1</t>
        </is>
      </c>
      <c r="E147" s="34" t="inlineStr">
        <is>
          <t>Carlos Castro</t>
        </is>
      </c>
      <c r="F147" s="35" t="inlineStr">
        <is>
          <t>Saúde Total</t>
        </is>
      </c>
      <c r="G147" s="35" t="inlineStr">
        <is>
          <t>Retorno</t>
        </is>
      </c>
      <c r="H147" s="35" t="inlineStr">
        <is>
          <t>Realizado</t>
        </is>
      </c>
      <c r="I147" s="35" t="inlineStr">
        <is>
          <t>Sem cobrança</t>
        </is>
      </c>
      <c r="J147" s="35" t="n"/>
      <c r="K147" s="34" t="n"/>
      <c r="L147" s="26">
        <f>IF(A147="","",MONTH(A147))</f>
        <v>6</v>
      </c>
      <c r="M147" s="26">
        <f>IF(A147="","",YEAR(A147))</f>
        <v>2026</v>
      </c>
      <c r="N147" s="26" t="str">
        <f>IF(A147="","",CHOOSE(WEEKDAY(A147,2),"Segunda","Terça","Quarta","Quinta","Sexta","Sábado","Domingo"))</f>
        <v>Terça</v>
      </c>
      <c r="O147" s="26" t="str">
        <f>IF(B147="","",IF(B147&lt;TIME(12,0,0),"Manhã",IF(B147&lt;TIME(18,0,0),"Tarde","Noite")))</f>
        <v>Manhã</v>
      </c>
      <c r="P147" s="32">
        <f>IF(G147="","",IFERROR(INDEX(Config!$I$5:$I$16,MATCH(G147,Config!$H$5:$H$16,0)),0))</f>
        <v>0</v>
      </c>
      <c r="Q147" s="30">
        <f>IF(OR(H147&lt;&gt;"Realizado",P147="",P147=0),"",A147+P147)</f>
        <v/>
      </c>
      <c r="R147" s="26">
        <f>IF(Q147="","",IF(COUNTIFS($E$5:$E$3004,E147,$A$5:$A$3004,"&gt;"&amp;A147,$H$5:$H$3004,"&lt;&gt;Falta",$H$5:$H$3004,"&lt;&gt;Cancelado",$H$5:$H$3004,"&lt;&gt;Remarcado")&gt;0,"Sim","Não"))</f>
        <v/>
      </c>
      <c r="S147" s="32">
        <f>IF(R147&lt;&gt;"Não","",IF(Q147+Config!$B$9&lt;=Config!$B$8,Config!$B$8-Q147,""))</f>
        <v/>
      </c>
      <c r="T147" s="26">
        <f>IF(S147="","","Sim")</f>
        <v/>
      </c>
      <c r="U147" s="41">
        <f>IF(T147="Sim",S147+ROW()/100000,0)</f>
        <v>0</v>
      </c>
      <c r="V147" s="41">
        <f>IF(AND(H147="Falta",L147=Config!$B$7,M147=Config!$B$5,COUNTIFS($E$5:E147,E147,$H$5:H147,"Falta",$L$5:L147,Config!$B$7,$M$5:M147,Config!$B$5)=1),COUNTIFS($E$5:$E$3004,E147,$H$5:$H$3004,"Falta",$L$5:$L$3004,Config!$B$7,$M$5:$M$3004,Config!$B$5)*1000-ROW()/100000,0)</f>
        <v>0</v>
      </c>
    </row>
    <row r="148">
      <c r="A148" s="39" t="n">
        <v>46189</v>
      </c>
      <c r="B148" s="40" t="n">
        <v>0.5833333333333334</v>
      </c>
      <c r="C148" s="35" t="inlineStr">
        <is>
          <t>Dra. Renata Sousa</t>
        </is>
      </c>
      <c r="D148" s="35" t="inlineStr">
        <is>
          <t>Sala 1</t>
        </is>
      </c>
      <c r="E148" s="34" t="inlineStr">
        <is>
          <t>Paulo Freitas</t>
        </is>
      </c>
      <c r="F148" s="35" t="inlineStr">
        <is>
          <t>Saúde Total</t>
        </is>
      </c>
      <c r="G148" s="35" t="inlineStr">
        <is>
          <t>Avaliação endócrina</t>
        </is>
      </c>
      <c r="H148" s="35" t="inlineStr">
        <is>
          <t>Realizado</t>
        </is>
      </c>
      <c r="I148" s="35" t="inlineStr">
        <is>
          <t>Convênio</t>
        </is>
      </c>
      <c r="J148" s="35" t="n"/>
      <c r="K148" s="34" t="n"/>
      <c r="L148" s="26">
        <f>IF(A148="","",MONTH(A148))</f>
        <v>6</v>
      </c>
      <c r="M148" s="26">
        <f>IF(A148="","",YEAR(A148))</f>
        <v>2026</v>
      </c>
      <c r="N148" s="26" t="str">
        <f>IF(A148="","",CHOOSE(WEEKDAY(A148,2),"Segunda","Terça","Quarta","Quinta","Sexta","Sábado","Domingo"))</f>
        <v>Terça</v>
      </c>
      <c r="O148" s="26" t="str">
        <f>IF(B148="","",IF(B148&lt;TIME(12,0,0),"Manhã",IF(B148&lt;TIME(18,0,0),"Tarde","Noite")))</f>
        <v>Tarde</v>
      </c>
      <c r="P148" s="32">
        <f>IF(G148="","",IFERROR(INDEX(Config!$I$5:$I$16,MATCH(G148,Config!$H$5:$H$16,0)),0))</f>
        <v>45</v>
      </c>
      <c r="Q148" s="30">
        <f>IF(OR(H148&lt;&gt;"Realizado",P148="",P148=0),"",A148+P148)</f>
        <v>46234.0</v>
      </c>
      <c r="R148" s="26" t="str">
        <f>IF(Q148="","",IF(COUNTIFS($E$5:$E$3004,E148,$A$5:$A$3004,"&gt;"&amp;A148,$H$5:$H$3004,"&lt;&gt;Falta",$H$5:$H$3004,"&lt;&gt;Cancelado",$H$5:$H$3004,"&lt;&gt;Remarcado")&gt;0,"Sim","Não"))</f>
        <v>Sim</v>
      </c>
      <c r="S148" s="32">
        <f>IF(R148&lt;&gt;"Não","",IF(Q148+Config!$B$9&lt;=Config!$B$8,Config!$B$8-Q148,""))</f>
        <v/>
      </c>
      <c r="T148" s="26">
        <f>IF(S148="","","Sim")</f>
        <v/>
      </c>
      <c r="U148" s="41">
        <f>IF(T148="Sim",S148+ROW()/100000,0)</f>
        <v>0</v>
      </c>
      <c r="V148" s="41">
        <f>IF(AND(H148="Falta",L148=Config!$B$7,M148=Config!$B$5,COUNTIFS($E$5:E148,E148,$H$5:H148,"Falta",$L$5:L148,Config!$B$7,$M$5:M148,Config!$B$5)=1),COUNTIFS($E$5:$E$3004,E148,$H$5:$H$3004,"Falta",$L$5:$L$3004,Config!$B$7,$M$5:$M$3004,Config!$B$5)*1000-ROW()/100000,0)</f>
        <v>0</v>
      </c>
    </row>
    <row r="149">
      <c r="A149" s="39" t="n">
        <v>46189</v>
      </c>
      <c r="B149" s="40" t="n">
        <v>0.5833333333333334</v>
      </c>
      <c r="C149" s="35" t="inlineStr">
        <is>
          <t>Dr. Paulo Andrade</t>
        </is>
      </c>
      <c r="D149" s="35" t="inlineStr">
        <is>
          <t>Sala 2</t>
        </is>
      </c>
      <c r="E149" s="34" t="inlineStr">
        <is>
          <t>Fábio Correia</t>
        </is>
      </c>
      <c r="F149" s="35" t="inlineStr">
        <is>
          <t>Particular</t>
        </is>
      </c>
      <c r="G149" s="35" t="inlineStr">
        <is>
          <t>ECG</t>
        </is>
      </c>
      <c r="H149" s="35" t="inlineStr">
        <is>
          <t>Realizado</t>
        </is>
      </c>
      <c r="I149" s="35" t="inlineStr">
        <is>
          <t>Cartão de crédito</t>
        </is>
      </c>
      <c r="J149" s="35" t="n"/>
      <c r="K149" s="34" t="n"/>
      <c r="L149" s="26">
        <f>IF(A149="","",MONTH(A149))</f>
        <v>6</v>
      </c>
      <c r="M149" s="26">
        <f>IF(A149="","",YEAR(A149))</f>
        <v>2026</v>
      </c>
      <c r="N149" s="26" t="str">
        <f>IF(A149="","",CHOOSE(WEEKDAY(A149,2),"Segunda","Terça","Quarta","Quinta","Sexta","Sábado","Domingo"))</f>
        <v>Terça</v>
      </c>
      <c r="O149" s="26" t="str">
        <f>IF(B149="","",IF(B149&lt;TIME(12,0,0),"Manhã",IF(B149&lt;TIME(18,0,0),"Tarde","Noite")))</f>
        <v>Tarde</v>
      </c>
      <c r="P149" s="32">
        <f>IF(G149="","",IFERROR(INDEX(Config!$I$5:$I$16,MATCH(G149,Config!$H$5:$H$16,0)),0))</f>
        <v>0</v>
      </c>
      <c r="Q149" s="30">
        <f>IF(OR(H149&lt;&gt;"Realizado",P149="",P149=0),"",A149+P149)</f>
        <v/>
      </c>
      <c r="R149" s="26">
        <f>IF(Q149="","",IF(COUNTIFS($E$5:$E$3004,E149,$A$5:$A$3004,"&gt;"&amp;A149,$H$5:$H$3004,"&lt;&gt;Falta",$H$5:$H$3004,"&lt;&gt;Cancelado",$H$5:$H$3004,"&lt;&gt;Remarcado")&gt;0,"Sim","Não"))</f>
        <v/>
      </c>
      <c r="S149" s="32">
        <f>IF(R149&lt;&gt;"Não","",IF(Q149+Config!$B$9&lt;=Config!$B$8,Config!$B$8-Q149,""))</f>
        <v/>
      </c>
      <c r="T149" s="26">
        <f>IF(S149="","","Sim")</f>
        <v/>
      </c>
      <c r="U149" s="41">
        <f>IF(T149="Sim",S149+ROW()/100000,0)</f>
        <v>0</v>
      </c>
      <c r="V149" s="41">
        <f>IF(AND(H149="Falta",L149=Config!$B$7,M149=Config!$B$5,COUNTIFS($E$5:E149,E149,$H$5:H149,"Falta",$L$5:L149,Config!$B$7,$M$5:M149,Config!$B$5)=1),COUNTIFS($E$5:$E$3004,E149,$H$5:$H$3004,"Falta",$L$5:$L$3004,Config!$B$7,$M$5:$M$3004,Config!$B$5)*1000-ROW()/100000,0)</f>
        <v>0</v>
      </c>
    </row>
    <row r="150">
      <c r="A150" s="39" t="n">
        <v>46189</v>
      </c>
      <c r="B150" s="40" t="n">
        <v>0.5972222222222222</v>
      </c>
      <c r="C150" s="35" t="inlineStr">
        <is>
          <t>Dr. Paulo Andrade</t>
        </is>
      </c>
      <c r="D150" s="35" t="inlineStr">
        <is>
          <t>Sala 2</t>
        </is>
      </c>
      <c r="E150" s="34" t="inlineStr">
        <is>
          <t>Gabriel Oliveira</t>
        </is>
      </c>
      <c r="F150" s="35" t="inlineStr">
        <is>
          <t>Particular</t>
        </is>
      </c>
      <c r="G150" s="35" t="inlineStr">
        <is>
          <t>Consulta</t>
        </is>
      </c>
      <c r="H150" s="35" t="inlineStr">
        <is>
          <t>Realizado</t>
        </is>
      </c>
      <c r="I150" s="35" t="inlineStr">
        <is>
          <t>A prazo</t>
        </is>
      </c>
      <c r="J150" s="35" t="n"/>
      <c r="K150" s="34" t="n"/>
      <c r="L150" s="26">
        <f>IF(A150="","",MONTH(A150))</f>
        <v>6</v>
      </c>
      <c r="M150" s="26">
        <f>IF(A150="","",YEAR(A150))</f>
        <v>2026</v>
      </c>
      <c r="N150" s="26" t="str">
        <f>IF(A150="","",CHOOSE(WEEKDAY(A150,2),"Segunda","Terça","Quarta","Quinta","Sexta","Sábado","Domingo"))</f>
        <v>Terça</v>
      </c>
      <c r="O150" s="26" t="str">
        <f>IF(B150="","",IF(B150&lt;TIME(12,0,0),"Manhã",IF(B150&lt;TIME(18,0,0),"Tarde","Noite")))</f>
        <v>Tarde</v>
      </c>
      <c r="P150" s="32">
        <f>IF(G150="","",IFERROR(INDEX(Config!$I$5:$I$16,MATCH(G150,Config!$H$5:$H$16,0)),0))</f>
        <v>30</v>
      </c>
      <c r="Q150" s="30">
        <f>IF(OR(H150&lt;&gt;"Realizado",P150="",P150=0),"",A150+P150)</f>
        <v>46219.0</v>
      </c>
      <c r="R150" s="26" t="str">
        <f>IF(Q150="","",IF(COUNTIFS($E$5:$E$3004,E150,$A$5:$A$3004,"&gt;"&amp;A150,$H$5:$H$3004,"&lt;&gt;Falta",$H$5:$H$3004,"&lt;&gt;Cancelado",$H$5:$H$3004,"&lt;&gt;Remarcado")&gt;0,"Sim","Não"))</f>
        <v>Sim</v>
      </c>
      <c r="S150" s="32">
        <f>IF(R150&lt;&gt;"Não","",IF(Q150+Config!$B$9&lt;=Config!$B$8,Config!$B$8-Q150,""))</f>
        <v/>
      </c>
      <c r="T150" s="26">
        <f>IF(S150="","","Sim")</f>
        <v/>
      </c>
      <c r="U150" s="41">
        <f>IF(T150="Sim",S150+ROW()/100000,0)</f>
        <v>0</v>
      </c>
      <c r="V150" s="41">
        <f>IF(AND(H150="Falta",L150=Config!$B$7,M150=Config!$B$5,COUNTIFS($E$5:E150,E150,$H$5:H150,"Falta",$L$5:L150,Config!$B$7,$M$5:M150,Config!$B$5)=1),COUNTIFS($E$5:$E$3004,E150,$H$5:$H$3004,"Falta",$L$5:$L$3004,Config!$B$7,$M$5:$M$3004,Config!$B$5)*1000-ROW()/100000,0)</f>
        <v>0</v>
      </c>
    </row>
    <row r="151">
      <c r="A151" s="39" t="n">
        <v>46189</v>
      </c>
      <c r="B151" s="40" t="n">
        <v>0.6111111111111112</v>
      </c>
      <c r="C151" s="35" t="inlineStr">
        <is>
          <t>Dra. Renata Sousa</t>
        </is>
      </c>
      <c r="D151" s="35" t="inlineStr">
        <is>
          <t>Sala 1</t>
        </is>
      </c>
      <c r="E151" s="34" t="inlineStr">
        <is>
          <t>Gabriel Reis</t>
        </is>
      </c>
      <c r="F151" s="35" t="inlineStr">
        <is>
          <t>Particular</t>
        </is>
      </c>
      <c r="G151" s="35" t="inlineStr">
        <is>
          <t>Avaliação endócrina</t>
        </is>
      </c>
      <c r="H151" s="35" t="inlineStr">
        <is>
          <t>Realizado</t>
        </is>
      </c>
      <c r="I151" s="35" t="inlineStr">
        <is>
          <t>Pix</t>
        </is>
      </c>
      <c r="J151" s="35" t="n"/>
      <c r="K151" s="34" t="n"/>
      <c r="L151" s="26">
        <f>IF(A151="","",MONTH(A151))</f>
        <v>6</v>
      </c>
      <c r="M151" s="26">
        <f>IF(A151="","",YEAR(A151))</f>
        <v>2026</v>
      </c>
      <c r="N151" s="26" t="str">
        <f>IF(A151="","",CHOOSE(WEEKDAY(A151,2),"Segunda","Terça","Quarta","Quinta","Sexta","Sábado","Domingo"))</f>
        <v>Terça</v>
      </c>
      <c r="O151" s="26" t="str">
        <f>IF(B151="","",IF(B151&lt;TIME(12,0,0),"Manhã",IF(B151&lt;TIME(18,0,0),"Tarde","Noite")))</f>
        <v>Tarde</v>
      </c>
      <c r="P151" s="32">
        <f>IF(G151="","",IFERROR(INDEX(Config!$I$5:$I$16,MATCH(G151,Config!$H$5:$H$16,0)),0))</f>
        <v>45</v>
      </c>
      <c r="Q151" s="30">
        <f>IF(OR(H151&lt;&gt;"Realizado",P151="",P151=0),"",A151+P151)</f>
        <v>46234.0</v>
      </c>
      <c r="R151" s="26" t="str">
        <f>IF(Q151="","",IF(COUNTIFS($E$5:$E$3004,E151,$A$5:$A$3004,"&gt;"&amp;A151,$H$5:$H$3004,"&lt;&gt;Falta",$H$5:$H$3004,"&lt;&gt;Cancelado",$H$5:$H$3004,"&lt;&gt;Remarcado")&gt;0,"Sim","Não"))</f>
        <v>Sim</v>
      </c>
      <c r="S151" s="32">
        <f>IF(R151&lt;&gt;"Não","",IF(Q151+Config!$B$9&lt;=Config!$B$8,Config!$B$8-Q151,""))</f>
        <v/>
      </c>
      <c r="T151" s="26">
        <f>IF(S151="","","Sim")</f>
        <v/>
      </c>
      <c r="U151" s="41">
        <f>IF(T151="Sim",S151+ROW()/100000,0)</f>
        <v>0</v>
      </c>
      <c r="V151" s="41">
        <f>IF(AND(H151="Falta",L151=Config!$B$7,M151=Config!$B$5,COUNTIFS($E$5:E151,E151,$H$5:H151,"Falta",$L$5:L151,Config!$B$7,$M$5:M151,Config!$B$5)=1),COUNTIFS($E$5:$E$3004,E151,$H$5:$H$3004,"Falta",$L$5:$L$3004,Config!$B$7,$M$5:$M$3004,Config!$B$5)*1000-ROW()/100000,0)</f>
        <v>0</v>
      </c>
    </row>
    <row r="152">
      <c r="A152" s="39" t="n">
        <v>46189</v>
      </c>
      <c r="B152" s="40" t="n">
        <v>0.6388888888888888</v>
      </c>
      <c r="C152" s="35" t="inlineStr">
        <is>
          <t>Dra. Renata Sousa</t>
        </is>
      </c>
      <c r="D152" s="35" t="inlineStr">
        <is>
          <t>Sala 1</t>
        </is>
      </c>
      <c r="E152" s="34" t="inlineStr">
        <is>
          <t>Mariana Gomes</t>
        </is>
      </c>
      <c r="F152" s="35" t="inlineStr">
        <is>
          <t>Particular</t>
        </is>
      </c>
      <c r="G152" s="35" t="inlineStr">
        <is>
          <t>Avaliação endócrina</t>
        </is>
      </c>
      <c r="H152" s="35" t="inlineStr">
        <is>
          <t>Realizado</t>
        </is>
      </c>
      <c r="I152" s="35" t="inlineStr">
        <is>
          <t>A prazo</t>
        </is>
      </c>
      <c r="J152" s="35" t="n"/>
      <c r="K152" s="34" t="n"/>
      <c r="L152" s="26">
        <f>IF(A152="","",MONTH(A152))</f>
        <v>6</v>
      </c>
      <c r="M152" s="26">
        <f>IF(A152="","",YEAR(A152))</f>
        <v>2026</v>
      </c>
      <c r="N152" s="26" t="str">
        <f>IF(A152="","",CHOOSE(WEEKDAY(A152,2),"Segunda","Terça","Quarta","Quinta","Sexta","Sábado","Domingo"))</f>
        <v>Terça</v>
      </c>
      <c r="O152" s="26" t="str">
        <f>IF(B152="","",IF(B152&lt;TIME(12,0,0),"Manhã",IF(B152&lt;TIME(18,0,0),"Tarde","Noite")))</f>
        <v>Tarde</v>
      </c>
      <c r="P152" s="32">
        <f>IF(G152="","",IFERROR(INDEX(Config!$I$5:$I$16,MATCH(G152,Config!$H$5:$H$16,0)),0))</f>
        <v>45</v>
      </c>
      <c r="Q152" s="30">
        <f>IF(OR(H152&lt;&gt;"Realizado",P152="",P152=0),"",A152+P152)</f>
        <v>46234.0</v>
      </c>
      <c r="R152" s="26" t="str">
        <f>IF(Q152="","",IF(COUNTIFS($E$5:$E$3004,E152,$A$5:$A$3004,"&gt;"&amp;A152,$H$5:$H$3004,"&lt;&gt;Falta",$H$5:$H$3004,"&lt;&gt;Cancelado",$H$5:$H$3004,"&lt;&gt;Remarcado")&gt;0,"Sim","Não"))</f>
        <v>Sim</v>
      </c>
      <c r="S152" s="32">
        <f>IF(R152&lt;&gt;"Não","",IF(Q152+Config!$B$9&lt;=Config!$B$8,Config!$B$8-Q152,""))</f>
        <v/>
      </c>
      <c r="T152" s="26">
        <f>IF(S152="","","Sim")</f>
        <v/>
      </c>
      <c r="U152" s="41">
        <f>IF(T152="Sim",S152+ROW()/100000,0)</f>
        <v>0</v>
      </c>
      <c r="V152" s="41">
        <f>IF(AND(H152="Falta",L152=Config!$B$7,M152=Config!$B$5,COUNTIFS($E$5:E152,E152,$H$5:H152,"Falta",$L$5:L152,Config!$B$7,$M$5:M152,Config!$B$5)=1),COUNTIFS($E$5:$E$3004,E152,$H$5:$H$3004,"Falta",$L$5:$L$3004,Config!$B$7,$M$5:$M$3004,Config!$B$5)*1000-ROW()/100000,0)</f>
        <v>0</v>
      </c>
    </row>
    <row r="153">
      <c r="A153" s="39" t="n">
        <v>46189</v>
      </c>
      <c r="B153" s="40" t="n">
        <v>0.6388888888888888</v>
      </c>
      <c r="C153" s="35" t="inlineStr">
        <is>
          <t>Dr. Paulo Andrade</t>
        </is>
      </c>
      <c r="D153" s="35" t="inlineStr">
        <is>
          <t>Sala 2</t>
        </is>
      </c>
      <c r="E153" s="34" t="inlineStr">
        <is>
          <t>Sérgio Teixeira</t>
        </is>
      </c>
      <c r="F153" s="35" t="inlineStr">
        <is>
          <t>MediPlan</t>
        </is>
      </c>
      <c r="G153" s="35" t="inlineStr">
        <is>
          <t>Consulta</t>
        </is>
      </c>
      <c r="H153" s="35" t="inlineStr">
        <is>
          <t>Realizado</t>
        </is>
      </c>
      <c r="I153" s="35" t="inlineStr">
        <is>
          <t>Convênio</t>
        </is>
      </c>
      <c r="J153" s="35" t="n"/>
      <c r="K153" s="34" t="n"/>
      <c r="L153" s="26">
        <f>IF(A153="","",MONTH(A153))</f>
        <v>6</v>
      </c>
      <c r="M153" s="26">
        <f>IF(A153="","",YEAR(A153))</f>
        <v>2026</v>
      </c>
      <c r="N153" s="26" t="str">
        <f>IF(A153="","",CHOOSE(WEEKDAY(A153,2),"Segunda","Terça","Quarta","Quinta","Sexta","Sábado","Domingo"))</f>
        <v>Terça</v>
      </c>
      <c r="O153" s="26" t="str">
        <f>IF(B153="","",IF(B153&lt;TIME(12,0,0),"Manhã",IF(B153&lt;TIME(18,0,0),"Tarde","Noite")))</f>
        <v>Tarde</v>
      </c>
      <c r="P153" s="32">
        <f>IF(G153="","",IFERROR(INDEX(Config!$I$5:$I$16,MATCH(G153,Config!$H$5:$H$16,0)),0))</f>
        <v>30</v>
      </c>
      <c r="Q153" s="30">
        <f>IF(OR(H153&lt;&gt;"Realizado",P153="",P153=0),"",A153+P153)</f>
        <v>46219.0</v>
      </c>
      <c r="R153" s="26" t="str">
        <f>IF(Q153="","",IF(COUNTIFS($E$5:$E$3004,E153,$A$5:$A$3004,"&gt;"&amp;A153,$H$5:$H$3004,"&lt;&gt;Falta",$H$5:$H$3004,"&lt;&gt;Cancelado",$H$5:$H$3004,"&lt;&gt;Remarcado")&gt;0,"Sim","Não"))</f>
        <v>Sim</v>
      </c>
      <c r="S153" s="32">
        <f>IF(R153&lt;&gt;"Não","",IF(Q153+Config!$B$9&lt;=Config!$B$8,Config!$B$8-Q153,""))</f>
        <v/>
      </c>
      <c r="T153" s="26">
        <f>IF(S153="","","Sim")</f>
        <v/>
      </c>
      <c r="U153" s="41">
        <f>IF(T153="Sim",S153+ROW()/100000,0)</f>
        <v>0</v>
      </c>
      <c r="V153" s="41">
        <f>IF(AND(H153="Falta",L153=Config!$B$7,M153=Config!$B$5,COUNTIFS($E$5:E153,E153,$H$5:H153,"Falta",$L$5:L153,Config!$B$7,$M$5:M153,Config!$B$5)=1),COUNTIFS($E$5:$E$3004,E153,$H$5:$H$3004,"Falta",$L$5:$L$3004,Config!$B$7,$M$5:$M$3004,Config!$B$5)*1000-ROW()/100000,0)</f>
        <v>0</v>
      </c>
    </row>
    <row r="154">
      <c r="A154" s="39" t="n">
        <v>46189</v>
      </c>
      <c r="B154" s="40" t="n">
        <v>0.6597222222222222</v>
      </c>
      <c r="C154" s="35" t="inlineStr">
        <is>
          <t>Dr. Paulo Andrade</t>
        </is>
      </c>
      <c r="D154" s="35" t="inlineStr">
        <is>
          <t>Sala 2</t>
        </is>
      </c>
      <c r="E154" s="34" t="inlineStr">
        <is>
          <t>Beatriz Gonçalves</t>
        </is>
      </c>
      <c r="F154" s="35" t="inlineStr">
        <is>
          <t>Saúde Total</t>
        </is>
      </c>
      <c r="G154" s="35" t="inlineStr">
        <is>
          <t>Consulta</t>
        </is>
      </c>
      <c r="H154" s="35" t="inlineStr">
        <is>
          <t>Realizado</t>
        </is>
      </c>
      <c r="I154" s="35" t="inlineStr">
        <is>
          <t>Convênio</t>
        </is>
      </c>
      <c r="J154" s="35" t="n"/>
      <c r="K154" s="34" t="n"/>
      <c r="L154" s="26">
        <f>IF(A154="","",MONTH(A154))</f>
        <v>6</v>
      </c>
      <c r="M154" s="26">
        <f>IF(A154="","",YEAR(A154))</f>
        <v>2026</v>
      </c>
      <c r="N154" s="26" t="str">
        <f>IF(A154="","",CHOOSE(WEEKDAY(A154,2),"Segunda","Terça","Quarta","Quinta","Sexta","Sábado","Domingo"))</f>
        <v>Terça</v>
      </c>
      <c r="O154" s="26" t="str">
        <f>IF(B154="","",IF(B154&lt;TIME(12,0,0),"Manhã",IF(B154&lt;TIME(18,0,0),"Tarde","Noite")))</f>
        <v>Tarde</v>
      </c>
      <c r="P154" s="32">
        <f>IF(G154="","",IFERROR(INDEX(Config!$I$5:$I$16,MATCH(G154,Config!$H$5:$H$16,0)),0))</f>
        <v>30</v>
      </c>
      <c r="Q154" s="30">
        <f>IF(OR(H154&lt;&gt;"Realizado",P154="",P154=0),"",A154+P154)</f>
        <v>46219.0</v>
      </c>
      <c r="R154" s="26" t="str">
        <f>IF(Q154="","",IF(COUNTIFS($E$5:$E$3004,E154,$A$5:$A$3004,"&gt;"&amp;A154,$H$5:$H$3004,"&lt;&gt;Falta",$H$5:$H$3004,"&lt;&gt;Cancelado",$H$5:$H$3004,"&lt;&gt;Remarcado")&gt;0,"Sim","Não"))</f>
        <v>Sim</v>
      </c>
      <c r="S154" s="32">
        <f>IF(R154&lt;&gt;"Não","",IF(Q154+Config!$B$9&lt;=Config!$B$8,Config!$B$8-Q154,""))</f>
        <v/>
      </c>
      <c r="T154" s="26">
        <f>IF(S154="","","Sim")</f>
        <v/>
      </c>
      <c r="U154" s="41">
        <f>IF(T154="Sim",S154+ROW()/100000,0)</f>
        <v>0</v>
      </c>
      <c r="V154" s="41">
        <f>IF(AND(H154="Falta",L154=Config!$B$7,M154=Config!$B$5,COUNTIFS($E$5:E154,E154,$H$5:H154,"Falta",$L$5:L154,Config!$B$7,$M$5:M154,Config!$B$5)=1),COUNTIFS($E$5:$E$3004,E154,$H$5:$H$3004,"Falta",$L$5:$L$3004,Config!$B$7,$M$5:$M$3004,Config!$B$5)*1000-ROW()/100000,0)</f>
        <v>0</v>
      </c>
    </row>
    <row r="155">
      <c r="A155" s="39" t="n">
        <v>46189</v>
      </c>
      <c r="B155" s="40" t="n">
        <v>0.6666666666666666</v>
      </c>
      <c r="C155" s="35" t="inlineStr">
        <is>
          <t>Dra. Renata Sousa</t>
        </is>
      </c>
      <c r="D155" s="35" t="inlineStr">
        <is>
          <t>Sala 1</t>
        </is>
      </c>
      <c r="E155" s="34" t="inlineStr">
        <is>
          <t>Rafael Pereira</t>
        </is>
      </c>
      <c r="F155" s="35" t="inlineStr">
        <is>
          <t>Particular</t>
        </is>
      </c>
      <c r="G155" s="35" t="inlineStr">
        <is>
          <t>Retorno</t>
        </is>
      </c>
      <c r="H155" s="35" t="inlineStr">
        <is>
          <t>Realizado</t>
        </is>
      </c>
      <c r="I155" s="35" t="inlineStr">
        <is>
          <t>Sem cobrança</t>
        </is>
      </c>
      <c r="J155" s="35" t="n"/>
      <c r="K155" s="34" t="n"/>
      <c r="L155" s="26">
        <f>IF(A155="","",MONTH(A155))</f>
        <v>6</v>
      </c>
      <c r="M155" s="26">
        <f>IF(A155="","",YEAR(A155))</f>
        <v>2026</v>
      </c>
      <c r="N155" s="26" t="str">
        <f>IF(A155="","",CHOOSE(WEEKDAY(A155,2),"Segunda","Terça","Quarta","Quinta","Sexta","Sábado","Domingo"))</f>
        <v>Terça</v>
      </c>
      <c r="O155" s="26" t="str">
        <f>IF(B155="","",IF(B155&lt;TIME(12,0,0),"Manhã",IF(B155&lt;TIME(18,0,0),"Tarde","Noite")))</f>
        <v>Tarde</v>
      </c>
      <c r="P155" s="32">
        <f>IF(G155="","",IFERROR(INDEX(Config!$I$5:$I$16,MATCH(G155,Config!$H$5:$H$16,0)),0))</f>
        <v>0</v>
      </c>
      <c r="Q155" s="30">
        <f>IF(OR(H155&lt;&gt;"Realizado",P155="",P155=0),"",A155+P155)</f>
        <v/>
      </c>
      <c r="R155" s="26">
        <f>IF(Q155="","",IF(COUNTIFS($E$5:$E$3004,E155,$A$5:$A$3004,"&gt;"&amp;A155,$H$5:$H$3004,"&lt;&gt;Falta",$H$5:$H$3004,"&lt;&gt;Cancelado",$H$5:$H$3004,"&lt;&gt;Remarcado")&gt;0,"Sim","Não"))</f>
        <v/>
      </c>
      <c r="S155" s="32">
        <f>IF(R155&lt;&gt;"Não","",IF(Q155+Config!$B$9&lt;=Config!$B$8,Config!$B$8-Q155,""))</f>
        <v/>
      </c>
      <c r="T155" s="26">
        <f>IF(S155="","","Sim")</f>
        <v/>
      </c>
      <c r="U155" s="41">
        <f>IF(T155="Sim",S155+ROW()/100000,0)</f>
        <v>0</v>
      </c>
      <c r="V155" s="41">
        <f>IF(AND(H155="Falta",L155=Config!$B$7,M155=Config!$B$5,COUNTIFS($E$5:E155,E155,$H$5:H155,"Falta",$L$5:L155,Config!$B$7,$M$5:M155,Config!$B$5)=1),COUNTIFS($E$5:$E$3004,E155,$H$5:$H$3004,"Falta",$L$5:$L$3004,Config!$B$7,$M$5:$M$3004,Config!$B$5)*1000-ROW()/100000,0)</f>
        <v>0</v>
      </c>
    </row>
    <row r="156">
      <c r="A156" s="39" t="n">
        <v>46189</v>
      </c>
      <c r="B156" s="40" t="n">
        <v>0.6805555555555556</v>
      </c>
      <c r="C156" s="35" t="inlineStr">
        <is>
          <t>Dra. Renata Sousa</t>
        </is>
      </c>
      <c r="D156" s="35" t="inlineStr">
        <is>
          <t>Sala 1</t>
        </is>
      </c>
      <c r="E156" s="34" t="inlineStr">
        <is>
          <t>Rafael Nascimento</t>
        </is>
      </c>
      <c r="F156" s="35" t="inlineStr">
        <is>
          <t>Saúde Total</t>
        </is>
      </c>
      <c r="G156" s="35" t="inlineStr">
        <is>
          <t>Retorno</t>
        </is>
      </c>
      <c r="H156" s="35" t="inlineStr">
        <is>
          <t>Realizado</t>
        </is>
      </c>
      <c r="I156" s="35" t="inlineStr">
        <is>
          <t>Sem cobrança</t>
        </is>
      </c>
      <c r="J156" s="35" t="n"/>
      <c r="K156" s="34" t="n"/>
      <c r="L156" s="26">
        <f>IF(A156="","",MONTH(A156))</f>
        <v>6</v>
      </c>
      <c r="M156" s="26">
        <f>IF(A156="","",YEAR(A156))</f>
        <v>2026</v>
      </c>
      <c r="N156" s="26" t="str">
        <f>IF(A156="","",CHOOSE(WEEKDAY(A156,2),"Segunda","Terça","Quarta","Quinta","Sexta","Sábado","Domingo"))</f>
        <v>Terça</v>
      </c>
      <c r="O156" s="26" t="str">
        <f>IF(B156="","",IF(B156&lt;TIME(12,0,0),"Manhã",IF(B156&lt;TIME(18,0,0),"Tarde","Noite")))</f>
        <v>Tarde</v>
      </c>
      <c r="P156" s="32">
        <f>IF(G156="","",IFERROR(INDEX(Config!$I$5:$I$16,MATCH(G156,Config!$H$5:$H$16,0)),0))</f>
        <v>0</v>
      </c>
      <c r="Q156" s="30">
        <f>IF(OR(H156&lt;&gt;"Realizado",P156="",P156=0),"",A156+P156)</f>
        <v/>
      </c>
      <c r="R156" s="26">
        <f>IF(Q156="","",IF(COUNTIFS($E$5:$E$3004,E156,$A$5:$A$3004,"&gt;"&amp;A156,$H$5:$H$3004,"&lt;&gt;Falta",$H$5:$H$3004,"&lt;&gt;Cancelado",$H$5:$H$3004,"&lt;&gt;Remarcado")&gt;0,"Sim","Não"))</f>
        <v/>
      </c>
      <c r="S156" s="32">
        <f>IF(R156&lt;&gt;"Não","",IF(Q156+Config!$B$9&lt;=Config!$B$8,Config!$B$8-Q156,""))</f>
        <v/>
      </c>
      <c r="T156" s="26">
        <f>IF(S156="","","Sim")</f>
        <v/>
      </c>
      <c r="U156" s="41">
        <f>IF(T156="Sim",S156+ROW()/100000,0)</f>
        <v>0</v>
      </c>
      <c r="V156" s="41">
        <f>IF(AND(H156="Falta",L156=Config!$B$7,M156=Config!$B$5,COUNTIFS($E$5:E156,E156,$H$5:H156,"Falta",$L$5:L156,Config!$B$7,$M$5:M156,Config!$B$5)=1),COUNTIFS($E$5:$E$3004,E156,$H$5:$H$3004,"Falta",$L$5:$L$3004,Config!$B$7,$M$5:$M$3004,Config!$B$5)*1000-ROW()/100000,0)</f>
        <v>0</v>
      </c>
    </row>
    <row r="157">
      <c r="A157" s="39" t="n">
        <v>46189</v>
      </c>
      <c r="B157" s="40" t="n">
        <v>0.6805555555555556</v>
      </c>
      <c r="C157" s="35" t="inlineStr">
        <is>
          <t>Dr. Paulo Andrade</t>
        </is>
      </c>
      <c r="D157" s="35" t="inlineStr">
        <is>
          <t>Sala 2</t>
        </is>
      </c>
      <c r="E157" s="34" t="inlineStr">
        <is>
          <t>Wagner Costa</t>
        </is>
      </c>
      <c r="F157" s="35" t="inlineStr">
        <is>
          <t>Particular</t>
        </is>
      </c>
      <c r="G157" s="35" t="inlineStr">
        <is>
          <t>Retorno</t>
        </is>
      </c>
      <c r="H157" s="35" t="inlineStr">
        <is>
          <t>Falta</t>
        </is>
      </c>
      <c r="I157" s="35" t="n"/>
      <c r="J157" s="35" t="n"/>
      <c r="K157" s="34" t="n"/>
      <c r="L157" s="26">
        <f>IF(A157="","",MONTH(A157))</f>
        <v>6</v>
      </c>
      <c r="M157" s="26">
        <f>IF(A157="","",YEAR(A157))</f>
        <v>2026</v>
      </c>
      <c r="N157" s="26" t="str">
        <f>IF(A157="","",CHOOSE(WEEKDAY(A157,2),"Segunda","Terça","Quarta","Quinta","Sexta","Sábado","Domingo"))</f>
        <v>Terça</v>
      </c>
      <c r="O157" s="26" t="str">
        <f>IF(B157="","",IF(B157&lt;TIME(12,0,0),"Manhã",IF(B157&lt;TIME(18,0,0),"Tarde","Noite")))</f>
        <v>Tarde</v>
      </c>
      <c r="P157" s="32">
        <f>IF(G157="","",IFERROR(INDEX(Config!$I$5:$I$16,MATCH(G157,Config!$H$5:$H$16,0)),0))</f>
        <v>0</v>
      </c>
      <c r="Q157" s="30">
        <f>IF(OR(H157&lt;&gt;"Realizado",P157="",P157=0),"",A157+P157)</f>
        <v/>
      </c>
      <c r="R157" s="26">
        <f>IF(Q157="","",IF(COUNTIFS($E$5:$E$3004,E157,$A$5:$A$3004,"&gt;"&amp;A157,$H$5:$H$3004,"&lt;&gt;Falta",$H$5:$H$3004,"&lt;&gt;Cancelado",$H$5:$H$3004,"&lt;&gt;Remarcado")&gt;0,"Sim","Não"))</f>
        <v/>
      </c>
      <c r="S157" s="32">
        <f>IF(R157&lt;&gt;"Não","",IF(Q157+Config!$B$9&lt;=Config!$B$8,Config!$B$8-Q157,""))</f>
        <v/>
      </c>
      <c r="T157" s="26">
        <f>IF(S157="","","Sim")</f>
        <v/>
      </c>
      <c r="U157" s="41">
        <f>IF(T157="Sim",S157+ROW()/100000,0)</f>
        <v>0</v>
      </c>
      <c r="V157" s="41">
        <f>IF(AND(H157="Falta",L157=Config!$B$7,M157=Config!$B$5,COUNTIFS($E$5:E157,E157,$H$5:H157,"Falta",$L$5:L157,Config!$B$7,$M$5:M157,Config!$B$5)=1),COUNTIFS($E$5:$E$3004,E157,$H$5:$H$3004,"Falta",$L$5:$L$3004,Config!$B$7,$M$5:$M$3004,Config!$B$5)*1000-ROW()/100000,0)</f>
        <v>0</v>
      </c>
    </row>
    <row r="158">
      <c r="A158" s="39" t="n">
        <v>46189</v>
      </c>
      <c r="B158" s="40" t="n">
        <v>0.6944444444444444</v>
      </c>
      <c r="C158" s="35" t="inlineStr">
        <is>
          <t>Dra. Renata Sousa</t>
        </is>
      </c>
      <c r="D158" s="35" t="inlineStr">
        <is>
          <t>Sala 1</t>
        </is>
      </c>
      <c r="E158" s="34" t="inlineStr">
        <is>
          <t>Gisele Lopes</t>
        </is>
      </c>
      <c r="F158" s="35" t="inlineStr">
        <is>
          <t>Saúde Total</t>
        </is>
      </c>
      <c r="G158" s="35" t="inlineStr">
        <is>
          <t>Retorno</t>
        </is>
      </c>
      <c r="H158" s="35" t="inlineStr">
        <is>
          <t>Realizado</t>
        </is>
      </c>
      <c r="I158" s="35" t="inlineStr">
        <is>
          <t>Sem cobrança</t>
        </is>
      </c>
      <c r="J158" s="35" t="n"/>
      <c r="K158" s="34" t="n"/>
      <c r="L158" s="26">
        <f>IF(A158="","",MONTH(A158))</f>
        <v>6</v>
      </c>
      <c r="M158" s="26">
        <f>IF(A158="","",YEAR(A158))</f>
        <v>2026</v>
      </c>
      <c r="N158" s="26" t="str">
        <f>IF(A158="","",CHOOSE(WEEKDAY(A158,2),"Segunda","Terça","Quarta","Quinta","Sexta","Sábado","Domingo"))</f>
        <v>Terça</v>
      </c>
      <c r="O158" s="26" t="str">
        <f>IF(B158="","",IF(B158&lt;TIME(12,0,0),"Manhã",IF(B158&lt;TIME(18,0,0),"Tarde","Noite")))</f>
        <v>Tarde</v>
      </c>
      <c r="P158" s="32">
        <f>IF(G158="","",IFERROR(INDEX(Config!$I$5:$I$16,MATCH(G158,Config!$H$5:$H$16,0)),0))</f>
        <v>0</v>
      </c>
      <c r="Q158" s="30">
        <f>IF(OR(H158&lt;&gt;"Realizado",P158="",P158=0),"",A158+P158)</f>
        <v/>
      </c>
      <c r="R158" s="26">
        <f>IF(Q158="","",IF(COUNTIFS($E$5:$E$3004,E158,$A$5:$A$3004,"&gt;"&amp;A158,$H$5:$H$3004,"&lt;&gt;Falta",$H$5:$H$3004,"&lt;&gt;Cancelado",$H$5:$H$3004,"&lt;&gt;Remarcado")&gt;0,"Sim","Não"))</f>
        <v/>
      </c>
      <c r="S158" s="32">
        <f>IF(R158&lt;&gt;"Não","",IF(Q158+Config!$B$9&lt;=Config!$B$8,Config!$B$8-Q158,""))</f>
        <v/>
      </c>
      <c r="T158" s="26">
        <f>IF(S158="","","Sim")</f>
        <v/>
      </c>
      <c r="U158" s="41">
        <f>IF(T158="Sim",S158+ROW()/100000,0)</f>
        <v>0</v>
      </c>
      <c r="V158" s="41">
        <f>IF(AND(H158="Falta",L158=Config!$B$7,M158=Config!$B$5,COUNTIFS($E$5:E158,E158,$H$5:H158,"Falta",$L$5:L158,Config!$B$7,$M$5:M158,Config!$B$5)=1),COUNTIFS($E$5:$E$3004,E158,$H$5:$H$3004,"Falta",$L$5:$L$3004,Config!$B$7,$M$5:$M$3004,Config!$B$5)*1000-ROW()/100000,0)</f>
        <v>0</v>
      </c>
    </row>
    <row r="159">
      <c r="A159" s="39" t="n">
        <v>46189</v>
      </c>
      <c r="B159" s="40" t="n">
        <v>0.6944444444444444</v>
      </c>
      <c r="C159" s="35" t="inlineStr">
        <is>
          <t>Dr. Paulo Andrade</t>
        </is>
      </c>
      <c r="D159" s="35" t="inlineStr">
        <is>
          <t>Sala 2</t>
        </is>
      </c>
      <c r="E159" s="34" t="inlineStr">
        <is>
          <t>Gisele Lima</t>
        </is>
      </c>
      <c r="F159" s="35" t="inlineStr">
        <is>
          <t>Saúde Total</t>
        </is>
      </c>
      <c r="G159" s="35" t="inlineStr">
        <is>
          <t>ECG</t>
        </is>
      </c>
      <c r="H159" s="35" t="inlineStr">
        <is>
          <t>Realizado</t>
        </is>
      </c>
      <c r="I159" s="35" t="inlineStr">
        <is>
          <t>Convênio</t>
        </is>
      </c>
      <c r="J159" s="35" t="n"/>
      <c r="K159" s="34" t="n"/>
      <c r="L159" s="26">
        <f>IF(A159="","",MONTH(A159))</f>
        <v>6</v>
      </c>
      <c r="M159" s="26">
        <f>IF(A159="","",YEAR(A159))</f>
        <v>2026</v>
      </c>
      <c r="N159" s="26" t="str">
        <f>IF(A159="","",CHOOSE(WEEKDAY(A159,2),"Segunda","Terça","Quarta","Quinta","Sexta","Sábado","Domingo"))</f>
        <v>Terça</v>
      </c>
      <c r="O159" s="26" t="str">
        <f>IF(B159="","",IF(B159&lt;TIME(12,0,0),"Manhã",IF(B159&lt;TIME(18,0,0),"Tarde","Noite")))</f>
        <v>Tarde</v>
      </c>
      <c r="P159" s="32">
        <f>IF(G159="","",IFERROR(INDEX(Config!$I$5:$I$16,MATCH(G159,Config!$H$5:$H$16,0)),0))</f>
        <v>0</v>
      </c>
      <c r="Q159" s="30">
        <f>IF(OR(H159&lt;&gt;"Realizado",P159="",P159=0),"",A159+P159)</f>
        <v/>
      </c>
      <c r="R159" s="26">
        <f>IF(Q159="","",IF(COUNTIFS($E$5:$E$3004,E159,$A$5:$A$3004,"&gt;"&amp;A159,$H$5:$H$3004,"&lt;&gt;Falta",$H$5:$H$3004,"&lt;&gt;Cancelado",$H$5:$H$3004,"&lt;&gt;Remarcado")&gt;0,"Sim","Não"))</f>
        <v/>
      </c>
      <c r="S159" s="32">
        <f>IF(R159&lt;&gt;"Não","",IF(Q159+Config!$B$9&lt;=Config!$B$8,Config!$B$8-Q159,""))</f>
        <v/>
      </c>
      <c r="T159" s="26">
        <f>IF(S159="","","Sim")</f>
        <v/>
      </c>
      <c r="U159" s="41">
        <f>IF(T159="Sim",S159+ROW()/100000,0)</f>
        <v>0</v>
      </c>
      <c r="V159" s="41">
        <f>IF(AND(H159="Falta",L159=Config!$B$7,M159=Config!$B$5,COUNTIFS($E$5:E159,E159,$H$5:H159,"Falta",$L$5:L159,Config!$B$7,$M$5:M159,Config!$B$5)=1),COUNTIFS($E$5:$E$3004,E159,$H$5:$H$3004,"Falta",$L$5:$L$3004,Config!$B$7,$M$5:$M$3004,Config!$B$5)*1000-ROW()/100000,0)</f>
        <v>0</v>
      </c>
    </row>
    <row r="160">
      <c r="A160" s="39" t="n">
        <v>46189</v>
      </c>
      <c r="B160" s="40" t="n">
        <v>0.7083333333333334</v>
      </c>
      <c r="C160" s="35" t="inlineStr">
        <is>
          <t>Dra. Renata Sousa</t>
        </is>
      </c>
      <c r="D160" s="35" t="inlineStr">
        <is>
          <t>Sala 1</t>
        </is>
      </c>
      <c r="E160" s="34" t="inlineStr">
        <is>
          <t>Márcia Duarte</t>
        </is>
      </c>
      <c r="F160" s="35" t="inlineStr">
        <is>
          <t>Particular</t>
        </is>
      </c>
      <c r="G160" s="35" t="inlineStr">
        <is>
          <t>Avaliação endócrina</t>
        </is>
      </c>
      <c r="H160" s="35" t="inlineStr">
        <is>
          <t>Realizado</t>
        </is>
      </c>
      <c r="I160" s="35" t="inlineStr">
        <is>
          <t>Pix</t>
        </is>
      </c>
      <c r="J160" s="35" t="n"/>
      <c r="K160" s="34" t="n"/>
      <c r="L160" s="26">
        <f>IF(A160="","",MONTH(A160))</f>
        <v>6</v>
      </c>
      <c r="M160" s="26">
        <f>IF(A160="","",YEAR(A160))</f>
        <v>2026</v>
      </c>
      <c r="N160" s="26" t="str">
        <f>IF(A160="","",CHOOSE(WEEKDAY(A160,2),"Segunda","Terça","Quarta","Quinta","Sexta","Sábado","Domingo"))</f>
        <v>Terça</v>
      </c>
      <c r="O160" s="26" t="str">
        <f>IF(B160="","",IF(B160&lt;TIME(12,0,0),"Manhã",IF(B160&lt;TIME(18,0,0),"Tarde","Noite")))</f>
        <v>Tarde</v>
      </c>
      <c r="P160" s="32">
        <f>IF(G160="","",IFERROR(INDEX(Config!$I$5:$I$16,MATCH(G160,Config!$H$5:$H$16,0)),0))</f>
        <v>45</v>
      </c>
      <c r="Q160" s="30">
        <f>IF(OR(H160&lt;&gt;"Realizado",P160="",P160=0),"",A160+P160)</f>
        <v>46234.0</v>
      </c>
      <c r="R160" s="26" t="str">
        <f>IF(Q160="","",IF(COUNTIFS($E$5:$E$3004,E160,$A$5:$A$3004,"&gt;"&amp;A160,$H$5:$H$3004,"&lt;&gt;Falta",$H$5:$H$3004,"&lt;&gt;Cancelado",$H$5:$H$3004,"&lt;&gt;Remarcado")&gt;0,"Sim","Não"))</f>
        <v>Sim</v>
      </c>
      <c r="S160" s="32">
        <f>IF(R160&lt;&gt;"Não","",IF(Q160+Config!$B$9&lt;=Config!$B$8,Config!$B$8-Q160,""))</f>
        <v/>
      </c>
      <c r="T160" s="26">
        <f>IF(S160="","","Sim")</f>
        <v/>
      </c>
      <c r="U160" s="41">
        <f>IF(T160="Sim",S160+ROW()/100000,0)</f>
        <v>0</v>
      </c>
      <c r="V160" s="41">
        <f>IF(AND(H160="Falta",L160=Config!$B$7,M160=Config!$B$5,COUNTIFS($E$5:E160,E160,$H$5:H160,"Falta",$L$5:L160,Config!$B$7,$M$5:M160,Config!$B$5)=1),COUNTIFS($E$5:$E$3004,E160,$H$5:$H$3004,"Falta",$L$5:$L$3004,Config!$B$7,$M$5:$M$3004,Config!$B$5)*1000-ROW()/100000,0)</f>
        <v>0</v>
      </c>
    </row>
    <row r="161">
      <c r="A161" s="39" t="n">
        <v>46189</v>
      </c>
      <c r="B161" s="40" t="n">
        <v>0.7083333333333334</v>
      </c>
      <c r="C161" s="35" t="inlineStr">
        <is>
          <t>Dr. Paulo Andrade</t>
        </is>
      </c>
      <c r="D161" s="35" t="inlineStr">
        <is>
          <t>Sala 2</t>
        </is>
      </c>
      <c r="E161" s="34" t="inlineStr">
        <is>
          <t>Roberta Fernandes</t>
        </is>
      </c>
      <c r="F161" s="35" t="inlineStr">
        <is>
          <t>Saúde Total</t>
        </is>
      </c>
      <c r="G161" s="35" t="inlineStr">
        <is>
          <t>ECG</t>
        </is>
      </c>
      <c r="H161" s="35" t="inlineStr">
        <is>
          <t>Realizado</t>
        </is>
      </c>
      <c r="I161" s="35" t="inlineStr">
        <is>
          <t>Convênio</t>
        </is>
      </c>
      <c r="J161" s="35" t="n"/>
      <c r="K161" s="34" t="n"/>
      <c r="L161" s="26">
        <f>IF(A161="","",MONTH(A161))</f>
        <v>6</v>
      </c>
      <c r="M161" s="26">
        <f>IF(A161="","",YEAR(A161))</f>
        <v>2026</v>
      </c>
      <c r="N161" s="26" t="str">
        <f>IF(A161="","",CHOOSE(WEEKDAY(A161,2),"Segunda","Terça","Quarta","Quinta","Sexta","Sábado","Domingo"))</f>
        <v>Terça</v>
      </c>
      <c r="O161" s="26" t="str">
        <f>IF(B161="","",IF(B161&lt;TIME(12,0,0),"Manhã",IF(B161&lt;TIME(18,0,0),"Tarde","Noite")))</f>
        <v>Tarde</v>
      </c>
      <c r="P161" s="32">
        <f>IF(G161="","",IFERROR(INDEX(Config!$I$5:$I$16,MATCH(G161,Config!$H$5:$H$16,0)),0))</f>
        <v>0</v>
      </c>
      <c r="Q161" s="30">
        <f>IF(OR(H161&lt;&gt;"Realizado",P161="",P161=0),"",A161+P161)</f>
        <v/>
      </c>
      <c r="R161" s="26">
        <f>IF(Q161="","",IF(COUNTIFS($E$5:$E$3004,E161,$A$5:$A$3004,"&gt;"&amp;A161,$H$5:$H$3004,"&lt;&gt;Falta",$H$5:$H$3004,"&lt;&gt;Cancelado",$H$5:$H$3004,"&lt;&gt;Remarcado")&gt;0,"Sim","Não"))</f>
        <v/>
      </c>
      <c r="S161" s="32">
        <f>IF(R161&lt;&gt;"Não","",IF(Q161+Config!$B$9&lt;=Config!$B$8,Config!$B$8-Q161,""))</f>
        <v/>
      </c>
      <c r="T161" s="26">
        <f>IF(S161="","","Sim")</f>
        <v/>
      </c>
      <c r="U161" s="41">
        <f>IF(T161="Sim",S161+ROW()/100000,0)</f>
        <v>0</v>
      </c>
      <c r="V161" s="41">
        <f>IF(AND(H161="Falta",L161=Config!$B$7,M161=Config!$B$5,COUNTIFS($E$5:E161,E161,$H$5:H161,"Falta",$L$5:L161,Config!$B$7,$M$5:M161,Config!$B$5)=1),COUNTIFS($E$5:$E$3004,E161,$H$5:$H$3004,"Falta",$L$5:$L$3004,Config!$B$7,$M$5:$M$3004,Config!$B$5)*1000-ROW()/100000,0)</f>
        <v>0</v>
      </c>
    </row>
    <row r="162">
      <c r="A162" s="39" t="n">
        <v>46189</v>
      </c>
      <c r="B162" s="40" t="n">
        <v>0.7222222222222222</v>
      </c>
      <c r="C162" s="35" t="inlineStr">
        <is>
          <t>Dr. Paulo Andrade</t>
        </is>
      </c>
      <c r="D162" s="35" t="inlineStr">
        <is>
          <t>Sala 2</t>
        </is>
      </c>
      <c r="E162" s="34" t="inlineStr">
        <is>
          <t>Tatiana Gonçalves</t>
        </is>
      </c>
      <c r="F162" s="35" t="inlineStr">
        <is>
          <t>Saúde Total</t>
        </is>
      </c>
      <c r="G162" s="35" t="inlineStr">
        <is>
          <t>Consulta</t>
        </is>
      </c>
      <c r="H162" s="35" t="inlineStr">
        <is>
          <t>Realizado</t>
        </is>
      </c>
      <c r="I162" s="35" t="inlineStr">
        <is>
          <t>Convênio</t>
        </is>
      </c>
      <c r="J162" s="35" t="n"/>
      <c r="K162" s="34" t="n"/>
      <c r="L162" s="26">
        <f>IF(A162="","",MONTH(A162))</f>
        <v>6</v>
      </c>
      <c r="M162" s="26">
        <f>IF(A162="","",YEAR(A162))</f>
        <v>2026</v>
      </c>
      <c r="N162" s="26" t="str">
        <f>IF(A162="","",CHOOSE(WEEKDAY(A162,2),"Segunda","Terça","Quarta","Quinta","Sexta","Sábado","Domingo"))</f>
        <v>Terça</v>
      </c>
      <c r="O162" s="26" t="str">
        <f>IF(B162="","",IF(B162&lt;TIME(12,0,0),"Manhã",IF(B162&lt;TIME(18,0,0),"Tarde","Noite")))</f>
        <v>Tarde</v>
      </c>
      <c r="P162" s="32">
        <f>IF(G162="","",IFERROR(INDEX(Config!$I$5:$I$16,MATCH(G162,Config!$H$5:$H$16,0)),0))</f>
        <v>30</v>
      </c>
      <c r="Q162" s="30">
        <f>IF(OR(H162&lt;&gt;"Realizado",P162="",P162=0),"",A162+P162)</f>
        <v>46219.0</v>
      </c>
      <c r="R162" s="26" t="str">
        <f>IF(Q162="","",IF(COUNTIFS($E$5:$E$3004,E162,$A$5:$A$3004,"&gt;"&amp;A162,$H$5:$H$3004,"&lt;&gt;Falta",$H$5:$H$3004,"&lt;&gt;Cancelado",$H$5:$H$3004,"&lt;&gt;Remarcado")&gt;0,"Sim","Não"))</f>
        <v>Sim</v>
      </c>
      <c r="S162" s="32">
        <f>IF(R162&lt;&gt;"Não","",IF(Q162+Config!$B$9&lt;=Config!$B$8,Config!$B$8-Q162,""))</f>
        <v/>
      </c>
      <c r="T162" s="26">
        <f>IF(S162="","","Sim")</f>
        <v/>
      </c>
      <c r="U162" s="41">
        <f>IF(T162="Sim",S162+ROW()/100000,0)</f>
        <v>0</v>
      </c>
      <c r="V162" s="41">
        <f>IF(AND(H162="Falta",L162=Config!$B$7,M162=Config!$B$5,COUNTIFS($E$5:E162,E162,$H$5:H162,"Falta",$L$5:L162,Config!$B$7,$M$5:M162,Config!$B$5)=1),COUNTIFS($E$5:$E$3004,E162,$H$5:$H$3004,"Falta",$L$5:$L$3004,Config!$B$7,$M$5:$M$3004,Config!$B$5)*1000-ROW()/100000,0)</f>
        <v>0</v>
      </c>
    </row>
    <row r="163">
      <c r="A163" s="39" t="n">
        <v>46189</v>
      </c>
      <c r="B163" s="40" t="n">
        <v>0.7361111111111112</v>
      </c>
      <c r="C163" s="35" t="inlineStr">
        <is>
          <t>Dra. Renata Sousa</t>
        </is>
      </c>
      <c r="D163" s="35" t="inlineStr">
        <is>
          <t>Sala 1</t>
        </is>
      </c>
      <c r="E163" s="34" t="inlineStr">
        <is>
          <t>Eduardo Pereira</t>
        </is>
      </c>
      <c r="F163" s="35" t="inlineStr">
        <is>
          <t>Particular</t>
        </is>
      </c>
      <c r="G163" s="35" t="inlineStr">
        <is>
          <t>Retorno</t>
        </is>
      </c>
      <c r="H163" s="35" t="inlineStr">
        <is>
          <t>Realizado</t>
        </is>
      </c>
      <c r="I163" s="35" t="inlineStr">
        <is>
          <t>Sem cobrança</t>
        </is>
      </c>
      <c r="J163" s="35" t="n"/>
      <c r="K163" s="34" t="n"/>
      <c r="L163" s="26">
        <f>IF(A163="","",MONTH(A163))</f>
        <v>6</v>
      </c>
      <c r="M163" s="26">
        <f>IF(A163="","",YEAR(A163))</f>
        <v>2026</v>
      </c>
      <c r="N163" s="26" t="str">
        <f>IF(A163="","",CHOOSE(WEEKDAY(A163,2),"Segunda","Terça","Quarta","Quinta","Sexta","Sábado","Domingo"))</f>
        <v>Terça</v>
      </c>
      <c r="O163" s="26" t="str">
        <f>IF(B163="","",IF(B163&lt;TIME(12,0,0),"Manhã",IF(B163&lt;TIME(18,0,0),"Tarde","Noite")))</f>
        <v>Tarde</v>
      </c>
      <c r="P163" s="32">
        <f>IF(G163="","",IFERROR(INDEX(Config!$I$5:$I$16,MATCH(G163,Config!$H$5:$H$16,0)),0))</f>
        <v>0</v>
      </c>
      <c r="Q163" s="30">
        <f>IF(OR(H163&lt;&gt;"Realizado",P163="",P163=0),"",A163+P163)</f>
        <v/>
      </c>
      <c r="R163" s="26">
        <f>IF(Q163="","",IF(COUNTIFS($E$5:$E$3004,E163,$A$5:$A$3004,"&gt;"&amp;A163,$H$5:$H$3004,"&lt;&gt;Falta",$H$5:$H$3004,"&lt;&gt;Cancelado",$H$5:$H$3004,"&lt;&gt;Remarcado")&gt;0,"Sim","Não"))</f>
        <v/>
      </c>
      <c r="S163" s="32">
        <f>IF(R163&lt;&gt;"Não","",IF(Q163+Config!$B$9&lt;=Config!$B$8,Config!$B$8-Q163,""))</f>
        <v/>
      </c>
      <c r="T163" s="26">
        <f>IF(S163="","","Sim")</f>
        <v/>
      </c>
      <c r="U163" s="41">
        <f>IF(T163="Sim",S163+ROW()/100000,0)</f>
        <v>0</v>
      </c>
      <c r="V163" s="41">
        <f>IF(AND(H163="Falta",L163=Config!$B$7,M163=Config!$B$5,COUNTIFS($E$5:E163,E163,$H$5:H163,"Falta",$L$5:L163,Config!$B$7,$M$5:M163,Config!$B$5)=1),COUNTIFS($E$5:$E$3004,E163,$H$5:$H$3004,"Falta",$L$5:$L$3004,Config!$B$7,$M$5:$M$3004,Config!$B$5)*1000-ROW()/100000,0)</f>
        <v>0</v>
      </c>
    </row>
    <row r="164">
      <c r="A164" s="39" t="n">
        <v>46190</v>
      </c>
      <c r="B164" s="40" t="n">
        <v>0.5833333333333334</v>
      </c>
      <c r="C164" s="35" t="inlineStr">
        <is>
          <t>Dra. Carolina Mendes</t>
        </is>
      </c>
      <c r="D164" s="35" t="inlineStr">
        <is>
          <t>Sala 1</t>
        </is>
      </c>
      <c r="E164" s="34" t="inlineStr">
        <is>
          <t>Mônica Batista</t>
        </is>
      </c>
      <c r="F164" s="35" t="inlineStr">
        <is>
          <t>MediPlan</t>
        </is>
      </c>
      <c r="G164" s="35" t="inlineStr">
        <is>
          <t>Consulta</t>
        </is>
      </c>
      <c r="H164" s="35" t="inlineStr">
        <is>
          <t>Realizado</t>
        </is>
      </c>
      <c r="I164" s="35" t="inlineStr">
        <is>
          <t>Convênio</t>
        </is>
      </c>
      <c r="J164" s="35" t="n"/>
      <c r="K164" s="34" t="n"/>
      <c r="L164" s="26">
        <f>IF(A164="","",MONTH(A164))</f>
        <v>6</v>
      </c>
      <c r="M164" s="26">
        <f>IF(A164="","",YEAR(A164))</f>
        <v>2026</v>
      </c>
      <c r="N164" s="26" t="str">
        <f>IF(A164="","",CHOOSE(WEEKDAY(A164,2),"Segunda","Terça","Quarta","Quinta","Sexta","Sábado","Domingo"))</f>
        <v>Quarta</v>
      </c>
      <c r="O164" s="26" t="str">
        <f>IF(B164="","",IF(B164&lt;TIME(12,0,0),"Manhã",IF(B164&lt;TIME(18,0,0),"Tarde","Noite")))</f>
        <v>Tarde</v>
      </c>
      <c r="P164" s="32">
        <f>IF(G164="","",IFERROR(INDEX(Config!$I$5:$I$16,MATCH(G164,Config!$H$5:$H$16,0)),0))</f>
        <v>30</v>
      </c>
      <c r="Q164" s="30">
        <f>IF(OR(H164&lt;&gt;"Realizado",P164="",P164=0),"",A164+P164)</f>
        <v>46220.0</v>
      </c>
      <c r="R164" s="26" t="str">
        <f>IF(Q164="","",IF(COUNTIFS($E$5:$E$3004,E164,$A$5:$A$3004,"&gt;"&amp;A164,$H$5:$H$3004,"&lt;&gt;Falta",$H$5:$H$3004,"&lt;&gt;Cancelado",$H$5:$H$3004,"&lt;&gt;Remarcado")&gt;0,"Sim","Não"))</f>
        <v>Sim</v>
      </c>
      <c r="S164" s="32">
        <f>IF(R164&lt;&gt;"Não","",IF(Q164+Config!$B$9&lt;=Config!$B$8,Config!$B$8-Q164,""))</f>
        <v/>
      </c>
      <c r="T164" s="26">
        <f>IF(S164="","","Sim")</f>
        <v/>
      </c>
      <c r="U164" s="41">
        <f>IF(T164="Sim",S164+ROW()/100000,0)</f>
        <v>0</v>
      </c>
      <c r="V164" s="41">
        <f>IF(AND(H164="Falta",L164=Config!$B$7,M164=Config!$B$5,COUNTIFS($E$5:E164,E164,$H$5:H164,"Falta",$L$5:L164,Config!$B$7,$M$5:M164,Config!$B$5)=1),COUNTIFS($E$5:$E$3004,E164,$H$5:$H$3004,"Falta",$L$5:$L$3004,Config!$B$7,$M$5:$M$3004,Config!$B$5)*1000-ROW()/100000,0)</f>
        <v>0</v>
      </c>
    </row>
    <row r="165">
      <c r="A165" s="39" t="n">
        <v>46190</v>
      </c>
      <c r="B165" s="40" t="n">
        <v>0.6041666666666666</v>
      </c>
      <c r="C165" s="35" t="inlineStr">
        <is>
          <t>Dra. Carolina Mendes</t>
        </is>
      </c>
      <c r="D165" s="35" t="inlineStr">
        <is>
          <t>Sala 1</t>
        </is>
      </c>
      <c r="E165" s="34" t="inlineStr">
        <is>
          <t>Tatiana Cunha</t>
        </is>
      </c>
      <c r="F165" s="35" t="inlineStr">
        <is>
          <t>Saúde Total</t>
        </is>
      </c>
      <c r="G165" s="35" t="inlineStr">
        <is>
          <t>Consulta</t>
        </is>
      </c>
      <c r="H165" s="35" t="inlineStr">
        <is>
          <t>Realizado</t>
        </is>
      </c>
      <c r="I165" s="35" t="inlineStr">
        <is>
          <t>Convênio</t>
        </is>
      </c>
      <c r="J165" s="35" t="n"/>
      <c r="K165" s="34" t="n"/>
      <c r="L165" s="26">
        <f>IF(A165="","",MONTH(A165))</f>
        <v>6</v>
      </c>
      <c r="M165" s="26">
        <f>IF(A165="","",YEAR(A165))</f>
        <v>2026</v>
      </c>
      <c r="N165" s="26" t="str">
        <f>IF(A165="","",CHOOSE(WEEKDAY(A165,2),"Segunda","Terça","Quarta","Quinta","Sexta","Sábado","Domingo"))</f>
        <v>Quarta</v>
      </c>
      <c r="O165" s="26" t="str">
        <f>IF(B165="","",IF(B165&lt;TIME(12,0,0),"Manhã",IF(B165&lt;TIME(18,0,0),"Tarde","Noite")))</f>
        <v>Tarde</v>
      </c>
      <c r="P165" s="32">
        <f>IF(G165="","",IFERROR(INDEX(Config!$I$5:$I$16,MATCH(G165,Config!$H$5:$H$16,0)),0))</f>
        <v>30</v>
      </c>
      <c r="Q165" s="30">
        <f>IF(OR(H165&lt;&gt;"Realizado",P165="",P165=0),"",A165+P165)</f>
        <v>46220.0</v>
      </c>
      <c r="R165" s="26" t="str">
        <f>IF(Q165="","",IF(COUNTIFS($E$5:$E$3004,E165,$A$5:$A$3004,"&gt;"&amp;A165,$H$5:$H$3004,"&lt;&gt;Falta",$H$5:$H$3004,"&lt;&gt;Cancelado",$H$5:$H$3004,"&lt;&gt;Remarcado")&gt;0,"Sim","Não"))</f>
        <v>Sim</v>
      </c>
      <c r="S165" s="32">
        <f>IF(R165&lt;&gt;"Não","",IF(Q165+Config!$B$9&lt;=Config!$B$8,Config!$B$8-Q165,""))</f>
        <v/>
      </c>
      <c r="T165" s="26">
        <f>IF(S165="","","Sim")</f>
        <v/>
      </c>
      <c r="U165" s="41">
        <f>IF(T165="Sim",S165+ROW()/100000,0)</f>
        <v>0</v>
      </c>
      <c r="V165" s="41">
        <f>IF(AND(H165="Falta",L165=Config!$B$7,M165=Config!$B$5,COUNTIFS($E$5:E165,E165,$H$5:H165,"Falta",$L$5:L165,Config!$B$7,$M$5:M165,Config!$B$5)=1),COUNTIFS($E$5:$E$3004,E165,$H$5:$H$3004,"Falta",$L$5:$L$3004,Config!$B$7,$M$5:$M$3004,Config!$B$5)*1000-ROW()/100000,0)</f>
        <v>0</v>
      </c>
    </row>
    <row r="166">
      <c r="A166" s="39" t="n">
        <v>46190</v>
      </c>
      <c r="B166" s="40" t="n">
        <v>0.625</v>
      </c>
      <c r="C166" s="35" t="inlineStr">
        <is>
          <t>Dra. Carolina Mendes</t>
        </is>
      </c>
      <c r="D166" s="35" t="inlineStr">
        <is>
          <t>Sala 1</t>
        </is>
      </c>
      <c r="E166" s="34" t="inlineStr">
        <is>
          <t>Cláudia Santos</t>
        </is>
      </c>
      <c r="F166" s="35" t="inlineStr">
        <is>
          <t>Particular</t>
        </is>
      </c>
      <c r="G166" s="35" t="inlineStr">
        <is>
          <t>Consulta</t>
        </is>
      </c>
      <c r="H166" s="35" t="inlineStr">
        <is>
          <t>Realizado</t>
        </is>
      </c>
      <c r="I166" s="35" t="inlineStr">
        <is>
          <t>Pix</t>
        </is>
      </c>
      <c r="J166" s="35" t="n"/>
      <c r="K166" s="34" t="n"/>
      <c r="L166" s="26">
        <f>IF(A166="","",MONTH(A166))</f>
        <v>6</v>
      </c>
      <c r="M166" s="26">
        <f>IF(A166="","",YEAR(A166))</f>
        <v>2026</v>
      </c>
      <c r="N166" s="26" t="str">
        <f>IF(A166="","",CHOOSE(WEEKDAY(A166,2),"Segunda","Terça","Quarta","Quinta","Sexta","Sábado","Domingo"))</f>
        <v>Quarta</v>
      </c>
      <c r="O166" s="26" t="str">
        <f>IF(B166="","",IF(B166&lt;TIME(12,0,0),"Manhã",IF(B166&lt;TIME(18,0,0),"Tarde","Noite")))</f>
        <v>Tarde</v>
      </c>
      <c r="P166" s="32">
        <f>IF(G166="","",IFERROR(INDEX(Config!$I$5:$I$16,MATCH(G166,Config!$H$5:$H$16,0)),0))</f>
        <v>30</v>
      </c>
      <c r="Q166" s="30">
        <f>IF(OR(H166&lt;&gt;"Realizado",P166="",P166=0),"",A166+P166)</f>
        <v>46220.0</v>
      </c>
      <c r="R166" s="26" t="str">
        <f>IF(Q166="","",IF(COUNTIFS($E$5:$E$3004,E166,$A$5:$A$3004,"&gt;"&amp;A166,$H$5:$H$3004,"&lt;&gt;Falta",$H$5:$H$3004,"&lt;&gt;Cancelado",$H$5:$H$3004,"&lt;&gt;Remarcado")&gt;0,"Sim","Não"))</f>
        <v>Sim</v>
      </c>
      <c r="S166" s="32">
        <f>IF(R166&lt;&gt;"Não","",IF(Q166+Config!$B$9&lt;=Config!$B$8,Config!$B$8-Q166,""))</f>
        <v/>
      </c>
      <c r="T166" s="26">
        <f>IF(S166="","","Sim")</f>
        <v/>
      </c>
      <c r="U166" s="41">
        <f>IF(T166="Sim",S166+ROW()/100000,0)</f>
        <v>0</v>
      </c>
      <c r="V166" s="41">
        <f>IF(AND(H166="Falta",L166=Config!$B$7,M166=Config!$B$5,COUNTIFS($E$5:E166,E166,$H$5:H166,"Falta",$L$5:L166,Config!$B$7,$M$5:M166,Config!$B$5)=1),COUNTIFS($E$5:$E$3004,E166,$H$5:$H$3004,"Falta",$L$5:$L$3004,Config!$B$7,$M$5:$M$3004,Config!$B$5)*1000-ROW()/100000,0)</f>
        <v>0</v>
      </c>
    </row>
    <row r="167">
      <c r="A167" s="39" t="n">
        <v>46190</v>
      </c>
      <c r="B167" s="40" t="n">
        <v>0.6458333333333334</v>
      </c>
      <c r="C167" s="35" t="inlineStr">
        <is>
          <t>Dra. Carolina Mendes</t>
        </is>
      </c>
      <c r="D167" s="35" t="inlineStr">
        <is>
          <t>Sala 1</t>
        </is>
      </c>
      <c r="E167" s="34" t="inlineStr">
        <is>
          <t>Viviane Ribeiro</t>
        </is>
      </c>
      <c r="F167" s="35" t="inlineStr">
        <is>
          <t>Particular</t>
        </is>
      </c>
      <c r="G167" s="35" t="inlineStr">
        <is>
          <t>Consulta</t>
        </is>
      </c>
      <c r="H167" s="35" t="inlineStr">
        <is>
          <t>Realizado</t>
        </is>
      </c>
      <c r="I167" s="35" t="inlineStr">
        <is>
          <t>A prazo</t>
        </is>
      </c>
      <c r="J167" s="35" t="n"/>
      <c r="K167" s="34" t="n"/>
      <c r="L167" s="26">
        <f>IF(A167="","",MONTH(A167))</f>
        <v>6</v>
      </c>
      <c r="M167" s="26">
        <f>IF(A167="","",YEAR(A167))</f>
        <v>2026</v>
      </c>
      <c r="N167" s="26" t="str">
        <f>IF(A167="","",CHOOSE(WEEKDAY(A167,2),"Segunda","Terça","Quarta","Quinta","Sexta","Sábado","Domingo"))</f>
        <v>Quarta</v>
      </c>
      <c r="O167" s="26" t="str">
        <f>IF(B167="","",IF(B167&lt;TIME(12,0,0),"Manhã",IF(B167&lt;TIME(18,0,0),"Tarde","Noite")))</f>
        <v>Tarde</v>
      </c>
      <c r="P167" s="32">
        <f>IF(G167="","",IFERROR(INDEX(Config!$I$5:$I$16,MATCH(G167,Config!$H$5:$H$16,0)),0))</f>
        <v>30</v>
      </c>
      <c r="Q167" s="30">
        <f>IF(OR(H167&lt;&gt;"Realizado",P167="",P167=0),"",A167+P167)</f>
        <v>46220.0</v>
      </c>
      <c r="R167" s="26" t="str">
        <f>IF(Q167="","",IF(COUNTIFS($E$5:$E$3004,E167,$A$5:$A$3004,"&gt;"&amp;A167,$H$5:$H$3004,"&lt;&gt;Falta",$H$5:$H$3004,"&lt;&gt;Cancelado",$H$5:$H$3004,"&lt;&gt;Remarcado")&gt;0,"Sim","Não"))</f>
        <v>Sim</v>
      </c>
      <c r="S167" s="32">
        <f>IF(R167&lt;&gt;"Não","",IF(Q167+Config!$B$9&lt;=Config!$B$8,Config!$B$8-Q167,""))</f>
        <v/>
      </c>
      <c r="T167" s="26">
        <f>IF(S167="","","Sim")</f>
        <v/>
      </c>
      <c r="U167" s="41">
        <f>IF(T167="Sim",S167+ROW()/100000,0)</f>
        <v>0</v>
      </c>
      <c r="V167" s="41">
        <f>IF(AND(H167="Falta",L167=Config!$B$7,M167=Config!$B$5,COUNTIFS($E$5:E167,E167,$H$5:H167,"Falta",$L$5:L167,Config!$B$7,$M$5:M167,Config!$B$5)=1),COUNTIFS($E$5:$E$3004,E167,$H$5:$H$3004,"Falta",$L$5:$L$3004,Config!$B$7,$M$5:$M$3004,Config!$B$5)*1000-ROW()/100000,0)</f>
        <v>0</v>
      </c>
    </row>
    <row r="168">
      <c r="A168" s="39" t="n">
        <v>46190</v>
      </c>
      <c r="B168" s="40" t="n">
        <v>0.6666666666666666</v>
      </c>
      <c r="C168" s="35" t="inlineStr">
        <is>
          <t>Dra. Carolina Mendes</t>
        </is>
      </c>
      <c r="D168" s="35" t="inlineStr">
        <is>
          <t>Sala 1</t>
        </is>
      </c>
      <c r="E168" s="34" t="inlineStr">
        <is>
          <t>Priscila Castro</t>
        </is>
      </c>
      <c r="F168" s="35" t="inlineStr">
        <is>
          <t>Saúde Total</t>
        </is>
      </c>
      <c r="G168" s="35" t="inlineStr">
        <is>
          <t>Consulta</t>
        </is>
      </c>
      <c r="H168" s="35" t="inlineStr">
        <is>
          <t>Realizado</t>
        </is>
      </c>
      <c r="I168" s="35" t="inlineStr">
        <is>
          <t>Convênio</t>
        </is>
      </c>
      <c r="J168" s="35" t="n"/>
      <c r="K168" s="34" t="n"/>
      <c r="L168" s="26">
        <f>IF(A168="","",MONTH(A168))</f>
        <v>6</v>
      </c>
      <c r="M168" s="26">
        <f>IF(A168="","",YEAR(A168))</f>
        <v>2026</v>
      </c>
      <c r="N168" s="26" t="str">
        <f>IF(A168="","",CHOOSE(WEEKDAY(A168,2),"Segunda","Terça","Quarta","Quinta","Sexta","Sábado","Domingo"))</f>
        <v>Quarta</v>
      </c>
      <c r="O168" s="26" t="str">
        <f>IF(B168="","",IF(B168&lt;TIME(12,0,0),"Manhã",IF(B168&lt;TIME(18,0,0),"Tarde","Noite")))</f>
        <v>Tarde</v>
      </c>
      <c r="P168" s="32">
        <f>IF(G168="","",IFERROR(INDEX(Config!$I$5:$I$16,MATCH(G168,Config!$H$5:$H$16,0)),0))</f>
        <v>30</v>
      </c>
      <c r="Q168" s="30">
        <f>IF(OR(H168&lt;&gt;"Realizado",P168="",P168=0),"",A168+P168)</f>
        <v>46220.0</v>
      </c>
      <c r="R168" s="26" t="str">
        <f>IF(Q168="","",IF(COUNTIFS($E$5:$E$3004,E168,$A$5:$A$3004,"&gt;"&amp;A168,$H$5:$H$3004,"&lt;&gt;Falta",$H$5:$H$3004,"&lt;&gt;Cancelado",$H$5:$H$3004,"&lt;&gt;Remarcado")&gt;0,"Sim","Não"))</f>
        <v>Sim</v>
      </c>
      <c r="S168" s="32">
        <f>IF(R168&lt;&gt;"Não","",IF(Q168+Config!$B$9&lt;=Config!$B$8,Config!$B$8-Q168,""))</f>
        <v/>
      </c>
      <c r="T168" s="26">
        <f>IF(S168="","","Sim")</f>
        <v/>
      </c>
      <c r="U168" s="41">
        <f>IF(T168="Sim",S168+ROW()/100000,0)</f>
        <v>0</v>
      </c>
      <c r="V168" s="41">
        <f>IF(AND(H168="Falta",L168=Config!$B$7,M168=Config!$B$5,COUNTIFS($E$5:E168,E168,$H$5:H168,"Falta",$L$5:L168,Config!$B$7,$M$5:M168,Config!$B$5)=1),COUNTIFS($E$5:$E$3004,E168,$H$5:$H$3004,"Falta",$L$5:$L$3004,Config!$B$7,$M$5:$M$3004,Config!$B$5)*1000-ROW()/100000,0)</f>
        <v>0</v>
      </c>
    </row>
    <row r="169">
      <c r="A169" s="39" t="n">
        <v>46190</v>
      </c>
      <c r="B169" s="40" t="n">
        <v>0.6875</v>
      </c>
      <c r="C169" s="35" t="inlineStr">
        <is>
          <t>Dra. Carolina Mendes</t>
        </is>
      </c>
      <c r="D169" s="35" t="inlineStr">
        <is>
          <t>Sala 1</t>
        </is>
      </c>
      <c r="E169" s="34" t="inlineStr">
        <is>
          <t>Helena Moreira</t>
        </is>
      </c>
      <c r="F169" s="35" t="inlineStr">
        <is>
          <t>Particular</t>
        </is>
      </c>
      <c r="G169" s="35" t="inlineStr">
        <is>
          <t>Consulta</t>
        </is>
      </c>
      <c r="H169" s="35" t="inlineStr">
        <is>
          <t>Realizado</t>
        </is>
      </c>
      <c r="I169" s="35" t="inlineStr">
        <is>
          <t>Cartão de débito</t>
        </is>
      </c>
      <c r="J169" s="35" t="n"/>
      <c r="K169" s="34" t="n"/>
      <c r="L169" s="26">
        <f>IF(A169="","",MONTH(A169))</f>
        <v>6</v>
      </c>
      <c r="M169" s="26">
        <f>IF(A169="","",YEAR(A169))</f>
        <v>2026</v>
      </c>
      <c r="N169" s="26" t="str">
        <f>IF(A169="","",CHOOSE(WEEKDAY(A169,2),"Segunda","Terça","Quarta","Quinta","Sexta","Sábado","Domingo"))</f>
        <v>Quarta</v>
      </c>
      <c r="O169" s="26" t="str">
        <f>IF(B169="","",IF(B169&lt;TIME(12,0,0),"Manhã",IF(B169&lt;TIME(18,0,0),"Tarde","Noite")))</f>
        <v>Tarde</v>
      </c>
      <c r="P169" s="32">
        <f>IF(G169="","",IFERROR(INDEX(Config!$I$5:$I$16,MATCH(G169,Config!$H$5:$H$16,0)),0))</f>
        <v>30</v>
      </c>
      <c r="Q169" s="30">
        <f>IF(OR(H169&lt;&gt;"Realizado",P169="",P169=0),"",A169+P169)</f>
        <v>46220.0</v>
      </c>
      <c r="R169" s="26" t="str">
        <f>IF(Q169="","",IF(COUNTIFS($E$5:$E$3004,E169,$A$5:$A$3004,"&gt;"&amp;A169,$H$5:$H$3004,"&lt;&gt;Falta",$H$5:$H$3004,"&lt;&gt;Cancelado",$H$5:$H$3004,"&lt;&gt;Remarcado")&gt;0,"Sim","Não"))</f>
        <v>Sim</v>
      </c>
      <c r="S169" s="32">
        <f>IF(R169&lt;&gt;"Não","",IF(Q169+Config!$B$9&lt;=Config!$B$8,Config!$B$8-Q169,""))</f>
        <v/>
      </c>
      <c r="T169" s="26">
        <f>IF(S169="","","Sim")</f>
        <v/>
      </c>
      <c r="U169" s="41">
        <f>IF(T169="Sim",S169+ROW()/100000,0)</f>
        <v>0</v>
      </c>
      <c r="V169" s="41">
        <f>IF(AND(H169="Falta",L169=Config!$B$7,M169=Config!$B$5,COUNTIFS($E$5:E169,E169,$H$5:H169,"Falta",$L$5:L169,Config!$B$7,$M$5:M169,Config!$B$5)=1),COUNTIFS($E$5:$E$3004,E169,$H$5:$H$3004,"Falta",$L$5:$L$3004,Config!$B$7,$M$5:$M$3004,Config!$B$5)*1000-ROW()/100000,0)</f>
        <v>0</v>
      </c>
    </row>
    <row r="170">
      <c r="A170" s="39" t="n">
        <v>46190</v>
      </c>
      <c r="B170" s="40" t="n">
        <v>0.7083333333333334</v>
      </c>
      <c r="C170" s="35" t="inlineStr">
        <is>
          <t>Dra. Carolina Mendes</t>
        </is>
      </c>
      <c r="D170" s="35" t="inlineStr">
        <is>
          <t>Sala 1</t>
        </is>
      </c>
      <c r="E170" s="34" t="inlineStr">
        <is>
          <t>Regina Macedo</t>
        </is>
      </c>
      <c r="F170" s="35" t="inlineStr">
        <is>
          <t>Particular</t>
        </is>
      </c>
      <c r="G170" s="35" t="inlineStr">
        <is>
          <t>Consulta</t>
        </is>
      </c>
      <c r="H170" s="35" t="inlineStr">
        <is>
          <t>Realizado</t>
        </is>
      </c>
      <c r="I170" s="35" t="inlineStr">
        <is>
          <t>Pix</t>
        </is>
      </c>
      <c r="J170" s="35" t="n"/>
      <c r="K170" s="34" t="n"/>
      <c r="L170" s="26">
        <f>IF(A170="","",MONTH(A170))</f>
        <v>6</v>
      </c>
      <c r="M170" s="26">
        <f>IF(A170="","",YEAR(A170))</f>
        <v>2026</v>
      </c>
      <c r="N170" s="26" t="str">
        <f>IF(A170="","",CHOOSE(WEEKDAY(A170,2),"Segunda","Terça","Quarta","Quinta","Sexta","Sábado","Domingo"))</f>
        <v>Quarta</v>
      </c>
      <c r="O170" s="26" t="str">
        <f>IF(B170="","",IF(B170&lt;TIME(12,0,0),"Manhã",IF(B170&lt;TIME(18,0,0),"Tarde","Noite")))</f>
        <v>Tarde</v>
      </c>
      <c r="P170" s="32">
        <f>IF(G170="","",IFERROR(INDEX(Config!$I$5:$I$16,MATCH(G170,Config!$H$5:$H$16,0)),0))</f>
        <v>30</v>
      </c>
      <c r="Q170" s="30">
        <f>IF(OR(H170&lt;&gt;"Realizado",P170="",P170=0),"",A170+P170)</f>
        <v>46220.0</v>
      </c>
      <c r="R170" s="26" t="str">
        <f>IF(Q170="","",IF(COUNTIFS($E$5:$E$3004,E170,$A$5:$A$3004,"&gt;"&amp;A170,$H$5:$H$3004,"&lt;&gt;Falta",$H$5:$H$3004,"&lt;&gt;Cancelado",$H$5:$H$3004,"&lt;&gt;Remarcado")&gt;0,"Sim","Não"))</f>
        <v>Sim</v>
      </c>
      <c r="S170" s="32">
        <f>IF(R170&lt;&gt;"Não","",IF(Q170+Config!$B$9&lt;=Config!$B$8,Config!$B$8-Q170,""))</f>
        <v/>
      </c>
      <c r="T170" s="26">
        <f>IF(S170="","","Sim")</f>
        <v/>
      </c>
      <c r="U170" s="41">
        <f>IF(T170="Sim",S170+ROW()/100000,0)</f>
        <v>0</v>
      </c>
      <c r="V170" s="41">
        <f>IF(AND(H170="Falta",L170=Config!$B$7,M170=Config!$B$5,COUNTIFS($E$5:E170,E170,$H$5:H170,"Falta",$L$5:L170,Config!$B$7,$M$5:M170,Config!$B$5)=1),COUNTIFS($E$5:$E$3004,E170,$H$5:$H$3004,"Falta",$L$5:$L$3004,Config!$B$7,$M$5:$M$3004,Config!$B$5)*1000-ROW()/100000,0)</f>
        <v>0</v>
      </c>
    </row>
    <row r="171">
      <c r="A171" s="39" t="n">
        <v>46190</v>
      </c>
      <c r="B171" s="40" t="n">
        <v>0.7291666666666666</v>
      </c>
      <c r="C171" s="35" t="inlineStr">
        <is>
          <t>Dra. Carolina Mendes</t>
        </is>
      </c>
      <c r="D171" s="35" t="inlineStr">
        <is>
          <t>Sala 1</t>
        </is>
      </c>
      <c r="E171" s="34" t="inlineStr">
        <is>
          <t>Débora Machado</t>
        </is>
      </c>
      <c r="F171" s="35" t="inlineStr">
        <is>
          <t>Saúde Total</t>
        </is>
      </c>
      <c r="G171" s="35" t="inlineStr">
        <is>
          <t>Consulta</t>
        </is>
      </c>
      <c r="H171" s="35" t="inlineStr">
        <is>
          <t>Realizado</t>
        </is>
      </c>
      <c r="I171" s="35" t="inlineStr">
        <is>
          <t>Convênio</t>
        </is>
      </c>
      <c r="J171" s="35" t="n"/>
      <c r="K171" s="34" t="n"/>
      <c r="L171" s="26">
        <f>IF(A171="","",MONTH(A171))</f>
        <v>6</v>
      </c>
      <c r="M171" s="26">
        <f>IF(A171="","",YEAR(A171))</f>
        <v>2026</v>
      </c>
      <c r="N171" s="26" t="str">
        <f>IF(A171="","",CHOOSE(WEEKDAY(A171,2),"Segunda","Terça","Quarta","Quinta","Sexta","Sábado","Domingo"))</f>
        <v>Quarta</v>
      </c>
      <c r="O171" s="26" t="str">
        <f>IF(B171="","",IF(B171&lt;TIME(12,0,0),"Manhã",IF(B171&lt;TIME(18,0,0),"Tarde","Noite")))</f>
        <v>Tarde</v>
      </c>
      <c r="P171" s="32">
        <f>IF(G171="","",IFERROR(INDEX(Config!$I$5:$I$16,MATCH(G171,Config!$H$5:$H$16,0)),0))</f>
        <v>30</v>
      </c>
      <c r="Q171" s="30">
        <f>IF(OR(H171&lt;&gt;"Realizado",P171="",P171=0),"",A171+P171)</f>
        <v>46220.0</v>
      </c>
      <c r="R171" s="26" t="str">
        <f>IF(Q171="","",IF(COUNTIFS($E$5:$E$3004,E171,$A$5:$A$3004,"&gt;"&amp;A171,$H$5:$H$3004,"&lt;&gt;Falta",$H$5:$H$3004,"&lt;&gt;Cancelado",$H$5:$H$3004,"&lt;&gt;Remarcado")&gt;0,"Sim","Não"))</f>
        <v>Sim</v>
      </c>
      <c r="S171" s="32">
        <f>IF(R171&lt;&gt;"Não","",IF(Q171+Config!$B$9&lt;=Config!$B$8,Config!$B$8-Q171,""))</f>
        <v/>
      </c>
      <c r="T171" s="26">
        <f>IF(S171="","","Sim")</f>
        <v/>
      </c>
      <c r="U171" s="41">
        <f>IF(T171="Sim",S171+ROW()/100000,0)</f>
        <v>0</v>
      </c>
      <c r="V171" s="41">
        <f>IF(AND(H171="Falta",L171=Config!$B$7,M171=Config!$B$5,COUNTIFS($E$5:E171,E171,$H$5:H171,"Falta",$L$5:L171,Config!$B$7,$M$5:M171,Config!$B$5)=1),COUNTIFS($E$5:$E$3004,E171,$H$5:$H$3004,"Falta",$L$5:$L$3004,Config!$B$7,$M$5:$M$3004,Config!$B$5)*1000-ROW()/100000,0)</f>
        <v>0</v>
      </c>
    </row>
    <row r="172">
      <c r="A172" s="39" t="n">
        <v>46191</v>
      </c>
      <c r="B172" s="40" t="n">
        <v>0.3333333333333333</v>
      </c>
      <c r="C172" s="35" t="inlineStr">
        <is>
          <t>Dra. Carolina Mendes</t>
        </is>
      </c>
      <c r="D172" s="35" t="inlineStr">
        <is>
          <t>Sala 1</t>
        </is>
      </c>
      <c r="E172" s="34" t="inlineStr">
        <is>
          <t>Letícia Vieira</t>
        </is>
      </c>
      <c r="F172" s="35" t="inlineStr">
        <is>
          <t>Saúde Total</t>
        </is>
      </c>
      <c r="G172" s="35" t="inlineStr">
        <is>
          <t>Consulta</t>
        </is>
      </c>
      <c r="H172" s="35" t="inlineStr">
        <is>
          <t>Realizado</t>
        </is>
      </c>
      <c r="I172" s="35" t="inlineStr">
        <is>
          <t>Convênio</t>
        </is>
      </c>
      <c r="J172" s="35" t="n"/>
      <c r="K172" s="34" t="n"/>
      <c r="L172" s="26">
        <f>IF(A172="","",MONTH(A172))</f>
        <v>6</v>
      </c>
      <c r="M172" s="26">
        <f>IF(A172="","",YEAR(A172))</f>
        <v>2026</v>
      </c>
      <c r="N172" s="26" t="str">
        <f>IF(A172="","",CHOOSE(WEEKDAY(A172,2),"Segunda","Terça","Quarta","Quinta","Sexta","Sábado","Domingo"))</f>
        <v>Quinta</v>
      </c>
      <c r="O172" s="26" t="str">
        <f>IF(B172="","",IF(B172&lt;TIME(12,0,0),"Manhã",IF(B172&lt;TIME(18,0,0),"Tarde","Noite")))</f>
        <v>Manhã</v>
      </c>
      <c r="P172" s="32">
        <f>IF(G172="","",IFERROR(INDEX(Config!$I$5:$I$16,MATCH(G172,Config!$H$5:$H$16,0)),0))</f>
        <v>30</v>
      </c>
      <c r="Q172" s="30">
        <f>IF(OR(H172&lt;&gt;"Realizado",P172="",P172=0),"",A172+P172)</f>
        <v>46221.0</v>
      </c>
      <c r="R172" s="26" t="str">
        <f>IF(Q172="","",IF(COUNTIFS($E$5:$E$3004,E172,$A$5:$A$3004,"&gt;"&amp;A172,$H$5:$H$3004,"&lt;&gt;Falta",$H$5:$H$3004,"&lt;&gt;Cancelado",$H$5:$H$3004,"&lt;&gt;Remarcado")&gt;0,"Sim","Não"))</f>
        <v>Sim</v>
      </c>
      <c r="S172" s="32">
        <f>IF(R172&lt;&gt;"Não","",IF(Q172+Config!$B$9&lt;=Config!$B$8,Config!$B$8-Q172,""))</f>
        <v/>
      </c>
      <c r="T172" s="26">
        <f>IF(S172="","","Sim")</f>
        <v/>
      </c>
      <c r="U172" s="41">
        <f>IF(T172="Sim",S172+ROW()/100000,0)</f>
        <v>0</v>
      </c>
      <c r="V172" s="41">
        <f>IF(AND(H172="Falta",L172=Config!$B$7,M172=Config!$B$5,COUNTIFS($E$5:E172,E172,$H$5:H172,"Falta",$L$5:L172,Config!$B$7,$M$5:M172,Config!$B$5)=1),COUNTIFS($E$5:$E$3004,E172,$H$5:$H$3004,"Falta",$L$5:$L$3004,Config!$B$7,$M$5:$M$3004,Config!$B$5)*1000-ROW()/100000,0)</f>
        <v>0</v>
      </c>
    </row>
    <row r="173">
      <c r="A173" s="39" t="n">
        <v>46191</v>
      </c>
      <c r="B173" s="40" t="n">
        <v>0.3541666666666667</v>
      </c>
      <c r="C173" s="35" t="inlineStr">
        <is>
          <t>Dra. Carolina Mendes</t>
        </is>
      </c>
      <c r="D173" s="35" t="inlineStr">
        <is>
          <t>Sala 1</t>
        </is>
      </c>
      <c r="E173" s="34" t="inlineStr">
        <is>
          <t>Simone Monteiro</t>
        </is>
      </c>
      <c r="F173" s="35" t="inlineStr">
        <is>
          <t>Vida Care</t>
        </is>
      </c>
      <c r="G173" s="35" t="inlineStr">
        <is>
          <t>Consulta</t>
        </is>
      </c>
      <c r="H173" s="35" t="inlineStr">
        <is>
          <t>Cancelado</t>
        </is>
      </c>
      <c r="I173" s="35" t="n"/>
      <c r="J173" s="35" t="n"/>
      <c r="K173" s="34" t="n"/>
      <c r="L173" s="26">
        <f>IF(A173="","",MONTH(A173))</f>
        <v>6</v>
      </c>
      <c r="M173" s="26">
        <f>IF(A173="","",YEAR(A173))</f>
        <v>2026</v>
      </c>
      <c r="N173" s="26" t="str">
        <f>IF(A173="","",CHOOSE(WEEKDAY(A173,2),"Segunda","Terça","Quarta","Quinta","Sexta","Sábado","Domingo"))</f>
        <v>Quinta</v>
      </c>
      <c r="O173" s="26" t="str">
        <f>IF(B173="","",IF(B173&lt;TIME(12,0,0),"Manhã",IF(B173&lt;TIME(18,0,0),"Tarde","Noite")))</f>
        <v>Manhã</v>
      </c>
      <c r="P173" s="32">
        <f>IF(G173="","",IFERROR(INDEX(Config!$I$5:$I$16,MATCH(G173,Config!$H$5:$H$16,0)),0))</f>
        <v>30</v>
      </c>
      <c r="Q173" s="30">
        <f>IF(OR(H173&lt;&gt;"Realizado",P173="",P173=0),"",A173+P173)</f>
        <v/>
      </c>
      <c r="R173" s="26">
        <f>IF(Q173="","",IF(COUNTIFS($E$5:$E$3004,E173,$A$5:$A$3004,"&gt;"&amp;A173,$H$5:$H$3004,"&lt;&gt;Falta",$H$5:$H$3004,"&lt;&gt;Cancelado",$H$5:$H$3004,"&lt;&gt;Remarcado")&gt;0,"Sim","Não"))</f>
        <v/>
      </c>
      <c r="S173" s="32">
        <f>IF(R173&lt;&gt;"Não","",IF(Q173+Config!$B$9&lt;=Config!$B$8,Config!$B$8-Q173,""))</f>
        <v/>
      </c>
      <c r="T173" s="26">
        <f>IF(S173="","","Sim")</f>
        <v/>
      </c>
      <c r="U173" s="41">
        <f>IF(T173="Sim",S173+ROW()/100000,0)</f>
        <v>0</v>
      </c>
      <c r="V173" s="41">
        <f>IF(AND(H173="Falta",L173=Config!$B$7,M173=Config!$B$5,COUNTIFS($E$5:E173,E173,$H$5:H173,"Falta",$L$5:L173,Config!$B$7,$M$5:M173,Config!$B$5)=1),COUNTIFS($E$5:$E$3004,E173,$H$5:$H$3004,"Falta",$L$5:$L$3004,Config!$B$7,$M$5:$M$3004,Config!$B$5)*1000-ROW()/100000,0)</f>
        <v>0</v>
      </c>
    </row>
    <row r="174">
      <c r="A174" s="39" t="n">
        <v>46191</v>
      </c>
      <c r="B174" s="40" t="n">
        <v>0.375</v>
      </c>
      <c r="C174" s="35" t="inlineStr">
        <is>
          <t>Dra. Carolina Mendes</t>
        </is>
      </c>
      <c r="D174" s="35" t="inlineStr">
        <is>
          <t>Sala 1</t>
        </is>
      </c>
      <c r="E174" s="34" t="inlineStr">
        <is>
          <t>Eduardo Nunes</t>
        </is>
      </c>
      <c r="F174" s="35" t="inlineStr">
        <is>
          <t>MediPlan</t>
        </is>
      </c>
      <c r="G174" s="35" t="inlineStr">
        <is>
          <t>Consulta</t>
        </is>
      </c>
      <c r="H174" s="35" t="inlineStr">
        <is>
          <t>Realizado</t>
        </is>
      </c>
      <c r="I174" s="35" t="inlineStr">
        <is>
          <t>Convênio</t>
        </is>
      </c>
      <c r="J174" s="35" t="n"/>
      <c r="K174" s="34" t="n"/>
      <c r="L174" s="26">
        <f>IF(A174="","",MONTH(A174))</f>
        <v>6</v>
      </c>
      <c r="M174" s="26">
        <f>IF(A174="","",YEAR(A174))</f>
        <v>2026</v>
      </c>
      <c r="N174" s="26" t="str">
        <f>IF(A174="","",CHOOSE(WEEKDAY(A174,2),"Segunda","Terça","Quarta","Quinta","Sexta","Sábado","Domingo"))</f>
        <v>Quinta</v>
      </c>
      <c r="O174" s="26" t="str">
        <f>IF(B174="","",IF(B174&lt;TIME(12,0,0),"Manhã",IF(B174&lt;TIME(18,0,0),"Tarde","Noite")))</f>
        <v>Manhã</v>
      </c>
      <c r="P174" s="32">
        <f>IF(G174="","",IFERROR(INDEX(Config!$I$5:$I$16,MATCH(G174,Config!$H$5:$H$16,0)),0))</f>
        <v>30</v>
      </c>
      <c r="Q174" s="30">
        <f>IF(OR(H174&lt;&gt;"Realizado",P174="",P174=0),"",A174+P174)</f>
        <v>46221.0</v>
      </c>
      <c r="R174" s="26" t="str">
        <f>IF(Q174="","",IF(COUNTIFS($E$5:$E$3004,E174,$A$5:$A$3004,"&gt;"&amp;A174,$H$5:$H$3004,"&lt;&gt;Falta",$H$5:$H$3004,"&lt;&gt;Cancelado",$H$5:$H$3004,"&lt;&gt;Remarcado")&gt;0,"Sim","Não"))</f>
        <v>Sim</v>
      </c>
      <c r="S174" s="32">
        <f>IF(R174&lt;&gt;"Não","",IF(Q174+Config!$B$9&lt;=Config!$B$8,Config!$B$8-Q174,""))</f>
        <v/>
      </c>
      <c r="T174" s="26">
        <f>IF(S174="","","Sim")</f>
        <v/>
      </c>
      <c r="U174" s="41">
        <f>IF(T174="Sim",S174+ROW()/100000,0)</f>
        <v>0</v>
      </c>
      <c r="V174" s="41">
        <f>IF(AND(H174="Falta",L174=Config!$B$7,M174=Config!$B$5,COUNTIFS($E$5:E174,E174,$H$5:H174,"Falta",$L$5:L174,Config!$B$7,$M$5:M174,Config!$B$5)=1),COUNTIFS($E$5:$E$3004,E174,$H$5:$H$3004,"Falta",$L$5:$L$3004,Config!$B$7,$M$5:$M$3004,Config!$B$5)*1000-ROW()/100000,0)</f>
        <v>0</v>
      </c>
    </row>
    <row r="175">
      <c r="A175" s="39" t="n">
        <v>46191</v>
      </c>
      <c r="B175" s="40" t="n">
        <v>0.3958333333333333</v>
      </c>
      <c r="C175" s="35" t="inlineStr">
        <is>
          <t>Dra. Carolina Mendes</t>
        </is>
      </c>
      <c r="D175" s="35" t="inlineStr">
        <is>
          <t>Sala 1</t>
        </is>
      </c>
      <c r="E175" s="34" t="inlineStr">
        <is>
          <t>Simone Monteiro</t>
        </is>
      </c>
      <c r="F175" s="35" t="inlineStr">
        <is>
          <t>Vida Care</t>
        </is>
      </c>
      <c r="G175" s="35" t="inlineStr">
        <is>
          <t>Consulta</t>
        </is>
      </c>
      <c r="H175" s="35" t="inlineStr">
        <is>
          <t>Realizado</t>
        </is>
      </c>
      <c r="I175" s="35" t="inlineStr">
        <is>
          <t>Convênio</t>
        </is>
      </c>
      <c r="J175" s="35" t="n"/>
      <c r="K175" s="34" t="n"/>
      <c r="L175" s="26">
        <f>IF(A175="","",MONTH(A175))</f>
        <v>6</v>
      </c>
      <c r="M175" s="26">
        <f>IF(A175="","",YEAR(A175))</f>
        <v>2026</v>
      </c>
      <c r="N175" s="26" t="str">
        <f>IF(A175="","",CHOOSE(WEEKDAY(A175,2),"Segunda","Terça","Quarta","Quinta","Sexta","Sábado","Domingo"))</f>
        <v>Quinta</v>
      </c>
      <c r="O175" s="26" t="str">
        <f>IF(B175="","",IF(B175&lt;TIME(12,0,0),"Manhã",IF(B175&lt;TIME(18,0,0),"Tarde","Noite")))</f>
        <v>Manhã</v>
      </c>
      <c r="P175" s="32">
        <f>IF(G175="","",IFERROR(INDEX(Config!$I$5:$I$16,MATCH(G175,Config!$H$5:$H$16,0)),0))</f>
        <v>30</v>
      </c>
      <c r="Q175" s="30">
        <f>IF(OR(H175&lt;&gt;"Realizado",P175="",P175=0),"",A175+P175)</f>
        <v>46221.0</v>
      </c>
      <c r="R175" s="26" t="str">
        <f>IF(Q175="","",IF(COUNTIFS($E$5:$E$3004,E175,$A$5:$A$3004,"&gt;"&amp;A175,$H$5:$H$3004,"&lt;&gt;Falta",$H$5:$H$3004,"&lt;&gt;Cancelado",$H$5:$H$3004,"&lt;&gt;Remarcado")&gt;0,"Sim","Não"))</f>
        <v>Sim</v>
      </c>
      <c r="S175" s="32">
        <f>IF(R175&lt;&gt;"Não","",IF(Q175+Config!$B$9&lt;=Config!$B$8,Config!$B$8-Q175,""))</f>
        <v/>
      </c>
      <c r="T175" s="26">
        <f>IF(S175="","","Sim")</f>
        <v/>
      </c>
      <c r="U175" s="41">
        <f>IF(T175="Sim",S175+ROW()/100000,0)</f>
        <v>0</v>
      </c>
      <c r="V175" s="41">
        <f>IF(AND(H175="Falta",L175=Config!$B$7,M175=Config!$B$5,COUNTIFS($E$5:E175,E175,$H$5:H175,"Falta",$L$5:L175,Config!$B$7,$M$5:M175,Config!$B$5)=1),COUNTIFS($E$5:$E$3004,E175,$H$5:$H$3004,"Falta",$L$5:$L$3004,Config!$B$7,$M$5:$M$3004,Config!$B$5)*1000-ROW()/100000,0)</f>
        <v>0</v>
      </c>
    </row>
    <row r="176">
      <c r="A176" s="39" t="n">
        <v>46191</v>
      </c>
      <c r="B176" s="40" t="n">
        <v>0.4166666666666667</v>
      </c>
      <c r="C176" s="35" t="inlineStr">
        <is>
          <t>Dra. Carolina Mendes</t>
        </is>
      </c>
      <c r="D176" s="35" t="inlineStr">
        <is>
          <t>Sala 1</t>
        </is>
      </c>
      <c r="E176" s="34" t="inlineStr">
        <is>
          <t>Daniel Melo</t>
        </is>
      </c>
      <c r="F176" s="35" t="inlineStr">
        <is>
          <t>Saúde Total</t>
        </is>
      </c>
      <c r="G176" s="35" t="inlineStr">
        <is>
          <t>Consulta</t>
        </is>
      </c>
      <c r="H176" s="35" t="inlineStr">
        <is>
          <t>Realizado</t>
        </is>
      </c>
      <c r="I176" s="35" t="inlineStr">
        <is>
          <t>Convênio</t>
        </is>
      </c>
      <c r="J176" s="35" t="n"/>
      <c r="K176" s="34" t="n"/>
      <c r="L176" s="26">
        <f>IF(A176="","",MONTH(A176))</f>
        <v>6</v>
      </c>
      <c r="M176" s="26">
        <f>IF(A176="","",YEAR(A176))</f>
        <v>2026</v>
      </c>
      <c r="N176" s="26" t="str">
        <f>IF(A176="","",CHOOSE(WEEKDAY(A176,2),"Segunda","Terça","Quarta","Quinta","Sexta","Sábado","Domingo"))</f>
        <v>Quinta</v>
      </c>
      <c r="O176" s="26" t="str">
        <f>IF(B176="","",IF(B176&lt;TIME(12,0,0),"Manhã",IF(B176&lt;TIME(18,0,0),"Tarde","Noite")))</f>
        <v>Manhã</v>
      </c>
      <c r="P176" s="32">
        <f>IF(G176="","",IFERROR(INDEX(Config!$I$5:$I$16,MATCH(G176,Config!$H$5:$H$16,0)),0))</f>
        <v>30</v>
      </c>
      <c r="Q176" s="30">
        <f>IF(OR(H176&lt;&gt;"Realizado",P176="",P176=0),"",A176+P176)</f>
        <v>46221.0</v>
      </c>
      <c r="R176" s="26" t="str">
        <f>IF(Q176="","",IF(COUNTIFS($E$5:$E$3004,E176,$A$5:$A$3004,"&gt;"&amp;A176,$H$5:$H$3004,"&lt;&gt;Falta",$H$5:$H$3004,"&lt;&gt;Cancelado",$H$5:$H$3004,"&lt;&gt;Remarcado")&gt;0,"Sim","Não"))</f>
        <v>Sim</v>
      </c>
      <c r="S176" s="32">
        <f>IF(R176&lt;&gt;"Não","",IF(Q176+Config!$B$9&lt;=Config!$B$8,Config!$B$8-Q176,""))</f>
        <v/>
      </c>
      <c r="T176" s="26">
        <f>IF(S176="","","Sim")</f>
        <v/>
      </c>
      <c r="U176" s="41">
        <f>IF(T176="Sim",S176+ROW()/100000,0)</f>
        <v>0</v>
      </c>
      <c r="V176" s="41">
        <f>IF(AND(H176="Falta",L176=Config!$B$7,M176=Config!$B$5,COUNTIFS($E$5:E176,E176,$H$5:H176,"Falta",$L$5:L176,Config!$B$7,$M$5:M176,Config!$B$5)=1),COUNTIFS($E$5:$E$3004,E176,$H$5:$H$3004,"Falta",$L$5:$L$3004,Config!$B$7,$M$5:$M$3004,Config!$B$5)*1000-ROW()/100000,0)</f>
        <v>0</v>
      </c>
    </row>
    <row r="177">
      <c r="A177" s="39" t="n">
        <v>46191</v>
      </c>
      <c r="B177" s="40" t="n">
        <v>0.4583333333333333</v>
      </c>
      <c r="C177" s="35" t="inlineStr">
        <is>
          <t>Dra. Carolina Mendes</t>
        </is>
      </c>
      <c r="D177" s="35" t="inlineStr">
        <is>
          <t>Sala 1</t>
        </is>
      </c>
      <c r="E177" s="34" t="inlineStr">
        <is>
          <t>Gustavo Ferreira</t>
        </is>
      </c>
      <c r="F177" s="35" t="inlineStr">
        <is>
          <t>Particular</t>
        </is>
      </c>
      <c r="G177" s="35" t="inlineStr">
        <is>
          <t>Consulta</t>
        </is>
      </c>
      <c r="H177" s="35" t="inlineStr">
        <is>
          <t>Realizado</t>
        </is>
      </c>
      <c r="I177" s="35" t="inlineStr">
        <is>
          <t>A prazo</t>
        </is>
      </c>
      <c r="J177" s="35" t="n"/>
      <c r="K177" s="34" t="n"/>
      <c r="L177" s="26">
        <f>IF(A177="","",MONTH(A177))</f>
        <v>6</v>
      </c>
      <c r="M177" s="26">
        <f>IF(A177="","",YEAR(A177))</f>
        <v>2026</v>
      </c>
      <c r="N177" s="26" t="str">
        <f>IF(A177="","",CHOOSE(WEEKDAY(A177,2),"Segunda","Terça","Quarta","Quinta","Sexta","Sábado","Domingo"))</f>
        <v>Quinta</v>
      </c>
      <c r="O177" s="26" t="str">
        <f>IF(B177="","",IF(B177&lt;TIME(12,0,0),"Manhã",IF(B177&lt;TIME(18,0,0),"Tarde","Noite")))</f>
        <v>Manhã</v>
      </c>
      <c r="P177" s="32">
        <f>IF(G177="","",IFERROR(INDEX(Config!$I$5:$I$16,MATCH(G177,Config!$H$5:$H$16,0)),0))</f>
        <v>30</v>
      </c>
      <c r="Q177" s="30">
        <f>IF(OR(H177&lt;&gt;"Realizado",P177="",P177=0),"",A177+P177)</f>
        <v>46221.0</v>
      </c>
      <c r="R177" s="26" t="str">
        <f>IF(Q177="","",IF(COUNTIFS($E$5:$E$3004,E177,$A$5:$A$3004,"&gt;"&amp;A177,$H$5:$H$3004,"&lt;&gt;Falta",$H$5:$H$3004,"&lt;&gt;Cancelado",$H$5:$H$3004,"&lt;&gt;Remarcado")&gt;0,"Sim","Não"))</f>
        <v>Sim</v>
      </c>
      <c r="S177" s="32">
        <f>IF(R177&lt;&gt;"Não","",IF(Q177+Config!$B$9&lt;=Config!$B$8,Config!$B$8-Q177,""))</f>
        <v/>
      </c>
      <c r="T177" s="26">
        <f>IF(S177="","","Sim")</f>
        <v/>
      </c>
      <c r="U177" s="41">
        <f>IF(T177="Sim",S177+ROW()/100000,0)</f>
        <v>0</v>
      </c>
      <c r="V177" s="41">
        <f>IF(AND(H177="Falta",L177=Config!$B$7,M177=Config!$B$5,COUNTIFS($E$5:E177,E177,$H$5:H177,"Falta",$L$5:L177,Config!$B$7,$M$5:M177,Config!$B$5)=1),COUNTIFS($E$5:$E$3004,E177,$H$5:$H$3004,"Falta",$L$5:$L$3004,Config!$B$7,$M$5:$M$3004,Config!$B$5)*1000-ROW()/100000,0)</f>
        <v>0</v>
      </c>
    </row>
    <row r="178">
      <c r="A178" s="39" t="n">
        <v>46191</v>
      </c>
      <c r="B178" s="40" t="n">
        <v>0.4791666666666667</v>
      </c>
      <c r="C178" s="35" t="inlineStr">
        <is>
          <t>Dra. Carolina Mendes</t>
        </is>
      </c>
      <c r="D178" s="35" t="inlineStr">
        <is>
          <t>Sala 1</t>
        </is>
      </c>
      <c r="E178" s="34" t="inlineStr">
        <is>
          <t>Juliana Ribeiro</t>
        </is>
      </c>
      <c r="F178" s="35" t="inlineStr">
        <is>
          <t>Saúde Total</t>
        </is>
      </c>
      <c r="G178" s="35" t="inlineStr">
        <is>
          <t>Consulta</t>
        </is>
      </c>
      <c r="H178" s="35" t="inlineStr">
        <is>
          <t>Realizado</t>
        </is>
      </c>
      <c r="I178" s="35" t="inlineStr">
        <is>
          <t>Convênio</t>
        </is>
      </c>
      <c r="J178" s="35" t="n"/>
      <c r="K178" s="34" t="n"/>
      <c r="L178" s="26">
        <f>IF(A178="","",MONTH(A178))</f>
        <v>6</v>
      </c>
      <c r="M178" s="26">
        <f>IF(A178="","",YEAR(A178))</f>
        <v>2026</v>
      </c>
      <c r="N178" s="26" t="str">
        <f>IF(A178="","",CHOOSE(WEEKDAY(A178,2),"Segunda","Terça","Quarta","Quinta","Sexta","Sábado","Domingo"))</f>
        <v>Quinta</v>
      </c>
      <c r="O178" s="26" t="str">
        <f>IF(B178="","",IF(B178&lt;TIME(12,0,0),"Manhã",IF(B178&lt;TIME(18,0,0),"Tarde","Noite")))</f>
        <v>Manhã</v>
      </c>
      <c r="P178" s="32">
        <f>IF(G178="","",IFERROR(INDEX(Config!$I$5:$I$16,MATCH(G178,Config!$H$5:$H$16,0)),0))</f>
        <v>30</v>
      </c>
      <c r="Q178" s="30">
        <f>IF(OR(H178&lt;&gt;"Realizado",P178="",P178=0),"",A178+P178)</f>
        <v>46221.0</v>
      </c>
      <c r="R178" s="26" t="str">
        <f>IF(Q178="","",IF(COUNTIFS($E$5:$E$3004,E178,$A$5:$A$3004,"&gt;"&amp;A178,$H$5:$H$3004,"&lt;&gt;Falta",$H$5:$H$3004,"&lt;&gt;Cancelado",$H$5:$H$3004,"&lt;&gt;Remarcado")&gt;0,"Sim","Não"))</f>
        <v>Sim</v>
      </c>
      <c r="S178" s="32">
        <f>IF(R178&lt;&gt;"Não","",IF(Q178+Config!$B$9&lt;=Config!$B$8,Config!$B$8-Q178,""))</f>
        <v/>
      </c>
      <c r="T178" s="26">
        <f>IF(S178="","","Sim")</f>
        <v/>
      </c>
      <c r="U178" s="41">
        <f>IF(T178="Sim",S178+ROW()/100000,0)</f>
        <v>0</v>
      </c>
      <c r="V178" s="41">
        <f>IF(AND(H178="Falta",L178=Config!$B$7,M178=Config!$B$5,COUNTIFS($E$5:E178,E178,$H$5:H178,"Falta",$L$5:L178,Config!$B$7,$M$5:M178,Config!$B$5)=1),COUNTIFS($E$5:$E$3004,E178,$H$5:$H$3004,"Falta",$L$5:$L$3004,Config!$B$7,$M$5:$M$3004,Config!$B$5)*1000-ROW()/100000,0)</f>
        <v>0</v>
      </c>
    </row>
    <row r="179">
      <c r="A179" s="39" t="n">
        <v>46191</v>
      </c>
      <c r="B179" s="40" t="n">
        <v>0.5833333333333334</v>
      </c>
      <c r="C179" s="35" t="inlineStr">
        <is>
          <t>Dr. Paulo Andrade</t>
        </is>
      </c>
      <c r="D179" s="35" t="inlineStr">
        <is>
          <t>Sala 2</t>
        </is>
      </c>
      <c r="E179" s="34" t="inlineStr">
        <is>
          <t>Priscila Pinto</t>
        </is>
      </c>
      <c r="F179" s="35" t="inlineStr">
        <is>
          <t>Saúde Total</t>
        </is>
      </c>
      <c r="G179" s="35" t="inlineStr">
        <is>
          <t>Consulta</t>
        </is>
      </c>
      <c r="H179" s="35" t="inlineStr">
        <is>
          <t>Realizado</t>
        </is>
      </c>
      <c r="I179" s="35" t="inlineStr">
        <is>
          <t>Convênio</t>
        </is>
      </c>
      <c r="J179" s="35" t="n"/>
      <c r="K179" s="34" t="n"/>
      <c r="L179" s="26">
        <f>IF(A179="","",MONTH(A179))</f>
        <v>6</v>
      </c>
      <c r="M179" s="26">
        <f>IF(A179="","",YEAR(A179))</f>
        <v>2026</v>
      </c>
      <c r="N179" s="26" t="str">
        <f>IF(A179="","",CHOOSE(WEEKDAY(A179,2),"Segunda","Terça","Quarta","Quinta","Sexta","Sábado","Domingo"))</f>
        <v>Quinta</v>
      </c>
      <c r="O179" s="26" t="str">
        <f>IF(B179="","",IF(B179&lt;TIME(12,0,0),"Manhã",IF(B179&lt;TIME(18,0,0),"Tarde","Noite")))</f>
        <v>Tarde</v>
      </c>
      <c r="P179" s="32">
        <f>IF(G179="","",IFERROR(INDEX(Config!$I$5:$I$16,MATCH(G179,Config!$H$5:$H$16,0)),0))</f>
        <v>30</v>
      </c>
      <c r="Q179" s="30">
        <f>IF(OR(H179&lt;&gt;"Realizado",P179="",P179=0),"",A179+P179)</f>
        <v>46221.0</v>
      </c>
      <c r="R179" s="26" t="str">
        <f>IF(Q179="","",IF(COUNTIFS($E$5:$E$3004,E179,$A$5:$A$3004,"&gt;"&amp;A179,$H$5:$H$3004,"&lt;&gt;Falta",$H$5:$H$3004,"&lt;&gt;Cancelado",$H$5:$H$3004,"&lt;&gt;Remarcado")&gt;0,"Sim","Não"))</f>
        <v>Sim</v>
      </c>
      <c r="S179" s="32">
        <f>IF(R179&lt;&gt;"Não","",IF(Q179+Config!$B$9&lt;=Config!$B$8,Config!$B$8-Q179,""))</f>
        <v/>
      </c>
      <c r="T179" s="26">
        <f>IF(S179="","","Sim")</f>
        <v/>
      </c>
      <c r="U179" s="41">
        <f>IF(T179="Sim",S179+ROW()/100000,0)</f>
        <v>0</v>
      </c>
      <c r="V179" s="41">
        <f>IF(AND(H179="Falta",L179=Config!$B$7,M179=Config!$B$5,COUNTIFS($E$5:E179,E179,$H$5:H179,"Falta",$L$5:L179,Config!$B$7,$M$5:M179,Config!$B$5)=1),COUNTIFS($E$5:$E$3004,E179,$H$5:$H$3004,"Falta",$L$5:$L$3004,Config!$B$7,$M$5:$M$3004,Config!$B$5)*1000-ROW()/100000,0)</f>
        <v>0</v>
      </c>
    </row>
    <row r="180">
      <c r="A180" s="39" t="n">
        <v>46191</v>
      </c>
      <c r="B180" s="40" t="n">
        <v>0.6041666666666666</v>
      </c>
      <c r="C180" s="35" t="inlineStr">
        <is>
          <t>Dra. Renata Sousa</t>
        </is>
      </c>
      <c r="D180" s="35" t="inlineStr">
        <is>
          <t>Sala 1</t>
        </is>
      </c>
      <c r="E180" s="34" t="inlineStr">
        <is>
          <t>Fernanda Gonçalves</t>
        </is>
      </c>
      <c r="F180" s="35" t="inlineStr">
        <is>
          <t>Saúde Total</t>
        </is>
      </c>
      <c r="G180" s="35" t="inlineStr">
        <is>
          <t>Avaliação endócrina</t>
        </is>
      </c>
      <c r="H180" s="35" t="inlineStr">
        <is>
          <t>Realizado</t>
        </is>
      </c>
      <c r="I180" s="35" t="inlineStr">
        <is>
          <t>Convênio</t>
        </is>
      </c>
      <c r="J180" s="35" t="n"/>
      <c r="K180" s="34" t="n"/>
      <c r="L180" s="26">
        <f>IF(A180="","",MONTH(A180))</f>
        <v>6</v>
      </c>
      <c r="M180" s="26">
        <f>IF(A180="","",YEAR(A180))</f>
        <v>2026</v>
      </c>
      <c r="N180" s="26" t="str">
        <f>IF(A180="","",CHOOSE(WEEKDAY(A180,2),"Segunda","Terça","Quarta","Quinta","Sexta","Sábado","Domingo"))</f>
        <v>Quinta</v>
      </c>
      <c r="O180" s="26" t="str">
        <f>IF(B180="","",IF(B180&lt;TIME(12,0,0),"Manhã",IF(B180&lt;TIME(18,0,0),"Tarde","Noite")))</f>
        <v>Tarde</v>
      </c>
      <c r="P180" s="32">
        <f>IF(G180="","",IFERROR(INDEX(Config!$I$5:$I$16,MATCH(G180,Config!$H$5:$H$16,0)),0))</f>
        <v>45</v>
      </c>
      <c r="Q180" s="30">
        <f>IF(OR(H180&lt;&gt;"Realizado",P180="",P180=0),"",A180+P180)</f>
        <v>46236.0</v>
      </c>
      <c r="R180" s="26" t="str">
        <f>IF(Q180="","",IF(COUNTIFS($E$5:$E$3004,E180,$A$5:$A$3004,"&gt;"&amp;A180,$H$5:$H$3004,"&lt;&gt;Falta",$H$5:$H$3004,"&lt;&gt;Cancelado",$H$5:$H$3004,"&lt;&gt;Remarcado")&gt;0,"Sim","Não"))</f>
        <v>Sim</v>
      </c>
      <c r="S180" s="32">
        <f>IF(R180&lt;&gt;"Não","",IF(Q180+Config!$B$9&lt;=Config!$B$8,Config!$B$8-Q180,""))</f>
        <v/>
      </c>
      <c r="T180" s="26">
        <f>IF(S180="","","Sim")</f>
        <v/>
      </c>
      <c r="U180" s="41">
        <f>IF(T180="Sim",S180+ROW()/100000,0)</f>
        <v>0</v>
      </c>
      <c r="V180" s="41">
        <f>IF(AND(H180="Falta",L180=Config!$B$7,M180=Config!$B$5,COUNTIFS($E$5:E180,E180,$H$5:H180,"Falta",$L$5:L180,Config!$B$7,$M$5:M180,Config!$B$5)=1),COUNTIFS($E$5:$E$3004,E180,$H$5:$H$3004,"Falta",$L$5:$L$3004,Config!$B$7,$M$5:$M$3004,Config!$B$5)*1000-ROW()/100000,0)</f>
        <v>0</v>
      </c>
    </row>
    <row r="181">
      <c r="A181" s="39" t="n">
        <v>46191</v>
      </c>
      <c r="B181" s="40" t="n">
        <v>0.6041666666666666</v>
      </c>
      <c r="C181" s="35" t="inlineStr">
        <is>
          <t>Dr. Paulo Andrade</t>
        </is>
      </c>
      <c r="D181" s="35" t="inlineStr">
        <is>
          <t>Sala 2</t>
        </is>
      </c>
      <c r="E181" s="34" t="inlineStr">
        <is>
          <t>Priscila Rocha</t>
        </is>
      </c>
      <c r="F181" s="35" t="inlineStr">
        <is>
          <t>MediPlan</t>
        </is>
      </c>
      <c r="G181" s="35" t="inlineStr">
        <is>
          <t>Consulta</t>
        </is>
      </c>
      <c r="H181" s="35" t="inlineStr">
        <is>
          <t>Realizado</t>
        </is>
      </c>
      <c r="I181" s="35" t="inlineStr">
        <is>
          <t>Convênio</t>
        </is>
      </c>
      <c r="J181" s="35" t="n"/>
      <c r="K181" s="34" t="n"/>
      <c r="L181" s="26">
        <f>IF(A181="","",MONTH(A181))</f>
        <v>6</v>
      </c>
      <c r="M181" s="26">
        <f>IF(A181="","",YEAR(A181))</f>
        <v>2026</v>
      </c>
      <c r="N181" s="26" t="str">
        <f>IF(A181="","",CHOOSE(WEEKDAY(A181,2),"Segunda","Terça","Quarta","Quinta","Sexta","Sábado","Domingo"))</f>
        <v>Quinta</v>
      </c>
      <c r="O181" s="26" t="str">
        <f>IF(B181="","",IF(B181&lt;TIME(12,0,0),"Manhã",IF(B181&lt;TIME(18,0,0),"Tarde","Noite")))</f>
        <v>Tarde</v>
      </c>
      <c r="P181" s="32">
        <f>IF(G181="","",IFERROR(INDEX(Config!$I$5:$I$16,MATCH(G181,Config!$H$5:$H$16,0)),0))</f>
        <v>30</v>
      </c>
      <c r="Q181" s="30">
        <f>IF(OR(H181&lt;&gt;"Realizado",P181="",P181=0),"",A181+P181)</f>
        <v>46221.0</v>
      </c>
      <c r="R181" s="26" t="str">
        <f>IF(Q181="","",IF(COUNTIFS($E$5:$E$3004,E181,$A$5:$A$3004,"&gt;"&amp;A181,$H$5:$H$3004,"&lt;&gt;Falta",$H$5:$H$3004,"&lt;&gt;Cancelado",$H$5:$H$3004,"&lt;&gt;Remarcado")&gt;0,"Sim","Não"))</f>
        <v>Sim</v>
      </c>
      <c r="S181" s="32">
        <f>IF(R181&lt;&gt;"Não","",IF(Q181+Config!$B$9&lt;=Config!$B$8,Config!$B$8-Q181,""))</f>
        <v/>
      </c>
      <c r="T181" s="26">
        <f>IF(S181="","","Sim")</f>
        <v/>
      </c>
      <c r="U181" s="41">
        <f>IF(T181="Sim",S181+ROW()/100000,0)</f>
        <v>0</v>
      </c>
      <c r="V181" s="41">
        <f>IF(AND(H181="Falta",L181=Config!$B$7,M181=Config!$B$5,COUNTIFS($E$5:E181,E181,$H$5:H181,"Falta",$L$5:L181,Config!$B$7,$M$5:M181,Config!$B$5)=1),COUNTIFS($E$5:$E$3004,E181,$H$5:$H$3004,"Falta",$L$5:$L$3004,Config!$B$7,$M$5:$M$3004,Config!$B$5)*1000-ROW()/100000,0)</f>
        <v>0</v>
      </c>
    </row>
    <row r="182">
      <c r="A182" s="39" t="n">
        <v>46191</v>
      </c>
      <c r="B182" s="40" t="n">
        <v>0.625</v>
      </c>
      <c r="C182" s="35" t="inlineStr">
        <is>
          <t>Dr. Paulo Andrade</t>
        </is>
      </c>
      <c r="D182" s="35" t="inlineStr">
        <is>
          <t>Sala 2</t>
        </is>
      </c>
      <c r="E182" s="34" t="inlineStr">
        <is>
          <t>Helena Ribeiro</t>
        </is>
      </c>
      <c r="F182" s="35" t="inlineStr">
        <is>
          <t>MediPlan</t>
        </is>
      </c>
      <c r="G182" s="35" t="inlineStr">
        <is>
          <t>Consulta</t>
        </is>
      </c>
      <c r="H182" s="35" t="inlineStr">
        <is>
          <t>Realizado</t>
        </is>
      </c>
      <c r="I182" s="35" t="inlineStr">
        <is>
          <t>Convênio</t>
        </is>
      </c>
      <c r="J182" s="35" t="n"/>
      <c r="K182" s="34" t="n"/>
      <c r="L182" s="26">
        <f>IF(A182="","",MONTH(A182))</f>
        <v>6</v>
      </c>
      <c r="M182" s="26">
        <f>IF(A182="","",YEAR(A182))</f>
        <v>2026</v>
      </c>
      <c r="N182" s="26" t="str">
        <f>IF(A182="","",CHOOSE(WEEKDAY(A182,2),"Segunda","Terça","Quarta","Quinta","Sexta","Sábado","Domingo"))</f>
        <v>Quinta</v>
      </c>
      <c r="O182" s="26" t="str">
        <f>IF(B182="","",IF(B182&lt;TIME(12,0,0),"Manhã",IF(B182&lt;TIME(18,0,0),"Tarde","Noite")))</f>
        <v>Tarde</v>
      </c>
      <c r="P182" s="32">
        <f>IF(G182="","",IFERROR(INDEX(Config!$I$5:$I$16,MATCH(G182,Config!$H$5:$H$16,0)),0))</f>
        <v>30</v>
      </c>
      <c r="Q182" s="30">
        <f>IF(OR(H182&lt;&gt;"Realizado",P182="",P182=0),"",A182+P182)</f>
        <v>46221.0</v>
      </c>
      <c r="R182" s="26" t="str">
        <f>IF(Q182="","",IF(COUNTIFS($E$5:$E$3004,E182,$A$5:$A$3004,"&gt;"&amp;A182,$H$5:$H$3004,"&lt;&gt;Falta",$H$5:$H$3004,"&lt;&gt;Cancelado",$H$5:$H$3004,"&lt;&gt;Remarcado")&gt;0,"Sim","Não"))</f>
        <v>Sim</v>
      </c>
      <c r="S182" s="32">
        <f>IF(R182&lt;&gt;"Não","",IF(Q182+Config!$B$9&lt;=Config!$B$8,Config!$B$8-Q182,""))</f>
        <v/>
      </c>
      <c r="T182" s="26">
        <f>IF(S182="","","Sim")</f>
        <v/>
      </c>
      <c r="U182" s="41">
        <f>IF(T182="Sim",S182+ROW()/100000,0)</f>
        <v>0</v>
      </c>
      <c r="V182" s="41">
        <f>IF(AND(H182="Falta",L182=Config!$B$7,M182=Config!$B$5,COUNTIFS($E$5:E182,E182,$H$5:H182,"Falta",$L$5:L182,Config!$B$7,$M$5:M182,Config!$B$5)=1),COUNTIFS($E$5:$E$3004,E182,$H$5:$H$3004,"Falta",$L$5:$L$3004,Config!$B$7,$M$5:$M$3004,Config!$B$5)*1000-ROW()/100000,0)</f>
        <v>0</v>
      </c>
    </row>
    <row r="183">
      <c r="A183" s="39" t="n">
        <v>46191</v>
      </c>
      <c r="B183" s="40" t="n">
        <v>0.6319444444444444</v>
      </c>
      <c r="C183" s="35" t="inlineStr">
        <is>
          <t>Dra. Renata Sousa</t>
        </is>
      </c>
      <c r="D183" s="35" t="inlineStr">
        <is>
          <t>Sala 1</t>
        </is>
      </c>
      <c r="E183" s="34" t="inlineStr">
        <is>
          <t>Roberta Lima</t>
        </is>
      </c>
      <c r="F183" s="35" t="inlineStr">
        <is>
          <t>Particular</t>
        </is>
      </c>
      <c r="G183" s="35" t="inlineStr">
        <is>
          <t>Avaliação endócrina</t>
        </is>
      </c>
      <c r="H183" s="35" t="inlineStr">
        <is>
          <t>Realizado</t>
        </is>
      </c>
      <c r="I183" s="35" t="inlineStr">
        <is>
          <t>Pix</t>
        </is>
      </c>
      <c r="J183" s="35" t="n"/>
      <c r="K183" s="34" t="n"/>
      <c r="L183" s="26">
        <f>IF(A183="","",MONTH(A183))</f>
        <v>6</v>
      </c>
      <c r="M183" s="26">
        <f>IF(A183="","",YEAR(A183))</f>
        <v>2026</v>
      </c>
      <c r="N183" s="26" t="str">
        <f>IF(A183="","",CHOOSE(WEEKDAY(A183,2),"Segunda","Terça","Quarta","Quinta","Sexta","Sábado","Domingo"))</f>
        <v>Quinta</v>
      </c>
      <c r="O183" s="26" t="str">
        <f>IF(B183="","",IF(B183&lt;TIME(12,0,0),"Manhã",IF(B183&lt;TIME(18,0,0),"Tarde","Noite")))</f>
        <v>Tarde</v>
      </c>
      <c r="P183" s="32">
        <f>IF(G183="","",IFERROR(INDEX(Config!$I$5:$I$16,MATCH(G183,Config!$H$5:$H$16,0)),0))</f>
        <v>45</v>
      </c>
      <c r="Q183" s="30">
        <f>IF(OR(H183&lt;&gt;"Realizado",P183="",P183=0),"",A183+P183)</f>
        <v>46236.0</v>
      </c>
      <c r="R183" s="26" t="str">
        <f>IF(Q183="","",IF(COUNTIFS($E$5:$E$3004,E183,$A$5:$A$3004,"&gt;"&amp;A183,$H$5:$H$3004,"&lt;&gt;Falta",$H$5:$H$3004,"&lt;&gt;Cancelado",$H$5:$H$3004,"&lt;&gt;Remarcado")&gt;0,"Sim","Não"))</f>
        <v>Sim</v>
      </c>
      <c r="S183" s="32">
        <f>IF(R183&lt;&gt;"Não","",IF(Q183+Config!$B$9&lt;=Config!$B$8,Config!$B$8-Q183,""))</f>
        <v/>
      </c>
      <c r="T183" s="26">
        <f>IF(S183="","","Sim")</f>
        <v/>
      </c>
      <c r="U183" s="41">
        <f>IF(T183="Sim",S183+ROW()/100000,0)</f>
        <v>0</v>
      </c>
      <c r="V183" s="41">
        <f>IF(AND(H183="Falta",L183=Config!$B$7,M183=Config!$B$5,COUNTIFS($E$5:E183,E183,$H$5:H183,"Falta",$L$5:L183,Config!$B$7,$M$5:M183,Config!$B$5)=1),COUNTIFS($E$5:$E$3004,E183,$H$5:$H$3004,"Falta",$L$5:$L$3004,Config!$B$7,$M$5:$M$3004,Config!$B$5)*1000-ROW()/100000,0)</f>
        <v>0</v>
      </c>
    </row>
    <row r="184">
      <c r="A184" s="39" t="n">
        <v>46191</v>
      </c>
      <c r="B184" s="40" t="n">
        <v>0.6458333333333334</v>
      </c>
      <c r="C184" s="35" t="inlineStr">
        <is>
          <t>Dr. Paulo Andrade</t>
        </is>
      </c>
      <c r="D184" s="35" t="inlineStr">
        <is>
          <t>Sala 2</t>
        </is>
      </c>
      <c r="E184" s="34" t="inlineStr">
        <is>
          <t>Camila Martins</t>
        </is>
      </c>
      <c r="F184" s="35" t="inlineStr">
        <is>
          <t>Vida Care</t>
        </is>
      </c>
      <c r="G184" s="35" t="inlineStr">
        <is>
          <t>Teste ergométrico</t>
        </is>
      </c>
      <c r="H184" s="35" t="inlineStr">
        <is>
          <t>Realizado</t>
        </is>
      </c>
      <c r="I184" s="35" t="inlineStr">
        <is>
          <t>Convênio</t>
        </is>
      </c>
      <c r="J184" s="35" t="n"/>
      <c r="K184" s="34" t="n"/>
      <c r="L184" s="26">
        <f>IF(A184="","",MONTH(A184))</f>
        <v>6</v>
      </c>
      <c r="M184" s="26">
        <f>IF(A184="","",YEAR(A184))</f>
        <v>2026</v>
      </c>
      <c r="N184" s="26" t="str">
        <f>IF(A184="","",CHOOSE(WEEKDAY(A184,2),"Segunda","Terça","Quarta","Quinta","Sexta","Sábado","Domingo"))</f>
        <v>Quinta</v>
      </c>
      <c r="O184" s="26" t="str">
        <f>IF(B184="","",IF(B184&lt;TIME(12,0,0),"Manhã",IF(B184&lt;TIME(18,0,0),"Tarde","Noite")))</f>
        <v>Tarde</v>
      </c>
      <c r="P184" s="32">
        <f>IF(G184="","",IFERROR(INDEX(Config!$I$5:$I$16,MATCH(G184,Config!$H$5:$H$16,0)),0))</f>
        <v>0</v>
      </c>
      <c r="Q184" s="30">
        <f>IF(OR(H184&lt;&gt;"Realizado",P184="",P184=0),"",A184+P184)</f>
        <v/>
      </c>
      <c r="R184" s="26">
        <f>IF(Q184="","",IF(COUNTIFS($E$5:$E$3004,E184,$A$5:$A$3004,"&gt;"&amp;A184,$H$5:$H$3004,"&lt;&gt;Falta",$H$5:$H$3004,"&lt;&gt;Cancelado",$H$5:$H$3004,"&lt;&gt;Remarcado")&gt;0,"Sim","Não"))</f>
        <v/>
      </c>
      <c r="S184" s="32">
        <f>IF(R184&lt;&gt;"Não","",IF(Q184+Config!$B$9&lt;=Config!$B$8,Config!$B$8-Q184,""))</f>
        <v/>
      </c>
      <c r="T184" s="26">
        <f>IF(S184="","","Sim")</f>
        <v/>
      </c>
      <c r="U184" s="41">
        <f>IF(T184="Sim",S184+ROW()/100000,0)</f>
        <v>0</v>
      </c>
      <c r="V184" s="41">
        <f>IF(AND(H184="Falta",L184=Config!$B$7,M184=Config!$B$5,COUNTIFS($E$5:E184,E184,$H$5:H184,"Falta",$L$5:L184,Config!$B$7,$M$5:M184,Config!$B$5)=1),COUNTIFS($E$5:$E$3004,E184,$H$5:$H$3004,"Falta",$L$5:$L$3004,Config!$B$7,$M$5:$M$3004,Config!$B$5)*1000-ROW()/100000,0)</f>
        <v>0</v>
      </c>
    </row>
    <row r="185">
      <c r="A185" s="39" t="n">
        <v>46191</v>
      </c>
      <c r="B185" s="40" t="n">
        <v>0.6597222222222222</v>
      </c>
      <c r="C185" s="35" t="inlineStr">
        <is>
          <t>Dra. Renata Sousa</t>
        </is>
      </c>
      <c r="D185" s="35" t="inlineStr">
        <is>
          <t>Sala 1</t>
        </is>
      </c>
      <c r="E185" s="34" t="inlineStr">
        <is>
          <t>Cláudia Melo</t>
        </is>
      </c>
      <c r="F185" s="35" t="inlineStr">
        <is>
          <t>Particular</t>
        </is>
      </c>
      <c r="G185" s="35" t="inlineStr">
        <is>
          <t>Avaliação endócrina</t>
        </is>
      </c>
      <c r="H185" s="35" t="inlineStr">
        <is>
          <t>Realizado</t>
        </is>
      </c>
      <c r="I185" s="35" t="inlineStr">
        <is>
          <t>Pix</t>
        </is>
      </c>
      <c r="J185" s="35" t="n"/>
      <c r="K185" s="34" t="n"/>
      <c r="L185" s="26">
        <f>IF(A185="","",MONTH(A185))</f>
        <v>6</v>
      </c>
      <c r="M185" s="26">
        <f>IF(A185="","",YEAR(A185))</f>
        <v>2026</v>
      </c>
      <c r="N185" s="26" t="str">
        <f>IF(A185="","",CHOOSE(WEEKDAY(A185,2),"Segunda","Terça","Quarta","Quinta","Sexta","Sábado","Domingo"))</f>
        <v>Quinta</v>
      </c>
      <c r="O185" s="26" t="str">
        <f>IF(B185="","",IF(B185&lt;TIME(12,0,0),"Manhã",IF(B185&lt;TIME(18,0,0),"Tarde","Noite")))</f>
        <v>Tarde</v>
      </c>
      <c r="P185" s="32">
        <f>IF(G185="","",IFERROR(INDEX(Config!$I$5:$I$16,MATCH(G185,Config!$H$5:$H$16,0)),0))</f>
        <v>45</v>
      </c>
      <c r="Q185" s="30">
        <f>IF(OR(H185&lt;&gt;"Realizado",P185="",P185=0),"",A185+P185)</f>
        <v>46236.0</v>
      </c>
      <c r="R185" s="26" t="str">
        <f>IF(Q185="","",IF(COUNTIFS($E$5:$E$3004,E185,$A$5:$A$3004,"&gt;"&amp;A185,$H$5:$H$3004,"&lt;&gt;Falta",$H$5:$H$3004,"&lt;&gt;Cancelado",$H$5:$H$3004,"&lt;&gt;Remarcado")&gt;0,"Sim","Não"))</f>
        <v>Sim</v>
      </c>
      <c r="S185" s="32">
        <f>IF(R185&lt;&gt;"Não","",IF(Q185+Config!$B$9&lt;=Config!$B$8,Config!$B$8-Q185,""))</f>
        <v/>
      </c>
      <c r="T185" s="26">
        <f>IF(S185="","","Sim")</f>
        <v/>
      </c>
      <c r="U185" s="41">
        <f>IF(T185="Sim",S185+ROW()/100000,0)</f>
        <v>0</v>
      </c>
      <c r="V185" s="41">
        <f>IF(AND(H185="Falta",L185=Config!$B$7,M185=Config!$B$5,COUNTIFS($E$5:E185,E185,$H$5:H185,"Falta",$L$5:L185,Config!$B$7,$M$5:M185,Config!$B$5)=1),COUNTIFS($E$5:$E$3004,E185,$H$5:$H$3004,"Falta",$L$5:$L$3004,Config!$B$7,$M$5:$M$3004,Config!$B$5)*1000-ROW()/100000,0)</f>
        <v>0</v>
      </c>
    </row>
    <row r="186">
      <c r="A186" s="39" t="n">
        <v>46191</v>
      </c>
      <c r="B186" s="40" t="n">
        <v>0.6736111111111112</v>
      </c>
      <c r="C186" s="35" t="inlineStr">
        <is>
          <t>Dr. Paulo Andrade</t>
        </is>
      </c>
      <c r="D186" s="35" t="inlineStr">
        <is>
          <t>Sala 2</t>
        </is>
      </c>
      <c r="E186" s="34" t="inlineStr">
        <is>
          <t>Sandra Barros</t>
        </is>
      </c>
      <c r="F186" s="35" t="inlineStr">
        <is>
          <t>Saúde Total</t>
        </is>
      </c>
      <c r="G186" s="35" t="inlineStr">
        <is>
          <t>ECG</t>
        </is>
      </c>
      <c r="H186" s="35" t="inlineStr">
        <is>
          <t>Falta</t>
        </is>
      </c>
      <c r="I186" s="35" t="n"/>
      <c r="J186" s="35" t="n"/>
      <c r="K186" s="34" t="n"/>
      <c r="L186" s="26">
        <f>IF(A186="","",MONTH(A186))</f>
        <v>6</v>
      </c>
      <c r="M186" s="26">
        <f>IF(A186="","",YEAR(A186))</f>
        <v>2026</v>
      </c>
      <c r="N186" s="26" t="str">
        <f>IF(A186="","",CHOOSE(WEEKDAY(A186,2),"Segunda","Terça","Quarta","Quinta","Sexta","Sábado","Domingo"))</f>
        <v>Quinta</v>
      </c>
      <c r="O186" s="26" t="str">
        <f>IF(B186="","",IF(B186&lt;TIME(12,0,0),"Manhã",IF(B186&lt;TIME(18,0,0),"Tarde","Noite")))</f>
        <v>Tarde</v>
      </c>
      <c r="P186" s="32">
        <f>IF(G186="","",IFERROR(INDEX(Config!$I$5:$I$16,MATCH(G186,Config!$H$5:$H$16,0)),0))</f>
        <v>0</v>
      </c>
      <c r="Q186" s="30">
        <f>IF(OR(H186&lt;&gt;"Realizado",P186="",P186=0),"",A186+P186)</f>
        <v/>
      </c>
      <c r="R186" s="26">
        <f>IF(Q186="","",IF(COUNTIFS($E$5:$E$3004,E186,$A$5:$A$3004,"&gt;"&amp;A186,$H$5:$H$3004,"&lt;&gt;Falta",$H$5:$H$3004,"&lt;&gt;Cancelado",$H$5:$H$3004,"&lt;&gt;Remarcado")&gt;0,"Sim","Não"))</f>
        <v/>
      </c>
      <c r="S186" s="32">
        <f>IF(R186&lt;&gt;"Não","",IF(Q186+Config!$B$9&lt;=Config!$B$8,Config!$B$8-Q186,""))</f>
        <v/>
      </c>
      <c r="T186" s="26">
        <f>IF(S186="","","Sim")</f>
        <v/>
      </c>
      <c r="U186" s="41">
        <f>IF(T186="Sim",S186+ROW()/100000,0)</f>
        <v>0</v>
      </c>
      <c r="V186" s="41">
        <f>IF(AND(H186="Falta",L186=Config!$B$7,M186=Config!$B$5,COUNTIFS($E$5:E186,E186,$H$5:H186,"Falta",$L$5:L186,Config!$B$7,$M$5:M186,Config!$B$5)=1),COUNTIFS($E$5:$E$3004,E186,$H$5:$H$3004,"Falta",$L$5:$L$3004,Config!$B$7,$M$5:$M$3004,Config!$B$5)*1000-ROW()/100000,0)</f>
        <v>0</v>
      </c>
    </row>
    <row r="187">
      <c r="A187" s="39" t="n">
        <v>46191</v>
      </c>
      <c r="B187" s="40" t="n">
        <v>0.6875</v>
      </c>
      <c r="C187" s="35" t="inlineStr">
        <is>
          <t>Dra. Renata Sousa</t>
        </is>
      </c>
      <c r="D187" s="35" t="inlineStr">
        <is>
          <t>Sala 1</t>
        </is>
      </c>
      <c r="E187" s="34" t="inlineStr">
        <is>
          <t>Camila Dias</t>
        </is>
      </c>
      <c r="F187" s="35" t="inlineStr">
        <is>
          <t>Particular</t>
        </is>
      </c>
      <c r="G187" s="35" t="inlineStr">
        <is>
          <t>Avaliação endócrina</t>
        </is>
      </c>
      <c r="H187" s="35" t="inlineStr">
        <is>
          <t>Realizado</t>
        </is>
      </c>
      <c r="I187" s="35" t="inlineStr">
        <is>
          <t>Cartão de débito</t>
        </is>
      </c>
      <c r="J187" s="35" t="n"/>
      <c r="K187" s="34" t="n"/>
      <c r="L187" s="26">
        <f>IF(A187="","",MONTH(A187))</f>
        <v>6</v>
      </c>
      <c r="M187" s="26">
        <f>IF(A187="","",YEAR(A187))</f>
        <v>2026</v>
      </c>
      <c r="N187" s="26" t="str">
        <f>IF(A187="","",CHOOSE(WEEKDAY(A187,2),"Segunda","Terça","Quarta","Quinta","Sexta","Sábado","Domingo"))</f>
        <v>Quinta</v>
      </c>
      <c r="O187" s="26" t="str">
        <f>IF(B187="","",IF(B187&lt;TIME(12,0,0),"Manhã",IF(B187&lt;TIME(18,0,0),"Tarde","Noite")))</f>
        <v>Tarde</v>
      </c>
      <c r="P187" s="32">
        <f>IF(G187="","",IFERROR(INDEX(Config!$I$5:$I$16,MATCH(G187,Config!$H$5:$H$16,0)),0))</f>
        <v>45</v>
      </c>
      <c r="Q187" s="30">
        <f>IF(OR(H187&lt;&gt;"Realizado",P187="",P187=0),"",A187+P187)</f>
        <v>46236.0</v>
      </c>
      <c r="R187" s="26" t="str">
        <f>IF(Q187="","",IF(COUNTIFS($E$5:$E$3004,E187,$A$5:$A$3004,"&gt;"&amp;A187,$H$5:$H$3004,"&lt;&gt;Falta",$H$5:$H$3004,"&lt;&gt;Cancelado",$H$5:$H$3004,"&lt;&gt;Remarcado")&gt;0,"Sim","Não"))</f>
        <v>Sim</v>
      </c>
      <c r="S187" s="32">
        <f>IF(R187&lt;&gt;"Não","",IF(Q187+Config!$B$9&lt;=Config!$B$8,Config!$B$8-Q187,""))</f>
        <v/>
      </c>
      <c r="T187" s="26">
        <f>IF(S187="","","Sim")</f>
        <v/>
      </c>
      <c r="U187" s="41">
        <f>IF(T187="Sim",S187+ROW()/100000,0)</f>
        <v>0</v>
      </c>
      <c r="V187" s="41">
        <f>IF(AND(H187="Falta",L187=Config!$B$7,M187=Config!$B$5,COUNTIFS($E$5:E187,E187,$H$5:H187,"Falta",$L$5:L187,Config!$B$7,$M$5:M187,Config!$B$5)=1),COUNTIFS($E$5:$E$3004,E187,$H$5:$H$3004,"Falta",$L$5:$L$3004,Config!$B$7,$M$5:$M$3004,Config!$B$5)*1000-ROW()/100000,0)</f>
        <v>0</v>
      </c>
    </row>
    <row r="188">
      <c r="A188" s="39" t="n">
        <v>46191</v>
      </c>
      <c r="B188" s="40" t="n">
        <v>0.6875</v>
      </c>
      <c r="C188" s="35" t="inlineStr">
        <is>
          <t>Dr. Paulo Andrade</t>
        </is>
      </c>
      <c r="D188" s="35" t="inlineStr">
        <is>
          <t>Sala 2</t>
        </is>
      </c>
      <c r="E188" s="34" t="inlineStr">
        <is>
          <t>Rafael Araújo</t>
        </is>
      </c>
      <c r="F188" s="35" t="inlineStr">
        <is>
          <t>MediPlan</t>
        </is>
      </c>
      <c r="G188" s="35" t="inlineStr">
        <is>
          <t>Consulta</t>
        </is>
      </c>
      <c r="H188" s="35" t="inlineStr">
        <is>
          <t>Realizado</t>
        </is>
      </c>
      <c r="I188" s="35" t="inlineStr">
        <is>
          <t>Convênio</t>
        </is>
      </c>
      <c r="J188" s="35" t="n"/>
      <c r="K188" s="34" t="n"/>
      <c r="L188" s="26">
        <f>IF(A188="","",MONTH(A188))</f>
        <v>6</v>
      </c>
      <c r="M188" s="26">
        <f>IF(A188="","",YEAR(A188))</f>
        <v>2026</v>
      </c>
      <c r="N188" s="26" t="str">
        <f>IF(A188="","",CHOOSE(WEEKDAY(A188,2),"Segunda","Terça","Quarta","Quinta","Sexta","Sábado","Domingo"))</f>
        <v>Quinta</v>
      </c>
      <c r="O188" s="26" t="str">
        <f>IF(B188="","",IF(B188&lt;TIME(12,0,0),"Manhã",IF(B188&lt;TIME(18,0,0),"Tarde","Noite")))</f>
        <v>Tarde</v>
      </c>
      <c r="P188" s="32">
        <f>IF(G188="","",IFERROR(INDEX(Config!$I$5:$I$16,MATCH(G188,Config!$H$5:$H$16,0)),0))</f>
        <v>30</v>
      </c>
      <c r="Q188" s="30">
        <f>IF(OR(H188&lt;&gt;"Realizado",P188="",P188=0),"",A188+P188)</f>
        <v>46221.0</v>
      </c>
      <c r="R188" s="26" t="str">
        <f>IF(Q188="","",IF(COUNTIFS($E$5:$E$3004,E188,$A$5:$A$3004,"&gt;"&amp;A188,$H$5:$H$3004,"&lt;&gt;Falta",$H$5:$H$3004,"&lt;&gt;Cancelado",$H$5:$H$3004,"&lt;&gt;Remarcado")&gt;0,"Sim","Não"))</f>
        <v>Sim</v>
      </c>
      <c r="S188" s="32">
        <f>IF(R188&lt;&gt;"Não","",IF(Q188+Config!$B$9&lt;=Config!$B$8,Config!$B$8-Q188,""))</f>
        <v/>
      </c>
      <c r="T188" s="26">
        <f>IF(S188="","","Sim")</f>
        <v/>
      </c>
      <c r="U188" s="41">
        <f>IF(T188="Sim",S188+ROW()/100000,0)</f>
        <v>0</v>
      </c>
      <c r="V188" s="41">
        <f>IF(AND(H188="Falta",L188=Config!$B$7,M188=Config!$B$5,COUNTIFS($E$5:E188,E188,$H$5:H188,"Falta",$L$5:L188,Config!$B$7,$M$5:M188,Config!$B$5)=1),COUNTIFS($E$5:$E$3004,E188,$H$5:$H$3004,"Falta",$L$5:$L$3004,Config!$B$7,$M$5:$M$3004,Config!$B$5)*1000-ROW()/100000,0)</f>
        <v>0</v>
      </c>
    </row>
    <row r="189">
      <c r="A189" s="39" t="n">
        <v>46191</v>
      </c>
      <c r="B189" s="40" t="n">
        <v>0.7083333333333334</v>
      </c>
      <c r="C189" s="35" t="inlineStr">
        <is>
          <t>Dr. Paulo Andrade</t>
        </is>
      </c>
      <c r="D189" s="35" t="inlineStr">
        <is>
          <t>Sala 2</t>
        </is>
      </c>
      <c r="E189" s="34" t="inlineStr">
        <is>
          <t>Ricardo Melo</t>
        </is>
      </c>
      <c r="F189" s="35" t="inlineStr">
        <is>
          <t>Saúde Total</t>
        </is>
      </c>
      <c r="G189" s="35" t="inlineStr">
        <is>
          <t>MAPA</t>
        </is>
      </c>
      <c r="H189" s="35" t="inlineStr">
        <is>
          <t>Realizado</t>
        </is>
      </c>
      <c r="I189" s="35" t="inlineStr">
        <is>
          <t>Convênio</t>
        </is>
      </c>
      <c r="J189" s="35" t="n"/>
      <c r="K189" s="34" t="n"/>
      <c r="L189" s="26">
        <f>IF(A189="","",MONTH(A189))</f>
        <v>6</v>
      </c>
      <c r="M189" s="26">
        <f>IF(A189="","",YEAR(A189))</f>
        <v>2026</v>
      </c>
      <c r="N189" s="26" t="str">
        <f>IF(A189="","",CHOOSE(WEEKDAY(A189,2),"Segunda","Terça","Quarta","Quinta","Sexta","Sábado","Domingo"))</f>
        <v>Quinta</v>
      </c>
      <c r="O189" s="26" t="str">
        <f>IF(B189="","",IF(B189&lt;TIME(12,0,0),"Manhã",IF(B189&lt;TIME(18,0,0),"Tarde","Noite")))</f>
        <v>Tarde</v>
      </c>
      <c r="P189" s="32">
        <f>IF(G189="","",IFERROR(INDEX(Config!$I$5:$I$16,MATCH(G189,Config!$H$5:$H$16,0)),0))</f>
        <v>0</v>
      </c>
      <c r="Q189" s="30">
        <f>IF(OR(H189&lt;&gt;"Realizado",P189="",P189=0),"",A189+P189)</f>
        <v/>
      </c>
      <c r="R189" s="26">
        <f>IF(Q189="","",IF(COUNTIFS($E$5:$E$3004,E189,$A$5:$A$3004,"&gt;"&amp;A189,$H$5:$H$3004,"&lt;&gt;Falta",$H$5:$H$3004,"&lt;&gt;Cancelado",$H$5:$H$3004,"&lt;&gt;Remarcado")&gt;0,"Sim","Não"))</f>
        <v/>
      </c>
      <c r="S189" s="32">
        <f>IF(R189&lt;&gt;"Não","",IF(Q189+Config!$B$9&lt;=Config!$B$8,Config!$B$8-Q189,""))</f>
        <v/>
      </c>
      <c r="T189" s="26">
        <f>IF(S189="","","Sim")</f>
        <v/>
      </c>
      <c r="U189" s="41">
        <f>IF(T189="Sim",S189+ROW()/100000,0)</f>
        <v>0</v>
      </c>
      <c r="V189" s="41">
        <f>IF(AND(H189="Falta",L189=Config!$B$7,M189=Config!$B$5,COUNTIFS($E$5:E189,E189,$H$5:H189,"Falta",$L$5:L189,Config!$B$7,$M$5:M189,Config!$B$5)=1),COUNTIFS($E$5:$E$3004,E189,$H$5:$H$3004,"Falta",$L$5:$L$3004,Config!$B$7,$M$5:$M$3004,Config!$B$5)*1000-ROW()/100000,0)</f>
        <v>0</v>
      </c>
    </row>
    <row r="190">
      <c r="A190" s="39" t="n">
        <v>46191</v>
      </c>
      <c r="B190" s="40" t="n">
        <v>0.7152777777777778</v>
      </c>
      <c r="C190" s="35" t="inlineStr">
        <is>
          <t>Dra. Renata Sousa</t>
        </is>
      </c>
      <c r="D190" s="35" t="inlineStr">
        <is>
          <t>Sala 1</t>
        </is>
      </c>
      <c r="E190" s="34" t="inlineStr">
        <is>
          <t>Thiago Melo</t>
        </is>
      </c>
      <c r="F190" s="35" t="inlineStr">
        <is>
          <t>Particular</t>
        </is>
      </c>
      <c r="G190" s="35" t="inlineStr">
        <is>
          <t>Avaliação endócrina</t>
        </is>
      </c>
      <c r="H190" s="35" t="inlineStr">
        <is>
          <t>Realizado</t>
        </is>
      </c>
      <c r="I190" s="35" t="inlineStr">
        <is>
          <t>Cartão de débito</t>
        </is>
      </c>
      <c r="J190" s="35" t="n"/>
      <c r="K190" s="34" t="n"/>
      <c r="L190" s="26">
        <f>IF(A190="","",MONTH(A190))</f>
        <v>6</v>
      </c>
      <c r="M190" s="26">
        <f>IF(A190="","",YEAR(A190))</f>
        <v>2026</v>
      </c>
      <c r="N190" s="26" t="str">
        <f>IF(A190="","",CHOOSE(WEEKDAY(A190,2),"Segunda","Terça","Quarta","Quinta","Sexta","Sábado","Domingo"))</f>
        <v>Quinta</v>
      </c>
      <c r="O190" s="26" t="str">
        <f>IF(B190="","",IF(B190&lt;TIME(12,0,0),"Manhã",IF(B190&lt;TIME(18,0,0),"Tarde","Noite")))</f>
        <v>Tarde</v>
      </c>
      <c r="P190" s="32">
        <f>IF(G190="","",IFERROR(INDEX(Config!$I$5:$I$16,MATCH(G190,Config!$H$5:$H$16,0)),0))</f>
        <v>45</v>
      </c>
      <c r="Q190" s="30">
        <f>IF(OR(H190&lt;&gt;"Realizado",P190="",P190=0),"",A190+P190)</f>
        <v>46236.0</v>
      </c>
      <c r="R190" s="26" t="str">
        <f>IF(Q190="","",IF(COUNTIFS($E$5:$E$3004,E190,$A$5:$A$3004,"&gt;"&amp;A190,$H$5:$H$3004,"&lt;&gt;Falta",$H$5:$H$3004,"&lt;&gt;Cancelado",$H$5:$H$3004,"&lt;&gt;Remarcado")&gt;0,"Sim","Não"))</f>
        <v>Sim</v>
      </c>
      <c r="S190" s="32">
        <f>IF(R190&lt;&gt;"Não","",IF(Q190+Config!$B$9&lt;=Config!$B$8,Config!$B$8-Q190,""))</f>
        <v/>
      </c>
      <c r="T190" s="26">
        <f>IF(S190="","","Sim")</f>
        <v/>
      </c>
      <c r="U190" s="41">
        <f>IF(T190="Sim",S190+ROW()/100000,0)</f>
        <v>0</v>
      </c>
      <c r="V190" s="41">
        <f>IF(AND(H190="Falta",L190=Config!$B$7,M190=Config!$B$5,COUNTIFS($E$5:E190,E190,$H$5:H190,"Falta",$L$5:L190,Config!$B$7,$M$5:M190,Config!$B$5)=1),COUNTIFS($E$5:$E$3004,E190,$H$5:$H$3004,"Falta",$L$5:$L$3004,Config!$B$7,$M$5:$M$3004,Config!$B$5)*1000-ROW()/100000,0)</f>
        <v>0</v>
      </c>
    </row>
    <row r="191">
      <c r="A191" s="39" t="n">
        <v>46191</v>
      </c>
      <c r="B191" s="40" t="n">
        <v>0.7222222222222222</v>
      </c>
      <c r="C191" s="35" t="inlineStr">
        <is>
          <t>Dr. Paulo Andrade</t>
        </is>
      </c>
      <c r="D191" s="35" t="inlineStr">
        <is>
          <t>Sala 2</t>
        </is>
      </c>
      <c r="E191" s="34" t="inlineStr">
        <is>
          <t>Ana Costa</t>
        </is>
      </c>
      <c r="F191" s="35" t="inlineStr">
        <is>
          <t>Particular</t>
        </is>
      </c>
      <c r="G191" s="35" t="inlineStr">
        <is>
          <t>Retorno</t>
        </is>
      </c>
      <c r="H191" s="35" t="inlineStr">
        <is>
          <t>Realizado</t>
        </is>
      </c>
      <c r="I191" s="35" t="inlineStr">
        <is>
          <t>Sem cobrança</t>
        </is>
      </c>
      <c r="J191" s="35" t="n"/>
      <c r="K191" s="34" t="n"/>
      <c r="L191" s="26">
        <f>IF(A191="","",MONTH(A191))</f>
        <v>6</v>
      </c>
      <c r="M191" s="26">
        <f>IF(A191="","",YEAR(A191))</f>
        <v>2026</v>
      </c>
      <c r="N191" s="26" t="str">
        <f>IF(A191="","",CHOOSE(WEEKDAY(A191,2),"Segunda","Terça","Quarta","Quinta","Sexta","Sábado","Domingo"))</f>
        <v>Quinta</v>
      </c>
      <c r="O191" s="26" t="str">
        <f>IF(B191="","",IF(B191&lt;TIME(12,0,0),"Manhã",IF(B191&lt;TIME(18,0,0),"Tarde","Noite")))</f>
        <v>Tarde</v>
      </c>
      <c r="P191" s="32">
        <f>IF(G191="","",IFERROR(INDEX(Config!$I$5:$I$16,MATCH(G191,Config!$H$5:$H$16,0)),0))</f>
        <v>0</v>
      </c>
      <c r="Q191" s="30">
        <f>IF(OR(H191&lt;&gt;"Realizado",P191="",P191=0),"",A191+P191)</f>
        <v/>
      </c>
      <c r="R191" s="26">
        <f>IF(Q191="","",IF(COUNTIFS($E$5:$E$3004,E191,$A$5:$A$3004,"&gt;"&amp;A191,$H$5:$H$3004,"&lt;&gt;Falta",$H$5:$H$3004,"&lt;&gt;Cancelado",$H$5:$H$3004,"&lt;&gt;Remarcado")&gt;0,"Sim","Não"))</f>
        <v/>
      </c>
      <c r="S191" s="32">
        <f>IF(R191&lt;&gt;"Não","",IF(Q191+Config!$B$9&lt;=Config!$B$8,Config!$B$8-Q191,""))</f>
        <v/>
      </c>
      <c r="T191" s="26">
        <f>IF(S191="","","Sim")</f>
        <v/>
      </c>
      <c r="U191" s="41">
        <f>IF(T191="Sim",S191+ROW()/100000,0)</f>
        <v>0</v>
      </c>
      <c r="V191" s="41">
        <f>IF(AND(H191="Falta",L191=Config!$B$7,M191=Config!$B$5,COUNTIFS($E$5:E191,E191,$H$5:H191,"Falta",$L$5:L191,Config!$B$7,$M$5:M191,Config!$B$5)=1),COUNTIFS($E$5:$E$3004,E191,$H$5:$H$3004,"Falta",$L$5:$L$3004,Config!$B$7,$M$5:$M$3004,Config!$B$5)*1000-ROW()/100000,0)</f>
        <v>0</v>
      </c>
    </row>
    <row r="192">
      <c r="A192" s="39" t="n">
        <v>46192</v>
      </c>
      <c r="B192" s="40" t="n">
        <v>0.3333333333333333</v>
      </c>
      <c r="C192" s="35" t="inlineStr">
        <is>
          <t>Dr. Paulo Andrade</t>
        </is>
      </c>
      <c r="D192" s="35" t="inlineStr">
        <is>
          <t>Sala 2</t>
        </is>
      </c>
      <c r="E192" s="34" t="inlineStr">
        <is>
          <t>Gabriel Vieira</t>
        </is>
      </c>
      <c r="F192" s="35" t="inlineStr">
        <is>
          <t>Vida Care</t>
        </is>
      </c>
      <c r="G192" s="35" t="inlineStr">
        <is>
          <t>Consulta</t>
        </is>
      </c>
      <c r="H192" s="35" t="inlineStr">
        <is>
          <t>Realizado</t>
        </is>
      </c>
      <c r="I192" s="35" t="inlineStr">
        <is>
          <t>Convênio</t>
        </is>
      </c>
      <c r="J192" s="35" t="n"/>
      <c r="K192" s="34" t="n"/>
      <c r="L192" s="26">
        <f>IF(A192="","",MONTH(A192))</f>
        <v>6</v>
      </c>
      <c r="M192" s="26">
        <f>IF(A192="","",YEAR(A192))</f>
        <v>2026</v>
      </c>
      <c r="N192" s="26" t="str">
        <f>IF(A192="","",CHOOSE(WEEKDAY(A192,2),"Segunda","Terça","Quarta","Quinta","Sexta","Sábado","Domingo"))</f>
        <v>Sexta</v>
      </c>
      <c r="O192" s="26" t="str">
        <f>IF(B192="","",IF(B192&lt;TIME(12,0,0),"Manhã",IF(B192&lt;TIME(18,0,0),"Tarde","Noite")))</f>
        <v>Manhã</v>
      </c>
      <c r="P192" s="32">
        <f>IF(G192="","",IFERROR(INDEX(Config!$I$5:$I$16,MATCH(G192,Config!$H$5:$H$16,0)),0))</f>
        <v>30</v>
      </c>
      <c r="Q192" s="30">
        <f>IF(OR(H192&lt;&gt;"Realizado",P192="",P192=0),"",A192+P192)</f>
        <v>46222.0</v>
      </c>
      <c r="R192" s="26" t="str">
        <f>IF(Q192="","",IF(COUNTIFS($E$5:$E$3004,E192,$A$5:$A$3004,"&gt;"&amp;A192,$H$5:$H$3004,"&lt;&gt;Falta",$H$5:$H$3004,"&lt;&gt;Cancelado",$H$5:$H$3004,"&lt;&gt;Remarcado")&gt;0,"Sim","Não"))</f>
        <v>Sim</v>
      </c>
      <c r="S192" s="32">
        <f>IF(R192&lt;&gt;"Não","",IF(Q192+Config!$B$9&lt;=Config!$B$8,Config!$B$8-Q192,""))</f>
        <v/>
      </c>
      <c r="T192" s="26">
        <f>IF(S192="","","Sim")</f>
        <v/>
      </c>
      <c r="U192" s="41">
        <f>IF(T192="Sim",S192+ROW()/100000,0)</f>
        <v>0</v>
      </c>
      <c r="V192" s="41">
        <f>IF(AND(H192="Falta",L192=Config!$B$7,M192=Config!$B$5,COUNTIFS($E$5:E192,E192,$H$5:H192,"Falta",$L$5:L192,Config!$B$7,$M$5:M192,Config!$B$5)=1),COUNTIFS($E$5:$E$3004,E192,$H$5:$H$3004,"Falta",$L$5:$L$3004,Config!$B$7,$M$5:$M$3004,Config!$B$5)*1000-ROW()/100000,0)</f>
        <v>0</v>
      </c>
    </row>
    <row r="193">
      <c r="A193" s="39" t="n">
        <v>46192</v>
      </c>
      <c r="B193" s="40" t="n">
        <v>0.3541666666666667</v>
      </c>
      <c r="C193" s="35" t="inlineStr">
        <is>
          <t>Dr. Paulo Andrade</t>
        </is>
      </c>
      <c r="D193" s="35" t="inlineStr">
        <is>
          <t>Sala 2</t>
        </is>
      </c>
      <c r="E193" s="34" t="inlineStr">
        <is>
          <t>Marcelo Ferreira</t>
        </is>
      </c>
      <c r="F193" s="35" t="inlineStr">
        <is>
          <t>Particular</t>
        </is>
      </c>
      <c r="G193" s="35" t="inlineStr">
        <is>
          <t>Consulta</t>
        </is>
      </c>
      <c r="H193" s="35" t="inlineStr">
        <is>
          <t>Cancelado</t>
        </is>
      </c>
      <c r="I193" s="35" t="n"/>
      <c r="J193" s="35" t="n"/>
      <c r="K193" s="34" t="n"/>
      <c r="L193" s="26">
        <f>IF(A193="","",MONTH(A193))</f>
        <v>6</v>
      </c>
      <c r="M193" s="26">
        <f>IF(A193="","",YEAR(A193))</f>
        <v>2026</v>
      </c>
      <c r="N193" s="26" t="str">
        <f>IF(A193="","",CHOOSE(WEEKDAY(A193,2),"Segunda","Terça","Quarta","Quinta","Sexta","Sábado","Domingo"))</f>
        <v>Sexta</v>
      </c>
      <c r="O193" s="26" t="str">
        <f>IF(B193="","",IF(B193&lt;TIME(12,0,0),"Manhã",IF(B193&lt;TIME(18,0,0),"Tarde","Noite")))</f>
        <v>Manhã</v>
      </c>
      <c r="P193" s="32">
        <f>IF(G193="","",IFERROR(INDEX(Config!$I$5:$I$16,MATCH(G193,Config!$H$5:$H$16,0)),0))</f>
        <v>30</v>
      </c>
      <c r="Q193" s="30">
        <f>IF(OR(H193&lt;&gt;"Realizado",P193="",P193=0),"",A193+P193)</f>
        <v/>
      </c>
      <c r="R193" s="26">
        <f>IF(Q193="","",IF(COUNTIFS($E$5:$E$3004,E193,$A$5:$A$3004,"&gt;"&amp;A193,$H$5:$H$3004,"&lt;&gt;Falta",$H$5:$H$3004,"&lt;&gt;Cancelado",$H$5:$H$3004,"&lt;&gt;Remarcado")&gt;0,"Sim","Não"))</f>
        <v/>
      </c>
      <c r="S193" s="32">
        <f>IF(R193&lt;&gt;"Não","",IF(Q193+Config!$B$9&lt;=Config!$B$8,Config!$B$8-Q193,""))</f>
        <v/>
      </c>
      <c r="T193" s="26">
        <f>IF(S193="","","Sim")</f>
        <v/>
      </c>
      <c r="U193" s="41">
        <f>IF(T193="Sim",S193+ROW()/100000,0)</f>
        <v>0</v>
      </c>
      <c r="V193" s="41">
        <f>IF(AND(H193="Falta",L193=Config!$B$7,M193=Config!$B$5,COUNTIFS($E$5:E193,E193,$H$5:H193,"Falta",$L$5:L193,Config!$B$7,$M$5:M193,Config!$B$5)=1),COUNTIFS($E$5:$E$3004,E193,$H$5:$H$3004,"Falta",$L$5:$L$3004,Config!$B$7,$M$5:$M$3004,Config!$B$5)*1000-ROW()/100000,0)</f>
        <v>0</v>
      </c>
    </row>
    <row r="194">
      <c r="A194" s="39" t="n">
        <v>46192</v>
      </c>
      <c r="B194" s="40" t="n">
        <v>0.375</v>
      </c>
      <c r="C194" s="35" t="inlineStr">
        <is>
          <t>Dr. Paulo Andrade</t>
        </is>
      </c>
      <c r="D194" s="35" t="inlineStr">
        <is>
          <t>Sala 2</t>
        </is>
      </c>
      <c r="E194" s="34" t="inlineStr">
        <is>
          <t>Marcelo Ferreira</t>
        </is>
      </c>
      <c r="F194" s="35" t="inlineStr">
        <is>
          <t>Particular</t>
        </is>
      </c>
      <c r="G194" s="35" t="inlineStr">
        <is>
          <t>Teste ergométrico</t>
        </is>
      </c>
      <c r="H194" s="35" t="inlineStr">
        <is>
          <t>Realizado</t>
        </is>
      </c>
      <c r="I194" s="35" t="inlineStr">
        <is>
          <t>Pix</t>
        </is>
      </c>
      <c r="J194" s="35" t="n"/>
      <c r="K194" s="34" t="n"/>
      <c r="L194" s="26">
        <f>IF(A194="","",MONTH(A194))</f>
        <v>6</v>
      </c>
      <c r="M194" s="26">
        <f>IF(A194="","",YEAR(A194))</f>
        <v>2026</v>
      </c>
      <c r="N194" s="26" t="str">
        <f>IF(A194="","",CHOOSE(WEEKDAY(A194,2),"Segunda","Terça","Quarta","Quinta","Sexta","Sábado","Domingo"))</f>
        <v>Sexta</v>
      </c>
      <c r="O194" s="26" t="str">
        <f>IF(B194="","",IF(B194&lt;TIME(12,0,0),"Manhã",IF(B194&lt;TIME(18,0,0),"Tarde","Noite")))</f>
        <v>Manhã</v>
      </c>
      <c r="P194" s="32">
        <f>IF(G194="","",IFERROR(INDEX(Config!$I$5:$I$16,MATCH(G194,Config!$H$5:$H$16,0)),0))</f>
        <v>0</v>
      </c>
      <c r="Q194" s="30">
        <f>IF(OR(H194&lt;&gt;"Realizado",P194="",P194=0),"",A194+P194)</f>
        <v/>
      </c>
      <c r="R194" s="26">
        <f>IF(Q194="","",IF(COUNTIFS($E$5:$E$3004,E194,$A$5:$A$3004,"&gt;"&amp;A194,$H$5:$H$3004,"&lt;&gt;Falta",$H$5:$H$3004,"&lt;&gt;Cancelado",$H$5:$H$3004,"&lt;&gt;Remarcado")&gt;0,"Sim","Não"))</f>
        <v/>
      </c>
      <c r="S194" s="32">
        <f>IF(R194&lt;&gt;"Não","",IF(Q194+Config!$B$9&lt;=Config!$B$8,Config!$B$8-Q194,""))</f>
        <v/>
      </c>
      <c r="T194" s="26">
        <f>IF(S194="","","Sim")</f>
        <v/>
      </c>
      <c r="U194" s="41">
        <f>IF(T194="Sim",S194+ROW()/100000,0)</f>
        <v>0</v>
      </c>
      <c r="V194" s="41">
        <f>IF(AND(H194="Falta",L194=Config!$B$7,M194=Config!$B$5,COUNTIFS($E$5:E194,E194,$H$5:H194,"Falta",$L$5:L194,Config!$B$7,$M$5:M194,Config!$B$5)=1),COUNTIFS($E$5:$E$3004,E194,$H$5:$H$3004,"Falta",$L$5:$L$3004,Config!$B$7,$M$5:$M$3004,Config!$B$5)*1000-ROW()/100000,0)</f>
        <v>0</v>
      </c>
    </row>
    <row r="195">
      <c r="A195" s="39" t="n">
        <v>46192</v>
      </c>
      <c r="B195" s="40" t="n">
        <v>0.4027777777777778</v>
      </c>
      <c r="C195" s="35" t="inlineStr">
        <is>
          <t>Dr. Paulo Andrade</t>
        </is>
      </c>
      <c r="D195" s="35" t="inlineStr">
        <is>
          <t>Sala 2</t>
        </is>
      </c>
      <c r="E195" s="34" t="inlineStr">
        <is>
          <t>Regina Macedo</t>
        </is>
      </c>
      <c r="F195" s="35" t="inlineStr">
        <is>
          <t>Particular</t>
        </is>
      </c>
      <c r="G195" s="35" t="inlineStr">
        <is>
          <t>MAPA</t>
        </is>
      </c>
      <c r="H195" s="35" t="inlineStr">
        <is>
          <t>Realizado</t>
        </is>
      </c>
      <c r="I195" s="35" t="inlineStr">
        <is>
          <t>Cartão de crédito</t>
        </is>
      </c>
      <c r="J195" s="35" t="n"/>
      <c r="K195" s="34" t="n"/>
      <c r="L195" s="26">
        <f>IF(A195="","",MONTH(A195))</f>
        <v>6</v>
      </c>
      <c r="M195" s="26">
        <f>IF(A195="","",YEAR(A195))</f>
        <v>2026</v>
      </c>
      <c r="N195" s="26" t="str">
        <f>IF(A195="","",CHOOSE(WEEKDAY(A195,2),"Segunda","Terça","Quarta","Quinta","Sexta","Sábado","Domingo"))</f>
        <v>Sexta</v>
      </c>
      <c r="O195" s="26" t="str">
        <f>IF(B195="","",IF(B195&lt;TIME(12,0,0),"Manhã",IF(B195&lt;TIME(18,0,0),"Tarde","Noite")))</f>
        <v>Manhã</v>
      </c>
      <c r="P195" s="32">
        <f>IF(G195="","",IFERROR(INDEX(Config!$I$5:$I$16,MATCH(G195,Config!$H$5:$H$16,0)),0))</f>
        <v>0</v>
      </c>
      <c r="Q195" s="30">
        <f>IF(OR(H195&lt;&gt;"Realizado",P195="",P195=0),"",A195+P195)</f>
        <v/>
      </c>
      <c r="R195" s="26">
        <f>IF(Q195="","",IF(COUNTIFS($E$5:$E$3004,E195,$A$5:$A$3004,"&gt;"&amp;A195,$H$5:$H$3004,"&lt;&gt;Falta",$H$5:$H$3004,"&lt;&gt;Cancelado",$H$5:$H$3004,"&lt;&gt;Remarcado")&gt;0,"Sim","Não"))</f>
        <v/>
      </c>
      <c r="S195" s="32">
        <f>IF(R195&lt;&gt;"Não","",IF(Q195+Config!$B$9&lt;=Config!$B$8,Config!$B$8-Q195,""))</f>
        <v/>
      </c>
      <c r="T195" s="26">
        <f>IF(S195="","","Sim")</f>
        <v/>
      </c>
      <c r="U195" s="41">
        <f>IF(T195="Sim",S195+ROW()/100000,0)</f>
        <v>0</v>
      </c>
      <c r="V195" s="41">
        <f>IF(AND(H195="Falta",L195=Config!$B$7,M195=Config!$B$5,COUNTIFS($E$5:E195,E195,$H$5:H195,"Falta",$L$5:L195,Config!$B$7,$M$5:M195,Config!$B$5)=1),COUNTIFS($E$5:$E$3004,E195,$H$5:$H$3004,"Falta",$L$5:$L$3004,Config!$B$7,$M$5:$M$3004,Config!$B$5)*1000-ROW()/100000,0)</f>
        <v>0</v>
      </c>
    </row>
    <row r="196">
      <c r="A196" s="39" t="n">
        <v>46192</v>
      </c>
      <c r="B196" s="40" t="n">
        <v>0.4375</v>
      </c>
      <c r="C196" s="35" t="inlineStr">
        <is>
          <t>Dr. Paulo Andrade</t>
        </is>
      </c>
      <c r="D196" s="35" t="inlineStr">
        <is>
          <t>Sala 2</t>
        </is>
      </c>
      <c r="E196" s="34" t="inlineStr">
        <is>
          <t>Regina Castro</t>
        </is>
      </c>
      <c r="F196" s="35" t="inlineStr">
        <is>
          <t>Vida Care</t>
        </is>
      </c>
      <c r="G196" s="35" t="inlineStr">
        <is>
          <t>Teste ergométrico</t>
        </is>
      </c>
      <c r="H196" s="35" t="inlineStr">
        <is>
          <t>Realizado</t>
        </is>
      </c>
      <c r="I196" s="35" t="inlineStr">
        <is>
          <t>Convênio</t>
        </is>
      </c>
      <c r="J196" s="35" t="n"/>
      <c r="K196" s="34" t="n"/>
      <c r="L196" s="26">
        <f>IF(A196="","",MONTH(A196))</f>
        <v>6</v>
      </c>
      <c r="M196" s="26">
        <f>IF(A196="","",YEAR(A196))</f>
        <v>2026</v>
      </c>
      <c r="N196" s="26" t="str">
        <f>IF(A196="","",CHOOSE(WEEKDAY(A196,2),"Segunda","Terça","Quarta","Quinta","Sexta","Sábado","Domingo"))</f>
        <v>Sexta</v>
      </c>
      <c r="O196" s="26" t="str">
        <f>IF(B196="","",IF(B196&lt;TIME(12,0,0),"Manhã",IF(B196&lt;TIME(18,0,0),"Tarde","Noite")))</f>
        <v>Manhã</v>
      </c>
      <c r="P196" s="32">
        <f>IF(G196="","",IFERROR(INDEX(Config!$I$5:$I$16,MATCH(G196,Config!$H$5:$H$16,0)),0))</f>
        <v>0</v>
      </c>
      <c r="Q196" s="30">
        <f>IF(OR(H196&lt;&gt;"Realizado",P196="",P196=0),"",A196+P196)</f>
        <v/>
      </c>
      <c r="R196" s="26">
        <f>IF(Q196="","",IF(COUNTIFS($E$5:$E$3004,E196,$A$5:$A$3004,"&gt;"&amp;A196,$H$5:$H$3004,"&lt;&gt;Falta",$H$5:$H$3004,"&lt;&gt;Cancelado",$H$5:$H$3004,"&lt;&gt;Remarcado")&gt;0,"Sim","Não"))</f>
        <v/>
      </c>
      <c r="S196" s="32">
        <f>IF(R196&lt;&gt;"Não","",IF(Q196+Config!$B$9&lt;=Config!$B$8,Config!$B$8-Q196,""))</f>
        <v/>
      </c>
      <c r="T196" s="26">
        <f>IF(S196="","","Sim")</f>
        <v/>
      </c>
      <c r="U196" s="41">
        <f>IF(T196="Sim",S196+ROW()/100000,0)</f>
        <v>0</v>
      </c>
      <c r="V196" s="41">
        <f>IF(AND(H196="Falta",L196=Config!$B$7,M196=Config!$B$5,COUNTIFS($E$5:E196,E196,$H$5:H196,"Falta",$L$5:L196,Config!$B$7,$M$5:M196,Config!$B$5)=1),COUNTIFS($E$5:$E$3004,E196,$H$5:$H$3004,"Falta",$L$5:$L$3004,Config!$B$7,$M$5:$M$3004,Config!$B$5)*1000-ROW()/100000,0)</f>
        <v>0</v>
      </c>
    </row>
    <row r="197">
      <c r="A197" s="39" t="n">
        <v>46192</v>
      </c>
      <c r="B197" s="40" t="n">
        <v>0.4652777777777778</v>
      </c>
      <c r="C197" s="35" t="inlineStr">
        <is>
          <t>Dr. Paulo Andrade</t>
        </is>
      </c>
      <c r="D197" s="35" t="inlineStr">
        <is>
          <t>Sala 2</t>
        </is>
      </c>
      <c r="E197" s="34" t="inlineStr">
        <is>
          <t>Wagner Costa</t>
        </is>
      </c>
      <c r="F197" s="35" t="inlineStr">
        <is>
          <t>Particular</t>
        </is>
      </c>
      <c r="G197" s="35" t="inlineStr">
        <is>
          <t>Consulta</t>
        </is>
      </c>
      <c r="H197" s="35" t="inlineStr">
        <is>
          <t>Realizado</t>
        </is>
      </c>
      <c r="I197" s="35" t="inlineStr">
        <is>
          <t>Cartão de débito</t>
        </is>
      </c>
      <c r="J197" s="35" t="n"/>
      <c r="K197" s="34" t="n"/>
      <c r="L197" s="26">
        <f>IF(A197="","",MONTH(A197))</f>
        <v>6</v>
      </c>
      <c r="M197" s="26">
        <f>IF(A197="","",YEAR(A197))</f>
        <v>2026</v>
      </c>
      <c r="N197" s="26" t="str">
        <f>IF(A197="","",CHOOSE(WEEKDAY(A197,2),"Segunda","Terça","Quarta","Quinta","Sexta","Sábado","Domingo"))</f>
        <v>Sexta</v>
      </c>
      <c r="O197" s="26" t="str">
        <f>IF(B197="","",IF(B197&lt;TIME(12,0,0),"Manhã",IF(B197&lt;TIME(18,0,0),"Tarde","Noite")))</f>
        <v>Manhã</v>
      </c>
      <c r="P197" s="32">
        <f>IF(G197="","",IFERROR(INDEX(Config!$I$5:$I$16,MATCH(G197,Config!$H$5:$H$16,0)),0))</f>
        <v>30</v>
      </c>
      <c r="Q197" s="30">
        <f>IF(OR(H197&lt;&gt;"Realizado",P197="",P197=0),"",A197+P197)</f>
        <v>46222.0</v>
      </c>
      <c r="R197" s="26" t="str">
        <f>IF(Q197="","",IF(COUNTIFS($E$5:$E$3004,E197,$A$5:$A$3004,"&gt;"&amp;A197,$H$5:$H$3004,"&lt;&gt;Falta",$H$5:$H$3004,"&lt;&gt;Cancelado",$H$5:$H$3004,"&lt;&gt;Remarcado")&gt;0,"Sim","Não"))</f>
        <v>Sim</v>
      </c>
      <c r="S197" s="32">
        <f>IF(R197&lt;&gt;"Não","",IF(Q197+Config!$B$9&lt;=Config!$B$8,Config!$B$8-Q197,""))</f>
        <v/>
      </c>
      <c r="T197" s="26">
        <f>IF(S197="","","Sim")</f>
        <v/>
      </c>
      <c r="U197" s="41">
        <f>IF(T197="Sim",S197+ROW()/100000,0)</f>
        <v>0</v>
      </c>
      <c r="V197" s="41">
        <f>IF(AND(H197="Falta",L197=Config!$B$7,M197=Config!$B$5,COUNTIFS($E$5:E197,E197,$H$5:H197,"Falta",$L$5:L197,Config!$B$7,$M$5:M197,Config!$B$5)=1),COUNTIFS($E$5:$E$3004,E197,$H$5:$H$3004,"Falta",$L$5:$L$3004,Config!$B$7,$M$5:$M$3004,Config!$B$5)*1000-ROW()/100000,0)</f>
        <v>0</v>
      </c>
    </row>
    <row r="198">
      <c r="A198" s="39" t="n">
        <v>46192</v>
      </c>
      <c r="B198" s="40" t="n">
        <v>0.4861111111111111</v>
      </c>
      <c r="C198" s="35" t="inlineStr">
        <is>
          <t>Dr. Paulo Andrade</t>
        </is>
      </c>
      <c r="D198" s="35" t="inlineStr">
        <is>
          <t>Sala 2</t>
        </is>
      </c>
      <c r="E198" s="34" t="inlineStr">
        <is>
          <t>Patrícia Fernandes</t>
        </is>
      </c>
      <c r="F198" s="35" t="inlineStr">
        <is>
          <t>Particular</t>
        </is>
      </c>
      <c r="G198" s="35" t="inlineStr">
        <is>
          <t>ECG</t>
        </is>
      </c>
      <c r="H198" s="35" t="inlineStr">
        <is>
          <t>Realizado</t>
        </is>
      </c>
      <c r="I198" s="35" t="inlineStr">
        <is>
          <t>Dinheiro</t>
        </is>
      </c>
      <c r="J198" s="35" t="n"/>
      <c r="K198" s="34" t="n"/>
      <c r="L198" s="26">
        <f>IF(A198="","",MONTH(A198))</f>
        <v>6</v>
      </c>
      <c r="M198" s="26">
        <f>IF(A198="","",YEAR(A198))</f>
        <v>2026</v>
      </c>
      <c r="N198" s="26" t="str">
        <f>IF(A198="","",CHOOSE(WEEKDAY(A198,2),"Segunda","Terça","Quarta","Quinta","Sexta","Sábado","Domingo"))</f>
        <v>Sexta</v>
      </c>
      <c r="O198" s="26" t="str">
        <f>IF(B198="","",IF(B198&lt;TIME(12,0,0),"Manhã",IF(B198&lt;TIME(18,0,0),"Tarde","Noite")))</f>
        <v>Manhã</v>
      </c>
      <c r="P198" s="32">
        <f>IF(G198="","",IFERROR(INDEX(Config!$I$5:$I$16,MATCH(G198,Config!$H$5:$H$16,0)),0))</f>
        <v>0</v>
      </c>
      <c r="Q198" s="30">
        <f>IF(OR(H198&lt;&gt;"Realizado",P198="",P198=0),"",A198+P198)</f>
        <v/>
      </c>
      <c r="R198" s="26">
        <f>IF(Q198="","",IF(COUNTIFS($E$5:$E$3004,E198,$A$5:$A$3004,"&gt;"&amp;A198,$H$5:$H$3004,"&lt;&gt;Falta",$H$5:$H$3004,"&lt;&gt;Cancelado",$H$5:$H$3004,"&lt;&gt;Remarcado")&gt;0,"Sim","Não"))</f>
        <v/>
      </c>
      <c r="S198" s="32">
        <f>IF(R198&lt;&gt;"Não","",IF(Q198+Config!$B$9&lt;=Config!$B$8,Config!$B$8-Q198,""))</f>
        <v/>
      </c>
      <c r="T198" s="26">
        <f>IF(S198="","","Sim")</f>
        <v/>
      </c>
      <c r="U198" s="41">
        <f>IF(T198="Sim",S198+ROW()/100000,0)</f>
        <v>0</v>
      </c>
      <c r="V198" s="41">
        <f>IF(AND(H198="Falta",L198=Config!$B$7,M198=Config!$B$5,COUNTIFS($E$5:E198,E198,$H$5:H198,"Falta",$L$5:L198,Config!$B$7,$M$5:M198,Config!$B$5)=1),COUNTIFS($E$5:$E$3004,E198,$H$5:$H$3004,"Falta",$L$5:$L$3004,Config!$B$7,$M$5:$M$3004,Config!$B$5)*1000-ROW()/100000,0)</f>
        <v>0</v>
      </c>
    </row>
    <row r="199">
      <c r="A199" s="39" t="n">
        <v>46195</v>
      </c>
      <c r="B199" s="40" t="n">
        <v>0.3333333333333333</v>
      </c>
      <c r="C199" s="35" t="inlineStr">
        <is>
          <t>Dra. Carolina Mendes</t>
        </is>
      </c>
      <c r="D199" s="35" t="inlineStr">
        <is>
          <t>Sala 1</t>
        </is>
      </c>
      <c r="E199" s="34" t="inlineStr">
        <is>
          <t>Isabela Pinto</t>
        </is>
      </c>
      <c r="F199" s="35" t="inlineStr">
        <is>
          <t>Saúde Total</t>
        </is>
      </c>
      <c r="G199" s="35" t="inlineStr">
        <is>
          <t>Consulta</t>
        </is>
      </c>
      <c r="H199" s="35" t="inlineStr">
        <is>
          <t>Realizado</t>
        </is>
      </c>
      <c r="I199" s="35" t="inlineStr">
        <is>
          <t>Convênio</t>
        </is>
      </c>
      <c r="J199" s="35" t="n"/>
      <c r="K199" s="34" t="n"/>
      <c r="L199" s="26">
        <f>IF(A199="","",MONTH(A199))</f>
        <v>6</v>
      </c>
      <c r="M199" s="26">
        <f>IF(A199="","",YEAR(A199))</f>
        <v>2026</v>
      </c>
      <c r="N199" s="26" t="str">
        <f>IF(A199="","",CHOOSE(WEEKDAY(A199,2),"Segunda","Terça","Quarta","Quinta","Sexta","Sábado","Domingo"))</f>
        <v>Segunda</v>
      </c>
      <c r="O199" s="26" t="str">
        <f>IF(B199="","",IF(B199&lt;TIME(12,0,0),"Manhã",IF(B199&lt;TIME(18,0,0),"Tarde","Noite")))</f>
        <v>Manhã</v>
      </c>
      <c r="P199" s="32">
        <f>IF(G199="","",IFERROR(INDEX(Config!$I$5:$I$16,MATCH(G199,Config!$H$5:$H$16,0)),0))</f>
        <v>30</v>
      </c>
      <c r="Q199" s="30">
        <f>IF(OR(H199&lt;&gt;"Realizado",P199="",P199=0),"",A199+P199)</f>
        <v>46225.0</v>
      </c>
      <c r="R199" s="26" t="str">
        <f>IF(Q199="","",IF(COUNTIFS($E$5:$E$3004,E199,$A$5:$A$3004,"&gt;"&amp;A199,$H$5:$H$3004,"&lt;&gt;Falta",$H$5:$H$3004,"&lt;&gt;Cancelado",$H$5:$H$3004,"&lt;&gt;Remarcado")&gt;0,"Sim","Não"))</f>
        <v>Sim</v>
      </c>
      <c r="S199" s="32">
        <f>IF(R199&lt;&gt;"Não","",IF(Q199+Config!$B$9&lt;=Config!$B$8,Config!$B$8-Q199,""))</f>
        <v/>
      </c>
      <c r="T199" s="26">
        <f>IF(S199="","","Sim")</f>
        <v/>
      </c>
      <c r="U199" s="41">
        <f>IF(T199="Sim",S199+ROW()/100000,0)</f>
        <v>0</v>
      </c>
      <c r="V199" s="41">
        <f>IF(AND(H199="Falta",L199=Config!$B$7,M199=Config!$B$5,COUNTIFS($E$5:E199,E199,$H$5:H199,"Falta",$L$5:L199,Config!$B$7,$M$5:M199,Config!$B$5)=1),COUNTIFS($E$5:$E$3004,E199,$H$5:$H$3004,"Falta",$L$5:$L$3004,Config!$B$7,$M$5:$M$3004,Config!$B$5)*1000-ROW()/100000,0)</f>
        <v>0</v>
      </c>
    </row>
    <row r="200">
      <c r="A200" s="39" t="n">
        <v>46195</v>
      </c>
      <c r="B200" s="40" t="n">
        <v>0.3541666666666667</v>
      </c>
      <c r="C200" s="35" t="inlineStr">
        <is>
          <t>Dra. Carolina Mendes</t>
        </is>
      </c>
      <c r="D200" s="35" t="inlineStr">
        <is>
          <t>Sala 1</t>
        </is>
      </c>
      <c r="E200" s="34" t="inlineStr">
        <is>
          <t>Regina Teixeira</t>
        </is>
      </c>
      <c r="F200" s="35" t="inlineStr">
        <is>
          <t>Particular</t>
        </is>
      </c>
      <c r="G200" s="35" t="inlineStr">
        <is>
          <t>Consulta</t>
        </is>
      </c>
      <c r="H200" s="35" t="inlineStr">
        <is>
          <t>Realizado</t>
        </is>
      </c>
      <c r="I200" s="35" t="inlineStr">
        <is>
          <t>Cartão de débito</t>
        </is>
      </c>
      <c r="J200" s="35" t="n"/>
      <c r="K200" s="34" t="n"/>
      <c r="L200" s="26">
        <f>IF(A200="","",MONTH(A200))</f>
        <v>6</v>
      </c>
      <c r="M200" s="26">
        <f>IF(A200="","",YEAR(A200))</f>
        <v>2026</v>
      </c>
      <c r="N200" s="26" t="str">
        <f>IF(A200="","",CHOOSE(WEEKDAY(A200,2),"Segunda","Terça","Quarta","Quinta","Sexta","Sábado","Domingo"))</f>
        <v>Segunda</v>
      </c>
      <c r="O200" s="26" t="str">
        <f>IF(B200="","",IF(B200&lt;TIME(12,0,0),"Manhã",IF(B200&lt;TIME(18,0,0),"Tarde","Noite")))</f>
        <v>Manhã</v>
      </c>
      <c r="P200" s="32">
        <f>IF(G200="","",IFERROR(INDEX(Config!$I$5:$I$16,MATCH(G200,Config!$H$5:$H$16,0)),0))</f>
        <v>30</v>
      </c>
      <c r="Q200" s="30">
        <f>IF(OR(H200&lt;&gt;"Realizado",P200="",P200=0),"",A200+P200)</f>
        <v>46225.0</v>
      </c>
      <c r="R200" s="26" t="str">
        <f>IF(Q200="","",IF(COUNTIFS($E$5:$E$3004,E200,$A$5:$A$3004,"&gt;"&amp;A200,$H$5:$H$3004,"&lt;&gt;Falta",$H$5:$H$3004,"&lt;&gt;Cancelado",$H$5:$H$3004,"&lt;&gt;Remarcado")&gt;0,"Sim","Não"))</f>
        <v>Sim</v>
      </c>
      <c r="S200" s="32">
        <f>IF(R200&lt;&gt;"Não","",IF(Q200+Config!$B$9&lt;=Config!$B$8,Config!$B$8-Q200,""))</f>
        <v/>
      </c>
      <c r="T200" s="26">
        <f>IF(S200="","","Sim")</f>
        <v/>
      </c>
      <c r="U200" s="41">
        <f>IF(T200="Sim",S200+ROW()/100000,0)</f>
        <v>0</v>
      </c>
      <c r="V200" s="41">
        <f>IF(AND(H200="Falta",L200=Config!$B$7,M200=Config!$B$5,COUNTIFS($E$5:E200,E200,$H$5:H200,"Falta",$L$5:L200,Config!$B$7,$M$5:M200,Config!$B$5)=1),COUNTIFS($E$5:$E$3004,E200,$H$5:$H$3004,"Falta",$L$5:$L$3004,Config!$B$7,$M$5:$M$3004,Config!$B$5)*1000-ROW()/100000,0)</f>
        <v>0</v>
      </c>
    </row>
    <row r="201">
      <c r="A201" s="39" t="n">
        <v>46195</v>
      </c>
      <c r="B201" s="40" t="n">
        <v>0.375</v>
      </c>
      <c r="C201" s="35" t="inlineStr">
        <is>
          <t>Dra. Carolina Mendes</t>
        </is>
      </c>
      <c r="D201" s="35" t="inlineStr">
        <is>
          <t>Sala 1</t>
        </is>
      </c>
      <c r="E201" s="34" t="inlineStr">
        <is>
          <t>Elaine Cardoso</t>
        </is>
      </c>
      <c r="F201" s="35" t="inlineStr">
        <is>
          <t>Particular</t>
        </is>
      </c>
      <c r="G201" s="35" t="inlineStr">
        <is>
          <t>Consulta</t>
        </is>
      </c>
      <c r="H201" s="35" t="inlineStr">
        <is>
          <t>Realizado</t>
        </is>
      </c>
      <c r="I201" s="35" t="inlineStr">
        <is>
          <t>A prazo</t>
        </is>
      </c>
      <c r="J201" s="35" t="n"/>
      <c r="K201" s="34" t="n"/>
      <c r="L201" s="26">
        <f>IF(A201="","",MONTH(A201))</f>
        <v>6</v>
      </c>
      <c r="M201" s="26">
        <f>IF(A201="","",YEAR(A201))</f>
        <v>2026</v>
      </c>
      <c r="N201" s="26" t="str">
        <f>IF(A201="","",CHOOSE(WEEKDAY(A201,2),"Segunda","Terça","Quarta","Quinta","Sexta","Sábado","Domingo"))</f>
        <v>Segunda</v>
      </c>
      <c r="O201" s="26" t="str">
        <f>IF(B201="","",IF(B201&lt;TIME(12,0,0),"Manhã",IF(B201&lt;TIME(18,0,0),"Tarde","Noite")))</f>
        <v>Manhã</v>
      </c>
      <c r="P201" s="32">
        <f>IF(G201="","",IFERROR(INDEX(Config!$I$5:$I$16,MATCH(G201,Config!$H$5:$H$16,0)),0))</f>
        <v>30</v>
      </c>
      <c r="Q201" s="30">
        <f>IF(OR(H201&lt;&gt;"Realizado",P201="",P201=0),"",A201+P201)</f>
        <v>46225.0</v>
      </c>
      <c r="R201" s="26" t="str">
        <f>IF(Q201="","",IF(COUNTIFS($E$5:$E$3004,E201,$A$5:$A$3004,"&gt;"&amp;A201,$H$5:$H$3004,"&lt;&gt;Falta",$H$5:$H$3004,"&lt;&gt;Cancelado",$H$5:$H$3004,"&lt;&gt;Remarcado")&gt;0,"Sim","Não"))</f>
        <v>Sim</v>
      </c>
      <c r="S201" s="32">
        <f>IF(R201&lt;&gt;"Não","",IF(Q201+Config!$B$9&lt;=Config!$B$8,Config!$B$8-Q201,""))</f>
        <v/>
      </c>
      <c r="T201" s="26">
        <f>IF(S201="","","Sim")</f>
        <v/>
      </c>
      <c r="U201" s="41">
        <f>IF(T201="Sim",S201+ROW()/100000,0)</f>
        <v>0</v>
      </c>
      <c r="V201" s="41">
        <f>IF(AND(H201="Falta",L201=Config!$B$7,M201=Config!$B$5,COUNTIFS($E$5:E201,E201,$H$5:H201,"Falta",$L$5:L201,Config!$B$7,$M$5:M201,Config!$B$5)=1),COUNTIFS($E$5:$E$3004,E201,$H$5:$H$3004,"Falta",$L$5:$L$3004,Config!$B$7,$M$5:$M$3004,Config!$B$5)*1000-ROW()/100000,0)</f>
        <v>0</v>
      </c>
    </row>
    <row r="202">
      <c r="A202" s="39" t="n">
        <v>46195</v>
      </c>
      <c r="B202" s="40" t="n">
        <v>0.3958333333333333</v>
      </c>
      <c r="C202" s="35" t="inlineStr">
        <is>
          <t>Dra. Carolina Mendes</t>
        </is>
      </c>
      <c r="D202" s="35" t="inlineStr">
        <is>
          <t>Sala 1</t>
        </is>
      </c>
      <c r="E202" s="34" t="inlineStr">
        <is>
          <t>Lucas Lopes</t>
        </is>
      </c>
      <c r="F202" s="35" t="inlineStr">
        <is>
          <t>Particular</t>
        </is>
      </c>
      <c r="G202" s="35" t="inlineStr">
        <is>
          <t>Consulta</t>
        </is>
      </c>
      <c r="H202" s="35" t="inlineStr">
        <is>
          <t>Falta</t>
        </is>
      </c>
      <c r="I202" s="35" t="n"/>
      <c r="J202" s="35" t="n"/>
      <c r="K202" s="34" t="n"/>
      <c r="L202" s="26">
        <f>IF(A202="","",MONTH(A202))</f>
        <v>6</v>
      </c>
      <c r="M202" s="26">
        <f>IF(A202="","",YEAR(A202))</f>
        <v>2026</v>
      </c>
      <c r="N202" s="26" t="str">
        <f>IF(A202="","",CHOOSE(WEEKDAY(A202,2),"Segunda","Terça","Quarta","Quinta","Sexta","Sábado","Domingo"))</f>
        <v>Segunda</v>
      </c>
      <c r="O202" s="26" t="str">
        <f>IF(B202="","",IF(B202&lt;TIME(12,0,0),"Manhã",IF(B202&lt;TIME(18,0,0),"Tarde","Noite")))</f>
        <v>Manhã</v>
      </c>
      <c r="P202" s="32">
        <f>IF(G202="","",IFERROR(INDEX(Config!$I$5:$I$16,MATCH(G202,Config!$H$5:$H$16,0)),0))</f>
        <v>30</v>
      </c>
      <c r="Q202" s="30">
        <f>IF(OR(H202&lt;&gt;"Realizado",P202="",P202=0),"",A202+P202)</f>
        <v/>
      </c>
      <c r="R202" s="26">
        <f>IF(Q202="","",IF(COUNTIFS($E$5:$E$3004,E202,$A$5:$A$3004,"&gt;"&amp;A202,$H$5:$H$3004,"&lt;&gt;Falta",$H$5:$H$3004,"&lt;&gt;Cancelado",$H$5:$H$3004,"&lt;&gt;Remarcado")&gt;0,"Sim","Não"))</f>
        <v/>
      </c>
      <c r="S202" s="32">
        <f>IF(R202&lt;&gt;"Não","",IF(Q202+Config!$B$9&lt;=Config!$B$8,Config!$B$8-Q202,""))</f>
        <v/>
      </c>
      <c r="T202" s="26">
        <f>IF(S202="","","Sim")</f>
        <v/>
      </c>
      <c r="U202" s="41">
        <f>IF(T202="Sim",S202+ROW()/100000,0)</f>
        <v>0</v>
      </c>
      <c r="V202" s="41">
        <f>IF(AND(H202="Falta",L202=Config!$B$7,M202=Config!$B$5,COUNTIFS($E$5:E202,E202,$H$5:H202,"Falta",$L$5:L202,Config!$B$7,$M$5:M202,Config!$B$5)=1),COUNTIFS($E$5:$E$3004,E202,$H$5:$H$3004,"Falta",$L$5:$L$3004,Config!$B$7,$M$5:$M$3004,Config!$B$5)*1000-ROW()/100000,0)</f>
        <v>0</v>
      </c>
    </row>
    <row r="203">
      <c r="A203" s="39" t="n">
        <v>46195</v>
      </c>
      <c r="B203" s="40" t="n">
        <v>0.4166666666666667</v>
      </c>
      <c r="C203" s="35" t="inlineStr">
        <is>
          <t>Dra. Carolina Mendes</t>
        </is>
      </c>
      <c r="D203" s="35" t="inlineStr">
        <is>
          <t>Sala 1</t>
        </is>
      </c>
      <c r="E203" s="34" t="inlineStr">
        <is>
          <t>Cláudia Costa</t>
        </is>
      </c>
      <c r="F203" s="35" t="inlineStr">
        <is>
          <t>Particular</t>
        </is>
      </c>
      <c r="G203" s="35" t="inlineStr">
        <is>
          <t>Consulta</t>
        </is>
      </c>
      <c r="H203" s="35" t="inlineStr">
        <is>
          <t>Realizado</t>
        </is>
      </c>
      <c r="I203" s="35" t="inlineStr">
        <is>
          <t>A prazo</t>
        </is>
      </c>
      <c r="J203" s="35" t="n"/>
      <c r="K203" s="34" t="n"/>
      <c r="L203" s="26">
        <f>IF(A203="","",MONTH(A203))</f>
        <v>6</v>
      </c>
      <c r="M203" s="26">
        <f>IF(A203="","",YEAR(A203))</f>
        <v>2026</v>
      </c>
      <c r="N203" s="26" t="str">
        <f>IF(A203="","",CHOOSE(WEEKDAY(A203,2),"Segunda","Terça","Quarta","Quinta","Sexta","Sábado","Domingo"))</f>
        <v>Segunda</v>
      </c>
      <c r="O203" s="26" t="str">
        <f>IF(B203="","",IF(B203&lt;TIME(12,0,0),"Manhã",IF(B203&lt;TIME(18,0,0),"Tarde","Noite")))</f>
        <v>Manhã</v>
      </c>
      <c r="P203" s="32">
        <f>IF(G203="","",IFERROR(INDEX(Config!$I$5:$I$16,MATCH(G203,Config!$H$5:$H$16,0)),0))</f>
        <v>30</v>
      </c>
      <c r="Q203" s="30">
        <f>IF(OR(H203&lt;&gt;"Realizado",P203="",P203=0),"",A203+P203)</f>
        <v>46225.0</v>
      </c>
      <c r="R203" s="26" t="str">
        <f>IF(Q203="","",IF(COUNTIFS($E$5:$E$3004,E203,$A$5:$A$3004,"&gt;"&amp;A203,$H$5:$H$3004,"&lt;&gt;Falta",$H$5:$H$3004,"&lt;&gt;Cancelado",$H$5:$H$3004,"&lt;&gt;Remarcado")&gt;0,"Sim","Não"))</f>
        <v>Sim</v>
      </c>
      <c r="S203" s="32">
        <f>IF(R203&lt;&gt;"Não","",IF(Q203+Config!$B$9&lt;=Config!$B$8,Config!$B$8-Q203,""))</f>
        <v/>
      </c>
      <c r="T203" s="26">
        <f>IF(S203="","","Sim")</f>
        <v/>
      </c>
      <c r="U203" s="41">
        <f>IF(T203="Sim",S203+ROW()/100000,0)</f>
        <v>0</v>
      </c>
      <c r="V203" s="41">
        <f>IF(AND(H203="Falta",L203=Config!$B$7,M203=Config!$B$5,COUNTIFS($E$5:E203,E203,$H$5:H203,"Falta",$L$5:L203,Config!$B$7,$M$5:M203,Config!$B$5)=1),COUNTIFS($E$5:$E$3004,E203,$H$5:$H$3004,"Falta",$L$5:$L$3004,Config!$B$7,$M$5:$M$3004,Config!$B$5)*1000-ROW()/100000,0)</f>
        <v>0</v>
      </c>
    </row>
    <row r="204">
      <c r="A204" s="39" t="n">
        <v>46195</v>
      </c>
      <c r="B204" s="40" t="n">
        <v>0.4791666666666667</v>
      </c>
      <c r="C204" s="35" t="inlineStr">
        <is>
          <t>Dra. Carolina Mendes</t>
        </is>
      </c>
      <c r="D204" s="35" t="inlineStr">
        <is>
          <t>Sala 1</t>
        </is>
      </c>
      <c r="E204" s="34" t="inlineStr">
        <is>
          <t>Priscila Carvalho</t>
        </is>
      </c>
      <c r="F204" s="35" t="inlineStr">
        <is>
          <t>Vida Care</t>
        </is>
      </c>
      <c r="G204" s="35" t="inlineStr">
        <is>
          <t>Consulta</t>
        </is>
      </c>
      <c r="H204" s="35" t="inlineStr">
        <is>
          <t>Falta</t>
        </is>
      </c>
      <c r="I204" s="35" t="n"/>
      <c r="J204" s="35" t="n"/>
      <c r="K204" s="34" t="n"/>
      <c r="L204" s="26">
        <f>IF(A204="","",MONTH(A204))</f>
        <v>6</v>
      </c>
      <c r="M204" s="26">
        <f>IF(A204="","",YEAR(A204))</f>
        <v>2026</v>
      </c>
      <c r="N204" s="26" t="str">
        <f>IF(A204="","",CHOOSE(WEEKDAY(A204,2),"Segunda","Terça","Quarta","Quinta","Sexta","Sábado","Domingo"))</f>
        <v>Segunda</v>
      </c>
      <c r="O204" s="26" t="str">
        <f>IF(B204="","",IF(B204&lt;TIME(12,0,0),"Manhã",IF(B204&lt;TIME(18,0,0),"Tarde","Noite")))</f>
        <v>Manhã</v>
      </c>
      <c r="P204" s="32">
        <f>IF(G204="","",IFERROR(INDEX(Config!$I$5:$I$16,MATCH(G204,Config!$H$5:$H$16,0)),0))</f>
        <v>30</v>
      </c>
      <c r="Q204" s="30">
        <f>IF(OR(H204&lt;&gt;"Realizado",P204="",P204=0),"",A204+P204)</f>
        <v/>
      </c>
      <c r="R204" s="26">
        <f>IF(Q204="","",IF(COUNTIFS($E$5:$E$3004,E204,$A$5:$A$3004,"&gt;"&amp;A204,$H$5:$H$3004,"&lt;&gt;Falta",$H$5:$H$3004,"&lt;&gt;Cancelado",$H$5:$H$3004,"&lt;&gt;Remarcado")&gt;0,"Sim","Não"))</f>
        <v/>
      </c>
      <c r="S204" s="32">
        <f>IF(R204&lt;&gt;"Não","",IF(Q204+Config!$B$9&lt;=Config!$B$8,Config!$B$8-Q204,""))</f>
        <v/>
      </c>
      <c r="T204" s="26">
        <f>IF(S204="","","Sim")</f>
        <v/>
      </c>
      <c r="U204" s="41">
        <f>IF(T204="Sim",S204+ROW()/100000,0)</f>
        <v>0</v>
      </c>
      <c r="V204" s="41">
        <f>IF(AND(H204="Falta",L204=Config!$B$7,M204=Config!$B$5,COUNTIFS($E$5:E204,E204,$H$5:H204,"Falta",$L$5:L204,Config!$B$7,$M$5:M204,Config!$B$5)=1),COUNTIFS($E$5:$E$3004,E204,$H$5:$H$3004,"Falta",$L$5:$L$3004,Config!$B$7,$M$5:$M$3004,Config!$B$5)*1000-ROW()/100000,0)</f>
        <v>0</v>
      </c>
    </row>
    <row r="205">
      <c r="A205" s="39" t="n">
        <v>46195</v>
      </c>
      <c r="B205" s="40" t="n">
        <v>0.5833333333333334</v>
      </c>
      <c r="C205" s="35" t="inlineStr">
        <is>
          <t>Dr. Paulo Andrade</t>
        </is>
      </c>
      <c r="D205" s="35" t="inlineStr">
        <is>
          <t>Sala 2</t>
        </is>
      </c>
      <c r="E205" s="34" t="inlineStr">
        <is>
          <t>Paulo Ribeiro</t>
        </is>
      </c>
      <c r="F205" s="35" t="inlineStr">
        <is>
          <t>Saúde Total</t>
        </is>
      </c>
      <c r="G205" s="35" t="inlineStr">
        <is>
          <t>Consulta</t>
        </is>
      </c>
      <c r="H205" s="35" t="inlineStr">
        <is>
          <t>Realizado</t>
        </is>
      </c>
      <c r="I205" s="35" t="inlineStr">
        <is>
          <t>Convênio</t>
        </is>
      </c>
      <c r="J205" s="35" t="n"/>
      <c r="K205" s="34" t="n"/>
      <c r="L205" s="26">
        <f>IF(A205="","",MONTH(A205))</f>
        <v>6</v>
      </c>
      <c r="M205" s="26">
        <f>IF(A205="","",YEAR(A205))</f>
        <v>2026</v>
      </c>
      <c r="N205" s="26" t="str">
        <f>IF(A205="","",CHOOSE(WEEKDAY(A205,2),"Segunda","Terça","Quarta","Quinta","Sexta","Sábado","Domingo"))</f>
        <v>Segunda</v>
      </c>
      <c r="O205" s="26" t="str">
        <f>IF(B205="","",IF(B205&lt;TIME(12,0,0),"Manhã",IF(B205&lt;TIME(18,0,0),"Tarde","Noite")))</f>
        <v>Tarde</v>
      </c>
      <c r="P205" s="32">
        <f>IF(G205="","",IFERROR(INDEX(Config!$I$5:$I$16,MATCH(G205,Config!$H$5:$H$16,0)),0))</f>
        <v>30</v>
      </c>
      <c r="Q205" s="30">
        <f>IF(OR(H205&lt;&gt;"Realizado",P205="",P205=0),"",A205+P205)</f>
        <v>46225.0</v>
      </c>
      <c r="R205" s="26" t="str">
        <f>IF(Q205="","",IF(COUNTIFS($E$5:$E$3004,E205,$A$5:$A$3004,"&gt;"&amp;A205,$H$5:$H$3004,"&lt;&gt;Falta",$H$5:$H$3004,"&lt;&gt;Cancelado",$H$5:$H$3004,"&lt;&gt;Remarcado")&gt;0,"Sim","Não"))</f>
        <v>Sim</v>
      </c>
      <c r="S205" s="32">
        <f>IF(R205&lt;&gt;"Não","",IF(Q205+Config!$B$9&lt;=Config!$B$8,Config!$B$8-Q205,""))</f>
        <v/>
      </c>
      <c r="T205" s="26">
        <f>IF(S205="","","Sim")</f>
        <v/>
      </c>
      <c r="U205" s="41">
        <f>IF(T205="Sim",S205+ROW()/100000,0)</f>
        <v>0</v>
      </c>
      <c r="V205" s="41">
        <f>IF(AND(H205="Falta",L205=Config!$B$7,M205=Config!$B$5,COUNTIFS($E$5:E205,E205,$H$5:H205,"Falta",$L$5:L205,Config!$B$7,$M$5:M205,Config!$B$5)=1),COUNTIFS($E$5:$E$3004,E205,$H$5:$H$3004,"Falta",$L$5:$L$3004,Config!$B$7,$M$5:$M$3004,Config!$B$5)*1000-ROW()/100000,0)</f>
        <v>0</v>
      </c>
    </row>
    <row r="206">
      <c r="A206" s="39" t="n">
        <v>46195</v>
      </c>
      <c r="B206" s="40" t="n">
        <v>0.6041666666666666</v>
      </c>
      <c r="C206" s="35" t="inlineStr">
        <is>
          <t>Dr. Paulo Andrade</t>
        </is>
      </c>
      <c r="D206" s="35" t="inlineStr">
        <is>
          <t>Sala 2</t>
        </is>
      </c>
      <c r="E206" s="34" t="inlineStr">
        <is>
          <t>Vanessa Carvalho</t>
        </is>
      </c>
      <c r="F206" s="35" t="inlineStr">
        <is>
          <t>Saúde Total</t>
        </is>
      </c>
      <c r="G206" s="35" t="inlineStr">
        <is>
          <t>Retorno</t>
        </is>
      </c>
      <c r="H206" s="35" t="inlineStr">
        <is>
          <t>Falta</t>
        </is>
      </c>
      <c r="I206" s="35" t="n"/>
      <c r="J206" s="35" t="n"/>
      <c r="K206" s="34" t="n"/>
      <c r="L206" s="26">
        <f>IF(A206="","",MONTH(A206))</f>
        <v>6</v>
      </c>
      <c r="M206" s="26">
        <f>IF(A206="","",YEAR(A206))</f>
        <v>2026</v>
      </c>
      <c r="N206" s="26" t="str">
        <f>IF(A206="","",CHOOSE(WEEKDAY(A206,2),"Segunda","Terça","Quarta","Quinta","Sexta","Sábado","Domingo"))</f>
        <v>Segunda</v>
      </c>
      <c r="O206" s="26" t="str">
        <f>IF(B206="","",IF(B206&lt;TIME(12,0,0),"Manhã",IF(B206&lt;TIME(18,0,0),"Tarde","Noite")))</f>
        <v>Tarde</v>
      </c>
      <c r="P206" s="32">
        <f>IF(G206="","",IFERROR(INDEX(Config!$I$5:$I$16,MATCH(G206,Config!$H$5:$H$16,0)),0))</f>
        <v>0</v>
      </c>
      <c r="Q206" s="30">
        <f>IF(OR(H206&lt;&gt;"Realizado",P206="",P206=0),"",A206+P206)</f>
        <v/>
      </c>
      <c r="R206" s="26">
        <f>IF(Q206="","",IF(COUNTIFS($E$5:$E$3004,E206,$A$5:$A$3004,"&gt;"&amp;A206,$H$5:$H$3004,"&lt;&gt;Falta",$H$5:$H$3004,"&lt;&gt;Cancelado",$H$5:$H$3004,"&lt;&gt;Remarcado")&gt;0,"Sim","Não"))</f>
        <v/>
      </c>
      <c r="S206" s="32">
        <f>IF(R206&lt;&gt;"Não","",IF(Q206+Config!$B$9&lt;=Config!$B$8,Config!$B$8-Q206,""))</f>
        <v/>
      </c>
      <c r="T206" s="26">
        <f>IF(S206="","","Sim")</f>
        <v/>
      </c>
      <c r="U206" s="41">
        <f>IF(T206="Sim",S206+ROW()/100000,0)</f>
        <v>0</v>
      </c>
      <c r="V206" s="41">
        <f>IF(AND(H206="Falta",L206=Config!$B$7,M206=Config!$B$5,COUNTIFS($E$5:E206,E206,$H$5:H206,"Falta",$L$5:L206,Config!$B$7,$M$5:M206,Config!$B$5)=1),COUNTIFS($E$5:$E$3004,E206,$H$5:$H$3004,"Falta",$L$5:$L$3004,Config!$B$7,$M$5:$M$3004,Config!$B$5)*1000-ROW()/100000,0)</f>
        <v>0</v>
      </c>
    </row>
    <row r="207">
      <c r="A207" s="39" t="n">
        <v>46195</v>
      </c>
      <c r="B207" s="40" t="n">
        <v>0.6180555555555556</v>
      </c>
      <c r="C207" s="35" t="inlineStr">
        <is>
          <t>Dr. Paulo Andrade</t>
        </is>
      </c>
      <c r="D207" s="35" t="inlineStr">
        <is>
          <t>Sala 2</t>
        </is>
      </c>
      <c r="E207" s="34" t="inlineStr">
        <is>
          <t>Rafael Dias</t>
        </is>
      </c>
      <c r="F207" s="35" t="inlineStr">
        <is>
          <t>Particular</t>
        </is>
      </c>
      <c r="G207" s="35" t="inlineStr">
        <is>
          <t>Teste ergométrico</t>
        </is>
      </c>
      <c r="H207" s="35" t="inlineStr">
        <is>
          <t>Realizado</t>
        </is>
      </c>
      <c r="I207" s="35" t="inlineStr">
        <is>
          <t>Pix</t>
        </is>
      </c>
      <c r="J207" s="35" t="n"/>
      <c r="K207" s="34" t="n"/>
      <c r="L207" s="26">
        <f>IF(A207="","",MONTH(A207))</f>
        <v>6</v>
      </c>
      <c r="M207" s="26">
        <f>IF(A207="","",YEAR(A207))</f>
        <v>2026</v>
      </c>
      <c r="N207" s="26" t="str">
        <f>IF(A207="","",CHOOSE(WEEKDAY(A207,2),"Segunda","Terça","Quarta","Quinta","Sexta","Sábado","Domingo"))</f>
        <v>Segunda</v>
      </c>
      <c r="O207" s="26" t="str">
        <f>IF(B207="","",IF(B207&lt;TIME(12,0,0),"Manhã",IF(B207&lt;TIME(18,0,0),"Tarde","Noite")))</f>
        <v>Tarde</v>
      </c>
      <c r="P207" s="32">
        <f>IF(G207="","",IFERROR(INDEX(Config!$I$5:$I$16,MATCH(G207,Config!$H$5:$H$16,0)),0))</f>
        <v>0</v>
      </c>
      <c r="Q207" s="30">
        <f>IF(OR(H207&lt;&gt;"Realizado",P207="",P207=0),"",A207+P207)</f>
        <v/>
      </c>
      <c r="R207" s="26">
        <f>IF(Q207="","",IF(COUNTIFS($E$5:$E$3004,E207,$A$5:$A$3004,"&gt;"&amp;A207,$H$5:$H$3004,"&lt;&gt;Falta",$H$5:$H$3004,"&lt;&gt;Cancelado",$H$5:$H$3004,"&lt;&gt;Remarcado")&gt;0,"Sim","Não"))</f>
        <v/>
      </c>
      <c r="S207" s="32">
        <f>IF(R207&lt;&gt;"Não","",IF(Q207+Config!$B$9&lt;=Config!$B$8,Config!$B$8-Q207,""))</f>
        <v/>
      </c>
      <c r="T207" s="26">
        <f>IF(S207="","","Sim")</f>
        <v/>
      </c>
      <c r="U207" s="41">
        <f>IF(T207="Sim",S207+ROW()/100000,0)</f>
        <v>0</v>
      </c>
      <c r="V207" s="41">
        <f>IF(AND(H207="Falta",L207=Config!$B$7,M207=Config!$B$5,COUNTIFS($E$5:E207,E207,$H$5:H207,"Falta",$L$5:L207,Config!$B$7,$M$5:M207,Config!$B$5)=1),COUNTIFS($E$5:$E$3004,E207,$H$5:$H$3004,"Falta",$L$5:$L$3004,Config!$B$7,$M$5:$M$3004,Config!$B$5)*1000-ROW()/100000,0)</f>
        <v>0</v>
      </c>
    </row>
    <row r="208">
      <c r="A208" s="39" t="n">
        <v>46195</v>
      </c>
      <c r="B208" s="40" t="n">
        <v>0.6458333333333334</v>
      </c>
      <c r="C208" s="35" t="inlineStr">
        <is>
          <t>Dr. Paulo Andrade</t>
        </is>
      </c>
      <c r="D208" s="35" t="inlineStr">
        <is>
          <t>Sala 2</t>
        </is>
      </c>
      <c r="E208" s="34" t="inlineStr">
        <is>
          <t>Wagner Lima</t>
        </is>
      </c>
      <c r="F208" s="35" t="inlineStr">
        <is>
          <t>Particular</t>
        </is>
      </c>
      <c r="G208" s="35" t="inlineStr">
        <is>
          <t>ECG</t>
        </is>
      </c>
      <c r="H208" s="35" t="inlineStr">
        <is>
          <t>Realizado</t>
        </is>
      </c>
      <c r="I208" s="35" t="inlineStr">
        <is>
          <t>Dinheiro</t>
        </is>
      </c>
      <c r="J208" s="35" t="n"/>
      <c r="K208" s="34" t="n"/>
      <c r="L208" s="26">
        <f>IF(A208="","",MONTH(A208))</f>
        <v>6</v>
      </c>
      <c r="M208" s="26">
        <f>IF(A208="","",YEAR(A208))</f>
        <v>2026</v>
      </c>
      <c r="N208" s="26" t="str">
        <f>IF(A208="","",CHOOSE(WEEKDAY(A208,2),"Segunda","Terça","Quarta","Quinta","Sexta","Sábado","Domingo"))</f>
        <v>Segunda</v>
      </c>
      <c r="O208" s="26" t="str">
        <f>IF(B208="","",IF(B208&lt;TIME(12,0,0),"Manhã",IF(B208&lt;TIME(18,0,0),"Tarde","Noite")))</f>
        <v>Tarde</v>
      </c>
      <c r="P208" s="32">
        <f>IF(G208="","",IFERROR(INDEX(Config!$I$5:$I$16,MATCH(G208,Config!$H$5:$H$16,0)),0))</f>
        <v>0</v>
      </c>
      <c r="Q208" s="30">
        <f>IF(OR(H208&lt;&gt;"Realizado",P208="",P208=0),"",A208+P208)</f>
        <v/>
      </c>
      <c r="R208" s="26">
        <f>IF(Q208="","",IF(COUNTIFS($E$5:$E$3004,E208,$A$5:$A$3004,"&gt;"&amp;A208,$H$5:$H$3004,"&lt;&gt;Falta",$H$5:$H$3004,"&lt;&gt;Cancelado",$H$5:$H$3004,"&lt;&gt;Remarcado")&gt;0,"Sim","Não"))</f>
        <v/>
      </c>
      <c r="S208" s="32">
        <f>IF(R208&lt;&gt;"Não","",IF(Q208+Config!$B$9&lt;=Config!$B$8,Config!$B$8-Q208,""))</f>
        <v/>
      </c>
      <c r="T208" s="26">
        <f>IF(S208="","","Sim")</f>
        <v/>
      </c>
      <c r="U208" s="41">
        <f>IF(T208="Sim",S208+ROW()/100000,0)</f>
        <v>0</v>
      </c>
      <c r="V208" s="41">
        <f>IF(AND(H208="Falta",L208=Config!$B$7,M208=Config!$B$5,COUNTIFS($E$5:E208,E208,$H$5:H208,"Falta",$L$5:L208,Config!$B$7,$M$5:M208,Config!$B$5)=1),COUNTIFS($E$5:$E$3004,E208,$H$5:$H$3004,"Falta",$L$5:$L$3004,Config!$B$7,$M$5:$M$3004,Config!$B$5)*1000-ROW()/100000,0)</f>
        <v>0</v>
      </c>
    </row>
    <row r="209">
      <c r="A209" s="39" t="n">
        <v>46195</v>
      </c>
      <c r="B209" s="40" t="n">
        <v>0.6597222222222222</v>
      </c>
      <c r="C209" s="35" t="inlineStr">
        <is>
          <t>Dr. Paulo Andrade</t>
        </is>
      </c>
      <c r="D209" s="35" t="inlineStr">
        <is>
          <t>Sala 2</t>
        </is>
      </c>
      <c r="E209" s="34" t="inlineStr">
        <is>
          <t>Tatiana Gonçalves</t>
        </is>
      </c>
      <c r="F209" s="35" t="inlineStr">
        <is>
          <t>Saúde Total</t>
        </is>
      </c>
      <c r="G209" s="35" t="inlineStr">
        <is>
          <t>Retorno</t>
        </is>
      </c>
      <c r="H209" s="35" t="inlineStr">
        <is>
          <t>Realizado</t>
        </is>
      </c>
      <c r="I209" s="35" t="inlineStr">
        <is>
          <t>Sem cobrança</t>
        </is>
      </c>
      <c r="J209" s="35" t="n"/>
      <c r="K209" s="34" t="n"/>
      <c r="L209" s="26">
        <f>IF(A209="","",MONTH(A209))</f>
        <v>6</v>
      </c>
      <c r="M209" s="26">
        <f>IF(A209="","",YEAR(A209))</f>
        <v>2026</v>
      </c>
      <c r="N209" s="26" t="str">
        <f>IF(A209="","",CHOOSE(WEEKDAY(A209,2),"Segunda","Terça","Quarta","Quinta","Sexta","Sábado","Domingo"))</f>
        <v>Segunda</v>
      </c>
      <c r="O209" s="26" t="str">
        <f>IF(B209="","",IF(B209&lt;TIME(12,0,0),"Manhã",IF(B209&lt;TIME(18,0,0),"Tarde","Noite")))</f>
        <v>Tarde</v>
      </c>
      <c r="P209" s="32">
        <f>IF(G209="","",IFERROR(INDEX(Config!$I$5:$I$16,MATCH(G209,Config!$H$5:$H$16,0)),0))</f>
        <v>0</v>
      </c>
      <c r="Q209" s="30">
        <f>IF(OR(H209&lt;&gt;"Realizado",P209="",P209=0),"",A209+P209)</f>
        <v/>
      </c>
      <c r="R209" s="26">
        <f>IF(Q209="","",IF(COUNTIFS($E$5:$E$3004,E209,$A$5:$A$3004,"&gt;"&amp;A209,$H$5:$H$3004,"&lt;&gt;Falta",$H$5:$H$3004,"&lt;&gt;Cancelado",$H$5:$H$3004,"&lt;&gt;Remarcado")&gt;0,"Sim","Não"))</f>
        <v/>
      </c>
      <c r="S209" s="32">
        <f>IF(R209&lt;&gt;"Não","",IF(Q209+Config!$B$9&lt;=Config!$B$8,Config!$B$8-Q209,""))</f>
        <v/>
      </c>
      <c r="T209" s="26">
        <f>IF(S209="","","Sim")</f>
        <v/>
      </c>
      <c r="U209" s="41">
        <f>IF(T209="Sim",S209+ROW()/100000,0)</f>
        <v>0</v>
      </c>
      <c r="V209" s="41">
        <f>IF(AND(H209="Falta",L209=Config!$B$7,M209=Config!$B$5,COUNTIFS($E$5:E209,E209,$H$5:H209,"Falta",$L$5:L209,Config!$B$7,$M$5:M209,Config!$B$5)=1),COUNTIFS($E$5:$E$3004,E209,$H$5:$H$3004,"Falta",$L$5:$L$3004,Config!$B$7,$M$5:$M$3004,Config!$B$5)*1000-ROW()/100000,0)</f>
        <v>0</v>
      </c>
    </row>
    <row r="210">
      <c r="A210" s="39" t="n">
        <v>46195</v>
      </c>
      <c r="B210" s="40" t="n">
        <v>0.6736111111111112</v>
      </c>
      <c r="C210" s="35" t="inlineStr">
        <is>
          <t>Dr. Paulo Andrade</t>
        </is>
      </c>
      <c r="D210" s="35" t="inlineStr">
        <is>
          <t>Sala 2</t>
        </is>
      </c>
      <c r="E210" s="34" t="inlineStr">
        <is>
          <t>Mônica Teixeira</t>
        </is>
      </c>
      <c r="F210" s="35" t="inlineStr">
        <is>
          <t>Vida Care</t>
        </is>
      </c>
      <c r="G210" s="35" t="inlineStr">
        <is>
          <t>ECG</t>
        </is>
      </c>
      <c r="H210" s="35" t="inlineStr">
        <is>
          <t>Falta</t>
        </is>
      </c>
      <c r="I210" s="35" t="n"/>
      <c r="J210" s="35" t="n"/>
      <c r="K210" s="34" t="n"/>
      <c r="L210" s="26">
        <f>IF(A210="","",MONTH(A210))</f>
        <v>6</v>
      </c>
      <c r="M210" s="26">
        <f>IF(A210="","",YEAR(A210))</f>
        <v>2026</v>
      </c>
      <c r="N210" s="26" t="str">
        <f>IF(A210="","",CHOOSE(WEEKDAY(A210,2),"Segunda","Terça","Quarta","Quinta","Sexta","Sábado","Domingo"))</f>
        <v>Segunda</v>
      </c>
      <c r="O210" s="26" t="str">
        <f>IF(B210="","",IF(B210&lt;TIME(12,0,0),"Manhã",IF(B210&lt;TIME(18,0,0),"Tarde","Noite")))</f>
        <v>Tarde</v>
      </c>
      <c r="P210" s="32">
        <f>IF(G210="","",IFERROR(INDEX(Config!$I$5:$I$16,MATCH(G210,Config!$H$5:$H$16,0)),0))</f>
        <v>0</v>
      </c>
      <c r="Q210" s="30">
        <f>IF(OR(H210&lt;&gt;"Realizado",P210="",P210=0),"",A210+P210)</f>
        <v/>
      </c>
      <c r="R210" s="26">
        <f>IF(Q210="","",IF(COUNTIFS($E$5:$E$3004,E210,$A$5:$A$3004,"&gt;"&amp;A210,$H$5:$H$3004,"&lt;&gt;Falta",$H$5:$H$3004,"&lt;&gt;Cancelado",$H$5:$H$3004,"&lt;&gt;Remarcado")&gt;0,"Sim","Não"))</f>
        <v/>
      </c>
      <c r="S210" s="32">
        <f>IF(R210&lt;&gt;"Não","",IF(Q210+Config!$B$9&lt;=Config!$B$8,Config!$B$8-Q210,""))</f>
        <v/>
      </c>
      <c r="T210" s="26">
        <f>IF(S210="","","Sim")</f>
        <v/>
      </c>
      <c r="U210" s="41">
        <f>IF(T210="Sim",S210+ROW()/100000,0)</f>
        <v>0</v>
      </c>
      <c r="V210" s="41">
        <f>IF(AND(H210="Falta",L210=Config!$B$7,M210=Config!$B$5,COUNTIFS($E$5:E210,E210,$H$5:H210,"Falta",$L$5:L210,Config!$B$7,$M$5:M210,Config!$B$5)=1),COUNTIFS($E$5:$E$3004,E210,$H$5:$H$3004,"Falta",$L$5:$L$3004,Config!$B$7,$M$5:$M$3004,Config!$B$5)*1000-ROW()/100000,0)</f>
        <v>0</v>
      </c>
    </row>
    <row r="211">
      <c r="A211" s="39" t="n">
        <v>46195</v>
      </c>
      <c r="B211" s="40" t="n">
        <v>0.6875</v>
      </c>
      <c r="C211" s="35" t="inlineStr">
        <is>
          <t>Dr. Paulo Andrade</t>
        </is>
      </c>
      <c r="D211" s="35" t="inlineStr">
        <is>
          <t>Sala 2</t>
        </is>
      </c>
      <c r="E211" s="34" t="inlineStr">
        <is>
          <t>Otávio Martins</t>
        </is>
      </c>
      <c r="F211" s="35" t="inlineStr">
        <is>
          <t>MediPlan</t>
        </is>
      </c>
      <c r="G211" s="35" t="inlineStr">
        <is>
          <t>Retorno</t>
        </is>
      </c>
      <c r="H211" s="35" t="inlineStr">
        <is>
          <t>Cancelado</t>
        </is>
      </c>
      <c r="I211" s="35" t="n"/>
      <c r="J211" s="35" t="n"/>
      <c r="K211" s="34" t="n"/>
      <c r="L211" s="26">
        <f>IF(A211="","",MONTH(A211))</f>
        <v>6</v>
      </c>
      <c r="M211" s="26">
        <f>IF(A211="","",YEAR(A211))</f>
        <v>2026</v>
      </c>
      <c r="N211" s="26" t="str">
        <f>IF(A211="","",CHOOSE(WEEKDAY(A211,2),"Segunda","Terça","Quarta","Quinta","Sexta","Sábado","Domingo"))</f>
        <v>Segunda</v>
      </c>
      <c r="O211" s="26" t="str">
        <f>IF(B211="","",IF(B211&lt;TIME(12,0,0),"Manhã",IF(B211&lt;TIME(18,0,0),"Tarde","Noite")))</f>
        <v>Tarde</v>
      </c>
      <c r="P211" s="32">
        <f>IF(G211="","",IFERROR(INDEX(Config!$I$5:$I$16,MATCH(G211,Config!$H$5:$H$16,0)),0))</f>
        <v>0</v>
      </c>
      <c r="Q211" s="30">
        <f>IF(OR(H211&lt;&gt;"Realizado",P211="",P211=0),"",A211+P211)</f>
        <v/>
      </c>
      <c r="R211" s="26">
        <f>IF(Q211="","",IF(COUNTIFS($E$5:$E$3004,E211,$A$5:$A$3004,"&gt;"&amp;A211,$H$5:$H$3004,"&lt;&gt;Falta",$H$5:$H$3004,"&lt;&gt;Cancelado",$H$5:$H$3004,"&lt;&gt;Remarcado")&gt;0,"Sim","Não"))</f>
        <v/>
      </c>
      <c r="S211" s="32">
        <f>IF(R211&lt;&gt;"Não","",IF(Q211+Config!$B$9&lt;=Config!$B$8,Config!$B$8-Q211,""))</f>
        <v/>
      </c>
      <c r="T211" s="26">
        <f>IF(S211="","","Sim")</f>
        <v/>
      </c>
      <c r="U211" s="41">
        <f>IF(T211="Sim",S211+ROW()/100000,0)</f>
        <v>0</v>
      </c>
      <c r="V211" s="41">
        <f>IF(AND(H211="Falta",L211=Config!$B$7,M211=Config!$B$5,COUNTIFS($E$5:E211,E211,$H$5:H211,"Falta",$L$5:L211,Config!$B$7,$M$5:M211,Config!$B$5)=1),COUNTIFS($E$5:$E$3004,E211,$H$5:$H$3004,"Falta",$L$5:$L$3004,Config!$B$7,$M$5:$M$3004,Config!$B$5)*1000-ROW()/100000,0)</f>
        <v>0</v>
      </c>
    </row>
    <row r="212">
      <c r="A212" s="39" t="n">
        <v>46195</v>
      </c>
      <c r="B212" s="40" t="n">
        <v>0.7013888888888888</v>
      </c>
      <c r="C212" s="35" t="inlineStr">
        <is>
          <t>Dr. Paulo Andrade</t>
        </is>
      </c>
      <c r="D212" s="35" t="inlineStr">
        <is>
          <t>Sala 2</t>
        </is>
      </c>
      <c r="E212" s="34" t="inlineStr">
        <is>
          <t>Cláudia Costa</t>
        </is>
      </c>
      <c r="F212" s="35" t="inlineStr">
        <is>
          <t>Particular</t>
        </is>
      </c>
      <c r="G212" s="35" t="inlineStr">
        <is>
          <t>Teste ergométrico</t>
        </is>
      </c>
      <c r="H212" s="35" t="inlineStr">
        <is>
          <t>Realizado</t>
        </is>
      </c>
      <c r="I212" s="35" t="inlineStr">
        <is>
          <t>Pix</t>
        </is>
      </c>
      <c r="J212" s="35" t="n"/>
      <c r="K212" s="34" t="n"/>
      <c r="L212" s="26">
        <f>IF(A212="","",MONTH(A212))</f>
        <v>6</v>
      </c>
      <c r="M212" s="26">
        <f>IF(A212="","",YEAR(A212))</f>
        <v>2026</v>
      </c>
      <c r="N212" s="26" t="str">
        <f>IF(A212="","",CHOOSE(WEEKDAY(A212,2),"Segunda","Terça","Quarta","Quinta","Sexta","Sábado","Domingo"))</f>
        <v>Segunda</v>
      </c>
      <c r="O212" s="26" t="str">
        <f>IF(B212="","",IF(B212&lt;TIME(12,0,0),"Manhã",IF(B212&lt;TIME(18,0,0),"Tarde","Noite")))</f>
        <v>Tarde</v>
      </c>
      <c r="P212" s="32">
        <f>IF(G212="","",IFERROR(INDEX(Config!$I$5:$I$16,MATCH(G212,Config!$H$5:$H$16,0)),0))</f>
        <v>0</v>
      </c>
      <c r="Q212" s="30">
        <f>IF(OR(H212&lt;&gt;"Realizado",P212="",P212=0),"",A212+P212)</f>
        <v/>
      </c>
      <c r="R212" s="26">
        <f>IF(Q212="","",IF(COUNTIFS($E$5:$E$3004,E212,$A$5:$A$3004,"&gt;"&amp;A212,$H$5:$H$3004,"&lt;&gt;Falta",$H$5:$H$3004,"&lt;&gt;Cancelado",$H$5:$H$3004,"&lt;&gt;Remarcado")&gt;0,"Sim","Não"))</f>
        <v/>
      </c>
      <c r="S212" s="32">
        <f>IF(R212&lt;&gt;"Não","",IF(Q212+Config!$B$9&lt;=Config!$B$8,Config!$B$8-Q212,""))</f>
        <v/>
      </c>
      <c r="T212" s="26">
        <f>IF(S212="","","Sim")</f>
        <v/>
      </c>
      <c r="U212" s="41">
        <f>IF(T212="Sim",S212+ROW()/100000,0)</f>
        <v>0</v>
      </c>
      <c r="V212" s="41">
        <f>IF(AND(H212="Falta",L212=Config!$B$7,M212=Config!$B$5,COUNTIFS($E$5:E212,E212,$H$5:H212,"Falta",$L$5:L212,Config!$B$7,$M$5:M212,Config!$B$5)=1),COUNTIFS($E$5:$E$3004,E212,$H$5:$H$3004,"Falta",$L$5:$L$3004,Config!$B$7,$M$5:$M$3004,Config!$B$5)*1000-ROW()/100000,0)</f>
        <v>0</v>
      </c>
    </row>
    <row r="213">
      <c r="A213" s="39" t="n">
        <v>46196</v>
      </c>
      <c r="B213" s="40" t="n">
        <v>0.3333333333333333</v>
      </c>
      <c r="C213" s="35" t="inlineStr">
        <is>
          <t>Dra. Carolina Mendes</t>
        </is>
      </c>
      <c r="D213" s="35" t="inlineStr">
        <is>
          <t>Sala 1</t>
        </is>
      </c>
      <c r="E213" s="34" t="inlineStr">
        <is>
          <t>Fábio Machado</t>
        </is>
      </c>
      <c r="F213" s="35" t="inlineStr">
        <is>
          <t>Particular</t>
        </is>
      </c>
      <c r="G213" s="35" t="inlineStr">
        <is>
          <t>Consulta</t>
        </is>
      </c>
      <c r="H213" s="35" t="inlineStr">
        <is>
          <t>Realizado</t>
        </is>
      </c>
      <c r="I213" s="35" t="inlineStr">
        <is>
          <t>A prazo</t>
        </is>
      </c>
      <c r="J213" s="35" t="n"/>
      <c r="K213" s="34" t="n"/>
      <c r="L213" s="26">
        <f>IF(A213="","",MONTH(A213))</f>
        <v>6</v>
      </c>
      <c r="M213" s="26">
        <f>IF(A213="","",YEAR(A213))</f>
        <v>2026</v>
      </c>
      <c r="N213" s="26" t="str">
        <f>IF(A213="","",CHOOSE(WEEKDAY(A213,2),"Segunda","Terça","Quarta","Quinta","Sexta","Sábado","Domingo"))</f>
        <v>Terça</v>
      </c>
      <c r="O213" s="26" t="str">
        <f>IF(B213="","",IF(B213&lt;TIME(12,0,0),"Manhã",IF(B213&lt;TIME(18,0,0),"Tarde","Noite")))</f>
        <v>Manhã</v>
      </c>
      <c r="P213" s="32">
        <f>IF(G213="","",IFERROR(INDEX(Config!$I$5:$I$16,MATCH(G213,Config!$H$5:$H$16,0)),0))</f>
        <v>30</v>
      </c>
      <c r="Q213" s="30">
        <f>IF(OR(H213&lt;&gt;"Realizado",P213="",P213=0),"",A213+P213)</f>
        <v>46226.0</v>
      </c>
      <c r="R213" s="26" t="str">
        <f>IF(Q213="","",IF(COUNTIFS($E$5:$E$3004,E213,$A$5:$A$3004,"&gt;"&amp;A213,$H$5:$H$3004,"&lt;&gt;Falta",$H$5:$H$3004,"&lt;&gt;Cancelado",$H$5:$H$3004,"&lt;&gt;Remarcado")&gt;0,"Sim","Não"))</f>
        <v>Sim</v>
      </c>
      <c r="S213" s="32">
        <f>IF(R213&lt;&gt;"Não","",IF(Q213+Config!$B$9&lt;=Config!$B$8,Config!$B$8-Q213,""))</f>
        <v/>
      </c>
      <c r="T213" s="26">
        <f>IF(S213="","","Sim")</f>
        <v/>
      </c>
      <c r="U213" s="41">
        <f>IF(T213="Sim",S213+ROW()/100000,0)</f>
        <v>0</v>
      </c>
      <c r="V213" s="41">
        <f>IF(AND(H213="Falta",L213=Config!$B$7,M213=Config!$B$5,COUNTIFS($E$5:E213,E213,$H$5:H213,"Falta",$L$5:L213,Config!$B$7,$M$5:M213,Config!$B$5)=1),COUNTIFS($E$5:$E$3004,E213,$H$5:$H$3004,"Falta",$L$5:$L$3004,Config!$B$7,$M$5:$M$3004,Config!$B$5)*1000-ROW()/100000,0)</f>
        <v>0</v>
      </c>
    </row>
    <row r="214">
      <c r="A214" s="39" t="n">
        <v>46196</v>
      </c>
      <c r="B214" s="40" t="n">
        <v>0.3541666666666667</v>
      </c>
      <c r="C214" s="35" t="inlineStr">
        <is>
          <t>Dra. Carolina Mendes</t>
        </is>
      </c>
      <c r="D214" s="35" t="inlineStr">
        <is>
          <t>Sala 1</t>
        </is>
      </c>
      <c r="E214" s="34" t="inlineStr">
        <is>
          <t>Simone Monteiro</t>
        </is>
      </c>
      <c r="F214" s="35" t="inlineStr">
        <is>
          <t>Vida Care</t>
        </is>
      </c>
      <c r="G214" s="35" t="inlineStr">
        <is>
          <t>Retorno</t>
        </is>
      </c>
      <c r="H214" s="35" t="inlineStr">
        <is>
          <t>Realizado</t>
        </is>
      </c>
      <c r="I214" s="35" t="inlineStr">
        <is>
          <t>Sem cobrança</t>
        </is>
      </c>
      <c r="J214" s="35" t="n"/>
      <c r="K214" s="34" t="n"/>
      <c r="L214" s="26">
        <f>IF(A214="","",MONTH(A214))</f>
        <v>6</v>
      </c>
      <c r="M214" s="26">
        <f>IF(A214="","",YEAR(A214))</f>
        <v>2026</v>
      </c>
      <c r="N214" s="26" t="str">
        <f>IF(A214="","",CHOOSE(WEEKDAY(A214,2),"Segunda","Terça","Quarta","Quinta","Sexta","Sábado","Domingo"))</f>
        <v>Terça</v>
      </c>
      <c r="O214" s="26" t="str">
        <f>IF(B214="","",IF(B214&lt;TIME(12,0,0),"Manhã",IF(B214&lt;TIME(18,0,0),"Tarde","Noite")))</f>
        <v>Manhã</v>
      </c>
      <c r="P214" s="32">
        <f>IF(G214="","",IFERROR(INDEX(Config!$I$5:$I$16,MATCH(G214,Config!$H$5:$H$16,0)),0))</f>
        <v>0</v>
      </c>
      <c r="Q214" s="30">
        <f>IF(OR(H214&lt;&gt;"Realizado",P214="",P214=0),"",A214+P214)</f>
        <v/>
      </c>
      <c r="R214" s="26">
        <f>IF(Q214="","",IF(COUNTIFS($E$5:$E$3004,E214,$A$5:$A$3004,"&gt;"&amp;A214,$H$5:$H$3004,"&lt;&gt;Falta",$H$5:$H$3004,"&lt;&gt;Cancelado",$H$5:$H$3004,"&lt;&gt;Remarcado")&gt;0,"Sim","Não"))</f>
        <v/>
      </c>
      <c r="S214" s="32">
        <f>IF(R214&lt;&gt;"Não","",IF(Q214+Config!$B$9&lt;=Config!$B$8,Config!$B$8-Q214,""))</f>
        <v/>
      </c>
      <c r="T214" s="26">
        <f>IF(S214="","","Sim")</f>
        <v/>
      </c>
      <c r="U214" s="41">
        <f>IF(T214="Sim",S214+ROW()/100000,0)</f>
        <v>0</v>
      </c>
      <c r="V214" s="41">
        <f>IF(AND(H214="Falta",L214=Config!$B$7,M214=Config!$B$5,COUNTIFS($E$5:E214,E214,$H$5:H214,"Falta",$L$5:L214,Config!$B$7,$M$5:M214,Config!$B$5)=1),COUNTIFS($E$5:$E$3004,E214,$H$5:$H$3004,"Falta",$L$5:$L$3004,Config!$B$7,$M$5:$M$3004,Config!$B$5)*1000-ROW()/100000,0)</f>
        <v>0</v>
      </c>
    </row>
    <row r="215">
      <c r="A215" s="39" t="n">
        <v>46196</v>
      </c>
      <c r="B215" s="40" t="n">
        <v>0.3680555555555556</v>
      </c>
      <c r="C215" s="35" t="inlineStr">
        <is>
          <t>Dra. Carolina Mendes</t>
        </is>
      </c>
      <c r="D215" s="35" t="inlineStr">
        <is>
          <t>Sala 1</t>
        </is>
      </c>
      <c r="E215" s="34" t="inlineStr">
        <is>
          <t>Camila Batista</t>
        </is>
      </c>
      <c r="F215" s="35" t="inlineStr">
        <is>
          <t>MediPlan</t>
        </is>
      </c>
      <c r="G215" s="35" t="inlineStr">
        <is>
          <t>Consulta</t>
        </is>
      </c>
      <c r="H215" s="35" t="inlineStr">
        <is>
          <t>Realizado</t>
        </is>
      </c>
      <c r="I215" s="35" t="inlineStr">
        <is>
          <t>Convênio</t>
        </is>
      </c>
      <c r="J215" s="35" t="n"/>
      <c r="K215" s="34" t="n"/>
      <c r="L215" s="26">
        <f>IF(A215="","",MONTH(A215))</f>
        <v>6</v>
      </c>
      <c r="M215" s="26">
        <f>IF(A215="","",YEAR(A215))</f>
        <v>2026</v>
      </c>
      <c r="N215" s="26" t="str">
        <f>IF(A215="","",CHOOSE(WEEKDAY(A215,2),"Segunda","Terça","Quarta","Quinta","Sexta","Sábado","Domingo"))</f>
        <v>Terça</v>
      </c>
      <c r="O215" s="26" t="str">
        <f>IF(B215="","",IF(B215&lt;TIME(12,0,0),"Manhã",IF(B215&lt;TIME(18,0,0),"Tarde","Noite")))</f>
        <v>Manhã</v>
      </c>
      <c r="P215" s="32">
        <f>IF(G215="","",IFERROR(INDEX(Config!$I$5:$I$16,MATCH(G215,Config!$H$5:$H$16,0)),0))</f>
        <v>30</v>
      </c>
      <c r="Q215" s="30">
        <f>IF(OR(H215&lt;&gt;"Realizado",P215="",P215=0),"",A215+P215)</f>
        <v>46226.0</v>
      </c>
      <c r="R215" s="26" t="str">
        <f>IF(Q215="","",IF(COUNTIFS($E$5:$E$3004,E215,$A$5:$A$3004,"&gt;"&amp;A215,$H$5:$H$3004,"&lt;&gt;Falta",$H$5:$H$3004,"&lt;&gt;Cancelado",$H$5:$H$3004,"&lt;&gt;Remarcado")&gt;0,"Sim","Não"))</f>
        <v>Sim</v>
      </c>
      <c r="S215" s="32">
        <f>IF(R215&lt;&gt;"Não","",IF(Q215+Config!$B$9&lt;=Config!$B$8,Config!$B$8-Q215,""))</f>
        <v/>
      </c>
      <c r="T215" s="26">
        <f>IF(S215="","","Sim")</f>
        <v/>
      </c>
      <c r="U215" s="41">
        <f>IF(T215="Sim",S215+ROW()/100000,0)</f>
        <v>0</v>
      </c>
      <c r="V215" s="41">
        <f>IF(AND(H215="Falta",L215=Config!$B$7,M215=Config!$B$5,COUNTIFS($E$5:E215,E215,$H$5:H215,"Falta",$L$5:L215,Config!$B$7,$M$5:M215,Config!$B$5)=1),COUNTIFS($E$5:$E$3004,E215,$H$5:$H$3004,"Falta",$L$5:$L$3004,Config!$B$7,$M$5:$M$3004,Config!$B$5)*1000-ROW()/100000,0)</f>
        <v>0</v>
      </c>
    </row>
    <row r="216">
      <c r="A216" s="39" t="n">
        <v>46196</v>
      </c>
      <c r="B216" s="40" t="n">
        <v>0.4097222222222222</v>
      </c>
      <c r="C216" s="35" t="inlineStr">
        <is>
          <t>Dra. Carolina Mendes</t>
        </is>
      </c>
      <c r="D216" s="35" t="inlineStr">
        <is>
          <t>Sala 1</t>
        </is>
      </c>
      <c r="E216" s="34" t="inlineStr">
        <is>
          <t>Priscila Carvalho</t>
        </is>
      </c>
      <c r="F216" s="35" t="inlineStr">
        <is>
          <t>Vida Care</t>
        </is>
      </c>
      <c r="G216" s="35" t="inlineStr">
        <is>
          <t>Consulta</t>
        </is>
      </c>
      <c r="H216" s="35" t="inlineStr">
        <is>
          <t>Realizado</t>
        </is>
      </c>
      <c r="I216" s="35" t="inlineStr">
        <is>
          <t>Convênio</t>
        </is>
      </c>
      <c r="J216" s="35" t="n"/>
      <c r="K216" s="34" t="n"/>
      <c r="L216" s="26">
        <f>IF(A216="","",MONTH(A216))</f>
        <v>6</v>
      </c>
      <c r="M216" s="26">
        <f>IF(A216="","",YEAR(A216))</f>
        <v>2026</v>
      </c>
      <c r="N216" s="26" t="str">
        <f>IF(A216="","",CHOOSE(WEEKDAY(A216,2),"Segunda","Terça","Quarta","Quinta","Sexta","Sábado","Domingo"))</f>
        <v>Terça</v>
      </c>
      <c r="O216" s="26" t="str">
        <f>IF(B216="","",IF(B216&lt;TIME(12,0,0),"Manhã",IF(B216&lt;TIME(18,0,0),"Tarde","Noite")))</f>
        <v>Manhã</v>
      </c>
      <c r="P216" s="32">
        <f>IF(G216="","",IFERROR(INDEX(Config!$I$5:$I$16,MATCH(G216,Config!$H$5:$H$16,0)),0))</f>
        <v>30</v>
      </c>
      <c r="Q216" s="30">
        <f>IF(OR(H216&lt;&gt;"Realizado",P216="",P216=0),"",A216+P216)</f>
        <v>46226.0</v>
      </c>
      <c r="R216" s="26" t="str">
        <f>IF(Q216="","",IF(COUNTIFS($E$5:$E$3004,E216,$A$5:$A$3004,"&gt;"&amp;A216,$H$5:$H$3004,"&lt;&gt;Falta",$H$5:$H$3004,"&lt;&gt;Cancelado",$H$5:$H$3004,"&lt;&gt;Remarcado")&gt;0,"Sim","Não"))</f>
        <v>Sim</v>
      </c>
      <c r="S216" s="32">
        <f>IF(R216&lt;&gt;"Não","",IF(Q216+Config!$B$9&lt;=Config!$B$8,Config!$B$8-Q216,""))</f>
        <v/>
      </c>
      <c r="T216" s="26">
        <f>IF(S216="","","Sim")</f>
        <v/>
      </c>
      <c r="U216" s="41">
        <f>IF(T216="Sim",S216+ROW()/100000,0)</f>
        <v>0</v>
      </c>
      <c r="V216" s="41">
        <f>IF(AND(H216="Falta",L216=Config!$B$7,M216=Config!$B$5,COUNTIFS($E$5:E216,E216,$H$5:H216,"Falta",$L$5:L216,Config!$B$7,$M$5:M216,Config!$B$5)=1),COUNTIFS($E$5:$E$3004,E216,$H$5:$H$3004,"Falta",$L$5:$L$3004,Config!$B$7,$M$5:$M$3004,Config!$B$5)*1000-ROW()/100000,0)</f>
        <v>0</v>
      </c>
    </row>
    <row r="217">
      <c r="A217" s="39" t="n">
        <v>46196</v>
      </c>
      <c r="B217" s="40" t="n">
        <v>0.4305555555555556</v>
      </c>
      <c r="C217" s="35" t="inlineStr">
        <is>
          <t>Dra. Carolina Mendes</t>
        </is>
      </c>
      <c r="D217" s="35" t="inlineStr">
        <is>
          <t>Sala 1</t>
        </is>
      </c>
      <c r="E217" s="34" t="inlineStr">
        <is>
          <t>Wagner Santos</t>
        </is>
      </c>
      <c r="F217" s="35" t="inlineStr">
        <is>
          <t>Particular</t>
        </is>
      </c>
      <c r="G217" s="35" t="inlineStr">
        <is>
          <t>Consulta</t>
        </is>
      </c>
      <c r="H217" s="35" t="inlineStr">
        <is>
          <t>Realizado</t>
        </is>
      </c>
      <c r="I217" s="35" t="inlineStr">
        <is>
          <t>Cartão de crédito</t>
        </is>
      </c>
      <c r="J217" s="35" t="n">
        <v>2</v>
      </c>
      <c r="K217" s="34" t="n"/>
      <c r="L217" s="26">
        <f>IF(A217="","",MONTH(A217))</f>
        <v>6</v>
      </c>
      <c r="M217" s="26">
        <f>IF(A217="","",YEAR(A217))</f>
        <v>2026</v>
      </c>
      <c r="N217" s="26" t="str">
        <f>IF(A217="","",CHOOSE(WEEKDAY(A217,2),"Segunda","Terça","Quarta","Quinta","Sexta","Sábado","Domingo"))</f>
        <v>Terça</v>
      </c>
      <c r="O217" s="26" t="str">
        <f>IF(B217="","",IF(B217&lt;TIME(12,0,0),"Manhã",IF(B217&lt;TIME(18,0,0),"Tarde","Noite")))</f>
        <v>Manhã</v>
      </c>
      <c r="P217" s="32">
        <f>IF(G217="","",IFERROR(INDEX(Config!$I$5:$I$16,MATCH(G217,Config!$H$5:$H$16,0)),0))</f>
        <v>30</v>
      </c>
      <c r="Q217" s="30">
        <f>IF(OR(H217&lt;&gt;"Realizado",P217="",P217=0),"",A217+P217)</f>
        <v>46226.0</v>
      </c>
      <c r="R217" s="26" t="str">
        <f>IF(Q217="","",IF(COUNTIFS($E$5:$E$3004,E217,$A$5:$A$3004,"&gt;"&amp;A217,$H$5:$H$3004,"&lt;&gt;Falta",$H$5:$H$3004,"&lt;&gt;Cancelado",$H$5:$H$3004,"&lt;&gt;Remarcado")&gt;0,"Sim","Não"))</f>
        <v>Sim</v>
      </c>
      <c r="S217" s="32">
        <f>IF(R217&lt;&gt;"Não","",IF(Q217+Config!$B$9&lt;=Config!$B$8,Config!$B$8-Q217,""))</f>
        <v/>
      </c>
      <c r="T217" s="26">
        <f>IF(S217="","","Sim")</f>
        <v/>
      </c>
      <c r="U217" s="41">
        <f>IF(T217="Sim",S217+ROW()/100000,0)</f>
        <v>0</v>
      </c>
      <c r="V217" s="41">
        <f>IF(AND(H217="Falta",L217=Config!$B$7,M217=Config!$B$5,COUNTIFS($E$5:E217,E217,$H$5:H217,"Falta",$L$5:L217,Config!$B$7,$M$5:M217,Config!$B$5)=1),COUNTIFS($E$5:$E$3004,E217,$H$5:$H$3004,"Falta",$L$5:$L$3004,Config!$B$7,$M$5:$M$3004,Config!$B$5)*1000-ROW()/100000,0)</f>
        <v>0</v>
      </c>
    </row>
    <row r="218">
      <c r="A218" s="39" t="n">
        <v>46196</v>
      </c>
      <c r="B218" s="40" t="n">
        <v>0.4513888888888889</v>
      </c>
      <c r="C218" s="35" t="inlineStr">
        <is>
          <t>Dra. Carolina Mendes</t>
        </is>
      </c>
      <c r="D218" s="35" t="inlineStr">
        <is>
          <t>Sala 1</t>
        </is>
      </c>
      <c r="E218" s="34" t="inlineStr">
        <is>
          <t>Ricardo Melo</t>
        </is>
      </c>
      <c r="F218" s="35" t="inlineStr">
        <is>
          <t>Saúde Total</t>
        </is>
      </c>
      <c r="G218" s="35" t="inlineStr">
        <is>
          <t>Consulta</t>
        </is>
      </c>
      <c r="H218" s="35" t="inlineStr">
        <is>
          <t>Cancelado</t>
        </is>
      </c>
      <c r="I218" s="35" t="n"/>
      <c r="J218" s="35" t="n"/>
      <c r="K218" s="34" t="n"/>
      <c r="L218" s="26">
        <f>IF(A218="","",MONTH(A218))</f>
        <v>6</v>
      </c>
      <c r="M218" s="26">
        <f>IF(A218="","",YEAR(A218))</f>
        <v>2026</v>
      </c>
      <c r="N218" s="26" t="str">
        <f>IF(A218="","",CHOOSE(WEEKDAY(A218,2),"Segunda","Terça","Quarta","Quinta","Sexta","Sábado","Domingo"))</f>
        <v>Terça</v>
      </c>
      <c r="O218" s="26" t="str">
        <f>IF(B218="","",IF(B218&lt;TIME(12,0,0),"Manhã",IF(B218&lt;TIME(18,0,0),"Tarde","Noite")))</f>
        <v>Manhã</v>
      </c>
      <c r="P218" s="32">
        <f>IF(G218="","",IFERROR(INDEX(Config!$I$5:$I$16,MATCH(G218,Config!$H$5:$H$16,0)),0))</f>
        <v>30</v>
      </c>
      <c r="Q218" s="30">
        <f>IF(OR(H218&lt;&gt;"Realizado",P218="",P218=0),"",A218+P218)</f>
        <v/>
      </c>
      <c r="R218" s="26">
        <f>IF(Q218="","",IF(COUNTIFS($E$5:$E$3004,E218,$A$5:$A$3004,"&gt;"&amp;A218,$H$5:$H$3004,"&lt;&gt;Falta",$H$5:$H$3004,"&lt;&gt;Cancelado",$H$5:$H$3004,"&lt;&gt;Remarcado")&gt;0,"Sim","Não"))</f>
        <v/>
      </c>
      <c r="S218" s="32">
        <f>IF(R218&lt;&gt;"Não","",IF(Q218+Config!$B$9&lt;=Config!$B$8,Config!$B$8-Q218,""))</f>
        <v/>
      </c>
      <c r="T218" s="26">
        <f>IF(S218="","","Sim")</f>
        <v/>
      </c>
      <c r="U218" s="41">
        <f>IF(T218="Sim",S218+ROW()/100000,0)</f>
        <v>0</v>
      </c>
      <c r="V218" s="41">
        <f>IF(AND(H218="Falta",L218=Config!$B$7,M218=Config!$B$5,COUNTIFS($E$5:E218,E218,$H$5:H218,"Falta",$L$5:L218,Config!$B$7,$M$5:M218,Config!$B$5)=1),COUNTIFS($E$5:$E$3004,E218,$H$5:$H$3004,"Falta",$L$5:$L$3004,Config!$B$7,$M$5:$M$3004,Config!$B$5)*1000-ROW()/100000,0)</f>
        <v>0</v>
      </c>
    </row>
    <row r="219">
      <c r="A219" s="39" t="n">
        <v>46196</v>
      </c>
      <c r="B219" s="40" t="n">
        <v>0.4722222222222222</v>
      </c>
      <c r="C219" s="35" t="inlineStr">
        <is>
          <t>Dra. Carolina Mendes</t>
        </is>
      </c>
      <c r="D219" s="35" t="inlineStr">
        <is>
          <t>Sala 1</t>
        </is>
      </c>
      <c r="E219" s="34" t="inlineStr">
        <is>
          <t>Ricardo Melo</t>
        </is>
      </c>
      <c r="F219" s="35" t="inlineStr">
        <is>
          <t>Saúde Total</t>
        </is>
      </c>
      <c r="G219" s="35" t="inlineStr">
        <is>
          <t>Consulta</t>
        </is>
      </c>
      <c r="H219" s="35" t="inlineStr">
        <is>
          <t>Realizado</t>
        </is>
      </c>
      <c r="I219" s="35" t="inlineStr">
        <is>
          <t>Convênio</t>
        </is>
      </c>
      <c r="J219" s="35" t="n"/>
      <c r="K219" s="34" t="n"/>
      <c r="L219" s="26">
        <f>IF(A219="","",MONTH(A219))</f>
        <v>6</v>
      </c>
      <c r="M219" s="26">
        <f>IF(A219="","",YEAR(A219))</f>
        <v>2026</v>
      </c>
      <c r="N219" s="26" t="str">
        <f>IF(A219="","",CHOOSE(WEEKDAY(A219,2),"Segunda","Terça","Quarta","Quinta","Sexta","Sábado","Domingo"))</f>
        <v>Terça</v>
      </c>
      <c r="O219" s="26" t="str">
        <f>IF(B219="","",IF(B219&lt;TIME(12,0,0),"Manhã",IF(B219&lt;TIME(18,0,0),"Tarde","Noite")))</f>
        <v>Manhã</v>
      </c>
      <c r="P219" s="32">
        <f>IF(G219="","",IFERROR(INDEX(Config!$I$5:$I$16,MATCH(G219,Config!$H$5:$H$16,0)),0))</f>
        <v>30</v>
      </c>
      <c r="Q219" s="30">
        <f>IF(OR(H219&lt;&gt;"Realizado",P219="",P219=0),"",A219+P219)</f>
        <v>46226.0</v>
      </c>
      <c r="R219" s="26" t="str">
        <f>IF(Q219="","",IF(COUNTIFS($E$5:$E$3004,E219,$A$5:$A$3004,"&gt;"&amp;A219,$H$5:$H$3004,"&lt;&gt;Falta",$H$5:$H$3004,"&lt;&gt;Cancelado",$H$5:$H$3004,"&lt;&gt;Remarcado")&gt;0,"Sim","Não"))</f>
        <v>Sim</v>
      </c>
      <c r="S219" s="32">
        <f>IF(R219&lt;&gt;"Não","",IF(Q219+Config!$B$9&lt;=Config!$B$8,Config!$B$8-Q219,""))</f>
        <v/>
      </c>
      <c r="T219" s="26">
        <f>IF(S219="","","Sim")</f>
        <v/>
      </c>
      <c r="U219" s="41">
        <f>IF(T219="Sim",S219+ROW()/100000,0)</f>
        <v>0</v>
      </c>
      <c r="V219" s="41">
        <f>IF(AND(H219="Falta",L219=Config!$B$7,M219=Config!$B$5,COUNTIFS($E$5:E219,E219,$H$5:H219,"Falta",$L$5:L219,Config!$B$7,$M$5:M219,Config!$B$5)=1),COUNTIFS($E$5:$E$3004,E219,$H$5:$H$3004,"Falta",$L$5:$L$3004,Config!$B$7,$M$5:$M$3004,Config!$B$5)*1000-ROW()/100000,0)</f>
        <v>0</v>
      </c>
    </row>
    <row r="220">
      <c r="A220" s="39" t="n">
        <v>46196</v>
      </c>
      <c r="B220" s="40" t="n">
        <v>0.5833333333333334</v>
      </c>
      <c r="C220" s="35" t="inlineStr">
        <is>
          <t>Dra. Renata Sousa</t>
        </is>
      </c>
      <c r="D220" s="35" t="inlineStr">
        <is>
          <t>Sala 1</t>
        </is>
      </c>
      <c r="E220" s="34" t="inlineStr">
        <is>
          <t>Gabriel Reis</t>
        </is>
      </c>
      <c r="F220" s="35" t="inlineStr">
        <is>
          <t>Particular</t>
        </is>
      </c>
      <c r="G220" s="35" t="inlineStr">
        <is>
          <t>Avaliação endócrina</t>
        </is>
      </c>
      <c r="H220" s="35" t="inlineStr">
        <is>
          <t>Realizado</t>
        </is>
      </c>
      <c r="I220" s="35" t="inlineStr">
        <is>
          <t>Cartão de crédito</t>
        </is>
      </c>
      <c r="J220" s="35" t="n">
        <v>2</v>
      </c>
      <c r="K220" s="34" t="n"/>
      <c r="L220" s="26">
        <f>IF(A220="","",MONTH(A220))</f>
        <v>6</v>
      </c>
      <c r="M220" s="26">
        <f>IF(A220="","",YEAR(A220))</f>
        <v>2026</v>
      </c>
      <c r="N220" s="26" t="str">
        <f>IF(A220="","",CHOOSE(WEEKDAY(A220,2),"Segunda","Terça","Quarta","Quinta","Sexta","Sábado","Domingo"))</f>
        <v>Terça</v>
      </c>
      <c r="O220" s="26" t="str">
        <f>IF(B220="","",IF(B220&lt;TIME(12,0,0),"Manhã",IF(B220&lt;TIME(18,0,0),"Tarde","Noite")))</f>
        <v>Tarde</v>
      </c>
      <c r="P220" s="32">
        <f>IF(G220="","",IFERROR(INDEX(Config!$I$5:$I$16,MATCH(G220,Config!$H$5:$H$16,0)),0))</f>
        <v>45</v>
      </c>
      <c r="Q220" s="30">
        <f>IF(OR(H220&lt;&gt;"Realizado",P220="",P220=0),"",A220+P220)</f>
        <v>46241.0</v>
      </c>
      <c r="R220" s="26" t="str">
        <f>IF(Q220="","",IF(COUNTIFS($E$5:$E$3004,E220,$A$5:$A$3004,"&gt;"&amp;A220,$H$5:$H$3004,"&lt;&gt;Falta",$H$5:$H$3004,"&lt;&gt;Cancelado",$H$5:$H$3004,"&lt;&gt;Remarcado")&gt;0,"Sim","Não"))</f>
        <v>Sim</v>
      </c>
      <c r="S220" s="32">
        <f>IF(R220&lt;&gt;"Não","",IF(Q220+Config!$B$9&lt;=Config!$B$8,Config!$B$8-Q220,""))</f>
        <v/>
      </c>
      <c r="T220" s="26">
        <f>IF(S220="","","Sim")</f>
        <v/>
      </c>
      <c r="U220" s="41">
        <f>IF(T220="Sim",S220+ROW()/100000,0)</f>
        <v>0</v>
      </c>
      <c r="V220" s="41">
        <f>IF(AND(H220="Falta",L220=Config!$B$7,M220=Config!$B$5,COUNTIFS($E$5:E220,E220,$H$5:H220,"Falta",$L$5:L220,Config!$B$7,$M$5:M220,Config!$B$5)=1),COUNTIFS($E$5:$E$3004,E220,$H$5:$H$3004,"Falta",$L$5:$L$3004,Config!$B$7,$M$5:$M$3004,Config!$B$5)*1000-ROW()/100000,0)</f>
        <v>0</v>
      </c>
    </row>
    <row r="221">
      <c r="A221" s="39" t="n">
        <v>46196</v>
      </c>
      <c r="B221" s="40" t="n">
        <v>0.5833333333333334</v>
      </c>
      <c r="C221" s="35" t="inlineStr">
        <is>
          <t>Dr. Paulo Andrade</t>
        </is>
      </c>
      <c r="D221" s="35" t="inlineStr">
        <is>
          <t>Sala 2</t>
        </is>
      </c>
      <c r="E221" s="34" t="inlineStr">
        <is>
          <t>Sandra Barros</t>
        </is>
      </c>
      <c r="F221" s="35" t="inlineStr">
        <is>
          <t>Saúde Total</t>
        </is>
      </c>
      <c r="G221" s="35" t="inlineStr">
        <is>
          <t>ECG</t>
        </is>
      </c>
      <c r="H221" s="35" t="inlineStr">
        <is>
          <t>Realizado</t>
        </is>
      </c>
      <c r="I221" s="35" t="inlineStr">
        <is>
          <t>Convênio</t>
        </is>
      </c>
      <c r="J221" s="35" t="n"/>
      <c r="K221" s="34" t="n"/>
      <c r="L221" s="26">
        <f>IF(A221="","",MONTH(A221))</f>
        <v>6</v>
      </c>
      <c r="M221" s="26">
        <f>IF(A221="","",YEAR(A221))</f>
        <v>2026</v>
      </c>
      <c r="N221" s="26" t="str">
        <f>IF(A221="","",CHOOSE(WEEKDAY(A221,2),"Segunda","Terça","Quarta","Quinta","Sexta","Sábado","Domingo"))</f>
        <v>Terça</v>
      </c>
      <c r="O221" s="26" t="str">
        <f>IF(B221="","",IF(B221&lt;TIME(12,0,0),"Manhã",IF(B221&lt;TIME(18,0,0),"Tarde","Noite")))</f>
        <v>Tarde</v>
      </c>
      <c r="P221" s="32">
        <f>IF(G221="","",IFERROR(INDEX(Config!$I$5:$I$16,MATCH(G221,Config!$H$5:$H$16,0)),0))</f>
        <v>0</v>
      </c>
      <c r="Q221" s="30">
        <f>IF(OR(H221&lt;&gt;"Realizado",P221="",P221=0),"",A221+P221)</f>
        <v/>
      </c>
      <c r="R221" s="26">
        <f>IF(Q221="","",IF(COUNTIFS($E$5:$E$3004,E221,$A$5:$A$3004,"&gt;"&amp;A221,$H$5:$H$3004,"&lt;&gt;Falta",$H$5:$H$3004,"&lt;&gt;Cancelado",$H$5:$H$3004,"&lt;&gt;Remarcado")&gt;0,"Sim","Não"))</f>
        <v/>
      </c>
      <c r="S221" s="32">
        <f>IF(R221&lt;&gt;"Não","",IF(Q221+Config!$B$9&lt;=Config!$B$8,Config!$B$8-Q221,""))</f>
        <v/>
      </c>
      <c r="T221" s="26">
        <f>IF(S221="","","Sim")</f>
        <v/>
      </c>
      <c r="U221" s="41">
        <f>IF(T221="Sim",S221+ROW()/100000,0)</f>
        <v>0</v>
      </c>
      <c r="V221" s="41">
        <f>IF(AND(H221="Falta",L221=Config!$B$7,M221=Config!$B$5,COUNTIFS($E$5:E221,E221,$H$5:H221,"Falta",$L$5:L221,Config!$B$7,$M$5:M221,Config!$B$5)=1),COUNTIFS($E$5:$E$3004,E221,$H$5:$H$3004,"Falta",$L$5:$L$3004,Config!$B$7,$M$5:$M$3004,Config!$B$5)*1000-ROW()/100000,0)</f>
        <v>0</v>
      </c>
    </row>
    <row r="222">
      <c r="A222" s="39" t="n">
        <v>46196</v>
      </c>
      <c r="B222" s="40" t="n">
        <v>0.5972222222222222</v>
      </c>
      <c r="C222" s="35" t="inlineStr">
        <is>
          <t>Dr. Paulo Andrade</t>
        </is>
      </c>
      <c r="D222" s="35" t="inlineStr">
        <is>
          <t>Sala 2</t>
        </is>
      </c>
      <c r="E222" s="34" t="inlineStr">
        <is>
          <t>Mateus Dias</t>
        </is>
      </c>
      <c r="F222" s="35" t="inlineStr">
        <is>
          <t>Saúde Total</t>
        </is>
      </c>
      <c r="G222" s="35" t="inlineStr">
        <is>
          <t>ECG</t>
        </is>
      </c>
      <c r="H222" s="35" t="inlineStr">
        <is>
          <t>Realizado</t>
        </is>
      </c>
      <c r="I222" s="35" t="inlineStr">
        <is>
          <t>Convênio</t>
        </is>
      </c>
      <c r="J222" s="35" t="n"/>
      <c r="K222" s="34" t="n"/>
      <c r="L222" s="26">
        <f>IF(A222="","",MONTH(A222))</f>
        <v>6</v>
      </c>
      <c r="M222" s="26">
        <f>IF(A222="","",YEAR(A222))</f>
        <v>2026</v>
      </c>
      <c r="N222" s="26" t="str">
        <f>IF(A222="","",CHOOSE(WEEKDAY(A222,2),"Segunda","Terça","Quarta","Quinta","Sexta","Sábado","Domingo"))</f>
        <v>Terça</v>
      </c>
      <c r="O222" s="26" t="str">
        <f>IF(B222="","",IF(B222&lt;TIME(12,0,0),"Manhã",IF(B222&lt;TIME(18,0,0),"Tarde","Noite")))</f>
        <v>Tarde</v>
      </c>
      <c r="P222" s="32">
        <f>IF(G222="","",IFERROR(INDEX(Config!$I$5:$I$16,MATCH(G222,Config!$H$5:$H$16,0)),0))</f>
        <v>0</v>
      </c>
      <c r="Q222" s="30">
        <f>IF(OR(H222&lt;&gt;"Realizado",P222="",P222=0),"",A222+P222)</f>
        <v/>
      </c>
      <c r="R222" s="26">
        <f>IF(Q222="","",IF(COUNTIFS($E$5:$E$3004,E222,$A$5:$A$3004,"&gt;"&amp;A222,$H$5:$H$3004,"&lt;&gt;Falta",$H$5:$H$3004,"&lt;&gt;Cancelado",$H$5:$H$3004,"&lt;&gt;Remarcado")&gt;0,"Sim","Não"))</f>
        <v/>
      </c>
      <c r="S222" s="32">
        <f>IF(R222&lt;&gt;"Não","",IF(Q222+Config!$B$9&lt;=Config!$B$8,Config!$B$8-Q222,""))</f>
        <v/>
      </c>
      <c r="T222" s="26">
        <f>IF(S222="","","Sim")</f>
        <v/>
      </c>
      <c r="U222" s="41">
        <f>IF(T222="Sim",S222+ROW()/100000,0)</f>
        <v>0</v>
      </c>
      <c r="V222" s="41">
        <f>IF(AND(H222="Falta",L222=Config!$B$7,M222=Config!$B$5,COUNTIFS($E$5:E222,E222,$H$5:H222,"Falta",$L$5:L222,Config!$B$7,$M$5:M222,Config!$B$5)=1),COUNTIFS($E$5:$E$3004,E222,$H$5:$H$3004,"Falta",$L$5:$L$3004,Config!$B$7,$M$5:$M$3004,Config!$B$5)*1000-ROW()/100000,0)</f>
        <v>0</v>
      </c>
    </row>
    <row r="223">
      <c r="A223" s="39" t="n">
        <v>46196</v>
      </c>
      <c r="B223" s="40" t="n">
        <v>0.6111111111111112</v>
      </c>
      <c r="C223" s="35" t="inlineStr">
        <is>
          <t>Dra. Renata Sousa</t>
        </is>
      </c>
      <c r="D223" s="35" t="inlineStr">
        <is>
          <t>Sala 1</t>
        </is>
      </c>
      <c r="E223" s="34" t="inlineStr">
        <is>
          <t>Mariana Gomes</t>
        </is>
      </c>
      <c r="F223" s="35" t="inlineStr">
        <is>
          <t>Particular</t>
        </is>
      </c>
      <c r="G223" s="35" t="inlineStr">
        <is>
          <t>Retorno</t>
        </is>
      </c>
      <c r="H223" s="35" t="inlineStr">
        <is>
          <t>Realizado</t>
        </is>
      </c>
      <c r="I223" s="35" t="inlineStr">
        <is>
          <t>Sem cobrança</t>
        </is>
      </c>
      <c r="J223" s="35" t="n"/>
      <c r="K223" s="34" t="n"/>
      <c r="L223" s="26">
        <f>IF(A223="","",MONTH(A223))</f>
        <v>6</v>
      </c>
      <c r="M223" s="26">
        <f>IF(A223="","",YEAR(A223))</f>
        <v>2026</v>
      </c>
      <c r="N223" s="26" t="str">
        <f>IF(A223="","",CHOOSE(WEEKDAY(A223,2),"Segunda","Terça","Quarta","Quinta","Sexta","Sábado","Domingo"))</f>
        <v>Terça</v>
      </c>
      <c r="O223" s="26" t="str">
        <f>IF(B223="","",IF(B223&lt;TIME(12,0,0),"Manhã",IF(B223&lt;TIME(18,0,0),"Tarde","Noite")))</f>
        <v>Tarde</v>
      </c>
      <c r="P223" s="32">
        <f>IF(G223="","",IFERROR(INDEX(Config!$I$5:$I$16,MATCH(G223,Config!$H$5:$H$16,0)),0))</f>
        <v>0</v>
      </c>
      <c r="Q223" s="30">
        <f>IF(OR(H223&lt;&gt;"Realizado",P223="",P223=0),"",A223+P223)</f>
        <v/>
      </c>
      <c r="R223" s="26">
        <f>IF(Q223="","",IF(COUNTIFS($E$5:$E$3004,E223,$A$5:$A$3004,"&gt;"&amp;A223,$H$5:$H$3004,"&lt;&gt;Falta",$H$5:$H$3004,"&lt;&gt;Cancelado",$H$5:$H$3004,"&lt;&gt;Remarcado")&gt;0,"Sim","Não"))</f>
        <v/>
      </c>
      <c r="S223" s="32">
        <f>IF(R223&lt;&gt;"Não","",IF(Q223+Config!$B$9&lt;=Config!$B$8,Config!$B$8-Q223,""))</f>
        <v/>
      </c>
      <c r="T223" s="26">
        <f>IF(S223="","","Sim")</f>
        <v/>
      </c>
      <c r="U223" s="41">
        <f>IF(T223="Sim",S223+ROW()/100000,0)</f>
        <v>0</v>
      </c>
      <c r="V223" s="41">
        <f>IF(AND(H223="Falta",L223=Config!$B$7,M223=Config!$B$5,COUNTIFS($E$5:E223,E223,$H$5:H223,"Falta",$L$5:L223,Config!$B$7,$M$5:M223,Config!$B$5)=1),COUNTIFS($E$5:$E$3004,E223,$H$5:$H$3004,"Falta",$L$5:$L$3004,Config!$B$7,$M$5:$M$3004,Config!$B$5)*1000-ROW()/100000,0)</f>
        <v>0</v>
      </c>
    </row>
    <row r="224">
      <c r="A224" s="39" t="n">
        <v>46196</v>
      </c>
      <c r="B224" s="40" t="n">
        <v>0.6111111111111112</v>
      </c>
      <c r="C224" s="35" t="inlineStr">
        <is>
          <t>Dr. Paulo Andrade</t>
        </is>
      </c>
      <c r="D224" s="35" t="inlineStr">
        <is>
          <t>Sala 2</t>
        </is>
      </c>
      <c r="E224" s="34" t="inlineStr">
        <is>
          <t>Mônica Teixeira</t>
        </is>
      </c>
      <c r="F224" s="35" t="inlineStr">
        <is>
          <t>Vida Care</t>
        </is>
      </c>
      <c r="G224" s="35" t="inlineStr">
        <is>
          <t>Teste ergométrico</t>
        </is>
      </c>
      <c r="H224" s="35" t="inlineStr">
        <is>
          <t>Realizado</t>
        </is>
      </c>
      <c r="I224" s="35" t="inlineStr">
        <is>
          <t>Convênio</t>
        </is>
      </c>
      <c r="J224" s="35" t="n"/>
      <c r="K224" s="34" t="n"/>
      <c r="L224" s="26">
        <f>IF(A224="","",MONTH(A224))</f>
        <v>6</v>
      </c>
      <c r="M224" s="26">
        <f>IF(A224="","",YEAR(A224))</f>
        <v>2026</v>
      </c>
      <c r="N224" s="26" t="str">
        <f>IF(A224="","",CHOOSE(WEEKDAY(A224,2),"Segunda","Terça","Quarta","Quinta","Sexta","Sábado","Domingo"))</f>
        <v>Terça</v>
      </c>
      <c r="O224" s="26" t="str">
        <f>IF(B224="","",IF(B224&lt;TIME(12,0,0),"Manhã",IF(B224&lt;TIME(18,0,0),"Tarde","Noite")))</f>
        <v>Tarde</v>
      </c>
      <c r="P224" s="32">
        <f>IF(G224="","",IFERROR(INDEX(Config!$I$5:$I$16,MATCH(G224,Config!$H$5:$H$16,0)),0))</f>
        <v>0</v>
      </c>
      <c r="Q224" s="30">
        <f>IF(OR(H224&lt;&gt;"Realizado",P224="",P224=0),"",A224+P224)</f>
        <v/>
      </c>
      <c r="R224" s="26">
        <f>IF(Q224="","",IF(COUNTIFS($E$5:$E$3004,E224,$A$5:$A$3004,"&gt;"&amp;A224,$H$5:$H$3004,"&lt;&gt;Falta",$H$5:$H$3004,"&lt;&gt;Cancelado",$H$5:$H$3004,"&lt;&gt;Remarcado")&gt;0,"Sim","Não"))</f>
        <v/>
      </c>
      <c r="S224" s="32">
        <f>IF(R224&lt;&gt;"Não","",IF(Q224+Config!$B$9&lt;=Config!$B$8,Config!$B$8-Q224,""))</f>
        <v/>
      </c>
      <c r="T224" s="26">
        <f>IF(S224="","","Sim")</f>
        <v/>
      </c>
      <c r="U224" s="41">
        <f>IF(T224="Sim",S224+ROW()/100000,0)</f>
        <v>0</v>
      </c>
      <c r="V224" s="41">
        <f>IF(AND(H224="Falta",L224=Config!$B$7,M224=Config!$B$5,COUNTIFS($E$5:E224,E224,$H$5:H224,"Falta",$L$5:L224,Config!$B$7,$M$5:M224,Config!$B$5)=1),COUNTIFS($E$5:$E$3004,E224,$H$5:$H$3004,"Falta",$L$5:$L$3004,Config!$B$7,$M$5:$M$3004,Config!$B$5)*1000-ROW()/100000,0)</f>
        <v>0</v>
      </c>
    </row>
    <row r="225">
      <c r="A225" s="39" t="n">
        <v>46196</v>
      </c>
      <c r="B225" s="40" t="n">
        <v>0.625</v>
      </c>
      <c r="C225" s="35" t="inlineStr">
        <is>
          <t>Dra. Renata Sousa</t>
        </is>
      </c>
      <c r="D225" s="35" t="inlineStr">
        <is>
          <t>Sala 1</t>
        </is>
      </c>
      <c r="E225" s="34" t="inlineStr">
        <is>
          <t>Mariana Reis</t>
        </is>
      </c>
      <c r="F225" s="35" t="inlineStr">
        <is>
          <t>Particular</t>
        </is>
      </c>
      <c r="G225" s="35" t="inlineStr">
        <is>
          <t>Avaliação endócrina</t>
        </is>
      </c>
      <c r="H225" s="35" t="inlineStr">
        <is>
          <t>Realizado</t>
        </is>
      </c>
      <c r="I225" s="35" t="inlineStr">
        <is>
          <t>A prazo</t>
        </is>
      </c>
      <c r="J225" s="35" t="n"/>
      <c r="K225" s="34" t="n"/>
      <c r="L225" s="26">
        <f>IF(A225="","",MONTH(A225))</f>
        <v>6</v>
      </c>
      <c r="M225" s="26">
        <f>IF(A225="","",YEAR(A225))</f>
        <v>2026</v>
      </c>
      <c r="N225" s="26" t="str">
        <f>IF(A225="","",CHOOSE(WEEKDAY(A225,2),"Segunda","Terça","Quarta","Quinta","Sexta","Sábado","Domingo"))</f>
        <v>Terça</v>
      </c>
      <c r="O225" s="26" t="str">
        <f>IF(B225="","",IF(B225&lt;TIME(12,0,0),"Manhã",IF(B225&lt;TIME(18,0,0),"Tarde","Noite")))</f>
        <v>Tarde</v>
      </c>
      <c r="P225" s="32">
        <f>IF(G225="","",IFERROR(INDEX(Config!$I$5:$I$16,MATCH(G225,Config!$H$5:$H$16,0)),0))</f>
        <v>45</v>
      </c>
      <c r="Q225" s="30">
        <f>IF(OR(H225&lt;&gt;"Realizado",P225="",P225=0),"",A225+P225)</f>
        <v>46241.0</v>
      </c>
      <c r="R225" s="26" t="str">
        <f>IF(Q225="","",IF(COUNTIFS($E$5:$E$3004,E225,$A$5:$A$3004,"&gt;"&amp;A225,$H$5:$H$3004,"&lt;&gt;Falta",$H$5:$H$3004,"&lt;&gt;Cancelado",$H$5:$H$3004,"&lt;&gt;Remarcado")&gt;0,"Sim","Não"))</f>
        <v>Sim</v>
      </c>
      <c r="S225" s="32">
        <f>IF(R225&lt;&gt;"Não","",IF(Q225+Config!$B$9&lt;=Config!$B$8,Config!$B$8-Q225,""))</f>
        <v/>
      </c>
      <c r="T225" s="26">
        <f>IF(S225="","","Sim")</f>
        <v/>
      </c>
      <c r="U225" s="41">
        <f>IF(T225="Sim",S225+ROW()/100000,0)</f>
        <v>0</v>
      </c>
      <c r="V225" s="41">
        <f>IF(AND(H225="Falta",L225=Config!$B$7,M225=Config!$B$5,COUNTIFS($E$5:E225,E225,$H$5:H225,"Falta",$L$5:L225,Config!$B$7,$M$5:M225,Config!$B$5)=1),COUNTIFS($E$5:$E$3004,E225,$H$5:$H$3004,"Falta",$L$5:$L$3004,Config!$B$7,$M$5:$M$3004,Config!$B$5)*1000-ROW()/100000,0)</f>
        <v>0</v>
      </c>
    </row>
    <row r="226">
      <c r="A226" s="39" t="n">
        <v>46196</v>
      </c>
      <c r="B226" s="40" t="n">
        <v>0.6388888888888888</v>
      </c>
      <c r="C226" s="35" t="inlineStr">
        <is>
          <t>Dr. Paulo Andrade</t>
        </is>
      </c>
      <c r="D226" s="35" t="inlineStr">
        <is>
          <t>Sala 2</t>
        </is>
      </c>
      <c r="E226" s="34" t="inlineStr">
        <is>
          <t>Eduardo Lima</t>
        </is>
      </c>
      <c r="F226" s="35" t="inlineStr">
        <is>
          <t>Particular</t>
        </is>
      </c>
      <c r="G226" s="35" t="inlineStr">
        <is>
          <t>Teste ergométrico</t>
        </is>
      </c>
      <c r="H226" s="35" t="inlineStr">
        <is>
          <t>Realizado</t>
        </is>
      </c>
      <c r="I226" s="35" t="inlineStr">
        <is>
          <t>Pix</t>
        </is>
      </c>
      <c r="J226" s="35" t="n"/>
      <c r="K226" s="34" t="n"/>
      <c r="L226" s="26">
        <f>IF(A226="","",MONTH(A226))</f>
        <v>6</v>
      </c>
      <c r="M226" s="26">
        <f>IF(A226="","",YEAR(A226))</f>
        <v>2026</v>
      </c>
      <c r="N226" s="26" t="str">
        <f>IF(A226="","",CHOOSE(WEEKDAY(A226,2),"Segunda","Terça","Quarta","Quinta","Sexta","Sábado","Domingo"))</f>
        <v>Terça</v>
      </c>
      <c r="O226" s="26" t="str">
        <f>IF(B226="","",IF(B226&lt;TIME(12,0,0),"Manhã",IF(B226&lt;TIME(18,0,0),"Tarde","Noite")))</f>
        <v>Tarde</v>
      </c>
      <c r="P226" s="32">
        <f>IF(G226="","",IFERROR(INDEX(Config!$I$5:$I$16,MATCH(G226,Config!$H$5:$H$16,0)),0))</f>
        <v>0</v>
      </c>
      <c r="Q226" s="30">
        <f>IF(OR(H226&lt;&gt;"Realizado",P226="",P226=0),"",A226+P226)</f>
        <v/>
      </c>
      <c r="R226" s="26">
        <f>IF(Q226="","",IF(COUNTIFS($E$5:$E$3004,E226,$A$5:$A$3004,"&gt;"&amp;A226,$H$5:$H$3004,"&lt;&gt;Falta",$H$5:$H$3004,"&lt;&gt;Cancelado",$H$5:$H$3004,"&lt;&gt;Remarcado")&gt;0,"Sim","Não"))</f>
        <v/>
      </c>
      <c r="S226" s="32">
        <f>IF(R226&lt;&gt;"Não","",IF(Q226+Config!$B$9&lt;=Config!$B$8,Config!$B$8-Q226,""))</f>
        <v/>
      </c>
      <c r="T226" s="26">
        <f>IF(S226="","","Sim")</f>
        <v/>
      </c>
      <c r="U226" s="41">
        <f>IF(T226="Sim",S226+ROW()/100000,0)</f>
        <v>0</v>
      </c>
      <c r="V226" s="41">
        <f>IF(AND(H226="Falta",L226=Config!$B$7,M226=Config!$B$5,COUNTIFS($E$5:E226,E226,$H$5:H226,"Falta",$L$5:L226,Config!$B$7,$M$5:M226,Config!$B$5)=1),COUNTIFS($E$5:$E$3004,E226,$H$5:$H$3004,"Falta",$L$5:$L$3004,Config!$B$7,$M$5:$M$3004,Config!$B$5)*1000-ROW()/100000,0)</f>
        <v>0</v>
      </c>
    </row>
    <row r="227">
      <c r="A227" s="39" t="n">
        <v>46196</v>
      </c>
      <c r="B227" s="40" t="n">
        <v>0.6527777777777778</v>
      </c>
      <c r="C227" s="35" t="inlineStr">
        <is>
          <t>Dra. Renata Sousa</t>
        </is>
      </c>
      <c r="D227" s="35" t="inlineStr">
        <is>
          <t>Sala 1</t>
        </is>
      </c>
      <c r="E227" s="34" t="inlineStr">
        <is>
          <t>Rafael Pereira</t>
        </is>
      </c>
      <c r="F227" s="35" t="inlineStr">
        <is>
          <t>Particular</t>
        </is>
      </c>
      <c r="G227" s="35" t="inlineStr">
        <is>
          <t>Avaliação endócrina</t>
        </is>
      </c>
      <c r="H227" s="35" t="inlineStr">
        <is>
          <t>Falta</t>
        </is>
      </c>
      <c r="I227" s="35" t="n"/>
      <c r="J227" s="35" t="n"/>
      <c r="K227" s="34" t="n"/>
      <c r="L227" s="26">
        <f>IF(A227="","",MONTH(A227))</f>
        <v>6</v>
      </c>
      <c r="M227" s="26">
        <f>IF(A227="","",YEAR(A227))</f>
        <v>2026</v>
      </c>
      <c r="N227" s="26" t="str">
        <f>IF(A227="","",CHOOSE(WEEKDAY(A227,2),"Segunda","Terça","Quarta","Quinta","Sexta","Sábado","Domingo"))</f>
        <v>Terça</v>
      </c>
      <c r="O227" s="26" t="str">
        <f>IF(B227="","",IF(B227&lt;TIME(12,0,0),"Manhã",IF(B227&lt;TIME(18,0,0),"Tarde","Noite")))</f>
        <v>Tarde</v>
      </c>
      <c r="P227" s="32">
        <f>IF(G227="","",IFERROR(INDEX(Config!$I$5:$I$16,MATCH(G227,Config!$H$5:$H$16,0)),0))</f>
        <v>45</v>
      </c>
      <c r="Q227" s="30">
        <f>IF(OR(H227&lt;&gt;"Realizado",P227="",P227=0),"",A227+P227)</f>
        <v/>
      </c>
      <c r="R227" s="26">
        <f>IF(Q227="","",IF(COUNTIFS($E$5:$E$3004,E227,$A$5:$A$3004,"&gt;"&amp;A227,$H$5:$H$3004,"&lt;&gt;Falta",$H$5:$H$3004,"&lt;&gt;Cancelado",$H$5:$H$3004,"&lt;&gt;Remarcado")&gt;0,"Sim","Não"))</f>
        <v/>
      </c>
      <c r="S227" s="32">
        <f>IF(R227&lt;&gt;"Não","",IF(Q227+Config!$B$9&lt;=Config!$B$8,Config!$B$8-Q227,""))</f>
        <v/>
      </c>
      <c r="T227" s="26">
        <f>IF(S227="","","Sim")</f>
        <v/>
      </c>
      <c r="U227" s="41">
        <f>IF(T227="Sim",S227+ROW()/100000,0)</f>
        <v>0</v>
      </c>
      <c r="V227" s="41">
        <f>IF(AND(H227="Falta",L227=Config!$B$7,M227=Config!$B$5,COUNTIFS($E$5:E227,E227,$H$5:H227,"Falta",$L$5:L227,Config!$B$7,$M$5:M227,Config!$B$5)=1),COUNTIFS($E$5:$E$3004,E227,$H$5:$H$3004,"Falta",$L$5:$L$3004,Config!$B$7,$M$5:$M$3004,Config!$B$5)*1000-ROW()/100000,0)</f>
        <v>0</v>
      </c>
    </row>
    <row r="228">
      <c r="A228" s="39" t="n">
        <v>46196</v>
      </c>
      <c r="B228" s="40" t="n">
        <v>0.6805555555555556</v>
      </c>
      <c r="C228" s="35" t="inlineStr">
        <is>
          <t>Dra. Renata Sousa</t>
        </is>
      </c>
      <c r="D228" s="35" t="inlineStr">
        <is>
          <t>Sala 1</t>
        </is>
      </c>
      <c r="E228" s="34" t="inlineStr">
        <is>
          <t>Daniel Moreira</t>
        </is>
      </c>
      <c r="F228" s="35" t="inlineStr">
        <is>
          <t>Saúde Total</t>
        </is>
      </c>
      <c r="G228" s="35" t="inlineStr">
        <is>
          <t>Avaliação endócrina</t>
        </is>
      </c>
      <c r="H228" s="35" t="inlineStr">
        <is>
          <t>Cancelado</t>
        </is>
      </c>
      <c r="I228" s="35" t="n"/>
      <c r="J228" s="35" t="n"/>
      <c r="K228" s="34" t="n"/>
      <c r="L228" s="26">
        <f>IF(A228="","",MONTH(A228))</f>
        <v>6</v>
      </c>
      <c r="M228" s="26">
        <f>IF(A228="","",YEAR(A228))</f>
        <v>2026</v>
      </c>
      <c r="N228" s="26" t="str">
        <f>IF(A228="","",CHOOSE(WEEKDAY(A228,2),"Segunda","Terça","Quarta","Quinta","Sexta","Sábado","Domingo"))</f>
        <v>Terça</v>
      </c>
      <c r="O228" s="26" t="str">
        <f>IF(B228="","",IF(B228&lt;TIME(12,0,0),"Manhã",IF(B228&lt;TIME(18,0,0),"Tarde","Noite")))</f>
        <v>Tarde</v>
      </c>
      <c r="P228" s="32">
        <f>IF(G228="","",IFERROR(INDEX(Config!$I$5:$I$16,MATCH(G228,Config!$H$5:$H$16,0)),0))</f>
        <v>45</v>
      </c>
      <c r="Q228" s="30">
        <f>IF(OR(H228&lt;&gt;"Realizado",P228="",P228=0),"",A228+P228)</f>
        <v/>
      </c>
      <c r="R228" s="26">
        <f>IF(Q228="","",IF(COUNTIFS($E$5:$E$3004,E228,$A$5:$A$3004,"&gt;"&amp;A228,$H$5:$H$3004,"&lt;&gt;Falta",$H$5:$H$3004,"&lt;&gt;Cancelado",$H$5:$H$3004,"&lt;&gt;Remarcado")&gt;0,"Sim","Não"))</f>
        <v/>
      </c>
      <c r="S228" s="32">
        <f>IF(R228&lt;&gt;"Não","",IF(Q228+Config!$B$9&lt;=Config!$B$8,Config!$B$8-Q228,""))</f>
        <v/>
      </c>
      <c r="T228" s="26">
        <f>IF(S228="","","Sim")</f>
        <v/>
      </c>
      <c r="U228" s="41">
        <f>IF(T228="Sim",S228+ROW()/100000,0)</f>
        <v>0</v>
      </c>
      <c r="V228" s="41">
        <f>IF(AND(H228="Falta",L228=Config!$B$7,M228=Config!$B$5,COUNTIFS($E$5:E228,E228,$H$5:H228,"Falta",$L$5:L228,Config!$B$7,$M$5:M228,Config!$B$5)=1),COUNTIFS($E$5:$E$3004,E228,$H$5:$H$3004,"Falta",$L$5:$L$3004,Config!$B$7,$M$5:$M$3004,Config!$B$5)*1000-ROW()/100000,0)</f>
        <v>0</v>
      </c>
    </row>
    <row r="229">
      <c r="A229" s="39" t="n">
        <v>46196</v>
      </c>
      <c r="B229" s="40" t="n">
        <v>0.6875</v>
      </c>
      <c r="C229" s="35" t="inlineStr">
        <is>
          <t>Dr. Paulo Andrade</t>
        </is>
      </c>
      <c r="D229" s="35" t="inlineStr">
        <is>
          <t>Sala 2</t>
        </is>
      </c>
      <c r="E229" s="34" t="inlineStr">
        <is>
          <t>Rafael Barros</t>
        </is>
      </c>
      <c r="F229" s="35" t="inlineStr">
        <is>
          <t>Particular</t>
        </is>
      </c>
      <c r="G229" s="35" t="inlineStr">
        <is>
          <t>Consulta</t>
        </is>
      </c>
      <c r="H229" s="35" t="inlineStr">
        <is>
          <t>Realizado</t>
        </is>
      </c>
      <c r="I229" s="35" t="inlineStr">
        <is>
          <t>Cartão de débito</t>
        </is>
      </c>
      <c r="J229" s="35" t="n"/>
      <c r="K229" s="34" t="n"/>
      <c r="L229" s="26">
        <f>IF(A229="","",MONTH(A229))</f>
        <v>6</v>
      </c>
      <c r="M229" s="26">
        <f>IF(A229="","",YEAR(A229))</f>
        <v>2026</v>
      </c>
      <c r="N229" s="26" t="str">
        <f>IF(A229="","",CHOOSE(WEEKDAY(A229,2),"Segunda","Terça","Quarta","Quinta","Sexta","Sábado","Domingo"))</f>
        <v>Terça</v>
      </c>
      <c r="O229" s="26" t="str">
        <f>IF(B229="","",IF(B229&lt;TIME(12,0,0),"Manhã",IF(B229&lt;TIME(18,0,0),"Tarde","Noite")))</f>
        <v>Tarde</v>
      </c>
      <c r="P229" s="32">
        <f>IF(G229="","",IFERROR(INDEX(Config!$I$5:$I$16,MATCH(G229,Config!$H$5:$H$16,0)),0))</f>
        <v>30</v>
      </c>
      <c r="Q229" s="30">
        <f>IF(OR(H229&lt;&gt;"Realizado",P229="",P229=0),"",A229+P229)</f>
        <v>46226.0</v>
      </c>
      <c r="R229" s="26" t="str">
        <f>IF(Q229="","",IF(COUNTIFS($E$5:$E$3004,E229,$A$5:$A$3004,"&gt;"&amp;A229,$H$5:$H$3004,"&lt;&gt;Falta",$H$5:$H$3004,"&lt;&gt;Cancelado",$H$5:$H$3004,"&lt;&gt;Remarcado")&gt;0,"Sim","Não"))</f>
        <v>Sim</v>
      </c>
      <c r="S229" s="32">
        <f>IF(R229&lt;&gt;"Não","",IF(Q229+Config!$B$9&lt;=Config!$B$8,Config!$B$8-Q229,""))</f>
        <v/>
      </c>
      <c r="T229" s="26">
        <f>IF(S229="","","Sim")</f>
        <v/>
      </c>
      <c r="U229" s="41">
        <f>IF(T229="Sim",S229+ROW()/100000,0)</f>
        <v>0</v>
      </c>
      <c r="V229" s="41">
        <f>IF(AND(H229="Falta",L229=Config!$B$7,M229=Config!$B$5,COUNTIFS($E$5:E229,E229,$H$5:H229,"Falta",$L$5:L229,Config!$B$7,$M$5:M229,Config!$B$5)=1),COUNTIFS($E$5:$E$3004,E229,$H$5:$H$3004,"Falta",$L$5:$L$3004,Config!$B$7,$M$5:$M$3004,Config!$B$5)*1000-ROW()/100000,0)</f>
        <v>0</v>
      </c>
    </row>
    <row r="230">
      <c r="A230" s="39" t="n">
        <v>46196</v>
      </c>
      <c r="B230" s="40" t="n">
        <v>0.7083333333333334</v>
      </c>
      <c r="C230" s="35" t="inlineStr">
        <is>
          <t>Dra. Renata Sousa</t>
        </is>
      </c>
      <c r="D230" s="35" t="inlineStr">
        <is>
          <t>Sala 1</t>
        </is>
      </c>
      <c r="E230" s="34" t="inlineStr">
        <is>
          <t>Paulo Freitas</t>
        </is>
      </c>
      <c r="F230" s="35" t="inlineStr">
        <is>
          <t>Saúde Total</t>
        </is>
      </c>
      <c r="G230" s="35" t="inlineStr">
        <is>
          <t>Avaliação endócrina</t>
        </is>
      </c>
      <c r="H230" s="35" t="inlineStr">
        <is>
          <t>Realizado</t>
        </is>
      </c>
      <c r="I230" s="35" t="inlineStr">
        <is>
          <t>Convênio</t>
        </is>
      </c>
      <c r="J230" s="35" t="n"/>
      <c r="K230" s="34" t="n"/>
      <c r="L230" s="26">
        <f>IF(A230="","",MONTH(A230))</f>
        <v>6</v>
      </c>
      <c r="M230" s="26">
        <f>IF(A230="","",YEAR(A230))</f>
        <v>2026</v>
      </c>
      <c r="N230" s="26" t="str">
        <f>IF(A230="","",CHOOSE(WEEKDAY(A230,2),"Segunda","Terça","Quarta","Quinta","Sexta","Sábado","Domingo"))</f>
        <v>Terça</v>
      </c>
      <c r="O230" s="26" t="str">
        <f>IF(B230="","",IF(B230&lt;TIME(12,0,0),"Manhã",IF(B230&lt;TIME(18,0,0),"Tarde","Noite")))</f>
        <v>Tarde</v>
      </c>
      <c r="P230" s="32">
        <f>IF(G230="","",IFERROR(INDEX(Config!$I$5:$I$16,MATCH(G230,Config!$H$5:$H$16,0)),0))</f>
        <v>45</v>
      </c>
      <c r="Q230" s="30">
        <f>IF(OR(H230&lt;&gt;"Realizado",P230="",P230=0),"",A230+P230)</f>
        <v>46241.0</v>
      </c>
      <c r="R230" s="26" t="str">
        <f>IF(Q230="","",IF(COUNTIFS($E$5:$E$3004,E230,$A$5:$A$3004,"&gt;"&amp;A230,$H$5:$H$3004,"&lt;&gt;Falta",$H$5:$H$3004,"&lt;&gt;Cancelado",$H$5:$H$3004,"&lt;&gt;Remarcado")&gt;0,"Sim","Não"))</f>
        <v>Sim</v>
      </c>
      <c r="S230" s="32">
        <f>IF(R230&lt;&gt;"Não","",IF(Q230+Config!$B$9&lt;=Config!$B$8,Config!$B$8-Q230,""))</f>
        <v/>
      </c>
      <c r="T230" s="26">
        <f>IF(S230="","","Sim")</f>
        <v/>
      </c>
      <c r="U230" s="41">
        <f>IF(T230="Sim",S230+ROW()/100000,0)</f>
        <v>0</v>
      </c>
      <c r="V230" s="41">
        <f>IF(AND(H230="Falta",L230=Config!$B$7,M230=Config!$B$5,COUNTIFS($E$5:E230,E230,$H$5:H230,"Falta",$L$5:L230,Config!$B$7,$M$5:M230,Config!$B$5)=1),COUNTIFS($E$5:$E$3004,E230,$H$5:$H$3004,"Falta",$L$5:$L$3004,Config!$B$7,$M$5:$M$3004,Config!$B$5)*1000-ROW()/100000,0)</f>
        <v>0</v>
      </c>
    </row>
    <row r="231">
      <c r="A231" s="39" t="n">
        <v>46196</v>
      </c>
      <c r="B231" s="40" t="n">
        <v>0.7083333333333334</v>
      </c>
      <c r="C231" s="35" t="inlineStr">
        <is>
          <t>Dr. Paulo Andrade</t>
        </is>
      </c>
      <c r="D231" s="35" t="inlineStr">
        <is>
          <t>Sala 2</t>
        </is>
      </c>
      <c r="E231" s="34" t="inlineStr">
        <is>
          <t>Vanessa Moreira</t>
        </is>
      </c>
      <c r="F231" s="35" t="inlineStr">
        <is>
          <t>Saúde Total</t>
        </is>
      </c>
      <c r="G231" s="35" t="inlineStr">
        <is>
          <t>Consulta</t>
        </is>
      </c>
      <c r="H231" s="35" t="inlineStr">
        <is>
          <t>Realizado</t>
        </is>
      </c>
      <c r="I231" s="35" t="inlineStr">
        <is>
          <t>Convênio</t>
        </is>
      </c>
      <c r="J231" s="35" t="n"/>
      <c r="K231" s="34" t="n"/>
      <c r="L231" s="26">
        <f>IF(A231="","",MONTH(A231))</f>
        <v>6</v>
      </c>
      <c r="M231" s="26">
        <f>IF(A231="","",YEAR(A231))</f>
        <v>2026</v>
      </c>
      <c r="N231" s="26" t="str">
        <f>IF(A231="","",CHOOSE(WEEKDAY(A231,2),"Segunda","Terça","Quarta","Quinta","Sexta","Sábado","Domingo"))</f>
        <v>Terça</v>
      </c>
      <c r="O231" s="26" t="str">
        <f>IF(B231="","",IF(B231&lt;TIME(12,0,0),"Manhã",IF(B231&lt;TIME(18,0,0),"Tarde","Noite")))</f>
        <v>Tarde</v>
      </c>
      <c r="P231" s="32">
        <f>IF(G231="","",IFERROR(INDEX(Config!$I$5:$I$16,MATCH(G231,Config!$H$5:$H$16,0)),0))</f>
        <v>30</v>
      </c>
      <c r="Q231" s="30">
        <f>IF(OR(H231&lt;&gt;"Realizado",P231="",P231=0),"",A231+P231)</f>
        <v>46226.0</v>
      </c>
      <c r="R231" s="26" t="str">
        <f>IF(Q231="","",IF(COUNTIFS($E$5:$E$3004,E231,$A$5:$A$3004,"&gt;"&amp;A231,$H$5:$H$3004,"&lt;&gt;Falta",$H$5:$H$3004,"&lt;&gt;Cancelado",$H$5:$H$3004,"&lt;&gt;Remarcado")&gt;0,"Sim","Não"))</f>
        <v>Sim</v>
      </c>
      <c r="S231" s="32">
        <f>IF(R231&lt;&gt;"Não","",IF(Q231+Config!$B$9&lt;=Config!$B$8,Config!$B$8-Q231,""))</f>
        <v/>
      </c>
      <c r="T231" s="26">
        <f>IF(S231="","","Sim")</f>
        <v/>
      </c>
      <c r="U231" s="41">
        <f>IF(T231="Sim",S231+ROW()/100000,0)</f>
        <v>0</v>
      </c>
      <c r="V231" s="41">
        <f>IF(AND(H231="Falta",L231=Config!$B$7,M231=Config!$B$5,COUNTIFS($E$5:E231,E231,$H$5:H231,"Falta",$L$5:L231,Config!$B$7,$M$5:M231,Config!$B$5)=1),COUNTIFS($E$5:$E$3004,E231,$H$5:$H$3004,"Falta",$L$5:$L$3004,Config!$B$7,$M$5:$M$3004,Config!$B$5)*1000-ROW()/100000,0)</f>
        <v>0</v>
      </c>
    </row>
    <row r="232">
      <c r="A232" s="39" t="n">
        <v>46196</v>
      </c>
      <c r="B232" s="40" t="n">
        <v>0.7291666666666666</v>
      </c>
      <c r="C232" s="35" t="inlineStr">
        <is>
          <t>Dr. Paulo Andrade</t>
        </is>
      </c>
      <c r="D232" s="35" t="inlineStr">
        <is>
          <t>Sala 2</t>
        </is>
      </c>
      <c r="E232" s="34" t="inlineStr">
        <is>
          <t>Regina Duarte</t>
        </is>
      </c>
      <c r="F232" s="35" t="inlineStr">
        <is>
          <t>Particular</t>
        </is>
      </c>
      <c r="G232" s="35" t="inlineStr">
        <is>
          <t>Holter</t>
        </is>
      </c>
      <c r="H232" s="35" t="inlineStr">
        <is>
          <t>Realizado</t>
        </is>
      </c>
      <c r="I232" s="35" t="inlineStr">
        <is>
          <t>Pix</t>
        </is>
      </c>
      <c r="J232" s="35" t="n"/>
      <c r="K232" s="34" t="n"/>
      <c r="L232" s="26">
        <f>IF(A232="","",MONTH(A232))</f>
        <v>6</v>
      </c>
      <c r="M232" s="26">
        <f>IF(A232="","",YEAR(A232))</f>
        <v>2026</v>
      </c>
      <c r="N232" s="26" t="str">
        <f>IF(A232="","",CHOOSE(WEEKDAY(A232,2),"Segunda","Terça","Quarta","Quinta","Sexta","Sábado","Domingo"))</f>
        <v>Terça</v>
      </c>
      <c r="O232" s="26" t="str">
        <f>IF(B232="","",IF(B232&lt;TIME(12,0,0),"Manhã",IF(B232&lt;TIME(18,0,0),"Tarde","Noite")))</f>
        <v>Tarde</v>
      </c>
      <c r="P232" s="32">
        <f>IF(G232="","",IFERROR(INDEX(Config!$I$5:$I$16,MATCH(G232,Config!$H$5:$H$16,0)),0))</f>
        <v>0</v>
      </c>
      <c r="Q232" s="30">
        <f>IF(OR(H232&lt;&gt;"Realizado",P232="",P232=0),"",A232+P232)</f>
        <v/>
      </c>
      <c r="R232" s="26">
        <f>IF(Q232="","",IF(COUNTIFS($E$5:$E$3004,E232,$A$5:$A$3004,"&gt;"&amp;A232,$H$5:$H$3004,"&lt;&gt;Falta",$H$5:$H$3004,"&lt;&gt;Cancelado",$H$5:$H$3004,"&lt;&gt;Remarcado")&gt;0,"Sim","Não"))</f>
        <v/>
      </c>
      <c r="S232" s="32">
        <f>IF(R232&lt;&gt;"Não","",IF(Q232+Config!$B$9&lt;=Config!$B$8,Config!$B$8-Q232,""))</f>
        <v/>
      </c>
      <c r="T232" s="26">
        <f>IF(S232="","","Sim")</f>
        <v/>
      </c>
      <c r="U232" s="41">
        <f>IF(T232="Sim",S232+ROW()/100000,0)</f>
        <v>0</v>
      </c>
      <c r="V232" s="41">
        <f>IF(AND(H232="Falta",L232=Config!$B$7,M232=Config!$B$5,COUNTIFS($E$5:E232,E232,$H$5:H232,"Falta",$L$5:L232,Config!$B$7,$M$5:M232,Config!$B$5)=1),COUNTIFS($E$5:$E$3004,E232,$H$5:$H$3004,"Falta",$L$5:$L$3004,Config!$B$7,$M$5:$M$3004,Config!$B$5)*1000-ROW()/100000,0)</f>
        <v>0</v>
      </c>
    </row>
    <row r="233">
      <c r="A233" s="39" t="n">
        <v>46196</v>
      </c>
      <c r="B233" s="40" t="n">
        <v>0.7361111111111112</v>
      </c>
      <c r="C233" s="35" t="inlineStr">
        <is>
          <t>Dra. Renata Sousa</t>
        </is>
      </c>
      <c r="D233" s="35" t="inlineStr">
        <is>
          <t>Sala 1</t>
        </is>
      </c>
      <c r="E233" s="34" t="inlineStr">
        <is>
          <t>Beatriz Monteiro</t>
        </is>
      </c>
      <c r="F233" s="35" t="inlineStr">
        <is>
          <t>Particular</t>
        </is>
      </c>
      <c r="G233" s="35" t="inlineStr">
        <is>
          <t>Avaliação endócrina</t>
        </is>
      </c>
      <c r="H233" s="35" t="inlineStr">
        <is>
          <t>Realizado</t>
        </is>
      </c>
      <c r="I233" s="35" t="inlineStr">
        <is>
          <t>Pix</t>
        </is>
      </c>
      <c r="J233" s="35" t="n"/>
      <c r="K233" s="34" t="n"/>
      <c r="L233" s="26">
        <f>IF(A233="","",MONTH(A233))</f>
        <v>6</v>
      </c>
      <c r="M233" s="26">
        <f>IF(A233="","",YEAR(A233))</f>
        <v>2026</v>
      </c>
      <c r="N233" s="26" t="str">
        <f>IF(A233="","",CHOOSE(WEEKDAY(A233,2),"Segunda","Terça","Quarta","Quinta","Sexta","Sábado","Domingo"))</f>
        <v>Terça</v>
      </c>
      <c r="O233" s="26" t="str">
        <f>IF(B233="","",IF(B233&lt;TIME(12,0,0),"Manhã",IF(B233&lt;TIME(18,0,0),"Tarde","Noite")))</f>
        <v>Tarde</v>
      </c>
      <c r="P233" s="32">
        <f>IF(G233="","",IFERROR(INDEX(Config!$I$5:$I$16,MATCH(G233,Config!$H$5:$H$16,0)),0))</f>
        <v>45</v>
      </c>
      <c r="Q233" s="30">
        <f>IF(OR(H233&lt;&gt;"Realizado",P233="",P233=0),"",A233+P233)</f>
        <v>46241.0</v>
      </c>
      <c r="R233" s="26" t="str">
        <f>IF(Q233="","",IF(COUNTIFS($E$5:$E$3004,E233,$A$5:$A$3004,"&gt;"&amp;A233,$H$5:$H$3004,"&lt;&gt;Falta",$H$5:$H$3004,"&lt;&gt;Cancelado",$H$5:$H$3004,"&lt;&gt;Remarcado")&gt;0,"Sim","Não"))</f>
        <v>Sim</v>
      </c>
      <c r="S233" s="32">
        <f>IF(R233&lt;&gt;"Não","",IF(Q233+Config!$B$9&lt;=Config!$B$8,Config!$B$8-Q233,""))</f>
        <v/>
      </c>
      <c r="T233" s="26">
        <f>IF(S233="","","Sim")</f>
        <v/>
      </c>
      <c r="U233" s="41">
        <f>IF(T233="Sim",S233+ROW()/100000,0)</f>
        <v>0</v>
      </c>
      <c r="V233" s="41">
        <f>IF(AND(H233="Falta",L233=Config!$B$7,M233=Config!$B$5,COUNTIFS($E$5:E233,E233,$H$5:H233,"Falta",$L$5:L233,Config!$B$7,$M$5:M233,Config!$B$5)=1),COUNTIFS($E$5:$E$3004,E233,$H$5:$H$3004,"Falta",$L$5:$L$3004,Config!$B$7,$M$5:$M$3004,Config!$B$5)*1000-ROW()/100000,0)</f>
        <v>0</v>
      </c>
    </row>
    <row r="234">
      <c r="A234" s="39" t="n">
        <v>46197</v>
      </c>
      <c r="B234" s="40" t="n">
        <v>0.5833333333333334</v>
      </c>
      <c r="C234" s="35" t="inlineStr">
        <is>
          <t>Dra. Carolina Mendes</t>
        </is>
      </c>
      <c r="D234" s="35" t="inlineStr">
        <is>
          <t>Sala 1</t>
        </is>
      </c>
      <c r="E234" s="34" t="inlineStr">
        <is>
          <t>Lucas Lopes</t>
        </is>
      </c>
      <c r="F234" s="35" t="inlineStr">
        <is>
          <t>Particular</t>
        </is>
      </c>
      <c r="G234" s="35" t="inlineStr">
        <is>
          <t>Retorno</t>
        </is>
      </c>
      <c r="H234" s="35" t="inlineStr">
        <is>
          <t>Realizado</t>
        </is>
      </c>
      <c r="I234" s="35" t="inlineStr">
        <is>
          <t>Sem cobrança</t>
        </is>
      </c>
      <c r="J234" s="35" t="n"/>
      <c r="K234" s="34" t="n"/>
      <c r="L234" s="26">
        <f>IF(A234="","",MONTH(A234))</f>
        <v>6</v>
      </c>
      <c r="M234" s="26">
        <f>IF(A234="","",YEAR(A234))</f>
        <v>2026</v>
      </c>
      <c r="N234" s="26" t="str">
        <f>IF(A234="","",CHOOSE(WEEKDAY(A234,2),"Segunda","Terça","Quarta","Quinta","Sexta","Sábado","Domingo"))</f>
        <v>Quarta</v>
      </c>
      <c r="O234" s="26" t="str">
        <f>IF(B234="","",IF(B234&lt;TIME(12,0,0),"Manhã",IF(B234&lt;TIME(18,0,0),"Tarde","Noite")))</f>
        <v>Tarde</v>
      </c>
      <c r="P234" s="32">
        <f>IF(G234="","",IFERROR(INDEX(Config!$I$5:$I$16,MATCH(G234,Config!$H$5:$H$16,0)),0))</f>
        <v>0</v>
      </c>
      <c r="Q234" s="30">
        <f>IF(OR(H234&lt;&gt;"Realizado",P234="",P234=0),"",A234+P234)</f>
        <v/>
      </c>
      <c r="R234" s="26">
        <f>IF(Q234="","",IF(COUNTIFS($E$5:$E$3004,E234,$A$5:$A$3004,"&gt;"&amp;A234,$H$5:$H$3004,"&lt;&gt;Falta",$H$5:$H$3004,"&lt;&gt;Cancelado",$H$5:$H$3004,"&lt;&gt;Remarcado")&gt;0,"Sim","Não"))</f>
        <v/>
      </c>
      <c r="S234" s="32">
        <f>IF(R234&lt;&gt;"Não","",IF(Q234+Config!$B$9&lt;=Config!$B$8,Config!$B$8-Q234,""))</f>
        <v/>
      </c>
      <c r="T234" s="26">
        <f>IF(S234="","","Sim")</f>
        <v/>
      </c>
      <c r="U234" s="41">
        <f>IF(T234="Sim",S234+ROW()/100000,0)</f>
        <v>0</v>
      </c>
      <c r="V234" s="41">
        <f>IF(AND(H234="Falta",L234=Config!$B$7,M234=Config!$B$5,COUNTIFS($E$5:E234,E234,$H$5:H234,"Falta",$L$5:L234,Config!$B$7,$M$5:M234,Config!$B$5)=1),COUNTIFS($E$5:$E$3004,E234,$H$5:$H$3004,"Falta",$L$5:$L$3004,Config!$B$7,$M$5:$M$3004,Config!$B$5)*1000-ROW()/100000,0)</f>
        <v>0</v>
      </c>
    </row>
    <row r="235">
      <c r="A235" s="39" t="n">
        <v>46197</v>
      </c>
      <c r="B235" s="40" t="n">
        <v>0.5972222222222222</v>
      </c>
      <c r="C235" s="35" t="inlineStr">
        <is>
          <t>Dra. Carolina Mendes</t>
        </is>
      </c>
      <c r="D235" s="35" t="inlineStr">
        <is>
          <t>Sala 1</t>
        </is>
      </c>
      <c r="E235" s="34" t="inlineStr">
        <is>
          <t>Juliana Silva</t>
        </is>
      </c>
      <c r="F235" s="35" t="inlineStr">
        <is>
          <t>Vida Care</t>
        </is>
      </c>
      <c r="G235" s="35" t="inlineStr">
        <is>
          <t>Consulta</t>
        </is>
      </c>
      <c r="H235" s="35" t="inlineStr">
        <is>
          <t>Realizado</t>
        </is>
      </c>
      <c r="I235" s="35" t="inlineStr">
        <is>
          <t>Convênio</t>
        </is>
      </c>
      <c r="J235" s="35" t="n"/>
      <c r="K235" s="34" t="n"/>
      <c r="L235" s="26">
        <f>IF(A235="","",MONTH(A235))</f>
        <v>6</v>
      </c>
      <c r="M235" s="26">
        <f>IF(A235="","",YEAR(A235))</f>
        <v>2026</v>
      </c>
      <c r="N235" s="26" t="str">
        <f>IF(A235="","",CHOOSE(WEEKDAY(A235,2),"Segunda","Terça","Quarta","Quinta","Sexta","Sábado","Domingo"))</f>
        <v>Quarta</v>
      </c>
      <c r="O235" s="26" t="str">
        <f>IF(B235="","",IF(B235&lt;TIME(12,0,0),"Manhã",IF(B235&lt;TIME(18,0,0),"Tarde","Noite")))</f>
        <v>Tarde</v>
      </c>
      <c r="P235" s="32">
        <f>IF(G235="","",IFERROR(INDEX(Config!$I$5:$I$16,MATCH(G235,Config!$H$5:$H$16,0)),0))</f>
        <v>30</v>
      </c>
      <c r="Q235" s="30">
        <f>IF(OR(H235&lt;&gt;"Realizado",P235="",P235=0),"",A235+P235)</f>
        <v>46227.0</v>
      </c>
      <c r="R235" s="26" t="str">
        <f>IF(Q235="","",IF(COUNTIFS($E$5:$E$3004,E235,$A$5:$A$3004,"&gt;"&amp;A235,$H$5:$H$3004,"&lt;&gt;Falta",$H$5:$H$3004,"&lt;&gt;Cancelado",$H$5:$H$3004,"&lt;&gt;Remarcado")&gt;0,"Sim","Não"))</f>
        <v>Sim</v>
      </c>
      <c r="S235" s="32">
        <f>IF(R235&lt;&gt;"Não","",IF(Q235+Config!$B$9&lt;=Config!$B$8,Config!$B$8-Q235,""))</f>
        <v/>
      </c>
      <c r="T235" s="26">
        <f>IF(S235="","","Sim")</f>
        <v/>
      </c>
      <c r="U235" s="41">
        <f>IF(T235="Sim",S235+ROW()/100000,0)</f>
        <v>0</v>
      </c>
      <c r="V235" s="41">
        <f>IF(AND(H235="Falta",L235=Config!$B$7,M235=Config!$B$5,COUNTIFS($E$5:E235,E235,$H$5:H235,"Falta",$L$5:L235,Config!$B$7,$M$5:M235,Config!$B$5)=1),COUNTIFS($E$5:$E$3004,E235,$H$5:$H$3004,"Falta",$L$5:$L$3004,Config!$B$7,$M$5:$M$3004,Config!$B$5)*1000-ROW()/100000,0)</f>
        <v>0</v>
      </c>
    </row>
    <row r="236">
      <c r="A236" s="39" t="n">
        <v>46197</v>
      </c>
      <c r="B236" s="40" t="n">
        <v>0.6180555555555556</v>
      </c>
      <c r="C236" s="35" t="inlineStr">
        <is>
          <t>Dra. Carolina Mendes</t>
        </is>
      </c>
      <c r="D236" s="35" t="inlineStr">
        <is>
          <t>Sala 1</t>
        </is>
      </c>
      <c r="E236" s="34" t="inlineStr">
        <is>
          <t>Mônica Martins</t>
        </is>
      </c>
      <c r="F236" s="35" t="inlineStr">
        <is>
          <t>Particular</t>
        </is>
      </c>
      <c r="G236" s="35" t="inlineStr">
        <is>
          <t>Consulta</t>
        </is>
      </c>
      <c r="H236" s="35" t="inlineStr">
        <is>
          <t>Realizado</t>
        </is>
      </c>
      <c r="I236" s="35" t="inlineStr">
        <is>
          <t>Cartão de crédito</t>
        </is>
      </c>
      <c r="J236" s="35" t="n"/>
      <c r="K236" s="34" t="n"/>
      <c r="L236" s="26">
        <f>IF(A236="","",MONTH(A236))</f>
        <v>6</v>
      </c>
      <c r="M236" s="26">
        <f>IF(A236="","",YEAR(A236))</f>
        <v>2026</v>
      </c>
      <c r="N236" s="26" t="str">
        <f>IF(A236="","",CHOOSE(WEEKDAY(A236,2),"Segunda","Terça","Quarta","Quinta","Sexta","Sábado","Domingo"))</f>
        <v>Quarta</v>
      </c>
      <c r="O236" s="26" t="str">
        <f>IF(B236="","",IF(B236&lt;TIME(12,0,0),"Manhã",IF(B236&lt;TIME(18,0,0),"Tarde","Noite")))</f>
        <v>Tarde</v>
      </c>
      <c r="P236" s="32">
        <f>IF(G236="","",IFERROR(INDEX(Config!$I$5:$I$16,MATCH(G236,Config!$H$5:$H$16,0)),0))</f>
        <v>30</v>
      </c>
      <c r="Q236" s="30">
        <f>IF(OR(H236&lt;&gt;"Realizado",P236="",P236=0),"",A236+P236)</f>
        <v>46227.0</v>
      </c>
      <c r="R236" s="26" t="str">
        <f>IF(Q236="","",IF(COUNTIFS($E$5:$E$3004,E236,$A$5:$A$3004,"&gt;"&amp;A236,$H$5:$H$3004,"&lt;&gt;Falta",$H$5:$H$3004,"&lt;&gt;Cancelado",$H$5:$H$3004,"&lt;&gt;Remarcado")&gt;0,"Sim","Não"))</f>
        <v>Sim</v>
      </c>
      <c r="S236" s="32">
        <f>IF(R236&lt;&gt;"Não","",IF(Q236+Config!$B$9&lt;=Config!$B$8,Config!$B$8-Q236,""))</f>
        <v/>
      </c>
      <c r="T236" s="26">
        <f>IF(S236="","","Sim")</f>
        <v/>
      </c>
      <c r="U236" s="41">
        <f>IF(T236="Sim",S236+ROW()/100000,0)</f>
        <v>0</v>
      </c>
      <c r="V236" s="41">
        <f>IF(AND(H236="Falta",L236=Config!$B$7,M236=Config!$B$5,COUNTIFS($E$5:E236,E236,$H$5:H236,"Falta",$L$5:L236,Config!$B$7,$M$5:M236,Config!$B$5)=1),COUNTIFS($E$5:$E$3004,E236,$H$5:$H$3004,"Falta",$L$5:$L$3004,Config!$B$7,$M$5:$M$3004,Config!$B$5)*1000-ROW()/100000,0)</f>
        <v>0</v>
      </c>
    </row>
    <row r="237">
      <c r="A237" s="39" t="n">
        <v>46197</v>
      </c>
      <c r="B237" s="40" t="n">
        <v>0.6388888888888888</v>
      </c>
      <c r="C237" s="35" t="inlineStr">
        <is>
          <t>Dra. Carolina Mendes</t>
        </is>
      </c>
      <c r="D237" s="35" t="inlineStr">
        <is>
          <t>Sala 1</t>
        </is>
      </c>
      <c r="E237" s="34" t="inlineStr">
        <is>
          <t>Cláudia Santos</t>
        </is>
      </c>
      <c r="F237" s="35" t="inlineStr">
        <is>
          <t>Particular</t>
        </is>
      </c>
      <c r="G237" s="35" t="inlineStr">
        <is>
          <t>Consulta</t>
        </is>
      </c>
      <c r="H237" s="35" t="inlineStr">
        <is>
          <t>Realizado</t>
        </is>
      </c>
      <c r="I237" s="35" t="inlineStr">
        <is>
          <t>Cartão de crédito</t>
        </is>
      </c>
      <c r="J237" s="35" t="n"/>
      <c r="K237" s="34" t="n"/>
      <c r="L237" s="26">
        <f>IF(A237="","",MONTH(A237))</f>
        <v>6</v>
      </c>
      <c r="M237" s="26">
        <f>IF(A237="","",YEAR(A237))</f>
        <v>2026</v>
      </c>
      <c r="N237" s="26" t="str">
        <f>IF(A237="","",CHOOSE(WEEKDAY(A237,2),"Segunda","Terça","Quarta","Quinta","Sexta","Sábado","Domingo"))</f>
        <v>Quarta</v>
      </c>
      <c r="O237" s="26" t="str">
        <f>IF(B237="","",IF(B237&lt;TIME(12,0,0),"Manhã",IF(B237&lt;TIME(18,0,0),"Tarde","Noite")))</f>
        <v>Tarde</v>
      </c>
      <c r="P237" s="32">
        <f>IF(G237="","",IFERROR(INDEX(Config!$I$5:$I$16,MATCH(G237,Config!$H$5:$H$16,0)),0))</f>
        <v>30</v>
      </c>
      <c r="Q237" s="30">
        <f>IF(OR(H237&lt;&gt;"Realizado",P237="",P237=0),"",A237+P237)</f>
        <v>46227.0</v>
      </c>
      <c r="R237" s="26" t="str">
        <f>IF(Q237="","",IF(COUNTIFS($E$5:$E$3004,E237,$A$5:$A$3004,"&gt;"&amp;A237,$H$5:$H$3004,"&lt;&gt;Falta",$H$5:$H$3004,"&lt;&gt;Cancelado",$H$5:$H$3004,"&lt;&gt;Remarcado")&gt;0,"Sim","Não"))</f>
        <v>Sim</v>
      </c>
      <c r="S237" s="32">
        <f>IF(R237&lt;&gt;"Não","",IF(Q237+Config!$B$9&lt;=Config!$B$8,Config!$B$8-Q237,""))</f>
        <v/>
      </c>
      <c r="T237" s="26">
        <f>IF(S237="","","Sim")</f>
        <v/>
      </c>
      <c r="U237" s="41">
        <f>IF(T237="Sim",S237+ROW()/100000,0)</f>
        <v>0</v>
      </c>
      <c r="V237" s="41">
        <f>IF(AND(H237="Falta",L237=Config!$B$7,M237=Config!$B$5,COUNTIFS($E$5:E237,E237,$H$5:H237,"Falta",$L$5:L237,Config!$B$7,$M$5:M237,Config!$B$5)=1),COUNTIFS($E$5:$E$3004,E237,$H$5:$H$3004,"Falta",$L$5:$L$3004,Config!$B$7,$M$5:$M$3004,Config!$B$5)*1000-ROW()/100000,0)</f>
        <v>0</v>
      </c>
    </row>
    <row r="238">
      <c r="A238" s="39" t="n">
        <v>46197</v>
      </c>
      <c r="B238" s="40" t="n">
        <v>0.6597222222222222</v>
      </c>
      <c r="C238" s="35" t="inlineStr">
        <is>
          <t>Dra. Carolina Mendes</t>
        </is>
      </c>
      <c r="D238" s="35" t="inlineStr">
        <is>
          <t>Sala 1</t>
        </is>
      </c>
      <c r="E238" s="34" t="inlineStr">
        <is>
          <t>Priscila Castro</t>
        </is>
      </c>
      <c r="F238" s="35" t="inlineStr">
        <is>
          <t>Saúde Total</t>
        </is>
      </c>
      <c r="G238" s="35" t="inlineStr">
        <is>
          <t>Consulta</t>
        </is>
      </c>
      <c r="H238" s="35" t="inlineStr">
        <is>
          <t>Realizado</t>
        </is>
      </c>
      <c r="I238" s="35" t="inlineStr">
        <is>
          <t>Convênio</t>
        </is>
      </c>
      <c r="J238" s="35" t="n"/>
      <c r="K238" s="34" t="n"/>
      <c r="L238" s="26">
        <f>IF(A238="","",MONTH(A238))</f>
        <v>6</v>
      </c>
      <c r="M238" s="26">
        <f>IF(A238="","",YEAR(A238))</f>
        <v>2026</v>
      </c>
      <c r="N238" s="26" t="str">
        <f>IF(A238="","",CHOOSE(WEEKDAY(A238,2),"Segunda","Terça","Quarta","Quinta","Sexta","Sábado","Domingo"))</f>
        <v>Quarta</v>
      </c>
      <c r="O238" s="26" t="str">
        <f>IF(B238="","",IF(B238&lt;TIME(12,0,0),"Manhã",IF(B238&lt;TIME(18,0,0),"Tarde","Noite")))</f>
        <v>Tarde</v>
      </c>
      <c r="P238" s="32">
        <f>IF(G238="","",IFERROR(INDEX(Config!$I$5:$I$16,MATCH(G238,Config!$H$5:$H$16,0)),0))</f>
        <v>30</v>
      </c>
      <c r="Q238" s="30">
        <f>IF(OR(H238&lt;&gt;"Realizado",P238="",P238=0),"",A238+P238)</f>
        <v>46227.0</v>
      </c>
      <c r="R238" s="26" t="str">
        <f>IF(Q238="","",IF(COUNTIFS($E$5:$E$3004,E238,$A$5:$A$3004,"&gt;"&amp;A238,$H$5:$H$3004,"&lt;&gt;Falta",$H$5:$H$3004,"&lt;&gt;Cancelado",$H$5:$H$3004,"&lt;&gt;Remarcado")&gt;0,"Sim","Não"))</f>
        <v>Sim</v>
      </c>
      <c r="S238" s="32">
        <f>IF(R238&lt;&gt;"Não","",IF(Q238+Config!$B$9&lt;=Config!$B$8,Config!$B$8-Q238,""))</f>
        <v/>
      </c>
      <c r="T238" s="26">
        <f>IF(S238="","","Sim")</f>
        <v/>
      </c>
      <c r="U238" s="41">
        <f>IF(T238="Sim",S238+ROW()/100000,0)</f>
        <v>0</v>
      </c>
      <c r="V238" s="41">
        <f>IF(AND(H238="Falta",L238=Config!$B$7,M238=Config!$B$5,COUNTIFS($E$5:E238,E238,$H$5:H238,"Falta",$L$5:L238,Config!$B$7,$M$5:M238,Config!$B$5)=1),COUNTIFS($E$5:$E$3004,E238,$H$5:$H$3004,"Falta",$L$5:$L$3004,Config!$B$7,$M$5:$M$3004,Config!$B$5)*1000-ROW()/100000,0)</f>
        <v>0</v>
      </c>
    </row>
    <row r="239">
      <c r="A239" s="39" t="n">
        <v>46197</v>
      </c>
      <c r="B239" s="40" t="n">
        <v>0.7013888888888888</v>
      </c>
      <c r="C239" s="35" t="inlineStr">
        <is>
          <t>Dra. Carolina Mendes</t>
        </is>
      </c>
      <c r="D239" s="35" t="inlineStr">
        <is>
          <t>Sala 1</t>
        </is>
      </c>
      <c r="E239" s="34" t="inlineStr">
        <is>
          <t>Tatiana Cunha</t>
        </is>
      </c>
      <c r="F239" s="35" t="inlineStr">
        <is>
          <t>Saúde Total</t>
        </is>
      </c>
      <c r="G239" s="35" t="inlineStr">
        <is>
          <t>Consulta</t>
        </is>
      </c>
      <c r="H239" s="35" t="inlineStr">
        <is>
          <t>Realizado</t>
        </is>
      </c>
      <c r="I239" s="35" t="inlineStr">
        <is>
          <t>Convênio</t>
        </is>
      </c>
      <c r="J239" s="35" t="n"/>
      <c r="K239" s="34" t="n"/>
      <c r="L239" s="26">
        <f>IF(A239="","",MONTH(A239))</f>
        <v>6</v>
      </c>
      <c r="M239" s="26">
        <f>IF(A239="","",YEAR(A239))</f>
        <v>2026</v>
      </c>
      <c r="N239" s="26" t="str">
        <f>IF(A239="","",CHOOSE(WEEKDAY(A239,2),"Segunda","Terça","Quarta","Quinta","Sexta","Sábado","Domingo"))</f>
        <v>Quarta</v>
      </c>
      <c r="O239" s="26" t="str">
        <f>IF(B239="","",IF(B239&lt;TIME(12,0,0),"Manhã",IF(B239&lt;TIME(18,0,0),"Tarde","Noite")))</f>
        <v>Tarde</v>
      </c>
      <c r="P239" s="32">
        <f>IF(G239="","",IFERROR(INDEX(Config!$I$5:$I$16,MATCH(G239,Config!$H$5:$H$16,0)),0))</f>
        <v>30</v>
      </c>
      <c r="Q239" s="30">
        <f>IF(OR(H239&lt;&gt;"Realizado",P239="",P239=0),"",A239+P239)</f>
        <v>46227.0</v>
      </c>
      <c r="R239" s="26" t="str">
        <f>IF(Q239="","",IF(COUNTIFS($E$5:$E$3004,E239,$A$5:$A$3004,"&gt;"&amp;A239,$H$5:$H$3004,"&lt;&gt;Falta",$H$5:$H$3004,"&lt;&gt;Cancelado",$H$5:$H$3004,"&lt;&gt;Remarcado")&gt;0,"Sim","Não"))</f>
        <v>Sim</v>
      </c>
      <c r="S239" s="32">
        <f>IF(R239&lt;&gt;"Não","",IF(Q239+Config!$B$9&lt;=Config!$B$8,Config!$B$8-Q239,""))</f>
        <v/>
      </c>
      <c r="T239" s="26">
        <f>IF(S239="","","Sim")</f>
        <v/>
      </c>
      <c r="U239" s="41">
        <f>IF(T239="Sim",S239+ROW()/100000,0)</f>
        <v>0</v>
      </c>
      <c r="V239" s="41">
        <f>IF(AND(H239="Falta",L239=Config!$B$7,M239=Config!$B$5,COUNTIFS($E$5:E239,E239,$H$5:H239,"Falta",$L$5:L239,Config!$B$7,$M$5:M239,Config!$B$5)=1),COUNTIFS($E$5:$E$3004,E239,$H$5:$H$3004,"Falta",$L$5:$L$3004,Config!$B$7,$M$5:$M$3004,Config!$B$5)*1000-ROW()/100000,0)</f>
        <v>0</v>
      </c>
    </row>
    <row r="240">
      <c r="A240" s="39" t="n">
        <v>46197</v>
      </c>
      <c r="B240" s="40" t="n">
        <v>0.7222222222222222</v>
      </c>
      <c r="C240" s="35" t="inlineStr">
        <is>
          <t>Dra. Carolina Mendes</t>
        </is>
      </c>
      <c r="D240" s="35" t="inlineStr">
        <is>
          <t>Sala 1</t>
        </is>
      </c>
      <c r="E240" s="34" t="inlineStr">
        <is>
          <t>Débora Machado</t>
        </is>
      </c>
      <c r="F240" s="35" t="inlineStr">
        <is>
          <t>Saúde Total</t>
        </is>
      </c>
      <c r="G240" s="35" t="inlineStr">
        <is>
          <t>Consulta</t>
        </is>
      </c>
      <c r="H240" s="35" t="inlineStr">
        <is>
          <t>Realizado</t>
        </is>
      </c>
      <c r="I240" s="35" t="inlineStr">
        <is>
          <t>Convênio</t>
        </is>
      </c>
      <c r="J240" s="35" t="n"/>
      <c r="K240" s="34" t="n"/>
      <c r="L240" s="26">
        <f>IF(A240="","",MONTH(A240))</f>
        <v>6</v>
      </c>
      <c r="M240" s="26">
        <f>IF(A240="","",YEAR(A240))</f>
        <v>2026</v>
      </c>
      <c r="N240" s="26" t="str">
        <f>IF(A240="","",CHOOSE(WEEKDAY(A240,2),"Segunda","Terça","Quarta","Quinta","Sexta","Sábado","Domingo"))</f>
        <v>Quarta</v>
      </c>
      <c r="O240" s="26" t="str">
        <f>IF(B240="","",IF(B240&lt;TIME(12,0,0),"Manhã",IF(B240&lt;TIME(18,0,0),"Tarde","Noite")))</f>
        <v>Tarde</v>
      </c>
      <c r="P240" s="32">
        <f>IF(G240="","",IFERROR(INDEX(Config!$I$5:$I$16,MATCH(G240,Config!$H$5:$H$16,0)),0))</f>
        <v>30</v>
      </c>
      <c r="Q240" s="30">
        <f>IF(OR(H240&lt;&gt;"Realizado",P240="",P240=0),"",A240+P240)</f>
        <v>46227.0</v>
      </c>
      <c r="R240" s="26" t="str">
        <f>IF(Q240="","",IF(COUNTIFS($E$5:$E$3004,E240,$A$5:$A$3004,"&gt;"&amp;A240,$H$5:$H$3004,"&lt;&gt;Falta",$H$5:$H$3004,"&lt;&gt;Cancelado",$H$5:$H$3004,"&lt;&gt;Remarcado")&gt;0,"Sim","Não"))</f>
        <v>Sim</v>
      </c>
      <c r="S240" s="32">
        <f>IF(R240&lt;&gt;"Não","",IF(Q240+Config!$B$9&lt;=Config!$B$8,Config!$B$8-Q240,""))</f>
        <v/>
      </c>
      <c r="T240" s="26">
        <f>IF(S240="","","Sim")</f>
        <v/>
      </c>
      <c r="U240" s="41">
        <f>IF(T240="Sim",S240+ROW()/100000,0)</f>
        <v>0</v>
      </c>
      <c r="V240" s="41">
        <f>IF(AND(H240="Falta",L240=Config!$B$7,M240=Config!$B$5,COUNTIFS($E$5:E240,E240,$H$5:H240,"Falta",$L$5:L240,Config!$B$7,$M$5:M240,Config!$B$5)=1),COUNTIFS($E$5:$E$3004,E240,$H$5:$H$3004,"Falta",$L$5:$L$3004,Config!$B$7,$M$5:$M$3004,Config!$B$5)*1000-ROW()/100000,0)</f>
        <v>0</v>
      </c>
    </row>
    <row r="241">
      <c r="A241" s="39" t="n">
        <v>46198</v>
      </c>
      <c r="B241" s="40" t="n">
        <v>0.3333333333333333</v>
      </c>
      <c r="C241" s="35" t="inlineStr">
        <is>
          <t>Dra. Carolina Mendes</t>
        </is>
      </c>
      <c r="D241" s="35" t="inlineStr">
        <is>
          <t>Sala 1</t>
        </is>
      </c>
      <c r="E241" s="34" t="inlineStr">
        <is>
          <t>Ricardo Melo</t>
        </is>
      </c>
      <c r="F241" s="35" t="inlineStr">
        <is>
          <t>Saúde Total</t>
        </is>
      </c>
      <c r="G241" s="35" t="inlineStr">
        <is>
          <t>Retorno</t>
        </is>
      </c>
      <c r="H241" s="35" t="inlineStr">
        <is>
          <t>Realizado</t>
        </is>
      </c>
      <c r="I241" s="35" t="inlineStr">
        <is>
          <t>Sem cobrança</t>
        </is>
      </c>
      <c r="J241" s="35" t="n"/>
      <c r="K241" s="34" t="n"/>
      <c r="L241" s="26">
        <f>IF(A241="","",MONTH(A241))</f>
        <v>6</v>
      </c>
      <c r="M241" s="26">
        <f>IF(A241="","",YEAR(A241))</f>
        <v>2026</v>
      </c>
      <c r="N241" s="26" t="str">
        <f>IF(A241="","",CHOOSE(WEEKDAY(A241,2),"Segunda","Terça","Quarta","Quinta","Sexta","Sábado","Domingo"))</f>
        <v>Quinta</v>
      </c>
      <c r="O241" s="26" t="str">
        <f>IF(B241="","",IF(B241&lt;TIME(12,0,0),"Manhã",IF(B241&lt;TIME(18,0,0),"Tarde","Noite")))</f>
        <v>Manhã</v>
      </c>
      <c r="P241" s="32">
        <f>IF(G241="","",IFERROR(INDEX(Config!$I$5:$I$16,MATCH(G241,Config!$H$5:$H$16,0)),0))</f>
        <v>0</v>
      </c>
      <c r="Q241" s="30">
        <f>IF(OR(H241&lt;&gt;"Realizado",P241="",P241=0),"",A241+P241)</f>
        <v/>
      </c>
      <c r="R241" s="26">
        <f>IF(Q241="","",IF(COUNTIFS($E$5:$E$3004,E241,$A$5:$A$3004,"&gt;"&amp;A241,$H$5:$H$3004,"&lt;&gt;Falta",$H$5:$H$3004,"&lt;&gt;Cancelado",$H$5:$H$3004,"&lt;&gt;Remarcado")&gt;0,"Sim","Não"))</f>
        <v/>
      </c>
      <c r="S241" s="32">
        <f>IF(R241&lt;&gt;"Não","",IF(Q241+Config!$B$9&lt;=Config!$B$8,Config!$B$8-Q241,""))</f>
        <v/>
      </c>
      <c r="T241" s="26">
        <f>IF(S241="","","Sim")</f>
        <v/>
      </c>
      <c r="U241" s="41">
        <f>IF(T241="Sim",S241+ROW()/100000,0)</f>
        <v>0</v>
      </c>
      <c r="V241" s="41">
        <f>IF(AND(H241="Falta",L241=Config!$B$7,M241=Config!$B$5,COUNTIFS($E$5:E241,E241,$H$5:H241,"Falta",$L$5:L241,Config!$B$7,$M$5:M241,Config!$B$5)=1),COUNTIFS($E$5:$E$3004,E241,$H$5:$H$3004,"Falta",$L$5:$L$3004,Config!$B$7,$M$5:$M$3004,Config!$B$5)*1000-ROW()/100000,0)</f>
        <v>0</v>
      </c>
    </row>
    <row r="242">
      <c r="A242" s="39" t="n">
        <v>46198</v>
      </c>
      <c r="B242" s="40" t="n">
        <v>0.3472222222222222</v>
      </c>
      <c r="C242" s="35" t="inlineStr">
        <is>
          <t>Dra. Carolina Mendes</t>
        </is>
      </c>
      <c r="D242" s="35" t="inlineStr">
        <is>
          <t>Sala 1</t>
        </is>
      </c>
      <c r="E242" s="34" t="inlineStr">
        <is>
          <t>Mônica Batista</t>
        </is>
      </c>
      <c r="F242" s="35" t="inlineStr">
        <is>
          <t>MediPlan</t>
        </is>
      </c>
      <c r="G242" s="35" t="inlineStr">
        <is>
          <t>Consulta</t>
        </is>
      </c>
      <c r="H242" s="35" t="inlineStr">
        <is>
          <t>Realizado</t>
        </is>
      </c>
      <c r="I242" s="35" t="inlineStr">
        <is>
          <t>Convênio</t>
        </is>
      </c>
      <c r="J242" s="35" t="n"/>
      <c r="K242" s="34" t="n"/>
      <c r="L242" s="26">
        <f>IF(A242="","",MONTH(A242))</f>
        <v>6</v>
      </c>
      <c r="M242" s="26">
        <f>IF(A242="","",YEAR(A242))</f>
        <v>2026</v>
      </c>
      <c r="N242" s="26" t="str">
        <f>IF(A242="","",CHOOSE(WEEKDAY(A242,2),"Segunda","Terça","Quarta","Quinta","Sexta","Sábado","Domingo"))</f>
        <v>Quinta</v>
      </c>
      <c r="O242" s="26" t="str">
        <f>IF(B242="","",IF(B242&lt;TIME(12,0,0),"Manhã",IF(B242&lt;TIME(18,0,0),"Tarde","Noite")))</f>
        <v>Manhã</v>
      </c>
      <c r="P242" s="32">
        <f>IF(G242="","",IFERROR(INDEX(Config!$I$5:$I$16,MATCH(G242,Config!$H$5:$H$16,0)),0))</f>
        <v>30</v>
      </c>
      <c r="Q242" s="30">
        <f>IF(OR(H242&lt;&gt;"Realizado",P242="",P242=0),"",A242+P242)</f>
        <v>46228.0</v>
      </c>
      <c r="R242" s="26" t="str">
        <f>IF(Q242="","",IF(COUNTIFS($E$5:$E$3004,E242,$A$5:$A$3004,"&gt;"&amp;A242,$H$5:$H$3004,"&lt;&gt;Falta",$H$5:$H$3004,"&lt;&gt;Cancelado",$H$5:$H$3004,"&lt;&gt;Remarcado")&gt;0,"Sim","Não"))</f>
        <v>Sim</v>
      </c>
      <c r="S242" s="32">
        <f>IF(R242&lt;&gt;"Não","",IF(Q242+Config!$B$9&lt;=Config!$B$8,Config!$B$8-Q242,""))</f>
        <v/>
      </c>
      <c r="T242" s="26">
        <f>IF(S242="","","Sim")</f>
        <v/>
      </c>
      <c r="U242" s="41">
        <f>IF(T242="Sim",S242+ROW()/100000,0)</f>
        <v>0</v>
      </c>
      <c r="V242" s="41">
        <f>IF(AND(H242="Falta",L242=Config!$B$7,M242=Config!$B$5,COUNTIFS($E$5:E242,E242,$H$5:H242,"Falta",$L$5:L242,Config!$B$7,$M$5:M242,Config!$B$5)=1),COUNTIFS($E$5:$E$3004,E242,$H$5:$H$3004,"Falta",$L$5:$L$3004,Config!$B$7,$M$5:$M$3004,Config!$B$5)*1000-ROW()/100000,0)</f>
        <v>0</v>
      </c>
    </row>
    <row r="243">
      <c r="A243" s="39" t="n">
        <v>46198</v>
      </c>
      <c r="B243" s="40" t="n">
        <v>0.3680555555555556</v>
      </c>
      <c r="C243" s="35" t="inlineStr">
        <is>
          <t>Dra. Carolina Mendes</t>
        </is>
      </c>
      <c r="D243" s="35" t="inlineStr">
        <is>
          <t>Sala 1</t>
        </is>
      </c>
      <c r="E243" s="34" t="inlineStr">
        <is>
          <t>Letícia Vieira</t>
        </is>
      </c>
      <c r="F243" s="35" t="inlineStr">
        <is>
          <t>Saúde Total</t>
        </is>
      </c>
      <c r="G243" s="35" t="inlineStr">
        <is>
          <t>Consulta</t>
        </is>
      </c>
      <c r="H243" s="35" t="inlineStr">
        <is>
          <t>Realizado</t>
        </is>
      </c>
      <c r="I243" s="35" t="inlineStr">
        <is>
          <t>Convênio</t>
        </is>
      </c>
      <c r="J243" s="35" t="n"/>
      <c r="K243" s="34" t="n"/>
      <c r="L243" s="26">
        <f>IF(A243="","",MONTH(A243))</f>
        <v>6</v>
      </c>
      <c r="M243" s="26">
        <f>IF(A243="","",YEAR(A243))</f>
        <v>2026</v>
      </c>
      <c r="N243" s="26" t="str">
        <f>IF(A243="","",CHOOSE(WEEKDAY(A243,2),"Segunda","Terça","Quarta","Quinta","Sexta","Sábado","Domingo"))</f>
        <v>Quinta</v>
      </c>
      <c r="O243" s="26" t="str">
        <f>IF(B243="","",IF(B243&lt;TIME(12,0,0),"Manhã",IF(B243&lt;TIME(18,0,0),"Tarde","Noite")))</f>
        <v>Manhã</v>
      </c>
      <c r="P243" s="32">
        <f>IF(G243="","",IFERROR(INDEX(Config!$I$5:$I$16,MATCH(G243,Config!$H$5:$H$16,0)),0))</f>
        <v>30</v>
      </c>
      <c r="Q243" s="30">
        <f>IF(OR(H243&lt;&gt;"Realizado",P243="",P243=0),"",A243+P243)</f>
        <v>46228.0</v>
      </c>
      <c r="R243" s="26" t="str">
        <f>IF(Q243="","",IF(COUNTIFS($E$5:$E$3004,E243,$A$5:$A$3004,"&gt;"&amp;A243,$H$5:$H$3004,"&lt;&gt;Falta",$H$5:$H$3004,"&lt;&gt;Cancelado",$H$5:$H$3004,"&lt;&gt;Remarcado")&gt;0,"Sim","Não"))</f>
        <v>Sim</v>
      </c>
      <c r="S243" s="32">
        <f>IF(R243&lt;&gt;"Não","",IF(Q243+Config!$B$9&lt;=Config!$B$8,Config!$B$8-Q243,""))</f>
        <v/>
      </c>
      <c r="T243" s="26">
        <f>IF(S243="","","Sim")</f>
        <v/>
      </c>
      <c r="U243" s="41">
        <f>IF(T243="Sim",S243+ROW()/100000,0)</f>
        <v>0</v>
      </c>
      <c r="V243" s="41">
        <f>IF(AND(H243="Falta",L243=Config!$B$7,M243=Config!$B$5,COUNTIFS($E$5:E243,E243,$H$5:H243,"Falta",$L$5:L243,Config!$B$7,$M$5:M243,Config!$B$5)=1),COUNTIFS($E$5:$E$3004,E243,$H$5:$H$3004,"Falta",$L$5:$L$3004,Config!$B$7,$M$5:$M$3004,Config!$B$5)*1000-ROW()/100000,0)</f>
        <v>0</v>
      </c>
    </row>
    <row r="244">
      <c r="A244" s="39" t="n">
        <v>46198</v>
      </c>
      <c r="B244" s="40" t="n">
        <v>0.3888888888888889</v>
      </c>
      <c r="C244" s="35" t="inlineStr">
        <is>
          <t>Dra. Carolina Mendes</t>
        </is>
      </c>
      <c r="D244" s="35" t="inlineStr">
        <is>
          <t>Sala 1</t>
        </is>
      </c>
      <c r="E244" s="34" t="inlineStr">
        <is>
          <t>Gustavo Ferreira</t>
        </is>
      </c>
      <c r="F244" s="35" t="inlineStr">
        <is>
          <t>Particular</t>
        </is>
      </c>
      <c r="G244" s="35" t="inlineStr">
        <is>
          <t>Consulta</t>
        </is>
      </c>
      <c r="H244" s="35" t="inlineStr">
        <is>
          <t>Realizado</t>
        </is>
      </c>
      <c r="I244" s="35" t="inlineStr">
        <is>
          <t>Pix</t>
        </is>
      </c>
      <c r="J244" s="35" t="n"/>
      <c r="K244" s="34" t="n"/>
      <c r="L244" s="26">
        <f>IF(A244="","",MONTH(A244))</f>
        <v>6</v>
      </c>
      <c r="M244" s="26">
        <f>IF(A244="","",YEAR(A244))</f>
        <v>2026</v>
      </c>
      <c r="N244" s="26" t="str">
        <f>IF(A244="","",CHOOSE(WEEKDAY(A244,2),"Segunda","Terça","Quarta","Quinta","Sexta","Sábado","Domingo"))</f>
        <v>Quinta</v>
      </c>
      <c r="O244" s="26" t="str">
        <f>IF(B244="","",IF(B244&lt;TIME(12,0,0),"Manhã",IF(B244&lt;TIME(18,0,0),"Tarde","Noite")))</f>
        <v>Manhã</v>
      </c>
      <c r="P244" s="32">
        <f>IF(G244="","",IFERROR(INDEX(Config!$I$5:$I$16,MATCH(G244,Config!$H$5:$H$16,0)),0))</f>
        <v>30</v>
      </c>
      <c r="Q244" s="30">
        <f>IF(OR(H244&lt;&gt;"Realizado",P244="",P244=0),"",A244+P244)</f>
        <v>46228.0</v>
      </c>
      <c r="R244" s="26" t="str">
        <f>IF(Q244="","",IF(COUNTIFS($E$5:$E$3004,E244,$A$5:$A$3004,"&gt;"&amp;A244,$H$5:$H$3004,"&lt;&gt;Falta",$H$5:$H$3004,"&lt;&gt;Cancelado",$H$5:$H$3004,"&lt;&gt;Remarcado")&gt;0,"Sim","Não"))</f>
        <v>Sim</v>
      </c>
      <c r="S244" s="32">
        <f>IF(R244&lt;&gt;"Não","",IF(Q244+Config!$B$9&lt;=Config!$B$8,Config!$B$8-Q244,""))</f>
        <v/>
      </c>
      <c r="T244" s="26">
        <f>IF(S244="","","Sim")</f>
        <v/>
      </c>
      <c r="U244" s="41">
        <f>IF(T244="Sim",S244+ROW()/100000,0)</f>
        <v>0</v>
      </c>
      <c r="V244" s="41">
        <f>IF(AND(H244="Falta",L244=Config!$B$7,M244=Config!$B$5,COUNTIFS($E$5:E244,E244,$H$5:H244,"Falta",$L$5:L244,Config!$B$7,$M$5:M244,Config!$B$5)=1),COUNTIFS($E$5:$E$3004,E244,$H$5:$H$3004,"Falta",$L$5:$L$3004,Config!$B$7,$M$5:$M$3004,Config!$B$5)*1000-ROW()/100000,0)</f>
        <v>0</v>
      </c>
    </row>
    <row r="245">
      <c r="A245" s="39" t="n">
        <v>46198</v>
      </c>
      <c r="B245" s="40" t="n">
        <v>0.4097222222222222</v>
      </c>
      <c r="C245" s="35" t="inlineStr">
        <is>
          <t>Dra. Carolina Mendes</t>
        </is>
      </c>
      <c r="D245" s="35" t="inlineStr">
        <is>
          <t>Sala 1</t>
        </is>
      </c>
      <c r="E245" s="34" t="inlineStr">
        <is>
          <t>Otávio Cardoso</t>
        </is>
      </c>
      <c r="F245" s="35" t="inlineStr">
        <is>
          <t>Particular</t>
        </is>
      </c>
      <c r="G245" s="35" t="inlineStr">
        <is>
          <t>Consulta</t>
        </is>
      </c>
      <c r="H245" s="35" t="inlineStr">
        <is>
          <t>Realizado</t>
        </is>
      </c>
      <c r="I245" s="35" t="inlineStr">
        <is>
          <t>Pix</t>
        </is>
      </c>
      <c r="J245" s="35" t="n"/>
      <c r="K245" s="34" t="n"/>
      <c r="L245" s="26">
        <f>IF(A245="","",MONTH(A245))</f>
        <v>6</v>
      </c>
      <c r="M245" s="26">
        <f>IF(A245="","",YEAR(A245))</f>
        <v>2026</v>
      </c>
      <c r="N245" s="26" t="str">
        <f>IF(A245="","",CHOOSE(WEEKDAY(A245,2),"Segunda","Terça","Quarta","Quinta","Sexta","Sábado","Domingo"))</f>
        <v>Quinta</v>
      </c>
      <c r="O245" s="26" t="str">
        <f>IF(B245="","",IF(B245&lt;TIME(12,0,0),"Manhã",IF(B245&lt;TIME(18,0,0),"Tarde","Noite")))</f>
        <v>Manhã</v>
      </c>
      <c r="P245" s="32">
        <f>IF(G245="","",IFERROR(INDEX(Config!$I$5:$I$16,MATCH(G245,Config!$H$5:$H$16,0)),0))</f>
        <v>30</v>
      </c>
      <c r="Q245" s="30">
        <f>IF(OR(H245&lt;&gt;"Realizado",P245="",P245=0),"",A245+P245)</f>
        <v>46228.0</v>
      </c>
      <c r="R245" s="26" t="str">
        <f>IF(Q245="","",IF(COUNTIFS($E$5:$E$3004,E245,$A$5:$A$3004,"&gt;"&amp;A245,$H$5:$H$3004,"&lt;&gt;Falta",$H$5:$H$3004,"&lt;&gt;Cancelado",$H$5:$H$3004,"&lt;&gt;Remarcado")&gt;0,"Sim","Não"))</f>
        <v>Sim</v>
      </c>
      <c r="S245" s="32">
        <f>IF(R245&lt;&gt;"Não","",IF(Q245+Config!$B$9&lt;=Config!$B$8,Config!$B$8-Q245,""))</f>
        <v/>
      </c>
      <c r="T245" s="26">
        <f>IF(S245="","","Sim")</f>
        <v/>
      </c>
      <c r="U245" s="41">
        <f>IF(T245="Sim",S245+ROW()/100000,0)</f>
        <v>0</v>
      </c>
      <c r="V245" s="41">
        <f>IF(AND(H245="Falta",L245=Config!$B$7,M245=Config!$B$5,COUNTIFS($E$5:E245,E245,$H$5:H245,"Falta",$L$5:L245,Config!$B$7,$M$5:M245,Config!$B$5)=1),COUNTIFS($E$5:$E$3004,E245,$H$5:$H$3004,"Falta",$L$5:$L$3004,Config!$B$7,$M$5:$M$3004,Config!$B$5)*1000-ROW()/100000,0)</f>
        <v>0</v>
      </c>
    </row>
    <row r="246">
      <c r="A246" s="39" t="n">
        <v>46198</v>
      </c>
      <c r="B246" s="40" t="n">
        <v>0.4305555555555556</v>
      </c>
      <c r="C246" s="35" t="inlineStr">
        <is>
          <t>Dra. Carolina Mendes</t>
        </is>
      </c>
      <c r="D246" s="35" t="inlineStr">
        <is>
          <t>Sala 1</t>
        </is>
      </c>
      <c r="E246" s="34" t="inlineStr">
        <is>
          <t>Leandro Oliveira</t>
        </is>
      </c>
      <c r="F246" s="35" t="inlineStr">
        <is>
          <t>Particular</t>
        </is>
      </c>
      <c r="G246" s="35" t="inlineStr">
        <is>
          <t>Consulta</t>
        </is>
      </c>
      <c r="H246" s="35" t="inlineStr">
        <is>
          <t>Realizado</t>
        </is>
      </c>
      <c r="I246" s="35" t="inlineStr">
        <is>
          <t>Pix</t>
        </is>
      </c>
      <c r="J246" s="35" t="n"/>
      <c r="K246" s="34" t="n"/>
      <c r="L246" s="26">
        <f>IF(A246="","",MONTH(A246))</f>
        <v>6</v>
      </c>
      <c r="M246" s="26">
        <f>IF(A246="","",YEAR(A246))</f>
        <v>2026</v>
      </c>
      <c r="N246" s="26" t="str">
        <f>IF(A246="","",CHOOSE(WEEKDAY(A246,2),"Segunda","Terça","Quarta","Quinta","Sexta","Sábado","Domingo"))</f>
        <v>Quinta</v>
      </c>
      <c r="O246" s="26" t="str">
        <f>IF(B246="","",IF(B246&lt;TIME(12,0,0),"Manhã",IF(B246&lt;TIME(18,0,0),"Tarde","Noite")))</f>
        <v>Manhã</v>
      </c>
      <c r="P246" s="32">
        <f>IF(G246="","",IFERROR(INDEX(Config!$I$5:$I$16,MATCH(G246,Config!$H$5:$H$16,0)),0))</f>
        <v>30</v>
      </c>
      <c r="Q246" s="30">
        <f>IF(OR(H246&lt;&gt;"Realizado",P246="",P246=0),"",A246+P246)</f>
        <v>46228.0</v>
      </c>
      <c r="R246" s="26" t="str">
        <f>IF(Q246="","",IF(COUNTIFS($E$5:$E$3004,E246,$A$5:$A$3004,"&gt;"&amp;A246,$H$5:$H$3004,"&lt;&gt;Falta",$H$5:$H$3004,"&lt;&gt;Cancelado",$H$5:$H$3004,"&lt;&gt;Remarcado")&gt;0,"Sim","Não"))</f>
        <v>Sim</v>
      </c>
      <c r="S246" s="32">
        <f>IF(R246&lt;&gt;"Não","",IF(Q246+Config!$B$9&lt;=Config!$B$8,Config!$B$8-Q246,""))</f>
        <v/>
      </c>
      <c r="T246" s="26">
        <f>IF(S246="","","Sim")</f>
        <v/>
      </c>
      <c r="U246" s="41">
        <f>IF(T246="Sim",S246+ROW()/100000,0)</f>
        <v>0</v>
      </c>
      <c r="V246" s="41">
        <f>IF(AND(H246="Falta",L246=Config!$B$7,M246=Config!$B$5,COUNTIFS($E$5:E246,E246,$H$5:H246,"Falta",$L$5:L246,Config!$B$7,$M$5:M246,Config!$B$5)=1),COUNTIFS($E$5:$E$3004,E246,$H$5:$H$3004,"Falta",$L$5:$L$3004,Config!$B$7,$M$5:$M$3004,Config!$B$5)*1000-ROW()/100000,0)</f>
        <v>0</v>
      </c>
    </row>
    <row r="247">
      <c r="A247" s="39" t="n">
        <v>46198</v>
      </c>
      <c r="B247" s="40" t="n">
        <v>0.4513888888888889</v>
      </c>
      <c r="C247" s="35" t="inlineStr">
        <is>
          <t>Dra. Carolina Mendes</t>
        </is>
      </c>
      <c r="D247" s="35" t="inlineStr">
        <is>
          <t>Sala 1</t>
        </is>
      </c>
      <c r="E247" s="34" t="inlineStr">
        <is>
          <t>Helena Moreira</t>
        </is>
      </c>
      <c r="F247" s="35" t="inlineStr">
        <is>
          <t>Particular</t>
        </is>
      </c>
      <c r="G247" s="35" t="inlineStr">
        <is>
          <t>Consulta</t>
        </is>
      </c>
      <c r="H247" s="35" t="inlineStr">
        <is>
          <t>Realizado</t>
        </is>
      </c>
      <c r="I247" s="35" t="inlineStr">
        <is>
          <t>Pix</t>
        </is>
      </c>
      <c r="J247" s="35" t="n"/>
      <c r="K247" s="34" t="n"/>
      <c r="L247" s="26">
        <f>IF(A247="","",MONTH(A247))</f>
        <v>6</v>
      </c>
      <c r="M247" s="26">
        <f>IF(A247="","",YEAR(A247))</f>
        <v>2026</v>
      </c>
      <c r="N247" s="26" t="str">
        <f>IF(A247="","",CHOOSE(WEEKDAY(A247,2),"Segunda","Terça","Quarta","Quinta","Sexta","Sábado","Domingo"))</f>
        <v>Quinta</v>
      </c>
      <c r="O247" s="26" t="str">
        <f>IF(B247="","",IF(B247&lt;TIME(12,0,0),"Manhã",IF(B247&lt;TIME(18,0,0),"Tarde","Noite")))</f>
        <v>Manhã</v>
      </c>
      <c r="P247" s="32">
        <f>IF(G247="","",IFERROR(INDEX(Config!$I$5:$I$16,MATCH(G247,Config!$H$5:$H$16,0)),0))</f>
        <v>30</v>
      </c>
      <c r="Q247" s="30">
        <f>IF(OR(H247&lt;&gt;"Realizado",P247="",P247=0),"",A247+P247)</f>
        <v>46228.0</v>
      </c>
      <c r="R247" s="26" t="str">
        <f>IF(Q247="","",IF(COUNTIFS($E$5:$E$3004,E247,$A$5:$A$3004,"&gt;"&amp;A247,$H$5:$H$3004,"&lt;&gt;Falta",$H$5:$H$3004,"&lt;&gt;Cancelado",$H$5:$H$3004,"&lt;&gt;Remarcado")&gt;0,"Sim","Não"))</f>
        <v>Sim</v>
      </c>
      <c r="S247" s="32">
        <f>IF(R247&lt;&gt;"Não","",IF(Q247+Config!$B$9&lt;=Config!$B$8,Config!$B$8-Q247,""))</f>
        <v/>
      </c>
      <c r="T247" s="26">
        <f>IF(S247="","","Sim")</f>
        <v/>
      </c>
      <c r="U247" s="41">
        <f>IF(T247="Sim",S247+ROW()/100000,0)</f>
        <v>0</v>
      </c>
      <c r="V247" s="41">
        <f>IF(AND(H247="Falta",L247=Config!$B$7,M247=Config!$B$5,COUNTIFS($E$5:E247,E247,$H$5:H247,"Falta",$L$5:L247,Config!$B$7,$M$5:M247,Config!$B$5)=1),COUNTIFS($E$5:$E$3004,E247,$H$5:$H$3004,"Falta",$L$5:$L$3004,Config!$B$7,$M$5:$M$3004,Config!$B$5)*1000-ROW()/100000,0)</f>
        <v>0</v>
      </c>
    </row>
    <row r="248">
      <c r="A248" s="39" t="n">
        <v>46198</v>
      </c>
      <c r="B248" s="40" t="n">
        <v>0.4722222222222222</v>
      </c>
      <c r="C248" s="35" t="inlineStr">
        <is>
          <t>Dra. Carolina Mendes</t>
        </is>
      </c>
      <c r="D248" s="35" t="inlineStr">
        <is>
          <t>Sala 1</t>
        </is>
      </c>
      <c r="E248" s="34" t="inlineStr">
        <is>
          <t>Mariana Nascimento</t>
        </is>
      </c>
      <c r="F248" s="35" t="inlineStr">
        <is>
          <t>Particular</t>
        </is>
      </c>
      <c r="G248" s="35" t="inlineStr">
        <is>
          <t>Consulta</t>
        </is>
      </c>
      <c r="H248" s="35" t="inlineStr">
        <is>
          <t>Realizado</t>
        </is>
      </c>
      <c r="I248" s="35" t="inlineStr">
        <is>
          <t>Pix</t>
        </is>
      </c>
      <c r="J248" s="35" t="n"/>
      <c r="K248" s="34" t="n"/>
      <c r="L248" s="26">
        <f>IF(A248="","",MONTH(A248))</f>
        <v>6</v>
      </c>
      <c r="M248" s="26">
        <f>IF(A248="","",YEAR(A248))</f>
        <v>2026</v>
      </c>
      <c r="N248" s="26" t="str">
        <f>IF(A248="","",CHOOSE(WEEKDAY(A248,2),"Segunda","Terça","Quarta","Quinta","Sexta","Sábado","Domingo"))</f>
        <v>Quinta</v>
      </c>
      <c r="O248" s="26" t="str">
        <f>IF(B248="","",IF(B248&lt;TIME(12,0,0),"Manhã",IF(B248&lt;TIME(18,0,0),"Tarde","Noite")))</f>
        <v>Manhã</v>
      </c>
      <c r="P248" s="32">
        <f>IF(G248="","",IFERROR(INDEX(Config!$I$5:$I$16,MATCH(G248,Config!$H$5:$H$16,0)),0))</f>
        <v>30</v>
      </c>
      <c r="Q248" s="30">
        <f>IF(OR(H248&lt;&gt;"Realizado",P248="",P248=0),"",A248+P248)</f>
        <v>46228.0</v>
      </c>
      <c r="R248" s="26" t="str">
        <f>IF(Q248="","",IF(COUNTIFS($E$5:$E$3004,E248,$A$5:$A$3004,"&gt;"&amp;A248,$H$5:$H$3004,"&lt;&gt;Falta",$H$5:$H$3004,"&lt;&gt;Cancelado",$H$5:$H$3004,"&lt;&gt;Remarcado")&gt;0,"Sim","Não"))</f>
        <v>Sim</v>
      </c>
      <c r="S248" s="32">
        <f>IF(R248&lt;&gt;"Não","",IF(Q248+Config!$B$9&lt;=Config!$B$8,Config!$B$8-Q248,""))</f>
        <v/>
      </c>
      <c r="T248" s="26">
        <f>IF(S248="","","Sim")</f>
        <v/>
      </c>
      <c r="U248" s="41">
        <f>IF(T248="Sim",S248+ROW()/100000,0)</f>
        <v>0</v>
      </c>
      <c r="V248" s="41">
        <f>IF(AND(H248="Falta",L248=Config!$B$7,M248=Config!$B$5,COUNTIFS($E$5:E248,E248,$H$5:H248,"Falta",$L$5:L248,Config!$B$7,$M$5:M248,Config!$B$5)=1),COUNTIFS($E$5:$E$3004,E248,$H$5:$H$3004,"Falta",$L$5:$L$3004,Config!$B$7,$M$5:$M$3004,Config!$B$5)*1000-ROW()/100000,0)</f>
        <v>0</v>
      </c>
    </row>
    <row r="249">
      <c r="A249" s="39" t="n">
        <v>46198</v>
      </c>
      <c r="B249" s="40" t="n">
        <v>0.5833333333333334</v>
      </c>
      <c r="C249" s="35" t="inlineStr">
        <is>
          <t>Dr. Paulo Andrade</t>
        </is>
      </c>
      <c r="D249" s="35" t="inlineStr">
        <is>
          <t>Sala 2</t>
        </is>
      </c>
      <c r="E249" s="34" t="inlineStr">
        <is>
          <t>Juliana Ribeiro</t>
        </is>
      </c>
      <c r="F249" s="35" t="inlineStr">
        <is>
          <t>Saúde Total</t>
        </is>
      </c>
      <c r="G249" s="35" t="inlineStr">
        <is>
          <t>Teste ergométrico</t>
        </is>
      </c>
      <c r="H249" s="35" t="inlineStr">
        <is>
          <t>Realizado</t>
        </is>
      </c>
      <c r="I249" s="35" t="inlineStr">
        <is>
          <t>Convênio</t>
        </is>
      </c>
      <c r="J249" s="35" t="n"/>
      <c r="K249" s="34" t="n"/>
      <c r="L249" s="26">
        <f>IF(A249="","",MONTH(A249))</f>
        <v>6</v>
      </c>
      <c r="M249" s="26">
        <f>IF(A249="","",YEAR(A249))</f>
        <v>2026</v>
      </c>
      <c r="N249" s="26" t="str">
        <f>IF(A249="","",CHOOSE(WEEKDAY(A249,2),"Segunda","Terça","Quarta","Quinta","Sexta","Sábado","Domingo"))</f>
        <v>Quinta</v>
      </c>
      <c r="O249" s="26" t="str">
        <f>IF(B249="","",IF(B249&lt;TIME(12,0,0),"Manhã",IF(B249&lt;TIME(18,0,0),"Tarde","Noite")))</f>
        <v>Tarde</v>
      </c>
      <c r="P249" s="32">
        <f>IF(G249="","",IFERROR(INDEX(Config!$I$5:$I$16,MATCH(G249,Config!$H$5:$H$16,0)),0))</f>
        <v>0</v>
      </c>
      <c r="Q249" s="30">
        <f>IF(OR(H249&lt;&gt;"Realizado",P249="",P249=0),"",A249+P249)</f>
        <v/>
      </c>
      <c r="R249" s="26">
        <f>IF(Q249="","",IF(COUNTIFS($E$5:$E$3004,E249,$A$5:$A$3004,"&gt;"&amp;A249,$H$5:$H$3004,"&lt;&gt;Falta",$H$5:$H$3004,"&lt;&gt;Cancelado",$H$5:$H$3004,"&lt;&gt;Remarcado")&gt;0,"Sim","Não"))</f>
        <v/>
      </c>
      <c r="S249" s="32">
        <f>IF(R249&lt;&gt;"Não","",IF(Q249+Config!$B$9&lt;=Config!$B$8,Config!$B$8-Q249,""))</f>
        <v/>
      </c>
      <c r="T249" s="26">
        <f>IF(S249="","","Sim")</f>
        <v/>
      </c>
      <c r="U249" s="41">
        <f>IF(T249="Sim",S249+ROW()/100000,0)</f>
        <v>0</v>
      </c>
      <c r="V249" s="41">
        <f>IF(AND(H249="Falta",L249=Config!$B$7,M249=Config!$B$5,COUNTIFS($E$5:E249,E249,$H$5:H249,"Falta",$L$5:L249,Config!$B$7,$M$5:M249,Config!$B$5)=1),COUNTIFS($E$5:$E$3004,E249,$H$5:$H$3004,"Falta",$L$5:$L$3004,Config!$B$7,$M$5:$M$3004,Config!$B$5)*1000-ROW()/100000,0)</f>
        <v>0</v>
      </c>
    </row>
    <row r="250">
      <c r="A250" s="39" t="n">
        <v>46198</v>
      </c>
      <c r="B250" s="40" t="n">
        <v>0.6041666666666666</v>
      </c>
      <c r="C250" s="35" t="inlineStr">
        <is>
          <t>Dra. Renata Sousa</t>
        </is>
      </c>
      <c r="D250" s="35" t="inlineStr">
        <is>
          <t>Sala 1</t>
        </is>
      </c>
      <c r="E250" s="34" t="inlineStr">
        <is>
          <t>Daniel Moreira</t>
        </is>
      </c>
      <c r="F250" s="35" t="inlineStr">
        <is>
          <t>Saúde Total</t>
        </is>
      </c>
      <c r="G250" s="35" t="inlineStr">
        <is>
          <t>Retorno</t>
        </is>
      </c>
      <c r="H250" s="35" t="inlineStr">
        <is>
          <t>Realizado</t>
        </is>
      </c>
      <c r="I250" s="35" t="inlineStr">
        <is>
          <t>Sem cobrança</t>
        </is>
      </c>
      <c r="J250" s="35" t="n"/>
      <c r="K250" s="34" t="n"/>
      <c r="L250" s="26">
        <f>IF(A250="","",MONTH(A250))</f>
        <v>6</v>
      </c>
      <c r="M250" s="26">
        <f>IF(A250="","",YEAR(A250))</f>
        <v>2026</v>
      </c>
      <c r="N250" s="26" t="str">
        <f>IF(A250="","",CHOOSE(WEEKDAY(A250,2),"Segunda","Terça","Quarta","Quinta","Sexta","Sábado","Domingo"))</f>
        <v>Quinta</v>
      </c>
      <c r="O250" s="26" t="str">
        <f>IF(B250="","",IF(B250&lt;TIME(12,0,0),"Manhã",IF(B250&lt;TIME(18,0,0),"Tarde","Noite")))</f>
        <v>Tarde</v>
      </c>
      <c r="P250" s="32">
        <f>IF(G250="","",IFERROR(INDEX(Config!$I$5:$I$16,MATCH(G250,Config!$H$5:$H$16,0)),0))</f>
        <v>0</v>
      </c>
      <c r="Q250" s="30">
        <f>IF(OR(H250&lt;&gt;"Realizado",P250="",P250=0),"",A250+P250)</f>
        <v/>
      </c>
      <c r="R250" s="26">
        <f>IF(Q250="","",IF(COUNTIFS($E$5:$E$3004,E250,$A$5:$A$3004,"&gt;"&amp;A250,$H$5:$H$3004,"&lt;&gt;Falta",$H$5:$H$3004,"&lt;&gt;Cancelado",$H$5:$H$3004,"&lt;&gt;Remarcado")&gt;0,"Sim","Não"))</f>
        <v/>
      </c>
      <c r="S250" s="32">
        <f>IF(R250&lt;&gt;"Não","",IF(Q250+Config!$B$9&lt;=Config!$B$8,Config!$B$8-Q250,""))</f>
        <v/>
      </c>
      <c r="T250" s="26">
        <f>IF(S250="","","Sim")</f>
        <v/>
      </c>
      <c r="U250" s="41">
        <f>IF(T250="Sim",S250+ROW()/100000,0)</f>
        <v>0</v>
      </c>
      <c r="V250" s="41">
        <f>IF(AND(H250="Falta",L250=Config!$B$7,M250=Config!$B$5,COUNTIFS($E$5:E250,E250,$H$5:H250,"Falta",$L$5:L250,Config!$B$7,$M$5:M250,Config!$B$5)=1),COUNTIFS($E$5:$E$3004,E250,$H$5:$H$3004,"Falta",$L$5:$L$3004,Config!$B$7,$M$5:$M$3004,Config!$B$5)*1000-ROW()/100000,0)</f>
        <v>0</v>
      </c>
    </row>
    <row r="251">
      <c r="A251" s="39" t="n">
        <v>46198</v>
      </c>
      <c r="B251" s="40" t="n">
        <v>0.6111111111111112</v>
      </c>
      <c r="C251" s="35" t="inlineStr">
        <is>
          <t>Dr. Paulo Andrade</t>
        </is>
      </c>
      <c r="D251" s="35" t="inlineStr">
        <is>
          <t>Sala 2</t>
        </is>
      </c>
      <c r="E251" s="34" t="inlineStr">
        <is>
          <t>Natália Martins</t>
        </is>
      </c>
      <c r="F251" s="35" t="inlineStr">
        <is>
          <t>Particular</t>
        </is>
      </c>
      <c r="G251" s="35" t="inlineStr">
        <is>
          <t>Retorno</t>
        </is>
      </c>
      <c r="H251" s="35" t="inlineStr">
        <is>
          <t>Realizado</t>
        </is>
      </c>
      <c r="I251" s="35" t="inlineStr">
        <is>
          <t>Sem cobrança</t>
        </is>
      </c>
      <c r="J251" s="35" t="n"/>
      <c r="K251" s="34" t="n"/>
      <c r="L251" s="26">
        <f>IF(A251="","",MONTH(A251))</f>
        <v>6</v>
      </c>
      <c r="M251" s="26">
        <f>IF(A251="","",YEAR(A251))</f>
        <v>2026</v>
      </c>
      <c r="N251" s="26" t="str">
        <f>IF(A251="","",CHOOSE(WEEKDAY(A251,2),"Segunda","Terça","Quarta","Quinta","Sexta","Sábado","Domingo"))</f>
        <v>Quinta</v>
      </c>
      <c r="O251" s="26" t="str">
        <f>IF(B251="","",IF(B251&lt;TIME(12,0,0),"Manhã",IF(B251&lt;TIME(18,0,0),"Tarde","Noite")))</f>
        <v>Tarde</v>
      </c>
      <c r="P251" s="32">
        <f>IF(G251="","",IFERROR(INDEX(Config!$I$5:$I$16,MATCH(G251,Config!$H$5:$H$16,0)),0))</f>
        <v>0</v>
      </c>
      <c r="Q251" s="30">
        <f>IF(OR(H251&lt;&gt;"Realizado",P251="",P251=0),"",A251+P251)</f>
        <v/>
      </c>
      <c r="R251" s="26">
        <f>IF(Q251="","",IF(COUNTIFS($E$5:$E$3004,E251,$A$5:$A$3004,"&gt;"&amp;A251,$H$5:$H$3004,"&lt;&gt;Falta",$H$5:$H$3004,"&lt;&gt;Cancelado",$H$5:$H$3004,"&lt;&gt;Remarcado")&gt;0,"Sim","Não"))</f>
        <v/>
      </c>
      <c r="S251" s="32">
        <f>IF(R251&lt;&gt;"Não","",IF(Q251+Config!$B$9&lt;=Config!$B$8,Config!$B$8-Q251,""))</f>
        <v/>
      </c>
      <c r="T251" s="26">
        <f>IF(S251="","","Sim")</f>
        <v/>
      </c>
      <c r="U251" s="41">
        <f>IF(T251="Sim",S251+ROW()/100000,0)</f>
        <v>0</v>
      </c>
      <c r="V251" s="41">
        <f>IF(AND(H251="Falta",L251=Config!$B$7,M251=Config!$B$5,COUNTIFS($E$5:E251,E251,$H$5:H251,"Falta",$L$5:L251,Config!$B$7,$M$5:M251,Config!$B$5)=1),COUNTIFS($E$5:$E$3004,E251,$H$5:$H$3004,"Falta",$L$5:$L$3004,Config!$B$7,$M$5:$M$3004,Config!$B$5)*1000-ROW()/100000,0)</f>
        <v>0</v>
      </c>
    </row>
    <row r="252">
      <c r="A252" s="39" t="n">
        <v>46198</v>
      </c>
      <c r="B252" s="40" t="n">
        <v>0.625</v>
      </c>
      <c r="C252" s="35" t="inlineStr">
        <is>
          <t>Dr. Paulo Andrade</t>
        </is>
      </c>
      <c r="D252" s="35" t="inlineStr">
        <is>
          <t>Sala 2</t>
        </is>
      </c>
      <c r="E252" s="34" t="inlineStr">
        <is>
          <t>Leandro Ferreira</t>
        </is>
      </c>
      <c r="F252" s="35" t="inlineStr">
        <is>
          <t>Saúde Total</t>
        </is>
      </c>
      <c r="G252" s="35" t="inlineStr">
        <is>
          <t>Consulta</t>
        </is>
      </c>
      <c r="H252" s="35" t="inlineStr">
        <is>
          <t>Falta</t>
        </is>
      </c>
      <c r="I252" s="35" t="n"/>
      <c r="J252" s="35" t="n"/>
      <c r="K252" s="34" t="n"/>
      <c r="L252" s="26">
        <f>IF(A252="","",MONTH(A252))</f>
        <v>6</v>
      </c>
      <c r="M252" s="26">
        <f>IF(A252="","",YEAR(A252))</f>
        <v>2026</v>
      </c>
      <c r="N252" s="26" t="str">
        <f>IF(A252="","",CHOOSE(WEEKDAY(A252,2),"Segunda","Terça","Quarta","Quinta","Sexta","Sábado","Domingo"))</f>
        <v>Quinta</v>
      </c>
      <c r="O252" s="26" t="str">
        <f>IF(B252="","",IF(B252&lt;TIME(12,0,0),"Manhã",IF(B252&lt;TIME(18,0,0),"Tarde","Noite")))</f>
        <v>Tarde</v>
      </c>
      <c r="P252" s="32">
        <f>IF(G252="","",IFERROR(INDEX(Config!$I$5:$I$16,MATCH(G252,Config!$H$5:$H$16,0)),0))</f>
        <v>30</v>
      </c>
      <c r="Q252" s="30">
        <f>IF(OR(H252&lt;&gt;"Realizado",P252="",P252=0),"",A252+P252)</f>
        <v/>
      </c>
      <c r="R252" s="26">
        <f>IF(Q252="","",IF(COUNTIFS($E$5:$E$3004,E252,$A$5:$A$3004,"&gt;"&amp;A252,$H$5:$H$3004,"&lt;&gt;Falta",$H$5:$H$3004,"&lt;&gt;Cancelado",$H$5:$H$3004,"&lt;&gt;Remarcado")&gt;0,"Sim","Não"))</f>
        <v/>
      </c>
      <c r="S252" s="32">
        <f>IF(R252&lt;&gt;"Não","",IF(Q252+Config!$B$9&lt;=Config!$B$8,Config!$B$8-Q252,""))</f>
        <v/>
      </c>
      <c r="T252" s="26">
        <f>IF(S252="","","Sim")</f>
        <v/>
      </c>
      <c r="U252" s="41">
        <f>IF(T252="Sim",S252+ROW()/100000,0)</f>
        <v>0</v>
      </c>
      <c r="V252" s="41">
        <f>IF(AND(H252="Falta",L252=Config!$B$7,M252=Config!$B$5,COUNTIFS($E$5:E252,E252,$H$5:H252,"Falta",$L$5:L252,Config!$B$7,$M$5:M252,Config!$B$5)=1),COUNTIFS($E$5:$E$3004,E252,$H$5:$H$3004,"Falta",$L$5:$L$3004,Config!$B$7,$M$5:$M$3004,Config!$B$5)*1000-ROW()/100000,0)</f>
        <v>0</v>
      </c>
    </row>
    <row r="253">
      <c r="A253" s="39" t="n">
        <v>46198</v>
      </c>
      <c r="B253" s="40" t="n">
        <v>0.6388888888888888</v>
      </c>
      <c r="C253" s="35" t="inlineStr">
        <is>
          <t>Dra. Renata Sousa</t>
        </is>
      </c>
      <c r="D253" s="35" t="inlineStr">
        <is>
          <t>Sala 1</t>
        </is>
      </c>
      <c r="E253" s="34" t="inlineStr">
        <is>
          <t>Fábio Ferreira</t>
        </is>
      </c>
      <c r="F253" s="35" t="inlineStr">
        <is>
          <t>Particular</t>
        </is>
      </c>
      <c r="G253" s="35" t="inlineStr">
        <is>
          <t>Avaliação endócrina</t>
        </is>
      </c>
      <c r="H253" s="35" t="inlineStr">
        <is>
          <t>Realizado</t>
        </is>
      </c>
      <c r="I253" s="35" t="inlineStr">
        <is>
          <t>Pix</t>
        </is>
      </c>
      <c r="J253" s="35" t="n"/>
      <c r="K253" s="34" t="n"/>
      <c r="L253" s="26">
        <f>IF(A253="","",MONTH(A253))</f>
        <v>6</v>
      </c>
      <c r="M253" s="26">
        <f>IF(A253="","",YEAR(A253))</f>
        <v>2026</v>
      </c>
      <c r="N253" s="26" t="str">
        <f>IF(A253="","",CHOOSE(WEEKDAY(A253,2),"Segunda","Terça","Quarta","Quinta","Sexta","Sábado","Domingo"))</f>
        <v>Quinta</v>
      </c>
      <c r="O253" s="26" t="str">
        <f>IF(B253="","",IF(B253&lt;TIME(12,0,0),"Manhã",IF(B253&lt;TIME(18,0,0),"Tarde","Noite")))</f>
        <v>Tarde</v>
      </c>
      <c r="P253" s="32">
        <f>IF(G253="","",IFERROR(INDEX(Config!$I$5:$I$16,MATCH(G253,Config!$H$5:$H$16,0)),0))</f>
        <v>45</v>
      </c>
      <c r="Q253" s="30">
        <f>IF(OR(H253&lt;&gt;"Realizado",P253="",P253=0),"",A253+P253)</f>
        <v>46243.0</v>
      </c>
      <c r="R253" s="26" t="str">
        <f>IF(Q253="","",IF(COUNTIFS($E$5:$E$3004,E253,$A$5:$A$3004,"&gt;"&amp;A253,$H$5:$H$3004,"&lt;&gt;Falta",$H$5:$H$3004,"&lt;&gt;Cancelado",$H$5:$H$3004,"&lt;&gt;Remarcado")&gt;0,"Sim","Não"))</f>
        <v>Sim</v>
      </c>
      <c r="S253" s="32">
        <f>IF(R253&lt;&gt;"Não","",IF(Q253+Config!$B$9&lt;=Config!$B$8,Config!$B$8-Q253,""))</f>
        <v/>
      </c>
      <c r="T253" s="26">
        <f>IF(S253="","","Sim")</f>
        <v/>
      </c>
      <c r="U253" s="41">
        <f>IF(T253="Sim",S253+ROW()/100000,0)</f>
        <v>0</v>
      </c>
      <c r="V253" s="41">
        <f>IF(AND(H253="Falta",L253=Config!$B$7,M253=Config!$B$5,COUNTIFS($E$5:E253,E253,$H$5:H253,"Falta",$L$5:L253,Config!$B$7,$M$5:M253,Config!$B$5)=1),COUNTIFS($E$5:$E$3004,E253,$H$5:$H$3004,"Falta",$L$5:$L$3004,Config!$B$7,$M$5:$M$3004,Config!$B$5)*1000-ROW()/100000,0)</f>
        <v>0</v>
      </c>
    </row>
    <row r="254">
      <c r="A254" s="39" t="n">
        <v>46198</v>
      </c>
      <c r="B254" s="40" t="n">
        <v>0.6458333333333334</v>
      </c>
      <c r="C254" s="35" t="inlineStr">
        <is>
          <t>Dr. Paulo Andrade</t>
        </is>
      </c>
      <c r="D254" s="35" t="inlineStr">
        <is>
          <t>Sala 2</t>
        </is>
      </c>
      <c r="E254" s="34" t="inlineStr">
        <is>
          <t>Priscila Nunes</t>
        </is>
      </c>
      <c r="F254" s="35" t="inlineStr">
        <is>
          <t>MediPlan</t>
        </is>
      </c>
      <c r="G254" s="35" t="inlineStr">
        <is>
          <t>ECG</t>
        </is>
      </c>
      <c r="H254" s="35" t="inlineStr">
        <is>
          <t>Realizado</t>
        </is>
      </c>
      <c r="I254" s="35" t="inlineStr">
        <is>
          <t>Convênio</t>
        </is>
      </c>
      <c r="J254" s="35" t="n"/>
      <c r="K254" s="34" t="n"/>
      <c r="L254" s="26">
        <f>IF(A254="","",MONTH(A254))</f>
        <v>6</v>
      </c>
      <c r="M254" s="26">
        <f>IF(A254="","",YEAR(A254))</f>
        <v>2026</v>
      </c>
      <c r="N254" s="26" t="str">
        <f>IF(A254="","",CHOOSE(WEEKDAY(A254,2),"Segunda","Terça","Quarta","Quinta","Sexta","Sábado","Domingo"))</f>
        <v>Quinta</v>
      </c>
      <c r="O254" s="26" t="str">
        <f>IF(B254="","",IF(B254&lt;TIME(12,0,0),"Manhã",IF(B254&lt;TIME(18,0,0),"Tarde","Noite")))</f>
        <v>Tarde</v>
      </c>
      <c r="P254" s="32">
        <f>IF(G254="","",IFERROR(INDEX(Config!$I$5:$I$16,MATCH(G254,Config!$H$5:$H$16,0)),0))</f>
        <v>0</v>
      </c>
      <c r="Q254" s="30">
        <f>IF(OR(H254&lt;&gt;"Realizado",P254="",P254=0),"",A254+P254)</f>
        <v/>
      </c>
      <c r="R254" s="26">
        <f>IF(Q254="","",IF(COUNTIFS($E$5:$E$3004,E254,$A$5:$A$3004,"&gt;"&amp;A254,$H$5:$H$3004,"&lt;&gt;Falta",$H$5:$H$3004,"&lt;&gt;Cancelado",$H$5:$H$3004,"&lt;&gt;Remarcado")&gt;0,"Sim","Não"))</f>
        <v/>
      </c>
      <c r="S254" s="32">
        <f>IF(R254&lt;&gt;"Não","",IF(Q254+Config!$B$9&lt;=Config!$B$8,Config!$B$8-Q254,""))</f>
        <v/>
      </c>
      <c r="T254" s="26">
        <f>IF(S254="","","Sim")</f>
        <v/>
      </c>
      <c r="U254" s="41">
        <f>IF(T254="Sim",S254+ROW()/100000,0)</f>
        <v>0</v>
      </c>
      <c r="V254" s="41">
        <f>IF(AND(H254="Falta",L254=Config!$B$7,M254=Config!$B$5,COUNTIFS($E$5:E254,E254,$H$5:H254,"Falta",$L$5:L254,Config!$B$7,$M$5:M254,Config!$B$5)=1),COUNTIFS($E$5:$E$3004,E254,$H$5:$H$3004,"Falta",$L$5:$L$3004,Config!$B$7,$M$5:$M$3004,Config!$B$5)*1000-ROW()/100000,0)</f>
        <v>0</v>
      </c>
    </row>
    <row r="255">
      <c r="A255" s="39" t="n">
        <v>46198</v>
      </c>
      <c r="B255" s="40" t="n">
        <v>0.6597222222222222</v>
      </c>
      <c r="C255" s="35" t="inlineStr">
        <is>
          <t>Dr. Paulo Andrade</t>
        </is>
      </c>
      <c r="D255" s="35" t="inlineStr">
        <is>
          <t>Sala 2</t>
        </is>
      </c>
      <c r="E255" s="34" t="inlineStr">
        <is>
          <t>Leandro Ferreira</t>
        </is>
      </c>
      <c r="F255" s="35" t="inlineStr">
        <is>
          <t>Saúde Total</t>
        </is>
      </c>
      <c r="G255" s="35" t="inlineStr">
        <is>
          <t>Consulta</t>
        </is>
      </c>
      <c r="H255" s="35" t="inlineStr">
        <is>
          <t>Realizado</t>
        </is>
      </c>
      <c r="I255" s="35" t="inlineStr">
        <is>
          <t>Convênio</t>
        </is>
      </c>
      <c r="J255" s="35" t="n"/>
      <c r="K255" s="34" t="n"/>
      <c r="L255" s="26">
        <f>IF(A255="","",MONTH(A255))</f>
        <v>6</v>
      </c>
      <c r="M255" s="26">
        <f>IF(A255="","",YEAR(A255))</f>
        <v>2026</v>
      </c>
      <c r="N255" s="26" t="str">
        <f>IF(A255="","",CHOOSE(WEEKDAY(A255,2),"Segunda","Terça","Quarta","Quinta","Sexta","Sábado","Domingo"))</f>
        <v>Quinta</v>
      </c>
      <c r="O255" s="26" t="str">
        <f>IF(B255="","",IF(B255&lt;TIME(12,0,0),"Manhã",IF(B255&lt;TIME(18,0,0),"Tarde","Noite")))</f>
        <v>Tarde</v>
      </c>
      <c r="P255" s="32">
        <f>IF(G255="","",IFERROR(INDEX(Config!$I$5:$I$16,MATCH(G255,Config!$H$5:$H$16,0)),0))</f>
        <v>30</v>
      </c>
      <c r="Q255" s="30">
        <f>IF(OR(H255&lt;&gt;"Realizado",P255="",P255=0),"",A255+P255)</f>
        <v>46228.0</v>
      </c>
      <c r="R255" s="26" t="str">
        <f>IF(Q255="","",IF(COUNTIFS($E$5:$E$3004,E255,$A$5:$A$3004,"&gt;"&amp;A255,$H$5:$H$3004,"&lt;&gt;Falta",$H$5:$H$3004,"&lt;&gt;Cancelado",$H$5:$H$3004,"&lt;&gt;Remarcado")&gt;0,"Sim","Não"))</f>
        <v>Sim</v>
      </c>
      <c r="S255" s="32">
        <f>IF(R255&lt;&gt;"Não","",IF(Q255+Config!$B$9&lt;=Config!$B$8,Config!$B$8-Q255,""))</f>
        <v/>
      </c>
      <c r="T255" s="26">
        <f>IF(S255="","","Sim")</f>
        <v/>
      </c>
      <c r="U255" s="41">
        <f>IF(T255="Sim",S255+ROW()/100000,0)</f>
        <v>0</v>
      </c>
      <c r="V255" s="41">
        <f>IF(AND(H255="Falta",L255=Config!$B$7,M255=Config!$B$5,COUNTIFS($E$5:E255,E255,$H$5:H255,"Falta",$L$5:L255,Config!$B$7,$M$5:M255,Config!$B$5)=1),COUNTIFS($E$5:$E$3004,E255,$H$5:$H$3004,"Falta",$L$5:$L$3004,Config!$B$7,$M$5:$M$3004,Config!$B$5)*1000-ROW()/100000,0)</f>
        <v>0</v>
      </c>
    </row>
    <row r="256">
      <c r="A256" s="39" t="n">
        <v>46198</v>
      </c>
      <c r="B256" s="40" t="n">
        <v>0.6666666666666666</v>
      </c>
      <c r="C256" s="35" t="inlineStr">
        <is>
          <t>Dra. Renata Sousa</t>
        </is>
      </c>
      <c r="D256" s="35" t="inlineStr">
        <is>
          <t>Sala 1</t>
        </is>
      </c>
      <c r="E256" s="34" t="inlineStr">
        <is>
          <t>Fernanda Gonçalves</t>
        </is>
      </c>
      <c r="F256" s="35" t="inlineStr">
        <is>
          <t>Saúde Total</t>
        </is>
      </c>
      <c r="G256" s="35" t="inlineStr">
        <is>
          <t>Avaliação endócrina</t>
        </is>
      </c>
      <c r="H256" s="35" t="inlineStr">
        <is>
          <t>Realizado</t>
        </is>
      </c>
      <c r="I256" s="35" t="inlineStr">
        <is>
          <t>Convênio</t>
        </is>
      </c>
      <c r="J256" s="35" t="n"/>
      <c r="K256" s="34" t="n"/>
      <c r="L256" s="26">
        <f>IF(A256="","",MONTH(A256))</f>
        <v>6</v>
      </c>
      <c r="M256" s="26">
        <f>IF(A256="","",YEAR(A256))</f>
        <v>2026</v>
      </c>
      <c r="N256" s="26" t="str">
        <f>IF(A256="","",CHOOSE(WEEKDAY(A256,2),"Segunda","Terça","Quarta","Quinta","Sexta","Sábado","Domingo"))</f>
        <v>Quinta</v>
      </c>
      <c r="O256" s="26" t="str">
        <f>IF(B256="","",IF(B256&lt;TIME(12,0,0),"Manhã",IF(B256&lt;TIME(18,0,0),"Tarde","Noite")))</f>
        <v>Tarde</v>
      </c>
      <c r="P256" s="32">
        <f>IF(G256="","",IFERROR(INDEX(Config!$I$5:$I$16,MATCH(G256,Config!$H$5:$H$16,0)),0))</f>
        <v>45</v>
      </c>
      <c r="Q256" s="30">
        <f>IF(OR(H256&lt;&gt;"Realizado",P256="",P256=0),"",A256+P256)</f>
        <v>46243.0</v>
      </c>
      <c r="R256" s="26" t="str">
        <f>IF(Q256="","",IF(COUNTIFS($E$5:$E$3004,E256,$A$5:$A$3004,"&gt;"&amp;A256,$H$5:$H$3004,"&lt;&gt;Falta",$H$5:$H$3004,"&lt;&gt;Cancelado",$H$5:$H$3004,"&lt;&gt;Remarcado")&gt;0,"Sim","Não"))</f>
        <v>Sim</v>
      </c>
      <c r="S256" s="32">
        <f>IF(R256&lt;&gt;"Não","",IF(Q256+Config!$B$9&lt;=Config!$B$8,Config!$B$8-Q256,""))</f>
        <v/>
      </c>
      <c r="T256" s="26">
        <f>IF(S256="","","Sim")</f>
        <v/>
      </c>
      <c r="U256" s="41">
        <f>IF(T256="Sim",S256+ROW()/100000,0)</f>
        <v>0</v>
      </c>
      <c r="V256" s="41">
        <f>IF(AND(H256="Falta",L256=Config!$B$7,M256=Config!$B$5,COUNTIFS($E$5:E256,E256,$H$5:H256,"Falta",$L$5:L256,Config!$B$7,$M$5:M256,Config!$B$5)=1),COUNTIFS($E$5:$E$3004,E256,$H$5:$H$3004,"Falta",$L$5:$L$3004,Config!$B$7,$M$5:$M$3004,Config!$B$5)*1000-ROW()/100000,0)</f>
        <v>0</v>
      </c>
    </row>
    <row r="257">
      <c r="A257" s="39" t="n">
        <v>46198</v>
      </c>
      <c r="B257" s="40" t="n">
        <v>0.6805555555555556</v>
      </c>
      <c r="C257" s="35" t="inlineStr">
        <is>
          <t>Dr. Paulo Andrade</t>
        </is>
      </c>
      <c r="D257" s="35" t="inlineStr">
        <is>
          <t>Sala 2</t>
        </is>
      </c>
      <c r="E257" s="34" t="inlineStr">
        <is>
          <t>Priscila Carvalho</t>
        </is>
      </c>
      <c r="F257" s="35" t="inlineStr">
        <is>
          <t>Vida Care</t>
        </is>
      </c>
      <c r="G257" s="35" t="inlineStr">
        <is>
          <t>ECG</t>
        </is>
      </c>
      <c r="H257" s="35" t="inlineStr">
        <is>
          <t>Realizado</t>
        </is>
      </c>
      <c r="I257" s="35" t="inlineStr">
        <is>
          <t>Convênio</t>
        </is>
      </c>
      <c r="J257" s="35" t="n"/>
      <c r="K257" s="34" t="n"/>
      <c r="L257" s="26">
        <f>IF(A257="","",MONTH(A257))</f>
        <v>6</v>
      </c>
      <c r="M257" s="26">
        <f>IF(A257="","",YEAR(A257))</f>
        <v>2026</v>
      </c>
      <c r="N257" s="26" t="str">
        <f>IF(A257="","",CHOOSE(WEEKDAY(A257,2),"Segunda","Terça","Quarta","Quinta","Sexta","Sábado","Domingo"))</f>
        <v>Quinta</v>
      </c>
      <c r="O257" s="26" t="str">
        <f>IF(B257="","",IF(B257&lt;TIME(12,0,0),"Manhã",IF(B257&lt;TIME(18,0,0),"Tarde","Noite")))</f>
        <v>Tarde</v>
      </c>
      <c r="P257" s="32">
        <f>IF(G257="","",IFERROR(INDEX(Config!$I$5:$I$16,MATCH(G257,Config!$H$5:$H$16,0)),0))</f>
        <v>0</v>
      </c>
      <c r="Q257" s="30">
        <f>IF(OR(H257&lt;&gt;"Realizado",P257="",P257=0),"",A257+P257)</f>
        <v/>
      </c>
      <c r="R257" s="26">
        <f>IF(Q257="","",IF(COUNTIFS($E$5:$E$3004,E257,$A$5:$A$3004,"&gt;"&amp;A257,$H$5:$H$3004,"&lt;&gt;Falta",$H$5:$H$3004,"&lt;&gt;Cancelado",$H$5:$H$3004,"&lt;&gt;Remarcado")&gt;0,"Sim","Não"))</f>
        <v/>
      </c>
      <c r="S257" s="32">
        <f>IF(R257&lt;&gt;"Não","",IF(Q257+Config!$B$9&lt;=Config!$B$8,Config!$B$8-Q257,""))</f>
        <v/>
      </c>
      <c r="T257" s="26">
        <f>IF(S257="","","Sim")</f>
        <v/>
      </c>
      <c r="U257" s="41">
        <f>IF(T257="Sim",S257+ROW()/100000,0)</f>
        <v>0</v>
      </c>
      <c r="V257" s="41">
        <f>IF(AND(H257="Falta",L257=Config!$B$7,M257=Config!$B$5,COUNTIFS($E$5:E257,E257,$H$5:H257,"Falta",$L$5:L257,Config!$B$7,$M$5:M257,Config!$B$5)=1),COUNTIFS($E$5:$E$3004,E257,$H$5:$H$3004,"Falta",$L$5:$L$3004,Config!$B$7,$M$5:$M$3004,Config!$B$5)*1000-ROW()/100000,0)</f>
        <v>0</v>
      </c>
    </row>
    <row r="258">
      <c r="A258" s="39" t="n">
        <v>46198</v>
      </c>
      <c r="B258" s="40" t="n">
        <v>0.6944444444444444</v>
      </c>
      <c r="C258" s="35" t="inlineStr">
        <is>
          <t>Dr. Paulo Andrade</t>
        </is>
      </c>
      <c r="D258" s="35" t="inlineStr">
        <is>
          <t>Sala 2</t>
        </is>
      </c>
      <c r="E258" s="34" t="inlineStr">
        <is>
          <t>Gisele Lima</t>
        </is>
      </c>
      <c r="F258" s="35" t="inlineStr">
        <is>
          <t>Saúde Total</t>
        </is>
      </c>
      <c r="G258" s="35" t="inlineStr">
        <is>
          <t>Retorno</t>
        </is>
      </c>
      <c r="H258" s="35" t="inlineStr">
        <is>
          <t>Realizado</t>
        </is>
      </c>
      <c r="I258" s="35" t="inlineStr">
        <is>
          <t>Sem cobrança</t>
        </is>
      </c>
      <c r="J258" s="35" t="n"/>
      <c r="K258" s="34" t="n"/>
      <c r="L258" s="26">
        <f>IF(A258="","",MONTH(A258))</f>
        <v>6</v>
      </c>
      <c r="M258" s="26">
        <f>IF(A258="","",YEAR(A258))</f>
        <v>2026</v>
      </c>
      <c r="N258" s="26" t="str">
        <f>IF(A258="","",CHOOSE(WEEKDAY(A258,2),"Segunda","Terça","Quarta","Quinta","Sexta","Sábado","Domingo"))</f>
        <v>Quinta</v>
      </c>
      <c r="O258" s="26" t="str">
        <f>IF(B258="","",IF(B258&lt;TIME(12,0,0),"Manhã",IF(B258&lt;TIME(18,0,0),"Tarde","Noite")))</f>
        <v>Tarde</v>
      </c>
      <c r="P258" s="32">
        <f>IF(G258="","",IFERROR(INDEX(Config!$I$5:$I$16,MATCH(G258,Config!$H$5:$H$16,0)),0))</f>
        <v>0</v>
      </c>
      <c r="Q258" s="30">
        <f>IF(OR(H258&lt;&gt;"Realizado",P258="",P258=0),"",A258+P258)</f>
        <v/>
      </c>
      <c r="R258" s="26">
        <f>IF(Q258="","",IF(COUNTIFS($E$5:$E$3004,E258,$A$5:$A$3004,"&gt;"&amp;A258,$H$5:$H$3004,"&lt;&gt;Falta",$H$5:$H$3004,"&lt;&gt;Cancelado",$H$5:$H$3004,"&lt;&gt;Remarcado")&gt;0,"Sim","Não"))</f>
        <v/>
      </c>
      <c r="S258" s="32">
        <f>IF(R258&lt;&gt;"Não","",IF(Q258+Config!$B$9&lt;=Config!$B$8,Config!$B$8-Q258,""))</f>
        <v/>
      </c>
      <c r="T258" s="26">
        <f>IF(S258="","","Sim")</f>
        <v/>
      </c>
      <c r="U258" s="41">
        <f>IF(T258="Sim",S258+ROW()/100000,0)</f>
        <v>0</v>
      </c>
      <c r="V258" s="41">
        <f>IF(AND(H258="Falta",L258=Config!$B$7,M258=Config!$B$5,COUNTIFS($E$5:E258,E258,$H$5:H258,"Falta",$L$5:L258,Config!$B$7,$M$5:M258,Config!$B$5)=1),COUNTIFS($E$5:$E$3004,E258,$H$5:$H$3004,"Falta",$L$5:$L$3004,Config!$B$7,$M$5:$M$3004,Config!$B$5)*1000-ROW()/100000,0)</f>
        <v>0</v>
      </c>
    </row>
    <row r="259">
      <c r="A259" s="39" t="n">
        <v>46198</v>
      </c>
      <c r="B259" s="40" t="n">
        <v>0.7083333333333334</v>
      </c>
      <c r="C259" s="35" t="inlineStr">
        <is>
          <t>Dr. Paulo Andrade</t>
        </is>
      </c>
      <c r="D259" s="35" t="inlineStr">
        <is>
          <t>Sala 2</t>
        </is>
      </c>
      <c r="E259" s="34" t="inlineStr">
        <is>
          <t>Sérgio Batista</t>
        </is>
      </c>
      <c r="F259" s="35" t="inlineStr">
        <is>
          <t>MediPlan</t>
        </is>
      </c>
      <c r="G259" s="35" t="inlineStr">
        <is>
          <t>ECG</t>
        </is>
      </c>
      <c r="H259" s="35" t="inlineStr">
        <is>
          <t>Realizado</t>
        </is>
      </c>
      <c r="I259" s="35" t="inlineStr">
        <is>
          <t>Convênio</t>
        </is>
      </c>
      <c r="J259" s="35" t="n"/>
      <c r="K259" s="34" t="n"/>
      <c r="L259" s="26">
        <f>IF(A259="","",MONTH(A259))</f>
        <v>6</v>
      </c>
      <c r="M259" s="26">
        <f>IF(A259="","",YEAR(A259))</f>
        <v>2026</v>
      </c>
      <c r="N259" s="26" t="str">
        <f>IF(A259="","",CHOOSE(WEEKDAY(A259,2),"Segunda","Terça","Quarta","Quinta","Sexta","Sábado","Domingo"))</f>
        <v>Quinta</v>
      </c>
      <c r="O259" s="26" t="str">
        <f>IF(B259="","",IF(B259&lt;TIME(12,0,0),"Manhã",IF(B259&lt;TIME(18,0,0),"Tarde","Noite")))</f>
        <v>Tarde</v>
      </c>
      <c r="P259" s="32">
        <f>IF(G259="","",IFERROR(INDEX(Config!$I$5:$I$16,MATCH(G259,Config!$H$5:$H$16,0)),0))</f>
        <v>0</v>
      </c>
      <c r="Q259" s="30">
        <f>IF(OR(H259&lt;&gt;"Realizado",P259="",P259=0),"",A259+P259)</f>
        <v/>
      </c>
      <c r="R259" s="26">
        <f>IF(Q259="","",IF(COUNTIFS($E$5:$E$3004,E259,$A$5:$A$3004,"&gt;"&amp;A259,$H$5:$H$3004,"&lt;&gt;Falta",$H$5:$H$3004,"&lt;&gt;Cancelado",$H$5:$H$3004,"&lt;&gt;Remarcado")&gt;0,"Sim","Não"))</f>
        <v/>
      </c>
      <c r="S259" s="32">
        <f>IF(R259&lt;&gt;"Não","",IF(Q259+Config!$B$9&lt;=Config!$B$8,Config!$B$8-Q259,""))</f>
        <v/>
      </c>
      <c r="T259" s="26">
        <f>IF(S259="","","Sim")</f>
        <v/>
      </c>
      <c r="U259" s="41">
        <f>IF(T259="Sim",S259+ROW()/100000,0)</f>
        <v>0</v>
      </c>
      <c r="V259" s="41">
        <f>IF(AND(H259="Falta",L259=Config!$B$7,M259=Config!$B$5,COUNTIFS($E$5:E259,E259,$H$5:H259,"Falta",$L$5:L259,Config!$B$7,$M$5:M259,Config!$B$5)=1),COUNTIFS($E$5:$E$3004,E259,$H$5:$H$3004,"Falta",$L$5:$L$3004,Config!$B$7,$M$5:$M$3004,Config!$B$5)*1000-ROW()/100000,0)</f>
        <v>0</v>
      </c>
    </row>
    <row r="260">
      <c r="A260" s="39" t="n">
        <v>46198</v>
      </c>
      <c r="B260" s="40" t="n">
        <v>0.7222222222222222</v>
      </c>
      <c r="C260" s="35" t="inlineStr">
        <is>
          <t>Dr. Paulo Andrade</t>
        </is>
      </c>
      <c r="D260" s="35" t="inlineStr">
        <is>
          <t>Sala 2</t>
        </is>
      </c>
      <c r="E260" s="34" t="inlineStr">
        <is>
          <t>Gabriel Fernandes</t>
        </is>
      </c>
      <c r="F260" s="35" t="inlineStr">
        <is>
          <t>Particular</t>
        </is>
      </c>
      <c r="G260" s="35" t="inlineStr">
        <is>
          <t>Consulta</t>
        </is>
      </c>
      <c r="H260" s="35" t="inlineStr">
        <is>
          <t>Realizado</t>
        </is>
      </c>
      <c r="I260" s="35" t="inlineStr">
        <is>
          <t>Pix</t>
        </is>
      </c>
      <c r="J260" s="35" t="n"/>
      <c r="K260" s="34" t="n"/>
      <c r="L260" s="26">
        <f>IF(A260="","",MONTH(A260))</f>
        <v>6</v>
      </c>
      <c r="M260" s="26">
        <f>IF(A260="","",YEAR(A260))</f>
        <v>2026</v>
      </c>
      <c r="N260" s="26" t="str">
        <f>IF(A260="","",CHOOSE(WEEKDAY(A260,2),"Segunda","Terça","Quarta","Quinta","Sexta","Sábado","Domingo"))</f>
        <v>Quinta</v>
      </c>
      <c r="O260" s="26" t="str">
        <f>IF(B260="","",IF(B260&lt;TIME(12,0,0),"Manhã",IF(B260&lt;TIME(18,0,0),"Tarde","Noite")))</f>
        <v>Tarde</v>
      </c>
      <c r="P260" s="32">
        <f>IF(G260="","",IFERROR(INDEX(Config!$I$5:$I$16,MATCH(G260,Config!$H$5:$H$16,0)),0))</f>
        <v>30</v>
      </c>
      <c r="Q260" s="30">
        <f>IF(OR(H260&lt;&gt;"Realizado",P260="",P260=0),"",A260+P260)</f>
        <v>46228.0</v>
      </c>
      <c r="R260" s="26" t="str">
        <f>IF(Q260="","",IF(COUNTIFS($E$5:$E$3004,E260,$A$5:$A$3004,"&gt;"&amp;A260,$H$5:$H$3004,"&lt;&gt;Falta",$H$5:$H$3004,"&lt;&gt;Cancelado",$H$5:$H$3004,"&lt;&gt;Remarcado")&gt;0,"Sim","Não"))</f>
        <v>Não</v>
      </c>
      <c r="S260" s="32">
        <f>IF(R260&lt;&gt;"Não","",IF(Q260+Config!$B$9&lt;=Config!$B$8,Config!$B$8-Q260,""))</f>
        <v>51</v>
      </c>
      <c r="T260" s="26" t="str">
        <f>IF(S260="","","Sim")</f>
        <v>Sim</v>
      </c>
      <c r="U260" s="41">
        <f>IF(T260="Sim",S260+ROW()/100000,0)</f>
        <v>51.0026</v>
      </c>
      <c r="V260" s="41">
        <f>IF(AND(H260="Falta",L260=Config!$B$7,M260=Config!$B$5,COUNTIFS($E$5:E260,E260,$H$5:H260,"Falta",$L$5:L260,Config!$B$7,$M$5:M260,Config!$B$5)=1),COUNTIFS($E$5:$E$3004,E260,$H$5:$H$3004,"Falta",$L$5:$L$3004,Config!$B$7,$M$5:$M$3004,Config!$B$5)*1000-ROW()/100000,0)</f>
        <v>0</v>
      </c>
    </row>
    <row r="261">
      <c r="A261" s="39" t="n">
        <v>46198</v>
      </c>
      <c r="B261" s="40" t="n">
        <v>0.7361111111111112</v>
      </c>
      <c r="C261" s="35" t="inlineStr">
        <is>
          <t>Dra. Renata Sousa</t>
        </is>
      </c>
      <c r="D261" s="35" t="inlineStr">
        <is>
          <t>Sala 1</t>
        </is>
      </c>
      <c r="E261" s="34" t="inlineStr">
        <is>
          <t>Gisele Lopes</t>
        </is>
      </c>
      <c r="F261" s="35" t="inlineStr">
        <is>
          <t>Saúde Total</t>
        </is>
      </c>
      <c r="G261" s="35" t="inlineStr">
        <is>
          <t>Avaliação endócrina</t>
        </is>
      </c>
      <c r="H261" s="35" t="inlineStr">
        <is>
          <t>Realizado</t>
        </is>
      </c>
      <c r="I261" s="35" t="inlineStr">
        <is>
          <t>Convênio</t>
        </is>
      </c>
      <c r="J261" s="35" t="n"/>
      <c r="K261" s="34" t="n"/>
      <c r="L261" s="26">
        <f>IF(A261="","",MONTH(A261))</f>
        <v>6</v>
      </c>
      <c r="M261" s="26">
        <f>IF(A261="","",YEAR(A261))</f>
        <v>2026</v>
      </c>
      <c r="N261" s="26" t="str">
        <f>IF(A261="","",CHOOSE(WEEKDAY(A261,2),"Segunda","Terça","Quarta","Quinta","Sexta","Sábado","Domingo"))</f>
        <v>Quinta</v>
      </c>
      <c r="O261" s="26" t="str">
        <f>IF(B261="","",IF(B261&lt;TIME(12,0,0),"Manhã",IF(B261&lt;TIME(18,0,0),"Tarde","Noite")))</f>
        <v>Tarde</v>
      </c>
      <c r="P261" s="32">
        <f>IF(G261="","",IFERROR(INDEX(Config!$I$5:$I$16,MATCH(G261,Config!$H$5:$H$16,0)),0))</f>
        <v>45</v>
      </c>
      <c r="Q261" s="30">
        <f>IF(OR(H261&lt;&gt;"Realizado",P261="",P261=0),"",A261+P261)</f>
        <v>46243.0</v>
      </c>
      <c r="R261" s="26" t="str">
        <f>IF(Q261="","",IF(COUNTIFS($E$5:$E$3004,E261,$A$5:$A$3004,"&gt;"&amp;A261,$H$5:$H$3004,"&lt;&gt;Falta",$H$5:$H$3004,"&lt;&gt;Cancelado",$H$5:$H$3004,"&lt;&gt;Remarcado")&gt;0,"Sim","Não"))</f>
        <v>Sim</v>
      </c>
      <c r="S261" s="32">
        <f>IF(R261&lt;&gt;"Não","",IF(Q261+Config!$B$9&lt;=Config!$B$8,Config!$B$8-Q261,""))</f>
        <v/>
      </c>
      <c r="T261" s="26">
        <f>IF(S261="","","Sim")</f>
        <v/>
      </c>
      <c r="U261" s="41">
        <f>IF(T261="Sim",S261+ROW()/100000,0)</f>
        <v>0</v>
      </c>
      <c r="V261" s="41">
        <f>IF(AND(H261="Falta",L261=Config!$B$7,M261=Config!$B$5,COUNTIFS($E$5:E261,E261,$H$5:H261,"Falta",$L$5:L261,Config!$B$7,$M$5:M261,Config!$B$5)=1),COUNTIFS($E$5:$E$3004,E261,$H$5:$H$3004,"Falta",$L$5:$L$3004,Config!$B$7,$M$5:$M$3004,Config!$B$5)*1000-ROW()/100000,0)</f>
        <v>0</v>
      </c>
    </row>
    <row r="262">
      <c r="A262" s="39" t="n">
        <v>46199</v>
      </c>
      <c r="B262" s="40" t="n">
        <v>0.3333333333333333</v>
      </c>
      <c r="C262" s="35" t="inlineStr">
        <is>
          <t>Dr. Paulo Andrade</t>
        </is>
      </c>
      <c r="D262" s="35" t="inlineStr">
        <is>
          <t>Sala 2</t>
        </is>
      </c>
      <c r="E262" s="34" t="inlineStr">
        <is>
          <t>Beatriz Gonçalves</t>
        </is>
      </c>
      <c r="F262" s="35" t="inlineStr">
        <is>
          <t>Saúde Total</t>
        </is>
      </c>
      <c r="G262" s="35" t="inlineStr">
        <is>
          <t>Consulta</t>
        </is>
      </c>
      <c r="H262" s="35" t="inlineStr">
        <is>
          <t>Realizado</t>
        </is>
      </c>
      <c r="I262" s="35" t="inlineStr">
        <is>
          <t>Convênio</t>
        </is>
      </c>
      <c r="J262" s="35" t="n"/>
      <c r="K262" s="34" t="n"/>
      <c r="L262" s="26">
        <f>IF(A262="","",MONTH(A262))</f>
        <v>6</v>
      </c>
      <c r="M262" s="26">
        <f>IF(A262="","",YEAR(A262))</f>
        <v>2026</v>
      </c>
      <c r="N262" s="26" t="str">
        <f>IF(A262="","",CHOOSE(WEEKDAY(A262,2),"Segunda","Terça","Quarta","Quinta","Sexta","Sábado","Domingo"))</f>
        <v>Sexta</v>
      </c>
      <c r="O262" s="26" t="str">
        <f>IF(B262="","",IF(B262&lt;TIME(12,0,0),"Manhã",IF(B262&lt;TIME(18,0,0),"Tarde","Noite")))</f>
        <v>Manhã</v>
      </c>
      <c r="P262" s="32">
        <f>IF(G262="","",IFERROR(INDEX(Config!$I$5:$I$16,MATCH(G262,Config!$H$5:$H$16,0)),0))</f>
        <v>30</v>
      </c>
      <c r="Q262" s="30">
        <f>IF(OR(H262&lt;&gt;"Realizado",P262="",P262=0),"",A262+P262)</f>
        <v>46229.0</v>
      </c>
      <c r="R262" s="26" t="str">
        <f>IF(Q262="","",IF(COUNTIFS($E$5:$E$3004,E262,$A$5:$A$3004,"&gt;"&amp;A262,$H$5:$H$3004,"&lt;&gt;Falta",$H$5:$H$3004,"&lt;&gt;Cancelado",$H$5:$H$3004,"&lt;&gt;Remarcado")&gt;0,"Sim","Não"))</f>
        <v>Sim</v>
      </c>
      <c r="S262" s="32">
        <f>IF(R262&lt;&gt;"Não","",IF(Q262+Config!$B$9&lt;=Config!$B$8,Config!$B$8-Q262,""))</f>
        <v/>
      </c>
      <c r="T262" s="26">
        <f>IF(S262="","","Sim")</f>
        <v/>
      </c>
      <c r="U262" s="41">
        <f>IF(T262="Sim",S262+ROW()/100000,0)</f>
        <v>0</v>
      </c>
      <c r="V262" s="41">
        <f>IF(AND(H262="Falta",L262=Config!$B$7,M262=Config!$B$5,COUNTIFS($E$5:E262,E262,$H$5:H262,"Falta",$L$5:L262,Config!$B$7,$M$5:M262,Config!$B$5)=1),COUNTIFS($E$5:$E$3004,E262,$H$5:$H$3004,"Falta",$L$5:$L$3004,Config!$B$7,$M$5:$M$3004,Config!$B$5)*1000-ROW()/100000,0)</f>
        <v>0</v>
      </c>
    </row>
    <row r="263">
      <c r="A263" s="39" t="n">
        <v>46199</v>
      </c>
      <c r="B263" s="40" t="n">
        <v>0.3541666666666667</v>
      </c>
      <c r="C263" s="35" t="inlineStr">
        <is>
          <t>Dr. Paulo Andrade</t>
        </is>
      </c>
      <c r="D263" s="35" t="inlineStr">
        <is>
          <t>Sala 2</t>
        </is>
      </c>
      <c r="E263" s="34" t="inlineStr">
        <is>
          <t>Leandro Cardoso</t>
        </is>
      </c>
      <c r="F263" s="35" t="inlineStr">
        <is>
          <t>MediPlan</t>
        </is>
      </c>
      <c r="G263" s="35" t="inlineStr">
        <is>
          <t>Consulta</t>
        </is>
      </c>
      <c r="H263" s="35" t="inlineStr">
        <is>
          <t>Realizado</t>
        </is>
      </c>
      <c r="I263" s="35" t="inlineStr">
        <is>
          <t>Convênio</t>
        </is>
      </c>
      <c r="J263" s="35" t="n"/>
      <c r="K263" s="34" t="n"/>
      <c r="L263" s="26">
        <f>IF(A263="","",MONTH(A263))</f>
        <v>6</v>
      </c>
      <c r="M263" s="26">
        <f>IF(A263="","",YEAR(A263))</f>
        <v>2026</v>
      </c>
      <c r="N263" s="26" t="str">
        <f>IF(A263="","",CHOOSE(WEEKDAY(A263,2),"Segunda","Terça","Quarta","Quinta","Sexta","Sábado","Domingo"))</f>
        <v>Sexta</v>
      </c>
      <c r="O263" s="26" t="str">
        <f>IF(B263="","",IF(B263&lt;TIME(12,0,0),"Manhã",IF(B263&lt;TIME(18,0,0),"Tarde","Noite")))</f>
        <v>Manhã</v>
      </c>
      <c r="P263" s="32">
        <f>IF(G263="","",IFERROR(INDEX(Config!$I$5:$I$16,MATCH(G263,Config!$H$5:$H$16,0)),0))</f>
        <v>30</v>
      </c>
      <c r="Q263" s="30">
        <f>IF(OR(H263&lt;&gt;"Realizado",P263="",P263=0),"",A263+P263)</f>
        <v>46229.0</v>
      </c>
      <c r="R263" s="26" t="str">
        <f>IF(Q263="","",IF(COUNTIFS($E$5:$E$3004,E263,$A$5:$A$3004,"&gt;"&amp;A263,$H$5:$H$3004,"&lt;&gt;Falta",$H$5:$H$3004,"&lt;&gt;Cancelado",$H$5:$H$3004,"&lt;&gt;Remarcado")&gt;0,"Sim","Não"))</f>
        <v>Sim</v>
      </c>
      <c r="S263" s="32">
        <f>IF(R263&lt;&gt;"Não","",IF(Q263+Config!$B$9&lt;=Config!$B$8,Config!$B$8-Q263,""))</f>
        <v/>
      </c>
      <c r="T263" s="26">
        <f>IF(S263="","","Sim")</f>
        <v/>
      </c>
      <c r="U263" s="41">
        <f>IF(T263="Sim",S263+ROW()/100000,0)</f>
        <v>0</v>
      </c>
      <c r="V263" s="41">
        <f>IF(AND(H263="Falta",L263=Config!$B$7,M263=Config!$B$5,COUNTIFS($E$5:E263,E263,$H$5:H263,"Falta",$L$5:L263,Config!$B$7,$M$5:M263,Config!$B$5)=1),COUNTIFS($E$5:$E$3004,E263,$H$5:$H$3004,"Falta",$L$5:$L$3004,Config!$B$7,$M$5:$M$3004,Config!$B$5)*1000-ROW()/100000,0)</f>
        <v>0</v>
      </c>
    </row>
    <row r="264">
      <c r="A264" s="39" t="n">
        <v>46199</v>
      </c>
      <c r="B264" s="40" t="n">
        <v>0.375</v>
      </c>
      <c r="C264" s="35" t="inlineStr">
        <is>
          <t>Dr. Paulo Andrade</t>
        </is>
      </c>
      <c r="D264" s="35" t="inlineStr">
        <is>
          <t>Sala 2</t>
        </is>
      </c>
      <c r="E264" s="34" t="inlineStr">
        <is>
          <t>Priscila Rocha</t>
        </is>
      </c>
      <c r="F264" s="35" t="inlineStr">
        <is>
          <t>MediPlan</t>
        </is>
      </c>
      <c r="G264" s="35" t="inlineStr">
        <is>
          <t>ECG</t>
        </is>
      </c>
      <c r="H264" s="35" t="inlineStr">
        <is>
          <t>Falta</t>
        </is>
      </c>
      <c r="I264" s="35" t="n"/>
      <c r="J264" s="35" t="n"/>
      <c r="K264" s="34" t="n"/>
      <c r="L264" s="26">
        <f>IF(A264="","",MONTH(A264))</f>
        <v>6</v>
      </c>
      <c r="M264" s="26">
        <f>IF(A264="","",YEAR(A264))</f>
        <v>2026</v>
      </c>
      <c r="N264" s="26" t="str">
        <f>IF(A264="","",CHOOSE(WEEKDAY(A264,2),"Segunda","Terça","Quarta","Quinta","Sexta","Sábado","Domingo"))</f>
        <v>Sexta</v>
      </c>
      <c r="O264" s="26" t="str">
        <f>IF(B264="","",IF(B264&lt;TIME(12,0,0),"Manhã",IF(B264&lt;TIME(18,0,0),"Tarde","Noite")))</f>
        <v>Manhã</v>
      </c>
      <c r="P264" s="32">
        <f>IF(G264="","",IFERROR(INDEX(Config!$I$5:$I$16,MATCH(G264,Config!$H$5:$H$16,0)),0))</f>
        <v>0</v>
      </c>
      <c r="Q264" s="30">
        <f>IF(OR(H264&lt;&gt;"Realizado",P264="",P264=0),"",A264+P264)</f>
        <v/>
      </c>
      <c r="R264" s="26">
        <f>IF(Q264="","",IF(COUNTIFS($E$5:$E$3004,E264,$A$5:$A$3004,"&gt;"&amp;A264,$H$5:$H$3004,"&lt;&gt;Falta",$H$5:$H$3004,"&lt;&gt;Cancelado",$H$5:$H$3004,"&lt;&gt;Remarcado")&gt;0,"Sim","Não"))</f>
        <v/>
      </c>
      <c r="S264" s="32">
        <f>IF(R264&lt;&gt;"Não","",IF(Q264+Config!$B$9&lt;=Config!$B$8,Config!$B$8-Q264,""))</f>
        <v/>
      </c>
      <c r="T264" s="26">
        <f>IF(S264="","","Sim")</f>
        <v/>
      </c>
      <c r="U264" s="41">
        <f>IF(T264="Sim",S264+ROW()/100000,0)</f>
        <v>0</v>
      </c>
      <c r="V264" s="41">
        <f>IF(AND(H264="Falta",L264=Config!$B$7,M264=Config!$B$5,COUNTIFS($E$5:E264,E264,$H$5:H264,"Falta",$L$5:L264,Config!$B$7,$M$5:M264,Config!$B$5)=1),COUNTIFS($E$5:$E$3004,E264,$H$5:$H$3004,"Falta",$L$5:$L$3004,Config!$B$7,$M$5:$M$3004,Config!$B$5)*1000-ROW()/100000,0)</f>
        <v>0</v>
      </c>
    </row>
    <row r="265">
      <c r="A265" s="39" t="n">
        <v>46199</v>
      </c>
      <c r="B265" s="40" t="n">
        <v>0.3888888888888889</v>
      </c>
      <c r="C265" s="35" t="inlineStr">
        <is>
          <t>Dr. Paulo Andrade</t>
        </is>
      </c>
      <c r="D265" s="35" t="inlineStr">
        <is>
          <t>Sala 2</t>
        </is>
      </c>
      <c r="E265" s="34" t="inlineStr">
        <is>
          <t>Carlos Castro</t>
        </is>
      </c>
      <c r="F265" s="35" t="inlineStr">
        <is>
          <t>Saúde Total</t>
        </is>
      </c>
      <c r="G265" s="35" t="inlineStr">
        <is>
          <t>ECG</t>
        </is>
      </c>
      <c r="H265" s="35" t="inlineStr">
        <is>
          <t>Realizado</t>
        </is>
      </c>
      <c r="I265" s="35" t="inlineStr">
        <is>
          <t>Convênio</t>
        </is>
      </c>
      <c r="J265" s="35" t="n"/>
      <c r="K265" s="34" t="n"/>
      <c r="L265" s="26">
        <f>IF(A265="","",MONTH(A265))</f>
        <v>6</v>
      </c>
      <c r="M265" s="26">
        <f>IF(A265="","",YEAR(A265))</f>
        <v>2026</v>
      </c>
      <c r="N265" s="26" t="str">
        <f>IF(A265="","",CHOOSE(WEEKDAY(A265,2),"Segunda","Terça","Quarta","Quinta","Sexta","Sábado","Domingo"))</f>
        <v>Sexta</v>
      </c>
      <c r="O265" s="26" t="str">
        <f>IF(B265="","",IF(B265&lt;TIME(12,0,0),"Manhã",IF(B265&lt;TIME(18,0,0),"Tarde","Noite")))</f>
        <v>Manhã</v>
      </c>
      <c r="P265" s="32">
        <f>IF(G265="","",IFERROR(INDEX(Config!$I$5:$I$16,MATCH(G265,Config!$H$5:$H$16,0)),0))</f>
        <v>0</v>
      </c>
      <c r="Q265" s="30">
        <f>IF(OR(H265&lt;&gt;"Realizado",P265="",P265=0),"",A265+P265)</f>
        <v/>
      </c>
      <c r="R265" s="26">
        <f>IF(Q265="","",IF(COUNTIFS($E$5:$E$3004,E265,$A$5:$A$3004,"&gt;"&amp;A265,$H$5:$H$3004,"&lt;&gt;Falta",$H$5:$H$3004,"&lt;&gt;Cancelado",$H$5:$H$3004,"&lt;&gt;Remarcado")&gt;0,"Sim","Não"))</f>
        <v/>
      </c>
      <c r="S265" s="32">
        <f>IF(R265&lt;&gt;"Não","",IF(Q265+Config!$B$9&lt;=Config!$B$8,Config!$B$8-Q265,""))</f>
        <v/>
      </c>
      <c r="T265" s="26">
        <f>IF(S265="","","Sim")</f>
        <v/>
      </c>
      <c r="U265" s="41">
        <f>IF(T265="Sim",S265+ROW()/100000,0)</f>
        <v>0</v>
      </c>
      <c r="V265" s="41">
        <f>IF(AND(H265="Falta",L265=Config!$B$7,M265=Config!$B$5,COUNTIFS($E$5:E265,E265,$H$5:H265,"Falta",$L$5:L265,Config!$B$7,$M$5:M265,Config!$B$5)=1),COUNTIFS($E$5:$E$3004,E265,$H$5:$H$3004,"Falta",$L$5:$L$3004,Config!$B$7,$M$5:$M$3004,Config!$B$5)*1000-ROW()/100000,0)</f>
        <v>0</v>
      </c>
    </row>
    <row r="266">
      <c r="A266" s="39" t="n">
        <v>46199</v>
      </c>
      <c r="B266" s="40" t="n">
        <v>0.4027777777777778</v>
      </c>
      <c r="C266" s="35" t="inlineStr">
        <is>
          <t>Dr. Paulo Andrade</t>
        </is>
      </c>
      <c r="D266" s="35" t="inlineStr">
        <is>
          <t>Sala 2</t>
        </is>
      </c>
      <c r="E266" s="34" t="inlineStr">
        <is>
          <t>Otávio Martins</t>
        </is>
      </c>
      <c r="F266" s="35" t="inlineStr">
        <is>
          <t>MediPlan</t>
        </is>
      </c>
      <c r="G266" s="35" t="inlineStr">
        <is>
          <t>Consulta</t>
        </is>
      </c>
      <c r="H266" s="35" t="inlineStr">
        <is>
          <t>Realizado</t>
        </is>
      </c>
      <c r="I266" s="35" t="inlineStr">
        <is>
          <t>Convênio</t>
        </is>
      </c>
      <c r="J266" s="35" t="n"/>
      <c r="K266" s="34" t="n"/>
      <c r="L266" s="26">
        <f>IF(A266="","",MONTH(A266))</f>
        <v>6</v>
      </c>
      <c r="M266" s="26">
        <f>IF(A266="","",YEAR(A266))</f>
        <v>2026</v>
      </c>
      <c r="N266" s="26" t="str">
        <f>IF(A266="","",CHOOSE(WEEKDAY(A266,2),"Segunda","Terça","Quarta","Quinta","Sexta","Sábado","Domingo"))</f>
        <v>Sexta</v>
      </c>
      <c r="O266" s="26" t="str">
        <f>IF(B266="","",IF(B266&lt;TIME(12,0,0),"Manhã",IF(B266&lt;TIME(18,0,0),"Tarde","Noite")))</f>
        <v>Manhã</v>
      </c>
      <c r="P266" s="32">
        <f>IF(G266="","",IFERROR(INDEX(Config!$I$5:$I$16,MATCH(G266,Config!$H$5:$H$16,0)),0))</f>
        <v>30</v>
      </c>
      <c r="Q266" s="30">
        <f>IF(OR(H266&lt;&gt;"Realizado",P266="",P266=0),"",A266+P266)</f>
        <v>46229.0</v>
      </c>
      <c r="R266" s="26" t="str">
        <f>IF(Q266="","",IF(COUNTIFS($E$5:$E$3004,E266,$A$5:$A$3004,"&gt;"&amp;A266,$H$5:$H$3004,"&lt;&gt;Falta",$H$5:$H$3004,"&lt;&gt;Cancelado",$H$5:$H$3004,"&lt;&gt;Remarcado")&gt;0,"Sim","Não"))</f>
        <v>Sim</v>
      </c>
      <c r="S266" s="32">
        <f>IF(R266&lt;&gt;"Não","",IF(Q266+Config!$B$9&lt;=Config!$B$8,Config!$B$8-Q266,""))</f>
        <v/>
      </c>
      <c r="T266" s="26">
        <f>IF(S266="","","Sim")</f>
        <v/>
      </c>
      <c r="U266" s="41">
        <f>IF(T266="Sim",S266+ROW()/100000,0)</f>
        <v>0</v>
      </c>
      <c r="V266" s="41">
        <f>IF(AND(H266="Falta",L266=Config!$B$7,M266=Config!$B$5,COUNTIFS($E$5:E266,E266,$H$5:H266,"Falta",$L$5:L266,Config!$B$7,$M$5:M266,Config!$B$5)=1),COUNTIFS($E$5:$E$3004,E266,$H$5:$H$3004,"Falta",$L$5:$L$3004,Config!$B$7,$M$5:$M$3004,Config!$B$5)*1000-ROW()/100000,0)</f>
        <v>0</v>
      </c>
    </row>
    <row r="267">
      <c r="A267" s="39" t="n">
        <v>46199</v>
      </c>
      <c r="B267" s="40" t="n">
        <v>0.4236111111111111</v>
      </c>
      <c r="C267" s="35" t="inlineStr">
        <is>
          <t>Dr. Paulo Andrade</t>
        </is>
      </c>
      <c r="D267" s="35" t="inlineStr">
        <is>
          <t>Sala 2</t>
        </is>
      </c>
      <c r="E267" s="34" t="inlineStr">
        <is>
          <t>Rafael Araújo</t>
        </is>
      </c>
      <c r="F267" s="35" t="inlineStr">
        <is>
          <t>MediPlan</t>
        </is>
      </c>
      <c r="G267" s="35" t="inlineStr">
        <is>
          <t>Consulta</t>
        </is>
      </c>
      <c r="H267" s="35" t="inlineStr">
        <is>
          <t>Realizado</t>
        </is>
      </c>
      <c r="I267" s="35" t="inlineStr">
        <is>
          <t>Convênio</t>
        </is>
      </c>
      <c r="J267" s="35" t="n"/>
      <c r="K267" s="34" t="n"/>
      <c r="L267" s="26">
        <f>IF(A267="","",MONTH(A267))</f>
        <v>6</v>
      </c>
      <c r="M267" s="26">
        <f>IF(A267="","",YEAR(A267))</f>
        <v>2026</v>
      </c>
      <c r="N267" s="26" t="str">
        <f>IF(A267="","",CHOOSE(WEEKDAY(A267,2),"Segunda","Terça","Quarta","Quinta","Sexta","Sábado","Domingo"))</f>
        <v>Sexta</v>
      </c>
      <c r="O267" s="26" t="str">
        <f>IF(B267="","",IF(B267&lt;TIME(12,0,0),"Manhã",IF(B267&lt;TIME(18,0,0),"Tarde","Noite")))</f>
        <v>Manhã</v>
      </c>
      <c r="P267" s="32">
        <f>IF(G267="","",IFERROR(INDEX(Config!$I$5:$I$16,MATCH(G267,Config!$H$5:$H$16,0)),0))</f>
        <v>30</v>
      </c>
      <c r="Q267" s="30">
        <f>IF(OR(H267&lt;&gt;"Realizado",P267="",P267=0),"",A267+P267)</f>
        <v>46229.0</v>
      </c>
      <c r="R267" s="26" t="str">
        <f>IF(Q267="","",IF(COUNTIFS($E$5:$E$3004,E267,$A$5:$A$3004,"&gt;"&amp;A267,$H$5:$H$3004,"&lt;&gt;Falta",$H$5:$H$3004,"&lt;&gt;Cancelado",$H$5:$H$3004,"&lt;&gt;Remarcado")&gt;0,"Sim","Não"))</f>
        <v>Sim</v>
      </c>
      <c r="S267" s="32">
        <f>IF(R267&lt;&gt;"Não","",IF(Q267+Config!$B$9&lt;=Config!$B$8,Config!$B$8-Q267,""))</f>
        <v/>
      </c>
      <c r="T267" s="26">
        <f>IF(S267="","","Sim")</f>
        <v/>
      </c>
      <c r="U267" s="41">
        <f>IF(T267="Sim",S267+ROW()/100000,0)</f>
        <v>0</v>
      </c>
      <c r="V267" s="41">
        <f>IF(AND(H267="Falta",L267=Config!$B$7,M267=Config!$B$5,COUNTIFS($E$5:E267,E267,$H$5:H267,"Falta",$L$5:L267,Config!$B$7,$M$5:M267,Config!$B$5)=1),COUNTIFS($E$5:$E$3004,E267,$H$5:$H$3004,"Falta",$L$5:$L$3004,Config!$B$7,$M$5:$M$3004,Config!$B$5)*1000-ROW()/100000,0)</f>
        <v>0</v>
      </c>
    </row>
    <row r="268">
      <c r="A268" s="39" t="n">
        <v>46199</v>
      </c>
      <c r="B268" s="40" t="n">
        <v>0.4652777777777778</v>
      </c>
      <c r="C268" s="35" t="inlineStr">
        <is>
          <t>Dr. Paulo Andrade</t>
        </is>
      </c>
      <c r="D268" s="35" t="inlineStr">
        <is>
          <t>Sala 2</t>
        </is>
      </c>
      <c r="E268" s="34" t="inlineStr">
        <is>
          <t>Marcelo Ferreira</t>
        </is>
      </c>
      <c r="F268" s="35" t="inlineStr">
        <is>
          <t>Particular</t>
        </is>
      </c>
      <c r="G268" s="35" t="inlineStr">
        <is>
          <t>Consulta</t>
        </is>
      </c>
      <c r="H268" s="35" t="inlineStr">
        <is>
          <t>Realizado</t>
        </is>
      </c>
      <c r="I268" s="35" t="inlineStr">
        <is>
          <t>Cartão de débito</t>
        </is>
      </c>
      <c r="J268" s="35" t="n"/>
      <c r="K268" s="34" t="n"/>
      <c r="L268" s="26">
        <f>IF(A268="","",MONTH(A268))</f>
        <v>6</v>
      </c>
      <c r="M268" s="26">
        <f>IF(A268="","",YEAR(A268))</f>
        <v>2026</v>
      </c>
      <c r="N268" s="26" t="str">
        <f>IF(A268="","",CHOOSE(WEEKDAY(A268,2),"Segunda","Terça","Quarta","Quinta","Sexta","Sábado","Domingo"))</f>
        <v>Sexta</v>
      </c>
      <c r="O268" s="26" t="str">
        <f>IF(B268="","",IF(B268&lt;TIME(12,0,0),"Manhã",IF(B268&lt;TIME(18,0,0),"Tarde","Noite")))</f>
        <v>Manhã</v>
      </c>
      <c r="P268" s="32">
        <f>IF(G268="","",IFERROR(INDEX(Config!$I$5:$I$16,MATCH(G268,Config!$H$5:$H$16,0)),0))</f>
        <v>30</v>
      </c>
      <c r="Q268" s="30">
        <f>IF(OR(H268&lt;&gt;"Realizado",P268="",P268=0),"",A268+P268)</f>
        <v>46229.0</v>
      </c>
      <c r="R268" s="26" t="str">
        <f>IF(Q268="","",IF(COUNTIFS($E$5:$E$3004,E268,$A$5:$A$3004,"&gt;"&amp;A268,$H$5:$H$3004,"&lt;&gt;Falta",$H$5:$H$3004,"&lt;&gt;Cancelado",$H$5:$H$3004,"&lt;&gt;Remarcado")&gt;0,"Sim","Não"))</f>
        <v>Sim</v>
      </c>
      <c r="S268" s="32">
        <f>IF(R268&lt;&gt;"Não","",IF(Q268+Config!$B$9&lt;=Config!$B$8,Config!$B$8-Q268,""))</f>
        <v/>
      </c>
      <c r="T268" s="26">
        <f>IF(S268="","","Sim")</f>
        <v/>
      </c>
      <c r="U268" s="41">
        <f>IF(T268="Sim",S268+ROW()/100000,0)</f>
        <v>0</v>
      </c>
      <c r="V268" s="41">
        <f>IF(AND(H268="Falta",L268=Config!$B$7,M268=Config!$B$5,COUNTIFS($E$5:E268,E268,$H$5:H268,"Falta",$L$5:L268,Config!$B$7,$M$5:M268,Config!$B$5)=1),COUNTIFS($E$5:$E$3004,E268,$H$5:$H$3004,"Falta",$L$5:$L$3004,Config!$B$7,$M$5:$M$3004,Config!$B$5)*1000-ROW()/100000,0)</f>
        <v>0</v>
      </c>
    </row>
    <row r="269">
      <c r="A269" s="39" t="n">
        <v>46199</v>
      </c>
      <c r="B269" s="40" t="n">
        <v>0.4861111111111111</v>
      </c>
      <c r="C269" s="35" t="inlineStr">
        <is>
          <t>Dr. Paulo Andrade</t>
        </is>
      </c>
      <c r="D269" s="35" t="inlineStr">
        <is>
          <t>Sala 2</t>
        </is>
      </c>
      <c r="E269" s="34" t="inlineStr">
        <is>
          <t>Mariana Nascimento</t>
        </is>
      </c>
      <c r="F269" s="35" t="inlineStr">
        <is>
          <t>Particular</t>
        </is>
      </c>
      <c r="G269" s="35" t="inlineStr">
        <is>
          <t>MAPA</t>
        </is>
      </c>
      <c r="H269" s="35" t="inlineStr">
        <is>
          <t>Realizado</t>
        </is>
      </c>
      <c r="I269" s="35" t="inlineStr">
        <is>
          <t>Pix</t>
        </is>
      </c>
      <c r="J269" s="35" t="n"/>
      <c r="K269" s="34" t="n"/>
      <c r="L269" s="26">
        <f>IF(A269="","",MONTH(A269))</f>
        <v>6</v>
      </c>
      <c r="M269" s="26">
        <f>IF(A269="","",YEAR(A269))</f>
        <v>2026</v>
      </c>
      <c r="N269" s="26" t="str">
        <f>IF(A269="","",CHOOSE(WEEKDAY(A269,2),"Segunda","Terça","Quarta","Quinta","Sexta","Sábado","Domingo"))</f>
        <v>Sexta</v>
      </c>
      <c r="O269" s="26" t="str">
        <f>IF(B269="","",IF(B269&lt;TIME(12,0,0),"Manhã",IF(B269&lt;TIME(18,0,0),"Tarde","Noite")))</f>
        <v>Manhã</v>
      </c>
      <c r="P269" s="32">
        <f>IF(G269="","",IFERROR(INDEX(Config!$I$5:$I$16,MATCH(G269,Config!$H$5:$H$16,0)),0))</f>
        <v>0</v>
      </c>
      <c r="Q269" s="30">
        <f>IF(OR(H269&lt;&gt;"Realizado",P269="",P269=0),"",A269+P269)</f>
        <v/>
      </c>
      <c r="R269" s="26">
        <f>IF(Q269="","",IF(COUNTIFS($E$5:$E$3004,E269,$A$5:$A$3004,"&gt;"&amp;A269,$H$5:$H$3004,"&lt;&gt;Falta",$H$5:$H$3004,"&lt;&gt;Cancelado",$H$5:$H$3004,"&lt;&gt;Remarcado")&gt;0,"Sim","Não"))</f>
        <v/>
      </c>
      <c r="S269" s="32">
        <f>IF(R269&lt;&gt;"Não","",IF(Q269+Config!$B$9&lt;=Config!$B$8,Config!$B$8-Q269,""))</f>
        <v/>
      </c>
      <c r="T269" s="26">
        <f>IF(S269="","","Sim")</f>
        <v/>
      </c>
      <c r="U269" s="41">
        <f>IF(T269="Sim",S269+ROW()/100000,0)</f>
        <v>0</v>
      </c>
      <c r="V269" s="41">
        <f>IF(AND(H269="Falta",L269=Config!$B$7,M269=Config!$B$5,COUNTIFS($E$5:E269,E269,$H$5:H269,"Falta",$L$5:L269,Config!$B$7,$M$5:M269,Config!$B$5)=1),COUNTIFS($E$5:$E$3004,E269,$H$5:$H$3004,"Falta",$L$5:$L$3004,Config!$B$7,$M$5:$M$3004,Config!$B$5)*1000-ROW()/100000,0)</f>
        <v>0</v>
      </c>
    </row>
    <row r="270">
      <c r="A270" s="39" t="n">
        <v>46202</v>
      </c>
      <c r="B270" s="40" t="n">
        <v>0.3333333333333333</v>
      </c>
      <c r="C270" s="35" t="inlineStr">
        <is>
          <t>Dra. Carolina Mendes</t>
        </is>
      </c>
      <c r="D270" s="35" t="inlineStr">
        <is>
          <t>Sala 1</t>
        </is>
      </c>
      <c r="E270" s="34" t="inlineStr">
        <is>
          <t>Roberta Araújo</t>
        </is>
      </c>
      <c r="F270" s="35" t="inlineStr">
        <is>
          <t>Particular</t>
        </is>
      </c>
      <c r="G270" s="35" t="inlineStr">
        <is>
          <t>Consulta</t>
        </is>
      </c>
      <c r="H270" s="35" t="inlineStr">
        <is>
          <t>Realizado</t>
        </is>
      </c>
      <c r="I270" s="35" t="inlineStr">
        <is>
          <t>Cartão de débito</t>
        </is>
      </c>
      <c r="J270" s="35" t="n"/>
      <c r="K270" s="34" t="n"/>
      <c r="L270" s="26">
        <f>IF(A270="","",MONTH(A270))</f>
        <v>6</v>
      </c>
      <c r="M270" s="26">
        <f>IF(A270="","",YEAR(A270))</f>
        <v>2026</v>
      </c>
      <c r="N270" s="26" t="str">
        <f>IF(A270="","",CHOOSE(WEEKDAY(A270,2),"Segunda","Terça","Quarta","Quinta","Sexta","Sábado","Domingo"))</f>
        <v>Segunda</v>
      </c>
      <c r="O270" s="26" t="str">
        <f>IF(B270="","",IF(B270&lt;TIME(12,0,0),"Manhã",IF(B270&lt;TIME(18,0,0),"Tarde","Noite")))</f>
        <v>Manhã</v>
      </c>
      <c r="P270" s="32">
        <f>IF(G270="","",IFERROR(INDEX(Config!$I$5:$I$16,MATCH(G270,Config!$H$5:$H$16,0)),0))</f>
        <v>30</v>
      </c>
      <c r="Q270" s="30">
        <f>IF(OR(H270&lt;&gt;"Realizado",P270="",P270=0),"",A270+P270)</f>
        <v>46232.0</v>
      </c>
      <c r="R270" s="26" t="str">
        <f>IF(Q270="","",IF(COUNTIFS($E$5:$E$3004,E270,$A$5:$A$3004,"&gt;"&amp;A270,$H$5:$H$3004,"&lt;&gt;Falta",$H$5:$H$3004,"&lt;&gt;Cancelado",$H$5:$H$3004,"&lt;&gt;Remarcado")&gt;0,"Sim","Não"))</f>
        <v>Sim</v>
      </c>
      <c r="S270" s="32">
        <f>IF(R270&lt;&gt;"Não","",IF(Q270+Config!$B$9&lt;=Config!$B$8,Config!$B$8-Q270,""))</f>
        <v/>
      </c>
      <c r="T270" s="26">
        <f>IF(S270="","","Sim")</f>
        <v/>
      </c>
      <c r="U270" s="41">
        <f>IF(T270="Sim",S270+ROW()/100000,0)</f>
        <v>0</v>
      </c>
      <c r="V270" s="41">
        <f>IF(AND(H270="Falta",L270=Config!$B$7,M270=Config!$B$5,COUNTIFS($E$5:E270,E270,$H$5:H270,"Falta",$L$5:L270,Config!$B$7,$M$5:M270,Config!$B$5)=1),COUNTIFS($E$5:$E$3004,E270,$H$5:$H$3004,"Falta",$L$5:$L$3004,Config!$B$7,$M$5:$M$3004,Config!$B$5)*1000-ROW()/100000,0)</f>
        <v>0</v>
      </c>
    </row>
    <row r="271">
      <c r="A271" s="39" t="n">
        <v>46202</v>
      </c>
      <c r="B271" s="40" t="n">
        <v>0.375</v>
      </c>
      <c r="C271" s="35" t="inlineStr">
        <is>
          <t>Dra. Carolina Mendes</t>
        </is>
      </c>
      <c r="D271" s="35" t="inlineStr">
        <is>
          <t>Sala 1</t>
        </is>
      </c>
      <c r="E271" s="34" t="inlineStr">
        <is>
          <t>Gisele Ribeiro</t>
        </is>
      </c>
      <c r="F271" s="35" t="inlineStr">
        <is>
          <t>Particular</t>
        </is>
      </c>
      <c r="G271" s="35" t="inlineStr">
        <is>
          <t>Consulta</t>
        </is>
      </c>
      <c r="H271" s="35" t="inlineStr">
        <is>
          <t>Falta</t>
        </is>
      </c>
      <c r="I271" s="35" t="n"/>
      <c r="J271" s="35" t="n"/>
      <c r="K271" s="34" t="n"/>
      <c r="L271" s="26">
        <f>IF(A271="","",MONTH(A271))</f>
        <v>6</v>
      </c>
      <c r="M271" s="26">
        <f>IF(A271="","",YEAR(A271))</f>
        <v>2026</v>
      </c>
      <c r="N271" s="26" t="str">
        <f>IF(A271="","",CHOOSE(WEEKDAY(A271,2),"Segunda","Terça","Quarta","Quinta","Sexta","Sábado","Domingo"))</f>
        <v>Segunda</v>
      </c>
      <c r="O271" s="26" t="str">
        <f>IF(B271="","",IF(B271&lt;TIME(12,0,0),"Manhã",IF(B271&lt;TIME(18,0,0),"Tarde","Noite")))</f>
        <v>Manhã</v>
      </c>
      <c r="P271" s="32">
        <f>IF(G271="","",IFERROR(INDEX(Config!$I$5:$I$16,MATCH(G271,Config!$H$5:$H$16,0)),0))</f>
        <v>30</v>
      </c>
      <c r="Q271" s="30">
        <f>IF(OR(H271&lt;&gt;"Realizado",P271="",P271=0),"",A271+P271)</f>
        <v/>
      </c>
      <c r="R271" s="26">
        <f>IF(Q271="","",IF(COUNTIFS($E$5:$E$3004,E271,$A$5:$A$3004,"&gt;"&amp;A271,$H$5:$H$3004,"&lt;&gt;Falta",$H$5:$H$3004,"&lt;&gt;Cancelado",$H$5:$H$3004,"&lt;&gt;Remarcado")&gt;0,"Sim","Não"))</f>
        <v/>
      </c>
      <c r="S271" s="32">
        <f>IF(R271&lt;&gt;"Não","",IF(Q271+Config!$B$9&lt;=Config!$B$8,Config!$B$8-Q271,""))</f>
        <v/>
      </c>
      <c r="T271" s="26">
        <f>IF(S271="","","Sim")</f>
        <v/>
      </c>
      <c r="U271" s="41">
        <f>IF(T271="Sim",S271+ROW()/100000,0)</f>
        <v>0</v>
      </c>
      <c r="V271" s="41">
        <f>IF(AND(H271="Falta",L271=Config!$B$7,M271=Config!$B$5,COUNTIFS($E$5:E271,E271,$H$5:H271,"Falta",$L$5:L271,Config!$B$7,$M$5:M271,Config!$B$5)=1),COUNTIFS($E$5:$E$3004,E271,$H$5:$H$3004,"Falta",$L$5:$L$3004,Config!$B$7,$M$5:$M$3004,Config!$B$5)*1000-ROW()/100000,0)</f>
        <v>0</v>
      </c>
    </row>
    <row r="272">
      <c r="A272" s="39" t="n">
        <v>46202</v>
      </c>
      <c r="B272" s="40" t="n">
        <v>0.3958333333333333</v>
      </c>
      <c r="C272" s="35" t="inlineStr">
        <is>
          <t>Dra. Carolina Mendes</t>
        </is>
      </c>
      <c r="D272" s="35" t="inlineStr">
        <is>
          <t>Sala 1</t>
        </is>
      </c>
      <c r="E272" s="34" t="inlineStr">
        <is>
          <t>Leandro Oliveira</t>
        </is>
      </c>
      <c r="F272" s="35" t="inlineStr">
        <is>
          <t>Particular</t>
        </is>
      </c>
      <c r="G272" s="35" t="inlineStr">
        <is>
          <t>Retorno</t>
        </is>
      </c>
      <c r="H272" s="35" t="inlineStr">
        <is>
          <t>Realizado</t>
        </is>
      </c>
      <c r="I272" s="35" t="inlineStr">
        <is>
          <t>Sem cobrança</t>
        </is>
      </c>
      <c r="J272" s="35" t="n"/>
      <c r="K272" s="34" t="n"/>
      <c r="L272" s="26">
        <f>IF(A272="","",MONTH(A272))</f>
        <v>6</v>
      </c>
      <c r="M272" s="26">
        <f>IF(A272="","",YEAR(A272))</f>
        <v>2026</v>
      </c>
      <c r="N272" s="26" t="str">
        <f>IF(A272="","",CHOOSE(WEEKDAY(A272,2),"Segunda","Terça","Quarta","Quinta","Sexta","Sábado","Domingo"))</f>
        <v>Segunda</v>
      </c>
      <c r="O272" s="26" t="str">
        <f>IF(B272="","",IF(B272&lt;TIME(12,0,0),"Manhã",IF(B272&lt;TIME(18,0,0),"Tarde","Noite")))</f>
        <v>Manhã</v>
      </c>
      <c r="P272" s="32">
        <f>IF(G272="","",IFERROR(INDEX(Config!$I$5:$I$16,MATCH(G272,Config!$H$5:$H$16,0)),0))</f>
        <v>0</v>
      </c>
      <c r="Q272" s="30">
        <f>IF(OR(H272&lt;&gt;"Realizado",P272="",P272=0),"",A272+P272)</f>
        <v/>
      </c>
      <c r="R272" s="26">
        <f>IF(Q272="","",IF(COUNTIFS($E$5:$E$3004,E272,$A$5:$A$3004,"&gt;"&amp;A272,$H$5:$H$3004,"&lt;&gt;Falta",$H$5:$H$3004,"&lt;&gt;Cancelado",$H$5:$H$3004,"&lt;&gt;Remarcado")&gt;0,"Sim","Não"))</f>
        <v/>
      </c>
      <c r="S272" s="32">
        <f>IF(R272&lt;&gt;"Não","",IF(Q272+Config!$B$9&lt;=Config!$B$8,Config!$B$8-Q272,""))</f>
        <v/>
      </c>
      <c r="T272" s="26">
        <f>IF(S272="","","Sim")</f>
        <v/>
      </c>
      <c r="U272" s="41">
        <f>IF(T272="Sim",S272+ROW()/100000,0)</f>
        <v>0</v>
      </c>
      <c r="V272" s="41">
        <f>IF(AND(H272="Falta",L272=Config!$B$7,M272=Config!$B$5,COUNTIFS($E$5:E272,E272,$H$5:H272,"Falta",$L$5:L272,Config!$B$7,$M$5:M272,Config!$B$5)=1),COUNTIFS($E$5:$E$3004,E272,$H$5:$H$3004,"Falta",$L$5:$L$3004,Config!$B$7,$M$5:$M$3004,Config!$B$5)*1000-ROW()/100000,0)</f>
        <v>0</v>
      </c>
    </row>
    <row r="273">
      <c r="A273" s="39" t="n">
        <v>46202</v>
      </c>
      <c r="B273" s="40" t="n">
        <v>0.4305555555555556</v>
      </c>
      <c r="C273" s="35" t="inlineStr">
        <is>
          <t>Dra. Carolina Mendes</t>
        </is>
      </c>
      <c r="D273" s="35" t="inlineStr">
        <is>
          <t>Sala 1</t>
        </is>
      </c>
      <c r="E273" s="34" t="inlineStr">
        <is>
          <t>Otávio Nascimento</t>
        </is>
      </c>
      <c r="F273" s="35" t="inlineStr">
        <is>
          <t>Particular</t>
        </is>
      </c>
      <c r="G273" s="35" t="inlineStr">
        <is>
          <t>Consulta</t>
        </is>
      </c>
      <c r="H273" s="35" t="inlineStr">
        <is>
          <t>Realizado</t>
        </is>
      </c>
      <c r="I273" s="35" t="inlineStr">
        <is>
          <t>Cartão de crédito</t>
        </is>
      </c>
      <c r="J273" s="35" t="n">
        <v>2</v>
      </c>
      <c r="K273" s="34" t="n"/>
      <c r="L273" s="26">
        <f>IF(A273="","",MONTH(A273))</f>
        <v>6</v>
      </c>
      <c r="M273" s="26">
        <f>IF(A273="","",YEAR(A273))</f>
        <v>2026</v>
      </c>
      <c r="N273" s="26" t="str">
        <f>IF(A273="","",CHOOSE(WEEKDAY(A273,2),"Segunda","Terça","Quarta","Quinta","Sexta","Sábado","Domingo"))</f>
        <v>Segunda</v>
      </c>
      <c r="O273" s="26" t="str">
        <f>IF(B273="","",IF(B273&lt;TIME(12,0,0),"Manhã",IF(B273&lt;TIME(18,0,0),"Tarde","Noite")))</f>
        <v>Manhã</v>
      </c>
      <c r="P273" s="32">
        <f>IF(G273="","",IFERROR(INDEX(Config!$I$5:$I$16,MATCH(G273,Config!$H$5:$H$16,0)),0))</f>
        <v>30</v>
      </c>
      <c r="Q273" s="30">
        <f>IF(OR(H273&lt;&gt;"Realizado",P273="",P273=0),"",A273+P273)</f>
        <v>46232.0</v>
      </c>
      <c r="R273" s="26" t="str">
        <f>IF(Q273="","",IF(COUNTIFS($E$5:$E$3004,E273,$A$5:$A$3004,"&gt;"&amp;A273,$H$5:$H$3004,"&lt;&gt;Falta",$H$5:$H$3004,"&lt;&gt;Cancelado",$H$5:$H$3004,"&lt;&gt;Remarcado")&gt;0,"Sim","Não"))</f>
        <v>Sim</v>
      </c>
      <c r="S273" s="32">
        <f>IF(R273&lt;&gt;"Não","",IF(Q273+Config!$B$9&lt;=Config!$B$8,Config!$B$8-Q273,""))</f>
        <v/>
      </c>
      <c r="T273" s="26">
        <f>IF(S273="","","Sim")</f>
        <v/>
      </c>
      <c r="U273" s="41">
        <f>IF(T273="Sim",S273+ROW()/100000,0)</f>
        <v>0</v>
      </c>
      <c r="V273" s="41">
        <f>IF(AND(H273="Falta",L273=Config!$B$7,M273=Config!$B$5,COUNTIFS($E$5:E273,E273,$H$5:H273,"Falta",$L$5:L273,Config!$B$7,$M$5:M273,Config!$B$5)=1),COUNTIFS($E$5:$E$3004,E273,$H$5:$H$3004,"Falta",$L$5:$L$3004,Config!$B$7,$M$5:$M$3004,Config!$B$5)*1000-ROW()/100000,0)</f>
        <v>0</v>
      </c>
    </row>
    <row r="274">
      <c r="A274" s="39" t="n">
        <v>46202</v>
      </c>
      <c r="B274" s="40" t="n">
        <v>0.4513888888888889</v>
      </c>
      <c r="C274" s="35" t="inlineStr">
        <is>
          <t>Dra. Carolina Mendes</t>
        </is>
      </c>
      <c r="D274" s="35" t="inlineStr">
        <is>
          <t>Sala 1</t>
        </is>
      </c>
      <c r="E274" s="34" t="inlineStr">
        <is>
          <t>Ana Costa</t>
        </is>
      </c>
      <c r="F274" s="35" t="inlineStr">
        <is>
          <t>Particular</t>
        </is>
      </c>
      <c r="G274" s="35" t="inlineStr">
        <is>
          <t>Retorno</t>
        </is>
      </c>
      <c r="H274" s="35" t="inlineStr">
        <is>
          <t>Realizado</t>
        </is>
      </c>
      <c r="I274" s="35" t="inlineStr">
        <is>
          <t>Sem cobrança</t>
        </is>
      </c>
      <c r="J274" s="35" t="n"/>
      <c r="K274" s="34" t="n"/>
      <c r="L274" s="26">
        <f>IF(A274="","",MONTH(A274))</f>
        <v>6</v>
      </c>
      <c r="M274" s="26">
        <f>IF(A274="","",YEAR(A274))</f>
        <v>2026</v>
      </c>
      <c r="N274" s="26" t="str">
        <f>IF(A274="","",CHOOSE(WEEKDAY(A274,2),"Segunda","Terça","Quarta","Quinta","Sexta","Sábado","Domingo"))</f>
        <v>Segunda</v>
      </c>
      <c r="O274" s="26" t="str">
        <f>IF(B274="","",IF(B274&lt;TIME(12,0,0),"Manhã",IF(B274&lt;TIME(18,0,0),"Tarde","Noite")))</f>
        <v>Manhã</v>
      </c>
      <c r="P274" s="32">
        <f>IF(G274="","",IFERROR(INDEX(Config!$I$5:$I$16,MATCH(G274,Config!$H$5:$H$16,0)),0))</f>
        <v>0</v>
      </c>
      <c r="Q274" s="30">
        <f>IF(OR(H274&lt;&gt;"Realizado",P274="",P274=0),"",A274+P274)</f>
        <v/>
      </c>
      <c r="R274" s="26">
        <f>IF(Q274="","",IF(COUNTIFS($E$5:$E$3004,E274,$A$5:$A$3004,"&gt;"&amp;A274,$H$5:$H$3004,"&lt;&gt;Falta",$H$5:$H$3004,"&lt;&gt;Cancelado",$H$5:$H$3004,"&lt;&gt;Remarcado")&gt;0,"Sim","Não"))</f>
        <v/>
      </c>
      <c r="S274" s="32">
        <f>IF(R274&lt;&gt;"Não","",IF(Q274+Config!$B$9&lt;=Config!$B$8,Config!$B$8-Q274,""))</f>
        <v/>
      </c>
      <c r="T274" s="26">
        <f>IF(S274="","","Sim")</f>
        <v/>
      </c>
      <c r="U274" s="41">
        <f>IF(T274="Sim",S274+ROW()/100000,0)</f>
        <v>0</v>
      </c>
      <c r="V274" s="41">
        <f>IF(AND(H274="Falta",L274=Config!$B$7,M274=Config!$B$5,COUNTIFS($E$5:E274,E274,$H$5:H274,"Falta",$L$5:L274,Config!$B$7,$M$5:M274,Config!$B$5)=1),COUNTIFS($E$5:$E$3004,E274,$H$5:$H$3004,"Falta",$L$5:$L$3004,Config!$B$7,$M$5:$M$3004,Config!$B$5)*1000-ROW()/100000,0)</f>
        <v>0</v>
      </c>
    </row>
    <row r="275">
      <c r="A275" s="39" t="n">
        <v>46202</v>
      </c>
      <c r="B275" s="40" t="n">
        <v>0.4861111111111111</v>
      </c>
      <c r="C275" s="35" t="inlineStr">
        <is>
          <t>Dra. Carolina Mendes</t>
        </is>
      </c>
      <c r="D275" s="35" t="inlineStr">
        <is>
          <t>Sala 1</t>
        </is>
      </c>
      <c r="E275" s="34" t="inlineStr">
        <is>
          <t>Cláudia Costa</t>
        </is>
      </c>
      <c r="F275" s="35" t="inlineStr">
        <is>
          <t>Particular</t>
        </is>
      </c>
      <c r="G275" s="35" t="inlineStr">
        <is>
          <t>Retorno</t>
        </is>
      </c>
      <c r="H275" s="35" t="inlineStr">
        <is>
          <t>Realizado</t>
        </is>
      </c>
      <c r="I275" s="35" t="inlineStr">
        <is>
          <t>Sem cobrança</t>
        </is>
      </c>
      <c r="J275" s="35" t="n"/>
      <c r="K275" s="34" t="n"/>
      <c r="L275" s="26">
        <f>IF(A275="","",MONTH(A275))</f>
        <v>6</v>
      </c>
      <c r="M275" s="26">
        <f>IF(A275="","",YEAR(A275))</f>
        <v>2026</v>
      </c>
      <c r="N275" s="26" t="str">
        <f>IF(A275="","",CHOOSE(WEEKDAY(A275,2),"Segunda","Terça","Quarta","Quinta","Sexta","Sábado","Domingo"))</f>
        <v>Segunda</v>
      </c>
      <c r="O275" s="26" t="str">
        <f>IF(B275="","",IF(B275&lt;TIME(12,0,0),"Manhã",IF(B275&lt;TIME(18,0,0),"Tarde","Noite")))</f>
        <v>Manhã</v>
      </c>
      <c r="P275" s="32">
        <f>IF(G275="","",IFERROR(INDEX(Config!$I$5:$I$16,MATCH(G275,Config!$H$5:$H$16,0)),0))</f>
        <v>0</v>
      </c>
      <c r="Q275" s="30">
        <f>IF(OR(H275&lt;&gt;"Realizado",P275="",P275=0),"",A275+P275)</f>
        <v/>
      </c>
      <c r="R275" s="26">
        <f>IF(Q275="","",IF(COUNTIFS($E$5:$E$3004,E275,$A$5:$A$3004,"&gt;"&amp;A275,$H$5:$H$3004,"&lt;&gt;Falta",$H$5:$H$3004,"&lt;&gt;Cancelado",$H$5:$H$3004,"&lt;&gt;Remarcado")&gt;0,"Sim","Não"))</f>
        <v/>
      </c>
      <c r="S275" s="32">
        <f>IF(R275&lt;&gt;"Não","",IF(Q275+Config!$B$9&lt;=Config!$B$8,Config!$B$8-Q275,""))</f>
        <v/>
      </c>
      <c r="T275" s="26">
        <f>IF(S275="","","Sim")</f>
        <v/>
      </c>
      <c r="U275" s="41">
        <f>IF(T275="Sim",S275+ROW()/100000,0)</f>
        <v>0</v>
      </c>
      <c r="V275" s="41">
        <f>IF(AND(H275="Falta",L275=Config!$B$7,M275=Config!$B$5,COUNTIFS($E$5:E275,E275,$H$5:H275,"Falta",$L$5:L275,Config!$B$7,$M$5:M275,Config!$B$5)=1),COUNTIFS($E$5:$E$3004,E275,$H$5:$H$3004,"Falta",$L$5:$L$3004,Config!$B$7,$M$5:$M$3004,Config!$B$5)*1000-ROW()/100000,0)</f>
        <v>0</v>
      </c>
    </row>
    <row r="276">
      <c r="A276" s="39" t="n">
        <v>46202</v>
      </c>
      <c r="B276" s="40" t="n">
        <v>0.5833333333333334</v>
      </c>
      <c r="C276" s="35" t="inlineStr">
        <is>
          <t>Dr. Paulo Andrade</t>
        </is>
      </c>
      <c r="D276" s="35" t="inlineStr">
        <is>
          <t>Sala 2</t>
        </is>
      </c>
      <c r="E276" s="34" t="inlineStr">
        <is>
          <t>Tatiana Cunha</t>
        </is>
      </c>
      <c r="F276" s="35" t="inlineStr">
        <is>
          <t>Saúde Total</t>
        </is>
      </c>
      <c r="G276" s="35" t="inlineStr">
        <is>
          <t>Holter</t>
        </is>
      </c>
      <c r="H276" s="35" t="inlineStr">
        <is>
          <t>Realizado</t>
        </is>
      </c>
      <c r="I276" s="35" t="inlineStr">
        <is>
          <t>Convênio</t>
        </is>
      </c>
      <c r="J276" s="35" t="n"/>
      <c r="K276" s="34" t="n"/>
      <c r="L276" s="26">
        <f>IF(A276="","",MONTH(A276))</f>
        <v>6</v>
      </c>
      <c r="M276" s="26">
        <f>IF(A276="","",YEAR(A276))</f>
        <v>2026</v>
      </c>
      <c r="N276" s="26" t="str">
        <f>IF(A276="","",CHOOSE(WEEKDAY(A276,2),"Segunda","Terça","Quarta","Quinta","Sexta","Sábado","Domingo"))</f>
        <v>Segunda</v>
      </c>
      <c r="O276" s="26" t="str">
        <f>IF(B276="","",IF(B276&lt;TIME(12,0,0),"Manhã",IF(B276&lt;TIME(18,0,0),"Tarde","Noite")))</f>
        <v>Tarde</v>
      </c>
      <c r="P276" s="32">
        <f>IF(G276="","",IFERROR(INDEX(Config!$I$5:$I$16,MATCH(G276,Config!$H$5:$H$16,0)),0))</f>
        <v>0</v>
      </c>
      <c r="Q276" s="30">
        <f>IF(OR(H276&lt;&gt;"Realizado",P276="",P276=0),"",A276+P276)</f>
        <v/>
      </c>
      <c r="R276" s="26">
        <f>IF(Q276="","",IF(COUNTIFS($E$5:$E$3004,E276,$A$5:$A$3004,"&gt;"&amp;A276,$H$5:$H$3004,"&lt;&gt;Falta",$H$5:$H$3004,"&lt;&gt;Cancelado",$H$5:$H$3004,"&lt;&gt;Remarcado")&gt;0,"Sim","Não"))</f>
        <v/>
      </c>
      <c r="S276" s="32">
        <f>IF(R276&lt;&gt;"Não","",IF(Q276+Config!$B$9&lt;=Config!$B$8,Config!$B$8-Q276,""))</f>
        <v/>
      </c>
      <c r="T276" s="26">
        <f>IF(S276="","","Sim")</f>
        <v/>
      </c>
      <c r="U276" s="41">
        <f>IF(T276="Sim",S276+ROW()/100000,0)</f>
        <v>0</v>
      </c>
      <c r="V276" s="41">
        <f>IF(AND(H276="Falta",L276=Config!$B$7,M276=Config!$B$5,COUNTIFS($E$5:E276,E276,$H$5:H276,"Falta",$L$5:L276,Config!$B$7,$M$5:M276,Config!$B$5)=1),COUNTIFS($E$5:$E$3004,E276,$H$5:$H$3004,"Falta",$L$5:$L$3004,Config!$B$7,$M$5:$M$3004,Config!$B$5)*1000-ROW()/100000,0)</f>
        <v>0</v>
      </c>
    </row>
    <row r="277">
      <c r="A277" s="39" t="n">
        <v>46202</v>
      </c>
      <c r="B277" s="40" t="n">
        <v>0.6180555555555556</v>
      </c>
      <c r="C277" s="35" t="inlineStr">
        <is>
          <t>Dr. Paulo Andrade</t>
        </is>
      </c>
      <c r="D277" s="35" t="inlineStr">
        <is>
          <t>Sala 2</t>
        </is>
      </c>
      <c r="E277" s="34" t="inlineStr">
        <is>
          <t>Sandra Cardoso</t>
        </is>
      </c>
      <c r="F277" s="35" t="inlineStr">
        <is>
          <t>Saúde Total</t>
        </is>
      </c>
      <c r="G277" s="35" t="inlineStr">
        <is>
          <t>ECG</t>
        </is>
      </c>
      <c r="H277" s="35" t="inlineStr">
        <is>
          <t>Realizado</t>
        </is>
      </c>
      <c r="I277" s="35" t="inlineStr">
        <is>
          <t>Convênio</t>
        </is>
      </c>
      <c r="J277" s="35" t="n"/>
      <c r="K277" s="34" t="n"/>
      <c r="L277" s="26">
        <f>IF(A277="","",MONTH(A277))</f>
        <v>6</v>
      </c>
      <c r="M277" s="26">
        <f>IF(A277="","",YEAR(A277))</f>
        <v>2026</v>
      </c>
      <c r="N277" s="26" t="str">
        <f>IF(A277="","",CHOOSE(WEEKDAY(A277,2),"Segunda","Terça","Quarta","Quinta","Sexta","Sábado","Domingo"))</f>
        <v>Segunda</v>
      </c>
      <c r="O277" s="26" t="str">
        <f>IF(B277="","",IF(B277&lt;TIME(12,0,0),"Manhã",IF(B277&lt;TIME(18,0,0),"Tarde","Noite")))</f>
        <v>Tarde</v>
      </c>
      <c r="P277" s="32">
        <f>IF(G277="","",IFERROR(INDEX(Config!$I$5:$I$16,MATCH(G277,Config!$H$5:$H$16,0)),0))</f>
        <v>0</v>
      </c>
      <c r="Q277" s="30">
        <f>IF(OR(H277&lt;&gt;"Realizado",P277="",P277=0),"",A277+P277)</f>
        <v/>
      </c>
      <c r="R277" s="26">
        <f>IF(Q277="","",IF(COUNTIFS($E$5:$E$3004,E277,$A$5:$A$3004,"&gt;"&amp;A277,$H$5:$H$3004,"&lt;&gt;Falta",$H$5:$H$3004,"&lt;&gt;Cancelado",$H$5:$H$3004,"&lt;&gt;Remarcado")&gt;0,"Sim","Não"))</f>
        <v/>
      </c>
      <c r="S277" s="32">
        <f>IF(R277&lt;&gt;"Não","",IF(Q277+Config!$B$9&lt;=Config!$B$8,Config!$B$8-Q277,""))</f>
        <v/>
      </c>
      <c r="T277" s="26">
        <f>IF(S277="","","Sim")</f>
        <v/>
      </c>
      <c r="U277" s="41">
        <f>IF(T277="Sim",S277+ROW()/100000,0)</f>
        <v>0</v>
      </c>
      <c r="V277" s="41">
        <f>IF(AND(H277="Falta",L277=Config!$B$7,M277=Config!$B$5,COUNTIFS($E$5:E277,E277,$H$5:H277,"Falta",$L$5:L277,Config!$B$7,$M$5:M277,Config!$B$5)=1),COUNTIFS($E$5:$E$3004,E277,$H$5:$H$3004,"Falta",$L$5:$L$3004,Config!$B$7,$M$5:$M$3004,Config!$B$5)*1000-ROW()/100000,0)</f>
        <v>0</v>
      </c>
    </row>
    <row r="278">
      <c r="A278" s="39" t="n">
        <v>46202</v>
      </c>
      <c r="B278" s="40" t="n">
        <v>0.6319444444444444</v>
      </c>
      <c r="C278" s="35" t="inlineStr">
        <is>
          <t>Dr. Paulo Andrade</t>
        </is>
      </c>
      <c r="D278" s="35" t="inlineStr">
        <is>
          <t>Sala 2</t>
        </is>
      </c>
      <c r="E278" s="34" t="inlineStr">
        <is>
          <t>Roberta Araújo</t>
        </is>
      </c>
      <c r="F278" s="35" t="inlineStr">
        <is>
          <t>Particular</t>
        </is>
      </c>
      <c r="G278" s="35" t="inlineStr">
        <is>
          <t>MAPA</t>
        </is>
      </c>
      <c r="H278" s="35" t="inlineStr">
        <is>
          <t>Realizado</t>
        </is>
      </c>
      <c r="I278" s="35" t="inlineStr">
        <is>
          <t>Pix</t>
        </is>
      </c>
      <c r="J278" s="35" t="n"/>
      <c r="K278" s="34" t="n"/>
      <c r="L278" s="26">
        <f>IF(A278="","",MONTH(A278))</f>
        <v>6</v>
      </c>
      <c r="M278" s="26">
        <f>IF(A278="","",YEAR(A278))</f>
        <v>2026</v>
      </c>
      <c r="N278" s="26" t="str">
        <f>IF(A278="","",CHOOSE(WEEKDAY(A278,2),"Segunda","Terça","Quarta","Quinta","Sexta","Sábado","Domingo"))</f>
        <v>Segunda</v>
      </c>
      <c r="O278" s="26" t="str">
        <f>IF(B278="","",IF(B278&lt;TIME(12,0,0),"Manhã",IF(B278&lt;TIME(18,0,0),"Tarde","Noite")))</f>
        <v>Tarde</v>
      </c>
      <c r="P278" s="32">
        <f>IF(G278="","",IFERROR(INDEX(Config!$I$5:$I$16,MATCH(G278,Config!$H$5:$H$16,0)),0))</f>
        <v>0</v>
      </c>
      <c r="Q278" s="30">
        <f>IF(OR(H278&lt;&gt;"Realizado",P278="",P278=0),"",A278+P278)</f>
        <v/>
      </c>
      <c r="R278" s="26">
        <f>IF(Q278="","",IF(COUNTIFS($E$5:$E$3004,E278,$A$5:$A$3004,"&gt;"&amp;A278,$H$5:$H$3004,"&lt;&gt;Falta",$H$5:$H$3004,"&lt;&gt;Cancelado",$H$5:$H$3004,"&lt;&gt;Remarcado")&gt;0,"Sim","Não"))</f>
        <v/>
      </c>
      <c r="S278" s="32">
        <f>IF(R278&lt;&gt;"Não","",IF(Q278+Config!$B$9&lt;=Config!$B$8,Config!$B$8-Q278,""))</f>
        <v/>
      </c>
      <c r="T278" s="26">
        <f>IF(S278="","","Sim")</f>
        <v/>
      </c>
      <c r="U278" s="41">
        <f>IF(T278="Sim",S278+ROW()/100000,0)</f>
        <v>0</v>
      </c>
      <c r="V278" s="41">
        <f>IF(AND(H278="Falta",L278=Config!$B$7,M278=Config!$B$5,COUNTIFS($E$5:E278,E278,$H$5:H278,"Falta",$L$5:L278,Config!$B$7,$M$5:M278,Config!$B$5)=1),COUNTIFS($E$5:$E$3004,E278,$H$5:$H$3004,"Falta",$L$5:$L$3004,Config!$B$7,$M$5:$M$3004,Config!$B$5)*1000-ROW()/100000,0)</f>
        <v>0</v>
      </c>
    </row>
    <row r="279">
      <c r="A279" s="39" t="n">
        <v>46202</v>
      </c>
      <c r="B279" s="40" t="n">
        <v>0.6458333333333334</v>
      </c>
      <c r="C279" s="35" t="inlineStr">
        <is>
          <t>Dr. Paulo Andrade</t>
        </is>
      </c>
      <c r="D279" s="35" t="inlineStr">
        <is>
          <t>Sala 2</t>
        </is>
      </c>
      <c r="E279" s="34" t="inlineStr">
        <is>
          <t>Camila Martins</t>
        </is>
      </c>
      <c r="F279" s="35" t="inlineStr">
        <is>
          <t>Vida Care</t>
        </is>
      </c>
      <c r="G279" s="35" t="inlineStr">
        <is>
          <t>Consulta</t>
        </is>
      </c>
      <c r="H279" s="35" t="inlineStr">
        <is>
          <t>Realizado</t>
        </is>
      </c>
      <c r="I279" s="35" t="inlineStr">
        <is>
          <t>Convênio</t>
        </is>
      </c>
      <c r="J279" s="35" t="n"/>
      <c r="K279" s="34" t="n"/>
      <c r="L279" s="26">
        <f>IF(A279="","",MONTH(A279))</f>
        <v>6</v>
      </c>
      <c r="M279" s="26">
        <f>IF(A279="","",YEAR(A279))</f>
        <v>2026</v>
      </c>
      <c r="N279" s="26" t="str">
        <f>IF(A279="","",CHOOSE(WEEKDAY(A279,2),"Segunda","Terça","Quarta","Quinta","Sexta","Sábado","Domingo"))</f>
        <v>Segunda</v>
      </c>
      <c r="O279" s="26" t="str">
        <f>IF(B279="","",IF(B279&lt;TIME(12,0,0),"Manhã",IF(B279&lt;TIME(18,0,0),"Tarde","Noite")))</f>
        <v>Tarde</v>
      </c>
      <c r="P279" s="32">
        <f>IF(G279="","",IFERROR(INDEX(Config!$I$5:$I$16,MATCH(G279,Config!$H$5:$H$16,0)),0))</f>
        <v>30</v>
      </c>
      <c r="Q279" s="30">
        <f>IF(OR(H279&lt;&gt;"Realizado",P279="",P279=0),"",A279+P279)</f>
        <v>46232.0</v>
      </c>
      <c r="R279" s="26" t="str">
        <f>IF(Q279="","",IF(COUNTIFS($E$5:$E$3004,E279,$A$5:$A$3004,"&gt;"&amp;A279,$H$5:$H$3004,"&lt;&gt;Falta",$H$5:$H$3004,"&lt;&gt;Cancelado",$H$5:$H$3004,"&lt;&gt;Remarcado")&gt;0,"Sim","Não"))</f>
        <v>Sim</v>
      </c>
      <c r="S279" s="32">
        <f>IF(R279&lt;&gt;"Não","",IF(Q279+Config!$B$9&lt;=Config!$B$8,Config!$B$8-Q279,""))</f>
        <v/>
      </c>
      <c r="T279" s="26">
        <f>IF(S279="","","Sim")</f>
        <v/>
      </c>
      <c r="U279" s="41">
        <f>IF(T279="Sim",S279+ROW()/100000,0)</f>
        <v>0</v>
      </c>
      <c r="V279" s="41">
        <f>IF(AND(H279="Falta",L279=Config!$B$7,M279=Config!$B$5,COUNTIFS($E$5:E279,E279,$H$5:H279,"Falta",$L$5:L279,Config!$B$7,$M$5:M279,Config!$B$5)=1),COUNTIFS($E$5:$E$3004,E279,$H$5:$H$3004,"Falta",$L$5:$L$3004,Config!$B$7,$M$5:$M$3004,Config!$B$5)*1000-ROW()/100000,0)</f>
        <v>0</v>
      </c>
    </row>
    <row r="280">
      <c r="A280" s="39" t="n">
        <v>46202</v>
      </c>
      <c r="B280" s="40" t="n">
        <v>0.6666666666666666</v>
      </c>
      <c r="C280" s="35" t="inlineStr">
        <is>
          <t>Dr. Paulo Andrade</t>
        </is>
      </c>
      <c r="D280" s="35" t="inlineStr">
        <is>
          <t>Sala 2</t>
        </is>
      </c>
      <c r="E280" s="34" t="inlineStr">
        <is>
          <t>Priscila Rocha</t>
        </is>
      </c>
      <c r="F280" s="35" t="inlineStr">
        <is>
          <t>MediPlan</t>
        </is>
      </c>
      <c r="G280" s="35" t="inlineStr">
        <is>
          <t>Consulta</t>
        </is>
      </c>
      <c r="H280" s="35" t="inlineStr">
        <is>
          <t>Realizado</t>
        </is>
      </c>
      <c r="I280" s="35" t="inlineStr">
        <is>
          <t>Convênio</t>
        </is>
      </c>
      <c r="J280" s="35" t="n"/>
      <c r="K280" s="34" t="n"/>
      <c r="L280" s="26">
        <f>IF(A280="","",MONTH(A280))</f>
        <v>6</v>
      </c>
      <c r="M280" s="26">
        <f>IF(A280="","",YEAR(A280))</f>
        <v>2026</v>
      </c>
      <c r="N280" s="26" t="str">
        <f>IF(A280="","",CHOOSE(WEEKDAY(A280,2),"Segunda","Terça","Quarta","Quinta","Sexta","Sábado","Domingo"))</f>
        <v>Segunda</v>
      </c>
      <c r="O280" s="26" t="str">
        <f>IF(B280="","",IF(B280&lt;TIME(12,0,0),"Manhã",IF(B280&lt;TIME(18,0,0),"Tarde","Noite")))</f>
        <v>Tarde</v>
      </c>
      <c r="P280" s="32">
        <f>IF(G280="","",IFERROR(INDEX(Config!$I$5:$I$16,MATCH(G280,Config!$H$5:$H$16,0)),0))</f>
        <v>30</v>
      </c>
      <c r="Q280" s="30">
        <f>IF(OR(H280&lt;&gt;"Realizado",P280="",P280=0),"",A280+P280)</f>
        <v>46232.0</v>
      </c>
      <c r="R280" s="26" t="str">
        <f>IF(Q280="","",IF(COUNTIFS($E$5:$E$3004,E280,$A$5:$A$3004,"&gt;"&amp;A280,$H$5:$H$3004,"&lt;&gt;Falta",$H$5:$H$3004,"&lt;&gt;Cancelado",$H$5:$H$3004,"&lt;&gt;Remarcado")&gt;0,"Sim","Não"))</f>
        <v>Sim</v>
      </c>
      <c r="S280" s="32">
        <f>IF(R280&lt;&gt;"Não","",IF(Q280+Config!$B$9&lt;=Config!$B$8,Config!$B$8-Q280,""))</f>
        <v/>
      </c>
      <c r="T280" s="26">
        <f>IF(S280="","","Sim")</f>
        <v/>
      </c>
      <c r="U280" s="41">
        <f>IF(T280="Sim",S280+ROW()/100000,0)</f>
        <v>0</v>
      </c>
      <c r="V280" s="41">
        <f>IF(AND(H280="Falta",L280=Config!$B$7,M280=Config!$B$5,COUNTIFS($E$5:E280,E280,$H$5:H280,"Falta",$L$5:L280,Config!$B$7,$M$5:M280,Config!$B$5)=1),COUNTIFS($E$5:$E$3004,E280,$H$5:$H$3004,"Falta",$L$5:$L$3004,Config!$B$7,$M$5:$M$3004,Config!$B$5)*1000-ROW()/100000,0)</f>
        <v>0</v>
      </c>
    </row>
    <row r="281">
      <c r="A281" s="39" t="n">
        <v>46202</v>
      </c>
      <c r="B281" s="40" t="n">
        <v>0.6875</v>
      </c>
      <c r="C281" s="35" t="inlineStr">
        <is>
          <t>Dr. Paulo Andrade</t>
        </is>
      </c>
      <c r="D281" s="35" t="inlineStr">
        <is>
          <t>Sala 2</t>
        </is>
      </c>
      <c r="E281" s="34" t="inlineStr">
        <is>
          <t>Lucas Xavier</t>
        </is>
      </c>
      <c r="F281" s="35" t="inlineStr">
        <is>
          <t>Saúde Total</t>
        </is>
      </c>
      <c r="G281" s="35" t="inlineStr">
        <is>
          <t>MAPA</t>
        </is>
      </c>
      <c r="H281" s="35" t="inlineStr">
        <is>
          <t>Realizado</t>
        </is>
      </c>
      <c r="I281" s="35" t="inlineStr">
        <is>
          <t>Convênio</t>
        </is>
      </c>
      <c r="J281" s="35" t="n"/>
      <c r="K281" s="34" t="n"/>
      <c r="L281" s="26">
        <f>IF(A281="","",MONTH(A281))</f>
        <v>6</v>
      </c>
      <c r="M281" s="26">
        <f>IF(A281="","",YEAR(A281))</f>
        <v>2026</v>
      </c>
      <c r="N281" s="26" t="str">
        <f>IF(A281="","",CHOOSE(WEEKDAY(A281,2),"Segunda","Terça","Quarta","Quinta","Sexta","Sábado","Domingo"))</f>
        <v>Segunda</v>
      </c>
      <c r="O281" s="26" t="str">
        <f>IF(B281="","",IF(B281&lt;TIME(12,0,0),"Manhã",IF(B281&lt;TIME(18,0,0),"Tarde","Noite")))</f>
        <v>Tarde</v>
      </c>
      <c r="P281" s="32">
        <f>IF(G281="","",IFERROR(INDEX(Config!$I$5:$I$16,MATCH(G281,Config!$H$5:$H$16,0)),0))</f>
        <v>0</v>
      </c>
      <c r="Q281" s="30">
        <f>IF(OR(H281&lt;&gt;"Realizado",P281="",P281=0),"",A281+P281)</f>
        <v/>
      </c>
      <c r="R281" s="26">
        <f>IF(Q281="","",IF(COUNTIFS($E$5:$E$3004,E281,$A$5:$A$3004,"&gt;"&amp;A281,$H$5:$H$3004,"&lt;&gt;Falta",$H$5:$H$3004,"&lt;&gt;Cancelado",$H$5:$H$3004,"&lt;&gt;Remarcado")&gt;0,"Sim","Não"))</f>
        <v/>
      </c>
      <c r="S281" s="32">
        <f>IF(R281&lt;&gt;"Não","",IF(Q281+Config!$B$9&lt;=Config!$B$8,Config!$B$8-Q281,""))</f>
        <v/>
      </c>
      <c r="T281" s="26">
        <f>IF(S281="","","Sim")</f>
        <v/>
      </c>
      <c r="U281" s="41">
        <f>IF(T281="Sim",S281+ROW()/100000,0)</f>
        <v>0</v>
      </c>
      <c r="V281" s="41">
        <f>IF(AND(H281="Falta",L281=Config!$B$7,M281=Config!$B$5,COUNTIFS($E$5:E281,E281,$H$5:H281,"Falta",$L$5:L281,Config!$B$7,$M$5:M281,Config!$B$5)=1),COUNTIFS($E$5:$E$3004,E281,$H$5:$H$3004,"Falta",$L$5:$L$3004,Config!$B$7,$M$5:$M$3004,Config!$B$5)*1000-ROW()/100000,0)</f>
        <v>0</v>
      </c>
    </row>
    <row r="282">
      <c r="A282" s="39" t="n">
        <v>46202</v>
      </c>
      <c r="B282" s="40" t="n">
        <v>0.7013888888888888</v>
      </c>
      <c r="C282" s="35" t="inlineStr">
        <is>
          <t>Dr. Paulo Andrade</t>
        </is>
      </c>
      <c r="D282" s="35" t="inlineStr">
        <is>
          <t>Sala 2</t>
        </is>
      </c>
      <c r="E282" s="34" t="inlineStr">
        <is>
          <t>Gisele Xavier</t>
        </is>
      </c>
      <c r="F282" s="35" t="inlineStr">
        <is>
          <t>Particular</t>
        </is>
      </c>
      <c r="G282" s="35" t="inlineStr">
        <is>
          <t>ECG</t>
        </is>
      </c>
      <c r="H282" s="35" t="inlineStr">
        <is>
          <t>Realizado</t>
        </is>
      </c>
      <c r="I282" s="35" t="inlineStr">
        <is>
          <t>Cartão de débito</t>
        </is>
      </c>
      <c r="J282" s="35" t="n"/>
      <c r="K282" s="34" t="n"/>
      <c r="L282" s="26">
        <f>IF(A282="","",MONTH(A282))</f>
        <v>6</v>
      </c>
      <c r="M282" s="26">
        <f>IF(A282="","",YEAR(A282))</f>
        <v>2026</v>
      </c>
      <c r="N282" s="26" t="str">
        <f>IF(A282="","",CHOOSE(WEEKDAY(A282,2),"Segunda","Terça","Quarta","Quinta","Sexta","Sábado","Domingo"))</f>
        <v>Segunda</v>
      </c>
      <c r="O282" s="26" t="str">
        <f>IF(B282="","",IF(B282&lt;TIME(12,0,0),"Manhã",IF(B282&lt;TIME(18,0,0),"Tarde","Noite")))</f>
        <v>Tarde</v>
      </c>
      <c r="P282" s="32">
        <f>IF(G282="","",IFERROR(INDEX(Config!$I$5:$I$16,MATCH(G282,Config!$H$5:$H$16,0)),0))</f>
        <v>0</v>
      </c>
      <c r="Q282" s="30">
        <f>IF(OR(H282&lt;&gt;"Realizado",P282="",P282=0),"",A282+P282)</f>
        <v/>
      </c>
      <c r="R282" s="26">
        <f>IF(Q282="","",IF(COUNTIFS($E$5:$E$3004,E282,$A$5:$A$3004,"&gt;"&amp;A282,$H$5:$H$3004,"&lt;&gt;Falta",$H$5:$H$3004,"&lt;&gt;Cancelado",$H$5:$H$3004,"&lt;&gt;Remarcado")&gt;0,"Sim","Não"))</f>
        <v/>
      </c>
      <c r="S282" s="32">
        <f>IF(R282&lt;&gt;"Não","",IF(Q282+Config!$B$9&lt;=Config!$B$8,Config!$B$8-Q282,""))</f>
        <v/>
      </c>
      <c r="T282" s="26">
        <f>IF(S282="","","Sim")</f>
        <v/>
      </c>
      <c r="U282" s="41">
        <f>IF(T282="Sim",S282+ROW()/100000,0)</f>
        <v>0</v>
      </c>
      <c r="V282" s="41">
        <f>IF(AND(H282="Falta",L282=Config!$B$7,M282=Config!$B$5,COUNTIFS($E$5:E282,E282,$H$5:H282,"Falta",$L$5:L282,Config!$B$7,$M$5:M282,Config!$B$5)=1),COUNTIFS($E$5:$E$3004,E282,$H$5:$H$3004,"Falta",$L$5:$L$3004,Config!$B$7,$M$5:$M$3004,Config!$B$5)*1000-ROW()/100000,0)</f>
        <v>0</v>
      </c>
    </row>
    <row r="283">
      <c r="A283" s="39" t="n">
        <v>46202</v>
      </c>
      <c r="B283" s="40" t="n">
        <v>0.7152777777777778</v>
      </c>
      <c r="C283" s="35" t="inlineStr">
        <is>
          <t>Dr. Paulo Andrade</t>
        </is>
      </c>
      <c r="D283" s="35" t="inlineStr">
        <is>
          <t>Sala 2</t>
        </is>
      </c>
      <c r="E283" s="34" t="inlineStr">
        <is>
          <t>Gustavo Ferreira</t>
        </is>
      </c>
      <c r="F283" s="35" t="inlineStr">
        <is>
          <t>Particular</t>
        </is>
      </c>
      <c r="G283" s="35" t="inlineStr">
        <is>
          <t>Teste ergométrico</t>
        </is>
      </c>
      <c r="H283" s="35" t="inlineStr">
        <is>
          <t>Cancelado</t>
        </is>
      </c>
      <c r="I283" s="35" t="n"/>
      <c r="J283" s="35" t="n"/>
      <c r="K283" s="34" t="n"/>
      <c r="L283" s="26">
        <f>IF(A283="","",MONTH(A283))</f>
        <v>6</v>
      </c>
      <c r="M283" s="26">
        <f>IF(A283="","",YEAR(A283))</f>
        <v>2026</v>
      </c>
      <c r="N283" s="26" t="str">
        <f>IF(A283="","",CHOOSE(WEEKDAY(A283,2),"Segunda","Terça","Quarta","Quinta","Sexta","Sábado","Domingo"))</f>
        <v>Segunda</v>
      </c>
      <c r="O283" s="26" t="str">
        <f>IF(B283="","",IF(B283&lt;TIME(12,0,0),"Manhã",IF(B283&lt;TIME(18,0,0),"Tarde","Noite")))</f>
        <v>Tarde</v>
      </c>
      <c r="P283" s="32">
        <f>IF(G283="","",IFERROR(INDEX(Config!$I$5:$I$16,MATCH(G283,Config!$H$5:$H$16,0)),0))</f>
        <v>0</v>
      </c>
      <c r="Q283" s="30">
        <f>IF(OR(H283&lt;&gt;"Realizado",P283="",P283=0),"",A283+P283)</f>
        <v/>
      </c>
      <c r="R283" s="26">
        <f>IF(Q283="","",IF(COUNTIFS($E$5:$E$3004,E283,$A$5:$A$3004,"&gt;"&amp;A283,$H$5:$H$3004,"&lt;&gt;Falta",$H$5:$H$3004,"&lt;&gt;Cancelado",$H$5:$H$3004,"&lt;&gt;Remarcado")&gt;0,"Sim","Não"))</f>
        <v/>
      </c>
      <c r="S283" s="32">
        <f>IF(R283&lt;&gt;"Não","",IF(Q283+Config!$B$9&lt;=Config!$B$8,Config!$B$8-Q283,""))</f>
        <v/>
      </c>
      <c r="T283" s="26">
        <f>IF(S283="","","Sim")</f>
        <v/>
      </c>
      <c r="U283" s="41">
        <f>IF(T283="Sim",S283+ROW()/100000,0)</f>
        <v>0</v>
      </c>
      <c r="V283" s="41">
        <f>IF(AND(H283="Falta",L283=Config!$B$7,M283=Config!$B$5,COUNTIFS($E$5:E283,E283,$H$5:H283,"Falta",$L$5:L283,Config!$B$7,$M$5:M283,Config!$B$5)=1),COUNTIFS($E$5:$E$3004,E283,$H$5:$H$3004,"Falta",$L$5:$L$3004,Config!$B$7,$M$5:$M$3004,Config!$B$5)*1000-ROW()/100000,0)</f>
        <v>0</v>
      </c>
    </row>
    <row r="284">
      <c r="A284" s="39" t="n">
        <v>46203</v>
      </c>
      <c r="B284" s="40" t="n">
        <v>0.3333333333333333</v>
      </c>
      <c r="C284" s="35" t="inlineStr">
        <is>
          <t>Dra. Carolina Mendes</t>
        </is>
      </c>
      <c r="D284" s="35" t="inlineStr">
        <is>
          <t>Sala 1</t>
        </is>
      </c>
      <c r="E284" s="34" t="inlineStr">
        <is>
          <t>Gisele Ribeiro</t>
        </is>
      </c>
      <c r="F284" s="35" t="inlineStr">
        <is>
          <t>Particular</t>
        </is>
      </c>
      <c r="G284" s="35" t="inlineStr">
        <is>
          <t>Consulta</t>
        </is>
      </c>
      <c r="H284" s="35" t="inlineStr">
        <is>
          <t>Realizado</t>
        </is>
      </c>
      <c r="I284" s="35" t="inlineStr">
        <is>
          <t>Cartão de crédito</t>
        </is>
      </c>
      <c r="J284" s="35" t="n"/>
      <c r="K284" s="34" t="n"/>
      <c r="L284" s="26">
        <f>IF(A284="","",MONTH(A284))</f>
        <v>6</v>
      </c>
      <c r="M284" s="26">
        <f>IF(A284="","",YEAR(A284))</f>
        <v>2026</v>
      </c>
      <c r="N284" s="26" t="str">
        <f>IF(A284="","",CHOOSE(WEEKDAY(A284,2),"Segunda","Terça","Quarta","Quinta","Sexta","Sábado","Domingo"))</f>
        <v>Terça</v>
      </c>
      <c r="O284" s="26" t="str">
        <f>IF(B284="","",IF(B284&lt;TIME(12,0,0),"Manhã",IF(B284&lt;TIME(18,0,0),"Tarde","Noite")))</f>
        <v>Manhã</v>
      </c>
      <c r="P284" s="32">
        <f>IF(G284="","",IFERROR(INDEX(Config!$I$5:$I$16,MATCH(G284,Config!$H$5:$H$16,0)),0))</f>
        <v>30</v>
      </c>
      <c r="Q284" s="30">
        <f>IF(OR(H284&lt;&gt;"Realizado",P284="",P284=0),"",A284+P284)</f>
        <v>46233.0</v>
      </c>
      <c r="R284" s="26" t="str">
        <f>IF(Q284="","",IF(COUNTIFS($E$5:$E$3004,E284,$A$5:$A$3004,"&gt;"&amp;A284,$H$5:$H$3004,"&lt;&gt;Falta",$H$5:$H$3004,"&lt;&gt;Cancelado",$H$5:$H$3004,"&lt;&gt;Remarcado")&gt;0,"Sim","Não"))</f>
        <v>Sim</v>
      </c>
      <c r="S284" s="32">
        <f>IF(R284&lt;&gt;"Não","",IF(Q284+Config!$B$9&lt;=Config!$B$8,Config!$B$8-Q284,""))</f>
        <v/>
      </c>
      <c r="T284" s="26">
        <f>IF(S284="","","Sim")</f>
        <v/>
      </c>
      <c r="U284" s="41">
        <f>IF(T284="Sim",S284+ROW()/100000,0)</f>
        <v>0</v>
      </c>
      <c r="V284" s="41">
        <f>IF(AND(H284="Falta",L284=Config!$B$7,M284=Config!$B$5,COUNTIFS($E$5:E284,E284,$H$5:H284,"Falta",$L$5:L284,Config!$B$7,$M$5:M284,Config!$B$5)=1),COUNTIFS($E$5:$E$3004,E284,$H$5:$H$3004,"Falta",$L$5:$L$3004,Config!$B$7,$M$5:$M$3004,Config!$B$5)*1000-ROW()/100000,0)</f>
        <v>0</v>
      </c>
    </row>
    <row r="285">
      <c r="A285" s="39" t="n">
        <v>46203</v>
      </c>
      <c r="B285" s="40" t="n">
        <v>0.3541666666666667</v>
      </c>
      <c r="C285" s="35" t="inlineStr">
        <is>
          <t>Dra. Carolina Mendes</t>
        </is>
      </c>
      <c r="D285" s="35" t="inlineStr">
        <is>
          <t>Sala 1</t>
        </is>
      </c>
      <c r="E285" s="34" t="inlineStr">
        <is>
          <t>Marcelo Santos</t>
        </is>
      </c>
      <c r="F285" s="35" t="inlineStr">
        <is>
          <t>Particular</t>
        </is>
      </c>
      <c r="G285" s="35" t="inlineStr">
        <is>
          <t>Consulta</t>
        </is>
      </c>
      <c r="H285" s="35" t="inlineStr">
        <is>
          <t>Realizado</t>
        </is>
      </c>
      <c r="I285" s="35" t="inlineStr">
        <is>
          <t>Cartão de crédito</t>
        </is>
      </c>
      <c r="J285" s="35" t="n"/>
      <c r="K285" s="34" t="n"/>
      <c r="L285" s="26">
        <f>IF(A285="","",MONTH(A285))</f>
        <v>6</v>
      </c>
      <c r="M285" s="26">
        <f>IF(A285="","",YEAR(A285))</f>
        <v>2026</v>
      </c>
      <c r="N285" s="26" t="str">
        <f>IF(A285="","",CHOOSE(WEEKDAY(A285,2),"Segunda","Terça","Quarta","Quinta","Sexta","Sábado","Domingo"))</f>
        <v>Terça</v>
      </c>
      <c r="O285" s="26" t="str">
        <f>IF(B285="","",IF(B285&lt;TIME(12,0,0),"Manhã",IF(B285&lt;TIME(18,0,0),"Tarde","Noite")))</f>
        <v>Manhã</v>
      </c>
      <c r="P285" s="32">
        <f>IF(G285="","",IFERROR(INDEX(Config!$I$5:$I$16,MATCH(G285,Config!$H$5:$H$16,0)),0))</f>
        <v>30</v>
      </c>
      <c r="Q285" s="30">
        <f>IF(OR(H285&lt;&gt;"Realizado",P285="",P285=0),"",A285+P285)</f>
        <v>46233.0</v>
      </c>
      <c r="R285" s="26" t="str">
        <f>IF(Q285="","",IF(COUNTIFS($E$5:$E$3004,E285,$A$5:$A$3004,"&gt;"&amp;A285,$H$5:$H$3004,"&lt;&gt;Falta",$H$5:$H$3004,"&lt;&gt;Cancelado",$H$5:$H$3004,"&lt;&gt;Remarcado")&gt;0,"Sim","Não"))</f>
        <v>Sim</v>
      </c>
      <c r="S285" s="32">
        <f>IF(R285&lt;&gt;"Não","",IF(Q285+Config!$B$9&lt;=Config!$B$8,Config!$B$8-Q285,""))</f>
        <v/>
      </c>
      <c r="T285" s="26">
        <f>IF(S285="","","Sim")</f>
        <v/>
      </c>
      <c r="U285" s="41">
        <f>IF(T285="Sim",S285+ROW()/100000,0)</f>
        <v>0</v>
      </c>
      <c r="V285" s="41">
        <f>IF(AND(H285="Falta",L285=Config!$B$7,M285=Config!$B$5,COUNTIFS($E$5:E285,E285,$H$5:H285,"Falta",$L$5:L285,Config!$B$7,$M$5:M285,Config!$B$5)=1),COUNTIFS($E$5:$E$3004,E285,$H$5:$H$3004,"Falta",$L$5:$L$3004,Config!$B$7,$M$5:$M$3004,Config!$B$5)*1000-ROW()/100000,0)</f>
        <v>0</v>
      </c>
    </row>
    <row r="286">
      <c r="A286" s="39" t="n">
        <v>46203</v>
      </c>
      <c r="B286" s="40" t="n">
        <v>0.375</v>
      </c>
      <c r="C286" s="35" t="inlineStr">
        <is>
          <t>Dra. Carolina Mendes</t>
        </is>
      </c>
      <c r="D286" s="35" t="inlineStr">
        <is>
          <t>Sala 1</t>
        </is>
      </c>
      <c r="E286" s="34" t="inlineStr">
        <is>
          <t>Juliana Silva</t>
        </is>
      </c>
      <c r="F286" s="35" t="inlineStr">
        <is>
          <t>Vida Care</t>
        </is>
      </c>
      <c r="G286" s="35" t="inlineStr">
        <is>
          <t>Retorno</t>
        </is>
      </c>
      <c r="H286" s="35" t="inlineStr">
        <is>
          <t>Realizado</t>
        </is>
      </c>
      <c r="I286" s="35" t="inlineStr">
        <is>
          <t>Sem cobrança</t>
        </is>
      </c>
      <c r="J286" s="35" t="n"/>
      <c r="K286" s="34" t="n"/>
      <c r="L286" s="26">
        <f>IF(A286="","",MONTH(A286))</f>
        <v>6</v>
      </c>
      <c r="M286" s="26">
        <f>IF(A286="","",YEAR(A286))</f>
        <v>2026</v>
      </c>
      <c r="N286" s="26" t="str">
        <f>IF(A286="","",CHOOSE(WEEKDAY(A286,2),"Segunda","Terça","Quarta","Quinta","Sexta","Sábado","Domingo"))</f>
        <v>Terça</v>
      </c>
      <c r="O286" s="26" t="str">
        <f>IF(B286="","",IF(B286&lt;TIME(12,0,0),"Manhã",IF(B286&lt;TIME(18,0,0),"Tarde","Noite")))</f>
        <v>Manhã</v>
      </c>
      <c r="P286" s="32">
        <f>IF(G286="","",IFERROR(INDEX(Config!$I$5:$I$16,MATCH(G286,Config!$H$5:$H$16,0)),0))</f>
        <v>0</v>
      </c>
      <c r="Q286" s="30">
        <f>IF(OR(H286&lt;&gt;"Realizado",P286="",P286=0),"",A286+P286)</f>
        <v/>
      </c>
      <c r="R286" s="26">
        <f>IF(Q286="","",IF(COUNTIFS($E$5:$E$3004,E286,$A$5:$A$3004,"&gt;"&amp;A286,$H$5:$H$3004,"&lt;&gt;Falta",$H$5:$H$3004,"&lt;&gt;Cancelado",$H$5:$H$3004,"&lt;&gt;Remarcado")&gt;0,"Sim","Não"))</f>
        <v/>
      </c>
      <c r="S286" s="32">
        <f>IF(R286&lt;&gt;"Não","",IF(Q286+Config!$B$9&lt;=Config!$B$8,Config!$B$8-Q286,""))</f>
        <v/>
      </c>
      <c r="T286" s="26">
        <f>IF(S286="","","Sim")</f>
        <v/>
      </c>
      <c r="U286" s="41">
        <f>IF(T286="Sim",S286+ROW()/100000,0)</f>
        <v>0</v>
      </c>
      <c r="V286" s="41">
        <f>IF(AND(H286="Falta",L286=Config!$B$7,M286=Config!$B$5,COUNTIFS($E$5:E286,E286,$H$5:H286,"Falta",$L$5:L286,Config!$B$7,$M$5:M286,Config!$B$5)=1),COUNTIFS($E$5:$E$3004,E286,$H$5:$H$3004,"Falta",$L$5:$L$3004,Config!$B$7,$M$5:$M$3004,Config!$B$5)*1000-ROW()/100000,0)</f>
        <v>0</v>
      </c>
    </row>
    <row r="287">
      <c r="A287" s="39" t="n">
        <v>46203</v>
      </c>
      <c r="B287" s="40" t="n">
        <v>0.3888888888888889</v>
      </c>
      <c r="C287" s="35" t="inlineStr">
        <is>
          <t>Dra. Carolina Mendes</t>
        </is>
      </c>
      <c r="D287" s="35" t="inlineStr">
        <is>
          <t>Sala 1</t>
        </is>
      </c>
      <c r="E287" s="34" t="inlineStr">
        <is>
          <t>Elaine Cardoso</t>
        </is>
      </c>
      <c r="F287" s="35" t="inlineStr">
        <is>
          <t>Particular</t>
        </is>
      </c>
      <c r="G287" s="35" t="inlineStr">
        <is>
          <t>Consulta</t>
        </is>
      </c>
      <c r="H287" s="35" t="inlineStr">
        <is>
          <t>Realizado</t>
        </is>
      </c>
      <c r="I287" s="35" t="inlineStr">
        <is>
          <t>Cartão de débito</t>
        </is>
      </c>
      <c r="J287" s="35" t="n"/>
      <c r="K287" s="34" t="n"/>
      <c r="L287" s="26">
        <f>IF(A287="","",MONTH(A287))</f>
        <v>6</v>
      </c>
      <c r="M287" s="26">
        <f>IF(A287="","",YEAR(A287))</f>
        <v>2026</v>
      </c>
      <c r="N287" s="26" t="str">
        <f>IF(A287="","",CHOOSE(WEEKDAY(A287,2),"Segunda","Terça","Quarta","Quinta","Sexta","Sábado","Domingo"))</f>
        <v>Terça</v>
      </c>
      <c r="O287" s="26" t="str">
        <f>IF(B287="","",IF(B287&lt;TIME(12,0,0),"Manhã",IF(B287&lt;TIME(18,0,0),"Tarde","Noite")))</f>
        <v>Manhã</v>
      </c>
      <c r="P287" s="32">
        <f>IF(G287="","",IFERROR(INDEX(Config!$I$5:$I$16,MATCH(G287,Config!$H$5:$H$16,0)),0))</f>
        <v>30</v>
      </c>
      <c r="Q287" s="30">
        <f>IF(OR(H287&lt;&gt;"Realizado",P287="",P287=0),"",A287+P287)</f>
        <v>46233.0</v>
      </c>
      <c r="R287" s="26" t="str">
        <f>IF(Q287="","",IF(COUNTIFS($E$5:$E$3004,E287,$A$5:$A$3004,"&gt;"&amp;A287,$H$5:$H$3004,"&lt;&gt;Falta",$H$5:$H$3004,"&lt;&gt;Cancelado",$H$5:$H$3004,"&lt;&gt;Remarcado")&gt;0,"Sim","Não"))</f>
        <v>Sim</v>
      </c>
      <c r="S287" s="32">
        <f>IF(R287&lt;&gt;"Não","",IF(Q287+Config!$B$9&lt;=Config!$B$8,Config!$B$8-Q287,""))</f>
        <v/>
      </c>
      <c r="T287" s="26">
        <f>IF(S287="","","Sim")</f>
        <v/>
      </c>
      <c r="U287" s="41">
        <f>IF(T287="Sim",S287+ROW()/100000,0)</f>
        <v>0</v>
      </c>
      <c r="V287" s="41">
        <f>IF(AND(H287="Falta",L287=Config!$B$7,M287=Config!$B$5,COUNTIFS($E$5:E287,E287,$H$5:H287,"Falta",$L$5:L287,Config!$B$7,$M$5:M287,Config!$B$5)=1),COUNTIFS($E$5:$E$3004,E287,$H$5:$H$3004,"Falta",$L$5:$L$3004,Config!$B$7,$M$5:$M$3004,Config!$B$5)*1000-ROW()/100000,0)</f>
        <v>0</v>
      </c>
    </row>
    <row r="288">
      <c r="A288" s="39" t="n">
        <v>46203</v>
      </c>
      <c r="B288" s="40" t="n">
        <v>0.4097222222222222</v>
      </c>
      <c r="C288" s="35" t="inlineStr">
        <is>
          <t>Dra. Carolina Mendes</t>
        </is>
      </c>
      <c r="D288" s="35" t="inlineStr">
        <is>
          <t>Sala 1</t>
        </is>
      </c>
      <c r="E288" s="34" t="inlineStr">
        <is>
          <t>Priscila Carvalho</t>
        </is>
      </c>
      <c r="F288" s="35" t="inlineStr">
        <is>
          <t>Vida Care</t>
        </is>
      </c>
      <c r="G288" s="35" t="inlineStr">
        <is>
          <t>Consulta</t>
        </is>
      </c>
      <c r="H288" s="35" t="inlineStr">
        <is>
          <t>Falta</t>
        </is>
      </c>
      <c r="I288" s="35" t="n"/>
      <c r="J288" s="35" t="n"/>
      <c r="K288" s="34" t="n"/>
      <c r="L288" s="26">
        <f>IF(A288="","",MONTH(A288))</f>
        <v>6</v>
      </c>
      <c r="M288" s="26">
        <f>IF(A288="","",YEAR(A288))</f>
        <v>2026</v>
      </c>
      <c r="N288" s="26" t="str">
        <f>IF(A288="","",CHOOSE(WEEKDAY(A288,2),"Segunda","Terça","Quarta","Quinta","Sexta","Sábado","Domingo"))</f>
        <v>Terça</v>
      </c>
      <c r="O288" s="26" t="str">
        <f>IF(B288="","",IF(B288&lt;TIME(12,0,0),"Manhã",IF(B288&lt;TIME(18,0,0),"Tarde","Noite")))</f>
        <v>Manhã</v>
      </c>
      <c r="P288" s="32">
        <f>IF(G288="","",IFERROR(INDEX(Config!$I$5:$I$16,MATCH(G288,Config!$H$5:$H$16,0)),0))</f>
        <v>30</v>
      </c>
      <c r="Q288" s="30">
        <f>IF(OR(H288&lt;&gt;"Realizado",P288="",P288=0),"",A288+P288)</f>
        <v/>
      </c>
      <c r="R288" s="26">
        <f>IF(Q288="","",IF(COUNTIFS($E$5:$E$3004,E288,$A$5:$A$3004,"&gt;"&amp;A288,$H$5:$H$3004,"&lt;&gt;Falta",$H$5:$H$3004,"&lt;&gt;Cancelado",$H$5:$H$3004,"&lt;&gt;Remarcado")&gt;0,"Sim","Não"))</f>
        <v/>
      </c>
      <c r="S288" s="32">
        <f>IF(R288&lt;&gt;"Não","",IF(Q288+Config!$B$9&lt;=Config!$B$8,Config!$B$8-Q288,""))</f>
        <v/>
      </c>
      <c r="T288" s="26">
        <f>IF(S288="","","Sim")</f>
        <v/>
      </c>
      <c r="U288" s="41">
        <f>IF(T288="Sim",S288+ROW()/100000,0)</f>
        <v>0</v>
      </c>
      <c r="V288" s="41">
        <f>IF(AND(H288="Falta",L288=Config!$B$7,M288=Config!$B$5,COUNTIFS($E$5:E288,E288,$H$5:H288,"Falta",$L$5:L288,Config!$B$7,$M$5:M288,Config!$B$5)=1),COUNTIFS($E$5:$E$3004,E288,$H$5:$H$3004,"Falta",$L$5:$L$3004,Config!$B$7,$M$5:$M$3004,Config!$B$5)*1000-ROW()/100000,0)</f>
        <v>0</v>
      </c>
    </row>
    <row r="289">
      <c r="A289" s="39" t="n">
        <v>46203</v>
      </c>
      <c r="B289" s="40" t="n">
        <v>0.4305555555555556</v>
      </c>
      <c r="C289" s="35" t="inlineStr">
        <is>
          <t>Dra. Carolina Mendes</t>
        </is>
      </c>
      <c r="D289" s="35" t="inlineStr">
        <is>
          <t>Sala 1</t>
        </is>
      </c>
      <c r="E289" s="34" t="inlineStr">
        <is>
          <t>Daniel Melo</t>
        </is>
      </c>
      <c r="F289" s="35" t="inlineStr">
        <is>
          <t>Saúde Total</t>
        </is>
      </c>
      <c r="G289" s="35" t="inlineStr">
        <is>
          <t>Consulta</t>
        </is>
      </c>
      <c r="H289" s="35" t="inlineStr">
        <is>
          <t>Realizado</t>
        </is>
      </c>
      <c r="I289" s="35" t="inlineStr">
        <is>
          <t>Convênio</t>
        </is>
      </c>
      <c r="J289" s="35" t="n"/>
      <c r="K289" s="34" t="n"/>
      <c r="L289" s="26">
        <f>IF(A289="","",MONTH(A289))</f>
        <v>6</v>
      </c>
      <c r="M289" s="26">
        <f>IF(A289="","",YEAR(A289))</f>
        <v>2026</v>
      </c>
      <c r="N289" s="26" t="str">
        <f>IF(A289="","",CHOOSE(WEEKDAY(A289,2),"Segunda","Terça","Quarta","Quinta","Sexta","Sábado","Domingo"))</f>
        <v>Terça</v>
      </c>
      <c r="O289" s="26" t="str">
        <f>IF(B289="","",IF(B289&lt;TIME(12,0,0),"Manhã",IF(B289&lt;TIME(18,0,0),"Tarde","Noite")))</f>
        <v>Manhã</v>
      </c>
      <c r="P289" s="32">
        <f>IF(G289="","",IFERROR(INDEX(Config!$I$5:$I$16,MATCH(G289,Config!$H$5:$H$16,0)),0))</f>
        <v>30</v>
      </c>
      <c r="Q289" s="30">
        <f>IF(OR(H289&lt;&gt;"Realizado",P289="",P289=0),"",A289+P289)</f>
        <v>46233.0</v>
      </c>
      <c r="R289" s="26" t="str">
        <f>IF(Q289="","",IF(COUNTIFS($E$5:$E$3004,E289,$A$5:$A$3004,"&gt;"&amp;A289,$H$5:$H$3004,"&lt;&gt;Falta",$H$5:$H$3004,"&lt;&gt;Cancelado",$H$5:$H$3004,"&lt;&gt;Remarcado")&gt;0,"Sim","Não"))</f>
        <v>Sim</v>
      </c>
      <c r="S289" s="32">
        <f>IF(R289&lt;&gt;"Não","",IF(Q289+Config!$B$9&lt;=Config!$B$8,Config!$B$8-Q289,""))</f>
        <v/>
      </c>
      <c r="T289" s="26">
        <f>IF(S289="","","Sim")</f>
        <v/>
      </c>
      <c r="U289" s="41">
        <f>IF(T289="Sim",S289+ROW()/100000,0)</f>
        <v>0</v>
      </c>
      <c r="V289" s="41">
        <f>IF(AND(H289="Falta",L289=Config!$B$7,M289=Config!$B$5,COUNTIFS($E$5:E289,E289,$H$5:H289,"Falta",$L$5:L289,Config!$B$7,$M$5:M289,Config!$B$5)=1),COUNTIFS($E$5:$E$3004,E289,$H$5:$H$3004,"Falta",$L$5:$L$3004,Config!$B$7,$M$5:$M$3004,Config!$B$5)*1000-ROW()/100000,0)</f>
        <v>0</v>
      </c>
    </row>
    <row r="290">
      <c r="A290" s="39" t="n">
        <v>46203</v>
      </c>
      <c r="B290" s="40" t="n">
        <v>0.4513888888888889</v>
      </c>
      <c r="C290" s="35" t="inlineStr">
        <is>
          <t>Dra. Carolina Mendes</t>
        </is>
      </c>
      <c r="D290" s="35" t="inlineStr">
        <is>
          <t>Sala 1</t>
        </is>
      </c>
      <c r="E290" s="34" t="inlineStr">
        <is>
          <t>Regina Macedo</t>
        </is>
      </c>
      <c r="F290" s="35" t="inlineStr">
        <is>
          <t>Particular</t>
        </is>
      </c>
      <c r="G290" s="35" t="inlineStr">
        <is>
          <t>Consulta</t>
        </is>
      </c>
      <c r="H290" s="35" t="inlineStr">
        <is>
          <t>Realizado</t>
        </is>
      </c>
      <c r="I290" s="35" t="inlineStr">
        <is>
          <t>Cartão de crédito</t>
        </is>
      </c>
      <c r="J290" s="35" t="n">
        <v>2</v>
      </c>
      <c r="K290" s="34" t="n"/>
      <c r="L290" s="26">
        <f>IF(A290="","",MONTH(A290))</f>
        <v>6</v>
      </c>
      <c r="M290" s="26">
        <f>IF(A290="","",YEAR(A290))</f>
        <v>2026</v>
      </c>
      <c r="N290" s="26" t="str">
        <f>IF(A290="","",CHOOSE(WEEKDAY(A290,2),"Segunda","Terça","Quarta","Quinta","Sexta","Sábado","Domingo"))</f>
        <v>Terça</v>
      </c>
      <c r="O290" s="26" t="str">
        <f>IF(B290="","",IF(B290&lt;TIME(12,0,0),"Manhã",IF(B290&lt;TIME(18,0,0),"Tarde","Noite")))</f>
        <v>Manhã</v>
      </c>
      <c r="P290" s="32">
        <f>IF(G290="","",IFERROR(INDEX(Config!$I$5:$I$16,MATCH(G290,Config!$H$5:$H$16,0)),0))</f>
        <v>30</v>
      </c>
      <c r="Q290" s="30">
        <f>IF(OR(H290&lt;&gt;"Realizado",P290="",P290=0),"",A290+P290)</f>
        <v>46233.0</v>
      </c>
      <c r="R290" s="26" t="str">
        <f>IF(Q290="","",IF(COUNTIFS($E$5:$E$3004,E290,$A$5:$A$3004,"&gt;"&amp;A290,$H$5:$H$3004,"&lt;&gt;Falta",$H$5:$H$3004,"&lt;&gt;Cancelado",$H$5:$H$3004,"&lt;&gt;Remarcado")&gt;0,"Sim","Não"))</f>
        <v>Sim</v>
      </c>
      <c r="S290" s="32">
        <f>IF(R290&lt;&gt;"Não","",IF(Q290+Config!$B$9&lt;=Config!$B$8,Config!$B$8-Q290,""))</f>
        <v/>
      </c>
      <c r="T290" s="26">
        <f>IF(S290="","","Sim")</f>
        <v/>
      </c>
      <c r="U290" s="41">
        <f>IF(T290="Sim",S290+ROW()/100000,0)</f>
        <v>0</v>
      </c>
      <c r="V290" s="41">
        <f>IF(AND(H290="Falta",L290=Config!$B$7,M290=Config!$B$5,COUNTIFS($E$5:E290,E290,$H$5:H290,"Falta",$L$5:L290,Config!$B$7,$M$5:M290,Config!$B$5)=1),COUNTIFS($E$5:$E$3004,E290,$H$5:$H$3004,"Falta",$L$5:$L$3004,Config!$B$7,$M$5:$M$3004,Config!$B$5)*1000-ROW()/100000,0)</f>
        <v>0</v>
      </c>
    </row>
    <row r="291">
      <c r="A291" s="39" t="n">
        <v>46203</v>
      </c>
      <c r="B291" s="40" t="n">
        <v>0.4722222222222222</v>
      </c>
      <c r="C291" s="35" t="inlineStr">
        <is>
          <t>Dra. Carolina Mendes</t>
        </is>
      </c>
      <c r="D291" s="35" t="inlineStr">
        <is>
          <t>Sala 1</t>
        </is>
      </c>
      <c r="E291" s="34" t="inlineStr">
        <is>
          <t>Camila Batista</t>
        </is>
      </c>
      <c r="F291" s="35" t="inlineStr">
        <is>
          <t>MediPlan</t>
        </is>
      </c>
      <c r="G291" s="35" t="inlineStr">
        <is>
          <t>Consulta</t>
        </is>
      </c>
      <c r="H291" s="35" t="inlineStr">
        <is>
          <t>Realizado</t>
        </is>
      </c>
      <c r="I291" s="35" t="inlineStr">
        <is>
          <t>Convênio</t>
        </is>
      </c>
      <c r="J291" s="35" t="n"/>
      <c r="K291" s="34" t="n"/>
      <c r="L291" s="26">
        <f>IF(A291="","",MONTH(A291))</f>
        <v>6</v>
      </c>
      <c r="M291" s="26">
        <f>IF(A291="","",YEAR(A291))</f>
        <v>2026</v>
      </c>
      <c r="N291" s="26" t="str">
        <f>IF(A291="","",CHOOSE(WEEKDAY(A291,2),"Segunda","Terça","Quarta","Quinta","Sexta","Sábado","Domingo"))</f>
        <v>Terça</v>
      </c>
      <c r="O291" s="26" t="str">
        <f>IF(B291="","",IF(B291&lt;TIME(12,0,0),"Manhã",IF(B291&lt;TIME(18,0,0),"Tarde","Noite")))</f>
        <v>Manhã</v>
      </c>
      <c r="P291" s="32">
        <f>IF(G291="","",IFERROR(INDEX(Config!$I$5:$I$16,MATCH(G291,Config!$H$5:$H$16,0)),0))</f>
        <v>30</v>
      </c>
      <c r="Q291" s="30">
        <f>IF(OR(H291&lt;&gt;"Realizado",P291="",P291=0),"",A291+P291)</f>
        <v>46233.0</v>
      </c>
      <c r="R291" s="26" t="str">
        <f>IF(Q291="","",IF(COUNTIFS($E$5:$E$3004,E291,$A$5:$A$3004,"&gt;"&amp;A291,$H$5:$H$3004,"&lt;&gt;Falta",$H$5:$H$3004,"&lt;&gt;Cancelado",$H$5:$H$3004,"&lt;&gt;Remarcado")&gt;0,"Sim","Não"))</f>
        <v>Sim</v>
      </c>
      <c r="S291" s="32">
        <f>IF(R291&lt;&gt;"Não","",IF(Q291+Config!$B$9&lt;=Config!$B$8,Config!$B$8-Q291,""))</f>
        <v/>
      </c>
      <c r="T291" s="26">
        <f>IF(S291="","","Sim")</f>
        <v/>
      </c>
      <c r="U291" s="41">
        <f>IF(T291="Sim",S291+ROW()/100000,0)</f>
        <v>0</v>
      </c>
      <c r="V291" s="41">
        <f>IF(AND(H291="Falta",L291=Config!$B$7,M291=Config!$B$5,COUNTIFS($E$5:E291,E291,$H$5:H291,"Falta",$L$5:L291,Config!$B$7,$M$5:M291,Config!$B$5)=1),COUNTIFS($E$5:$E$3004,E291,$H$5:$H$3004,"Falta",$L$5:$L$3004,Config!$B$7,$M$5:$M$3004,Config!$B$5)*1000-ROW()/100000,0)</f>
        <v>0</v>
      </c>
    </row>
    <row r="292">
      <c r="A292" s="39" t="n">
        <v>46203</v>
      </c>
      <c r="B292" s="40" t="n">
        <v>0.5833333333333334</v>
      </c>
      <c r="C292" s="35" t="inlineStr">
        <is>
          <t>Dr. Paulo Andrade</t>
        </is>
      </c>
      <c r="D292" s="35" t="inlineStr">
        <is>
          <t>Sala 2</t>
        </is>
      </c>
      <c r="E292" s="34" t="inlineStr">
        <is>
          <t>Gabriel Vieira</t>
        </is>
      </c>
      <c r="F292" s="35" t="inlineStr">
        <is>
          <t>Vida Care</t>
        </is>
      </c>
      <c r="G292" s="35" t="inlineStr">
        <is>
          <t>Consulta</t>
        </is>
      </c>
      <c r="H292" s="35" t="inlineStr">
        <is>
          <t>Realizado</t>
        </is>
      </c>
      <c r="I292" s="35" t="inlineStr">
        <is>
          <t>Convênio</t>
        </is>
      </c>
      <c r="J292" s="35" t="n"/>
      <c r="K292" s="34" t="n"/>
      <c r="L292" s="26">
        <f>IF(A292="","",MONTH(A292))</f>
        <v>6</v>
      </c>
      <c r="M292" s="26">
        <f>IF(A292="","",YEAR(A292))</f>
        <v>2026</v>
      </c>
      <c r="N292" s="26" t="str">
        <f>IF(A292="","",CHOOSE(WEEKDAY(A292,2),"Segunda","Terça","Quarta","Quinta","Sexta","Sábado","Domingo"))</f>
        <v>Terça</v>
      </c>
      <c r="O292" s="26" t="str">
        <f>IF(B292="","",IF(B292&lt;TIME(12,0,0),"Manhã",IF(B292&lt;TIME(18,0,0),"Tarde","Noite")))</f>
        <v>Tarde</v>
      </c>
      <c r="P292" s="32">
        <f>IF(G292="","",IFERROR(INDEX(Config!$I$5:$I$16,MATCH(G292,Config!$H$5:$H$16,0)),0))</f>
        <v>30</v>
      </c>
      <c r="Q292" s="30">
        <f>IF(OR(H292&lt;&gt;"Realizado",P292="",P292=0),"",A292+P292)</f>
        <v>46233.0</v>
      </c>
      <c r="R292" s="26" t="str">
        <f>IF(Q292="","",IF(COUNTIFS($E$5:$E$3004,E292,$A$5:$A$3004,"&gt;"&amp;A292,$H$5:$H$3004,"&lt;&gt;Falta",$H$5:$H$3004,"&lt;&gt;Cancelado",$H$5:$H$3004,"&lt;&gt;Remarcado")&gt;0,"Sim","Não"))</f>
        <v>Sim</v>
      </c>
      <c r="S292" s="32">
        <f>IF(R292&lt;&gt;"Não","",IF(Q292+Config!$B$9&lt;=Config!$B$8,Config!$B$8-Q292,""))</f>
        <v/>
      </c>
      <c r="T292" s="26">
        <f>IF(S292="","","Sim")</f>
        <v/>
      </c>
      <c r="U292" s="41">
        <f>IF(T292="Sim",S292+ROW()/100000,0)</f>
        <v>0</v>
      </c>
      <c r="V292" s="41">
        <f>IF(AND(H292="Falta",L292=Config!$B$7,M292=Config!$B$5,COUNTIFS($E$5:E292,E292,$H$5:H292,"Falta",$L$5:L292,Config!$B$7,$M$5:M292,Config!$B$5)=1),COUNTIFS($E$5:$E$3004,E292,$H$5:$H$3004,"Falta",$L$5:$L$3004,Config!$B$7,$M$5:$M$3004,Config!$B$5)*1000-ROW()/100000,0)</f>
        <v>0</v>
      </c>
    </row>
    <row r="293">
      <c r="A293" s="39" t="n">
        <v>46203</v>
      </c>
      <c r="B293" s="40" t="n">
        <v>0.6041666666666666</v>
      </c>
      <c r="C293" s="35" t="inlineStr">
        <is>
          <t>Dr. Paulo Andrade</t>
        </is>
      </c>
      <c r="D293" s="35" t="inlineStr">
        <is>
          <t>Sala 2</t>
        </is>
      </c>
      <c r="E293" s="34" t="inlineStr">
        <is>
          <t>Mateus Dias</t>
        </is>
      </c>
      <c r="F293" s="35" t="inlineStr">
        <is>
          <t>Saúde Total</t>
        </is>
      </c>
      <c r="G293" s="35" t="inlineStr">
        <is>
          <t>Consulta</t>
        </is>
      </c>
      <c r="H293" s="35" t="inlineStr">
        <is>
          <t>Realizado</t>
        </is>
      </c>
      <c r="I293" s="35" t="inlineStr">
        <is>
          <t>Convênio</t>
        </is>
      </c>
      <c r="J293" s="35" t="n"/>
      <c r="K293" s="34" t="n"/>
      <c r="L293" s="26">
        <f>IF(A293="","",MONTH(A293))</f>
        <v>6</v>
      </c>
      <c r="M293" s="26">
        <f>IF(A293="","",YEAR(A293))</f>
        <v>2026</v>
      </c>
      <c r="N293" s="26" t="str">
        <f>IF(A293="","",CHOOSE(WEEKDAY(A293,2),"Segunda","Terça","Quarta","Quinta","Sexta","Sábado","Domingo"))</f>
        <v>Terça</v>
      </c>
      <c r="O293" s="26" t="str">
        <f>IF(B293="","",IF(B293&lt;TIME(12,0,0),"Manhã",IF(B293&lt;TIME(18,0,0),"Tarde","Noite")))</f>
        <v>Tarde</v>
      </c>
      <c r="P293" s="32">
        <f>IF(G293="","",IFERROR(INDEX(Config!$I$5:$I$16,MATCH(G293,Config!$H$5:$H$16,0)),0))</f>
        <v>30</v>
      </c>
      <c r="Q293" s="30">
        <f>IF(OR(H293&lt;&gt;"Realizado",P293="",P293=0),"",A293+P293)</f>
        <v>46233.0</v>
      </c>
      <c r="R293" s="26" t="str">
        <f>IF(Q293="","",IF(COUNTIFS($E$5:$E$3004,E293,$A$5:$A$3004,"&gt;"&amp;A293,$H$5:$H$3004,"&lt;&gt;Falta",$H$5:$H$3004,"&lt;&gt;Cancelado",$H$5:$H$3004,"&lt;&gt;Remarcado")&gt;0,"Sim","Não"))</f>
        <v>Sim</v>
      </c>
      <c r="S293" s="32">
        <f>IF(R293&lt;&gt;"Não","",IF(Q293+Config!$B$9&lt;=Config!$B$8,Config!$B$8-Q293,""))</f>
        <v/>
      </c>
      <c r="T293" s="26">
        <f>IF(S293="","","Sim")</f>
        <v/>
      </c>
      <c r="U293" s="41">
        <f>IF(T293="Sim",S293+ROW()/100000,0)</f>
        <v>0</v>
      </c>
      <c r="V293" s="41">
        <f>IF(AND(H293="Falta",L293=Config!$B$7,M293=Config!$B$5,COUNTIFS($E$5:E293,E293,$H$5:H293,"Falta",$L$5:L293,Config!$B$7,$M$5:M293,Config!$B$5)=1),COUNTIFS($E$5:$E$3004,E293,$H$5:$H$3004,"Falta",$L$5:$L$3004,Config!$B$7,$M$5:$M$3004,Config!$B$5)*1000-ROW()/100000,0)</f>
        <v>0</v>
      </c>
    </row>
    <row r="294">
      <c r="A294" s="39" t="n">
        <v>46203</v>
      </c>
      <c r="B294" s="40" t="n">
        <v>0.625</v>
      </c>
      <c r="C294" s="35" t="inlineStr">
        <is>
          <t>Dra. Renata Sousa</t>
        </is>
      </c>
      <c r="D294" s="35" t="inlineStr">
        <is>
          <t>Sala 1</t>
        </is>
      </c>
      <c r="E294" s="34" t="inlineStr">
        <is>
          <t>Patrícia Dias</t>
        </is>
      </c>
      <c r="F294" s="35" t="inlineStr">
        <is>
          <t>Particular</t>
        </is>
      </c>
      <c r="G294" s="35" t="inlineStr">
        <is>
          <t>Avaliação endócrina</t>
        </is>
      </c>
      <c r="H294" s="35" t="inlineStr">
        <is>
          <t>Realizado</t>
        </is>
      </c>
      <c r="I294" s="35" t="inlineStr">
        <is>
          <t>A prazo</t>
        </is>
      </c>
      <c r="J294" s="35" t="n"/>
      <c r="K294" s="34" t="n"/>
      <c r="L294" s="26">
        <f>IF(A294="","",MONTH(A294))</f>
        <v>6</v>
      </c>
      <c r="M294" s="26">
        <f>IF(A294="","",YEAR(A294))</f>
        <v>2026</v>
      </c>
      <c r="N294" s="26" t="str">
        <f>IF(A294="","",CHOOSE(WEEKDAY(A294,2),"Segunda","Terça","Quarta","Quinta","Sexta","Sábado","Domingo"))</f>
        <v>Terça</v>
      </c>
      <c r="O294" s="26" t="str">
        <f>IF(B294="","",IF(B294&lt;TIME(12,0,0),"Manhã",IF(B294&lt;TIME(18,0,0),"Tarde","Noite")))</f>
        <v>Tarde</v>
      </c>
      <c r="P294" s="32">
        <f>IF(G294="","",IFERROR(INDEX(Config!$I$5:$I$16,MATCH(G294,Config!$H$5:$H$16,0)),0))</f>
        <v>45</v>
      </c>
      <c r="Q294" s="30">
        <f>IF(OR(H294&lt;&gt;"Realizado",P294="",P294=0),"",A294+P294)</f>
        <v>46248.0</v>
      </c>
      <c r="R294" s="26" t="str">
        <f>IF(Q294="","",IF(COUNTIFS($E$5:$E$3004,E294,$A$5:$A$3004,"&gt;"&amp;A294,$H$5:$H$3004,"&lt;&gt;Falta",$H$5:$H$3004,"&lt;&gt;Cancelado",$H$5:$H$3004,"&lt;&gt;Remarcado")&gt;0,"Sim","Não"))</f>
        <v>Sim</v>
      </c>
      <c r="S294" s="32">
        <f>IF(R294&lt;&gt;"Não","",IF(Q294+Config!$B$9&lt;=Config!$B$8,Config!$B$8-Q294,""))</f>
        <v/>
      </c>
      <c r="T294" s="26">
        <f>IF(S294="","","Sim")</f>
        <v/>
      </c>
      <c r="U294" s="41">
        <f>IF(T294="Sim",S294+ROW()/100000,0)</f>
        <v>0</v>
      </c>
      <c r="V294" s="41">
        <f>IF(AND(H294="Falta",L294=Config!$B$7,M294=Config!$B$5,COUNTIFS($E$5:E294,E294,$H$5:H294,"Falta",$L$5:L294,Config!$B$7,$M$5:M294,Config!$B$5)=1),COUNTIFS($E$5:$E$3004,E294,$H$5:$H$3004,"Falta",$L$5:$L$3004,Config!$B$7,$M$5:$M$3004,Config!$B$5)*1000-ROW()/100000,0)</f>
        <v>0</v>
      </c>
    </row>
    <row r="295">
      <c r="A295" s="39" t="n">
        <v>46203</v>
      </c>
      <c r="B295" s="40" t="n">
        <v>0.625</v>
      </c>
      <c r="C295" s="35" t="inlineStr">
        <is>
          <t>Dr. Paulo Andrade</t>
        </is>
      </c>
      <c r="D295" s="35" t="inlineStr">
        <is>
          <t>Sala 2</t>
        </is>
      </c>
      <c r="E295" s="34" t="inlineStr">
        <is>
          <t>Vanessa Moreira</t>
        </is>
      </c>
      <c r="F295" s="35" t="inlineStr">
        <is>
          <t>Saúde Total</t>
        </is>
      </c>
      <c r="G295" s="35" t="inlineStr">
        <is>
          <t>Consulta</t>
        </is>
      </c>
      <c r="H295" s="35" t="inlineStr">
        <is>
          <t>Realizado</t>
        </is>
      </c>
      <c r="I295" s="35" t="inlineStr">
        <is>
          <t>Convênio</t>
        </is>
      </c>
      <c r="J295" s="35" t="n"/>
      <c r="K295" s="34" t="n"/>
      <c r="L295" s="26">
        <f>IF(A295="","",MONTH(A295))</f>
        <v>6</v>
      </c>
      <c r="M295" s="26">
        <f>IF(A295="","",YEAR(A295))</f>
        <v>2026</v>
      </c>
      <c r="N295" s="26" t="str">
        <f>IF(A295="","",CHOOSE(WEEKDAY(A295,2),"Segunda","Terça","Quarta","Quinta","Sexta","Sábado","Domingo"))</f>
        <v>Terça</v>
      </c>
      <c r="O295" s="26" t="str">
        <f>IF(B295="","",IF(B295&lt;TIME(12,0,0),"Manhã",IF(B295&lt;TIME(18,0,0),"Tarde","Noite")))</f>
        <v>Tarde</v>
      </c>
      <c r="P295" s="32">
        <f>IF(G295="","",IFERROR(INDEX(Config!$I$5:$I$16,MATCH(G295,Config!$H$5:$H$16,0)),0))</f>
        <v>30</v>
      </c>
      <c r="Q295" s="30">
        <f>IF(OR(H295&lt;&gt;"Realizado",P295="",P295=0),"",A295+P295)</f>
        <v>46233.0</v>
      </c>
      <c r="R295" s="26" t="str">
        <f>IF(Q295="","",IF(COUNTIFS($E$5:$E$3004,E295,$A$5:$A$3004,"&gt;"&amp;A295,$H$5:$H$3004,"&lt;&gt;Falta",$H$5:$H$3004,"&lt;&gt;Cancelado",$H$5:$H$3004,"&lt;&gt;Remarcado")&gt;0,"Sim","Não"))</f>
        <v>Sim</v>
      </c>
      <c r="S295" s="32">
        <f>IF(R295&lt;&gt;"Não","",IF(Q295+Config!$B$9&lt;=Config!$B$8,Config!$B$8-Q295,""))</f>
        <v/>
      </c>
      <c r="T295" s="26">
        <f>IF(S295="","","Sim")</f>
        <v/>
      </c>
      <c r="U295" s="41">
        <f>IF(T295="Sim",S295+ROW()/100000,0)</f>
        <v>0</v>
      </c>
      <c r="V295" s="41">
        <f>IF(AND(H295="Falta",L295=Config!$B$7,M295=Config!$B$5,COUNTIFS($E$5:E295,E295,$H$5:H295,"Falta",$L$5:L295,Config!$B$7,$M$5:M295,Config!$B$5)=1),COUNTIFS($E$5:$E$3004,E295,$H$5:$H$3004,"Falta",$L$5:$L$3004,Config!$B$7,$M$5:$M$3004,Config!$B$5)*1000-ROW()/100000,0)</f>
        <v>0</v>
      </c>
    </row>
    <row r="296">
      <c r="A296" s="39" t="n">
        <v>46203</v>
      </c>
      <c r="B296" s="40" t="n">
        <v>0.6458333333333334</v>
      </c>
      <c r="C296" s="35" t="inlineStr">
        <is>
          <t>Dr. Paulo Andrade</t>
        </is>
      </c>
      <c r="D296" s="35" t="inlineStr">
        <is>
          <t>Sala 2</t>
        </is>
      </c>
      <c r="E296" s="34" t="inlineStr">
        <is>
          <t>Fábio Correia</t>
        </is>
      </c>
      <c r="F296" s="35" t="inlineStr">
        <is>
          <t>Particular</t>
        </is>
      </c>
      <c r="G296" s="35" t="inlineStr">
        <is>
          <t>Consulta</t>
        </is>
      </c>
      <c r="H296" s="35" t="inlineStr">
        <is>
          <t>Realizado</t>
        </is>
      </c>
      <c r="I296" s="35" t="inlineStr">
        <is>
          <t>Pix</t>
        </is>
      </c>
      <c r="J296" s="35" t="n"/>
      <c r="K296" s="34" t="n"/>
      <c r="L296" s="26">
        <f>IF(A296="","",MONTH(A296))</f>
        <v>6</v>
      </c>
      <c r="M296" s="26">
        <f>IF(A296="","",YEAR(A296))</f>
        <v>2026</v>
      </c>
      <c r="N296" s="26" t="str">
        <f>IF(A296="","",CHOOSE(WEEKDAY(A296,2),"Segunda","Terça","Quarta","Quinta","Sexta","Sábado","Domingo"))</f>
        <v>Terça</v>
      </c>
      <c r="O296" s="26" t="str">
        <f>IF(B296="","",IF(B296&lt;TIME(12,0,0),"Manhã",IF(B296&lt;TIME(18,0,0),"Tarde","Noite")))</f>
        <v>Tarde</v>
      </c>
      <c r="P296" s="32">
        <f>IF(G296="","",IFERROR(INDEX(Config!$I$5:$I$16,MATCH(G296,Config!$H$5:$H$16,0)),0))</f>
        <v>30</v>
      </c>
      <c r="Q296" s="30">
        <f>IF(OR(H296&lt;&gt;"Realizado",P296="",P296=0),"",A296+P296)</f>
        <v>46233.0</v>
      </c>
      <c r="R296" s="26" t="str">
        <f>IF(Q296="","",IF(COUNTIFS($E$5:$E$3004,E296,$A$5:$A$3004,"&gt;"&amp;A296,$H$5:$H$3004,"&lt;&gt;Falta",$H$5:$H$3004,"&lt;&gt;Cancelado",$H$5:$H$3004,"&lt;&gt;Remarcado")&gt;0,"Sim","Não"))</f>
        <v>Sim</v>
      </c>
      <c r="S296" s="32">
        <f>IF(R296&lt;&gt;"Não","",IF(Q296+Config!$B$9&lt;=Config!$B$8,Config!$B$8-Q296,""))</f>
        <v/>
      </c>
      <c r="T296" s="26">
        <f>IF(S296="","","Sim")</f>
        <v/>
      </c>
      <c r="U296" s="41">
        <f>IF(T296="Sim",S296+ROW()/100000,0)</f>
        <v>0</v>
      </c>
      <c r="V296" s="41">
        <f>IF(AND(H296="Falta",L296=Config!$B$7,M296=Config!$B$5,COUNTIFS($E$5:E296,E296,$H$5:H296,"Falta",$L$5:L296,Config!$B$7,$M$5:M296,Config!$B$5)=1),COUNTIFS($E$5:$E$3004,E296,$H$5:$H$3004,"Falta",$L$5:$L$3004,Config!$B$7,$M$5:$M$3004,Config!$B$5)*1000-ROW()/100000,0)</f>
        <v>0</v>
      </c>
    </row>
    <row r="297">
      <c r="A297" s="39" t="n">
        <v>46203</v>
      </c>
      <c r="B297" s="40" t="n">
        <v>0.6666666666666666</v>
      </c>
      <c r="C297" s="35" t="inlineStr">
        <is>
          <t>Dr. Paulo Andrade</t>
        </is>
      </c>
      <c r="D297" s="35" t="inlineStr">
        <is>
          <t>Sala 2</t>
        </is>
      </c>
      <c r="E297" s="34" t="inlineStr">
        <is>
          <t>Sérgio Teixeira</t>
        </is>
      </c>
      <c r="F297" s="35" t="inlineStr">
        <is>
          <t>MediPlan</t>
        </is>
      </c>
      <c r="G297" s="35" t="inlineStr">
        <is>
          <t>Retorno</t>
        </is>
      </c>
      <c r="H297" s="35" t="inlineStr">
        <is>
          <t>Realizado</t>
        </is>
      </c>
      <c r="I297" s="35" t="inlineStr">
        <is>
          <t>Sem cobrança</t>
        </is>
      </c>
      <c r="J297" s="35" t="n"/>
      <c r="K297" s="34" t="n"/>
      <c r="L297" s="26">
        <f>IF(A297="","",MONTH(A297))</f>
        <v>6</v>
      </c>
      <c r="M297" s="26">
        <f>IF(A297="","",YEAR(A297))</f>
        <v>2026</v>
      </c>
      <c r="N297" s="26" t="str">
        <f>IF(A297="","",CHOOSE(WEEKDAY(A297,2),"Segunda","Terça","Quarta","Quinta","Sexta","Sábado","Domingo"))</f>
        <v>Terça</v>
      </c>
      <c r="O297" s="26" t="str">
        <f>IF(B297="","",IF(B297&lt;TIME(12,0,0),"Manhã",IF(B297&lt;TIME(18,0,0),"Tarde","Noite")))</f>
        <v>Tarde</v>
      </c>
      <c r="P297" s="32">
        <f>IF(G297="","",IFERROR(INDEX(Config!$I$5:$I$16,MATCH(G297,Config!$H$5:$H$16,0)),0))</f>
        <v>0</v>
      </c>
      <c r="Q297" s="30">
        <f>IF(OR(H297&lt;&gt;"Realizado",P297="",P297=0),"",A297+P297)</f>
        <v/>
      </c>
      <c r="R297" s="26">
        <f>IF(Q297="","",IF(COUNTIFS($E$5:$E$3004,E297,$A$5:$A$3004,"&gt;"&amp;A297,$H$5:$H$3004,"&lt;&gt;Falta",$H$5:$H$3004,"&lt;&gt;Cancelado",$H$5:$H$3004,"&lt;&gt;Remarcado")&gt;0,"Sim","Não"))</f>
        <v/>
      </c>
      <c r="S297" s="32">
        <f>IF(R297&lt;&gt;"Não","",IF(Q297+Config!$B$9&lt;=Config!$B$8,Config!$B$8-Q297,""))</f>
        <v/>
      </c>
      <c r="T297" s="26">
        <f>IF(S297="","","Sim")</f>
        <v/>
      </c>
      <c r="U297" s="41">
        <f>IF(T297="Sim",S297+ROW()/100000,0)</f>
        <v>0</v>
      </c>
      <c r="V297" s="41">
        <f>IF(AND(H297="Falta",L297=Config!$B$7,M297=Config!$B$5,COUNTIFS($E$5:E297,E297,$H$5:H297,"Falta",$L$5:L297,Config!$B$7,$M$5:M297,Config!$B$5)=1),COUNTIFS($E$5:$E$3004,E297,$H$5:$H$3004,"Falta",$L$5:$L$3004,Config!$B$7,$M$5:$M$3004,Config!$B$5)*1000-ROW()/100000,0)</f>
        <v>0</v>
      </c>
    </row>
    <row r="298">
      <c r="A298" s="39" t="n">
        <v>46203</v>
      </c>
      <c r="B298" s="40" t="n">
        <v>0.6736111111111112</v>
      </c>
      <c r="C298" s="35" t="inlineStr">
        <is>
          <t>Dra. Renata Sousa</t>
        </is>
      </c>
      <c r="D298" s="35" t="inlineStr">
        <is>
          <t>Sala 1</t>
        </is>
      </c>
      <c r="E298" s="34" t="inlineStr">
        <is>
          <t>Eduardo Pereira</t>
        </is>
      </c>
      <c r="F298" s="35" t="inlineStr">
        <is>
          <t>Particular</t>
        </is>
      </c>
      <c r="G298" s="35" t="inlineStr">
        <is>
          <t>Avaliação endócrina</t>
        </is>
      </c>
      <c r="H298" s="35" t="inlineStr">
        <is>
          <t>Realizado</t>
        </is>
      </c>
      <c r="I298" s="35" t="inlineStr">
        <is>
          <t>Cartão de crédito</t>
        </is>
      </c>
      <c r="J298" s="35" t="n">
        <v>2</v>
      </c>
      <c r="K298" s="34" t="n"/>
      <c r="L298" s="26">
        <f>IF(A298="","",MONTH(A298))</f>
        <v>6</v>
      </c>
      <c r="M298" s="26">
        <f>IF(A298="","",YEAR(A298))</f>
        <v>2026</v>
      </c>
      <c r="N298" s="26" t="str">
        <f>IF(A298="","",CHOOSE(WEEKDAY(A298,2),"Segunda","Terça","Quarta","Quinta","Sexta","Sábado","Domingo"))</f>
        <v>Terça</v>
      </c>
      <c r="O298" s="26" t="str">
        <f>IF(B298="","",IF(B298&lt;TIME(12,0,0),"Manhã",IF(B298&lt;TIME(18,0,0),"Tarde","Noite")))</f>
        <v>Tarde</v>
      </c>
      <c r="P298" s="32">
        <f>IF(G298="","",IFERROR(INDEX(Config!$I$5:$I$16,MATCH(G298,Config!$H$5:$H$16,0)),0))</f>
        <v>45</v>
      </c>
      <c r="Q298" s="30">
        <f>IF(OR(H298&lt;&gt;"Realizado",P298="",P298=0),"",A298+P298)</f>
        <v>46248.0</v>
      </c>
      <c r="R298" s="26" t="str">
        <f>IF(Q298="","",IF(COUNTIFS($E$5:$E$3004,E298,$A$5:$A$3004,"&gt;"&amp;A298,$H$5:$H$3004,"&lt;&gt;Falta",$H$5:$H$3004,"&lt;&gt;Cancelado",$H$5:$H$3004,"&lt;&gt;Remarcado")&gt;0,"Sim","Não"))</f>
        <v>Sim</v>
      </c>
      <c r="S298" s="32">
        <f>IF(R298&lt;&gt;"Não","",IF(Q298+Config!$B$9&lt;=Config!$B$8,Config!$B$8-Q298,""))</f>
        <v/>
      </c>
      <c r="T298" s="26">
        <f>IF(S298="","","Sim")</f>
        <v/>
      </c>
      <c r="U298" s="41">
        <f>IF(T298="Sim",S298+ROW()/100000,0)</f>
        <v>0</v>
      </c>
      <c r="V298" s="41">
        <f>IF(AND(H298="Falta",L298=Config!$B$7,M298=Config!$B$5,COUNTIFS($E$5:E298,E298,$H$5:H298,"Falta",$L$5:L298,Config!$B$7,$M$5:M298,Config!$B$5)=1),COUNTIFS($E$5:$E$3004,E298,$H$5:$H$3004,"Falta",$L$5:$L$3004,Config!$B$7,$M$5:$M$3004,Config!$B$5)*1000-ROW()/100000,0)</f>
        <v>0</v>
      </c>
    </row>
    <row r="299">
      <c r="A299" s="39" t="n">
        <v>46203</v>
      </c>
      <c r="B299" s="40" t="n">
        <v>0.6805555555555556</v>
      </c>
      <c r="C299" s="35" t="inlineStr">
        <is>
          <t>Dr. Paulo Andrade</t>
        </is>
      </c>
      <c r="D299" s="35" t="inlineStr">
        <is>
          <t>Sala 2</t>
        </is>
      </c>
      <c r="E299" s="34" t="inlineStr">
        <is>
          <t>Lucas Cardoso</t>
        </is>
      </c>
      <c r="F299" s="35" t="inlineStr">
        <is>
          <t>Particular</t>
        </is>
      </c>
      <c r="G299" s="35" t="inlineStr">
        <is>
          <t>Retorno</t>
        </is>
      </c>
      <c r="H299" s="35" t="inlineStr">
        <is>
          <t>Realizado</t>
        </is>
      </c>
      <c r="I299" s="35" t="inlineStr">
        <is>
          <t>Sem cobrança</t>
        </is>
      </c>
      <c r="J299" s="35" t="n"/>
      <c r="K299" s="34" t="n"/>
      <c r="L299" s="26">
        <f>IF(A299="","",MONTH(A299))</f>
        <v>6</v>
      </c>
      <c r="M299" s="26">
        <f>IF(A299="","",YEAR(A299))</f>
        <v>2026</v>
      </c>
      <c r="N299" s="26" t="str">
        <f>IF(A299="","",CHOOSE(WEEKDAY(A299,2),"Segunda","Terça","Quarta","Quinta","Sexta","Sábado","Domingo"))</f>
        <v>Terça</v>
      </c>
      <c r="O299" s="26" t="str">
        <f>IF(B299="","",IF(B299&lt;TIME(12,0,0),"Manhã",IF(B299&lt;TIME(18,0,0),"Tarde","Noite")))</f>
        <v>Tarde</v>
      </c>
      <c r="P299" s="32">
        <f>IF(G299="","",IFERROR(INDEX(Config!$I$5:$I$16,MATCH(G299,Config!$H$5:$H$16,0)),0))</f>
        <v>0</v>
      </c>
      <c r="Q299" s="30">
        <f>IF(OR(H299&lt;&gt;"Realizado",P299="",P299=0),"",A299+P299)</f>
        <v/>
      </c>
      <c r="R299" s="26">
        <f>IF(Q299="","",IF(COUNTIFS($E$5:$E$3004,E299,$A$5:$A$3004,"&gt;"&amp;A299,$H$5:$H$3004,"&lt;&gt;Falta",$H$5:$H$3004,"&lt;&gt;Cancelado",$H$5:$H$3004,"&lt;&gt;Remarcado")&gt;0,"Sim","Não"))</f>
        <v/>
      </c>
      <c r="S299" s="32">
        <f>IF(R299&lt;&gt;"Não","",IF(Q299+Config!$B$9&lt;=Config!$B$8,Config!$B$8-Q299,""))</f>
        <v/>
      </c>
      <c r="T299" s="26">
        <f>IF(S299="","","Sim")</f>
        <v/>
      </c>
      <c r="U299" s="41">
        <f>IF(T299="Sim",S299+ROW()/100000,0)</f>
        <v>0</v>
      </c>
      <c r="V299" s="41">
        <f>IF(AND(H299="Falta",L299=Config!$B$7,M299=Config!$B$5,COUNTIFS($E$5:E299,E299,$H$5:H299,"Falta",$L$5:L299,Config!$B$7,$M$5:M299,Config!$B$5)=1),COUNTIFS($E$5:$E$3004,E299,$H$5:$H$3004,"Falta",$L$5:$L$3004,Config!$B$7,$M$5:$M$3004,Config!$B$5)*1000-ROW()/100000,0)</f>
        <v>0</v>
      </c>
    </row>
    <row r="300">
      <c r="A300" s="39" t="n">
        <v>46203</v>
      </c>
      <c r="B300" s="40" t="n">
        <v>0.6944444444444444</v>
      </c>
      <c r="C300" s="35" t="inlineStr">
        <is>
          <t>Dr. Paulo Andrade</t>
        </is>
      </c>
      <c r="D300" s="35" t="inlineStr">
        <is>
          <t>Sala 2</t>
        </is>
      </c>
      <c r="E300" s="34" t="inlineStr">
        <is>
          <t>Paulo Ribeiro</t>
        </is>
      </c>
      <c r="F300" s="35" t="inlineStr">
        <is>
          <t>Saúde Total</t>
        </is>
      </c>
      <c r="G300" s="35" t="inlineStr">
        <is>
          <t>Consulta</t>
        </is>
      </c>
      <c r="H300" s="35" t="inlineStr">
        <is>
          <t>Realizado</t>
        </is>
      </c>
      <c r="I300" s="35" t="inlineStr">
        <is>
          <t>Convênio</t>
        </is>
      </c>
      <c r="J300" s="35" t="n"/>
      <c r="K300" s="34" t="n"/>
      <c r="L300" s="26">
        <f>IF(A300="","",MONTH(A300))</f>
        <v>6</v>
      </c>
      <c r="M300" s="26">
        <f>IF(A300="","",YEAR(A300))</f>
        <v>2026</v>
      </c>
      <c r="N300" s="26" t="str">
        <f>IF(A300="","",CHOOSE(WEEKDAY(A300,2),"Segunda","Terça","Quarta","Quinta","Sexta","Sábado","Domingo"))</f>
        <v>Terça</v>
      </c>
      <c r="O300" s="26" t="str">
        <f>IF(B300="","",IF(B300&lt;TIME(12,0,0),"Manhã",IF(B300&lt;TIME(18,0,0),"Tarde","Noite")))</f>
        <v>Tarde</v>
      </c>
      <c r="P300" s="32">
        <f>IF(G300="","",IFERROR(INDEX(Config!$I$5:$I$16,MATCH(G300,Config!$H$5:$H$16,0)),0))</f>
        <v>30</v>
      </c>
      <c r="Q300" s="30">
        <f>IF(OR(H300&lt;&gt;"Realizado",P300="",P300=0),"",A300+P300)</f>
        <v>46233.0</v>
      </c>
      <c r="R300" s="26" t="str">
        <f>IF(Q300="","",IF(COUNTIFS($E$5:$E$3004,E300,$A$5:$A$3004,"&gt;"&amp;A300,$H$5:$H$3004,"&lt;&gt;Falta",$H$5:$H$3004,"&lt;&gt;Cancelado",$H$5:$H$3004,"&lt;&gt;Remarcado")&gt;0,"Sim","Não"))</f>
        <v>Sim</v>
      </c>
      <c r="S300" s="32">
        <f>IF(R300&lt;&gt;"Não","",IF(Q300+Config!$B$9&lt;=Config!$B$8,Config!$B$8-Q300,""))</f>
        <v/>
      </c>
      <c r="T300" s="26">
        <f>IF(S300="","","Sim")</f>
        <v/>
      </c>
      <c r="U300" s="41">
        <f>IF(T300="Sim",S300+ROW()/100000,0)</f>
        <v>0</v>
      </c>
      <c r="V300" s="41">
        <f>IF(AND(H300="Falta",L300=Config!$B$7,M300=Config!$B$5,COUNTIFS($E$5:E300,E300,$H$5:H300,"Falta",$L$5:L300,Config!$B$7,$M$5:M300,Config!$B$5)=1),COUNTIFS($E$5:$E$3004,E300,$H$5:$H$3004,"Falta",$L$5:$L$3004,Config!$B$7,$M$5:$M$3004,Config!$B$5)*1000-ROW()/100000,0)</f>
        <v>0</v>
      </c>
    </row>
    <row r="301">
      <c r="A301" s="39" t="n">
        <v>46203</v>
      </c>
      <c r="B301" s="40" t="n">
        <v>0.7152777777777778</v>
      </c>
      <c r="C301" s="35" t="inlineStr">
        <is>
          <t>Dr. Paulo Andrade</t>
        </is>
      </c>
      <c r="D301" s="35" t="inlineStr">
        <is>
          <t>Sala 2</t>
        </is>
      </c>
      <c r="E301" s="34" t="inlineStr">
        <is>
          <t>Beatriz Gonçalves</t>
        </is>
      </c>
      <c r="F301" s="35" t="inlineStr">
        <is>
          <t>Saúde Total</t>
        </is>
      </c>
      <c r="G301" s="35" t="inlineStr">
        <is>
          <t>Retorno</t>
        </is>
      </c>
      <c r="H301" s="35" t="inlineStr">
        <is>
          <t>Realizado</t>
        </is>
      </c>
      <c r="I301" s="35" t="inlineStr">
        <is>
          <t>Sem cobrança</t>
        </is>
      </c>
      <c r="J301" s="35" t="n"/>
      <c r="K301" s="34" t="n"/>
      <c r="L301" s="26">
        <f>IF(A301="","",MONTH(A301))</f>
        <v>6</v>
      </c>
      <c r="M301" s="26">
        <f>IF(A301="","",YEAR(A301))</f>
        <v>2026</v>
      </c>
      <c r="N301" s="26" t="str">
        <f>IF(A301="","",CHOOSE(WEEKDAY(A301,2),"Segunda","Terça","Quarta","Quinta","Sexta","Sábado","Domingo"))</f>
        <v>Terça</v>
      </c>
      <c r="O301" s="26" t="str">
        <f>IF(B301="","",IF(B301&lt;TIME(12,0,0),"Manhã",IF(B301&lt;TIME(18,0,0),"Tarde","Noite")))</f>
        <v>Tarde</v>
      </c>
      <c r="P301" s="32">
        <f>IF(G301="","",IFERROR(INDEX(Config!$I$5:$I$16,MATCH(G301,Config!$H$5:$H$16,0)),0))</f>
        <v>0</v>
      </c>
      <c r="Q301" s="30">
        <f>IF(OR(H301&lt;&gt;"Realizado",P301="",P301=0),"",A301+P301)</f>
        <v/>
      </c>
      <c r="R301" s="26">
        <f>IF(Q301="","",IF(COUNTIFS($E$5:$E$3004,E301,$A$5:$A$3004,"&gt;"&amp;A301,$H$5:$H$3004,"&lt;&gt;Falta",$H$5:$H$3004,"&lt;&gt;Cancelado",$H$5:$H$3004,"&lt;&gt;Remarcado")&gt;0,"Sim","Não"))</f>
        <v/>
      </c>
      <c r="S301" s="32">
        <f>IF(R301&lt;&gt;"Não","",IF(Q301+Config!$B$9&lt;=Config!$B$8,Config!$B$8-Q301,""))</f>
        <v/>
      </c>
      <c r="T301" s="26">
        <f>IF(S301="","","Sim")</f>
        <v/>
      </c>
      <c r="U301" s="41">
        <f>IF(T301="Sim",S301+ROW()/100000,0)</f>
        <v>0</v>
      </c>
      <c r="V301" s="41">
        <f>IF(AND(H301="Falta",L301=Config!$B$7,M301=Config!$B$5,COUNTIFS($E$5:E301,E301,$H$5:H301,"Falta",$L$5:L301,Config!$B$7,$M$5:M301,Config!$B$5)=1),COUNTIFS($E$5:$E$3004,E301,$H$5:$H$3004,"Falta",$L$5:$L$3004,Config!$B$7,$M$5:$M$3004,Config!$B$5)*1000-ROW()/100000,0)</f>
        <v>0</v>
      </c>
    </row>
    <row r="302">
      <c r="A302" s="39" t="n">
        <v>46203</v>
      </c>
      <c r="B302" s="40" t="n">
        <v>0.7222222222222222</v>
      </c>
      <c r="C302" s="35" t="inlineStr">
        <is>
          <t>Dra. Renata Sousa</t>
        </is>
      </c>
      <c r="D302" s="35" t="inlineStr">
        <is>
          <t>Sala 1</t>
        </is>
      </c>
      <c r="E302" s="34" t="inlineStr">
        <is>
          <t>Márcia Duarte</t>
        </is>
      </c>
      <c r="F302" s="35" t="inlineStr">
        <is>
          <t>Particular</t>
        </is>
      </c>
      <c r="G302" s="35" t="inlineStr">
        <is>
          <t>Retorno</t>
        </is>
      </c>
      <c r="H302" s="35" t="inlineStr">
        <is>
          <t>Realizado</t>
        </is>
      </c>
      <c r="I302" s="35" t="inlineStr">
        <is>
          <t>Sem cobrança</t>
        </is>
      </c>
      <c r="J302" s="35" t="n"/>
      <c r="K302" s="34" t="n"/>
      <c r="L302" s="26">
        <f>IF(A302="","",MONTH(A302))</f>
        <v>6</v>
      </c>
      <c r="M302" s="26">
        <f>IF(A302="","",YEAR(A302))</f>
        <v>2026</v>
      </c>
      <c r="N302" s="26" t="str">
        <f>IF(A302="","",CHOOSE(WEEKDAY(A302,2),"Segunda","Terça","Quarta","Quinta","Sexta","Sábado","Domingo"))</f>
        <v>Terça</v>
      </c>
      <c r="O302" s="26" t="str">
        <f>IF(B302="","",IF(B302&lt;TIME(12,0,0),"Manhã",IF(B302&lt;TIME(18,0,0),"Tarde","Noite")))</f>
        <v>Tarde</v>
      </c>
      <c r="P302" s="32">
        <f>IF(G302="","",IFERROR(INDEX(Config!$I$5:$I$16,MATCH(G302,Config!$H$5:$H$16,0)),0))</f>
        <v>0</v>
      </c>
      <c r="Q302" s="30">
        <f>IF(OR(H302&lt;&gt;"Realizado",P302="",P302=0),"",A302+P302)</f>
        <v/>
      </c>
      <c r="R302" s="26">
        <f>IF(Q302="","",IF(COUNTIFS($E$5:$E$3004,E302,$A$5:$A$3004,"&gt;"&amp;A302,$H$5:$H$3004,"&lt;&gt;Falta",$H$5:$H$3004,"&lt;&gt;Cancelado",$H$5:$H$3004,"&lt;&gt;Remarcado")&gt;0,"Sim","Não"))</f>
        <v/>
      </c>
      <c r="S302" s="32">
        <f>IF(R302&lt;&gt;"Não","",IF(Q302+Config!$B$9&lt;=Config!$B$8,Config!$B$8-Q302,""))</f>
        <v/>
      </c>
      <c r="T302" s="26">
        <f>IF(S302="","","Sim")</f>
        <v/>
      </c>
      <c r="U302" s="41">
        <f>IF(T302="Sim",S302+ROW()/100000,0)</f>
        <v>0</v>
      </c>
      <c r="V302" s="41">
        <f>IF(AND(H302="Falta",L302=Config!$B$7,M302=Config!$B$5,COUNTIFS($E$5:E302,E302,$H$5:H302,"Falta",$L$5:L302,Config!$B$7,$M$5:M302,Config!$B$5)=1),COUNTIFS($E$5:$E$3004,E302,$H$5:$H$3004,"Falta",$L$5:$L$3004,Config!$B$7,$M$5:$M$3004,Config!$B$5)*1000-ROW()/100000,0)</f>
        <v>0</v>
      </c>
    </row>
    <row r="303">
      <c r="A303" s="39" t="n">
        <v>46203</v>
      </c>
      <c r="B303" s="40" t="n">
        <v>0.7291666666666666</v>
      </c>
      <c r="C303" s="35" t="inlineStr">
        <is>
          <t>Dr. Paulo Andrade</t>
        </is>
      </c>
      <c r="D303" s="35" t="inlineStr">
        <is>
          <t>Sala 2</t>
        </is>
      </c>
      <c r="E303" s="34" t="inlineStr">
        <is>
          <t>Paulo Nascimento</t>
        </is>
      </c>
      <c r="F303" s="35" t="inlineStr">
        <is>
          <t>MediPlan</t>
        </is>
      </c>
      <c r="G303" s="35" t="inlineStr">
        <is>
          <t>Retorno</t>
        </is>
      </c>
      <c r="H303" s="35" t="inlineStr">
        <is>
          <t>Realizado</t>
        </is>
      </c>
      <c r="I303" s="35" t="inlineStr">
        <is>
          <t>Sem cobrança</t>
        </is>
      </c>
      <c r="J303" s="35" t="n"/>
      <c r="K303" s="34" t="n"/>
      <c r="L303" s="26">
        <f>IF(A303="","",MONTH(A303))</f>
        <v>6</v>
      </c>
      <c r="M303" s="26">
        <f>IF(A303="","",YEAR(A303))</f>
        <v>2026</v>
      </c>
      <c r="N303" s="26" t="str">
        <f>IF(A303="","",CHOOSE(WEEKDAY(A303,2),"Segunda","Terça","Quarta","Quinta","Sexta","Sábado","Domingo"))</f>
        <v>Terça</v>
      </c>
      <c r="O303" s="26" t="str">
        <f>IF(B303="","",IF(B303&lt;TIME(12,0,0),"Manhã",IF(B303&lt;TIME(18,0,0),"Tarde","Noite")))</f>
        <v>Tarde</v>
      </c>
      <c r="P303" s="32">
        <f>IF(G303="","",IFERROR(INDEX(Config!$I$5:$I$16,MATCH(G303,Config!$H$5:$H$16,0)),0))</f>
        <v>0</v>
      </c>
      <c r="Q303" s="30">
        <f>IF(OR(H303&lt;&gt;"Realizado",P303="",P303=0),"",A303+P303)</f>
        <v/>
      </c>
      <c r="R303" s="26">
        <f>IF(Q303="","",IF(COUNTIFS($E$5:$E$3004,E303,$A$5:$A$3004,"&gt;"&amp;A303,$H$5:$H$3004,"&lt;&gt;Falta",$H$5:$H$3004,"&lt;&gt;Cancelado",$H$5:$H$3004,"&lt;&gt;Remarcado")&gt;0,"Sim","Não"))</f>
        <v/>
      </c>
      <c r="S303" s="32">
        <f>IF(R303&lt;&gt;"Não","",IF(Q303+Config!$B$9&lt;=Config!$B$8,Config!$B$8-Q303,""))</f>
        <v/>
      </c>
      <c r="T303" s="26">
        <f>IF(S303="","","Sim")</f>
        <v/>
      </c>
      <c r="U303" s="41">
        <f>IF(T303="Sim",S303+ROW()/100000,0)</f>
        <v>0</v>
      </c>
      <c r="V303" s="41">
        <f>IF(AND(H303="Falta",L303=Config!$B$7,M303=Config!$B$5,COUNTIFS($E$5:E303,E303,$H$5:H303,"Falta",$L$5:L303,Config!$B$7,$M$5:M303,Config!$B$5)=1),COUNTIFS($E$5:$E$3004,E303,$H$5:$H$3004,"Falta",$L$5:$L$3004,Config!$B$7,$M$5:$M$3004,Config!$B$5)*1000-ROW()/100000,0)</f>
        <v>0</v>
      </c>
    </row>
    <row r="304">
      <c r="A304" s="39" t="n">
        <v>46203</v>
      </c>
      <c r="B304" s="40" t="n">
        <v>0.7361111111111112</v>
      </c>
      <c r="C304" s="35" t="inlineStr">
        <is>
          <t>Dra. Renata Sousa</t>
        </is>
      </c>
      <c r="D304" s="35" t="inlineStr">
        <is>
          <t>Sala 1</t>
        </is>
      </c>
      <c r="E304" s="34" t="inlineStr">
        <is>
          <t>Roberta Lima</t>
        </is>
      </c>
      <c r="F304" s="35" t="inlineStr">
        <is>
          <t>Particular</t>
        </is>
      </c>
      <c r="G304" s="35" t="inlineStr">
        <is>
          <t>Avaliação endócrina</t>
        </is>
      </c>
      <c r="H304" s="35" t="inlineStr">
        <is>
          <t>Realizado</t>
        </is>
      </c>
      <c r="I304" s="35" t="inlineStr">
        <is>
          <t>A prazo</t>
        </is>
      </c>
      <c r="J304" s="35" t="n"/>
      <c r="K304" s="34" t="n"/>
      <c r="L304" s="26">
        <f>IF(A304="","",MONTH(A304))</f>
        <v>6</v>
      </c>
      <c r="M304" s="26">
        <f>IF(A304="","",YEAR(A304))</f>
        <v>2026</v>
      </c>
      <c r="N304" s="26" t="str">
        <f>IF(A304="","",CHOOSE(WEEKDAY(A304,2),"Segunda","Terça","Quarta","Quinta","Sexta","Sábado","Domingo"))</f>
        <v>Terça</v>
      </c>
      <c r="O304" s="26" t="str">
        <f>IF(B304="","",IF(B304&lt;TIME(12,0,0),"Manhã",IF(B304&lt;TIME(18,0,0),"Tarde","Noite")))</f>
        <v>Tarde</v>
      </c>
      <c r="P304" s="32">
        <f>IF(G304="","",IFERROR(INDEX(Config!$I$5:$I$16,MATCH(G304,Config!$H$5:$H$16,0)),0))</f>
        <v>45</v>
      </c>
      <c r="Q304" s="30">
        <f>IF(OR(H304&lt;&gt;"Realizado",P304="",P304=0),"",A304+P304)</f>
        <v>46248.0</v>
      </c>
      <c r="R304" s="26" t="str">
        <f>IF(Q304="","",IF(COUNTIFS($E$5:$E$3004,E304,$A$5:$A$3004,"&gt;"&amp;A304,$H$5:$H$3004,"&lt;&gt;Falta",$H$5:$H$3004,"&lt;&gt;Cancelado",$H$5:$H$3004,"&lt;&gt;Remarcado")&gt;0,"Sim","Não"))</f>
        <v>Sim</v>
      </c>
      <c r="S304" s="32">
        <f>IF(R304&lt;&gt;"Não","",IF(Q304+Config!$B$9&lt;=Config!$B$8,Config!$B$8-Q304,""))</f>
        <v/>
      </c>
      <c r="T304" s="26">
        <f>IF(S304="","","Sim")</f>
        <v/>
      </c>
      <c r="U304" s="41">
        <f>IF(T304="Sim",S304+ROW()/100000,0)</f>
        <v>0</v>
      </c>
      <c r="V304" s="41">
        <f>IF(AND(H304="Falta",L304=Config!$B$7,M304=Config!$B$5,COUNTIFS($E$5:E304,E304,$H$5:H304,"Falta",$L$5:L304,Config!$B$7,$M$5:M304,Config!$B$5)=1),COUNTIFS($E$5:$E$3004,E304,$H$5:$H$3004,"Falta",$L$5:$L$3004,Config!$B$7,$M$5:$M$3004,Config!$B$5)*1000-ROW()/100000,0)</f>
        <v>0</v>
      </c>
    </row>
    <row r="305">
      <c r="A305" s="39" t="n">
        <v>46204</v>
      </c>
      <c r="B305" s="40" t="n">
        <v>0.5833333333333334</v>
      </c>
      <c r="C305" s="35" t="inlineStr">
        <is>
          <t>Dra. Carolina Mendes</t>
        </is>
      </c>
      <c r="D305" s="35" t="inlineStr">
        <is>
          <t>Sala 1</t>
        </is>
      </c>
      <c r="E305" s="34" t="inlineStr">
        <is>
          <t>Cláudia Santos</t>
        </is>
      </c>
      <c r="F305" s="35" t="inlineStr">
        <is>
          <t>Particular</t>
        </is>
      </c>
      <c r="G305" s="35" t="inlineStr">
        <is>
          <t>Consulta</t>
        </is>
      </c>
      <c r="H305" s="35" t="inlineStr">
        <is>
          <t>Realizado</t>
        </is>
      </c>
      <c r="I305" s="35" t="inlineStr">
        <is>
          <t>Pix</t>
        </is>
      </c>
      <c r="J305" s="35" t="n"/>
      <c r="K305" s="34" t="n"/>
      <c r="L305" s="26">
        <f>IF(A305="","",MONTH(A305))</f>
        <v>7</v>
      </c>
      <c r="M305" s="26">
        <f>IF(A305="","",YEAR(A305))</f>
        <v>2026</v>
      </c>
      <c r="N305" s="26" t="str">
        <f>IF(A305="","",CHOOSE(WEEKDAY(A305,2),"Segunda","Terça","Quarta","Quinta","Sexta","Sábado","Domingo"))</f>
        <v>Quarta</v>
      </c>
      <c r="O305" s="26" t="str">
        <f>IF(B305="","",IF(B305&lt;TIME(12,0,0),"Manhã",IF(B305&lt;TIME(18,0,0),"Tarde","Noite")))</f>
        <v>Tarde</v>
      </c>
      <c r="P305" s="32">
        <f>IF(G305="","",IFERROR(INDEX(Config!$I$5:$I$16,MATCH(G305,Config!$H$5:$H$16,0)),0))</f>
        <v>30</v>
      </c>
      <c r="Q305" s="30">
        <f>IF(OR(H305&lt;&gt;"Realizado",P305="",P305=0),"",A305+P305)</f>
        <v>46234.0</v>
      </c>
      <c r="R305" s="26" t="str">
        <f>IF(Q305="","",IF(COUNTIFS($E$5:$E$3004,E305,$A$5:$A$3004,"&gt;"&amp;A305,$H$5:$H$3004,"&lt;&gt;Falta",$H$5:$H$3004,"&lt;&gt;Cancelado",$H$5:$H$3004,"&lt;&gt;Remarcado")&gt;0,"Sim","Não"))</f>
        <v>Sim</v>
      </c>
      <c r="S305" s="32">
        <f>IF(R305&lt;&gt;"Não","",IF(Q305+Config!$B$9&lt;=Config!$B$8,Config!$B$8-Q305,""))</f>
        <v/>
      </c>
      <c r="T305" s="26">
        <f>IF(S305="","","Sim")</f>
        <v/>
      </c>
      <c r="U305" s="41">
        <f>IF(T305="Sim",S305+ROW()/100000,0)</f>
        <v>0</v>
      </c>
      <c r="V305" s="41">
        <f>IF(AND(H305="Falta",L305=Config!$B$7,M305=Config!$B$5,COUNTIFS($E$5:E305,E305,$H$5:H305,"Falta",$L$5:L305,Config!$B$7,$M$5:M305,Config!$B$5)=1),COUNTIFS($E$5:$E$3004,E305,$H$5:$H$3004,"Falta",$L$5:$L$3004,Config!$B$7,$M$5:$M$3004,Config!$B$5)*1000-ROW()/100000,0)</f>
        <v>0</v>
      </c>
    </row>
    <row r="306">
      <c r="A306" s="39" t="n">
        <v>46204</v>
      </c>
      <c r="B306" s="40" t="n">
        <v>0.6041666666666666</v>
      </c>
      <c r="C306" s="35" t="inlineStr">
        <is>
          <t>Dra. Carolina Mendes</t>
        </is>
      </c>
      <c r="D306" s="35" t="inlineStr">
        <is>
          <t>Sala 1</t>
        </is>
      </c>
      <c r="E306" s="34" t="inlineStr">
        <is>
          <t>Lucas Lopes</t>
        </is>
      </c>
      <c r="F306" s="35" t="inlineStr">
        <is>
          <t>Particular</t>
        </is>
      </c>
      <c r="G306" s="35" t="inlineStr">
        <is>
          <t>Consulta</t>
        </is>
      </c>
      <c r="H306" s="35" t="inlineStr">
        <is>
          <t>Realizado</t>
        </is>
      </c>
      <c r="I306" s="35" t="inlineStr">
        <is>
          <t>Cartão de débito</t>
        </is>
      </c>
      <c r="J306" s="35" t="n"/>
      <c r="K306" s="34" t="n"/>
      <c r="L306" s="26">
        <f>IF(A306="","",MONTH(A306))</f>
        <v>7</v>
      </c>
      <c r="M306" s="26">
        <f>IF(A306="","",YEAR(A306))</f>
        <v>2026</v>
      </c>
      <c r="N306" s="26" t="str">
        <f>IF(A306="","",CHOOSE(WEEKDAY(A306,2),"Segunda","Terça","Quarta","Quinta","Sexta","Sábado","Domingo"))</f>
        <v>Quarta</v>
      </c>
      <c r="O306" s="26" t="str">
        <f>IF(B306="","",IF(B306&lt;TIME(12,0,0),"Manhã",IF(B306&lt;TIME(18,0,0),"Tarde","Noite")))</f>
        <v>Tarde</v>
      </c>
      <c r="P306" s="32">
        <f>IF(G306="","",IFERROR(INDEX(Config!$I$5:$I$16,MATCH(G306,Config!$H$5:$H$16,0)),0))</f>
        <v>30</v>
      </c>
      <c r="Q306" s="30">
        <f>IF(OR(H306&lt;&gt;"Realizado",P306="",P306=0),"",A306+P306)</f>
        <v>46234.0</v>
      </c>
      <c r="R306" s="26" t="str">
        <f>IF(Q306="","",IF(COUNTIFS($E$5:$E$3004,E306,$A$5:$A$3004,"&gt;"&amp;A306,$H$5:$H$3004,"&lt;&gt;Falta",$H$5:$H$3004,"&lt;&gt;Cancelado",$H$5:$H$3004,"&lt;&gt;Remarcado")&gt;0,"Sim","Não"))</f>
        <v>Sim</v>
      </c>
      <c r="S306" s="32">
        <f>IF(R306&lt;&gt;"Não","",IF(Q306+Config!$B$9&lt;=Config!$B$8,Config!$B$8-Q306,""))</f>
        <v/>
      </c>
      <c r="T306" s="26">
        <f>IF(S306="","","Sim")</f>
        <v/>
      </c>
      <c r="U306" s="41">
        <f>IF(T306="Sim",S306+ROW()/100000,0)</f>
        <v>0</v>
      </c>
      <c r="V306" s="41">
        <f>IF(AND(H306="Falta",L306=Config!$B$7,M306=Config!$B$5,COUNTIFS($E$5:E306,E306,$H$5:H306,"Falta",$L$5:L306,Config!$B$7,$M$5:M306,Config!$B$5)=1),COUNTIFS($E$5:$E$3004,E306,$H$5:$H$3004,"Falta",$L$5:$L$3004,Config!$B$7,$M$5:$M$3004,Config!$B$5)*1000-ROW()/100000,0)</f>
        <v>0</v>
      </c>
    </row>
    <row r="307">
      <c r="A307" s="39" t="n">
        <v>46204</v>
      </c>
      <c r="B307" s="40" t="n">
        <v>0.625</v>
      </c>
      <c r="C307" s="35" t="inlineStr">
        <is>
          <t>Dra. Carolina Mendes</t>
        </is>
      </c>
      <c r="D307" s="35" t="inlineStr">
        <is>
          <t>Sala 1</t>
        </is>
      </c>
      <c r="E307" s="34" t="inlineStr">
        <is>
          <t>Eduardo Nunes</t>
        </is>
      </c>
      <c r="F307" s="35" t="inlineStr">
        <is>
          <t>MediPlan</t>
        </is>
      </c>
      <c r="G307" s="35" t="inlineStr">
        <is>
          <t>Consulta</t>
        </is>
      </c>
      <c r="H307" s="35" t="inlineStr">
        <is>
          <t>Realizado</t>
        </is>
      </c>
      <c r="I307" s="35" t="inlineStr">
        <is>
          <t>Convênio</t>
        </is>
      </c>
      <c r="J307" s="35" t="n"/>
      <c r="K307" s="34" t="n"/>
      <c r="L307" s="26">
        <f>IF(A307="","",MONTH(A307))</f>
        <v>7</v>
      </c>
      <c r="M307" s="26">
        <f>IF(A307="","",YEAR(A307))</f>
        <v>2026</v>
      </c>
      <c r="N307" s="26" t="str">
        <f>IF(A307="","",CHOOSE(WEEKDAY(A307,2),"Segunda","Terça","Quarta","Quinta","Sexta","Sábado","Domingo"))</f>
        <v>Quarta</v>
      </c>
      <c r="O307" s="26" t="str">
        <f>IF(B307="","",IF(B307&lt;TIME(12,0,0),"Manhã",IF(B307&lt;TIME(18,0,0),"Tarde","Noite")))</f>
        <v>Tarde</v>
      </c>
      <c r="P307" s="32">
        <f>IF(G307="","",IFERROR(INDEX(Config!$I$5:$I$16,MATCH(G307,Config!$H$5:$H$16,0)),0))</f>
        <v>30</v>
      </c>
      <c r="Q307" s="30">
        <f>IF(OR(H307&lt;&gt;"Realizado",P307="",P307=0),"",A307+P307)</f>
        <v>46234.0</v>
      </c>
      <c r="R307" s="26" t="str">
        <f>IF(Q307="","",IF(COUNTIFS($E$5:$E$3004,E307,$A$5:$A$3004,"&gt;"&amp;A307,$H$5:$H$3004,"&lt;&gt;Falta",$H$5:$H$3004,"&lt;&gt;Cancelado",$H$5:$H$3004,"&lt;&gt;Remarcado")&gt;0,"Sim","Não"))</f>
        <v>Sim</v>
      </c>
      <c r="S307" s="32">
        <f>IF(R307&lt;&gt;"Não","",IF(Q307+Config!$B$9&lt;=Config!$B$8,Config!$B$8-Q307,""))</f>
        <v/>
      </c>
      <c r="T307" s="26">
        <f>IF(S307="","","Sim")</f>
        <v/>
      </c>
      <c r="U307" s="41">
        <f>IF(T307="Sim",S307+ROW()/100000,0)</f>
        <v>0</v>
      </c>
      <c r="V307" s="41">
        <f>IF(AND(H307="Falta",L307=Config!$B$7,M307=Config!$B$5,COUNTIFS($E$5:E307,E307,$H$5:H307,"Falta",$L$5:L307,Config!$B$7,$M$5:M307,Config!$B$5)=1),COUNTIFS($E$5:$E$3004,E307,$H$5:$H$3004,"Falta",$L$5:$L$3004,Config!$B$7,$M$5:$M$3004,Config!$B$5)*1000-ROW()/100000,0)</f>
        <v>0</v>
      </c>
    </row>
    <row r="308">
      <c r="A308" s="39" t="n">
        <v>46204</v>
      </c>
      <c r="B308" s="40" t="n">
        <v>0.6458333333333334</v>
      </c>
      <c r="C308" s="35" t="inlineStr">
        <is>
          <t>Dra. Carolina Mendes</t>
        </is>
      </c>
      <c r="D308" s="35" t="inlineStr">
        <is>
          <t>Sala 1</t>
        </is>
      </c>
      <c r="E308" s="34" t="inlineStr">
        <is>
          <t>Priscila Carvalho</t>
        </is>
      </c>
      <c r="F308" s="35" t="inlineStr">
        <is>
          <t>Vida Care</t>
        </is>
      </c>
      <c r="G308" s="35" t="inlineStr">
        <is>
          <t>Consulta</t>
        </is>
      </c>
      <c r="H308" s="35" t="inlineStr">
        <is>
          <t>Falta</t>
        </is>
      </c>
      <c r="I308" s="35" t="n"/>
      <c r="J308" s="35" t="n"/>
      <c r="K308" s="34" t="n"/>
      <c r="L308" s="26">
        <f>IF(A308="","",MONTH(A308))</f>
        <v>7</v>
      </c>
      <c r="M308" s="26">
        <f>IF(A308="","",YEAR(A308))</f>
        <v>2026</v>
      </c>
      <c r="N308" s="26" t="str">
        <f>IF(A308="","",CHOOSE(WEEKDAY(A308,2),"Segunda","Terça","Quarta","Quinta","Sexta","Sábado","Domingo"))</f>
        <v>Quarta</v>
      </c>
      <c r="O308" s="26" t="str">
        <f>IF(B308="","",IF(B308&lt;TIME(12,0,0),"Manhã",IF(B308&lt;TIME(18,0,0),"Tarde","Noite")))</f>
        <v>Tarde</v>
      </c>
      <c r="P308" s="32">
        <f>IF(G308="","",IFERROR(INDEX(Config!$I$5:$I$16,MATCH(G308,Config!$H$5:$H$16,0)),0))</f>
        <v>30</v>
      </c>
      <c r="Q308" s="30">
        <f>IF(OR(H308&lt;&gt;"Realizado",P308="",P308=0),"",A308+P308)</f>
        <v/>
      </c>
      <c r="R308" s="26">
        <f>IF(Q308="","",IF(COUNTIFS($E$5:$E$3004,E308,$A$5:$A$3004,"&gt;"&amp;A308,$H$5:$H$3004,"&lt;&gt;Falta",$H$5:$H$3004,"&lt;&gt;Cancelado",$H$5:$H$3004,"&lt;&gt;Remarcado")&gt;0,"Sim","Não"))</f>
        <v/>
      </c>
      <c r="S308" s="32">
        <f>IF(R308&lt;&gt;"Não","",IF(Q308+Config!$B$9&lt;=Config!$B$8,Config!$B$8-Q308,""))</f>
        <v/>
      </c>
      <c r="T308" s="26">
        <f>IF(S308="","","Sim")</f>
        <v/>
      </c>
      <c r="U308" s="41">
        <f>IF(T308="Sim",S308+ROW()/100000,0)</f>
        <v>0</v>
      </c>
      <c r="V308" s="41">
        <f>IF(AND(H308="Falta",L308=Config!$B$7,M308=Config!$B$5,COUNTIFS($E$5:E308,E308,$H$5:H308,"Falta",$L$5:L308,Config!$B$7,$M$5:M308,Config!$B$5)=1),COUNTIFS($E$5:$E$3004,E308,$H$5:$H$3004,"Falta",$L$5:$L$3004,Config!$B$7,$M$5:$M$3004,Config!$B$5)*1000-ROW()/100000,0)</f>
        <v>0</v>
      </c>
    </row>
    <row r="309">
      <c r="A309" s="39" t="n">
        <v>46204</v>
      </c>
      <c r="B309" s="40" t="n">
        <v>0.6666666666666666</v>
      </c>
      <c r="C309" s="35" t="inlineStr">
        <is>
          <t>Dra. Carolina Mendes</t>
        </is>
      </c>
      <c r="D309" s="35" t="inlineStr">
        <is>
          <t>Sala 1</t>
        </is>
      </c>
      <c r="E309" s="34" t="inlineStr">
        <is>
          <t>Tatiana Cunha</t>
        </is>
      </c>
      <c r="F309" s="35" t="inlineStr">
        <is>
          <t>Saúde Total</t>
        </is>
      </c>
      <c r="G309" s="35" t="inlineStr">
        <is>
          <t>Consulta</t>
        </is>
      </c>
      <c r="H309" s="35" t="inlineStr">
        <is>
          <t>Realizado</t>
        </is>
      </c>
      <c r="I309" s="35" t="inlineStr">
        <is>
          <t>Convênio</t>
        </is>
      </c>
      <c r="J309" s="35" t="n"/>
      <c r="K309" s="34" t="n"/>
      <c r="L309" s="26">
        <f>IF(A309="","",MONTH(A309))</f>
        <v>7</v>
      </c>
      <c r="M309" s="26">
        <f>IF(A309="","",YEAR(A309))</f>
        <v>2026</v>
      </c>
      <c r="N309" s="26" t="str">
        <f>IF(A309="","",CHOOSE(WEEKDAY(A309,2),"Segunda","Terça","Quarta","Quinta","Sexta","Sábado","Domingo"))</f>
        <v>Quarta</v>
      </c>
      <c r="O309" s="26" t="str">
        <f>IF(B309="","",IF(B309&lt;TIME(12,0,0),"Manhã",IF(B309&lt;TIME(18,0,0),"Tarde","Noite")))</f>
        <v>Tarde</v>
      </c>
      <c r="P309" s="32">
        <f>IF(G309="","",IFERROR(INDEX(Config!$I$5:$I$16,MATCH(G309,Config!$H$5:$H$16,0)),0))</f>
        <v>30</v>
      </c>
      <c r="Q309" s="30">
        <f>IF(OR(H309&lt;&gt;"Realizado",P309="",P309=0),"",A309+P309)</f>
        <v>46234.0</v>
      </c>
      <c r="R309" s="26" t="str">
        <f>IF(Q309="","",IF(COUNTIFS($E$5:$E$3004,E309,$A$5:$A$3004,"&gt;"&amp;A309,$H$5:$H$3004,"&lt;&gt;Falta",$H$5:$H$3004,"&lt;&gt;Cancelado",$H$5:$H$3004,"&lt;&gt;Remarcado")&gt;0,"Sim","Não"))</f>
        <v>Sim</v>
      </c>
      <c r="S309" s="32">
        <f>IF(R309&lt;&gt;"Não","",IF(Q309+Config!$B$9&lt;=Config!$B$8,Config!$B$8-Q309,""))</f>
        <v/>
      </c>
      <c r="T309" s="26">
        <f>IF(S309="","","Sim")</f>
        <v/>
      </c>
      <c r="U309" s="41">
        <f>IF(T309="Sim",S309+ROW()/100000,0)</f>
        <v>0</v>
      </c>
      <c r="V309" s="41">
        <f>IF(AND(H309="Falta",L309=Config!$B$7,M309=Config!$B$5,COUNTIFS($E$5:E309,E309,$H$5:H309,"Falta",$L$5:L309,Config!$B$7,$M$5:M309,Config!$B$5)=1),COUNTIFS($E$5:$E$3004,E309,$H$5:$H$3004,"Falta",$L$5:$L$3004,Config!$B$7,$M$5:$M$3004,Config!$B$5)*1000-ROW()/100000,0)</f>
        <v>0</v>
      </c>
    </row>
    <row r="310">
      <c r="A310" s="39" t="n">
        <v>46204</v>
      </c>
      <c r="B310" s="40" t="n">
        <v>0.6875</v>
      </c>
      <c r="C310" s="35" t="inlineStr">
        <is>
          <t>Dra. Carolina Mendes</t>
        </is>
      </c>
      <c r="D310" s="35" t="inlineStr">
        <is>
          <t>Sala 1</t>
        </is>
      </c>
      <c r="E310" s="34" t="inlineStr">
        <is>
          <t>Priscila Castro</t>
        </is>
      </c>
      <c r="F310" s="35" t="inlineStr">
        <is>
          <t>Saúde Total</t>
        </is>
      </c>
      <c r="G310" s="35" t="inlineStr">
        <is>
          <t>Consulta</t>
        </is>
      </c>
      <c r="H310" s="35" t="inlineStr">
        <is>
          <t>Falta</t>
        </is>
      </c>
      <c r="I310" s="35" t="n"/>
      <c r="J310" s="35" t="n"/>
      <c r="K310" s="34" t="n"/>
      <c r="L310" s="26">
        <f>IF(A310="","",MONTH(A310))</f>
        <v>7</v>
      </c>
      <c r="M310" s="26">
        <f>IF(A310="","",YEAR(A310))</f>
        <v>2026</v>
      </c>
      <c r="N310" s="26" t="str">
        <f>IF(A310="","",CHOOSE(WEEKDAY(A310,2),"Segunda","Terça","Quarta","Quinta","Sexta","Sábado","Domingo"))</f>
        <v>Quarta</v>
      </c>
      <c r="O310" s="26" t="str">
        <f>IF(B310="","",IF(B310&lt;TIME(12,0,0),"Manhã",IF(B310&lt;TIME(18,0,0),"Tarde","Noite")))</f>
        <v>Tarde</v>
      </c>
      <c r="P310" s="32">
        <f>IF(G310="","",IFERROR(INDEX(Config!$I$5:$I$16,MATCH(G310,Config!$H$5:$H$16,0)),0))</f>
        <v>30</v>
      </c>
      <c r="Q310" s="30">
        <f>IF(OR(H310&lt;&gt;"Realizado",P310="",P310=0),"",A310+P310)</f>
        <v/>
      </c>
      <c r="R310" s="26">
        <f>IF(Q310="","",IF(COUNTIFS($E$5:$E$3004,E310,$A$5:$A$3004,"&gt;"&amp;A310,$H$5:$H$3004,"&lt;&gt;Falta",$H$5:$H$3004,"&lt;&gt;Cancelado",$H$5:$H$3004,"&lt;&gt;Remarcado")&gt;0,"Sim","Não"))</f>
        <v/>
      </c>
      <c r="S310" s="32">
        <f>IF(R310&lt;&gt;"Não","",IF(Q310+Config!$B$9&lt;=Config!$B$8,Config!$B$8-Q310,""))</f>
        <v/>
      </c>
      <c r="T310" s="26">
        <f>IF(S310="","","Sim")</f>
        <v/>
      </c>
      <c r="U310" s="41">
        <f>IF(T310="Sim",S310+ROW()/100000,0)</f>
        <v>0</v>
      </c>
      <c r="V310" s="41">
        <f>IF(AND(H310="Falta",L310=Config!$B$7,M310=Config!$B$5,COUNTIFS($E$5:E310,E310,$H$5:H310,"Falta",$L$5:L310,Config!$B$7,$M$5:M310,Config!$B$5)=1),COUNTIFS($E$5:$E$3004,E310,$H$5:$H$3004,"Falta",$L$5:$L$3004,Config!$B$7,$M$5:$M$3004,Config!$B$5)*1000-ROW()/100000,0)</f>
        <v>0</v>
      </c>
    </row>
    <row r="311">
      <c r="A311" s="39" t="n">
        <v>46204</v>
      </c>
      <c r="B311" s="40" t="n">
        <v>0.7083333333333334</v>
      </c>
      <c r="C311" s="35" t="inlineStr">
        <is>
          <t>Dra. Carolina Mendes</t>
        </is>
      </c>
      <c r="D311" s="35" t="inlineStr">
        <is>
          <t>Sala 1</t>
        </is>
      </c>
      <c r="E311" s="34" t="inlineStr">
        <is>
          <t>Mônica Martins</t>
        </is>
      </c>
      <c r="F311" s="35" t="inlineStr">
        <is>
          <t>Particular</t>
        </is>
      </c>
      <c r="G311" s="35" t="inlineStr">
        <is>
          <t>Consulta</t>
        </is>
      </c>
      <c r="H311" s="35" t="inlineStr">
        <is>
          <t>Realizado</t>
        </is>
      </c>
      <c r="I311" s="35" t="inlineStr">
        <is>
          <t>Pix</t>
        </is>
      </c>
      <c r="J311" s="35" t="n"/>
      <c r="K311" s="34" t="n"/>
      <c r="L311" s="26">
        <f>IF(A311="","",MONTH(A311))</f>
        <v>7</v>
      </c>
      <c r="M311" s="26">
        <f>IF(A311="","",YEAR(A311))</f>
        <v>2026</v>
      </c>
      <c r="N311" s="26" t="str">
        <f>IF(A311="","",CHOOSE(WEEKDAY(A311,2),"Segunda","Terça","Quarta","Quinta","Sexta","Sábado","Domingo"))</f>
        <v>Quarta</v>
      </c>
      <c r="O311" s="26" t="str">
        <f>IF(B311="","",IF(B311&lt;TIME(12,0,0),"Manhã",IF(B311&lt;TIME(18,0,0),"Tarde","Noite")))</f>
        <v>Tarde</v>
      </c>
      <c r="P311" s="32">
        <f>IF(G311="","",IFERROR(INDEX(Config!$I$5:$I$16,MATCH(G311,Config!$H$5:$H$16,0)),0))</f>
        <v>30</v>
      </c>
      <c r="Q311" s="30">
        <f>IF(OR(H311&lt;&gt;"Realizado",P311="",P311=0),"",A311+P311)</f>
        <v>46234.0</v>
      </c>
      <c r="R311" s="26" t="str">
        <f>IF(Q311="","",IF(COUNTIFS($E$5:$E$3004,E311,$A$5:$A$3004,"&gt;"&amp;A311,$H$5:$H$3004,"&lt;&gt;Falta",$H$5:$H$3004,"&lt;&gt;Cancelado",$H$5:$H$3004,"&lt;&gt;Remarcado")&gt;0,"Sim","Não"))</f>
        <v>Sim</v>
      </c>
      <c r="S311" s="32">
        <f>IF(R311&lt;&gt;"Não","",IF(Q311+Config!$B$9&lt;=Config!$B$8,Config!$B$8-Q311,""))</f>
        <v/>
      </c>
      <c r="T311" s="26">
        <f>IF(S311="","","Sim")</f>
        <v/>
      </c>
      <c r="U311" s="41">
        <f>IF(T311="Sim",S311+ROW()/100000,0)</f>
        <v>0</v>
      </c>
      <c r="V311" s="41">
        <f>IF(AND(H311="Falta",L311=Config!$B$7,M311=Config!$B$5,COUNTIFS($E$5:E311,E311,$H$5:H311,"Falta",$L$5:L311,Config!$B$7,$M$5:M311,Config!$B$5)=1),COUNTIFS($E$5:$E$3004,E311,$H$5:$H$3004,"Falta",$L$5:$L$3004,Config!$B$7,$M$5:$M$3004,Config!$B$5)*1000-ROW()/100000,0)</f>
        <v>0</v>
      </c>
    </row>
    <row r="312">
      <c r="A312" s="39" t="n">
        <v>46204</v>
      </c>
      <c r="B312" s="40" t="n">
        <v>0.7291666666666666</v>
      </c>
      <c r="C312" s="35" t="inlineStr">
        <is>
          <t>Dra. Carolina Mendes</t>
        </is>
      </c>
      <c r="D312" s="35" t="inlineStr">
        <is>
          <t>Sala 1</t>
        </is>
      </c>
      <c r="E312" s="34" t="inlineStr">
        <is>
          <t>Débora Machado</t>
        </is>
      </c>
      <c r="F312" s="35" t="inlineStr">
        <is>
          <t>Saúde Total</t>
        </is>
      </c>
      <c r="G312" s="35" t="inlineStr">
        <is>
          <t>Consulta</t>
        </is>
      </c>
      <c r="H312" s="35" t="inlineStr">
        <is>
          <t>Realizado</t>
        </is>
      </c>
      <c r="I312" s="35" t="inlineStr">
        <is>
          <t>Convênio</t>
        </is>
      </c>
      <c r="J312" s="35" t="n"/>
      <c r="K312" s="34" t="n"/>
      <c r="L312" s="26">
        <f>IF(A312="","",MONTH(A312))</f>
        <v>7</v>
      </c>
      <c r="M312" s="26">
        <f>IF(A312="","",YEAR(A312))</f>
        <v>2026</v>
      </c>
      <c r="N312" s="26" t="str">
        <f>IF(A312="","",CHOOSE(WEEKDAY(A312,2),"Segunda","Terça","Quarta","Quinta","Sexta","Sábado","Domingo"))</f>
        <v>Quarta</v>
      </c>
      <c r="O312" s="26" t="str">
        <f>IF(B312="","",IF(B312&lt;TIME(12,0,0),"Manhã",IF(B312&lt;TIME(18,0,0),"Tarde","Noite")))</f>
        <v>Tarde</v>
      </c>
      <c r="P312" s="32">
        <f>IF(G312="","",IFERROR(INDEX(Config!$I$5:$I$16,MATCH(G312,Config!$H$5:$H$16,0)),0))</f>
        <v>30</v>
      </c>
      <c r="Q312" s="30">
        <f>IF(OR(H312&lt;&gt;"Realizado",P312="",P312=0),"",A312+P312)</f>
        <v>46234.0</v>
      </c>
      <c r="R312" s="26" t="str">
        <f>IF(Q312="","",IF(COUNTIFS($E$5:$E$3004,E312,$A$5:$A$3004,"&gt;"&amp;A312,$H$5:$H$3004,"&lt;&gt;Falta",$H$5:$H$3004,"&lt;&gt;Cancelado",$H$5:$H$3004,"&lt;&gt;Remarcado")&gt;0,"Sim","Não"))</f>
        <v>Sim</v>
      </c>
      <c r="S312" s="32">
        <f>IF(R312&lt;&gt;"Não","",IF(Q312+Config!$B$9&lt;=Config!$B$8,Config!$B$8-Q312,""))</f>
        <v/>
      </c>
      <c r="T312" s="26">
        <f>IF(S312="","","Sim")</f>
        <v/>
      </c>
      <c r="U312" s="41">
        <f>IF(T312="Sim",S312+ROW()/100000,0)</f>
        <v>0</v>
      </c>
      <c r="V312" s="41">
        <f>IF(AND(H312="Falta",L312=Config!$B$7,M312=Config!$B$5,COUNTIFS($E$5:E312,E312,$H$5:H312,"Falta",$L$5:L312,Config!$B$7,$M$5:M312,Config!$B$5)=1),COUNTIFS($E$5:$E$3004,E312,$H$5:$H$3004,"Falta",$L$5:$L$3004,Config!$B$7,$M$5:$M$3004,Config!$B$5)*1000-ROW()/100000,0)</f>
        <v>0</v>
      </c>
    </row>
    <row r="313">
      <c r="A313" s="39" t="n">
        <v>46205</v>
      </c>
      <c r="B313" s="40" t="n">
        <v>0.3333333333333333</v>
      </c>
      <c r="C313" s="35" t="inlineStr">
        <is>
          <t>Dra. Carolina Mendes</t>
        </is>
      </c>
      <c r="D313" s="35" t="inlineStr">
        <is>
          <t>Sala 1</t>
        </is>
      </c>
      <c r="E313" s="34" t="inlineStr">
        <is>
          <t>Débora Ramos</t>
        </is>
      </c>
      <c r="F313" s="35" t="inlineStr">
        <is>
          <t>Particular</t>
        </is>
      </c>
      <c r="G313" s="35" t="inlineStr">
        <is>
          <t>Consulta</t>
        </is>
      </c>
      <c r="H313" s="35" t="inlineStr">
        <is>
          <t>Realizado</t>
        </is>
      </c>
      <c r="I313" s="35" t="inlineStr">
        <is>
          <t>Cartão de crédito</t>
        </is>
      </c>
      <c r="J313" s="35" t="n"/>
      <c r="K313" s="34" t="n"/>
      <c r="L313" s="26">
        <f>IF(A313="","",MONTH(A313))</f>
        <v>7</v>
      </c>
      <c r="M313" s="26">
        <f>IF(A313="","",YEAR(A313))</f>
        <v>2026</v>
      </c>
      <c r="N313" s="26" t="str">
        <f>IF(A313="","",CHOOSE(WEEKDAY(A313,2),"Segunda","Terça","Quarta","Quinta","Sexta","Sábado","Domingo"))</f>
        <v>Quinta</v>
      </c>
      <c r="O313" s="26" t="str">
        <f>IF(B313="","",IF(B313&lt;TIME(12,0,0),"Manhã",IF(B313&lt;TIME(18,0,0),"Tarde","Noite")))</f>
        <v>Manhã</v>
      </c>
      <c r="P313" s="32">
        <f>IF(G313="","",IFERROR(INDEX(Config!$I$5:$I$16,MATCH(G313,Config!$H$5:$H$16,0)),0))</f>
        <v>30</v>
      </c>
      <c r="Q313" s="30">
        <f>IF(OR(H313&lt;&gt;"Realizado",P313="",P313=0),"",A313+P313)</f>
        <v>46235.0</v>
      </c>
      <c r="R313" s="26" t="str">
        <f>IF(Q313="","",IF(COUNTIFS($E$5:$E$3004,E313,$A$5:$A$3004,"&gt;"&amp;A313,$H$5:$H$3004,"&lt;&gt;Falta",$H$5:$H$3004,"&lt;&gt;Cancelado",$H$5:$H$3004,"&lt;&gt;Remarcado")&gt;0,"Sim","Não"))</f>
        <v>Sim</v>
      </c>
      <c r="S313" s="32">
        <f>IF(R313&lt;&gt;"Não","",IF(Q313+Config!$B$9&lt;=Config!$B$8,Config!$B$8-Q313,""))</f>
        <v/>
      </c>
      <c r="T313" s="26">
        <f>IF(S313="","","Sim")</f>
        <v/>
      </c>
      <c r="U313" s="41">
        <f>IF(T313="Sim",S313+ROW()/100000,0)</f>
        <v>0</v>
      </c>
      <c r="V313" s="41">
        <f>IF(AND(H313="Falta",L313=Config!$B$7,M313=Config!$B$5,COUNTIFS($E$5:E313,E313,$H$5:H313,"Falta",$L$5:L313,Config!$B$7,$M$5:M313,Config!$B$5)=1),COUNTIFS($E$5:$E$3004,E313,$H$5:$H$3004,"Falta",$L$5:$L$3004,Config!$B$7,$M$5:$M$3004,Config!$B$5)*1000-ROW()/100000,0)</f>
        <v>0</v>
      </c>
    </row>
    <row r="314">
      <c r="A314" s="39" t="n">
        <v>46205</v>
      </c>
      <c r="B314" s="40" t="n">
        <v>0.3541666666666667</v>
      </c>
      <c r="C314" s="35" t="inlineStr">
        <is>
          <t>Dra. Carolina Mendes</t>
        </is>
      </c>
      <c r="D314" s="35" t="inlineStr">
        <is>
          <t>Sala 1</t>
        </is>
      </c>
      <c r="E314" s="34" t="inlineStr">
        <is>
          <t>Juliana Ribeiro</t>
        </is>
      </c>
      <c r="F314" s="35" t="inlineStr">
        <is>
          <t>Saúde Total</t>
        </is>
      </c>
      <c r="G314" s="35" t="inlineStr">
        <is>
          <t>Retorno</t>
        </is>
      </c>
      <c r="H314" s="35" t="inlineStr">
        <is>
          <t>Realizado</t>
        </is>
      </c>
      <c r="I314" s="35" t="inlineStr">
        <is>
          <t>Sem cobrança</t>
        </is>
      </c>
      <c r="J314" s="35" t="n"/>
      <c r="K314" s="34" t="n"/>
      <c r="L314" s="26">
        <f>IF(A314="","",MONTH(A314))</f>
        <v>7</v>
      </c>
      <c r="M314" s="26">
        <f>IF(A314="","",YEAR(A314))</f>
        <v>2026</v>
      </c>
      <c r="N314" s="26" t="str">
        <f>IF(A314="","",CHOOSE(WEEKDAY(A314,2),"Segunda","Terça","Quarta","Quinta","Sexta","Sábado","Domingo"))</f>
        <v>Quinta</v>
      </c>
      <c r="O314" s="26" t="str">
        <f>IF(B314="","",IF(B314&lt;TIME(12,0,0),"Manhã",IF(B314&lt;TIME(18,0,0),"Tarde","Noite")))</f>
        <v>Manhã</v>
      </c>
      <c r="P314" s="32">
        <f>IF(G314="","",IFERROR(INDEX(Config!$I$5:$I$16,MATCH(G314,Config!$H$5:$H$16,0)),0))</f>
        <v>0</v>
      </c>
      <c r="Q314" s="30">
        <f>IF(OR(H314&lt;&gt;"Realizado",P314="",P314=0),"",A314+P314)</f>
        <v/>
      </c>
      <c r="R314" s="26">
        <f>IF(Q314="","",IF(COUNTIFS($E$5:$E$3004,E314,$A$5:$A$3004,"&gt;"&amp;A314,$H$5:$H$3004,"&lt;&gt;Falta",$H$5:$H$3004,"&lt;&gt;Cancelado",$H$5:$H$3004,"&lt;&gt;Remarcado")&gt;0,"Sim","Não"))</f>
        <v/>
      </c>
      <c r="S314" s="32">
        <f>IF(R314&lt;&gt;"Não","",IF(Q314+Config!$B$9&lt;=Config!$B$8,Config!$B$8-Q314,""))</f>
        <v/>
      </c>
      <c r="T314" s="26">
        <f>IF(S314="","","Sim")</f>
        <v/>
      </c>
      <c r="U314" s="41">
        <f>IF(T314="Sim",S314+ROW()/100000,0)</f>
        <v>0</v>
      </c>
      <c r="V314" s="41">
        <f>IF(AND(H314="Falta",L314=Config!$B$7,M314=Config!$B$5,COUNTIFS($E$5:E314,E314,$H$5:H314,"Falta",$L$5:L314,Config!$B$7,$M$5:M314,Config!$B$5)=1),COUNTIFS($E$5:$E$3004,E314,$H$5:$H$3004,"Falta",$L$5:$L$3004,Config!$B$7,$M$5:$M$3004,Config!$B$5)*1000-ROW()/100000,0)</f>
        <v>0</v>
      </c>
    </row>
    <row r="315">
      <c r="A315" s="39" t="n">
        <v>46205</v>
      </c>
      <c r="B315" s="40" t="n">
        <v>0.3680555555555556</v>
      </c>
      <c r="C315" s="35" t="inlineStr">
        <is>
          <t>Dra. Carolina Mendes</t>
        </is>
      </c>
      <c r="D315" s="35" t="inlineStr">
        <is>
          <t>Sala 1</t>
        </is>
      </c>
      <c r="E315" s="34" t="inlineStr">
        <is>
          <t>Mariana Nascimento</t>
        </is>
      </c>
      <c r="F315" s="35" t="inlineStr">
        <is>
          <t>Particular</t>
        </is>
      </c>
      <c r="G315" s="35" t="inlineStr">
        <is>
          <t>Consulta</t>
        </is>
      </c>
      <c r="H315" s="35" t="inlineStr">
        <is>
          <t>Remarcado</t>
        </is>
      </c>
      <c r="I315" s="35" t="n"/>
      <c r="J315" s="35" t="n"/>
      <c r="K315" s="34" t="inlineStr">
        <is>
          <t>Paciente pediu outra data</t>
        </is>
      </c>
      <c r="L315" s="26">
        <f>IF(A315="","",MONTH(A315))</f>
        <v>7</v>
      </c>
      <c r="M315" s="26">
        <f>IF(A315="","",YEAR(A315))</f>
        <v>2026</v>
      </c>
      <c r="N315" s="26" t="str">
        <f>IF(A315="","",CHOOSE(WEEKDAY(A315,2),"Segunda","Terça","Quarta","Quinta","Sexta","Sábado","Domingo"))</f>
        <v>Quinta</v>
      </c>
      <c r="O315" s="26" t="str">
        <f>IF(B315="","",IF(B315&lt;TIME(12,0,0),"Manhã",IF(B315&lt;TIME(18,0,0),"Tarde","Noite")))</f>
        <v>Manhã</v>
      </c>
      <c r="P315" s="32">
        <f>IF(G315="","",IFERROR(INDEX(Config!$I$5:$I$16,MATCH(G315,Config!$H$5:$H$16,0)),0))</f>
        <v>30</v>
      </c>
      <c r="Q315" s="30">
        <f>IF(OR(H315&lt;&gt;"Realizado",P315="",P315=0),"",A315+P315)</f>
        <v/>
      </c>
      <c r="R315" s="26">
        <f>IF(Q315="","",IF(COUNTIFS($E$5:$E$3004,E315,$A$5:$A$3004,"&gt;"&amp;A315,$H$5:$H$3004,"&lt;&gt;Falta",$H$5:$H$3004,"&lt;&gt;Cancelado",$H$5:$H$3004,"&lt;&gt;Remarcado")&gt;0,"Sim","Não"))</f>
        <v/>
      </c>
      <c r="S315" s="32">
        <f>IF(R315&lt;&gt;"Não","",IF(Q315+Config!$B$9&lt;=Config!$B$8,Config!$B$8-Q315,""))</f>
        <v/>
      </c>
      <c r="T315" s="26">
        <f>IF(S315="","","Sim")</f>
        <v/>
      </c>
      <c r="U315" s="41">
        <f>IF(T315="Sim",S315+ROW()/100000,0)</f>
        <v>0</v>
      </c>
      <c r="V315" s="41">
        <f>IF(AND(H315="Falta",L315=Config!$B$7,M315=Config!$B$5,COUNTIFS($E$5:E315,E315,$H$5:H315,"Falta",$L$5:L315,Config!$B$7,$M$5:M315,Config!$B$5)=1),COUNTIFS($E$5:$E$3004,E315,$H$5:$H$3004,"Falta",$L$5:$L$3004,Config!$B$7,$M$5:$M$3004,Config!$B$5)*1000-ROW()/100000,0)</f>
        <v>0</v>
      </c>
    </row>
    <row r="316">
      <c r="A316" s="39" t="n">
        <v>46205</v>
      </c>
      <c r="B316" s="40" t="n">
        <v>0.3888888888888889</v>
      </c>
      <c r="C316" s="35" t="inlineStr">
        <is>
          <t>Dra. Carolina Mendes</t>
        </is>
      </c>
      <c r="D316" s="35" t="inlineStr">
        <is>
          <t>Sala 1</t>
        </is>
      </c>
      <c r="E316" s="34" t="inlineStr">
        <is>
          <t>Priscila Castro</t>
        </is>
      </c>
      <c r="F316" s="35" t="inlineStr">
        <is>
          <t>Saúde Total</t>
        </is>
      </c>
      <c r="G316" s="35" t="inlineStr">
        <is>
          <t>Consulta</t>
        </is>
      </c>
      <c r="H316" s="35" t="inlineStr">
        <is>
          <t>Realizado</t>
        </is>
      </c>
      <c r="I316" s="35" t="inlineStr">
        <is>
          <t>Convênio</t>
        </is>
      </c>
      <c r="J316" s="35" t="n"/>
      <c r="K316" s="34" t="n"/>
      <c r="L316" s="26">
        <f>IF(A316="","",MONTH(A316))</f>
        <v>7</v>
      </c>
      <c r="M316" s="26">
        <f>IF(A316="","",YEAR(A316))</f>
        <v>2026</v>
      </c>
      <c r="N316" s="26" t="str">
        <f>IF(A316="","",CHOOSE(WEEKDAY(A316,2),"Segunda","Terça","Quarta","Quinta","Sexta","Sábado","Domingo"))</f>
        <v>Quinta</v>
      </c>
      <c r="O316" s="26" t="str">
        <f>IF(B316="","",IF(B316&lt;TIME(12,0,0),"Manhã",IF(B316&lt;TIME(18,0,0),"Tarde","Noite")))</f>
        <v>Manhã</v>
      </c>
      <c r="P316" s="32">
        <f>IF(G316="","",IFERROR(INDEX(Config!$I$5:$I$16,MATCH(G316,Config!$H$5:$H$16,0)),0))</f>
        <v>30</v>
      </c>
      <c r="Q316" s="30">
        <f>IF(OR(H316&lt;&gt;"Realizado",P316="",P316=0),"",A316+P316)</f>
        <v>46235.0</v>
      </c>
      <c r="R316" s="26" t="str">
        <f>IF(Q316="","",IF(COUNTIFS($E$5:$E$3004,E316,$A$5:$A$3004,"&gt;"&amp;A316,$H$5:$H$3004,"&lt;&gt;Falta",$H$5:$H$3004,"&lt;&gt;Cancelado",$H$5:$H$3004,"&lt;&gt;Remarcado")&gt;0,"Sim","Não"))</f>
        <v>Sim</v>
      </c>
      <c r="S316" s="32">
        <f>IF(R316&lt;&gt;"Não","",IF(Q316+Config!$B$9&lt;=Config!$B$8,Config!$B$8-Q316,""))</f>
        <v/>
      </c>
      <c r="T316" s="26">
        <f>IF(S316="","","Sim")</f>
        <v/>
      </c>
      <c r="U316" s="41">
        <f>IF(T316="Sim",S316+ROW()/100000,0)</f>
        <v>0</v>
      </c>
      <c r="V316" s="41">
        <f>IF(AND(H316="Falta",L316=Config!$B$7,M316=Config!$B$5,COUNTIFS($E$5:E316,E316,$H$5:H316,"Falta",$L$5:L316,Config!$B$7,$M$5:M316,Config!$B$5)=1),COUNTIFS($E$5:$E$3004,E316,$H$5:$H$3004,"Falta",$L$5:$L$3004,Config!$B$7,$M$5:$M$3004,Config!$B$5)*1000-ROW()/100000,0)</f>
        <v>0</v>
      </c>
    </row>
    <row r="317">
      <c r="A317" s="39" t="n">
        <v>46205</v>
      </c>
      <c r="B317" s="40" t="n">
        <v>0.4097222222222222</v>
      </c>
      <c r="C317" s="35" t="inlineStr">
        <is>
          <t>Dra. Carolina Mendes</t>
        </is>
      </c>
      <c r="D317" s="35" t="inlineStr">
        <is>
          <t>Sala 1</t>
        </is>
      </c>
      <c r="E317" s="34" t="inlineStr">
        <is>
          <t>Letícia Vieira</t>
        </is>
      </c>
      <c r="F317" s="35" t="inlineStr">
        <is>
          <t>Saúde Total</t>
        </is>
      </c>
      <c r="G317" s="35" t="inlineStr">
        <is>
          <t>Consulta</t>
        </is>
      </c>
      <c r="H317" s="35" t="inlineStr">
        <is>
          <t>Realizado</t>
        </is>
      </c>
      <c r="I317" s="35" t="inlineStr">
        <is>
          <t>Convênio</t>
        </is>
      </c>
      <c r="J317" s="35" t="n"/>
      <c r="K317" s="34" t="n"/>
      <c r="L317" s="26">
        <f>IF(A317="","",MONTH(A317))</f>
        <v>7</v>
      </c>
      <c r="M317" s="26">
        <f>IF(A317="","",YEAR(A317))</f>
        <v>2026</v>
      </c>
      <c r="N317" s="26" t="str">
        <f>IF(A317="","",CHOOSE(WEEKDAY(A317,2),"Segunda","Terça","Quarta","Quinta","Sexta","Sábado","Domingo"))</f>
        <v>Quinta</v>
      </c>
      <c r="O317" s="26" t="str">
        <f>IF(B317="","",IF(B317&lt;TIME(12,0,0),"Manhã",IF(B317&lt;TIME(18,0,0),"Tarde","Noite")))</f>
        <v>Manhã</v>
      </c>
      <c r="P317" s="32">
        <f>IF(G317="","",IFERROR(INDEX(Config!$I$5:$I$16,MATCH(G317,Config!$H$5:$H$16,0)),0))</f>
        <v>30</v>
      </c>
      <c r="Q317" s="30">
        <f>IF(OR(H317&lt;&gt;"Realizado",P317="",P317=0),"",A317+P317)</f>
        <v>46235.0</v>
      </c>
      <c r="R317" s="26" t="str">
        <f>IF(Q317="","",IF(COUNTIFS($E$5:$E$3004,E317,$A$5:$A$3004,"&gt;"&amp;A317,$H$5:$H$3004,"&lt;&gt;Falta",$H$5:$H$3004,"&lt;&gt;Cancelado",$H$5:$H$3004,"&lt;&gt;Remarcado")&gt;0,"Sim","Não"))</f>
        <v>Sim</v>
      </c>
      <c r="S317" s="32">
        <f>IF(R317&lt;&gt;"Não","",IF(Q317+Config!$B$9&lt;=Config!$B$8,Config!$B$8-Q317,""))</f>
        <v/>
      </c>
      <c r="T317" s="26">
        <f>IF(S317="","","Sim")</f>
        <v/>
      </c>
      <c r="U317" s="41">
        <f>IF(T317="Sim",S317+ROW()/100000,0)</f>
        <v>0</v>
      </c>
      <c r="V317" s="41">
        <f>IF(AND(H317="Falta",L317=Config!$B$7,M317=Config!$B$5,COUNTIFS($E$5:E317,E317,$H$5:H317,"Falta",$L$5:L317,Config!$B$7,$M$5:M317,Config!$B$5)=1),COUNTIFS($E$5:$E$3004,E317,$H$5:$H$3004,"Falta",$L$5:$L$3004,Config!$B$7,$M$5:$M$3004,Config!$B$5)*1000-ROW()/100000,0)</f>
        <v>0</v>
      </c>
    </row>
    <row r="318">
      <c r="A318" s="39" t="n">
        <v>46205</v>
      </c>
      <c r="B318" s="40" t="n">
        <v>0.4305555555555556</v>
      </c>
      <c r="C318" s="35" t="inlineStr">
        <is>
          <t>Dra. Carolina Mendes</t>
        </is>
      </c>
      <c r="D318" s="35" t="inlineStr">
        <is>
          <t>Sala 1</t>
        </is>
      </c>
      <c r="E318" s="34" t="inlineStr">
        <is>
          <t>Mônica Batista</t>
        </is>
      </c>
      <c r="F318" s="35" t="inlineStr">
        <is>
          <t>MediPlan</t>
        </is>
      </c>
      <c r="G318" s="35" t="inlineStr">
        <is>
          <t>Consulta</t>
        </is>
      </c>
      <c r="H318" s="35" t="inlineStr">
        <is>
          <t>Realizado</t>
        </is>
      </c>
      <c r="I318" s="35" t="inlineStr">
        <is>
          <t>Convênio</t>
        </is>
      </c>
      <c r="J318" s="35" t="n"/>
      <c r="K318" s="34" t="n"/>
      <c r="L318" s="26">
        <f>IF(A318="","",MONTH(A318))</f>
        <v>7</v>
      </c>
      <c r="M318" s="26">
        <f>IF(A318="","",YEAR(A318))</f>
        <v>2026</v>
      </c>
      <c r="N318" s="26" t="str">
        <f>IF(A318="","",CHOOSE(WEEKDAY(A318,2),"Segunda","Terça","Quarta","Quinta","Sexta","Sábado","Domingo"))</f>
        <v>Quinta</v>
      </c>
      <c r="O318" s="26" t="str">
        <f>IF(B318="","",IF(B318&lt;TIME(12,0,0),"Manhã",IF(B318&lt;TIME(18,0,0),"Tarde","Noite")))</f>
        <v>Manhã</v>
      </c>
      <c r="P318" s="32">
        <f>IF(G318="","",IFERROR(INDEX(Config!$I$5:$I$16,MATCH(G318,Config!$H$5:$H$16,0)),0))</f>
        <v>30</v>
      </c>
      <c r="Q318" s="30">
        <f>IF(OR(H318&lt;&gt;"Realizado",P318="",P318=0),"",A318+P318)</f>
        <v>46235.0</v>
      </c>
      <c r="R318" s="26" t="str">
        <f>IF(Q318="","",IF(COUNTIFS($E$5:$E$3004,E318,$A$5:$A$3004,"&gt;"&amp;A318,$H$5:$H$3004,"&lt;&gt;Falta",$H$5:$H$3004,"&lt;&gt;Cancelado",$H$5:$H$3004,"&lt;&gt;Remarcado")&gt;0,"Sim","Não"))</f>
        <v>Sim</v>
      </c>
      <c r="S318" s="32">
        <f>IF(R318&lt;&gt;"Não","",IF(Q318+Config!$B$9&lt;=Config!$B$8,Config!$B$8-Q318,""))</f>
        <v/>
      </c>
      <c r="T318" s="26">
        <f>IF(S318="","","Sim")</f>
        <v/>
      </c>
      <c r="U318" s="41">
        <f>IF(T318="Sim",S318+ROW()/100000,0)</f>
        <v>0</v>
      </c>
      <c r="V318" s="41">
        <f>IF(AND(H318="Falta",L318=Config!$B$7,M318=Config!$B$5,COUNTIFS($E$5:E318,E318,$H$5:H318,"Falta",$L$5:L318,Config!$B$7,$M$5:M318,Config!$B$5)=1),COUNTIFS($E$5:$E$3004,E318,$H$5:$H$3004,"Falta",$L$5:$L$3004,Config!$B$7,$M$5:$M$3004,Config!$B$5)*1000-ROW()/100000,0)</f>
        <v>0</v>
      </c>
    </row>
    <row r="319">
      <c r="A319" s="39" t="n">
        <v>46205</v>
      </c>
      <c r="B319" s="40" t="n">
        <v>0.4513888888888889</v>
      </c>
      <c r="C319" s="35" t="inlineStr">
        <is>
          <t>Dra. Carolina Mendes</t>
        </is>
      </c>
      <c r="D319" s="35" t="inlineStr">
        <is>
          <t>Sala 1</t>
        </is>
      </c>
      <c r="E319" s="34" t="inlineStr">
        <is>
          <t>Mariana Nascimento</t>
        </is>
      </c>
      <c r="F319" s="35" t="inlineStr">
        <is>
          <t>Particular</t>
        </is>
      </c>
      <c r="G319" s="35" t="inlineStr">
        <is>
          <t>Consulta</t>
        </is>
      </c>
      <c r="H319" s="35" t="inlineStr">
        <is>
          <t>Realizado</t>
        </is>
      </c>
      <c r="I319" s="35" t="inlineStr">
        <is>
          <t>Cartão de crédito</t>
        </is>
      </c>
      <c r="J319" s="35" t="n"/>
      <c r="K319" s="34" t="n"/>
      <c r="L319" s="26">
        <f>IF(A319="","",MONTH(A319))</f>
        <v>7</v>
      </c>
      <c r="M319" s="26">
        <f>IF(A319="","",YEAR(A319))</f>
        <v>2026</v>
      </c>
      <c r="N319" s="26" t="str">
        <f>IF(A319="","",CHOOSE(WEEKDAY(A319,2),"Segunda","Terça","Quarta","Quinta","Sexta","Sábado","Domingo"))</f>
        <v>Quinta</v>
      </c>
      <c r="O319" s="26" t="str">
        <f>IF(B319="","",IF(B319&lt;TIME(12,0,0),"Manhã",IF(B319&lt;TIME(18,0,0),"Tarde","Noite")))</f>
        <v>Manhã</v>
      </c>
      <c r="P319" s="32">
        <f>IF(G319="","",IFERROR(INDEX(Config!$I$5:$I$16,MATCH(G319,Config!$H$5:$H$16,0)),0))</f>
        <v>30</v>
      </c>
      <c r="Q319" s="30">
        <f>IF(OR(H319&lt;&gt;"Realizado",P319="",P319=0),"",A319+P319)</f>
        <v>46235.0</v>
      </c>
      <c r="R319" s="26" t="str">
        <f>IF(Q319="","",IF(COUNTIFS($E$5:$E$3004,E319,$A$5:$A$3004,"&gt;"&amp;A319,$H$5:$H$3004,"&lt;&gt;Falta",$H$5:$H$3004,"&lt;&gt;Cancelado",$H$5:$H$3004,"&lt;&gt;Remarcado")&gt;0,"Sim","Não"))</f>
        <v>Sim</v>
      </c>
      <c r="S319" s="32">
        <f>IF(R319&lt;&gt;"Não","",IF(Q319+Config!$B$9&lt;=Config!$B$8,Config!$B$8-Q319,""))</f>
        <v/>
      </c>
      <c r="T319" s="26">
        <f>IF(S319="","","Sim")</f>
        <v/>
      </c>
      <c r="U319" s="41">
        <f>IF(T319="Sim",S319+ROW()/100000,0)</f>
        <v>0</v>
      </c>
      <c r="V319" s="41">
        <f>IF(AND(H319="Falta",L319=Config!$B$7,M319=Config!$B$5,COUNTIFS($E$5:E319,E319,$H$5:H319,"Falta",$L$5:L319,Config!$B$7,$M$5:M319,Config!$B$5)=1),COUNTIFS($E$5:$E$3004,E319,$H$5:$H$3004,"Falta",$L$5:$L$3004,Config!$B$7,$M$5:$M$3004,Config!$B$5)*1000-ROW()/100000,0)</f>
        <v>0</v>
      </c>
    </row>
    <row r="320">
      <c r="A320" s="39" t="n">
        <v>46205</v>
      </c>
      <c r="B320" s="40" t="n">
        <v>0.4722222222222222</v>
      </c>
      <c r="C320" s="35" t="inlineStr">
        <is>
          <t>Dra. Carolina Mendes</t>
        </is>
      </c>
      <c r="D320" s="35" t="inlineStr">
        <is>
          <t>Sala 1</t>
        </is>
      </c>
      <c r="E320" s="34" t="inlineStr">
        <is>
          <t>Helena Moreira</t>
        </is>
      </c>
      <c r="F320" s="35" t="inlineStr">
        <is>
          <t>Particular</t>
        </is>
      </c>
      <c r="G320" s="35" t="inlineStr">
        <is>
          <t>Consulta</t>
        </is>
      </c>
      <c r="H320" s="35" t="inlineStr">
        <is>
          <t>Realizado</t>
        </is>
      </c>
      <c r="I320" s="35" t="inlineStr">
        <is>
          <t>Cartão de crédito</t>
        </is>
      </c>
      <c r="J320" s="35" t="n"/>
      <c r="K320" s="34" t="n"/>
      <c r="L320" s="26">
        <f>IF(A320="","",MONTH(A320))</f>
        <v>7</v>
      </c>
      <c r="M320" s="26">
        <f>IF(A320="","",YEAR(A320))</f>
        <v>2026</v>
      </c>
      <c r="N320" s="26" t="str">
        <f>IF(A320="","",CHOOSE(WEEKDAY(A320,2),"Segunda","Terça","Quarta","Quinta","Sexta","Sábado","Domingo"))</f>
        <v>Quinta</v>
      </c>
      <c r="O320" s="26" t="str">
        <f>IF(B320="","",IF(B320&lt;TIME(12,0,0),"Manhã",IF(B320&lt;TIME(18,0,0),"Tarde","Noite")))</f>
        <v>Manhã</v>
      </c>
      <c r="P320" s="32">
        <f>IF(G320="","",IFERROR(INDEX(Config!$I$5:$I$16,MATCH(G320,Config!$H$5:$H$16,0)),0))</f>
        <v>30</v>
      </c>
      <c r="Q320" s="30">
        <f>IF(OR(H320&lt;&gt;"Realizado",P320="",P320=0),"",A320+P320)</f>
        <v>46235.0</v>
      </c>
      <c r="R320" s="26" t="str">
        <f>IF(Q320="","",IF(COUNTIFS($E$5:$E$3004,E320,$A$5:$A$3004,"&gt;"&amp;A320,$H$5:$H$3004,"&lt;&gt;Falta",$H$5:$H$3004,"&lt;&gt;Cancelado",$H$5:$H$3004,"&lt;&gt;Remarcado")&gt;0,"Sim","Não"))</f>
        <v>Sim</v>
      </c>
      <c r="S320" s="32">
        <f>IF(R320&lt;&gt;"Não","",IF(Q320+Config!$B$9&lt;=Config!$B$8,Config!$B$8-Q320,""))</f>
        <v/>
      </c>
      <c r="T320" s="26">
        <f>IF(S320="","","Sim")</f>
        <v/>
      </c>
      <c r="U320" s="41">
        <f>IF(T320="Sim",S320+ROW()/100000,0)</f>
        <v>0</v>
      </c>
      <c r="V320" s="41">
        <f>IF(AND(H320="Falta",L320=Config!$B$7,M320=Config!$B$5,COUNTIFS($E$5:E320,E320,$H$5:H320,"Falta",$L$5:L320,Config!$B$7,$M$5:M320,Config!$B$5)=1),COUNTIFS($E$5:$E$3004,E320,$H$5:$H$3004,"Falta",$L$5:$L$3004,Config!$B$7,$M$5:$M$3004,Config!$B$5)*1000-ROW()/100000,0)</f>
        <v>0</v>
      </c>
    </row>
    <row r="321">
      <c r="A321" s="39" t="n">
        <v>46205</v>
      </c>
      <c r="B321" s="40" t="n">
        <v>0.5833333333333334</v>
      </c>
      <c r="C321" s="35" t="inlineStr">
        <is>
          <t>Dra. Renata Sousa</t>
        </is>
      </c>
      <c r="D321" s="35" t="inlineStr">
        <is>
          <t>Sala 1</t>
        </is>
      </c>
      <c r="E321" s="34" t="inlineStr">
        <is>
          <t>Gisele Lopes</t>
        </is>
      </c>
      <c r="F321" s="35" t="inlineStr">
        <is>
          <t>Saúde Total</t>
        </is>
      </c>
      <c r="G321" s="35" t="inlineStr">
        <is>
          <t>Avaliação endócrina</t>
        </is>
      </c>
      <c r="H321" s="35" t="inlineStr">
        <is>
          <t>Realizado</t>
        </is>
      </c>
      <c r="I321" s="35" t="inlineStr">
        <is>
          <t>Convênio</t>
        </is>
      </c>
      <c r="J321" s="35" t="n"/>
      <c r="K321" s="34" t="n"/>
      <c r="L321" s="26">
        <f>IF(A321="","",MONTH(A321))</f>
        <v>7</v>
      </c>
      <c r="M321" s="26">
        <f>IF(A321="","",YEAR(A321))</f>
        <v>2026</v>
      </c>
      <c r="N321" s="26" t="str">
        <f>IF(A321="","",CHOOSE(WEEKDAY(A321,2),"Segunda","Terça","Quarta","Quinta","Sexta","Sábado","Domingo"))</f>
        <v>Quinta</v>
      </c>
      <c r="O321" s="26" t="str">
        <f>IF(B321="","",IF(B321&lt;TIME(12,0,0),"Manhã",IF(B321&lt;TIME(18,0,0),"Tarde","Noite")))</f>
        <v>Tarde</v>
      </c>
      <c r="P321" s="32">
        <f>IF(G321="","",IFERROR(INDEX(Config!$I$5:$I$16,MATCH(G321,Config!$H$5:$H$16,0)),0))</f>
        <v>45</v>
      </c>
      <c r="Q321" s="30">
        <f>IF(OR(H321&lt;&gt;"Realizado",P321="",P321=0),"",A321+P321)</f>
        <v>46250.0</v>
      </c>
      <c r="R321" s="26" t="str">
        <f>IF(Q321="","",IF(COUNTIFS($E$5:$E$3004,E321,$A$5:$A$3004,"&gt;"&amp;A321,$H$5:$H$3004,"&lt;&gt;Falta",$H$5:$H$3004,"&lt;&gt;Cancelado",$H$5:$H$3004,"&lt;&gt;Remarcado")&gt;0,"Sim","Não"))</f>
        <v>Sim</v>
      </c>
      <c r="S321" s="32">
        <f>IF(R321&lt;&gt;"Não","",IF(Q321+Config!$B$9&lt;=Config!$B$8,Config!$B$8-Q321,""))</f>
        <v/>
      </c>
      <c r="T321" s="26">
        <f>IF(S321="","","Sim")</f>
        <v/>
      </c>
      <c r="U321" s="41">
        <f>IF(T321="Sim",S321+ROW()/100000,0)</f>
        <v>0</v>
      </c>
      <c r="V321" s="41">
        <f>IF(AND(H321="Falta",L321=Config!$B$7,M321=Config!$B$5,COUNTIFS($E$5:E321,E321,$H$5:H321,"Falta",$L$5:L321,Config!$B$7,$M$5:M321,Config!$B$5)=1),COUNTIFS($E$5:$E$3004,E321,$H$5:$H$3004,"Falta",$L$5:$L$3004,Config!$B$7,$M$5:$M$3004,Config!$B$5)*1000-ROW()/100000,0)</f>
        <v>0</v>
      </c>
    </row>
    <row r="322">
      <c r="A322" s="39" t="n">
        <v>46205</v>
      </c>
      <c r="B322" s="40" t="n">
        <v>0.5833333333333334</v>
      </c>
      <c r="C322" s="35" t="inlineStr">
        <is>
          <t>Dr. Paulo Andrade</t>
        </is>
      </c>
      <c r="D322" s="35" t="inlineStr">
        <is>
          <t>Sala 2</t>
        </is>
      </c>
      <c r="E322" s="34" t="inlineStr">
        <is>
          <t>Priscila Pinto</t>
        </is>
      </c>
      <c r="F322" s="35" t="inlineStr">
        <is>
          <t>Saúde Total</t>
        </is>
      </c>
      <c r="G322" s="35" t="inlineStr">
        <is>
          <t>Retorno</t>
        </is>
      </c>
      <c r="H322" s="35" t="inlineStr">
        <is>
          <t>Realizado</t>
        </is>
      </c>
      <c r="I322" s="35" t="inlineStr">
        <is>
          <t>Sem cobrança</t>
        </is>
      </c>
      <c r="J322" s="35" t="n"/>
      <c r="K322" s="34" t="n"/>
      <c r="L322" s="26">
        <f>IF(A322="","",MONTH(A322))</f>
        <v>7</v>
      </c>
      <c r="M322" s="26">
        <f>IF(A322="","",YEAR(A322))</f>
        <v>2026</v>
      </c>
      <c r="N322" s="26" t="str">
        <f>IF(A322="","",CHOOSE(WEEKDAY(A322,2),"Segunda","Terça","Quarta","Quinta","Sexta","Sábado","Domingo"))</f>
        <v>Quinta</v>
      </c>
      <c r="O322" s="26" t="str">
        <f>IF(B322="","",IF(B322&lt;TIME(12,0,0),"Manhã",IF(B322&lt;TIME(18,0,0),"Tarde","Noite")))</f>
        <v>Tarde</v>
      </c>
      <c r="P322" s="32">
        <f>IF(G322="","",IFERROR(INDEX(Config!$I$5:$I$16,MATCH(G322,Config!$H$5:$H$16,0)),0))</f>
        <v>0</v>
      </c>
      <c r="Q322" s="30">
        <f>IF(OR(H322&lt;&gt;"Realizado",P322="",P322=0),"",A322+P322)</f>
        <v/>
      </c>
      <c r="R322" s="26">
        <f>IF(Q322="","",IF(COUNTIFS($E$5:$E$3004,E322,$A$5:$A$3004,"&gt;"&amp;A322,$H$5:$H$3004,"&lt;&gt;Falta",$H$5:$H$3004,"&lt;&gt;Cancelado",$H$5:$H$3004,"&lt;&gt;Remarcado")&gt;0,"Sim","Não"))</f>
        <v/>
      </c>
      <c r="S322" s="32">
        <f>IF(R322&lt;&gt;"Não","",IF(Q322+Config!$B$9&lt;=Config!$B$8,Config!$B$8-Q322,""))</f>
        <v/>
      </c>
      <c r="T322" s="26">
        <f>IF(S322="","","Sim")</f>
        <v/>
      </c>
      <c r="U322" s="41">
        <f>IF(T322="Sim",S322+ROW()/100000,0)</f>
        <v>0</v>
      </c>
      <c r="V322" s="41">
        <f>IF(AND(H322="Falta",L322=Config!$B$7,M322=Config!$B$5,COUNTIFS($E$5:E322,E322,$H$5:H322,"Falta",$L$5:L322,Config!$B$7,$M$5:M322,Config!$B$5)=1),COUNTIFS($E$5:$E$3004,E322,$H$5:$H$3004,"Falta",$L$5:$L$3004,Config!$B$7,$M$5:$M$3004,Config!$B$5)*1000-ROW()/100000,0)</f>
        <v>0</v>
      </c>
    </row>
    <row r="323">
      <c r="A323" s="39" t="n">
        <v>46205</v>
      </c>
      <c r="B323" s="40" t="n">
        <v>0.6111111111111112</v>
      </c>
      <c r="C323" s="35" t="inlineStr">
        <is>
          <t>Dra. Renata Sousa</t>
        </is>
      </c>
      <c r="D323" s="35" t="inlineStr">
        <is>
          <t>Sala 1</t>
        </is>
      </c>
      <c r="E323" s="34" t="inlineStr">
        <is>
          <t>Thiago Melo</t>
        </is>
      </c>
      <c r="F323" s="35" t="inlineStr">
        <is>
          <t>Particular</t>
        </is>
      </c>
      <c r="G323" s="35" t="inlineStr">
        <is>
          <t>Retorno</t>
        </is>
      </c>
      <c r="H323" s="35" t="inlineStr">
        <is>
          <t>Realizado</t>
        </is>
      </c>
      <c r="I323" s="35" t="inlineStr">
        <is>
          <t>Sem cobrança</t>
        </is>
      </c>
      <c r="J323" s="35" t="n"/>
      <c r="K323" s="34" t="n"/>
      <c r="L323" s="26">
        <f>IF(A323="","",MONTH(A323))</f>
        <v>7</v>
      </c>
      <c r="M323" s="26">
        <f>IF(A323="","",YEAR(A323))</f>
        <v>2026</v>
      </c>
      <c r="N323" s="26" t="str">
        <f>IF(A323="","",CHOOSE(WEEKDAY(A323,2),"Segunda","Terça","Quarta","Quinta","Sexta","Sábado","Domingo"))</f>
        <v>Quinta</v>
      </c>
      <c r="O323" s="26" t="str">
        <f>IF(B323="","",IF(B323&lt;TIME(12,0,0),"Manhã",IF(B323&lt;TIME(18,0,0),"Tarde","Noite")))</f>
        <v>Tarde</v>
      </c>
      <c r="P323" s="32">
        <f>IF(G323="","",IFERROR(INDEX(Config!$I$5:$I$16,MATCH(G323,Config!$H$5:$H$16,0)),0))</f>
        <v>0</v>
      </c>
      <c r="Q323" s="30">
        <f>IF(OR(H323&lt;&gt;"Realizado",P323="",P323=0),"",A323+P323)</f>
        <v/>
      </c>
      <c r="R323" s="26">
        <f>IF(Q323="","",IF(COUNTIFS($E$5:$E$3004,E323,$A$5:$A$3004,"&gt;"&amp;A323,$H$5:$H$3004,"&lt;&gt;Falta",$H$5:$H$3004,"&lt;&gt;Cancelado",$H$5:$H$3004,"&lt;&gt;Remarcado")&gt;0,"Sim","Não"))</f>
        <v/>
      </c>
      <c r="S323" s="32">
        <f>IF(R323&lt;&gt;"Não","",IF(Q323+Config!$B$9&lt;=Config!$B$8,Config!$B$8-Q323,""))</f>
        <v/>
      </c>
      <c r="T323" s="26">
        <f>IF(S323="","","Sim")</f>
        <v/>
      </c>
      <c r="U323" s="41">
        <f>IF(T323="Sim",S323+ROW()/100000,0)</f>
        <v>0</v>
      </c>
      <c r="V323" s="41">
        <f>IF(AND(H323="Falta",L323=Config!$B$7,M323=Config!$B$5,COUNTIFS($E$5:E323,E323,$H$5:H323,"Falta",$L$5:L323,Config!$B$7,$M$5:M323,Config!$B$5)=1),COUNTIFS($E$5:$E$3004,E323,$H$5:$H$3004,"Falta",$L$5:$L$3004,Config!$B$7,$M$5:$M$3004,Config!$B$5)*1000-ROW()/100000,0)</f>
        <v>0</v>
      </c>
    </row>
    <row r="324">
      <c r="A324" s="39" t="n">
        <v>46205</v>
      </c>
      <c r="B324" s="40" t="n">
        <v>0.6180555555555556</v>
      </c>
      <c r="C324" s="35" t="inlineStr">
        <is>
          <t>Dr. Paulo Andrade</t>
        </is>
      </c>
      <c r="D324" s="35" t="inlineStr">
        <is>
          <t>Sala 2</t>
        </is>
      </c>
      <c r="E324" s="34" t="inlineStr">
        <is>
          <t>Gabriel Oliveira</t>
        </is>
      </c>
      <c r="F324" s="35" t="inlineStr">
        <is>
          <t>Particular</t>
        </is>
      </c>
      <c r="G324" s="35" t="inlineStr">
        <is>
          <t>ECG</t>
        </is>
      </c>
      <c r="H324" s="35" t="inlineStr">
        <is>
          <t>Realizado</t>
        </is>
      </c>
      <c r="I324" s="35" t="inlineStr">
        <is>
          <t>Pix</t>
        </is>
      </c>
      <c r="J324" s="35" t="n"/>
      <c r="K324" s="34" t="n"/>
      <c r="L324" s="26">
        <f>IF(A324="","",MONTH(A324))</f>
        <v>7</v>
      </c>
      <c r="M324" s="26">
        <f>IF(A324="","",YEAR(A324))</f>
        <v>2026</v>
      </c>
      <c r="N324" s="26" t="str">
        <f>IF(A324="","",CHOOSE(WEEKDAY(A324,2),"Segunda","Terça","Quarta","Quinta","Sexta","Sábado","Domingo"))</f>
        <v>Quinta</v>
      </c>
      <c r="O324" s="26" t="str">
        <f>IF(B324="","",IF(B324&lt;TIME(12,0,0),"Manhã",IF(B324&lt;TIME(18,0,0),"Tarde","Noite")))</f>
        <v>Tarde</v>
      </c>
      <c r="P324" s="32">
        <f>IF(G324="","",IFERROR(INDEX(Config!$I$5:$I$16,MATCH(G324,Config!$H$5:$H$16,0)),0))</f>
        <v>0</v>
      </c>
      <c r="Q324" s="30">
        <f>IF(OR(H324&lt;&gt;"Realizado",P324="",P324=0),"",A324+P324)</f>
        <v/>
      </c>
      <c r="R324" s="26">
        <f>IF(Q324="","",IF(COUNTIFS($E$5:$E$3004,E324,$A$5:$A$3004,"&gt;"&amp;A324,$H$5:$H$3004,"&lt;&gt;Falta",$H$5:$H$3004,"&lt;&gt;Cancelado",$H$5:$H$3004,"&lt;&gt;Remarcado")&gt;0,"Sim","Não"))</f>
        <v/>
      </c>
      <c r="S324" s="32">
        <f>IF(R324&lt;&gt;"Não","",IF(Q324+Config!$B$9&lt;=Config!$B$8,Config!$B$8-Q324,""))</f>
        <v/>
      </c>
      <c r="T324" s="26">
        <f>IF(S324="","","Sim")</f>
        <v/>
      </c>
      <c r="U324" s="41">
        <f>IF(T324="Sim",S324+ROW()/100000,0)</f>
        <v>0</v>
      </c>
      <c r="V324" s="41">
        <f>IF(AND(H324="Falta",L324=Config!$B$7,M324=Config!$B$5,COUNTIFS($E$5:E324,E324,$H$5:H324,"Falta",$L$5:L324,Config!$B$7,$M$5:M324,Config!$B$5)=1),COUNTIFS($E$5:$E$3004,E324,$H$5:$H$3004,"Falta",$L$5:$L$3004,Config!$B$7,$M$5:$M$3004,Config!$B$5)*1000-ROW()/100000,0)</f>
        <v>0</v>
      </c>
    </row>
    <row r="325">
      <c r="A325" s="39" t="n">
        <v>46205</v>
      </c>
      <c r="B325" s="40" t="n">
        <v>0.6319444444444444</v>
      </c>
      <c r="C325" s="35" t="inlineStr">
        <is>
          <t>Dr. Paulo Andrade</t>
        </is>
      </c>
      <c r="D325" s="35" t="inlineStr">
        <is>
          <t>Sala 2</t>
        </is>
      </c>
      <c r="E325" s="34" t="inlineStr">
        <is>
          <t>Helena Ribeiro</t>
        </is>
      </c>
      <c r="F325" s="35" t="inlineStr">
        <is>
          <t>MediPlan</t>
        </is>
      </c>
      <c r="G325" s="35" t="inlineStr">
        <is>
          <t>Consulta</t>
        </is>
      </c>
      <c r="H325" s="35" t="inlineStr">
        <is>
          <t>Realizado</t>
        </is>
      </c>
      <c r="I325" s="35" t="inlineStr">
        <is>
          <t>Convênio</t>
        </is>
      </c>
      <c r="J325" s="35" t="n"/>
      <c r="K325" s="34" t="n"/>
      <c r="L325" s="26">
        <f>IF(A325="","",MONTH(A325))</f>
        <v>7</v>
      </c>
      <c r="M325" s="26">
        <f>IF(A325="","",YEAR(A325))</f>
        <v>2026</v>
      </c>
      <c r="N325" s="26" t="str">
        <f>IF(A325="","",CHOOSE(WEEKDAY(A325,2),"Segunda","Terça","Quarta","Quinta","Sexta","Sábado","Domingo"))</f>
        <v>Quinta</v>
      </c>
      <c r="O325" s="26" t="str">
        <f>IF(B325="","",IF(B325&lt;TIME(12,0,0),"Manhã",IF(B325&lt;TIME(18,0,0),"Tarde","Noite")))</f>
        <v>Tarde</v>
      </c>
      <c r="P325" s="32">
        <f>IF(G325="","",IFERROR(INDEX(Config!$I$5:$I$16,MATCH(G325,Config!$H$5:$H$16,0)),0))</f>
        <v>30</v>
      </c>
      <c r="Q325" s="30">
        <f>IF(OR(H325&lt;&gt;"Realizado",P325="",P325=0),"",A325+P325)</f>
        <v>46235.0</v>
      </c>
      <c r="R325" s="26" t="str">
        <f>IF(Q325="","",IF(COUNTIFS($E$5:$E$3004,E325,$A$5:$A$3004,"&gt;"&amp;A325,$H$5:$H$3004,"&lt;&gt;Falta",$H$5:$H$3004,"&lt;&gt;Cancelado",$H$5:$H$3004,"&lt;&gt;Remarcado")&gt;0,"Sim","Não"))</f>
        <v>Sim</v>
      </c>
      <c r="S325" s="32">
        <f>IF(R325&lt;&gt;"Não","",IF(Q325+Config!$B$9&lt;=Config!$B$8,Config!$B$8-Q325,""))</f>
        <v/>
      </c>
      <c r="T325" s="26">
        <f>IF(S325="","","Sim")</f>
        <v/>
      </c>
      <c r="U325" s="41">
        <f>IF(T325="Sim",S325+ROW()/100000,0)</f>
        <v>0</v>
      </c>
      <c r="V325" s="41">
        <f>IF(AND(H325="Falta",L325=Config!$B$7,M325=Config!$B$5,COUNTIFS($E$5:E325,E325,$H$5:H325,"Falta",$L$5:L325,Config!$B$7,$M$5:M325,Config!$B$5)=1),COUNTIFS($E$5:$E$3004,E325,$H$5:$H$3004,"Falta",$L$5:$L$3004,Config!$B$7,$M$5:$M$3004,Config!$B$5)*1000-ROW()/100000,0)</f>
        <v>0</v>
      </c>
    </row>
    <row r="326">
      <c r="A326" s="39" t="n">
        <v>46205</v>
      </c>
      <c r="B326" s="40" t="n">
        <v>0.6527777777777778</v>
      </c>
      <c r="C326" s="35" t="inlineStr">
        <is>
          <t>Dr. Paulo Andrade</t>
        </is>
      </c>
      <c r="D326" s="35" t="inlineStr">
        <is>
          <t>Sala 2</t>
        </is>
      </c>
      <c r="E326" s="34" t="inlineStr">
        <is>
          <t>Gabriel Oliveira</t>
        </is>
      </c>
      <c r="F326" s="35" t="inlineStr">
        <is>
          <t>Particular</t>
        </is>
      </c>
      <c r="G326" s="35" t="inlineStr">
        <is>
          <t>Retorno</t>
        </is>
      </c>
      <c r="H326" s="35" t="inlineStr">
        <is>
          <t>Realizado</t>
        </is>
      </c>
      <c r="I326" s="35" t="inlineStr">
        <is>
          <t>Sem cobrança</t>
        </is>
      </c>
      <c r="J326" s="35" t="n"/>
      <c r="K326" s="34" t="n"/>
      <c r="L326" s="26">
        <f>IF(A326="","",MONTH(A326))</f>
        <v>7</v>
      </c>
      <c r="M326" s="26">
        <f>IF(A326="","",YEAR(A326))</f>
        <v>2026</v>
      </c>
      <c r="N326" s="26" t="str">
        <f>IF(A326="","",CHOOSE(WEEKDAY(A326,2),"Segunda","Terça","Quarta","Quinta","Sexta","Sábado","Domingo"))</f>
        <v>Quinta</v>
      </c>
      <c r="O326" s="26" t="str">
        <f>IF(B326="","",IF(B326&lt;TIME(12,0,0),"Manhã",IF(B326&lt;TIME(18,0,0),"Tarde","Noite")))</f>
        <v>Tarde</v>
      </c>
      <c r="P326" s="32">
        <f>IF(G326="","",IFERROR(INDEX(Config!$I$5:$I$16,MATCH(G326,Config!$H$5:$H$16,0)),0))</f>
        <v>0</v>
      </c>
      <c r="Q326" s="30">
        <f>IF(OR(H326&lt;&gt;"Realizado",P326="",P326=0),"",A326+P326)</f>
        <v/>
      </c>
      <c r="R326" s="26">
        <f>IF(Q326="","",IF(COUNTIFS($E$5:$E$3004,E326,$A$5:$A$3004,"&gt;"&amp;A326,$H$5:$H$3004,"&lt;&gt;Falta",$H$5:$H$3004,"&lt;&gt;Cancelado",$H$5:$H$3004,"&lt;&gt;Remarcado")&gt;0,"Sim","Não"))</f>
        <v/>
      </c>
      <c r="S326" s="32">
        <f>IF(R326&lt;&gt;"Não","",IF(Q326+Config!$B$9&lt;=Config!$B$8,Config!$B$8-Q326,""))</f>
        <v/>
      </c>
      <c r="T326" s="26">
        <f>IF(S326="","","Sim")</f>
        <v/>
      </c>
      <c r="U326" s="41">
        <f>IF(T326="Sim",S326+ROW()/100000,0)</f>
        <v>0</v>
      </c>
      <c r="V326" s="41">
        <f>IF(AND(H326="Falta",L326=Config!$B$7,M326=Config!$B$5,COUNTIFS($E$5:E326,E326,$H$5:H326,"Falta",$L$5:L326,Config!$B$7,$M$5:M326,Config!$B$5)=1),COUNTIFS($E$5:$E$3004,E326,$H$5:$H$3004,"Falta",$L$5:$L$3004,Config!$B$7,$M$5:$M$3004,Config!$B$5)*1000-ROW()/100000,0)</f>
        <v>0</v>
      </c>
    </row>
    <row r="327">
      <c r="A327" s="39" t="n">
        <v>46205</v>
      </c>
      <c r="B327" s="40" t="n">
        <v>0.6666666666666666</v>
      </c>
      <c r="C327" s="35" t="inlineStr">
        <is>
          <t>Dra. Renata Sousa</t>
        </is>
      </c>
      <c r="D327" s="35" t="inlineStr">
        <is>
          <t>Sala 1</t>
        </is>
      </c>
      <c r="E327" s="34" t="inlineStr">
        <is>
          <t>Camila Dias</t>
        </is>
      </c>
      <c r="F327" s="35" t="inlineStr">
        <is>
          <t>Particular</t>
        </is>
      </c>
      <c r="G327" s="35" t="inlineStr">
        <is>
          <t>Retorno</t>
        </is>
      </c>
      <c r="H327" s="35" t="inlineStr">
        <is>
          <t>Realizado</t>
        </is>
      </c>
      <c r="I327" s="35" t="inlineStr">
        <is>
          <t>Sem cobrança</t>
        </is>
      </c>
      <c r="J327" s="35" t="n"/>
      <c r="K327" s="34" t="n"/>
      <c r="L327" s="26">
        <f>IF(A327="","",MONTH(A327))</f>
        <v>7</v>
      </c>
      <c r="M327" s="26">
        <f>IF(A327="","",YEAR(A327))</f>
        <v>2026</v>
      </c>
      <c r="N327" s="26" t="str">
        <f>IF(A327="","",CHOOSE(WEEKDAY(A327,2),"Segunda","Terça","Quarta","Quinta","Sexta","Sábado","Domingo"))</f>
        <v>Quinta</v>
      </c>
      <c r="O327" s="26" t="str">
        <f>IF(B327="","",IF(B327&lt;TIME(12,0,0),"Manhã",IF(B327&lt;TIME(18,0,0),"Tarde","Noite")))</f>
        <v>Tarde</v>
      </c>
      <c r="P327" s="32">
        <f>IF(G327="","",IFERROR(INDEX(Config!$I$5:$I$16,MATCH(G327,Config!$H$5:$H$16,0)),0))</f>
        <v>0</v>
      </c>
      <c r="Q327" s="30">
        <f>IF(OR(H327&lt;&gt;"Realizado",P327="",P327=0),"",A327+P327)</f>
        <v/>
      </c>
      <c r="R327" s="26">
        <f>IF(Q327="","",IF(COUNTIFS($E$5:$E$3004,E327,$A$5:$A$3004,"&gt;"&amp;A327,$H$5:$H$3004,"&lt;&gt;Falta",$H$5:$H$3004,"&lt;&gt;Cancelado",$H$5:$H$3004,"&lt;&gt;Remarcado")&gt;0,"Sim","Não"))</f>
        <v/>
      </c>
      <c r="S327" s="32">
        <f>IF(R327&lt;&gt;"Não","",IF(Q327+Config!$B$9&lt;=Config!$B$8,Config!$B$8-Q327,""))</f>
        <v/>
      </c>
      <c r="T327" s="26">
        <f>IF(S327="","","Sim")</f>
        <v/>
      </c>
      <c r="U327" s="41">
        <f>IF(T327="Sim",S327+ROW()/100000,0)</f>
        <v>0</v>
      </c>
      <c r="V327" s="41">
        <f>IF(AND(H327="Falta",L327=Config!$B$7,M327=Config!$B$5,COUNTIFS($E$5:E327,E327,$H$5:H327,"Falta",$L$5:L327,Config!$B$7,$M$5:M327,Config!$B$5)=1),COUNTIFS($E$5:$E$3004,E327,$H$5:$H$3004,"Falta",$L$5:$L$3004,Config!$B$7,$M$5:$M$3004,Config!$B$5)*1000-ROW()/100000,0)</f>
        <v>0</v>
      </c>
    </row>
    <row r="328">
      <c r="A328" s="39" t="n">
        <v>46205</v>
      </c>
      <c r="B328" s="40" t="n">
        <v>0.6666666666666666</v>
      </c>
      <c r="C328" s="35" t="inlineStr">
        <is>
          <t>Dr. Paulo Andrade</t>
        </is>
      </c>
      <c r="D328" s="35" t="inlineStr">
        <is>
          <t>Sala 2</t>
        </is>
      </c>
      <c r="E328" s="34" t="inlineStr">
        <is>
          <t>Eduardo Nunes</t>
        </is>
      </c>
      <c r="F328" s="35" t="inlineStr">
        <is>
          <t>MediPlan</t>
        </is>
      </c>
      <c r="G328" s="35" t="inlineStr">
        <is>
          <t>ECG</t>
        </is>
      </c>
      <c r="H328" s="35" t="inlineStr">
        <is>
          <t>Realizado</t>
        </is>
      </c>
      <c r="I328" s="35" t="inlineStr">
        <is>
          <t>Convênio</t>
        </is>
      </c>
      <c r="J328" s="35" t="n"/>
      <c r="K328" s="34" t="n"/>
      <c r="L328" s="26">
        <f>IF(A328="","",MONTH(A328))</f>
        <v>7</v>
      </c>
      <c r="M328" s="26">
        <f>IF(A328="","",YEAR(A328))</f>
        <v>2026</v>
      </c>
      <c r="N328" s="26" t="str">
        <f>IF(A328="","",CHOOSE(WEEKDAY(A328,2),"Segunda","Terça","Quarta","Quinta","Sexta","Sábado","Domingo"))</f>
        <v>Quinta</v>
      </c>
      <c r="O328" s="26" t="str">
        <f>IF(B328="","",IF(B328&lt;TIME(12,0,0),"Manhã",IF(B328&lt;TIME(18,0,0),"Tarde","Noite")))</f>
        <v>Tarde</v>
      </c>
      <c r="P328" s="32">
        <f>IF(G328="","",IFERROR(INDEX(Config!$I$5:$I$16,MATCH(G328,Config!$H$5:$H$16,0)),0))</f>
        <v>0</v>
      </c>
      <c r="Q328" s="30">
        <f>IF(OR(H328&lt;&gt;"Realizado",P328="",P328=0),"",A328+P328)</f>
        <v/>
      </c>
      <c r="R328" s="26">
        <f>IF(Q328="","",IF(COUNTIFS($E$5:$E$3004,E328,$A$5:$A$3004,"&gt;"&amp;A328,$H$5:$H$3004,"&lt;&gt;Falta",$H$5:$H$3004,"&lt;&gt;Cancelado",$H$5:$H$3004,"&lt;&gt;Remarcado")&gt;0,"Sim","Não"))</f>
        <v/>
      </c>
      <c r="S328" s="32">
        <f>IF(R328&lt;&gt;"Não","",IF(Q328+Config!$B$9&lt;=Config!$B$8,Config!$B$8-Q328,""))</f>
        <v/>
      </c>
      <c r="T328" s="26">
        <f>IF(S328="","","Sim")</f>
        <v/>
      </c>
      <c r="U328" s="41">
        <f>IF(T328="Sim",S328+ROW()/100000,0)</f>
        <v>0</v>
      </c>
      <c r="V328" s="41">
        <f>IF(AND(H328="Falta",L328=Config!$B$7,M328=Config!$B$5,COUNTIFS($E$5:E328,E328,$H$5:H328,"Falta",$L$5:L328,Config!$B$7,$M$5:M328,Config!$B$5)=1),COUNTIFS($E$5:$E$3004,E328,$H$5:$H$3004,"Falta",$L$5:$L$3004,Config!$B$7,$M$5:$M$3004,Config!$B$5)*1000-ROW()/100000,0)</f>
        <v>0</v>
      </c>
    </row>
    <row r="329">
      <c r="A329" s="39" t="n">
        <v>46205</v>
      </c>
      <c r="B329" s="40" t="n">
        <v>0.6805555555555556</v>
      </c>
      <c r="C329" s="35" t="inlineStr">
        <is>
          <t>Dra. Renata Sousa</t>
        </is>
      </c>
      <c r="D329" s="35" t="inlineStr">
        <is>
          <t>Sala 1</t>
        </is>
      </c>
      <c r="E329" s="34" t="inlineStr">
        <is>
          <t>Cláudia Melo</t>
        </is>
      </c>
      <c r="F329" s="35" t="inlineStr">
        <is>
          <t>Particular</t>
        </is>
      </c>
      <c r="G329" s="35" t="inlineStr">
        <is>
          <t>Retorno</t>
        </is>
      </c>
      <c r="H329" s="35" t="inlineStr">
        <is>
          <t>Realizado</t>
        </is>
      </c>
      <c r="I329" s="35" t="inlineStr">
        <is>
          <t>Sem cobrança</t>
        </is>
      </c>
      <c r="J329" s="35" t="n"/>
      <c r="K329" s="34" t="n"/>
      <c r="L329" s="26">
        <f>IF(A329="","",MONTH(A329))</f>
        <v>7</v>
      </c>
      <c r="M329" s="26">
        <f>IF(A329="","",YEAR(A329))</f>
        <v>2026</v>
      </c>
      <c r="N329" s="26" t="str">
        <f>IF(A329="","",CHOOSE(WEEKDAY(A329,2),"Segunda","Terça","Quarta","Quinta","Sexta","Sábado","Domingo"))</f>
        <v>Quinta</v>
      </c>
      <c r="O329" s="26" t="str">
        <f>IF(B329="","",IF(B329&lt;TIME(12,0,0),"Manhã",IF(B329&lt;TIME(18,0,0),"Tarde","Noite")))</f>
        <v>Tarde</v>
      </c>
      <c r="P329" s="32">
        <f>IF(G329="","",IFERROR(INDEX(Config!$I$5:$I$16,MATCH(G329,Config!$H$5:$H$16,0)),0))</f>
        <v>0</v>
      </c>
      <c r="Q329" s="30">
        <f>IF(OR(H329&lt;&gt;"Realizado",P329="",P329=0),"",A329+P329)</f>
        <v/>
      </c>
      <c r="R329" s="26">
        <f>IF(Q329="","",IF(COUNTIFS($E$5:$E$3004,E329,$A$5:$A$3004,"&gt;"&amp;A329,$H$5:$H$3004,"&lt;&gt;Falta",$H$5:$H$3004,"&lt;&gt;Cancelado",$H$5:$H$3004,"&lt;&gt;Remarcado")&gt;0,"Sim","Não"))</f>
        <v/>
      </c>
      <c r="S329" s="32">
        <f>IF(R329&lt;&gt;"Não","",IF(Q329+Config!$B$9&lt;=Config!$B$8,Config!$B$8-Q329,""))</f>
        <v/>
      </c>
      <c r="T329" s="26">
        <f>IF(S329="","","Sim")</f>
        <v/>
      </c>
      <c r="U329" s="41">
        <f>IF(T329="Sim",S329+ROW()/100000,0)</f>
        <v>0</v>
      </c>
      <c r="V329" s="41">
        <f>IF(AND(H329="Falta",L329=Config!$B$7,M329=Config!$B$5,COUNTIFS($E$5:E329,E329,$H$5:H329,"Falta",$L$5:L329,Config!$B$7,$M$5:M329,Config!$B$5)=1),COUNTIFS($E$5:$E$3004,E329,$H$5:$H$3004,"Falta",$L$5:$L$3004,Config!$B$7,$M$5:$M$3004,Config!$B$5)*1000-ROW()/100000,0)</f>
        <v>0</v>
      </c>
    </row>
    <row r="330">
      <c r="A330" s="39" t="n">
        <v>46205</v>
      </c>
      <c r="B330" s="40" t="n">
        <v>0.6805555555555556</v>
      </c>
      <c r="C330" s="35" t="inlineStr">
        <is>
          <t>Dr. Paulo Andrade</t>
        </is>
      </c>
      <c r="D330" s="35" t="inlineStr">
        <is>
          <t>Sala 2</t>
        </is>
      </c>
      <c r="E330" s="34" t="inlineStr">
        <is>
          <t>Patrícia Vieira</t>
        </is>
      </c>
      <c r="F330" s="35" t="inlineStr">
        <is>
          <t>Saúde Total</t>
        </is>
      </c>
      <c r="G330" s="35" t="inlineStr">
        <is>
          <t>Consulta</t>
        </is>
      </c>
      <c r="H330" s="35" t="inlineStr">
        <is>
          <t>Realizado</t>
        </is>
      </c>
      <c r="I330" s="35" t="inlineStr">
        <is>
          <t>Convênio</t>
        </is>
      </c>
      <c r="J330" s="35" t="n"/>
      <c r="K330" s="34" t="n"/>
      <c r="L330" s="26">
        <f>IF(A330="","",MONTH(A330))</f>
        <v>7</v>
      </c>
      <c r="M330" s="26">
        <f>IF(A330="","",YEAR(A330))</f>
        <v>2026</v>
      </c>
      <c r="N330" s="26" t="str">
        <f>IF(A330="","",CHOOSE(WEEKDAY(A330,2),"Segunda","Terça","Quarta","Quinta","Sexta","Sábado","Domingo"))</f>
        <v>Quinta</v>
      </c>
      <c r="O330" s="26" t="str">
        <f>IF(B330="","",IF(B330&lt;TIME(12,0,0),"Manhã",IF(B330&lt;TIME(18,0,0),"Tarde","Noite")))</f>
        <v>Tarde</v>
      </c>
      <c r="P330" s="32">
        <f>IF(G330="","",IFERROR(INDEX(Config!$I$5:$I$16,MATCH(G330,Config!$H$5:$H$16,0)),0))</f>
        <v>30</v>
      </c>
      <c r="Q330" s="30">
        <f>IF(OR(H330&lt;&gt;"Realizado",P330="",P330=0),"",A330+P330)</f>
        <v>46235.0</v>
      </c>
      <c r="R330" s="26" t="str">
        <f>IF(Q330="","",IF(COUNTIFS($E$5:$E$3004,E330,$A$5:$A$3004,"&gt;"&amp;A330,$H$5:$H$3004,"&lt;&gt;Falta",$H$5:$H$3004,"&lt;&gt;Cancelado",$H$5:$H$3004,"&lt;&gt;Remarcado")&gt;0,"Sim","Não"))</f>
        <v>Sim</v>
      </c>
      <c r="S330" s="32">
        <f>IF(R330&lt;&gt;"Não","",IF(Q330+Config!$B$9&lt;=Config!$B$8,Config!$B$8-Q330,""))</f>
        <v/>
      </c>
      <c r="T330" s="26">
        <f>IF(S330="","","Sim")</f>
        <v/>
      </c>
      <c r="U330" s="41">
        <f>IF(T330="Sim",S330+ROW()/100000,0)</f>
        <v>0</v>
      </c>
      <c r="V330" s="41">
        <f>IF(AND(H330="Falta",L330=Config!$B$7,M330=Config!$B$5,COUNTIFS($E$5:E330,E330,$H$5:H330,"Falta",$L$5:L330,Config!$B$7,$M$5:M330,Config!$B$5)=1),COUNTIFS($E$5:$E$3004,E330,$H$5:$H$3004,"Falta",$L$5:$L$3004,Config!$B$7,$M$5:$M$3004,Config!$B$5)*1000-ROW()/100000,0)</f>
        <v>0</v>
      </c>
    </row>
    <row r="331">
      <c r="A331" s="39" t="n">
        <v>46205</v>
      </c>
      <c r="B331" s="40" t="n">
        <v>0.6944444444444444</v>
      </c>
      <c r="C331" s="35" t="inlineStr">
        <is>
          <t>Dra. Renata Sousa</t>
        </is>
      </c>
      <c r="D331" s="35" t="inlineStr">
        <is>
          <t>Sala 1</t>
        </is>
      </c>
      <c r="E331" s="34" t="inlineStr">
        <is>
          <t>Beatriz Monteiro</t>
        </is>
      </c>
      <c r="F331" s="35" t="inlineStr">
        <is>
          <t>Particular</t>
        </is>
      </c>
      <c r="G331" s="35" t="inlineStr">
        <is>
          <t>Avaliação endócrina</t>
        </is>
      </c>
      <c r="H331" s="35" t="inlineStr">
        <is>
          <t>Realizado</t>
        </is>
      </c>
      <c r="I331" s="35" t="inlineStr">
        <is>
          <t>Cartão de crédito</t>
        </is>
      </c>
      <c r="J331" s="35" t="n">
        <v>2</v>
      </c>
      <c r="K331" s="34" t="n"/>
      <c r="L331" s="26">
        <f>IF(A331="","",MONTH(A331))</f>
        <v>7</v>
      </c>
      <c r="M331" s="26">
        <f>IF(A331="","",YEAR(A331))</f>
        <v>2026</v>
      </c>
      <c r="N331" s="26" t="str">
        <f>IF(A331="","",CHOOSE(WEEKDAY(A331,2),"Segunda","Terça","Quarta","Quinta","Sexta","Sábado","Domingo"))</f>
        <v>Quinta</v>
      </c>
      <c r="O331" s="26" t="str">
        <f>IF(B331="","",IF(B331&lt;TIME(12,0,0),"Manhã",IF(B331&lt;TIME(18,0,0),"Tarde","Noite")))</f>
        <v>Tarde</v>
      </c>
      <c r="P331" s="32">
        <f>IF(G331="","",IFERROR(INDEX(Config!$I$5:$I$16,MATCH(G331,Config!$H$5:$H$16,0)),0))</f>
        <v>45</v>
      </c>
      <c r="Q331" s="30">
        <f>IF(OR(H331&lt;&gt;"Realizado",P331="",P331=0),"",A331+P331)</f>
        <v>46250.0</v>
      </c>
      <c r="R331" s="26" t="str">
        <f>IF(Q331="","",IF(COUNTIFS($E$5:$E$3004,E331,$A$5:$A$3004,"&gt;"&amp;A331,$H$5:$H$3004,"&lt;&gt;Falta",$H$5:$H$3004,"&lt;&gt;Cancelado",$H$5:$H$3004,"&lt;&gt;Remarcado")&gt;0,"Sim","Não"))</f>
        <v>Sim</v>
      </c>
      <c r="S331" s="32">
        <f>IF(R331&lt;&gt;"Não","",IF(Q331+Config!$B$9&lt;=Config!$B$8,Config!$B$8-Q331,""))</f>
        <v/>
      </c>
      <c r="T331" s="26">
        <f>IF(S331="","","Sim")</f>
        <v/>
      </c>
      <c r="U331" s="41">
        <f>IF(T331="Sim",S331+ROW()/100000,0)</f>
        <v>0</v>
      </c>
      <c r="V331" s="41">
        <f>IF(AND(H331="Falta",L331=Config!$B$7,M331=Config!$B$5,COUNTIFS($E$5:E331,E331,$H$5:H331,"Falta",$L$5:L331,Config!$B$7,$M$5:M331,Config!$B$5)=1),COUNTIFS($E$5:$E$3004,E331,$H$5:$H$3004,"Falta",$L$5:$L$3004,Config!$B$7,$M$5:$M$3004,Config!$B$5)*1000-ROW()/100000,0)</f>
        <v>0</v>
      </c>
    </row>
    <row r="332">
      <c r="A332" s="39" t="n">
        <v>46205</v>
      </c>
      <c r="B332" s="40" t="n">
        <v>0.7222222222222222</v>
      </c>
      <c r="C332" s="35" t="inlineStr">
        <is>
          <t>Dra. Renata Sousa</t>
        </is>
      </c>
      <c r="D332" s="35" t="inlineStr">
        <is>
          <t>Sala 1</t>
        </is>
      </c>
      <c r="E332" s="34" t="inlineStr">
        <is>
          <t>Daniel Moreira</t>
        </is>
      </c>
      <c r="F332" s="35" t="inlineStr">
        <is>
          <t>Saúde Total</t>
        </is>
      </c>
      <c r="G332" s="35" t="inlineStr">
        <is>
          <t>Avaliação endócrina</t>
        </is>
      </c>
      <c r="H332" s="35" t="inlineStr">
        <is>
          <t>Realizado</t>
        </is>
      </c>
      <c r="I332" s="35" t="inlineStr">
        <is>
          <t>Convênio</t>
        </is>
      </c>
      <c r="J332" s="35" t="n"/>
      <c r="K332" s="34" t="n"/>
      <c r="L332" s="26">
        <f>IF(A332="","",MONTH(A332))</f>
        <v>7</v>
      </c>
      <c r="M332" s="26">
        <f>IF(A332="","",YEAR(A332))</f>
        <v>2026</v>
      </c>
      <c r="N332" s="26" t="str">
        <f>IF(A332="","",CHOOSE(WEEKDAY(A332,2),"Segunda","Terça","Quarta","Quinta","Sexta","Sábado","Domingo"))</f>
        <v>Quinta</v>
      </c>
      <c r="O332" s="26" t="str">
        <f>IF(B332="","",IF(B332&lt;TIME(12,0,0),"Manhã",IF(B332&lt;TIME(18,0,0),"Tarde","Noite")))</f>
        <v>Tarde</v>
      </c>
      <c r="P332" s="32">
        <f>IF(G332="","",IFERROR(INDEX(Config!$I$5:$I$16,MATCH(G332,Config!$H$5:$H$16,0)),0))</f>
        <v>45</v>
      </c>
      <c r="Q332" s="30">
        <f>IF(OR(H332&lt;&gt;"Realizado",P332="",P332=0),"",A332+P332)</f>
        <v>46250.0</v>
      </c>
      <c r="R332" s="26" t="str">
        <f>IF(Q332="","",IF(COUNTIFS($E$5:$E$3004,E332,$A$5:$A$3004,"&gt;"&amp;A332,$H$5:$H$3004,"&lt;&gt;Falta",$H$5:$H$3004,"&lt;&gt;Cancelado",$H$5:$H$3004,"&lt;&gt;Remarcado")&gt;0,"Sim","Não"))</f>
        <v>Sim</v>
      </c>
      <c r="S332" s="32">
        <f>IF(R332&lt;&gt;"Não","",IF(Q332+Config!$B$9&lt;=Config!$B$8,Config!$B$8-Q332,""))</f>
        <v/>
      </c>
      <c r="T332" s="26">
        <f>IF(S332="","","Sim")</f>
        <v/>
      </c>
      <c r="U332" s="41">
        <f>IF(T332="Sim",S332+ROW()/100000,0)</f>
        <v>0</v>
      </c>
      <c r="V332" s="41">
        <f>IF(AND(H332="Falta",L332=Config!$B$7,M332=Config!$B$5,COUNTIFS($E$5:E332,E332,$H$5:H332,"Falta",$L$5:L332,Config!$B$7,$M$5:M332,Config!$B$5)=1),COUNTIFS($E$5:$E$3004,E332,$H$5:$H$3004,"Falta",$L$5:$L$3004,Config!$B$7,$M$5:$M$3004,Config!$B$5)*1000-ROW()/100000,0)</f>
        <v>0</v>
      </c>
    </row>
    <row r="333">
      <c r="A333" s="39" t="n">
        <v>46206</v>
      </c>
      <c r="B333" s="40" t="n">
        <v>0.3333333333333333</v>
      </c>
      <c r="C333" s="35" t="inlineStr">
        <is>
          <t>Dr. Paulo Andrade</t>
        </is>
      </c>
      <c r="D333" s="35" t="inlineStr">
        <is>
          <t>Sala 2</t>
        </is>
      </c>
      <c r="E333" s="34" t="inlineStr">
        <is>
          <t>Renato Dias</t>
        </is>
      </c>
      <c r="F333" s="35" t="inlineStr">
        <is>
          <t>Particular</t>
        </is>
      </c>
      <c r="G333" s="35" t="inlineStr">
        <is>
          <t>ECG</t>
        </is>
      </c>
      <c r="H333" s="35" t="inlineStr">
        <is>
          <t>Realizado</t>
        </is>
      </c>
      <c r="I333" s="35" t="inlineStr">
        <is>
          <t>Pix</t>
        </is>
      </c>
      <c r="J333" s="35" t="n"/>
      <c r="K333" s="34" t="n"/>
      <c r="L333" s="26">
        <f>IF(A333="","",MONTH(A333))</f>
        <v>7</v>
      </c>
      <c r="M333" s="26">
        <f>IF(A333="","",YEAR(A333))</f>
        <v>2026</v>
      </c>
      <c r="N333" s="26" t="str">
        <f>IF(A333="","",CHOOSE(WEEKDAY(A333,2),"Segunda","Terça","Quarta","Quinta","Sexta","Sábado","Domingo"))</f>
        <v>Sexta</v>
      </c>
      <c r="O333" s="26" t="str">
        <f>IF(B333="","",IF(B333&lt;TIME(12,0,0),"Manhã",IF(B333&lt;TIME(18,0,0),"Tarde","Noite")))</f>
        <v>Manhã</v>
      </c>
      <c r="P333" s="32">
        <f>IF(G333="","",IFERROR(INDEX(Config!$I$5:$I$16,MATCH(G333,Config!$H$5:$H$16,0)),0))</f>
        <v>0</v>
      </c>
      <c r="Q333" s="30">
        <f>IF(OR(H333&lt;&gt;"Realizado",P333="",P333=0),"",A333+P333)</f>
        <v/>
      </c>
      <c r="R333" s="26">
        <f>IF(Q333="","",IF(COUNTIFS($E$5:$E$3004,E333,$A$5:$A$3004,"&gt;"&amp;A333,$H$5:$H$3004,"&lt;&gt;Falta",$H$5:$H$3004,"&lt;&gt;Cancelado",$H$5:$H$3004,"&lt;&gt;Remarcado")&gt;0,"Sim","Não"))</f>
        <v/>
      </c>
      <c r="S333" s="32">
        <f>IF(R333&lt;&gt;"Não","",IF(Q333+Config!$B$9&lt;=Config!$B$8,Config!$B$8-Q333,""))</f>
        <v/>
      </c>
      <c r="T333" s="26">
        <f>IF(S333="","","Sim")</f>
        <v/>
      </c>
      <c r="U333" s="41">
        <f>IF(T333="Sim",S333+ROW()/100000,0)</f>
        <v>0</v>
      </c>
      <c r="V333" s="41">
        <f>IF(AND(H333="Falta",L333=Config!$B$7,M333=Config!$B$5,COUNTIFS($E$5:E333,E333,$H$5:H333,"Falta",$L$5:L333,Config!$B$7,$M$5:M333,Config!$B$5)=1),COUNTIFS($E$5:$E$3004,E333,$H$5:$H$3004,"Falta",$L$5:$L$3004,Config!$B$7,$M$5:$M$3004,Config!$B$5)*1000-ROW()/100000,0)</f>
        <v>0</v>
      </c>
    </row>
    <row r="334">
      <c r="A334" s="39" t="n">
        <v>46206</v>
      </c>
      <c r="B334" s="40" t="n">
        <v>0.3472222222222222</v>
      </c>
      <c r="C334" s="35" t="inlineStr">
        <is>
          <t>Dr. Paulo Andrade</t>
        </is>
      </c>
      <c r="D334" s="35" t="inlineStr">
        <is>
          <t>Sala 2</t>
        </is>
      </c>
      <c r="E334" s="34" t="inlineStr">
        <is>
          <t>Wagner Costa</t>
        </is>
      </c>
      <c r="F334" s="35" t="inlineStr">
        <is>
          <t>Particular</t>
        </is>
      </c>
      <c r="G334" s="35" t="inlineStr">
        <is>
          <t>Consulta</t>
        </is>
      </c>
      <c r="H334" s="35" t="inlineStr">
        <is>
          <t>Realizado</t>
        </is>
      </c>
      <c r="I334" s="35" t="inlineStr">
        <is>
          <t>Pix</t>
        </is>
      </c>
      <c r="J334" s="35" t="n"/>
      <c r="K334" s="34" t="n"/>
      <c r="L334" s="26">
        <f>IF(A334="","",MONTH(A334))</f>
        <v>7</v>
      </c>
      <c r="M334" s="26">
        <f>IF(A334="","",YEAR(A334))</f>
        <v>2026</v>
      </c>
      <c r="N334" s="26" t="str">
        <f>IF(A334="","",CHOOSE(WEEKDAY(A334,2),"Segunda","Terça","Quarta","Quinta","Sexta","Sábado","Domingo"))</f>
        <v>Sexta</v>
      </c>
      <c r="O334" s="26" t="str">
        <f>IF(B334="","",IF(B334&lt;TIME(12,0,0),"Manhã",IF(B334&lt;TIME(18,0,0),"Tarde","Noite")))</f>
        <v>Manhã</v>
      </c>
      <c r="P334" s="32">
        <f>IF(G334="","",IFERROR(INDEX(Config!$I$5:$I$16,MATCH(G334,Config!$H$5:$H$16,0)),0))</f>
        <v>30</v>
      </c>
      <c r="Q334" s="30">
        <f>IF(OR(H334&lt;&gt;"Realizado",P334="",P334=0),"",A334+P334)</f>
        <v>46236.0</v>
      </c>
      <c r="R334" s="26" t="str">
        <f>IF(Q334="","",IF(COUNTIFS($E$5:$E$3004,E334,$A$5:$A$3004,"&gt;"&amp;A334,$H$5:$H$3004,"&lt;&gt;Falta",$H$5:$H$3004,"&lt;&gt;Cancelado",$H$5:$H$3004,"&lt;&gt;Remarcado")&gt;0,"Sim","Não"))</f>
        <v>Sim</v>
      </c>
      <c r="S334" s="32">
        <f>IF(R334&lt;&gt;"Não","",IF(Q334+Config!$B$9&lt;=Config!$B$8,Config!$B$8-Q334,""))</f>
        <v/>
      </c>
      <c r="T334" s="26">
        <f>IF(S334="","","Sim")</f>
        <v/>
      </c>
      <c r="U334" s="41">
        <f>IF(T334="Sim",S334+ROW()/100000,0)</f>
        <v>0</v>
      </c>
      <c r="V334" s="41">
        <f>IF(AND(H334="Falta",L334=Config!$B$7,M334=Config!$B$5,COUNTIFS($E$5:E334,E334,$H$5:H334,"Falta",$L$5:L334,Config!$B$7,$M$5:M334,Config!$B$5)=1),COUNTIFS($E$5:$E$3004,E334,$H$5:$H$3004,"Falta",$L$5:$L$3004,Config!$B$7,$M$5:$M$3004,Config!$B$5)*1000-ROW()/100000,0)</f>
        <v>0</v>
      </c>
    </row>
    <row r="335">
      <c r="A335" s="39" t="n">
        <v>46206</v>
      </c>
      <c r="B335" s="40" t="n">
        <v>0.4097222222222222</v>
      </c>
      <c r="C335" s="35" t="inlineStr">
        <is>
          <t>Dr. Paulo Andrade</t>
        </is>
      </c>
      <c r="D335" s="35" t="inlineStr">
        <is>
          <t>Sala 2</t>
        </is>
      </c>
      <c r="E335" s="34" t="inlineStr">
        <is>
          <t>Fábio Martins</t>
        </is>
      </c>
      <c r="F335" s="35" t="inlineStr">
        <is>
          <t>MediPlan</t>
        </is>
      </c>
      <c r="G335" s="35" t="inlineStr">
        <is>
          <t>Consulta</t>
        </is>
      </c>
      <c r="H335" s="35" t="inlineStr">
        <is>
          <t>Realizado</t>
        </is>
      </c>
      <c r="I335" s="35" t="inlineStr">
        <is>
          <t>Convênio</t>
        </is>
      </c>
      <c r="J335" s="35" t="n"/>
      <c r="K335" s="34" t="n"/>
      <c r="L335" s="26">
        <f>IF(A335="","",MONTH(A335))</f>
        <v>7</v>
      </c>
      <c r="M335" s="26">
        <f>IF(A335="","",YEAR(A335))</f>
        <v>2026</v>
      </c>
      <c r="N335" s="26" t="str">
        <f>IF(A335="","",CHOOSE(WEEKDAY(A335,2),"Segunda","Terça","Quarta","Quinta","Sexta","Sábado","Domingo"))</f>
        <v>Sexta</v>
      </c>
      <c r="O335" s="26" t="str">
        <f>IF(B335="","",IF(B335&lt;TIME(12,0,0),"Manhã",IF(B335&lt;TIME(18,0,0),"Tarde","Noite")))</f>
        <v>Manhã</v>
      </c>
      <c r="P335" s="32">
        <f>IF(G335="","",IFERROR(INDEX(Config!$I$5:$I$16,MATCH(G335,Config!$H$5:$H$16,0)),0))</f>
        <v>30</v>
      </c>
      <c r="Q335" s="30">
        <f>IF(OR(H335&lt;&gt;"Realizado",P335="",P335=0),"",A335+P335)</f>
        <v>46236.0</v>
      </c>
      <c r="R335" s="26" t="str">
        <f>IF(Q335="","",IF(COUNTIFS($E$5:$E$3004,E335,$A$5:$A$3004,"&gt;"&amp;A335,$H$5:$H$3004,"&lt;&gt;Falta",$H$5:$H$3004,"&lt;&gt;Cancelado",$H$5:$H$3004,"&lt;&gt;Remarcado")&gt;0,"Sim","Não"))</f>
        <v>Sim</v>
      </c>
      <c r="S335" s="32">
        <f>IF(R335&lt;&gt;"Não","",IF(Q335+Config!$B$9&lt;=Config!$B$8,Config!$B$8-Q335,""))</f>
        <v/>
      </c>
      <c r="T335" s="26">
        <f>IF(S335="","","Sim")</f>
        <v/>
      </c>
      <c r="U335" s="41">
        <f>IF(T335="Sim",S335+ROW()/100000,0)</f>
        <v>0</v>
      </c>
      <c r="V335" s="41">
        <f>IF(AND(H335="Falta",L335=Config!$B$7,M335=Config!$B$5,COUNTIFS($E$5:E335,E335,$H$5:H335,"Falta",$L$5:L335,Config!$B$7,$M$5:M335,Config!$B$5)=1),COUNTIFS($E$5:$E$3004,E335,$H$5:$H$3004,"Falta",$L$5:$L$3004,Config!$B$7,$M$5:$M$3004,Config!$B$5)*1000-ROW()/100000,0)</f>
        <v>0</v>
      </c>
    </row>
    <row r="336">
      <c r="A336" s="39" t="n">
        <v>46206</v>
      </c>
      <c r="B336" s="40" t="n">
        <v>0.4305555555555556</v>
      </c>
      <c r="C336" s="35" t="inlineStr">
        <is>
          <t>Dr. Paulo Andrade</t>
        </is>
      </c>
      <c r="D336" s="35" t="inlineStr">
        <is>
          <t>Sala 2</t>
        </is>
      </c>
      <c r="E336" s="34" t="inlineStr">
        <is>
          <t>Rafael Araújo</t>
        </is>
      </c>
      <c r="F336" s="35" t="inlineStr">
        <is>
          <t>MediPlan</t>
        </is>
      </c>
      <c r="G336" s="35" t="inlineStr">
        <is>
          <t>Consulta</t>
        </is>
      </c>
      <c r="H336" s="35" t="inlineStr">
        <is>
          <t>Realizado</t>
        </is>
      </c>
      <c r="I336" s="35" t="inlineStr">
        <is>
          <t>Convênio</t>
        </is>
      </c>
      <c r="J336" s="35" t="n"/>
      <c r="K336" s="34" t="n"/>
      <c r="L336" s="26">
        <f>IF(A336="","",MONTH(A336))</f>
        <v>7</v>
      </c>
      <c r="M336" s="26">
        <f>IF(A336="","",YEAR(A336))</f>
        <v>2026</v>
      </c>
      <c r="N336" s="26" t="str">
        <f>IF(A336="","",CHOOSE(WEEKDAY(A336,2),"Segunda","Terça","Quarta","Quinta","Sexta","Sábado","Domingo"))</f>
        <v>Sexta</v>
      </c>
      <c r="O336" s="26" t="str">
        <f>IF(B336="","",IF(B336&lt;TIME(12,0,0),"Manhã",IF(B336&lt;TIME(18,0,0),"Tarde","Noite")))</f>
        <v>Manhã</v>
      </c>
      <c r="P336" s="32">
        <f>IF(G336="","",IFERROR(INDEX(Config!$I$5:$I$16,MATCH(G336,Config!$H$5:$H$16,0)),0))</f>
        <v>30</v>
      </c>
      <c r="Q336" s="30">
        <f>IF(OR(H336&lt;&gt;"Realizado",P336="",P336=0),"",A336+P336)</f>
        <v>46236.0</v>
      </c>
      <c r="R336" s="26" t="str">
        <f>IF(Q336="","",IF(COUNTIFS($E$5:$E$3004,E336,$A$5:$A$3004,"&gt;"&amp;A336,$H$5:$H$3004,"&lt;&gt;Falta",$H$5:$H$3004,"&lt;&gt;Cancelado",$H$5:$H$3004,"&lt;&gt;Remarcado")&gt;0,"Sim","Não"))</f>
        <v>Sim</v>
      </c>
      <c r="S336" s="32">
        <f>IF(R336&lt;&gt;"Não","",IF(Q336+Config!$B$9&lt;=Config!$B$8,Config!$B$8-Q336,""))</f>
        <v/>
      </c>
      <c r="T336" s="26">
        <f>IF(S336="","","Sim")</f>
        <v/>
      </c>
      <c r="U336" s="41">
        <f>IF(T336="Sim",S336+ROW()/100000,0)</f>
        <v>0</v>
      </c>
      <c r="V336" s="41">
        <f>IF(AND(H336="Falta",L336=Config!$B$7,M336=Config!$B$5,COUNTIFS($E$5:E336,E336,$H$5:H336,"Falta",$L$5:L336,Config!$B$7,$M$5:M336,Config!$B$5)=1),COUNTIFS($E$5:$E$3004,E336,$H$5:$H$3004,"Falta",$L$5:$L$3004,Config!$B$7,$M$5:$M$3004,Config!$B$5)*1000-ROW()/100000,0)</f>
        <v>0</v>
      </c>
    </row>
    <row r="337">
      <c r="A337" s="39" t="n">
        <v>46206</v>
      </c>
      <c r="B337" s="40" t="n">
        <v>0.4722222222222222</v>
      </c>
      <c r="C337" s="35" t="inlineStr">
        <is>
          <t>Dr. Paulo Andrade</t>
        </is>
      </c>
      <c r="D337" s="35" t="inlineStr">
        <is>
          <t>Sala 2</t>
        </is>
      </c>
      <c r="E337" s="34" t="inlineStr">
        <is>
          <t>Mônica Teixeira</t>
        </is>
      </c>
      <c r="F337" s="35" t="inlineStr">
        <is>
          <t>Vida Care</t>
        </is>
      </c>
      <c r="G337" s="35" t="inlineStr">
        <is>
          <t>ECG</t>
        </is>
      </c>
      <c r="H337" s="35" t="inlineStr">
        <is>
          <t>Realizado</t>
        </is>
      </c>
      <c r="I337" s="35" t="inlineStr">
        <is>
          <t>Convênio</t>
        </is>
      </c>
      <c r="J337" s="35" t="n"/>
      <c r="K337" s="34" t="n"/>
      <c r="L337" s="26">
        <f>IF(A337="","",MONTH(A337))</f>
        <v>7</v>
      </c>
      <c r="M337" s="26">
        <f>IF(A337="","",YEAR(A337))</f>
        <v>2026</v>
      </c>
      <c r="N337" s="26" t="str">
        <f>IF(A337="","",CHOOSE(WEEKDAY(A337,2),"Segunda","Terça","Quarta","Quinta","Sexta","Sábado","Domingo"))</f>
        <v>Sexta</v>
      </c>
      <c r="O337" s="26" t="str">
        <f>IF(B337="","",IF(B337&lt;TIME(12,0,0),"Manhã",IF(B337&lt;TIME(18,0,0),"Tarde","Noite")))</f>
        <v>Manhã</v>
      </c>
      <c r="P337" s="32">
        <f>IF(G337="","",IFERROR(INDEX(Config!$I$5:$I$16,MATCH(G337,Config!$H$5:$H$16,0)),0))</f>
        <v>0</v>
      </c>
      <c r="Q337" s="30">
        <f>IF(OR(H337&lt;&gt;"Realizado",P337="",P337=0),"",A337+P337)</f>
        <v/>
      </c>
      <c r="R337" s="26">
        <f>IF(Q337="","",IF(COUNTIFS($E$5:$E$3004,E337,$A$5:$A$3004,"&gt;"&amp;A337,$H$5:$H$3004,"&lt;&gt;Falta",$H$5:$H$3004,"&lt;&gt;Cancelado",$H$5:$H$3004,"&lt;&gt;Remarcado")&gt;0,"Sim","Não"))</f>
        <v/>
      </c>
      <c r="S337" s="32">
        <f>IF(R337&lt;&gt;"Não","",IF(Q337+Config!$B$9&lt;=Config!$B$8,Config!$B$8-Q337,""))</f>
        <v/>
      </c>
      <c r="T337" s="26">
        <f>IF(S337="","","Sim")</f>
        <v/>
      </c>
      <c r="U337" s="41">
        <f>IF(T337="Sim",S337+ROW()/100000,0)</f>
        <v>0</v>
      </c>
      <c r="V337" s="41">
        <f>IF(AND(H337="Falta",L337=Config!$B$7,M337=Config!$B$5,COUNTIFS($E$5:E337,E337,$H$5:H337,"Falta",$L$5:L337,Config!$B$7,$M$5:M337,Config!$B$5)=1),COUNTIFS($E$5:$E$3004,E337,$H$5:$H$3004,"Falta",$L$5:$L$3004,Config!$B$7,$M$5:$M$3004,Config!$B$5)*1000-ROW()/100000,0)</f>
        <v>0</v>
      </c>
    </row>
    <row r="338">
      <c r="A338" s="39" t="n">
        <v>46206</v>
      </c>
      <c r="B338" s="40" t="n">
        <v>0.4861111111111111</v>
      </c>
      <c r="C338" s="35" t="inlineStr">
        <is>
          <t>Dr. Paulo Andrade</t>
        </is>
      </c>
      <c r="D338" s="35" t="inlineStr">
        <is>
          <t>Sala 2</t>
        </is>
      </c>
      <c r="E338" s="34" t="inlineStr">
        <is>
          <t>Natália Xavier</t>
        </is>
      </c>
      <c r="F338" s="35" t="inlineStr">
        <is>
          <t>MediPlan</t>
        </is>
      </c>
      <c r="G338" s="35" t="inlineStr">
        <is>
          <t>Consulta</t>
        </is>
      </c>
      <c r="H338" s="35" t="inlineStr">
        <is>
          <t>Realizado</t>
        </is>
      </c>
      <c r="I338" s="35" t="inlineStr">
        <is>
          <t>Convênio</t>
        </is>
      </c>
      <c r="J338" s="35" t="n"/>
      <c r="K338" s="34" t="n"/>
      <c r="L338" s="26">
        <f>IF(A338="","",MONTH(A338))</f>
        <v>7</v>
      </c>
      <c r="M338" s="26">
        <f>IF(A338="","",YEAR(A338))</f>
        <v>2026</v>
      </c>
      <c r="N338" s="26" t="str">
        <f>IF(A338="","",CHOOSE(WEEKDAY(A338,2),"Segunda","Terça","Quarta","Quinta","Sexta","Sábado","Domingo"))</f>
        <v>Sexta</v>
      </c>
      <c r="O338" s="26" t="str">
        <f>IF(B338="","",IF(B338&lt;TIME(12,0,0),"Manhã",IF(B338&lt;TIME(18,0,0),"Tarde","Noite")))</f>
        <v>Manhã</v>
      </c>
      <c r="P338" s="32">
        <f>IF(G338="","",IFERROR(INDEX(Config!$I$5:$I$16,MATCH(G338,Config!$H$5:$H$16,0)),0))</f>
        <v>30</v>
      </c>
      <c r="Q338" s="30">
        <f>IF(OR(H338&lt;&gt;"Realizado",P338="",P338=0),"",A338+P338)</f>
        <v>46236.0</v>
      </c>
      <c r="R338" s="26" t="str">
        <f>IF(Q338="","",IF(COUNTIFS($E$5:$E$3004,E338,$A$5:$A$3004,"&gt;"&amp;A338,$H$5:$H$3004,"&lt;&gt;Falta",$H$5:$H$3004,"&lt;&gt;Cancelado",$H$5:$H$3004,"&lt;&gt;Remarcado")&gt;0,"Sim","Não"))</f>
        <v>Sim</v>
      </c>
      <c r="S338" s="32">
        <f>IF(R338&lt;&gt;"Não","",IF(Q338+Config!$B$9&lt;=Config!$B$8,Config!$B$8-Q338,""))</f>
        <v/>
      </c>
      <c r="T338" s="26">
        <f>IF(S338="","","Sim")</f>
        <v/>
      </c>
      <c r="U338" s="41">
        <f>IF(T338="Sim",S338+ROW()/100000,0)</f>
        <v>0</v>
      </c>
      <c r="V338" s="41">
        <f>IF(AND(H338="Falta",L338=Config!$B$7,M338=Config!$B$5,COUNTIFS($E$5:E338,E338,$H$5:H338,"Falta",$L$5:L338,Config!$B$7,$M$5:M338,Config!$B$5)=1),COUNTIFS($E$5:$E$3004,E338,$H$5:$H$3004,"Falta",$L$5:$L$3004,Config!$B$7,$M$5:$M$3004,Config!$B$5)*1000-ROW()/100000,0)</f>
        <v>0</v>
      </c>
    </row>
    <row r="339">
      <c r="A339" s="39" t="n">
        <v>46209</v>
      </c>
      <c r="B339" s="40" t="n">
        <v>0.3333333333333333</v>
      </c>
      <c r="C339" s="35" t="inlineStr">
        <is>
          <t>Dra. Carolina Mendes</t>
        </is>
      </c>
      <c r="D339" s="35" t="inlineStr">
        <is>
          <t>Sala 1</t>
        </is>
      </c>
      <c r="E339" s="34" t="inlineStr">
        <is>
          <t>Wagner Lima</t>
        </is>
      </c>
      <c r="F339" s="35" t="inlineStr">
        <is>
          <t>Particular</t>
        </is>
      </c>
      <c r="G339" s="35" t="inlineStr">
        <is>
          <t>Consulta</t>
        </is>
      </c>
      <c r="H339" s="35" t="inlineStr">
        <is>
          <t>Realizado</t>
        </is>
      </c>
      <c r="I339" s="35" t="inlineStr">
        <is>
          <t>Cartão de crédito</t>
        </is>
      </c>
      <c r="J339" s="35" t="n">
        <v>2</v>
      </c>
      <c r="K339" s="34" t="n"/>
      <c r="L339" s="26">
        <f>IF(A339="","",MONTH(A339))</f>
        <v>7</v>
      </c>
      <c r="M339" s="26">
        <f>IF(A339="","",YEAR(A339))</f>
        <v>2026</v>
      </c>
      <c r="N339" s="26" t="str">
        <f>IF(A339="","",CHOOSE(WEEKDAY(A339,2),"Segunda","Terça","Quarta","Quinta","Sexta","Sábado","Domingo"))</f>
        <v>Segunda</v>
      </c>
      <c r="O339" s="26" t="str">
        <f>IF(B339="","",IF(B339&lt;TIME(12,0,0),"Manhã",IF(B339&lt;TIME(18,0,0),"Tarde","Noite")))</f>
        <v>Manhã</v>
      </c>
      <c r="P339" s="32">
        <f>IF(G339="","",IFERROR(INDEX(Config!$I$5:$I$16,MATCH(G339,Config!$H$5:$H$16,0)),0))</f>
        <v>30</v>
      </c>
      <c r="Q339" s="30">
        <f>IF(OR(H339&lt;&gt;"Realizado",P339="",P339=0),"",A339+P339)</f>
        <v>46239.0</v>
      </c>
      <c r="R339" s="26" t="str">
        <f>IF(Q339="","",IF(COUNTIFS($E$5:$E$3004,E339,$A$5:$A$3004,"&gt;"&amp;A339,$H$5:$H$3004,"&lt;&gt;Falta",$H$5:$H$3004,"&lt;&gt;Cancelado",$H$5:$H$3004,"&lt;&gt;Remarcado")&gt;0,"Sim","Não"))</f>
        <v>Sim</v>
      </c>
      <c r="S339" s="32">
        <f>IF(R339&lt;&gt;"Não","",IF(Q339+Config!$B$9&lt;=Config!$B$8,Config!$B$8-Q339,""))</f>
        <v/>
      </c>
      <c r="T339" s="26">
        <f>IF(S339="","","Sim")</f>
        <v/>
      </c>
      <c r="U339" s="41">
        <f>IF(T339="Sim",S339+ROW()/100000,0)</f>
        <v>0</v>
      </c>
      <c r="V339" s="41">
        <f>IF(AND(H339="Falta",L339=Config!$B$7,M339=Config!$B$5,COUNTIFS($E$5:E339,E339,$H$5:H339,"Falta",$L$5:L339,Config!$B$7,$M$5:M339,Config!$B$5)=1),COUNTIFS($E$5:$E$3004,E339,$H$5:$H$3004,"Falta",$L$5:$L$3004,Config!$B$7,$M$5:$M$3004,Config!$B$5)*1000-ROW()/100000,0)</f>
        <v>0</v>
      </c>
    </row>
    <row r="340">
      <c r="A340" s="39" t="n">
        <v>46209</v>
      </c>
      <c r="B340" s="40" t="n">
        <v>0.375</v>
      </c>
      <c r="C340" s="35" t="inlineStr">
        <is>
          <t>Dra. Carolina Mendes</t>
        </is>
      </c>
      <c r="D340" s="35" t="inlineStr">
        <is>
          <t>Sala 1</t>
        </is>
      </c>
      <c r="E340" s="34" t="inlineStr">
        <is>
          <t>Regina Teixeira</t>
        </is>
      </c>
      <c r="F340" s="35" t="inlineStr">
        <is>
          <t>Particular</t>
        </is>
      </c>
      <c r="G340" s="35" t="inlineStr">
        <is>
          <t>Retorno</t>
        </is>
      </c>
      <c r="H340" s="35" t="inlineStr">
        <is>
          <t>Remarcado</t>
        </is>
      </c>
      <c r="I340" s="35" t="n"/>
      <c r="J340" s="35" t="n"/>
      <c r="K340" s="34" t="inlineStr">
        <is>
          <t>Paciente pediu outra data</t>
        </is>
      </c>
      <c r="L340" s="26">
        <f>IF(A340="","",MONTH(A340))</f>
        <v>7</v>
      </c>
      <c r="M340" s="26">
        <f>IF(A340="","",YEAR(A340))</f>
        <v>2026</v>
      </c>
      <c r="N340" s="26" t="str">
        <f>IF(A340="","",CHOOSE(WEEKDAY(A340,2),"Segunda","Terça","Quarta","Quinta","Sexta","Sábado","Domingo"))</f>
        <v>Segunda</v>
      </c>
      <c r="O340" s="26" t="str">
        <f>IF(B340="","",IF(B340&lt;TIME(12,0,0),"Manhã",IF(B340&lt;TIME(18,0,0),"Tarde","Noite")))</f>
        <v>Manhã</v>
      </c>
      <c r="P340" s="32">
        <f>IF(G340="","",IFERROR(INDEX(Config!$I$5:$I$16,MATCH(G340,Config!$H$5:$H$16,0)),0))</f>
        <v>0</v>
      </c>
      <c r="Q340" s="30">
        <f>IF(OR(H340&lt;&gt;"Realizado",P340="",P340=0),"",A340+P340)</f>
        <v/>
      </c>
      <c r="R340" s="26">
        <f>IF(Q340="","",IF(COUNTIFS($E$5:$E$3004,E340,$A$5:$A$3004,"&gt;"&amp;A340,$H$5:$H$3004,"&lt;&gt;Falta",$H$5:$H$3004,"&lt;&gt;Cancelado",$H$5:$H$3004,"&lt;&gt;Remarcado")&gt;0,"Sim","Não"))</f>
        <v/>
      </c>
      <c r="S340" s="32">
        <f>IF(R340&lt;&gt;"Não","",IF(Q340+Config!$B$9&lt;=Config!$B$8,Config!$B$8-Q340,""))</f>
        <v/>
      </c>
      <c r="T340" s="26">
        <f>IF(S340="","","Sim")</f>
        <v/>
      </c>
      <c r="U340" s="41">
        <f>IF(T340="Sim",S340+ROW()/100000,0)</f>
        <v>0</v>
      </c>
      <c r="V340" s="41">
        <f>IF(AND(H340="Falta",L340=Config!$B$7,M340=Config!$B$5,COUNTIFS($E$5:E340,E340,$H$5:H340,"Falta",$L$5:L340,Config!$B$7,$M$5:M340,Config!$B$5)=1),COUNTIFS($E$5:$E$3004,E340,$H$5:$H$3004,"Falta",$L$5:$L$3004,Config!$B$7,$M$5:$M$3004,Config!$B$5)*1000-ROW()/100000,0)</f>
        <v>0</v>
      </c>
    </row>
    <row r="341">
      <c r="A341" s="39" t="n">
        <v>46209</v>
      </c>
      <c r="B341" s="40" t="n">
        <v>0.3888888888888889</v>
      </c>
      <c r="C341" s="35" t="inlineStr">
        <is>
          <t>Dra. Carolina Mendes</t>
        </is>
      </c>
      <c r="D341" s="35" t="inlineStr">
        <is>
          <t>Sala 1</t>
        </is>
      </c>
      <c r="E341" s="34" t="inlineStr">
        <is>
          <t>Isabela Pinto</t>
        </is>
      </c>
      <c r="F341" s="35" t="inlineStr">
        <is>
          <t>Saúde Total</t>
        </is>
      </c>
      <c r="G341" s="35" t="inlineStr">
        <is>
          <t>Retorno</t>
        </is>
      </c>
      <c r="H341" s="35" t="inlineStr">
        <is>
          <t>Realizado</t>
        </is>
      </c>
      <c r="I341" s="35" t="inlineStr">
        <is>
          <t>Sem cobrança</t>
        </is>
      </c>
      <c r="J341" s="35" t="n"/>
      <c r="K341" s="34" t="n"/>
      <c r="L341" s="26">
        <f>IF(A341="","",MONTH(A341))</f>
        <v>7</v>
      </c>
      <c r="M341" s="26">
        <f>IF(A341="","",YEAR(A341))</f>
        <v>2026</v>
      </c>
      <c r="N341" s="26" t="str">
        <f>IF(A341="","",CHOOSE(WEEKDAY(A341,2),"Segunda","Terça","Quarta","Quinta","Sexta","Sábado","Domingo"))</f>
        <v>Segunda</v>
      </c>
      <c r="O341" s="26" t="str">
        <f>IF(B341="","",IF(B341&lt;TIME(12,0,0),"Manhã",IF(B341&lt;TIME(18,0,0),"Tarde","Noite")))</f>
        <v>Manhã</v>
      </c>
      <c r="P341" s="32">
        <f>IF(G341="","",IFERROR(INDEX(Config!$I$5:$I$16,MATCH(G341,Config!$H$5:$H$16,0)),0))</f>
        <v>0</v>
      </c>
      <c r="Q341" s="30">
        <f>IF(OR(H341&lt;&gt;"Realizado",P341="",P341=0),"",A341+P341)</f>
        <v/>
      </c>
      <c r="R341" s="26">
        <f>IF(Q341="","",IF(COUNTIFS($E$5:$E$3004,E341,$A$5:$A$3004,"&gt;"&amp;A341,$H$5:$H$3004,"&lt;&gt;Falta",$H$5:$H$3004,"&lt;&gt;Cancelado",$H$5:$H$3004,"&lt;&gt;Remarcado")&gt;0,"Sim","Não"))</f>
        <v/>
      </c>
      <c r="S341" s="32">
        <f>IF(R341&lt;&gt;"Não","",IF(Q341+Config!$B$9&lt;=Config!$B$8,Config!$B$8-Q341,""))</f>
        <v/>
      </c>
      <c r="T341" s="26">
        <f>IF(S341="","","Sim")</f>
        <v/>
      </c>
      <c r="U341" s="41">
        <f>IF(T341="Sim",S341+ROW()/100000,0)</f>
        <v>0</v>
      </c>
      <c r="V341" s="41">
        <f>IF(AND(H341="Falta",L341=Config!$B$7,M341=Config!$B$5,COUNTIFS($E$5:E341,E341,$H$5:H341,"Falta",$L$5:L341,Config!$B$7,$M$5:M341,Config!$B$5)=1),COUNTIFS($E$5:$E$3004,E341,$H$5:$H$3004,"Falta",$L$5:$L$3004,Config!$B$7,$M$5:$M$3004,Config!$B$5)*1000-ROW()/100000,0)</f>
        <v>0</v>
      </c>
    </row>
    <row r="342">
      <c r="A342" s="39" t="n">
        <v>46209</v>
      </c>
      <c r="B342" s="40" t="n">
        <v>0.4027777777777778</v>
      </c>
      <c r="C342" s="35" t="inlineStr">
        <is>
          <t>Dra. Carolina Mendes</t>
        </is>
      </c>
      <c r="D342" s="35" t="inlineStr">
        <is>
          <t>Sala 1</t>
        </is>
      </c>
      <c r="E342" s="34" t="inlineStr">
        <is>
          <t>Carlos Fernandes</t>
        </is>
      </c>
      <c r="F342" s="35" t="inlineStr">
        <is>
          <t>Particular</t>
        </is>
      </c>
      <c r="G342" s="35" t="inlineStr">
        <is>
          <t>Consulta</t>
        </is>
      </c>
      <c r="H342" s="35" t="inlineStr">
        <is>
          <t>Falta</t>
        </is>
      </c>
      <c r="I342" s="35" t="n"/>
      <c r="J342" s="35" t="n"/>
      <c r="K342" s="34" t="n"/>
      <c r="L342" s="26">
        <f>IF(A342="","",MONTH(A342))</f>
        <v>7</v>
      </c>
      <c r="M342" s="26">
        <f>IF(A342="","",YEAR(A342))</f>
        <v>2026</v>
      </c>
      <c r="N342" s="26" t="str">
        <f>IF(A342="","",CHOOSE(WEEKDAY(A342,2),"Segunda","Terça","Quarta","Quinta","Sexta","Sábado","Domingo"))</f>
        <v>Segunda</v>
      </c>
      <c r="O342" s="26" t="str">
        <f>IF(B342="","",IF(B342&lt;TIME(12,0,0),"Manhã",IF(B342&lt;TIME(18,0,0),"Tarde","Noite")))</f>
        <v>Manhã</v>
      </c>
      <c r="P342" s="32">
        <f>IF(G342="","",IFERROR(INDEX(Config!$I$5:$I$16,MATCH(G342,Config!$H$5:$H$16,0)),0))</f>
        <v>30</v>
      </c>
      <c r="Q342" s="30">
        <f>IF(OR(H342&lt;&gt;"Realizado",P342="",P342=0),"",A342+P342)</f>
        <v/>
      </c>
      <c r="R342" s="26">
        <f>IF(Q342="","",IF(COUNTIFS($E$5:$E$3004,E342,$A$5:$A$3004,"&gt;"&amp;A342,$H$5:$H$3004,"&lt;&gt;Falta",$H$5:$H$3004,"&lt;&gt;Cancelado",$H$5:$H$3004,"&lt;&gt;Remarcado")&gt;0,"Sim","Não"))</f>
        <v/>
      </c>
      <c r="S342" s="32">
        <f>IF(R342&lt;&gt;"Não","",IF(Q342+Config!$B$9&lt;=Config!$B$8,Config!$B$8-Q342,""))</f>
        <v/>
      </c>
      <c r="T342" s="26">
        <f>IF(S342="","","Sim")</f>
        <v/>
      </c>
      <c r="U342" s="41">
        <f>IF(T342="Sim",S342+ROW()/100000,0)</f>
        <v>0</v>
      </c>
      <c r="V342" s="41">
        <f>IF(AND(H342="Falta",L342=Config!$B$7,M342=Config!$B$5,COUNTIFS($E$5:E342,E342,$H$5:H342,"Falta",$L$5:L342,Config!$B$7,$M$5:M342,Config!$B$5)=1),COUNTIFS($E$5:$E$3004,E342,$H$5:$H$3004,"Falta",$L$5:$L$3004,Config!$B$7,$M$5:$M$3004,Config!$B$5)*1000-ROW()/100000,0)</f>
        <v>0</v>
      </c>
    </row>
    <row r="343">
      <c r="A343" s="39" t="n">
        <v>46209</v>
      </c>
      <c r="B343" s="40" t="n">
        <v>0.4444444444444444</v>
      </c>
      <c r="C343" s="35" t="inlineStr">
        <is>
          <t>Dra. Carolina Mendes</t>
        </is>
      </c>
      <c r="D343" s="35" t="inlineStr">
        <is>
          <t>Sala 1</t>
        </is>
      </c>
      <c r="E343" s="34" t="inlineStr">
        <is>
          <t>Carlos Fernandes</t>
        </is>
      </c>
      <c r="F343" s="35" t="inlineStr">
        <is>
          <t>Particular</t>
        </is>
      </c>
      <c r="G343" s="35" t="inlineStr">
        <is>
          <t>Consulta</t>
        </is>
      </c>
      <c r="H343" s="35" t="inlineStr">
        <is>
          <t>Realizado</t>
        </is>
      </c>
      <c r="I343" s="35" t="inlineStr">
        <is>
          <t>A prazo</t>
        </is>
      </c>
      <c r="J343" s="35" t="n"/>
      <c r="K343" s="34" t="n"/>
      <c r="L343" s="26">
        <f>IF(A343="","",MONTH(A343))</f>
        <v>7</v>
      </c>
      <c r="M343" s="26">
        <f>IF(A343="","",YEAR(A343))</f>
        <v>2026</v>
      </c>
      <c r="N343" s="26" t="str">
        <f>IF(A343="","",CHOOSE(WEEKDAY(A343,2),"Segunda","Terça","Quarta","Quinta","Sexta","Sábado","Domingo"))</f>
        <v>Segunda</v>
      </c>
      <c r="O343" s="26" t="str">
        <f>IF(B343="","",IF(B343&lt;TIME(12,0,0),"Manhã",IF(B343&lt;TIME(18,0,0),"Tarde","Noite")))</f>
        <v>Manhã</v>
      </c>
      <c r="P343" s="32">
        <f>IF(G343="","",IFERROR(INDEX(Config!$I$5:$I$16,MATCH(G343,Config!$H$5:$H$16,0)),0))</f>
        <v>30</v>
      </c>
      <c r="Q343" s="30">
        <f>IF(OR(H343&lt;&gt;"Realizado",P343="",P343=0),"",A343+P343)</f>
        <v>46239.0</v>
      </c>
      <c r="R343" s="26" t="str">
        <f>IF(Q343="","",IF(COUNTIFS($E$5:$E$3004,E343,$A$5:$A$3004,"&gt;"&amp;A343,$H$5:$H$3004,"&lt;&gt;Falta",$H$5:$H$3004,"&lt;&gt;Cancelado",$H$5:$H$3004,"&lt;&gt;Remarcado")&gt;0,"Sim","Não"))</f>
        <v>Sim</v>
      </c>
      <c r="S343" s="32">
        <f>IF(R343&lt;&gt;"Não","",IF(Q343+Config!$B$9&lt;=Config!$B$8,Config!$B$8-Q343,""))</f>
        <v/>
      </c>
      <c r="T343" s="26">
        <f>IF(S343="","","Sim")</f>
        <v/>
      </c>
      <c r="U343" s="41">
        <f>IF(T343="Sim",S343+ROW()/100000,0)</f>
        <v>0</v>
      </c>
      <c r="V343" s="41">
        <f>IF(AND(H343="Falta",L343=Config!$B$7,M343=Config!$B$5,COUNTIFS($E$5:E343,E343,$H$5:H343,"Falta",$L$5:L343,Config!$B$7,$M$5:M343,Config!$B$5)=1),COUNTIFS($E$5:$E$3004,E343,$H$5:$H$3004,"Falta",$L$5:$L$3004,Config!$B$7,$M$5:$M$3004,Config!$B$5)*1000-ROW()/100000,0)</f>
        <v>0</v>
      </c>
    </row>
    <row r="344">
      <c r="A344" s="39" t="n">
        <v>46209</v>
      </c>
      <c r="B344" s="40" t="n">
        <v>0.4652777777777778</v>
      </c>
      <c r="C344" s="35" t="inlineStr">
        <is>
          <t>Dra. Carolina Mendes</t>
        </is>
      </c>
      <c r="D344" s="35" t="inlineStr">
        <is>
          <t>Sala 1</t>
        </is>
      </c>
      <c r="E344" s="34" t="inlineStr">
        <is>
          <t>Priscila Carvalho</t>
        </is>
      </c>
      <c r="F344" s="35" t="inlineStr">
        <is>
          <t>Vida Care</t>
        </is>
      </c>
      <c r="G344" s="35" t="inlineStr">
        <is>
          <t>Consulta</t>
        </is>
      </c>
      <c r="H344" s="35" t="inlineStr">
        <is>
          <t>Realizado</t>
        </is>
      </c>
      <c r="I344" s="35" t="inlineStr">
        <is>
          <t>Convênio</t>
        </is>
      </c>
      <c r="J344" s="35" t="n"/>
      <c r="K344" s="34" t="n"/>
      <c r="L344" s="26">
        <f>IF(A344="","",MONTH(A344))</f>
        <v>7</v>
      </c>
      <c r="M344" s="26">
        <f>IF(A344="","",YEAR(A344))</f>
        <v>2026</v>
      </c>
      <c r="N344" s="26" t="str">
        <f>IF(A344="","",CHOOSE(WEEKDAY(A344,2),"Segunda","Terça","Quarta","Quinta","Sexta","Sábado","Domingo"))</f>
        <v>Segunda</v>
      </c>
      <c r="O344" s="26" t="str">
        <f>IF(B344="","",IF(B344&lt;TIME(12,0,0),"Manhã",IF(B344&lt;TIME(18,0,0),"Tarde","Noite")))</f>
        <v>Manhã</v>
      </c>
      <c r="P344" s="32">
        <f>IF(G344="","",IFERROR(INDEX(Config!$I$5:$I$16,MATCH(G344,Config!$H$5:$H$16,0)),0))</f>
        <v>30</v>
      </c>
      <c r="Q344" s="30">
        <f>IF(OR(H344&lt;&gt;"Realizado",P344="",P344=0),"",A344+P344)</f>
        <v>46239.0</v>
      </c>
      <c r="R344" s="26" t="str">
        <f>IF(Q344="","",IF(COUNTIFS($E$5:$E$3004,E344,$A$5:$A$3004,"&gt;"&amp;A344,$H$5:$H$3004,"&lt;&gt;Falta",$H$5:$H$3004,"&lt;&gt;Cancelado",$H$5:$H$3004,"&lt;&gt;Remarcado")&gt;0,"Sim","Não"))</f>
        <v>Sim</v>
      </c>
      <c r="S344" s="32">
        <f>IF(R344&lt;&gt;"Não","",IF(Q344+Config!$B$9&lt;=Config!$B$8,Config!$B$8-Q344,""))</f>
        <v/>
      </c>
      <c r="T344" s="26">
        <f>IF(S344="","","Sim")</f>
        <v/>
      </c>
      <c r="U344" s="41">
        <f>IF(T344="Sim",S344+ROW()/100000,0)</f>
        <v>0</v>
      </c>
      <c r="V344" s="41">
        <f>IF(AND(H344="Falta",L344=Config!$B$7,M344=Config!$B$5,COUNTIFS($E$5:E344,E344,$H$5:H344,"Falta",$L$5:L344,Config!$B$7,$M$5:M344,Config!$B$5)=1),COUNTIFS($E$5:$E$3004,E344,$H$5:$H$3004,"Falta",$L$5:$L$3004,Config!$B$7,$M$5:$M$3004,Config!$B$5)*1000-ROW()/100000,0)</f>
        <v>0</v>
      </c>
    </row>
    <row r="345">
      <c r="A345" s="39" t="n">
        <v>46209</v>
      </c>
      <c r="B345" s="40" t="n">
        <v>0.5833333333333334</v>
      </c>
      <c r="C345" s="35" t="inlineStr">
        <is>
          <t>Dr. Paulo Andrade</t>
        </is>
      </c>
      <c r="D345" s="35" t="inlineStr">
        <is>
          <t>Sala 2</t>
        </is>
      </c>
      <c r="E345" s="34" t="inlineStr">
        <is>
          <t>Leandro Cardoso</t>
        </is>
      </c>
      <c r="F345" s="35" t="inlineStr">
        <is>
          <t>MediPlan</t>
        </is>
      </c>
      <c r="G345" s="35" t="inlineStr">
        <is>
          <t>Consulta</t>
        </is>
      </c>
      <c r="H345" s="35" t="inlineStr">
        <is>
          <t>Realizado</t>
        </is>
      </c>
      <c r="I345" s="35" t="inlineStr">
        <is>
          <t>Convênio</t>
        </is>
      </c>
      <c r="J345" s="35" t="n"/>
      <c r="K345" s="34" t="n"/>
      <c r="L345" s="26">
        <f>IF(A345="","",MONTH(A345))</f>
        <v>7</v>
      </c>
      <c r="M345" s="26">
        <f>IF(A345="","",YEAR(A345))</f>
        <v>2026</v>
      </c>
      <c r="N345" s="26" t="str">
        <f>IF(A345="","",CHOOSE(WEEKDAY(A345,2),"Segunda","Terça","Quarta","Quinta","Sexta","Sábado","Domingo"))</f>
        <v>Segunda</v>
      </c>
      <c r="O345" s="26" t="str">
        <f>IF(B345="","",IF(B345&lt;TIME(12,0,0),"Manhã",IF(B345&lt;TIME(18,0,0),"Tarde","Noite")))</f>
        <v>Tarde</v>
      </c>
      <c r="P345" s="32">
        <f>IF(G345="","",IFERROR(INDEX(Config!$I$5:$I$16,MATCH(G345,Config!$H$5:$H$16,0)),0))</f>
        <v>30</v>
      </c>
      <c r="Q345" s="30">
        <f>IF(OR(H345&lt;&gt;"Realizado",P345="",P345=0),"",A345+P345)</f>
        <v>46239.0</v>
      </c>
      <c r="R345" s="26" t="str">
        <f>IF(Q345="","",IF(COUNTIFS($E$5:$E$3004,E345,$A$5:$A$3004,"&gt;"&amp;A345,$H$5:$H$3004,"&lt;&gt;Falta",$H$5:$H$3004,"&lt;&gt;Cancelado",$H$5:$H$3004,"&lt;&gt;Remarcado")&gt;0,"Sim","Não"))</f>
        <v>Sim</v>
      </c>
      <c r="S345" s="32">
        <f>IF(R345&lt;&gt;"Não","",IF(Q345+Config!$B$9&lt;=Config!$B$8,Config!$B$8-Q345,""))</f>
        <v/>
      </c>
      <c r="T345" s="26">
        <f>IF(S345="","","Sim")</f>
        <v/>
      </c>
      <c r="U345" s="41">
        <f>IF(T345="Sim",S345+ROW()/100000,0)</f>
        <v>0</v>
      </c>
      <c r="V345" s="41">
        <f>IF(AND(H345="Falta",L345=Config!$B$7,M345=Config!$B$5,COUNTIFS($E$5:E345,E345,$H$5:H345,"Falta",$L$5:L345,Config!$B$7,$M$5:M345,Config!$B$5)=1),COUNTIFS($E$5:$E$3004,E345,$H$5:$H$3004,"Falta",$L$5:$L$3004,Config!$B$7,$M$5:$M$3004,Config!$B$5)*1000-ROW()/100000,0)</f>
        <v>0</v>
      </c>
    </row>
    <row r="346">
      <c r="A346" s="39" t="n">
        <v>46209</v>
      </c>
      <c r="B346" s="40" t="n">
        <v>0.6041666666666666</v>
      </c>
      <c r="C346" s="35" t="inlineStr">
        <is>
          <t>Dr. Paulo Andrade</t>
        </is>
      </c>
      <c r="D346" s="35" t="inlineStr">
        <is>
          <t>Sala 2</t>
        </is>
      </c>
      <c r="E346" s="34" t="inlineStr">
        <is>
          <t>Tatiana Rocha</t>
        </is>
      </c>
      <c r="F346" s="35" t="inlineStr">
        <is>
          <t>Vida Care</t>
        </is>
      </c>
      <c r="G346" s="35" t="inlineStr">
        <is>
          <t>Holter</t>
        </is>
      </c>
      <c r="H346" s="35" t="inlineStr">
        <is>
          <t>Realizado</t>
        </is>
      </c>
      <c r="I346" s="35" t="inlineStr">
        <is>
          <t>Convênio</t>
        </is>
      </c>
      <c r="J346" s="35" t="n"/>
      <c r="K346" s="34" t="n"/>
      <c r="L346" s="26">
        <f>IF(A346="","",MONTH(A346))</f>
        <v>7</v>
      </c>
      <c r="M346" s="26">
        <f>IF(A346="","",YEAR(A346))</f>
        <v>2026</v>
      </c>
      <c r="N346" s="26" t="str">
        <f>IF(A346="","",CHOOSE(WEEKDAY(A346,2),"Segunda","Terça","Quarta","Quinta","Sexta","Sábado","Domingo"))</f>
        <v>Segunda</v>
      </c>
      <c r="O346" s="26" t="str">
        <f>IF(B346="","",IF(B346&lt;TIME(12,0,0),"Manhã",IF(B346&lt;TIME(18,0,0),"Tarde","Noite")))</f>
        <v>Tarde</v>
      </c>
      <c r="P346" s="32">
        <f>IF(G346="","",IFERROR(INDEX(Config!$I$5:$I$16,MATCH(G346,Config!$H$5:$H$16,0)),0))</f>
        <v>0</v>
      </c>
      <c r="Q346" s="30">
        <f>IF(OR(H346&lt;&gt;"Realizado",P346="",P346=0),"",A346+P346)</f>
        <v/>
      </c>
      <c r="R346" s="26">
        <f>IF(Q346="","",IF(COUNTIFS($E$5:$E$3004,E346,$A$5:$A$3004,"&gt;"&amp;A346,$H$5:$H$3004,"&lt;&gt;Falta",$H$5:$H$3004,"&lt;&gt;Cancelado",$H$5:$H$3004,"&lt;&gt;Remarcado")&gt;0,"Sim","Não"))</f>
        <v/>
      </c>
      <c r="S346" s="32">
        <f>IF(R346&lt;&gt;"Não","",IF(Q346+Config!$B$9&lt;=Config!$B$8,Config!$B$8-Q346,""))</f>
        <v/>
      </c>
      <c r="T346" s="26">
        <f>IF(S346="","","Sim")</f>
        <v/>
      </c>
      <c r="U346" s="41">
        <f>IF(T346="Sim",S346+ROW()/100000,0)</f>
        <v>0</v>
      </c>
      <c r="V346" s="41">
        <f>IF(AND(H346="Falta",L346=Config!$B$7,M346=Config!$B$5,COUNTIFS($E$5:E346,E346,$H$5:H346,"Falta",$L$5:L346,Config!$B$7,$M$5:M346,Config!$B$5)=1),COUNTIFS($E$5:$E$3004,E346,$H$5:$H$3004,"Falta",$L$5:$L$3004,Config!$B$7,$M$5:$M$3004,Config!$B$5)*1000-ROW()/100000,0)</f>
        <v>0</v>
      </c>
    </row>
    <row r="347">
      <c r="A347" s="39" t="n">
        <v>46209</v>
      </c>
      <c r="B347" s="40" t="n">
        <v>0.6180555555555556</v>
      </c>
      <c r="C347" s="35" t="inlineStr">
        <is>
          <t>Dr. Paulo Andrade</t>
        </is>
      </c>
      <c r="D347" s="35" t="inlineStr">
        <is>
          <t>Sala 2</t>
        </is>
      </c>
      <c r="E347" s="34" t="inlineStr">
        <is>
          <t>Paulo Reis</t>
        </is>
      </c>
      <c r="F347" s="35" t="inlineStr">
        <is>
          <t>Particular</t>
        </is>
      </c>
      <c r="G347" s="35" t="inlineStr">
        <is>
          <t>Consulta</t>
        </is>
      </c>
      <c r="H347" s="35" t="inlineStr">
        <is>
          <t>Realizado</t>
        </is>
      </c>
      <c r="I347" s="35" t="inlineStr">
        <is>
          <t>Cartão de crédito</t>
        </is>
      </c>
      <c r="J347" s="35" t="n"/>
      <c r="K347" s="34" t="n"/>
      <c r="L347" s="26">
        <f>IF(A347="","",MONTH(A347))</f>
        <v>7</v>
      </c>
      <c r="M347" s="26">
        <f>IF(A347="","",YEAR(A347))</f>
        <v>2026</v>
      </c>
      <c r="N347" s="26" t="str">
        <f>IF(A347="","",CHOOSE(WEEKDAY(A347,2),"Segunda","Terça","Quarta","Quinta","Sexta","Sábado","Domingo"))</f>
        <v>Segunda</v>
      </c>
      <c r="O347" s="26" t="str">
        <f>IF(B347="","",IF(B347&lt;TIME(12,0,0),"Manhã",IF(B347&lt;TIME(18,0,0),"Tarde","Noite")))</f>
        <v>Tarde</v>
      </c>
      <c r="P347" s="32">
        <f>IF(G347="","",IFERROR(INDEX(Config!$I$5:$I$16,MATCH(G347,Config!$H$5:$H$16,0)),0))</f>
        <v>30</v>
      </c>
      <c r="Q347" s="30">
        <f>IF(OR(H347&lt;&gt;"Realizado",P347="",P347=0),"",A347+P347)</f>
        <v>46239.0</v>
      </c>
      <c r="R347" s="26" t="str">
        <f>IF(Q347="","",IF(COUNTIFS($E$5:$E$3004,E347,$A$5:$A$3004,"&gt;"&amp;A347,$H$5:$H$3004,"&lt;&gt;Falta",$H$5:$H$3004,"&lt;&gt;Cancelado",$H$5:$H$3004,"&lt;&gt;Remarcado")&gt;0,"Sim","Não"))</f>
        <v>Sim</v>
      </c>
      <c r="S347" s="32">
        <f>IF(R347&lt;&gt;"Não","",IF(Q347+Config!$B$9&lt;=Config!$B$8,Config!$B$8-Q347,""))</f>
        <v/>
      </c>
      <c r="T347" s="26">
        <f>IF(S347="","","Sim")</f>
        <v/>
      </c>
      <c r="U347" s="41">
        <f>IF(T347="Sim",S347+ROW()/100000,0)</f>
        <v>0</v>
      </c>
      <c r="V347" s="41">
        <f>IF(AND(H347="Falta",L347=Config!$B$7,M347=Config!$B$5,COUNTIFS($E$5:E347,E347,$H$5:H347,"Falta",$L$5:L347,Config!$B$7,$M$5:M347,Config!$B$5)=1),COUNTIFS($E$5:$E$3004,E347,$H$5:$H$3004,"Falta",$L$5:$L$3004,Config!$B$7,$M$5:$M$3004,Config!$B$5)*1000-ROW()/100000,0)</f>
        <v>0</v>
      </c>
    </row>
    <row r="348">
      <c r="A348" s="39" t="n">
        <v>46209</v>
      </c>
      <c r="B348" s="40" t="n">
        <v>0.6388888888888888</v>
      </c>
      <c r="C348" s="35" t="inlineStr">
        <is>
          <t>Dr. Paulo Andrade</t>
        </is>
      </c>
      <c r="D348" s="35" t="inlineStr">
        <is>
          <t>Sala 2</t>
        </is>
      </c>
      <c r="E348" s="34" t="inlineStr">
        <is>
          <t>Otávio Martins</t>
        </is>
      </c>
      <c r="F348" s="35" t="inlineStr">
        <is>
          <t>MediPlan</t>
        </is>
      </c>
      <c r="G348" s="35" t="inlineStr">
        <is>
          <t>Consulta</t>
        </is>
      </c>
      <c r="H348" s="35" t="inlineStr">
        <is>
          <t>Realizado</t>
        </is>
      </c>
      <c r="I348" s="35" t="inlineStr">
        <is>
          <t>Convênio</t>
        </is>
      </c>
      <c r="J348" s="35" t="n"/>
      <c r="K348" s="34" t="n"/>
      <c r="L348" s="26">
        <f>IF(A348="","",MONTH(A348))</f>
        <v>7</v>
      </c>
      <c r="M348" s="26">
        <f>IF(A348="","",YEAR(A348))</f>
        <v>2026</v>
      </c>
      <c r="N348" s="26" t="str">
        <f>IF(A348="","",CHOOSE(WEEKDAY(A348,2),"Segunda","Terça","Quarta","Quinta","Sexta","Sábado","Domingo"))</f>
        <v>Segunda</v>
      </c>
      <c r="O348" s="26" t="str">
        <f>IF(B348="","",IF(B348&lt;TIME(12,0,0),"Manhã",IF(B348&lt;TIME(18,0,0),"Tarde","Noite")))</f>
        <v>Tarde</v>
      </c>
      <c r="P348" s="32">
        <f>IF(G348="","",IFERROR(INDEX(Config!$I$5:$I$16,MATCH(G348,Config!$H$5:$H$16,0)),0))</f>
        <v>30</v>
      </c>
      <c r="Q348" s="30">
        <f>IF(OR(H348&lt;&gt;"Realizado",P348="",P348=0),"",A348+P348)</f>
        <v>46239.0</v>
      </c>
      <c r="R348" s="26" t="str">
        <f>IF(Q348="","",IF(COUNTIFS($E$5:$E$3004,E348,$A$5:$A$3004,"&gt;"&amp;A348,$H$5:$H$3004,"&lt;&gt;Falta",$H$5:$H$3004,"&lt;&gt;Cancelado",$H$5:$H$3004,"&lt;&gt;Remarcado")&gt;0,"Sim","Não"))</f>
        <v>Sim</v>
      </c>
      <c r="S348" s="32">
        <f>IF(R348&lt;&gt;"Não","",IF(Q348+Config!$B$9&lt;=Config!$B$8,Config!$B$8-Q348,""))</f>
        <v/>
      </c>
      <c r="T348" s="26">
        <f>IF(S348="","","Sim")</f>
        <v/>
      </c>
      <c r="U348" s="41">
        <f>IF(T348="Sim",S348+ROW()/100000,0)</f>
        <v>0</v>
      </c>
      <c r="V348" s="41">
        <f>IF(AND(H348="Falta",L348=Config!$B$7,M348=Config!$B$5,COUNTIFS($E$5:E348,E348,$H$5:H348,"Falta",$L$5:L348,Config!$B$7,$M$5:M348,Config!$B$5)=1),COUNTIFS($E$5:$E$3004,E348,$H$5:$H$3004,"Falta",$L$5:$L$3004,Config!$B$7,$M$5:$M$3004,Config!$B$5)*1000-ROW()/100000,0)</f>
        <v>0</v>
      </c>
    </row>
    <row r="349">
      <c r="A349" s="39" t="n">
        <v>46209</v>
      </c>
      <c r="B349" s="40" t="n">
        <v>0.6597222222222222</v>
      </c>
      <c r="C349" s="35" t="inlineStr">
        <is>
          <t>Dr. Paulo Andrade</t>
        </is>
      </c>
      <c r="D349" s="35" t="inlineStr">
        <is>
          <t>Sala 2</t>
        </is>
      </c>
      <c r="E349" s="34" t="inlineStr">
        <is>
          <t>Ricardo Melo</t>
        </is>
      </c>
      <c r="F349" s="35" t="inlineStr">
        <is>
          <t>Saúde Total</t>
        </is>
      </c>
      <c r="G349" s="35" t="inlineStr">
        <is>
          <t>Teste ergométrico</t>
        </is>
      </c>
      <c r="H349" s="35" t="inlineStr">
        <is>
          <t>Realizado</t>
        </is>
      </c>
      <c r="I349" s="35" t="inlineStr">
        <is>
          <t>Convênio</t>
        </is>
      </c>
      <c r="J349" s="35" t="n"/>
      <c r="K349" s="34" t="n"/>
      <c r="L349" s="26">
        <f>IF(A349="","",MONTH(A349))</f>
        <v>7</v>
      </c>
      <c r="M349" s="26">
        <f>IF(A349="","",YEAR(A349))</f>
        <v>2026</v>
      </c>
      <c r="N349" s="26" t="str">
        <f>IF(A349="","",CHOOSE(WEEKDAY(A349,2),"Segunda","Terça","Quarta","Quinta","Sexta","Sábado","Domingo"))</f>
        <v>Segunda</v>
      </c>
      <c r="O349" s="26" t="str">
        <f>IF(B349="","",IF(B349&lt;TIME(12,0,0),"Manhã",IF(B349&lt;TIME(18,0,0),"Tarde","Noite")))</f>
        <v>Tarde</v>
      </c>
      <c r="P349" s="32">
        <f>IF(G349="","",IFERROR(INDEX(Config!$I$5:$I$16,MATCH(G349,Config!$H$5:$H$16,0)),0))</f>
        <v>0</v>
      </c>
      <c r="Q349" s="30">
        <f>IF(OR(H349&lt;&gt;"Realizado",P349="",P349=0),"",A349+P349)</f>
        <v/>
      </c>
      <c r="R349" s="26">
        <f>IF(Q349="","",IF(COUNTIFS($E$5:$E$3004,E349,$A$5:$A$3004,"&gt;"&amp;A349,$H$5:$H$3004,"&lt;&gt;Falta",$H$5:$H$3004,"&lt;&gt;Cancelado",$H$5:$H$3004,"&lt;&gt;Remarcado")&gt;0,"Sim","Não"))</f>
        <v/>
      </c>
      <c r="S349" s="32">
        <f>IF(R349&lt;&gt;"Não","",IF(Q349+Config!$B$9&lt;=Config!$B$8,Config!$B$8-Q349,""))</f>
        <v/>
      </c>
      <c r="T349" s="26">
        <f>IF(S349="","","Sim")</f>
        <v/>
      </c>
      <c r="U349" s="41">
        <f>IF(T349="Sim",S349+ROW()/100000,0)</f>
        <v>0</v>
      </c>
      <c r="V349" s="41">
        <f>IF(AND(H349="Falta",L349=Config!$B$7,M349=Config!$B$5,COUNTIFS($E$5:E349,E349,$H$5:H349,"Falta",$L$5:L349,Config!$B$7,$M$5:M349,Config!$B$5)=1),COUNTIFS($E$5:$E$3004,E349,$H$5:$H$3004,"Falta",$L$5:$L$3004,Config!$B$7,$M$5:$M$3004,Config!$B$5)*1000-ROW()/100000,0)</f>
        <v>0</v>
      </c>
    </row>
    <row r="350">
      <c r="A350" s="39" t="n">
        <v>46209</v>
      </c>
      <c r="B350" s="40" t="n">
        <v>0.6875</v>
      </c>
      <c r="C350" s="35" t="inlineStr">
        <is>
          <t>Dr. Paulo Andrade</t>
        </is>
      </c>
      <c r="D350" s="35" t="inlineStr">
        <is>
          <t>Sala 2</t>
        </is>
      </c>
      <c r="E350" s="34" t="inlineStr">
        <is>
          <t>Camila Martins</t>
        </is>
      </c>
      <c r="F350" s="35" t="inlineStr">
        <is>
          <t>Vida Care</t>
        </is>
      </c>
      <c r="G350" s="35" t="inlineStr">
        <is>
          <t>Consulta</t>
        </is>
      </c>
      <c r="H350" s="35" t="inlineStr">
        <is>
          <t>Realizado</t>
        </is>
      </c>
      <c r="I350" s="35" t="inlineStr">
        <is>
          <t>Convênio</t>
        </is>
      </c>
      <c r="J350" s="35" t="n"/>
      <c r="K350" s="34" t="n"/>
      <c r="L350" s="26">
        <f>IF(A350="","",MONTH(A350))</f>
        <v>7</v>
      </c>
      <c r="M350" s="26">
        <f>IF(A350="","",YEAR(A350))</f>
        <v>2026</v>
      </c>
      <c r="N350" s="26" t="str">
        <f>IF(A350="","",CHOOSE(WEEKDAY(A350,2),"Segunda","Terça","Quarta","Quinta","Sexta","Sábado","Domingo"))</f>
        <v>Segunda</v>
      </c>
      <c r="O350" s="26" t="str">
        <f>IF(B350="","",IF(B350&lt;TIME(12,0,0),"Manhã",IF(B350&lt;TIME(18,0,0),"Tarde","Noite")))</f>
        <v>Tarde</v>
      </c>
      <c r="P350" s="32">
        <f>IF(G350="","",IFERROR(INDEX(Config!$I$5:$I$16,MATCH(G350,Config!$H$5:$H$16,0)),0))</f>
        <v>30</v>
      </c>
      <c r="Q350" s="30">
        <f>IF(OR(H350&lt;&gt;"Realizado",P350="",P350=0),"",A350+P350)</f>
        <v>46239.0</v>
      </c>
      <c r="R350" s="26" t="str">
        <f>IF(Q350="","",IF(COUNTIFS($E$5:$E$3004,E350,$A$5:$A$3004,"&gt;"&amp;A350,$H$5:$H$3004,"&lt;&gt;Falta",$H$5:$H$3004,"&lt;&gt;Cancelado",$H$5:$H$3004,"&lt;&gt;Remarcado")&gt;0,"Sim","Não"))</f>
        <v>Sim</v>
      </c>
      <c r="S350" s="32">
        <f>IF(R350&lt;&gt;"Não","",IF(Q350+Config!$B$9&lt;=Config!$B$8,Config!$B$8-Q350,""))</f>
        <v/>
      </c>
      <c r="T350" s="26">
        <f>IF(S350="","","Sim")</f>
        <v/>
      </c>
      <c r="U350" s="41">
        <f>IF(T350="Sim",S350+ROW()/100000,0)</f>
        <v>0</v>
      </c>
      <c r="V350" s="41">
        <f>IF(AND(H350="Falta",L350=Config!$B$7,M350=Config!$B$5,COUNTIFS($E$5:E350,E350,$H$5:H350,"Falta",$L$5:L350,Config!$B$7,$M$5:M350,Config!$B$5)=1),COUNTIFS($E$5:$E$3004,E350,$H$5:$H$3004,"Falta",$L$5:$L$3004,Config!$B$7,$M$5:$M$3004,Config!$B$5)*1000-ROW()/100000,0)</f>
        <v>0</v>
      </c>
    </row>
    <row r="351">
      <c r="A351" s="39" t="n">
        <v>46209</v>
      </c>
      <c r="B351" s="40" t="n">
        <v>0.7291666666666666</v>
      </c>
      <c r="C351" s="35" t="inlineStr">
        <is>
          <t>Dr. Paulo Andrade</t>
        </is>
      </c>
      <c r="D351" s="35" t="inlineStr">
        <is>
          <t>Sala 2</t>
        </is>
      </c>
      <c r="E351" s="34" t="inlineStr">
        <is>
          <t>Gisele Lima</t>
        </is>
      </c>
      <c r="F351" s="35" t="inlineStr">
        <is>
          <t>Saúde Total</t>
        </is>
      </c>
      <c r="G351" s="35" t="inlineStr">
        <is>
          <t>Consulta</t>
        </is>
      </c>
      <c r="H351" s="35" t="inlineStr">
        <is>
          <t>Realizado</t>
        </is>
      </c>
      <c r="I351" s="35" t="inlineStr">
        <is>
          <t>Convênio</t>
        </is>
      </c>
      <c r="J351" s="35" t="n"/>
      <c r="K351" s="34" t="n"/>
      <c r="L351" s="26">
        <f>IF(A351="","",MONTH(A351))</f>
        <v>7</v>
      </c>
      <c r="M351" s="26">
        <f>IF(A351="","",YEAR(A351))</f>
        <v>2026</v>
      </c>
      <c r="N351" s="26" t="str">
        <f>IF(A351="","",CHOOSE(WEEKDAY(A351,2),"Segunda","Terça","Quarta","Quinta","Sexta","Sábado","Domingo"))</f>
        <v>Segunda</v>
      </c>
      <c r="O351" s="26" t="str">
        <f>IF(B351="","",IF(B351&lt;TIME(12,0,0),"Manhã",IF(B351&lt;TIME(18,0,0),"Tarde","Noite")))</f>
        <v>Tarde</v>
      </c>
      <c r="P351" s="32">
        <f>IF(G351="","",IFERROR(INDEX(Config!$I$5:$I$16,MATCH(G351,Config!$H$5:$H$16,0)),0))</f>
        <v>30</v>
      </c>
      <c r="Q351" s="30">
        <f>IF(OR(H351&lt;&gt;"Realizado",P351="",P351=0),"",A351+P351)</f>
        <v>46239.0</v>
      </c>
      <c r="R351" s="26" t="str">
        <f>IF(Q351="","",IF(COUNTIFS($E$5:$E$3004,E351,$A$5:$A$3004,"&gt;"&amp;A351,$H$5:$H$3004,"&lt;&gt;Falta",$H$5:$H$3004,"&lt;&gt;Cancelado",$H$5:$H$3004,"&lt;&gt;Remarcado")&gt;0,"Sim","Não"))</f>
        <v>Sim</v>
      </c>
      <c r="S351" s="32">
        <f>IF(R351&lt;&gt;"Não","",IF(Q351+Config!$B$9&lt;=Config!$B$8,Config!$B$8-Q351,""))</f>
        <v/>
      </c>
      <c r="T351" s="26">
        <f>IF(S351="","","Sim")</f>
        <v/>
      </c>
      <c r="U351" s="41">
        <f>IF(T351="Sim",S351+ROW()/100000,0)</f>
        <v>0</v>
      </c>
      <c r="V351" s="41">
        <f>IF(AND(H351="Falta",L351=Config!$B$7,M351=Config!$B$5,COUNTIFS($E$5:E351,E351,$H$5:H351,"Falta",$L$5:L351,Config!$B$7,$M$5:M351,Config!$B$5)=1),COUNTIFS($E$5:$E$3004,E351,$H$5:$H$3004,"Falta",$L$5:$L$3004,Config!$B$7,$M$5:$M$3004,Config!$B$5)*1000-ROW()/100000,0)</f>
        <v>0</v>
      </c>
    </row>
    <row r="352">
      <c r="A352" s="39" t="n">
        <v>46210</v>
      </c>
      <c r="B352" s="40" t="n">
        <v>0.3333333333333333</v>
      </c>
      <c r="C352" s="35" t="inlineStr">
        <is>
          <t>Dra. Carolina Mendes</t>
        </is>
      </c>
      <c r="D352" s="35" t="inlineStr">
        <is>
          <t>Sala 1</t>
        </is>
      </c>
      <c r="E352" s="34" t="inlineStr">
        <is>
          <t>Marcelo Santos</t>
        </is>
      </c>
      <c r="F352" s="35" t="inlineStr">
        <is>
          <t>Particular</t>
        </is>
      </c>
      <c r="G352" s="35" t="inlineStr">
        <is>
          <t>Consulta</t>
        </is>
      </c>
      <c r="H352" s="35" t="inlineStr">
        <is>
          <t>Realizado</t>
        </is>
      </c>
      <c r="I352" s="35" t="inlineStr">
        <is>
          <t>Pix</t>
        </is>
      </c>
      <c r="J352" s="35" t="n"/>
      <c r="K352" s="34" t="n"/>
      <c r="L352" s="26">
        <f>IF(A352="","",MONTH(A352))</f>
        <v>7</v>
      </c>
      <c r="M352" s="26">
        <f>IF(A352="","",YEAR(A352))</f>
        <v>2026</v>
      </c>
      <c r="N352" s="26" t="str">
        <f>IF(A352="","",CHOOSE(WEEKDAY(A352,2),"Segunda","Terça","Quarta","Quinta","Sexta","Sábado","Domingo"))</f>
        <v>Terça</v>
      </c>
      <c r="O352" s="26" t="str">
        <f>IF(B352="","",IF(B352&lt;TIME(12,0,0),"Manhã",IF(B352&lt;TIME(18,0,0),"Tarde","Noite")))</f>
        <v>Manhã</v>
      </c>
      <c r="P352" s="32">
        <f>IF(G352="","",IFERROR(INDEX(Config!$I$5:$I$16,MATCH(G352,Config!$H$5:$H$16,0)),0))</f>
        <v>30</v>
      </c>
      <c r="Q352" s="30">
        <f>IF(OR(H352&lt;&gt;"Realizado",P352="",P352=0),"",A352+P352)</f>
        <v>46240.0</v>
      </c>
      <c r="R352" s="26" t="str">
        <f>IF(Q352="","",IF(COUNTIFS($E$5:$E$3004,E352,$A$5:$A$3004,"&gt;"&amp;A352,$H$5:$H$3004,"&lt;&gt;Falta",$H$5:$H$3004,"&lt;&gt;Cancelado",$H$5:$H$3004,"&lt;&gt;Remarcado")&gt;0,"Sim","Não"))</f>
        <v>Sim</v>
      </c>
      <c r="S352" s="32">
        <f>IF(R352&lt;&gt;"Não","",IF(Q352+Config!$B$9&lt;=Config!$B$8,Config!$B$8-Q352,""))</f>
        <v/>
      </c>
      <c r="T352" s="26">
        <f>IF(S352="","","Sim")</f>
        <v/>
      </c>
      <c r="U352" s="41">
        <f>IF(T352="Sim",S352+ROW()/100000,0)</f>
        <v>0</v>
      </c>
      <c r="V352" s="41">
        <f>IF(AND(H352="Falta",L352=Config!$B$7,M352=Config!$B$5,COUNTIFS($E$5:E352,E352,$H$5:H352,"Falta",$L$5:L352,Config!$B$7,$M$5:M352,Config!$B$5)=1),COUNTIFS($E$5:$E$3004,E352,$H$5:$H$3004,"Falta",$L$5:$L$3004,Config!$B$7,$M$5:$M$3004,Config!$B$5)*1000-ROW()/100000,0)</f>
        <v>0</v>
      </c>
    </row>
    <row r="353">
      <c r="A353" s="39" t="n">
        <v>46210</v>
      </c>
      <c r="B353" s="40" t="n">
        <v>0.3541666666666667</v>
      </c>
      <c r="C353" s="35" t="inlineStr">
        <is>
          <t>Dra. Carolina Mendes</t>
        </is>
      </c>
      <c r="D353" s="35" t="inlineStr">
        <is>
          <t>Sala 1</t>
        </is>
      </c>
      <c r="E353" s="34" t="inlineStr">
        <is>
          <t>Regina Teixeira</t>
        </is>
      </c>
      <c r="F353" s="35" t="inlineStr">
        <is>
          <t>Particular</t>
        </is>
      </c>
      <c r="G353" s="35" t="inlineStr">
        <is>
          <t>Consulta</t>
        </is>
      </c>
      <c r="H353" s="35" t="inlineStr">
        <is>
          <t>Realizado</t>
        </is>
      </c>
      <c r="I353" s="35" t="inlineStr">
        <is>
          <t>Pix</t>
        </is>
      </c>
      <c r="J353" s="35" t="n"/>
      <c r="K353" s="34" t="n"/>
      <c r="L353" s="26">
        <f>IF(A353="","",MONTH(A353))</f>
        <v>7</v>
      </c>
      <c r="M353" s="26">
        <f>IF(A353="","",YEAR(A353))</f>
        <v>2026</v>
      </c>
      <c r="N353" s="26" t="str">
        <f>IF(A353="","",CHOOSE(WEEKDAY(A353,2),"Segunda","Terça","Quarta","Quinta","Sexta","Sábado","Domingo"))</f>
        <v>Terça</v>
      </c>
      <c r="O353" s="26" t="str">
        <f>IF(B353="","",IF(B353&lt;TIME(12,0,0),"Manhã",IF(B353&lt;TIME(18,0,0),"Tarde","Noite")))</f>
        <v>Manhã</v>
      </c>
      <c r="P353" s="32">
        <f>IF(G353="","",IFERROR(INDEX(Config!$I$5:$I$16,MATCH(G353,Config!$H$5:$H$16,0)),0))</f>
        <v>30</v>
      </c>
      <c r="Q353" s="30">
        <f>IF(OR(H353&lt;&gt;"Realizado",P353="",P353=0),"",A353+P353)</f>
        <v>46240.0</v>
      </c>
      <c r="R353" s="26" t="str">
        <f>IF(Q353="","",IF(COUNTIFS($E$5:$E$3004,E353,$A$5:$A$3004,"&gt;"&amp;A353,$H$5:$H$3004,"&lt;&gt;Falta",$H$5:$H$3004,"&lt;&gt;Cancelado",$H$5:$H$3004,"&lt;&gt;Remarcado")&gt;0,"Sim","Não"))</f>
        <v>Sim</v>
      </c>
      <c r="S353" s="32">
        <f>IF(R353&lt;&gt;"Não","",IF(Q353+Config!$B$9&lt;=Config!$B$8,Config!$B$8-Q353,""))</f>
        <v/>
      </c>
      <c r="T353" s="26">
        <f>IF(S353="","","Sim")</f>
        <v/>
      </c>
      <c r="U353" s="41">
        <f>IF(T353="Sim",S353+ROW()/100000,0)</f>
        <v>0</v>
      </c>
      <c r="V353" s="41">
        <f>IF(AND(H353="Falta",L353=Config!$B$7,M353=Config!$B$5,COUNTIFS($E$5:E353,E353,$H$5:H353,"Falta",$L$5:L353,Config!$B$7,$M$5:M353,Config!$B$5)=1),COUNTIFS($E$5:$E$3004,E353,$H$5:$H$3004,"Falta",$L$5:$L$3004,Config!$B$7,$M$5:$M$3004,Config!$B$5)*1000-ROW()/100000,0)</f>
        <v>0</v>
      </c>
    </row>
    <row r="354">
      <c r="A354" s="39" t="n">
        <v>46210</v>
      </c>
      <c r="B354" s="40" t="n">
        <v>0.375</v>
      </c>
      <c r="C354" s="35" t="inlineStr">
        <is>
          <t>Dra. Carolina Mendes</t>
        </is>
      </c>
      <c r="D354" s="35" t="inlineStr">
        <is>
          <t>Sala 1</t>
        </is>
      </c>
      <c r="E354" s="34" t="inlineStr">
        <is>
          <t>Wagner Santos</t>
        </is>
      </c>
      <c r="F354" s="35" t="inlineStr">
        <is>
          <t>Particular</t>
        </is>
      </c>
      <c r="G354" s="35" t="inlineStr">
        <is>
          <t>Retorno</t>
        </is>
      </c>
      <c r="H354" s="35" t="inlineStr">
        <is>
          <t>Realizado</t>
        </is>
      </c>
      <c r="I354" s="35" t="inlineStr">
        <is>
          <t>Sem cobrança</t>
        </is>
      </c>
      <c r="J354" s="35" t="n"/>
      <c r="K354" s="34" t="n"/>
      <c r="L354" s="26">
        <f>IF(A354="","",MONTH(A354))</f>
        <v>7</v>
      </c>
      <c r="M354" s="26">
        <f>IF(A354="","",YEAR(A354))</f>
        <v>2026</v>
      </c>
      <c r="N354" s="26" t="str">
        <f>IF(A354="","",CHOOSE(WEEKDAY(A354,2),"Segunda","Terça","Quarta","Quinta","Sexta","Sábado","Domingo"))</f>
        <v>Terça</v>
      </c>
      <c r="O354" s="26" t="str">
        <f>IF(B354="","",IF(B354&lt;TIME(12,0,0),"Manhã",IF(B354&lt;TIME(18,0,0),"Tarde","Noite")))</f>
        <v>Manhã</v>
      </c>
      <c r="P354" s="32">
        <f>IF(G354="","",IFERROR(INDEX(Config!$I$5:$I$16,MATCH(G354,Config!$H$5:$H$16,0)),0))</f>
        <v>0</v>
      </c>
      <c r="Q354" s="30">
        <f>IF(OR(H354&lt;&gt;"Realizado",P354="",P354=0),"",A354+P354)</f>
        <v/>
      </c>
      <c r="R354" s="26">
        <f>IF(Q354="","",IF(COUNTIFS($E$5:$E$3004,E354,$A$5:$A$3004,"&gt;"&amp;A354,$H$5:$H$3004,"&lt;&gt;Falta",$H$5:$H$3004,"&lt;&gt;Cancelado",$H$5:$H$3004,"&lt;&gt;Remarcado")&gt;0,"Sim","Não"))</f>
        <v/>
      </c>
      <c r="S354" s="32">
        <f>IF(R354&lt;&gt;"Não","",IF(Q354+Config!$B$9&lt;=Config!$B$8,Config!$B$8-Q354,""))</f>
        <v/>
      </c>
      <c r="T354" s="26">
        <f>IF(S354="","","Sim")</f>
        <v/>
      </c>
      <c r="U354" s="41">
        <f>IF(T354="Sim",S354+ROW()/100000,0)</f>
        <v>0</v>
      </c>
      <c r="V354" s="41">
        <f>IF(AND(H354="Falta",L354=Config!$B$7,M354=Config!$B$5,COUNTIFS($E$5:E354,E354,$H$5:H354,"Falta",$L$5:L354,Config!$B$7,$M$5:M354,Config!$B$5)=1),COUNTIFS($E$5:$E$3004,E354,$H$5:$H$3004,"Falta",$L$5:$L$3004,Config!$B$7,$M$5:$M$3004,Config!$B$5)*1000-ROW()/100000,0)</f>
        <v>0</v>
      </c>
    </row>
    <row r="355">
      <c r="A355" s="39" t="n">
        <v>46210</v>
      </c>
      <c r="B355" s="40" t="n">
        <v>0.4097222222222222</v>
      </c>
      <c r="C355" s="35" t="inlineStr">
        <is>
          <t>Dra. Carolina Mendes</t>
        </is>
      </c>
      <c r="D355" s="35" t="inlineStr">
        <is>
          <t>Sala 1</t>
        </is>
      </c>
      <c r="E355" s="34" t="inlineStr">
        <is>
          <t>Gisele Ribeiro</t>
        </is>
      </c>
      <c r="F355" s="35" t="inlineStr">
        <is>
          <t>Particular</t>
        </is>
      </c>
      <c r="G355" s="35" t="inlineStr">
        <is>
          <t>Consulta</t>
        </is>
      </c>
      <c r="H355" s="35" t="inlineStr">
        <is>
          <t>Realizado</t>
        </is>
      </c>
      <c r="I355" s="35" t="inlineStr">
        <is>
          <t>Pix</t>
        </is>
      </c>
      <c r="J355" s="35" t="n"/>
      <c r="K355" s="34" t="n"/>
      <c r="L355" s="26">
        <f>IF(A355="","",MONTH(A355))</f>
        <v>7</v>
      </c>
      <c r="M355" s="26">
        <f>IF(A355="","",YEAR(A355))</f>
        <v>2026</v>
      </c>
      <c r="N355" s="26" t="str">
        <f>IF(A355="","",CHOOSE(WEEKDAY(A355,2),"Segunda","Terça","Quarta","Quinta","Sexta","Sábado","Domingo"))</f>
        <v>Terça</v>
      </c>
      <c r="O355" s="26" t="str">
        <f>IF(B355="","",IF(B355&lt;TIME(12,0,0),"Manhã",IF(B355&lt;TIME(18,0,0),"Tarde","Noite")))</f>
        <v>Manhã</v>
      </c>
      <c r="P355" s="32">
        <f>IF(G355="","",IFERROR(INDEX(Config!$I$5:$I$16,MATCH(G355,Config!$H$5:$H$16,0)),0))</f>
        <v>30</v>
      </c>
      <c r="Q355" s="30">
        <f>IF(OR(H355&lt;&gt;"Realizado",P355="",P355=0),"",A355+P355)</f>
        <v>46240.0</v>
      </c>
      <c r="R355" s="26" t="str">
        <f>IF(Q355="","",IF(COUNTIFS($E$5:$E$3004,E355,$A$5:$A$3004,"&gt;"&amp;A355,$H$5:$H$3004,"&lt;&gt;Falta",$H$5:$H$3004,"&lt;&gt;Cancelado",$H$5:$H$3004,"&lt;&gt;Remarcado")&gt;0,"Sim","Não"))</f>
        <v>Sim</v>
      </c>
      <c r="S355" s="32">
        <f>IF(R355&lt;&gt;"Não","",IF(Q355+Config!$B$9&lt;=Config!$B$8,Config!$B$8-Q355,""))</f>
        <v/>
      </c>
      <c r="T355" s="26">
        <f>IF(S355="","","Sim")</f>
        <v/>
      </c>
      <c r="U355" s="41">
        <f>IF(T355="Sim",S355+ROW()/100000,0)</f>
        <v>0</v>
      </c>
      <c r="V355" s="41">
        <f>IF(AND(H355="Falta",L355=Config!$B$7,M355=Config!$B$5,COUNTIFS($E$5:E355,E355,$H$5:H355,"Falta",$L$5:L355,Config!$B$7,$M$5:M355,Config!$B$5)=1),COUNTIFS($E$5:$E$3004,E355,$H$5:$H$3004,"Falta",$L$5:$L$3004,Config!$B$7,$M$5:$M$3004,Config!$B$5)*1000-ROW()/100000,0)</f>
        <v>0</v>
      </c>
    </row>
    <row r="356">
      <c r="A356" s="39" t="n">
        <v>46210</v>
      </c>
      <c r="B356" s="40" t="n">
        <v>0.4305555555555556</v>
      </c>
      <c r="C356" s="35" t="inlineStr">
        <is>
          <t>Dra. Carolina Mendes</t>
        </is>
      </c>
      <c r="D356" s="35" t="inlineStr">
        <is>
          <t>Sala 1</t>
        </is>
      </c>
      <c r="E356" s="34" t="inlineStr">
        <is>
          <t>Daniel Melo</t>
        </is>
      </c>
      <c r="F356" s="35" t="inlineStr">
        <is>
          <t>Saúde Total</t>
        </is>
      </c>
      <c r="G356" s="35" t="inlineStr">
        <is>
          <t>Consulta</t>
        </is>
      </c>
      <c r="H356" s="35" t="inlineStr">
        <is>
          <t>Realizado</t>
        </is>
      </c>
      <c r="I356" s="35" t="inlineStr">
        <is>
          <t>Convênio</t>
        </is>
      </c>
      <c r="J356" s="35" t="n"/>
      <c r="K356" s="34" t="n"/>
      <c r="L356" s="26">
        <f>IF(A356="","",MONTH(A356))</f>
        <v>7</v>
      </c>
      <c r="M356" s="26">
        <f>IF(A356="","",YEAR(A356))</f>
        <v>2026</v>
      </c>
      <c r="N356" s="26" t="str">
        <f>IF(A356="","",CHOOSE(WEEKDAY(A356,2),"Segunda","Terça","Quarta","Quinta","Sexta","Sábado","Domingo"))</f>
        <v>Terça</v>
      </c>
      <c r="O356" s="26" t="str">
        <f>IF(B356="","",IF(B356&lt;TIME(12,0,0),"Manhã",IF(B356&lt;TIME(18,0,0),"Tarde","Noite")))</f>
        <v>Manhã</v>
      </c>
      <c r="P356" s="32">
        <f>IF(G356="","",IFERROR(INDEX(Config!$I$5:$I$16,MATCH(G356,Config!$H$5:$H$16,0)),0))</f>
        <v>30</v>
      </c>
      <c r="Q356" s="30">
        <f>IF(OR(H356&lt;&gt;"Realizado",P356="",P356=0),"",A356+P356)</f>
        <v>46240.0</v>
      </c>
      <c r="R356" s="26" t="str">
        <f>IF(Q356="","",IF(COUNTIFS($E$5:$E$3004,E356,$A$5:$A$3004,"&gt;"&amp;A356,$H$5:$H$3004,"&lt;&gt;Falta",$H$5:$H$3004,"&lt;&gt;Cancelado",$H$5:$H$3004,"&lt;&gt;Remarcado")&gt;0,"Sim","Não"))</f>
        <v>Sim</v>
      </c>
      <c r="S356" s="32">
        <f>IF(R356&lt;&gt;"Não","",IF(Q356+Config!$B$9&lt;=Config!$B$8,Config!$B$8-Q356,""))</f>
        <v/>
      </c>
      <c r="T356" s="26">
        <f>IF(S356="","","Sim")</f>
        <v/>
      </c>
      <c r="U356" s="41">
        <f>IF(T356="Sim",S356+ROW()/100000,0)</f>
        <v>0</v>
      </c>
      <c r="V356" s="41">
        <f>IF(AND(H356="Falta",L356=Config!$B$7,M356=Config!$B$5,COUNTIFS($E$5:E356,E356,$H$5:H356,"Falta",$L$5:L356,Config!$B$7,$M$5:M356,Config!$B$5)=1),COUNTIFS($E$5:$E$3004,E356,$H$5:$H$3004,"Falta",$L$5:$L$3004,Config!$B$7,$M$5:$M$3004,Config!$B$5)*1000-ROW()/100000,0)</f>
        <v>0</v>
      </c>
    </row>
    <row r="357">
      <c r="A357" s="39" t="n">
        <v>46210</v>
      </c>
      <c r="B357" s="40" t="n">
        <v>0.4513888888888889</v>
      </c>
      <c r="C357" s="35" t="inlineStr">
        <is>
          <t>Dra. Carolina Mendes</t>
        </is>
      </c>
      <c r="D357" s="35" t="inlineStr">
        <is>
          <t>Sala 1</t>
        </is>
      </c>
      <c r="E357" s="34" t="inlineStr">
        <is>
          <t>Gustavo Ferreira</t>
        </is>
      </c>
      <c r="F357" s="35" t="inlineStr">
        <is>
          <t>Particular</t>
        </is>
      </c>
      <c r="G357" s="35" t="inlineStr">
        <is>
          <t>Consulta</t>
        </is>
      </c>
      <c r="H357" s="35" t="inlineStr">
        <is>
          <t>Realizado</t>
        </is>
      </c>
      <c r="I357" s="35" t="inlineStr">
        <is>
          <t>A prazo</t>
        </is>
      </c>
      <c r="J357" s="35" t="n"/>
      <c r="K357" s="34" t="n"/>
      <c r="L357" s="26">
        <f>IF(A357="","",MONTH(A357))</f>
        <v>7</v>
      </c>
      <c r="M357" s="26">
        <f>IF(A357="","",YEAR(A357))</f>
        <v>2026</v>
      </c>
      <c r="N357" s="26" t="str">
        <f>IF(A357="","",CHOOSE(WEEKDAY(A357,2),"Segunda","Terça","Quarta","Quinta","Sexta","Sábado","Domingo"))</f>
        <v>Terça</v>
      </c>
      <c r="O357" s="26" t="str">
        <f>IF(B357="","",IF(B357&lt;TIME(12,0,0),"Manhã",IF(B357&lt;TIME(18,0,0),"Tarde","Noite")))</f>
        <v>Manhã</v>
      </c>
      <c r="P357" s="32">
        <f>IF(G357="","",IFERROR(INDEX(Config!$I$5:$I$16,MATCH(G357,Config!$H$5:$H$16,0)),0))</f>
        <v>30</v>
      </c>
      <c r="Q357" s="30">
        <f>IF(OR(H357&lt;&gt;"Realizado",P357="",P357=0),"",A357+P357)</f>
        <v>46240.0</v>
      </c>
      <c r="R357" s="26" t="str">
        <f>IF(Q357="","",IF(COUNTIFS($E$5:$E$3004,E357,$A$5:$A$3004,"&gt;"&amp;A357,$H$5:$H$3004,"&lt;&gt;Falta",$H$5:$H$3004,"&lt;&gt;Cancelado",$H$5:$H$3004,"&lt;&gt;Remarcado")&gt;0,"Sim","Não"))</f>
        <v>Sim</v>
      </c>
      <c r="S357" s="32">
        <f>IF(R357&lt;&gt;"Não","",IF(Q357+Config!$B$9&lt;=Config!$B$8,Config!$B$8-Q357,""))</f>
        <v/>
      </c>
      <c r="T357" s="26">
        <f>IF(S357="","","Sim")</f>
        <v/>
      </c>
      <c r="U357" s="41">
        <f>IF(T357="Sim",S357+ROW()/100000,0)</f>
        <v>0</v>
      </c>
      <c r="V357" s="41">
        <f>IF(AND(H357="Falta",L357=Config!$B$7,M357=Config!$B$5,COUNTIFS($E$5:E357,E357,$H$5:H357,"Falta",$L$5:L357,Config!$B$7,$M$5:M357,Config!$B$5)=1),COUNTIFS($E$5:$E$3004,E357,$H$5:$H$3004,"Falta",$L$5:$L$3004,Config!$B$7,$M$5:$M$3004,Config!$B$5)*1000-ROW()/100000,0)</f>
        <v>0</v>
      </c>
    </row>
    <row r="358">
      <c r="A358" s="39" t="n">
        <v>46210</v>
      </c>
      <c r="B358" s="40" t="n">
        <v>0.5833333333333334</v>
      </c>
      <c r="C358" s="35" t="inlineStr">
        <is>
          <t>Dra. Renata Sousa</t>
        </is>
      </c>
      <c r="D358" s="35" t="inlineStr">
        <is>
          <t>Sala 1</t>
        </is>
      </c>
      <c r="E358" s="34" t="inlineStr">
        <is>
          <t>Paulo Freitas</t>
        </is>
      </c>
      <c r="F358" s="35" t="inlineStr">
        <is>
          <t>Saúde Total</t>
        </is>
      </c>
      <c r="G358" s="35" t="inlineStr">
        <is>
          <t>Retorno</t>
        </is>
      </c>
      <c r="H358" s="35" t="inlineStr">
        <is>
          <t>Realizado</t>
        </is>
      </c>
      <c r="I358" s="35" t="inlineStr">
        <is>
          <t>Sem cobrança</t>
        </is>
      </c>
      <c r="J358" s="35" t="n"/>
      <c r="K358" s="34" t="n"/>
      <c r="L358" s="26">
        <f>IF(A358="","",MONTH(A358))</f>
        <v>7</v>
      </c>
      <c r="M358" s="26">
        <f>IF(A358="","",YEAR(A358))</f>
        <v>2026</v>
      </c>
      <c r="N358" s="26" t="str">
        <f>IF(A358="","",CHOOSE(WEEKDAY(A358,2),"Segunda","Terça","Quarta","Quinta","Sexta","Sábado","Domingo"))</f>
        <v>Terça</v>
      </c>
      <c r="O358" s="26" t="str">
        <f>IF(B358="","",IF(B358&lt;TIME(12,0,0),"Manhã",IF(B358&lt;TIME(18,0,0),"Tarde","Noite")))</f>
        <v>Tarde</v>
      </c>
      <c r="P358" s="32">
        <f>IF(G358="","",IFERROR(INDEX(Config!$I$5:$I$16,MATCH(G358,Config!$H$5:$H$16,0)),0))</f>
        <v>0</v>
      </c>
      <c r="Q358" s="30">
        <f>IF(OR(H358&lt;&gt;"Realizado",P358="",P358=0),"",A358+P358)</f>
        <v/>
      </c>
      <c r="R358" s="26">
        <f>IF(Q358="","",IF(COUNTIFS($E$5:$E$3004,E358,$A$5:$A$3004,"&gt;"&amp;A358,$H$5:$H$3004,"&lt;&gt;Falta",$H$5:$H$3004,"&lt;&gt;Cancelado",$H$5:$H$3004,"&lt;&gt;Remarcado")&gt;0,"Sim","Não"))</f>
        <v/>
      </c>
      <c r="S358" s="32">
        <f>IF(R358&lt;&gt;"Não","",IF(Q358+Config!$B$9&lt;=Config!$B$8,Config!$B$8-Q358,""))</f>
        <v/>
      </c>
      <c r="T358" s="26">
        <f>IF(S358="","","Sim")</f>
        <v/>
      </c>
      <c r="U358" s="41">
        <f>IF(T358="Sim",S358+ROW()/100000,0)</f>
        <v>0</v>
      </c>
      <c r="V358" s="41">
        <f>IF(AND(H358="Falta",L358=Config!$B$7,M358=Config!$B$5,COUNTIFS($E$5:E358,E358,$H$5:H358,"Falta",$L$5:L358,Config!$B$7,$M$5:M358,Config!$B$5)=1),COUNTIFS($E$5:$E$3004,E358,$H$5:$H$3004,"Falta",$L$5:$L$3004,Config!$B$7,$M$5:$M$3004,Config!$B$5)*1000-ROW()/100000,0)</f>
        <v>0</v>
      </c>
    </row>
    <row r="359">
      <c r="A359" s="39" t="n">
        <v>46210</v>
      </c>
      <c r="B359" s="40" t="n">
        <v>0.5972222222222222</v>
      </c>
      <c r="C359" s="35" t="inlineStr">
        <is>
          <t>Dra. Renata Sousa</t>
        </is>
      </c>
      <c r="D359" s="35" t="inlineStr">
        <is>
          <t>Sala 1</t>
        </is>
      </c>
      <c r="E359" s="34" t="inlineStr">
        <is>
          <t>Carlos Gonçalves</t>
        </is>
      </c>
      <c r="F359" s="35" t="inlineStr">
        <is>
          <t>Saúde Total</t>
        </is>
      </c>
      <c r="G359" s="35" t="inlineStr">
        <is>
          <t>Avaliação endócrina</t>
        </is>
      </c>
      <c r="H359" s="35" t="inlineStr">
        <is>
          <t>Falta</t>
        </is>
      </c>
      <c r="I359" s="35" t="n"/>
      <c r="J359" s="35" t="n"/>
      <c r="K359" s="34" t="n"/>
      <c r="L359" s="26">
        <f>IF(A359="","",MONTH(A359))</f>
        <v>7</v>
      </c>
      <c r="M359" s="26">
        <f>IF(A359="","",YEAR(A359))</f>
        <v>2026</v>
      </c>
      <c r="N359" s="26" t="str">
        <f>IF(A359="","",CHOOSE(WEEKDAY(A359,2),"Segunda","Terça","Quarta","Quinta","Sexta","Sábado","Domingo"))</f>
        <v>Terça</v>
      </c>
      <c r="O359" s="26" t="str">
        <f>IF(B359="","",IF(B359&lt;TIME(12,0,0),"Manhã",IF(B359&lt;TIME(18,0,0),"Tarde","Noite")))</f>
        <v>Tarde</v>
      </c>
      <c r="P359" s="32">
        <f>IF(G359="","",IFERROR(INDEX(Config!$I$5:$I$16,MATCH(G359,Config!$H$5:$H$16,0)),0))</f>
        <v>45</v>
      </c>
      <c r="Q359" s="30">
        <f>IF(OR(H359&lt;&gt;"Realizado",P359="",P359=0),"",A359+P359)</f>
        <v/>
      </c>
      <c r="R359" s="26">
        <f>IF(Q359="","",IF(COUNTIFS($E$5:$E$3004,E359,$A$5:$A$3004,"&gt;"&amp;A359,$H$5:$H$3004,"&lt;&gt;Falta",$H$5:$H$3004,"&lt;&gt;Cancelado",$H$5:$H$3004,"&lt;&gt;Remarcado")&gt;0,"Sim","Não"))</f>
        <v/>
      </c>
      <c r="S359" s="32">
        <f>IF(R359&lt;&gt;"Não","",IF(Q359+Config!$B$9&lt;=Config!$B$8,Config!$B$8-Q359,""))</f>
        <v/>
      </c>
      <c r="T359" s="26">
        <f>IF(S359="","","Sim")</f>
        <v/>
      </c>
      <c r="U359" s="41">
        <f>IF(T359="Sim",S359+ROW()/100000,0)</f>
        <v>0</v>
      </c>
      <c r="V359" s="41">
        <f>IF(AND(H359="Falta",L359=Config!$B$7,M359=Config!$B$5,COUNTIFS($E$5:E359,E359,$H$5:H359,"Falta",$L$5:L359,Config!$B$7,$M$5:M359,Config!$B$5)=1),COUNTIFS($E$5:$E$3004,E359,$H$5:$H$3004,"Falta",$L$5:$L$3004,Config!$B$7,$M$5:$M$3004,Config!$B$5)*1000-ROW()/100000,0)</f>
        <v>0</v>
      </c>
    </row>
    <row r="360">
      <c r="A360" s="39" t="n">
        <v>46210</v>
      </c>
      <c r="B360" s="40" t="n">
        <v>0.6041666666666666</v>
      </c>
      <c r="C360" s="35" t="inlineStr">
        <is>
          <t>Dr. Paulo Andrade</t>
        </is>
      </c>
      <c r="D360" s="35" t="inlineStr">
        <is>
          <t>Sala 2</t>
        </is>
      </c>
      <c r="E360" s="34" t="inlineStr">
        <is>
          <t>Eduardo Reis</t>
        </is>
      </c>
      <c r="F360" s="35" t="inlineStr">
        <is>
          <t>Vida Care</t>
        </is>
      </c>
      <c r="G360" s="35" t="inlineStr">
        <is>
          <t>Teste ergométrico</t>
        </is>
      </c>
      <c r="H360" s="35" t="inlineStr">
        <is>
          <t>Realizado</t>
        </is>
      </c>
      <c r="I360" s="35" t="inlineStr">
        <is>
          <t>Convênio</t>
        </is>
      </c>
      <c r="J360" s="35" t="n"/>
      <c r="K360" s="34" t="n"/>
      <c r="L360" s="26">
        <f>IF(A360="","",MONTH(A360))</f>
        <v>7</v>
      </c>
      <c r="M360" s="26">
        <f>IF(A360="","",YEAR(A360))</f>
        <v>2026</v>
      </c>
      <c r="N360" s="26" t="str">
        <f>IF(A360="","",CHOOSE(WEEKDAY(A360,2),"Segunda","Terça","Quarta","Quinta","Sexta","Sábado","Domingo"))</f>
        <v>Terça</v>
      </c>
      <c r="O360" s="26" t="str">
        <f>IF(B360="","",IF(B360&lt;TIME(12,0,0),"Manhã",IF(B360&lt;TIME(18,0,0),"Tarde","Noite")))</f>
        <v>Tarde</v>
      </c>
      <c r="P360" s="32">
        <f>IF(G360="","",IFERROR(INDEX(Config!$I$5:$I$16,MATCH(G360,Config!$H$5:$H$16,0)),0))</f>
        <v>0</v>
      </c>
      <c r="Q360" s="30">
        <f>IF(OR(H360&lt;&gt;"Realizado",P360="",P360=0),"",A360+P360)</f>
        <v/>
      </c>
      <c r="R360" s="26">
        <f>IF(Q360="","",IF(COUNTIFS($E$5:$E$3004,E360,$A$5:$A$3004,"&gt;"&amp;A360,$H$5:$H$3004,"&lt;&gt;Falta",$H$5:$H$3004,"&lt;&gt;Cancelado",$H$5:$H$3004,"&lt;&gt;Remarcado")&gt;0,"Sim","Não"))</f>
        <v/>
      </c>
      <c r="S360" s="32">
        <f>IF(R360&lt;&gt;"Não","",IF(Q360+Config!$B$9&lt;=Config!$B$8,Config!$B$8-Q360,""))</f>
        <v/>
      </c>
      <c r="T360" s="26">
        <f>IF(S360="","","Sim")</f>
        <v/>
      </c>
      <c r="U360" s="41">
        <f>IF(T360="Sim",S360+ROW()/100000,0)</f>
        <v>0</v>
      </c>
      <c r="V360" s="41">
        <f>IF(AND(H360="Falta",L360=Config!$B$7,M360=Config!$B$5,COUNTIFS($E$5:E360,E360,$H$5:H360,"Falta",$L$5:L360,Config!$B$7,$M$5:M360,Config!$B$5)=1),COUNTIFS($E$5:$E$3004,E360,$H$5:$H$3004,"Falta",$L$5:$L$3004,Config!$B$7,$M$5:$M$3004,Config!$B$5)*1000-ROW()/100000,0)</f>
        <v>0</v>
      </c>
    </row>
    <row r="361">
      <c r="A361" s="39" t="n">
        <v>46210</v>
      </c>
      <c r="B361" s="40" t="n">
        <v>0.625</v>
      </c>
      <c r="C361" s="35" t="inlineStr">
        <is>
          <t>Dra. Renata Sousa</t>
        </is>
      </c>
      <c r="D361" s="35" t="inlineStr">
        <is>
          <t>Sala 1</t>
        </is>
      </c>
      <c r="E361" s="34" t="inlineStr">
        <is>
          <t>Gabriel Reis</t>
        </is>
      </c>
      <c r="F361" s="35" t="inlineStr">
        <is>
          <t>Particular</t>
        </is>
      </c>
      <c r="G361" s="35" t="inlineStr">
        <is>
          <t>Retorno</t>
        </is>
      </c>
      <c r="H361" s="35" t="inlineStr">
        <is>
          <t>Realizado</t>
        </is>
      </c>
      <c r="I361" s="35" t="inlineStr">
        <is>
          <t>Sem cobrança</t>
        </is>
      </c>
      <c r="J361" s="35" t="n"/>
      <c r="K361" s="34" t="n"/>
      <c r="L361" s="26">
        <f>IF(A361="","",MONTH(A361))</f>
        <v>7</v>
      </c>
      <c r="M361" s="26">
        <f>IF(A361="","",YEAR(A361))</f>
        <v>2026</v>
      </c>
      <c r="N361" s="26" t="str">
        <f>IF(A361="","",CHOOSE(WEEKDAY(A361,2),"Segunda","Terça","Quarta","Quinta","Sexta","Sábado","Domingo"))</f>
        <v>Terça</v>
      </c>
      <c r="O361" s="26" t="str">
        <f>IF(B361="","",IF(B361&lt;TIME(12,0,0),"Manhã",IF(B361&lt;TIME(18,0,0),"Tarde","Noite")))</f>
        <v>Tarde</v>
      </c>
      <c r="P361" s="32">
        <f>IF(G361="","",IFERROR(INDEX(Config!$I$5:$I$16,MATCH(G361,Config!$H$5:$H$16,0)),0))</f>
        <v>0</v>
      </c>
      <c r="Q361" s="30">
        <f>IF(OR(H361&lt;&gt;"Realizado",P361="",P361=0),"",A361+P361)</f>
        <v/>
      </c>
      <c r="R361" s="26">
        <f>IF(Q361="","",IF(COUNTIFS($E$5:$E$3004,E361,$A$5:$A$3004,"&gt;"&amp;A361,$H$5:$H$3004,"&lt;&gt;Falta",$H$5:$H$3004,"&lt;&gt;Cancelado",$H$5:$H$3004,"&lt;&gt;Remarcado")&gt;0,"Sim","Não"))</f>
        <v/>
      </c>
      <c r="S361" s="32">
        <f>IF(R361&lt;&gt;"Não","",IF(Q361+Config!$B$9&lt;=Config!$B$8,Config!$B$8-Q361,""))</f>
        <v/>
      </c>
      <c r="T361" s="26">
        <f>IF(S361="","","Sim")</f>
        <v/>
      </c>
      <c r="U361" s="41">
        <f>IF(T361="Sim",S361+ROW()/100000,0)</f>
        <v>0</v>
      </c>
      <c r="V361" s="41">
        <f>IF(AND(H361="Falta",L361=Config!$B$7,M361=Config!$B$5,COUNTIFS($E$5:E361,E361,$H$5:H361,"Falta",$L$5:L361,Config!$B$7,$M$5:M361,Config!$B$5)=1),COUNTIFS($E$5:$E$3004,E361,$H$5:$H$3004,"Falta",$L$5:$L$3004,Config!$B$7,$M$5:$M$3004,Config!$B$5)*1000-ROW()/100000,0)</f>
        <v>0</v>
      </c>
    </row>
    <row r="362">
      <c r="A362" s="39" t="n">
        <v>46210</v>
      </c>
      <c r="B362" s="40" t="n">
        <v>0.6319444444444444</v>
      </c>
      <c r="C362" s="35" t="inlineStr">
        <is>
          <t>Dr. Paulo Andrade</t>
        </is>
      </c>
      <c r="D362" s="35" t="inlineStr">
        <is>
          <t>Sala 2</t>
        </is>
      </c>
      <c r="E362" s="34" t="inlineStr">
        <is>
          <t>Rafael Barros</t>
        </is>
      </c>
      <c r="F362" s="35" t="inlineStr">
        <is>
          <t>Particular</t>
        </is>
      </c>
      <c r="G362" s="35" t="inlineStr">
        <is>
          <t>Retorno</t>
        </is>
      </c>
      <c r="H362" s="35" t="inlineStr">
        <is>
          <t>Realizado</t>
        </is>
      </c>
      <c r="I362" s="35" t="inlineStr">
        <is>
          <t>Sem cobrança</t>
        </is>
      </c>
      <c r="J362" s="35" t="n"/>
      <c r="K362" s="34" t="n"/>
      <c r="L362" s="26">
        <f>IF(A362="","",MONTH(A362))</f>
        <v>7</v>
      </c>
      <c r="M362" s="26">
        <f>IF(A362="","",YEAR(A362))</f>
        <v>2026</v>
      </c>
      <c r="N362" s="26" t="str">
        <f>IF(A362="","",CHOOSE(WEEKDAY(A362,2),"Segunda","Terça","Quarta","Quinta","Sexta","Sábado","Domingo"))</f>
        <v>Terça</v>
      </c>
      <c r="O362" s="26" t="str">
        <f>IF(B362="","",IF(B362&lt;TIME(12,0,0),"Manhã",IF(B362&lt;TIME(18,0,0),"Tarde","Noite")))</f>
        <v>Tarde</v>
      </c>
      <c r="P362" s="32">
        <f>IF(G362="","",IFERROR(INDEX(Config!$I$5:$I$16,MATCH(G362,Config!$H$5:$H$16,0)),0))</f>
        <v>0</v>
      </c>
      <c r="Q362" s="30">
        <f>IF(OR(H362&lt;&gt;"Realizado",P362="",P362=0),"",A362+P362)</f>
        <v/>
      </c>
      <c r="R362" s="26">
        <f>IF(Q362="","",IF(COUNTIFS($E$5:$E$3004,E362,$A$5:$A$3004,"&gt;"&amp;A362,$H$5:$H$3004,"&lt;&gt;Falta",$H$5:$H$3004,"&lt;&gt;Cancelado",$H$5:$H$3004,"&lt;&gt;Remarcado")&gt;0,"Sim","Não"))</f>
        <v/>
      </c>
      <c r="S362" s="32">
        <f>IF(R362&lt;&gt;"Não","",IF(Q362+Config!$B$9&lt;=Config!$B$8,Config!$B$8-Q362,""))</f>
        <v/>
      </c>
      <c r="T362" s="26">
        <f>IF(S362="","","Sim")</f>
        <v/>
      </c>
      <c r="U362" s="41">
        <f>IF(T362="Sim",S362+ROW()/100000,0)</f>
        <v>0</v>
      </c>
      <c r="V362" s="41">
        <f>IF(AND(H362="Falta",L362=Config!$B$7,M362=Config!$B$5,COUNTIFS($E$5:E362,E362,$H$5:H362,"Falta",$L$5:L362,Config!$B$7,$M$5:M362,Config!$B$5)=1),COUNTIFS($E$5:$E$3004,E362,$H$5:$H$3004,"Falta",$L$5:$L$3004,Config!$B$7,$M$5:$M$3004,Config!$B$5)*1000-ROW()/100000,0)</f>
        <v>0</v>
      </c>
    </row>
    <row r="363">
      <c r="A363" s="39" t="n">
        <v>46210</v>
      </c>
      <c r="B363" s="40" t="n">
        <v>0.6388888888888888</v>
      </c>
      <c r="C363" s="35" t="inlineStr">
        <is>
          <t>Dra. Renata Sousa</t>
        </is>
      </c>
      <c r="D363" s="35" t="inlineStr">
        <is>
          <t>Sala 1</t>
        </is>
      </c>
      <c r="E363" s="34" t="inlineStr">
        <is>
          <t>Beatriz Reis</t>
        </is>
      </c>
      <c r="F363" s="35" t="inlineStr">
        <is>
          <t>Particular</t>
        </is>
      </c>
      <c r="G363" s="35" t="inlineStr">
        <is>
          <t>Avaliação endócrina</t>
        </is>
      </c>
      <c r="H363" s="35" t="inlineStr">
        <is>
          <t>Realizado</t>
        </is>
      </c>
      <c r="I363" s="35" t="inlineStr">
        <is>
          <t>Pix</t>
        </is>
      </c>
      <c r="J363" s="35" t="n"/>
      <c r="K363" s="34" t="n"/>
      <c r="L363" s="26">
        <f>IF(A363="","",MONTH(A363))</f>
        <v>7</v>
      </c>
      <c r="M363" s="26">
        <f>IF(A363="","",YEAR(A363))</f>
        <v>2026</v>
      </c>
      <c r="N363" s="26" t="str">
        <f>IF(A363="","",CHOOSE(WEEKDAY(A363,2),"Segunda","Terça","Quarta","Quinta","Sexta","Sábado","Domingo"))</f>
        <v>Terça</v>
      </c>
      <c r="O363" s="26" t="str">
        <f>IF(B363="","",IF(B363&lt;TIME(12,0,0),"Manhã",IF(B363&lt;TIME(18,0,0),"Tarde","Noite")))</f>
        <v>Tarde</v>
      </c>
      <c r="P363" s="32">
        <f>IF(G363="","",IFERROR(INDEX(Config!$I$5:$I$16,MATCH(G363,Config!$H$5:$H$16,0)),0))</f>
        <v>45</v>
      </c>
      <c r="Q363" s="30">
        <f>IF(OR(H363&lt;&gt;"Realizado",P363="",P363=0),"",A363+P363)</f>
        <v>46255.0</v>
      </c>
      <c r="R363" s="26" t="str">
        <f>IF(Q363="","",IF(COUNTIFS($E$5:$E$3004,E363,$A$5:$A$3004,"&gt;"&amp;A363,$H$5:$H$3004,"&lt;&gt;Falta",$H$5:$H$3004,"&lt;&gt;Cancelado",$H$5:$H$3004,"&lt;&gt;Remarcado")&gt;0,"Sim","Não"))</f>
        <v>Sim</v>
      </c>
      <c r="S363" s="32">
        <f>IF(R363&lt;&gt;"Não","",IF(Q363+Config!$B$9&lt;=Config!$B$8,Config!$B$8-Q363,""))</f>
        <v/>
      </c>
      <c r="T363" s="26">
        <f>IF(S363="","","Sim")</f>
        <v/>
      </c>
      <c r="U363" s="41">
        <f>IF(T363="Sim",S363+ROW()/100000,0)</f>
        <v>0</v>
      </c>
      <c r="V363" s="41">
        <f>IF(AND(H363="Falta",L363=Config!$B$7,M363=Config!$B$5,COUNTIFS($E$5:E363,E363,$H$5:H363,"Falta",$L$5:L363,Config!$B$7,$M$5:M363,Config!$B$5)=1),COUNTIFS($E$5:$E$3004,E363,$H$5:$H$3004,"Falta",$L$5:$L$3004,Config!$B$7,$M$5:$M$3004,Config!$B$5)*1000-ROW()/100000,0)</f>
        <v>0</v>
      </c>
    </row>
    <row r="364">
      <c r="A364" s="39" t="n">
        <v>46210</v>
      </c>
      <c r="B364" s="40" t="n">
        <v>0.6458333333333334</v>
      </c>
      <c r="C364" s="35" t="inlineStr">
        <is>
          <t>Dr. Paulo Andrade</t>
        </is>
      </c>
      <c r="D364" s="35" t="inlineStr">
        <is>
          <t>Sala 2</t>
        </is>
      </c>
      <c r="E364" s="34" t="inlineStr">
        <is>
          <t>Marcelo Ferreira</t>
        </is>
      </c>
      <c r="F364" s="35" t="inlineStr">
        <is>
          <t>Particular</t>
        </is>
      </c>
      <c r="G364" s="35" t="inlineStr">
        <is>
          <t>Consulta</t>
        </is>
      </c>
      <c r="H364" s="35" t="inlineStr">
        <is>
          <t>Realizado</t>
        </is>
      </c>
      <c r="I364" s="35" t="inlineStr">
        <is>
          <t>Cartão de crédito</t>
        </is>
      </c>
      <c r="J364" s="35" t="n"/>
      <c r="K364" s="34" t="n"/>
      <c r="L364" s="26">
        <f>IF(A364="","",MONTH(A364))</f>
        <v>7</v>
      </c>
      <c r="M364" s="26">
        <f>IF(A364="","",YEAR(A364))</f>
        <v>2026</v>
      </c>
      <c r="N364" s="26" t="str">
        <f>IF(A364="","",CHOOSE(WEEKDAY(A364,2),"Segunda","Terça","Quarta","Quinta","Sexta","Sábado","Domingo"))</f>
        <v>Terça</v>
      </c>
      <c r="O364" s="26" t="str">
        <f>IF(B364="","",IF(B364&lt;TIME(12,0,0),"Manhã",IF(B364&lt;TIME(18,0,0),"Tarde","Noite")))</f>
        <v>Tarde</v>
      </c>
      <c r="P364" s="32">
        <f>IF(G364="","",IFERROR(INDEX(Config!$I$5:$I$16,MATCH(G364,Config!$H$5:$H$16,0)),0))</f>
        <v>30</v>
      </c>
      <c r="Q364" s="30">
        <f>IF(OR(H364&lt;&gt;"Realizado",P364="",P364=0),"",A364+P364)</f>
        <v>46240.0</v>
      </c>
      <c r="R364" s="26" t="str">
        <f>IF(Q364="","",IF(COUNTIFS($E$5:$E$3004,E364,$A$5:$A$3004,"&gt;"&amp;A364,$H$5:$H$3004,"&lt;&gt;Falta",$H$5:$H$3004,"&lt;&gt;Cancelado",$H$5:$H$3004,"&lt;&gt;Remarcado")&gt;0,"Sim","Não"))</f>
        <v>Sim</v>
      </c>
      <c r="S364" s="32">
        <f>IF(R364&lt;&gt;"Não","",IF(Q364+Config!$B$9&lt;=Config!$B$8,Config!$B$8-Q364,""))</f>
        <v/>
      </c>
      <c r="T364" s="26">
        <f>IF(S364="","","Sim")</f>
        <v/>
      </c>
      <c r="U364" s="41">
        <f>IF(T364="Sim",S364+ROW()/100000,0)</f>
        <v>0</v>
      </c>
      <c r="V364" s="41">
        <f>IF(AND(H364="Falta",L364=Config!$B$7,M364=Config!$B$5,COUNTIFS($E$5:E364,E364,$H$5:H364,"Falta",$L$5:L364,Config!$B$7,$M$5:M364,Config!$B$5)=1),COUNTIFS($E$5:$E$3004,E364,$H$5:$H$3004,"Falta",$L$5:$L$3004,Config!$B$7,$M$5:$M$3004,Config!$B$5)*1000-ROW()/100000,0)</f>
        <v>0</v>
      </c>
    </row>
    <row r="365">
      <c r="A365" s="39" t="n">
        <v>46210</v>
      </c>
      <c r="B365" s="40" t="n">
        <v>0.6666666666666666</v>
      </c>
      <c r="C365" s="35" t="inlineStr">
        <is>
          <t>Dra. Renata Sousa</t>
        </is>
      </c>
      <c r="D365" s="35" t="inlineStr">
        <is>
          <t>Sala 1</t>
        </is>
      </c>
      <c r="E365" s="34" t="inlineStr">
        <is>
          <t>Mariana Reis</t>
        </is>
      </c>
      <c r="F365" s="35" t="inlineStr">
        <is>
          <t>Particular</t>
        </is>
      </c>
      <c r="G365" s="35" t="inlineStr">
        <is>
          <t>Retorno</t>
        </is>
      </c>
      <c r="H365" s="35" t="inlineStr">
        <is>
          <t>Realizado</t>
        </is>
      </c>
      <c r="I365" s="35" t="inlineStr">
        <is>
          <t>Sem cobrança</t>
        </is>
      </c>
      <c r="J365" s="35" t="n"/>
      <c r="K365" s="34" t="n"/>
      <c r="L365" s="26">
        <f>IF(A365="","",MONTH(A365))</f>
        <v>7</v>
      </c>
      <c r="M365" s="26">
        <f>IF(A365="","",YEAR(A365))</f>
        <v>2026</v>
      </c>
      <c r="N365" s="26" t="str">
        <f>IF(A365="","",CHOOSE(WEEKDAY(A365,2),"Segunda","Terça","Quarta","Quinta","Sexta","Sábado","Domingo"))</f>
        <v>Terça</v>
      </c>
      <c r="O365" s="26" t="str">
        <f>IF(B365="","",IF(B365&lt;TIME(12,0,0),"Manhã",IF(B365&lt;TIME(18,0,0),"Tarde","Noite")))</f>
        <v>Tarde</v>
      </c>
      <c r="P365" s="32">
        <f>IF(G365="","",IFERROR(INDEX(Config!$I$5:$I$16,MATCH(G365,Config!$H$5:$H$16,0)),0))</f>
        <v>0</v>
      </c>
      <c r="Q365" s="30">
        <f>IF(OR(H365&lt;&gt;"Realizado",P365="",P365=0),"",A365+P365)</f>
        <v/>
      </c>
      <c r="R365" s="26">
        <f>IF(Q365="","",IF(COUNTIFS($E$5:$E$3004,E365,$A$5:$A$3004,"&gt;"&amp;A365,$H$5:$H$3004,"&lt;&gt;Falta",$H$5:$H$3004,"&lt;&gt;Cancelado",$H$5:$H$3004,"&lt;&gt;Remarcado")&gt;0,"Sim","Não"))</f>
        <v/>
      </c>
      <c r="S365" s="32">
        <f>IF(R365&lt;&gt;"Não","",IF(Q365+Config!$B$9&lt;=Config!$B$8,Config!$B$8-Q365,""))</f>
        <v/>
      </c>
      <c r="T365" s="26">
        <f>IF(S365="","","Sim")</f>
        <v/>
      </c>
      <c r="U365" s="41">
        <f>IF(T365="Sim",S365+ROW()/100000,0)</f>
        <v>0</v>
      </c>
      <c r="V365" s="41">
        <f>IF(AND(H365="Falta",L365=Config!$B$7,M365=Config!$B$5,COUNTIFS($E$5:E365,E365,$H$5:H365,"Falta",$L$5:L365,Config!$B$7,$M$5:M365,Config!$B$5)=1),COUNTIFS($E$5:$E$3004,E365,$H$5:$H$3004,"Falta",$L$5:$L$3004,Config!$B$7,$M$5:$M$3004,Config!$B$5)*1000-ROW()/100000,0)</f>
        <v>0</v>
      </c>
    </row>
    <row r="366">
      <c r="A366" s="39" t="n">
        <v>46210</v>
      </c>
      <c r="B366" s="40" t="n">
        <v>0.6666666666666666</v>
      </c>
      <c r="C366" s="35" t="inlineStr">
        <is>
          <t>Dr. Paulo Andrade</t>
        </is>
      </c>
      <c r="D366" s="35" t="inlineStr">
        <is>
          <t>Sala 2</t>
        </is>
      </c>
      <c r="E366" s="34" t="inlineStr">
        <is>
          <t>Lucas Cardoso</t>
        </is>
      </c>
      <c r="F366" s="35" t="inlineStr">
        <is>
          <t>Particular</t>
        </is>
      </c>
      <c r="G366" s="35" t="inlineStr">
        <is>
          <t>Consulta</t>
        </is>
      </c>
      <c r="H366" s="35" t="inlineStr">
        <is>
          <t>Realizado</t>
        </is>
      </c>
      <c r="I366" s="35" t="inlineStr">
        <is>
          <t>Cartão de crédito</t>
        </is>
      </c>
      <c r="J366" s="35" t="n"/>
      <c r="K366" s="34" t="n"/>
      <c r="L366" s="26">
        <f>IF(A366="","",MONTH(A366))</f>
        <v>7</v>
      </c>
      <c r="M366" s="26">
        <f>IF(A366="","",YEAR(A366))</f>
        <v>2026</v>
      </c>
      <c r="N366" s="26" t="str">
        <f>IF(A366="","",CHOOSE(WEEKDAY(A366,2),"Segunda","Terça","Quarta","Quinta","Sexta","Sábado","Domingo"))</f>
        <v>Terça</v>
      </c>
      <c r="O366" s="26" t="str">
        <f>IF(B366="","",IF(B366&lt;TIME(12,0,0),"Manhã",IF(B366&lt;TIME(18,0,0),"Tarde","Noite")))</f>
        <v>Tarde</v>
      </c>
      <c r="P366" s="32">
        <f>IF(G366="","",IFERROR(INDEX(Config!$I$5:$I$16,MATCH(G366,Config!$H$5:$H$16,0)),0))</f>
        <v>30</v>
      </c>
      <c r="Q366" s="30">
        <f>IF(OR(H366&lt;&gt;"Realizado",P366="",P366=0),"",A366+P366)</f>
        <v>46240.0</v>
      </c>
      <c r="R366" s="26" t="str">
        <f>IF(Q366="","",IF(COUNTIFS($E$5:$E$3004,E366,$A$5:$A$3004,"&gt;"&amp;A366,$H$5:$H$3004,"&lt;&gt;Falta",$H$5:$H$3004,"&lt;&gt;Cancelado",$H$5:$H$3004,"&lt;&gt;Remarcado")&gt;0,"Sim","Não"))</f>
        <v>Sim</v>
      </c>
      <c r="S366" s="32">
        <f>IF(R366&lt;&gt;"Não","",IF(Q366+Config!$B$9&lt;=Config!$B$8,Config!$B$8-Q366,""))</f>
        <v/>
      </c>
      <c r="T366" s="26">
        <f>IF(S366="","","Sim")</f>
        <v/>
      </c>
      <c r="U366" s="41">
        <f>IF(T366="Sim",S366+ROW()/100000,0)</f>
        <v>0</v>
      </c>
      <c r="V366" s="41">
        <f>IF(AND(H366="Falta",L366=Config!$B$7,M366=Config!$B$5,COUNTIFS($E$5:E366,E366,$H$5:H366,"Falta",$L$5:L366,Config!$B$7,$M$5:M366,Config!$B$5)=1),COUNTIFS($E$5:$E$3004,E366,$H$5:$H$3004,"Falta",$L$5:$L$3004,Config!$B$7,$M$5:$M$3004,Config!$B$5)*1000-ROW()/100000,0)</f>
        <v>0</v>
      </c>
    </row>
    <row r="367">
      <c r="A367" s="39" t="n">
        <v>46210</v>
      </c>
      <c r="B367" s="40" t="n">
        <v>0.6805555555555556</v>
      </c>
      <c r="C367" s="35" t="inlineStr">
        <is>
          <t>Dra. Renata Sousa</t>
        </is>
      </c>
      <c r="D367" s="35" t="inlineStr">
        <is>
          <t>Sala 1</t>
        </is>
      </c>
      <c r="E367" s="34" t="inlineStr">
        <is>
          <t>Fernanda Gonçalves</t>
        </is>
      </c>
      <c r="F367" s="35" t="inlineStr">
        <is>
          <t>Saúde Total</t>
        </is>
      </c>
      <c r="G367" s="35" t="inlineStr">
        <is>
          <t>Avaliação endócrina</t>
        </is>
      </c>
      <c r="H367" s="35" t="inlineStr">
        <is>
          <t>Realizado</t>
        </is>
      </c>
      <c r="I367" s="35" t="inlineStr">
        <is>
          <t>Convênio</t>
        </is>
      </c>
      <c r="J367" s="35" t="n"/>
      <c r="K367" s="34" t="n"/>
      <c r="L367" s="26">
        <f>IF(A367="","",MONTH(A367))</f>
        <v>7</v>
      </c>
      <c r="M367" s="26">
        <f>IF(A367="","",YEAR(A367))</f>
        <v>2026</v>
      </c>
      <c r="N367" s="26" t="str">
        <f>IF(A367="","",CHOOSE(WEEKDAY(A367,2),"Segunda","Terça","Quarta","Quinta","Sexta","Sábado","Domingo"))</f>
        <v>Terça</v>
      </c>
      <c r="O367" s="26" t="str">
        <f>IF(B367="","",IF(B367&lt;TIME(12,0,0),"Manhã",IF(B367&lt;TIME(18,0,0),"Tarde","Noite")))</f>
        <v>Tarde</v>
      </c>
      <c r="P367" s="32">
        <f>IF(G367="","",IFERROR(INDEX(Config!$I$5:$I$16,MATCH(G367,Config!$H$5:$H$16,0)),0))</f>
        <v>45</v>
      </c>
      <c r="Q367" s="30">
        <f>IF(OR(H367&lt;&gt;"Realizado",P367="",P367=0),"",A367+P367)</f>
        <v>46255.0</v>
      </c>
      <c r="R367" s="26" t="str">
        <f>IF(Q367="","",IF(COUNTIFS($E$5:$E$3004,E367,$A$5:$A$3004,"&gt;"&amp;A367,$H$5:$H$3004,"&lt;&gt;Falta",$H$5:$H$3004,"&lt;&gt;Cancelado",$H$5:$H$3004,"&lt;&gt;Remarcado")&gt;0,"Sim","Não"))</f>
        <v>Sim</v>
      </c>
      <c r="S367" s="32">
        <f>IF(R367&lt;&gt;"Não","",IF(Q367+Config!$B$9&lt;=Config!$B$8,Config!$B$8-Q367,""))</f>
        <v/>
      </c>
      <c r="T367" s="26">
        <f>IF(S367="","","Sim")</f>
        <v/>
      </c>
      <c r="U367" s="41">
        <f>IF(T367="Sim",S367+ROW()/100000,0)</f>
        <v>0</v>
      </c>
      <c r="V367" s="41">
        <f>IF(AND(H367="Falta",L367=Config!$B$7,M367=Config!$B$5,COUNTIFS($E$5:E367,E367,$H$5:H367,"Falta",$L$5:L367,Config!$B$7,$M$5:M367,Config!$B$5)=1),COUNTIFS($E$5:$E$3004,E367,$H$5:$H$3004,"Falta",$L$5:$L$3004,Config!$B$7,$M$5:$M$3004,Config!$B$5)*1000-ROW()/100000,0)</f>
        <v>0</v>
      </c>
    </row>
    <row r="368">
      <c r="A368" s="39" t="n">
        <v>46210</v>
      </c>
      <c r="B368" s="40" t="n">
        <v>0.7083333333333334</v>
      </c>
      <c r="C368" s="35" t="inlineStr">
        <is>
          <t>Dra. Renata Sousa</t>
        </is>
      </c>
      <c r="D368" s="35" t="inlineStr">
        <is>
          <t>Sala 1</t>
        </is>
      </c>
      <c r="E368" s="34" t="inlineStr">
        <is>
          <t>Roberta Lima</t>
        </is>
      </c>
      <c r="F368" s="35" t="inlineStr">
        <is>
          <t>Particular</t>
        </is>
      </c>
      <c r="G368" s="35" t="inlineStr">
        <is>
          <t>Avaliação endócrina</t>
        </is>
      </c>
      <c r="H368" s="35" t="inlineStr">
        <is>
          <t>Realizado</t>
        </is>
      </c>
      <c r="I368" s="35" t="inlineStr">
        <is>
          <t>Dinheiro</t>
        </is>
      </c>
      <c r="J368" s="35" t="n"/>
      <c r="K368" s="34" t="n"/>
      <c r="L368" s="26">
        <f>IF(A368="","",MONTH(A368))</f>
        <v>7</v>
      </c>
      <c r="M368" s="26">
        <f>IF(A368="","",YEAR(A368))</f>
        <v>2026</v>
      </c>
      <c r="N368" s="26" t="str">
        <f>IF(A368="","",CHOOSE(WEEKDAY(A368,2),"Segunda","Terça","Quarta","Quinta","Sexta","Sábado","Domingo"))</f>
        <v>Terça</v>
      </c>
      <c r="O368" s="26" t="str">
        <f>IF(B368="","",IF(B368&lt;TIME(12,0,0),"Manhã",IF(B368&lt;TIME(18,0,0),"Tarde","Noite")))</f>
        <v>Tarde</v>
      </c>
      <c r="P368" s="32">
        <f>IF(G368="","",IFERROR(INDEX(Config!$I$5:$I$16,MATCH(G368,Config!$H$5:$H$16,0)),0))</f>
        <v>45</v>
      </c>
      <c r="Q368" s="30">
        <f>IF(OR(H368&lt;&gt;"Realizado",P368="",P368=0),"",A368+P368)</f>
        <v>46255.0</v>
      </c>
      <c r="R368" s="26" t="str">
        <f>IF(Q368="","",IF(COUNTIFS($E$5:$E$3004,E368,$A$5:$A$3004,"&gt;"&amp;A368,$H$5:$H$3004,"&lt;&gt;Falta",$H$5:$H$3004,"&lt;&gt;Cancelado",$H$5:$H$3004,"&lt;&gt;Remarcado")&gt;0,"Sim","Não"))</f>
        <v>Sim</v>
      </c>
      <c r="S368" s="32">
        <f>IF(R368&lt;&gt;"Não","",IF(Q368+Config!$B$9&lt;=Config!$B$8,Config!$B$8-Q368,""))</f>
        <v/>
      </c>
      <c r="T368" s="26">
        <f>IF(S368="","","Sim")</f>
        <v/>
      </c>
      <c r="U368" s="41">
        <f>IF(T368="Sim",S368+ROW()/100000,0)</f>
        <v>0</v>
      </c>
      <c r="V368" s="41">
        <f>IF(AND(H368="Falta",L368=Config!$B$7,M368=Config!$B$5,COUNTIFS($E$5:E368,E368,$H$5:H368,"Falta",$L$5:L368,Config!$B$7,$M$5:M368,Config!$B$5)=1),COUNTIFS($E$5:$E$3004,E368,$H$5:$H$3004,"Falta",$L$5:$L$3004,Config!$B$7,$M$5:$M$3004,Config!$B$5)*1000-ROW()/100000,0)</f>
        <v>0</v>
      </c>
    </row>
    <row r="369">
      <c r="A369" s="39" t="n">
        <v>46210</v>
      </c>
      <c r="B369" s="40" t="n">
        <v>0.7083333333333334</v>
      </c>
      <c r="C369" s="35" t="inlineStr">
        <is>
          <t>Dr. Paulo Andrade</t>
        </is>
      </c>
      <c r="D369" s="35" t="inlineStr">
        <is>
          <t>Sala 2</t>
        </is>
      </c>
      <c r="E369" s="34" t="inlineStr">
        <is>
          <t>Priscila Rocha</t>
        </is>
      </c>
      <c r="F369" s="35" t="inlineStr">
        <is>
          <t>MediPlan</t>
        </is>
      </c>
      <c r="G369" s="35" t="inlineStr">
        <is>
          <t>Consulta</t>
        </is>
      </c>
      <c r="H369" s="35" t="inlineStr">
        <is>
          <t>Realizado</t>
        </is>
      </c>
      <c r="I369" s="35" t="inlineStr">
        <is>
          <t>Convênio</t>
        </is>
      </c>
      <c r="J369" s="35" t="n"/>
      <c r="K369" s="34" t="n"/>
      <c r="L369" s="26">
        <f>IF(A369="","",MONTH(A369))</f>
        <v>7</v>
      </c>
      <c r="M369" s="26">
        <f>IF(A369="","",YEAR(A369))</f>
        <v>2026</v>
      </c>
      <c r="N369" s="26" t="str">
        <f>IF(A369="","",CHOOSE(WEEKDAY(A369,2),"Segunda","Terça","Quarta","Quinta","Sexta","Sábado","Domingo"))</f>
        <v>Terça</v>
      </c>
      <c r="O369" s="26" t="str">
        <f>IF(B369="","",IF(B369&lt;TIME(12,0,0),"Manhã",IF(B369&lt;TIME(18,0,0),"Tarde","Noite")))</f>
        <v>Tarde</v>
      </c>
      <c r="P369" s="32">
        <f>IF(G369="","",IFERROR(INDEX(Config!$I$5:$I$16,MATCH(G369,Config!$H$5:$H$16,0)),0))</f>
        <v>30</v>
      </c>
      <c r="Q369" s="30">
        <f>IF(OR(H369&lt;&gt;"Realizado",P369="",P369=0),"",A369+P369)</f>
        <v>46240.0</v>
      </c>
      <c r="R369" s="26" t="str">
        <f>IF(Q369="","",IF(COUNTIFS($E$5:$E$3004,E369,$A$5:$A$3004,"&gt;"&amp;A369,$H$5:$H$3004,"&lt;&gt;Falta",$H$5:$H$3004,"&lt;&gt;Cancelado",$H$5:$H$3004,"&lt;&gt;Remarcado")&gt;0,"Sim","Não"))</f>
        <v>Sim</v>
      </c>
      <c r="S369" s="32">
        <f>IF(R369&lt;&gt;"Não","",IF(Q369+Config!$B$9&lt;=Config!$B$8,Config!$B$8-Q369,""))</f>
        <v/>
      </c>
      <c r="T369" s="26">
        <f>IF(S369="","","Sim")</f>
        <v/>
      </c>
      <c r="U369" s="41">
        <f>IF(T369="Sim",S369+ROW()/100000,0)</f>
        <v>0</v>
      </c>
      <c r="V369" s="41">
        <f>IF(AND(H369="Falta",L369=Config!$B$7,M369=Config!$B$5,COUNTIFS($E$5:E369,E369,$H$5:H369,"Falta",$L$5:L369,Config!$B$7,$M$5:M369,Config!$B$5)=1),COUNTIFS($E$5:$E$3004,E369,$H$5:$H$3004,"Falta",$L$5:$L$3004,Config!$B$7,$M$5:$M$3004,Config!$B$5)*1000-ROW()/100000,0)</f>
        <v>0</v>
      </c>
    </row>
    <row r="370">
      <c r="A370" s="39" t="n">
        <v>46210</v>
      </c>
      <c r="B370" s="40" t="n">
        <v>0.7291666666666666</v>
      </c>
      <c r="C370" s="35" t="inlineStr">
        <is>
          <t>Dr. Paulo Andrade</t>
        </is>
      </c>
      <c r="D370" s="35" t="inlineStr">
        <is>
          <t>Sala 2</t>
        </is>
      </c>
      <c r="E370" s="34" t="inlineStr">
        <is>
          <t>Sandra Cardoso</t>
        </is>
      </c>
      <c r="F370" s="35" t="inlineStr">
        <is>
          <t>Saúde Total</t>
        </is>
      </c>
      <c r="G370" s="35" t="inlineStr">
        <is>
          <t>Consulta</t>
        </is>
      </c>
      <c r="H370" s="35" t="inlineStr">
        <is>
          <t>Falta</t>
        </is>
      </c>
      <c r="I370" s="35" t="n"/>
      <c r="J370" s="35" t="n"/>
      <c r="K370" s="34" t="n"/>
      <c r="L370" s="26">
        <f>IF(A370="","",MONTH(A370))</f>
        <v>7</v>
      </c>
      <c r="M370" s="26">
        <f>IF(A370="","",YEAR(A370))</f>
        <v>2026</v>
      </c>
      <c r="N370" s="26" t="str">
        <f>IF(A370="","",CHOOSE(WEEKDAY(A370,2),"Segunda","Terça","Quarta","Quinta","Sexta","Sábado","Domingo"))</f>
        <v>Terça</v>
      </c>
      <c r="O370" s="26" t="str">
        <f>IF(B370="","",IF(B370&lt;TIME(12,0,0),"Manhã",IF(B370&lt;TIME(18,0,0),"Tarde","Noite")))</f>
        <v>Tarde</v>
      </c>
      <c r="P370" s="32">
        <f>IF(G370="","",IFERROR(INDEX(Config!$I$5:$I$16,MATCH(G370,Config!$H$5:$H$16,0)),0))</f>
        <v>30</v>
      </c>
      <c r="Q370" s="30">
        <f>IF(OR(H370&lt;&gt;"Realizado",P370="",P370=0),"",A370+P370)</f>
        <v/>
      </c>
      <c r="R370" s="26">
        <f>IF(Q370="","",IF(COUNTIFS($E$5:$E$3004,E370,$A$5:$A$3004,"&gt;"&amp;A370,$H$5:$H$3004,"&lt;&gt;Falta",$H$5:$H$3004,"&lt;&gt;Cancelado",$H$5:$H$3004,"&lt;&gt;Remarcado")&gt;0,"Sim","Não"))</f>
        <v/>
      </c>
      <c r="S370" s="32">
        <f>IF(R370&lt;&gt;"Não","",IF(Q370+Config!$B$9&lt;=Config!$B$8,Config!$B$8-Q370,""))</f>
        <v/>
      </c>
      <c r="T370" s="26">
        <f>IF(S370="","","Sim")</f>
        <v/>
      </c>
      <c r="U370" s="41">
        <f>IF(T370="Sim",S370+ROW()/100000,0)</f>
        <v>0</v>
      </c>
      <c r="V370" s="41">
        <f>IF(AND(H370="Falta",L370=Config!$B$7,M370=Config!$B$5,COUNTIFS($E$5:E370,E370,$H$5:H370,"Falta",$L$5:L370,Config!$B$7,$M$5:M370,Config!$B$5)=1),COUNTIFS($E$5:$E$3004,E370,$H$5:$H$3004,"Falta",$L$5:$L$3004,Config!$B$7,$M$5:$M$3004,Config!$B$5)*1000-ROW()/100000,0)</f>
        <v>0</v>
      </c>
    </row>
    <row r="371">
      <c r="A371" s="39" t="n">
        <v>46210</v>
      </c>
      <c r="B371" s="40" t="n">
        <v>0.7361111111111112</v>
      </c>
      <c r="C371" s="35" t="inlineStr">
        <is>
          <t>Dra. Renata Sousa</t>
        </is>
      </c>
      <c r="D371" s="35" t="inlineStr">
        <is>
          <t>Sala 1</t>
        </is>
      </c>
      <c r="E371" s="34" t="inlineStr">
        <is>
          <t>Carlos Gonçalves</t>
        </is>
      </c>
      <c r="F371" s="35" t="inlineStr">
        <is>
          <t>Saúde Total</t>
        </is>
      </c>
      <c r="G371" s="35" t="inlineStr">
        <is>
          <t>Avaliação endócrina</t>
        </is>
      </c>
      <c r="H371" s="35" t="inlineStr">
        <is>
          <t>Realizado</t>
        </is>
      </c>
      <c r="I371" s="35" t="inlineStr">
        <is>
          <t>Convênio</t>
        </is>
      </c>
      <c r="J371" s="35" t="n"/>
      <c r="K371" s="34" t="n"/>
      <c r="L371" s="26">
        <f>IF(A371="","",MONTH(A371))</f>
        <v>7</v>
      </c>
      <c r="M371" s="26">
        <f>IF(A371="","",YEAR(A371))</f>
        <v>2026</v>
      </c>
      <c r="N371" s="26" t="str">
        <f>IF(A371="","",CHOOSE(WEEKDAY(A371,2),"Segunda","Terça","Quarta","Quinta","Sexta","Sábado","Domingo"))</f>
        <v>Terça</v>
      </c>
      <c r="O371" s="26" t="str">
        <f>IF(B371="","",IF(B371&lt;TIME(12,0,0),"Manhã",IF(B371&lt;TIME(18,0,0),"Tarde","Noite")))</f>
        <v>Tarde</v>
      </c>
      <c r="P371" s="32">
        <f>IF(G371="","",IFERROR(INDEX(Config!$I$5:$I$16,MATCH(G371,Config!$H$5:$H$16,0)),0))</f>
        <v>45</v>
      </c>
      <c r="Q371" s="30">
        <f>IF(OR(H371&lt;&gt;"Realizado",P371="",P371=0),"",A371+P371)</f>
        <v>46255.0</v>
      </c>
      <c r="R371" s="26" t="str">
        <f>IF(Q371="","",IF(COUNTIFS($E$5:$E$3004,E371,$A$5:$A$3004,"&gt;"&amp;A371,$H$5:$H$3004,"&lt;&gt;Falta",$H$5:$H$3004,"&lt;&gt;Cancelado",$H$5:$H$3004,"&lt;&gt;Remarcado")&gt;0,"Sim","Não"))</f>
        <v>Sim</v>
      </c>
      <c r="S371" s="32">
        <f>IF(R371&lt;&gt;"Não","",IF(Q371+Config!$B$9&lt;=Config!$B$8,Config!$B$8-Q371,""))</f>
        <v/>
      </c>
      <c r="T371" s="26">
        <f>IF(S371="","","Sim")</f>
        <v/>
      </c>
      <c r="U371" s="41">
        <f>IF(T371="Sim",S371+ROW()/100000,0)</f>
        <v>0</v>
      </c>
      <c r="V371" s="41">
        <f>IF(AND(H371="Falta",L371=Config!$B$7,M371=Config!$B$5,COUNTIFS($E$5:E371,E371,$H$5:H371,"Falta",$L$5:L371,Config!$B$7,$M$5:M371,Config!$B$5)=1),COUNTIFS($E$5:$E$3004,E371,$H$5:$H$3004,"Falta",$L$5:$L$3004,Config!$B$7,$M$5:$M$3004,Config!$B$5)*1000-ROW()/100000,0)</f>
        <v>0</v>
      </c>
    </row>
    <row r="372">
      <c r="A372" s="39" t="n">
        <v>46211</v>
      </c>
      <c r="B372" s="40" t="n">
        <v>0.6041666666666666</v>
      </c>
      <c r="C372" s="35" t="inlineStr">
        <is>
          <t>Dra. Carolina Mendes</t>
        </is>
      </c>
      <c r="D372" s="35" t="inlineStr">
        <is>
          <t>Sala 1</t>
        </is>
      </c>
      <c r="E372" s="34" t="inlineStr">
        <is>
          <t>Regina Castro</t>
        </is>
      </c>
      <c r="F372" s="35" t="inlineStr">
        <is>
          <t>Vida Care</t>
        </is>
      </c>
      <c r="G372" s="35" t="inlineStr">
        <is>
          <t>Consulta</t>
        </is>
      </c>
      <c r="H372" s="35" t="inlineStr">
        <is>
          <t>Falta</t>
        </is>
      </c>
      <c r="I372" s="35" t="n"/>
      <c r="J372" s="35" t="n"/>
      <c r="K372" s="34" t="n"/>
      <c r="L372" s="26">
        <f>IF(A372="","",MONTH(A372))</f>
        <v>7</v>
      </c>
      <c r="M372" s="26">
        <f>IF(A372="","",YEAR(A372))</f>
        <v>2026</v>
      </c>
      <c r="N372" s="26" t="str">
        <f>IF(A372="","",CHOOSE(WEEKDAY(A372,2),"Segunda","Terça","Quarta","Quinta","Sexta","Sábado","Domingo"))</f>
        <v>Quarta</v>
      </c>
      <c r="O372" s="26" t="str">
        <f>IF(B372="","",IF(B372&lt;TIME(12,0,0),"Manhã",IF(B372&lt;TIME(18,0,0),"Tarde","Noite")))</f>
        <v>Tarde</v>
      </c>
      <c r="P372" s="32">
        <f>IF(G372="","",IFERROR(INDEX(Config!$I$5:$I$16,MATCH(G372,Config!$H$5:$H$16,0)),0))</f>
        <v>30</v>
      </c>
      <c r="Q372" s="30">
        <f>IF(OR(H372&lt;&gt;"Realizado",P372="",P372=0),"",A372+P372)</f>
        <v/>
      </c>
      <c r="R372" s="26">
        <f>IF(Q372="","",IF(COUNTIFS($E$5:$E$3004,E372,$A$5:$A$3004,"&gt;"&amp;A372,$H$5:$H$3004,"&lt;&gt;Falta",$H$5:$H$3004,"&lt;&gt;Cancelado",$H$5:$H$3004,"&lt;&gt;Remarcado")&gt;0,"Sim","Não"))</f>
        <v/>
      </c>
      <c r="S372" s="32">
        <f>IF(R372&lt;&gt;"Não","",IF(Q372+Config!$B$9&lt;=Config!$B$8,Config!$B$8-Q372,""))</f>
        <v/>
      </c>
      <c r="T372" s="26">
        <f>IF(S372="","","Sim")</f>
        <v/>
      </c>
      <c r="U372" s="41">
        <f>IF(T372="Sim",S372+ROW()/100000,0)</f>
        <v>0</v>
      </c>
      <c r="V372" s="41">
        <f>IF(AND(H372="Falta",L372=Config!$B$7,M372=Config!$B$5,COUNTIFS($E$5:E372,E372,$H$5:H372,"Falta",$L$5:L372,Config!$B$7,$M$5:M372,Config!$B$5)=1),COUNTIFS($E$5:$E$3004,E372,$H$5:$H$3004,"Falta",$L$5:$L$3004,Config!$B$7,$M$5:$M$3004,Config!$B$5)*1000-ROW()/100000,0)</f>
        <v>0</v>
      </c>
    </row>
    <row r="373">
      <c r="A373" s="39" t="n">
        <v>46211</v>
      </c>
      <c r="B373" s="40" t="n">
        <v>0.625</v>
      </c>
      <c r="C373" s="35" t="inlineStr">
        <is>
          <t>Dra. Carolina Mendes</t>
        </is>
      </c>
      <c r="D373" s="35" t="inlineStr">
        <is>
          <t>Sala 1</t>
        </is>
      </c>
      <c r="E373" s="34" t="inlineStr">
        <is>
          <t>Regina Castro</t>
        </is>
      </c>
      <c r="F373" s="35" t="inlineStr">
        <is>
          <t>Vida Care</t>
        </is>
      </c>
      <c r="G373" s="35" t="inlineStr">
        <is>
          <t>Consulta</t>
        </is>
      </c>
      <c r="H373" s="35" t="inlineStr">
        <is>
          <t>Realizado</t>
        </is>
      </c>
      <c r="I373" s="35" t="inlineStr">
        <is>
          <t>Convênio</t>
        </is>
      </c>
      <c r="J373" s="35" t="n"/>
      <c r="K373" s="34" t="n"/>
      <c r="L373" s="26">
        <f>IF(A373="","",MONTH(A373))</f>
        <v>7</v>
      </c>
      <c r="M373" s="26">
        <f>IF(A373="","",YEAR(A373))</f>
        <v>2026</v>
      </c>
      <c r="N373" s="26" t="str">
        <f>IF(A373="","",CHOOSE(WEEKDAY(A373,2),"Segunda","Terça","Quarta","Quinta","Sexta","Sábado","Domingo"))</f>
        <v>Quarta</v>
      </c>
      <c r="O373" s="26" t="str">
        <f>IF(B373="","",IF(B373&lt;TIME(12,0,0),"Manhã",IF(B373&lt;TIME(18,0,0),"Tarde","Noite")))</f>
        <v>Tarde</v>
      </c>
      <c r="P373" s="32">
        <f>IF(G373="","",IFERROR(INDEX(Config!$I$5:$I$16,MATCH(G373,Config!$H$5:$H$16,0)),0))</f>
        <v>30</v>
      </c>
      <c r="Q373" s="30">
        <f>IF(OR(H373&lt;&gt;"Realizado",P373="",P373=0),"",A373+P373)</f>
        <v>46241.0</v>
      </c>
      <c r="R373" s="26" t="str">
        <f>IF(Q373="","",IF(COUNTIFS($E$5:$E$3004,E373,$A$5:$A$3004,"&gt;"&amp;A373,$H$5:$H$3004,"&lt;&gt;Falta",$H$5:$H$3004,"&lt;&gt;Cancelado",$H$5:$H$3004,"&lt;&gt;Remarcado")&gt;0,"Sim","Não"))</f>
        <v>Sim</v>
      </c>
      <c r="S373" s="32">
        <f>IF(R373&lt;&gt;"Não","",IF(Q373+Config!$B$9&lt;=Config!$B$8,Config!$B$8-Q373,""))</f>
        <v/>
      </c>
      <c r="T373" s="26">
        <f>IF(S373="","","Sim")</f>
        <v/>
      </c>
      <c r="U373" s="41">
        <f>IF(T373="Sim",S373+ROW()/100000,0)</f>
        <v>0</v>
      </c>
      <c r="V373" s="41">
        <f>IF(AND(H373="Falta",L373=Config!$B$7,M373=Config!$B$5,COUNTIFS($E$5:E373,E373,$H$5:H373,"Falta",$L$5:L373,Config!$B$7,$M$5:M373,Config!$B$5)=1),COUNTIFS($E$5:$E$3004,E373,$H$5:$H$3004,"Falta",$L$5:$L$3004,Config!$B$7,$M$5:$M$3004,Config!$B$5)*1000-ROW()/100000,0)</f>
        <v>0</v>
      </c>
    </row>
    <row r="374">
      <c r="A374" s="39" t="n">
        <v>46211</v>
      </c>
      <c r="B374" s="40" t="n">
        <v>0.6458333333333334</v>
      </c>
      <c r="C374" s="35" t="inlineStr">
        <is>
          <t>Dra. Carolina Mendes</t>
        </is>
      </c>
      <c r="D374" s="35" t="inlineStr">
        <is>
          <t>Sala 1</t>
        </is>
      </c>
      <c r="E374" s="34" t="inlineStr">
        <is>
          <t>Eduardo Nunes</t>
        </is>
      </c>
      <c r="F374" s="35" t="inlineStr">
        <is>
          <t>MediPlan</t>
        </is>
      </c>
      <c r="G374" s="35" t="inlineStr">
        <is>
          <t>Consulta</t>
        </is>
      </c>
      <c r="H374" s="35" t="inlineStr">
        <is>
          <t>Falta</t>
        </is>
      </c>
      <c r="I374" s="35" t="n"/>
      <c r="J374" s="35" t="n"/>
      <c r="K374" s="34" t="n"/>
      <c r="L374" s="26">
        <f>IF(A374="","",MONTH(A374))</f>
        <v>7</v>
      </c>
      <c r="M374" s="26">
        <f>IF(A374="","",YEAR(A374))</f>
        <v>2026</v>
      </c>
      <c r="N374" s="26" t="str">
        <f>IF(A374="","",CHOOSE(WEEKDAY(A374,2),"Segunda","Terça","Quarta","Quinta","Sexta","Sábado","Domingo"))</f>
        <v>Quarta</v>
      </c>
      <c r="O374" s="26" t="str">
        <f>IF(B374="","",IF(B374&lt;TIME(12,0,0),"Manhã",IF(B374&lt;TIME(18,0,0),"Tarde","Noite")))</f>
        <v>Tarde</v>
      </c>
      <c r="P374" s="32">
        <f>IF(G374="","",IFERROR(INDEX(Config!$I$5:$I$16,MATCH(G374,Config!$H$5:$H$16,0)),0))</f>
        <v>30</v>
      </c>
      <c r="Q374" s="30">
        <f>IF(OR(H374&lt;&gt;"Realizado",P374="",P374=0),"",A374+P374)</f>
        <v/>
      </c>
      <c r="R374" s="26">
        <f>IF(Q374="","",IF(COUNTIFS($E$5:$E$3004,E374,$A$5:$A$3004,"&gt;"&amp;A374,$H$5:$H$3004,"&lt;&gt;Falta",$H$5:$H$3004,"&lt;&gt;Cancelado",$H$5:$H$3004,"&lt;&gt;Remarcado")&gt;0,"Sim","Não"))</f>
        <v/>
      </c>
      <c r="S374" s="32">
        <f>IF(R374&lt;&gt;"Não","",IF(Q374+Config!$B$9&lt;=Config!$B$8,Config!$B$8-Q374,""))</f>
        <v/>
      </c>
      <c r="T374" s="26">
        <f>IF(S374="","","Sim")</f>
        <v/>
      </c>
      <c r="U374" s="41">
        <f>IF(T374="Sim",S374+ROW()/100000,0)</f>
        <v>0</v>
      </c>
      <c r="V374" s="41">
        <f>IF(AND(H374="Falta",L374=Config!$B$7,M374=Config!$B$5,COUNTIFS($E$5:E374,E374,$H$5:H374,"Falta",$L$5:L374,Config!$B$7,$M$5:M374,Config!$B$5)=1),COUNTIFS($E$5:$E$3004,E374,$H$5:$H$3004,"Falta",$L$5:$L$3004,Config!$B$7,$M$5:$M$3004,Config!$B$5)*1000-ROW()/100000,0)</f>
        <v>0</v>
      </c>
    </row>
    <row r="375">
      <c r="A375" s="39" t="n">
        <v>46211</v>
      </c>
      <c r="B375" s="40" t="n">
        <v>0.6666666666666666</v>
      </c>
      <c r="C375" s="35" t="inlineStr">
        <is>
          <t>Dra. Carolina Mendes</t>
        </is>
      </c>
      <c r="D375" s="35" t="inlineStr">
        <is>
          <t>Sala 1</t>
        </is>
      </c>
      <c r="E375" s="34" t="inlineStr">
        <is>
          <t>Débora Machado</t>
        </is>
      </c>
      <c r="F375" s="35" t="inlineStr">
        <is>
          <t>Saúde Total</t>
        </is>
      </c>
      <c r="G375" s="35" t="inlineStr">
        <is>
          <t>Retorno</t>
        </is>
      </c>
      <c r="H375" s="35" t="inlineStr">
        <is>
          <t>Realizado</t>
        </is>
      </c>
      <c r="I375" s="35" t="inlineStr">
        <is>
          <t>Sem cobrança</t>
        </is>
      </c>
      <c r="J375" s="35" t="n"/>
      <c r="K375" s="34" t="n"/>
      <c r="L375" s="26">
        <f>IF(A375="","",MONTH(A375))</f>
        <v>7</v>
      </c>
      <c r="M375" s="26">
        <f>IF(A375="","",YEAR(A375))</f>
        <v>2026</v>
      </c>
      <c r="N375" s="26" t="str">
        <f>IF(A375="","",CHOOSE(WEEKDAY(A375,2),"Segunda","Terça","Quarta","Quinta","Sexta","Sábado","Domingo"))</f>
        <v>Quarta</v>
      </c>
      <c r="O375" s="26" t="str">
        <f>IF(B375="","",IF(B375&lt;TIME(12,0,0),"Manhã",IF(B375&lt;TIME(18,0,0),"Tarde","Noite")))</f>
        <v>Tarde</v>
      </c>
      <c r="P375" s="32">
        <f>IF(G375="","",IFERROR(INDEX(Config!$I$5:$I$16,MATCH(G375,Config!$H$5:$H$16,0)),0))</f>
        <v>0</v>
      </c>
      <c r="Q375" s="30">
        <f>IF(OR(H375&lt;&gt;"Realizado",P375="",P375=0),"",A375+P375)</f>
        <v/>
      </c>
      <c r="R375" s="26">
        <f>IF(Q375="","",IF(COUNTIFS($E$5:$E$3004,E375,$A$5:$A$3004,"&gt;"&amp;A375,$H$5:$H$3004,"&lt;&gt;Falta",$H$5:$H$3004,"&lt;&gt;Cancelado",$H$5:$H$3004,"&lt;&gt;Remarcado")&gt;0,"Sim","Não"))</f>
        <v/>
      </c>
      <c r="S375" s="32">
        <f>IF(R375&lt;&gt;"Não","",IF(Q375+Config!$B$9&lt;=Config!$B$8,Config!$B$8-Q375,""))</f>
        <v/>
      </c>
      <c r="T375" s="26">
        <f>IF(S375="","","Sim")</f>
        <v/>
      </c>
      <c r="U375" s="41">
        <f>IF(T375="Sim",S375+ROW()/100000,0)</f>
        <v>0</v>
      </c>
      <c r="V375" s="41">
        <f>IF(AND(H375="Falta",L375=Config!$B$7,M375=Config!$B$5,COUNTIFS($E$5:E375,E375,$H$5:H375,"Falta",$L$5:L375,Config!$B$7,$M$5:M375,Config!$B$5)=1),COUNTIFS($E$5:$E$3004,E375,$H$5:$H$3004,"Falta",$L$5:$L$3004,Config!$B$7,$M$5:$M$3004,Config!$B$5)*1000-ROW()/100000,0)</f>
        <v>0</v>
      </c>
    </row>
    <row r="376">
      <c r="A376" s="39" t="n">
        <v>46211</v>
      </c>
      <c r="B376" s="40" t="n">
        <v>0.7013888888888888</v>
      </c>
      <c r="C376" s="35" t="inlineStr">
        <is>
          <t>Dra. Carolina Mendes</t>
        </is>
      </c>
      <c r="D376" s="35" t="inlineStr">
        <is>
          <t>Sala 1</t>
        </is>
      </c>
      <c r="E376" s="34" t="inlineStr">
        <is>
          <t>Cláudia Santos</t>
        </is>
      </c>
      <c r="F376" s="35" t="inlineStr">
        <is>
          <t>Particular</t>
        </is>
      </c>
      <c r="G376" s="35" t="inlineStr">
        <is>
          <t>Consulta</t>
        </is>
      </c>
      <c r="H376" s="35" t="inlineStr">
        <is>
          <t>Realizado</t>
        </is>
      </c>
      <c r="I376" s="35" t="inlineStr">
        <is>
          <t>Pix</t>
        </is>
      </c>
      <c r="J376" s="35" t="n"/>
      <c r="K376" s="34" t="n"/>
      <c r="L376" s="26">
        <f>IF(A376="","",MONTH(A376))</f>
        <v>7</v>
      </c>
      <c r="M376" s="26">
        <f>IF(A376="","",YEAR(A376))</f>
        <v>2026</v>
      </c>
      <c r="N376" s="26" t="str">
        <f>IF(A376="","",CHOOSE(WEEKDAY(A376,2),"Segunda","Terça","Quarta","Quinta","Sexta","Sábado","Domingo"))</f>
        <v>Quarta</v>
      </c>
      <c r="O376" s="26" t="str">
        <f>IF(B376="","",IF(B376&lt;TIME(12,0,0),"Manhã",IF(B376&lt;TIME(18,0,0),"Tarde","Noite")))</f>
        <v>Tarde</v>
      </c>
      <c r="P376" s="32">
        <f>IF(G376="","",IFERROR(INDEX(Config!$I$5:$I$16,MATCH(G376,Config!$H$5:$H$16,0)),0))</f>
        <v>30</v>
      </c>
      <c r="Q376" s="30">
        <f>IF(OR(H376&lt;&gt;"Realizado",P376="",P376=0),"",A376+P376)</f>
        <v>46241.0</v>
      </c>
      <c r="R376" s="26" t="str">
        <f>IF(Q376="","",IF(COUNTIFS($E$5:$E$3004,E376,$A$5:$A$3004,"&gt;"&amp;A376,$H$5:$H$3004,"&lt;&gt;Falta",$H$5:$H$3004,"&lt;&gt;Cancelado",$H$5:$H$3004,"&lt;&gt;Remarcado")&gt;0,"Sim","Não"))</f>
        <v>Sim</v>
      </c>
      <c r="S376" s="32">
        <f>IF(R376&lt;&gt;"Não","",IF(Q376+Config!$B$9&lt;=Config!$B$8,Config!$B$8-Q376,""))</f>
        <v/>
      </c>
      <c r="T376" s="26">
        <f>IF(S376="","","Sim")</f>
        <v/>
      </c>
      <c r="U376" s="41">
        <f>IF(T376="Sim",S376+ROW()/100000,0)</f>
        <v>0</v>
      </c>
      <c r="V376" s="41">
        <f>IF(AND(H376="Falta",L376=Config!$B$7,M376=Config!$B$5,COUNTIFS($E$5:E376,E376,$H$5:H376,"Falta",$L$5:L376,Config!$B$7,$M$5:M376,Config!$B$5)=1),COUNTIFS($E$5:$E$3004,E376,$H$5:$H$3004,"Falta",$L$5:$L$3004,Config!$B$7,$M$5:$M$3004,Config!$B$5)*1000-ROW()/100000,0)</f>
        <v>0</v>
      </c>
    </row>
    <row r="377">
      <c r="A377" s="39" t="n">
        <v>46211</v>
      </c>
      <c r="B377" s="40" t="n">
        <v>0.7222222222222222</v>
      </c>
      <c r="C377" s="35" t="inlineStr">
        <is>
          <t>Dra. Carolina Mendes</t>
        </is>
      </c>
      <c r="D377" s="35" t="inlineStr">
        <is>
          <t>Sala 1</t>
        </is>
      </c>
      <c r="E377" s="34" t="inlineStr">
        <is>
          <t>Otávio Nascimento</t>
        </is>
      </c>
      <c r="F377" s="35" t="inlineStr">
        <is>
          <t>Particular</t>
        </is>
      </c>
      <c r="G377" s="35" t="inlineStr">
        <is>
          <t>Consulta</t>
        </is>
      </c>
      <c r="H377" s="35" t="inlineStr">
        <is>
          <t>Realizado</t>
        </is>
      </c>
      <c r="I377" s="35" t="inlineStr">
        <is>
          <t>Cartão de crédito</t>
        </is>
      </c>
      <c r="J377" s="35" t="n"/>
      <c r="K377" s="34" t="n"/>
      <c r="L377" s="26">
        <f>IF(A377="","",MONTH(A377))</f>
        <v>7</v>
      </c>
      <c r="M377" s="26">
        <f>IF(A377="","",YEAR(A377))</f>
        <v>2026</v>
      </c>
      <c r="N377" s="26" t="str">
        <f>IF(A377="","",CHOOSE(WEEKDAY(A377,2),"Segunda","Terça","Quarta","Quinta","Sexta","Sábado","Domingo"))</f>
        <v>Quarta</v>
      </c>
      <c r="O377" s="26" t="str">
        <f>IF(B377="","",IF(B377&lt;TIME(12,0,0),"Manhã",IF(B377&lt;TIME(18,0,0),"Tarde","Noite")))</f>
        <v>Tarde</v>
      </c>
      <c r="P377" s="32">
        <f>IF(G377="","",IFERROR(INDEX(Config!$I$5:$I$16,MATCH(G377,Config!$H$5:$H$16,0)),0))</f>
        <v>30</v>
      </c>
      <c r="Q377" s="30">
        <f>IF(OR(H377&lt;&gt;"Realizado",P377="",P377=0),"",A377+P377)</f>
        <v>46241.0</v>
      </c>
      <c r="R377" s="26" t="str">
        <f>IF(Q377="","",IF(COUNTIFS($E$5:$E$3004,E377,$A$5:$A$3004,"&gt;"&amp;A377,$H$5:$H$3004,"&lt;&gt;Falta",$H$5:$H$3004,"&lt;&gt;Cancelado",$H$5:$H$3004,"&lt;&gt;Remarcado")&gt;0,"Sim","Não"))</f>
        <v>Sim</v>
      </c>
      <c r="S377" s="32">
        <f>IF(R377&lt;&gt;"Não","",IF(Q377+Config!$B$9&lt;=Config!$B$8,Config!$B$8-Q377,""))</f>
        <v/>
      </c>
      <c r="T377" s="26">
        <f>IF(S377="","","Sim")</f>
        <v/>
      </c>
      <c r="U377" s="41">
        <f>IF(T377="Sim",S377+ROW()/100000,0)</f>
        <v>0</v>
      </c>
      <c r="V377" s="41">
        <f>IF(AND(H377="Falta",L377=Config!$B$7,M377=Config!$B$5,COUNTIFS($E$5:E377,E377,$H$5:H377,"Falta",$L$5:L377,Config!$B$7,$M$5:M377,Config!$B$5)=1),COUNTIFS($E$5:$E$3004,E377,$H$5:$H$3004,"Falta",$L$5:$L$3004,Config!$B$7,$M$5:$M$3004,Config!$B$5)*1000-ROW()/100000,0)</f>
        <v>0</v>
      </c>
    </row>
    <row r="378">
      <c r="A378" s="39" t="n">
        <v>46212</v>
      </c>
      <c r="B378" s="40" t="n">
        <v>0.3333333333333333</v>
      </c>
      <c r="C378" s="35" t="inlineStr">
        <is>
          <t>Dra. Carolina Mendes</t>
        </is>
      </c>
      <c r="D378" s="35" t="inlineStr">
        <is>
          <t>Sala 1</t>
        </is>
      </c>
      <c r="E378" s="34" t="inlineStr">
        <is>
          <t>Otávio Cardoso</t>
        </is>
      </c>
      <c r="F378" s="35" t="inlineStr">
        <is>
          <t>Particular</t>
        </is>
      </c>
      <c r="G378" s="35" t="inlineStr">
        <is>
          <t>Retorno</t>
        </is>
      </c>
      <c r="H378" s="35" t="inlineStr">
        <is>
          <t>Falta</t>
        </is>
      </c>
      <c r="I378" s="35" t="n"/>
      <c r="J378" s="35" t="n"/>
      <c r="K378" s="34" t="n"/>
      <c r="L378" s="26">
        <f>IF(A378="","",MONTH(A378))</f>
        <v>7</v>
      </c>
      <c r="M378" s="26">
        <f>IF(A378="","",YEAR(A378))</f>
        <v>2026</v>
      </c>
      <c r="N378" s="26" t="str">
        <f>IF(A378="","",CHOOSE(WEEKDAY(A378,2),"Segunda","Terça","Quarta","Quinta","Sexta","Sábado","Domingo"))</f>
        <v>Quinta</v>
      </c>
      <c r="O378" s="26" t="str">
        <f>IF(B378="","",IF(B378&lt;TIME(12,0,0),"Manhã",IF(B378&lt;TIME(18,0,0),"Tarde","Noite")))</f>
        <v>Manhã</v>
      </c>
      <c r="P378" s="32">
        <f>IF(G378="","",IFERROR(INDEX(Config!$I$5:$I$16,MATCH(G378,Config!$H$5:$H$16,0)),0))</f>
        <v>0</v>
      </c>
      <c r="Q378" s="30">
        <f>IF(OR(H378&lt;&gt;"Realizado",P378="",P378=0),"",A378+P378)</f>
        <v/>
      </c>
      <c r="R378" s="26">
        <f>IF(Q378="","",IF(COUNTIFS($E$5:$E$3004,E378,$A$5:$A$3004,"&gt;"&amp;A378,$H$5:$H$3004,"&lt;&gt;Falta",$H$5:$H$3004,"&lt;&gt;Cancelado",$H$5:$H$3004,"&lt;&gt;Remarcado")&gt;0,"Sim","Não"))</f>
        <v/>
      </c>
      <c r="S378" s="32">
        <f>IF(R378&lt;&gt;"Não","",IF(Q378+Config!$B$9&lt;=Config!$B$8,Config!$B$8-Q378,""))</f>
        <v/>
      </c>
      <c r="T378" s="26">
        <f>IF(S378="","","Sim")</f>
        <v/>
      </c>
      <c r="U378" s="41">
        <f>IF(T378="Sim",S378+ROW()/100000,0)</f>
        <v>0</v>
      </c>
      <c r="V378" s="41">
        <f>IF(AND(H378="Falta",L378=Config!$B$7,M378=Config!$B$5,COUNTIFS($E$5:E378,E378,$H$5:H378,"Falta",$L$5:L378,Config!$B$7,$M$5:M378,Config!$B$5)=1),COUNTIFS($E$5:$E$3004,E378,$H$5:$H$3004,"Falta",$L$5:$L$3004,Config!$B$7,$M$5:$M$3004,Config!$B$5)*1000-ROW()/100000,0)</f>
        <v>0</v>
      </c>
    </row>
    <row r="379">
      <c r="A379" s="39" t="n">
        <v>46212</v>
      </c>
      <c r="B379" s="40" t="n">
        <v>0.3472222222222222</v>
      </c>
      <c r="C379" s="35" t="inlineStr">
        <is>
          <t>Dra. Carolina Mendes</t>
        </is>
      </c>
      <c r="D379" s="35" t="inlineStr">
        <is>
          <t>Sala 1</t>
        </is>
      </c>
      <c r="E379" s="34" t="inlineStr">
        <is>
          <t>Elaine Cardoso</t>
        </is>
      </c>
      <c r="F379" s="35" t="inlineStr">
        <is>
          <t>Particular</t>
        </is>
      </c>
      <c r="G379" s="35" t="inlineStr">
        <is>
          <t>Consulta</t>
        </is>
      </c>
      <c r="H379" s="35" t="inlineStr">
        <is>
          <t>Realizado</t>
        </is>
      </c>
      <c r="I379" s="35" t="inlineStr">
        <is>
          <t>Cartão de crédito</t>
        </is>
      </c>
      <c r="J379" s="35" t="n"/>
      <c r="K379" s="34" t="n"/>
      <c r="L379" s="26">
        <f>IF(A379="","",MONTH(A379))</f>
        <v>7</v>
      </c>
      <c r="M379" s="26">
        <f>IF(A379="","",YEAR(A379))</f>
        <v>2026</v>
      </c>
      <c r="N379" s="26" t="str">
        <f>IF(A379="","",CHOOSE(WEEKDAY(A379,2),"Segunda","Terça","Quarta","Quinta","Sexta","Sábado","Domingo"))</f>
        <v>Quinta</v>
      </c>
      <c r="O379" s="26" t="str">
        <f>IF(B379="","",IF(B379&lt;TIME(12,0,0),"Manhã",IF(B379&lt;TIME(18,0,0),"Tarde","Noite")))</f>
        <v>Manhã</v>
      </c>
      <c r="P379" s="32">
        <f>IF(G379="","",IFERROR(INDEX(Config!$I$5:$I$16,MATCH(G379,Config!$H$5:$H$16,0)),0))</f>
        <v>30</v>
      </c>
      <c r="Q379" s="30">
        <f>IF(OR(H379&lt;&gt;"Realizado",P379="",P379=0),"",A379+P379)</f>
        <v>46242.0</v>
      </c>
      <c r="R379" s="26" t="str">
        <f>IF(Q379="","",IF(COUNTIFS($E$5:$E$3004,E379,$A$5:$A$3004,"&gt;"&amp;A379,$H$5:$H$3004,"&lt;&gt;Falta",$H$5:$H$3004,"&lt;&gt;Cancelado",$H$5:$H$3004,"&lt;&gt;Remarcado")&gt;0,"Sim","Não"))</f>
        <v>Sim</v>
      </c>
      <c r="S379" s="32">
        <f>IF(R379&lt;&gt;"Não","",IF(Q379+Config!$B$9&lt;=Config!$B$8,Config!$B$8-Q379,""))</f>
        <v/>
      </c>
      <c r="T379" s="26">
        <f>IF(S379="","","Sim")</f>
        <v/>
      </c>
      <c r="U379" s="41">
        <f>IF(T379="Sim",S379+ROW()/100000,0)</f>
        <v>0</v>
      </c>
      <c r="V379" s="41">
        <f>IF(AND(H379="Falta",L379=Config!$B$7,M379=Config!$B$5,COUNTIFS($E$5:E379,E379,$H$5:H379,"Falta",$L$5:L379,Config!$B$7,$M$5:M379,Config!$B$5)=1),COUNTIFS($E$5:$E$3004,E379,$H$5:$H$3004,"Falta",$L$5:$L$3004,Config!$B$7,$M$5:$M$3004,Config!$B$5)*1000-ROW()/100000,0)</f>
        <v>0</v>
      </c>
    </row>
    <row r="380">
      <c r="A380" s="39" t="n">
        <v>46212</v>
      </c>
      <c r="B380" s="40" t="n">
        <v>0.3888888888888889</v>
      </c>
      <c r="C380" s="35" t="inlineStr">
        <is>
          <t>Dra. Carolina Mendes</t>
        </is>
      </c>
      <c r="D380" s="35" t="inlineStr">
        <is>
          <t>Sala 1</t>
        </is>
      </c>
      <c r="E380" s="34" t="inlineStr">
        <is>
          <t>Eduardo Nunes</t>
        </is>
      </c>
      <c r="F380" s="35" t="inlineStr">
        <is>
          <t>MediPlan</t>
        </is>
      </c>
      <c r="G380" s="35" t="inlineStr">
        <is>
          <t>Consulta</t>
        </is>
      </c>
      <c r="H380" s="35" t="inlineStr">
        <is>
          <t>Remarcado</t>
        </is>
      </c>
      <c r="I380" s="35" t="n"/>
      <c r="J380" s="35" t="n"/>
      <c r="K380" s="34" t="inlineStr">
        <is>
          <t>Paciente pediu outra data</t>
        </is>
      </c>
      <c r="L380" s="26">
        <f>IF(A380="","",MONTH(A380))</f>
        <v>7</v>
      </c>
      <c r="M380" s="26">
        <f>IF(A380="","",YEAR(A380))</f>
        <v>2026</v>
      </c>
      <c r="N380" s="26" t="str">
        <f>IF(A380="","",CHOOSE(WEEKDAY(A380,2),"Segunda","Terça","Quarta","Quinta","Sexta","Sábado","Domingo"))</f>
        <v>Quinta</v>
      </c>
      <c r="O380" s="26" t="str">
        <f>IF(B380="","",IF(B380&lt;TIME(12,0,0),"Manhã",IF(B380&lt;TIME(18,0,0),"Tarde","Noite")))</f>
        <v>Manhã</v>
      </c>
      <c r="P380" s="32">
        <f>IF(G380="","",IFERROR(INDEX(Config!$I$5:$I$16,MATCH(G380,Config!$H$5:$H$16,0)),0))</f>
        <v>30</v>
      </c>
      <c r="Q380" s="30">
        <f>IF(OR(H380&lt;&gt;"Realizado",P380="",P380=0),"",A380+P380)</f>
        <v/>
      </c>
      <c r="R380" s="26">
        <f>IF(Q380="","",IF(COUNTIFS($E$5:$E$3004,E380,$A$5:$A$3004,"&gt;"&amp;A380,$H$5:$H$3004,"&lt;&gt;Falta",$H$5:$H$3004,"&lt;&gt;Cancelado",$H$5:$H$3004,"&lt;&gt;Remarcado")&gt;0,"Sim","Não"))</f>
        <v/>
      </c>
      <c r="S380" s="32">
        <f>IF(R380&lt;&gt;"Não","",IF(Q380+Config!$B$9&lt;=Config!$B$8,Config!$B$8-Q380,""))</f>
        <v/>
      </c>
      <c r="T380" s="26">
        <f>IF(S380="","","Sim")</f>
        <v/>
      </c>
      <c r="U380" s="41">
        <f>IF(T380="Sim",S380+ROW()/100000,0)</f>
        <v>0</v>
      </c>
      <c r="V380" s="41">
        <f>IF(AND(H380="Falta",L380=Config!$B$7,M380=Config!$B$5,COUNTIFS($E$5:E380,E380,$H$5:H380,"Falta",$L$5:L380,Config!$B$7,$M$5:M380,Config!$B$5)=1),COUNTIFS($E$5:$E$3004,E380,$H$5:$H$3004,"Falta",$L$5:$L$3004,Config!$B$7,$M$5:$M$3004,Config!$B$5)*1000-ROW()/100000,0)</f>
        <v>0</v>
      </c>
    </row>
    <row r="381">
      <c r="A381" s="39" t="n">
        <v>46212</v>
      </c>
      <c r="B381" s="40" t="n">
        <v>0.4097222222222222</v>
      </c>
      <c r="C381" s="35" t="inlineStr">
        <is>
          <t>Dra. Carolina Mendes</t>
        </is>
      </c>
      <c r="D381" s="35" t="inlineStr">
        <is>
          <t>Sala 1</t>
        </is>
      </c>
      <c r="E381" s="34" t="inlineStr">
        <is>
          <t>Priscila Castro</t>
        </is>
      </c>
      <c r="F381" s="35" t="inlineStr">
        <is>
          <t>Saúde Total</t>
        </is>
      </c>
      <c r="G381" s="35" t="inlineStr">
        <is>
          <t>Consulta</t>
        </is>
      </c>
      <c r="H381" s="35" t="inlineStr">
        <is>
          <t>Realizado</t>
        </is>
      </c>
      <c r="I381" s="35" t="inlineStr">
        <is>
          <t>Convênio</t>
        </is>
      </c>
      <c r="J381" s="35" t="n"/>
      <c r="K381" s="34" t="n"/>
      <c r="L381" s="26">
        <f>IF(A381="","",MONTH(A381))</f>
        <v>7</v>
      </c>
      <c r="M381" s="26">
        <f>IF(A381="","",YEAR(A381))</f>
        <v>2026</v>
      </c>
      <c r="N381" s="26" t="str">
        <f>IF(A381="","",CHOOSE(WEEKDAY(A381,2),"Segunda","Terça","Quarta","Quinta","Sexta","Sábado","Domingo"))</f>
        <v>Quinta</v>
      </c>
      <c r="O381" s="26" t="str">
        <f>IF(B381="","",IF(B381&lt;TIME(12,0,0),"Manhã",IF(B381&lt;TIME(18,0,0),"Tarde","Noite")))</f>
        <v>Manhã</v>
      </c>
      <c r="P381" s="32">
        <f>IF(G381="","",IFERROR(INDEX(Config!$I$5:$I$16,MATCH(G381,Config!$H$5:$H$16,0)),0))</f>
        <v>30</v>
      </c>
      <c r="Q381" s="30">
        <f>IF(OR(H381&lt;&gt;"Realizado",P381="",P381=0),"",A381+P381)</f>
        <v>46242.0</v>
      </c>
      <c r="R381" s="26" t="str">
        <f>IF(Q381="","",IF(COUNTIFS($E$5:$E$3004,E381,$A$5:$A$3004,"&gt;"&amp;A381,$H$5:$H$3004,"&lt;&gt;Falta",$H$5:$H$3004,"&lt;&gt;Cancelado",$H$5:$H$3004,"&lt;&gt;Remarcado")&gt;0,"Sim","Não"))</f>
        <v>Sim</v>
      </c>
      <c r="S381" s="32">
        <f>IF(R381&lt;&gt;"Não","",IF(Q381+Config!$B$9&lt;=Config!$B$8,Config!$B$8-Q381,""))</f>
        <v/>
      </c>
      <c r="T381" s="26">
        <f>IF(S381="","","Sim")</f>
        <v/>
      </c>
      <c r="U381" s="41">
        <f>IF(T381="Sim",S381+ROW()/100000,0)</f>
        <v>0</v>
      </c>
      <c r="V381" s="41">
        <f>IF(AND(H381="Falta",L381=Config!$B$7,M381=Config!$B$5,COUNTIFS($E$5:E381,E381,$H$5:H381,"Falta",$L$5:L381,Config!$B$7,$M$5:M381,Config!$B$5)=1),COUNTIFS($E$5:$E$3004,E381,$H$5:$H$3004,"Falta",$L$5:$L$3004,Config!$B$7,$M$5:$M$3004,Config!$B$5)*1000-ROW()/100000,0)</f>
        <v>0</v>
      </c>
    </row>
    <row r="382">
      <c r="A382" s="39" t="n">
        <v>46212</v>
      </c>
      <c r="B382" s="40" t="n">
        <v>0.4305555555555556</v>
      </c>
      <c r="C382" s="35" t="inlineStr">
        <is>
          <t>Dra. Carolina Mendes</t>
        </is>
      </c>
      <c r="D382" s="35" t="inlineStr">
        <is>
          <t>Sala 1</t>
        </is>
      </c>
      <c r="E382" s="34" t="inlineStr">
        <is>
          <t>Roberta Araújo</t>
        </is>
      </c>
      <c r="F382" s="35" t="inlineStr">
        <is>
          <t>Particular</t>
        </is>
      </c>
      <c r="G382" s="35" t="inlineStr">
        <is>
          <t>Consulta</t>
        </is>
      </c>
      <c r="H382" s="35" t="inlineStr">
        <is>
          <t>Realizado</t>
        </is>
      </c>
      <c r="I382" s="35" t="inlineStr">
        <is>
          <t>Pix</t>
        </is>
      </c>
      <c r="J382" s="35" t="n"/>
      <c r="K382" s="34" t="n"/>
      <c r="L382" s="26">
        <f>IF(A382="","",MONTH(A382))</f>
        <v>7</v>
      </c>
      <c r="M382" s="26">
        <f>IF(A382="","",YEAR(A382))</f>
        <v>2026</v>
      </c>
      <c r="N382" s="26" t="str">
        <f>IF(A382="","",CHOOSE(WEEKDAY(A382,2),"Segunda","Terça","Quarta","Quinta","Sexta","Sábado","Domingo"))</f>
        <v>Quinta</v>
      </c>
      <c r="O382" s="26" t="str">
        <f>IF(B382="","",IF(B382&lt;TIME(12,0,0),"Manhã",IF(B382&lt;TIME(18,0,0),"Tarde","Noite")))</f>
        <v>Manhã</v>
      </c>
      <c r="P382" s="32">
        <f>IF(G382="","",IFERROR(INDEX(Config!$I$5:$I$16,MATCH(G382,Config!$H$5:$H$16,0)),0))</f>
        <v>30</v>
      </c>
      <c r="Q382" s="30">
        <f>IF(OR(H382&lt;&gt;"Realizado",P382="",P382=0),"",A382+P382)</f>
        <v>46242.0</v>
      </c>
      <c r="R382" s="26" t="str">
        <f>IF(Q382="","",IF(COUNTIFS($E$5:$E$3004,E382,$A$5:$A$3004,"&gt;"&amp;A382,$H$5:$H$3004,"&lt;&gt;Falta",$H$5:$H$3004,"&lt;&gt;Cancelado",$H$5:$H$3004,"&lt;&gt;Remarcado")&gt;0,"Sim","Não"))</f>
        <v>Sim</v>
      </c>
      <c r="S382" s="32">
        <f>IF(R382&lt;&gt;"Não","",IF(Q382+Config!$B$9&lt;=Config!$B$8,Config!$B$8-Q382,""))</f>
        <v/>
      </c>
      <c r="T382" s="26">
        <f>IF(S382="","","Sim")</f>
        <v/>
      </c>
      <c r="U382" s="41">
        <f>IF(T382="Sim",S382+ROW()/100000,0)</f>
        <v>0</v>
      </c>
      <c r="V382" s="41">
        <f>IF(AND(H382="Falta",L382=Config!$B$7,M382=Config!$B$5,COUNTIFS($E$5:E382,E382,$H$5:H382,"Falta",$L$5:L382,Config!$B$7,$M$5:M382,Config!$B$5)=1),COUNTIFS($E$5:$E$3004,E382,$H$5:$H$3004,"Falta",$L$5:$L$3004,Config!$B$7,$M$5:$M$3004,Config!$B$5)*1000-ROW()/100000,0)</f>
        <v>0</v>
      </c>
    </row>
    <row r="383">
      <c r="A383" s="39" t="n">
        <v>46212</v>
      </c>
      <c r="B383" s="40" t="n">
        <v>0.4513888888888889</v>
      </c>
      <c r="C383" s="35" t="inlineStr">
        <is>
          <t>Dra. Carolina Mendes</t>
        </is>
      </c>
      <c r="D383" s="35" t="inlineStr">
        <is>
          <t>Sala 1</t>
        </is>
      </c>
      <c r="E383" s="34" t="inlineStr">
        <is>
          <t>Tatiana Cunha</t>
        </is>
      </c>
      <c r="F383" s="35" t="inlineStr">
        <is>
          <t>Saúde Total</t>
        </is>
      </c>
      <c r="G383" s="35" t="inlineStr">
        <is>
          <t>Consulta</t>
        </is>
      </c>
      <c r="H383" s="35" t="inlineStr">
        <is>
          <t>Realizado</t>
        </is>
      </c>
      <c r="I383" s="35" t="inlineStr">
        <is>
          <t>Convênio</t>
        </is>
      </c>
      <c r="J383" s="35" t="n"/>
      <c r="K383" s="34" t="n"/>
      <c r="L383" s="26">
        <f>IF(A383="","",MONTH(A383))</f>
        <v>7</v>
      </c>
      <c r="M383" s="26">
        <f>IF(A383="","",YEAR(A383))</f>
        <v>2026</v>
      </c>
      <c r="N383" s="26" t="str">
        <f>IF(A383="","",CHOOSE(WEEKDAY(A383,2),"Segunda","Terça","Quarta","Quinta","Sexta","Sábado","Domingo"))</f>
        <v>Quinta</v>
      </c>
      <c r="O383" s="26" t="str">
        <f>IF(B383="","",IF(B383&lt;TIME(12,0,0),"Manhã",IF(B383&lt;TIME(18,0,0),"Tarde","Noite")))</f>
        <v>Manhã</v>
      </c>
      <c r="P383" s="32">
        <f>IF(G383="","",IFERROR(INDEX(Config!$I$5:$I$16,MATCH(G383,Config!$H$5:$H$16,0)),0))</f>
        <v>30</v>
      </c>
      <c r="Q383" s="30">
        <f>IF(OR(H383&lt;&gt;"Realizado",P383="",P383=0),"",A383+P383)</f>
        <v>46242.0</v>
      </c>
      <c r="R383" s="26" t="str">
        <f>IF(Q383="","",IF(COUNTIFS($E$5:$E$3004,E383,$A$5:$A$3004,"&gt;"&amp;A383,$H$5:$H$3004,"&lt;&gt;Falta",$H$5:$H$3004,"&lt;&gt;Cancelado",$H$5:$H$3004,"&lt;&gt;Remarcado")&gt;0,"Sim","Não"))</f>
        <v>Sim</v>
      </c>
      <c r="S383" s="32">
        <f>IF(R383&lt;&gt;"Não","",IF(Q383+Config!$B$9&lt;=Config!$B$8,Config!$B$8-Q383,""))</f>
        <v/>
      </c>
      <c r="T383" s="26">
        <f>IF(S383="","","Sim")</f>
        <v/>
      </c>
      <c r="U383" s="41">
        <f>IF(T383="Sim",S383+ROW()/100000,0)</f>
        <v>0</v>
      </c>
      <c r="V383" s="41">
        <f>IF(AND(H383="Falta",L383=Config!$B$7,M383=Config!$B$5,COUNTIFS($E$5:E383,E383,$H$5:H383,"Falta",$L$5:L383,Config!$B$7,$M$5:M383,Config!$B$5)=1),COUNTIFS($E$5:$E$3004,E383,$H$5:$H$3004,"Falta",$L$5:$L$3004,Config!$B$7,$M$5:$M$3004,Config!$B$5)*1000-ROW()/100000,0)</f>
        <v>0</v>
      </c>
    </row>
    <row r="384">
      <c r="A384" s="39" t="n">
        <v>46212</v>
      </c>
      <c r="B384" s="40" t="n">
        <v>0.5833333333333334</v>
      </c>
      <c r="C384" s="35" t="inlineStr">
        <is>
          <t>Dra. Renata Sousa</t>
        </is>
      </c>
      <c r="D384" s="35" t="inlineStr">
        <is>
          <t>Sala 1</t>
        </is>
      </c>
      <c r="E384" s="34" t="inlineStr">
        <is>
          <t>Fábio Ferreira</t>
        </is>
      </c>
      <c r="F384" s="35" t="inlineStr">
        <is>
          <t>Particular</t>
        </is>
      </c>
      <c r="G384" s="35" t="inlineStr">
        <is>
          <t>Retorno</t>
        </is>
      </c>
      <c r="H384" s="35" t="inlineStr">
        <is>
          <t>Realizado</t>
        </is>
      </c>
      <c r="I384" s="35" t="inlineStr">
        <is>
          <t>Sem cobrança</t>
        </is>
      </c>
      <c r="J384" s="35" t="n"/>
      <c r="K384" s="34" t="n"/>
      <c r="L384" s="26">
        <f>IF(A384="","",MONTH(A384))</f>
        <v>7</v>
      </c>
      <c r="M384" s="26">
        <f>IF(A384="","",YEAR(A384))</f>
        <v>2026</v>
      </c>
      <c r="N384" s="26" t="str">
        <f>IF(A384="","",CHOOSE(WEEKDAY(A384,2),"Segunda","Terça","Quarta","Quinta","Sexta","Sábado","Domingo"))</f>
        <v>Quinta</v>
      </c>
      <c r="O384" s="26" t="str">
        <f>IF(B384="","",IF(B384&lt;TIME(12,0,0),"Manhã",IF(B384&lt;TIME(18,0,0),"Tarde","Noite")))</f>
        <v>Tarde</v>
      </c>
      <c r="P384" s="32">
        <f>IF(G384="","",IFERROR(INDEX(Config!$I$5:$I$16,MATCH(G384,Config!$H$5:$H$16,0)),0))</f>
        <v>0</v>
      </c>
      <c r="Q384" s="30">
        <f>IF(OR(H384&lt;&gt;"Realizado",P384="",P384=0),"",A384+P384)</f>
        <v/>
      </c>
      <c r="R384" s="26">
        <f>IF(Q384="","",IF(COUNTIFS($E$5:$E$3004,E384,$A$5:$A$3004,"&gt;"&amp;A384,$H$5:$H$3004,"&lt;&gt;Falta",$H$5:$H$3004,"&lt;&gt;Cancelado",$H$5:$H$3004,"&lt;&gt;Remarcado")&gt;0,"Sim","Não"))</f>
        <v/>
      </c>
      <c r="S384" s="32">
        <f>IF(R384&lt;&gt;"Não","",IF(Q384+Config!$B$9&lt;=Config!$B$8,Config!$B$8-Q384,""))</f>
        <v/>
      </c>
      <c r="T384" s="26">
        <f>IF(S384="","","Sim")</f>
        <v/>
      </c>
      <c r="U384" s="41">
        <f>IF(T384="Sim",S384+ROW()/100000,0)</f>
        <v>0</v>
      </c>
      <c r="V384" s="41">
        <f>IF(AND(H384="Falta",L384=Config!$B$7,M384=Config!$B$5,COUNTIFS($E$5:E384,E384,$H$5:H384,"Falta",$L$5:L384,Config!$B$7,$M$5:M384,Config!$B$5)=1),COUNTIFS($E$5:$E$3004,E384,$H$5:$H$3004,"Falta",$L$5:$L$3004,Config!$B$7,$M$5:$M$3004,Config!$B$5)*1000-ROW()/100000,0)</f>
        <v>0</v>
      </c>
    </row>
    <row r="385">
      <c r="A385" s="39" t="n">
        <v>46212</v>
      </c>
      <c r="B385" s="40" t="n">
        <v>0.5833333333333334</v>
      </c>
      <c r="C385" s="35" t="inlineStr">
        <is>
          <t>Dr. Paulo Andrade</t>
        </is>
      </c>
      <c r="D385" s="35" t="inlineStr">
        <is>
          <t>Sala 2</t>
        </is>
      </c>
      <c r="E385" s="34" t="inlineStr">
        <is>
          <t>Leandro Ferreira</t>
        </is>
      </c>
      <c r="F385" s="35" t="inlineStr">
        <is>
          <t>Saúde Total</t>
        </is>
      </c>
      <c r="G385" s="35" t="inlineStr">
        <is>
          <t>Retorno</t>
        </is>
      </c>
      <c r="H385" s="35" t="inlineStr">
        <is>
          <t>Realizado</t>
        </is>
      </c>
      <c r="I385" s="35" t="inlineStr">
        <is>
          <t>Sem cobrança</t>
        </is>
      </c>
      <c r="J385" s="35" t="n"/>
      <c r="K385" s="34" t="n"/>
      <c r="L385" s="26">
        <f>IF(A385="","",MONTH(A385))</f>
        <v>7</v>
      </c>
      <c r="M385" s="26">
        <f>IF(A385="","",YEAR(A385))</f>
        <v>2026</v>
      </c>
      <c r="N385" s="26" t="str">
        <f>IF(A385="","",CHOOSE(WEEKDAY(A385,2),"Segunda","Terça","Quarta","Quinta","Sexta","Sábado","Domingo"))</f>
        <v>Quinta</v>
      </c>
      <c r="O385" s="26" t="str">
        <f>IF(B385="","",IF(B385&lt;TIME(12,0,0),"Manhã",IF(B385&lt;TIME(18,0,0),"Tarde","Noite")))</f>
        <v>Tarde</v>
      </c>
      <c r="P385" s="32">
        <f>IF(G385="","",IFERROR(INDEX(Config!$I$5:$I$16,MATCH(G385,Config!$H$5:$H$16,0)),0))</f>
        <v>0</v>
      </c>
      <c r="Q385" s="30">
        <f>IF(OR(H385&lt;&gt;"Realizado",P385="",P385=0),"",A385+P385)</f>
        <v/>
      </c>
      <c r="R385" s="26">
        <f>IF(Q385="","",IF(COUNTIFS($E$5:$E$3004,E385,$A$5:$A$3004,"&gt;"&amp;A385,$H$5:$H$3004,"&lt;&gt;Falta",$H$5:$H$3004,"&lt;&gt;Cancelado",$H$5:$H$3004,"&lt;&gt;Remarcado")&gt;0,"Sim","Não"))</f>
        <v/>
      </c>
      <c r="S385" s="32">
        <f>IF(R385&lt;&gt;"Não","",IF(Q385+Config!$B$9&lt;=Config!$B$8,Config!$B$8-Q385,""))</f>
        <v/>
      </c>
      <c r="T385" s="26">
        <f>IF(S385="","","Sim")</f>
        <v/>
      </c>
      <c r="U385" s="41">
        <f>IF(T385="Sim",S385+ROW()/100000,0)</f>
        <v>0</v>
      </c>
      <c r="V385" s="41">
        <f>IF(AND(H385="Falta",L385=Config!$B$7,M385=Config!$B$5,COUNTIFS($E$5:E385,E385,$H$5:H385,"Falta",$L$5:L385,Config!$B$7,$M$5:M385,Config!$B$5)=1),COUNTIFS($E$5:$E$3004,E385,$H$5:$H$3004,"Falta",$L$5:$L$3004,Config!$B$7,$M$5:$M$3004,Config!$B$5)*1000-ROW()/100000,0)</f>
        <v>0</v>
      </c>
    </row>
    <row r="386">
      <c r="A386" s="39" t="n">
        <v>46212</v>
      </c>
      <c r="B386" s="40" t="n">
        <v>0.5972222222222222</v>
      </c>
      <c r="C386" s="35" t="inlineStr">
        <is>
          <t>Dra. Renata Sousa</t>
        </is>
      </c>
      <c r="D386" s="35" t="inlineStr">
        <is>
          <t>Sala 1</t>
        </is>
      </c>
      <c r="E386" s="34" t="inlineStr">
        <is>
          <t>Fábio Gomes</t>
        </is>
      </c>
      <c r="F386" s="35" t="inlineStr">
        <is>
          <t>Particular</t>
        </is>
      </c>
      <c r="G386" s="35" t="inlineStr">
        <is>
          <t>Avaliação endócrina</t>
        </is>
      </c>
      <c r="H386" s="35" t="inlineStr">
        <is>
          <t>Realizado</t>
        </is>
      </c>
      <c r="I386" s="35" t="inlineStr">
        <is>
          <t>Cartão de crédito</t>
        </is>
      </c>
      <c r="J386" s="35" t="n"/>
      <c r="K386" s="34" t="n"/>
      <c r="L386" s="26">
        <f>IF(A386="","",MONTH(A386))</f>
        <v>7</v>
      </c>
      <c r="M386" s="26">
        <f>IF(A386="","",YEAR(A386))</f>
        <v>2026</v>
      </c>
      <c r="N386" s="26" t="str">
        <f>IF(A386="","",CHOOSE(WEEKDAY(A386,2),"Segunda","Terça","Quarta","Quinta","Sexta","Sábado","Domingo"))</f>
        <v>Quinta</v>
      </c>
      <c r="O386" s="26" t="str">
        <f>IF(B386="","",IF(B386&lt;TIME(12,0,0),"Manhã",IF(B386&lt;TIME(18,0,0),"Tarde","Noite")))</f>
        <v>Tarde</v>
      </c>
      <c r="P386" s="32">
        <f>IF(G386="","",IFERROR(INDEX(Config!$I$5:$I$16,MATCH(G386,Config!$H$5:$H$16,0)),0))</f>
        <v>45</v>
      </c>
      <c r="Q386" s="30">
        <f>IF(OR(H386&lt;&gt;"Realizado",P386="",P386=0),"",A386+P386)</f>
        <v>46257.0</v>
      </c>
      <c r="R386" s="26" t="str">
        <f>IF(Q386="","",IF(COUNTIFS($E$5:$E$3004,E386,$A$5:$A$3004,"&gt;"&amp;A386,$H$5:$H$3004,"&lt;&gt;Falta",$H$5:$H$3004,"&lt;&gt;Cancelado",$H$5:$H$3004,"&lt;&gt;Remarcado")&gt;0,"Sim","Não"))</f>
        <v>Sim</v>
      </c>
      <c r="S386" s="32">
        <f>IF(R386&lt;&gt;"Não","",IF(Q386+Config!$B$9&lt;=Config!$B$8,Config!$B$8-Q386,""))</f>
        <v/>
      </c>
      <c r="T386" s="26">
        <f>IF(S386="","","Sim")</f>
        <v/>
      </c>
      <c r="U386" s="41">
        <f>IF(T386="Sim",S386+ROW()/100000,0)</f>
        <v>0</v>
      </c>
      <c r="V386" s="41">
        <f>IF(AND(H386="Falta",L386=Config!$B$7,M386=Config!$B$5,COUNTIFS($E$5:E386,E386,$H$5:H386,"Falta",$L$5:L386,Config!$B$7,$M$5:M386,Config!$B$5)=1),COUNTIFS($E$5:$E$3004,E386,$H$5:$H$3004,"Falta",$L$5:$L$3004,Config!$B$7,$M$5:$M$3004,Config!$B$5)*1000-ROW()/100000,0)</f>
        <v>0</v>
      </c>
    </row>
    <row r="387">
      <c r="A387" s="39" t="n">
        <v>46212</v>
      </c>
      <c r="B387" s="40" t="n">
        <v>0.5972222222222222</v>
      </c>
      <c r="C387" s="35" t="inlineStr">
        <is>
          <t>Dr. Paulo Andrade</t>
        </is>
      </c>
      <c r="D387" s="35" t="inlineStr">
        <is>
          <t>Sala 2</t>
        </is>
      </c>
      <c r="E387" s="34" t="inlineStr">
        <is>
          <t>Gabriel Vieira</t>
        </is>
      </c>
      <c r="F387" s="35" t="inlineStr">
        <is>
          <t>Vida Care</t>
        </is>
      </c>
      <c r="G387" s="35" t="inlineStr">
        <is>
          <t>Consulta</t>
        </is>
      </c>
      <c r="H387" s="35" t="inlineStr">
        <is>
          <t>Realizado</t>
        </is>
      </c>
      <c r="I387" s="35" t="inlineStr">
        <is>
          <t>Convênio</t>
        </is>
      </c>
      <c r="J387" s="35" t="n"/>
      <c r="K387" s="34" t="n"/>
      <c r="L387" s="26">
        <f>IF(A387="","",MONTH(A387))</f>
        <v>7</v>
      </c>
      <c r="M387" s="26">
        <f>IF(A387="","",YEAR(A387))</f>
        <v>2026</v>
      </c>
      <c r="N387" s="26" t="str">
        <f>IF(A387="","",CHOOSE(WEEKDAY(A387,2),"Segunda","Terça","Quarta","Quinta","Sexta","Sábado","Domingo"))</f>
        <v>Quinta</v>
      </c>
      <c r="O387" s="26" t="str">
        <f>IF(B387="","",IF(B387&lt;TIME(12,0,0),"Manhã",IF(B387&lt;TIME(18,0,0),"Tarde","Noite")))</f>
        <v>Tarde</v>
      </c>
      <c r="P387" s="32">
        <f>IF(G387="","",IFERROR(INDEX(Config!$I$5:$I$16,MATCH(G387,Config!$H$5:$H$16,0)),0))</f>
        <v>30</v>
      </c>
      <c r="Q387" s="30">
        <f>IF(OR(H387&lt;&gt;"Realizado",P387="",P387=0),"",A387+P387)</f>
        <v>46242.0</v>
      </c>
      <c r="R387" s="26" t="str">
        <f>IF(Q387="","",IF(COUNTIFS($E$5:$E$3004,E387,$A$5:$A$3004,"&gt;"&amp;A387,$H$5:$H$3004,"&lt;&gt;Falta",$H$5:$H$3004,"&lt;&gt;Cancelado",$H$5:$H$3004,"&lt;&gt;Remarcado")&gt;0,"Sim","Não"))</f>
        <v>Sim</v>
      </c>
      <c r="S387" s="32">
        <f>IF(R387&lt;&gt;"Não","",IF(Q387+Config!$B$9&lt;=Config!$B$8,Config!$B$8-Q387,""))</f>
        <v/>
      </c>
      <c r="T387" s="26">
        <f>IF(S387="","","Sim")</f>
        <v/>
      </c>
      <c r="U387" s="41">
        <f>IF(T387="Sim",S387+ROW()/100000,0)</f>
        <v>0</v>
      </c>
      <c r="V387" s="41">
        <f>IF(AND(H387="Falta",L387=Config!$B$7,M387=Config!$B$5,COUNTIFS($E$5:E387,E387,$H$5:H387,"Falta",$L$5:L387,Config!$B$7,$M$5:M387,Config!$B$5)=1),COUNTIFS($E$5:$E$3004,E387,$H$5:$H$3004,"Falta",$L$5:$L$3004,Config!$B$7,$M$5:$M$3004,Config!$B$5)*1000-ROW()/100000,0)</f>
        <v>0</v>
      </c>
    </row>
    <row r="388">
      <c r="A388" s="39" t="n">
        <v>46212</v>
      </c>
      <c r="B388" s="40" t="n">
        <v>0.6180555555555556</v>
      </c>
      <c r="C388" s="35" t="inlineStr">
        <is>
          <t>Dr. Paulo Andrade</t>
        </is>
      </c>
      <c r="D388" s="35" t="inlineStr">
        <is>
          <t>Sala 2</t>
        </is>
      </c>
      <c r="E388" s="34" t="inlineStr">
        <is>
          <t>Paulo Nascimento</t>
        </is>
      </c>
      <c r="F388" s="35" t="inlineStr">
        <is>
          <t>MediPlan</t>
        </is>
      </c>
      <c r="G388" s="35" t="inlineStr">
        <is>
          <t>Consulta</t>
        </is>
      </c>
      <c r="H388" s="35" t="inlineStr">
        <is>
          <t>Realizado</t>
        </is>
      </c>
      <c r="I388" s="35" t="inlineStr">
        <is>
          <t>Convênio</t>
        </is>
      </c>
      <c r="J388" s="35" t="n"/>
      <c r="K388" s="34" t="n"/>
      <c r="L388" s="26">
        <f>IF(A388="","",MONTH(A388))</f>
        <v>7</v>
      </c>
      <c r="M388" s="26">
        <f>IF(A388="","",YEAR(A388))</f>
        <v>2026</v>
      </c>
      <c r="N388" s="26" t="str">
        <f>IF(A388="","",CHOOSE(WEEKDAY(A388,2),"Segunda","Terça","Quarta","Quinta","Sexta","Sábado","Domingo"))</f>
        <v>Quinta</v>
      </c>
      <c r="O388" s="26" t="str">
        <f>IF(B388="","",IF(B388&lt;TIME(12,0,0),"Manhã",IF(B388&lt;TIME(18,0,0),"Tarde","Noite")))</f>
        <v>Tarde</v>
      </c>
      <c r="P388" s="32">
        <f>IF(G388="","",IFERROR(INDEX(Config!$I$5:$I$16,MATCH(G388,Config!$H$5:$H$16,0)),0))</f>
        <v>30</v>
      </c>
      <c r="Q388" s="30">
        <f>IF(OR(H388&lt;&gt;"Realizado",P388="",P388=0),"",A388+P388)</f>
        <v>46242.0</v>
      </c>
      <c r="R388" s="26" t="str">
        <f>IF(Q388="","",IF(COUNTIFS($E$5:$E$3004,E388,$A$5:$A$3004,"&gt;"&amp;A388,$H$5:$H$3004,"&lt;&gt;Falta",$H$5:$H$3004,"&lt;&gt;Cancelado",$H$5:$H$3004,"&lt;&gt;Remarcado")&gt;0,"Sim","Não"))</f>
        <v>Sim</v>
      </c>
      <c r="S388" s="32">
        <f>IF(R388&lt;&gt;"Não","",IF(Q388+Config!$B$9&lt;=Config!$B$8,Config!$B$8-Q388,""))</f>
        <v/>
      </c>
      <c r="T388" s="26">
        <f>IF(S388="","","Sim")</f>
        <v/>
      </c>
      <c r="U388" s="41">
        <f>IF(T388="Sim",S388+ROW()/100000,0)</f>
        <v>0</v>
      </c>
      <c r="V388" s="41">
        <f>IF(AND(H388="Falta",L388=Config!$B$7,M388=Config!$B$5,COUNTIFS($E$5:E388,E388,$H$5:H388,"Falta",$L$5:L388,Config!$B$7,$M$5:M388,Config!$B$5)=1),COUNTIFS($E$5:$E$3004,E388,$H$5:$H$3004,"Falta",$L$5:$L$3004,Config!$B$7,$M$5:$M$3004,Config!$B$5)*1000-ROW()/100000,0)</f>
        <v>0</v>
      </c>
    </row>
    <row r="389">
      <c r="A389" s="39" t="n">
        <v>46212</v>
      </c>
      <c r="B389" s="40" t="n">
        <v>0.625</v>
      </c>
      <c r="C389" s="35" t="inlineStr">
        <is>
          <t>Dra. Renata Sousa</t>
        </is>
      </c>
      <c r="D389" s="35" t="inlineStr">
        <is>
          <t>Sala 1</t>
        </is>
      </c>
      <c r="E389" s="34" t="inlineStr">
        <is>
          <t>Isabela Barbosa</t>
        </is>
      </c>
      <c r="F389" s="35" t="inlineStr">
        <is>
          <t>Saúde Total</t>
        </is>
      </c>
      <c r="G389" s="35" t="inlineStr">
        <is>
          <t>Avaliação endócrina</t>
        </is>
      </c>
      <c r="H389" s="35" t="inlineStr">
        <is>
          <t>Realizado</t>
        </is>
      </c>
      <c r="I389" s="35" t="inlineStr">
        <is>
          <t>Convênio</t>
        </is>
      </c>
      <c r="J389" s="35" t="n"/>
      <c r="K389" s="34" t="n"/>
      <c r="L389" s="26">
        <f>IF(A389="","",MONTH(A389))</f>
        <v>7</v>
      </c>
      <c r="M389" s="26">
        <f>IF(A389="","",YEAR(A389))</f>
        <v>2026</v>
      </c>
      <c r="N389" s="26" t="str">
        <f>IF(A389="","",CHOOSE(WEEKDAY(A389,2),"Segunda","Terça","Quarta","Quinta","Sexta","Sábado","Domingo"))</f>
        <v>Quinta</v>
      </c>
      <c r="O389" s="26" t="str">
        <f>IF(B389="","",IF(B389&lt;TIME(12,0,0),"Manhã",IF(B389&lt;TIME(18,0,0),"Tarde","Noite")))</f>
        <v>Tarde</v>
      </c>
      <c r="P389" s="32">
        <f>IF(G389="","",IFERROR(INDEX(Config!$I$5:$I$16,MATCH(G389,Config!$H$5:$H$16,0)),0))</f>
        <v>45</v>
      </c>
      <c r="Q389" s="30">
        <f>IF(OR(H389&lt;&gt;"Realizado",P389="",P389=0),"",A389+P389)</f>
        <v>46257.0</v>
      </c>
      <c r="R389" s="26" t="str">
        <f>IF(Q389="","",IF(COUNTIFS($E$5:$E$3004,E389,$A$5:$A$3004,"&gt;"&amp;A389,$H$5:$H$3004,"&lt;&gt;Falta",$H$5:$H$3004,"&lt;&gt;Cancelado",$H$5:$H$3004,"&lt;&gt;Remarcado")&gt;0,"Sim","Não"))</f>
        <v>Sim</v>
      </c>
      <c r="S389" s="32">
        <f>IF(R389&lt;&gt;"Não","",IF(Q389+Config!$B$9&lt;=Config!$B$8,Config!$B$8-Q389,""))</f>
        <v/>
      </c>
      <c r="T389" s="26">
        <f>IF(S389="","","Sim")</f>
        <v/>
      </c>
      <c r="U389" s="41">
        <f>IF(T389="Sim",S389+ROW()/100000,0)</f>
        <v>0</v>
      </c>
      <c r="V389" s="41">
        <f>IF(AND(H389="Falta",L389=Config!$B$7,M389=Config!$B$5,COUNTIFS($E$5:E389,E389,$H$5:H389,"Falta",$L$5:L389,Config!$B$7,$M$5:M389,Config!$B$5)=1),COUNTIFS($E$5:$E$3004,E389,$H$5:$H$3004,"Falta",$L$5:$L$3004,Config!$B$7,$M$5:$M$3004,Config!$B$5)*1000-ROW()/100000,0)</f>
        <v>0</v>
      </c>
    </row>
    <row r="390">
      <c r="A390" s="39" t="n">
        <v>46212</v>
      </c>
      <c r="B390" s="40" t="n">
        <v>0.6388888888888888</v>
      </c>
      <c r="C390" s="35" t="inlineStr">
        <is>
          <t>Dr. Paulo Andrade</t>
        </is>
      </c>
      <c r="D390" s="35" t="inlineStr">
        <is>
          <t>Sala 2</t>
        </is>
      </c>
      <c r="E390" s="34" t="inlineStr">
        <is>
          <t>Priscila Pinto</t>
        </is>
      </c>
      <c r="F390" s="35" t="inlineStr">
        <is>
          <t>Saúde Total</t>
        </is>
      </c>
      <c r="G390" s="35" t="inlineStr">
        <is>
          <t>Consulta</t>
        </is>
      </c>
      <c r="H390" s="35" t="inlineStr">
        <is>
          <t>Realizado</t>
        </is>
      </c>
      <c r="I390" s="35" t="inlineStr">
        <is>
          <t>Convênio</t>
        </is>
      </c>
      <c r="J390" s="35" t="n"/>
      <c r="K390" s="34" t="n"/>
      <c r="L390" s="26">
        <f>IF(A390="","",MONTH(A390))</f>
        <v>7</v>
      </c>
      <c r="M390" s="26">
        <f>IF(A390="","",YEAR(A390))</f>
        <v>2026</v>
      </c>
      <c r="N390" s="26" t="str">
        <f>IF(A390="","",CHOOSE(WEEKDAY(A390,2),"Segunda","Terça","Quarta","Quinta","Sexta","Sábado","Domingo"))</f>
        <v>Quinta</v>
      </c>
      <c r="O390" s="26" t="str">
        <f>IF(B390="","",IF(B390&lt;TIME(12,0,0),"Manhã",IF(B390&lt;TIME(18,0,0),"Tarde","Noite")))</f>
        <v>Tarde</v>
      </c>
      <c r="P390" s="32">
        <f>IF(G390="","",IFERROR(INDEX(Config!$I$5:$I$16,MATCH(G390,Config!$H$5:$H$16,0)),0))</f>
        <v>30</v>
      </c>
      <c r="Q390" s="30">
        <f>IF(OR(H390&lt;&gt;"Realizado",P390="",P390=0),"",A390+P390)</f>
        <v>46242.0</v>
      </c>
      <c r="R390" s="26" t="str">
        <f>IF(Q390="","",IF(COUNTIFS($E$5:$E$3004,E390,$A$5:$A$3004,"&gt;"&amp;A390,$H$5:$H$3004,"&lt;&gt;Falta",$H$5:$H$3004,"&lt;&gt;Cancelado",$H$5:$H$3004,"&lt;&gt;Remarcado")&gt;0,"Sim","Não"))</f>
        <v>Não</v>
      </c>
      <c r="S390" s="32">
        <f>IF(R390&lt;&gt;"Não","",IF(Q390+Config!$B$9&lt;=Config!$B$8,Config!$B$8-Q390,""))</f>
        <v>37</v>
      </c>
      <c r="T390" s="26" t="str">
        <f>IF(S390="","","Sim")</f>
        <v>Sim</v>
      </c>
      <c r="U390" s="41">
        <f>IF(T390="Sim",S390+ROW()/100000,0)</f>
        <v>37.0039</v>
      </c>
      <c r="V390" s="41">
        <f>IF(AND(H390="Falta",L390=Config!$B$7,M390=Config!$B$5,COUNTIFS($E$5:E390,E390,$H$5:H390,"Falta",$L$5:L390,Config!$B$7,$M$5:M390,Config!$B$5)=1),COUNTIFS($E$5:$E$3004,E390,$H$5:$H$3004,"Falta",$L$5:$L$3004,Config!$B$7,$M$5:$M$3004,Config!$B$5)*1000-ROW()/100000,0)</f>
        <v>0</v>
      </c>
    </row>
    <row r="391">
      <c r="A391" s="39" t="n">
        <v>46212</v>
      </c>
      <c r="B391" s="40" t="n">
        <v>0.6527777777777778</v>
      </c>
      <c r="C391" s="35" t="inlineStr">
        <is>
          <t>Dra. Renata Sousa</t>
        </is>
      </c>
      <c r="D391" s="35" t="inlineStr">
        <is>
          <t>Sala 1</t>
        </is>
      </c>
      <c r="E391" s="34" t="inlineStr">
        <is>
          <t>Rafael Pereira</t>
        </is>
      </c>
      <c r="F391" s="35" t="inlineStr">
        <is>
          <t>Particular</t>
        </is>
      </c>
      <c r="G391" s="35" t="inlineStr">
        <is>
          <t>Avaliação endócrina</t>
        </is>
      </c>
      <c r="H391" s="35" t="inlineStr">
        <is>
          <t>Realizado</t>
        </is>
      </c>
      <c r="I391" s="35" t="inlineStr">
        <is>
          <t>Pix</t>
        </is>
      </c>
      <c r="J391" s="35" t="n"/>
      <c r="K391" s="34" t="n"/>
      <c r="L391" s="26">
        <f>IF(A391="","",MONTH(A391))</f>
        <v>7</v>
      </c>
      <c r="M391" s="26">
        <f>IF(A391="","",YEAR(A391))</f>
        <v>2026</v>
      </c>
      <c r="N391" s="26" t="str">
        <f>IF(A391="","",CHOOSE(WEEKDAY(A391,2),"Segunda","Terça","Quarta","Quinta","Sexta","Sábado","Domingo"))</f>
        <v>Quinta</v>
      </c>
      <c r="O391" s="26" t="str">
        <f>IF(B391="","",IF(B391&lt;TIME(12,0,0),"Manhã",IF(B391&lt;TIME(18,0,0),"Tarde","Noite")))</f>
        <v>Tarde</v>
      </c>
      <c r="P391" s="32">
        <f>IF(G391="","",IFERROR(INDEX(Config!$I$5:$I$16,MATCH(G391,Config!$H$5:$H$16,0)),0))</f>
        <v>45</v>
      </c>
      <c r="Q391" s="30">
        <f>IF(OR(H391&lt;&gt;"Realizado",P391="",P391=0),"",A391+P391)</f>
        <v>46257.0</v>
      </c>
      <c r="R391" s="26" t="str">
        <f>IF(Q391="","",IF(COUNTIFS($E$5:$E$3004,E391,$A$5:$A$3004,"&gt;"&amp;A391,$H$5:$H$3004,"&lt;&gt;Falta",$H$5:$H$3004,"&lt;&gt;Cancelado",$H$5:$H$3004,"&lt;&gt;Remarcado")&gt;0,"Sim","Não"))</f>
        <v>Sim</v>
      </c>
      <c r="S391" s="32">
        <f>IF(R391&lt;&gt;"Não","",IF(Q391+Config!$B$9&lt;=Config!$B$8,Config!$B$8-Q391,""))</f>
        <v/>
      </c>
      <c r="T391" s="26">
        <f>IF(S391="","","Sim")</f>
        <v/>
      </c>
      <c r="U391" s="41">
        <f>IF(T391="Sim",S391+ROW()/100000,0)</f>
        <v>0</v>
      </c>
      <c r="V391" s="41">
        <f>IF(AND(H391="Falta",L391=Config!$B$7,M391=Config!$B$5,COUNTIFS($E$5:E391,E391,$H$5:H391,"Falta",$L$5:L391,Config!$B$7,$M$5:M391,Config!$B$5)=1),COUNTIFS($E$5:$E$3004,E391,$H$5:$H$3004,"Falta",$L$5:$L$3004,Config!$B$7,$M$5:$M$3004,Config!$B$5)*1000-ROW()/100000,0)</f>
        <v>0</v>
      </c>
    </row>
    <row r="392">
      <c r="A392" s="39" t="n">
        <v>46212</v>
      </c>
      <c r="B392" s="40" t="n">
        <v>0.6597222222222222</v>
      </c>
      <c r="C392" s="35" t="inlineStr">
        <is>
          <t>Dr. Paulo Andrade</t>
        </is>
      </c>
      <c r="D392" s="35" t="inlineStr">
        <is>
          <t>Sala 2</t>
        </is>
      </c>
      <c r="E392" s="34" t="inlineStr">
        <is>
          <t>Larissa Costa</t>
        </is>
      </c>
      <c r="F392" s="35" t="inlineStr">
        <is>
          <t>Particular</t>
        </is>
      </c>
      <c r="G392" s="35" t="inlineStr">
        <is>
          <t>ECG</t>
        </is>
      </c>
      <c r="H392" s="35" t="inlineStr">
        <is>
          <t>Realizado</t>
        </is>
      </c>
      <c r="I392" s="35" t="inlineStr">
        <is>
          <t>Cartão de crédito</t>
        </is>
      </c>
      <c r="J392" s="35" t="n"/>
      <c r="K392" s="34" t="n"/>
      <c r="L392" s="26">
        <f>IF(A392="","",MONTH(A392))</f>
        <v>7</v>
      </c>
      <c r="M392" s="26">
        <f>IF(A392="","",YEAR(A392))</f>
        <v>2026</v>
      </c>
      <c r="N392" s="26" t="str">
        <f>IF(A392="","",CHOOSE(WEEKDAY(A392,2),"Segunda","Terça","Quarta","Quinta","Sexta","Sábado","Domingo"))</f>
        <v>Quinta</v>
      </c>
      <c r="O392" s="26" t="str">
        <f>IF(B392="","",IF(B392&lt;TIME(12,0,0),"Manhã",IF(B392&lt;TIME(18,0,0),"Tarde","Noite")))</f>
        <v>Tarde</v>
      </c>
      <c r="P392" s="32">
        <f>IF(G392="","",IFERROR(INDEX(Config!$I$5:$I$16,MATCH(G392,Config!$H$5:$H$16,0)),0))</f>
        <v>0</v>
      </c>
      <c r="Q392" s="30">
        <f>IF(OR(H392&lt;&gt;"Realizado",P392="",P392=0),"",A392+P392)</f>
        <v/>
      </c>
      <c r="R392" s="26">
        <f>IF(Q392="","",IF(COUNTIFS($E$5:$E$3004,E392,$A$5:$A$3004,"&gt;"&amp;A392,$H$5:$H$3004,"&lt;&gt;Falta",$H$5:$H$3004,"&lt;&gt;Cancelado",$H$5:$H$3004,"&lt;&gt;Remarcado")&gt;0,"Sim","Não"))</f>
        <v/>
      </c>
      <c r="S392" s="32">
        <f>IF(R392&lt;&gt;"Não","",IF(Q392+Config!$B$9&lt;=Config!$B$8,Config!$B$8-Q392,""))</f>
        <v/>
      </c>
      <c r="T392" s="26">
        <f>IF(S392="","","Sim")</f>
        <v/>
      </c>
      <c r="U392" s="41">
        <f>IF(T392="Sim",S392+ROW()/100000,0)</f>
        <v>0</v>
      </c>
      <c r="V392" s="41">
        <f>IF(AND(H392="Falta",L392=Config!$B$7,M392=Config!$B$5,COUNTIFS($E$5:E392,E392,$H$5:H392,"Falta",$L$5:L392,Config!$B$7,$M$5:M392,Config!$B$5)=1),COUNTIFS($E$5:$E$3004,E392,$H$5:$H$3004,"Falta",$L$5:$L$3004,Config!$B$7,$M$5:$M$3004,Config!$B$5)*1000-ROW()/100000,0)</f>
        <v>0</v>
      </c>
    </row>
    <row r="393">
      <c r="A393" s="39" t="n">
        <v>46212</v>
      </c>
      <c r="B393" s="40" t="n">
        <v>0.6736111111111112</v>
      </c>
      <c r="C393" s="35" t="inlineStr">
        <is>
          <t>Dr. Paulo Andrade</t>
        </is>
      </c>
      <c r="D393" s="35" t="inlineStr">
        <is>
          <t>Sala 2</t>
        </is>
      </c>
      <c r="E393" s="34" t="inlineStr">
        <is>
          <t>Vanessa Moreira</t>
        </is>
      </c>
      <c r="F393" s="35" t="inlineStr">
        <is>
          <t>Saúde Total</t>
        </is>
      </c>
      <c r="G393" s="35" t="inlineStr">
        <is>
          <t>Consulta</t>
        </is>
      </c>
      <c r="H393" s="35" t="inlineStr">
        <is>
          <t>Realizado</t>
        </is>
      </c>
      <c r="I393" s="35" t="inlineStr">
        <is>
          <t>Convênio</t>
        </is>
      </c>
      <c r="J393" s="35" t="n"/>
      <c r="K393" s="34" t="n"/>
      <c r="L393" s="26">
        <f>IF(A393="","",MONTH(A393))</f>
        <v>7</v>
      </c>
      <c r="M393" s="26">
        <f>IF(A393="","",YEAR(A393))</f>
        <v>2026</v>
      </c>
      <c r="N393" s="26" t="str">
        <f>IF(A393="","",CHOOSE(WEEKDAY(A393,2),"Segunda","Terça","Quarta","Quinta","Sexta","Sábado","Domingo"))</f>
        <v>Quinta</v>
      </c>
      <c r="O393" s="26" t="str">
        <f>IF(B393="","",IF(B393&lt;TIME(12,0,0),"Manhã",IF(B393&lt;TIME(18,0,0),"Tarde","Noite")))</f>
        <v>Tarde</v>
      </c>
      <c r="P393" s="32">
        <f>IF(G393="","",IFERROR(INDEX(Config!$I$5:$I$16,MATCH(G393,Config!$H$5:$H$16,0)),0))</f>
        <v>30</v>
      </c>
      <c r="Q393" s="30">
        <f>IF(OR(H393&lt;&gt;"Realizado",P393="",P393=0),"",A393+P393)</f>
        <v>46242.0</v>
      </c>
      <c r="R393" s="26" t="str">
        <f>IF(Q393="","",IF(COUNTIFS($E$5:$E$3004,E393,$A$5:$A$3004,"&gt;"&amp;A393,$H$5:$H$3004,"&lt;&gt;Falta",$H$5:$H$3004,"&lt;&gt;Cancelado",$H$5:$H$3004,"&lt;&gt;Remarcado")&gt;0,"Sim","Não"))</f>
        <v>Sim</v>
      </c>
      <c r="S393" s="32">
        <f>IF(R393&lt;&gt;"Não","",IF(Q393+Config!$B$9&lt;=Config!$B$8,Config!$B$8-Q393,""))</f>
        <v/>
      </c>
      <c r="T393" s="26">
        <f>IF(S393="","","Sim")</f>
        <v/>
      </c>
      <c r="U393" s="41">
        <f>IF(T393="Sim",S393+ROW()/100000,0)</f>
        <v>0</v>
      </c>
      <c r="V393" s="41">
        <f>IF(AND(H393="Falta",L393=Config!$B$7,M393=Config!$B$5,COUNTIFS($E$5:E393,E393,$H$5:H393,"Falta",$L$5:L393,Config!$B$7,$M$5:M393,Config!$B$5)=1),COUNTIFS($E$5:$E$3004,E393,$H$5:$H$3004,"Falta",$L$5:$L$3004,Config!$B$7,$M$5:$M$3004,Config!$B$5)*1000-ROW()/100000,0)</f>
        <v>0</v>
      </c>
    </row>
    <row r="394">
      <c r="A394" s="39" t="n">
        <v>46212</v>
      </c>
      <c r="B394" s="40" t="n">
        <v>0.6944444444444444</v>
      </c>
      <c r="C394" s="35" t="inlineStr">
        <is>
          <t>Dr. Paulo Andrade</t>
        </is>
      </c>
      <c r="D394" s="35" t="inlineStr">
        <is>
          <t>Sala 2</t>
        </is>
      </c>
      <c r="E394" s="34" t="inlineStr">
        <is>
          <t>Patrícia Vieira</t>
        </is>
      </c>
      <c r="F394" s="35" t="inlineStr">
        <is>
          <t>Saúde Total</t>
        </is>
      </c>
      <c r="G394" s="35" t="inlineStr">
        <is>
          <t>Consulta</t>
        </is>
      </c>
      <c r="H394" s="35" t="inlineStr">
        <is>
          <t>Realizado</t>
        </is>
      </c>
      <c r="I394" s="35" t="inlineStr">
        <is>
          <t>Convênio</t>
        </is>
      </c>
      <c r="J394" s="35" t="n"/>
      <c r="K394" s="34" t="n"/>
      <c r="L394" s="26">
        <f>IF(A394="","",MONTH(A394))</f>
        <v>7</v>
      </c>
      <c r="M394" s="26">
        <f>IF(A394="","",YEAR(A394))</f>
        <v>2026</v>
      </c>
      <c r="N394" s="26" t="str">
        <f>IF(A394="","",CHOOSE(WEEKDAY(A394,2),"Segunda","Terça","Quarta","Quinta","Sexta","Sábado","Domingo"))</f>
        <v>Quinta</v>
      </c>
      <c r="O394" s="26" t="str">
        <f>IF(B394="","",IF(B394&lt;TIME(12,0,0),"Manhã",IF(B394&lt;TIME(18,0,0),"Tarde","Noite")))</f>
        <v>Tarde</v>
      </c>
      <c r="P394" s="32">
        <f>IF(G394="","",IFERROR(INDEX(Config!$I$5:$I$16,MATCH(G394,Config!$H$5:$H$16,0)),0))</f>
        <v>30</v>
      </c>
      <c r="Q394" s="30">
        <f>IF(OR(H394&lt;&gt;"Realizado",P394="",P394=0),"",A394+P394)</f>
        <v>46242.0</v>
      </c>
      <c r="R394" s="26" t="str">
        <f>IF(Q394="","",IF(COUNTIFS($E$5:$E$3004,E394,$A$5:$A$3004,"&gt;"&amp;A394,$H$5:$H$3004,"&lt;&gt;Falta",$H$5:$H$3004,"&lt;&gt;Cancelado",$H$5:$H$3004,"&lt;&gt;Remarcado")&gt;0,"Sim","Não"))</f>
        <v>Sim</v>
      </c>
      <c r="S394" s="32">
        <f>IF(R394&lt;&gt;"Não","",IF(Q394+Config!$B$9&lt;=Config!$B$8,Config!$B$8-Q394,""))</f>
        <v/>
      </c>
      <c r="T394" s="26">
        <f>IF(S394="","","Sim")</f>
        <v/>
      </c>
      <c r="U394" s="41">
        <f>IF(T394="Sim",S394+ROW()/100000,0)</f>
        <v>0</v>
      </c>
      <c r="V394" s="41">
        <f>IF(AND(H394="Falta",L394=Config!$B$7,M394=Config!$B$5,COUNTIFS($E$5:E394,E394,$H$5:H394,"Falta",$L$5:L394,Config!$B$7,$M$5:M394,Config!$B$5)=1),COUNTIFS($E$5:$E$3004,E394,$H$5:$H$3004,"Falta",$L$5:$L$3004,Config!$B$7,$M$5:$M$3004,Config!$B$5)*1000-ROW()/100000,0)</f>
        <v>0</v>
      </c>
    </row>
    <row r="395">
      <c r="A395" s="39" t="n">
        <v>46212</v>
      </c>
      <c r="B395" s="40" t="n">
        <v>0.7152777777777778</v>
      </c>
      <c r="C395" s="35" t="inlineStr">
        <is>
          <t>Dr. Paulo Andrade</t>
        </is>
      </c>
      <c r="D395" s="35" t="inlineStr">
        <is>
          <t>Sala 2</t>
        </is>
      </c>
      <c r="E395" s="34" t="inlineStr">
        <is>
          <t>Fábio Correia</t>
        </is>
      </c>
      <c r="F395" s="35" t="inlineStr">
        <is>
          <t>Particular</t>
        </is>
      </c>
      <c r="G395" s="35" t="inlineStr">
        <is>
          <t>Consulta</t>
        </is>
      </c>
      <c r="H395" s="35" t="inlineStr">
        <is>
          <t>Realizado</t>
        </is>
      </c>
      <c r="I395" s="35" t="inlineStr">
        <is>
          <t>Cartão de crédito</t>
        </is>
      </c>
      <c r="J395" s="35" t="n"/>
      <c r="K395" s="34" t="n"/>
      <c r="L395" s="26">
        <f>IF(A395="","",MONTH(A395))</f>
        <v>7</v>
      </c>
      <c r="M395" s="26">
        <f>IF(A395="","",YEAR(A395))</f>
        <v>2026</v>
      </c>
      <c r="N395" s="26" t="str">
        <f>IF(A395="","",CHOOSE(WEEKDAY(A395,2),"Segunda","Terça","Quarta","Quinta","Sexta","Sábado","Domingo"))</f>
        <v>Quinta</v>
      </c>
      <c r="O395" s="26" t="str">
        <f>IF(B395="","",IF(B395&lt;TIME(12,0,0),"Manhã",IF(B395&lt;TIME(18,0,0),"Tarde","Noite")))</f>
        <v>Tarde</v>
      </c>
      <c r="P395" s="32">
        <f>IF(G395="","",IFERROR(INDEX(Config!$I$5:$I$16,MATCH(G395,Config!$H$5:$H$16,0)),0))</f>
        <v>30</v>
      </c>
      <c r="Q395" s="30">
        <f>IF(OR(H395&lt;&gt;"Realizado",P395="",P395=0),"",A395+P395)</f>
        <v>46242.0</v>
      </c>
      <c r="R395" s="26" t="str">
        <f>IF(Q395="","",IF(COUNTIFS($E$5:$E$3004,E395,$A$5:$A$3004,"&gt;"&amp;A395,$H$5:$H$3004,"&lt;&gt;Falta",$H$5:$H$3004,"&lt;&gt;Cancelado",$H$5:$H$3004,"&lt;&gt;Remarcado")&gt;0,"Sim","Não"))</f>
        <v>Sim</v>
      </c>
      <c r="S395" s="32">
        <f>IF(R395&lt;&gt;"Não","",IF(Q395+Config!$B$9&lt;=Config!$B$8,Config!$B$8-Q395,""))</f>
        <v/>
      </c>
      <c r="T395" s="26">
        <f>IF(S395="","","Sim")</f>
        <v/>
      </c>
      <c r="U395" s="41">
        <f>IF(T395="Sim",S395+ROW()/100000,0)</f>
        <v>0</v>
      </c>
      <c r="V395" s="41">
        <f>IF(AND(H395="Falta",L395=Config!$B$7,M395=Config!$B$5,COUNTIFS($E$5:E395,E395,$H$5:H395,"Falta",$L$5:L395,Config!$B$7,$M$5:M395,Config!$B$5)=1),COUNTIFS($E$5:$E$3004,E395,$H$5:$H$3004,"Falta",$L$5:$L$3004,Config!$B$7,$M$5:$M$3004,Config!$B$5)*1000-ROW()/100000,0)</f>
        <v>0</v>
      </c>
    </row>
    <row r="396">
      <c r="A396" s="39" t="n">
        <v>46212</v>
      </c>
      <c r="B396" s="40" t="n">
        <v>0.7222222222222222</v>
      </c>
      <c r="C396" s="35" t="inlineStr">
        <is>
          <t>Dra. Renata Sousa</t>
        </is>
      </c>
      <c r="D396" s="35" t="inlineStr">
        <is>
          <t>Sala 1</t>
        </is>
      </c>
      <c r="E396" s="34" t="inlineStr">
        <is>
          <t>Gisele Lopes</t>
        </is>
      </c>
      <c r="F396" s="35" t="inlineStr">
        <is>
          <t>Saúde Total</t>
        </is>
      </c>
      <c r="G396" s="35" t="inlineStr">
        <is>
          <t>Avaliação endócrina</t>
        </is>
      </c>
      <c r="H396" s="35" t="inlineStr">
        <is>
          <t>Realizado</t>
        </is>
      </c>
      <c r="I396" s="35" t="inlineStr">
        <is>
          <t>Convênio</t>
        </is>
      </c>
      <c r="J396" s="35" t="n"/>
      <c r="K396" s="34" t="n"/>
      <c r="L396" s="26">
        <f>IF(A396="","",MONTH(A396))</f>
        <v>7</v>
      </c>
      <c r="M396" s="26">
        <f>IF(A396="","",YEAR(A396))</f>
        <v>2026</v>
      </c>
      <c r="N396" s="26" t="str">
        <f>IF(A396="","",CHOOSE(WEEKDAY(A396,2),"Segunda","Terça","Quarta","Quinta","Sexta","Sábado","Domingo"))</f>
        <v>Quinta</v>
      </c>
      <c r="O396" s="26" t="str">
        <f>IF(B396="","",IF(B396&lt;TIME(12,0,0),"Manhã",IF(B396&lt;TIME(18,0,0),"Tarde","Noite")))</f>
        <v>Tarde</v>
      </c>
      <c r="P396" s="32">
        <f>IF(G396="","",IFERROR(INDEX(Config!$I$5:$I$16,MATCH(G396,Config!$H$5:$H$16,0)),0))</f>
        <v>45</v>
      </c>
      <c r="Q396" s="30">
        <f>IF(OR(H396&lt;&gt;"Realizado",P396="",P396=0),"",A396+P396)</f>
        <v>46257.0</v>
      </c>
      <c r="R396" s="26" t="str">
        <f>IF(Q396="","",IF(COUNTIFS($E$5:$E$3004,E396,$A$5:$A$3004,"&gt;"&amp;A396,$H$5:$H$3004,"&lt;&gt;Falta",$H$5:$H$3004,"&lt;&gt;Cancelado",$H$5:$H$3004,"&lt;&gt;Remarcado")&gt;0,"Sim","Não"))</f>
        <v>Sim</v>
      </c>
      <c r="S396" s="32">
        <f>IF(R396&lt;&gt;"Não","",IF(Q396+Config!$B$9&lt;=Config!$B$8,Config!$B$8-Q396,""))</f>
        <v/>
      </c>
      <c r="T396" s="26">
        <f>IF(S396="","","Sim")</f>
        <v/>
      </c>
      <c r="U396" s="41">
        <f>IF(T396="Sim",S396+ROW()/100000,0)</f>
        <v>0</v>
      </c>
      <c r="V396" s="41">
        <f>IF(AND(H396="Falta",L396=Config!$B$7,M396=Config!$B$5,COUNTIFS($E$5:E396,E396,$H$5:H396,"Falta",$L$5:L396,Config!$B$7,$M$5:M396,Config!$B$5)=1),COUNTIFS($E$5:$E$3004,E396,$H$5:$H$3004,"Falta",$L$5:$L$3004,Config!$B$7,$M$5:$M$3004,Config!$B$5)*1000-ROW()/100000,0)</f>
        <v>0</v>
      </c>
    </row>
    <row r="397">
      <c r="A397" s="39" t="n">
        <v>46212</v>
      </c>
      <c r="B397" s="40" t="n">
        <v>0.7361111111111112</v>
      </c>
      <c r="C397" s="35" t="inlineStr">
        <is>
          <t>Dr. Paulo Andrade</t>
        </is>
      </c>
      <c r="D397" s="35" t="inlineStr">
        <is>
          <t>Sala 2</t>
        </is>
      </c>
      <c r="E397" s="34" t="inlineStr">
        <is>
          <t>Gustavo Ferreira</t>
        </is>
      </c>
      <c r="F397" s="35" t="inlineStr">
        <is>
          <t>Particular</t>
        </is>
      </c>
      <c r="G397" s="35" t="inlineStr">
        <is>
          <t>Holter</t>
        </is>
      </c>
      <c r="H397" s="35" t="inlineStr">
        <is>
          <t>Realizado</t>
        </is>
      </c>
      <c r="I397" s="35" t="inlineStr">
        <is>
          <t>Pix</t>
        </is>
      </c>
      <c r="J397" s="35" t="n"/>
      <c r="K397" s="34" t="n"/>
      <c r="L397" s="26">
        <f>IF(A397="","",MONTH(A397))</f>
        <v>7</v>
      </c>
      <c r="M397" s="26">
        <f>IF(A397="","",YEAR(A397))</f>
        <v>2026</v>
      </c>
      <c r="N397" s="26" t="str">
        <f>IF(A397="","",CHOOSE(WEEKDAY(A397,2),"Segunda","Terça","Quarta","Quinta","Sexta","Sábado","Domingo"))</f>
        <v>Quinta</v>
      </c>
      <c r="O397" s="26" t="str">
        <f>IF(B397="","",IF(B397&lt;TIME(12,0,0),"Manhã",IF(B397&lt;TIME(18,0,0),"Tarde","Noite")))</f>
        <v>Tarde</v>
      </c>
      <c r="P397" s="32">
        <f>IF(G397="","",IFERROR(INDEX(Config!$I$5:$I$16,MATCH(G397,Config!$H$5:$H$16,0)),0))</f>
        <v>0</v>
      </c>
      <c r="Q397" s="30">
        <f>IF(OR(H397&lt;&gt;"Realizado",P397="",P397=0),"",A397+P397)</f>
        <v/>
      </c>
      <c r="R397" s="26">
        <f>IF(Q397="","",IF(COUNTIFS($E$5:$E$3004,E397,$A$5:$A$3004,"&gt;"&amp;A397,$H$5:$H$3004,"&lt;&gt;Falta",$H$5:$H$3004,"&lt;&gt;Cancelado",$H$5:$H$3004,"&lt;&gt;Remarcado")&gt;0,"Sim","Não"))</f>
        <v/>
      </c>
      <c r="S397" s="32">
        <f>IF(R397&lt;&gt;"Não","",IF(Q397+Config!$B$9&lt;=Config!$B$8,Config!$B$8-Q397,""))</f>
        <v/>
      </c>
      <c r="T397" s="26">
        <f>IF(S397="","","Sim")</f>
        <v/>
      </c>
      <c r="U397" s="41">
        <f>IF(T397="Sim",S397+ROW()/100000,0)</f>
        <v>0</v>
      </c>
      <c r="V397" s="41">
        <f>IF(AND(H397="Falta",L397=Config!$B$7,M397=Config!$B$5,COUNTIFS($E$5:E397,E397,$H$5:H397,"Falta",$L$5:L397,Config!$B$7,$M$5:M397,Config!$B$5)=1),COUNTIFS($E$5:$E$3004,E397,$H$5:$H$3004,"Falta",$L$5:$L$3004,Config!$B$7,$M$5:$M$3004,Config!$B$5)*1000-ROW()/100000,0)</f>
        <v>0</v>
      </c>
    </row>
    <row r="398">
      <c r="A398" s="39" t="n">
        <v>46213</v>
      </c>
      <c r="B398" s="40" t="n">
        <v>0.3333333333333333</v>
      </c>
      <c r="C398" s="35" t="inlineStr">
        <is>
          <t>Dr. Paulo Andrade</t>
        </is>
      </c>
      <c r="D398" s="35" t="inlineStr">
        <is>
          <t>Sala 2</t>
        </is>
      </c>
      <c r="E398" s="34" t="inlineStr">
        <is>
          <t>Débora Machado</t>
        </is>
      </c>
      <c r="F398" s="35" t="inlineStr">
        <is>
          <t>Saúde Total</t>
        </is>
      </c>
      <c r="G398" s="35" t="inlineStr">
        <is>
          <t>ECG</t>
        </is>
      </c>
      <c r="H398" s="35" t="inlineStr">
        <is>
          <t>Realizado</t>
        </is>
      </c>
      <c r="I398" s="35" t="inlineStr">
        <is>
          <t>Convênio</t>
        </is>
      </c>
      <c r="J398" s="35" t="n"/>
      <c r="K398" s="34" t="n"/>
      <c r="L398" s="26">
        <f>IF(A398="","",MONTH(A398))</f>
        <v>7</v>
      </c>
      <c r="M398" s="26">
        <f>IF(A398="","",YEAR(A398))</f>
        <v>2026</v>
      </c>
      <c r="N398" s="26" t="str">
        <f>IF(A398="","",CHOOSE(WEEKDAY(A398,2),"Segunda","Terça","Quarta","Quinta","Sexta","Sábado","Domingo"))</f>
        <v>Sexta</v>
      </c>
      <c r="O398" s="26" t="str">
        <f>IF(B398="","",IF(B398&lt;TIME(12,0,0),"Manhã",IF(B398&lt;TIME(18,0,0),"Tarde","Noite")))</f>
        <v>Manhã</v>
      </c>
      <c r="P398" s="32">
        <f>IF(G398="","",IFERROR(INDEX(Config!$I$5:$I$16,MATCH(G398,Config!$H$5:$H$16,0)),0))</f>
        <v>0</v>
      </c>
      <c r="Q398" s="30">
        <f>IF(OR(H398&lt;&gt;"Realizado",P398="",P398=0),"",A398+P398)</f>
        <v/>
      </c>
      <c r="R398" s="26">
        <f>IF(Q398="","",IF(COUNTIFS($E$5:$E$3004,E398,$A$5:$A$3004,"&gt;"&amp;A398,$H$5:$H$3004,"&lt;&gt;Falta",$H$5:$H$3004,"&lt;&gt;Cancelado",$H$5:$H$3004,"&lt;&gt;Remarcado")&gt;0,"Sim","Não"))</f>
        <v/>
      </c>
      <c r="S398" s="32">
        <f>IF(R398&lt;&gt;"Não","",IF(Q398+Config!$B$9&lt;=Config!$B$8,Config!$B$8-Q398,""))</f>
        <v/>
      </c>
      <c r="T398" s="26">
        <f>IF(S398="","","Sim")</f>
        <v/>
      </c>
      <c r="U398" s="41">
        <f>IF(T398="Sim",S398+ROW()/100000,0)</f>
        <v>0</v>
      </c>
      <c r="V398" s="41">
        <f>IF(AND(H398="Falta",L398=Config!$B$7,M398=Config!$B$5,COUNTIFS($E$5:E398,E398,$H$5:H398,"Falta",$L$5:L398,Config!$B$7,$M$5:M398,Config!$B$5)=1),COUNTIFS($E$5:$E$3004,E398,$H$5:$H$3004,"Falta",$L$5:$L$3004,Config!$B$7,$M$5:$M$3004,Config!$B$5)*1000-ROW()/100000,0)</f>
        <v>0</v>
      </c>
    </row>
    <row r="399">
      <c r="A399" s="39" t="n">
        <v>46213</v>
      </c>
      <c r="B399" s="40" t="n">
        <v>0.3472222222222222</v>
      </c>
      <c r="C399" s="35" t="inlineStr">
        <is>
          <t>Dr. Paulo Andrade</t>
        </is>
      </c>
      <c r="D399" s="35" t="inlineStr">
        <is>
          <t>Sala 2</t>
        </is>
      </c>
      <c r="E399" s="34" t="inlineStr">
        <is>
          <t>Patrícia Correia</t>
        </is>
      </c>
      <c r="F399" s="35" t="inlineStr">
        <is>
          <t>Saúde Total</t>
        </is>
      </c>
      <c r="G399" s="35" t="inlineStr">
        <is>
          <t>Consulta</t>
        </is>
      </c>
      <c r="H399" s="35" t="inlineStr">
        <is>
          <t>Realizado</t>
        </is>
      </c>
      <c r="I399" s="35" t="inlineStr">
        <is>
          <t>Convênio</t>
        </is>
      </c>
      <c r="J399" s="35" t="n"/>
      <c r="K399" s="34" t="n"/>
      <c r="L399" s="26">
        <f>IF(A399="","",MONTH(A399))</f>
        <v>7</v>
      </c>
      <c r="M399" s="26">
        <f>IF(A399="","",YEAR(A399))</f>
        <v>2026</v>
      </c>
      <c r="N399" s="26" t="str">
        <f>IF(A399="","",CHOOSE(WEEKDAY(A399,2),"Segunda","Terça","Quarta","Quinta","Sexta","Sábado","Domingo"))</f>
        <v>Sexta</v>
      </c>
      <c r="O399" s="26" t="str">
        <f>IF(B399="","",IF(B399&lt;TIME(12,0,0),"Manhã",IF(B399&lt;TIME(18,0,0),"Tarde","Noite")))</f>
        <v>Manhã</v>
      </c>
      <c r="P399" s="32">
        <f>IF(G399="","",IFERROR(INDEX(Config!$I$5:$I$16,MATCH(G399,Config!$H$5:$H$16,0)),0))</f>
        <v>30</v>
      </c>
      <c r="Q399" s="30">
        <f>IF(OR(H399&lt;&gt;"Realizado",P399="",P399=0),"",A399+P399)</f>
        <v>46243.0</v>
      </c>
      <c r="R399" s="26" t="str">
        <f>IF(Q399="","",IF(COUNTIFS($E$5:$E$3004,E399,$A$5:$A$3004,"&gt;"&amp;A399,$H$5:$H$3004,"&lt;&gt;Falta",$H$5:$H$3004,"&lt;&gt;Cancelado",$H$5:$H$3004,"&lt;&gt;Remarcado")&gt;0,"Sim","Não"))</f>
        <v>Sim</v>
      </c>
      <c r="S399" s="32">
        <f>IF(R399&lt;&gt;"Não","",IF(Q399+Config!$B$9&lt;=Config!$B$8,Config!$B$8-Q399,""))</f>
        <v/>
      </c>
      <c r="T399" s="26">
        <f>IF(S399="","","Sim")</f>
        <v/>
      </c>
      <c r="U399" s="41">
        <f>IF(T399="Sim",S399+ROW()/100000,0)</f>
        <v>0</v>
      </c>
      <c r="V399" s="41">
        <f>IF(AND(H399="Falta",L399=Config!$B$7,M399=Config!$B$5,COUNTIFS($E$5:E399,E399,$H$5:H399,"Falta",$L$5:L399,Config!$B$7,$M$5:M399,Config!$B$5)=1),COUNTIFS($E$5:$E$3004,E399,$H$5:$H$3004,"Falta",$L$5:$L$3004,Config!$B$7,$M$5:$M$3004,Config!$B$5)*1000-ROW()/100000,0)</f>
        <v>0</v>
      </c>
    </row>
    <row r="400">
      <c r="A400" s="39" t="n">
        <v>46213</v>
      </c>
      <c r="B400" s="40" t="n">
        <v>0.3680555555555556</v>
      </c>
      <c r="C400" s="35" t="inlineStr">
        <is>
          <t>Dr. Paulo Andrade</t>
        </is>
      </c>
      <c r="D400" s="35" t="inlineStr">
        <is>
          <t>Sala 2</t>
        </is>
      </c>
      <c r="E400" s="34" t="inlineStr">
        <is>
          <t>Mônica Batista</t>
        </is>
      </c>
      <c r="F400" s="35" t="inlineStr">
        <is>
          <t>MediPlan</t>
        </is>
      </c>
      <c r="G400" s="35" t="inlineStr">
        <is>
          <t>ECG</t>
        </is>
      </c>
      <c r="H400" s="35" t="inlineStr">
        <is>
          <t>Realizado</t>
        </is>
      </c>
      <c r="I400" s="35" t="inlineStr">
        <is>
          <t>Convênio</t>
        </is>
      </c>
      <c r="J400" s="35" t="n"/>
      <c r="K400" s="34" t="n"/>
      <c r="L400" s="26">
        <f>IF(A400="","",MONTH(A400))</f>
        <v>7</v>
      </c>
      <c r="M400" s="26">
        <f>IF(A400="","",YEAR(A400))</f>
        <v>2026</v>
      </c>
      <c r="N400" s="26" t="str">
        <f>IF(A400="","",CHOOSE(WEEKDAY(A400,2),"Segunda","Terça","Quarta","Quinta","Sexta","Sábado","Domingo"))</f>
        <v>Sexta</v>
      </c>
      <c r="O400" s="26" t="str">
        <f>IF(B400="","",IF(B400&lt;TIME(12,0,0),"Manhã",IF(B400&lt;TIME(18,0,0),"Tarde","Noite")))</f>
        <v>Manhã</v>
      </c>
      <c r="P400" s="32">
        <f>IF(G400="","",IFERROR(INDEX(Config!$I$5:$I$16,MATCH(G400,Config!$H$5:$H$16,0)),0))</f>
        <v>0</v>
      </c>
      <c r="Q400" s="30">
        <f>IF(OR(H400&lt;&gt;"Realizado",P400="",P400=0),"",A400+P400)</f>
        <v/>
      </c>
      <c r="R400" s="26">
        <f>IF(Q400="","",IF(COUNTIFS($E$5:$E$3004,E400,$A$5:$A$3004,"&gt;"&amp;A400,$H$5:$H$3004,"&lt;&gt;Falta",$H$5:$H$3004,"&lt;&gt;Cancelado",$H$5:$H$3004,"&lt;&gt;Remarcado")&gt;0,"Sim","Não"))</f>
        <v/>
      </c>
      <c r="S400" s="32">
        <f>IF(R400&lt;&gt;"Não","",IF(Q400+Config!$B$9&lt;=Config!$B$8,Config!$B$8-Q400,""))</f>
        <v/>
      </c>
      <c r="T400" s="26">
        <f>IF(S400="","","Sim")</f>
        <v/>
      </c>
      <c r="U400" s="41">
        <f>IF(T400="Sim",S400+ROW()/100000,0)</f>
        <v>0</v>
      </c>
      <c r="V400" s="41">
        <f>IF(AND(H400="Falta",L400=Config!$B$7,M400=Config!$B$5,COUNTIFS($E$5:E400,E400,$H$5:H400,"Falta",$L$5:L400,Config!$B$7,$M$5:M400,Config!$B$5)=1),COUNTIFS($E$5:$E$3004,E400,$H$5:$H$3004,"Falta",$L$5:$L$3004,Config!$B$7,$M$5:$M$3004,Config!$B$5)*1000-ROW()/100000,0)</f>
        <v>0</v>
      </c>
    </row>
    <row r="401">
      <c r="A401" s="39" t="n">
        <v>46213</v>
      </c>
      <c r="B401" s="40" t="n">
        <v>0.3819444444444444</v>
      </c>
      <c r="C401" s="35" t="inlineStr">
        <is>
          <t>Dr. Paulo Andrade</t>
        </is>
      </c>
      <c r="D401" s="35" t="inlineStr">
        <is>
          <t>Sala 2</t>
        </is>
      </c>
      <c r="E401" s="34" t="inlineStr">
        <is>
          <t>Mateus Dias</t>
        </is>
      </c>
      <c r="F401" s="35" t="inlineStr">
        <is>
          <t>Saúde Total</t>
        </is>
      </c>
      <c r="G401" s="35" t="inlineStr">
        <is>
          <t>Consulta</t>
        </is>
      </c>
      <c r="H401" s="35" t="inlineStr">
        <is>
          <t>Realizado</t>
        </is>
      </c>
      <c r="I401" s="35" t="inlineStr">
        <is>
          <t>Convênio</t>
        </is>
      </c>
      <c r="J401" s="35" t="n"/>
      <c r="K401" s="34" t="n"/>
      <c r="L401" s="26">
        <f>IF(A401="","",MONTH(A401))</f>
        <v>7</v>
      </c>
      <c r="M401" s="26">
        <f>IF(A401="","",YEAR(A401))</f>
        <v>2026</v>
      </c>
      <c r="N401" s="26" t="str">
        <f>IF(A401="","",CHOOSE(WEEKDAY(A401,2),"Segunda","Terça","Quarta","Quinta","Sexta","Sábado","Domingo"))</f>
        <v>Sexta</v>
      </c>
      <c r="O401" s="26" t="str">
        <f>IF(B401="","",IF(B401&lt;TIME(12,0,0),"Manhã",IF(B401&lt;TIME(18,0,0),"Tarde","Noite")))</f>
        <v>Manhã</v>
      </c>
      <c r="P401" s="32">
        <f>IF(G401="","",IFERROR(INDEX(Config!$I$5:$I$16,MATCH(G401,Config!$H$5:$H$16,0)),0))</f>
        <v>30</v>
      </c>
      <c r="Q401" s="30">
        <f>IF(OR(H401&lt;&gt;"Realizado",P401="",P401=0),"",A401+P401)</f>
        <v>46243.0</v>
      </c>
      <c r="R401" s="26" t="str">
        <f>IF(Q401="","",IF(COUNTIFS($E$5:$E$3004,E401,$A$5:$A$3004,"&gt;"&amp;A401,$H$5:$H$3004,"&lt;&gt;Falta",$H$5:$H$3004,"&lt;&gt;Cancelado",$H$5:$H$3004,"&lt;&gt;Remarcado")&gt;0,"Sim","Não"))</f>
        <v>Sim</v>
      </c>
      <c r="S401" s="32">
        <f>IF(R401&lt;&gt;"Não","",IF(Q401+Config!$B$9&lt;=Config!$B$8,Config!$B$8-Q401,""))</f>
        <v/>
      </c>
      <c r="T401" s="26">
        <f>IF(S401="","","Sim")</f>
        <v/>
      </c>
      <c r="U401" s="41">
        <f>IF(T401="Sim",S401+ROW()/100000,0)</f>
        <v>0</v>
      </c>
      <c r="V401" s="41">
        <f>IF(AND(H401="Falta",L401=Config!$B$7,M401=Config!$B$5,COUNTIFS($E$5:E401,E401,$H$5:H401,"Falta",$L$5:L401,Config!$B$7,$M$5:M401,Config!$B$5)=1),COUNTIFS($E$5:$E$3004,E401,$H$5:$H$3004,"Falta",$L$5:$L$3004,Config!$B$7,$M$5:$M$3004,Config!$B$5)*1000-ROW()/100000,0)</f>
        <v>0</v>
      </c>
    </row>
    <row r="402">
      <c r="A402" s="39" t="n">
        <v>46213</v>
      </c>
      <c r="B402" s="40" t="n">
        <v>0.4027777777777778</v>
      </c>
      <c r="C402" s="35" t="inlineStr">
        <is>
          <t>Dr. Paulo Andrade</t>
        </is>
      </c>
      <c r="D402" s="35" t="inlineStr">
        <is>
          <t>Sala 2</t>
        </is>
      </c>
      <c r="E402" s="34" t="inlineStr">
        <is>
          <t>Wagner Costa</t>
        </is>
      </c>
      <c r="F402" s="35" t="inlineStr">
        <is>
          <t>Particular</t>
        </is>
      </c>
      <c r="G402" s="35" t="inlineStr">
        <is>
          <t>Consulta</t>
        </is>
      </c>
      <c r="H402" s="35" t="inlineStr">
        <is>
          <t>Realizado</t>
        </is>
      </c>
      <c r="I402" s="35" t="inlineStr">
        <is>
          <t>Cartão de débito</t>
        </is>
      </c>
      <c r="J402" s="35" t="n"/>
      <c r="K402" s="34" t="n"/>
      <c r="L402" s="26">
        <f>IF(A402="","",MONTH(A402))</f>
        <v>7</v>
      </c>
      <c r="M402" s="26">
        <f>IF(A402="","",YEAR(A402))</f>
        <v>2026</v>
      </c>
      <c r="N402" s="26" t="str">
        <f>IF(A402="","",CHOOSE(WEEKDAY(A402,2),"Segunda","Terça","Quarta","Quinta","Sexta","Sábado","Domingo"))</f>
        <v>Sexta</v>
      </c>
      <c r="O402" s="26" t="str">
        <f>IF(B402="","",IF(B402&lt;TIME(12,0,0),"Manhã",IF(B402&lt;TIME(18,0,0),"Tarde","Noite")))</f>
        <v>Manhã</v>
      </c>
      <c r="P402" s="32">
        <f>IF(G402="","",IFERROR(INDEX(Config!$I$5:$I$16,MATCH(G402,Config!$H$5:$H$16,0)),0))</f>
        <v>30</v>
      </c>
      <c r="Q402" s="30">
        <f>IF(OR(H402&lt;&gt;"Realizado",P402="",P402=0),"",A402+P402)</f>
        <v>46243.0</v>
      </c>
      <c r="R402" s="26" t="str">
        <f>IF(Q402="","",IF(COUNTIFS($E$5:$E$3004,E402,$A$5:$A$3004,"&gt;"&amp;A402,$H$5:$H$3004,"&lt;&gt;Falta",$H$5:$H$3004,"&lt;&gt;Cancelado",$H$5:$H$3004,"&lt;&gt;Remarcado")&gt;0,"Sim","Não"))</f>
        <v>Sim</v>
      </c>
      <c r="S402" s="32">
        <f>IF(R402&lt;&gt;"Não","",IF(Q402+Config!$B$9&lt;=Config!$B$8,Config!$B$8-Q402,""))</f>
        <v/>
      </c>
      <c r="T402" s="26">
        <f>IF(S402="","","Sim")</f>
        <v/>
      </c>
      <c r="U402" s="41">
        <f>IF(T402="Sim",S402+ROW()/100000,0)</f>
        <v>0</v>
      </c>
      <c r="V402" s="41">
        <f>IF(AND(H402="Falta",L402=Config!$B$7,M402=Config!$B$5,COUNTIFS($E$5:E402,E402,$H$5:H402,"Falta",$L$5:L402,Config!$B$7,$M$5:M402,Config!$B$5)=1),COUNTIFS($E$5:$E$3004,E402,$H$5:$H$3004,"Falta",$L$5:$L$3004,Config!$B$7,$M$5:$M$3004,Config!$B$5)*1000-ROW()/100000,0)</f>
        <v>0</v>
      </c>
    </row>
    <row r="403">
      <c r="A403" s="39" t="n">
        <v>46213</v>
      </c>
      <c r="B403" s="40" t="n">
        <v>0.4236111111111111</v>
      </c>
      <c r="C403" s="35" t="inlineStr">
        <is>
          <t>Dr. Paulo Andrade</t>
        </is>
      </c>
      <c r="D403" s="35" t="inlineStr">
        <is>
          <t>Sala 2</t>
        </is>
      </c>
      <c r="E403" s="34" t="inlineStr">
        <is>
          <t>Helena Ribeiro</t>
        </is>
      </c>
      <c r="F403" s="35" t="inlineStr">
        <is>
          <t>MediPlan</t>
        </is>
      </c>
      <c r="G403" s="35" t="inlineStr">
        <is>
          <t>Consulta</t>
        </is>
      </c>
      <c r="H403" s="35" t="inlineStr">
        <is>
          <t>Realizado</t>
        </is>
      </c>
      <c r="I403" s="35" t="inlineStr">
        <is>
          <t>Convênio</t>
        </is>
      </c>
      <c r="J403" s="35" t="n"/>
      <c r="K403" s="34" t="n"/>
      <c r="L403" s="26">
        <f>IF(A403="","",MONTH(A403))</f>
        <v>7</v>
      </c>
      <c r="M403" s="26">
        <f>IF(A403="","",YEAR(A403))</f>
        <v>2026</v>
      </c>
      <c r="N403" s="26" t="str">
        <f>IF(A403="","",CHOOSE(WEEKDAY(A403,2),"Segunda","Terça","Quarta","Quinta","Sexta","Sábado","Domingo"))</f>
        <v>Sexta</v>
      </c>
      <c r="O403" s="26" t="str">
        <f>IF(B403="","",IF(B403&lt;TIME(12,0,0),"Manhã",IF(B403&lt;TIME(18,0,0),"Tarde","Noite")))</f>
        <v>Manhã</v>
      </c>
      <c r="P403" s="32">
        <f>IF(G403="","",IFERROR(INDEX(Config!$I$5:$I$16,MATCH(G403,Config!$H$5:$H$16,0)),0))</f>
        <v>30</v>
      </c>
      <c r="Q403" s="30">
        <f>IF(OR(H403&lt;&gt;"Realizado",P403="",P403=0),"",A403+P403)</f>
        <v>46243.0</v>
      </c>
      <c r="R403" s="26" t="str">
        <f>IF(Q403="","",IF(COUNTIFS($E$5:$E$3004,E403,$A$5:$A$3004,"&gt;"&amp;A403,$H$5:$H$3004,"&lt;&gt;Falta",$H$5:$H$3004,"&lt;&gt;Cancelado",$H$5:$H$3004,"&lt;&gt;Remarcado")&gt;0,"Sim","Não"))</f>
        <v>Sim</v>
      </c>
      <c r="S403" s="32">
        <f>IF(R403&lt;&gt;"Não","",IF(Q403+Config!$B$9&lt;=Config!$B$8,Config!$B$8-Q403,""))</f>
        <v/>
      </c>
      <c r="T403" s="26">
        <f>IF(S403="","","Sim")</f>
        <v/>
      </c>
      <c r="U403" s="41">
        <f>IF(T403="Sim",S403+ROW()/100000,0)</f>
        <v>0</v>
      </c>
      <c r="V403" s="41">
        <f>IF(AND(H403="Falta",L403=Config!$B$7,M403=Config!$B$5,COUNTIFS($E$5:E403,E403,$H$5:H403,"Falta",$L$5:L403,Config!$B$7,$M$5:M403,Config!$B$5)=1),COUNTIFS($E$5:$E$3004,E403,$H$5:$H$3004,"Falta",$L$5:$L$3004,Config!$B$7,$M$5:$M$3004,Config!$B$5)*1000-ROW()/100000,0)</f>
        <v>0</v>
      </c>
    </row>
    <row r="404">
      <c r="A404" s="39" t="n">
        <v>46213</v>
      </c>
      <c r="B404" s="40" t="n">
        <v>0.4444444444444444</v>
      </c>
      <c r="C404" s="35" t="inlineStr">
        <is>
          <t>Dr. Paulo Andrade</t>
        </is>
      </c>
      <c r="D404" s="35" t="inlineStr">
        <is>
          <t>Sala 2</t>
        </is>
      </c>
      <c r="E404" s="34" t="inlineStr">
        <is>
          <t>Sandra Cardoso</t>
        </is>
      </c>
      <c r="F404" s="35" t="inlineStr">
        <is>
          <t>Saúde Total</t>
        </is>
      </c>
      <c r="G404" s="35" t="inlineStr">
        <is>
          <t>Consulta</t>
        </is>
      </c>
      <c r="H404" s="35" t="inlineStr">
        <is>
          <t>Remarcado</t>
        </is>
      </c>
      <c r="I404" s="35" t="n"/>
      <c r="J404" s="35" t="n"/>
      <c r="K404" s="34" t="inlineStr">
        <is>
          <t>Paciente pediu outra data</t>
        </is>
      </c>
      <c r="L404" s="26">
        <f>IF(A404="","",MONTH(A404))</f>
        <v>7</v>
      </c>
      <c r="M404" s="26">
        <f>IF(A404="","",YEAR(A404))</f>
        <v>2026</v>
      </c>
      <c r="N404" s="26" t="str">
        <f>IF(A404="","",CHOOSE(WEEKDAY(A404,2),"Segunda","Terça","Quarta","Quinta","Sexta","Sábado","Domingo"))</f>
        <v>Sexta</v>
      </c>
      <c r="O404" s="26" t="str">
        <f>IF(B404="","",IF(B404&lt;TIME(12,0,0),"Manhã",IF(B404&lt;TIME(18,0,0),"Tarde","Noite")))</f>
        <v>Manhã</v>
      </c>
      <c r="P404" s="32">
        <f>IF(G404="","",IFERROR(INDEX(Config!$I$5:$I$16,MATCH(G404,Config!$H$5:$H$16,0)),0))</f>
        <v>30</v>
      </c>
      <c r="Q404" s="30">
        <f>IF(OR(H404&lt;&gt;"Realizado",P404="",P404=0),"",A404+P404)</f>
        <v/>
      </c>
      <c r="R404" s="26">
        <f>IF(Q404="","",IF(COUNTIFS($E$5:$E$3004,E404,$A$5:$A$3004,"&gt;"&amp;A404,$H$5:$H$3004,"&lt;&gt;Falta",$H$5:$H$3004,"&lt;&gt;Cancelado",$H$5:$H$3004,"&lt;&gt;Remarcado")&gt;0,"Sim","Não"))</f>
        <v/>
      </c>
      <c r="S404" s="32">
        <f>IF(R404&lt;&gt;"Não","",IF(Q404+Config!$B$9&lt;=Config!$B$8,Config!$B$8-Q404,""))</f>
        <v/>
      </c>
      <c r="T404" s="26">
        <f>IF(S404="","","Sim")</f>
        <v/>
      </c>
      <c r="U404" s="41">
        <f>IF(T404="Sim",S404+ROW()/100000,0)</f>
        <v>0</v>
      </c>
      <c r="V404" s="41">
        <f>IF(AND(H404="Falta",L404=Config!$B$7,M404=Config!$B$5,COUNTIFS($E$5:E404,E404,$H$5:H404,"Falta",$L$5:L404,Config!$B$7,$M$5:M404,Config!$B$5)=1),COUNTIFS($E$5:$E$3004,E404,$H$5:$H$3004,"Falta",$L$5:$L$3004,Config!$B$7,$M$5:$M$3004,Config!$B$5)*1000-ROW()/100000,0)</f>
        <v>0</v>
      </c>
    </row>
    <row r="405">
      <c r="A405" s="39" t="n">
        <v>46213</v>
      </c>
      <c r="B405" s="40" t="n">
        <v>0.4652777777777778</v>
      </c>
      <c r="C405" s="35" t="inlineStr">
        <is>
          <t>Dr. Paulo Andrade</t>
        </is>
      </c>
      <c r="D405" s="35" t="inlineStr">
        <is>
          <t>Sala 2</t>
        </is>
      </c>
      <c r="E405" s="34" t="inlineStr">
        <is>
          <t>Sandra Cardoso</t>
        </is>
      </c>
      <c r="F405" s="35" t="inlineStr">
        <is>
          <t>Saúde Total</t>
        </is>
      </c>
      <c r="G405" s="35" t="inlineStr">
        <is>
          <t>Consulta</t>
        </is>
      </c>
      <c r="H405" s="35" t="inlineStr">
        <is>
          <t>Realizado</t>
        </is>
      </c>
      <c r="I405" s="35" t="inlineStr">
        <is>
          <t>Convênio</t>
        </is>
      </c>
      <c r="J405" s="35" t="n"/>
      <c r="K405" s="34" t="n"/>
      <c r="L405" s="26">
        <f>IF(A405="","",MONTH(A405))</f>
        <v>7</v>
      </c>
      <c r="M405" s="26">
        <f>IF(A405="","",YEAR(A405))</f>
        <v>2026</v>
      </c>
      <c r="N405" s="26" t="str">
        <f>IF(A405="","",CHOOSE(WEEKDAY(A405,2),"Segunda","Terça","Quarta","Quinta","Sexta","Sábado","Domingo"))</f>
        <v>Sexta</v>
      </c>
      <c r="O405" s="26" t="str">
        <f>IF(B405="","",IF(B405&lt;TIME(12,0,0),"Manhã",IF(B405&lt;TIME(18,0,0),"Tarde","Noite")))</f>
        <v>Manhã</v>
      </c>
      <c r="P405" s="32">
        <f>IF(G405="","",IFERROR(INDEX(Config!$I$5:$I$16,MATCH(G405,Config!$H$5:$H$16,0)),0))</f>
        <v>30</v>
      </c>
      <c r="Q405" s="30">
        <f>IF(OR(H405&lt;&gt;"Realizado",P405="",P405=0),"",A405+P405)</f>
        <v>46243.0</v>
      </c>
      <c r="R405" s="26" t="str">
        <f>IF(Q405="","",IF(COUNTIFS($E$5:$E$3004,E405,$A$5:$A$3004,"&gt;"&amp;A405,$H$5:$H$3004,"&lt;&gt;Falta",$H$5:$H$3004,"&lt;&gt;Cancelado",$H$5:$H$3004,"&lt;&gt;Remarcado")&gt;0,"Sim","Não"))</f>
        <v>Sim</v>
      </c>
      <c r="S405" s="32">
        <f>IF(R405&lt;&gt;"Não","",IF(Q405+Config!$B$9&lt;=Config!$B$8,Config!$B$8-Q405,""))</f>
        <v/>
      </c>
      <c r="T405" s="26">
        <f>IF(S405="","","Sim")</f>
        <v/>
      </c>
      <c r="U405" s="41">
        <f>IF(T405="Sim",S405+ROW()/100000,0)</f>
        <v>0</v>
      </c>
      <c r="V405" s="41">
        <f>IF(AND(H405="Falta",L405=Config!$B$7,M405=Config!$B$5,COUNTIFS($E$5:E405,E405,$H$5:H405,"Falta",$L$5:L405,Config!$B$7,$M$5:M405,Config!$B$5)=1),COUNTIFS($E$5:$E$3004,E405,$H$5:$H$3004,"Falta",$L$5:$L$3004,Config!$B$7,$M$5:$M$3004,Config!$B$5)*1000-ROW()/100000,0)</f>
        <v>0</v>
      </c>
    </row>
    <row r="406">
      <c r="A406" s="39" t="n">
        <v>46213</v>
      </c>
      <c r="B406" s="40" t="n">
        <v>0.4861111111111111</v>
      </c>
      <c r="C406" s="35" t="inlineStr">
        <is>
          <t>Dr. Paulo Andrade</t>
        </is>
      </c>
      <c r="D406" s="35" t="inlineStr">
        <is>
          <t>Sala 2</t>
        </is>
      </c>
      <c r="E406" s="34" t="inlineStr">
        <is>
          <t>Natália Xavier</t>
        </is>
      </c>
      <c r="F406" s="35" t="inlineStr">
        <is>
          <t>MediPlan</t>
        </is>
      </c>
      <c r="G406" s="35" t="inlineStr">
        <is>
          <t>Consulta</t>
        </is>
      </c>
      <c r="H406" s="35" t="inlineStr">
        <is>
          <t>Realizado</t>
        </is>
      </c>
      <c r="I406" s="35" t="inlineStr">
        <is>
          <t>Convênio</t>
        </is>
      </c>
      <c r="J406" s="35" t="n"/>
      <c r="K406" s="34" t="n"/>
      <c r="L406" s="26">
        <f>IF(A406="","",MONTH(A406))</f>
        <v>7</v>
      </c>
      <c r="M406" s="26">
        <f>IF(A406="","",YEAR(A406))</f>
        <v>2026</v>
      </c>
      <c r="N406" s="26" t="str">
        <f>IF(A406="","",CHOOSE(WEEKDAY(A406,2),"Segunda","Terça","Quarta","Quinta","Sexta","Sábado","Domingo"))</f>
        <v>Sexta</v>
      </c>
      <c r="O406" s="26" t="str">
        <f>IF(B406="","",IF(B406&lt;TIME(12,0,0),"Manhã",IF(B406&lt;TIME(18,0,0),"Tarde","Noite")))</f>
        <v>Manhã</v>
      </c>
      <c r="P406" s="32">
        <f>IF(G406="","",IFERROR(INDEX(Config!$I$5:$I$16,MATCH(G406,Config!$H$5:$H$16,0)),0))</f>
        <v>30</v>
      </c>
      <c r="Q406" s="30">
        <f>IF(OR(H406&lt;&gt;"Realizado",P406="",P406=0),"",A406+P406)</f>
        <v>46243.0</v>
      </c>
      <c r="R406" s="26" t="str">
        <f>IF(Q406="","",IF(COUNTIFS($E$5:$E$3004,E406,$A$5:$A$3004,"&gt;"&amp;A406,$H$5:$H$3004,"&lt;&gt;Falta",$H$5:$H$3004,"&lt;&gt;Cancelado",$H$5:$H$3004,"&lt;&gt;Remarcado")&gt;0,"Sim","Não"))</f>
        <v>Sim</v>
      </c>
      <c r="S406" s="32">
        <f>IF(R406&lt;&gt;"Não","",IF(Q406+Config!$B$9&lt;=Config!$B$8,Config!$B$8-Q406,""))</f>
        <v/>
      </c>
      <c r="T406" s="26">
        <f>IF(S406="","","Sim")</f>
        <v/>
      </c>
      <c r="U406" s="41">
        <f>IF(T406="Sim",S406+ROW()/100000,0)</f>
        <v>0</v>
      </c>
      <c r="V406" s="41">
        <f>IF(AND(H406="Falta",L406=Config!$B$7,M406=Config!$B$5,COUNTIFS($E$5:E406,E406,$H$5:H406,"Falta",$L$5:L406,Config!$B$7,$M$5:M406,Config!$B$5)=1),COUNTIFS($E$5:$E$3004,E406,$H$5:$H$3004,"Falta",$L$5:$L$3004,Config!$B$7,$M$5:$M$3004,Config!$B$5)*1000-ROW()/100000,0)</f>
        <v>0</v>
      </c>
    </row>
    <row r="407">
      <c r="A407" s="39" t="n">
        <v>46216</v>
      </c>
      <c r="B407" s="40" t="n">
        <v>0.3333333333333333</v>
      </c>
      <c r="C407" s="35" t="inlineStr">
        <is>
          <t>Dra. Carolina Mendes</t>
        </is>
      </c>
      <c r="D407" s="35" t="inlineStr">
        <is>
          <t>Sala 1</t>
        </is>
      </c>
      <c r="E407" s="34" t="inlineStr">
        <is>
          <t>Ana Costa</t>
        </is>
      </c>
      <c r="F407" s="35" t="inlineStr">
        <is>
          <t>Particular</t>
        </is>
      </c>
      <c r="G407" s="35" t="inlineStr">
        <is>
          <t>Consulta</t>
        </is>
      </c>
      <c r="H407" s="35" t="inlineStr">
        <is>
          <t>Realizado</t>
        </is>
      </c>
      <c r="I407" s="35" t="inlineStr">
        <is>
          <t>Cartão de débito</t>
        </is>
      </c>
      <c r="J407" s="35" t="n"/>
      <c r="K407" s="34" t="n"/>
      <c r="L407" s="26">
        <f>IF(A407="","",MONTH(A407))</f>
        <v>7</v>
      </c>
      <c r="M407" s="26">
        <f>IF(A407="","",YEAR(A407))</f>
        <v>2026</v>
      </c>
      <c r="N407" s="26" t="str">
        <f>IF(A407="","",CHOOSE(WEEKDAY(A407,2),"Segunda","Terça","Quarta","Quinta","Sexta","Sábado","Domingo"))</f>
        <v>Segunda</v>
      </c>
      <c r="O407" s="26" t="str">
        <f>IF(B407="","",IF(B407&lt;TIME(12,0,0),"Manhã",IF(B407&lt;TIME(18,0,0),"Tarde","Noite")))</f>
        <v>Manhã</v>
      </c>
      <c r="P407" s="32">
        <f>IF(G407="","",IFERROR(INDEX(Config!$I$5:$I$16,MATCH(G407,Config!$H$5:$H$16,0)),0))</f>
        <v>30</v>
      </c>
      <c r="Q407" s="30">
        <f>IF(OR(H407&lt;&gt;"Realizado",P407="",P407=0),"",A407+P407)</f>
        <v>46246.0</v>
      </c>
      <c r="R407" s="26" t="str">
        <f>IF(Q407="","",IF(COUNTIFS($E$5:$E$3004,E407,$A$5:$A$3004,"&gt;"&amp;A407,$H$5:$H$3004,"&lt;&gt;Falta",$H$5:$H$3004,"&lt;&gt;Cancelado",$H$5:$H$3004,"&lt;&gt;Remarcado")&gt;0,"Sim","Não"))</f>
        <v>Sim</v>
      </c>
      <c r="S407" s="32">
        <f>IF(R407&lt;&gt;"Não","",IF(Q407+Config!$B$9&lt;=Config!$B$8,Config!$B$8-Q407,""))</f>
        <v/>
      </c>
      <c r="T407" s="26">
        <f>IF(S407="","","Sim")</f>
        <v/>
      </c>
      <c r="U407" s="41">
        <f>IF(T407="Sim",S407+ROW()/100000,0)</f>
        <v>0</v>
      </c>
      <c r="V407" s="41">
        <f>IF(AND(H407="Falta",L407=Config!$B$7,M407=Config!$B$5,COUNTIFS($E$5:E407,E407,$H$5:H407,"Falta",$L$5:L407,Config!$B$7,$M$5:M407,Config!$B$5)=1),COUNTIFS($E$5:$E$3004,E407,$H$5:$H$3004,"Falta",$L$5:$L$3004,Config!$B$7,$M$5:$M$3004,Config!$B$5)*1000-ROW()/100000,0)</f>
        <v>0</v>
      </c>
    </row>
    <row r="408">
      <c r="A408" s="39" t="n">
        <v>46216</v>
      </c>
      <c r="B408" s="40" t="n">
        <v>0.3541666666666667</v>
      </c>
      <c r="C408" s="35" t="inlineStr">
        <is>
          <t>Dra. Carolina Mendes</t>
        </is>
      </c>
      <c r="D408" s="35" t="inlineStr">
        <is>
          <t>Sala 1</t>
        </is>
      </c>
      <c r="E408" s="34" t="inlineStr">
        <is>
          <t>Débora Ramos</t>
        </is>
      </c>
      <c r="F408" s="35" t="inlineStr">
        <is>
          <t>Particular</t>
        </is>
      </c>
      <c r="G408" s="35" t="inlineStr">
        <is>
          <t>Consulta</t>
        </is>
      </c>
      <c r="H408" s="35" t="inlineStr">
        <is>
          <t>Realizado</t>
        </is>
      </c>
      <c r="I408" s="35" t="inlineStr">
        <is>
          <t>Cartão de débito</t>
        </is>
      </c>
      <c r="J408" s="35" t="n"/>
      <c r="K408" s="34" t="n"/>
      <c r="L408" s="26">
        <f>IF(A408="","",MONTH(A408))</f>
        <v>7</v>
      </c>
      <c r="M408" s="26">
        <f>IF(A408="","",YEAR(A408))</f>
        <v>2026</v>
      </c>
      <c r="N408" s="26" t="str">
        <f>IF(A408="","",CHOOSE(WEEKDAY(A408,2),"Segunda","Terça","Quarta","Quinta","Sexta","Sábado","Domingo"))</f>
        <v>Segunda</v>
      </c>
      <c r="O408" s="26" t="str">
        <f>IF(B408="","",IF(B408&lt;TIME(12,0,0),"Manhã",IF(B408&lt;TIME(18,0,0),"Tarde","Noite")))</f>
        <v>Manhã</v>
      </c>
      <c r="P408" s="32">
        <f>IF(G408="","",IFERROR(INDEX(Config!$I$5:$I$16,MATCH(G408,Config!$H$5:$H$16,0)),0))</f>
        <v>30</v>
      </c>
      <c r="Q408" s="30">
        <f>IF(OR(H408&lt;&gt;"Realizado",P408="",P408=0),"",A408+P408)</f>
        <v>46246.0</v>
      </c>
      <c r="R408" s="26" t="str">
        <f>IF(Q408="","",IF(COUNTIFS($E$5:$E$3004,E408,$A$5:$A$3004,"&gt;"&amp;A408,$H$5:$H$3004,"&lt;&gt;Falta",$H$5:$H$3004,"&lt;&gt;Cancelado",$H$5:$H$3004,"&lt;&gt;Remarcado")&gt;0,"Sim","Não"))</f>
        <v>Sim</v>
      </c>
      <c r="S408" s="32">
        <f>IF(R408&lt;&gt;"Não","",IF(Q408+Config!$B$9&lt;=Config!$B$8,Config!$B$8-Q408,""))</f>
        <v/>
      </c>
      <c r="T408" s="26">
        <f>IF(S408="","","Sim")</f>
        <v/>
      </c>
      <c r="U408" s="41">
        <f>IF(T408="Sim",S408+ROW()/100000,0)</f>
        <v>0</v>
      </c>
      <c r="V408" s="41">
        <f>IF(AND(H408="Falta",L408=Config!$B$7,M408=Config!$B$5,COUNTIFS($E$5:E408,E408,$H$5:H408,"Falta",$L$5:L408,Config!$B$7,$M$5:M408,Config!$B$5)=1),COUNTIFS($E$5:$E$3004,E408,$H$5:$H$3004,"Falta",$L$5:$L$3004,Config!$B$7,$M$5:$M$3004,Config!$B$5)*1000-ROW()/100000,0)</f>
        <v>0</v>
      </c>
    </row>
    <row r="409">
      <c r="A409" s="39" t="n">
        <v>46216</v>
      </c>
      <c r="B409" s="40" t="n">
        <v>0.3958333333333333</v>
      </c>
      <c r="C409" s="35" t="inlineStr">
        <is>
          <t>Dra. Carolina Mendes</t>
        </is>
      </c>
      <c r="D409" s="35" t="inlineStr">
        <is>
          <t>Sala 1</t>
        </is>
      </c>
      <c r="E409" s="34" t="inlineStr">
        <is>
          <t>Daniel Almeida</t>
        </is>
      </c>
      <c r="F409" s="35" t="inlineStr">
        <is>
          <t>Saúde Total</t>
        </is>
      </c>
      <c r="G409" s="35" t="inlineStr">
        <is>
          <t>Consulta</t>
        </is>
      </c>
      <c r="H409" s="35" t="inlineStr">
        <is>
          <t>Remarcado</t>
        </is>
      </c>
      <c r="I409" s="35" t="n"/>
      <c r="J409" s="35" t="n"/>
      <c r="K409" s="34" t="inlineStr">
        <is>
          <t>Paciente pediu outra data</t>
        </is>
      </c>
      <c r="L409" s="26">
        <f>IF(A409="","",MONTH(A409))</f>
        <v>7</v>
      </c>
      <c r="M409" s="26">
        <f>IF(A409="","",YEAR(A409))</f>
        <v>2026</v>
      </c>
      <c r="N409" s="26" t="str">
        <f>IF(A409="","",CHOOSE(WEEKDAY(A409,2),"Segunda","Terça","Quarta","Quinta","Sexta","Sábado","Domingo"))</f>
        <v>Segunda</v>
      </c>
      <c r="O409" s="26" t="str">
        <f>IF(B409="","",IF(B409&lt;TIME(12,0,0),"Manhã",IF(B409&lt;TIME(18,0,0),"Tarde","Noite")))</f>
        <v>Manhã</v>
      </c>
      <c r="P409" s="32">
        <f>IF(G409="","",IFERROR(INDEX(Config!$I$5:$I$16,MATCH(G409,Config!$H$5:$H$16,0)),0))</f>
        <v>30</v>
      </c>
      <c r="Q409" s="30">
        <f>IF(OR(H409&lt;&gt;"Realizado",P409="",P409=0),"",A409+P409)</f>
        <v/>
      </c>
      <c r="R409" s="26">
        <f>IF(Q409="","",IF(COUNTIFS($E$5:$E$3004,E409,$A$5:$A$3004,"&gt;"&amp;A409,$H$5:$H$3004,"&lt;&gt;Falta",$H$5:$H$3004,"&lt;&gt;Cancelado",$H$5:$H$3004,"&lt;&gt;Remarcado")&gt;0,"Sim","Não"))</f>
        <v/>
      </c>
      <c r="S409" s="32">
        <f>IF(R409&lt;&gt;"Não","",IF(Q409+Config!$B$9&lt;=Config!$B$8,Config!$B$8-Q409,""))</f>
        <v/>
      </c>
      <c r="T409" s="26">
        <f>IF(S409="","","Sim")</f>
        <v/>
      </c>
      <c r="U409" s="41">
        <f>IF(T409="Sim",S409+ROW()/100000,0)</f>
        <v>0</v>
      </c>
      <c r="V409" s="41">
        <f>IF(AND(H409="Falta",L409=Config!$B$7,M409=Config!$B$5,COUNTIFS($E$5:E409,E409,$H$5:H409,"Falta",$L$5:L409,Config!$B$7,$M$5:M409,Config!$B$5)=1),COUNTIFS($E$5:$E$3004,E409,$H$5:$H$3004,"Falta",$L$5:$L$3004,Config!$B$7,$M$5:$M$3004,Config!$B$5)*1000-ROW()/100000,0)</f>
        <v>0</v>
      </c>
    </row>
    <row r="410">
      <c r="A410" s="39" t="n">
        <v>46216</v>
      </c>
      <c r="B410" s="40" t="n">
        <v>0.4375</v>
      </c>
      <c r="C410" s="35" t="inlineStr">
        <is>
          <t>Dra. Carolina Mendes</t>
        </is>
      </c>
      <c r="D410" s="35" t="inlineStr">
        <is>
          <t>Sala 1</t>
        </is>
      </c>
      <c r="E410" s="34" t="inlineStr">
        <is>
          <t>Rodrigo Moreira</t>
        </is>
      </c>
      <c r="F410" s="35" t="inlineStr">
        <is>
          <t>Particular</t>
        </is>
      </c>
      <c r="G410" s="35" t="inlineStr">
        <is>
          <t>Consulta</t>
        </is>
      </c>
      <c r="H410" s="35" t="inlineStr">
        <is>
          <t>Realizado</t>
        </is>
      </c>
      <c r="I410" s="35" t="inlineStr">
        <is>
          <t>Dinheiro</t>
        </is>
      </c>
      <c r="J410" s="35" t="n"/>
      <c r="K410" s="34" t="n"/>
      <c r="L410" s="26">
        <f>IF(A410="","",MONTH(A410))</f>
        <v>7</v>
      </c>
      <c r="M410" s="26">
        <f>IF(A410="","",YEAR(A410))</f>
        <v>2026</v>
      </c>
      <c r="N410" s="26" t="str">
        <f>IF(A410="","",CHOOSE(WEEKDAY(A410,2),"Segunda","Terça","Quarta","Quinta","Sexta","Sábado","Domingo"))</f>
        <v>Segunda</v>
      </c>
      <c r="O410" s="26" t="str">
        <f>IF(B410="","",IF(B410&lt;TIME(12,0,0),"Manhã",IF(B410&lt;TIME(18,0,0),"Tarde","Noite")))</f>
        <v>Manhã</v>
      </c>
      <c r="P410" s="32">
        <f>IF(G410="","",IFERROR(INDEX(Config!$I$5:$I$16,MATCH(G410,Config!$H$5:$H$16,0)),0))</f>
        <v>30</v>
      </c>
      <c r="Q410" s="30">
        <f>IF(OR(H410&lt;&gt;"Realizado",P410="",P410=0),"",A410+P410)</f>
        <v>46246.0</v>
      </c>
      <c r="R410" s="26" t="str">
        <f>IF(Q410="","",IF(COUNTIFS($E$5:$E$3004,E410,$A$5:$A$3004,"&gt;"&amp;A410,$H$5:$H$3004,"&lt;&gt;Falta",$H$5:$H$3004,"&lt;&gt;Cancelado",$H$5:$H$3004,"&lt;&gt;Remarcado")&gt;0,"Sim","Não"))</f>
        <v>Sim</v>
      </c>
      <c r="S410" s="32">
        <f>IF(R410&lt;&gt;"Não","",IF(Q410+Config!$B$9&lt;=Config!$B$8,Config!$B$8-Q410,""))</f>
        <v/>
      </c>
      <c r="T410" s="26">
        <f>IF(S410="","","Sim")</f>
        <v/>
      </c>
      <c r="U410" s="41">
        <f>IF(T410="Sim",S410+ROW()/100000,0)</f>
        <v>0</v>
      </c>
      <c r="V410" s="41">
        <f>IF(AND(H410="Falta",L410=Config!$B$7,M410=Config!$B$5,COUNTIFS($E$5:E410,E410,$H$5:H410,"Falta",$L$5:L410,Config!$B$7,$M$5:M410,Config!$B$5)=1),COUNTIFS($E$5:$E$3004,E410,$H$5:$H$3004,"Falta",$L$5:$L$3004,Config!$B$7,$M$5:$M$3004,Config!$B$5)*1000-ROW()/100000,0)</f>
        <v>0</v>
      </c>
    </row>
    <row r="411">
      <c r="A411" s="39" t="n">
        <v>46216</v>
      </c>
      <c r="B411" s="40" t="n">
        <v>0.4583333333333333</v>
      </c>
      <c r="C411" s="35" t="inlineStr">
        <is>
          <t>Dra. Carolina Mendes</t>
        </is>
      </c>
      <c r="D411" s="35" t="inlineStr">
        <is>
          <t>Sala 1</t>
        </is>
      </c>
      <c r="E411" s="34" t="inlineStr">
        <is>
          <t>Helena Moreira</t>
        </is>
      </c>
      <c r="F411" s="35" t="inlineStr">
        <is>
          <t>Particular</t>
        </is>
      </c>
      <c r="G411" s="35" t="inlineStr">
        <is>
          <t>Consulta</t>
        </is>
      </c>
      <c r="H411" s="35" t="inlineStr">
        <is>
          <t>Realizado</t>
        </is>
      </c>
      <c r="I411" s="35" t="inlineStr">
        <is>
          <t>Pix</t>
        </is>
      </c>
      <c r="J411" s="35" t="n"/>
      <c r="K411" s="34" t="n"/>
      <c r="L411" s="26">
        <f>IF(A411="","",MONTH(A411))</f>
        <v>7</v>
      </c>
      <c r="M411" s="26">
        <f>IF(A411="","",YEAR(A411))</f>
        <v>2026</v>
      </c>
      <c r="N411" s="26" t="str">
        <f>IF(A411="","",CHOOSE(WEEKDAY(A411,2),"Segunda","Terça","Quarta","Quinta","Sexta","Sábado","Domingo"))</f>
        <v>Segunda</v>
      </c>
      <c r="O411" s="26" t="str">
        <f>IF(B411="","",IF(B411&lt;TIME(12,0,0),"Manhã",IF(B411&lt;TIME(18,0,0),"Tarde","Noite")))</f>
        <v>Manhã</v>
      </c>
      <c r="P411" s="32">
        <f>IF(G411="","",IFERROR(INDEX(Config!$I$5:$I$16,MATCH(G411,Config!$H$5:$H$16,0)),0))</f>
        <v>30</v>
      </c>
      <c r="Q411" s="30">
        <f>IF(OR(H411&lt;&gt;"Realizado",P411="",P411=0),"",A411+P411)</f>
        <v>46246.0</v>
      </c>
      <c r="R411" s="26" t="str">
        <f>IF(Q411="","",IF(COUNTIFS($E$5:$E$3004,E411,$A$5:$A$3004,"&gt;"&amp;A411,$H$5:$H$3004,"&lt;&gt;Falta",$H$5:$H$3004,"&lt;&gt;Cancelado",$H$5:$H$3004,"&lt;&gt;Remarcado")&gt;0,"Sim","Não"))</f>
        <v>Sim</v>
      </c>
      <c r="S411" s="32">
        <f>IF(R411&lt;&gt;"Não","",IF(Q411+Config!$B$9&lt;=Config!$B$8,Config!$B$8-Q411,""))</f>
        <v/>
      </c>
      <c r="T411" s="26">
        <f>IF(S411="","","Sim")</f>
        <v/>
      </c>
      <c r="U411" s="41">
        <f>IF(T411="Sim",S411+ROW()/100000,0)</f>
        <v>0</v>
      </c>
      <c r="V411" s="41">
        <f>IF(AND(H411="Falta",L411=Config!$B$7,M411=Config!$B$5,COUNTIFS($E$5:E411,E411,$H$5:H411,"Falta",$L$5:L411,Config!$B$7,$M$5:M411,Config!$B$5)=1),COUNTIFS($E$5:$E$3004,E411,$H$5:$H$3004,"Falta",$L$5:$L$3004,Config!$B$7,$M$5:$M$3004,Config!$B$5)*1000-ROW()/100000,0)</f>
        <v>0</v>
      </c>
    </row>
    <row r="412">
      <c r="A412" s="39" t="n">
        <v>46216</v>
      </c>
      <c r="B412" s="40" t="n">
        <v>0.625</v>
      </c>
      <c r="C412" s="35" t="inlineStr">
        <is>
          <t>Dr. Paulo Andrade</t>
        </is>
      </c>
      <c r="D412" s="35" t="inlineStr">
        <is>
          <t>Sala 2</t>
        </is>
      </c>
      <c r="E412" s="34" t="inlineStr">
        <is>
          <t>Gisele Ribeiro</t>
        </is>
      </c>
      <c r="F412" s="35" t="inlineStr">
        <is>
          <t>Particular</t>
        </is>
      </c>
      <c r="G412" s="35" t="inlineStr">
        <is>
          <t>ECG</t>
        </is>
      </c>
      <c r="H412" s="35" t="inlineStr">
        <is>
          <t>Realizado</t>
        </is>
      </c>
      <c r="I412" s="35" t="inlineStr">
        <is>
          <t>Cartão de crédito</t>
        </is>
      </c>
      <c r="J412" s="35" t="n"/>
      <c r="K412" s="34" t="n"/>
      <c r="L412" s="26">
        <f>IF(A412="","",MONTH(A412))</f>
        <v>7</v>
      </c>
      <c r="M412" s="26">
        <f>IF(A412="","",YEAR(A412))</f>
        <v>2026</v>
      </c>
      <c r="N412" s="26" t="str">
        <f>IF(A412="","",CHOOSE(WEEKDAY(A412,2),"Segunda","Terça","Quarta","Quinta","Sexta","Sábado","Domingo"))</f>
        <v>Segunda</v>
      </c>
      <c r="O412" s="26" t="str">
        <f>IF(B412="","",IF(B412&lt;TIME(12,0,0),"Manhã",IF(B412&lt;TIME(18,0,0),"Tarde","Noite")))</f>
        <v>Tarde</v>
      </c>
      <c r="P412" s="32">
        <f>IF(G412="","",IFERROR(INDEX(Config!$I$5:$I$16,MATCH(G412,Config!$H$5:$H$16,0)),0))</f>
        <v>0</v>
      </c>
      <c r="Q412" s="30">
        <f>IF(OR(H412&lt;&gt;"Realizado",P412="",P412=0),"",A412+P412)</f>
        <v/>
      </c>
      <c r="R412" s="26">
        <f>IF(Q412="","",IF(COUNTIFS($E$5:$E$3004,E412,$A$5:$A$3004,"&gt;"&amp;A412,$H$5:$H$3004,"&lt;&gt;Falta",$H$5:$H$3004,"&lt;&gt;Cancelado",$H$5:$H$3004,"&lt;&gt;Remarcado")&gt;0,"Sim","Não"))</f>
        <v/>
      </c>
      <c r="S412" s="32">
        <f>IF(R412&lt;&gt;"Não","",IF(Q412+Config!$B$9&lt;=Config!$B$8,Config!$B$8-Q412,""))</f>
        <v/>
      </c>
      <c r="T412" s="26">
        <f>IF(S412="","","Sim")</f>
        <v/>
      </c>
      <c r="U412" s="41">
        <f>IF(T412="Sim",S412+ROW()/100000,0)</f>
        <v>0</v>
      </c>
      <c r="V412" s="41">
        <f>IF(AND(H412="Falta",L412=Config!$B$7,M412=Config!$B$5,COUNTIFS($E$5:E412,E412,$H$5:H412,"Falta",$L$5:L412,Config!$B$7,$M$5:M412,Config!$B$5)=1),COUNTIFS($E$5:$E$3004,E412,$H$5:$H$3004,"Falta",$L$5:$L$3004,Config!$B$7,$M$5:$M$3004,Config!$B$5)*1000-ROW()/100000,0)</f>
        <v>0</v>
      </c>
    </row>
    <row r="413">
      <c r="A413" s="39" t="n">
        <v>46216</v>
      </c>
      <c r="B413" s="40" t="n">
        <v>0.6388888888888888</v>
      </c>
      <c r="C413" s="35" t="inlineStr">
        <is>
          <t>Dr. Paulo Andrade</t>
        </is>
      </c>
      <c r="D413" s="35" t="inlineStr">
        <is>
          <t>Sala 2</t>
        </is>
      </c>
      <c r="E413" s="34" t="inlineStr">
        <is>
          <t>Henrique Ribeiro</t>
        </is>
      </c>
      <c r="F413" s="35" t="inlineStr">
        <is>
          <t>Particular</t>
        </is>
      </c>
      <c r="G413" s="35" t="inlineStr">
        <is>
          <t>Consulta</t>
        </is>
      </c>
      <c r="H413" s="35" t="inlineStr">
        <is>
          <t>Realizado</t>
        </is>
      </c>
      <c r="I413" s="35" t="inlineStr">
        <is>
          <t>Cartão de crédito</t>
        </is>
      </c>
      <c r="J413" s="35" t="n">
        <v>2</v>
      </c>
      <c r="K413" s="34" t="n"/>
      <c r="L413" s="26">
        <f>IF(A413="","",MONTH(A413))</f>
        <v>7</v>
      </c>
      <c r="M413" s="26">
        <f>IF(A413="","",YEAR(A413))</f>
        <v>2026</v>
      </c>
      <c r="N413" s="26" t="str">
        <f>IF(A413="","",CHOOSE(WEEKDAY(A413,2),"Segunda","Terça","Quarta","Quinta","Sexta","Sábado","Domingo"))</f>
        <v>Segunda</v>
      </c>
      <c r="O413" s="26" t="str">
        <f>IF(B413="","",IF(B413&lt;TIME(12,0,0),"Manhã",IF(B413&lt;TIME(18,0,0),"Tarde","Noite")))</f>
        <v>Tarde</v>
      </c>
      <c r="P413" s="32">
        <f>IF(G413="","",IFERROR(INDEX(Config!$I$5:$I$16,MATCH(G413,Config!$H$5:$H$16,0)),0))</f>
        <v>30</v>
      </c>
      <c r="Q413" s="30">
        <f>IF(OR(H413&lt;&gt;"Realizado",P413="",P413=0),"",A413+P413)</f>
        <v>46246.0</v>
      </c>
      <c r="R413" s="26" t="str">
        <f>IF(Q413="","",IF(COUNTIFS($E$5:$E$3004,E413,$A$5:$A$3004,"&gt;"&amp;A413,$H$5:$H$3004,"&lt;&gt;Falta",$H$5:$H$3004,"&lt;&gt;Cancelado",$H$5:$H$3004,"&lt;&gt;Remarcado")&gt;0,"Sim","Não"))</f>
        <v>Sim</v>
      </c>
      <c r="S413" s="32">
        <f>IF(R413&lt;&gt;"Não","",IF(Q413+Config!$B$9&lt;=Config!$B$8,Config!$B$8-Q413,""))</f>
        <v/>
      </c>
      <c r="T413" s="26">
        <f>IF(S413="","","Sim")</f>
        <v/>
      </c>
      <c r="U413" s="41">
        <f>IF(T413="Sim",S413+ROW()/100000,0)</f>
        <v>0</v>
      </c>
      <c r="V413" s="41">
        <f>IF(AND(H413="Falta",L413=Config!$B$7,M413=Config!$B$5,COUNTIFS($E$5:E413,E413,$H$5:H413,"Falta",$L$5:L413,Config!$B$7,$M$5:M413,Config!$B$5)=1),COUNTIFS($E$5:$E$3004,E413,$H$5:$H$3004,"Falta",$L$5:$L$3004,Config!$B$7,$M$5:$M$3004,Config!$B$5)*1000-ROW()/100000,0)</f>
        <v>0</v>
      </c>
    </row>
    <row r="414">
      <c r="A414" s="39" t="n">
        <v>46216</v>
      </c>
      <c r="B414" s="40" t="n">
        <v>0.6597222222222222</v>
      </c>
      <c r="C414" s="35" t="inlineStr">
        <is>
          <t>Dr. Paulo Andrade</t>
        </is>
      </c>
      <c r="D414" s="35" t="inlineStr">
        <is>
          <t>Sala 2</t>
        </is>
      </c>
      <c r="E414" s="34" t="inlineStr">
        <is>
          <t>Paulo Ribeiro</t>
        </is>
      </c>
      <c r="F414" s="35" t="inlineStr">
        <is>
          <t>Saúde Total</t>
        </is>
      </c>
      <c r="G414" s="35" t="inlineStr">
        <is>
          <t>Consulta</t>
        </is>
      </c>
      <c r="H414" s="35" t="inlineStr">
        <is>
          <t>Realizado</t>
        </is>
      </c>
      <c r="I414" s="35" t="inlineStr">
        <is>
          <t>Convênio</t>
        </is>
      </c>
      <c r="J414" s="35" t="n"/>
      <c r="K414" s="34" t="n"/>
      <c r="L414" s="26">
        <f>IF(A414="","",MONTH(A414))</f>
        <v>7</v>
      </c>
      <c r="M414" s="26">
        <f>IF(A414="","",YEAR(A414))</f>
        <v>2026</v>
      </c>
      <c r="N414" s="26" t="str">
        <f>IF(A414="","",CHOOSE(WEEKDAY(A414,2),"Segunda","Terça","Quarta","Quinta","Sexta","Sábado","Domingo"))</f>
        <v>Segunda</v>
      </c>
      <c r="O414" s="26" t="str">
        <f>IF(B414="","",IF(B414&lt;TIME(12,0,0),"Manhã",IF(B414&lt;TIME(18,0,0),"Tarde","Noite")))</f>
        <v>Tarde</v>
      </c>
      <c r="P414" s="32">
        <f>IF(G414="","",IFERROR(INDEX(Config!$I$5:$I$16,MATCH(G414,Config!$H$5:$H$16,0)),0))</f>
        <v>30</v>
      </c>
      <c r="Q414" s="30">
        <f>IF(OR(H414&lt;&gt;"Realizado",P414="",P414=0),"",A414+P414)</f>
        <v>46246.0</v>
      </c>
      <c r="R414" s="26" t="str">
        <f>IF(Q414="","",IF(COUNTIFS($E$5:$E$3004,E414,$A$5:$A$3004,"&gt;"&amp;A414,$H$5:$H$3004,"&lt;&gt;Falta",$H$5:$H$3004,"&lt;&gt;Cancelado",$H$5:$H$3004,"&lt;&gt;Remarcado")&gt;0,"Sim","Não"))</f>
        <v>Sim</v>
      </c>
      <c r="S414" s="32">
        <f>IF(R414&lt;&gt;"Não","",IF(Q414+Config!$B$9&lt;=Config!$B$8,Config!$B$8-Q414,""))</f>
        <v/>
      </c>
      <c r="T414" s="26">
        <f>IF(S414="","","Sim")</f>
        <v/>
      </c>
      <c r="U414" s="41">
        <f>IF(T414="Sim",S414+ROW()/100000,0)</f>
        <v>0</v>
      </c>
      <c r="V414" s="41">
        <f>IF(AND(H414="Falta",L414=Config!$B$7,M414=Config!$B$5,COUNTIFS($E$5:E414,E414,$H$5:H414,"Falta",$L$5:L414,Config!$B$7,$M$5:M414,Config!$B$5)=1),COUNTIFS($E$5:$E$3004,E414,$H$5:$H$3004,"Falta",$L$5:$L$3004,Config!$B$7,$M$5:$M$3004,Config!$B$5)*1000-ROW()/100000,0)</f>
        <v>0</v>
      </c>
    </row>
    <row r="415">
      <c r="A415" s="39" t="n">
        <v>46216</v>
      </c>
      <c r="B415" s="40" t="n">
        <v>0.6805555555555556</v>
      </c>
      <c r="C415" s="35" t="inlineStr">
        <is>
          <t>Dr. Paulo Andrade</t>
        </is>
      </c>
      <c r="D415" s="35" t="inlineStr">
        <is>
          <t>Sala 2</t>
        </is>
      </c>
      <c r="E415" s="34" t="inlineStr">
        <is>
          <t>Gisele Lima</t>
        </is>
      </c>
      <c r="F415" s="35" t="inlineStr">
        <is>
          <t>Saúde Total</t>
        </is>
      </c>
      <c r="G415" s="35" t="inlineStr">
        <is>
          <t>Consulta</t>
        </is>
      </c>
      <c r="H415" s="35" t="inlineStr">
        <is>
          <t>Realizado</t>
        </is>
      </c>
      <c r="I415" s="35" t="inlineStr">
        <is>
          <t>Convênio</t>
        </is>
      </c>
      <c r="J415" s="35" t="n"/>
      <c r="K415" s="34" t="n"/>
      <c r="L415" s="26">
        <f>IF(A415="","",MONTH(A415))</f>
        <v>7</v>
      </c>
      <c r="M415" s="26">
        <f>IF(A415="","",YEAR(A415))</f>
        <v>2026</v>
      </c>
      <c r="N415" s="26" t="str">
        <f>IF(A415="","",CHOOSE(WEEKDAY(A415,2),"Segunda","Terça","Quarta","Quinta","Sexta","Sábado","Domingo"))</f>
        <v>Segunda</v>
      </c>
      <c r="O415" s="26" t="str">
        <f>IF(B415="","",IF(B415&lt;TIME(12,0,0),"Manhã",IF(B415&lt;TIME(18,0,0),"Tarde","Noite")))</f>
        <v>Tarde</v>
      </c>
      <c r="P415" s="32">
        <f>IF(G415="","",IFERROR(INDEX(Config!$I$5:$I$16,MATCH(G415,Config!$H$5:$H$16,0)),0))</f>
        <v>30</v>
      </c>
      <c r="Q415" s="30">
        <f>IF(OR(H415&lt;&gt;"Realizado",P415="",P415=0),"",A415+P415)</f>
        <v>46246.0</v>
      </c>
      <c r="R415" s="26" t="str">
        <f>IF(Q415="","",IF(COUNTIFS($E$5:$E$3004,E415,$A$5:$A$3004,"&gt;"&amp;A415,$H$5:$H$3004,"&lt;&gt;Falta",$H$5:$H$3004,"&lt;&gt;Cancelado",$H$5:$H$3004,"&lt;&gt;Remarcado")&gt;0,"Sim","Não"))</f>
        <v>Sim</v>
      </c>
      <c r="S415" s="32">
        <f>IF(R415&lt;&gt;"Não","",IF(Q415+Config!$B$9&lt;=Config!$B$8,Config!$B$8-Q415,""))</f>
        <v/>
      </c>
      <c r="T415" s="26">
        <f>IF(S415="","","Sim")</f>
        <v/>
      </c>
      <c r="U415" s="41">
        <f>IF(T415="Sim",S415+ROW()/100000,0)</f>
        <v>0</v>
      </c>
      <c r="V415" s="41">
        <f>IF(AND(H415="Falta",L415=Config!$B$7,M415=Config!$B$5,COUNTIFS($E$5:E415,E415,$H$5:H415,"Falta",$L$5:L415,Config!$B$7,$M$5:M415,Config!$B$5)=1),COUNTIFS($E$5:$E$3004,E415,$H$5:$H$3004,"Falta",$L$5:$L$3004,Config!$B$7,$M$5:$M$3004,Config!$B$5)*1000-ROW()/100000,0)</f>
        <v>0</v>
      </c>
    </row>
    <row r="416">
      <c r="A416" s="39" t="n">
        <v>46216</v>
      </c>
      <c r="B416" s="40" t="n">
        <v>0.7013888888888888</v>
      </c>
      <c r="C416" s="35" t="inlineStr">
        <is>
          <t>Dr. Paulo Andrade</t>
        </is>
      </c>
      <c r="D416" s="35" t="inlineStr">
        <is>
          <t>Sala 2</t>
        </is>
      </c>
      <c r="E416" s="34" t="inlineStr">
        <is>
          <t>Camila Martins</t>
        </is>
      </c>
      <c r="F416" s="35" t="inlineStr">
        <is>
          <t>Vida Care</t>
        </is>
      </c>
      <c r="G416" s="35" t="inlineStr">
        <is>
          <t>Consulta</t>
        </is>
      </c>
      <c r="H416" s="35" t="inlineStr">
        <is>
          <t>Realizado</t>
        </is>
      </c>
      <c r="I416" s="35" t="inlineStr">
        <is>
          <t>Convênio</t>
        </is>
      </c>
      <c r="J416" s="35" t="n"/>
      <c r="K416" s="34" t="n"/>
      <c r="L416" s="26">
        <f>IF(A416="","",MONTH(A416))</f>
        <v>7</v>
      </c>
      <c r="M416" s="26">
        <f>IF(A416="","",YEAR(A416))</f>
        <v>2026</v>
      </c>
      <c r="N416" s="26" t="str">
        <f>IF(A416="","",CHOOSE(WEEKDAY(A416,2),"Segunda","Terça","Quarta","Quinta","Sexta","Sábado","Domingo"))</f>
        <v>Segunda</v>
      </c>
      <c r="O416" s="26" t="str">
        <f>IF(B416="","",IF(B416&lt;TIME(12,0,0),"Manhã",IF(B416&lt;TIME(18,0,0),"Tarde","Noite")))</f>
        <v>Tarde</v>
      </c>
      <c r="P416" s="32">
        <f>IF(G416="","",IFERROR(INDEX(Config!$I$5:$I$16,MATCH(G416,Config!$H$5:$H$16,0)),0))</f>
        <v>30</v>
      </c>
      <c r="Q416" s="30">
        <f>IF(OR(H416&lt;&gt;"Realizado",P416="",P416=0),"",A416+P416)</f>
        <v>46246.0</v>
      </c>
      <c r="R416" s="26" t="str">
        <f>IF(Q416="","",IF(COUNTIFS($E$5:$E$3004,E416,$A$5:$A$3004,"&gt;"&amp;A416,$H$5:$H$3004,"&lt;&gt;Falta",$H$5:$H$3004,"&lt;&gt;Cancelado",$H$5:$H$3004,"&lt;&gt;Remarcado")&gt;0,"Sim","Não"))</f>
        <v>Sim</v>
      </c>
      <c r="S416" s="32">
        <f>IF(R416&lt;&gt;"Não","",IF(Q416+Config!$B$9&lt;=Config!$B$8,Config!$B$8-Q416,""))</f>
        <v/>
      </c>
      <c r="T416" s="26">
        <f>IF(S416="","","Sim")</f>
        <v/>
      </c>
      <c r="U416" s="41">
        <f>IF(T416="Sim",S416+ROW()/100000,0)</f>
        <v>0</v>
      </c>
      <c r="V416" s="41">
        <f>IF(AND(H416="Falta",L416=Config!$B$7,M416=Config!$B$5,COUNTIFS($E$5:E416,E416,$H$5:H416,"Falta",$L$5:L416,Config!$B$7,$M$5:M416,Config!$B$5)=1),COUNTIFS($E$5:$E$3004,E416,$H$5:$H$3004,"Falta",$L$5:$L$3004,Config!$B$7,$M$5:$M$3004,Config!$B$5)*1000-ROW()/100000,0)</f>
        <v>0</v>
      </c>
    </row>
    <row r="417">
      <c r="A417" s="39" t="n">
        <v>46216</v>
      </c>
      <c r="B417" s="40" t="n">
        <v>0.7222222222222222</v>
      </c>
      <c r="C417" s="35" t="inlineStr">
        <is>
          <t>Dr. Paulo Andrade</t>
        </is>
      </c>
      <c r="D417" s="35" t="inlineStr">
        <is>
          <t>Sala 2</t>
        </is>
      </c>
      <c r="E417" s="34" t="inlineStr">
        <is>
          <t>Gabriel Oliveira</t>
        </is>
      </c>
      <c r="F417" s="35" t="inlineStr">
        <is>
          <t>Particular</t>
        </is>
      </c>
      <c r="G417" s="35" t="inlineStr">
        <is>
          <t>Consulta</t>
        </is>
      </c>
      <c r="H417" s="35" t="inlineStr">
        <is>
          <t>Realizado</t>
        </is>
      </c>
      <c r="I417" s="35" t="inlineStr">
        <is>
          <t>Pix</t>
        </is>
      </c>
      <c r="J417" s="35" t="n"/>
      <c r="K417" s="34" t="n"/>
      <c r="L417" s="26">
        <f>IF(A417="","",MONTH(A417))</f>
        <v>7</v>
      </c>
      <c r="M417" s="26">
        <f>IF(A417="","",YEAR(A417))</f>
        <v>2026</v>
      </c>
      <c r="N417" s="26" t="str">
        <f>IF(A417="","",CHOOSE(WEEKDAY(A417,2),"Segunda","Terça","Quarta","Quinta","Sexta","Sábado","Domingo"))</f>
        <v>Segunda</v>
      </c>
      <c r="O417" s="26" t="str">
        <f>IF(B417="","",IF(B417&lt;TIME(12,0,0),"Manhã",IF(B417&lt;TIME(18,0,0),"Tarde","Noite")))</f>
        <v>Tarde</v>
      </c>
      <c r="P417" s="32">
        <f>IF(G417="","",IFERROR(INDEX(Config!$I$5:$I$16,MATCH(G417,Config!$H$5:$H$16,0)),0))</f>
        <v>30</v>
      </c>
      <c r="Q417" s="30">
        <f>IF(OR(H417&lt;&gt;"Realizado",P417="",P417=0),"",A417+P417)</f>
        <v>46246.0</v>
      </c>
      <c r="R417" s="26" t="str">
        <f>IF(Q417="","",IF(COUNTIFS($E$5:$E$3004,E417,$A$5:$A$3004,"&gt;"&amp;A417,$H$5:$H$3004,"&lt;&gt;Falta",$H$5:$H$3004,"&lt;&gt;Cancelado",$H$5:$H$3004,"&lt;&gt;Remarcado")&gt;0,"Sim","Não"))</f>
        <v>Sim</v>
      </c>
      <c r="S417" s="32">
        <f>IF(R417&lt;&gt;"Não","",IF(Q417+Config!$B$9&lt;=Config!$B$8,Config!$B$8-Q417,""))</f>
        <v/>
      </c>
      <c r="T417" s="26">
        <f>IF(S417="","","Sim")</f>
        <v/>
      </c>
      <c r="U417" s="41">
        <f>IF(T417="Sim",S417+ROW()/100000,0)</f>
        <v>0</v>
      </c>
      <c r="V417" s="41">
        <f>IF(AND(H417="Falta",L417=Config!$B$7,M417=Config!$B$5,COUNTIFS($E$5:E417,E417,$H$5:H417,"Falta",$L$5:L417,Config!$B$7,$M$5:M417,Config!$B$5)=1),COUNTIFS($E$5:$E$3004,E417,$H$5:$H$3004,"Falta",$L$5:$L$3004,Config!$B$7,$M$5:$M$3004,Config!$B$5)*1000-ROW()/100000,0)</f>
        <v>0</v>
      </c>
    </row>
    <row r="418">
      <c r="A418" s="39" t="n">
        <v>46217</v>
      </c>
      <c r="B418" s="40" t="n">
        <v>0.3333333333333333</v>
      </c>
      <c r="C418" s="35" t="inlineStr">
        <is>
          <t>Dra. Carolina Mendes</t>
        </is>
      </c>
      <c r="D418" s="35" t="inlineStr">
        <is>
          <t>Sala 1</t>
        </is>
      </c>
      <c r="E418" s="34" t="inlineStr">
        <is>
          <t>Daniel Almeida</t>
        </is>
      </c>
      <c r="F418" s="35" t="inlineStr">
        <is>
          <t>Saúde Total</t>
        </is>
      </c>
      <c r="G418" s="35" t="inlineStr">
        <is>
          <t>Consulta</t>
        </is>
      </c>
      <c r="H418" s="35" t="inlineStr">
        <is>
          <t>Realizado</t>
        </is>
      </c>
      <c r="I418" s="35" t="inlineStr">
        <is>
          <t>Convênio</t>
        </is>
      </c>
      <c r="J418" s="35" t="n"/>
      <c r="K418" s="34" t="n"/>
      <c r="L418" s="26">
        <f>IF(A418="","",MONTH(A418))</f>
        <v>7</v>
      </c>
      <c r="M418" s="26">
        <f>IF(A418="","",YEAR(A418))</f>
        <v>2026</v>
      </c>
      <c r="N418" s="26" t="str">
        <f>IF(A418="","",CHOOSE(WEEKDAY(A418,2),"Segunda","Terça","Quarta","Quinta","Sexta","Sábado","Domingo"))</f>
        <v>Terça</v>
      </c>
      <c r="O418" s="26" t="str">
        <f>IF(B418="","",IF(B418&lt;TIME(12,0,0),"Manhã",IF(B418&lt;TIME(18,0,0),"Tarde","Noite")))</f>
        <v>Manhã</v>
      </c>
      <c r="P418" s="32">
        <f>IF(G418="","",IFERROR(INDEX(Config!$I$5:$I$16,MATCH(G418,Config!$H$5:$H$16,0)),0))</f>
        <v>30</v>
      </c>
      <c r="Q418" s="30">
        <f>IF(OR(H418&lt;&gt;"Realizado",P418="",P418=0),"",A418+P418)</f>
        <v>46247.0</v>
      </c>
      <c r="R418" s="26" t="str">
        <f>IF(Q418="","",IF(COUNTIFS($E$5:$E$3004,E418,$A$5:$A$3004,"&gt;"&amp;A418,$H$5:$H$3004,"&lt;&gt;Falta",$H$5:$H$3004,"&lt;&gt;Cancelado",$H$5:$H$3004,"&lt;&gt;Remarcado")&gt;0,"Sim","Não"))</f>
        <v>Sim</v>
      </c>
      <c r="S418" s="32">
        <f>IF(R418&lt;&gt;"Não","",IF(Q418+Config!$B$9&lt;=Config!$B$8,Config!$B$8-Q418,""))</f>
        <v/>
      </c>
      <c r="T418" s="26">
        <f>IF(S418="","","Sim")</f>
        <v/>
      </c>
      <c r="U418" s="41">
        <f>IF(T418="Sim",S418+ROW()/100000,0)</f>
        <v>0</v>
      </c>
      <c r="V418" s="41">
        <f>IF(AND(H418="Falta",L418=Config!$B$7,M418=Config!$B$5,COUNTIFS($E$5:E418,E418,$H$5:H418,"Falta",$L$5:L418,Config!$B$7,$M$5:M418,Config!$B$5)=1),COUNTIFS($E$5:$E$3004,E418,$H$5:$H$3004,"Falta",$L$5:$L$3004,Config!$B$7,$M$5:$M$3004,Config!$B$5)*1000-ROW()/100000,0)</f>
        <v>0</v>
      </c>
    </row>
    <row r="419">
      <c r="A419" s="39" t="n">
        <v>46217</v>
      </c>
      <c r="B419" s="40" t="n">
        <v>0.3541666666666667</v>
      </c>
      <c r="C419" s="35" t="inlineStr">
        <is>
          <t>Dra. Carolina Mendes</t>
        </is>
      </c>
      <c r="D419" s="35" t="inlineStr">
        <is>
          <t>Sala 1</t>
        </is>
      </c>
      <c r="E419" s="34" t="inlineStr">
        <is>
          <t>Eduardo Reis</t>
        </is>
      </c>
      <c r="F419" s="35" t="inlineStr">
        <is>
          <t>Vida Care</t>
        </is>
      </c>
      <c r="G419" s="35" t="inlineStr">
        <is>
          <t>Consulta</t>
        </is>
      </c>
      <c r="H419" s="35" t="inlineStr">
        <is>
          <t>Realizado</t>
        </is>
      </c>
      <c r="I419" s="35" t="inlineStr">
        <is>
          <t>Convênio</t>
        </is>
      </c>
      <c r="J419" s="35" t="n"/>
      <c r="K419" s="34" t="n"/>
      <c r="L419" s="26">
        <f>IF(A419="","",MONTH(A419))</f>
        <v>7</v>
      </c>
      <c r="M419" s="26">
        <f>IF(A419="","",YEAR(A419))</f>
        <v>2026</v>
      </c>
      <c r="N419" s="26" t="str">
        <f>IF(A419="","",CHOOSE(WEEKDAY(A419,2),"Segunda","Terça","Quarta","Quinta","Sexta","Sábado","Domingo"))</f>
        <v>Terça</v>
      </c>
      <c r="O419" s="26" t="str">
        <f>IF(B419="","",IF(B419&lt;TIME(12,0,0),"Manhã",IF(B419&lt;TIME(18,0,0),"Tarde","Noite")))</f>
        <v>Manhã</v>
      </c>
      <c r="P419" s="32">
        <f>IF(G419="","",IFERROR(INDEX(Config!$I$5:$I$16,MATCH(G419,Config!$H$5:$H$16,0)),0))</f>
        <v>30</v>
      </c>
      <c r="Q419" s="30">
        <f>IF(OR(H419&lt;&gt;"Realizado",P419="",P419=0),"",A419+P419)</f>
        <v>46247.0</v>
      </c>
      <c r="R419" s="26" t="str">
        <f>IF(Q419="","",IF(COUNTIFS($E$5:$E$3004,E419,$A$5:$A$3004,"&gt;"&amp;A419,$H$5:$H$3004,"&lt;&gt;Falta",$H$5:$H$3004,"&lt;&gt;Cancelado",$H$5:$H$3004,"&lt;&gt;Remarcado")&gt;0,"Sim","Não"))</f>
        <v>Sim</v>
      </c>
      <c r="S419" s="32">
        <f>IF(R419&lt;&gt;"Não","",IF(Q419+Config!$B$9&lt;=Config!$B$8,Config!$B$8-Q419,""))</f>
        <v/>
      </c>
      <c r="T419" s="26">
        <f>IF(S419="","","Sim")</f>
        <v/>
      </c>
      <c r="U419" s="41">
        <f>IF(T419="Sim",S419+ROW()/100000,0)</f>
        <v>0</v>
      </c>
      <c r="V419" s="41">
        <f>IF(AND(H419="Falta",L419=Config!$B$7,M419=Config!$B$5,COUNTIFS($E$5:E419,E419,$H$5:H419,"Falta",$L$5:L419,Config!$B$7,$M$5:M419,Config!$B$5)=1),COUNTIFS($E$5:$E$3004,E419,$H$5:$H$3004,"Falta",$L$5:$L$3004,Config!$B$7,$M$5:$M$3004,Config!$B$5)*1000-ROW()/100000,0)</f>
        <v>0</v>
      </c>
    </row>
    <row r="420">
      <c r="A420" s="39" t="n">
        <v>46217</v>
      </c>
      <c r="B420" s="40" t="n">
        <v>0.375</v>
      </c>
      <c r="C420" s="35" t="inlineStr">
        <is>
          <t>Dra. Carolina Mendes</t>
        </is>
      </c>
      <c r="D420" s="35" t="inlineStr">
        <is>
          <t>Sala 1</t>
        </is>
      </c>
      <c r="E420" s="34" t="inlineStr">
        <is>
          <t>Regina Macedo</t>
        </is>
      </c>
      <c r="F420" s="35" t="inlineStr">
        <is>
          <t>Particular</t>
        </is>
      </c>
      <c r="G420" s="35" t="inlineStr">
        <is>
          <t>Retorno</t>
        </is>
      </c>
      <c r="H420" s="35" t="inlineStr">
        <is>
          <t>Realizado</t>
        </is>
      </c>
      <c r="I420" s="35" t="inlineStr">
        <is>
          <t>Sem cobrança</t>
        </is>
      </c>
      <c r="J420" s="35" t="n"/>
      <c r="K420" s="34" t="n"/>
      <c r="L420" s="26">
        <f>IF(A420="","",MONTH(A420))</f>
        <v>7</v>
      </c>
      <c r="M420" s="26">
        <f>IF(A420="","",YEAR(A420))</f>
        <v>2026</v>
      </c>
      <c r="N420" s="26" t="str">
        <f>IF(A420="","",CHOOSE(WEEKDAY(A420,2),"Segunda","Terça","Quarta","Quinta","Sexta","Sábado","Domingo"))</f>
        <v>Terça</v>
      </c>
      <c r="O420" s="26" t="str">
        <f>IF(B420="","",IF(B420&lt;TIME(12,0,0),"Manhã",IF(B420&lt;TIME(18,0,0),"Tarde","Noite")))</f>
        <v>Manhã</v>
      </c>
      <c r="P420" s="32">
        <f>IF(G420="","",IFERROR(INDEX(Config!$I$5:$I$16,MATCH(G420,Config!$H$5:$H$16,0)),0))</f>
        <v>0</v>
      </c>
      <c r="Q420" s="30">
        <f>IF(OR(H420&lt;&gt;"Realizado",P420="",P420=0),"",A420+P420)</f>
        <v/>
      </c>
      <c r="R420" s="26">
        <f>IF(Q420="","",IF(COUNTIFS($E$5:$E$3004,E420,$A$5:$A$3004,"&gt;"&amp;A420,$H$5:$H$3004,"&lt;&gt;Falta",$H$5:$H$3004,"&lt;&gt;Cancelado",$H$5:$H$3004,"&lt;&gt;Remarcado")&gt;0,"Sim","Não"))</f>
        <v/>
      </c>
      <c r="S420" s="32">
        <f>IF(R420&lt;&gt;"Não","",IF(Q420+Config!$B$9&lt;=Config!$B$8,Config!$B$8-Q420,""))</f>
        <v/>
      </c>
      <c r="T420" s="26">
        <f>IF(S420="","","Sim")</f>
        <v/>
      </c>
      <c r="U420" s="41">
        <f>IF(T420="Sim",S420+ROW()/100000,0)</f>
        <v>0</v>
      </c>
      <c r="V420" s="41">
        <f>IF(AND(H420="Falta",L420=Config!$B$7,M420=Config!$B$5,COUNTIFS($E$5:E420,E420,$H$5:H420,"Falta",$L$5:L420,Config!$B$7,$M$5:M420,Config!$B$5)=1),COUNTIFS($E$5:$E$3004,E420,$H$5:$H$3004,"Falta",$L$5:$L$3004,Config!$B$7,$M$5:$M$3004,Config!$B$5)*1000-ROW()/100000,0)</f>
        <v>0</v>
      </c>
    </row>
    <row r="421">
      <c r="A421" s="39" t="n">
        <v>46217</v>
      </c>
      <c r="B421" s="40" t="n">
        <v>0.3888888888888889</v>
      </c>
      <c r="C421" s="35" t="inlineStr">
        <is>
          <t>Dra. Carolina Mendes</t>
        </is>
      </c>
      <c r="D421" s="35" t="inlineStr">
        <is>
          <t>Sala 1</t>
        </is>
      </c>
      <c r="E421" s="34" t="inlineStr">
        <is>
          <t>Priscila Carvalho</t>
        </is>
      </c>
      <c r="F421" s="35" t="inlineStr">
        <is>
          <t>Vida Care</t>
        </is>
      </c>
      <c r="G421" s="35" t="inlineStr">
        <is>
          <t>Consulta</t>
        </is>
      </c>
      <c r="H421" s="35" t="inlineStr">
        <is>
          <t>Realizado</t>
        </is>
      </c>
      <c r="I421" s="35" t="inlineStr">
        <is>
          <t>Convênio</t>
        </is>
      </c>
      <c r="J421" s="35" t="n"/>
      <c r="K421" s="34" t="n"/>
      <c r="L421" s="26">
        <f>IF(A421="","",MONTH(A421))</f>
        <v>7</v>
      </c>
      <c r="M421" s="26">
        <f>IF(A421="","",YEAR(A421))</f>
        <v>2026</v>
      </c>
      <c r="N421" s="26" t="str">
        <f>IF(A421="","",CHOOSE(WEEKDAY(A421,2),"Segunda","Terça","Quarta","Quinta","Sexta","Sábado","Domingo"))</f>
        <v>Terça</v>
      </c>
      <c r="O421" s="26" t="str">
        <f>IF(B421="","",IF(B421&lt;TIME(12,0,0),"Manhã",IF(B421&lt;TIME(18,0,0),"Tarde","Noite")))</f>
        <v>Manhã</v>
      </c>
      <c r="P421" s="32">
        <f>IF(G421="","",IFERROR(INDEX(Config!$I$5:$I$16,MATCH(G421,Config!$H$5:$H$16,0)),0))</f>
        <v>30</v>
      </c>
      <c r="Q421" s="30">
        <f>IF(OR(H421&lt;&gt;"Realizado",P421="",P421=0),"",A421+P421)</f>
        <v>46247.0</v>
      </c>
      <c r="R421" s="26" t="str">
        <f>IF(Q421="","",IF(COUNTIFS($E$5:$E$3004,E421,$A$5:$A$3004,"&gt;"&amp;A421,$H$5:$H$3004,"&lt;&gt;Falta",$H$5:$H$3004,"&lt;&gt;Cancelado",$H$5:$H$3004,"&lt;&gt;Remarcado")&gt;0,"Sim","Não"))</f>
        <v>Sim</v>
      </c>
      <c r="S421" s="32">
        <f>IF(R421&lt;&gt;"Não","",IF(Q421+Config!$B$9&lt;=Config!$B$8,Config!$B$8-Q421,""))</f>
        <v/>
      </c>
      <c r="T421" s="26">
        <f>IF(S421="","","Sim")</f>
        <v/>
      </c>
      <c r="U421" s="41">
        <f>IF(T421="Sim",S421+ROW()/100000,0)</f>
        <v>0</v>
      </c>
      <c r="V421" s="41">
        <f>IF(AND(H421="Falta",L421=Config!$B$7,M421=Config!$B$5,COUNTIFS($E$5:E421,E421,$H$5:H421,"Falta",$L$5:L421,Config!$B$7,$M$5:M421,Config!$B$5)=1),COUNTIFS($E$5:$E$3004,E421,$H$5:$H$3004,"Falta",$L$5:$L$3004,Config!$B$7,$M$5:$M$3004,Config!$B$5)*1000-ROW()/100000,0)</f>
        <v>0</v>
      </c>
    </row>
    <row r="422">
      <c r="A422" s="39" t="n">
        <v>46217</v>
      </c>
      <c r="B422" s="40" t="n">
        <v>0.4097222222222222</v>
      </c>
      <c r="C422" s="35" t="inlineStr">
        <is>
          <t>Dra. Carolina Mendes</t>
        </is>
      </c>
      <c r="D422" s="35" t="inlineStr">
        <is>
          <t>Sala 1</t>
        </is>
      </c>
      <c r="E422" s="34" t="inlineStr">
        <is>
          <t>Regina Teixeira</t>
        </is>
      </c>
      <c r="F422" s="35" t="inlineStr">
        <is>
          <t>Particular</t>
        </is>
      </c>
      <c r="G422" s="35" t="inlineStr">
        <is>
          <t>Consulta</t>
        </is>
      </c>
      <c r="H422" s="35" t="inlineStr">
        <is>
          <t>Realizado</t>
        </is>
      </c>
      <c r="I422" s="35" t="inlineStr">
        <is>
          <t>Pix</t>
        </is>
      </c>
      <c r="J422" s="35" t="n"/>
      <c r="K422" s="34" t="n"/>
      <c r="L422" s="26">
        <f>IF(A422="","",MONTH(A422))</f>
        <v>7</v>
      </c>
      <c r="M422" s="26">
        <f>IF(A422="","",YEAR(A422))</f>
        <v>2026</v>
      </c>
      <c r="N422" s="26" t="str">
        <f>IF(A422="","",CHOOSE(WEEKDAY(A422,2),"Segunda","Terça","Quarta","Quinta","Sexta","Sábado","Domingo"))</f>
        <v>Terça</v>
      </c>
      <c r="O422" s="26" t="str">
        <f>IF(B422="","",IF(B422&lt;TIME(12,0,0),"Manhã",IF(B422&lt;TIME(18,0,0),"Tarde","Noite")))</f>
        <v>Manhã</v>
      </c>
      <c r="P422" s="32">
        <f>IF(G422="","",IFERROR(INDEX(Config!$I$5:$I$16,MATCH(G422,Config!$H$5:$H$16,0)),0))</f>
        <v>30</v>
      </c>
      <c r="Q422" s="30">
        <f>IF(OR(H422&lt;&gt;"Realizado",P422="",P422=0),"",A422+P422)</f>
        <v>46247.0</v>
      </c>
      <c r="R422" s="26" t="str">
        <f>IF(Q422="","",IF(COUNTIFS($E$5:$E$3004,E422,$A$5:$A$3004,"&gt;"&amp;A422,$H$5:$H$3004,"&lt;&gt;Falta",$H$5:$H$3004,"&lt;&gt;Cancelado",$H$5:$H$3004,"&lt;&gt;Remarcado")&gt;0,"Sim","Não"))</f>
        <v>Sim</v>
      </c>
      <c r="S422" s="32">
        <f>IF(R422&lt;&gt;"Não","",IF(Q422+Config!$B$9&lt;=Config!$B$8,Config!$B$8-Q422,""))</f>
        <v/>
      </c>
      <c r="T422" s="26">
        <f>IF(S422="","","Sim")</f>
        <v/>
      </c>
      <c r="U422" s="41">
        <f>IF(T422="Sim",S422+ROW()/100000,0)</f>
        <v>0</v>
      </c>
      <c r="V422" s="41">
        <f>IF(AND(H422="Falta",L422=Config!$B$7,M422=Config!$B$5,COUNTIFS($E$5:E422,E422,$H$5:H422,"Falta",$L$5:L422,Config!$B$7,$M$5:M422,Config!$B$5)=1),COUNTIFS($E$5:$E$3004,E422,$H$5:$H$3004,"Falta",$L$5:$L$3004,Config!$B$7,$M$5:$M$3004,Config!$B$5)*1000-ROW()/100000,0)</f>
        <v>0</v>
      </c>
    </row>
    <row r="423">
      <c r="A423" s="39" t="n">
        <v>46217</v>
      </c>
      <c r="B423" s="40" t="n">
        <v>0.4513888888888889</v>
      </c>
      <c r="C423" s="35" t="inlineStr">
        <is>
          <t>Dra. Carolina Mendes</t>
        </is>
      </c>
      <c r="D423" s="35" t="inlineStr">
        <is>
          <t>Sala 1</t>
        </is>
      </c>
      <c r="E423" s="34" t="inlineStr">
        <is>
          <t>Camila Batista</t>
        </is>
      </c>
      <c r="F423" s="35" t="inlineStr">
        <is>
          <t>MediPlan</t>
        </is>
      </c>
      <c r="G423" s="35" t="inlineStr">
        <is>
          <t>Consulta</t>
        </is>
      </c>
      <c r="H423" s="35" t="inlineStr">
        <is>
          <t>Falta</t>
        </is>
      </c>
      <c r="I423" s="35" t="n"/>
      <c r="J423" s="35" t="n"/>
      <c r="K423" s="34" t="n"/>
      <c r="L423" s="26">
        <f>IF(A423="","",MONTH(A423))</f>
        <v>7</v>
      </c>
      <c r="M423" s="26">
        <f>IF(A423="","",YEAR(A423))</f>
        <v>2026</v>
      </c>
      <c r="N423" s="26" t="str">
        <f>IF(A423="","",CHOOSE(WEEKDAY(A423,2),"Segunda","Terça","Quarta","Quinta","Sexta","Sábado","Domingo"))</f>
        <v>Terça</v>
      </c>
      <c r="O423" s="26" t="str">
        <f>IF(B423="","",IF(B423&lt;TIME(12,0,0),"Manhã",IF(B423&lt;TIME(18,0,0),"Tarde","Noite")))</f>
        <v>Manhã</v>
      </c>
      <c r="P423" s="32">
        <f>IF(G423="","",IFERROR(INDEX(Config!$I$5:$I$16,MATCH(G423,Config!$H$5:$H$16,0)),0))</f>
        <v>30</v>
      </c>
      <c r="Q423" s="30">
        <f>IF(OR(H423&lt;&gt;"Realizado",P423="",P423=0),"",A423+P423)</f>
        <v/>
      </c>
      <c r="R423" s="26">
        <f>IF(Q423="","",IF(COUNTIFS($E$5:$E$3004,E423,$A$5:$A$3004,"&gt;"&amp;A423,$H$5:$H$3004,"&lt;&gt;Falta",$H$5:$H$3004,"&lt;&gt;Cancelado",$H$5:$H$3004,"&lt;&gt;Remarcado")&gt;0,"Sim","Não"))</f>
        <v/>
      </c>
      <c r="S423" s="32">
        <f>IF(R423&lt;&gt;"Não","",IF(Q423+Config!$B$9&lt;=Config!$B$8,Config!$B$8-Q423,""))</f>
        <v/>
      </c>
      <c r="T423" s="26">
        <f>IF(S423="","","Sim")</f>
        <v/>
      </c>
      <c r="U423" s="41">
        <f>IF(T423="Sim",S423+ROW()/100000,0)</f>
        <v>0</v>
      </c>
      <c r="V423" s="41">
        <f>IF(AND(H423="Falta",L423=Config!$B$7,M423=Config!$B$5,COUNTIFS($E$5:E423,E423,$H$5:H423,"Falta",$L$5:L423,Config!$B$7,$M$5:M423,Config!$B$5)=1),COUNTIFS($E$5:$E$3004,E423,$H$5:$H$3004,"Falta",$L$5:$L$3004,Config!$B$7,$M$5:$M$3004,Config!$B$5)*1000-ROW()/100000,0)</f>
        <v>0</v>
      </c>
    </row>
    <row r="424">
      <c r="A424" s="39" t="n">
        <v>46217</v>
      </c>
      <c r="B424" s="40" t="n">
        <v>0.4722222222222222</v>
      </c>
      <c r="C424" s="35" t="inlineStr">
        <is>
          <t>Dra. Carolina Mendes</t>
        </is>
      </c>
      <c r="D424" s="35" t="inlineStr">
        <is>
          <t>Sala 1</t>
        </is>
      </c>
      <c r="E424" s="34" t="inlineStr">
        <is>
          <t>Lucas Lopes</t>
        </is>
      </c>
      <c r="F424" s="35" t="inlineStr">
        <is>
          <t>Particular</t>
        </is>
      </c>
      <c r="G424" s="35" t="inlineStr">
        <is>
          <t>Consulta</t>
        </is>
      </c>
      <c r="H424" s="35" t="inlineStr">
        <is>
          <t>Realizado</t>
        </is>
      </c>
      <c r="I424" s="35" t="inlineStr">
        <is>
          <t>A prazo</t>
        </is>
      </c>
      <c r="J424" s="35" t="n"/>
      <c r="K424" s="34" t="n"/>
      <c r="L424" s="26">
        <f>IF(A424="","",MONTH(A424))</f>
        <v>7</v>
      </c>
      <c r="M424" s="26">
        <f>IF(A424="","",YEAR(A424))</f>
        <v>2026</v>
      </c>
      <c r="N424" s="26" t="str">
        <f>IF(A424="","",CHOOSE(WEEKDAY(A424,2),"Segunda","Terça","Quarta","Quinta","Sexta","Sábado","Domingo"))</f>
        <v>Terça</v>
      </c>
      <c r="O424" s="26" t="str">
        <f>IF(B424="","",IF(B424&lt;TIME(12,0,0),"Manhã",IF(B424&lt;TIME(18,0,0),"Tarde","Noite")))</f>
        <v>Manhã</v>
      </c>
      <c r="P424" s="32">
        <f>IF(G424="","",IFERROR(INDEX(Config!$I$5:$I$16,MATCH(G424,Config!$H$5:$H$16,0)),0))</f>
        <v>30</v>
      </c>
      <c r="Q424" s="30">
        <f>IF(OR(H424&lt;&gt;"Realizado",P424="",P424=0),"",A424+P424)</f>
        <v>46247.0</v>
      </c>
      <c r="R424" s="26" t="str">
        <f>IF(Q424="","",IF(COUNTIFS($E$5:$E$3004,E424,$A$5:$A$3004,"&gt;"&amp;A424,$H$5:$H$3004,"&lt;&gt;Falta",$H$5:$H$3004,"&lt;&gt;Cancelado",$H$5:$H$3004,"&lt;&gt;Remarcado")&gt;0,"Sim","Não"))</f>
        <v>Sim</v>
      </c>
      <c r="S424" s="32">
        <f>IF(R424&lt;&gt;"Não","",IF(Q424+Config!$B$9&lt;=Config!$B$8,Config!$B$8-Q424,""))</f>
        <v/>
      </c>
      <c r="T424" s="26">
        <f>IF(S424="","","Sim")</f>
        <v/>
      </c>
      <c r="U424" s="41">
        <f>IF(T424="Sim",S424+ROW()/100000,0)</f>
        <v>0</v>
      </c>
      <c r="V424" s="41">
        <f>IF(AND(H424="Falta",L424=Config!$B$7,M424=Config!$B$5,COUNTIFS($E$5:E424,E424,$H$5:H424,"Falta",$L$5:L424,Config!$B$7,$M$5:M424,Config!$B$5)=1),COUNTIFS($E$5:$E$3004,E424,$H$5:$H$3004,"Falta",$L$5:$L$3004,Config!$B$7,$M$5:$M$3004,Config!$B$5)*1000-ROW()/100000,0)</f>
        <v>0</v>
      </c>
    </row>
    <row r="425">
      <c r="A425" s="39" t="n">
        <v>46217</v>
      </c>
      <c r="B425" s="40" t="n">
        <v>0.5833333333333334</v>
      </c>
      <c r="C425" s="35" t="inlineStr">
        <is>
          <t>Dra. Renata Sousa</t>
        </is>
      </c>
      <c r="D425" s="35" t="inlineStr">
        <is>
          <t>Sala 1</t>
        </is>
      </c>
      <c r="E425" s="34" t="inlineStr">
        <is>
          <t>Eduardo Pereira</t>
        </is>
      </c>
      <c r="F425" s="35" t="inlineStr">
        <is>
          <t>Particular</t>
        </is>
      </c>
      <c r="G425" s="35" t="inlineStr">
        <is>
          <t>Retorno</t>
        </is>
      </c>
      <c r="H425" s="35" t="inlineStr">
        <is>
          <t>Realizado</t>
        </is>
      </c>
      <c r="I425" s="35" t="inlineStr">
        <is>
          <t>Sem cobrança</t>
        </is>
      </c>
      <c r="J425" s="35" t="n"/>
      <c r="K425" s="34" t="n"/>
      <c r="L425" s="26">
        <f>IF(A425="","",MONTH(A425))</f>
        <v>7</v>
      </c>
      <c r="M425" s="26">
        <f>IF(A425="","",YEAR(A425))</f>
        <v>2026</v>
      </c>
      <c r="N425" s="26" t="str">
        <f>IF(A425="","",CHOOSE(WEEKDAY(A425,2),"Segunda","Terça","Quarta","Quinta","Sexta","Sábado","Domingo"))</f>
        <v>Terça</v>
      </c>
      <c r="O425" s="26" t="str">
        <f>IF(B425="","",IF(B425&lt;TIME(12,0,0),"Manhã",IF(B425&lt;TIME(18,0,0),"Tarde","Noite")))</f>
        <v>Tarde</v>
      </c>
      <c r="P425" s="32">
        <f>IF(G425="","",IFERROR(INDEX(Config!$I$5:$I$16,MATCH(G425,Config!$H$5:$H$16,0)),0))</f>
        <v>0</v>
      </c>
      <c r="Q425" s="30">
        <f>IF(OR(H425&lt;&gt;"Realizado",P425="",P425=0),"",A425+P425)</f>
        <v/>
      </c>
      <c r="R425" s="26">
        <f>IF(Q425="","",IF(COUNTIFS($E$5:$E$3004,E425,$A$5:$A$3004,"&gt;"&amp;A425,$H$5:$H$3004,"&lt;&gt;Falta",$H$5:$H$3004,"&lt;&gt;Cancelado",$H$5:$H$3004,"&lt;&gt;Remarcado")&gt;0,"Sim","Não"))</f>
        <v/>
      </c>
      <c r="S425" s="32">
        <f>IF(R425&lt;&gt;"Não","",IF(Q425+Config!$B$9&lt;=Config!$B$8,Config!$B$8-Q425,""))</f>
        <v/>
      </c>
      <c r="T425" s="26">
        <f>IF(S425="","","Sim")</f>
        <v/>
      </c>
      <c r="U425" s="41">
        <f>IF(T425="Sim",S425+ROW()/100000,0)</f>
        <v>0</v>
      </c>
      <c r="V425" s="41">
        <f>IF(AND(H425="Falta",L425=Config!$B$7,M425=Config!$B$5,COUNTIFS($E$5:E425,E425,$H$5:H425,"Falta",$L$5:L425,Config!$B$7,$M$5:M425,Config!$B$5)=1),COUNTIFS($E$5:$E$3004,E425,$H$5:$H$3004,"Falta",$L$5:$L$3004,Config!$B$7,$M$5:$M$3004,Config!$B$5)*1000-ROW()/100000,0)</f>
        <v>0</v>
      </c>
    </row>
    <row r="426">
      <c r="A426" s="39" t="n">
        <v>46217</v>
      </c>
      <c r="B426" s="40" t="n">
        <v>0.5833333333333334</v>
      </c>
      <c r="C426" s="35" t="inlineStr">
        <is>
          <t>Dr. Paulo Andrade</t>
        </is>
      </c>
      <c r="D426" s="35" t="inlineStr">
        <is>
          <t>Sala 2</t>
        </is>
      </c>
      <c r="E426" s="34" t="inlineStr">
        <is>
          <t>Paulo Reis</t>
        </is>
      </c>
      <c r="F426" s="35" t="inlineStr">
        <is>
          <t>Particular</t>
        </is>
      </c>
      <c r="G426" s="35" t="inlineStr">
        <is>
          <t>Consulta</t>
        </is>
      </c>
      <c r="H426" s="35" t="inlineStr">
        <is>
          <t>Realizado</t>
        </is>
      </c>
      <c r="I426" s="35" t="inlineStr">
        <is>
          <t>A prazo</t>
        </is>
      </c>
      <c r="J426" s="35" t="n"/>
      <c r="K426" s="34" t="n"/>
      <c r="L426" s="26">
        <f>IF(A426="","",MONTH(A426))</f>
        <v>7</v>
      </c>
      <c r="M426" s="26">
        <f>IF(A426="","",YEAR(A426))</f>
        <v>2026</v>
      </c>
      <c r="N426" s="26" t="str">
        <f>IF(A426="","",CHOOSE(WEEKDAY(A426,2),"Segunda","Terça","Quarta","Quinta","Sexta","Sábado","Domingo"))</f>
        <v>Terça</v>
      </c>
      <c r="O426" s="26" t="str">
        <f>IF(B426="","",IF(B426&lt;TIME(12,0,0),"Manhã",IF(B426&lt;TIME(18,0,0),"Tarde","Noite")))</f>
        <v>Tarde</v>
      </c>
      <c r="P426" s="32">
        <f>IF(G426="","",IFERROR(INDEX(Config!$I$5:$I$16,MATCH(G426,Config!$H$5:$H$16,0)),0))</f>
        <v>30</v>
      </c>
      <c r="Q426" s="30">
        <f>IF(OR(H426&lt;&gt;"Realizado",P426="",P426=0),"",A426+P426)</f>
        <v>46247.0</v>
      </c>
      <c r="R426" s="26" t="str">
        <f>IF(Q426="","",IF(COUNTIFS($E$5:$E$3004,E426,$A$5:$A$3004,"&gt;"&amp;A426,$H$5:$H$3004,"&lt;&gt;Falta",$H$5:$H$3004,"&lt;&gt;Cancelado",$H$5:$H$3004,"&lt;&gt;Remarcado")&gt;0,"Sim","Não"))</f>
        <v>Sim</v>
      </c>
      <c r="S426" s="32">
        <f>IF(R426&lt;&gt;"Não","",IF(Q426+Config!$B$9&lt;=Config!$B$8,Config!$B$8-Q426,""))</f>
        <v/>
      </c>
      <c r="T426" s="26">
        <f>IF(S426="","","Sim")</f>
        <v/>
      </c>
      <c r="U426" s="41">
        <f>IF(T426="Sim",S426+ROW()/100000,0)</f>
        <v>0</v>
      </c>
      <c r="V426" s="41">
        <f>IF(AND(H426="Falta",L426=Config!$B$7,M426=Config!$B$5,COUNTIFS($E$5:E426,E426,$H$5:H426,"Falta",$L$5:L426,Config!$B$7,$M$5:M426,Config!$B$5)=1),COUNTIFS($E$5:$E$3004,E426,$H$5:$H$3004,"Falta",$L$5:$L$3004,Config!$B$7,$M$5:$M$3004,Config!$B$5)*1000-ROW()/100000,0)</f>
        <v>0</v>
      </c>
    </row>
    <row r="427">
      <c r="A427" s="39" t="n">
        <v>46217</v>
      </c>
      <c r="B427" s="40" t="n">
        <v>0.5972222222222222</v>
      </c>
      <c r="C427" s="35" t="inlineStr">
        <is>
          <t>Dra. Renata Sousa</t>
        </is>
      </c>
      <c r="D427" s="35" t="inlineStr">
        <is>
          <t>Sala 1</t>
        </is>
      </c>
      <c r="E427" s="34" t="inlineStr">
        <is>
          <t>Priscila Reis</t>
        </is>
      </c>
      <c r="F427" s="35" t="inlineStr">
        <is>
          <t>Particular</t>
        </is>
      </c>
      <c r="G427" s="35" t="inlineStr">
        <is>
          <t>Avaliação endócrina</t>
        </is>
      </c>
      <c r="H427" s="35" t="inlineStr">
        <is>
          <t>Realizado</t>
        </is>
      </c>
      <c r="I427" s="35" t="inlineStr">
        <is>
          <t>Pix</t>
        </is>
      </c>
      <c r="J427" s="35" t="n"/>
      <c r="K427" s="34" t="n"/>
      <c r="L427" s="26">
        <f>IF(A427="","",MONTH(A427))</f>
        <v>7</v>
      </c>
      <c r="M427" s="26">
        <f>IF(A427="","",YEAR(A427))</f>
        <v>2026</v>
      </c>
      <c r="N427" s="26" t="str">
        <f>IF(A427="","",CHOOSE(WEEKDAY(A427,2),"Segunda","Terça","Quarta","Quinta","Sexta","Sábado","Domingo"))</f>
        <v>Terça</v>
      </c>
      <c r="O427" s="26" t="str">
        <f>IF(B427="","",IF(B427&lt;TIME(12,0,0),"Manhã",IF(B427&lt;TIME(18,0,0),"Tarde","Noite")))</f>
        <v>Tarde</v>
      </c>
      <c r="P427" s="32">
        <f>IF(G427="","",IFERROR(INDEX(Config!$I$5:$I$16,MATCH(G427,Config!$H$5:$H$16,0)),0))</f>
        <v>45</v>
      </c>
      <c r="Q427" s="30">
        <f>IF(OR(H427&lt;&gt;"Realizado",P427="",P427=0),"",A427+P427)</f>
        <v>46262.0</v>
      </c>
      <c r="R427" s="26" t="str">
        <f>IF(Q427="","",IF(COUNTIFS($E$5:$E$3004,E427,$A$5:$A$3004,"&gt;"&amp;A427,$H$5:$H$3004,"&lt;&gt;Falta",$H$5:$H$3004,"&lt;&gt;Cancelado",$H$5:$H$3004,"&lt;&gt;Remarcado")&gt;0,"Sim","Não"))</f>
        <v>Sim</v>
      </c>
      <c r="S427" s="32">
        <f>IF(R427&lt;&gt;"Não","",IF(Q427+Config!$B$9&lt;=Config!$B$8,Config!$B$8-Q427,""))</f>
        <v/>
      </c>
      <c r="T427" s="26">
        <f>IF(S427="","","Sim")</f>
        <v/>
      </c>
      <c r="U427" s="41">
        <f>IF(T427="Sim",S427+ROW()/100000,0)</f>
        <v>0</v>
      </c>
      <c r="V427" s="41">
        <f>IF(AND(H427="Falta",L427=Config!$B$7,M427=Config!$B$5,COUNTIFS($E$5:E427,E427,$H$5:H427,"Falta",$L$5:L427,Config!$B$7,$M$5:M427,Config!$B$5)=1),COUNTIFS($E$5:$E$3004,E427,$H$5:$H$3004,"Falta",$L$5:$L$3004,Config!$B$7,$M$5:$M$3004,Config!$B$5)*1000-ROW()/100000,0)</f>
        <v>0</v>
      </c>
    </row>
    <row r="428">
      <c r="A428" s="39" t="n">
        <v>46217</v>
      </c>
      <c r="B428" s="40" t="n">
        <v>0.6041666666666666</v>
      </c>
      <c r="C428" s="35" t="inlineStr">
        <is>
          <t>Dr. Paulo Andrade</t>
        </is>
      </c>
      <c r="D428" s="35" t="inlineStr">
        <is>
          <t>Sala 2</t>
        </is>
      </c>
      <c r="E428" s="34" t="inlineStr">
        <is>
          <t>Priscila Rocha</t>
        </is>
      </c>
      <c r="F428" s="35" t="inlineStr">
        <is>
          <t>MediPlan</t>
        </is>
      </c>
      <c r="G428" s="35" t="inlineStr">
        <is>
          <t>Consulta</t>
        </is>
      </c>
      <c r="H428" s="35" t="inlineStr">
        <is>
          <t>Realizado</t>
        </is>
      </c>
      <c r="I428" s="35" t="inlineStr">
        <is>
          <t>Convênio</t>
        </is>
      </c>
      <c r="J428" s="35" t="n"/>
      <c r="K428" s="34" t="n"/>
      <c r="L428" s="26">
        <f>IF(A428="","",MONTH(A428))</f>
        <v>7</v>
      </c>
      <c r="M428" s="26">
        <f>IF(A428="","",YEAR(A428))</f>
        <v>2026</v>
      </c>
      <c r="N428" s="26" t="str">
        <f>IF(A428="","",CHOOSE(WEEKDAY(A428,2),"Segunda","Terça","Quarta","Quinta","Sexta","Sábado","Domingo"))</f>
        <v>Terça</v>
      </c>
      <c r="O428" s="26" t="str">
        <f>IF(B428="","",IF(B428&lt;TIME(12,0,0),"Manhã",IF(B428&lt;TIME(18,0,0),"Tarde","Noite")))</f>
        <v>Tarde</v>
      </c>
      <c r="P428" s="32">
        <f>IF(G428="","",IFERROR(INDEX(Config!$I$5:$I$16,MATCH(G428,Config!$H$5:$H$16,0)),0))</f>
        <v>30</v>
      </c>
      <c r="Q428" s="30">
        <f>IF(OR(H428&lt;&gt;"Realizado",P428="",P428=0),"",A428+P428)</f>
        <v>46247.0</v>
      </c>
      <c r="R428" s="26" t="str">
        <f>IF(Q428="","",IF(COUNTIFS($E$5:$E$3004,E428,$A$5:$A$3004,"&gt;"&amp;A428,$H$5:$H$3004,"&lt;&gt;Falta",$H$5:$H$3004,"&lt;&gt;Cancelado",$H$5:$H$3004,"&lt;&gt;Remarcado")&gt;0,"Sim","Não"))</f>
        <v>Sim</v>
      </c>
      <c r="S428" s="32">
        <f>IF(R428&lt;&gt;"Não","",IF(Q428+Config!$B$9&lt;=Config!$B$8,Config!$B$8-Q428,""))</f>
        <v/>
      </c>
      <c r="T428" s="26">
        <f>IF(S428="","","Sim")</f>
        <v/>
      </c>
      <c r="U428" s="41">
        <f>IF(T428="Sim",S428+ROW()/100000,0)</f>
        <v>0</v>
      </c>
      <c r="V428" s="41">
        <f>IF(AND(H428="Falta",L428=Config!$B$7,M428=Config!$B$5,COUNTIFS($E$5:E428,E428,$H$5:H428,"Falta",$L$5:L428,Config!$B$7,$M$5:M428,Config!$B$5)=1),COUNTIFS($E$5:$E$3004,E428,$H$5:$H$3004,"Falta",$L$5:$L$3004,Config!$B$7,$M$5:$M$3004,Config!$B$5)*1000-ROW()/100000,0)</f>
        <v>0</v>
      </c>
    </row>
    <row r="429">
      <c r="A429" s="39" t="n">
        <v>46217</v>
      </c>
      <c r="B429" s="40" t="n">
        <v>0.625</v>
      </c>
      <c r="C429" s="35" t="inlineStr">
        <is>
          <t>Dra. Renata Sousa</t>
        </is>
      </c>
      <c r="D429" s="35" t="inlineStr">
        <is>
          <t>Sala 1</t>
        </is>
      </c>
      <c r="E429" s="34" t="inlineStr">
        <is>
          <t>Cláudia Melo</t>
        </is>
      </c>
      <c r="F429" s="35" t="inlineStr">
        <is>
          <t>Particular</t>
        </is>
      </c>
      <c r="G429" s="35" t="inlineStr">
        <is>
          <t>Avaliação endócrina</t>
        </is>
      </c>
      <c r="H429" s="35" t="inlineStr">
        <is>
          <t>Realizado</t>
        </is>
      </c>
      <c r="I429" s="35" t="inlineStr">
        <is>
          <t>Cartão de crédito</t>
        </is>
      </c>
      <c r="J429" s="35" t="n"/>
      <c r="K429" s="34" t="n"/>
      <c r="L429" s="26">
        <f>IF(A429="","",MONTH(A429))</f>
        <v>7</v>
      </c>
      <c r="M429" s="26">
        <f>IF(A429="","",YEAR(A429))</f>
        <v>2026</v>
      </c>
      <c r="N429" s="26" t="str">
        <f>IF(A429="","",CHOOSE(WEEKDAY(A429,2),"Segunda","Terça","Quarta","Quinta","Sexta","Sábado","Domingo"))</f>
        <v>Terça</v>
      </c>
      <c r="O429" s="26" t="str">
        <f>IF(B429="","",IF(B429&lt;TIME(12,0,0),"Manhã",IF(B429&lt;TIME(18,0,0),"Tarde","Noite")))</f>
        <v>Tarde</v>
      </c>
      <c r="P429" s="32">
        <f>IF(G429="","",IFERROR(INDEX(Config!$I$5:$I$16,MATCH(G429,Config!$H$5:$H$16,0)),0))</f>
        <v>45</v>
      </c>
      <c r="Q429" s="30">
        <f>IF(OR(H429&lt;&gt;"Realizado",P429="",P429=0),"",A429+P429)</f>
        <v>46262.0</v>
      </c>
      <c r="R429" s="26" t="str">
        <f>IF(Q429="","",IF(COUNTIFS($E$5:$E$3004,E429,$A$5:$A$3004,"&gt;"&amp;A429,$H$5:$H$3004,"&lt;&gt;Falta",$H$5:$H$3004,"&lt;&gt;Cancelado",$H$5:$H$3004,"&lt;&gt;Remarcado")&gt;0,"Sim","Não"))</f>
        <v>Sim</v>
      </c>
      <c r="S429" s="32">
        <f>IF(R429&lt;&gt;"Não","",IF(Q429+Config!$B$9&lt;=Config!$B$8,Config!$B$8-Q429,""))</f>
        <v/>
      </c>
      <c r="T429" s="26">
        <f>IF(S429="","","Sim")</f>
        <v/>
      </c>
      <c r="U429" s="41">
        <f>IF(T429="Sim",S429+ROW()/100000,0)</f>
        <v>0</v>
      </c>
      <c r="V429" s="41">
        <f>IF(AND(H429="Falta",L429=Config!$B$7,M429=Config!$B$5,COUNTIFS($E$5:E429,E429,$H$5:H429,"Falta",$L$5:L429,Config!$B$7,$M$5:M429,Config!$B$5)=1),COUNTIFS($E$5:$E$3004,E429,$H$5:$H$3004,"Falta",$L$5:$L$3004,Config!$B$7,$M$5:$M$3004,Config!$B$5)*1000-ROW()/100000,0)</f>
        <v>0</v>
      </c>
    </row>
    <row r="430">
      <c r="A430" s="39" t="n">
        <v>46217</v>
      </c>
      <c r="B430" s="40" t="n">
        <v>0.625</v>
      </c>
      <c r="C430" s="35" t="inlineStr">
        <is>
          <t>Dr. Paulo Andrade</t>
        </is>
      </c>
      <c r="D430" s="35" t="inlineStr">
        <is>
          <t>Sala 2</t>
        </is>
      </c>
      <c r="E430" s="34" t="inlineStr">
        <is>
          <t>Rafael Dias</t>
        </is>
      </c>
      <c r="F430" s="35" t="inlineStr">
        <is>
          <t>Particular</t>
        </is>
      </c>
      <c r="G430" s="35" t="inlineStr">
        <is>
          <t>ECG</t>
        </is>
      </c>
      <c r="H430" s="35" t="inlineStr">
        <is>
          <t>Realizado</t>
        </is>
      </c>
      <c r="I430" s="35" t="inlineStr">
        <is>
          <t>Cartão de crédito</t>
        </is>
      </c>
      <c r="J430" s="35" t="n"/>
      <c r="K430" s="34" t="n"/>
      <c r="L430" s="26">
        <f>IF(A430="","",MONTH(A430))</f>
        <v>7</v>
      </c>
      <c r="M430" s="26">
        <f>IF(A430="","",YEAR(A430))</f>
        <v>2026</v>
      </c>
      <c r="N430" s="26" t="str">
        <f>IF(A430="","",CHOOSE(WEEKDAY(A430,2),"Segunda","Terça","Quarta","Quinta","Sexta","Sábado","Domingo"))</f>
        <v>Terça</v>
      </c>
      <c r="O430" s="26" t="str">
        <f>IF(B430="","",IF(B430&lt;TIME(12,0,0),"Manhã",IF(B430&lt;TIME(18,0,0),"Tarde","Noite")))</f>
        <v>Tarde</v>
      </c>
      <c r="P430" s="32">
        <f>IF(G430="","",IFERROR(INDEX(Config!$I$5:$I$16,MATCH(G430,Config!$H$5:$H$16,0)),0))</f>
        <v>0</v>
      </c>
      <c r="Q430" s="30">
        <f>IF(OR(H430&lt;&gt;"Realizado",P430="",P430=0),"",A430+P430)</f>
        <v/>
      </c>
      <c r="R430" s="26">
        <f>IF(Q430="","",IF(COUNTIFS($E$5:$E$3004,E430,$A$5:$A$3004,"&gt;"&amp;A430,$H$5:$H$3004,"&lt;&gt;Falta",$H$5:$H$3004,"&lt;&gt;Cancelado",$H$5:$H$3004,"&lt;&gt;Remarcado")&gt;0,"Sim","Não"))</f>
        <v/>
      </c>
      <c r="S430" s="32">
        <f>IF(R430&lt;&gt;"Não","",IF(Q430+Config!$B$9&lt;=Config!$B$8,Config!$B$8-Q430,""))</f>
        <v/>
      </c>
      <c r="T430" s="26">
        <f>IF(S430="","","Sim")</f>
        <v/>
      </c>
      <c r="U430" s="41">
        <f>IF(T430="Sim",S430+ROW()/100000,0)</f>
        <v>0</v>
      </c>
      <c r="V430" s="41">
        <f>IF(AND(H430="Falta",L430=Config!$B$7,M430=Config!$B$5,COUNTIFS($E$5:E430,E430,$H$5:H430,"Falta",$L$5:L430,Config!$B$7,$M$5:M430,Config!$B$5)=1),COUNTIFS($E$5:$E$3004,E430,$H$5:$H$3004,"Falta",$L$5:$L$3004,Config!$B$7,$M$5:$M$3004,Config!$B$5)*1000-ROW()/100000,0)</f>
        <v>0</v>
      </c>
    </row>
    <row r="431">
      <c r="A431" s="39" t="n">
        <v>46217</v>
      </c>
      <c r="B431" s="40" t="n">
        <v>0.6388888888888888</v>
      </c>
      <c r="C431" s="35" t="inlineStr">
        <is>
          <t>Dr. Paulo Andrade</t>
        </is>
      </c>
      <c r="D431" s="35" t="inlineStr">
        <is>
          <t>Sala 2</t>
        </is>
      </c>
      <c r="E431" s="34" t="inlineStr">
        <is>
          <t>Mônica Martins</t>
        </is>
      </c>
      <c r="F431" s="35" t="inlineStr">
        <is>
          <t>Particular</t>
        </is>
      </c>
      <c r="G431" s="35" t="inlineStr">
        <is>
          <t>ECG</t>
        </is>
      </c>
      <c r="H431" s="35" t="inlineStr">
        <is>
          <t>Realizado</t>
        </is>
      </c>
      <c r="I431" s="35" t="inlineStr">
        <is>
          <t>Pix</t>
        </is>
      </c>
      <c r="J431" s="35" t="n"/>
      <c r="K431" s="34" t="n"/>
      <c r="L431" s="26">
        <f>IF(A431="","",MONTH(A431))</f>
        <v>7</v>
      </c>
      <c r="M431" s="26">
        <f>IF(A431="","",YEAR(A431))</f>
        <v>2026</v>
      </c>
      <c r="N431" s="26" t="str">
        <f>IF(A431="","",CHOOSE(WEEKDAY(A431,2),"Segunda","Terça","Quarta","Quinta","Sexta","Sábado","Domingo"))</f>
        <v>Terça</v>
      </c>
      <c r="O431" s="26" t="str">
        <f>IF(B431="","",IF(B431&lt;TIME(12,0,0),"Manhã",IF(B431&lt;TIME(18,0,0),"Tarde","Noite")))</f>
        <v>Tarde</v>
      </c>
      <c r="P431" s="32">
        <f>IF(G431="","",IFERROR(INDEX(Config!$I$5:$I$16,MATCH(G431,Config!$H$5:$H$16,0)),0))</f>
        <v>0</v>
      </c>
      <c r="Q431" s="30">
        <f>IF(OR(H431&lt;&gt;"Realizado",P431="",P431=0),"",A431+P431)</f>
        <v/>
      </c>
      <c r="R431" s="26">
        <f>IF(Q431="","",IF(COUNTIFS($E$5:$E$3004,E431,$A$5:$A$3004,"&gt;"&amp;A431,$H$5:$H$3004,"&lt;&gt;Falta",$H$5:$H$3004,"&lt;&gt;Cancelado",$H$5:$H$3004,"&lt;&gt;Remarcado")&gt;0,"Sim","Não"))</f>
        <v/>
      </c>
      <c r="S431" s="32">
        <f>IF(R431&lt;&gt;"Não","",IF(Q431+Config!$B$9&lt;=Config!$B$8,Config!$B$8-Q431,""))</f>
        <v/>
      </c>
      <c r="T431" s="26">
        <f>IF(S431="","","Sim")</f>
        <v/>
      </c>
      <c r="U431" s="41">
        <f>IF(T431="Sim",S431+ROW()/100000,0)</f>
        <v>0</v>
      </c>
      <c r="V431" s="41">
        <f>IF(AND(H431="Falta",L431=Config!$B$7,M431=Config!$B$5,COUNTIFS($E$5:E431,E431,$H$5:H431,"Falta",$L$5:L431,Config!$B$7,$M$5:M431,Config!$B$5)=1),COUNTIFS($E$5:$E$3004,E431,$H$5:$H$3004,"Falta",$L$5:$L$3004,Config!$B$7,$M$5:$M$3004,Config!$B$5)*1000-ROW()/100000,0)</f>
        <v>0</v>
      </c>
    </row>
    <row r="432">
      <c r="A432" s="39" t="n">
        <v>46217</v>
      </c>
      <c r="B432" s="40" t="n">
        <v>0.6527777777777778</v>
      </c>
      <c r="C432" s="35" t="inlineStr">
        <is>
          <t>Dra. Renata Sousa</t>
        </is>
      </c>
      <c r="D432" s="35" t="inlineStr">
        <is>
          <t>Sala 1</t>
        </is>
      </c>
      <c r="E432" s="34" t="inlineStr">
        <is>
          <t>Patrícia Dias</t>
        </is>
      </c>
      <c r="F432" s="35" t="inlineStr">
        <is>
          <t>Particular</t>
        </is>
      </c>
      <c r="G432" s="35" t="inlineStr">
        <is>
          <t>Retorno</t>
        </is>
      </c>
      <c r="H432" s="35" t="inlineStr">
        <is>
          <t>Realizado</t>
        </is>
      </c>
      <c r="I432" s="35" t="inlineStr">
        <is>
          <t>Sem cobrança</t>
        </is>
      </c>
      <c r="J432" s="35" t="n"/>
      <c r="K432" s="34" t="n"/>
      <c r="L432" s="26">
        <f>IF(A432="","",MONTH(A432))</f>
        <v>7</v>
      </c>
      <c r="M432" s="26">
        <f>IF(A432="","",YEAR(A432))</f>
        <v>2026</v>
      </c>
      <c r="N432" s="26" t="str">
        <f>IF(A432="","",CHOOSE(WEEKDAY(A432,2),"Segunda","Terça","Quarta","Quinta","Sexta","Sábado","Domingo"))</f>
        <v>Terça</v>
      </c>
      <c r="O432" s="26" t="str">
        <f>IF(B432="","",IF(B432&lt;TIME(12,0,0),"Manhã",IF(B432&lt;TIME(18,0,0),"Tarde","Noite")))</f>
        <v>Tarde</v>
      </c>
      <c r="P432" s="32">
        <f>IF(G432="","",IFERROR(INDEX(Config!$I$5:$I$16,MATCH(G432,Config!$H$5:$H$16,0)),0))</f>
        <v>0</v>
      </c>
      <c r="Q432" s="30">
        <f>IF(OR(H432&lt;&gt;"Realizado",P432="",P432=0),"",A432+P432)</f>
        <v/>
      </c>
      <c r="R432" s="26">
        <f>IF(Q432="","",IF(COUNTIFS($E$5:$E$3004,E432,$A$5:$A$3004,"&gt;"&amp;A432,$H$5:$H$3004,"&lt;&gt;Falta",$H$5:$H$3004,"&lt;&gt;Cancelado",$H$5:$H$3004,"&lt;&gt;Remarcado")&gt;0,"Sim","Não"))</f>
        <v/>
      </c>
      <c r="S432" s="32">
        <f>IF(R432&lt;&gt;"Não","",IF(Q432+Config!$B$9&lt;=Config!$B$8,Config!$B$8-Q432,""))</f>
        <v/>
      </c>
      <c r="T432" s="26">
        <f>IF(S432="","","Sim")</f>
        <v/>
      </c>
      <c r="U432" s="41">
        <f>IF(T432="Sim",S432+ROW()/100000,0)</f>
        <v>0</v>
      </c>
      <c r="V432" s="41">
        <f>IF(AND(H432="Falta",L432=Config!$B$7,M432=Config!$B$5,COUNTIFS($E$5:E432,E432,$H$5:H432,"Falta",$L$5:L432,Config!$B$7,$M$5:M432,Config!$B$5)=1),COUNTIFS($E$5:$E$3004,E432,$H$5:$H$3004,"Falta",$L$5:$L$3004,Config!$B$7,$M$5:$M$3004,Config!$B$5)*1000-ROW()/100000,0)</f>
        <v>0</v>
      </c>
    </row>
    <row r="433">
      <c r="A433" s="39" t="n">
        <v>46217</v>
      </c>
      <c r="B433" s="40" t="n">
        <v>0.6527777777777778</v>
      </c>
      <c r="C433" s="35" t="inlineStr">
        <is>
          <t>Dr. Paulo Andrade</t>
        </is>
      </c>
      <c r="D433" s="35" t="inlineStr">
        <is>
          <t>Sala 2</t>
        </is>
      </c>
      <c r="E433" s="34" t="inlineStr">
        <is>
          <t>Marcelo Ferreira</t>
        </is>
      </c>
      <c r="F433" s="35" t="inlineStr">
        <is>
          <t>Particular</t>
        </is>
      </c>
      <c r="G433" s="35" t="inlineStr">
        <is>
          <t>Consulta</t>
        </is>
      </c>
      <c r="H433" s="35" t="inlineStr">
        <is>
          <t>Realizado</t>
        </is>
      </c>
      <c r="I433" s="35" t="inlineStr">
        <is>
          <t>Cartão de crédito</t>
        </is>
      </c>
      <c r="J433" s="35" t="n">
        <v>2</v>
      </c>
      <c r="K433" s="34" t="n"/>
      <c r="L433" s="26">
        <f>IF(A433="","",MONTH(A433))</f>
        <v>7</v>
      </c>
      <c r="M433" s="26">
        <f>IF(A433="","",YEAR(A433))</f>
        <v>2026</v>
      </c>
      <c r="N433" s="26" t="str">
        <f>IF(A433="","",CHOOSE(WEEKDAY(A433,2),"Segunda","Terça","Quarta","Quinta","Sexta","Sábado","Domingo"))</f>
        <v>Terça</v>
      </c>
      <c r="O433" s="26" t="str">
        <f>IF(B433="","",IF(B433&lt;TIME(12,0,0),"Manhã",IF(B433&lt;TIME(18,0,0),"Tarde","Noite")))</f>
        <v>Tarde</v>
      </c>
      <c r="P433" s="32">
        <f>IF(G433="","",IFERROR(INDEX(Config!$I$5:$I$16,MATCH(G433,Config!$H$5:$H$16,0)),0))</f>
        <v>30</v>
      </c>
      <c r="Q433" s="30">
        <f>IF(OR(H433&lt;&gt;"Realizado",P433="",P433=0),"",A433+P433)</f>
        <v>46247.0</v>
      </c>
      <c r="R433" s="26" t="str">
        <f>IF(Q433="","",IF(COUNTIFS($E$5:$E$3004,E433,$A$5:$A$3004,"&gt;"&amp;A433,$H$5:$H$3004,"&lt;&gt;Falta",$H$5:$H$3004,"&lt;&gt;Cancelado",$H$5:$H$3004,"&lt;&gt;Remarcado")&gt;0,"Sim","Não"))</f>
        <v>Sim</v>
      </c>
      <c r="S433" s="32">
        <f>IF(R433&lt;&gt;"Não","",IF(Q433+Config!$B$9&lt;=Config!$B$8,Config!$B$8-Q433,""))</f>
        <v/>
      </c>
      <c r="T433" s="26">
        <f>IF(S433="","","Sim")</f>
        <v/>
      </c>
      <c r="U433" s="41">
        <f>IF(T433="Sim",S433+ROW()/100000,0)</f>
        <v>0</v>
      </c>
      <c r="V433" s="41">
        <f>IF(AND(H433="Falta",L433=Config!$B$7,M433=Config!$B$5,COUNTIFS($E$5:E433,E433,$H$5:H433,"Falta",$L$5:L433,Config!$B$7,$M$5:M433,Config!$B$5)=1),COUNTIFS($E$5:$E$3004,E433,$H$5:$H$3004,"Falta",$L$5:$L$3004,Config!$B$7,$M$5:$M$3004,Config!$B$5)*1000-ROW()/100000,0)</f>
        <v>0</v>
      </c>
    </row>
    <row r="434">
      <c r="A434" s="39" t="n">
        <v>46217</v>
      </c>
      <c r="B434" s="40" t="n">
        <v>0.6666666666666666</v>
      </c>
      <c r="C434" s="35" t="inlineStr">
        <is>
          <t>Dra. Renata Sousa</t>
        </is>
      </c>
      <c r="D434" s="35" t="inlineStr">
        <is>
          <t>Sala 1</t>
        </is>
      </c>
      <c r="E434" s="34" t="inlineStr">
        <is>
          <t>Roberta Lima</t>
        </is>
      </c>
      <c r="F434" s="35" t="inlineStr">
        <is>
          <t>Particular</t>
        </is>
      </c>
      <c r="G434" s="35" t="inlineStr">
        <is>
          <t>Avaliação endócrina</t>
        </is>
      </c>
      <c r="H434" s="35" t="inlineStr">
        <is>
          <t>Realizado</t>
        </is>
      </c>
      <c r="I434" s="35" t="inlineStr">
        <is>
          <t>Cartão de crédito</t>
        </is>
      </c>
      <c r="J434" s="35" t="n"/>
      <c r="K434" s="34" t="n"/>
      <c r="L434" s="26">
        <f>IF(A434="","",MONTH(A434))</f>
        <v>7</v>
      </c>
      <c r="M434" s="26">
        <f>IF(A434="","",YEAR(A434))</f>
        <v>2026</v>
      </c>
      <c r="N434" s="26" t="str">
        <f>IF(A434="","",CHOOSE(WEEKDAY(A434,2),"Segunda","Terça","Quarta","Quinta","Sexta","Sábado","Domingo"))</f>
        <v>Terça</v>
      </c>
      <c r="O434" s="26" t="str">
        <f>IF(B434="","",IF(B434&lt;TIME(12,0,0),"Manhã",IF(B434&lt;TIME(18,0,0),"Tarde","Noite")))</f>
        <v>Tarde</v>
      </c>
      <c r="P434" s="32">
        <f>IF(G434="","",IFERROR(INDEX(Config!$I$5:$I$16,MATCH(G434,Config!$H$5:$H$16,0)),0))</f>
        <v>45</v>
      </c>
      <c r="Q434" s="30">
        <f>IF(OR(H434&lt;&gt;"Realizado",P434="",P434=0),"",A434+P434)</f>
        <v>46262.0</v>
      </c>
      <c r="R434" s="26" t="str">
        <f>IF(Q434="","",IF(COUNTIFS($E$5:$E$3004,E434,$A$5:$A$3004,"&gt;"&amp;A434,$H$5:$H$3004,"&lt;&gt;Falta",$H$5:$H$3004,"&lt;&gt;Cancelado",$H$5:$H$3004,"&lt;&gt;Remarcado")&gt;0,"Sim","Não"))</f>
        <v>Sim</v>
      </c>
      <c r="S434" s="32">
        <f>IF(R434&lt;&gt;"Não","",IF(Q434+Config!$B$9&lt;=Config!$B$8,Config!$B$8-Q434,""))</f>
        <v/>
      </c>
      <c r="T434" s="26">
        <f>IF(S434="","","Sim")</f>
        <v/>
      </c>
      <c r="U434" s="41">
        <f>IF(T434="Sim",S434+ROW()/100000,0)</f>
        <v>0</v>
      </c>
      <c r="V434" s="41">
        <f>IF(AND(H434="Falta",L434=Config!$B$7,M434=Config!$B$5,COUNTIFS($E$5:E434,E434,$H$5:H434,"Falta",$L$5:L434,Config!$B$7,$M$5:M434,Config!$B$5)=1),COUNTIFS($E$5:$E$3004,E434,$H$5:$H$3004,"Falta",$L$5:$L$3004,Config!$B$7,$M$5:$M$3004,Config!$B$5)*1000-ROW()/100000,0)</f>
        <v>0</v>
      </c>
    </row>
    <row r="435">
      <c r="A435" s="39" t="n">
        <v>46217</v>
      </c>
      <c r="B435" s="40" t="n">
        <v>0.6944444444444444</v>
      </c>
      <c r="C435" s="35" t="inlineStr">
        <is>
          <t>Dra. Renata Sousa</t>
        </is>
      </c>
      <c r="D435" s="35" t="inlineStr">
        <is>
          <t>Sala 1</t>
        </is>
      </c>
      <c r="E435" s="34" t="inlineStr">
        <is>
          <t>Thiago Melo</t>
        </is>
      </c>
      <c r="F435" s="35" t="inlineStr">
        <is>
          <t>Particular</t>
        </is>
      </c>
      <c r="G435" s="35" t="inlineStr">
        <is>
          <t>Avaliação endócrina</t>
        </is>
      </c>
      <c r="H435" s="35" t="inlineStr">
        <is>
          <t>Realizado</t>
        </is>
      </c>
      <c r="I435" s="35" t="inlineStr">
        <is>
          <t>Cartão de crédito</t>
        </is>
      </c>
      <c r="J435" s="35" t="n">
        <v>2</v>
      </c>
      <c r="K435" s="34" t="n"/>
      <c r="L435" s="26">
        <f>IF(A435="","",MONTH(A435))</f>
        <v>7</v>
      </c>
      <c r="M435" s="26">
        <f>IF(A435="","",YEAR(A435))</f>
        <v>2026</v>
      </c>
      <c r="N435" s="26" t="str">
        <f>IF(A435="","",CHOOSE(WEEKDAY(A435,2),"Segunda","Terça","Quarta","Quinta","Sexta","Sábado","Domingo"))</f>
        <v>Terça</v>
      </c>
      <c r="O435" s="26" t="str">
        <f>IF(B435="","",IF(B435&lt;TIME(12,0,0),"Manhã",IF(B435&lt;TIME(18,0,0),"Tarde","Noite")))</f>
        <v>Tarde</v>
      </c>
      <c r="P435" s="32">
        <f>IF(G435="","",IFERROR(INDEX(Config!$I$5:$I$16,MATCH(G435,Config!$H$5:$H$16,0)),0))</f>
        <v>45</v>
      </c>
      <c r="Q435" s="30">
        <f>IF(OR(H435&lt;&gt;"Realizado",P435="",P435=0),"",A435+P435)</f>
        <v>46262.0</v>
      </c>
      <c r="R435" s="26" t="str">
        <f>IF(Q435="","",IF(COUNTIFS($E$5:$E$3004,E435,$A$5:$A$3004,"&gt;"&amp;A435,$H$5:$H$3004,"&lt;&gt;Falta",$H$5:$H$3004,"&lt;&gt;Cancelado",$H$5:$H$3004,"&lt;&gt;Remarcado")&gt;0,"Sim","Não"))</f>
        <v>Sim</v>
      </c>
      <c r="S435" s="32">
        <f>IF(R435&lt;&gt;"Não","",IF(Q435+Config!$B$9&lt;=Config!$B$8,Config!$B$8-Q435,""))</f>
        <v/>
      </c>
      <c r="T435" s="26">
        <f>IF(S435="","","Sim")</f>
        <v/>
      </c>
      <c r="U435" s="41">
        <f>IF(T435="Sim",S435+ROW()/100000,0)</f>
        <v>0</v>
      </c>
      <c r="V435" s="41">
        <f>IF(AND(H435="Falta",L435=Config!$B$7,M435=Config!$B$5,COUNTIFS($E$5:E435,E435,$H$5:H435,"Falta",$L$5:L435,Config!$B$7,$M$5:M435,Config!$B$5)=1),COUNTIFS($E$5:$E$3004,E435,$H$5:$H$3004,"Falta",$L$5:$L$3004,Config!$B$7,$M$5:$M$3004,Config!$B$5)*1000-ROW()/100000,0)</f>
        <v>0</v>
      </c>
    </row>
    <row r="436">
      <c r="A436" s="39" t="n">
        <v>46217</v>
      </c>
      <c r="B436" s="40" t="n">
        <v>0.7152777777777778</v>
      </c>
      <c r="C436" s="35" t="inlineStr">
        <is>
          <t>Dr. Paulo Andrade</t>
        </is>
      </c>
      <c r="D436" s="35" t="inlineStr">
        <is>
          <t>Sala 2</t>
        </is>
      </c>
      <c r="E436" s="34" t="inlineStr">
        <is>
          <t>Rafael Barros</t>
        </is>
      </c>
      <c r="F436" s="35" t="inlineStr">
        <is>
          <t>Particular</t>
        </is>
      </c>
      <c r="G436" s="35" t="inlineStr">
        <is>
          <t>Consulta</t>
        </is>
      </c>
      <c r="H436" s="35" t="inlineStr">
        <is>
          <t>Realizado</t>
        </is>
      </c>
      <c r="I436" s="35" t="inlineStr">
        <is>
          <t>Pix</t>
        </is>
      </c>
      <c r="J436" s="35" t="n"/>
      <c r="K436" s="34" t="n"/>
      <c r="L436" s="26">
        <f>IF(A436="","",MONTH(A436))</f>
        <v>7</v>
      </c>
      <c r="M436" s="26">
        <f>IF(A436="","",YEAR(A436))</f>
        <v>2026</v>
      </c>
      <c r="N436" s="26" t="str">
        <f>IF(A436="","",CHOOSE(WEEKDAY(A436,2),"Segunda","Terça","Quarta","Quinta","Sexta","Sábado","Domingo"))</f>
        <v>Terça</v>
      </c>
      <c r="O436" s="26" t="str">
        <f>IF(B436="","",IF(B436&lt;TIME(12,0,0),"Manhã",IF(B436&lt;TIME(18,0,0),"Tarde","Noite")))</f>
        <v>Tarde</v>
      </c>
      <c r="P436" s="32">
        <f>IF(G436="","",IFERROR(INDEX(Config!$I$5:$I$16,MATCH(G436,Config!$H$5:$H$16,0)),0))</f>
        <v>30</v>
      </c>
      <c r="Q436" s="30">
        <f>IF(OR(H436&lt;&gt;"Realizado",P436="",P436=0),"",A436+P436)</f>
        <v>46247.0</v>
      </c>
      <c r="R436" s="26" t="str">
        <f>IF(Q436="","",IF(COUNTIFS($E$5:$E$3004,E436,$A$5:$A$3004,"&gt;"&amp;A436,$H$5:$H$3004,"&lt;&gt;Falta",$H$5:$H$3004,"&lt;&gt;Cancelado",$H$5:$H$3004,"&lt;&gt;Remarcado")&gt;0,"Sim","Não"))</f>
        <v>Sim</v>
      </c>
      <c r="S436" s="32">
        <f>IF(R436&lt;&gt;"Não","",IF(Q436+Config!$B$9&lt;=Config!$B$8,Config!$B$8-Q436,""))</f>
        <v/>
      </c>
      <c r="T436" s="26">
        <f>IF(S436="","","Sim")</f>
        <v/>
      </c>
      <c r="U436" s="41">
        <f>IF(T436="Sim",S436+ROW()/100000,0)</f>
        <v>0</v>
      </c>
      <c r="V436" s="41">
        <f>IF(AND(H436="Falta",L436=Config!$B$7,M436=Config!$B$5,COUNTIFS($E$5:E436,E436,$H$5:H436,"Falta",$L$5:L436,Config!$B$7,$M$5:M436,Config!$B$5)=1),COUNTIFS($E$5:$E$3004,E436,$H$5:$H$3004,"Falta",$L$5:$L$3004,Config!$B$7,$M$5:$M$3004,Config!$B$5)*1000-ROW()/100000,0)</f>
        <v>0</v>
      </c>
    </row>
    <row r="437">
      <c r="A437" s="39" t="n">
        <v>46217</v>
      </c>
      <c r="B437" s="40" t="n">
        <v>0.7222222222222222</v>
      </c>
      <c r="C437" s="35" t="inlineStr">
        <is>
          <t>Dra. Renata Sousa</t>
        </is>
      </c>
      <c r="D437" s="35" t="inlineStr">
        <is>
          <t>Sala 1</t>
        </is>
      </c>
      <c r="E437" s="34" t="inlineStr">
        <is>
          <t>Mariana Reis</t>
        </is>
      </c>
      <c r="F437" s="35" t="inlineStr">
        <is>
          <t>Particular</t>
        </is>
      </c>
      <c r="G437" s="35" t="inlineStr">
        <is>
          <t>Avaliação endócrina</t>
        </is>
      </c>
      <c r="H437" s="35" t="inlineStr">
        <is>
          <t>Realizado</t>
        </is>
      </c>
      <c r="I437" s="35" t="inlineStr">
        <is>
          <t>Cartão de crédito</t>
        </is>
      </c>
      <c r="J437" s="35" t="n">
        <v>2</v>
      </c>
      <c r="K437" s="34" t="n"/>
      <c r="L437" s="26">
        <f>IF(A437="","",MONTH(A437))</f>
        <v>7</v>
      </c>
      <c r="M437" s="26">
        <f>IF(A437="","",YEAR(A437))</f>
        <v>2026</v>
      </c>
      <c r="N437" s="26" t="str">
        <f>IF(A437="","",CHOOSE(WEEKDAY(A437,2),"Segunda","Terça","Quarta","Quinta","Sexta","Sábado","Domingo"))</f>
        <v>Terça</v>
      </c>
      <c r="O437" s="26" t="str">
        <f>IF(B437="","",IF(B437&lt;TIME(12,0,0),"Manhã",IF(B437&lt;TIME(18,0,0),"Tarde","Noite")))</f>
        <v>Tarde</v>
      </c>
      <c r="P437" s="32">
        <f>IF(G437="","",IFERROR(INDEX(Config!$I$5:$I$16,MATCH(G437,Config!$H$5:$H$16,0)),0))</f>
        <v>45</v>
      </c>
      <c r="Q437" s="30">
        <f>IF(OR(H437&lt;&gt;"Realizado",P437="",P437=0),"",A437+P437)</f>
        <v>46262.0</v>
      </c>
      <c r="R437" s="26" t="str">
        <f>IF(Q437="","",IF(COUNTIFS($E$5:$E$3004,E437,$A$5:$A$3004,"&gt;"&amp;A437,$H$5:$H$3004,"&lt;&gt;Falta",$H$5:$H$3004,"&lt;&gt;Cancelado",$H$5:$H$3004,"&lt;&gt;Remarcado")&gt;0,"Sim","Não"))</f>
        <v>Sim</v>
      </c>
      <c r="S437" s="32">
        <f>IF(R437&lt;&gt;"Não","",IF(Q437+Config!$B$9&lt;=Config!$B$8,Config!$B$8-Q437,""))</f>
        <v/>
      </c>
      <c r="T437" s="26">
        <f>IF(S437="","","Sim")</f>
        <v/>
      </c>
      <c r="U437" s="41">
        <f>IF(T437="Sim",S437+ROW()/100000,0)</f>
        <v>0</v>
      </c>
      <c r="V437" s="41">
        <f>IF(AND(H437="Falta",L437=Config!$B$7,M437=Config!$B$5,COUNTIFS($E$5:E437,E437,$H$5:H437,"Falta",$L$5:L437,Config!$B$7,$M$5:M437,Config!$B$5)=1),COUNTIFS($E$5:$E$3004,E437,$H$5:$H$3004,"Falta",$L$5:$L$3004,Config!$B$7,$M$5:$M$3004,Config!$B$5)*1000-ROW()/100000,0)</f>
        <v>0</v>
      </c>
    </row>
    <row r="438">
      <c r="A438" s="39" t="n">
        <v>46217</v>
      </c>
      <c r="B438" s="40" t="n">
        <v>0.7361111111111112</v>
      </c>
      <c r="C438" s="35" t="inlineStr">
        <is>
          <t>Dr. Paulo Andrade</t>
        </is>
      </c>
      <c r="D438" s="35" t="inlineStr">
        <is>
          <t>Sala 2</t>
        </is>
      </c>
      <c r="E438" s="34" t="inlineStr">
        <is>
          <t>Helena Moreira</t>
        </is>
      </c>
      <c r="F438" s="35" t="inlineStr">
        <is>
          <t>Particular</t>
        </is>
      </c>
      <c r="G438" s="35" t="inlineStr">
        <is>
          <t>MAPA</t>
        </is>
      </c>
      <c r="H438" s="35" t="inlineStr">
        <is>
          <t>Realizado</t>
        </is>
      </c>
      <c r="I438" s="35" t="inlineStr">
        <is>
          <t>Cartão de crédito</t>
        </is>
      </c>
      <c r="J438" s="35" t="n">
        <v>2</v>
      </c>
      <c r="K438" s="34" t="n"/>
      <c r="L438" s="26">
        <f>IF(A438="","",MONTH(A438))</f>
        <v>7</v>
      </c>
      <c r="M438" s="26">
        <f>IF(A438="","",YEAR(A438))</f>
        <v>2026</v>
      </c>
      <c r="N438" s="26" t="str">
        <f>IF(A438="","",CHOOSE(WEEKDAY(A438,2),"Segunda","Terça","Quarta","Quinta","Sexta","Sábado","Domingo"))</f>
        <v>Terça</v>
      </c>
      <c r="O438" s="26" t="str">
        <f>IF(B438="","",IF(B438&lt;TIME(12,0,0),"Manhã",IF(B438&lt;TIME(18,0,0),"Tarde","Noite")))</f>
        <v>Tarde</v>
      </c>
      <c r="P438" s="32">
        <f>IF(G438="","",IFERROR(INDEX(Config!$I$5:$I$16,MATCH(G438,Config!$H$5:$H$16,0)),0))</f>
        <v>0</v>
      </c>
      <c r="Q438" s="30">
        <f>IF(OR(H438&lt;&gt;"Realizado",P438="",P438=0),"",A438+P438)</f>
        <v/>
      </c>
      <c r="R438" s="26">
        <f>IF(Q438="","",IF(COUNTIFS($E$5:$E$3004,E438,$A$5:$A$3004,"&gt;"&amp;A438,$H$5:$H$3004,"&lt;&gt;Falta",$H$5:$H$3004,"&lt;&gt;Cancelado",$H$5:$H$3004,"&lt;&gt;Remarcado")&gt;0,"Sim","Não"))</f>
        <v/>
      </c>
      <c r="S438" s="32">
        <f>IF(R438&lt;&gt;"Não","",IF(Q438+Config!$B$9&lt;=Config!$B$8,Config!$B$8-Q438,""))</f>
        <v/>
      </c>
      <c r="T438" s="26">
        <f>IF(S438="","","Sim")</f>
        <v/>
      </c>
      <c r="U438" s="41">
        <f>IF(T438="Sim",S438+ROW()/100000,0)</f>
        <v>0</v>
      </c>
      <c r="V438" s="41">
        <f>IF(AND(H438="Falta",L438=Config!$B$7,M438=Config!$B$5,COUNTIFS($E$5:E438,E438,$H$5:H438,"Falta",$L$5:L438,Config!$B$7,$M$5:M438,Config!$B$5)=1),COUNTIFS($E$5:$E$3004,E438,$H$5:$H$3004,"Falta",$L$5:$L$3004,Config!$B$7,$M$5:$M$3004,Config!$B$5)*1000-ROW()/100000,0)</f>
        <v>0</v>
      </c>
    </row>
    <row r="439">
      <c r="A439" s="39" t="n">
        <v>46218</v>
      </c>
      <c r="B439" s="40" t="n">
        <v>0.5833333333333334</v>
      </c>
      <c r="C439" s="35" t="inlineStr">
        <is>
          <t>Dra. Carolina Mendes</t>
        </is>
      </c>
      <c r="D439" s="35" t="inlineStr">
        <is>
          <t>Sala 1</t>
        </is>
      </c>
      <c r="E439" s="34" t="inlineStr">
        <is>
          <t>Eduardo Nunes</t>
        </is>
      </c>
      <c r="F439" s="35" t="inlineStr">
        <is>
          <t>MediPlan</t>
        </is>
      </c>
      <c r="G439" s="35" t="inlineStr">
        <is>
          <t>Consulta</t>
        </is>
      </c>
      <c r="H439" s="35" t="inlineStr">
        <is>
          <t>Realizado</t>
        </is>
      </c>
      <c r="I439" s="35" t="inlineStr">
        <is>
          <t>Convênio</t>
        </is>
      </c>
      <c r="J439" s="35" t="n"/>
      <c r="K439" s="34" t="n"/>
      <c r="L439" s="26">
        <f>IF(A439="","",MONTH(A439))</f>
        <v>7</v>
      </c>
      <c r="M439" s="26">
        <f>IF(A439="","",YEAR(A439))</f>
        <v>2026</v>
      </c>
      <c r="N439" s="26" t="str">
        <f>IF(A439="","",CHOOSE(WEEKDAY(A439,2),"Segunda","Terça","Quarta","Quinta","Sexta","Sábado","Domingo"))</f>
        <v>Quarta</v>
      </c>
      <c r="O439" s="26" t="str">
        <f>IF(B439="","",IF(B439&lt;TIME(12,0,0),"Manhã",IF(B439&lt;TIME(18,0,0),"Tarde","Noite")))</f>
        <v>Tarde</v>
      </c>
      <c r="P439" s="32">
        <f>IF(G439="","",IFERROR(INDEX(Config!$I$5:$I$16,MATCH(G439,Config!$H$5:$H$16,0)),0))</f>
        <v>30</v>
      </c>
      <c r="Q439" s="30">
        <f>IF(OR(H439&lt;&gt;"Realizado",P439="",P439=0),"",A439+P439)</f>
        <v>46248.0</v>
      </c>
      <c r="R439" s="26" t="str">
        <f>IF(Q439="","",IF(COUNTIFS($E$5:$E$3004,E439,$A$5:$A$3004,"&gt;"&amp;A439,$H$5:$H$3004,"&lt;&gt;Falta",$H$5:$H$3004,"&lt;&gt;Cancelado",$H$5:$H$3004,"&lt;&gt;Remarcado")&gt;0,"Sim","Não"))</f>
        <v>Sim</v>
      </c>
      <c r="S439" s="32">
        <f>IF(R439&lt;&gt;"Não","",IF(Q439+Config!$B$9&lt;=Config!$B$8,Config!$B$8-Q439,""))</f>
        <v/>
      </c>
      <c r="T439" s="26">
        <f>IF(S439="","","Sim")</f>
        <v/>
      </c>
      <c r="U439" s="41">
        <f>IF(T439="Sim",S439+ROW()/100000,0)</f>
        <v>0</v>
      </c>
      <c r="V439" s="41">
        <f>IF(AND(H439="Falta",L439=Config!$B$7,M439=Config!$B$5,COUNTIFS($E$5:E439,E439,$H$5:H439,"Falta",$L$5:L439,Config!$B$7,$M$5:M439,Config!$B$5)=1),COUNTIFS($E$5:$E$3004,E439,$H$5:$H$3004,"Falta",$L$5:$L$3004,Config!$B$7,$M$5:$M$3004,Config!$B$5)*1000-ROW()/100000,0)</f>
        <v>0</v>
      </c>
    </row>
    <row r="440">
      <c r="A440" s="39" t="n">
        <v>46218</v>
      </c>
      <c r="B440" s="40" t="n">
        <v>0.6041666666666666</v>
      </c>
      <c r="C440" s="35" t="inlineStr">
        <is>
          <t>Dra. Carolina Mendes</t>
        </is>
      </c>
      <c r="D440" s="35" t="inlineStr">
        <is>
          <t>Sala 1</t>
        </is>
      </c>
      <c r="E440" s="34" t="inlineStr">
        <is>
          <t>Marcelo Santos</t>
        </is>
      </c>
      <c r="F440" s="35" t="inlineStr">
        <is>
          <t>Particular</t>
        </is>
      </c>
      <c r="G440" s="35" t="inlineStr">
        <is>
          <t>Consulta</t>
        </is>
      </c>
      <c r="H440" s="35" t="inlineStr">
        <is>
          <t>Realizado</t>
        </is>
      </c>
      <c r="I440" s="35" t="inlineStr">
        <is>
          <t>Cartão de crédito</t>
        </is>
      </c>
      <c r="J440" s="35" t="n"/>
      <c r="K440" s="34" t="n"/>
      <c r="L440" s="26">
        <f>IF(A440="","",MONTH(A440))</f>
        <v>7</v>
      </c>
      <c r="M440" s="26">
        <f>IF(A440="","",YEAR(A440))</f>
        <v>2026</v>
      </c>
      <c r="N440" s="26" t="str">
        <f>IF(A440="","",CHOOSE(WEEKDAY(A440,2),"Segunda","Terça","Quarta","Quinta","Sexta","Sábado","Domingo"))</f>
        <v>Quarta</v>
      </c>
      <c r="O440" s="26" t="str">
        <f>IF(B440="","",IF(B440&lt;TIME(12,0,0),"Manhã",IF(B440&lt;TIME(18,0,0),"Tarde","Noite")))</f>
        <v>Tarde</v>
      </c>
      <c r="P440" s="32">
        <f>IF(G440="","",IFERROR(INDEX(Config!$I$5:$I$16,MATCH(G440,Config!$H$5:$H$16,0)),0))</f>
        <v>30</v>
      </c>
      <c r="Q440" s="30">
        <f>IF(OR(H440&lt;&gt;"Realizado",P440="",P440=0),"",A440+P440)</f>
        <v>46248.0</v>
      </c>
      <c r="R440" s="26" t="str">
        <f>IF(Q440="","",IF(COUNTIFS($E$5:$E$3004,E440,$A$5:$A$3004,"&gt;"&amp;A440,$H$5:$H$3004,"&lt;&gt;Falta",$H$5:$H$3004,"&lt;&gt;Cancelado",$H$5:$H$3004,"&lt;&gt;Remarcado")&gt;0,"Sim","Não"))</f>
        <v>Sim</v>
      </c>
      <c r="S440" s="32">
        <f>IF(R440&lt;&gt;"Não","",IF(Q440+Config!$B$9&lt;=Config!$B$8,Config!$B$8-Q440,""))</f>
        <v/>
      </c>
      <c r="T440" s="26">
        <f>IF(S440="","","Sim")</f>
        <v/>
      </c>
      <c r="U440" s="41">
        <f>IF(T440="Sim",S440+ROW()/100000,0)</f>
        <v>0</v>
      </c>
      <c r="V440" s="41">
        <f>IF(AND(H440="Falta",L440=Config!$B$7,M440=Config!$B$5,COUNTIFS($E$5:E440,E440,$H$5:H440,"Falta",$L$5:L440,Config!$B$7,$M$5:M440,Config!$B$5)=1),COUNTIFS($E$5:$E$3004,E440,$H$5:$H$3004,"Falta",$L$5:$L$3004,Config!$B$7,$M$5:$M$3004,Config!$B$5)*1000-ROW()/100000,0)</f>
        <v>0</v>
      </c>
    </row>
    <row r="441">
      <c r="A441" s="39" t="n">
        <v>46218</v>
      </c>
      <c r="B441" s="40" t="n">
        <v>0.625</v>
      </c>
      <c r="C441" s="35" t="inlineStr">
        <is>
          <t>Dra. Carolina Mendes</t>
        </is>
      </c>
      <c r="D441" s="35" t="inlineStr">
        <is>
          <t>Sala 1</t>
        </is>
      </c>
      <c r="E441" s="34" t="inlineStr">
        <is>
          <t>Mariana Nascimento</t>
        </is>
      </c>
      <c r="F441" s="35" t="inlineStr">
        <is>
          <t>Particular</t>
        </is>
      </c>
      <c r="G441" s="35" t="inlineStr">
        <is>
          <t>Consulta</t>
        </is>
      </c>
      <c r="H441" s="35" t="inlineStr">
        <is>
          <t>Falta</t>
        </is>
      </c>
      <c r="I441" s="35" t="n"/>
      <c r="J441" s="35" t="n"/>
      <c r="K441" s="34" t="n"/>
      <c r="L441" s="26">
        <f>IF(A441="","",MONTH(A441))</f>
        <v>7</v>
      </c>
      <c r="M441" s="26">
        <f>IF(A441="","",YEAR(A441))</f>
        <v>2026</v>
      </c>
      <c r="N441" s="26" t="str">
        <f>IF(A441="","",CHOOSE(WEEKDAY(A441,2),"Segunda","Terça","Quarta","Quinta","Sexta","Sábado","Domingo"))</f>
        <v>Quarta</v>
      </c>
      <c r="O441" s="26" t="str">
        <f>IF(B441="","",IF(B441&lt;TIME(12,0,0),"Manhã",IF(B441&lt;TIME(18,0,0),"Tarde","Noite")))</f>
        <v>Tarde</v>
      </c>
      <c r="P441" s="32">
        <f>IF(G441="","",IFERROR(INDEX(Config!$I$5:$I$16,MATCH(G441,Config!$H$5:$H$16,0)),0))</f>
        <v>30</v>
      </c>
      <c r="Q441" s="30">
        <f>IF(OR(H441&lt;&gt;"Realizado",P441="",P441=0),"",A441+P441)</f>
        <v/>
      </c>
      <c r="R441" s="26">
        <f>IF(Q441="","",IF(COUNTIFS($E$5:$E$3004,E441,$A$5:$A$3004,"&gt;"&amp;A441,$H$5:$H$3004,"&lt;&gt;Falta",$H$5:$H$3004,"&lt;&gt;Cancelado",$H$5:$H$3004,"&lt;&gt;Remarcado")&gt;0,"Sim","Não"))</f>
        <v/>
      </c>
      <c r="S441" s="32">
        <f>IF(R441&lt;&gt;"Não","",IF(Q441+Config!$B$9&lt;=Config!$B$8,Config!$B$8-Q441,""))</f>
        <v/>
      </c>
      <c r="T441" s="26">
        <f>IF(S441="","","Sim")</f>
        <v/>
      </c>
      <c r="U441" s="41">
        <f>IF(T441="Sim",S441+ROW()/100000,0)</f>
        <v>0</v>
      </c>
      <c r="V441" s="41">
        <f>IF(AND(H441="Falta",L441=Config!$B$7,M441=Config!$B$5,COUNTIFS($E$5:E441,E441,$H$5:H441,"Falta",$L$5:L441,Config!$B$7,$M$5:M441,Config!$B$5)=1),COUNTIFS($E$5:$E$3004,E441,$H$5:$H$3004,"Falta",$L$5:$L$3004,Config!$B$7,$M$5:$M$3004,Config!$B$5)*1000-ROW()/100000,0)</f>
        <v>0</v>
      </c>
    </row>
    <row r="442">
      <c r="A442" s="39" t="n">
        <v>46218</v>
      </c>
      <c r="B442" s="40" t="n">
        <v>0.6458333333333334</v>
      </c>
      <c r="C442" s="35" t="inlineStr">
        <is>
          <t>Dra. Carolina Mendes</t>
        </is>
      </c>
      <c r="D442" s="35" t="inlineStr">
        <is>
          <t>Sala 1</t>
        </is>
      </c>
      <c r="E442" s="34" t="inlineStr">
        <is>
          <t>Tatiana Cunha</t>
        </is>
      </c>
      <c r="F442" s="35" t="inlineStr">
        <is>
          <t>Saúde Total</t>
        </is>
      </c>
      <c r="G442" s="35" t="inlineStr">
        <is>
          <t>Retorno</t>
        </is>
      </c>
      <c r="H442" s="35" t="inlineStr">
        <is>
          <t>Realizado</t>
        </is>
      </c>
      <c r="I442" s="35" t="inlineStr">
        <is>
          <t>Sem cobrança</t>
        </is>
      </c>
      <c r="J442" s="35" t="n"/>
      <c r="K442" s="34" t="n"/>
      <c r="L442" s="26">
        <f>IF(A442="","",MONTH(A442))</f>
        <v>7</v>
      </c>
      <c r="M442" s="26">
        <f>IF(A442="","",YEAR(A442))</f>
        <v>2026</v>
      </c>
      <c r="N442" s="26" t="str">
        <f>IF(A442="","",CHOOSE(WEEKDAY(A442,2),"Segunda","Terça","Quarta","Quinta","Sexta","Sábado","Domingo"))</f>
        <v>Quarta</v>
      </c>
      <c r="O442" s="26" t="str">
        <f>IF(B442="","",IF(B442&lt;TIME(12,0,0),"Manhã",IF(B442&lt;TIME(18,0,0),"Tarde","Noite")))</f>
        <v>Tarde</v>
      </c>
      <c r="P442" s="32">
        <f>IF(G442="","",IFERROR(INDEX(Config!$I$5:$I$16,MATCH(G442,Config!$H$5:$H$16,0)),0))</f>
        <v>0</v>
      </c>
      <c r="Q442" s="30">
        <f>IF(OR(H442&lt;&gt;"Realizado",P442="",P442=0),"",A442+P442)</f>
        <v/>
      </c>
      <c r="R442" s="26">
        <f>IF(Q442="","",IF(COUNTIFS($E$5:$E$3004,E442,$A$5:$A$3004,"&gt;"&amp;A442,$H$5:$H$3004,"&lt;&gt;Falta",$H$5:$H$3004,"&lt;&gt;Cancelado",$H$5:$H$3004,"&lt;&gt;Remarcado")&gt;0,"Sim","Não"))</f>
        <v/>
      </c>
      <c r="S442" s="32">
        <f>IF(R442&lt;&gt;"Não","",IF(Q442+Config!$B$9&lt;=Config!$B$8,Config!$B$8-Q442,""))</f>
        <v/>
      </c>
      <c r="T442" s="26">
        <f>IF(S442="","","Sim")</f>
        <v/>
      </c>
      <c r="U442" s="41">
        <f>IF(T442="Sim",S442+ROW()/100000,0)</f>
        <v>0</v>
      </c>
      <c r="V442" s="41">
        <f>IF(AND(H442="Falta",L442=Config!$B$7,M442=Config!$B$5,COUNTIFS($E$5:E442,E442,$H$5:H442,"Falta",$L$5:L442,Config!$B$7,$M$5:M442,Config!$B$5)=1),COUNTIFS($E$5:$E$3004,E442,$H$5:$H$3004,"Falta",$L$5:$L$3004,Config!$B$7,$M$5:$M$3004,Config!$B$5)*1000-ROW()/100000,0)</f>
        <v>0</v>
      </c>
    </row>
    <row r="443">
      <c r="A443" s="39" t="n">
        <v>46218</v>
      </c>
      <c r="B443" s="40" t="n">
        <v>0.6597222222222222</v>
      </c>
      <c r="C443" s="35" t="inlineStr">
        <is>
          <t>Dra. Carolina Mendes</t>
        </is>
      </c>
      <c r="D443" s="35" t="inlineStr">
        <is>
          <t>Sala 1</t>
        </is>
      </c>
      <c r="E443" s="34" t="inlineStr">
        <is>
          <t>Letícia Vieira</t>
        </is>
      </c>
      <c r="F443" s="35" t="inlineStr">
        <is>
          <t>Saúde Total</t>
        </is>
      </c>
      <c r="G443" s="35" t="inlineStr">
        <is>
          <t>Consulta</t>
        </is>
      </c>
      <c r="H443" s="35" t="inlineStr">
        <is>
          <t>Realizado</t>
        </is>
      </c>
      <c r="I443" s="35" t="inlineStr">
        <is>
          <t>Convênio</t>
        </is>
      </c>
      <c r="J443" s="35" t="n"/>
      <c r="K443" s="34" t="n"/>
      <c r="L443" s="26">
        <f>IF(A443="","",MONTH(A443))</f>
        <v>7</v>
      </c>
      <c r="M443" s="26">
        <f>IF(A443="","",YEAR(A443))</f>
        <v>2026</v>
      </c>
      <c r="N443" s="26" t="str">
        <f>IF(A443="","",CHOOSE(WEEKDAY(A443,2),"Segunda","Terça","Quarta","Quinta","Sexta","Sábado","Domingo"))</f>
        <v>Quarta</v>
      </c>
      <c r="O443" s="26" t="str">
        <f>IF(B443="","",IF(B443&lt;TIME(12,0,0),"Manhã",IF(B443&lt;TIME(18,0,0),"Tarde","Noite")))</f>
        <v>Tarde</v>
      </c>
      <c r="P443" s="32">
        <f>IF(G443="","",IFERROR(INDEX(Config!$I$5:$I$16,MATCH(G443,Config!$H$5:$H$16,0)),0))</f>
        <v>30</v>
      </c>
      <c r="Q443" s="30">
        <f>IF(OR(H443&lt;&gt;"Realizado",P443="",P443=0),"",A443+P443)</f>
        <v>46248.0</v>
      </c>
      <c r="R443" s="26" t="str">
        <f>IF(Q443="","",IF(COUNTIFS($E$5:$E$3004,E443,$A$5:$A$3004,"&gt;"&amp;A443,$H$5:$H$3004,"&lt;&gt;Falta",$H$5:$H$3004,"&lt;&gt;Cancelado",$H$5:$H$3004,"&lt;&gt;Remarcado")&gt;0,"Sim","Não"))</f>
        <v>Sim</v>
      </c>
      <c r="S443" s="32">
        <f>IF(R443&lt;&gt;"Não","",IF(Q443+Config!$B$9&lt;=Config!$B$8,Config!$B$8-Q443,""))</f>
        <v/>
      </c>
      <c r="T443" s="26">
        <f>IF(S443="","","Sim")</f>
        <v/>
      </c>
      <c r="U443" s="41">
        <f>IF(T443="Sim",S443+ROW()/100000,0)</f>
        <v>0</v>
      </c>
      <c r="V443" s="41">
        <f>IF(AND(H443="Falta",L443=Config!$B$7,M443=Config!$B$5,COUNTIFS($E$5:E443,E443,$H$5:H443,"Falta",$L$5:L443,Config!$B$7,$M$5:M443,Config!$B$5)=1),COUNTIFS($E$5:$E$3004,E443,$H$5:$H$3004,"Falta",$L$5:$L$3004,Config!$B$7,$M$5:$M$3004,Config!$B$5)*1000-ROW()/100000,0)</f>
        <v>0</v>
      </c>
    </row>
    <row r="444">
      <c r="A444" s="39" t="n">
        <v>46218</v>
      </c>
      <c r="B444" s="40" t="n">
        <v>0.6805555555555556</v>
      </c>
      <c r="C444" s="35" t="inlineStr">
        <is>
          <t>Dra. Carolina Mendes</t>
        </is>
      </c>
      <c r="D444" s="35" t="inlineStr">
        <is>
          <t>Sala 1</t>
        </is>
      </c>
      <c r="E444" s="34" t="inlineStr">
        <is>
          <t>Mônica Martins</t>
        </is>
      </c>
      <c r="F444" s="35" t="inlineStr">
        <is>
          <t>Particular</t>
        </is>
      </c>
      <c r="G444" s="35" t="inlineStr">
        <is>
          <t>Retorno</t>
        </is>
      </c>
      <c r="H444" s="35" t="inlineStr">
        <is>
          <t>Realizado</t>
        </is>
      </c>
      <c r="I444" s="35" t="inlineStr">
        <is>
          <t>Sem cobrança</t>
        </is>
      </c>
      <c r="J444" s="35" t="n"/>
      <c r="K444" s="34" t="n"/>
      <c r="L444" s="26">
        <f>IF(A444="","",MONTH(A444))</f>
        <v>7</v>
      </c>
      <c r="M444" s="26">
        <f>IF(A444="","",YEAR(A444))</f>
        <v>2026</v>
      </c>
      <c r="N444" s="26" t="str">
        <f>IF(A444="","",CHOOSE(WEEKDAY(A444,2),"Segunda","Terça","Quarta","Quinta","Sexta","Sábado","Domingo"))</f>
        <v>Quarta</v>
      </c>
      <c r="O444" s="26" t="str">
        <f>IF(B444="","",IF(B444&lt;TIME(12,0,0),"Manhã",IF(B444&lt;TIME(18,0,0),"Tarde","Noite")))</f>
        <v>Tarde</v>
      </c>
      <c r="P444" s="32">
        <f>IF(G444="","",IFERROR(INDEX(Config!$I$5:$I$16,MATCH(G444,Config!$H$5:$H$16,0)),0))</f>
        <v>0</v>
      </c>
      <c r="Q444" s="30">
        <f>IF(OR(H444&lt;&gt;"Realizado",P444="",P444=0),"",A444+P444)</f>
        <v/>
      </c>
      <c r="R444" s="26">
        <f>IF(Q444="","",IF(COUNTIFS($E$5:$E$3004,E444,$A$5:$A$3004,"&gt;"&amp;A444,$H$5:$H$3004,"&lt;&gt;Falta",$H$5:$H$3004,"&lt;&gt;Cancelado",$H$5:$H$3004,"&lt;&gt;Remarcado")&gt;0,"Sim","Não"))</f>
        <v/>
      </c>
      <c r="S444" s="32">
        <f>IF(R444&lt;&gt;"Não","",IF(Q444+Config!$B$9&lt;=Config!$B$8,Config!$B$8-Q444,""))</f>
        <v/>
      </c>
      <c r="T444" s="26">
        <f>IF(S444="","","Sim")</f>
        <v/>
      </c>
      <c r="U444" s="41">
        <f>IF(T444="Sim",S444+ROW()/100000,0)</f>
        <v>0</v>
      </c>
      <c r="V444" s="41">
        <f>IF(AND(H444="Falta",L444=Config!$B$7,M444=Config!$B$5,COUNTIFS($E$5:E444,E444,$H$5:H444,"Falta",$L$5:L444,Config!$B$7,$M$5:M444,Config!$B$5)=1),COUNTIFS($E$5:$E$3004,E444,$H$5:$H$3004,"Falta",$L$5:$L$3004,Config!$B$7,$M$5:$M$3004,Config!$B$5)*1000-ROW()/100000,0)</f>
        <v>0</v>
      </c>
    </row>
    <row r="445">
      <c r="A445" s="39" t="n">
        <v>46218</v>
      </c>
      <c r="B445" s="40" t="n">
        <v>0.6944444444444444</v>
      </c>
      <c r="C445" s="35" t="inlineStr">
        <is>
          <t>Dra. Carolina Mendes</t>
        </is>
      </c>
      <c r="D445" s="35" t="inlineStr">
        <is>
          <t>Sala 1</t>
        </is>
      </c>
      <c r="E445" s="34" t="inlineStr">
        <is>
          <t>Gustavo Ferreira</t>
        </is>
      </c>
      <c r="F445" s="35" t="inlineStr">
        <is>
          <t>Particular</t>
        </is>
      </c>
      <c r="G445" s="35" t="inlineStr">
        <is>
          <t>Consulta</t>
        </is>
      </c>
      <c r="H445" s="35" t="inlineStr">
        <is>
          <t>Realizado</t>
        </is>
      </c>
      <c r="I445" s="35" t="inlineStr">
        <is>
          <t>Cartão de débito</t>
        </is>
      </c>
      <c r="J445" s="35" t="n"/>
      <c r="K445" s="34" t="n"/>
      <c r="L445" s="26">
        <f>IF(A445="","",MONTH(A445))</f>
        <v>7</v>
      </c>
      <c r="M445" s="26">
        <f>IF(A445="","",YEAR(A445))</f>
        <v>2026</v>
      </c>
      <c r="N445" s="26" t="str">
        <f>IF(A445="","",CHOOSE(WEEKDAY(A445,2),"Segunda","Terça","Quarta","Quinta","Sexta","Sábado","Domingo"))</f>
        <v>Quarta</v>
      </c>
      <c r="O445" s="26" t="str">
        <f>IF(B445="","",IF(B445&lt;TIME(12,0,0),"Manhã",IF(B445&lt;TIME(18,0,0),"Tarde","Noite")))</f>
        <v>Tarde</v>
      </c>
      <c r="P445" s="32">
        <f>IF(G445="","",IFERROR(INDEX(Config!$I$5:$I$16,MATCH(G445,Config!$H$5:$H$16,0)),0))</f>
        <v>30</v>
      </c>
      <c r="Q445" s="30">
        <f>IF(OR(H445&lt;&gt;"Realizado",P445="",P445=0),"",A445+P445)</f>
        <v>46248.0</v>
      </c>
      <c r="R445" s="26" t="str">
        <f>IF(Q445="","",IF(COUNTIFS($E$5:$E$3004,E445,$A$5:$A$3004,"&gt;"&amp;A445,$H$5:$H$3004,"&lt;&gt;Falta",$H$5:$H$3004,"&lt;&gt;Cancelado",$H$5:$H$3004,"&lt;&gt;Remarcado")&gt;0,"Sim","Não"))</f>
        <v>Sim</v>
      </c>
      <c r="S445" s="32">
        <f>IF(R445&lt;&gt;"Não","",IF(Q445+Config!$B$9&lt;=Config!$B$8,Config!$B$8-Q445,""))</f>
        <v/>
      </c>
      <c r="T445" s="26">
        <f>IF(S445="","","Sim")</f>
        <v/>
      </c>
      <c r="U445" s="41">
        <f>IF(T445="Sim",S445+ROW()/100000,0)</f>
        <v>0</v>
      </c>
      <c r="V445" s="41">
        <f>IF(AND(H445="Falta",L445=Config!$B$7,M445=Config!$B$5,COUNTIFS($E$5:E445,E445,$H$5:H445,"Falta",$L$5:L445,Config!$B$7,$M$5:M445,Config!$B$5)=1),COUNTIFS($E$5:$E$3004,E445,$H$5:$H$3004,"Falta",$L$5:$L$3004,Config!$B$7,$M$5:$M$3004,Config!$B$5)*1000-ROW()/100000,0)</f>
        <v>0</v>
      </c>
    </row>
    <row r="446">
      <c r="A446" s="39" t="n">
        <v>46218</v>
      </c>
      <c r="B446" s="40" t="n">
        <v>0.7152777777777778</v>
      </c>
      <c r="C446" s="35" t="inlineStr">
        <is>
          <t>Dra. Carolina Mendes</t>
        </is>
      </c>
      <c r="D446" s="35" t="inlineStr">
        <is>
          <t>Sala 1</t>
        </is>
      </c>
      <c r="E446" s="34" t="inlineStr">
        <is>
          <t>Camila Batista</t>
        </is>
      </c>
      <c r="F446" s="35" t="inlineStr">
        <is>
          <t>MediPlan</t>
        </is>
      </c>
      <c r="G446" s="35" t="inlineStr">
        <is>
          <t>Retorno</t>
        </is>
      </c>
      <c r="H446" s="35" t="inlineStr">
        <is>
          <t>Realizado</t>
        </is>
      </c>
      <c r="I446" s="35" t="inlineStr">
        <is>
          <t>Sem cobrança</t>
        </is>
      </c>
      <c r="J446" s="35" t="n"/>
      <c r="K446" s="34" t="n"/>
      <c r="L446" s="26">
        <f>IF(A446="","",MONTH(A446))</f>
        <v>7</v>
      </c>
      <c r="M446" s="26">
        <f>IF(A446="","",YEAR(A446))</f>
        <v>2026</v>
      </c>
      <c r="N446" s="26" t="str">
        <f>IF(A446="","",CHOOSE(WEEKDAY(A446,2),"Segunda","Terça","Quarta","Quinta","Sexta","Sábado","Domingo"))</f>
        <v>Quarta</v>
      </c>
      <c r="O446" s="26" t="str">
        <f>IF(B446="","",IF(B446&lt;TIME(12,0,0),"Manhã",IF(B446&lt;TIME(18,0,0),"Tarde","Noite")))</f>
        <v>Tarde</v>
      </c>
      <c r="P446" s="32">
        <f>IF(G446="","",IFERROR(INDEX(Config!$I$5:$I$16,MATCH(G446,Config!$H$5:$H$16,0)),0))</f>
        <v>0</v>
      </c>
      <c r="Q446" s="30">
        <f>IF(OR(H446&lt;&gt;"Realizado",P446="",P446=0),"",A446+P446)</f>
        <v/>
      </c>
      <c r="R446" s="26">
        <f>IF(Q446="","",IF(COUNTIFS($E$5:$E$3004,E446,$A$5:$A$3004,"&gt;"&amp;A446,$H$5:$H$3004,"&lt;&gt;Falta",$H$5:$H$3004,"&lt;&gt;Cancelado",$H$5:$H$3004,"&lt;&gt;Remarcado")&gt;0,"Sim","Não"))</f>
        <v/>
      </c>
      <c r="S446" s="32">
        <f>IF(R446&lt;&gt;"Não","",IF(Q446+Config!$B$9&lt;=Config!$B$8,Config!$B$8-Q446,""))</f>
        <v/>
      </c>
      <c r="T446" s="26">
        <f>IF(S446="","","Sim")</f>
        <v/>
      </c>
      <c r="U446" s="41">
        <f>IF(T446="Sim",S446+ROW()/100000,0)</f>
        <v>0</v>
      </c>
      <c r="V446" s="41">
        <f>IF(AND(H446="Falta",L446=Config!$B$7,M446=Config!$B$5,COUNTIFS($E$5:E446,E446,$H$5:H446,"Falta",$L$5:L446,Config!$B$7,$M$5:M446,Config!$B$5)=1),COUNTIFS($E$5:$E$3004,E446,$H$5:$H$3004,"Falta",$L$5:$L$3004,Config!$B$7,$M$5:$M$3004,Config!$B$5)*1000-ROW()/100000,0)</f>
        <v>0</v>
      </c>
    </row>
    <row r="447">
      <c r="A447" s="39" t="n">
        <v>46218</v>
      </c>
      <c r="B447" s="40" t="n">
        <v>0.7291666666666666</v>
      </c>
      <c r="C447" s="35" t="inlineStr">
        <is>
          <t>Dra. Carolina Mendes</t>
        </is>
      </c>
      <c r="D447" s="35" t="inlineStr">
        <is>
          <t>Sala 1</t>
        </is>
      </c>
      <c r="E447" s="34" t="inlineStr">
        <is>
          <t>Mariana Nascimento</t>
        </is>
      </c>
      <c r="F447" s="35" t="inlineStr">
        <is>
          <t>Particular</t>
        </is>
      </c>
      <c r="G447" s="35" t="inlineStr">
        <is>
          <t>Consulta</t>
        </is>
      </c>
      <c r="H447" s="35" t="inlineStr">
        <is>
          <t>Falta</t>
        </is>
      </c>
      <c r="I447" s="35" t="n"/>
      <c r="J447" s="35" t="n"/>
      <c r="K447" s="34" t="n"/>
      <c r="L447" s="26">
        <f>IF(A447="","",MONTH(A447))</f>
        <v>7</v>
      </c>
      <c r="M447" s="26">
        <f>IF(A447="","",YEAR(A447))</f>
        <v>2026</v>
      </c>
      <c r="N447" s="26" t="str">
        <f>IF(A447="","",CHOOSE(WEEKDAY(A447,2),"Segunda","Terça","Quarta","Quinta","Sexta","Sábado","Domingo"))</f>
        <v>Quarta</v>
      </c>
      <c r="O447" s="26" t="str">
        <f>IF(B447="","",IF(B447&lt;TIME(12,0,0),"Manhã",IF(B447&lt;TIME(18,0,0),"Tarde","Noite")))</f>
        <v>Tarde</v>
      </c>
      <c r="P447" s="32">
        <f>IF(G447="","",IFERROR(INDEX(Config!$I$5:$I$16,MATCH(G447,Config!$H$5:$H$16,0)),0))</f>
        <v>30</v>
      </c>
      <c r="Q447" s="30">
        <f>IF(OR(H447&lt;&gt;"Realizado",P447="",P447=0),"",A447+P447)</f>
        <v/>
      </c>
      <c r="R447" s="26">
        <f>IF(Q447="","",IF(COUNTIFS($E$5:$E$3004,E447,$A$5:$A$3004,"&gt;"&amp;A447,$H$5:$H$3004,"&lt;&gt;Falta",$H$5:$H$3004,"&lt;&gt;Cancelado",$H$5:$H$3004,"&lt;&gt;Remarcado")&gt;0,"Sim","Não"))</f>
        <v/>
      </c>
      <c r="S447" s="32">
        <f>IF(R447&lt;&gt;"Não","",IF(Q447+Config!$B$9&lt;=Config!$B$8,Config!$B$8-Q447,""))</f>
        <v/>
      </c>
      <c r="T447" s="26">
        <f>IF(S447="","","Sim")</f>
        <v/>
      </c>
      <c r="U447" s="41">
        <f>IF(T447="Sim",S447+ROW()/100000,0)</f>
        <v>0</v>
      </c>
      <c r="V447" s="41">
        <f>IF(AND(H447="Falta",L447=Config!$B$7,M447=Config!$B$5,COUNTIFS($E$5:E447,E447,$H$5:H447,"Falta",$L$5:L447,Config!$B$7,$M$5:M447,Config!$B$5)=1),COUNTIFS($E$5:$E$3004,E447,$H$5:$H$3004,"Falta",$L$5:$L$3004,Config!$B$7,$M$5:$M$3004,Config!$B$5)*1000-ROW()/100000,0)</f>
        <v>0</v>
      </c>
    </row>
    <row r="448">
      <c r="A448" s="39" t="n">
        <v>46219</v>
      </c>
      <c r="B448" s="40" t="n">
        <v>0.3333333333333333</v>
      </c>
      <c r="C448" s="35" t="inlineStr">
        <is>
          <t>Dra. Carolina Mendes</t>
        </is>
      </c>
      <c r="D448" s="35" t="inlineStr">
        <is>
          <t>Sala 1</t>
        </is>
      </c>
      <c r="E448" s="34" t="inlineStr">
        <is>
          <t>Mariana Nascimento</t>
        </is>
      </c>
      <c r="F448" s="35" t="inlineStr">
        <is>
          <t>Particular</t>
        </is>
      </c>
      <c r="G448" s="35" t="inlineStr">
        <is>
          <t>Retorno</t>
        </is>
      </c>
      <c r="H448" s="35" t="inlineStr">
        <is>
          <t>Realizado</t>
        </is>
      </c>
      <c r="I448" s="35" t="inlineStr">
        <is>
          <t>Sem cobrança</t>
        </is>
      </c>
      <c r="J448" s="35" t="n"/>
      <c r="K448" s="34" t="n"/>
      <c r="L448" s="26">
        <f>IF(A448="","",MONTH(A448))</f>
        <v>7</v>
      </c>
      <c r="M448" s="26">
        <f>IF(A448="","",YEAR(A448))</f>
        <v>2026</v>
      </c>
      <c r="N448" s="26" t="str">
        <f>IF(A448="","",CHOOSE(WEEKDAY(A448,2),"Segunda","Terça","Quarta","Quinta","Sexta","Sábado","Domingo"))</f>
        <v>Quinta</v>
      </c>
      <c r="O448" s="26" t="str">
        <f>IF(B448="","",IF(B448&lt;TIME(12,0,0),"Manhã",IF(B448&lt;TIME(18,0,0),"Tarde","Noite")))</f>
        <v>Manhã</v>
      </c>
      <c r="P448" s="32">
        <f>IF(G448="","",IFERROR(INDEX(Config!$I$5:$I$16,MATCH(G448,Config!$H$5:$H$16,0)),0))</f>
        <v>0</v>
      </c>
      <c r="Q448" s="30">
        <f>IF(OR(H448&lt;&gt;"Realizado",P448="",P448=0),"",A448+P448)</f>
        <v/>
      </c>
      <c r="R448" s="26">
        <f>IF(Q448="","",IF(COUNTIFS($E$5:$E$3004,E448,$A$5:$A$3004,"&gt;"&amp;A448,$H$5:$H$3004,"&lt;&gt;Falta",$H$5:$H$3004,"&lt;&gt;Cancelado",$H$5:$H$3004,"&lt;&gt;Remarcado")&gt;0,"Sim","Não"))</f>
        <v/>
      </c>
      <c r="S448" s="32">
        <f>IF(R448&lt;&gt;"Não","",IF(Q448+Config!$B$9&lt;=Config!$B$8,Config!$B$8-Q448,""))</f>
        <v/>
      </c>
      <c r="T448" s="26">
        <f>IF(S448="","","Sim")</f>
        <v/>
      </c>
      <c r="U448" s="41">
        <f>IF(T448="Sim",S448+ROW()/100000,0)</f>
        <v>0</v>
      </c>
      <c r="V448" s="41">
        <f>IF(AND(H448="Falta",L448=Config!$B$7,M448=Config!$B$5,COUNTIFS($E$5:E448,E448,$H$5:H448,"Falta",$L$5:L448,Config!$B$7,$M$5:M448,Config!$B$5)=1),COUNTIFS($E$5:$E$3004,E448,$H$5:$H$3004,"Falta",$L$5:$L$3004,Config!$B$7,$M$5:$M$3004,Config!$B$5)*1000-ROW()/100000,0)</f>
        <v>0</v>
      </c>
    </row>
    <row r="449">
      <c r="A449" s="39" t="n">
        <v>46219</v>
      </c>
      <c r="B449" s="40" t="n">
        <v>0.3472222222222222</v>
      </c>
      <c r="C449" s="35" t="inlineStr">
        <is>
          <t>Dra. Carolina Mendes</t>
        </is>
      </c>
      <c r="D449" s="35" t="inlineStr">
        <is>
          <t>Sala 1</t>
        </is>
      </c>
      <c r="E449" s="34" t="inlineStr">
        <is>
          <t>Mônica Batista</t>
        </is>
      </c>
      <c r="F449" s="35" t="inlineStr">
        <is>
          <t>MediPlan</t>
        </is>
      </c>
      <c r="G449" s="35" t="inlineStr">
        <is>
          <t>Retorno</t>
        </is>
      </c>
      <c r="H449" s="35" t="inlineStr">
        <is>
          <t>Realizado</t>
        </is>
      </c>
      <c r="I449" s="35" t="inlineStr">
        <is>
          <t>Sem cobrança</t>
        </is>
      </c>
      <c r="J449" s="35" t="n"/>
      <c r="K449" s="34" t="n"/>
      <c r="L449" s="26">
        <f>IF(A449="","",MONTH(A449))</f>
        <v>7</v>
      </c>
      <c r="M449" s="26">
        <f>IF(A449="","",YEAR(A449))</f>
        <v>2026</v>
      </c>
      <c r="N449" s="26" t="str">
        <f>IF(A449="","",CHOOSE(WEEKDAY(A449,2),"Segunda","Terça","Quarta","Quinta","Sexta","Sábado","Domingo"))</f>
        <v>Quinta</v>
      </c>
      <c r="O449" s="26" t="str">
        <f>IF(B449="","",IF(B449&lt;TIME(12,0,0),"Manhã",IF(B449&lt;TIME(18,0,0),"Tarde","Noite")))</f>
        <v>Manhã</v>
      </c>
      <c r="P449" s="32">
        <f>IF(G449="","",IFERROR(INDEX(Config!$I$5:$I$16,MATCH(G449,Config!$H$5:$H$16,0)),0))</f>
        <v>0</v>
      </c>
      <c r="Q449" s="30">
        <f>IF(OR(H449&lt;&gt;"Realizado",P449="",P449=0),"",A449+P449)</f>
        <v/>
      </c>
      <c r="R449" s="26">
        <f>IF(Q449="","",IF(COUNTIFS($E$5:$E$3004,E449,$A$5:$A$3004,"&gt;"&amp;A449,$H$5:$H$3004,"&lt;&gt;Falta",$H$5:$H$3004,"&lt;&gt;Cancelado",$H$5:$H$3004,"&lt;&gt;Remarcado")&gt;0,"Sim","Não"))</f>
        <v/>
      </c>
      <c r="S449" s="32">
        <f>IF(R449&lt;&gt;"Não","",IF(Q449+Config!$B$9&lt;=Config!$B$8,Config!$B$8-Q449,""))</f>
        <v/>
      </c>
      <c r="T449" s="26">
        <f>IF(S449="","","Sim")</f>
        <v/>
      </c>
      <c r="U449" s="41">
        <f>IF(T449="Sim",S449+ROW()/100000,0)</f>
        <v>0</v>
      </c>
      <c r="V449" s="41">
        <f>IF(AND(H449="Falta",L449=Config!$B$7,M449=Config!$B$5,COUNTIFS($E$5:E449,E449,$H$5:H449,"Falta",$L$5:L449,Config!$B$7,$M$5:M449,Config!$B$5)=1),COUNTIFS($E$5:$E$3004,E449,$H$5:$H$3004,"Falta",$L$5:$L$3004,Config!$B$7,$M$5:$M$3004,Config!$B$5)*1000-ROW()/100000,0)</f>
        <v>0</v>
      </c>
    </row>
    <row r="450">
      <c r="A450" s="39" t="n">
        <v>46219</v>
      </c>
      <c r="B450" s="40" t="n">
        <v>0.3611111111111111</v>
      </c>
      <c r="C450" s="35" t="inlineStr">
        <is>
          <t>Dra. Carolina Mendes</t>
        </is>
      </c>
      <c r="D450" s="35" t="inlineStr">
        <is>
          <t>Sala 1</t>
        </is>
      </c>
      <c r="E450" s="34" t="inlineStr">
        <is>
          <t>Regina Castro</t>
        </is>
      </c>
      <c r="F450" s="35" t="inlineStr">
        <is>
          <t>Vida Care</t>
        </is>
      </c>
      <c r="G450" s="35" t="inlineStr">
        <is>
          <t>Consulta</t>
        </is>
      </c>
      <c r="H450" s="35" t="inlineStr">
        <is>
          <t>Realizado</t>
        </is>
      </c>
      <c r="I450" s="35" t="inlineStr">
        <is>
          <t>Convênio</t>
        </is>
      </c>
      <c r="J450" s="35" t="n"/>
      <c r="K450" s="34" t="n"/>
      <c r="L450" s="26">
        <f>IF(A450="","",MONTH(A450))</f>
        <v>7</v>
      </c>
      <c r="M450" s="26">
        <f>IF(A450="","",YEAR(A450))</f>
        <v>2026</v>
      </c>
      <c r="N450" s="26" t="str">
        <f>IF(A450="","",CHOOSE(WEEKDAY(A450,2),"Segunda","Terça","Quarta","Quinta","Sexta","Sábado","Domingo"))</f>
        <v>Quinta</v>
      </c>
      <c r="O450" s="26" t="str">
        <f>IF(B450="","",IF(B450&lt;TIME(12,0,0),"Manhã",IF(B450&lt;TIME(18,0,0),"Tarde","Noite")))</f>
        <v>Manhã</v>
      </c>
      <c r="P450" s="32">
        <f>IF(G450="","",IFERROR(INDEX(Config!$I$5:$I$16,MATCH(G450,Config!$H$5:$H$16,0)),0))</f>
        <v>30</v>
      </c>
      <c r="Q450" s="30">
        <f>IF(OR(H450&lt;&gt;"Realizado",P450="",P450=0),"",A450+P450)</f>
        <v>46249.0</v>
      </c>
      <c r="R450" s="26" t="str">
        <f>IF(Q450="","",IF(COUNTIFS($E$5:$E$3004,E450,$A$5:$A$3004,"&gt;"&amp;A450,$H$5:$H$3004,"&lt;&gt;Falta",$H$5:$H$3004,"&lt;&gt;Cancelado",$H$5:$H$3004,"&lt;&gt;Remarcado")&gt;0,"Sim","Não"))</f>
        <v>Sim</v>
      </c>
      <c r="S450" s="32">
        <f>IF(R450&lt;&gt;"Não","",IF(Q450+Config!$B$9&lt;=Config!$B$8,Config!$B$8-Q450,""))</f>
        <v/>
      </c>
      <c r="T450" s="26">
        <f>IF(S450="","","Sim")</f>
        <v/>
      </c>
      <c r="U450" s="41">
        <f>IF(T450="Sim",S450+ROW()/100000,0)</f>
        <v>0</v>
      </c>
      <c r="V450" s="41">
        <f>IF(AND(H450="Falta",L450=Config!$B$7,M450=Config!$B$5,COUNTIFS($E$5:E450,E450,$H$5:H450,"Falta",$L$5:L450,Config!$B$7,$M$5:M450,Config!$B$5)=1),COUNTIFS($E$5:$E$3004,E450,$H$5:$H$3004,"Falta",$L$5:$L$3004,Config!$B$7,$M$5:$M$3004,Config!$B$5)*1000-ROW()/100000,0)</f>
        <v>0</v>
      </c>
    </row>
    <row r="451">
      <c r="A451" s="39" t="n">
        <v>46219</v>
      </c>
      <c r="B451" s="40" t="n">
        <v>0.3819444444444444</v>
      </c>
      <c r="C451" s="35" t="inlineStr">
        <is>
          <t>Dra. Carolina Mendes</t>
        </is>
      </c>
      <c r="D451" s="35" t="inlineStr">
        <is>
          <t>Sala 1</t>
        </is>
      </c>
      <c r="E451" s="34" t="inlineStr">
        <is>
          <t>Juliana Ribeiro</t>
        </is>
      </c>
      <c r="F451" s="35" t="inlineStr">
        <is>
          <t>Saúde Total</t>
        </is>
      </c>
      <c r="G451" s="35" t="inlineStr">
        <is>
          <t>Consulta</t>
        </is>
      </c>
      <c r="H451" s="35" t="inlineStr">
        <is>
          <t>Realizado</t>
        </is>
      </c>
      <c r="I451" s="35" t="inlineStr">
        <is>
          <t>Convênio</t>
        </is>
      </c>
      <c r="J451" s="35" t="n"/>
      <c r="K451" s="34" t="n"/>
      <c r="L451" s="26">
        <f>IF(A451="","",MONTH(A451))</f>
        <v>7</v>
      </c>
      <c r="M451" s="26">
        <f>IF(A451="","",YEAR(A451))</f>
        <v>2026</v>
      </c>
      <c r="N451" s="26" t="str">
        <f>IF(A451="","",CHOOSE(WEEKDAY(A451,2),"Segunda","Terça","Quarta","Quinta","Sexta","Sábado","Domingo"))</f>
        <v>Quinta</v>
      </c>
      <c r="O451" s="26" t="str">
        <f>IF(B451="","",IF(B451&lt;TIME(12,0,0),"Manhã",IF(B451&lt;TIME(18,0,0),"Tarde","Noite")))</f>
        <v>Manhã</v>
      </c>
      <c r="P451" s="32">
        <f>IF(G451="","",IFERROR(INDEX(Config!$I$5:$I$16,MATCH(G451,Config!$H$5:$H$16,0)),0))</f>
        <v>30</v>
      </c>
      <c r="Q451" s="30">
        <f>IF(OR(H451&lt;&gt;"Realizado",P451="",P451=0),"",A451+P451)</f>
        <v>46249.0</v>
      </c>
      <c r="R451" s="26" t="str">
        <f>IF(Q451="","",IF(COUNTIFS($E$5:$E$3004,E451,$A$5:$A$3004,"&gt;"&amp;A451,$H$5:$H$3004,"&lt;&gt;Falta",$H$5:$H$3004,"&lt;&gt;Cancelado",$H$5:$H$3004,"&lt;&gt;Remarcado")&gt;0,"Sim","Não"))</f>
        <v>Sim</v>
      </c>
      <c r="S451" s="32">
        <f>IF(R451&lt;&gt;"Não","",IF(Q451+Config!$B$9&lt;=Config!$B$8,Config!$B$8-Q451,""))</f>
        <v/>
      </c>
      <c r="T451" s="26">
        <f>IF(S451="","","Sim")</f>
        <v/>
      </c>
      <c r="U451" s="41">
        <f>IF(T451="Sim",S451+ROW()/100000,0)</f>
        <v>0</v>
      </c>
      <c r="V451" s="41">
        <f>IF(AND(H451="Falta",L451=Config!$B$7,M451=Config!$B$5,COUNTIFS($E$5:E451,E451,$H$5:H451,"Falta",$L$5:L451,Config!$B$7,$M$5:M451,Config!$B$5)=1),COUNTIFS($E$5:$E$3004,E451,$H$5:$H$3004,"Falta",$L$5:$L$3004,Config!$B$7,$M$5:$M$3004,Config!$B$5)*1000-ROW()/100000,0)</f>
        <v>0</v>
      </c>
    </row>
    <row r="452">
      <c r="A452" s="39" t="n">
        <v>46219</v>
      </c>
      <c r="B452" s="40" t="n">
        <v>0.4027777777777778</v>
      </c>
      <c r="C452" s="35" t="inlineStr">
        <is>
          <t>Dra. Carolina Mendes</t>
        </is>
      </c>
      <c r="D452" s="35" t="inlineStr">
        <is>
          <t>Sala 1</t>
        </is>
      </c>
      <c r="E452" s="34" t="inlineStr">
        <is>
          <t>Otávio Cardoso</t>
        </is>
      </c>
      <c r="F452" s="35" t="inlineStr">
        <is>
          <t>Particular</t>
        </is>
      </c>
      <c r="G452" s="35" t="inlineStr">
        <is>
          <t>Consulta</t>
        </is>
      </c>
      <c r="H452" s="35" t="inlineStr">
        <is>
          <t>Realizado</t>
        </is>
      </c>
      <c r="I452" s="35" t="inlineStr">
        <is>
          <t>Cartão de crédito</t>
        </is>
      </c>
      <c r="J452" s="35" t="n"/>
      <c r="K452" s="34" t="n"/>
      <c r="L452" s="26">
        <f>IF(A452="","",MONTH(A452))</f>
        <v>7</v>
      </c>
      <c r="M452" s="26">
        <f>IF(A452="","",YEAR(A452))</f>
        <v>2026</v>
      </c>
      <c r="N452" s="26" t="str">
        <f>IF(A452="","",CHOOSE(WEEKDAY(A452,2),"Segunda","Terça","Quarta","Quinta","Sexta","Sábado","Domingo"))</f>
        <v>Quinta</v>
      </c>
      <c r="O452" s="26" t="str">
        <f>IF(B452="","",IF(B452&lt;TIME(12,0,0),"Manhã",IF(B452&lt;TIME(18,0,0),"Tarde","Noite")))</f>
        <v>Manhã</v>
      </c>
      <c r="P452" s="32">
        <f>IF(G452="","",IFERROR(INDEX(Config!$I$5:$I$16,MATCH(G452,Config!$H$5:$H$16,0)),0))</f>
        <v>30</v>
      </c>
      <c r="Q452" s="30">
        <f>IF(OR(H452&lt;&gt;"Realizado",P452="",P452=0),"",A452+P452)</f>
        <v>46249.0</v>
      </c>
      <c r="R452" s="26" t="str">
        <f>IF(Q452="","",IF(COUNTIFS($E$5:$E$3004,E452,$A$5:$A$3004,"&gt;"&amp;A452,$H$5:$H$3004,"&lt;&gt;Falta",$H$5:$H$3004,"&lt;&gt;Cancelado",$H$5:$H$3004,"&lt;&gt;Remarcado")&gt;0,"Sim","Não"))</f>
        <v>Sim</v>
      </c>
      <c r="S452" s="32">
        <f>IF(R452&lt;&gt;"Não","",IF(Q452+Config!$B$9&lt;=Config!$B$8,Config!$B$8-Q452,""))</f>
        <v/>
      </c>
      <c r="T452" s="26">
        <f>IF(S452="","","Sim")</f>
        <v/>
      </c>
      <c r="U452" s="41">
        <f>IF(T452="Sim",S452+ROW()/100000,0)</f>
        <v>0</v>
      </c>
      <c r="V452" s="41">
        <f>IF(AND(H452="Falta",L452=Config!$B$7,M452=Config!$B$5,COUNTIFS($E$5:E452,E452,$H$5:H452,"Falta",$L$5:L452,Config!$B$7,$M$5:M452,Config!$B$5)=1),COUNTIFS($E$5:$E$3004,E452,$H$5:$H$3004,"Falta",$L$5:$L$3004,Config!$B$7,$M$5:$M$3004,Config!$B$5)*1000-ROW()/100000,0)</f>
        <v>0</v>
      </c>
    </row>
    <row r="453">
      <c r="A453" s="39" t="n">
        <v>46219</v>
      </c>
      <c r="B453" s="40" t="n">
        <v>0.4236111111111111</v>
      </c>
      <c r="C453" s="35" t="inlineStr">
        <is>
          <t>Dra. Carolina Mendes</t>
        </is>
      </c>
      <c r="D453" s="35" t="inlineStr">
        <is>
          <t>Sala 1</t>
        </is>
      </c>
      <c r="E453" s="34" t="inlineStr">
        <is>
          <t>Gisele Ribeiro</t>
        </is>
      </c>
      <c r="F453" s="35" t="inlineStr">
        <is>
          <t>Particular</t>
        </is>
      </c>
      <c r="G453" s="35" t="inlineStr">
        <is>
          <t>Consulta</t>
        </is>
      </c>
      <c r="H453" s="35" t="inlineStr">
        <is>
          <t>Realizado</t>
        </is>
      </c>
      <c r="I453" s="35" t="inlineStr">
        <is>
          <t>Cartão de débito</t>
        </is>
      </c>
      <c r="J453" s="35" t="n"/>
      <c r="K453" s="34" t="n"/>
      <c r="L453" s="26">
        <f>IF(A453="","",MONTH(A453))</f>
        <v>7</v>
      </c>
      <c r="M453" s="26">
        <f>IF(A453="","",YEAR(A453))</f>
        <v>2026</v>
      </c>
      <c r="N453" s="26" t="str">
        <f>IF(A453="","",CHOOSE(WEEKDAY(A453,2),"Segunda","Terça","Quarta","Quinta","Sexta","Sábado","Domingo"))</f>
        <v>Quinta</v>
      </c>
      <c r="O453" s="26" t="str">
        <f>IF(B453="","",IF(B453&lt;TIME(12,0,0),"Manhã",IF(B453&lt;TIME(18,0,0),"Tarde","Noite")))</f>
        <v>Manhã</v>
      </c>
      <c r="P453" s="32">
        <f>IF(G453="","",IFERROR(INDEX(Config!$I$5:$I$16,MATCH(G453,Config!$H$5:$H$16,0)),0))</f>
        <v>30</v>
      </c>
      <c r="Q453" s="30">
        <f>IF(OR(H453&lt;&gt;"Realizado",P453="",P453=0),"",A453+P453)</f>
        <v>46249.0</v>
      </c>
      <c r="R453" s="26" t="str">
        <f>IF(Q453="","",IF(COUNTIFS($E$5:$E$3004,E453,$A$5:$A$3004,"&gt;"&amp;A453,$H$5:$H$3004,"&lt;&gt;Falta",$H$5:$H$3004,"&lt;&gt;Cancelado",$H$5:$H$3004,"&lt;&gt;Remarcado")&gt;0,"Sim","Não"))</f>
        <v>Sim</v>
      </c>
      <c r="S453" s="32">
        <f>IF(R453&lt;&gt;"Não","",IF(Q453+Config!$B$9&lt;=Config!$B$8,Config!$B$8-Q453,""))</f>
        <v/>
      </c>
      <c r="T453" s="26">
        <f>IF(S453="","","Sim")</f>
        <v/>
      </c>
      <c r="U453" s="41">
        <f>IF(T453="Sim",S453+ROW()/100000,0)</f>
        <v>0</v>
      </c>
      <c r="V453" s="41">
        <f>IF(AND(H453="Falta",L453=Config!$B$7,M453=Config!$B$5,COUNTIFS($E$5:E453,E453,$H$5:H453,"Falta",$L$5:L453,Config!$B$7,$M$5:M453,Config!$B$5)=1),COUNTIFS($E$5:$E$3004,E453,$H$5:$H$3004,"Falta",$L$5:$L$3004,Config!$B$7,$M$5:$M$3004,Config!$B$5)*1000-ROW()/100000,0)</f>
        <v>0</v>
      </c>
    </row>
    <row r="454">
      <c r="A454" s="39" t="n">
        <v>46219</v>
      </c>
      <c r="B454" s="40" t="n">
        <v>0.4444444444444444</v>
      </c>
      <c r="C454" s="35" t="inlineStr">
        <is>
          <t>Dra. Carolina Mendes</t>
        </is>
      </c>
      <c r="D454" s="35" t="inlineStr">
        <is>
          <t>Sala 1</t>
        </is>
      </c>
      <c r="E454" s="34" t="inlineStr">
        <is>
          <t>Priscila Castro</t>
        </is>
      </c>
      <c r="F454" s="35" t="inlineStr">
        <is>
          <t>Saúde Total</t>
        </is>
      </c>
      <c r="G454" s="35" t="inlineStr">
        <is>
          <t>Consulta</t>
        </is>
      </c>
      <c r="H454" s="35" t="inlineStr">
        <is>
          <t>Realizado</t>
        </is>
      </c>
      <c r="I454" s="35" t="inlineStr">
        <is>
          <t>Convênio</t>
        </is>
      </c>
      <c r="J454" s="35" t="n"/>
      <c r="K454" s="34" t="n"/>
      <c r="L454" s="26">
        <f>IF(A454="","",MONTH(A454))</f>
        <v>7</v>
      </c>
      <c r="M454" s="26">
        <f>IF(A454="","",YEAR(A454))</f>
        <v>2026</v>
      </c>
      <c r="N454" s="26" t="str">
        <f>IF(A454="","",CHOOSE(WEEKDAY(A454,2),"Segunda","Terça","Quarta","Quinta","Sexta","Sábado","Domingo"))</f>
        <v>Quinta</v>
      </c>
      <c r="O454" s="26" t="str">
        <f>IF(B454="","",IF(B454&lt;TIME(12,0,0),"Manhã",IF(B454&lt;TIME(18,0,0),"Tarde","Noite")))</f>
        <v>Manhã</v>
      </c>
      <c r="P454" s="32">
        <f>IF(G454="","",IFERROR(INDEX(Config!$I$5:$I$16,MATCH(G454,Config!$H$5:$H$16,0)),0))</f>
        <v>30</v>
      </c>
      <c r="Q454" s="30">
        <f>IF(OR(H454&lt;&gt;"Realizado",P454="",P454=0),"",A454+P454)</f>
        <v>46249.0</v>
      </c>
      <c r="R454" s="26" t="str">
        <f>IF(Q454="","",IF(COUNTIFS($E$5:$E$3004,E454,$A$5:$A$3004,"&gt;"&amp;A454,$H$5:$H$3004,"&lt;&gt;Falta",$H$5:$H$3004,"&lt;&gt;Cancelado",$H$5:$H$3004,"&lt;&gt;Remarcado")&gt;0,"Sim","Não"))</f>
        <v>Sim</v>
      </c>
      <c r="S454" s="32">
        <f>IF(R454&lt;&gt;"Não","",IF(Q454+Config!$B$9&lt;=Config!$B$8,Config!$B$8-Q454,""))</f>
        <v/>
      </c>
      <c r="T454" s="26">
        <f>IF(S454="","","Sim")</f>
        <v/>
      </c>
      <c r="U454" s="41">
        <f>IF(T454="Sim",S454+ROW()/100000,0)</f>
        <v>0</v>
      </c>
      <c r="V454" s="41">
        <f>IF(AND(H454="Falta",L454=Config!$B$7,M454=Config!$B$5,COUNTIFS($E$5:E454,E454,$H$5:H454,"Falta",$L$5:L454,Config!$B$7,$M$5:M454,Config!$B$5)=1),COUNTIFS($E$5:$E$3004,E454,$H$5:$H$3004,"Falta",$L$5:$L$3004,Config!$B$7,$M$5:$M$3004,Config!$B$5)*1000-ROW()/100000,0)</f>
        <v>0</v>
      </c>
    </row>
    <row r="455">
      <c r="A455" s="39" t="n">
        <v>46219</v>
      </c>
      <c r="B455" s="40" t="n">
        <v>0.4652777777777778</v>
      </c>
      <c r="C455" s="35" t="inlineStr">
        <is>
          <t>Dra. Carolina Mendes</t>
        </is>
      </c>
      <c r="D455" s="35" t="inlineStr">
        <is>
          <t>Sala 1</t>
        </is>
      </c>
      <c r="E455" s="34" t="inlineStr">
        <is>
          <t>Wagner Santos</t>
        </is>
      </c>
      <c r="F455" s="35" t="inlineStr">
        <is>
          <t>Particular</t>
        </is>
      </c>
      <c r="G455" s="35" t="inlineStr">
        <is>
          <t>Consulta</t>
        </is>
      </c>
      <c r="H455" s="35" t="inlineStr">
        <is>
          <t>Realizado</t>
        </is>
      </c>
      <c r="I455" s="35" t="inlineStr">
        <is>
          <t>Pix</t>
        </is>
      </c>
      <c r="J455" s="35" t="n"/>
      <c r="K455" s="34" t="n"/>
      <c r="L455" s="26">
        <f>IF(A455="","",MONTH(A455))</f>
        <v>7</v>
      </c>
      <c r="M455" s="26">
        <f>IF(A455="","",YEAR(A455))</f>
        <v>2026</v>
      </c>
      <c r="N455" s="26" t="str">
        <f>IF(A455="","",CHOOSE(WEEKDAY(A455,2),"Segunda","Terça","Quarta","Quinta","Sexta","Sábado","Domingo"))</f>
        <v>Quinta</v>
      </c>
      <c r="O455" s="26" t="str">
        <f>IF(B455="","",IF(B455&lt;TIME(12,0,0),"Manhã",IF(B455&lt;TIME(18,0,0),"Tarde","Noite")))</f>
        <v>Manhã</v>
      </c>
      <c r="P455" s="32">
        <f>IF(G455="","",IFERROR(INDEX(Config!$I$5:$I$16,MATCH(G455,Config!$H$5:$H$16,0)),0))</f>
        <v>30</v>
      </c>
      <c r="Q455" s="30">
        <f>IF(OR(H455&lt;&gt;"Realizado",P455="",P455=0),"",A455+P455)</f>
        <v>46249.0</v>
      </c>
      <c r="R455" s="26" t="str">
        <f>IF(Q455="","",IF(COUNTIFS($E$5:$E$3004,E455,$A$5:$A$3004,"&gt;"&amp;A455,$H$5:$H$3004,"&lt;&gt;Falta",$H$5:$H$3004,"&lt;&gt;Cancelado",$H$5:$H$3004,"&lt;&gt;Remarcado")&gt;0,"Sim","Não"))</f>
        <v>Sim</v>
      </c>
      <c r="S455" s="32">
        <f>IF(R455&lt;&gt;"Não","",IF(Q455+Config!$B$9&lt;=Config!$B$8,Config!$B$8-Q455,""))</f>
        <v/>
      </c>
      <c r="T455" s="26">
        <f>IF(S455="","","Sim")</f>
        <v/>
      </c>
      <c r="U455" s="41">
        <f>IF(T455="Sim",S455+ROW()/100000,0)</f>
        <v>0</v>
      </c>
      <c r="V455" s="41">
        <f>IF(AND(H455="Falta",L455=Config!$B$7,M455=Config!$B$5,COUNTIFS($E$5:E455,E455,$H$5:H455,"Falta",$L$5:L455,Config!$B$7,$M$5:M455,Config!$B$5)=1),COUNTIFS($E$5:$E$3004,E455,$H$5:$H$3004,"Falta",$L$5:$L$3004,Config!$B$7,$M$5:$M$3004,Config!$B$5)*1000-ROW()/100000,0)</f>
        <v>0</v>
      </c>
    </row>
    <row r="456">
      <c r="A456" s="39" t="n">
        <v>46219</v>
      </c>
      <c r="B456" s="40" t="n">
        <v>0.4861111111111111</v>
      </c>
      <c r="C456" s="35" t="inlineStr">
        <is>
          <t>Dra. Carolina Mendes</t>
        </is>
      </c>
      <c r="D456" s="35" t="inlineStr">
        <is>
          <t>Sala 1</t>
        </is>
      </c>
      <c r="E456" s="34" t="inlineStr">
        <is>
          <t>Elaine Cardoso</t>
        </is>
      </c>
      <c r="F456" s="35" t="inlineStr">
        <is>
          <t>Particular</t>
        </is>
      </c>
      <c r="G456" s="35" t="inlineStr">
        <is>
          <t>Consulta</t>
        </is>
      </c>
      <c r="H456" s="35" t="inlineStr">
        <is>
          <t>Realizado</t>
        </is>
      </c>
      <c r="I456" s="35" t="inlineStr">
        <is>
          <t>Cartão de crédito</t>
        </is>
      </c>
      <c r="J456" s="35" t="n"/>
      <c r="K456" s="34" t="n"/>
      <c r="L456" s="26">
        <f>IF(A456="","",MONTH(A456))</f>
        <v>7</v>
      </c>
      <c r="M456" s="26">
        <f>IF(A456="","",YEAR(A456))</f>
        <v>2026</v>
      </c>
      <c r="N456" s="26" t="str">
        <f>IF(A456="","",CHOOSE(WEEKDAY(A456,2),"Segunda","Terça","Quarta","Quinta","Sexta","Sábado","Domingo"))</f>
        <v>Quinta</v>
      </c>
      <c r="O456" s="26" t="str">
        <f>IF(B456="","",IF(B456&lt;TIME(12,0,0),"Manhã",IF(B456&lt;TIME(18,0,0),"Tarde","Noite")))</f>
        <v>Manhã</v>
      </c>
      <c r="P456" s="32">
        <f>IF(G456="","",IFERROR(INDEX(Config!$I$5:$I$16,MATCH(G456,Config!$H$5:$H$16,0)),0))</f>
        <v>30</v>
      </c>
      <c r="Q456" s="30">
        <f>IF(OR(H456&lt;&gt;"Realizado",P456="",P456=0),"",A456+P456)</f>
        <v>46249.0</v>
      </c>
      <c r="R456" s="26" t="str">
        <f>IF(Q456="","",IF(COUNTIFS($E$5:$E$3004,E456,$A$5:$A$3004,"&gt;"&amp;A456,$H$5:$H$3004,"&lt;&gt;Falta",$H$5:$H$3004,"&lt;&gt;Cancelado",$H$5:$H$3004,"&lt;&gt;Remarcado")&gt;0,"Sim","Não"))</f>
        <v>Sim</v>
      </c>
      <c r="S456" s="32">
        <f>IF(R456&lt;&gt;"Não","",IF(Q456+Config!$B$9&lt;=Config!$B$8,Config!$B$8-Q456,""))</f>
        <v/>
      </c>
      <c r="T456" s="26">
        <f>IF(S456="","","Sim")</f>
        <v/>
      </c>
      <c r="U456" s="41">
        <f>IF(T456="Sim",S456+ROW()/100000,0)</f>
        <v>0</v>
      </c>
      <c r="V456" s="41">
        <f>IF(AND(H456="Falta",L456=Config!$B$7,M456=Config!$B$5,COUNTIFS($E$5:E456,E456,$H$5:H456,"Falta",$L$5:L456,Config!$B$7,$M$5:M456,Config!$B$5)=1),COUNTIFS($E$5:$E$3004,E456,$H$5:$H$3004,"Falta",$L$5:$L$3004,Config!$B$7,$M$5:$M$3004,Config!$B$5)*1000-ROW()/100000,0)</f>
        <v>0</v>
      </c>
    </row>
    <row r="457">
      <c r="A457" s="39" t="n">
        <v>46219</v>
      </c>
      <c r="B457" s="40" t="n">
        <v>0.6041666666666666</v>
      </c>
      <c r="C457" s="35" t="inlineStr">
        <is>
          <t>Dra. Renata Sousa</t>
        </is>
      </c>
      <c r="D457" s="35" t="inlineStr">
        <is>
          <t>Sala 1</t>
        </is>
      </c>
      <c r="E457" s="34" t="inlineStr">
        <is>
          <t>Fernanda Gonçalves</t>
        </is>
      </c>
      <c r="F457" s="35" t="inlineStr">
        <is>
          <t>Saúde Total</t>
        </is>
      </c>
      <c r="G457" s="35" t="inlineStr">
        <is>
          <t>Avaliação endócrina</t>
        </is>
      </c>
      <c r="H457" s="35" t="inlineStr">
        <is>
          <t>Realizado</t>
        </is>
      </c>
      <c r="I457" s="35" t="inlineStr">
        <is>
          <t>Convênio</t>
        </is>
      </c>
      <c r="J457" s="35" t="n"/>
      <c r="K457" s="34" t="n"/>
      <c r="L457" s="26">
        <f>IF(A457="","",MONTH(A457))</f>
        <v>7</v>
      </c>
      <c r="M457" s="26">
        <f>IF(A457="","",YEAR(A457))</f>
        <v>2026</v>
      </c>
      <c r="N457" s="26" t="str">
        <f>IF(A457="","",CHOOSE(WEEKDAY(A457,2),"Segunda","Terça","Quarta","Quinta","Sexta","Sábado","Domingo"))</f>
        <v>Quinta</v>
      </c>
      <c r="O457" s="26" t="str">
        <f>IF(B457="","",IF(B457&lt;TIME(12,0,0),"Manhã",IF(B457&lt;TIME(18,0,0),"Tarde","Noite")))</f>
        <v>Tarde</v>
      </c>
      <c r="P457" s="32">
        <f>IF(G457="","",IFERROR(INDEX(Config!$I$5:$I$16,MATCH(G457,Config!$H$5:$H$16,0)),0))</f>
        <v>45</v>
      </c>
      <c r="Q457" s="30">
        <f>IF(OR(H457&lt;&gt;"Realizado",P457="",P457=0),"",A457+P457)</f>
        <v>46264.0</v>
      </c>
      <c r="R457" s="26" t="str">
        <f>IF(Q457="","",IF(COUNTIFS($E$5:$E$3004,E457,$A$5:$A$3004,"&gt;"&amp;A457,$H$5:$H$3004,"&lt;&gt;Falta",$H$5:$H$3004,"&lt;&gt;Cancelado",$H$5:$H$3004,"&lt;&gt;Remarcado")&gt;0,"Sim","Não"))</f>
        <v>Sim</v>
      </c>
      <c r="S457" s="32">
        <f>IF(R457&lt;&gt;"Não","",IF(Q457+Config!$B$9&lt;=Config!$B$8,Config!$B$8-Q457,""))</f>
        <v/>
      </c>
      <c r="T457" s="26">
        <f>IF(S457="","","Sim")</f>
        <v/>
      </c>
      <c r="U457" s="41">
        <f>IF(T457="Sim",S457+ROW()/100000,0)</f>
        <v>0</v>
      </c>
      <c r="V457" s="41">
        <f>IF(AND(H457="Falta",L457=Config!$B$7,M457=Config!$B$5,COUNTIFS($E$5:E457,E457,$H$5:H457,"Falta",$L$5:L457,Config!$B$7,$M$5:M457,Config!$B$5)=1),COUNTIFS($E$5:$E$3004,E457,$H$5:$H$3004,"Falta",$L$5:$L$3004,Config!$B$7,$M$5:$M$3004,Config!$B$5)*1000-ROW()/100000,0)</f>
        <v>0</v>
      </c>
    </row>
    <row r="458">
      <c r="A458" s="39" t="n">
        <v>46219</v>
      </c>
      <c r="B458" s="40" t="n">
        <v>0.6041666666666666</v>
      </c>
      <c r="C458" s="35" t="inlineStr">
        <is>
          <t>Dr. Paulo Andrade</t>
        </is>
      </c>
      <c r="D458" s="35" t="inlineStr">
        <is>
          <t>Sala 2</t>
        </is>
      </c>
      <c r="E458" s="34" t="inlineStr">
        <is>
          <t>Sérgio Martins</t>
        </is>
      </c>
      <c r="F458" s="35" t="inlineStr">
        <is>
          <t>Particular</t>
        </is>
      </c>
      <c r="G458" s="35" t="inlineStr">
        <is>
          <t>ECG</t>
        </is>
      </c>
      <c r="H458" s="35" t="inlineStr">
        <is>
          <t>Realizado</t>
        </is>
      </c>
      <c r="I458" s="35" t="inlineStr">
        <is>
          <t>Cartão de débito</t>
        </is>
      </c>
      <c r="J458" s="35" t="n"/>
      <c r="K458" s="34" t="n"/>
      <c r="L458" s="26">
        <f>IF(A458="","",MONTH(A458))</f>
        <v>7</v>
      </c>
      <c r="M458" s="26">
        <f>IF(A458="","",YEAR(A458))</f>
        <v>2026</v>
      </c>
      <c r="N458" s="26" t="str">
        <f>IF(A458="","",CHOOSE(WEEKDAY(A458,2),"Segunda","Terça","Quarta","Quinta","Sexta","Sábado","Domingo"))</f>
        <v>Quinta</v>
      </c>
      <c r="O458" s="26" t="str">
        <f>IF(B458="","",IF(B458&lt;TIME(12,0,0),"Manhã",IF(B458&lt;TIME(18,0,0),"Tarde","Noite")))</f>
        <v>Tarde</v>
      </c>
      <c r="P458" s="32">
        <f>IF(G458="","",IFERROR(INDEX(Config!$I$5:$I$16,MATCH(G458,Config!$H$5:$H$16,0)),0))</f>
        <v>0</v>
      </c>
      <c r="Q458" s="30">
        <f>IF(OR(H458&lt;&gt;"Realizado",P458="",P458=0),"",A458+P458)</f>
        <v/>
      </c>
      <c r="R458" s="26">
        <f>IF(Q458="","",IF(COUNTIFS($E$5:$E$3004,E458,$A$5:$A$3004,"&gt;"&amp;A458,$H$5:$H$3004,"&lt;&gt;Falta",$H$5:$H$3004,"&lt;&gt;Cancelado",$H$5:$H$3004,"&lt;&gt;Remarcado")&gt;0,"Sim","Não"))</f>
        <v/>
      </c>
      <c r="S458" s="32">
        <f>IF(R458&lt;&gt;"Não","",IF(Q458+Config!$B$9&lt;=Config!$B$8,Config!$B$8-Q458,""))</f>
        <v/>
      </c>
      <c r="T458" s="26">
        <f>IF(S458="","","Sim")</f>
        <v/>
      </c>
      <c r="U458" s="41">
        <f>IF(T458="Sim",S458+ROW()/100000,0)</f>
        <v>0</v>
      </c>
      <c r="V458" s="41">
        <f>IF(AND(H458="Falta",L458=Config!$B$7,M458=Config!$B$5,COUNTIFS($E$5:E458,E458,$H$5:H458,"Falta",$L$5:L458,Config!$B$7,$M$5:M458,Config!$B$5)=1),COUNTIFS($E$5:$E$3004,E458,$H$5:$H$3004,"Falta",$L$5:$L$3004,Config!$B$7,$M$5:$M$3004,Config!$B$5)*1000-ROW()/100000,0)</f>
        <v>0</v>
      </c>
    </row>
    <row r="459">
      <c r="A459" s="39" t="n">
        <v>46219</v>
      </c>
      <c r="B459" s="40" t="n">
        <v>0.6180555555555556</v>
      </c>
      <c r="C459" s="35" t="inlineStr">
        <is>
          <t>Dr. Paulo Andrade</t>
        </is>
      </c>
      <c r="D459" s="35" t="inlineStr">
        <is>
          <t>Sala 2</t>
        </is>
      </c>
      <c r="E459" s="34" t="inlineStr">
        <is>
          <t>Rafael Araújo</t>
        </is>
      </c>
      <c r="F459" s="35" t="inlineStr">
        <is>
          <t>MediPlan</t>
        </is>
      </c>
      <c r="G459" s="35" t="inlineStr">
        <is>
          <t>Consulta</t>
        </is>
      </c>
      <c r="H459" s="35" t="inlineStr">
        <is>
          <t>Remarcado</t>
        </is>
      </c>
      <c r="I459" s="35" t="n"/>
      <c r="J459" s="35" t="n"/>
      <c r="K459" s="34" t="inlineStr">
        <is>
          <t>Paciente pediu outra data</t>
        </is>
      </c>
      <c r="L459" s="26">
        <f>IF(A459="","",MONTH(A459))</f>
        <v>7</v>
      </c>
      <c r="M459" s="26">
        <f>IF(A459="","",YEAR(A459))</f>
        <v>2026</v>
      </c>
      <c r="N459" s="26" t="str">
        <f>IF(A459="","",CHOOSE(WEEKDAY(A459,2),"Segunda","Terça","Quarta","Quinta","Sexta","Sábado","Domingo"))</f>
        <v>Quinta</v>
      </c>
      <c r="O459" s="26" t="str">
        <f>IF(B459="","",IF(B459&lt;TIME(12,0,0),"Manhã",IF(B459&lt;TIME(18,0,0),"Tarde","Noite")))</f>
        <v>Tarde</v>
      </c>
      <c r="P459" s="32">
        <f>IF(G459="","",IFERROR(INDEX(Config!$I$5:$I$16,MATCH(G459,Config!$H$5:$H$16,0)),0))</f>
        <v>30</v>
      </c>
      <c r="Q459" s="30">
        <f>IF(OR(H459&lt;&gt;"Realizado",P459="",P459=0),"",A459+P459)</f>
        <v/>
      </c>
      <c r="R459" s="26">
        <f>IF(Q459="","",IF(COUNTIFS($E$5:$E$3004,E459,$A$5:$A$3004,"&gt;"&amp;A459,$H$5:$H$3004,"&lt;&gt;Falta",$H$5:$H$3004,"&lt;&gt;Cancelado",$H$5:$H$3004,"&lt;&gt;Remarcado")&gt;0,"Sim","Não"))</f>
        <v/>
      </c>
      <c r="S459" s="32">
        <f>IF(R459&lt;&gt;"Não","",IF(Q459+Config!$B$9&lt;=Config!$B$8,Config!$B$8-Q459,""))</f>
        <v/>
      </c>
      <c r="T459" s="26">
        <f>IF(S459="","","Sim")</f>
        <v/>
      </c>
      <c r="U459" s="41">
        <f>IF(T459="Sim",S459+ROW()/100000,0)</f>
        <v>0</v>
      </c>
      <c r="V459" s="41">
        <f>IF(AND(H459="Falta",L459=Config!$B$7,M459=Config!$B$5,COUNTIFS($E$5:E459,E459,$H$5:H459,"Falta",$L$5:L459,Config!$B$7,$M$5:M459,Config!$B$5)=1),COUNTIFS($E$5:$E$3004,E459,$H$5:$H$3004,"Falta",$L$5:$L$3004,Config!$B$7,$M$5:$M$3004,Config!$B$5)*1000-ROW()/100000,0)</f>
        <v>0</v>
      </c>
    </row>
    <row r="460">
      <c r="A460" s="39" t="n">
        <v>46219</v>
      </c>
      <c r="B460" s="40" t="n">
        <v>0.6319444444444444</v>
      </c>
      <c r="C460" s="35" t="inlineStr">
        <is>
          <t>Dra. Renata Sousa</t>
        </is>
      </c>
      <c r="D460" s="35" t="inlineStr">
        <is>
          <t>Sala 1</t>
        </is>
      </c>
      <c r="E460" s="34" t="inlineStr">
        <is>
          <t>Daniel Moreira</t>
        </is>
      </c>
      <c r="F460" s="35" t="inlineStr">
        <is>
          <t>Saúde Total</t>
        </is>
      </c>
      <c r="G460" s="35" t="inlineStr">
        <is>
          <t>Avaliação endócrina</t>
        </is>
      </c>
      <c r="H460" s="35" t="inlineStr">
        <is>
          <t>Realizado</t>
        </is>
      </c>
      <c r="I460" s="35" t="inlineStr">
        <is>
          <t>Convênio</t>
        </is>
      </c>
      <c r="J460" s="35" t="n"/>
      <c r="K460" s="34" t="n"/>
      <c r="L460" s="26">
        <f>IF(A460="","",MONTH(A460))</f>
        <v>7</v>
      </c>
      <c r="M460" s="26">
        <f>IF(A460="","",YEAR(A460))</f>
        <v>2026</v>
      </c>
      <c r="N460" s="26" t="str">
        <f>IF(A460="","",CHOOSE(WEEKDAY(A460,2),"Segunda","Terça","Quarta","Quinta","Sexta","Sábado","Domingo"))</f>
        <v>Quinta</v>
      </c>
      <c r="O460" s="26" t="str">
        <f>IF(B460="","",IF(B460&lt;TIME(12,0,0),"Manhã",IF(B460&lt;TIME(18,0,0),"Tarde","Noite")))</f>
        <v>Tarde</v>
      </c>
      <c r="P460" s="32">
        <f>IF(G460="","",IFERROR(INDEX(Config!$I$5:$I$16,MATCH(G460,Config!$H$5:$H$16,0)),0))</f>
        <v>45</v>
      </c>
      <c r="Q460" s="30">
        <f>IF(OR(H460&lt;&gt;"Realizado",P460="",P460=0),"",A460+P460)</f>
        <v>46264.0</v>
      </c>
      <c r="R460" s="26" t="str">
        <f>IF(Q460="","",IF(COUNTIFS($E$5:$E$3004,E460,$A$5:$A$3004,"&gt;"&amp;A460,$H$5:$H$3004,"&lt;&gt;Falta",$H$5:$H$3004,"&lt;&gt;Cancelado",$H$5:$H$3004,"&lt;&gt;Remarcado")&gt;0,"Sim","Não"))</f>
        <v>Sim</v>
      </c>
      <c r="S460" s="32">
        <f>IF(R460&lt;&gt;"Não","",IF(Q460+Config!$B$9&lt;=Config!$B$8,Config!$B$8-Q460,""))</f>
        <v/>
      </c>
      <c r="T460" s="26">
        <f>IF(S460="","","Sim")</f>
        <v/>
      </c>
      <c r="U460" s="41">
        <f>IF(T460="Sim",S460+ROW()/100000,0)</f>
        <v>0</v>
      </c>
      <c r="V460" s="41">
        <f>IF(AND(H460="Falta",L460=Config!$B$7,M460=Config!$B$5,COUNTIFS($E$5:E460,E460,$H$5:H460,"Falta",$L$5:L460,Config!$B$7,$M$5:M460,Config!$B$5)=1),COUNTIFS($E$5:$E$3004,E460,$H$5:$H$3004,"Falta",$L$5:$L$3004,Config!$B$7,$M$5:$M$3004,Config!$B$5)*1000-ROW()/100000,0)</f>
        <v>0</v>
      </c>
    </row>
    <row r="461">
      <c r="A461" s="39" t="n">
        <v>46219</v>
      </c>
      <c r="B461" s="40" t="n">
        <v>0.6388888888888888</v>
      </c>
      <c r="C461" s="35" t="inlineStr">
        <is>
          <t>Dr. Paulo Andrade</t>
        </is>
      </c>
      <c r="D461" s="35" t="inlineStr">
        <is>
          <t>Sala 2</t>
        </is>
      </c>
      <c r="E461" s="34" t="inlineStr">
        <is>
          <t>Otávio Martins</t>
        </is>
      </c>
      <c r="F461" s="35" t="inlineStr">
        <is>
          <t>MediPlan</t>
        </is>
      </c>
      <c r="G461" s="35" t="inlineStr">
        <is>
          <t>Consulta</t>
        </is>
      </c>
      <c r="H461" s="35" t="inlineStr">
        <is>
          <t>Realizado</t>
        </is>
      </c>
      <c r="I461" s="35" t="inlineStr">
        <is>
          <t>Convênio</t>
        </is>
      </c>
      <c r="J461" s="35" t="n"/>
      <c r="K461" s="34" t="n"/>
      <c r="L461" s="26">
        <f>IF(A461="","",MONTH(A461))</f>
        <v>7</v>
      </c>
      <c r="M461" s="26">
        <f>IF(A461="","",YEAR(A461))</f>
        <v>2026</v>
      </c>
      <c r="N461" s="26" t="str">
        <f>IF(A461="","",CHOOSE(WEEKDAY(A461,2),"Segunda","Terça","Quarta","Quinta","Sexta","Sábado","Domingo"))</f>
        <v>Quinta</v>
      </c>
      <c r="O461" s="26" t="str">
        <f>IF(B461="","",IF(B461&lt;TIME(12,0,0),"Manhã",IF(B461&lt;TIME(18,0,0),"Tarde","Noite")))</f>
        <v>Tarde</v>
      </c>
      <c r="P461" s="32">
        <f>IF(G461="","",IFERROR(INDEX(Config!$I$5:$I$16,MATCH(G461,Config!$H$5:$H$16,0)),0))</f>
        <v>30</v>
      </c>
      <c r="Q461" s="30">
        <f>IF(OR(H461&lt;&gt;"Realizado",P461="",P461=0),"",A461+P461)</f>
        <v>46249.0</v>
      </c>
      <c r="R461" s="26" t="str">
        <f>IF(Q461="","",IF(COUNTIFS($E$5:$E$3004,E461,$A$5:$A$3004,"&gt;"&amp;A461,$H$5:$H$3004,"&lt;&gt;Falta",$H$5:$H$3004,"&lt;&gt;Cancelado",$H$5:$H$3004,"&lt;&gt;Remarcado")&gt;0,"Sim","Não"))</f>
        <v>Sim</v>
      </c>
      <c r="S461" s="32">
        <f>IF(R461&lt;&gt;"Não","",IF(Q461+Config!$B$9&lt;=Config!$B$8,Config!$B$8-Q461,""))</f>
        <v/>
      </c>
      <c r="T461" s="26">
        <f>IF(S461="","","Sim")</f>
        <v/>
      </c>
      <c r="U461" s="41">
        <f>IF(T461="Sim",S461+ROW()/100000,0)</f>
        <v>0</v>
      </c>
      <c r="V461" s="41">
        <f>IF(AND(H461="Falta",L461=Config!$B$7,M461=Config!$B$5,COUNTIFS($E$5:E461,E461,$H$5:H461,"Falta",$L$5:L461,Config!$B$7,$M$5:M461,Config!$B$5)=1),COUNTIFS($E$5:$E$3004,E461,$H$5:$H$3004,"Falta",$L$5:$L$3004,Config!$B$7,$M$5:$M$3004,Config!$B$5)*1000-ROW()/100000,0)</f>
        <v>0</v>
      </c>
    </row>
    <row r="462">
      <c r="A462" s="39" t="n">
        <v>46219</v>
      </c>
      <c r="B462" s="40" t="n">
        <v>0.6597222222222222</v>
      </c>
      <c r="C462" s="35" t="inlineStr">
        <is>
          <t>Dr. Paulo Andrade</t>
        </is>
      </c>
      <c r="D462" s="35" t="inlineStr">
        <is>
          <t>Sala 2</t>
        </is>
      </c>
      <c r="E462" s="34" t="inlineStr">
        <is>
          <t>Wagner Carvalho</t>
        </is>
      </c>
      <c r="F462" s="35" t="inlineStr">
        <is>
          <t>Vida Care</t>
        </is>
      </c>
      <c r="G462" s="35" t="inlineStr">
        <is>
          <t>Consulta</t>
        </is>
      </c>
      <c r="H462" s="35" t="inlineStr">
        <is>
          <t>Realizado</t>
        </is>
      </c>
      <c r="I462" s="35" t="inlineStr">
        <is>
          <t>Convênio</t>
        </is>
      </c>
      <c r="J462" s="35" t="n"/>
      <c r="K462" s="34" t="n"/>
      <c r="L462" s="26">
        <f>IF(A462="","",MONTH(A462))</f>
        <v>7</v>
      </c>
      <c r="M462" s="26">
        <f>IF(A462="","",YEAR(A462))</f>
        <v>2026</v>
      </c>
      <c r="N462" s="26" t="str">
        <f>IF(A462="","",CHOOSE(WEEKDAY(A462,2),"Segunda","Terça","Quarta","Quinta","Sexta","Sábado","Domingo"))</f>
        <v>Quinta</v>
      </c>
      <c r="O462" s="26" t="str">
        <f>IF(B462="","",IF(B462&lt;TIME(12,0,0),"Manhã",IF(B462&lt;TIME(18,0,0),"Tarde","Noite")))</f>
        <v>Tarde</v>
      </c>
      <c r="P462" s="32">
        <f>IF(G462="","",IFERROR(INDEX(Config!$I$5:$I$16,MATCH(G462,Config!$H$5:$H$16,0)),0))</f>
        <v>30</v>
      </c>
      <c r="Q462" s="30">
        <f>IF(OR(H462&lt;&gt;"Realizado",P462="",P462=0),"",A462+P462)</f>
        <v>46249.0</v>
      </c>
      <c r="R462" s="26" t="str">
        <f>IF(Q462="","",IF(COUNTIFS($E$5:$E$3004,E462,$A$5:$A$3004,"&gt;"&amp;A462,$H$5:$H$3004,"&lt;&gt;Falta",$H$5:$H$3004,"&lt;&gt;Cancelado",$H$5:$H$3004,"&lt;&gt;Remarcado")&gt;0,"Sim","Não"))</f>
        <v>Sim</v>
      </c>
      <c r="S462" s="32">
        <f>IF(R462&lt;&gt;"Não","",IF(Q462+Config!$B$9&lt;=Config!$B$8,Config!$B$8-Q462,""))</f>
        <v/>
      </c>
      <c r="T462" s="26">
        <f>IF(S462="","","Sim")</f>
        <v/>
      </c>
      <c r="U462" s="41">
        <f>IF(T462="Sim",S462+ROW()/100000,0)</f>
        <v>0</v>
      </c>
      <c r="V462" s="41">
        <f>IF(AND(H462="Falta",L462=Config!$B$7,M462=Config!$B$5,COUNTIFS($E$5:E462,E462,$H$5:H462,"Falta",$L$5:L462,Config!$B$7,$M$5:M462,Config!$B$5)=1),COUNTIFS($E$5:$E$3004,E462,$H$5:$H$3004,"Falta",$L$5:$L$3004,Config!$B$7,$M$5:$M$3004,Config!$B$5)*1000-ROW()/100000,0)</f>
        <v>0</v>
      </c>
    </row>
    <row r="463">
      <c r="A463" s="39" t="n">
        <v>46219</v>
      </c>
      <c r="B463" s="40" t="n">
        <v>0.6805555555555556</v>
      </c>
      <c r="C463" s="35" t="inlineStr">
        <is>
          <t>Dra. Renata Sousa</t>
        </is>
      </c>
      <c r="D463" s="35" t="inlineStr">
        <is>
          <t>Sala 1</t>
        </is>
      </c>
      <c r="E463" s="34" t="inlineStr">
        <is>
          <t>Carlos Gonçalves</t>
        </is>
      </c>
      <c r="F463" s="35" t="inlineStr">
        <is>
          <t>Saúde Total</t>
        </is>
      </c>
      <c r="G463" s="35" t="inlineStr">
        <is>
          <t>Avaliação endócrina</t>
        </is>
      </c>
      <c r="H463" s="35" t="inlineStr">
        <is>
          <t>Falta</t>
        </is>
      </c>
      <c r="I463" s="35" t="n"/>
      <c r="J463" s="35" t="n"/>
      <c r="K463" s="34" t="n"/>
      <c r="L463" s="26">
        <f>IF(A463="","",MONTH(A463))</f>
        <v>7</v>
      </c>
      <c r="M463" s="26">
        <f>IF(A463="","",YEAR(A463))</f>
        <v>2026</v>
      </c>
      <c r="N463" s="26" t="str">
        <f>IF(A463="","",CHOOSE(WEEKDAY(A463,2),"Segunda","Terça","Quarta","Quinta","Sexta","Sábado","Domingo"))</f>
        <v>Quinta</v>
      </c>
      <c r="O463" s="26" t="str">
        <f>IF(B463="","",IF(B463&lt;TIME(12,0,0),"Manhã",IF(B463&lt;TIME(18,0,0),"Tarde","Noite")))</f>
        <v>Tarde</v>
      </c>
      <c r="P463" s="32">
        <f>IF(G463="","",IFERROR(INDEX(Config!$I$5:$I$16,MATCH(G463,Config!$H$5:$H$16,0)),0))</f>
        <v>45</v>
      </c>
      <c r="Q463" s="30">
        <f>IF(OR(H463&lt;&gt;"Realizado",P463="",P463=0),"",A463+P463)</f>
        <v/>
      </c>
      <c r="R463" s="26">
        <f>IF(Q463="","",IF(COUNTIFS($E$5:$E$3004,E463,$A$5:$A$3004,"&gt;"&amp;A463,$H$5:$H$3004,"&lt;&gt;Falta",$H$5:$H$3004,"&lt;&gt;Cancelado",$H$5:$H$3004,"&lt;&gt;Remarcado")&gt;0,"Sim","Não"))</f>
        <v/>
      </c>
      <c r="S463" s="32">
        <f>IF(R463&lt;&gt;"Não","",IF(Q463+Config!$B$9&lt;=Config!$B$8,Config!$B$8-Q463,""))</f>
        <v/>
      </c>
      <c r="T463" s="26">
        <f>IF(S463="","","Sim")</f>
        <v/>
      </c>
      <c r="U463" s="41">
        <f>IF(T463="Sim",S463+ROW()/100000,0)</f>
        <v>0</v>
      </c>
      <c r="V463" s="41">
        <f>IF(AND(H463="Falta",L463=Config!$B$7,M463=Config!$B$5,COUNTIFS($E$5:E463,E463,$H$5:H463,"Falta",$L$5:L463,Config!$B$7,$M$5:M463,Config!$B$5)=1),COUNTIFS($E$5:$E$3004,E463,$H$5:$H$3004,"Falta",$L$5:$L$3004,Config!$B$7,$M$5:$M$3004,Config!$B$5)*1000-ROW()/100000,0)</f>
        <v>0</v>
      </c>
    </row>
    <row r="464">
      <c r="A464" s="39" t="n">
        <v>46219</v>
      </c>
      <c r="B464" s="40" t="n">
        <v>0.6805555555555556</v>
      </c>
      <c r="C464" s="35" t="inlineStr">
        <is>
          <t>Dr. Paulo Andrade</t>
        </is>
      </c>
      <c r="D464" s="35" t="inlineStr">
        <is>
          <t>Sala 2</t>
        </is>
      </c>
      <c r="E464" s="34" t="inlineStr">
        <is>
          <t>Sérgio Teixeira</t>
        </is>
      </c>
      <c r="F464" s="35" t="inlineStr">
        <is>
          <t>MediPlan</t>
        </is>
      </c>
      <c r="G464" s="35" t="inlineStr">
        <is>
          <t>Consulta</t>
        </is>
      </c>
      <c r="H464" s="35" t="inlineStr">
        <is>
          <t>Realizado</t>
        </is>
      </c>
      <c r="I464" s="35" t="inlineStr">
        <is>
          <t>Convênio</t>
        </is>
      </c>
      <c r="J464" s="35" t="n"/>
      <c r="K464" s="34" t="n"/>
      <c r="L464" s="26">
        <f>IF(A464="","",MONTH(A464))</f>
        <v>7</v>
      </c>
      <c r="M464" s="26">
        <f>IF(A464="","",YEAR(A464))</f>
        <v>2026</v>
      </c>
      <c r="N464" s="26" t="str">
        <f>IF(A464="","",CHOOSE(WEEKDAY(A464,2),"Segunda","Terça","Quarta","Quinta","Sexta","Sábado","Domingo"))</f>
        <v>Quinta</v>
      </c>
      <c r="O464" s="26" t="str">
        <f>IF(B464="","",IF(B464&lt;TIME(12,0,0),"Manhã",IF(B464&lt;TIME(18,0,0),"Tarde","Noite")))</f>
        <v>Tarde</v>
      </c>
      <c r="P464" s="32">
        <f>IF(G464="","",IFERROR(INDEX(Config!$I$5:$I$16,MATCH(G464,Config!$H$5:$H$16,0)),0))</f>
        <v>30</v>
      </c>
      <c r="Q464" s="30">
        <f>IF(OR(H464&lt;&gt;"Realizado",P464="",P464=0),"",A464+P464)</f>
        <v>46249.0</v>
      </c>
      <c r="R464" s="26" t="str">
        <f>IF(Q464="","",IF(COUNTIFS($E$5:$E$3004,E464,$A$5:$A$3004,"&gt;"&amp;A464,$H$5:$H$3004,"&lt;&gt;Falta",$H$5:$H$3004,"&lt;&gt;Cancelado",$H$5:$H$3004,"&lt;&gt;Remarcado")&gt;0,"Sim","Não"))</f>
        <v>Sim</v>
      </c>
      <c r="S464" s="32">
        <f>IF(R464&lt;&gt;"Não","",IF(Q464+Config!$B$9&lt;=Config!$B$8,Config!$B$8-Q464,""))</f>
        <v/>
      </c>
      <c r="T464" s="26">
        <f>IF(S464="","","Sim")</f>
        <v/>
      </c>
      <c r="U464" s="41">
        <f>IF(T464="Sim",S464+ROW()/100000,0)</f>
        <v>0</v>
      </c>
      <c r="V464" s="41">
        <f>IF(AND(H464="Falta",L464=Config!$B$7,M464=Config!$B$5,COUNTIFS($E$5:E464,E464,$H$5:H464,"Falta",$L$5:L464,Config!$B$7,$M$5:M464,Config!$B$5)=1),COUNTIFS($E$5:$E$3004,E464,$H$5:$H$3004,"Falta",$L$5:$L$3004,Config!$B$7,$M$5:$M$3004,Config!$B$5)*1000-ROW()/100000,0)</f>
        <v>0</v>
      </c>
    </row>
    <row r="465">
      <c r="A465" s="39" t="n">
        <v>46219</v>
      </c>
      <c r="B465" s="40" t="n">
        <v>0.7013888888888888</v>
      </c>
      <c r="C465" s="35" t="inlineStr">
        <is>
          <t>Dr. Paulo Andrade</t>
        </is>
      </c>
      <c r="D465" s="35" t="inlineStr">
        <is>
          <t>Sala 2</t>
        </is>
      </c>
      <c r="E465" s="34" t="inlineStr">
        <is>
          <t>Regina Teixeira</t>
        </is>
      </c>
      <c r="F465" s="35" t="inlineStr">
        <is>
          <t>Particular</t>
        </is>
      </c>
      <c r="G465" s="35" t="inlineStr">
        <is>
          <t>ECG</t>
        </is>
      </c>
      <c r="H465" s="35" t="inlineStr">
        <is>
          <t>Remarcado</t>
        </is>
      </c>
      <c r="I465" s="35" t="n"/>
      <c r="J465" s="35" t="n"/>
      <c r="K465" s="34" t="inlineStr">
        <is>
          <t>Paciente pediu outra data</t>
        </is>
      </c>
      <c r="L465" s="26">
        <f>IF(A465="","",MONTH(A465))</f>
        <v>7</v>
      </c>
      <c r="M465" s="26">
        <f>IF(A465="","",YEAR(A465))</f>
        <v>2026</v>
      </c>
      <c r="N465" s="26" t="str">
        <f>IF(A465="","",CHOOSE(WEEKDAY(A465,2),"Segunda","Terça","Quarta","Quinta","Sexta","Sábado","Domingo"))</f>
        <v>Quinta</v>
      </c>
      <c r="O465" s="26" t="str">
        <f>IF(B465="","",IF(B465&lt;TIME(12,0,0),"Manhã",IF(B465&lt;TIME(18,0,0),"Tarde","Noite")))</f>
        <v>Tarde</v>
      </c>
      <c r="P465" s="32">
        <f>IF(G465="","",IFERROR(INDEX(Config!$I$5:$I$16,MATCH(G465,Config!$H$5:$H$16,0)),0))</f>
        <v>0</v>
      </c>
      <c r="Q465" s="30">
        <f>IF(OR(H465&lt;&gt;"Realizado",P465="",P465=0),"",A465+P465)</f>
        <v/>
      </c>
      <c r="R465" s="26">
        <f>IF(Q465="","",IF(COUNTIFS($E$5:$E$3004,E465,$A$5:$A$3004,"&gt;"&amp;A465,$H$5:$H$3004,"&lt;&gt;Falta",$H$5:$H$3004,"&lt;&gt;Cancelado",$H$5:$H$3004,"&lt;&gt;Remarcado")&gt;0,"Sim","Não"))</f>
        <v/>
      </c>
      <c r="S465" s="32">
        <f>IF(R465&lt;&gt;"Não","",IF(Q465+Config!$B$9&lt;=Config!$B$8,Config!$B$8-Q465,""))</f>
        <v/>
      </c>
      <c r="T465" s="26">
        <f>IF(S465="","","Sim")</f>
        <v/>
      </c>
      <c r="U465" s="41">
        <f>IF(T465="Sim",S465+ROW()/100000,0)</f>
        <v>0</v>
      </c>
      <c r="V465" s="41">
        <f>IF(AND(H465="Falta",L465=Config!$B$7,M465=Config!$B$5,COUNTIFS($E$5:E465,E465,$H$5:H465,"Falta",$L$5:L465,Config!$B$7,$M$5:M465,Config!$B$5)=1),COUNTIFS($E$5:$E$3004,E465,$H$5:$H$3004,"Falta",$L$5:$L$3004,Config!$B$7,$M$5:$M$3004,Config!$B$5)*1000-ROW()/100000,0)</f>
        <v>0</v>
      </c>
    </row>
    <row r="466">
      <c r="A466" s="39" t="n">
        <v>46219</v>
      </c>
      <c r="B466" s="40" t="n">
        <v>0.7083333333333334</v>
      </c>
      <c r="C466" s="35" t="inlineStr">
        <is>
          <t>Dra. Renata Sousa</t>
        </is>
      </c>
      <c r="D466" s="35" t="inlineStr">
        <is>
          <t>Sala 1</t>
        </is>
      </c>
      <c r="E466" s="34" t="inlineStr">
        <is>
          <t>Beatriz Monteiro</t>
        </is>
      </c>
      <c r="F466" s="35" t="inlineStr">
        <is>
          <t>Particular</t>
        </is>
      </c>
      <c r="G466" s="35" t="inlineStr">
        <is>
          <t>Retorno</t>
        </is>
      </c>
      <c r="H466" s="35" t="inlineStr">
        <is>
          <t>Realizado</t>
        </is>
      </c>
      <c r="I466" s="35" t="inlineStr">
        <is>
          <t>Sem cobrança</t>
        </is>
      </c>
      <c r="J466" s="35" t="n"/>
      <c r="K466" s="34" t="n"/>
      <c r="L466" s="26">
        <f>IF(A466="","",MONTH(A466))</f>
        <v>7</v>
      </c>
      <c r="M466" s="26">
        <f>IF(A466="","",YEAR(A466))</f>
        <v>2026</v>
      </c>
      <c r="N466" s="26" t="str">
        <f>IF(A466="","",CHOOSE(WEEKDAY(A466,2),"Segunda","Terça","Quarta","Quinta","Sexta","Sábado","Domingo"))</f>
        <v>Quinta</v>
      </c>
      <c r="O466" s="26" t="str">
        <f>IF(B466="","",IF(B466&lt;TIME(12,0,0),"Manhã",IF(B466&lt;TIME(18,0,0),"Tarde","Noite")))</f>
        <v>Tarde</v>
      </c>
      <c r="P466" s="32">
        <f>IF(G466="","",IFERROR(INDEX(Config!$I$5:$I$16,MATCH(G466,Config!$H$5:$H$16,0)),0))</f>
        <v>0</v>
      </c>
      <c r="Q466" s="30">
        <f>IF(OR(H466&lt;&gt;"Realizado",P466="",P466=0),"",A466+P466)</f>
        <v/>
      </c>
      <c r="R466" s="26">
        <f>IF(Q466="","",IF(COUNTIFS($E$5:$E$3004,E466,$A$5:$A$3004,"&gt;"&amp;A466,$H$5:$H$3004,"&lt;&gt;Falta",$H$5:$H$3004,"&lt;&gt;Cancelado",$H$5:$H$3004,"&lt;&gt;Remarcado")&gt;0,"Sim","Não"))</f>
        <v/>
      </c>
      <c r="S466" s="32">
        <f>IF(R466&lt;&gt;"Não","",IF(Q466+Config!$B$9&lt;=Config!$B$8,Config!$B$8-Q466,""))</f>
        <v/>
      </c>
      <c r="T466" s="26">
        <f>IF(S466="","","Sim")</f>
        <v/>
      </c>
      <c r="U466" s="41">
        <f>IF(T466="Sim",S466+ROW()/100000,0)</f>
        <v>0</v>
      </c>
      <c r="V466" s="41">
        <f>IF(AND(H466="Falta",L466=Config!$B$7,M466=Config!$B$5,COUNTIFS($E$5:E466,E466,$H$5:H466,"Falta",$L$5:L466,Config!$B$7,$M$5:M466,Config!$B$5)=1),COUNTIFS($E$5:$E$3004,E466,$H$5:$H$3004,"Falta",$L$5:$L$3004,Config!$B$7,$M$5:$M$3004,Config!$B$5)*1000-ROW()/100000,0)</f>
        <v>0</v>
      </c>
    </row>
    <row r="467">
      <c r="A467" s="39" t="n">
        <v>46219</v>
      </c>
      <c r="B467" s="40" t="n">
        <v>0.7152777777777778</v>
      </c>
      <c r="C467" s="35" t="inlineStr">
        <is>
          <t>Dr. Paulo Andrade</t>
        </is>
      </c>
      <c r="D467" s="35" t="inlineStr">
        <is>
          <t>Sala 2</t>
        </is>
      </c>
      <c r="E467" s="34" t="inlineStr">
        <is>
          <t>Gisele Xavier</t>
        </is>
      </c>
      <c r="F467" s="35" t="inlineStr">
        <is>
          <t>Particular</t>
        </is>
      </c>
      <c r="G467" s="35" t="inlineStr">
        <is>
          <t>ECG</t>
        </is>
      </c>
      <c r="H467" s="35" t="inlineStr">
        <is>
          <t>Realizado</t>
        </is>
      </c>
      <c r="I467" s="35" t="inlineStr">
        <is>
          <t>Pix</t>
        </is>
      </c>
      <c r="J467" s="35" t="n"/>
      <c r="K467" s="34" t="n"/>
      <c r="L467" s="26">
        <f>IF(A467="","",MONTH(A467))</f>
        <v>7</v>
      </c>
      <c r="M467" s="26">
        <f>IF(A467="","",YEAR(A467))</f>
        <v>2026</v>
      </c>
      <c r="N467" s="26" t="str">
        <f>IF(A467="","",CHOOSE(WEEKDAY(A467,2),"Segunda","Terça","Quarta","Quinta","Sexta","Sábado","Domingo"))</f>
        <v>Quinta</v>
      </c>
      <c r="O467" s="26" t="str">
        <f>IF(B467="","",IF(B467&lt;TIME(12,0,0),"Manhã",IF(B467&lt;TIME(18,0,0),"Tarde","Noite")))</f>
        <v>Tarde</v>
      </c>
      <c r="P467" s="32">
        <f>IF(G467="","",IFERROR(INDEX(Config!$I$5:$I$16,MATCH(G467,Config!$H$5:$H$16,0)),0))</f>
        <v>0</v>
      </c>
      <c r="Q467" s="30">
        <f>IF(OR(H467&lt;&gt;"Realizado",P467="",P467=0),"",A467+P467)</f>
        <v/>
      </c>
      <c r="R467" s="26">
        <f>IF(Q467="","",IF(COUNTIFS($E$5:$E$3004,E467,$A$5:$A$3004,"&gt;"&amp;A467,$H$5:$H$3004,"&lt;&gt;Falta",$H$5:$H$3004,"&lt;&gt;Cancelado",$H$5:$H$3004,"&lt;&gt;Remarcado")&gt;0,"Sim","Não"))</f>
        <v/>
      </c>
      <c r="S467" s="32">
        <f>IF(R467&lt;&gt;"Não","",IF(Q467+Config!$B$9&lt;=Config!$B$8,Config!$B$8-Q467,""))</f>
        <v/>
      </c>
      <c r="T467" s="26">
        <f>IF(S467="","","Sim")</f>
        <v/>
      </c>
      <c r="U467" s="41">
        <f>IF(T467="Sim",S467+ROW()/100000,0)</f>
        <v>0</v>
      </c>
      <c r="V467" s="41">
        <f>IF(AND(H467="Falta",L467=Config!$B$7,M467=Config!$B$5,COUNTIFS($E$5:E467,E467,$H$5:H467,"Falta",$L$5:L467,Config!$B$7,$M$5:M467,Config!$B$5)=1),COUNTIFS($E$5:$E$3004,E467,$H$5:$H$3004,"Falta",$L$5:$L$3004,Config!$B$7,$M$5:$M$3004,Config!$B$5)*1000-ROW()/100000,0)</f>
        <v>0</v>
      </c>
    </row>
    <row r="468">
      <c r="A468" s="39" t="n">
        <v>46219</v>
      </c>
      <c r="B468" s="40" t="n">
        <v>0.7222222222222222</v>
      </c>
      <c r="C468" s="35" t="inlineStr">
        <is>
          <t>Dra. Renata Sousa</t>
        </is>
      </c>
      <c r="D468" s="35" t="inlineStr">
        <is>
          <t>Sala 1</t>
        </is>
      </c>
      <c r="E468" s="34" t="inlineStr">
        <is>
          <t>Márcia Duarte</t>
        </is>
      </c>
      <c r="F468" s="35" t="inlineStr">
        <is>
          <t>Particular</t>
        </is>
      </c>
      <c r="G468" s="35" t="inlineStr">
        <is>
          <t>Avaliação endócrina</t>
        </is>
      </c>
      <c r="H468" s="35" t="inlineStr">
        <is>
          <t>Realizado</t>
        </is>
      </c>
      <c r="I468" s="35" t="inlineStr">
        <is>
          <t>Cartão de crédito</t>
        </is>
      </c>
      <c r="J468" s="35" t="n"/>
      <c r="K468" s="34" t="n"/>
      <c r="L468" s="26">
        <f>IF(A468="","",MONTH(A468))</f>
        <v>7</v>
      </c>
      <c r="M468" s="26">
        <f>IF(A468="","",YEAR(A468))</f>
        <v>2026</v>
      </c>
      <c r="N468" s="26" t="str">
        <f>IF(A468="","",CHOOSE(WEEKDAY(A468,2),"Segunda","Terça","Quarta","Quinta","Sexta","Sábado","Domingo"))</f>
        <v>Quinta</v>
      </c>
      <c r="O468" s="26" t="str">
        <f>IF(B468="","",IF(B468&lt;TIME(12,0,0),"Manhã",IF(B468&lt;TIME(18,0,0),"Tarde","Noite")))</f>
        <v>Tarde</v>
      </c>
      <c r="P468" s="32">
        <f>IF(G468="","",IFERROR(INDEX(Config!$I$5:$I$16,MATCH(G468,Config!$H$5:$H$16,0)),0))</f>
        <v>45</v>
      </c>
      <c r="Q468" s="30">
        <f>IF(OR(H468&lt;&gt;"Realizado",P468="",P468=0),"",A468+P468)</f>
        <v>46264.0</v>
      </c>
      <c r="R468" s="26" t="str">
        <f>IF(Q468="","",IF(COUNTIFS($E$5:$E$3004,E468,$A$5:$A$3004,"&gt;"&amp;A468,$H$5:$H$3004,"&lt;&gt;Falta",$H$5:$H$3004,"&lt;&gt;Cancelado",$H$5:$H$3004,"&lt;&gt;Remarcado")&gt;0,"Sim","Não"))</f>
        <v>Sim</v>
      </c>
      <c r="S468" s="32">
        <f>IF(R468&lt;&gt;"Não","",IF(Q468+Config!$B$9&lt;=Config!$B$8,Config!$B$8-Q468,""))</f>
        <v/>
      </c>
      <c r="T468" s="26">
        <f>IF(S468="","","Sim")</f>
        <v/>
      </c>
      <c r="U468" s="41">
        <f>IF(T468="Sim",S468+ROW()/100000,0)</f>
        <v>0</v>
      </c>
      <c r="V468" s="41">
        <f>IF(AND(H468="Falta",L468=Config!$B$7,M468=Config!$B$5,COUNTIFS($E$5:E468,E468,$H$5:H468,"Falta",$L$5:L468,Config!$B$7,$M$5:M468,Config!$B$5)=1),COUNTIFS($E$5:$E$3004,E468,$H$5:$H$3004,"Falta",$L$5:$L$3004,Config!$B$7,$M$5:$M$3004,Config!$B$5)*1000-ROW()/100000,0)</f>
        <v>0</v>
      </c>
    </row>
    <row r="469">
      <c r="A469" s="39" t="n">
        <v>46219</v>
      </c>
      <c r="B469" s="40" t="n">
        <v>0.7291666666666666</v>
      </c>
      <c r="C469" s="35" t="inlineStr">
        <is>
          <t>Dr. Paulo Andrade</t>
        </is>
      </c>
      <c r="D469" s="35" t="inlineStr">
        <is>
          <t>Sala 2</t>
        </is>
      </c>
      <c r="E469" s="34" t="inlineStr">
        <is>
          <t>Isabela Nascimento</t>
        </is>
      </c>
      <c r="F469" s="35" t="inlineStr">
        <is>
          <t>Vida Care</t>
        </is>
      </c>
      <c r="G469" s="35" t="inlineStr">
        <is>
          <t>ECG</t>
        </is>
      </c>
      <c r="H469" s="35" t="inlineStr">
        <is>
          <t>Falta</t>
        </is>
      </c>
      <c r="I469" s="35" t="n"/>
      <c r="J469" s="35" t="n"/>
      <c r="K469" s="34" t="n"/>
      <c r="L469" s="26">
        <f>IF(A469="","",MONTH(A469))</f>
        <v>7</v>
      </c>
      <c r="M469" s="26">
        <f>IF(A469="","",YEAR(A469))</f>
        <v>2026</v>
      </c>
      <c r="N469" s="26" t="str">
        <f>IF(A469="","",CHOOSE(WEEKDAY(A469,2),"Segunda","Terça","Quarta","Quinta","Sexta","Sábado","Domingo"))</f>
        <v>Quinta</v>
      </c>
      <c r="O469" s="26" t="str">
        <f>IF(B469="","",IF(B469&lt;TIME(12,0,0),"Manhã",IF(B469&lt;TIME(18,0,0),"Tarde","Noite")))</f>
        <v>Tarde</v>
      </c>
      <c r="P469" s="32">
        <f>IF(G469="","",IFERROR(INDEX(Config!$I$5:$I$16,MATCH(G469,Config!$H$5:$H$16,0)),0))</f>
        <v>0</v>
      </c>
      <c r="Q469" s="30">
        <f>IF(OR(H469&lt;&gt;"Realizado",P469="",P469=0),"",A469+P469)</f>
        <v/>
      </c>
      <c r="R469" s="26">
        <f>IF(Q469="","",IF(COUNTIFS($E$5:$E$3004,E469,$A$5:$A$3004,"&gt;"&amp;A469,$H$5:$H$3004,"&lt;&gt;Falta",$H$5:$H$3004,"&lt;&gt;Cancelado",$H$5:$H$3004,"&lt;&gt;Remarcado")&gt;0,"Sim","Não"))</f>
        <v/>
      </c>
      <c r="S469" s="32">
        <f>IF(R469&lt;&gt;"Não","",IF(Q469+Config!$B$9&lt;=Config!$B$8,Config!$B$8-Q469,""))</f>
        <v/>
      </c>
      <c r="T469" s="26">
        <f>IF(S469="","","Sim")</f>
        <v/>
      </c>
      <c r="U469" s="41">
        <f>IF(T469="Sim",S469+ROW()/100000,0)</f>
        <v>0</v>
      </c>
      <c r="V469" s="41">
        <f>IF(AND(H469="Falta",L469=Config!$B$7,M469=Config!$B$5,COUNTIFS($E$5:E469,E469,$H$5:H469,"Falta",$L$5:L469,Config!$B$7,$M$5:M469,Config!$B$5)=1),COUNTIFS($E$5:$E$3004,E469,$H$5:$H$3004,"Falta",$L$5:$L$3004,Config!$B$7,$M$5:$M$3004,Config!$B$5)*1000-ROW()/100000,0)</f>
        <v>0</v>
      </c>
    </row>
    <row r="470">
      <c r="A470" s="39" t="n">
        <v>46220</v>
      </c>
      <c r="B470" s="40" t="n">
        <v>0.3541666666666667</v>
      </c>
      <c r="C470" s="35" t="inlineStr">
        <is>
          <t>Dr. Paulo Andrade</t>
        </is>
      </c>
      <c r="D470" s="35" t="inlineStr">
        <is>
          <t>Sala 2</t>
        </is>
      </c>
      <c r="E470" s="34" t="inlineStr">
        <is>
          <t>Renato Pereira</t>
        </is>
      </c>
      <c r="F470" s="35" t="inlineStr">
        <is>
          <t>MediPlan</t>
        </is>
      </c>
      <c r="G470" s="35" t="inlineStr">
        <is>
          <t>Consulta</t>
        </is>
      </c>
      <c r="H470" s="35" t="inlineStr">
        <is>
          <t>Realizado</t>
        </is>
      </c>
      <c r="I470" s="35" t="inlineStr">
        <is>
          <t>Convênio</t>
        </is>
      </c>
      <c r="J470" s="35" t="n"/>
      <c r="K470" s="34" t="n"/>
      <c r="L470" s="26">
        <f>IF(A470="","",MONTH(A470))</f>
        <v>7</v>
      </c>
      <c r="M470" s="26">
        <f>IF(A470="","",YEAR(A470))</f>
        <v>2026</v>
      </c>
      <c r="N470" s="26" t="str">
        <f>IF(A470="","",CHOOSE(WEEKDAY(A470,2),"Segunda","Terça","Quarta","Quinta","Sexta","Sábado","Domingo"))</f>
        <v>Sexta</v>
      </c>
      <c r="O470" s="26" t="str">
        <f>IF(B470="","",IF(B470&lt;TIME(12,0,0),"Manhã",IF(B470&lt;TIME(18,0,0),"Tarde","Noite")))</f>
        <v>Manhã</v>
      </c>
      <c r="P470" s="32">
        <f>IF(G470="","",IFERROR(INDEX(Config!$I$5:$I$16,MATCH(G470,Config!$H$5:$H$16,0)),0))</f>
        <v>30</v>
      </c>
      <c r="Q470" s="30">
        <f>IF(OR(H470&lt;&gt;"Realizado",P470="",P470=0),"",A470+P470)</f>
        <v>46250.0</v>
      </c>
      <c r="R470" s="26" t="str">
        <f>IF(Q470="","",IF(COUNTIFS($E$5:$E$3004,E470,$A$5:$A$3004,"&gt;"&amp;A470,$H$5:$H$3004,"&lt;&gt;Falta",$H$5:$H$3004,"&lt;&gt;Cancelado",$H$5:$H$3004,"&lt;&gt;Remarcado")&gt;0,"Sim","Não"))</f>
        <v>Sim</v>
      </c>
      <c r="S470" s="32">
        <f>IF(R470&lt;&gt;"Não","",IF(Q470+Config!$B$9&lt;=Config!$B$8,Config!$B$8-Q470,""))</f>
        <v/>
      </c>
      <c r="T470" s="26">
        <f>IF(S470="","","Sim")</f>
        <v/>
      </c>
      <c r="U470" s="41">
        <f>IF(T470="Sim",S470+ROW()/100000,0)</f>
        <v>0</v>
      </c>
      <c r="V470" s="41">
        <f>IF(AND(H470="Falta",L470=Config!$B$7,M470=Config!$B$5,COUNTIFS($E$5:E470,E470,$H$5:H470,"Falta",$L$5:L470,Config!$B$7,$M$5:M470,Config!$B$5)=1),COUNTIFS($E$5:$E$3004,E470,$H$5:$H$3004,"Falta",$L$5:$L$3004,Config!$B$7,$M$5:$M$3004,Config!$B$5)*1000-ROW()/100000,0)</f>
        <v>0</v>
      </c>
    </row>
    <row r="471">
      <c r="A471" s="39" t="n">
        <v>46220</v>
      </c>
      <c r="B471" s="40" t="n">
        <v>0.375</v>
      </c>
      <c r="C471" s="35" t="inlineStr">
        <is>
          <t>Dr. Paulo Andrade</t>
        </is>
      </c>
      <c r="D471" s="35" t="inlineStr">
        <is>
          <t>Sala 2</t>
        </is>
      </c>
      <c r="E471" s="34" t="inlineStr">
        <is>
          <t>Mônica Teixeira</t>
        </is>
      </c>
      <c r="F471" s="35" t="inlineStr">
        <is>
          <t>Vida Care</t>
        </is>
      </c>
      <c r="G471" s="35" t="inlineStr">
        <is>
          <t>ECG</t>
        </is>
      </c>
      <c r="H471" s="35" t="inlineStr">
        <is>
          <t>Realizado</t>
        </is>
      </c>
      <c r="I471" s="35" t="inlineStr">
        <is>
          <t>Convênio</t>
        </is>
      </c>
      <c r="J471" s="35" t="n"/>
      <c r="K471" s="34" t="n"/>
      <c r="L471" s="26">
        <f>IF(A471="","",MONTH(A471))</f>
        <v>7</v>
      </c>
      <c r="M471" s="26">
        <f>IF(A471="","",YEAR(A471))</f>
        <v>2026</v>
      </c>
      <c r="N471" s="26" t="str">
        <f>IF(A471="","",CHOOSE(WEEKDAY(A471,2),"Segunda","Terça","Quarta","Quinta","Sexta","Sábado","Domingo"))</f>
        <v>Sexta</v>
      </c>
      <c r="O471" s="26" t="str">
        <f>IF(B471="","",IF(B471&lt;TIME(12,0,0),"Manhã",IF(B471&lt;TIME(18,0,0),"Tarde","Noite")))</f>
        <v>Manhã</v>
      </c>
      <c r="P471" s="32">
        <f>IF(G471="","",IFERROR(INDEX(Config!$I$5:$I$16,MATCH(G471,Config!$H$5:$H$16,0)),0))</f>
        <v>0</v>
      </c>
      <c r="Q471" s="30">
        <f>IF(OR(H471&lt;&gt;"Realizado",P471="",P471=0),"",A471+P471)</f>
        <v/>
      </c>
      <c r="R471" s="26">
        <f>IF(Q471="","",IF(COUNTIFS($E$5:$E$3004,E471,$A$5:$A$3004,"&gt;"&amp;A471,$H$5:$H$3004,"&lt;&gt;Falta",$H$5:$H$3004,"&lt;&gt;Cancelado",$H$5:$H$3004,"&lt;&gt;Remarcado")&gt;0,"Sim","Não"))</f>
        <v/>
      </c>
      <c r="S471" s="32">
        <f>IF(R471&lt;&gt;"Não","",IF(Q471+Config!$B$9&lt;=Config!$B$8,Config!$B$8-Q471,""))</f>
        <v/>
      </c>
      <c r="T471" s="26">
        <f>IF(S471="","","Sim")</f>
        <v/>
      </c>
      <c r="U471" s="41">
        <f>IF(T471="Sim",S471+ROW()/100000,0)</f>
        <v>0</v>
      </c>
      <c r="V471" s="41">
        <f>IF(AND(H471="Falta",L471=Config!$B$7,M471=Config!$B$5,COUNTIFS($E$5:E471,E471,$H$5:H471,"Falta",$L$5:L471,Config!$B$7,$M$5:M471,Config!$B$5)=1),COUNTIFS($E$5:$E$3004,E471,$H$5:$H$3004,"Falta",$L$5:$L$3004,Config!$B$7,$M$5:$M$3004,Config!$B$5)*1000-ROW()/100000,0)</f>
        <v>0</v>
      </c>
    </row>
    <row r="472">
      <c r="A472" s="39" t="n">
        <v>46220</v>
      </c>
      <c r="B472" s="40" t="n">
        <v>0.4305555555555556</v>
      </c>
      <c r="C472" s="35" t="inlineStr">
        <is>
          <t>Dr. Paulo Andrade</t>
        </is>
      </c>
      <c r="D472" s="35" t="inlineStr">
        <is>
          <t>Sala 2</t>
        </is>
      </c>
      <c r="E472" s="34" t="inlineStr">
        <is>
          <t>Wagner Costa</t>
        </is>
      </c>
      <c r="F472" s="35" t="inlineStr">
        <is>
          <t>Particular</t>
        </is>
      </c>
      <c r="G472" s="35" t="inlineStr">
        <is>
          <t>Consulta</t>
        </is>
      </c>
      <c r="H472" s="35" t="inlineStr">
        <is>
          <t>Falta</t>
        </is>
      </c>
      <c r="I472" s="35" t="n"/>
      <c r="J472" s="35" t="n"/>
      <c r="K472" s="34" t="n"/>
      <c r="L472" s="26">
        <f>IF(A472="","",MONTH(A472))</f>
        <v>7</v>
      </c>
      <c r="M472" s="26">
        <f>IF(A472="","",YEAR(A472))</f>
        <v>2026</v>
      </c>
      <c r="N472" s="26" t="str">
        <f>IF(A472="","",CHOOSE(WEEKDAY(A472,2),"Segunda","Terça","Quarta","Quinta","Sexta","Sábado","Domingo"))</f>
        <v>Sexta</v>
      </c>
      <c r="O472" s="26" t="str">
        <f>IF(B472="","",IF(B472&lt;TIME(12,0,0),"Manhã",IF(B472&lt;TIME(18,0,0),"Tarde","Noite")))</f>
        <v>Manhã</v>
      </c>
      <c r="P472" s="32">
        <f>IF(G472="","",IFERROR(INDEX(Config!$I$5:$I$16,MATCH(G472,Config!$H$5:$H$16,0)),0))</f>
        <v>30</v>
      </c>
      <c r="Q472" s="30">
        <f>IF(OR(H472&lt;&gt;"Realizado",P472="",P472=0),"",A472+P472)</f>
        <v/>
      </c>
      <c r="R472" s="26">
        <f>IF(Q472="","",IF(COUNTIFS($E$5:$E$3004,E472,$A$5:$A$3004,"&gt;"&amp;A472,$H$5:$H$3004,"&lt;&gt;Falta",$H$5:$H$3004,"&lt;&gt;Cancelado",$H$5:$H$3004,"&lt;&gt;Remarcado")&gt;0,"Sim","Não"))</f>
        <v/>
      </c>
      <c r="S472" s="32">
        <f>IF(R472&lt;&gt;"Não","",IF(Q472+Config!$B$9&lt;=Config!$B$8,Config!$B$8-Q472,""))</f>
        <v/>
      </c>
      <c r="T472" s="26">
        <f>IF(S472="","","Sim")</f>
        <v/>
      </c>
      <c r="U472" s="41">
        <f>IF(T472="Sim",S472+ROW()/100000,0)</f>
        <v>0</v>
      </c>
      <c r="V472" s="41">
        <f>IF(AND(H472="Falta",L472=Config!$B$7,M472=Config!$B$5,COUNTIFS($E$5:E472,E472,$H$5:H472,"Falta",$L$5:L472,Config!$B$7,$M$5:M472,Config!$B$5)=1),COUNTIFS($E$5:$E$3004,E472,$H$5:$H$3004,"Falta",$L$5:$L$3004,Config!$B$7,$M$5:$M$3004,Config!$B$5)*1000-ROW()/100000,0)</f>
        <v>0</v>
      </c>
    </row>
    <row r="473">
      <c r="A473" s="39" t="n">
        <v>46220</v>
      </c>
      <c r="B473" s="40" t="n">
        <v>0.4722222222222222</v>
      </c>
      <c r="C473" s="35" t="inlineStr">
        <is>
          <t>Dr. Paulo Andrade</t>
        </is>
      </c>
      <c r="D473" s="35" t="inlineStr">
        <is>
          <t>Sala 2</t>
        </is>
      </c>
      <c r="E473" s="34" t="inlineStr">
        <is>
          <t>Lucas Cardoso</t>
        </is>
      </c>
      <c r="F473" s="35" t="inlineStr">
        <is>
          <t>Particular</t>
        </is>
      </c>
      <c r="G473" s="35" t="inlineStr">
        <is>
          <t>Consulta</t>
        </is>
      </c>
      <c r="H473" s="35" t="inlineStr">
        <is>
          <t>Realizado</t>
        </is>
      </c>
      <c r="I473" s="35" t="inlineStr">
        <is>
          <t>Cartão de crédito</t>
        </is>
      </c>
      <c r="J473" s="35" t="n"/>
      <c r="K473" s="34" t="n"/>
      <c r="L473" s="26">
        <f>IF(A473="","",MONTH(A473))</f>
        <v>7</v>
      </c>
      <c r="M473" s="26">
        <f>IF(A473="","",YEAR(A473))</f>
        <v>2026</v>
      </c>
      <c r="N473" s="26" t="str">
        <f>IF(A473="","",CHOOSE(WEEKDAY(A473,2),"Segunda","Terça","Quarta","Quinta","Sexta","Sábado","Domingo"))</f>
        <v>Sexta</v>
      </c>
      <c r="O473" s="26" t="str">
        <f>IF(B473="","",IF(B473&lt;TIME(12,0,0),"Manhã",IF(B473&lt;TIME(18,0,0),"Tarde","Noite")))</f>
        <v>Manhã</v>
      </c>
      <c r="P473" s="32">
        <f>IF(G473="","",IFERROR(INDEX(Config!$I$5:$I$16,MATCH(G473,Config!$H$5:$H$16,0)),0))</f>
        <v>30</v>
      </c>
      <c r="Q473" s="30">
        <f>IF(OR(H473&lt;&gt;"Realizado",P473="",P473=0),"",A473+P473)</f>
        <v>46250.0</v>
      </c>
      <c r="R473" s="26" t="str">
        <f>IF(Q473="","",IF(COUNTIFS($E$5:$E$3004,E473,$A$5:$A$3004,"&gt;"&amp;A473,$H$5:$H$3004,"&lt;&gt;Falta",$H$5:$H$3004,"&lt;&gt;Cancelado",$H$5:$H$3004,"&lt;&gt;Remarcado")&gt;0,"Sim","Não"))</f>
        <v>Sim</v>
      </c>
      <c r="S473" s="32">
        <f>IF(R473&lt;&gt;"Não","",IF(Q473+Config!$B$9&lt;=Config!$B$8,Config!$B$8-Q473,""))</f>
        <v/>
      </c>
      <c r="T473" s="26">
        <f>IF(S473="","","Sim")</f>
        <v/>
      </c>
      <c r="U473" s="41">
        <f>IF(T473="Sim",S473+ROW()/100000,0)</f>
        <v>0</v>
      </c>
      <c r="V473" s="41">
        <f>IF(AND(H473="Falta",L473=Config!$B$7,M473=Config!$B$5,COUNTIFS($E$5:E473,E473,$H$5:H473,"Falta",$L$5:L473,Config!$B$7,$M$5:M473,Config!$B$5)=1),COUNTIFS($E$5:$E$3004,E473,$H$5:$H$3004,"Falta",$L$5:$L$3004,Config!$B$7,$M$5:$M$3004,Config!$B$5)*1000-ROW()/100000,0)</f>
        <v>0</v>
      </c>
    </row>
    <row r="474">
      <c r="A474" s="39" t="n">
        <v>46223</v>
      </c>
      <c r="B474" s="40" t="n">
        <v>0.3333333333333333</v>
      </c>
      <c r="C474" s="35" t="inlineStr">
        <is>
          <t>Dra. Carolina Mendes</t>
        </is>
      </c>
      <c r="D474" s="35" t="inlineStr">
        <is>
          <t>Sala 1</t>
        </is>
      </c>
      <c r="E474" s="34" t="inlineStr">
        <is>
          <t>Marcelo Moreira</t>
        </is>
      </c>
      <c r="F474" s="35" t="inlineStr">
        <is>
          <t>Particular</t>
        </is>
      </c>
      <c r="G474" s="35" t="inlineStr">
        <is>
          <t>Consulta</t>
        </is>
      </c>
      <c r="H474" s="35" t="inlineStr">
        <is>
          <t>Realizado</t>
        </is>
      </c>
      <c r="I474" s="35" t="inlineStr">
        <is>
          <t>Cartão de débito</t>
        </is>
      </c>
      <c r="J474" s="35" t="n"/>
      <c r="K474" s="34" t="n"/>
      <c r="L474" s="26">
        <f>IF(A474="","",MONTH(A474))</f>
        <v>7</v>
      </c>
      <c r="M474" s="26">
        <f>IF(A474="","",YEAR(A474))</f>
        <v>2026</v>
      </c>
      <c r="N474" s="26" t="str">
        <f>IF(A474="","",CHOOSE(WEEKDAY(A474,2),"Segunda","Terça","Quarta","Quinta","Sexta","Sábado","Domingo"))</f>
        <v>Segunda</v>
      </c>
      <c r="O474" s="26" t="str">
        <f>IF(B474="","",IF(B474&lt;TIME(12,0,0),"Manhã",IF(B474&lt;TIME(18,0,0),"Tarde","Noite")))</f>
        <v>Manhã</v>
      </c>
      <c r="P474" s="32">
        <f>IF(G474="","",IFERROR(INDEX(Config!$I$5:$I$16,MATCH(G474,Config!$H$5:$H$16,0)),0))</f>
        <v>30</v>
      </c>
      <c r="Q474" s="30">
        <f>IF(OR(H474&lt;&gt;"Realizado",P474="",P474=0),"",A474+P474)</f>
        <v>46253.0</v>
      </c>
      <c r="R474" s="26" t="str">
        <f>IF(Q474="","",IF(COUNTIFS($E$5:$E$3004,E474,$A$5:$A$3004,"&gt;"&amp;A474,$H$5:$H$3004,"&lt;&gt;Falta",$H$5:$H$3004,"&lt;&gt;Cancelado",$H$5:$H$3004,"&lt;&gt;Remarcado")&gt;0,"Sim","Não"))</f>
        <v>Sim</v>
      </c>
      <c r="S474" s="32">
        <f>IF(R474&lt;&gt;"Não","",IF(Q474+Config!$B$9&lt;=Config!$B$8,Config!$B$8-Q474,""))</f>
        <v/>
      </c>
      <c r="T474" s="26">
        <f>IF(S474="","","Sim")</f>
        <v/>
      </c>
      <c r="U474" s="41">
        <f>IF(T474="Sim",S474+ROW()/100000,0)</f>
        <v>0</v>
      </c>
      <c r="V474" s="41">
        <f>IF(AND(H474="Falta",L474=Config!$B$7,M474=Config!$B$5,COUNTIFS($E$5:E474,E474,$H$5:H474,"Falta",$L$5:L474,Config!$B$7,$M$5:M474,Config!$B$5)=1),COUNTIFS($E$5:$E$3004,E474,$H$5:$H$3004,"Falta",$L$5:$L$3004,Config!$B$7,$M$5:$M$3004,Config!$B$5)*1000-ROW()/100000,0)</f>
        <v>0</v>
      </c>
    </row>
    <row r="475">
      <c r="A475" s="39" t="n">
        <v>46223</v>
      </c>
      <c r="B475" s="40" t="n">
        <v>0.375</v>
      </c>
      <c r="C475" s="35" t="inlineStr">
        <is>
          <t>Dra. Carolina Mendes</t>
        </is>
      </c>
      <c r="D475" s="35" t="inlineStr">
        <is>
          <t>Sala 1</t>
        </is>
      </c>
      <c r="E475" s="34" t="inlineStr">
        <is>
          <t>Wagner Lima</t>
        </is>
      </c>
      <c r="F475" s="35" t="inlineStr">
        <is>
          <t>Particular</t>
        </is>
      </c>
      <c r="G475" s="35" t="inlineStr">
        <is>
          <t>Retorno</t>
        </is>
      </c>
      <c r="H475" s="35" t="inlineStr">
        <is>
          <t>Realizado</t>
        </is>
      </c>
      <c r="I475" s="35" t="inlineStr">
        <is>
          <t>Sem cobrança</t>
        </is>
      </c>
      <c r="J475" s="35" t="n"/>
      <c r="K475" s="34" t="n"/>
      <c r="L475" s="26">
        <f>IF(A475="","",MONTH(A475))</f>
        <v>7</v>
      </c>
      <c r="M475" s="26">
        <f>IF(A475="","",YEAR(A475))</f>
        <v>2026</v>
      </c>
      <c r="N475" s="26" t="str">
        <f>IF(A475="","",CHOOSE(WEEKDAY(A475,2),"Segunda","Terça","Quarta","Quinta","Sexta","Sábado","Domingo"))</f>
        <v>Segunda</v>
      </c>
      <c r="O475" s="26" t="str">
        <f>IF(B475="","",IF(B475&lt;TIME(12,0,0),"Manhã",IF(B475&lt;TIME(18,0,0),"Tarde","Noite")))</f>
        <v>Manhã</v>
      </c>
      <c r="P475" s="32">
        <f>IF(G475="","",IFERROR(INDEX(Config!$I$5:$I$16,MATCH(G475,Config!$H$5:$H$16,0)),0))</f>
        <v>0</v>
      </c>
      <c r="Q475" s="30">
        <f>IF(OR(H475&lt;&gt;"Realizado",P475="",P475=0),"",A475+P475)</f>
        <v/>
      </c>
      <c r="R475" s="26">
        <f>IF(Q475="","",IF(COUNTIFS($E$5:$E$3004,E475,$A$5:$A$3004,"&gt;"&amp;A475,$H$5:$H$3004,"&lt;&gt;Falta",$H$5:$H$3004,"&lt;&gt;Cancelado",$H$5:$H$3004,"&lt;&gt;Remarcado")&gt;0,"Sim","Não"))</f>
        <v/>
      </c>
      <c r="S475" s="32">
        <f>IF(R475&lt;&gt;"Não","",IF(Q475+Config!$B$9&lt;=Config!$B$8,Config!$B$8-Q475,""))</f>
        <v/>
      </c>
      <c r="T475" s="26">
        <f>IF(S475="","","Sim")</f>
        <v/>
      </c>
      <c r="U475" s="41">
        <f>IF(T475="Sim",S475+ROW()/100000,0)</f>
        <v>0</v>
      </c>
      <c r="V475" s="41">
        <f>IF(AND(H475="Falta",L475=Config!$B$7,M475=Config!$B$5,COUNTIFS($E$5:E475,E475,$H$5:H475,"Falta",$L$5:L475,Config!$B$7,$M$5:M475,Config!$B$5)=1),COUNTIFS($E$5:$E$3004,E475,$H$5:$H$3004,"Falta",$L$5:$L$3004,Config!$B$7,$M$5:$M$3004,Config!$B$5)*1000-ROW()/100000,0)</f>
        <v>0</v>
      </c>
    </row>
    <row r="476">
      <c r="A476" s="39" t="n">
        <v>46223</v>
      </c>
      <c r="B476" s="40" t="n">
        <v>0.3888888888888889</v>
      </c>
      <c r="C476" s="35" t="inlineStr">
        <is>
          <t>Dra. Carolina Mendes</t>
        </is>
      </c>
      <c r="D476" s="35" t="inlineStr">
        <is>
          <t>Sala 1</t>
        </is>
      </c>
      <c r="E476" s="34" t="inlineStr">
        <is>
          <t>Eduardo Lima</t>
        </is>
      </c>
      <c r="F476" s="35" t="inlineStr">
        <is>
          <t>Particular</t>
        </is>
      </c>
      <c r="G476" s="35" t="inlineStr">
        <is>
          <t>Consulta</t>
        </is>
      </c>
      <c r="H476" s="35" t="inlineStr">
        <is>
          <t>Realizado</t>
        </is>
      </c>
      <c r="I476" s="35" t="inlineStr">
        <is>
          <t>Cartão de crédito</t>
        </is>
      </c>
      <c r="J476" s="35" t="n"/>
      <c r="K476" s="34" t="n"/>
      <c r="L476" s="26">
        <f>IF(A476="","",MONTH(A476))</f>
        <v>7</v>
      </c>
      <c r="M476" s="26">
        <f>IF(A476="","",YEAR(A476))</f>
        <v>2026</v>
      </c>
      <c r="N476" s="26" t="str">
        <f>IF(A476="","",CHOOSE(WEEKDAY(A476,2),"Segunda","Terça","Quarta","Quinta","Sexta","Sábado","Domingo"))</f>
        <v>Segunda</v>
      </c>
      <c r="O476" s="26" t="str">
        <f>IF(B476="","",IF(B476&lt;TIME(12,0,0),"Manhã",IF(B476&lt;TIME(18,0,0),"Tarde","Noite")))</f>
        <v>Manhã</v>
      </c>
      <c r="P476" s="32">
        <f>IF(G476="","",IFERROR(INDEX(Config!$I$5:$I$16,MATCH(G476,Config!$H$5:$H$16,0)),0))</f>
        <v>30</v>
      </c>
      <c r="Q476" s="30">
        <f>IF(OR(H476&lt;&gt;"Realizado",P476="",P476=0),"",A476+P476)</f>
        <v>46253.0</v>
      </c>
      <c r="R476" s="26" t="str">
        <f>IF(Q476="","",IF(COUNTIFS($E$5:$E$3004,E476,$A$5:$A$3004,"&gt;"&amp;A476,$H$5:$H$3004,"&lt;&gt;Falta",$H$5:$H$3004,"&lt;&gt;Cancelado",$H$5:$H$3004,"&lt;&gt;Remarcado")&gt;0,"Sim","Não"))</f>
        <v>Sim</v>
      </c>
      <c r="S476" s="32">
        <f>IF(R476&lt;&gt;"Não","",IF(Q476+Config!$B$9&lt;=Config!$B$8,Config!$B$8-Q476,""))</f>
        <v/>
      </c>
      <c r="T476" s="26">
        <f>IF(S476="","","Sim")</f>
        <v/>
      </c>
      <c r="U476" s="41">
        <f>IF(T476="Sim",S476+ROW()/100000,0)</f>
        <v>0</v>
      </c>
      <c r="V476" s="41">
        <f>IF(AND(H476="Falta",L476=Config!$B$7,M476=Config!$B$5,COUNTIFS($E$5:E476,E476,$H$5:H476,"Falta",$L$5:L476,Config!$B$7,$M$5:M476,Config!$B$5)=1),COUNTIFS($E$5:$E$3004,E476,$H$5:$H$3004,"Falta",$L$5:$L$3004,Config!$B$7,$M$5:$M$3004,Config!$B$5)*1000-ROW()/100000,0)</f>
        <v>0</v>
      </c>
    </row>
    <row r="477">
      <c r="A477" s="39" t="n">
        <v>46223</v>
      </c>
      <c r="B477" s="40" t="n">
        <v>0.4097222222222222</v>
      </c>
      <c r="C477" s="35" t="inlineStr">
        <is>
          <t>Dra. Carolina Mendes</t>
        </is>
      </c>
      <c r="D477" s="35" t="inlineStr">
        <is>
          <t>Sala 1</t>
        </is>
      </c>
      <c r="E477" s="34" t="inlineStr">
        <is>
          <t>Gustavo Barbosa</t>
        </is>
      </c>
      <c r="F477" s="35" t="inlineStr">
        <is>
          <t>Saúde Total</t>
        </is>
      </c>
      <c r="G477" s="35" t="inlineStr">
        <is>
          <t>Consulta</t>
        </is>
      </c>
      <c r="H477" s="35" t="inlineStr">
        <is>
          <t>Realizado</t>
        </is>
      </c>
      <c r="I477" s="35" t="inlineStr">
        <is>
          <t>Convênio</t>
        </is>
      </c>
      <c r="J477" s="35" t="n"/>
      <c r="K477" s="34" t="n"/>
      <c r="L477" s="26">
        <f>IF(A477="","",MONTH(A477))</f>
        <v>7</v>
      </c>
      <c r="M477" s="26">
        <f>IF(A477="","",YEAR(A477))</f>
        <v>2026</v>
      </c>
      <c r="N477" s="26" t="str">
        <f>IF(A477="","",CHOOSE(WEEKDAY(A477,2),"Segunda","Terça","Quarta","Quinta","Sexta","Sábado","Domingo"))</f>
        <v>Segunda</v>
      </c>
      <c r="O477" s="26" t="str">
        <f>IF(B477="","",IF(B477&lt;TIME(12,0,0),"Manhã",IF(B477&lt;TIME(18,0,0),"Tarde","Noite")))</f>
        <v>Manhã</v>
      </c>
      <c r="P477" s="32">
        <f>IF(G477="","",IFERROR(INDEX(Config!$I$5:$I$16,MATCH(G477,Config!$H$5:$H$16,0)),0))</f>
        <v>30</v>
      </c>
      <c r="Q477" s="30">
        <f>IF(OR(H477&lt;&gt;"Realizado",P477="",P477=0),"",A477+P477)</f>
        <v>46253.0</v>
      </c>
      <c r="R477" s="26" t="str">
        <f>IF(Q477="","",IF(COUNTIFS($E$5:$E$3004,E477,$A$5:$A$3004,"&gt;"&amp;A477,$H$5:$H$3004,"&lt;&gt;Falta",$H$5:$H$3004,"&lt;&gt;Cancelado",$H$5:$H$3004,"&lt;&gt;Remarcado")&gt;0,"Sim","Não"))</f>
        <v>Sim</v>
      </c>
      <c r="S477" s="32">
        <f>IF(R477&lt;&gt;"Não","",IF(Q477+Config!$B$9&lt;=Config!$B$8,Config!$B$8-Q477,""))</f>
        <v/>
      </c>
      <c r="T477" s="26">
        <f>IF(S477="","","Sim")</f>
        <v/>
      </c>
      <c r="U477" s="41">
        <f>IF(T477="Sim",S477+ROW()/100000,0)</f>
        <v>0</v>
      </c>
      <c r="V477" s="41">
        <f>IF(AND(H477="Falta",L477=Config!$B$7,M477=Config!$B$5,COUNTIFS($E$5:E477,E477,$H$5:H477,"Falta",$L$5:L477,Config!$B$7,$M$5:M477,Config!$B$5)=1),COUNTIFS($E$5:$E$3004,E477,$H$5:$H$3004,"Falta",$L$5:$L$3004,Config!$B$7,$M$5:$M$3004,Config!$B$5)*1000-ROW()/100000,0)</f>
        <v>0</v>
      </c>
    </row>
    <row r="478">
      <c r="A478" s="39" t="n">
        <v>46223</v>
      </c>
      <c r="B478" s="40" t="n">
        <v>0.4305555555555556</v>
      </c>
      <c r="C478" s="35" t="inlineStr">
        <is>
          <t>Dra. Carolina Mendes</t>
        </is>
      </c>
      <c r="D478" s="35" t="inlineStr">
        <is>
          <t>Sala 1</t>
        </is>
      </c>
      <c r="E478" s="34" t="inlineStr">
        <is>
          <t>Rafael Dias</t>
        </is>
      </c>
      <c r="F478" s="35" t="inlineStr">
        <is>
          <t>Particular</t>
        </is>
      </c>
      <c r="G478" s="35" t="inlineStr">
        <is>
          <t>Consulta</t>
        </is>
      </c>
      <c r="H478" s="35" t="inlineStr">
        <is>
          <t>Realizado</t>
        </is>
      </c>
      <c r="I478" s="35" t="inlineStr">
        <is>
          <t>Pix</t>
        </is>
      </c>
      <c r="J478" s="35" t="n"/>
      <c r="K478" s="34" t="n"/>
      <c r="L478" s="26">
        <f>IF(A478="","",MONTH(A478))</f>
        <v>7</v>
      </c>
      <c r="M478" s="26">
        <f>IF(A478="","",YEAR(A478))</f>
        <v>2026</v>
      </c>
      <c r="N478" s="26" t="str">
        <f>IF(A478="","",CHOOSE(WEEKDAY(A478,2),"Segunda","Terça","Quarta","Quinta","Sexta","Sábado","Domingo"))</f>
        <v>Segunda</v>
      </c>
      <c r="O478" s="26" t="str">
        <f>IF(B478="","",IF(B478&lt;TIME(12,0,0),"Manhã",IF(B478&lt;TIME(18,0,0),"Tarde","Noite")))</f>
        <v>Manhã</v>
      </c>
      <c r="P478" s="32">
        <f>IF(G478="","",IFERROR(INDEX(Config!$I$5:$I$16,MATCH(G478,Config!$H$5:$H$16,0)),0))</f>
        <v>30</v>
      </c>
      <c r="Q478" s="30">
        <f>IF(OR(H478&lt;&gt;"Realizado",P478="",P478=0),"",A478+P478)</f>
        <v>46253.0</v>
      </c>
      <c r="R478" s="26" t="str">
        <f>IF(Q478="","",IF(COUNTIFS($E$5:$E$3004,E478,$A$5:$A$3004,"&gt;"&amp;A478,$H$5:$H$3004,"&lt;&gt;Falta",$H$5:$H$3004,"&lt;&gt;Cancelado",$H$5:$H$3004,"&lt;&gt;Remarcado")&gt;0,"Sim","Não"))</f>
        <v>Sim</v>
      </c>
      <c r="S478" s="32">
        <f>IF(R478&lt;&gt;"Não","",IF(Q478+Config!$B$9&lt;=Config!$B$8,Config!$B$8-Q478,""))</f>
        <v/>
      </c>
      <c r="T478" s="26">
        <f>IF(S478="","","Sim")</f>
        <v/>
      </c>
      <c r="U478" s="41">
        <f>IF(T478="Sim",S478+ROW()/100000,0)</f>
        <v>0</v>
      </c>
      <c r="V478" s="41">
        <f>IF(AND(H478="Falta",L478=Config!$B$7,M478=Config!$B$5,COUNTIFS($E$5:E478,E478,$H$5:H478,"Falta",$L$5:L478,Config!$B$7,$M$5:M478,Config!$B$5)=1),COUNTIFS($E$5:$E$3004,E478,$H$5:$H$3004,"Falta",$L$5:$L$3004,Config!$B$7,$M$5:$M$3004,Config!$B$5)*1000-ROW()/100000,0)</f>
        <v>0</v>
      </c>
    </row>
    <row r="479">
      <c r="A479" s="39" t="n">
        <v>46223</v>
      </c>
      <c r="B479" s="40" t="n">
        <v>0.4513888888888889</v>
      </c>
      <c r="C479" s="35" t="inlineStr">
        <is>
          <t>Dra. Carolina Mendes</t>
        </is>
      </c>
      <c r="D479" s="35" t="inlineStr">
        <is>
          <t>Sala 1</t>
        </is>
      </c>
      <c r="E479" s="34" t="inlineStr">
        <is>
          <t>Isabela Pinto</t>
        </is>
      </c>
      <c r="F479" s="35" t="inlineStr">
        <is>
          <t>Saúde Total</t>
        </is>
      </c>
      <c r="G479" s="35" t="inlineStr">
        <is>
          <t>Consulta</t>
        </is>
      </c>
      <c r="H479" s="35" t="inlineStr">
        <is>
          <t>Realizado</t>
        </is>
      </c>
      <c r="I479" s="35" t="inlineStr">
        <is>
          <t>Convênio</t>
        </is>
      </c>
      <c r="J479" s="35" t="n"/>
      <c r="K479" s="34" t="n"/>
      <c r="L479" s="26">
        <f>IF(A479="","",MONTH(A479))</f>
        <v>7</v>
      </c>
      <c r="M479" s="26">
        <f>IF(A479="","",YEAR(A479))</f>
        <v>2026</v>
      </c>
      <c r="N479" s="26" t="str">
        <f>IF(A479="","",CHOOSE(WEEKDAY(A479,2),"Segunda","Terça","Quarta","Quinta","Sexta","Sábado","Domingo"))</f>
        <v>Segunda</v>
      </c>
      <c r="O479" s="26" t="str">
        <f>IF(B479="","",IF(B479&lt;TIME(12,0,0),"Manhã",IF(B479&lt;TIME(18,0,0),"Tarde","Noite")))</f>
        <v>Manhã</v>
      </c>
      <c r="P479" s="32">
        <f>IF(G479="","",IFERROR(INDEX(Config!$I$5:$I$16,MATCH(G479,Config!$H$5:$H$16,0)),0))</f>
        <v>30</v>
      </c>
      <c r="Q479" s="30">
        <f>IF(OR(H479&lt;&gt;"Realizado",P479="",P479=0),"",A479+P479)</f>
        <v>46253.0</v>
      </c>
      <c r="R479" s="26" t="str">
        <f>IF(Q479="","",IF(COUNTIFS($E$5:$E$3004,E479,$A$5:$A$3004,"&gt;"&amp;A479,$H$5:$H$3004,"&lt;&gt;Falta",$H$5:$H$3004,"&lt;&gt;Cancelado",$H$5:$H$3004,"&lt;&gt;Remarcado")&gt;0,"Sim","Não"))</f>
        <v>Sim</v>
      </c>
      <c r="S479" s="32">
        <f>IF(R479&lt;&gt;"Não","",IF(Q479+Config!$B$9&lt;=Config!$B$8,Config!$B$8-Q479,""))</f>
        <v/>
      </c>
      <c r="T479" s="26">
        <f>IF(S479="","","Sim")</f>
        <v/>
      </c>
      <c r="U479" s="41">
        <f>IF(T479="Sim",S479+ROW()/100000,0)</f>
        <v>0</v>
      </c>
      <c r="V479" s="41">
        <f>IF(AND(H479="Falta",L479=Config!$B$7,M479=Config!$B$5,COUNTIFS($E$5:E479,E479,$H$5:H479,"Falta",$L$5:L479,Config!$B$7,$M$5:M479,Config!$B$5)=1),COUNTIFS($E$5:$E$3004,E479,$H$5:$H$3004,"Falta",$L$5:$L$3004,Config!$B$7,$M$5:$M$3004,Config!$B$5)*1000-ROW()/100000,0)</f>
        <v>0</v>
      </c>
    </row>
    <row r="480">
      <c r="A480" s="39" t="n">
        <v>46223</v>
      </c>
      <c r="B480" s="40" t="n">
        <v>0.4722222222222222</v>
      </c>
      <c r="C480" s="35" t="inlineStr">
        <is>
          <t>Dra. Carolina Mendes</t>
        </is>
      </c>
      <c r="D480" s="35" t="inlineStr">
        <is>
          <t>Sala 1</t>
        </is>
      </c>
      <c r="E480" s="34" t="inlineStr">
        <is>
          <t>Cláudia Santos</t>
        </is>
      </c>
      <c r="F480" s="35" t="inlineStr">
        <is>
          <t>Particular</t>
        </is>
      </c>
      <c r="G480" s="35" t="inlineStr">
        <is>
          <t>Consulta</t>
        </is>
      </c>
      <c r="H480" s="35" t="inlineStr">
        <is>
          <t>Realizado</t>
        </is>
      </c>
      <c r="I480" s="35" t="inlineStr">
        <is>
          <t>A prazo</t>
        </is>
      </c>
      <c r="J480" s="35" t="n"/>
      <c r="K480" s="34" t="n"/>
      <c r="L480" s="26">
        <f>IF(A480="","",MONTH(A480))</f>
        <v>7</v>
      </c>
      <c r="M480" s="26">
        <f>IF(A480="","",YEAR(A480))</f>
        <v>2026</v>
      </c>
      <c r="N480" s="26" t="str">
        <f>IF(A480="","",CHOOSE(WEEKDAY(A480,2),"Segunda","Terça","Quarta","Quinta","Sexta","Sábado","Domingo"))</f>
        <v>Segunda</v>
      </c>
      <c r="O480" s="26" t="str">
        <f>IF(B480="","",IF(B480&lt;TIME(12,0,0),"Manhã",IF(B480&lt;TIME(18,0,0),"Tarde","Noite")))</f>
        <v>Manhã</v>
      </c>
      <c r="P480" s="32">
        <f>IF(G480="","",IFERROR(INDEX(Config!$I$5:$I$16,MATCH(G480,Config!$H$5:$H$16,0)),0))</f>
        <v>30</v>
      </c>
      <c r="Q480" s="30">
        <f>IF(OR(H480&lt;&gt;"Realizado",P480="",P480=0),"",A480+P480)</f>
        <v>46253.0</v>
      </c>
      <c r="R480" s="26" t="str">
        <f>IF(Q480="","",IF(COUNTIFS($E$5:$E$3004,E480,$A$5:$A$3004,"&gt;"&amp;A480,$H$5:$H$3004,"&lt;&gt;Falta",$H$5:$H$3004,"&lt;&gt;Cancelado",$H$5:$H$3004,"&lt;&gt;Remarcado")&gt;0,"Sim","Não"))</f>
        <v>Sim</v>
      </c>
      <c r="S480" s="32">
        <f>IF(R480&lt;&gt;"Não","",IF(Q480+Config!$B$9&lt;=Config!$B$8,Config!$B$8-Q480,""))</f>
        <v/>
      </c>
      <c r="T480" s="26">
        <f>IF(S480="","","Sim")</f>
        <v/>
      </c>
      <c r="U480" s="41">
        <f>IF(T480="Sim",S480+ROW()/100000,0)</f>
        <v>0</v>
      </c>
      <c r="V480" s="41">
        <f>IF(AND(H480="Falta",L480=Config!$B$7,M480=Config!$B$5,COUNTIFS($E$5:E480,E480,$H$5:H480,"Falta",$L$5:L480,Config!$B$7,$M$5:M480,Config!$B$5)=1),COUNTIFS($E$5:$E$3004,E480,$H$5:$H$3004,"Falta",$L$5:$L$3004,Config!$B$7,$M$5:$M$3004,Config!$B$5)*1000-ROW()/100000,0)</f>
        <v>0</v>
      </c>
    </row>
    <row r="481">
      <c r="A481" s="39" t="n">
        <v>46223</v>
      </c>
      <c r="B481" s="40" t="n">
        <v>0.5833333333333334</v>
      </c>
      <c r="C481" s="35" t="inlineStr">
        <is>
          <t>Dr. Paulo Andrade</t>
        </is>
      </c>
      <c r="D481" s="35" t="inlineStr">
        <is>
          <t>Sala 2</t>
        </is>
      </c>
      <c r="E481" s="34" t="inlineStr">
        <is>
          <t>Henrique Santos</t>
        </is>
      </c>
      <c r="F481" s="35" t="inlineStr">
        <is>
          <t>Vida Care</t>
        </is>
      </c>
      <c r="G481" s="35" t="inlineStr">
        <is>
          <t>Consulta</t>
        </is>
      </c>
      <c r="H481" s="35" t="inlineStr">
        <is>
          <t>Realizado</t>
        </is>
      </c>
      <c r="I481" s="35" t="inlineStr">
        <is>
          <t>Convênio</t>
        </is>
      </c>
      <c r="J481" s="35" t="n"/>
      <c r="K481" s="34" t="n"/>
      <c r="L481" s="26">
        <f>IF(A481="","",MONTH(A481))</f>
        <v>7</v>
      </c>
      <c r="M481" s="26">
        <f>IF(A481="","",YEAR(A481))</f>
        <v>2026</v>
      </c>
      <c r="N481" s="26" t="str">
        <f>IF(A481="","",CHOOSE(WEEKDAY(A481,2),"Segunda","Terça","Quarta","Quinta","Sexta","Sábado","Domingo"))</f>
        <v>Segunda</v>
      </c>
      <c r="O481" s="26" t="str">
        <f>IF(B481="","",IF(B481&lt;TIME(12,0,0),"Manhã",IF(B481&lt;TIME(18,0,0),"Tarde","Noite")))</f>
        <v>Tarde</v>
      </c>
      <c r="P481" s="32">
        <f>IF(G481="","",IFERROR(INDEX(Config!$I$5:$I$16,MATCH(G481,Config!$H$5:$H$16,0)),0))</f>
        <v>30</v>
      </c>
      <c r="Q481" s="30">
        <f>IF(OR(H481&lt;&gt;"Realizado",P481="",P481=0),"",A481+P481)</f>
        <v>46253.0</v>
      </c>
      <c r="R481" s="26" t="str">
        <f>IF(Q481="","",IF(COUNTIFS($E$5:$E$3004,E481,$A$5:$A$3004,"&gt;"&amp;A481,$H$5:$H$3004,"&lt;&gt;Falta",$H$5:$H$3004,"&lt;&gt;Cancelado",$H$5:$H$3004,"&lt;&gt;Remarcado")&gt;0,"Sim","Não"))</f>
        <v>Sim</v>
      </c>
      <c r="S481" s="32">
        <f>IF(R481&lt;&gt;"Não","",IF(Q481+Config!$B$9&lt;=Config!$B$8,Config!$B$8-Q481,""))</f>
        <v/>
      </c>
      <c r="T481" s="26">
        <f>IF(S481="","","Sim")</f>
        <v/>
      </c>
      <c r="U481" s="41">
        <f>IF(T481="Sim",S481+ROW()/100000,0)</f>
        <v>0</v>
      </c>
      <c r="V481" s="41">
        <f>IF(AND(H481="Falta",L481=Config!$B$7,M481=Config!$B$5,COUNTIFS($E$5:E481,E481,$H$5:H481,"Falta",$L$5:L481,Config!$B$7,$M$5:M481,Config!$B$5)=1),COUNTIFS($E$5:$E$3004,E481,$H$5:$H$3004,"Falta",$L$5:$L$3004,Config!$B$7,$M$5:$M$3004,Config!$B$5)*1000-ROW()/100000,0)</f>
        <v>0</v>
      </c>
    </row>
    <row r="482">
      <c r="A482" s="39" t="n">
        <v>46223</v>
      </c>
      <c r="B482" s="40" t="n">
        <v>0.6041666666666666</v>
      </c>
      <c r="C482" s="35" t="inlineStr">
        <is>
          <t>Dr. Paulo Andrade</t>
        </is>
      </c>
      <c r="D482" s="35" t="inlineStr">
        <is>
          <t>Sala 2</t>
        </is>
      </c>
      <c r="E482" s="34" t="inlineStr">
        <is>
          <t>Leandro Cardoso</t>
        </is>
      </c>
      <c r="F482" s="35" t="inlineStr">
        <is>
          <t>MediPlan</t>
        </is>
      </c>
      <c r="G482" s="35" t="inlineStr">
        <is>
          <t>Retorno</t>
        </is>
      </c>
      <c r="H482" s="35" t="inlineStr">
        <is>
          <t>Realizado</t>
        </is>
      </c>
      <c r="I482" s="35" t="inlineStr">
        <is>
          <t>Sem cobrança</t>
        </is>
      </c>
      <c r="J482" s="35" t="n"/>
      <c r="K482" s="34" t="n"/>
      <c r="L482" s="26">
        <f>IF(A482="","",MONTH(A482))</f>
        <v>7</v>
      </c>
      <c r="M482" s="26">
        <f>IF(A482="","",YEAR(A482))</f>
        <v>2026</v>
      </c>
      <c r="N482" s="26" t="str">
        <f>IF(A482="","",CHOOSE(WEEKDAY(A482,2),"Segunda","Terça","Quarta","Quinta","Sexta","Sábado","Domingo"))</f>
        <v>Segunda</v>
      </c>
      <c r="O482" s="26" t="str">
        <f>IF(B482="","",IF(B482&lt;TIME(12,0,0),"Manhã",IF(B482&lt;TIME(18,0,0),"Tarde","Noite")))</f>
        <v>Tarde</v>
      </c>
      <c r="P482" s="32">
        <f>IF(G482="","",IFERROR(INDEX(Config!$I$5:$I$16,MATCH(G482,Config!$H$5:$H$16,0)),0))</f>
        <v>0</v>
      </c>
      <c r="Q482" s="30">
        <f>IF(OR(H482&lt;&gt;"Realizado",P482="",P482=0),"",A482+P482)</f>
        <v/>
      </c>
      <c r="R482" s="26">
        <f>IF(Q482="","",IF(COUNTIFS($E$5:$E$3004,E482,$A$5:$A$3004,"&gt;"&amp;A482,$H$5:$H$3004,"&lt;&gt;Falta",$H$5:$H$3004,"&lt;&gt;Cancelado",$H$5:$H$3004,"&lt;&gt;Remarcado")&gt;0,"Sim","Não"))</f>
        <v/>
      </c>
      <c r="S482" s="32">
        <f>IF(R482&lt;&gt;"Não","",IF(Q482+Config!$B$9&lt;=Config!$B$8,Config!$B$8-Q482,""))</f>
        <v/>
      </c>
      <c r="T482" s="26">
        <f>IF(S482="","","Sim")</f>
        <v/>
      </c>
      <c r="U482" s="41">
        <f>IF(T482="Sim",S482+ROW()/100000,0)</f>
        <v>0</v>
      </c>
      <c r="V482" s="41">
        <f>IF(AND(H482="Falta",L482=Config!$B$7,M482=Config!$B$5,COUNTIFS($E$5:E482,E482,$H$5:H482,"Falta",$L$5:L482,Config!$B$7,$M$5:M482,Config!$B$5)=1),COUNTIFS($E$5:$E$3004,E482,$H$5:$H$3004,"Falta",$L$5:$L$3004,Config!$B$7,$M$5:$M$3004,Config!$B$5)*1000-ROW()/100000,0)</f>
        <v>0</v>
      </c>
    </row>
    <row r="483">
      <c r="A483" s="39" t="n">
        <v>46223</v>
      </c>
      <c r="B483" s="40" t="n">
        <v>0.6180555555555556</v>
      </c>
      <c r="C483" s="35" t="inlineStr">
        <is>
          <t>Dr. Paulo Andrade</t>
        </is>
      </c>
      <c r="D483" s="35" t="inlineStr">
        <is>
          <t>Sala 2</t>
        </is>
      </c>
      <c r="E483" s="34" t="inlineStr">
        <is>
          <t>Rafael Araújo</t>
        </is>
      </c>
      <c r="F483" s="35" t="inlineStr">
        <is>
          <t>MediPlan</t>
        </is>
      </c>
      <c r="G483" s="35" t="inlineStr">
        <is>
          <t>Retorno</t>
        </is>
      </c>
      <c r="H483" s="35" t="inlineStr">
        <is>
          <t>Realizado</t>
        </is>
      </c>
      <c r="I483" s="35" t="inlineStr">
        <is>
          <t>Sem cobrança</t>
        </is>
      </c>
      <c r="J483" s="35" t="n"/>
      <c r="K483" s="34" t="n"/>
      <c r="L483" s="26">
        <f>IF(A483="","",MONTH(A483))</f>
        <v>7</v>
      </c>
      <c r="M483" s="26">
        <f>IF(A483="","",YEAR(A483))</f>
        <v>2026</v>
      </c>
      <c r="N483" s="26" t="str">
        <f>IF(A483="","",CHOOSE(WEEKDAY(A483,2),"Segunda","Terça","Quarta","Quinta","Sexta","Sábado","Domingo"))</f>
        <v>Segunda</v>
      </c>
      <c r="O483" s="26" t="str">
        <f>IF(B483="","",IF(B483&lt;TIME(12,0,0),"Manhã",IF(B483&lt;TIME(18,0,0),"Tarde","Noite")))</f>
        <v>Tarde</v>
      </c>
      <c r="P483" s="32">
        <f>IF(G483="","",IFERROR(INDEX(Config!$I$5:$I$16,MATCH(G483,Config!$H$5:$H$16,0)),0))</f>
        <v>0</v>
      </c>
      <c r="Q483" s="30">
        <f>IF(OR(H483&lt;&gt;"Realizado",P483="",P483=0),"",A483+P483)</f>
        <v/>
      </c>
      <c r="R483" s="26">
        <f>IF(Q483="","",IF(COUNTIFS($E$5:$E$3004,E483,$A$5:$A$3004,"&gt;"&amp;A483,$H$5:$H$3004,"&lt;&gt;Falta",$H$5:$H$3004,"&lt;&gt;Cancelado",$H$5:$H$3004,"&lt;&gt;Remarcado")&gt;0,"Sim","Não"))</f>
        <v/>
      </c>
      <c r="S483" s="32">
        <f>IF(R483&lt;&gt;"Não","",IF(Q483+Config!$B$9&lt;=Config!$B$8,Config!$B$8-Q483,""))</f>
        <v/>
      </c>
      <c r="T483" s="26">
        <f>IF(S483="","","Sim")</f>
        <v/>
      </c>
      <c r="U483" s="41">
        <f>IF(T483="Sim",S483+ROW()/100000,0)</f>
        <v>0</v>
      </c>
      <c r="V483" s="41">
        <f>IF(AND(H483="Falta",L483=Config!$B$7,M483=Config!$B$5,COUNTIFS($E$5:E483,E483,$H$5:H483,"Falta",$L$5:L483,Config!$B$7,$M$5:M483,Config!$B$5)=1),COUNTIFS($E$5:$E$3004,E483,$H$5:$H$3004,"Falta",$L$5:$L$3004,Config!$B$7,$M$5:$M$3004,Config!$B$5)*1000-ROW()/100000,0)</f>
        <v>0</v>
      </c>
    </row>
    <row r="484">
      <c r="A484" s="39" t="n">
        <v>46223</v>
      </c>
      <c r="B484" s="40" t="n">
        <v>0.6527777777777778</v>
      </c>
      <c r="C484" s="35" t="inlineStr">
        <is>
          <t>Dr. Paulo Andrade</t>
        </is>
      </c>
      <c r="D484" s="35" t="inlineStr">
        <is>
          <t>Sala 2</t>
        </is>
      </c>
      <c r="E484" s="34" t="inlineStr">
        <is>
          <t>Gisele Lima</t>
        </is>
      </c>
      <c r="F484" s="35" t="inlineStr">
        <is>
          <t>Saúde Total</t>
        </is>
      </c>
      <c r="G484" s="35" t="inlineStr">
        <is>
          <t>Retorno</t>
        </is>
      </c>
      <c r="H484" s="35" t="inlineStr">
        <is>
          <t>Realizado</t>
        </is>
      </c>
      <c r="I484" s="35" t="inlineStr">
        <is>
          <t>Sem cobrança</t>
        </is>
      </c>
      <c r="J484" s="35" t="n"/>
      <c r="K484" s="34" t="n"/>
      <c r="L484" s="26">
        <f>IF(A484="","",MONTH(A484))</f>
        <v>7</v>
      </c>
      <c r="M484" s="26">
        <f>IF(A484="","",YEAR(A484))</f>
        <v>2026</v>
      </c>
      <c r="N484" s="26" t="str">
        <f>IF(A484="","",CHOOSE(WEEKDAY(A484,2),"Segunda","Terça","Quarta","Quinta","Sexta","Sábado","Domingo"))</f>
        <v>Segunda</v>
      </c>
      <c r="O484" s="26" t="str">
        <f>IF(B484="","",IF(B484&lt;TIME(12,0,0),"Manhã",IF(B484&lt;TIME(18,0,0),"Tarde","Noite")))</f>
        <v>Tarde</v>
      </c>
      <c r="P484" s="32">
        <f>IF(G484="","",IFERROR(INDEX(Config!$I$5:$I$16,MATCH(G484,Config!$H$5:$H$16,0)),0))</f>
        <v>0</v>
      </c>
      <c r="Q484" s="30">
        <f>IF(OR(H484&lt;&gt;"Realizado",P484="",P484=0),"",A484+P484)</f>
        <v/>
      </c>
      <c r="R484" s="26">
        <f>IF(Q484="","",IF(COUNTIFS($E$5:$E$3004,E484,$A$5:$A$3004,"&gt;"&amp;A484,$H$5:$H$3004,"&lt;&gt;Falta",$H$5:$H$3004,"&lt;&gt;Cancelado",$H$5:$H$3004,"&lt;&gt;Remarcado")&gt;0,"Sim","Não"))</f>
        <v/>
      </c>
      <c r="S484" s="32">
        <f>IF(R484&lt;&gt;"Não","",IF(Q484+Config!$B$9&lt;=Config!$B$8,Config!$B$8-Q484,""))</f>
        <v/>
      </c>
      <c r="T484" s="26">
        <f>IF(S484="","","Sim")</f>
        <v/>
      </c>
      <c r="U484" s="41">
        <f>IF(T484="Sim",S484+ROW()/100000,0)</f>
        <v>0</v>
      </c>
      <c r="V484" s="41">
        <f>IF(AND(H484="Falta",L484=Config!$B$7,M484=Config!$B$5,COUNTIFS($E$5:E484,E484,$H$5:H484,"Falta",$L$5:L484,Config!$B$7,$M$5:M484,Config!$B$5)=1),COUNTIFS($E$5:$E$3004,E484,$H$5:$H$3004,"Falta",$L$5:$L$3004,Config!$B$7,$M$5:$M$3004,Config!$B$5)*1000-ROW()/100000,0)</f>
        <v>0</v>
      </c>
    </row>
    <row r="485">
      <c r="A485" s="39" t="n">
        <v>46223</v>
      </c>
      <c r="B485" s="40" t="n">
        <v>0.6666666666666666</v>
      </c>
      <c r="C485" s="35" t="inlineStr">
        <is>
          <t>Dr. Paulo Andrade</t>
        </is>
      </c>
      <c r="D485" s="35" t="inlineStr">
        <is>
          <t>Sala 2</t>
        </is>
      </c>
      <c r="E485" s="34" t="inlineStr">
        <is>
          <t>Débora Ramos</t>
        </is>
      </c>
      <c r="F485" s="35" t="inlineStr">
        <is>
          <t>Particular</t>
        </is>
      </c>
      <c r="G485" s="35" t="inlineStr">
        <is>
          <t>Teste ergométrico</t>
        </is>
      </c>
      <c r="H485" s="35" t="inlineStr">
        <is>
          <t>Realizado</t>
        </is>
      </c>
      <c r="I485" s="35" t="inlineStr">
        <is>
          <t>Pix</t>
        </is>
      </c>
      <c r="J485" s="35" t="n"/>
      <c r="K485" s="34" t="n"/>
      <c r="L485" s="26">
        <f>IF(A485="","",MONTH(A485))</f>
        <v>7</v>
      </c>
      <c r="M485" s="26">
        <f>IF(A485="","",YEAR(A485))</f>
        <v>2026</v>
      </c>
      <c r="N485" s="26" t="str">
        <f>IF(A485="","",CHOOSE(WEEKDAY(A485,2),"Segunda","Terça","Quarta","Quinta","Sexta","Sábado","Domingo"))</f>
        <v>Segunda</v>
      </c>
      <c r="O485" s="26" t="str">
        <f>IF(B485="","",IF(B485&lt;TIME(12,0,0),"Manhã",IF(B485&lt;TIME(18,0,0),"Tarde","Noite")))</f>
        <v>Tarde</v>
      </c>
      <c r="P485" s="32">
        <f>IF(G485="","",IFERROR(INDEX(Config!$I$5:$I$16,MATCH(G485,Config!$H$5:$H$16,0)),0))</f>
        <v>0</v>
      </c>
      <c r="Q485" s="30">
        <f>IF(OR(H485&lt;&gt;"Realizado",P485="",P485=0),"",A485+P485)</f>
        <v/>
      </c>
      <c r="R485" s="26">
        <f>IF(Q485="","",IF(COUNTIFS($E$5:$E$3004,E485,$A$5:$A$3004,"&gt;"&amp;A485,$H$5:$H$3004,"&lt;&gt;Falta",$H$5:$H$3004,"&lt;&gt;Cancelado",$H$5:$H$3004,"&lt;&gt;Remarcado")&gt;0,"Sim","Não"))</f>
        <v/>
      </c>
      <c r="S485" s="32">
        <f>IF(R485&lt;&gt;"Não","",IF(Q485+Config!$B$9&lt;=Config!$B$8,Config!$B$8-Q485,""))</f>
        <v/>
      </c>
      <c r="T485" s="26">
        <f>IF(S485="","","Sim")</f>
        <v/>
      </c>
      <c r="U485" s="41">
        <f>IF(T485="Sim",S485+ROW()/100000,0)</f>
        <v>0</v>
      </c>
      <c r="V485" s="41">
        <f>IF(AND(H485="Falta",L485=Config!$B$7,M485=Config!$B$5,COUNTIFS($E$5:E485,E485,$H$5:H485,"Falta",$L$5:L485,Config!$B$7,$M$5:M485,Config!$B$5)=1),COUNTIFS($E$5:$E$3004,E485,$H$5:$H$3004,"Falta",$L$5:$L$3004,Config!$B$7,$M$5:$M$3004,Config!$B$5)*1000-ROW()/100000,0)</f>
        <v>0</v>
      </c>
    </row>
    <row r="486">
      <c r="A486" s="39" t="n">
        <v>46223</v>
      </c>
      <c r="B486" s="40" t="n">
        <v>0.6944444444444444</v>
      </c>
      <c r="C486" s="35" t="inlineStr">
        <is>
          <t>Dr. Paulo Andrade</t>
        </is>
      </c>
      <c r="D486" s="35" t="inlineStr">
        <is>
          <t>Sala 2</t>
        </is>
      </c>
      <c r="E486" s="34" t="inlineStr">
        <is>
          <t>Fábio Martins</t>
        </is>
      </c>
      <c r="F486" s="35" t="inlineStr">
        <is>
          <t>MediPlan</t>
        </is>
      </c>
      <c r="G486" s="35" t="inlineStr">
        <is>
          <t>Retorno</t>
        </is>
      </c>
      <c r="H486" s="35" t="inlineStr">
        <is>
          <t>Realizado</t>
        </is>
      </c>
      <c r="I486" s="35" t="inlineStr">
        <is>
          <t>Sem cobrança</t>
        </is>
      </c>
      <c r="J486" s="35" t="n"/>
      <c r="K486" s="34" t="n"/>
      <c r="L486" s="26">
        <f>IF(A486="","",MONTH(A486))</f>
        <v>7</v>
      </c>
      <c r="M486" s="26">
        <f>IF(A486="","",YEAR(A486))</f>
        <v>2026</v>
      </c>
      <c r="N486" s="26" t="str">
        <f>IF(A486="","",CHOOSE(WEEKDAY(A486,2),"Segunda","Terça","Quarta","Quinta","Sexta","Sábado","Domingo"))</f>
        <v>Segunda</v>
      </c>
      <c r="O486" s="26" t="str">
        <f>IF(B486="","",IF(B486&lt;TIME(12,0,0),"Manhã",IF(B486&lt;TIME(18,0,0),"Tarde","Noite")))</f>
        <v>Tarde</v>
      </c>
      <c r="P486" s="32">
        <f>IF(G486="","",IFERROR(INDEX(Config!$I$5:$I$16,MATCH(G486,Config!$H$5:$H$16,0)),0))</f>
        <v>0</v>
      </c>
      <c r="Q486" s="30">
        <f>IF(OR(H486&lt;&gt;"Realizado",P486="",P486=0),"",A486+P486)</f>
        <v/>
      </c>
      <c r="R486" s="26">
        <f>IF(Q486="","",IF(COUNTIFS($E$5:$E$3004,E486,$A$5:$A$3004,"&gt;"&amp;A486,$H$5:$H$3004,"&lt;&gt;Falta",$H$5:$H$3004,"&lt;&gt;Cancelado",$H$5:$H$3004,"&lt;&gt;Remarcado")&gt;0,"Sim","Não"))</f>
        <v/>
      </c>
      <c r="S486" s="32">
        <f>IF(R486&lt;&gt;"Não","",IF(Q486+Config!$B$9&lt;=Config!$B$8,Config!$B$8-Q486,""))</f>
        <v/>
      </c>
      <c r="T486" s="26">
        <f>IF(S486="","","Sim")</f>
        <v/>
      </c>
      <c r="U486" s="41">
        <f>IF(T486="Sim",S486+ROW()/100000,0)</f>
        <v>0</v>
      </c>
      <c r="V486" s="41">
        <f>IF(AND(H486="Falta",L486=Config!$B$7,M486=Config!$B$5,COUNTIFS($E$5:E486,E486,$H$5:H486,"Falta",$L$5:L486,Config!$B$7,$M$5:M486,Config!$B$5)=1),COUNTIFS($E$5:$E$3004,E486,$H$5:$H$3004,"Falta",$L$5:$L$3004,Config!$B$7,$M$5:$M$3004,Config!$B$5)*1000-ROW()/100000,0)</f>
        <v>0</v>
      </c>
    </row>
    <row r="487">
      <c r="A487" s="39" t="n">
        <v>46223</v>
      </c>
      <c r="B487" s="40" t="n">
        <v>0.7083333333333334</v>
      </c>
      <c r="C487" s="35" t="inlineStr">
        <is>
          <t>Dr. Paulo Andrade</t>
        </is>
      </c>
      <c r="D487" s="35" t="inlineStr">
        <is>
          <t>Sala 2</t>
        </is>
      </c>
      <c r="E487" s="34" t="inlineStr">
        <is>
          <t>Fábio Correia</t>
        </is>
      </c>
      <c r="F487" s="35" t="inlineStr">
        <is>
          <t>Particular</t>
        </is>
      </c>
      <c r="G487" s="35" t="inlineStr">
        <is>
          <t>Consulta</t>
        </is>
      </c>
      <c r="H487" s="35" t="inlineStr">
        <is>
          <t>Realizado</t>
        </is>
      </c>
      <c r="I487" s="35" t="inlineStr">
        <is>
          <t>Cartão de crédito</t>
        </is>
      </c>
      <c r="J487" s="35" t="n"/>
      <c r="K487" s="34" t="n"/>
      <c r="L487" s="26">
        <f>IF(A487="","",MONTH(A487))</f>
        <v>7</v>
      </c>
      <c r="M487" s="26">
        <f>IF(A487="","",YEAR(A487))</f>
        <v>2026</v>
      </c>
      <c r="N487" s="26" t="str">
        <f>IF(A487="","",CHOOSE(WEEKDAY(A487,2),"Segunda","Terça","Quarta","Quinta","Sexta","Sábado","Domingo"))</f>
        <v>Segunda</v>
      </c>
      <c r="O487" s="26" t="str">
        <f>IF(B487="","",IF(B487&lt;TIME(12,0,0),"Manhã",IF(B487&lt;TIME(18,0,0),"Tarde","Noite")))</f>
        <v>Tarde</v>
      </c>
      <c r="P487" s="32">
        <f>IF(G487="","",IFERROR(INDEX(Config!$I$5:$I$16,MATCH(G487,Config!$H$5:$H$16,0)),0))</f>
        <v>30</v>
      </c>
      <c r="Q487" s="30">
        <f>IF(OR(H487&lt;&gt;"Realizado",P487="",P487=0),"",A487+P487)</f>
        <v>46253.0</v>
      </c>
      <c r="R487" s="26" t="str">
        <f>IF(Q487="","",IF(COUNTIFS($E$5:$E$3004,E487,$A$5:$A$3004,"&gt;"&amp;A487,$H$5:$H$3004,"&lt;&gt;Falta",$H$5:$H$3004,"&lt;&gt;Cancelado",$H$5:$H$3004,"&lt;&gt;Remarcado")&gt;0,"Sim","Não"))</f>
        <v>Sim</v>
      </c>
      <c r="S487" s="32">
        <f>IF(R487&lt;&gt;"Não","",IF(Q487+Config!$B$9&lt;=Config!$B$8,Config!$B$8-Q487,""))</f>
        <v/>
      </c>
      <c r="T487" s="26">
        <f>IF(S487="","","Sim")</f>
        <v/>
      </c>
      <c r="U487" s="41">
        <f>IF(T487="Sim",S487+ROW()/100000,0)</f>
        <v>0</v>
      </c>
      <c r="V487" s="41">
        <f>IF(AND(H487="Falta",L487=Config!$B$7,M487=Config!$B$5,COUNTIFS($E$5:E487,E487,$H$5:H487,"Falta",$L$5:L487,Config!$B$7,$M$5:M487,Config!$B$5)=1),COUNTIFS($E$5:$E$3004,E487,$H$5:$H$3004,"Falta",$L$5:$L$3004,Config!$B$7,$M$5:$M$3004,Config!$B$5)*1000-ROW()/100000,0)</f>
        <v>0</v>
      </c>
    </row>
    <row r="488">
      <c r="A488" s="39" t="n">
        <v>46223</v>
      </c>
      <c r="B488" s="40" t="n">
        <v>0.7291666666666666</v>
      </c>
      <c r="C488" s="35" t="inlineStr">
        <is>
          <t>Dr. Paulo Andrade</t>
        </is>
      </c>
      <c r="D488" s="35" t="inlineStr">
        <is>
          <t>Sala 2</t>
        </is>
      </c>
      <c r="E488" s="34" t="inlineStr">
        <is>
          <t>Natália Xavier</t>
        </is>
      </c>
      <c r="F488" s="35" t="inlineStr">
        <is>
          <t>MediPlan</t>
        </is>
      </c>
      <c r="G488" s="35" t="inlineStr">
        <is>
          <t>Consulta</t>
        </is>
      </c>
      <c r="H488" s="35" t="inlineStr">
        <is>
          <t>Realizado</t>
        </is>
      </c>
      <c r="I488" s="35" t="inlineStr">
        <is>
          <t>Convênio</t>
        </is>
      </c>
      <c r="J488" s="35" t="n"/>
      <c r="K488" s="34" t="n"/>
      <c r="L488" s="26">
        <f>IF(A488="","",MONTH(A488))</f>
        <v>7</v>
      </c>
      <c r="M488" s="26">
        <f>IF(A488="","",YEAR(A488))</f>
        <v>2026</v>
      </c>
      <c r="N488" s="26" t="str">
        <f>IF(A488="","",CHOOSE(WEEKDAY(A488,2),"Segunda","Terça","Quarta","Quinta","Sexta","Sábado","Domingo"))</f>
        <v>Segunda</v>
      </c>
      <c r="O488" s="26" t="str">
        <f>IF(B488="","",IF(B488&lt;TIME(12,0,0),"Manhã",IF(B488&lt;TIME(18,0,0),"Tarde","Noite")))</f>
        <v>Tarde</v>
      </c>
      <c r="P488" s="32">
        <f>IF(G488="","",IFERROR(INDEX(Config!$I$5:$I$16,MATCH(G488,Config!$H$5:$H$16,0)),0))</f>
        <v>30</v>
      </c>
      <c r="Q488" s="30">
        <f>IF(OR(H488&lt;&gt;"Realizado",P488="",P488=0),"",A488+P488)</f>
        <v>46253.0</v>
      </c>
      <c r="R488" s="26" t="str">
        <f>IF(Q488="","",IF(COUNTIFS($E$5:$E$3004,E488,$A$5:$A$3004,"&gt;"&amp;A488,$H$5:$H$3004,"&lt;&gt;Falta",$H$5:$H$3004,"&lt;&gt;Cancelado",$H$5:$H$3004,"&lt;&gt;Remarcado")&gt;0,"Sim","Não"))</f>
        <v>Sim</v>
      </c>
      <c r="S488" s="32">
        <f>IF(R488&lt;&gt;"Não","",IF(Q488+Config!$B$9&lt;=Config!$B$8,Config!$B$8-Q488,""))</f>
        <v/>
      </c>
      <c r="T488" s="26">
        <f>IF(S488="","","Sim")</f>
        <v/>
      </c>
      <c r="U488" s="41">
        <f>IF(T488="Sim",S488+ROW()/100000,0)</f>
        <v>0</v>
      </c>
      <c r="V488" s="41">
        <f>IF(AND(H488="Falta",L488=Config!$B$7,M488=Config!$B$5,COUNTIFS($E$5:E488,E488,$H$5:H488,"Falta",$L$5:L488,Config!$B$7,$M$5:M488,Config!$B$5)=1),COUNTIFS($E$5:$E$3004,E488,$H$5:$H$3004,"Falta",$L$5:$L$3004,Config!$B$7,$M$5:$M$3004,Config!$B$5)*1000-ROW()/100000,0)</f>
        <v>0</v>
      </c>
    </row>
    <row r="489">
      <c r="A489" s="39" t="n">
        <v>46224</v>
      </c>
      <c r="B489" s="40" t="n">
        <v>0.3333333333333333</v>
      </c>
      <c r="C489" s="35" t="inlineStr">
        <is>
          <t>Dra. Carolina Mendes</t>
        </is>
      </c>
      <c r="D489" s="35" t="inlineStr">
        <is>
          <t>Sala 1</t>
        </is>
      </c>
      <c r="E489" s="34" t="inlineStr">
        <is>
          <t>Daniel Melo</t>
        </is>
      </c>
      <c r="F489" s="35" t="inlineStr">
        <is>
          <t>Saúde Total</t>
        </is>
      </c>
      <c r="G489" s="35" t="inlineStr">
        <is>
          <t>Retorno</t>
        </is>
      </c>
      <c r="H489" s="35" t="inlineStr">
        <is>
          <t>Realizado</t>
        </is>
      </c>
      <c r="I489" s="35" t="inlineStr">
        <is>
          <t>Sem cobrança</t>
        </is>
      </c>
      <c r="J489" s="35" t="n"/>
      <c r="K489" s="34" t="n"/>
      <c r="L489" s="26">
        <f>IF(A489="","",MONTH(A489))</f>
        <v>7</v>
      </c>
      <c r="M489" s="26">
        <f>IF(A489="","",YEAR(A489))</f>
        <v>2026</v>
      </c>
      <c r="N489" s="26" t="str">
        <f>IF(A489="","",CHOOSE(WEEKDAY(A489,2),"Segunda","Terça","Quarta","Quinta","Sexta","Sábado","Domingo"))</f>
        <v>Terça</v>
      </c>
      <c r="O489" s="26" t="str">
        <f>IF(B489="","",IF(B489&lt;TIME(12,0,0),"Manhã",IF(B489&lt;TIME(18,0,0),"Tarde","Noite")))</f>
        <v>Manhã</v>
      </c>
      <c r="P489" s="32">
        <f>IF(G489="","",IFERROR(INDEX(Config!$I$5:$I$16,MATCH(G489,Config!$H$5:$H$16,0)),0))</f>
        <v>0</v>
      </c>
      <c r="Q489" s="30">
        <f>IF(OR(H489&lt;&gt;"Realizado",P489="",P489=0),"",A489+P489)</f>
        <v/>
      </c>
      <c r="R489" s="26">
        <f>IF(Q489="","",IF(COUNTIFS($E$5:$E$3004,E489,$A$5:$A$3004,"&gt;"&amp;A489,$H$5:$H$3004,"&lt;&gt;Falta",$H$5:$H$3004,"&lt;&gt;Cancelado",$H$5:$H$3004,"&lt;&gt;Remarcado")&gt;0,"Sim","Não"))</f>
        <v/>
      </c>
      <c r="S489" s="32">
        <f>IF(R489&lt;&gt;"Não","",IF(Q489+Config!$B$9&lt;=Config!$B$8,Config!$B$8-Q489,""))</f>
        <v/>
      </c>
      <c r="T489" s="26">
        <f>IF(S489="","","Sim")</f>
        <v/>
      </c>
      <c r="U489" s="41">
        <f>IF(T489="Sim",S489+ROW()/100000,0)</f>
        <v>0</v>
      </c>
      <c r="V489" s="41">
        <f>IF(AND(H489="Falta",L489=Config!$B$7,M489=Config!$B$5,COUNTIFS($E$5:E489,E489,$H$5:H489,"Falta",$L$5:L489,Config!$B$7,$M$5:M489,Config!$B$5)=1),COUNTIFS($E$5:$E$3004,E489,$H$5:$H$3004,"Falta",$L$5:$L$3004,Config!$B$7,$M$5:$M$3004,Config!$B$5)*1000-ROW()/100000,0)</f>
        <v>0</v>
      </c>
    </row>
    <row r="490">
      <c r="A490" s="39" t="n">
        <v>46224</v>
      </c>
      <c r="B490" s="40" t="n">
        <v>0.3472222222222222</v>
      </c>
      <c r="C490" s="35" t="inlineStr">
        <is>
          <t>Dra. Carolina Mendes</t>
        </is>
      </c>
      <c r="D490" s="35" t="inlineStr">
        <is>
          <t>Sala 1</t>
        </is>
      </c>
      <c r="E490" s="34" t="inlineStr">
        <is>
          <t>Regina Teixeira</t>
        </is>
      </c>
      <c r="F490" s="35" t="inlineStr">
        <is>
          <t>Particular</t>
        </is>
      </c>
      <c r="G490" s="35" t="inlineStr">
        <is>
          <t>Consulta</t>
        </is>
      </c>
      <c r="H490" s="35" t="inlineStr">
        <is>
          <t>Realizado</t>
        </is>
      </c>
      <c r="I490" s="35" t="inlineStr">
        <is>
          <t>Cartão de crédito</t>
        </is>
      </c>
      <c r="J490" s="35" t="n">
        <v>2</v>
      </c>
      <c r="K490" s="34" t="n"/>
      <c r="L490" s="26">
        <f>IF(A490="","",MONTH(A490))</f>
        <v>7</v>
      </c>
      <c r="M490" s="26">
        <f>IF(A490="","",YEAR(A490))</f>
        <v>2026</v>
      </c>
      <c r="N490" s="26" t="str">
        <f>IF(A490="","",CHOOSE(WEEKDAY(A490,2),"Segunda","Terça","Quarta","Quinta","Sexta","Sábado","Domingo"))</f>
        <v>Terça</v>
      </c>
      <c r="O490" s="26" t="str">
        <f>IF(B490="","",IF(B490&lt;TIME(12,0,0),"Manhã",IF(B490&lt;TIME(18,0,0),"Tarde","Noite")))</f>
        <v>Manhã</v>
      </c>
      <c r="P490" s="32">
        <f>IF(G490="","",IFERROR(INDEX(Config!$I$5:$I$16,MATCH(G490,Config!$H$5:$H$16,0)),0))</f>
        <v>30</v>
      </c>
      <c r="Q490" s="30">
        <f>IF(OR(H490&lt;&gt;"Realizado",P490="",P490=0),"",A490+P490)</f>
        <v>46254.0</v>
      </c>
      <c r="R490" s="26" t="str">
        <f>IF(Q490="","",IF(COUNTIFS($E$5:$E$3004,E490,$A$5:$A$3004,"&gt;"&amp;A490,$H$5:$H$3004,"&lt;&gt;Falta",$H$5:$H$3004,"&lt;&gt;Cancelado",$H$5:$H$3004,"&lt;&gt;Remarcado")&gt;0,"Sim","Não"))</f>
        <v>Sim</v>
      </c>
      <c r="S490" s="32">
        <f>IF(R490&lt;&gt;"Não","",IF(Q490+Config!$B$9&lt;=Config!$B$8,Config!$B$8-Q490,""))</f>
        <v/>
      </c>
      <c r="T490" s="26">
        <f>IF(S490="","","Sim")</f>
        <v/>
      </c>
      <c r="U490" s="41">
        <f>IF(T490="Sim",S490+ROW()/100000,0)</f>
        <v>0</v>
      </c>
      <c r="V490" s="41">
        <f>IF(AND(H490="Falta",L490=Config!$B$7,M490=Config!$B$5,COUNTIFS($E$5:E490,E490,$H$5:H490,"Falta",$L$5:L490,Config!$B$7,$M$5:M490,Config!$B$5)=1),COUNTIFS($E$5:$E$3004,E490,$H$5:$H$3004,"Falta",$L$5:$L$3004,Config!$B$7,$M$5:$M$3004,Config!$B$5)*1000-ROW()/100000,0)</f>
        <v>0</v>
      </c>
    </row>
    <row r="491">
      <c r="A491" s="39" t="n">
        <v>46224</v>
      </c>
      <c r="B491" s="40" t="n">
        <v>0.3680555555555556</v>
      </c>
      <c r="C491" s="35" t="inlineStr">
        <is>
          <t>Dra. Carolina Mendes</t>
        </is>
      </c>
      <c r="D491" s="35" t="inlineStr">
        <is>
          <t>Sala 1</t>
        </is>
      </c>
      <c r="E491" s="34" t="inlineStr">
        <is>
          <t>Helena Moreira</t>
        </is>
      </c>
      <c r="F491" s="35" t="inlineStr">
        <is>
          <t>Particular</t>
        </is>
      </c>
      <c r="G491" s="35" t="inlineStr">
        <is>
          <t>Consulta</t>
        </is>
      </c>
      <c r="H491" s="35" t="inlineStr">
        <is>
          <t>Falta</t>
        </is>
      </c>
      <c r="I491" s="35" t="n"/>
      <c r="J491" s="35" t="n"/>
      <c r="K491" s="34" t="n"/>
      <c r="L491" s="26">
        <f>IF(A491="","",MONTH(A491))</f>
        <v>7</v>
      </c>
      <c r="M491" s="26">
        <f>IF(A491="","",YEAR(A491))</f>
        <v>2026</v>
      </c>
      <c r="N491" s="26" t="str">
        <f>IF(A491="","",CHOOSE(WEEKDAY(A491,2),"Segunda","Terça","Quarta","Quinta","Sexta","Sábado","Domingo"))</f>
        <v>Terça</v>
      </c>
      <c r="O491" s="26" t="str">
        <f>IF(B491="","",IF(B491&lt;TIME(12,0,0),"Manhã",IF(B491&lt;TIME(18,0,0),"Tarde","Noite")))</f>
        <v>Manhã</v>
      </c>
      <c r="P491" s="32">
        <f>IF(G491="","",IFERROR(INDEX(Config!$I$5:$I$16,MATCH(G491,Config!$H$5:$H$16,0)),0))</f>
        <v>30</v>
      </c>
      <c r="Q491" s="30">
        <f>IF(OR(H491&lt;&gt;"Realizado",P491="",P491=0),"",A491+P491)</f>
        <v/>
      </c>
      <c r="R491" s="26">
        <f>IF(Q491="","",IF(COUNTIFS($E$5:$E$3004,E491,$A$5:$A$3004,"&gt;"&amp;A491,$H$5:$H$3004,"&lt;&gt;Falta",$H$5:$H$3004,"&lt;&gt;Cancelado",$H$5:$H$3004,"&lt;&gt;Remarcado")&gt;0,"Sim","Não"))</f>
        <v/>
      </c>
      <c r="S491" s="32">
        <f>IF(R491&lt;&gt;"Não","",IF(Q491+Config!$B$9&lt;=Config!$B$8,Config!$B$8-Q491,""))</f>
        <v/>
      </c>
      <c r="T491" s="26">
        <f>IF(S491="","","Sim")</f>
        <v/>
      </c>
      <c r="U491" s="41">
        <f>IF(T491="Sim",S491+ROW()/100000,0)</f>
        <v>0</v>
      </c>
      <c r="V491" s="41">
        <f>IF(AND(H491="Falta",L491=Config!$B$7,M491=Config!$B$5,COUNTIFS($E$5:E491,E491,$H$5:H491,"Falta",$L$5:L491,Config!$B$7,$M$5:M491,Config!$B$5)=1),COUNTIFS($E$5:$E$3004,E491,$H$5:$H$3004,"Falta",$L$5:$L$3004,Config!$B$7,$M$5:$M$3004,Config!$B$5)*1000-ROW()/100000,0)</f>
        <v>0</v>
      </c>
    </row>
    <row r="492">
      <c r="A492" s="39" t="n">
        <v>46224</v>
      </c>
      <c r="B492" s="40" t="n">
        <v>0.3888888888888889</v>
      </c>
      <c r="C492" s="35" t="inlineStr">
        <is>
          <t>Dra. Carolina Mendes</t>
        </is>
      </c>
      <c r="D492" s="35" t="inlineStr">
        <is>
          <t>Sala 1</t>
        </is>
      </c>
      <c r="E492" s="34" t="inlineStr">
        <is>
          <t>Lucas Lopes</t>
        </is>
      </c>
      <c r="F492" s="35" t="inlineStr">
        <is>
          <t>Particular</t>
        </is>
      </c>
      <c r="G492" s="35" t="inlineStr">
        <is>
          <t>Consulta</t>
        </is>
      </c>
      <c r="H492" s="35" t="inlineStr">
        <is>
          <t>Realizado</t>
        </is>
      </c>
      <c r="I492" s="35" t="inlineStr">
        <is>
          <t>Pix</t>
        </is>
      </c>
      <c r="J492" s="35" t="n"/>
      <c r="K492" s="34" t="n"/>
      <c r="L492" s="26">
        <f>IF(A492="","",MONTH(A492))</f>
        <v>7</v>
      </c>
      <c r="M492" s="26">
        <f>IF(A492="","",YEAR(A492))</f>
        <v>2026</v>
      </c>
      <c r="N492" s="26" t="str">
        <f>IF(A492="","",CHOOSE(WEEKDAY(A492,2),"Segunda","Terça","Quarta","Quinta","Sexta","Sábado","Domingo"))</f>
        <v>Terça</v>
      </c>
      <c r="O492" s="26" t="str">
        <f>IF(B492="","",IF(B492&lt;TIME(12,0,0),"Manhã",IF(B492&lt;TIME(18,0,0),"Tarde","Noite")))</f>
        <v>Manhã</v>
      </c>
      <c r="P492" s="32">
        <f>IF(G492="","",IFERROR(INDEX(Config!$I$5:$I$16,MATCH(G492,Config!$H$5:$H$16,0)),0))</f>
        <v>30</v>
      </c>
      <c r="Q492" s="30">
        <f>IF(OR(H492&lt;&gt;"Realizado",P492="",P492=0),"",A492+P492)</f>
        <v>46254.0</v>
      </c>
      <c r="R492" s="26" t="str">
        <f>IF(Q492="","",IF(COUNTIFS($E$5:$E$3004,E492,$A$5:$A$3004,"&gt;"&amp;A492,$H$5:$H$3004,"&lt;&gt;Falta",$H$5:$H$3004,"&lt;&gt;Cancelado",$H$5:$H$3004,"&lt;&gt;Remarcado")&gt;0,"Sim","Não"))</f>
        <v>Sim</v>
      </c>
      <c r="S492" s="32">
        <f>IF(R492&lt;&gt;"Não","",IF(Q492+Config!$B$9&lt;=Config!$B$8,Config!$B$8-Q492,""))</f>
        <v/>
      </c>
      <c r="T492" s="26">
        <f>IF(S492="","","Sim")</f>
        <v/>
      </c>
      <c r="U492" s="41">
        <f>IF(T492="Sim",S492+ROW()/100000,0)</f>
        <v>0</v>
      </c>
      <c r="V492" s="41">
        <f>IF(AND(H492="Falta",L492=Config!$B$7,M492=Config!$B$5,COUNTIFS($E$5:E492,E492,$H$5:H492,"Falta",$L$5:L492,Config!$B$7,$M$5:M492,Config!$B$5)=1),COUNTIFS($E$5:$E$3004,E492,$H$5:$H$3004,"Falta",$L$5:$L$3004,Config!$B$7,$M$5:$M$3004,Config!$B$5)*1000-ROW()/100000,0)</f>
        <v>0</v>
      </c>
    </row>
    <row r="493">
      <c r="A493" s="39" t="n">
        <v>46224</v>
      </c>
      <c r="B493" s="40" t="n">
        <v>0.4305555555555556</v>
      </c>
      <c r="C493" s="35" t="inlineStr">
        <is>
          <t>Dra. Carolina Mendes</t>
        </is>
      </c>
      <c r="D493" s="35" t="inlineStr">
        <is>
          <t>Sala 1</t>
        </is>
      </c>
      <c r="E493" s="34" t="inlineStr">
        <is>
          <t>Otávio Nascimento</t>
        </is>
      </c>
      <c r="F493" s="35" t="inlineStr">
        <is>
          <t>Particular</t>
        </is>
      </c>
      <c r="G493" s="35" t="inlineStr">
        <is>
          <t>Consulta</t>
        </is>
      </c>
      <c r="H493" s="35" t="inlineStr">
        <is>
          <t>Falta</t>
        </is>
      </c>
      <c r="I493" s="35" t="n"/>
      <c r="J493" s="35" t="n"/>
      <c r="K493" s="34" t="n"/>
      <c r="L493" s="26">
        <f>IF(A493="","",MONTH(A493))</f>
        <v>7</v>
      </c>
      <c r="M493" s="26">
        <f>IF(A493="","",YEAR(A493))</f>
        <v>2026</v>
      </c>
      <c r="N493" s="26" t="str">
        <f>IF(A493="","",CHOOSE(WEEKDAY(A493,2),"Segunda","Terça","Quarta","Quinta","Sexta","Sábado","Domingo"))</f>
        <v>Terça</v>
      </c>
      <c r="O493" s="26" t="str">
        <f>IF(B493="","",IF(B493&lt;TIME(12,0,0),"Manhã",IF(B493&lt;TIME(18,0,0),"Tarde","Noite")))</f>
        <v>Manhã</v>
      </c>
      <c r="P493" s="32">
        <f>IF(G493="","",IFERROR(INDEX(Config!$I$5:$I$16,MATCH(G493,Config!$H$5:$H$16,0)),0))</f>
        <v>30</v>
      </c>
      <c r="Q493" s="30">
        <f>IF(OR(H493&lt;&gt;"Realizado",P493="",P493=0),"",A493+P493)</f>
        <v/>
      </c>
      <c r="R493" s="26">
        <f>IF(Q493="","",IF(COUNTIFS($E$5:$E$3004,E493,$A$5:$A$3004,"&gt;"&amp;A493,$H$5:$H$3004,"&lt;&gt;Falta",$H$5:$H$3004,"&lt;&gt;Cancelado",$H$5:$H$3004,"&lt;&gt;Remarcado")&gt;0,"Sim","Não"))</f>
        <v/>
      </c>
      <c r="S493" s="32">
        <f>IF(R493&lt;&gt;"Não","",IF(Q493+Config!$B$9&lt;=Config!$B$8,Config!$B$8-Q493,""))</f>
        <v/>
      </c>
      <c r="T493" s="26">
        <f>IF(S493="","","Sim")</f>
        <v/>
      </c>
      <c r="U493" s="41">
        <f>IF(T493="Sim",S493+ROW()/100000,0)</f>
        <v>0</v>
      </c>
      <c r="V493" s="41">
        <f>IF(AND(H493="Falta",L493=Config!$B$7,M493=Config!$B$5,COUNTIFS($E$5:E493,E493,$H$5:H493,"Falta",$L$5:L493,Config!$B$7,$M$5:M493,Config!$B$5)=1),COUNTIFS($E$5:$E$3004,E493,$H$5:$H$3004,"Falta",$L$5:$L$3004,Config!$B$7,$M$5:$M$3004,Config!$B$5)*1000-ROW()/100000,0)</f>
        <v>0</v>
      </c>
    </row>
    <row r="494">
      <c r="A494" s="39" t="n">
        <v>46224</v>
      </c>
      <c r="B494" s="40" t="n">
        <v>0.4513888888888889</v>
      </c>
      <c r="C494" s="35" t="inlineStr">
        <is>
          <t>Dra. Carolina Mendes</t>
        </is>
      </c>
      <c r="D494" s="35" t="inlineStr">
        <is>
          <t>Sala 1</t>
        </is>
      </c>
      <c r="E494" s="34" t="inlineStr">
        <is>
          <t>Helena Moreira</t>
        </is>
      </c>
      <c r="F494" s="35" t="inlineStr">
        <is>
          <t>Particular</t>
        </is>
      </c>
      <c r="G494" s="35" t="inlineStr">
        <is>
          <t>Consulta</t>
        </is>
      </c>
      <c r="H494" s="35" t="inlineStr">
        <is>
          <t>Cancelado</t>
        </is>
      </c>
      <c r="I494" s="35" t="n"/>
      <c r="J494" s="35" t="n"/>
      <c r="K494" s="34" t="n"/>
      <c r="L494" s="26">
        <f>IF(A494="","",MONTH(A494))</f>
        <v>7</v>
      </c>
      <c r="M494" s="26">
        <f>IF(A494="","",YEAR(A494))</f>
        <v>2026</v>
      </c>
      <c r="N494" s="26" t="str">
        <f>IF(A494="","",CHOOSE(WEEKDAY(A494,2),"Segunda","Terça","Quarta","Quinta","Sexta","Sábado","Domingo"))</f>
        <v>Terça</v>
      </c>
      <c r="O494" s="26" t="str">
        <f>IF(B494="","",IF(B494&lt;TIME(12,0,0),"Manhã",IF(B494&lt;TIME(18,0,0),"Tarde","Noite")))</f>
        <v>Manhã</v>
      </c>
      <c r="P494" s="32">
        <f>IF(G494="","",IFERROR(INDEX(Config!$I$5:$I$16,MATCH(G494,Config!$H$5:$H$16,0)),0))</f>
        <v>30</v>
      </c>
      <c r="Q494" s="30">
        <f>IF(OR(H494&lt;&gt;"Realizado",P494="",P494=0),"",A494+P494)</f>
        <v/>
      </c>
      <c r="R494" s="26">
        <f>IF(Q494="","",IF(COUNTIFS($E$5:$E$3004,E494,$A$5:$A$3004,"&gt;"&amp;A494,$H$5:$H$3004,"&lt;&gt;Falta",$H$5:$H$3004,"&lt;&gt;Cancelado",$H$5:$H$3004,"&lt;&gt;Remarcado")&gt;0,"Sim","Não"))</f>
        <v/>
      </c>
      <c r="S494" s="32">
        <f>IF(R494&lt;&gt;"Não","",IF(Q494+Config!$B$9&lt;=Config!$B$8,Config!$B$8-Q494,""))</f>
        <v/>
      </c>
      <c r="T494" s="26">
        <f>IF(S494="","","Sim")</f>
        <v/>
      </c>
      <c r="U494" s="41">
        <f>IF(T494="Sim",S494+ROW()/100000,0)</f>
        <v>0</v>
      </c>
      <c r="V494" s="41">
        <f>IF(AND(H494="Falta",L494=Config!$B$7,M494=Config!$B$5,COUNTIFS($E$5:E494,E494,$H$5:H494,"Falta",$L$5:L494,Config!$B$7,$M$5:M494,Config!$B$5)=1),COUNTIFS($E$5:$E$3004,E494,$H$5:$H$3004,"Falta",$L$5:$L$3004,Config!$B$7,$M$5:$M$3004,Config!$B$5)*1000-ROW()/100000,0)</f>
        <v>0</v>
      </c>
    </row>
    <row r="495">
      <c r="A495" s="39" t="n">
        <v>46224</v>
      </c>
      <c r="B495" s="40" t="n">
        <v>0.4722222222222222</v>
      </c>
      <c r="C495" s="35" t="inlineStr">
        <is>
          <t>Dra. Carolina Mendes</t>
        </is>
      </c>
      <c r="D495" s="35" t="inlineStr">
        <is>
          <t>Sala 1</t>
        </is>
      </c>
      <c r="E495" s="34" t="inlineStr">
        <is>
          <t>Otávio Nascimento</t>
        </is>
      </c>
      <c r="F495" s="35" t="inlineStr">
        <is>
          <t>Particular</t>
        </is>
      </c>
      <c r="G495" s="35" t="inlineStr">
        <is>
          <t>Consulta</t>
        </is>
      </c>
      <c r="H495" s="35" t="inlineStr">
        <is>
          <t>Realizado</t>
        </is>
      </c>
      <c r="I495" s="35" t="inlineStr">
        <is>
          <t>Cartão de crédito</t>
        </is>
      </c>
      <c r="J495" s="35" t="n"/>
      <c r="K495" s="34" t="n"/>
      <c r="L495" s="26">
        <f>IF(A495="","",MONTH(A495))</f>
        <v>7</v>
      </c>
      <c r="M495" s="26">
        <f>IF(A495="","",YEAR(A495))</f>
        <v>2026</v>
      </c>
      <c r="N495" s="26" t="str">
        <f>IF(A495="","",CHOOSE(WEEKDAY(A495,2),"Segunda","Terça","Quarta","Quinta","Sexta","Sábado","Domingo"))</f>
        <v>Terça</v>
      </c>
      <c r="O495" s="26" t="str">
        <f>IF(B495="","",IF(B495&lt;TIME(12,0,0),"Manhã",IF(B495&lt;TIME(18,0,0),"Tarde","Noite")))</f>
        <v>Manhã</v>
      </c>
      <c r="P495" s="32">
        <f>IF(G495="","",IFERROR(INDEX(Config!$I$5:$I$16,MATCH(G495,Config!$H$5:$H$16,0)),0))</f>
        <v>30</v>
      </c>
      <c r="Q495" s="30">
        <f>IF(OR(H495&lt;&gt;"Realizado",P495="",P495=0),"",A495+P495)</f>
        <v>46254.0</v>
      </c>
      <c r="R495" s="26" t="str">
        <f>IF(Q495="","",IF(COUNTIFS($E$5:$E$3004,E495,$A$5:$A$3004,"&gt;"&amp;A495,$H$5:$H$3004,"&lt;&gt;Falta",$H$5:$H$3004,"&lt;&gt;Cancelado",$H$5:$H$3004,"&lt;&gt;Remarcado")&gt;0,"Sim","Não"))</f>
        <v>Sim</v>
      </c>
      <c r="S495" s="32">
        <f>IF(R495&lt;&gt;"Não","",IF(Q495+Config!$B$9&lt;=Config!$B$8,Config!$B$8-Q495,""))</f>
        <v/>
      </c>
      <c r="T495" s="26">
        <f>IF(S495="","","Sim")</f>
        <v/>
      </c>
      <c r="U495" s="41">
        <f>IF(T495="Sim",S495+ROW()/100000,0)</f>
        <v>0</v>
      </c>
      <c r="V495" s="41">
        <f>IF(AND(H495="Falta",L495=Config!$B$7,M495=Config!$B$5,COUNTIFS($E$5:E495,E495,$H$5:H495,"Falta",$L$5:L495,Config!$B$7,$M$5:M495,Config!$B$5)=1),COUNTIFS($E$5:$E$3004,E495,$H$5:$H$3004,"Falta",$L$5:$L$3004,Config!$B$7,$M$5:$M$3004,Config!$B$5)*1000-ROW()/100000,0)</f>
        <v>0</v>
      </c>
    </row>
    <row r="496">
      <c r="A496" s="39" t="n">
        <v>46224</v>
      </c>
      <c r="B496" s="40" t="n">
        <v>0.5833333333333334</v>
      </c>
      <c r="C496" s="35" t="inlineStr">
        <is>
          <t>Dra. Renata Sousa</t>
        </is>
      </c>
      <c r="D496" s="35" t="inlineStr">
        <is>
          <t>Sala 1</t>
        </is>
      </c>
      <c r="E496" s="34" t="inlineStr">
        <is>
          <t>Cláudia Vieira</t>
        </is>
      </c>
      <c r="F496" s="35" t="inlineStr">
        <is>
          <t>Saúde Total</t>
        </is>
      </c>
      <c r="G496" s="35" t="inlineStr">
        <is>
          <t>Avaliação endócrina</t>
        </is>
      </c>
      <c r="H496" s="35" t="inlineStr">
        <is>
          <t>Falta</t>
        </is>
      </c>
      <c r="I496" s="35" t="n"/>
      <c r="J496" s="35" t="n"/>
      <c r="K496" s="34" t="n"/>
      <c r="L496" s="26">
        <f>IF(A496="","",MONTH(A496))</f>
        <v>7</v>
      </c>
      <c r="M496" s="26">
        <f>IF(A496="","",YEAR(A496))</f>
        <v>2026</v>
      </c>
      <c r="N496" s="26" t="str">
        <f>IF(A496="","",CHOOSE(WEEKDAY(A496,2),"Segunda","Terça","Quarta","Quinta","Sexta","Sábado","Domingo"))</f>
        <v>Terça</v>
      </c>
      <c r="O496" s="26" t="str">
        <f>IF(B496="","",IF(B496&lt;TIME(12,0,0),"Manhã",IF(B496&lt;TIME(18,0,0),"Tarde","Noite")))</f>
        <v>Tarde</v>
      </c>
      <c r="P496" s="32">
        <f>IF(G496="","",IFERROR(INDEX(Config!$I$5:$I$16,MATCH(G496,Config!$H$5:$H$16,0)),0))</f>
        <v>45</v>
      </c>
      <c r="Q496" s="30">
        <f>IF(OR(H496&lt;&gt;"Realizado",P496="",P496=0),"",A496+P496)</f>
        <v/>
      </c>
      <c r="R496" s="26">
        <f>IF(Q496="","",IF(COUNTIFS($E$5:$E$3004,E496,$A$5:$A$3004,"&gt;"&amp;A496,$H$5:$H$3004,"&lt;&gt;Falta",$H$5:$H$3004,"&lt;&gt;Cancelado",$H$5:$H$3004,"&lt;&gt;Remarcado")&gt;0,"Sim","Não"))</f>
        <v/>
      </c>
      <c r="S496" s="32">
        <f>IF(R496&lt;&gt;"Não","",IF(Q496+Config!$B$9&lt;=Config!$B$8,Config!$B$8-Q496,""))</f>
        <v/>
      </c>
      <c r="T496" s="26">
        <f>IF(S496="","","Sim")</f>
        <v/>
      </c>
      <c r="U496" s="41">
        <f>IF(T496="Sim",S496+ROW()/100000,0)</f>
        <v>0</v>
      </c>
      <c r="V496" s="41">
        <f>IF(AND(H496="Falta",L496=Config!$B$7,M496=Config!$B$5,COUNTIFS($E$5:E496,E496,$H$5:H496,"Falta",$L$5:L496,Config!$B$7,$M$5:M496,Config!$B$5)=1),COUNTIFS($E$5:$E$3004,E496,$H$5:$H$3004,"Falta",$L$5:$L$3004,Config!$B$7,$M$5:$M$3004,Config!$B$5)*1000-ROW()/100000,0)</f>
        <v>0</v>
      </c>
    </row>
    <row r="497">
      <c r="A497" s="39" t="n">
        <v>46224</v>
      </c>
      <c r="B497" s="40" t="n">
        <v>0.5833333333333334</v>
      </c>
      <c r="C497" s="35" t="inlineStr">
        <is>
          <t>Dr. Paulo Andrade</t>
        </is>
      </c>
      <c r="D497" s="35" t="inlineStr">
        <is>
          <t>Sala 2</t>
        </is>
      </c>
      <c r="E497" s="34" t="inlineStr">
        <is>
          <t>Sandra Martins</t>
        </is>
      </c>
      <c r="F497" s="35" t="inlineStr">
        <is>
          <t>MediPlan</t>
        </is>
      </c>
      <c r="G497" s="35" t="inlineStr">
        <is>
          <t>Consulta</t>
        </is>
      </c>
      <c r="H497" s="35" t="inlineStr">
        <is>
          <t>Realizado</t>
        </is>
      </c>
      <c r="I497" s="35" t="inlineStr">
        <is>
          <t>Convênio</t>
        </is>
      </c>
      <c r="J497" s="35" t="n"/>
      <c r="K497" s="34" t="n"/>
      <c r="L497" s="26">
        <f>IF(A497="","",MONTH(A497))</f>
        <v>7</v>
      </c>
      <c r="M497" s="26">
        <f>IF(A497="","",YEAR(A497))</f>
        <v>2026</v>
      </c>
      <c r="N497" s="26" t="str">
        <f>IF(A497="","",CHOOSE(WEEKDAY(A497,2),"Segunda","Terça","Quarta","Quinta","Sexta","Sábado","Domingo"))</f>
        <v>Terça</v>
      </c>
      <c r="O497" s="26" t="str">
        <f>IF(B497="","",IF(B497&lt;TIME(12,0,0),"Manhã",IF(B497&lt;TIME(18,0,0),"Tarde","Noite")))</f>
        <v>Tarde</v>
      </c>
      <c r="P497" s="32">
        <f>IF(G497="","",IFERROR(INDEX(Config!$I$5:$I$16,MATCH(G497,Config!$H$5:$H$16,0)),0))</f>
        <v>30</v>
      </c>
      <c r="Q497" s="30">
        <f>IF(OR(H497&lt;&gt;"Realizado",P497="",P497=0),"",A497+P497)</f>
        <v>46254.0</v>
      </c>
      <c r="R497" s="26" t="str">
        <f>IF(Q497="","",IF(COUNTIFS($E$5:$E$3004,E497,$A$5:$A$3004,"&gt;"&amp;A497,$H$5:$H$3004,"&lt;&gt;Falta",$H$5:$H$3004,"&lt;&gt;Cancelado",$H$5:$H$3004,"&lt;&gt;Remarcado")&gt;0,"Sim","Não"))</f>
        <v>Sim</v>
      </c>
      <c r="S497" s="32">
        <f>IF(R497&lt;&gt;"Não","",IF(Q497+Config!$B$9&lt;=Config!$B$8,Config!$B$8-Q497,""))</f>
        <v/>
      </c>
      <c r="T497" s="26">
        <f>IF(S497="","","Sim")</f>
        <v/>
      </c>
      <c r="U497" s="41">
        <f>IF(T497="Sim",S497+ROW()/100000,0)</f>
        <v>0</v>
      </c>
      <c r="V497" s="41">
        <f>IF(AND(H497="Falta",L497=Config!$B$7,M497=Config!$B$5,COUNTIFS($E$5:E497,E497,$H$5:H497,"Falta",$L$5:L497,Config!$B$7,$M$5:M497,Config!$B$5)=1),COUNTIFS($E$5:$E$3004,E497,$H$5:$H$3004,"Falta",$L$5:$L$3004,Config!$B$7,$M$5:$M$3004,Config!$B$5)*1000-ROW()/100000,0)</f>
        <v>0</v>
      </c>
    </row>
    <row r="498">
      <c r="A498" s="39" t="n">
        <v>46224</v>
      </c>
      <c r="B498" s="40" t="n">
        <v>0.6041666666666666</v>
      </c>
      <c r="C498" s="35" t="inlineStr">
        <is>
          <t>Dr. Paulo Andrade</t>
        </is>
      </c>
      <c r="D498" s="35" t="inlineStr">
        <is>
          <t>Sala 2</t>
        </is>
      </c>
      <c r="E498" s="34" t="inlineStr">
        <is>
          <t>Paulo Ribeiro</t>
        </is>
      </c>
      <c r="F498" s="35" t="inlineStr">
        <is>
          <t>Saúde Total</t>
        </is>
      </c>
      <c r="G498" s="35" t="inlineStr">
        <is>
          <t>Consulta</t>
        </is>
      </c>
      <c r="H498" s="35" t="inlineStr">
        <is>
          <t>Realizado</t>
        </is>
      </c>
      <c r="I498" s="35" t="inlineStr">
        <is>
          <t>Convênio</t>
        </is>
      </c>
      <c r="J498" s="35" t="n"/>
      <c r="K498" s="34" t="n"/>
      <c r="L498" s="26">
        <f>IF(A498="","",MONTH(A498))</f>
        <v>7</v>
      </c>
      <c r="M498" s="26">
        <f>IF(A498="","",YEAR(A498))</f>
        <v>2026</v>
      </c>
      <c r="N498" s="26" t="str">
        <f>IF(A498="","",CHOOSE(WEEKDAY(A498,2),"Segunda","Terça","Quarta","Quinta","Sexta","Sábado","Domingo"))</f>
        <v>Terça</v>
      </c>
      <c r="O498" s="26" t="str">
        <f>IF(B498="","",IF(B498&lt;TIME(12,0,0),"Manhã",IF(B498&lt;TIME(18,0,0),"Tarde","Noite")))</f>
        <v>Tarde</v>
      </c>
      <c r="P498" s="32">
        <f>IF(G498="","",IFERROR(INDEX(Config!$I$5:$I$16,MATCH(G498,Config!$H$5:$H$16,0)),0))</f>
        <v>30</v>
      </c>
      <c r="Q498" s="30">
        <f>IF(OR(H498&lt;&gt;"Realizado",P498="",P498=0),"",A498+P498)</f>
        <v>46254.0</v>
      </c>
      <c r="R498" s="26" t="str">
        <f>IF(Q498="","",IF(COUNTIFS($E$5:$E$3004,E498,$A$5:$A$3004,"&gt;"&amp;A498,$H$5:$H$3004,"&lt;&gt;Falta",$H$5:$H$3004,"&lt;&gt;Cancelado",$H$5:$H$3004,"&lt;&gt;Remarcado")&gt;0,"Sim","Não"))</f>
        <v>Sim</v>
      </c>
      <c r="S498" s="32">
        <f>IF(R498&lt;&gt;"Não","",IF(Q498+Config!$B$9&lt;=Config!$B$8,Config!$B$8-Q498,""))</f>
        <v/>
      </c>
      <c r="T498" s="26">
        <f>IF(S498="","","Sim")</f>
        <v/>
      </c>
      <c r="U498" s="41">
        <f>IF(T498="Sim",S498+ROW()/100000,0)</f>
        <v>0</v>
      </c>
      <c r="V498" s="41">
        <f>IF(AND(H498="Falta",L498=Config!$B$7,M498=Config!$B$5,COUNTIFS($E$5:E498,E498,$H$5:H498,"Falta",$L$5:L498,Config!$B$7,$M$5:M498,Config!$B$5)=1),COUNTIFS($E$5:$E$3004,E498,$H$5:$H$3004,"Falta",$L$5:$L$3004,Config!$B$7,$M$5:$M$3004,Config!$B$5)*1000-ROW()/100000,0)</f>
        <v>0</v>
      </c>
    </row>
    <row r="499">
      <c r="A499" s="39" t="n">
        <v>46224</v>
      </c>
      <c r="B499" s="40" t="n">
        <v>0.6111111111111112</v>
      </c>
      <c r="C499" s="35" t="inlineStr">
        <is>
          <t>Dra. Renata Sousa</t>
        </is>
      </c>
      <c r="D499" s="35" t="inlineStr">
        <is>
          <t>Sala 1</t>
        </is>
      </c>
      <c r="E499" s="34" t="inlineStr">
        <is>
          <t>Beatriz Reis</t>
        </is>
      </c>
      <c r="F499" s="35" t="inlineStr">
        <is>
          <t>Particular</t>
        </is>
      </c>
      <c r="G499" s="35" t="inlineStr">
        <is>
          <t>Retorno</t>
        </is>
      </c>
      <c r="H499" s="35" t="inlineStr">
        <is>
          <t>Realizado</t>
        </is>
      </c>
      <c r="I499" s="35" t="inlineStr">
        <is>
          <t>Sem cobrança</t>
        </is>
      </c>
      <c r="J499" s="35" t="n"/>
      <c r="K499" s="34" t="n"/>
      <c r="L499" s="26">
        <f>IF(A499="","",MONTH(A499))</f>
        <v>7</v>
      </c>
      <c r="M499" s="26">
        <f>IF(A499="","",YEAR(A499))</f>
        <v>2026</v>
      </c>
      <c r="N499" s="26" t="str">
        <f>IF(A499="","",CHOOSE(WEEKDAY(A499,2),"Segunda","Terça","Quarta","Quinta","Sexta","Sábado","Domingo"))</f>
        <v>Terça</v>
      </c>
      <c r="O499" s="26" t="str">
        <f>IF(B499="","",IF(B499&lt;TIME(12,0,0),"Manhã",IF(B499&lt;TIME(18,0,0),"Tarde","Noite")))</f>
        <v>Tarde</v>
      </c>
      <c r="P499" s="32">
        <f>IF(G499="","",IFERROR(INDEX(Config!$I$5:$I$16,MATCH(G499,Config!$H$5:$H$16,0)),0))</f>
        <v>0</v>
      </c>
      <c r="Q499" s="30">
        <f>IF(OR(H499&lt;&gt;"Realizado",P499="",P499=0),"",A499+P499)</f>
        <v/>
      </c>
      <c r="R499" s="26">
        <f>IF(Q499="","",IF(COUNTIFS($E$5:$E$3004,E499,$A$5:$A$3004,"&gt;"&amp;A499,$H$5:$H$3004,"&lt;&gt;Falta",$H$5:$H$3004,"&lt;&gt;Cancelado",$H$5:$H$3004,"&lt;&gt;Remarcado")&gt;0,"Sim","Não"))</f>
        <v/>
      </c>
      <c r="S499" s="32">
        <f>IF(R499&lt;&gt;"Não","",IF(Q499+Config!$B$9&lt;=Config!$B$8,Config!$B$8-Q499,""))</f>
        <v/>
      </c>
      <c r="T499" s="26">
        <f>IF(S499="","","Sim")</f>
        <v/>
      </c>
      <c r="U499" s="41">
        <f>IF(T499="Sim",S499+ROW()/100000,0)</f>
        <v>0</v>
      </c>
      <c r="V499" s="41">
        <f>IF(AND(H499="Falta",L499=Config!$B$7,M499=Config!$B$5,COUNTIFS($E$5:E499,E499,$H$5:H499,"Falta",$L$5:L499,Config!$B$7,$M$5:M499,Config!$B$5)=1),COUNTIFS($E$5:$E$3004,E499,$H$5:$H$3004,"Falta",$L$5:$L$3004,Config!$B$7,$M$5:$M$3004,Config!$B$5)*1000-ROW()/100000,0)</f>
        <v>0</v>
      </c>
    </row>
    <row r="500">
      <c r="A500" s="39" t="n">
        <v>46224</v>
      </c>
      <c r="B500" s="40" t="n">
        <v>0.625</v>
      </c>
      <c r="C500" s="35" t="inlineStr">
        <is>
          <t>Dra. Renata Sousa</t>
        </is>
      </c>
      <c r="D500" s="35" t="inlineStr">
        <is>
          <t>Sala 1</t>
        </is>
      </c>
      <c r="E500" s="34" t="inlineStr">
        <is>
          <t>Cláudia Vieira</t>
        </is>
      </c>
      <c r="F500" s="35" t="inlineStr">
        <is>
          <t>Saúde Total</t>
        </is>
      </c>
      <c r="G500" s="35" t="inlineStr">
        <is>
          <t>Avaliação endócrina</t>
        </is>
      </c>
      <c r="H500" s="35" t="inlineStr">
        <is>
          <t>Realizado</t>
        </is>
      </c>
      <c r="I500" s="35" t="inlineStr">
        <is>
          <t>Convênio</t>
        </is>
      </c>
      <c r="J500" s="35" t="n"/>
      <c r="K500" s="34" t="n"/>
      <c r="L500" s="26">
        <f>IF(A500="","",MONTH(A500))</f>
        <v>7</v>
      </c>
      <c r="M500" s="26">
        <f>IF(A500="","",YEAR(A500))</f>
        <v>2026</v>
      </c>
      <c r="N500" s="26" t="str">
        <f>IF(A500="","",CHOOSE(WEEKDAY(A500,2),"Segunda","Terça","Quarta","Quinta","Sexta","Sábado","Domingo"))</f>
        <v>Terça</v>
      </c>
      <c r="O500" s="26" t="str">
        <f>IF(B500="","",IF(B500&lt;TIME(12,0,0),"Manhã",IF(B500&lt;TIME(18,0,0),"Tarde","Noite")))</f>
        <v>Tarde</v>
      </c>
      <c r="P500" s="32">
        <f>IF(G500="","",IFERROR(INDEX(Config!$I$5:$I$16,MATCH(G500,Config!$H$5:$H$16,0)),0))</f>
        <v>45</v>
      </c>
      <c r="Q500" s="30">
        <f>IF(OR(H500&lt;&gt;"Realizado",P500="",P500=0),"",A500+P500)</f>
        <v>46269.0</v>
      </c>
      <c r="R500" s="26" t="str">
        <f>IF(Q500="","",IF(COUNTIFS($E$5:$E$3004,E500,$A$5:$A$3004,"&gt;"&amp;A500,$H$5:$H$3004,"&lt;&gt;Falta",$H$5:$H$3004,"&lt;&gt;Cancelado",$H$5:$H$3004,"&lt;&gt;Remarcado")&gt;0,"Sim","Não"))</f>
        <v>Sim</v>
      </c>
      <c r="S500" s="32">
        <f>IF(R500&lt;&gt;"Não","",IF(Q500+Config!$B$9&lt;=Config!$B$8,Config!$B$8-Q500,""))</f>
        <v/>
      </c>
      <c r="T500" s="26">
        <f>IF(S500="","","Sim")</f>
        <v/>
      </c>
      <c r="U500" s="41">
        <f>IF(T500="Sim",S500+ROW()/100000,0)</f>
        <v>0</v>
      </c>
      <c r="V500" s="41">
        <f>IF(AND(H500="Falta",L500=Config!$B$7,M500=Config!$B$5,COUNTIFS($E$5:E500,E500,$H$5:H500,"Falta",$L$5:L500,Config!$B$7,$M$5:M500,Config!$B$5)=1),COUNTIFS($E$5:$E$3004,E500,$H$5:$H$3004,"Falta",$L$5:$L$3004,Config!$B$7,$M$5:$M$3004,Config!$B$5)*1000-ROW()/100000,0)</f>
        <v>0</v>
      </c>
    </row>
    <row r="501">
      <c r="A501" s="39" t="n">
        <v>46224</v>
      </c>
      <c r="B501" s="40" t="n">
        <v>0.6527777777777778</v>
      </c>
      <c r="C501" s="35" t="inlineStr">
        <is>
          <t>Dra. Renata Sousa</t>
        </is>
      </c>
      <c r="D501" s="35" t="inlineStr">
        <is>
          <t>Sala 1</t>
        </is>
      </c>
      <c r="E501" s="34" t="inlineStr">
        <is>
          <t>Carlos Freitas</t>
        </is>
      </c>
      <c r="F501" s="35" t="inlineStr">
        <is>
          <t>Particular</t>
        </is>
      </c>
      <c r="G501" s="35" t="inlineStr">
        <is>
          <t>Avaliação endócrina</t>
        </is>
      </c>
      <c r="H501" s="35" t="inlineStr">
        <is>
          <t>Realizado</t>
        </is>
      </c>
      <c r="I501" s="35" t="inlineStr">
        <is>
          <t>Pix</t>
        </is>
      </c>
      <c r="J501" s="35" t="n"/>
      <c r="K501" s="34" t="n"/>
      <c r="L501" s="26">
        <f>IF(A501="","",MONTH(A501))</f>
        <v>7</v>
      </c>
      <c r="M501" s="26">
        <f>IF(A501="","",YEAR(A501))</f>
        <v>2026</v>
      </c>
      <c r="N501" s="26" t="str">
        <f>IF(A501="","",CHOOSE(WEEKDAY(A501,2),"Segunda","Terça","Quarta","Quinta","Sexta","Sábado","Domingo"))</f>
        <v>Terça</v>
      </c>
      <c r="O501" s="26" t="str">
        <f>IF(B501="","",IF(B501&lt;TIME(12,0,0),"Manhã",IF(B501&lt;TIME(18,0,0),"Tarde","Noite")))</f>
        <v>Tarde</v>
      </c>
      <c r="P501" s="32">
        <f>IF(G501="","",IFERROR(INDEX(Config!$I$5:$I$16,MATCH(G501,Config!$H$5:$H$16,0)),0))</f>
        <v>45</v>
      </c>
      <c r="Q501" s="30">
        <f>IF(OR(H501&lt;&gt;"Realizado",P501="",P501=0),"",A501+P501)</f>
        <v>46269.0</v>
      </c>
      <c r="R501" s="26" t="str">
        <f>IF(Q501="","",IF(COUNTIFS($E$5:$E$3004,E501,$A$5:$A$3004,"&gt;"&amp;A501,$H$5:$H$3004,"&lt;&gt;Falta",$H$5:$H$3004,"&lt;&gt;Cancelado",$H$5:$H$3004,"&lt;&gt;Remarcado")&gt;0,"Sim","Não"))</f>
        <v>Sim</v>
      </c>
      <c r="S501" s="32">
        <f>IF(R501&lt;&gt;"Não","",IF(Q501+Config!$B$9&lt;=Config!$B$8,Config!$B$8-Q501,""))</f>
        <v/>
      </c>
      <c r="T501" s="26">
        <f>IF(S501="","","Sim")</f>
        <v/>
      </c>
      <c r="U501" s="41">
        <f>IF(T501="Sim",S501+ROW()/100000,0)</f>
        <v>0</v>
      </c>
      <c r="V501" s="41">
        <f>IF(AND(H501="Falta",L501=Config!$B$7,M501=Config!$B$5,COUNTIFS($E$5:E501,E501,$H$5:H501,"Falta",$L$5:L501,Config!$B$7,$M$5:M501,Config!$B$5)=1),COUNTIFS($E$5:$E$3004,E501,$H$5:$H$3004,"Falta",$L$5:$L$3004,Config!$B$7,$M$5:$M$3004,Config!$B$5)*1000-ROW()/100000,0)</f>
        <v>0</v>
      </c>
    </row>
    <row r="502">
      <c r="A502" s="39" t="n">
        <v>46224</v>
      </c>
      <c r="B502" s="40" t="n">
        <v>0.6666666666666666</v>
      </c>
      <c r="C502" s="35" t="inlineStr">
        <is>
          <t>Dr. Paulo Andrade</t>
        </is>
      </c>
      <c r="D502" s="35" t="inlineStr">
        <is>
          <t>Sala 2</t>
        </is>
      </c>
      <c r="E502" s="34" t="inlineStr">
        <is>
          <t>Vanessa Moreira</t>
        </is>
      </c>
      <c r="F502" s="35" t="inlineStr">
        <is>
          <t>Saúde Total</t>
        </is>
      </c>
      <c r="G502" s="35" t="inlineStr">
        <is>
          <t>Consulta</t>
        </is>
      </c>
      <c r="H502" s="35" t="inlineStr">
        <is>
          <t>Realizado</t>
        </is>
      </c>
      <c r="I502" s="35" t="inlineStr">
        <is>
          <t>Convênio</t>
        </is>
      </c>
      <c r="J502" s="35" t="n"/>
      <c r="K502" s="34" t="n"/>
      <c r="L502" s="26">
        <f>IF(A502="","",MONTH(A502))</f>
        <v>7</v>
      </c>
      <c r="M502" s="26">
        <f>IF(A502="","",YEAR(A502))</f>
        <v>2026</v>
      </c>
      <c r="N502" s="26" t="str">
        <f>IF(A502="","",CHOOSE(WEEKDAY(A502,2),"Segunda","Terça","Quarta","Quinta","Sexta","Sábado","Domingo"))</f>
        <v>Terça</v>
      </c>
      <c r="O502" s="26" t="str">
        <f>IF(B502="","",IF(B502&lt;TIME(12,0,0),"Manhã",IF(B502&lt;TIME(18,0,0),"Tarde","Noite")))</f>
        <v>Tarde</v>
      </c>
      <c r="P502" s="32">
        <f>IF(G502="","",IFERROR(INDEX(Config!$I$5:$I$16,MATCH(G502,Config!$H$5:$H$16,0)),0))</f>
        <v>30</v>
      </c>
      <c r="Q502" s="30">
        <f>IF(OR(H502&lt;&gt;"Realizado",P502="",P502=0),"",A502+P502)</f>
        <v>46254.0</v>
      </c>
      <c r="R502" s="26" t="str">
        <f>IF(Q502="","",IF(COUNTIFS($E$5:$E$3004,E502,$A$5:$A$3004,"&gt;"&amp;A502,$H$5:$H$3004,"&lt;&gt;Falta",$H$5:$H$3004,"&lt;&gt;Cancelado",$H$5:$H$3004,"&lt;&gt;Remarcado")&gt;0,"Sim","Não"))</f>
        <v>Sim</v>
      </c>
      <c r="S502" s="32">
        <f>IF(R502&lt;&gt;"Não","",IF(Q502+Config!$B$9&lt;=Config!$B$8,Config!$B$8-Q502,""))</f>
        <v/>
      </c>
      <c r="T502" s="26">
        <f>IF(S502="","","Sim")</f>
        <v/>
      </c>
      <c r="U502" s="41">
        <f>IF(T502="Sim",S502+ROW()/100000,0)</f>
        <v>0</v>
      </c>
      <c r="V502" s="41">
        <f>IF(AND(H502="Falta",L502=Config!$B$7,M502=Config!$B$5,COUNTIFS($E$5:E502,E502,$H$5:H502,"Falta",$L$5:L502,Config!$B$7,$M$5:M502,Config!$B$5)=1),COUNTIFS($E$5:$E$3004,E502,$H$5:$H$3004,"Falta",$L$5:$L$3004,Config!$B$7,$M$5:$M$3004,Config!$B$5)*1000-ROW()/100000,0)</f>
        <v>0</v>
      </c>
    </row>
    <row r="503">
      <c r="A503" s="39" t="n">
        <v>46224</v>
      </c>
      <c r="B503" s="40" t="n">
        <v>0.6805555555555556</v>
      </c>
      <c r="C503" s="35" t="inlineStr">
        <is>
          <t>Dra. Renata Sousa</t>
        </is>
      </c>
      <c r="D503" s="35" t="inlineStr">
        <is>
          <t>Sala 1</t>
        </is>
      </c>
      <c r="E503" s="34" t="inlineStr">
        <is>
          <t>Gisele Lopes</t>
        </is>
      </c>
      <c r="F503" s="35" t="inlineStr">
        <is>
          <t>Saúde Total</t>
        </is>
      </c>
      <c r="G503" s="35" t="inlineStr">
        <is>
          <t>Retorno</t>
        </is>
      </c>
      <c r="H503" s="35" t="inlineStr">
        <is>
          <t>Realizado</t>
        </is>
      </c>
      <c r="I503" s="35" t="inlineStr">
        <is>
          <t>Sem cobrança</t>
        </is>
      </c>
      <c r="J503" s="35" t="n"/>
      <c r="K503" s="34" t="n"/>
      <c r="L503" s="26">
        <f>IF(A503="","",MONTH(A503))</f>
        <v>7</v>
      </c>
      <c r="M503" s="26">
        <f>IF(A503="","",YEAR(A503))</f>
        <v>2026</v>
      </c>
      <c r="N503" s="26" t="str">
        <f>IF(A503="","",CHOOSE(WEEKDAY(A503,2),"Segunda","Terça","Quarta","Quinta","Sexta","Sábado","Domingo"))</f>
        <v>Terça</v>
      </c>
      <c r="O503" s="26" t="str">
        <f>IF(B503="","",IF(B503&lt;TIME(12,0,0),"Manhã",IF(B503&lt;TIME(18,0,0),"Tarde","Noite")))</f>
        <v>Tarde</v>
      </c>
      <c r="P503" s="32">
        <f>IF(G503="","",IFERROR(INDEX(Config!$I$5:$I$16,MATCH(G503,Config!$H$5:$H$16,0)),0))</f>
        <v>0</v>
      </c>
      <c r="Q503" s="30">
        <f>IF(OR(H503&lt;&gt;"Realizado",P503="",P503=0),"",A503+P503)</f>
        <v/>
      </c>
      <c r="R503" s="26">
        <f>IF(Q503="","",IF(COUNTIFS($E$5:$E$3004,E503,$A$5:$A$3004,"&gt;"&amp;A503,$H$5:$H$3004,"&lt;&gt;Falta",$H$5:$H$3004,"&lt;&gt;Cancelado",$H$5:$H$3004,"&lt;&gt;Remarcado")&gt;0,"Sim","Não"))</f>
        <v/>
      </c>
      <c r="S503" s="32">
        <f>IF(R503&lt;&gt;"Não","",IF(Q503+Config!$B$9&lt;=Config!$B$8,Config!$B$8-Q503,""))</f>
        <v/>
      </c>
      <c r="T503" s="26">
        <f>IF(S503="","","Sim")</f>
        <v/>
      </c>
      <c r="U503" s="41">
        <f>IF(T503="Sim",S503+ROW()/100000,0)</f>
        <v>0</v>
      </c>
      <c r="V503" s="41">
        <f>IF(AND(H503="Falta",L503=Config!$B$7,M503=Config!$B$5,COUNTIFS($E$5:E503,E503,$H$5:H503,"Falta",$L$5:L503,Config!$B$7,$M$5:M503,Config!$B$5)=1),COUNTIFS($E$5:$E$3004,E503,$H$5:$H$3004,"Falta",$L$5:$L$3004,Config!$B$7,$M$5:$M$3004,Config!$B$5)*1000-ROW()/100000,0)</f>
        <v>0</v>
      </c>
    </row>
    <row r="504">
      <c r="A504" s="39" t="n">
        <v>46224</v>
      </c>
      <c r="B504" s="40" t="n">
        <v>0.6875</v>
      </c>
      <c r="C504" s="35" t="inlineStr">
        <is>
          <t>Dr. Paulo Andrade</t>
        </is>
      </c>
      <c r="D504" s="35" t="inlineStr">
        <is>
          <t>Sala 2</t>
        </is>
      </c>
      <c r="E504" s="34" t="inlineStr">
        <is>
          <t>Sandra Cardoso</t>
        </is>
      </c>
      <c r="F504" s="35" t="inlineStr">
        <is>
          <t>Saúde Total</t>
        </is>
      </c>
      <c r="G504" s="35" t="inlineStr">
        <is>
          <t>Consulta</t>
        </is>
      </c>
      <c r="H504" s="35" t="inlineStr">
        <is>
          <t>Realizado</t>
        </is>
      </c>
      <c r="I504" s="35" t="inlineStr">
        <is>
          <t>Convênio</t>
        </is>
      </c>
      <c r="J504" s="35" t="n"/>
      <c r="K504" s="34" t="n"/>
      <c r="L504" s="26">
        <f>IF(A504="","",MONTH(A504))</f>
        <v>7</v>
      </c>
      <c r="M504" s="26">
        <f>IF(A504="","",YEAR(A504))</f>
        <v>2026</v>
      </c>
      <c r="N504" s="26" t="str">
        <f>IF(A504="","",CHOOSE(WEEKDAY(A504,2),"Segunda","Terça","Quarta","Quinta","Sexta","Sábado","Domingo"))</f>
        <v>Terça</v>
      </c>
      <c r="O504" s="26" t="str">
        <f>IF(B504="","",IF(B504&lt;TIME(12,0,0),"Manhã",IF(B504&lt;TIME(18,0,0),"Tarde","Noite")))</f>
        <v>Tarde</v>
      </c>
      <c r="P504" s="32">
        <f>IF(G504="","",IFERROR(INDEX(Config!$I$5:$I$16,MATCH(G504,Config!$H$5:$H$16,0)),0))</f>
        <v>30</v>
      </c>
      <c r="Q504" s="30">
        <f>IF(OR(H504&lt;&gt;"Realizado",P504="",P504=0),"",A504+P504)</f>
        <v>46254.0</v>
      </c>
      <c r="R504" s="26" t="str">
        <f>IF(Q504="","",IF(COUNTIFS($E$5:$E$3004,E504,$A$5:$A$3004,"&gt;"&amp;A504,$H$5:$H$3004,"&lt;&gt;Falta",$H$5:$H$3004,"&lt;&gt;Cancelado",$H$5:$H$3004,"&lt;&gt;Remarcado")&gt;0,"Sim","Não"))</f>
        <v>Sim</v>
      </c>
      <c r="S504" s="32">
        <f>IF(R504&lt;&gt;"Não","",IF(Q504+Config!$B$9&lt;=Config!$B$8,Config!$B$8-Q504,""))</f>
        <v/>
      </c>
      <c r="T504" s="26">
        <f>IF(S504="","","Sim")</f>
        <v/>
      </c>
      <c r="U504" s="41">
        <f>IF(T504="Sim",S504+ROW()/100000,0)</f>
        <v>0</v>
      </c>
      <c r="V504" s="41">
        <f>IF(AND(H504="Falta",L504=Config!$B$7,M504=Config!$B$5,COUNTIFS($E$5:E504,E504,$H$5:H504,"Falta",$L$5:L504,Config!$B$7,$M$5:M504,Config!$B$5)=1),COUNTIFS($E$5:$E$3004,E504,$H$5:$H$3004,"Falta",$L$5:$L$3004,Config!$B$7,$M$5:$M$3004,Config!$B$5)*1000-ROW()/100000,0)</f>
        <v>0</v>
      </c>
    </row>
    <row r="505">
      <c r="A505" s="39" t="n">
        <v>46224</v>
      </c>
      <c r="B505" s="40" t="n">
        <v>0.6944444444444444</v>
      </c>
      <c r="C505" s="35" t="inlineStr">
        <is>
          <t>Dra. Renata Sousa</t>
        </is>
      </c>
      <c r="D505" s="35" t="inlineStr">
        <is>
          <t>Sala 1</t>
        </is>
      </c>
      <c r="E505" s="34" t="inlineStr">
        <is>
          <t>Isabela Xavier</t>
        </is>
      </c>
      <c r="F505" s="35" t="inlineStr">
        <is>
          <t>Particular</t>
        </is>
      </c>
      <c r="G505" s="35" t="inlineStr">
        <is>
          <t>Avaliação endócrina</t>
        </is>
      </c>
      <c r="H505" s="35" t="inlineStr">
        <is>
          <t>Realizado</t>
        </is>
      </c>
      <c r="I505" s="35" t="inlineStr">
        <is>
          <t>Cartão de crédito</t>
        </is>
      </c>
      <c r="J505" s="35" t="n"/>
      <c r="K505" s="34" t="n"/>
      <c r="L505" s="26">
        <f>IF(A505="","",MONTH(A505))</f>
        <v>7</v>
      </c>
      <c r="M505" s="26">
        <f>IF(A505="","",YEAR(A505))</f>
        <v>2026</v>
      </c>
      <c r="N505" s="26" t="str">
        <f>IF(A505="","",CHOOSE(WEEKDAY(A505,2),"Segunda","Terça","Quarta","Quinta","Sexta","Sábado","Domingo"))</f>
        <v>Terça</v>
      </c>
      <c r="O505" s="26" t="str">
        <f>IF(B505="","",IF(B505&lt;TIME(12,0,0),"Manhã",IF(B505&lt;TIME(18,0,0),"Tarde","Noite")))</f>
        <v>Tarde</v>
      </c>
      <c r="P505" s="32">
        <f>IF(G505="","",IFERROR(INDEX(Config!$I$5:$I$16,MATCH(G505,Config!$H$5:$H$16,0)),0))</f>
        <v>45</v>
      </c>
      <c r="Q505" s="30">
        <f>IF(OR(H505&lt;&gt;"Realizado",P505="",P505=0),"",A505+P505)</f>
        <v>46269.0</v>
      </c>
      <c r="R505" s="26" t="str">
        <f>IF(Q505="","",IF(COUNTIFS($E$5:$E$3004,E505,$A$5:$A$3004,"&gt;"&amp;A505,$H$5:$H$3004,"&lt;&gt;Falta",$H$5:$H$3004,"&lt;&gt;Cancelado",$H$5:$H$3004,"&lt;&gt;Remarcado")&gt;0,"Sim","Não"))</f>
        <v>Sim</v>
      </c>
      <c r="S505" s="32">
        <f>IF(R505&lt;&gt;"Não","",IF(Q505+Config!$B$9&lt;=Config!$B$8,Config!$B$8-Q505,""))</f>
        <v/>
      </c>
      <c r="T505" s="26">
        <f>IF(S505="","","Sim")</f>
        <v/>
      </c>
      <c r="U505" s="41">
        <f>IF(T505="Sim",S505+ROW()/100000,0)</f>
        <v>0</v>
      </c>
      <c r="V505" s="41">
        <f>IF(AND(H505="Falta",L505=Config!$B$7,M505=Config!$B$5,COUNTIFS($E$5:E505,E505,$H$5:H505,"Falta",$L$5:L505,Config!$B$7,$M$5:M505,Config!$B$5)=1),COUNTIFS($E$5:$E$3004,E505,$H$5:$H$3004,"Falta",$L$5:$L$3004,Config!$B$7,$M$5:$M$3004,Config!$B$5)*1000-ROW()/100000,0)</f>
        <v>0</v>
      </c>
    </row>
    <row r="506">
      <c r="A506" s="39" t="n">
        <v>46224</v>
      </c>
      <c r="B506" s="40" t="n">
        <v>0.7083333333333334</v>
      </c>
      <c r="C506" s="35" t="inlineStr">
        <is>
          <t>Dr. Paulo Andrade</t>
        </is>
      </c>
      <c r="D506" s="35" t="inlineStr">
        <is>
          <t>Sala 2</t>
        </is>
      </c>
      <c r="E506" s="34" t="inlineStr">
        <is>
          <t>Regina Macedo</t>
        </is>
      </c>
      <c r="F506" s="35" t="inlineStr">
        <is>
          <t>Particular</t>
        </is>
      </c>
      <c r="G506" s="35" t="inlineStr">
        <is>
          <t>ECG</t>
        </is>
      </c>
      <c r="H506" s="35" t="inlineStr">
        <is>
          <t>Realizado</t>
        </is>
      </c>
      <c r="I506" s="35" t="inlineStr">
        <is>
          <t>Pix</t>
        </is>
      </c>
      <c r="J506" s="35" t="n"/>
      <c r="K506" s="34" t="n"/>
      <c r="L506" s="26">
        <f>IF(A506="","",MONTH(A506))</f>
        <v>7</v>
      </c>
      <c r="M506" s="26">
        <f>IF(A506="","",YEAR(A506))</f>
        <v>2026</v>
      </c>
      <c r="N506" s="26" t="str">
        <f>IF(A506="","",CHOOSE(WEEKDAY(A506,2),"Segunda","Terça","Quarta","Quinta","Sexta","Sábado","Domingo"))</f>
        <v>Terça</v>
      </c>
      <c r="O506" s="26" t="str">
        <f>IF(B506="","",IF(B506&lt;TIME(12,0,0),"Manhã",IF(B506&lt;TIME(18,0,0),"Tarde","Noite")))</f>
        <v>Tarde</v>
      </c>
      <c r="P506" s="32">
        <f>IF(G506="","",IFERROR(INDEX(Config!$I$5:$I$16,MATCH(G506,Config!$H$5:$H$16,0)),0))</f>
        <v>0</v>
      </c>
      <c r="Q506" s="30">
        <f>IF(OR(H506&lt;&gt;"Realizado",P506="",P506=0),"",A506+P506)</f>
        <v/>
      </c>
      <c r="R506" s="26">
        <f>IF(Q506="","",IF(COUNTIFS($E$5:$E$3004,E506,$A$5:$A$3004,"&gt;"&amp;A506,$H$5:$H$3004,"&lt;&gt;Falta",$H$5:$H$3004,"&lt;&gt;Cancelado",$H$5:$H$3004,"&lt;&gt;Remarcado")&gt;0,"Sim","Não"))</f>
        <v/>
      </c>
      <c r="S506" s="32">
        <f>IF(R506&lt;&gt;"Não","",IF(Q506+Config!$B$9&lt;=Config!$B$8,Config!$B$8-Q506,""))</f>
        <v/>
      </c>
      <c r="T506" s="26">
        <f>IF(S506="","","Sim")</f>
        <v/>
      </c>
      <c r="U506" s="41">
        <f>IF(T506="Sim",S506+ROW()/100000,0)</f>
        <v>0</v>
      </c>
      <c r="V506" s="41">
        <f>IF(AND(H506="Falta",L506=Config!$B$7,M506=Config!$B$5,COUNTIFS($E$5:E506,E506,$H$5:H506,"Falta",$L$5:L506,Config!$B$7,$M$5:M506,Config!$B$5)=1),COUNTIFS($E$5:$E$3004,E506,$H$5:$H$3004,"Falta",$L$5:$L$3004,Config!$B$7,$M$5:$M$3004,Config!$B$5)*1000-ROW()/100000,0)</f>
        <v>0</v>
      </c>
    </row>
    <row r="507">
      <c r="A507" s="39" t="n">
        <v>46224</v>
      </c>
      <c r="B507" s="40" t="n">
        <v>0.7222222222222222</v>
      </c>
      <c r="C507" s="35" t="inlineStr">
        <is>
          <t>Dra. Renata Sousa</t>
        </is>
      </c>
      <c r="D507" s="35" t="inlineStr">
        <is>
          <t>Sala 1</t>
        </is>
      </c>
      <c r="E507" s="34" t="inlineStr">
        <is>
          <t>Carlos Gonçalves</t>
        </is>
      </c>
      <c r="F507" s="35" t="inlineStr">
        <is>
          <t>Saúde Total</t>
        </is>
      </c>
      <c r="G507" s="35" t="inlineStr">
        <is>
          <t>Avaliação endócrina</t>
        </is>
      </c>
      <c r="H507" s="35" t="inlineStr">
        <is>
          <t>Realizado</t>
        </is>
      </c>
      <c r="I507" s="35" t="inlineStr">
        <is>
          <t>Convênio</t>
        </is>
      </c>
      <c r="J507" s="35" t="n"/>
      <c r="K507" s="34" t="n"/>
      <c r="L507" s="26">
        <f>IF(A507="","",MONTH(A507))</f>
        <v>7</v>
      </c>
      <c r="M507" s="26">
        <f>IF(A507="","",YEAR(A507))</f>
        <v>2026</v>
      </c>
      <c r="N507" s="26" t="str">
        <f>IF(A507="","",CHOOSE(WEEKDAY(A507,2),"Segunda","Terça","Quarta","Quinta","Sexta","Sábado","Domingo"))</f>
        <v>Terça</v>
      </c>
      <c r="O507" s="26" t="str">
        <f>IF(B507="","",IF(B507&lt;TIME(12,0,0),"Manhã",IF(B507&lt;TIME(18,0,0),"Tarde","Noite")))</f>
        <v>Tarde</v>
      </c>
      <c r="P507" s="32">
        <f>IF(G507="","",IFERROR(INDEX(Config!$I$5:$I$16,MATCH(G507,Config!$H$5:$H$16,0)),0))</f>
        <v>45</v>
      </c>
      <c r="Q507" s="30">
        <f>IF(OR(H507&lt;&gt;"Realizado",P507="",P507=0),"",A507+P507)</f>
        <v>46269.0</v>
      </c>
      <c r="R507" s="26" t="str">
        <f>IF(Q507="","",IF(COUNTIFS($E$5:$E$3004,E507,$A$5:$A$3004,"&gt;"&amp;A507,$H$5:$H$3004,"&lt;&gt;Falta",$H$5:$H$3004,"&lt;&gt;Cancelado",$H$5:$H$3004,"&lt;&gt;Remarcado")&gt;0,"Sim","Não"))</f>
        <v>Sim</v>
      </c>
      <c r="S507" s="32">
        <f>IF(R507&lt;&gt;"Não","",IF(Q507+Config!$B$9&lt;=Config!$B$8,Config!$B$8-Q507,""))</f>
        <v/>
      </c>
      <c r="T507" s="26">
        <f>IF(S507="","","Sim")</f>
        <v/>
      </c>
      <c r="U507" s="41">
        <f>IF(T507="Sim",S507+ROW()/100000,0)</f>
        <v>0</v>
      </c>
      <c r="V507" s="41">
        <f>IF(AND(H507="Falta",L507=Config!$B$7,M507=Config!$B$5,COUNTIFS($E$5:E507,E507,$H$5:H507,"Falta",$L$5:L507,Config!$B$7,$M$5:M507,Config!$B$5)=1),COUNTIFS($E$5:$E$3004,E507,$H$5:$H$3004,"Falta",$L$5:$L$3004,Config!$B$7,$M$5:$M$3004,Config!$B$5)*1000-ROW()/100000,0)</f>
        <v>0</v>
      </c>
    </row>
    <row r="508">
      <c r="A508" s="39" t="n">
        <v>46224</v>
      </c>
      <c r="B508" s="40" t="n">
        <v>0.7222222222222222</v>
      </c>
      <c r="C508" s="35" t="inlineStr">
        <is>
          <t>Dr. Paulo Andrade</t>
        </is>
      </c>
      <c r="D508" s="35" t="inlineStr">
        <is>
          <t>Sala 2</t>
        </is>
      </c>
      <c r="E508" s="34" t="inlineStr">
        <is>
          <t>Mateus Dias</t>
        </is>
      </c>
      <c r="F508" s="35" t="inlineStr">
        <is>
          <t>Saúde Total</t>
        </is>
      </c>
      <c r="G508" s="35" t="inlineStr">
        <is>
          <t>Consulta</t>
        </is>
      </c>
      <c r="H508" s="35" t="inlineStr">
        <is>
          <t>Realizado</t>
        </is>
      </c>
      <c r="I508" s="35" t="inlineStr">
        <is>
          <t>Convênio</t>
        </is>
      </c>
      <c r="J508" s="35" t="n"/>
      <c r="K508" s="34" t="n"/>
      <c r="L508" s="26">
        <f>IF(A508="","",MONTH(A508))</f>
        <v>7</v>
      </c>
      <c r="M508" s="26">
        <f>IF(A508="","",YEAR(A508))</f>
        <v>2026</v>
      </c>
      <c r="N508" s="26" t="str">
        <f>IF(A508="","",CHOOSE(WEEKDAY(A508,2),"Segunda","Terça","Quarta","Quinta","Sexta","Sábado","Domingo"))</f>
        <v>Terça</v>
      </c>
      <c r="O508" s="26" t="str">
        <f>IF(B508="","",IF(B508&lt;TIME(12,0,0),"Manhã",IF(B508&lt;TIME(18,0,0),"Tarde","Noite")))</f>
        <v>Tarde</v>
      </c>
      <c r="P508" s="32">
        <f>IF(G508="","",IFERROR(INDEX(Config!$I$5:$I$16,MATCH(G508,Config!$H$5:$H$16,0)),0))</f>
        <v>30</v>
      </c>
      <c r="Q508" s="30">
        <f>IF(OR(H508&lt;&gt;"Realizado",P508="",P508=0),"",A508+P508)</f>
        <v>46254.0</v>
      </c>
      <c r="R508" s="26" t="str">
        <f>IF(Q508="","",IF(COUNTIFS($E$5:$E$3004,E508,$A$5:$A$3004,"&gt;"&amp;A508,$H$5:$H$3004,"&lt;&gt;Falta",$H$5:$H$3004,"&lt;&gt;Cancelado",$H$5:$H$3004,"&lt;&gt;Remarcado")&gt;0,"Sim","Não"))</f>
        <v>Sim</v>
      </c>
      <c r="S508" s="32">
        <f>IF(R508&lt;&gt;"Não","",IF(Q508+Config!$B$9&lt;=Config!$B$8,Config!$B$8-Q508,""))</f>
        <v/>
      </c>
      <c r="T508" s="26">
        <f>IF(S508="","","Sim")</f>
        <v/>
      </c>
      <c r="U508" s="41">
        <f>IF(T508="Sim",S508+ROW()/100000,0)</f>
        <v>0</v>
      </c>
      <c r="V508" s="41">
        <f>IF(AND(H508="Falta",L508=Config!$B$7,M508=Config!$B$5,COUNTIFS($E$5:E508,E508,$H$5:H508,"Falta",$L$5:L508,Config!$B$7,$M$5:M508,Config!$B$5)=1),COUNTIFS($E$5:$E$3004,E508,$H$5:$H$3004,"Falta",$L$5:$L$3004,Config!$B$7,$M$5:$M$3004,Config!$B$5)*1000-ROW()/100000,0)</f>
        <v>0</v>
      </c>
    </row>
    <row r="509">
      <c r="A509" s="39" t="n">
        <v>46225</v>
      </c>
      <c r="B509" s="40" t="n">
        <v>0.5833333333333334</v>
      </c>
      <c r="C509" s="35" t="inlineStr">
        <is>
          <t>Dra. Carolina Mendes</t>
        </is>
      </c>
      <c r="D509" s="35" t="inlineStr">
        <is>
          <t>Sala 1</t>
        </is>
      </c>
      <c r="E509" s="34" t="inlineStr">
        <is>
          <t>Ana Costa</t>
        </is>
      </c>
      <c r="F509" s="35" t="inlineStr">
        <is>
          <t>Particular</t>
        </is>
      </c>
      <c r="G509" s="35" t="inlineStr">
        <is>
          <t>Consulta</t>
        </is>
      </c>
      <c r="H509" s="35" t="inlineStr">
        <is>
          <t>Realizado</t>
        </is>
      </c>
      <c r="I509" s="35" t="inlineStr">
        <is>
          <t>Pix</t>
        </is>
      </c>
      <c r="J509" s="35" t="n"/>
      <c r="K509" s="34" t="n"/>
      <c r="L509" s="26">
        <f>IF(A509="","",MONTH(A509))</f>
        <v>7</v>
      </c>
      <c r="M509" s="26">
        <f>IF(A509="","",YEAR(A509))</f>
        <v>2026</v>
      </c>
      <c r="N509" s="26" t="str">
        <f>IF(A509="","",CHOOSE(WEEKDAY(A509,2),"Segunda","Terça","Quarta","Quinta","Sexta","Sábado","Domingo"))</f>
        <v>Quarta</v>
      </c>
      <c r="O509" s="26" t="str">
        <f>IF(B509="","",IF(B509&lt;TIME(12,0,0),"Manhã",IF(B509&lt;TIME(18,0,0),"Tarde","Noite")))</f>
        <v>Tarde</v>
      </c>
      <c r="P509" s="32">
        <f>IF(G509="","",IFERROR(INDEX(Config!$I$5:$I$16,MATCH(G509,Config!$H$5:$H$16,0)),0))</f>
        <v>30</v>
      </c>
      <c r="Q509" s="30">
        <f>IF(OR(H509&lt;&gt;"Realizado",P509="",P509=0),"",A509+P509)</f>
        <v>46255.0</v>
      </c>
      <c r="R509" s="26" t="str">
        <f>IF(Q509="","",IF(COUNTIFS($E$5:$E$3004,E509,$A$5:$A$3004,"&gt;"&amp;A509,$H$5:$H$3004,"&lt;&gt;Falta",$H$5:$H$3004,"&lt;&gt;Cancelado",$H$5:$H$3004,"&lt;&gt;Remarcado")&gt;0,"Sim","Não"))</f>
        <v>Sim</v>
      </c>
      <c r="S509" s="32">
        <f>IF(R509&lt;&gt;"Não","",IF(Q509+Config!$B$9&lt;=Config!$B$8,Config!$B$8-Q509,""))</f>
        <v/>
      </c>
      <c r="T509" s="26">
        <f>IF(S509="","","Sim")</f>
        <v/>
      </c>
      <c r="U509" s="41">
        <f>IF(T509="Sim",S509+ROW()/100000,0)</f>
        <v>0</v>
      </c>
      <c r="V509" s="41">
        <f>IF(AND(H509="Falta",L509=Config!$B$7,M509=Config!$B$5,COUNTIFS($E$5:E509,E509,$H$5:H509,"Falta",$L$5:L509,Config!$B$7,$M$5:M509,Config!$B$5)=1),COUNTIFS($E$5:$E$3004,E509,$H$5:$H$3004,"Falta",$L$5:$L$3004,Config!$B$7,$M$5:$M$3004,Config!$B$5)*1000-ROW()/100000,0)</f>
        <v>0</v>
      </c>
    </row>
    <row r="510">
      <c r="A510" s="39" t="n">
        <v>46225</v>
      </c>
      <c r="B510" s="40" t="n">
        <v>0.6041666666666666</v>
      </c>
      <c r="C510" s="35" t="inlineStr">
        <is>
          <t>Dra. Carolina Mendes</t>
        </is>
      </c>
      <c r="D510" s="35" t="inlineStr">
        <is>
          <t>Sala 1</t>
        </is>
      </c>
      <c r="E510" s="34" t="inlineStr">
        <is>
          <t>Rodrigo Moreira</t>
        </is>
      </c>
      <c r="F510" s="35" t="inlineStr">
        <is>
          <t>Particular</t>
        </is>
      </c>
      <c r="G510" s="35" t="inlineStr">
        <is>
          <t>Consulta</t>
        </is>
      </c>
      <c r="H510" s="35" t="inlineStr">
        <is>
          <t>Realizado</t>
        </is>
      </c>
      <c r="I510" s="35" t="inlineStr">
        <is>
          <t>Pix</t>
        </is>
      </c>
      <c r="J510" s="35" t="n"/>
      <c r="K510" s="34" t="n"/>
      <c r="L510" s="26">
        <f>IF(A510="","",MONTH(A510))</f>
        <v>7</v>
      </c>
      <c r="M510" s="26">
        <f>IF(A510="","",YEAR(A510))</f>
        <v>2026</v>
      </c>
      <c r="N510" s="26" t="str">
        <f>IF(A510="","",CHOOSE(WEEKDAY(A510,2),"Segunda","Terça","Quarta","Quinta","Sexta","Sábado","Domingo"))</f>
        <v>Quarta</v>
      </c>
      <c r="O510" s="26" t="str">
        <f>IF(B510="","",IF(B510&lt;TIME(12,0,0),"Manhã",IF(B510&lt;TIME(18,0,0),"Tarde","Noite")))</f>
        <v>Tarde</v>
      </c>
      <c r="P510" s="32">
        <f>IF(G510="","",IFERROR(INDEX(Config!$I$5:$I$16,MATCH(G510,Config!$H$5:$H$16,0)),0))</f>
        <v>30</v>
      </c>
      <c r="Q510" s="30">
        <f>IF(OR(H510&lt;&gt;"Realizado",P510="",P510=0),"",A510+P510)</f>
        <v>46255.0</v>
      </c>
      <c r="R510" s="26" t="str">
        <f>IF(Q510="","",IF(COUNTIFS($E$5:$E$3004,E510,$A$5:$A$3004,"&gt;"&amp;A510,$H$5:$H$3004,"&lt;&gt;Falta",$H$5:$H$3004,"&lt;&gt;Cancelado",$H$5:$H$3004,"&lt;&gt;Remarcado")&gt;0,"Sim","Não"))</f>
        <v>Sim</v>
      </c>
      <c r="S510" s="32">
        <f>IF(R510&lt;&gt;"Não","",IF(Q510+Config!$B$9&lt;=Config!$B$8,Config!$B$8-Q510,""))</f>
        <v/>
      </c>
      <c r="T510" s="26">
        <f>IF(S510="","","Sim")</f>
        <v/>
      </c>
      <c r="U510" s="41">
        <f>IF(T510="Sim",S510+ROW()/100000,0)</f>
        <v>0</v>
      </c>
      <c r="V510" s="41">
        <f>IF(AND(H510="Falta",L510=Config!$B$7,M510=Config!$B$5,COUNTIFS($E$5:E510,E510,$H$5:H510,"Falta",$L$5:L510,Config!$B$7,$M$5:M510,Config!$B$5)=1),COUNTIFS($E$5:$E$3004,E510,$H$5:$H$3004,"Falta",$L$5:$L$3004,Config!$B$7,$M$5:$M$3004,Config!$B$5)*1000-ROW()/100000,0)</f>
        <v>0</v>
      </c>
    </row>
    <row r="511">
      <c r="A511" s="39" t="n">
        <v>46225</v>
      </c>
      <c r="B511" s="40" t="n">
        <v>0.625</v>
      </c>
      <c r="C511" s="35" t="inlineStr">
        <is>
          <t>Dra. Carolina Mendes</t>
        </is>
      </c>
      <c r="D511" s="35" t="inlineStr">
        <is>
          <t>Sala 1</t>
        </is>
      </c>
      <c r="E511" s="34" t="inlineStr">
        <is>
          <t>Roberta Araújo</t>
        </is>
      </c>
      <c r="F511" s="35" t="inlineStr">
        <is>
          <t>Particular</t>
        </is>
      </c>
      <c r="G511" s="35" t="inlineStr">
        <is>
          <t>Consulta</t>
        </is>
      </c>
      <c r="H511" s="35" t="inlineStr">
        <is>
          <t>Realizado</t>
        </is>
      </c>
      <c r="I511" s="35" t="inlineStr">
        <is>
          <t>Pix</t>
        </is>
      </c>
      <c r="J511" s="35" t="n"/>
      <c r="K511" s="34" t="n"/>
      <c r="L511" s="26">
        <f>IF(A511="","",MONTH(A511))</f>
        <v>7</v>
      </c>
      <c r="M511" s="26">
        <f>IF(A511="","",YEAR(A511))</f>
        <v>2026</v>
      </c>
      <c r="N511" s="26" t="str">
        <f>IF(A511="","",CHOOSE(WEEKDAY(A511,2),"Segunda","Terça","Quarta","Quinta","Sexta","Sábado","Domingo"))</f>
        <v>Quarta</v>
      </c>
      <c r="O511" s="26" t="str">
        <f>IF(B511="","",IF(B511&lt;TIME(12,0,0),"Manhã",IF(B511&lt;TIME(18,0,0),"Tarde","Noite")))</f>
        <v>Tarde</v>
      </c>
      <c r="P511" s="32">
        <f>IF(G511="","",IFERROR(INDEX(Config!$I$5:$I$16,MATCH(G511,Config!$H$5:$H$16,0)),0))</f>
        <v>30</v>
      </c>
      <c r="Q511" s="30">
        <f>IF(OR(H511&lt;&gt;"Realizado",P511="",P511=0),"",A511+P511)</f>
        <v>46255.0</v>
      </c>
      <c r="R511" s="26" t="str">
        <f>IF(Q511="","",IF(COUNTIFS($E$5:$E$3004,E511,$A$5:$A$3004,"&gt;"&amp;A511,$H$5:$H$3004,"&lt;&gt;Falta",$H$5:$H$3004,"&lt;&gt;Cancelado",$H$5:$H$3004,"&lt;&gt;Remarcado")&gt;0,"Sim","Não"))</f>
        <v>Sim</v>
      </c>
      <c r="S511" s="32">
        <f>IF(R511&lt;&gt;"Não","",IF(Q511+Config!$B$9&lt;=Config!$B$8,Config!$B$8-Q511,""))</f>
        <v/>
      </c>
      <c r="T511" s="26">
        <f>IF(S511="","","Sim")</f>
        <v/>
      </c>
      <c r="U511" s="41">
        <f>IF(T511="Sim",S511+ROW()/100000,0)</f>
        <v>0</v>
      </c>
      <c r="V511" s="41">
        <f>IF(AND(H511="Falta",L511=Config!$B$7,M511=Config!$B$5,COUNTIFS($E$5:E511,E511,$H$5:H511,"Falta",$L$5:L511,Config!$B$7,$M$5:M511,Config!$B$5)=1),COUNTIFS($E$5:$E$3004,E511,$H$5:$H$3004,"Falta",$L$5:$L$3004,Config!$B$7,$M$5:$M$3004,Config!$B$5)*1000-ROW()/100000,0)</f>
        <v>0</v>
      </c>
    </row>
    <row r="512">
      <c r="A512" s="39" t="n">
        <v>46225</v>
      </c>
      <c r="B512" s="40" t="n">
        <v>0.6458333333333334</v>
      </c>
      <c r="C512" s="35" t="inlineStr">
        <is>
          <t>Dra. Carolina Mendes</t>
        </is>
      </c>
      <c r="D512" s="35" t="inlineStr">
        <is>
          <t>Sala 1</t>
        </is>
      </c>
      <c r="E512" s="34" t="inlineStr">
        <is>
          <t>Marcelo Santos</t>
        </is>
      </c>
      <c r="F512" s="35" t="inlineStr">
        <is>
          <t>Particular</t>
        </is>
      </c>
      <c r="G512" s="35" t="inlineStr">
        <is>
          <t>Consulta</t>
        </is>
      </c>
      <c r="H512" s="35" t="inlineStr">
        <is>
          <t>Realizado</t>
        </is>
      </c>
      <c r="I512" s="35" t="inlineStr">
        <is>
          <t>Cartão de crédito</t>
        </is>
      </c>
      <c r="J512" s="35" t="n"/>
      <c r="K512" s="34" t="n"/>
      <c r="L512" s="26">
        <f>IF(A512="","",MONTH(A512))</f>
        <v>7</v>
      </c>
      <c r="M512" s="26">
        <f>IF(A512="","",YEAR(A512))</f>
        <v>2026</v>
      </c>
      <c r="N512" s="26" t="str">
        <f>IF(A512="","",CHOOSE(WEEKDAY(A512,2),"Segunda","Terça","Quarta","Quinta","Sexta","Sábado","Domingo"))</f>
        <v>Quarta</v>
      </c>
      <c r="O512" s="26" t="str">
        <f>IF(B512="","",IF(B512&lt;TIME(12,0,0),"Manhã",IF(B512&lt;TIME(18,0,0),"Tarde","Noite")))</f>
        <v>Tarde</v>
      </c>
      <c r="P512" s="32">
        <f>IF(G512="","",IFERROR(INDEX(Config!$I$5:$I$16,MATCH(G512,Config!$H$5:$H$16,0)),0))</f>
        <v>30</v>
      </c>
      <c r="Q512" s="30">
        <f>IF(OR(H512&lt;&gt;"Realizado",P512="",P512=0),"",A512+P512)</f>
        <v>46255.0</v>
      </c>
      <c r="R512" s="26" t="str">
        <f>IF(Q512="","",IF(COUNTIFS($E$5:$E$3004,E512,$A$5:$A$3004,"&gt;"&amp;A512,$H$5:$H$3004,"&lt;&gt;Falta",$H$5:$H$3004,"&lt;&gt;Cancelado",$H$5:$H$3004,"&lt;&gt;Remarcado")&gt;0,"Sim","Não"))</f>
        <v>Sim</v>
      </c>
      <c r="S512" s="32">
        <f>IF(R512&lt;&gt;"Não","",IF(Q512+Config!$B$9&lt;=Config!$B$8,Config!$B$8-Q512,""))</f>
        <v/>
      </c>
      <c r="T512" s="26">
        <f>IF(S512="","","Sim")</f>
        <v/>
      </c>
      <c r="U512" s="41">
        <f>IF(T512="Sim",S512+ROW()/100000,0)</f>
        <v>0</v>
      </c>
      <c r="V512" s="41">
        <f>IF(AND(H512="Falta",L512=Config!$B$7,M512=Config!$B$5,COUNTIFS($E$5:E512,E512,$H$5:H512,"Falta",$L$5:L512,Config!$B$7,$M$5:M512,Config!$B$5)=1),COUNTIFS($E$5:$E$3004,E512,$H$5:$H$3004,"Falta",$L$5:$L$3004,Config!$B$7,$M$5:$M$3004,Config!$B$5)*1000-ROW()/100000,0)</f>
        <v>0</v>
      </c>
    </row>
    <row r="513">
      <c r="A513" s="39" t="n">
        <v>46225</v>
      </c>
      <c r="B513" s="40" t="n">
        <v>0.6666666666666666</v>
      </c>
      <c r="C513" s="35" t="inlineStr">
        <is>
          <t>Dra. Carolina Mendes</t>
        </is>
      </c>
      <c r="D513" s="35" t="inlineStr">
        <is>
          <t>Sala 1</t>
        </is>
      </c>
      <c r="E513" s="34" t="inlineStr">
        <is>
          <t>Eduardo Nunes</t>
        </is>
      </c>
      <c r="F513" s="35" t="inlineStr">
        <is>
          <t>MediPlan</t>
        </is>
      </c>
      <c r="G513" s="35" t="inlineStr">
        <is>
          <t>Consulta</t>
        </is>
      </c>
      <c r="H513" s="35" t="inlineStr">
        <is>
          <t>Realizado</t>
        </is>
      </c>
      <c r="I513" s="35" t="inlineStr">
        <is>
          <t>Convênio</t>
        </is>
      </c>
      <c r="J513" s="35" t="n"/>
      <c r="K513" s="34" t="n"/>
      <c r="L513" s="26">
        <f>IF(A513="","",MONTH(A513))</f>
        <v>7</v>
      </c>
      <c r="M513" s="26">
        <f>IF(A513="","",YEAR(A513))</f>
        <v>2026</v>
      </c>
      <c r="N513" s="26" t="str">
        <f>IF(A513="","",CHOOSE(WEEKDAY(A513,2),"Segunda","Terça","Quarta","Quinta","Sexta","Sábado","Domingo"))</f>
        <v>Quarta</v>
      </c>
      <c r="O513" s="26" t="str">
        <f>IF(B513="","",IF(B513&lt;TIME(12,0,0),"Manhã",IF(B513&lt;TIME(18,0,0),"Tarde","Noite")))</f>
        <v>Tarde</v>
      </c>
      <c r="P513" s="32">
        <f>IF(G513="","",IFERROR(INDEX(Config!$I$5:$I$16,MATCH(G513,Config!$H$5:$H$16,0)),0))</f>
        <v>30</v>
      </c>
      <c r="Q513" s="30">
        <f>IF(OR(H513&lt;&gt;"Realizado",P513="",P513=0),"",A513+P513)</f>
        <v>46255.0</v>
      </c>
      <c r="R513" s="26" t="str">
        <f>IF(Q513="","",IF(COUNTIFS($E$5:$E$3004,E513,$A$5:$A$3004,"&gt;"&amp;A513,$H$5:$H$3004,"&lt;&gt;Falta",$H$5:$H$3004,"&lt;&gt;Cancelado",$H$5:$H$3004,"&lt;&gt;Remarcado")&gt;0,"Sim","Não"))</f>
        <v>Sim</v>
      </c>
      <c r="S513" s="32">
        <f>IF(R513&lt;&gt;"Não","",IF(Q513+Config!$B$9&lt;=Config!$B$8,Config!$B$8-Q513,""))</f>
        <v/>
      </c>
      <c r="T513" s="26">
        <f>IF(S513="","","Sim")</f>
        <v/>
      </c>
      <c r="U513" s="41">
        <f>IF(T513="Sim",S513+ROW()/100000,0)</f>
        <v>0</v>
      </c>
      <c r="V513" s="41">
        <f>IF(AND(H513="Falta",L513=Config!$B$7,M513=Config!$B$5,COUNTIFS($E$5:E513,E513,$H$5:H513,"Falta",$L$5:L513,Config!$B$7,$M$5:M513,Config!$B$5)=1),COUNTIFS($E$5:$E$3004,E513,$H$5:$H$3004,"Falta",$L$5:$L$3004,Config!$B$7,$M$5:$M$3004,Config!$B$5)*1000-ROW()/100000,0)</f>
        <v>0</v>
      </c>
    </row>
    <row r="514">
      <c r="A514" s="39" t="n">
        <v>46225</v>
      </c>
      <c r="B514" s="40" t="n">
        <v>0.6875</v>
      </c>
      <c r="C514" s="35" t="inlineStr">
        <is>
          <t>Dra. Carolina Mendes</t>
        </is>
      </c>
      <c r="D514" s="35" t="inlineStr">
        <is>
          <t>Sala 1</t>
        </is>
      </c>
      <c r="E514" s="34" t="inlineStr">
        <is>
          <t>Mônica Martins</t>
        </is>
      </c>
      <c r="F514" s="35" t="inlineStr">
        <is>
          <t>Particular</t>
        </is>
      </c>
      <c r="G514" s="35" t="inlineStr">
        <is>
          <t>Consulta</t>
        </is>
      </c>
      <c r="H514" s="35" t="inlineStr">
        <is>
          <t>Realizado</t>
        </is>
      </c>
      <c r="I514" s="35" t="inlineStr">
        <is>
          <t>Cartão de crédito</t>
        </is>
      </c>
      <c r="J514" s="35" t="n"/>
      <c r="K514" s="34" t="n"/>
      <c r="L514" s="26">
        <f>IF(A514="","",MONTH(A514))</f>
        <v>7</v>
      </c>
      <c r="M514" s="26">
        <f>IF(A514="","",YEAR(A514))</f>
        <v>2026</v>
      </c>
      <c r="N514" s="26" t="str">
        <f>IF(A514="","",CHOOSE(WEEKDAY(A514,2),"Segunda","Terça","Quarta","Quinta","Sexta","Sábado","Domingo"))</f>
        <v>Quarta</v>
      </c>
      <c r="O514" s="26" t="str">
        <f>IF(B514="","",IF(B514&lt;TIME(12,0,0),"Manhã",IF(B514&lt;TIME(18,0,0),"Tarde","Noite")))</f>
        <v>Tarde</v>
      </c>
      <c r="P514" s="32">
        <f>IF(G514="","",IFERROR(INDEX(Config!$I$5:$I$16,MATCH(G514,Config!$H$5:$H$16,0)),0))</f>
        <v>30</v>
      </c>
      <c r="Q514" s="30">
        <f>IF(OR(H514&lt;&gt;"Realizado",P514="",P514=0),"",A514+P514)</f>
        <v>46255.0</v>
      </c>
      <c r="R514" s="26" t="str">
        <f>IF(Q514="","",IF(COUNTIFS($E$5:$E$3004,E514,$A$5:$A$3004,"&gt;"&amp;A514,$H$5:$H$3004,"&lt;&gt;Falta",$H$5:$H$3004,"&lt;&gt;Cancelado",$H$5:$H$3004,"&lt;&gt;Remarcado")&gt;0,"Sim","Não"))</f>
        <v>Sim</v>
      </c>
      <c r="S514" s="32">
        <f>IF(R514&lt;&gt;"Não","",IF(Q514+Config!$B$9&lt;=Config!$B$8,Config!$B$8-Q514,""))</f>
        <v/>
      </c>
      <c r="T514" s="26">
        <f>IF(S514="","","Sim")</f>
        <v/>
      </c>
      <c r="U514" s="41">
        <f>IF(T514="Sim",S514+ROW()/100000,0)</f>
        <v>0</v>
      </c>
      <c r="V514" s="41">
        <f>IF(AND(H514="Falta",L514=Config!$B$7,M514=Config!$B$5,COUNTIFS($E$5:E514,E514,$H$5:H514,"Falta",$L$5:L514,Config!$B$7,$M$5:M514,Config!$B$5)=1),COUNTIFS($E$5:$E$3004,E514,$H$5:$H$3004,"Falta",$L$5:$L$3004,Config!$B$7,$M$5:$M$3004,Config!$B$5)*1000-ROW()/100000,0)</f>
        <v>0</v>
      </c>
    </row>
    <row r="515">
      <c r="A515" s="39" t="n">
        <v>46225</v>
      </c>
      <c r="B515" s="40" t="n">
        <v>0.7083333333333334</v>
      </c>
      <c r="C515" s="35" t="inlineStr">
        <is>
          <t>Dra. Carolina Mendes</t>
        </is>
      </c>
      <c r="D515" s="35" t="inlineStr">
        <is>
          <t>Sala 1</t>
        </is>
      </c>
      <c r="E515" s="34" t="inlineStr">
        <is>
          <t>Débora Ramos</t>
        </is>
      </c>
      <c r="F515" s="35" t="inlineStr">
        <is>
          <t>Particular</t>
        </is>
      </c>
      <c r="G515" s="35" t="inlineStr">
        <is>
          <t>Consulta</t>
        </is>
      </c>
      <c r="H515" s="35" t="inlineStr">
        <is>
          <t>Realizado</t>
        </is>
      </c>
      <c r="I515" s="35" t="inlineStr">
        <is>
          <t>Pix</t>
        </is>
      </c>
      <c r="J515" s="35" t="n"/>
      <c r="K515" s="34" t="n"/>
      <c r="L515" s="26">
        <f>IF(A515="","",MONTH(A515))</f>
        <v>7</v>
      </c>
      <c r="M515" s="26">
        <f>IF(A515="","",YEAR(A515))</f>
        <v>2026</v>
      </c>
      <c r="N515" s="26" t="str">
        <f>IF(A515="","",CHOOSE(WEEKDAY(A515,2),"Segunda","Terça","Quarta","Quinta","Sexta","Sábado","Domingo"))</f>
        <v>Quarta</v>
      </c>
      <c r="O515" s="26" t="str">
        <f>IF(B515="","",IF(B515&lt;TIME(12,0,0),"Manhã",IF(B515&lt;TIME(18,0,0),"Tarde","Noite")))</f>
        <v>Tarde</v>
      </c>
      <c r="P515" s="32">
        <f>IF(G515="","",IFERROR(INDEX(Config!$I$5:$I$16,MATCH(G515,Config!$H$5:$H$16,0)),0))</f>
        <v>30</v>
      </c>
      <c r="Q515" s="30">
        <f>IF(OR(H515&lt;&gt;"Realizado",P515="",P515=0),"",A515+P515)</f>
        <v>46255.0</v>
      </c>
      <c r="R515" s="26" t="str">
        <f>IF(Q515="","",IF(COUNTIFS($E$5:$E$3004,E515,$A$5:$A$3004,"&gt;"&amp;A515,$H$5:$H$3004,"&lt;&gt;Falta",$H$5:$H$3004,"&lt;&gt;Cancelado",$H$5:$H$3004,"&lt;&gt;Remarcado")&gt;0,"Sim","Não"))</f>
        <v>Sim</v>
      </c>
      <c r="S515" s="32">
        <f>IF(R515&lt;&gt;"Não","",IF(Q515+Config!$B$9&lt;=Config!$B$8,Config!$B$8-Q515,""))</f>
        <v/>
      </c>
      <c r="T515" s="26">
        <f>IF(S515="","","Sim")</f>
        <v/>
      </c>
      <c r="U515" s="41">
        <f>IF(T515="Sim",S515+ROW()/100000,0)</f>
        <v>0</v>
      </c>
      <c r="V515" s="41">
        <f>IF(AND(H515="Falta",L515=Config!$B$7,M515=Config!$B$5,COUNTIFS($E$5:E515,E515,$H$5:H515,"Falta",$L$5:L515,Config!$B$7,$M$5:M515,Config!$B$5)=1),COUNTIFS($E$5:$E$3004,E515,$H$5:$H$3004,"Falta",$L$5:$L$3004,Config!$B$7,$M$5:$M$3004,Config!$B$5)*1000-ROW()/100000,0)</f>
        <v>0</v>
      </c>
    </row>
    <row r="516">
      <c r="A516" s="39" t="n">
        <v>46225</v>
      </c>
      <c r="B516" s="40" t="n">
        <v>0.7291666666666666</v>
      </c>
      <c r="C516" s="35" t="inlineStr">
        <is>
          <t>Dra. Carolina Mendes</t>
        </is>
      </c>
      <c r="D516" s="35" t="inlineStr">
        <is>
          <t>Sala 1</t>
        </is>
      </c>
      <c r="E516" s="34" t="inlineStr">
        <is>
          <t>Gustavo Ferreira</t>
        </is>
      </c>
      <c r="F516" s="35" t="inlineStr">
        <is>
          <t>Particular</t>
        </is>
      </c>
      <c r="G516" s="35" t="inlineStr">
        <is>
          <t>Consulta</t>
        </is>
      </c>
      <c r="H516" s="35" t="inlineStr">
        <is>
          <t>Realizado</t>
        </is>
      </c>
      <c r="I516" s="35" t="inlineStr">
        <is>
          <t>A prazo</t>
        </is>
      </c>
      <c r="J516" s="35" t="n"/>
      <c r="K516" s="34" t="n"/>
      <c r="L516" s="26">
        <f>IF(A516="","",MONTH(A516))</f>
        <v>7</v>
      </c>
      <c r="M516" s="26">
        <f>IF(A516="","",YEAR(A516))</f>
        <v>2026</v>
      </c>
      <c r="N516" s="26" t="str">
        <f>IF(A516="","",CHOOSE(WEEKDAY(A516,2),"Segunda","Terça","Quarta","Quinta","Sexta","Sábado","Domingo"))</f>
        <v>Quarta</v>
      </c>
      <c r="O516" s="26" t="str">
        <f>IF(B516="","",IF(B516&lt;TIME(12,0,0),"Manhã",IF(B516&lt;TIME(18,0,0),"Tarde","Noite")))</f>
        <v>Tarde</v>
      </c>
      <c r="P516" s="32">
        <f>IF(G516="","",IFERROR(INDEX(Config!$I$5:$I$16,MATCH(G516,Config!$H$5:$H$16,0)),0))</f>
        <v>30</v>
      </c>
      <c r="Q516" s="30">
        <f>IF(OR(H516&lt;&gt;"Realizado",P516="",P516=0),"",A516+P516)</f>
        <v>46255.0</v>
      </c>
      <c r="R516" s="26" t="str">
        <f>IF(Q516="","",IF(COUNTIFS($E$5:$E$3004,E516,$A$5:$A$3004,"&gt;"&amp;A516,$H$5:$H$3004,"&lt;&gt;Falta",$H$5:$H$3004,"&lt;&gt;Cancelado",$H$5:$H$3004,"&lt;&gt;Remarcado")&gt;0,"Sim","Não"))</f>
        <v>Sim</v>
      </c>
      <c r="S516" s="32">
        <f>IF(R516&lt;&gt;"Não","",IF(Q516+Config!$B$9&lt;=Config!$B$8,Config!$B$8-Q516,""))</f>
        <v/>
      </c>
      <c r="T516" s="26">
        <f>IF(S516="","","Sim")</f>
        <v/>
      </c>
      <c r="U516" s="41">
        <f>IF(T516="Sim",S516+ROW()/100000,0)</f>
        <v>0</v>
      </c>
      <c r="V516" s="41">
        <f>IF(AND(H516="Falta",L516=Config!$B$7,M516=Config!$B$5,COUNTIFS($E$5:E516,E516,$H$5:H516,"Falta",$L$5:L516,Config!$B$7,$M$5:M516,Config!$B$5)=1),COUNTIFS($E$5:$E$3004,E516,$H$5:$H$3004,"Falta",$L$5:$L$3004,Config!$B$7,$M$5:$M$3004,Config!$B$5)*1000-ROW()/100000,0)</f>
        <v>0</v>
      </c>
    </row>
    <row r="517">
      <c r="A517" s="39" t="n">
        <v>46226</v>
      </c>
      <c r="B517" s="40" t="n">
        <v>0.3333333333333333</v>
      </c>
      <c r="C517" s="35" t="inlineStr">
        <is>
          <t>Dra. Carolina Mendes</t>
        </is>
      </c>
      <c r="D517" s="35" t="inlineStr">
        <is>
          <t>Sala 1</t>
        </is>
      </c>
      <c r="E517" s="34" t="inlineStr">
        <is>
          <t>Mariana Nascimento</t>
        </is>
      </c>
      <c r="F517" s="35" t="inlineStr">
        <is>
          <t>Particular</t>
        </is>
      </c>
      <c r="G517" s="35" t="inlineStr">
        <is>
          <t>Consulta</t>
        </is>
      </c>
      <c r="H517" s="35" t="inlineStr">
        <is>
          <t>Realizado</t>
        </is>
      </c>
      <c r="I517" s="35" t="inlineStr">
        <is>
          <t>Cartão de débito</t>
        </is>
      </c>
      <c r="J517" s="35" t="n"/>
      <c r="K517" s="34" t="n"/>
      <c r="L517" s="26">
        <f>IF(A517="","",MONTH(A517))</f>
        <v>7</v>
      </c>
      <c r="M517" s="26">
        <f>IF(A517="","",YEAR(A517))</f>
        <v>2026</v>
      </c>
      <c r="N517" s="26" t="str">
        <f>IF(A517="","",CHOOSE(WEEKDAY(A517,2),"Segunda","Terça","Quarta","Quinta","Sexta","Sábado","Domingo"))</f>
        <v>Quinta</v>
      </c>
      <c r="O517" s="26" t="str">
        <f>IF(B517="","",IF(B517&lt;TIME(12,0,0),"Manhã",IF(B517&lt;TIME(18,0,0),"Tarde","Noite")))</f>
        <v>Manhã</v>
      </c>
      <c r="P517" s="32">
        <f>IF(G517="","",IFERROR(INDEX(Config!$I$5:$I$16,MATCH(G517,Config!$H$5:$H$16,0)),0))</f>
        <v>30</v>
      </c>
      <c r="Q517" s="30">
        <f>IF(OR(H517&lt;&gt;"Realizado",P517="",P517=0),"",A517+P517)</f>
        <v>46256.0</v>
      </c>
      <c r="R517" s="26" t="str">
        <f>IF(Q517="","",IF(COUNTIFS($E$5:$E$3004,E517,$A$5:$A$3004,"&gt;"&amp;A517,$H$5:$H$3004,"&lt;&gt;Falta",$H$5:$H$3004,"&lt;&gt;Cancelado",$H$5:$H$3004,"&lt;&gt;Remarcado")&gt;0,"Sim","Não"))</f>
        <v>Sim</v>
      </c>
      <c r="S517" s="32">
        <f>IF(R517&lt;&gt;"Não","",IF(Q517+Config!$B$9&lt;=Config!$B$8,Config!$B$8-Q517,""))</f>
        <v/>
      </c>
      <c r="T517" s="26">
        <f>IF(S517="","","Sim")</f>
        <v/>
      </c>
      <c r="U517" s="41">
        <f>IF(T517="Sim",S517+ROW()/100000,0)</f>
        <v>0</v>
      </c>
      <c r="V517" s="41">
        <f>IF(AND(H517="Falta",L517=Config!$B$7,M517=Config!$B$5,COUNTIFS($E$5:E517,E517,$H$5:H517,"Falta",$L$5:L517,Config!$B$7,$M$5:M517,Config!$B$5)=1),COUNTIFS($E$5:$E$3004,E517,$H$5:$H$3004,"Falta",$L$5:$L$3004,Config!$B$7,$M$5:$M$3004,Config!$B$5)*1000-ROW()/100000,0)</f>
        <v>0</v>
      </c>
    </row>
    <row r="518">
      <c r="A518" s="39" t="n">
        <v>46226</v>
      </c>
      <c r="B518" s="40" t="n">
        <v>0.3541666666666667</v>
      </c>
      <c r="C518" s="35" t="inlineStr">
        <is>
          <t>Dra. Carolina Mendes</t>
        </is>
      </c>
      <c r="D518" s="35" t="inlineStr">
        <is>
          <t>Sala 1</t>
        </is>
      </c>
      <c r="E518" s="34" t="inlineStr">
        <is>
          <t>Eduardo Reis</t>
        </is>
      </c>
      <c r="F518" s="35" t="inlineStr">
        <is>
          <t>Vida Care</t>
        </is>
      </c>
      <c r="G518" s="35" t="inlineStr">
        <is>
          <t>Consulta</t>
        </is>
      </c>
      <c r="H518" s="35" t="inlineStr">
        <is>
          <t>Realizado</t>
        </is>
      </c>
      <c r="I518" s="35" t="inlineStr">
        <is>
          <t>Convênio</t>
        </is>
      </c>
      <c r="J518" s="35" t="n"/>
      <c r="K518" s="34" t="n"/>
      <c r="L518" s="26">
        <f>IF(A518="","",MONTH(A518))</f>
        <v>7</v>
      </c>
      <c r="M518" s="26">
        <f>IF(A518="","",YEAR(A518))</f>
        <v>2026</v>
      </c>
      <c r="N518" s="26" t="str">
        <f>IF(A518="","",CHOOSE(WEEKDAY(A518,2),"Segunda","Terça","Quarta","Quinta","Sexta","Sábado","Domingo"))</f>
        <v>Quinta</v>
      </c>
      <c r="O518" s="26" t="str">
        <f>IF(B518="","",IF(B518&lt;TIME(12,0,0),"Manhã",IF(B518&lt;TIME(18,0,0),"Tarde","Noite")))</f>
        <v>Manhã</v>
      </c>
      <c r="P518" s="32">
        <f>IF(G518="","",IFERROR(INDEX(Config!$I$5:$I$16,MATCH(G518,Config!$H$5:$H$16,0)),0))</f>
        <v>30</v>
      </c>
      <c r="Q518" s="30">
        <f>IF(OR(H518&lt;&gt;"Realizado",P518="",P518=0),"",A518+P518)</f>
        <v>46256.0</v>
      </c>
      <c r="R518" s="26" t="str">
        <f>IF(Q518="","",IF(COUNTIFS($E$5:$E$3004,E518,$A$5:$A$3004,"&gt;"&amp;A518,$H$5:$H$3004,"&lt;&gt;Falta",$H$5:$H$3004,"&lt;&gt;Cancelado",$H$5:$H$3004,"&lt;&gt;Remarcado")&gt;0,"Sim","Não"))</f>
        <v>Sim</v>
      </c>
      <c r="S518" s="32">
        <f>IF(R518&lt;&gt;"Não","",IF(Q518+Config!$B$9&lt;=Config!$B$8,Config!$B$8-Q518,""))</f>
        <v/>
      </c>
      <c r="T518" s="26">
        <f>IF(S518="","","Sim")</f>
        <v/>
      </c>
      <c r="U518" s="41">
        <f>IF(T518="Sim",S518+ROW()/100000,0)</f>
        <v>0</v>
      </c>
      <c r="V518" s="41">
        <f>IF(AND(H518="Falta",L518=Config!$B$7,M518=Config!$B$5,COUNTIFS($E$5:E518,E518,$H$5:H518,"Falta",$L$5:L518,Config!$B$7,$M$5:M518,Config!$B$5)=1),COUNTIFS($E$5:$E$3004,E518,$H$5:$H$3004,"Falta",$L$5:$L$3004,Config!$B$7,$M$5:$M$3004,Config!$B$5)*1000-ROW()/100000,0)</f>
        <v>0</v>
      </c>
    </row>
    <row r="519">
      <c r="A519" s="39" t="n">
        <v>46226</v>
      </c>
      <c r="B519" s="40" t="n">
        <v>0.375</v>
      </c>
      <c r="C519" s="35" t="inlineStr">
        <is>
          <t>Dra. Carolina Mendes</t>
        </is>
      </c>
      <c r="D519" s="35" t="inlineStr">
        <is>
          <t>Sala 1</t>
        </is>
      </c>
      <c r="E519" s="34" t="inlineStr">
        <is>
          <t>Letícia Vieira</t>
        </is>
      </c>
      <c r="F519" s="35" t="inlineStr">
        <is>
          <t>Saúde Total</t>
        </is>
      </c>
      <c r="G519" s="35" t="inlineStr">
        <is>
          <t>Consulta</t>
        </is>
      </c>
      <c r="H519" s="35" t="inlineStr">
        <is>
          <t>Realizado</t>
        </is>
      </c>
      <c r="I519" s="35" t="inlineStr">
        <is>
          <t>Convênio</t>
        </is>
      </c>
      <c r="J519" s="35" t="n"/>
      <c r="K519" s="34" t="n"/>
      <c r="L519" s="26">
        <f>IF(A519="","",MONTH(A519))</f>
        <v>7</v>
      </c>
      <c r="M519" s="26">
        <f>IF(A519="","",YEAR(A519))</f>
        <v>2026</v>
      </c>
      <c r="N519" s="26" t="str">
        <f>IF(A519="","",CHOOSE(WEEKDAY(A519,2),"Segunda","Terça","Quarta","Quinta","Sexta","Sábado","Domingo"))</f>
        <v>Quinta</v>
      </c>
      <c r="O519" s="26" t="str">
        <f>IF(B519="","",IF(B519&lt;TIME(12,0,0),"Manhã",IF(B519&lt;TIME(18,0,0),"Tarde","Noite")))</f>
        <v>Manhã</v>
      </c>
      <c r="P519" s="32">
        <f>IF(G519="","",IFERROR(INDEX(Config!$I$5:$I$16,MATCH(G519,Config!$H$5:$H$16,0)),0))</f>
        <v>30</v>
      </c>
      <c r="Q519" s="30">
        <f>IF(OR(H519&lt;&gt;"Realizado",P519="",P519=0),"",A519+P519)</f>
        <v>46256.0</v>
      </c>
      <c r="R519" s="26" t="str">
        <f>IF(Q519="","",IF(COUNTIFS($E$5:$E$3004,E519,$A$5:$A$3004,"&gt;"&amp;A519,$H$5:$H$3004,"&lt;&gt;Falta",$H$5:$H$3004,"&lt;&gt;Cancelado",$H$5:$H$3004,"&lt;&gt;Remarcado")&gt;0,"Sim","Não"))</f>
        <v>Sim</v>
      </c>
      <c r="S519" s="32">
        <f>IF(R519&lt;&gt;"Não","",IF(Q519+Config!$B$9&lt;=Config!$B$8,Config!$B$8-Q519,""))</f>
        <v/>
      </c>
      <c r="T519" s="26">
        <f>IF(S519="","","Sim")</f>
        <v/>
      </c>
      <c r="U519" s="41">
        <f>IF(T519="Sim",S519+ROW()/100000,0)</f>
        <v>0</v>
      </c>
      <c r="V519" s="41">
        <f>IF(AND(H519="Falta",L519=Config!$B$7,M519=Config!$B$5,COUNTIFS($E$5:E519,E519,$H$5:H519,"Falta",$L$5:L519,Config!$B$7,$M$5:M519,Config!$B$5)=1),COUNTIFS($E$5:$E$3004,E519,$H$5:$H$3004,"Falta",$L$5:$L$3004,Config!$B$7,$M$5:$M$3004,Config!$B$5)*1000-ROW()/100000,0)</f>
        <v>0</v>
      </c>
    </row>
    <row r="520">
      <c r="A520" s="39" t="n">
        <v>46226</v>
      </c>
      <c r="B520" s="40" t="n">
        <v>0.3958333333333333</v>
      </c>
      <c r="C520" s="35" t="inlineStr">
        <is>
          <t>Dra. Carolina Mendes</t>
        </is>
      </c>
      <c r="D520" s="35" t="inlineStr">
        <is>
          <t>Sala 1</t>
        </is>
      </c>
      <c r="E520" s="34" t="inlineStr">
        <is>
          <t>Elaine Cardoso</t>
        </is>
      </c>
      <c r="F520" s="35" t="inlineStr">
        <is>
          <t>Particular</t>
        </is>
      </c>
      <c r="G520" s="35" t="inlineStr">
        <is>
          <t>Consulta</t>
        </is>
      </c>
      <c r="H520" s="35" t="inlineStr">
        <is>
          <t>Realizado</t>
        </is>
      </c>
      <c r="I520" s="35" t="inlineStr">
        <is>
          <t>Pix</t>
        </is>
      </c>
      <c r="J520" s="35" t="n"/>
      <c r="K520" s="34" t="n"/>
      <c r="L520" s="26">
        <f>IF(A520="","",MONTH(A520))</f>
        <v>7</v>
      </c>
      <c r="M520" s="26">
        <f>IF(A520="","",YEAR(A520))</f>
        <v>2026</v>
      </c>
      <c r="N520" s="26" t="str">
        <f>IF(A520="","",CHOOSE(WEEKDAY(A520,2),"Segunda","Terça","Quarta","Quinta","Sexta","Sábado","Domingo"))</f>
        <v>Quinta</v>
      </c>
      <c r="O520" s="26" t="str">
        <f>IF(B520="","",IF(B520&lt;TIME(12,0,0),"Manhã",IF(B520&lt;TIME(18,0,0),"Tarde","Noite")))</f>
        <v>Manhã</v>
      </c>
      <c r="P520" s="32">
        <f>IF(G520="","",IFERROR(INDEX(Config!$I$5:$I$16,MATCH(G520,Config!$H$5:$H$16,0)),0))</f>
        <v>30</v>
      </c>
      <c r="Q520" s="30">
        <f>IF(OR(H520&lt;&gt;"Realizado",P520="",P520=0),"",A520+P520)</f>
        <v>46256.0</v>
      </c>
      <c r="R520" s="26" t="str">
        <f>IF(Q520="","",IF(COUNTIFS($E$5:$E$3004,E520,$A$5:$A$3004,"&gt;"&amp;A520,$H$5:$H$3004,"&lt;&gt;Falta",$H$5:$H$3004,"&lt;&gt;Cancelado",$H$5:$H$3004,"&lt;&gt;Remarcado")&gt;0,"Sim","Não"))</f>
        <v>Sim</v>
      </c>
      <c r="S520" s="32">
        <f>IF(R520&lt;&gt;"Não","",IF(Q520+Config!$B$9&lt;=Config!$B$8,Config!$B$8-Q520,""))</f>
        <v/>
      </c>
      <c r="T520" s="26">
        <f>IF(S520="","","Sim")</f>
        <v/>
      </c>
      <c r="U520" s="41">
        <f>IF(T520="Sim",S520+ROW()/100000,0)</f>
        <v>0</v>
      </c>
      <c r="V520" s="41">
        <f>IF(AND(H520="Falta",L520=Config!$B$7,M520=Config!$B$5,COUNTIFS($E$5:E520,E520,$H$5:H520,"Falta",$L$5:L520,Config!$B$7,$M$5:M520,Config!$B$5)=1),COUNTIFS($E$5:$E$3004,E520,$H$5:$H$3004,"Falta",$L$5:$L$3004,Config!$B$7,$M$5:$M$3004,Config!$B$5)*1000-ROW()/100000,0)</f>
        <v>0</v>
      </c>
    </row>
    <row r="521">
      <c r="A521" s="39" t="n">
        <v>46226</v>
      </c>
      <c r="B521" s="40" t="n">
        <v>0.4375</v>
      </c>
      <c r="C521" s="35" t="inlineStr">
        <is>
          <t>Dra. Carolina Mendes</t>
        </is>
      </c>
      <c r="D521" s="35" t="inlineStr">
        <is>
          <t>Sala 1</t>
        </is>
      </c>
      <c r="E521" s="34" t="inlineStr">
        <is>
          <t>Priscila Castro</t>
        </is>
      </c>
      <c r="F521" s="35" t="inlineStr">
        <is>
          <t>Saúde Total</t>
        </is>
      </c>
      <c r="G521" s="35" t="inlineStr">
        <is>
          <t>Consulta</t>
        </is>
      </c>
      <c r="H521" s="35" t="inlineStr">
        <is>
          <t>Falta</t>
        </is>
      </c>
      <c r="I521" s="35" t="n"/>
      <c r="J521" s="35" t="n"/>
      <c r="K521" s="34" t="n"/>
      <c r="L521" s="26">
        <f>IF(A521="","",MONTH(A521))</f>
        <v>7</v>
      </c>
      <c r="M521" s="26">
        <f>IF(A521="","",YEAR(A521))</f>
        <v>2026</v>
      </c>
      <c r="N521" s="26" t="str">
        <f>IF(A521="","",CHOOSE(WEEKDAY(A521,2),"Segunda","Terça","Quarta","Quinta","Sexta","Sábado","Domingo"))</f>
        <v>Quinta</v>
      </c>
      <c r="O521" s="26" t="str">
        <f>IF(B521="","",IF(B521&lt;TIME(12,0,0),"Manhã",IF(B521&lt;TIME(18,0,0),"Tarde","Noite")))</f>
        <v>Manhã</v>
      </c>
      <c r="P521" s="32">
        <f>IF(G521="","",IFERROR(INDEX(Config!$I$5:$I$16,MATCH(G521,Config!$H$5:$H$16,0)),0))</f>
        <v>30</v>
      </c>
      <c r="Q521" s="30">
        <f>IF(OR(H521&lt;&gt;"Realizado",P521="",P521=0),"",A521+P521)</f>
        <v/>
      </c>
      <c r="R521" s="26">
        <f>IF(Q521="","",IF(COUNTIFS($E$5:$E$3004,E521,$A$5:$A$3004,"&gt;"&amp;A521,$H$5:$H$3004,"&lt;&gt;Falta",$H$5:$H$3004,"&lt;&gt;Cancelado",$H$5:$H$3004,"&lt;&gt;Remarcado")&gt;0,"Sim","Não"))</f>
        <v/>
      </c>
      <c r="S521" s="32">
        <f>IF(R521&lt;&gt;"Não","",IF(Q521+Config!$B$9&lt;=Config!$B$8,Config!$B$8-Q521,""))</f>
        <v/>
      </c>
      <c r="T521" s="26">
        <f>IF(S521="","","Sim")</f>
        <v/>
      </c>
      <c r="U521" s="41">
        <f>IF(T521="Sim",S521+ROW()/100000,0)</f>
        <v>0</v>
      </c>
      <c r="V521" s="41">
        <f>IF(AND(H521="Falta",L521=Config!$B$7,M521=Config!$B$5,COUNTIFS($E$5:E521,E521,$H$5:H521,"Falta",$L$5:L521,Config!$B$7,$M$5:M521,Config!$B$5)=1),COUNTIFS($E$5:$E$3004,E521,$H$5:$H$3004,"Falta",$L$5:$L$3004,Config!$B$7,$M$5:$M$3004,Config!$B$5)*1000-ROW()/100000,0)</f>
        <v>0</v>
      </c>
    </row>
    <row r="522">
      <c r="A522" s="39" t="n">
        <v>46226</v>
      </c>
      <c r="B522" s="40" t="n">
        <v>0.4583333333333333</v>
      </c>
      <c r="C522" s="35" t="inlineStr">
        <is>
          <t>Dra. Carolina Mendes</t>
        </is>
      </c>
      <c r="D522" s="35" t="inlineStr">
        <is>
          <t>Sala 1</t>
        </is>
      </c>
      <c r="E522" s="34" t="inlineStr">
        <is>
          <t>Otávio Cardoso</t>
        </is>
      </c>
      <c r="F522" s="35" t="inlineStr">
        <is>
          <t>Particular</t>
        </is>
      </c>
      <c r="G522" s="35" t="inlineStr">
        <is>
          <t>Consulta</t>
        </is>
      </c>
      <c r="H522" s="35" t="inlineStr">
        <is>
          <t>Realizado</t>
        </is>
      </c>
      <c r="I522" s="35" t="inlineStr">
        <is>
          <t>Cartão de crédito</t>
        </is>
      </c>
      <c r="J522" s="35" t="n">
        <v>2</v>
      </c>
      <c r="K522" s="34" t="n"/>
      <c r="L522" s="26">
        <f>IF(A522="","",MONTH(A522))</f>
        <v>7</v>
      </c>
      <c r="M522" s="26">
        <f>IF(A522="","",YEAR(A522))</f>
        <v>2026</v>
      </c>
      <c r="N522" s="26" t="str">
        <f>IF(A522="","",CHOOSE(WEEKDAY(A522,2),"Segunda","Terça","Quarta","Quinta","Sexta","Sábado","Domingo"))</f>
        <v>Quinta</v>
      </c>
      <c r="O522" s="26" t="str">
        <f>IF(B522="","",IF(B522&lt;TIME(12,0,0),"Manhã",IF(B522&lt;TIME(18,0,0),"Tarde","Noite")))</f>
        <v>Manhã</v>
      </c>
      <c r="P522" s="32">
        <f>IF(G522="","",IFERROR(INDEX(Config!$I$5:$I$16,MATCH(G522,Config!$H$5:$H$16,0)),0))</f>
        <v>30</v>
      </c>
      <c r="Q522" s="30">
        <f>IF(OR(H522&lt;&gt;"Realizado",P522="",P522=0),"",A522+P522)</f>
        <v>46256.0</v>
      </c>
      <c r="R522" s="26" t="str">
        <f>IF(Q522="","",IF(COUNTIFS($E$5:$E$3004,E522,$A$5:$A$3004,"&gt;"&amp;A522,$H$5:$H$3004,"&lt;&gt;Falta",$H$5:$H$3004,"&lt;&gt;Cancelado",$H$5:$H$3004,"&lt;&gt;Remarcado")&gt;0,"Sim","Não"))</f>
        <v>Sim</v>
      </c>
      <c r="S522" s="32">
        <f>IF(R522&lt;&gt;"Não","",IF(Q522+Config!$B$9&lt;=Config!$B$8,Config!$B$8-Q522,""))</f>
        <v/>
      </c>
      <c r="T522" s="26">
        <f>IF(S522="","","Sim")</f>
        <v/>
      </c>
      <c r="U522" s="41">
        <f>IF(T522="Sim",S522+ROW()/100000,0)</f>
        <v>0</v>
      </c>
      <c r="V522" s="41">
        <f>IF(AND(H522="Falta",L522=Config!$B$7,M522=Config!$B$5,COUNTIFS($E$5:E522,E522,$H$5:H522,"Falta",$L$5:L522,Config!$B$7,$M$5:M522,Config!$B$5)=1),COUNTIFS($E$5:$E$3004,E522,$H$5:$H$3004,"Falta",$L$5:$L$3004,Config!$B$7,$M$5:$M$3004,Config!$B$5)*1000-ROW()/100000,0)</f>
        <v>0</v>
      </c>
    </row>
    <row r="523">
      <c r="A523" s="39" t="n">
        <v>46226</v>
      </c>
      <c r="B523" s="40" t="n">
        <v>0.4791666666666667</v>
      </c>
      <c r="C523" s="35" t="inlineStr">
        <is>
          <t>Dra. Carolina Mendes</t>
        </is>
      </c>
      <c r="D523" s="35" t="inlineStr">
        <is>
          <t>Sala 1</t>
        </is>
      </c>
      <c r="E523" s="34" t="inlineStr">
        <is>
          <t>Helena Moreira</t>
        </is>
      </c>
      <c r="F523" s="35" t="inlineStr">
        <is>
          <t>Particular</t>
        </is>
      </c>
      <c r="G523" s="35" t="inlineStr">
        <is>
          <t>Consulta</t>
        </is>
      </c>
      <c r="H523" s="35" t="inlineStr">
        <is>
          <t>Realizado</t>
        </is>
      </c>
      <c r="I523" s="35" t="inlineStr">
        <is>
          <t>Cartão de crédito</t>
        </is>
      </c>
      <c r="J523" s="35" t="n"/>
      <c r="K523" s="34" t="n"/>
      <c r="L523" s="26">
        <f>IF(A523="","",MONTH(A523))</f>
        <v>7</v>
      </c>
      <c r="M523" s="26">
        <f>IF(A523="","",YEAR(A523))</f>
        <v>2026</v>
      </c>
      <c r="N523" s="26" t="str">
        <f>IF(A523="","",CHOOSE(WEEKDAY(A523,2),"Segunda","Terça","Quarta","Quinta","Sexta","Sábado","Domingo"))</f>
        <v>Quinta</v>
      </c>
      <c r="O523" s="26" t="str">
        <f>IF(B523="","",IF(B523&lt;TIME(12,0,0),"Manhã",IF(B523&lt;TIME(18,0,0),"Tarde","Noite")))</f>
        <v>Manhã</v>
      </c>
      <c r="P523" s="32">
        <f>IF(G523="","",IFERROR(INDEX(Config!$I$5:$I$16,MATCH(G523,Config!$H$5:$H$16,0)),0))</f>
        <v>30</v>
      </c>
      <c r="Q523" s="30">
        <f>IF(OR(H523&lt;&gt;"Realizado",P523="",P523=0),"",A523+P523)</f>
        <v>46256.0</v>
      </c>
      <c r="R523" s="26" t="str">
        <f>IF(Q523="","",IF(COUNTIFS($E$5:$E$3004,E523,$A$5:$A$3004,"&gt;"&amp;A523,$H$5:$H$3004,"&lt;&gt;Falta",$H$5:$H$3004,"&lt;&gt;Cancelado",$H$5:$H$3004,"&lt;&gt;Remarcado")&gt;0,"Sim","Não"))</f>
        <v>Sim</v>
      </c>
      <c r="S523" s="32">
        <f>IF(R523&lt;&gt;"Não","",IF(Q523+Config!$B$9&lt;=Config!$B$8,Config!$B$8-Q523,""))</f>
        <v/>
      </c>
      <c r="T523" s="26">
        <f>IF(S523="","","Sim")</f>
        <v/>
      </c>
      <c r="U523" s="41">
        <f>IF(T523="Sim",S523+ROW()/100000,0)</f>
        <v>0</v>
      </c>
      <c r="V523" s="41">
        <f>IF(AND(H523="Falta",L523=Config!$B$7,M523=Config!$B$5,COUNTIFS($E$5:E523,E523,$H$5:H523,"Falta",$L$5:L523,Config!$B$7,$M$5:M523,Config!$B$5)=1),COUNTIFS($E$5:$E$3004,E523,$H$5:$H$3004,"Falta",$L$5:$L$3004,Config!$B$7,$M$5:$M$3004,Config!$B$5)*1000-ROW()/100000,0)</f>
        <v>0</v>
      </c>
    </row>
    <row r="524">
      <c r="A524" s="39" t="n">
        <v>46226</v>
      </c>
      <c r="B524" s="40" t="n">
        <v>0.5833333333333334</v>
      </c>
      <c r="C524" s="35" t="inlineStr">
        <is>
          <t>Dra. Renata Sousa</t>
        </is>
      </c>
      <c r="D524" s="35" t="inlineStr">
        <is>
          <t>Sala 1</t>
        </is>
      </c>
      <c r="E524" s="34" t="inlineStr">
        <is>
          <t>Mariana Reis</t>
        </is>
      </c>
      <c r="F524" s="35" t="inlineStr">
        <is>
          <t>Particular</t>
        </is>
      </c>
      <c r="G524" s="35" t="inlineStr">
        <is>
          <t>Avaliação endócrina</t>
        </is>
      </c>
      <c r="H524" s="35" t="inlineStr">
        <is>
          <t>Realizado</t>
        </is>
      </c>
      <c r="I524" s="35" t="inlineStr">
        <is>
          <t>Pix</t>
        </is>
      </c>
      <c r="J524" s="35" t="n"/>
      <c r="K524" s="34" t="n"/>
      <c r="L524" s="26">
        <f>IF(A524="","",MONTH(A524))</f>
        <v>7</v>
      </c>
      <c r="M524" s="26">
        <f>IF(A524="","",YEAR(A524))</f>
        <v>2026</v>
      </c>
      <c r="N524" s="26" t="str">
        <f>IF(A524="","",CHOOSE(WEEKDAY(A524,2),"Segunda","Terça","Quarta","Quinta","Sexta","Sábado","Domingo"))</f>
        <v>Quinta</v>
      </c>
      <c r="O524" s="26" t="str">
        <f>IF(B524="","",IF(B524&lt;TIME(12,0,0),"Manhã",IF(B524&lt;TIME(18,0,0),"Tarde","Noite")))</f>
        <v>Tarde</v>
      </c>
      <c r="P524" s="32">
        <f>IF(G524="","",IFERROR(INDEX(Config!$I$5:$I$16,MATCH(G524,Config!$H$5:$H$16,0)),0))</f>
        <v>45</v>
      </c>
      <c r="Q524" s="30">
        <f>IF(OR(H524&lt;&gt;"Realizado",P524="",P524=0),"",A524+P524)</f>
        <v>46271.0</v>
      </c>
      <c r="R524" s="26" t="str">
        <f>IF(Q524="","",IF(COUNTIFS($E$5:$E$3004,E524,$A$5:$A$3004,"&gt;"&amp;A524,$H$5:$H$3004,"&lt;&gt;Falta",$H$5:$H$3004,"&lt;&gt;Cancelado",$H$5:$H$3004,"&lt;&gt;Remarcado")&gt;0,"Sim","Não"))</f>
        <v>Sim</v>
      </c>
      <c r="S524" s="32">
        <f>IF(R524&lt;&gt;"Não","",IF(Q524+Config!$B$9&lt;=Config!$B$8,Config!$B$8-Q524,""))</f>
        <v/>
      </c>
      <c r="T524" s="26">
        <f>IF(S524="","","Sim")</f>
        <v/>
      </c>
      <c r="U524" s="41">
        <f>IF(T524="Sim",S524+ROW()/100000,0)</f>
        <v>0</v>
      </c>
      <c r="V524" s="41">
        <f>IF(AND(H524="Falta",L524=Config!$B$7,M524=Config!$B$5,COUNTIFS($E$5:E524,E524,$H$5:H524,"Falta",$L$5:L524,Config!$B$7,$M$5:M524,Config!$B$5)=1),COUNTIFS($E$5:$E$3004,E524,$H$5:$H$3004,"Falta",$L$5:$L$3004,Config!$B$7,$M$5:$M$3004,Config!$B$5)*1000-ROW()/100000,0)</f>
        <v>0</v>
      </c>
    </row>
    <row r="525">
      <c r="A525" s="39" t="n">
        <v>46226</v>
      </c>
      <c r="B525" s="40" t="n">
        <v>0.5833333333333334</v>
      </c>
      <c r="C525" s="35" t="inlineStr">
        <is>
          <t>Dr. Paulo Andrade</t>
        </is>
      </c>
      <c r="D525" s="35" t="inlineStr">
        <is>
          <t>Sala 2</t>
        </is>
      </c>
      <c r="E525" s="34" t="inlineStr">
        <is>
          <t>Paulo Reis</t>
        </is>
      </c>
      <c r="F525" s="35" t="inlineStr">
        <is>
          <t>Particular</t>
        </is>
      </c>
      <c r="G525" s="35" t="inlineStr">
        <is>
          <t>Consulta</t>
        </is>
      </c>
      <c r="H525" s="35" t="inlineStr">
        <is>
          <t>Realizado</t>
        </is>
      </c>
      <c r="I525" s="35" t="inlineStr">
        <is>
          <t>Cartão de crédito</t>
        </is>
      </c>
      <c r="J525" s="35" t="n"/>
      <c r="K525" s="34" t="n"/>
      <c r="L525" s="26">
        <f>IF(A525="","",MONTH(A525))</f>
        <v>7</v>
      </c>
      <c r="M525" s="26">
        <f>IF(A525="","",YEAR(A525))</f>
        <v>2026</v>
      </c>
      <c r="N525" s="26" t="str">
        <f>IF(A525="","",CHOOSE(WEEKDAY(A525,2),"Segunda","Terça","Quarta","Quinta","Sexta","Sábado","Domingo"))</f>
        <v>Quinta</v>
      </c>
      <c r="O525" s="26" t="str">
        <f>IF(B525="","",IF(B525&lt;TIME(12,0,0),"Manhã",IF(B525&lt;TIME(18,0,0),"Tarde","Noite")))</f>
        <v>Tarde</v>
      </c>
      <c r="P525" s="32">
        <f>IF(G525="","",IFERROR(INDEX(Config!$I$5:$I$16,MATCH(G525,Config!$H$5:$H$16,0)),0))</f>
        <v>30</v>
      </c>
      <c r="Q525" s="30">
        <f>IF(OR(H525&lt;&gt;"Realizado",P525="",P525=0),"",A525+P525)</f>
        <v>46256.0</v>
      </c>
      <c r="R525" s="26" t="str">
        <f>IF(Q525="","",IF(COUNTIFS($E$5:$E$3004,E525,$A$5:$A$3004,"&gt;"&amp;A525,$H$5:$H$3004,"&lt;&gt;Falta",$H$5:$H$3004,"&lt;&gt;Cancelado",$H$5:$H$3004,"&lt;&gt;Remarcado")&gt;0,"Sim","Não"))</f>
        <v>Sim</v>
      </c>
      <c r="S525" s="32">
        <f>IF(R525&lt;&gt;"Não","",IF(Q525+Config!$B$9&lt;=Config!$B$8,Config!$B$8-Q525,""))</f>
        <v/>
      </c>
      <c r="T525" s="26">
        <f>IF(S525="","","Sim")</f>
        <v/>
      </c>
      <c r="U525" s="41">
        <f>IF(T525="Sim",S525+ROW()/100000,0)</f>
        <v>0</v>
      </c>
      <c r="V525" s="41">
        <f>IF(AND(H525="Falta",L525=Config!$B$7,M525=Config!$B$5,COUNTIFS($E$5:E525,E525,$H$5:H525,"Falta",$L$5:L525,Config!$B$7,$M$5:M525,Config!$B$5)=1),COUNTIFS($E$5:$E$3004,E525,$H$5:$H$3004,"Falta",$L$5:$L$3004,Config!$B$7,$M$5:$M$3004,Config!$B$5)*1000-ROW()/100000,0)</f>
        <v>0</v>
      </c>
    </row>
    <row r="526">
      <c r="A526" s="39" t="n">
        <v>46226</v>
      </c>
      <c r="B526" s="40" t="n">
        <v>0.6041666666666666</v>
      </c>
      <c r="C526" s="35" t="inlineStr">
        <is>
          <t>Dr. Paulo Andrade</t>
        </is>
      </c>
      <c r="D526" s="35" t="inlineStr">
        <is>
          <t>Sala 2</t>
        </is>
      </c>
      <c r="E526" s="34" t="inlineStr">
        <is>
          <t>Paulo Nascimento</t>
        </is>
      </c>
      <c r="F526" s="35" t="inlineStr">
        <is>
          <t>MediPlan</t>
        </is>
      </c>
      <c r="G526" s="35" t="inlineStr">
        <is>
          <t>Consulta</t>
        </is>
      </c>
      <c r="H526" s="35" t="inlineStr">
        <is>
          <t>Falta</t>
        </is>
      </c>
      <c r="I526" s="35" t="n"/>
      <c r="J526" s="35" t="n"/>
      <c r="K526" s="34" t="n"/>
      <c r="L526" s="26">
        <f>IF(A526="","",MONTH(A526))</f>
        <v>7</v>
      </c>
      <c r="M526" s="26">
        <f>IF(A526="","",YEAR(A526))</f>
        <v>2026</v>
      </c>
      <c r="N526" s="26" t="str">
        <f>IF(A526="","",CHOOSE(WEEKDAY(A526,2),"Segunda","Terça","Quarta","Quinta","Sexta","Sábado","Domingo"))</f>
        <v>Quinta</v>
      </c>
      <c r="O526" s="26" t="str">
        <f>IF(B526="","",IF(B526&lt;TIME(12,0,0),"Manhã",IF(B526&lt;TIME(18,0,0),"Tarde","Noite")))</f>
        <v>Tarde</v>
      </c>
      <c r="P526" s="32">
        <f>IF(G526="","",IFERROR(INDEX(Config!$I$5:$I$16,MATCH(G526,Config!$H$5:$H$16,0)),0))</f>
        <v>30</v>
      </c>
      <c r="Q526" s="30">
        <f>IF(OR(H526&lt;&gt;"Realizado",P526="",P526=0),"",A526+P526)</f>
        <v/>
      </c>
      <c r="R526" s="26">
        <f>IF(Q526="","",IF(COUNTIFS($E$5:$E$3004,E526,$A$5:$A$3004,"&gt;"&amp;A526,$H$5:$H$3004,"&lt;&gt;Falta",$H$5:$H$3004,"&lt;&gt;Cancelado",$H$5:$H$3004,"&lt;&gt;Remarcado")&gt;0,"Sim","Não"))</f>
        <v/>
      </c>
      <c r="S526" s="32">
        <f>IF(R526&lt;&gt;"Não","",IF(Q526+Config!$B$9&lt;=Config!$B$8,Config!$B$8-Q526,""))</f>
        <v/>
      </c>
      <c r="T526" s="26">
        <f>IF(S526="","","Sim")</f>
        <v/>
      </c>
      <c r="U526" s="41">
        <f>IF(T526="Sim",S526+ROW()/100000,0)</f>
        <v>0</v>
      </c>
      <c r="V526" s="41">
        <f>IF(AND(H526="Falta",L526=Config!$B$7,M526=Config!$B$5,COUNTIFS($E$5:E526,E526,$H$5:H526,"Falta",$L$5:L526,Config!$B$7,$M$5:M526,Config!$B$5)=1),COUNTIFS($E$5:$E$3004,E526,$H$5:$H$3004,"Falta",$L$5:$L$3004,Config!$B$7,$M$5:$M$3004,Config!$B$5)*1000-ROW()/100000,0)</f>
        <v>0</v>
      </c>
    </row>
    <row r="527">
      <c r="A527" s="39" t="n">
        <v>46226</v>
      </c>
      <c r="B527" s="40" t="n">
        <v>0.6111111111111112</v>
      </c>
      <c r="C527" s="35" t="inlineStr">
        <is>
          <t>Dra. Renata Sousa</t>
        </is>
      </c>
      <c r="D527" s="35" t="inlineStr">
        <is>
          <t>Sala 1</t>
        </is>
      </c>
      <c r="E527" s="34" t="inlineStr">
        <is>
          <t>Fábio Gomes</t>
        </is>
      </c>
      <c r="F527" s="35" t="inlineStr">
        <is>
          <t>Particular</t>
        </is>
      </c>
      <c r="G527" s="35" t="inlineStr">
        <is>
          <t>Retorno</t>
        </is>
      </c>
      <c r="H527" s="35" t="inlineStr">
        <is>
          <t>Realizado</t>
        </is>
      </c>
      <c r="I527" s="35" t="inlineStr">
        <is>
          <t>Sem cobrança</t>
        </is>
      </c>
      <c r="J527" s="35" t="n"/>
      <c r="K527" s="34" t="n"/>
      <c r="L527" s="26">
        <f>IF(A527="","",MONTH(A527))</f>
        <v>7</v>
      </c>
      <c r="M527" s="26">
        <f>IF(A527="","",YEAR(A527))</f>
        <v>2026</v>
      </c>
      <c r="N527" s="26" t="str">
        <f>IF(A527="","",CHOOSE(WEEKDAY(A527,2),"Segunda","Terça","Quarta","Quinta","Sexta","Sábado","Domingo"))</f>
        <v>Quinta</v>
      </c>
      <c r="O527" s="26" t="str">
        <f>IF(B527="","",IF(B527&lt;TIME(12,0,0),"Manhã",IF(B527&lt;TIME(18,0,0),"Tarde","Noite")))</f>
        <v>Tarde</v>
      </c>
      <c r="P527" s="32">
        <f>IF(G527="","",IFERROR(INDEX(Config!$I$5:$I$16,MATCH(G527,Config!$H$5:$H$16,0)),0))</f>
        <v>0</v>
      </c>
      <c r="Q527" s="30">
        <f>IF(OR(H527&lt;&gt;"Realizado",P527="",P527=0),"",A527+P527)</f>
        <v/>
      </c>
      <c r="R527" s="26">
        <f>IF(Q527="","",IF(COUNTIFS($E$5:$E$3004,E527,$A$5:$A$3004,"&gt;"&amp;A527,$H$5:$H$3004,"&lt;&gt;Falta",$H$5:$H$3004,"&lt;&gt;Cancelado",$H$5:$H$3004,"&lt;&gt;Remarcado")&gt;0,"Sim","Não"))</f>
        <v/>
      </c>
      <c r="S527" s="32">
        <f>IF(R527&lt;&gt;"Não","",IF(Q527+Config!$B$9&lt;=Config!$B$8,Config!$B$8-Q527,""))</f>
        <v/>
      </c>
      <c r="T527" s="26">
        <f>IF(S527="","","Sim")</f>
        <v/>
      </c>
      <c r="U527" s="41">
        <f>IF(T527="Sim",S527+ROW()/100000,0)</f>
        <v>0</v>
      </c>
      <c r="V527" s="41">
        <f>IF(AND(H527="Falta",L527=Config!$B$7,M527=Config!$B$5,COUNTIFS($E$5:E527,E527,$H$5:H527,"Falta",$L$5:L527,Config!$B$7,$M$5:M527,Config!$B$5)=1),COUNTIFS($E$5:$E$3004,E527,$H$5:$H$3004,"Falta",$L$5:$L$3004,Config!$B$7,$M$5:$M$3004,Config!$B$5)*1000-ROW()/100000,0)</f>
        <v>0</v>
      </c>
    </row>
    <row r="528">
      <c r="A528" s="39" t="n">
        <v>46226</v>
      </c>
      <c r="B528" s="40" t="n">
        <v>0.625</v>
      </c>
      <c r="C528" s="35" t="inlineStr">
        <is>
          <t>Dra. Renata Sousa</t>
        </is>
      </c>
      <c r="D528" s="35" t="inlineStr">
        <is>
          <t>Sala 1</t>
        </is>
      </c>
      <c r="E528" s="34" t="inlineStr">
        <is>
          <t>Márcia Duarte</t>
        </is>
      </c>
      <c r="F528" s="35" t="inlineStr">
        <is>
          <t>Particular</t>
        </is>
      </c>
      <c r="G528" s="35" t="inlineStr">
        <is>
          <t>Avaliação endócrina</t>
        </is>
      </c>
      <c r="H528" s="35" t="inlineStr">
        <is>
          <t>Realizado</t>
        </is>
      </c>
      <c r="I528" s="35" t="inlineStr">
        <is>
          <t>Pix</t>
        </is>
      </c>
      <c r="J528" s="35" t="n"/>
      <c r="K528" s="34" t="n"/>
      <c r="L528" s="26">
        <f>IF(A528="","",MONTH(A528))</f>
        <v>7</v>
      </c>
      <c r="M528" s="26">
        <f>IF(A528="","",YEAR(A528))</f>
        <v>2026</v>
      </c>
      <c r="N528" s="26" t="str">
        <f>IF(A528="","",CHOOSE(WEEKDAY(A528,2),"Segunda","Terça","Quarta","Quinta","Sexta","Sábado","Domingo"))</f>
        <v>Quinta</v>
      </c>
      <c r="O528" s="26" t="str">
        <f>IF(B528="","",IF(B528&lt;TIME(12,0,0),"Manhã",IF(B528&lt;TIME(18,0,0),"Tarde","Noite")))</f>
        <v>Tarde</v>
      </c>
      <c r="P528" s="32">
        <f>IF(G528="","",IFERROR(INDEX(Config!$I$5:$I$16,MATCH(G528,Config!$H$5:$H$16,0)),0))</f>
        <v>45</v>
      </c>
      <c r="Q528" s="30">
        <f>IF(OR(H528&lt;&gt;"Realizado",P528="",P528=0),"",A528+P528)</f>
        <v>46271.0</v>
      </c>
      <c r="R528" s="26" t="str">
        <f>IF(Q528="","",IF(COUNTIFS($E$5:$E$3004,E528,$A$5:$A$3004,"&gt;"&amp;A528,$H$5:$H$3004,"&lt;&gt;Falta",$H$5:$H$3004,"&lt;&gt;Cancelado",$H$5:$H$3004,"&lt;&gt;Remarcado")&gt;0,"Sim","Não"))</f>
        <v>Sim</v>
      </c>
      <c r="S528" s="32">
        <f>IF(R528&lt;&gt;"Não","",IF(Q528+Config!$B$9&lt;=Config!$B$8,Config!$B$8-Q528,""))</f>
        <v/>
      </c>
      <c r="T528" s="26">
        <f>IF(S528="","","Sim")</f>
        <v/>
      </c>
      <c r="U528" s="41">
        <f>IF(T528="Sim",S528+ROW()/100000,0)</f>
        <v>0</v>
      </c>
      <c r="V528" s="41">
        <f>IF(AND(H528="Falta",L528=Config!$B$7,M528=Config!$B$5,COUNTIFS($E$5:E528,E528,$H$5:H528,"Falta",$L$5:L528,Config!$B$7,$M$5:M528,Config!$B$5)=1),COUNTIFS($E$5:$E$3004,E528,$H$5:$H$3004,"Falta",$L$5:$L$3004,Config!$B$7,$M$5:$M$3004,Config!$B$5)*1000-ROW()/100000,0)</f>
        <v>0</v>
      </c>
    </row>
    <row r="529">
      <c r="A529" s="39" t="n">
        <v>46226</v>
      </c>
      <c r="B529" s="40" t="n">
        <v>0.625</v>
      </c>
      <c r="C529" s="35" t="inlineStr">
        <is>
          <t>Dr. Paulo Andrade</t>
        </is>
      </c>
      <c r="D529" s="35" t="inlineStr">
        <is>
          <t>Sala 2</t>
        </is>
      </c>
      <c r="E529" s="34" t="inlineStr">
        <is>
          <t>Camila Batista</t>
        </is>
      </c>
      <c r="F529" s="35" t="inlineStr">
        <is>
          <t>MediPlan</t>
        </is>
      </c>
      <c r="G529" s="35" t="inlineStr">
        <is>
          <t>MAPA</t>
        </is>
      </c>
      <c r="H529" s="35" t="inlineStr">
        <is>
          <t>Realizado</t>
        </is>
      </c>
      <c r="I529" s="35" t="inlineStr">
        <is>
          <t>Convênio</t>
        </is>
      </c>
      <c r="J529" s="35" t="n"/>
      <c r="K529" s="34" t="n"/>
      <c r="L529" s="26">
        <f>IF(A529="","",MONTH(A529))</f>
        <v>7</v>
      </c>
      <c r="M529" s="26">
        <f>IF(A529="","",YEAR(A529))</f>
        <v>2026</v>
      </c>
      <c r="N529" s="26" t="str">
        <f>IF(A529="","",CHOOSE(WEEKDAY(A529,2),"Segunda","Terça","Quarta","Quinta","Sexta","Sábado","Domingo"))</f>
        <v>Quinta</v>
      </c>
      <c r="O529" s="26" t="str">
        <f>IF(B529="","",IF(B529&lt;TIME(12,0,0),"Manhã",IF(B529&lt;TIME(18,0,0),"Tarde","Noite")))</f>
        <v>Tarde</v>
      </c>
      <c r="P529" s="32">
        <f>IF(G529="","",IFERROR(INDEX(Config!$I$5:$I$16,MATCH(G529,Config!$H$5:$H$16,0)),0))</f>
        <v>0</v>
      </c>
      <c r="Q529" s="30">
        <f>IF(OR(H529&lt;&gt;"Realizado",P529="",P529=0),"",A529+P529)</f>
        <v/>
      </c>
      <c r="R529" s="26">
        <f>IF(Q529="","",IF(COUNTIFS($E$5:$E$3004,E529,$A$5:$A$3004,"&gt;"&amp;A529,$H$5:$H$3004,"&lt;&gt;Falta",$H$5:$H$3004,"&lt;&gt;Cancelado",$H$5:$H$3004,"&lt;&gt;Remarcado")&gt;0,"Sim","Não"))</f>
        <v/>
      </c>
      <c r="S529" s="32">
        <f>IF(R529&lt;&gt;"Não","",IF(Q529+Config!$B$9&lt;=Config!$B$8,Config!$B$8-Q529,""))</f>
        <v/>
      </c>
      <c r="T529" s="26">
        <f>IF(S529="","","Sim")</f>
        <v/>
      </c>
      <c r="U529" s="41">
        <f>IF(T529="Sim",S529+ROW()/100000,0)</f>
        <v>0</v>
      </c>
      <c r="V529" s="41">
        <f>IF(AND(H529="Falta",L529=Config!$B$7,M529=Config!$B$5,COUNTIFS($E$5:E529,E529,$H$5:H529,"Falta",$L$5:L529,Config!$B$7,$M$5:M529,Config!$B$5)=1),COUNTIFS($E$5:$E$3004,E529,$H$5:$H$3004,"Falta",$L$5:$L$3004,Config!$B$7,$M$5:$M$3004,Config!$B$5)*1000-ROW()/100000,0)</f>
        <v>0</v>
      </c>
    </row>
    <row r="530">
      <c r="A530" s="39" t="n">
        <v>46226</v>
      </c>
      <c r="B530" s="40" t="n">
        <v>0.6388888888888888</v>
      </c>
      <c r="C530" s="35" t="inlineStr">
        <is>
          <t>Dr. Paulo Andrade</t>
        </is>
      </c>
      <c r="D530" s="35" t="inlineStr">
        <is>
          <t>Sala 2</t>
        </is>
      </c>
      <c r="E530" s="34" t="inlineStr">
        <is>
          <t>Vanessa Moreira</t>
        </is>
      </c>
      <c r="F530" s="35" t="inlineStr">
        <is>
          <t>Saúde Total</t>
        </is>
      </c>
      <c r="G530" s="35" t="inlineStr">
        <is>
          <t>Retorno</t>
        </is>
      </c>
      <c r="H530" s="35" t="inlineStr">
        <is>
          <t>Realizado</t>
        </is>
      </c>
      <c r="I530" s="35" t="inlineStr">
        <is>
          <t>Sem cobrança</t>
        </is>
      </c>
      <c r="J530" s="35" t="n"/>
      <c r="K530" s="34" t="n"/>
      <c r="L530" s="26">
        <f>IF(A530="","",MONTH(A530))</f>
        <v>7</v>
      </c>
      <c r="M530" s="26">
        <f>IF(A530="","",YEAR(A530))</f>
        <v>2026</v>
      </c>
      <c r="N530" s="26" t="str">
        <f>IF(A530="","",CHOOSE(WEEKDAY(A530,2),"Segunda","Terça","Quarta","Quinta","Sexta","Sábado","Domingo"))</f>
        <v>Quinta</v>
      </c>
      <c r="O530" s="26" t="str">
        <f>IF(B530="","",IF(B530&lt;TIME(12,0,0),"Manhã",IF(B530&lt;TIME(18,0,0),"Tarde","Noite")))</f>
        <v>Tarde</v>
      </c>
      <c r="P530" s="32">
        <f>IF(G530="","",IFERROR(INDEX(Config!$I$5:$I$16,MATCH(G530,Config!$H$5:$H$16,0)),0))</f>
        <v>0</v>
      </c>
      <c r="Q530" s="30">
        <f>IF(OR(H530&lt;&gt;"Realizado",P530="",P530=0),"",A530+P530)</f>
        <v/>
      </c>
      <c r="R530" s="26">
        <f>IF(Q530="","",IF(COUNTIFS($E$5:$E$3004,E530,$A$5:$A$3004,"&gt;"&amp;A530,$H$5:$H$3004,"&lt;&gt;Falta",$H$5:$H$3004,"&lt;&gt;Cancelado",$H$5:$H$3004,"&lt;&gt;Remarcado")&gt;0,"Sim","Não"))</f>
        <v/>
      </c>
      <c r="S530" s="32">
        <f>IF(R530&lt;&gt;"Não","",IF(Q530+Config!$B$9&lt;=Config!$B$8,Config!$B$8-Q530,""))</f>
        <v/>
      </c>
      <c r="T530" s="26">
        <f>IF(S530="","","Sim")</f>
        <v/>
      </c>
      <c r="U530" s="41">
        <f>IF(T530="Sim",S530+ROW()/100000,0)</f>
        <v>0</v>
      </c>
      <c r="V530" s="41">
        <f>IF(AND(H530="Falta",L530=Config!$B$7,M530=Config!$B$5,COUNTIFS($E$5:E530,E530,$H$5:H530,"Falta",$L$5:L530,Config!$B$7,$M$5:M530,Config!$B$5)=1),COUNTIFS($E$5:$E$3004,E530,$H$5:$H$3004,"Falta",$L$5:$L$3004,Config!$B$7,$M$5:$M$3004,Config!$B$5)*1000-ROW()/100000,0)</f>
        <v>0</v>
      </c>
    </row>
    <row r="531">
      <c r="A531" s="39" t="n">
        <v>46226</v>
      </c>
      <c r="B531" s="40" t="n">
        <v>0.6527777777777778</v>
      </c>
      <c r="C531" s="35" t="inlineStr">
        <is>
          <t>Dra. Renata Sousa</t>
        </is>
      </c>
      <c r="D531" s="35" t="inlineStr">
        <is>
          <t>Sala 1</t>
        </is>
      </c>
      <c r="E531" s="34" t="inlineStr">
        <is>
          <t>Isabela Barbosa</t>
        </is>
      </c>
      <c r="F531" s="35" t="inlineStr">
        <is>
          <t>Saúde Total</t>
        </is>
      </c>
      <c r="G531" s="35" t="inlineStr">
        <is>
          <t>Retorno</t>
        </is>
      </c>
      <c r="H531" s="35" t="inlineStr">
        <is>
          <t>Realizado</t>
        </is>
      </c>
      <c r="I531" s="35" t="inlineStr">
        <is>
          <t>Sem cobrança</t>
        </is>
      </c>
      <c r="J531" s="35" t="n"/>
      <c r="K531" s="34" t="n"/>
      <c r="L531" s="26">
        <f>IF(A531="","",MONTH(A531))</f>
        <v>7</v>
      </c>
      <c r="M531" s="26">
        <f>IF(A531="","",YEAR(A531))</f>
        <v>2026</v>
      </c>
      <c r="N531" s="26" t="str">
        <f>IF(A531="","",CHOOSE(WEEKDAY(A531,2),"Segunda","Terça","Quarta","Quinta","Sexta","Sábado","Domingo"))</f>
        <v>Quinta</v>
      </c>
      <c r="O531" s="26" t="str">
        <f>IF(B531="","",IF(B531&lt;TIME(12,0,0),"Manhã",IF(B531&lt;TIME(18,0,0),"Tarde","Noite")))</f>
        <v>Tarde</v>
      </c>
      <c r="P531" s="32">
        <f>IF(G531="","",IFERROR(INDEX(Config!$I$5:$I$16,MATCH(G531,Config!$H$5:$H$16,0)),0))</f>
        <v>0</v>
      </c>
      <c r="Q531" s="30">
        <f>IF(OR(H531&lt;&gt;"Realizado",P531="",P531=0),"",A531+P531)</f>
        <v/>
      </c>
      <c r="R531" s="26">
        <f>IF(Q531="","",IF(COUNTIFS($E$5:$E$3004,E531,$A$5:$A$3004,"&gt;"&amp;A531,$H$5:$H$3004,"&lt;&gt;Falta",$H$5:$H$3004,"&lt;&gt;Cancelado",$H$5:$H$3004,"&lt;&gt;Remarcado")&gt;0,"Sim","Não"))</f>
        <v/>
      </c>
      <c r="S531" s="32">
        <f>IF(R531&lt;&gt;"Não","",IF(Q531+Config!$B$9&lt;=Config!$B$8,Config!$B$8-Q531,""))</f>
        <v/>
      </c>
      <c r="T531" s="26">
        <f>IF(S531="","","Sim")</f>
        <v/>
      </c>
      <c r="U531" s="41">
        <f>IF(T531="Sim",S531+ROW()/100000,0)</f>
        <v>0</v>
      </c>
      <c r="V531" s="41">
        <f>IF(AND(H531="Falta",L531=Config!$B$7,M531=Config!$B$5,COUNTIFS($E$5:E531,E531,$H$5:H531,"Falta",$L$5:L531,Config!$B$7,$M$5:M531,Config!$B$5)=1),COUNTIFS($E$5:$E$3004,E531,$H$5:$H$3004,"Falta",$L$5:$L$3004,Config!$B$7,$M$5:$M$3004,Config!$B$5)*1000-ROW()/100000,0)</f>
        <v>0</v>
      </c>
    </row>
    <row r="532">
      <c r="A532" s="39" t="n">
        <v>46226</v>
      </c>
      <c r="B532" s="40" t="n">
        <v>0.6527777777777778</v>
      </c>
      <c r="C532" s="35" t="inlineStr">
        <is>
          <t>Dr. Paulo Andrade</t>
        </is>
      </c>
      <c r="D532" s="35" t="inlineStr">
        <is>
          <t>Sala 2</t>
        </is>
      </c>
      <c r="E532" s="34" t="inlineStr">
        <is>
          <t>Priscila Nunes</t>
        </is>
      </c>
      <c r="F532" s="35" t="inlineStr">
        <is>
          <t>MediPlan</t>
        </is>
      </c>
      <c r="G532" s="35" t="inlineStr">
        <is>
          <t>ECG</t>
        </is>
      </c>
      <c r="H532" s="35" t="inlineStr">
        <is>
          <t>Realizado</t>
        </is>
      </c>
      <c r="I532" s="35" t="inlineStr">
        <is>
          <t>Convênio</t>
        </is>
      </c>
      <c r="J532" s="35" t="n"/>
      <c r="K532" s="34" t="n"/>
      <c r="L532" s="26">
        <f>IF(A532="","",MONTH(A532))</f>
        <v>7</v>
      </c>
      <c r="M532" s="26">
        <f>IF(A532="","",YEAR(A532))</f>
        <v>2026</v>
      </c>
      <c r="N532" s="26" t="str">
        <f>IF(A532="","",CHOOSE(WEEKDAY(A532,2),"Segunda","Terça","Quarta","Quinta","Sexta","Sábado","Domingo"))</f>
        <v>Quinta</v>
      </c>
      <c r="O532" s="26" t="str">
        <f>IF(B532="","",IF(B532&lt;TIME(12,0,0),"Manhã",IF(B532&lt;TIME(18,0,0),"Tarde","Noite")))</f>
        <v>Tarde</v>
      </c>
      <c r="P532" s="32">
        <f>IF(G532="","",IFERROR(INDEX(Config!$I$5:$I$16,MATCH(G532,Config!$H$5:$H$16,0)),0))</f>
        <v>0</v>
      </c>
      <c r="Q532" s="30">
        <f>IF(OR(H532&lt;&gt;"Realizado",P532="",P532=0),"",A532+P532)</f>
        <v/>
      </c>
      <c r="R532" s="26">
        <f>IF(Q532="","",IF(COUNTIFS($E$5:$E$3004,E532,$A$5:$A$3004,"&gt;"&amp;A532,$H$5:$H$3004,"&lt;&gt;Falta",$H$5:$H$3004,"&lt;&gt;Cancelado",$H$5:$H$3004,"&lt;&gt;Remarcado")&gt;0,"Sim","Não"))</f>
        <v/>
      </c>
      <c r="S532" s="32">
        <f>IF(R532&lt;&gt;"Não","",IF(Q532+Config!$B$9&lt;=Config!$B$8,Config!$B$8-Q532,""))</f>
        <v/>
      </c>
      <c r="T532" s="26">
        <f>IF(S532="","","Sim")</f>
        <v/>
      </c>
      <c r="U532" s="41">
        <f>IF(T532="Sim",S532+ROW()/100000,0)</f>
        <v>0</v>
      </c>
      <c r="V532" s="41">
        <f>IF(AND(H532="Falta",L532=Config!$B$7,M532=Config!$B$5,COUNTIFS($E$5:E532,E532,$H$5:H532,"Falta",$L$5:L532,Config!$B$7,$M$5:M532,Config!$B$5)=1),COUNTIFS($E$5:$E$3004,E532,$H$5:$H$3004,"Falta",$L$5:$L$3004,Config!$B$7,$M$5:$M$3004,Config!$B$5)*1000-ROW()/100000,0)</f>
        <v>0</v>
      </c>
    </row>
    <row r="533">
      <c r="A533" s="39" t="n">
        <v>46226</v>
      </c>
      <c r="B533" s="40" t="n">
        <v>0.6666666666666666</v>
      </c>
      <c r="C533" s="35" t="inlineStr">
        <is>
          <t>Dr. Paulo Andrade</t>
        </is>
      </c>
      <c r="D533" s="35" t="inlineStr">
        <is>
          <t>Sala 2</t>
        </is>
      </c>
      <c r="E533" s="34" t="inlineStr">
        <is>
          <t>Rafael Barros</t>
        </is>
      </c>
      <c r="F533" s="35" t="inlineStr">
        <is>
          <t>Particular</t>
        </is>
      </c>
      <c r="G533" s="35" t="inlineStr">
        <is>
          <t>Consulta</t>
        </is>
      </c>
      <c r="H533" s="35" t="inlineStr">
        <is>
          <t>Realizado</t>
        </is>
      </c>
      <c r="I533" s="35" t="inlineStr">
        <is>
          <t>A prazo</t>
        </is>
      </c>
      <c r="J533" s="35" t="n"/>
      <c r="K533" s="34" t="n"/>
      <c r="L533" s="26">
        <f>IF(A533="","",MONTH(A533))</f>
        <v>7</v>
      </c>
      <c r="M533" s="26">
        <f>IF(A533="","",YEAR(A533))</f>
        <v>2026</v>
      </c>
      <c r="N533" s="26" t="str">
        <f>IF(A533="","",CHOOSE(WEEKDAY(A533,2),"Segunda","Terça","Quarta","Quinta","Sexta","Sábado","Domingo"))</f>
        <v>Quinta</v>
      </c>
      <c r="O533" s="26" t="str">
        <f>IF(B533="","",IF(B533&lt;TIME(12,0,0),"Manhã",IF(B533&lt;TIME(18,0,0),"Tarde","Noite")))</f>
        <v>Tarde</v>
      </c>
      <c r="P533" s="32">
        <f>IF(G533="","",IFERROR(INDEX(Config!$I$5:$I$16,MATCH(G533,Config!$H$5:$H$16,0)),0))</f>
        <v>30</v>
      </c>
      <c r="Q533" s="30">
        <f>IF(OR(H533&lt;&gt;"Realizado",P533="",P533=0),"",A533+P533)</f>
        <v>46256.0</v>
      </c>
      <c r="R533" s="26" t="str">
        <f>IF(Q533="","",IF(COUNTIFS($E$5:$E$3004,E533,$A$5:$A$3004,"&gt;"&amp;A533,$H$5:$H$3004,"&lt;&gt;Falta",$H$5:$H$3004,"&lt;&gt;Cancelado",$H$5:$H$3004,"&lt;&gt;Remarcado")&gt;0,"Sim","Não"))</f>
        <v>Sim</v>
      </c>
      <c r="S533" s="32">
        <f>IF(R533&lt;&gt;"Não","",IF(Q533+Config!$B$9&lt;=Config!$B$8,Config!$B$8-Q533,""))</f>
        <v/>
      </c>
      <c r="T533" s="26">
        <f>IF(S533="","","Sim")</f>
        <v/>
      </c>
      <c r="U533" s="41">
        <f>IF(T533="Sim",S533+ROW()/100000,0)</f>
        <v>0</v>
      </c>
      <c r="V533" s="41">
        <f>IF(AND(H533="Falta",L533=Config!$B$7,M533=Config!$B$5,COUNTIFS($E$5:E533,E533,$H$5:H533,"Falta",$L$5:L533,Config!$B$7,$M$5:M533,Config!$B$5)=1),COUNTIFS($E$5:$E$3004,E533,$H$5:$H$3004,"Falta",$L$5:$L$3004,Config!$B$7,$M$5:$M$3004,Config!$B$5)*1000-ROW()/100000,0)</f>
        <v>0</v>
      </c>
    </row>
    <row r="534">
      <c r="A534" s="39" t="n">
        <v>46226</v>
      </c>
      <c r="B534" s="40" t="n">
        <v>0.6875</v>
      </c>
      <c r="C534" s="35" t="inlineStr">
        <is>
          <t>Dra. Renata Sousa</t>
        </is>
      </c>
      <c r="D534" s="35" t="inlineStr">
        <is>
          <t>Sala 1</t>
        </is>
      </c>
      <c r="E534" s="34" t="inlineStr">
        <is>
          <t>Priscila Reis</t>
        </is>
      </c>
      <c r="F534" s="35" t="inlineStr">
        <is>
          <t>Particular</t>
        </is>
      </c>
      <c r="G534" s="35" t="inlineStr">
        <is>
          <t>Avaliação endócrina</t>
        </is>
      </c>
      <c r="H534" s="35" t="inlineStr">
        <is>
          <t>Realizado</t>
        </is>
      </c>
      <c r="I534" s="35" t="inlineStr">
        <is>
          <t>Cartão de crédito</t>
        </is>
      </c>
      <c r="J534" s="35" t="n">
        <v>2</v>
      </c>
      <c r="K534" s="34" t="n"/>
      <c r="L534" s="26">
        <f>IF(A534="","",MONTH(A534))</f>
        <v>7</v>
      </c>
      <c r="M534" s="26">
        <f>IF(A534="","",YEAR(A534))</f>
        <v>2026</v>
      </c>
      <c r="N534" s="26" t="str">
        <f>IF(A534="","",CHOOSE(WEEKDAY(A534,2),"Segunda","Terça","Quarta","Quinta","Sexta","Sábado","Domingo"))</f>
        <v>Quinta</v>
      </c>
      <c r="O534" s="26" t="str">
        <f>IF(B534="","",IF(B534&lt;TIME(12,0,0),"Manhã",IF(B534&lt;TIME(18,0,0),"Tarde","Noite")))</f>
        <v>Tarde</v>
      </c>
      <c r="P534" s="32">
        <f>IF(G534="","",IFERROR(INDEX(Config!$I$5:$I$16,MATCH(G534,Config!$H$5:$H$16,0)),0))</f>
        <v>45</v>
      </c>
      <c r="Q534" s="30">
        <f>IF(OR(H534&lt;&gt;"Realizado",P534="",P534=0),"",A534+P534)</f>
        <v>46271.0</v>
      </c>
      <c r="R534" s="26" t="str">
        <f>IF(Q534="","",IF(COUNTIFS($E$5:$E$3004,E534,$A$5:$A$3004,"&gt;"&amp;A534,$H$5:$H$3004,"&lt;&gt;Falta",$H$5:$H$3004,"&lt;&gt;Cancelado",$H$5:$H$3004,"&lt;&gt;Remarcado")&gt;0,"Sim","Não"))</f>
        <v>Sim</v>
      </c>
      <c r="S534" s="32">
        <f>IF(R534&lt;&gt;"Não","",IF(Q534+Config!$B$9&lt;=Config!$B$8,Config!$B$8-Q534,""))</f>
        <v/>
      </c>
      <c r="T534" s="26">
        <f>IF(S534="","","Sim")</f>
        <v/>
      </c>
      <c r="U534" s="41">
        <f>IF(T534="Sim",S534+ROW()/100000,0)</f>
        <v>0</v>
      </c>
      <c r="V534" s="41">
        <f>IF(AND(H534="Falta",L534=Config!$B$7,M534=Config!$B$5,COUNTIFS($E$5:E534,E534,$H$5:H534,"Falta",$L$5:L534,Config!$B$7,$M$5:M534,Config!$B$5)=1),COUNTIFS($E$5:$E$3004,E534,$H$5:$H$3004,"Falta",$L$5:$L$3004,Config!$B$7,$M$5:$M$3004,Config!$B$5)*1000-ROW()/100000,0)</f>
        <v>0</v>
      </c>
    </row>
    <row r="535">
      <c r="A535" s="39" t="n">
        <v>46226</v>
      </c>
      <c r="B535" s="40" t="n">
        <v>0.6875</v>
      </c>
      <c r="C535" s="35" t="inlineStr">
        <is>
          <t>Dr. Paulo Andrade</t>
        </is>
      </c>
      <c r="D535" s="35" t="inlineStr">
        <is>
          <t>Sala 2</t>
        </is>
      </c>
      <c r="E535" s="34" t="inlineStr">
        <is>
          <t>Regina Castro</t>
        </is>
      </c>
      <c r="F535" s="35" t="inlineStr">
        <is>
          <t>Vida Care</t>
        </is>
      </c>
      <c r="G535" s="35" t="inlineStr">
        <is>
          <t>ECG</t>
        </is>
      </c>
      <c r="H535" s="35" t="inlineStr">
        <is>
          <t>Realizado</t>
        </is>
      </c>
      <c r="I535" s="35" t="inlineStr">
        <is>
          <t>Convênio</t>
        </is>
      </c>
      <c r="J535" s="35" t="n"/>
      <c r="K535" s="34" t="n"/>
      <c r="L535" s="26">
        <f>IF(A535="","",MONTH(A535))</f>
        <v>7</v>
      </c>
      <c r="M535" s="26">
        <f>IF(A535="","",YEAR(A535))</f>
        <v>2026</v>
      </c>
      <c r="N535" s="26" t="str">
        <f>IF(A535="","",CHOOSE(WEEKDAY(A535,2),"Segunda","Terça","Quarta","Quinta","Sexta","Sábado","Domingo"))</f>
        <v>Quinta</v>
      </c>
      <c r="O535" s="26" t="str">
        <f>IF(B535="","",IF(B535&lt;TIME(12,0,0),"Manhã",IF(B535&lt;TIME(18,0,0),"Tarde","Noite")))</f>
        <v>Tarde</v>
      </c>
      <c r="P535" s="32">
        <f>IF(G535="","",IFERROR(INDEX(Config!$I$5:$I$16,MATCH(G535,Config!$H$5:$H$16,0)),0))</f>
        <v>0</v>
      </c>
      <c r="Q535" s="30">
        <f>IF(OR(H535&lt;&gt;"Realizado",P535="",P535=0),"",A535+P535)</f>
        <v/>
      </c>
      <c r="R535" s="26">
        <f>IF(Q535="","",IF(COUNTIFS($E$5:$E$3004,E535,$A$5:$A$3004,"&gt;"&amp;A535,$H$5:$H$3004,"&lt;&gt;Falta",$H$5:$H$3004,"&lt;&gt;Cancelado",$H$5:$H$3004,"&lt;&gt;Remarcado")&gt;0,"Sim","Não"))</f>
        <v/>
      </c>
      <c r="S535" s="32">
        <f>IF(R535&lt;&gt;"Não","",IF(Q535+Config!$B$9&lt;=Config!$B$8,Config!$B$8-Q535,""))</f>
        <v/>
      </c>
      <c r="T535" s="26">
        <f>IF(S535="","","Sim")</f>
        <v/>
      </c>
      <c r="U535" s="41">
        <f>IF(T535="Sim",S535+ROW()/100000,0)</f>
        <v>0</v>
      </c>
      <c r="V535" s="41">
        <f>IF(AND(H535="Falta",L535=Config!$B$7,M535=Config!$B$5,COUNTIFS($E$5:E535,E535,$H$5:H535,"Falta",$L$5:L535,Config!$B$7,$M$5:M535,Config!$B$5)=1),COUNTIFS($E$5:$E$3004,E535,$H$5:$H$3004,"Falta",$L$5:$L$3004,Config!$B$7,$M$5:$M$3004,Config!$B$5)*1000-ROW()/100000,0)</f>
        <v>0</v>
      </c>
    </row>
    <row r="536">
      <c r="A536" s="39" t="n">
        <v>46226</v>
      </c>
      <c r="B536" s="40" t="n">
        <v>0.7013888888888888</v>
      </c>
      <c r="C536" s="35" t="inlineStr">
        <is>
          <t>Dr. Paulo Andrade</t>
        </is>
      </c>
      <c r="D536" s="35" t="inlineStr">
        <is>
          <t>Sala 2</t>
        </is>
      </c>
      <c r="E536" s="34" t="inlineStr">
        <is>
          <t>Camila Martins</t>
        </is>
      </c>
      <c r="F536" s="35" t="inlineStr">
        <is>
          <t>Vida Care</t>
        </is>
      </c>
      <c r="G536" s="35" t="inlineStr">
        <is>
          <t>Consulta</t>
        </is>
      </c>
      <c r="H536" s="35" t="inlineStr">
        <is>
          <t>Realizado</t>
        </is>
      </c>
      <c r="I536" s="35" t="inlineStr">
        <is>
          <t>Convênio</t>
        </is>
      </c>
      <c r="J536" s="35" t="n"/>
      <c r="K536" s="34" t="n"/>
      <c r="L536" s="26">
        <f>IF(A536="","",MONTH(A536))</f>
        <v>7</v>
      </c>
      <c r="M536" s="26">
        <f>IF(A536="","",YEAR(A536))</f>
        <v>2026</v>
      </c>
      <c r="N536" s="26" t="str">
        <f>IF(A536="","",CHOOSE(WEEKDAY(A536,2),"Segunda","Terça","Quarta","Quinta","Sexta","Sábado","Domingo"))</f>
        <v>Quinta</v>
      </c>
      <c r="O536" s="26" t="str">
        <f>IF(B536="","",IF(B536&lt;TIME(12,0,0),"Manhã",IF(B536&lt;TIME(18,0,0),"Tarde","Noite")))</f>
        <v>Tarde</v>
      </c>
      <c r="P536" s="32">
        <f>IF(G536="","",IFERROR(INDEX(Config!$I$5:$I$16,MATCH(G536,Config!$H$5:$H$16,0)),0))</f>
        <v>30</v>
      </c>
      <c r="Q536" s="30">
        <f>IF(OR(H536&lt;&gt;"Realizado",P536="",P536=0),"",A536+P536)</f>
        <v>46256.0</v>
      </c>
      <c r="R536" s="26" t="str">
        <f>IF(Q536="","",IF(COUNTIFS($E$5:$E$3004,E536,$A$5:$A$3004,"&gt;"&amp;A536,$H$5:$H$3004,"&lt;&gt;Falta",$H$5:$H$3004,"&lt;&gt;Cancelado",$H$5:$H$3004,"&lt;&gt;Remarcado")&gt;0,"Sim","Não"))</f>
        <v>Sim</v>
      </c>
      <c r="S536" s="32">
        <f>IF(R536&lt;&gt;"Não","",IF(Q536+Config!$B$9&lt;=Config!$B$8,Config!$B$8-Q536,""))</f>
        <v/>
      </c>
      <c r="T536" s="26">
        <f>IF(S536="","","Sim")</f>
        <v/>
      </c>
      <c r="U536" s="41">
        <f>IF(T536="Sim",S536+ROW()/100000,0)</f>
        <v>0</v>
      </c>
      <c r="V536" s="41">
        <f>IF(AND(H536="Falta",L536=Config!$B$7,M536=Config!$B$5,COUNTIFS($E$5:E536,E536,$H$5:H536,"Falta",$L$5:L536,Config!$B$7,$M$5:M536,Config!$B$5)=1),COUNTIFS($E$5:$E$3004,E536,$H$5:$H$3004,"Falta",$L$5:$L$3004,Config!$B$7,$M$5:$M$3004,Config!$B$5)*1000-ROW()/100000,0)</f>
        <v>0</v>
      </c>
    </row>
    <row r="537">
      <c r="A537" s="39" t="n">
        <v>46226</v>
      </c>
      <c r="B537" s="40" t="n">
        <v>0.7152777777777778</v>
      </c>
      <c r="C537" s="35" t="inlineStr">
        <is>
          <t>Dra. Renata Sousa</t>
        </is>
      </c>
      <c r="D537" s="35" t="inlineStr">
        <is>
          <t>Sala 1</t>
        </is>
      </c>
      <c r="E537" s="34" t="inlineStr">
        <is>
          <t>Daniel Moreira</t>
        </is>
      </c>
      <c r="F537" s="35" t="inlineStr">
        <is>
          <t>Saúde Total</t>
        </is>
      </c>
      <c r="G537" s="35" t="inlineStr">
        <is>
          <t>Avaliação endócrina</t>
        </is>
      </c>
      <c r="H537" s="35" t="inlineStr">
        <is>
          <t>Cancelado</t>
        </is>
      </c>
      <c r="I537" s="35" t="n"/>
      <c r="J537" s="35" t="n"/>
      <c r="K537" s="34" t="n"/>
      <c r="L537" s="26">
        <f>IF(A537="","",MONTH(A537))</f>
        <v>7</v>
      </c>
      <c r="M537" s="26">
        <f>IF(A537="","",YEAR(A537))</f>
        <v>2026</v>
      </c>
      <c r="N537" s="26" t="str">
        <f>IF(A537="","",CHOOSE(WEEKDAY(A537,2),"Segunda","Terça","Quarta","Quinta","Sexta","Sábado","Domingo"))</f>
        <v>Quinta</v>
      </c>
      <c r="O537" s="26" t="str">
        <f>IF(B537="","",IF(B537&lt;TIME(12,0,0),"Manhã",IF(B537&lt;TIME(18,0,0),"Tarde","Noite")))</f>
        <v>Tarde</v>
      </c>
      <c r="P537" s="32">
        <f>IF(G537="","",IFERROR(INDEX(Config!$I$5:$I$16,MATCH(G537,Config!$H$5:$H$16,0)),0))</f>
        <v>45</v>
      </c>
      <c r="Q537" s="30">
        <f>IF(OR(H537&lt;&gt;"Realizado",P537="",P537=0),"",A537+P537)</f>
        <v/>
      </c>
      <c r="R537" s="26">
        <f>IF(Q537="","",IF(COUNTIFS($E$5:$E$3004,E537,$A$5:$A$3004,"&gt;"&amp;A537,$H$5:$H$3004,"&lt;&gt;Falta",$H$5:$H$3004,"&lt;&gt;Cancelado",$H$5:$H$3004,"&lt;&gt;Remarcado")&gt;0,"Sim","Não"))</f>
        <v/>
      </c>
      <c r="S537" s="32">
        <f>IF(R537&lt;&gt;"Não","",IF(Q537+Config!$B$9&lt;=Config!$B$8,Config!$B$8-Q537,""))</f>
        <v/>
      </c>
      <c r="T537" s="26">
        <f>IF(S537="","","Sim")</f>
        <v/>
      </c>
      <c r="U537" s="41">
        <f>IF(T537="Sim",S537+ROW()/100000,0)</f>
        <v>0</v>
      </c>
      <c r="V537" s="41">
        <f>IF(AND(H537="Falta",L537=Config!$B$7,M537=Config!$B$5,COUNTIFS($E$5:E537,E537,$H$5:H537,"Falta",$L$5:L537,Config!$B$7,$M$5:M537,Config!$B$5)=1),COUNTIFS($E$5:$E$3004,E537,$H$5:$H$3004,"Falta",$L$5:$L$3004,Config!$B$7,$M$5:$M$3004,Config!$B$5)*1000-ROW()/100000,0)</f>
        <v>0</v>
      </c>
    </row>
    <row r="538">
      <c r="A538" s="39" t="n">
        <v>46226</v>
      </c>
      <c r="B538" s="40" t="n">
        <v>0.7222222222222222</v>
      </c>
      <c r="C538" s="35" t="inlineStr">
        <is>
          <t>Dr. Paulo Andrade</t>
        </is>
      </c>
      <c r="D538" s="35" t="inlineStr">
        <is>
          <t>Sala 2</t>
        </is>
      </c>
      <c r="E538" s="34" t="inlineStr">
        <is>
          <t>Rodrigo Gomes</t>
        </is>
      </c>
      <c r="F538" s="35" t="inlineStr">
        <is>
          <t>Vida Care</t>
        </is>
      </c>
      <c r="G538" s="35" t="inlineStr">
        <is>
          <t>ECG</t>
        </is>
      </c>
      <c r="H538" s="35" t="inlineStr">
        <is>
          <t>Realizado</t>
        </is>
      </c>
      <c r="I538" s="35" t="inlineStr">
        <is>
          <t>Convênio</t>
        </is>
      </c>
      <c r="J538" s="35" t="n"/>
      <c r="K538" s="34" t="n"/>
      <c r="L538" s="26">
        <f>IF(A538="","",MONTH(A538))</f>
        <v>7</v>
      </c>
      <c r="M538" s="26">
        <f>IF(A538="","",YEAR(A538))</f>
        <v>2026</v>
      </c>
      <c r="N538" s="26" t="str">
        <f>IF(A538="","",CHOOSE(WEEKDAY(A538,2),"Segunda","Terça","Quarta","Quinta","Sexta","Sábado","Domingo"))</f>
        <v>Quinta</v>
      </c>
      <c r="O538" s="26" t="str">
        <f>IF(B538="","",IF(B538&lt;TIME(12,0,0),"Manhã",IF(B538&lt;TIME(18,0,0),"Tarde","Noite")))</f>
        <v>Tarde</v>
      </c>
      <c r="P538" s="32">
        <f>IF(G538="","",IFERROR(INDEX(Config!$I$5:$I$16,MATCH(G538,Config!$H$5:$H$16,0)),0))</f>
        <v>0</v>
      </c>
      <c r="Q538" s="30">
        <f>IF(OR(H538&lt;&gt;"Realizado",P538="",P538=0),"",A538+P538)</f>
        <v/>
      </c>
      <c r="R538" s="26">
        <f>IF(Q538="","",IF(COUNTIFS($E$5:$E$3004,E538,$A$5:$A$3004,"&gt;"&amp;A538,$H$5:$H$3004,"&lt;&gt;Falta",$H$5:$H$3004,"&lt;&gt;Cancelado",$H$5:$H$3004,"&lt;&gt;Remarcado")&gt;0,"Sim","Não"))</f>
        <v/>
      </c>
      <c r="S538" s="32">
        <f>IF(R538&lt;&gt;"Não","",IF(Q538+Config!$B$9&lt;=Config!$B$8,Config!$B$8-Q538,""))</f>
        <v/>
      </c>
      <c r="T538" s="26">
        <f>IF(S538="","","Sim")</f>
        <v/>
      </c>
      <c r="U538" s="41">
        <f>IF(T538="Sim",S538+ROW()/100000,0)</f>
        <v>0</v>
      </c>
      <c r="V538" s="41">
        <f>IF(AND(H538="Falta",L538=Config!$B$7,M538=Config!$B$5,COUNTIFS($E$5:E538,E538,$H$5:H538,"Falta",$L$5:L538,Config!$B$7,$M$5:M538,Config!$B$5)=1),COUNTIFS($E$5:$E$3004,E538,$H$5:$H$3004,"Falta",$L$5:$L$3004,Config!$B$7,$M$5:$M$3004,Config!$B$5)*1000-ROW()/100000,0)</f>
        <v>0</v>
      </c>
    </row>
    <row r="539">
      <c r="A539" s="39" t="n">
        <v>46226</v>
      </c>
      <c r="B539" s="40" t="n">
        <v>0.7361111111111112</v>
      </c>
      <c r="C539" s="35" t="inlineStr">
        <is>
          <t>Dr. Paulo Andrade</t>
        </is>
      </c>
      <c r="D539" s="35" t="inlineStr">
        <is>
          <t>Sala 2</t>
        </is>
      </c>
      <c r="E539" s="34" t="inlineStr">
        <is>
          <t>Gabriel Vieira</t>
        </is>
      </c>
      <c r="F539" s="35" t="inlineStr">
        <is>
          <t>Vida Care</t>
        </is>
      </c>
      <c r="G539" s="35" t="inlineStr">
        <is>
          <t>Retorno</t>
        </is>
      </c>
      <c r="H539" s="35" t="inlineStr">
        <is>
          <t>Realizado</t>
        </is>
      </c>
      <c r="I539" s="35" t="inlineStr">
        <is>
          <t>Sem cobrança</t>
        </is>
      </c>
      <c r="J539" s="35" t="n"/>
      <c r="K539" s="34" t="n"/>
      <c r="L539" s="26">
        <f>IF(A539="","",MONTH(A539))</f>
        <v>7</v>
      </c>
      <c r="M539" s="26">
        <f>IF(A539="","",YEAR(A539))</f>
        <v>2026</v>
      </c>
      <c r="N539" s="26" t="str">
        <f>IF(A539="","",CHOOSE(WEEKDAY(A539,2),"Segunda","Terça","Quarta","Quinta","Sexta","Sábado","Domingo"))</f>
        <v>Quinta</v>
      </c>
      <c r="O539" s="26" t="str">
        <f>IF(B539="","",IF(B539&lt;TIME(12,0,0),"Manhã",IF(B539&lt;TIME(18,0,0),"Tarde","Noite")))</f>
        <v>Tarde</v>
      </c>
      <c r="P539" s="32">
        <f>IF(G539="","",IFERROR(INDEX(Config!$I$5:$I$16,MATCH(G539,Config!$H$5:$H$16,0)),0))</f>
        <v>0</v>
      </c>
      <c r="Q539" s="30">
        <f>IF(OR(H539&lt;&gt;"Realizado",P539="",P539=0),"",A539+P539)</f>
        <v/>
      </c>
      <c r="R539" s="26">
        <f>IF(Q539="","",IF(COUNTIFS($E$5:$E$3004,E539,$A$5:$A$3004,"&gt;"&amp;A539,$H$5:$H$3004,"&lt;&gt;Falta",$H$5:$H$3004,"&lt;&gt;Cancelado",$H$5:$H$3004,"&lt;&gt;Remarcado")&gt;0,"Sim","Não"))</f>
        <v/>
      </c>
      <c r="S539" s="32">
        <f>IF(R539&lt;&gt;"Não","",IF(Q539+Config!$B$9&lt;=Config!$B$8,Config!$B$8-Q539,""))</f>
        <v/>
      </c>
      <c r="T539" s="26">
        <f>IF(S539="","","Sim")</f>
        <v/>
      </c>
      <c r="U539" s="41">
        <f>IF(T539="Sim",S539+ROW()/100000,0)</f>
        <v>0</v>
      </c>
      <c r="V539" s="41">
        <f>IF(AND(H539="Falta",L539=Config!$B$7,M539=Config!$B$5,COUNTIFS($E$5:E539,E539,$H$5:H539,"Falta",$L$5:L539,Config!$B$7,$M$5:M539,Config!$B$5)=1),COUNTIFS($E$5:$E$3004,E539,$H$5:$H$3004,"Falta",$L$5:$L$3004,Config!$B$7,$M$5:$M$3004,Config!$B$5)*1000-ROW()/100000,0)</f>
        <v>0</v>
      </c>
    </row>
    <row r="540">
      <c r="A540" s="39" t="n">
        <v>46227</v>
      </c>
      <c r="B540" s="40" t="n">
        <v>0.3333333333333333</v>
      </c>
      <c r="C540" s="35" t="inlineStr">
        <is>
          <t>Dr. Paulo Andrade</t>
        </is>
      </c>
      <c r="D540" s="35" t="inlineStr">
        <is>
          <t>Sala 2</t>
        </is>
      </c>
      <c r="E540" s="34" t="inlineStr">
        <is>
          <t>Lucas Lopes</t>
        </is>
      </c>
      <c r="F540" s="35" t="inlineStr">
        <is>
          <t>Particular</t>
        </is>
      </c>
      <c r="G540" s="35" t="inlineStr">
        <is>
          <t>Teste ergométrico</t>
        </is>
      </c>
      <c r="H540" s="35" t="inlineStr">
        <is>
          <t>Realizado</t>
        </is>
      </c>
      <c r="I540" s="35" t="inlineStr">
        <is>
          <t>Dinheiro</t>
        </is>
      </c>
      <c r="J540" s="35" t="n"/>
      <c r="K540" s="34" t="n"/>
      <c r="L540" s="26">
        <f>IF(A540="","",MONTH(A540))</f>
        <v>7</v>
      </c>
      <c r="M540" s="26">
        <f>IF(A540="","",YEAR(A540))</f>
        <v>2026</v>
      </c>
      <c r="N540" s="26" t="str">
        <f>IF(A540="","",CHOOSE(WEEKDAY(A540,2),"Segunda","Terça","Quarta","Quinta","Sexta","Sábado","Domingo"))</f>
        <v>Sexta</v>
      </c>
      <c r="O540" s="26" t="str">
        <f>IF(B540="","",IF(B540&lt;TIME(12,0,0),"Manhã",IF(B540&lt;TIME(18,0,0),"Tarde","Noite")))</f>
        <v>Manhã</v>
      </c>
      <c r="P540" s="32">
        <f>IF(G540="","",IFERROR(INDEX(Config!$I$5:$I$16,MATCH(G540,Config!$H$5:$H$16,0)),0))</f>
        <v>0</v>
      </c>
      <c r="Q540" s="30">
        <f>IF(OR(H540&lt;&gt;"Realizado",P540="",P540=0),"",A540+P540)</f>
        <v/>
      </c>
      <c r="R540" s="26">
        <f>IF(Q540="","",IF(COUNTIFS($E$5:$E$3004,E540,$A$5:$A$3004,"&gt;"&amp;A540,$H$5:$H$3004,"&lt;&gt;Falta",$H$5:$H$3004,"&lt;&gt;Cancelado",$H$5:$H$3004,"&lt;&gt;Remarcado")&gt;0,"Sim","Não"))</f>
        <v/>
      </c>
      <c r="S540" s="32">
        <f>IF(R540&lt;&gt;"Não","",IF(Q540+Config!$B$9&lt;=Config!$B$8,Config!$B$8-Q540,""))</f>
        <v/>
      </c>
      <c r="T540" s="26">
        <f>IF(S540="","","Sim")</f>
        <v/>
      </c>
      <c r="U540" s="41">
        <f>IF(T540="Sim",S540+ROW()/100000,0)</f>
        <v>0</v>
      </c>
      <c r="V540" s="41">
        <f>IF(AND(H540="Falta",L540=Config!$B$7,M540=Config!$B$5,COUNTIFS($E$5:E540,E540,$H$5:H540,"Falta",$L$5:L540,Config!$B$7,$M$5:M540,Config!$B$5)=1),COUNTIFS($E$5:$E$3004,E540,$H$5:$H$3004,"Falta",$L$5:$L$3004,Config!$B$7,$M$5:$M$3004,Config!$B$5)*1000-ROW()/100000,0)</f>
        <v>0</v>
      </c>
    </row>
    <row r="541">
      <c r="A541" s="39" t="n">
        <v>46227</v>
      </c>
      <c r="B541" s="40" t="n">
        <v>0.3819444444444444</v>
      </c>
      <c r="C541" s="35" t="inlineStr">
        <is>
          <t>Dr. Paulo Andrade</t>
        </is>
      </c>
      <c r="D541" s="35" t="inlineStr">
        <is>
          <t>Sala 2</t>
        </is>
      </c>
      <c r="E541" s="34" t="inlineStr">
        <is>
          <t>Mateus Lima</t>
        </is>
      </c>
      <c r="F541" s="35" t="inlineStr">
        <is>
          <t>MediPlan</t>
        </is>
      </c>
      <c r="G541" s="35" t="inlineStr">
        <is>
          <t>MAPA</t>
        </is>
      </c>
      <c r="H541" s="35" t="inlineStr">
        <is>
          <t>Realizado</t>
        </is>
      </c>
      <c r="I541" s="35" t="inlineStr">
        <is>
          <t>Convênio</t>
        </is>
      </c>
      <c r="J541" s="35" t="n"/>
      <c r="K541" s="34" t="n"/>
      <c r="L541" s="26">
        <f>IF(A541="","",MONTH(A541))</f>
        <v>7</v>
      </c>
      <c r="M541" s="26">
        <f>IF(A541="","",YEAR(A541))</f>
        <v>2026</v>
      </c>
      <c r="N541" s="26" t="str">
        <f>IF(A541="","",CHOOSE(WEEKDAY(A541,2),"Segunda","Terça","Quarta","Quinta","Sexta","Sábado","Domingo"))</f>
        <v>Sexta</v>
      </c>
      <c r="O541" s="26" t="str">
        <f>IF(B541="","",IF(B541&lt;TIME(12,0,0),"Manhã",IF(B541&lt;TIME(18,0,0),"Tarde","Noite")))</f>
        <v>Manhã</v>
      </c>
      <c r="P541" s="32">
        <f>IF(G541="","",IFERROR(INDEX(Config!$I$5:$I$16,MATCH(G541,Config!$H$5:$H$16,0)),0))</f>
        <v>0</v>
      </c>
      <c r="Q541" s="30">
        <f>IF(OR(H541&lt;&gt;"Realizado",P541="",P541=0),"",A541+P541)</f>
        <v/>
      </c>
      <c r="R541" s="26">
        <f>IF(Q541="","",IF(COUNTIFS($E$5:$E$3004,E541,$A$5:$A$3004,"&gt;"&amp;A541,$H$5:$H$3004,"&lt;&gt;Falta",$H$5:$H$3004,"&lt;&gt;Cancelado",$H$5:$H$3004,"&lt;&gt;Remarcado")&gt;0,"Sim","Não"))</f>
        <v/>
      </c>
      <c r="S541" s="32">
        <f>IF(R541&lt;&gt;"Não","",IF(Q541+Config!$B$9&lt;=Config!$B$8,Config!$B$8-Q541,""))</f>
        <v/>
      </c>
      <c r="T541" s="26">
        <f>IF(S541="","","Sim")</f>
        <v/>
      </c>
      <c r="U541" s="41">
        <f>IF(T541="Sim",S541+ROW()/100000,0)</f>
        <v>0</v>
      </c>
      <c r="V541" s="41">
        <f>IF(AND(H541="Falta",L541=Config!$B$7,M541=Config!$B$5,COUNTIFS($E$5:E541,E541,$H$5:H541,"Falta",$L$5:L541,Config!$B$7,$M$5:M541,Config!$B$5)=1),COUNTIFS($E$5:$E$3004,E541,$H$5:$H$3004,"Falta",$L$5:$L$3004,Config!$B$7,$M$5:$M$3004,Config!$B$5)*1000-ROW()/100000,0)</f>
        <v>0</v>
      </c>
    </row>
    <row r="542">
      <c r="A542" s="39" t="n">
        <v>46227</v>
      </c>
      <c r="B542" s="40" t="n">
        <v>0.3958333333333333</v>
      </c>
      <c r="C542" s="35" t="inlineStr">
        <is>
          <t>Dr. Paulo Andrade</t>
        </is>
      </c>
      <c r="D542" s="35" t="inlineStr">
        <is>
          <t>Sala 2</t>
        </is>
      </c>
      <c r="E542" s="34" t="inlineStr">
        <is>
          <t>Gisele Pinto</t>
        </is>
      </c>
      <c r="F542" s="35" t="inlineStr">
        <is>
          <t>Saúde Total</t>
        </is>
      </c>
      <c r="G542" s="35" t="inlineStr">
        <is>
          <t>Consulta</t>
        </is>
      </c>
      <c r="H542" s="35" t="inlineStr">
        <is>
          <t>Realizado</t>
        </is>
      </c>
      <c r="I542" s="35" t="inlineStr">
        <is>
          <t>Convênio</t>
        </is>
      </c>
      <c r="J542" s="35" t="n"/>
      <c r="K542" s="34" t="n"/>
      <c r="L542" s="26">
        <f>IF(A542="","",MONTH(A542))</f>
        <v>7</v>
      </c>
      <c r="M542" s="26">
        <f>IF(A542="","",YEAR(A542))</f>
        <v>2026</v>
      </c>
      <c r="N542" s="26" t="str">
        <f>IF(A542="","",CHOOSE(WEEKDAY(A542,2),"Segunda","Terça","Quarta","Quinta","Sexta","Sábado","Domingo"))</f>
        <v>Sexta</v>
      </c>
      <c r="O542" s="26" t="str">
        <f>IF(B542="","",IF(B542&lt;TIME(12,0,0),"Manhã",IF(B542&lt;TIME(18,0,0),"Tarde","Noite")))</f>
        <v>Manhã</v>
      </c>
      <c r="P542" s="32">
        <f>IF(G542="","",IFERROR(INDEX(Config!$I$5:$I$16,MATCH(G542,Config!$H$5:$H$16,0)),0))</f>
        <v>30</v>
      </c>
      <c r="Q542" s="30">
        <f>IF(OR(H542&lt;&gt;"Realizado",P542="",P542=0),"",A542+P542)</f>
        <v>46257.0</v>
      </c>
      <c r="R542" s="26" t="str">
        <f>IF(Q542="","",IF(COUNTIFS($E$5:$E$3004,E542,$A$5:$A$3004,"&gt;"&amp;A542,$H$5:$H$3004,"&lt;&gt;Falta",$H$5:$H$3004,"&lt;&gt;Cancelado",$H$5:$H$3004,"&lt;&gt;Remarcado")&gt;0,"Sim","Não"))</f>
        <v>Sim</v>
      </c>
      <c r="S542" s="32">
        <f>IF(R542&lt;&gt;"Não","",IF(Q542+Config!$B$9&lt;=Config!$B$8,Config!$B$8-Q542,""))</f>
        <v/>
      </c>
      <c r="T542" s="26">
        <f>IF(S542="","","Sim")</f>
        <v/>
      </c>
      <c r="U542" s="41">
        <f>IF(T542="Sim",S542+ROW()/100000,0)</f>
        <v>0</v>
      </c>
      <c r="V542" s="41">
        <f>IF(AND(H542="Falta",L542=Config!$B$7,M542=Config!$B$5,COUNTIFS($E$5:E542,E542,$H$5:H542,"Falta",$L$5:L542,Config!$B$7,$M$5:M542,Config!$B$5)=1),COUNTIFS($E$5:$E$3004,E542,$H$5:$H$3004,"Falta",$L$5:$L$3004,Config!$B$7,$M$5:$M$3004,Config!$B$5)*1000-ROW()/100000,0)</f>
        <v>0</v>
      </c>
    </row>
    <row r="543">
      <c r="A543" s="39" t="n">
        <v>46227</v>
      </c>
      <c r="B543" s="40" t="n">
        <v>0.4166666666666667</v>
      </c>
      <c r="C543" s="35" t="inlineStr">
        <is>
          <t>Dr. Paulo Andrade</t>
        </is>
      </c>
      <c r="D543" s="35" t="inlineStr">
        <is>
          <t>Sala 2</t>
        </is>
      </c>
      <c r="E543" s="34" t="inlineStr">
        <is>
          <t>Helena Ribeiro</t>
        </is>
      </c>
      <c r="F543" s="35" t="inlineStr">
        <is>
          <t>MediPlan</t>
        </is>
      </c>
      <c r="G543" s="35" t="inlineStr">
        <is>
          <t>Retorno</t>
        </is>
      </c>
      <c r="H543" s="35" t="inlineStr">
        <is>
          <t>Realizado</t>
        </is>
      </c>
      <c r="I543" s="35" t="inlineStr">
        <is>
          <t>Sem cobrança</t>
        </is>
      </c>
      <c r="J543" s="35" t="n"/>
      <c r="K543" s="34" t="n"/>
      <c r="L543" s="26">
        <f>IF(A543="","",MONTH(A543))</f>
        <v>7</v>
      </c>
      <c r="M543" s="26">
        <f>IF(A543="","",YEAR(A543))</f>
        <v>2026</v>
      </c>
      <c r="N543" s="26" t="str">
        <f>IF(A543="","",CHOOSE(WEEKDAY(A543,2),"Segunda","Terça","Quarta","Quinta","Sexta","Sábado","Domingo"))</f>
        <v>Sexta</v>
      </c>
      <c r="O543" s="26" t="str">
        <f>IF(B543="","",IF(B543&lt;TIME(12,0,0),"Manhã",IF(B543&lt;TIME(18,0,0),"Tarde","Noite")))</f>
        <v>Manhã</v>
      </c>
      <c r="P543" s="32">
        <f>IF(G543="","",IFERROR(INDEX(Config!$I$5:$I$16,MATCH(G543,Config!$H$5:$H$16,0)),0))</f>
        <v>0</v>
      </c>
      <c r="Q543" s="30">
        <f>IF(OR(H543&lt;&gt;"Realizado",P543="",P543=0),"",A543+P543)</f>
        <v/>
      </c>
      <c r="R543" s="26">
        <f>IF(Q543="","",IF(COUNTIFS($E$5:$E$3004,E543,$A$5:$A$3004,"&gt;"&amp;A543,$H$5:$H$3004,"&lt;&gt;Falta",$H$5:$H$3004,"&lt;&gt;Cancelado",$H$5:$H$3004,"&lt;&gt;Remarcado")&gt;0,"Sim","Não"))</f>
        <v/>
      </c>
      <c r="S543" s="32">
        <f>IF(R543&lt;&gt;"Não","",IF(Q543+Config!$B$9&lt;=Config!$B$8,Config!$B$8-Q543,""))</f>
        <v/>
      </c>
      <c r="T543" s="26">
        <f>IF(S543="","","Sim")</f>
        <v/>
      </c>
      <c r="U543" s="41">
        <f>IF(T543="Sim",S543+ROW()/100000,0)</f>
        <v>0</v>
      </c>
      <c r="V543" s="41">
        <f>IF(AND(H543="Falta",L543=Config!$B$7,M543=Config!$B$5,COUNTIFS($E$5:E543,E543,$H$5:H543,"Falta",$L$5:L543,Config!$B$7,$M$5:M543,Config!$B$5)=1),COUNTIFS($E$5:$E$3004,E543,$H$5:$H$3004,"Falta",$L$5:$L$3004,Config!$B$7,$M$5:$M$3004,Config!$B$5)*1000-ROW()/100000,0)</f>
        <v>0</v>
      </c>
    </row>
    <row r="544">
      <c r="A544" s="39" t="n">
        <v>46227</v>
      </c>
      <c r="B544" s="40" t="n">
        <v>0.4305555555555556</v>
      </c>
      <c r="C544" s="35" t="inlineStr">
        <is>
          <t>Dr. Paulo Andrade</t>
        </is>
      </c>
      <c r="D544" s="35" t="inlineStr">
        <is>
          <t>Sala 2</t>
        </is>
      </c>
      <c r="E544" s="34" t="inlineStr">
        <is>
          <t>Ana Costa</t>
        </is>
      </c>
      <c r="F544" s="35" t="inlineStr">
        <is>
          <t>Particular</t>
        </is>
      </c>
      <c r="G544" s="35" t="inlineStr">
        <is>
          <t>ECG</t>
        </is>
      </c>
      <c r="H544" s="35" t="inlineStr">
        <is>
          <t>Realizado</t>
        </is>
      </c>
      <c r="I544" s="35" t="inlineStr">
        <is>
          <t>Pix</t>
        </is>
      </c>
      <c r="J544" s="35" t="n"/>
      <c r="K544" s="34" t="n"/>
      <c r="L544" s="26">
        <f>IF(A544="","",MONTH(A544))</f>
        <v>7</v>
      </c>
      <c r="M544" s="26">
        <f>IF(A544="","",YEAR(A544))</f>
        <v>2026</v>
      </c>
      <c r="N544" s="26" t="str">
        <f>IF(A544="","",CHOOSE(WEEKDAY(A544,2),"Segunda","Terça","Quarta","Quinta","Sexta","Sábado","Domingo"))</f>
        <v>Sexta</v>
      </c>
      <c r="O544" s="26" t="str">
        <f>IF(B544="","",IF(B544&lt;TIME(12,0,0),"Manhã",IF(B544&lt;TIME(18,0,0),"Tarde","Noite")))</f>
        <v>Manhã</v>
      </c>
      <c r="P544" s="32">
        <f>IF(G544="","",IFERROR(INDEX(Config!$I$5:$I$16,MATCH(G544,Config!$H$5:$H$16,0)),0))</f>
        <v>0</v>
      </c>
      <c r="Q544" s="30">
        <f>IF(OR(H544&lt;&gt;"Realizado",P544="",P544=0),"",A544+P544)</f>
        <v/>
      </c>
      <c r="R544" s="26">
        <f>IF(Q544="","",IF(COUNTIFS($E$5:$E$3004,E544,$A$5:$A$3004,"&gt;"&amp;A544,$H$5:$H$3004,"&lt;&gt;Falta",$H$5:$H$3004,"&lt;&gt;Cancelado",$H$5:$H$3004,"&lt;&gt;Remarcado")&gt;0,"Sim","Não"))</f>
        <v/>
      </c>
      <c r="S544" s="32">
        <f>IF(R544&lt;&gt;"Não","",IF(Q544+Config!$B$9&lt;=Config!$B$8,Config!$B$8-Q544,""))</f>
        <v/>
      </c>
      <c r="T544" s="26">
        <f>IF(S544="","","Sim")</f>
        <v/>
      </c>
      <c r="U544" s="41">
        <f>IF(T544="Sim",S544+ROW()/100000,0)</f>
        <v>0</v>
      </c>
      <c r="V544" s="41">
        <f>IF(AND(H544="Falta",L544=Config!$B$7,M544=Config!$B$5,COUNTIFS($E$5:E544,E544,$H$5:H544,"Falta",$L$5:L544,Config!$B$7,$M$5:M544,Config!$B$5)=1),COUNTIFS($E$5:$E$3004,E544,$H$5:$H$3004,"Falta",$L$5:$L$3004,Config!$B$7,$M$5:$M$3004,Config!$B$5)*1000-ROW()/100000,0)</f>
        <v>0</v>
      </c>
    </row>
    <row r="545">
      <c r="A545" s="39" t="n">
        <v>46227</v>
      </c>
      <c r="B545" s="40" t="n">
        <v>0.4444444444444444</v>
      </c>
      <c r="C545" s="35" t="inlineStr">
        <is>
          <t>Dr. Paulo Andrade</t>
        </is>
      </c>
      <c r="D545" s="35" t="inlineStr">
        <is>
          <t>Sala 2</t>
        </is>
      </c>
      <c r="E545" s="34" t="inlineStr">
        <is>
          <t>Wagner Costa</t>
        </is>
      </c>
      <c r="F545" s="35" t="inlineStr">
        <is>
          <t>Particular</t>
        </is>
      </c>
      <c r="G545" s="35" t="inlineStr">
        <is>
          <t>Retorno</t>
        </is>
      </c>
      <c r="H545" s="35" t="inlineStr">
        <is>
          <t>Realizado</t>
        </is>
      </c>
      <c r="I545" s="35" t="inlineStr">
        <is>
          <t>Sem cobrança</t>
        </is>
      </c>
      <c r="J545" s="35" t="n"/>
      <c r="K545" s="34" t="n"/>
      <c r="L545" s="26">
        <f>IF(A545="","",MONTH(A545))</f>
        <v>7</v>
      </c>
      <c r="M545" s="26">
        <f>IF(A545="","",YEAR(A545))</f>
        <v>2026</v>
      </c>
      <c r="N545" s="26" t="str">
        <f>IF(A545="","",CHOOSE(WEEKDAY(A545,2),"Segunda","Terça","Quarta","Quinta","Sexta","Sábado","Domingo"))</f>
        <v>Sexta</v>
      </c>
      <c r="O545" s="26" t="str">
        <f>IF(B545="","",IF(B545&lt;TIME(12,0,0),"Manhã",IF(B545&lt;TIME(18,0,0),"Tarde","Noite")))</f>
        <v>Manhã</v>
      </c>
      <c r="P545" s="32">
        <f>IF(G545="","",IFERROR(INDEX(Config!$I$5:$I$16,MATCH(G545,Config!$H$5:$H$16,0)),0))</f>
        <v>0</v>
      </c>
      <c r="Q545" s="30">
        <f>IF(OR(H545&lt;&gt;"Realizado",P545="",P545=0),"",A545+P545)</f>
        <v/>
      </c>
      <c r="R545" s="26">
        <f>IF(Q545="","",IF(COUNTIFS($E$5:$E$3004,E545,$A$5:$A$3004,"&gt;"&amp;A545,$H$5:$H$3004,"&lt;&gt;Falta",$H$5:$H$3004,"&lt;&gt;Cancelado",$H$5:$H$3004,"&lt;&gt;Remarcado")&gt;0,"Sim","Não"))</f>
        <v/>
      </c>
      <c r="S545" s="32">
        <f>IF(R545&lt;&gt;"Não","",IF(Q545+Config!$B$9&lt;=Config!$B$8,Config!$B$8-Q545,""))</f>
        <v/>
      </c>
      <c r="T545" s="26">
        <f>IF(S545="","","Sim")</f>
        <v/>
      </c>
      <c r="U545" s="41">
        <f>IF(T545="Sim",S545+ROW()/100000,0)</f>
        <v>0</v>
      </c>
      <c r="V545" s="41">
        <f>IF(AND(H545="Falta",L545=Config!$B$7,M545=Config!$B$5,COUNTIFS($E$5:E545,E545,$H$5:H545,"Falta",$L$5:L545,Config!$B$7,$M$5:M545,Config!$B$5)=1),COUNTIFS($E$5:$E$3004,E545,$H$5:$H$3004,"Falta",$L$5:$L$3004,Config!$B$7,$M$5:$M$3004,Config!$B$5)*1000-ROW()/100000,0)</f>
        <v>0</v>
      </c>
    </row>
    <row r="546">
      <c r="A546" s="39" t="n">
        <v>46227</v>
      </c>
      <c r="B546" s="40" t="n">
        <v>0.4583333333333333</v>
      </c>
      <c r="C546" s="35" t="inlineStr">
        <is>
          <t>Dr. Paulo Andrade</t>
        </is>
      </c>
      <c r="D546" s="35" t="inlineStr">
        <is>
          <t>Sala 2</t>
        </is>
      </c>
      <c r="E546" s="34" t="inlineStr">
        <is>
          <t>Eduardo Lima</t>
        </is>
      </c>
      <c r="F546" s="35" t="inlineStr">
        <is>
          <t>Particular</t>
        </is>
      </c>
      <c r="G546" s="35" t="inlineStr">
        <is>
          <t>Teste ergométrico</t>
        </is>
      </c>
      <c r="H546" s="35" t="inlineStr">
        <is>
          <t>Realizado</t>
        </is>
      </c>
      <c r="I546" s="35" t="inlineStr">
        <is>
          <t>A prazo</t>
        </is>
      </c>
      <c r="J546" s="35" t="n"/>
      <c r="K546" s="34" t="n"/>
      <c r="L546" s="26">
        <f>IF(A546="","",MONTH(A546))</f>
        <v>7</v>
      </c>
      <c r="M546" s="26">
        <f>IF(A546="","",YEAR(A546))</f>
        <v>2026</v>
      </c>
      <c r="N546" s="26" t="str">
        <f>IF(A546="","",CHOOSE(WEEKDAY(A546,2),"Segunda","Terça","Quarta","Quinta","Sexta","Sábado","Domingo"))</f>
        <v>Sexta</v>
      </c>
      <c r="O546" s="26" t="str">
        <f>IF(B546="","",IF(B546&lt;TIME(12,0,0),"Manhã",IF(B546&lt;TIME(18,0,0),"Tarde","Noite")))</f>
        <v>Manhã</v>
      </c>
      <c r="P546" s="32">
        <f>IF(G546="","",IFERROR(INDEX(Config!$I$5:$I$16,MATCH(G546,Config!$H$5:$H$16,0)),0))</f>
        <v>0</v>
      </c>
      <c r="Q546" s="30">
        <f>IF(OR(H546&lt;&gt;"Realizado",P546="",P546=0),"",A546+P546)</f>
        <v/>
      </c>
      <c r="R546" s="26">
        <f>IF(Q546="","",IF(COUNTIFS($E$5:$E$3004,E546,$A$5:$A$3004,"&gt;"&amp;A546,$H$5:$H$3004,"&lt;&gt;Falta",$H$5:$H$3004,"&lt;&gt;Cancelado",$H$5:$H$3004,"&lt;&gt;Remarcado")&gt;0,"Sim","Não"))</f>
        <v/>
      </c>
      <c r="S546" s="32">
        <f>IF(R546&lt;&gt;"Não","",IF(Q546+Config!$B$9&lt;=Config!$B$8,Config!$B$8-Q546,""))</f>
        <v/>
      </c>
      <c r="T546" s="26">
        <f>IF(S546="","","Sim")</f>
        <v/>
      </c>
      <c r="U546" s="41">
        <f>IF(T546="Sim",S546+ROW()/100000,0)</f>
        <v>0</v>
      </c>
      <c r="V546" s="41">
        <f>IF(AND(H546="Falta",L546=Config!$B$7,M546=Config!$B$5,COUNTIFS($E$5:E546,E546,$H$5:H546,"Falta",$L$5:L546,Config!$B$7,$M$5:M546,Config!$B$5)=1),COUNTIFS($E$5:$E$3004,E546,$H$5:$H$3004,"Falta",$L$5:$L$3004,Config!$B$7,$M$5:$M$3004,Config!$B$5)*1000-ROW()/100000,0)</f>
        <v>0</v>
      </c>
    </row>
    <row r="547">
      <c r="A547" s="39" t="n">
        <v>46230</v>
      </c>
      <c r="B547" s="40" t="n">
        <v>0.3333333333333333</v>
      </c>
      <c r="C547" s="35" t="inlineStr">
        <is>
          <t>Dra. Carolina Mendes</t>
        </is>
      </c>
      <c r="D547" s="35" t="inlineStr">
        <is>
          <t>Sala 1</t>
        </is>
      </c>
      <c r="E547" s="34" t="inlineStr">
        <is>
          <t>Regina Duarte</t>
        </is>
      </c>
      <c r="F547" s="35" t="inlineStr">
        <is>
          <t>Particular</t>
        </is>
      </c>
      <c r="G547" s="35" t="inlineStr">
        <is>
          <t>Consulta</t>
        </is>
      </c>
      <c r="H547" s="35" t="inlineStr">
        <is>
          <t>Realizado</t>
        </is>
      </c>
      <c r="I547" s="35" t="inlineStr">
        <is>
          <t>A prazo</t>
        </is>
      </c>
      <c r="J547" s="35" t="n"/>
      <c r="K547" s="34" t="n"/>
      <c r="L547" s="26">
        <f>IF(A547="","",MONTH(A547))</f>
        <v>7</v>
      </c>
      <c r="M547" s="26">
        <f>IF(A547="","",YEAR(A547))</f>
        <v>2026</v>
      </c>
      <c r="N547" s="26" t="str">
        <f>IF(A547="","",CHOOSE(WEEKDAY(A547,2),"Segunda","Terça","Quarta","Quinta","Sexta","Sábado","Domingo"))</f>
        <v>Segunda</v>
      </c>
      <c r="O547" s="26" t="str">
        <f>IF(B547="","",IF(B547&lt;TIME(12,0,0),"Manhã",IF(B547&lt;TIME(18,0,0),"Tarde","Noite")))</f>
        <v>Manhã</v>
      </c>
      <c r="P547" s="32">
        <f>IF(G547="","",IFERROR(INDEX(Config!$I$5:$I$16,MATCH(G547,Config!$H$5:$H$16,0)),0))</f>
        <v>30</v>
      </c>
      <c r="Q547" s="30">
        <f>IF(OR(H547&lt;&gt;"Realizado",P547="",P547=0),"",A547+P547)</f>
        <v>46260.0</v>
      </c>
      <c r="R547" s="26" t="str">
        <f>IF(Q547="","",IF(COUNTIFS($E$5:$E$3004,E547,$A$5:$A$3004,"&gt;"&amp;A547,$H$5:$H$3004,"&lt;&gt;Falta",$H$5:$H$3004,"&lt;&gt;Cancelado",$H$5:$H$3004,"&lt;&gt;Remarcado")&gt;0,"Sim","Não"))</f>
        <v>Sim</v>
      </c>
      <c r="S547" s="32">
        <f>IF(R547&lt;&gt;"Não","",IF(Q547+Config!$B$9&lt;=Config!$B$8,Config!$B$8-Q547,""))</f>
        <v/>
      </c>
      <c r="T547" s="26">
        <f>IF(S547="","","Sim")</f>
        <v/>
      </c>
      <c r="U547" s="41">
        <f>IF(T547="Sim",S547+ROW()/100000,0)</f>
        <v>0</v>
      </c>
      <c r="V547" s="41">
        <f>IF(AND(H547="Falta",L547=Config!$B$7,M547=Config!$B$5,COUNTIFS($E$5:E547,E547,$H$5:H547,"Falta",$L$5:L547,Config!$B$7,$M$5:M547,Config!$B$5)=1),COUNTIFS($E$5:$E$3004,E547,$H$5:$H$3004,"Falta",$L$5:$L$3004,Config!$B$7,$M$5:$M$3004,Config!$B$5)*1000-ROW()/100000,0)</f>
        <v>0</v>
      </c>
    </row>
    <row r="548">
      <c r="A548" s="39" t="n">
        <v>46230</v>
      </c>
      <c r="B548" s="40" t="n">
        <v>0.375</v>
      </c>
      <c r="C548" s="35" t="inlineStr">
        <is>
          <t>Dra. Carolina Mendes</t>
        </is>
      </c>
      <c r="D548" s="35" t="inlineStr">
        <is>
          <t>Sala 1</t>
        </is>
      </c>
      <c r="E548" s="34" t="inlineStr">
        <is>
          <t>Priscila Nunes</t>
        </is>
      </c>
      <c r="F548" s="35" t="inlineStr">
        <is>
          <t>MediPlan</t>
        </is>
      </c>
      <c r="G548" s="35" t="inlineStr">
        <is>
          <t>Consulta</t>
        </is>
      </c>
      <c r="H548" s="35" t="inlineStr">
        <is>
          <t>Realizado</t>
        </is>
      </c>
      <c r="I548" s="35" t="inlineStr">
        <is>
          <t>Convênio</t>
        </is>
      </c>
      <c r="J548" s="35" t="n"/>
      <c r="K548" s="34" t="n"/>
      <c r="L548" s="26">
        <f>IF(A548="","",MONTH(A548))</f>
        <v>7</v>
      </c>
      <c r="M548" s="26">
        <f>IF(A548="","",YEAR(A548))</f>
        <v>2026</v>
      </c>
      <c r="N548" s="26" t="str">
        <f>IF(A548="","",CHOOSE(WEEKDAY(A548,2),"Segunda","Terça","Quarta","Quinta","Sexta","Sábado","Domingo"))</f>
        <v>Segunda</v>
      </c>
      <c r="O548" s="26" t="str">
        <f>IF(B548="","",IF(B548&lt;TIME(12,0,0),"Manhã",IF(B548&lt;TIME(18,0,0),"Tarde","Noite")))</f>
        <v>Manhã</v>
      </c>
      <c r="P548" s="32">
        <f>IF(G548="","",IFERROR(INDEX(Config!$I$5:$I$16,MATCH(G548,Config!$H$5:$H$16,0)),0))</f>
        <v>30</v>
      </c>
      <c r="Q548" s="30">
        <f>IF(OR(H548&lt;&gt;"Realizado",P548="",P548=0),"",A548+P548)</f>
        <v>46260.0</v>
      </c>
      <c r="R548" s="26" t="str">
        <f>IF(Q548="","",IF(COUNTIFS($E$5:$E$3004,E548,$A$5:$A$3004,"&gt;"&amp;A548,$H$5:$H$3004,"&lt;&gt;Falta",$H$5:$H$3004,"&lt;&gt;Cancelado",$H$5:$H$3004,"&lt;&gt;Remarcado")&gt;0,"Sim","Não"))</f>
        <v>Sim</v>
      </c>
      <c r="S548" s="32">
        <f>IF(R548&lt;&gt;"Não","",IF(Q548+Config!$B$9&lt;=Config!$B$8,Config!$B$8-Q548,""))</f>
        <v/>
      </c>
      <c r="T548" s="26">
        <f>IF(S548="","","Sim")</f>
        <v/>
      </c>
      <c r="U548" s="41">
        <f>IF(T548="Sim",S548+ROW()/100000,0)</f>
        <v>0</v>
      </c>
      <c r="V548" s="41">
        <f>IF(AND(H548="Falta",L548=Config!$B$7,M548=Config!$B$5,COUNTIFS($E$5:E548,E548,$H$5:H548,"Falta",$L$5:L548,Config!$B$7,$M$5:M548,Config!$B$5)=1),COUNTIFS($E$5:$E$3004,E548,$H$5:$H$3004,"Falta",$L$5:$L$3004,Config!$B$7,$M$5:$M$3004,Config!$B$5)*1000-ROW()/100000,0)</f>
        <v>0</v>
      </c>
    </row>
    <row r="549">
      <c r="A549" s="39" t="n">
        <v>46230</v>
      </c>
      <c r="B549" s="40" t="n">
        <v>0.3958333333333333</v>
      </c>
      <c r="C549" s="35" t="inlineStr">
        <is>
          <t>Dra. Carolina Mendes</t>
        </is>
      </c>
      <c r="D549" s="35" t="inlineStr">
        <is>
          <t>Sala 1</t>
        </is>
      </c>
      <c r="E549" s="34" t="inlineStr">
        <is>
          <t>Isabela Pinto</t>
        </is>
      </c>
      <c r="F549" s="35" t="inlineStr">
        <is>
          <t>Saúde Total</t>
        </is>
      </c>
      <c r="G549" s="35" t="inlineStr">
        <is>
          <t>Consulta</t>
        </is>
      </c>
      <c r="H549" s="35" t="inlineStr">
        <is>
          <t>Realizado</t>
        </is>
      </c>
      <c r="I549" s="35" t="inlineStr">
        <is>
          <t>Convênio</t>
        </is>
      </c>
      <c r="J549" s="35" t="n"/>
      <c r="K549" s="34" t="n"/>
      <c r="L549" s="26">
        <f>IF(A549="","",MONTH(A549))</f>
        <v>7</v>
      </c>
      <c r="M549" s="26">
        <f>IF(A549="","",YEAR(A549))</f>
        <v>2026</v>
      </c>
      <c r="N549" s="26" t="str">
        <f>IF(A549="","",CHOOSE(WEEKDAY(A549,2),"Segunda","Terça","Quarta","Quinta","Sexta","Sábado","Domingo"))</f>
        <v>Segunda</v>
      </c>
      <c r="O549" s="26" t="str">
        <f>IF(B549="","",IF(B549&lt;TIME(12,0,0),"Manhã",IF(B549&lt;TIME(18,0,0),"Tarde","Noite")))</f>
        <v>Manhã</v>
      </c>
      <c r="P549" s="32">
        <f>IF(G549="","",IFERROR(INDEX(Config!$I$5:$I$16,MATCH(G549,Config!$H$5:$H$16,0)),0))</f>
        <v>30</v>
      </c>
      <c r="Q549" s="30">
        <f>IF(OR(H549&lt;&gt;"Realizado",P549="",P549=0),"",A549+P549)</f>
        <v>46260.0</v>
      </c>
      <c r="R549" s="26" t="str">
        <f>IF(Q549="","",IF(COUNTIFS($E$5:$E$3004,E549,$A$5:$A$3004,"&gt;"&amp;A549,$H$5:$H$3004,"&lt;&gt;Falta",$H$5:$H$3004,"&lt;&gt;Cancelado",$H$5:$H$3004,"&lt;&gt;Remarcado")&gt;0,"Sim","Não"))</f>
        <v>Sim</v>
      </c>
      <c r="S549" s="32">
        <f>IF(R549&lt;&gt;"Não","",IF(Q549+Config!$B$9&lt;=Config!$B$8,Config!$B$8-Q549,""))</f>
        <v/>
      </c>
      <c r="T549" s="26">
        <f>IF(S549="","","Sim")</f>
        <v/>
      </c>
      <c r="U549" s="41">
        <f>IF(T549="Sim",S549+ROW()/100000,0)</f>
        <v>0</v>
      </c>
      <c r="V549" s="41">
        <f>IF(AND(H549="Falta",L549=Config!$B$7,M549=Config!$B$5,COUNTIFS($E$5:E549,E549,$H$5:H549,"Falta",$L$5:L549,Config!$B$7,$M$5:M549,Config!$B$5)=1),COUNTIFS($E$5:$E$3004,E549,$H$5:$H$3004,"Falta",$L$5:$L$3004,Config!$B$7,$M$5:$M$3004,Config!$B$5)*1000-ROW()/100000,0)</f>
        <v>0</v>
      </c>
    </row>
    <row r="550">
      <c r="A550" s="39" t="n">
        <v>46230</v>
      </c>
      <c r="B550" s="40" t="n">
        <v>0.4375</v>
      </c>
      <c r="C550" s="35" t="inlineStr">
        <is>
          <t>Dra. Carolina Mendes</t>
        </is>
      </c>
      <c r="D550" s="35" t="inlineStr">
        <is>
          <t>Sala 1</t>
        </is>
      </c>
      <c r="E550" s="34" t="inlineStr">
        <is>
          <t>Eduardo Lima</t>
        </is>
      </c>
      <c r="F550" s="35" t="inlineStr">
        <is>
          <t>Particular</t>
        </is>
      </c>
      <c r="G550" s="35" t="inlineStr">
        <is>
          <t>Consulta</t>
        </is>
      </c>
      <c r="H550" s="35" t="inlineStr">
        <is>
          <t>Realizado</t>
        </is>
      </c>
      <c r="I550" s="35" t="inlineStr">
        <is>
          <t>Cartão de crédito</t>
        </is>
      </c>
      <c r="J550" s="35" t="n"/>
      <c r="K550" s="34" t="n"/>
      <c r="L550" s="26">
        <f>IF(A550="","",MONTH(A550))</f>
        <v>7</v>
      </c>
      <c r="M550" s="26">
        <f>IF(A550="","",YEAR(A550))</f>
        <v>2026</v>
      </c>
      <c r="N550" s="26" t="str">
        <f>IF(A550="","",CHOOSE(WEEKDAY(A550,2),"Segunda","Terça","Quarta","Quinta","Sexta","Sábado","Domingo"))</f>
        <v>Segunda</v>
      </c>
      <c r="O550" s="26" t="str">
        <f>IF(B550="","",IF(B550&lt;TIME(12,0,0),"Manhã",IF(B550&lt;TIME(18,0,0),"Tarde","Noite")))</f>
        <v>Manhã</v>
      </c>
      <c r="P550" s="32">
        <f>IF(G550="","",IFERROR(INDEX(Config!$I$5:$I$16,MATCH(G550,Config!$H$5:$H$16,0)),0))</f>
        <v>30</v>
      </c>
      <c r="Q550" s="30">
        <f>IF(OR(H550&lt;&gt;"Realizado",P550="",P550=0),"",A550+P550)</f>
        <v>46260.0</v>
      </c>
      <c r="R550" s="26" t="str">
        <f>IF(Q550="","",IF(COUNTIFS($E$5:$E$3004,E550,$A$5:$A$3004,"&gt;"&amp;A550,$H$5:$H$3004,"&lt;&gt;Falta",$H$5:$H$3004,"&lt;&gt;Cancelado",$H$5:$H$3004,"&lt;&gt;Remarcado")&gt;0,"Sim","Não"))</f>
        <v>Sim</v>
      </c>
      <c r="S550" s="32">
        <f>IF(R550&lt;&gt;"Não","",IF(Q550+Config!$B$9&lt;=Config!$B$8,Config!$B$8-Q550,""))</f>
        <v/>
      </c>
      <c r="T550" s="26">
        <f>IF(S550="","","Sim")</f>
        <v/>
      </c>
      <c r="U550" s="41">
        <f>IF(T550="Sim",S550+ROW()/100000,0)</f>
        <v>0</v>
      </c>
      <c r="V550" s="41">
        <f>IF(AND(H550="Falta",L550=Config!$B$7,M550=Config!$B$5,COUNTIFS($E$5:E550,E550,$H$5:H550,"Falta",$L$5:L550,Config!$B$7,$M$5:M550,Config!$B$5)=1),COUNTIFS($E$5:$E$3004,E550,$H$5:$H$3004,"Falta",$L$5:$L$3004,Config!$B$7,$M$5:$M$3004,Config!$B$5)*1000-ROW()/100000,0)</f>
        <v>0</v>
      </c>
    </row>
    <row r="551">
      <c r="A551" s="39" t="n">
        <v>46230</v>
      </c>
      <c r="B551" s="40" t="n">
        <v>0.4583333333333333</v>
      </c>
      <c r="C551" s="35" t="inlineStr">
        <is>
          <t>Dra. Carolina Mendes</t>
        </is>
      </c>
      <c r="D551" s="35" t="inlineStr">
        <is>
          <t>Sala 1</t>
        </is>
      </c>
      <c r="E551" s="34" t="inlineStr">
        <is>
          <t>Sérgio Martins</t>
        </is>
      </c>
      <c r="F551" s="35" t="inlineStr">
        <is>
          <t>Particular</t>
        </is>
      </c>
      <c r="G551" s="35" t="inlineStr">
        <is>
          <t>Consulta</t>
        </is>
      </c>
      <c r="H551" s="35" t="inlineStr">
        <is>
          <t>Realizado</t>
        </is>
      </c>
      <c r="I551" s="35" t="inlineStr">
        <is>
          <t>Dinheiro</t>
        </is>
      </c>
      <c r="J551" s="35" t="n"/>
      <c r="K551" s="34" t="n"/>
      <c r="L551" s="26">
        <f>IF(A551="","",MONTH(A551))</f>
        <v>7</v>
      </c>
      <c r="M551" s="26">
        <f>IF(A551="","",YEAR(A551))</f>
        <v>2026</v>
      </c>
      <c r="N551" s="26" t="str">
        <f>IF(A551="","",CHOOSE(WEEKDAY(A551,2),"Segunda","Terça","Quarta","Quinta","Sexta","Sábado","Domingo"))</f>
        <v>Segunda</v>
      </c>
      <c r="O551" s="26" t="str">
        <f>IF(B551="","",IF(B551&lt;TIME(12,0,0),"Manhã",IF(B551&lt;TIME(18,0,0),"Tarde","Noite")))</f>
        <v>Manhã</v>
      </c>
      <c r="P551" s="32">
        <f>IF(G551="","",IFERROR(INDEX(Config!$I$5:$I$16,MATCH(G551,Config!$H$5:$H$16,0)),0))</f>
        <v>30</v>
      </c>
      <c r="Q551" s="30">
        <f>IF(OR(H551&lt;&gt;"Realizado",P551="",P551=0),"",A551+P551)</f>
        <v>46260.0</v>
      </c>
      <c r="R551" s="26" t="str">
        <f>IF(Q551="","",IF(COUNTIFS($E$5:$E$3004,E551,$A$5:$A$3004,"&gt;"&amp;A551,$H$5:$H$3004,"&lt;&gt;Falta",$H$5:$H$3004,"&lt;&gt;Cancelado",$H$5:$H$3004,"&lt;&gt;Remarcado")&gt;0,"Sim","Não"))</f>
        <v>Sim</v>
      </c>
      <c r="S551" s="32">
        <f>IF(R551&lt;&gt;"Não","",IF(Q551+Config!$B$9&lt;=Config!$B$8,Config!$B$8-Q551,""))</f>
        <v/>
      </c>
      <c r="T551" s="26">
        <f>IF(S551="","","Sim")</f>
        <v/>
      </c>
      <c r="U551" s="41">
        <f>IF(T551="Sim",S551+ROW()/100000,0)</f>
        <v>0</v>
      </c>
      <c r="V551" s="41">
        <f>IF(AND(H551="Falta",L551=Config!$B$7,M551=Config!$B$5,COUNTIFS($E$5:E551,E551,$H$5:H551,"Falta",$L$5:L551,Config!$B$7,$M$5:M551,Config!$B$5)=1),COUNTIFS($E$5:$E$3004,E551,$H$5:$H$3004,"Falta",$L$5:$L$3004,Config!$B$7,$M$5:$M$3004,Config!$B$5)*1000-ROW()/100000,0)</f>
        <v>0</v>
      </c>
    </row>
    <row r="552">
      <c r="A552" s="39" t="n">
        <v>46230</v>
      </c>
      <c r="B552" s="40" t="n">
        <v>0.4791666666666667</v>
      </c>
      <c r="C552" s="35" t="inlineStr">
        <is>
          <t>Dra. Carolina Mendes</t>
        </is>
      </c>
      <c r="D552" s="35" t="inlineStr">
        <is>
          <t>Sala 1</t>
        </is>
      </c>
      <c r="E552" s="34" t="inlineStr">
        <is>
          <t>Débora Ramos</t>
        </is>
      </c>
      <c r="F552" s="35" t="inlineStr">
        <is>
          <t>Particular</t>
        </is>
      </c>
      <c r="G552" s="35" t="inlineStr">
        <is>
          <t>Retorno</t>
        </is>
      </c>
      <c r="H552" s="35" t="inlineStr">
        <is>
          <t>Realizado</t>
        </is>
      </c>
      <c r="I552" s="35" t="inlineStr">
        <is>
          <t>Sem cobrança</t>
        </is>
      </c>
      <c r="J552" s="35" t="n"/>
      <c r="K552" s="34" t="n"/>
      <c r="L552" s="26">
        <f>IF(A552="","",MONTH(A552))</f>
        <v>7</v>
      </c>
      <c r="M552" s="26">
        <f>IF(A552="","",YEAR(A552))</f>
        <v>2026</v>
      </c>
      <c r="N552" s="26" t="str">
        <f>IF(A552="","",CHOOSE(WEEKDAY(A552,2),"Segunda","Terça","Quarta","Quinta","Sexta","Sábado","Domingo"))</f>
        <v>Segunda</v>
      </c>
      <c r="O552" s="26" t="str">
        <f>IF(B552="","",IF(B552&lt;TIME(12,0,0),"Manhã",IF(B552&lt;TIME(18,0,0),"Tarde","Noite")))</f>
        <v>Manhã</v>
      </c>
      <c r="P552" s="32">
        <f>IF(G552="","",IFERROR(INDEX(Config!$I$5:$I$16,MATCH(G552,Config!$H$5:$H$16,0)),0))</f>
        <v>0</v>
      </c>
      <c r="Q552" s="30">
        <f>IF(OR(H552&lt;&gt;"Realizado",P552="",P552=0),"",A552+P552)</f>
        <v/>
      </c>
      <c r="R552" s="26">
        <f>IF(Q552="","",IF(COUNTIFS($E$5:$E$3004,E552,$A$5:$A$3004,"&gt;"&amp;A552,$H$5:$H$3004,"&lt;&gt;Falta",$H$5:$H$3004,"&lt;&gt;Cancelado",$H$5:$H$3004,"&lt;&gt;Remarcado")&gt;0,"Sim","Não"))</f>
        <v/>
      </c>
      <c r="S552" s="32">
        <f>IF(R552&lt;&gt;"Não","",IF(Q552+Config!$B$9&lt;=Config!$B$8,Config!$B$8-Q552,""))</f>
        <v/>
      </c>
      <c r="T552" s="26">
        <f>IF(S552="","","Sim")</f>
        <v/>
      </c>
      <c r="U552" s="41">
        <f>IF(T552="Sim",S552+ROW()/100000,0)</f>
        <v>0</v>
      </c>
      <c r="V552" s="41">
        <f>IF(AND(H552="Falta",L552=Config!$B$7,M552=Config!$B$5,COUNTIFS($E$5:E552,E552,$H$5:H552,"Falta",$L$5:L552,Config!$B$7,$M$5:M552,Config!$B$5)=1),COUNTIFS($E$5:$E$3004,E552,$H$5:$H$3004,"Falta",$L$5:$L$3004,Config!$B$7,$M$5:$M$3004,Config!$B$5)*1000-ROW()/100000,0)</f>
        <v>0</v>
      </c>
    </row>
    <row r="553">
      <c r="A553" s="39" t="n">
        <v>46230</v>
      </c>
      <c r="B553" s="40" t="n">
        <v>0.5833333333333334</v>
      </c>
      <c r="C553" s="35" t="inlineStr">
        <is>
          <t>Dr. Paulo Andrade</t>
        </is>
      </c>
      <c r="D553" s="35" t="inlineStr">
        <is>
          <t>Sala 2</t>
        </is>
      </c>
      <c r="E553" s="34" t="inlineStr">
        <is>
          <t>Débora Moreira</t>
        </is>
      </c>
      <c r="F553" s="35" t="inlineStr">
        <is>
          <t>Particular</t>
        </is>
      </c>
      <c r="G553" s="35" t="inlineStr">
        <is>
          <t>Consulta</t>
        </is>
      </c>
      <c r="H553" s="35" t="inlineStr">
        <is>
          <t>Realizado</t>
        </is>
      </c>
      <c r="I553" s="35" t="inlineStr">
        <is>
          <t>Pix</t>
        </is>
      </c>
      <c r="J553" s="35" t="n"/>
      <c r="K553" s="34" t="n"/>
      <c r="L553" s="26">
        <f>IF(A553="","",MONTH(A553))</f>
        <v>7</v>
      </c>
      <c r="M553" s="26">
        <f>IF(A553="","",YEAR(A553))</f>
        <v>2026</v>
      </c>
      <c r="N553" s="26" t="str">
        <f>IF(A553="","",CHOOSE(WEEKDAY(A553,2),"Segunda","Terça","Quarta","Quinta","Sexta","Sábado","Domingo"))</f>
        <v>Segunda</v>
      </c>
      <c r="O553" s="26" t="str">
        <f>IF(B553="","",IF(B553&lt;TIME(12,0,0),"Manhã",IF(B553&lt;TIME(18,0,0),"Tarde","Noite")))</f>
        <v>Tarde</v>
      </c>
      <c r="P553" s="32">
        <f>IF(G553="","",IFERROR(INDEX(Config!$I$5:$I$16,MATCH(G553,Config!$H$5:$H$16,0)),0))</f>
        <v>30</v>
      </c>
      <c r="Q553" s="30">
        <f>IF(OR(H553&lt;&gt;"Realizado",P553="",P553=0),"",A553+P553)</f>
        <v>46260.0</v>
      </c>
      <c r="R553" s="26" t="str">
        <f>IF(Q553="","",IF(COUNTIFS($E$5:$E$3004,E553,$A$5:$A$3004,"&gt;"&amp;A553,$H$5:$H$3004,"&lt;&gt;Falta",$H$5:$H$3004,"&lt;&gt;Cancelado",$H$5:$H$3004,"&lt;&gt;Remarcado")&gt;0,"Sim","Não"))</f>
        <v>Sim</v>
      </c>
      <c r="S553" s="32">
        <f>IF(R553&lt;&gt;"Não","",IF(Q553+Config!$B$9&lt;=Config!$B$8,Config!$B$8-Q553,""))</f>
        <v/>
      </c>
      <c r="T553" s="26">
        <f>IF(S553="","","Sim")</f>
        <v/>
      </c>
      <c r="U553" s="41">
        <f>IF(T553="Sim",S553+ROW()/100000,0)</f>
        <v>0</v>
      </c>
      <c r="V553" s="41">
        <f>IF(AND(H553="Falta",L553=Config!$B$7,M553=Config!$B$5,COUNTIFS($E$5:E553,E553,$H$5:H553,"Falta",$L$5:L553,Config!$B$7,$M$5:M553,Config!$B$5)=1),COUNTIFS($E$5:$E$3004,E553,$H$5:$H$3004,"Falta",$L$5:$L$3004,Config!$B$7,$M$5:$M$3004,Config!$B$5)*1000-ROW()/100000,0)</f>
        <v>0</v>
      </c>
    </row>
    <row r="554">
      <c r="A554" s="39" t="n">
        <v>46230</v>
      </c>
      <c r="B554" s="40" t="n">
        <v>0.6041666666666666</v>
      </c>
      <c r="C554" s="35" t="inlineStr">
        <is>
          <t>Dr. Paulo Andrade</t>
        </is>
      </c>
      <c r="D554" s="35" t="inlineStr">
        <is>
          <t>Sala 2</t>
        </is>
      </c>
      <c r="E554" s="34" t="inlineStr">
        <is>
          <t>Gabriel Oliveira</t>
        </is>
      </c>
      <c r="F554" s="35" t="inlineStr">
        <is>
          <t>Particular</t>
        </is>
      </c>
      <c r="G554" s="35" t="inlineStr">
        <is>
          <t>Consulta</t>
        </is>
      </c>
      <c r="H554" s="35" t="inlineStr">
        <is>
          <t>Falta</t>
        </is>
      </c>
      <c r="I554" s="35" t="n"/>
      <c r="J554" s="35" t="n"/>
      <c r="K554" s="34" t="n"/>
      <c r="L554" s="26">
        <f>IF(A554="","",MONTH(A554))</f>
        <v>7</v>
      </c>
      <c r="M554" s="26">
        <f>IF(A554="","",YEAR(A554))</f>
        <v>2026</v>
      </c>
      <c r="N554" s="26" t="str">
        <f>IF(A554="","",CHOOSE(WEEKDAY(A554,2),"Segunda","Terça","Quarta","Quinta","Sexta","Sábado","Domingo"))</f>
        <v>Segunda</v>
      </c>
      <c r="O554" s="26" t="str">
        <f>IF(B554="","",IF(B554&lt;TIME(12,0,0),"Manhã",IF(B554&lt;TIME(18,0,0),"Tarde","Noite")))</f>
        <v>Tarde</v>
      </c>
      <c r="P554" s="32">
        <f>IF(G554="","",IFERROR(INDEX(Config!$I$5:$I$16,MATCH(G554,Config!$H$5:$H$16,0)),0))</f>
        <v>30</v>
      </c>
      <c r="Q554" s="30">
        <f>IF(OR(H554&lt;&gt;"Realizado",P554="",P554=0),"",A554+P554)</f>
        <v/>
      </c>
      <c r="R554" s="26">
        <f>IF(Q554="","",IF(COUNTIFS($E$5:$E$3004,E554,$A$5:$A$3004,"&gt;"&amp;A554,$H$5:$H$3004,"&lt;&gt;Falta",$H$5:$H$3004,"&lt;&gt;Cancelado",$H$5:$H$3004,"&lt;&gt;Remarcado")&gt;0,"Sim","Não"))</f>
        <v/>
      </c>
      <c r="S554" s="32">
        <f>IF(R554&lt;&gt;"Não","",IF(Q554+Config!$B$9&lt;=Config!$B$8,Config!$B$8-Q554,""))</f>
        <v/>
      </c>
      <c r="T554" s="26">
        <f>IF(S554="","","Sim")</f>
        <v/>
      </c>
      <c r="U554" s="41">
        <f>IF(T554="Sim",S554+ROW()/100000,0)</f>
        <v>0</v>
      </c>
      <c r="V554" s="41">
        <f>IF(AND(H554="Falta",L554=Config!$B$7,M554=Config!$B$5,COUNTIFS($E$5:E554,E554,$H$5:H554,"Falta",$L$5:L554,Config!$B$7,$M$5:M554,Config!$B$5)=1),COUNTIFS($E$5:$E$3004,E554,$H$5:$H$3004,"Falta",$L$5:$L$3004,Config!$B$7,$M$5:$M$3004,Config!$B$5)*1000-ROW()/100000,0)</f>
        <v>0</v>
      </c>
    </row>
    <row r="555">
      <c r="A555" s="39" t="n">
        <v>46230</v>
      </c>
      <c r="B555" s="40" t="n">
        <v>0.6458333333333334</v>
      </c>
      <c r="C555" s="35" t="inlineStr">
        <is>
          <t>Dr. Paulo Andrade</t>
        </is>
      </c>
      <c r="D555" s="35" t="inlineStr">
        <is>
          <t>Sala 2</t>
        </is>
      </c>
      <c r="E555" s="34" t="inlineStr">
        <is>
          <t>Paulo Nascimento</t>
        </is>
      </c>
      <c r="F555" s="35" t="inlineStr">
        <is>
          <t>MediPlan</t>
        </is>
      </c>
      <c r="G555" s="35" t="inlineStr">
        <is>
          <t>Retorno</t>
        </is>
      </c>
      <c r="H555" s="35" t="inlineStr">
        <is>
          <t>Realizado</t>
        </is>
      </c>
      <c r="I555" s="35" t="inlineStr">
        <is>
          <t>Sem cobrança</t>
        </is>
      </c>
      <c r="J555" s="35" t="n"/>
      <c r="K555" s="34" t="n"/>
      <c r="L555" s="26">
        <f>IF(A555="","",MONTH(A555))</f>
        <v>7</v>
      </c>
      <c r="M555" s="26">
        <f>IF(A555="","",YEAR(A555))</f>
        <v>2026</v>
      </c>
      <c r="N555" s="26" t="str">
        <f>IF(A555="","",CHOOSE(WEEKDAY(A555,2),"Segunda","Terça","Quarta","Quinta","Sexta","Sábado","Domingo"))</f>
        <v>Segunda</v>
      </c>
      <c r="O555" s="26" t="str">
        <f>IF(B555="","",IF(B555&lt;TIME(12,0,0),"Manhã",IF(B555&lt;TIME(18,0,0),"Tarde","Noite")))</f>
        <v>Tarde</v>
      </c>
      <c r="P555" s="32">
        <f>IF(G555="","",IFERROR(INDEX(Config!$I$5:$I$16,MATCH(G555,Config!$H$5:$H$16,0)),0))</f>
        <v>0</v>
      </c>
      <c r="Q555" s="30">
        <f>IF(OR(H555&lt;&gt;"Realizado",P555="",P555=0),"",A555+P555)</f>
        <v/>
      </c>
      <c r="R555" s="26">
        <f>IF(Q555="","",IF(COUNTIFS($E$5:$E$3004,E555,$A$5:$A$3004,"&gt;"&amp;A555,$H$5:$H$3004,"&lt;&gt;Falta",$H$5:$H$3004,"&lt;&gt;Cancelado",$H$5:$H$3004,"&lt;&gt;Remarcado")&gt;0,"Sim","Não"))</f>
        <v/>
      </c>
      <c r="S555" s="32">
        <f>IF(R555&lt;&gt;"Não","",IF(Q555+Config!$B$9&lt;=Config!$B$8,Config!$B$8-Q555,""))</f>
        <v/>
      </c>
      <c r="T555" s="26">
        <f>IF(S555="","","Sim")</f>
        <v/>
      </c>
      <c r="U555" s="41">
        <f>IF(T555="Sim",S555+ROW()/100000,0)</f>
        <v>0</v>
      </c>
      <c r="V555" s="41">
        <f>IF(AND(H555="Falta",L555=Config!$B$7,M555=Config!$B$5,COUNTIFS($E$5:E555,E555,$H$5:H555,"Falta",$L$5:L555,Config!$B$7,$M$5:M555,Config!$B$5)=1),COUNTIFS($E$5:$E$3004,E555,$H$5:$H$3004,"Falta",$L$5:$L$3004,Config!$B$7,$M$5:$M$3004,Config!$B$5)*1000-ROW()/100000,0)</f>
        <v>0</v>
      </c>
    </row>
    <row r="556">
      <c r="A556" s="39" t="n">
        <v>46230</v>
      </c>
      <c r="B556" s="40" t="n">
        <v>0.6597222222222222</v>
      </c>
      <c r="C556" s="35" t="inlineStr">
        <is>
          <t>Dr. Paulo Andrade</t>
        </is>
      </c>
      <c r="D556" s="35" t="inlineStr">
        <is>
          <t>Sala 2</t>
        </is>
      </c>
      <c r="E556" s="34" t="inlineStr">
        <is>
          <t>Rodrigo Moreira</t>
        </is>
      </c>
      <c r="F556" s="35" t="inlineStr">
        <is>
          <t>Particular</t>
        </is>
      </c>
      <c r="G556" s="35" t="inlineStr">
        <is>
          <t>Teste ergométrico</t>
        </is>
      </c>
      <c r="H556" s="35" t="inlineStr">
        <is>
          <t>Realizado</t>
        </is>
      </c>
      <c r="I556" s="35" t="inlineStr">
        <is>
          <t>A prazo</t>
        </is>
      </c>
      <c r="J556" s="35" t="n"/>
      <c r="K556" s="34" t="n"/>
      <c r="L556" s="26">
        <f>IF(A556="","",MONTH(A556))</f>
        <v>7</v>
      </c>
      <c r="M556" s="26">
        <f>IF(A556="","",YEAR(A556))</f>
        <v>2026</v>
      </c>
      <c r="N556" s="26" t="str">
        <f>IF(A556="","",CHOOSE(WEEKDAY(A556,2),"Segunda","Terça","Quarta","Quinta","Sexta","Sábado","Domingo"))</f>
        <v>Segunda</v>
      </c>
      <c r="O556" s="26" t="str">
        <f>IF(B556="","",IF(B556&lt;TIME(12,0,0),"Manhã",IF(B556&lt;TIME(18,0,0),"Tarde","Noite")))</f>
        <v>Tarde</v>
      </c>
      <c r="P556" s="32">
        <f>IF(G556="","",IFERROR(INDEX(Config!$I$5:$I$16,MATCH(G556,Config!$H$5:$H$16,0)),0))</f>
        <v>0</v>
      </c>
      <c r="Q556" s="30">
        <f>IF(OR(H556&lt;&gt;"Realizado",P556="",P556=0),"",A556+P556)</f>
        <v/>
      </c>
      <c r="R556" s="26">
        <f>IF(Q556="","",IF(COUNTIFS($E$5:$E$3004,E556,$A$5:$A$3004,"&gt;"&amp;A556,$H$5:$H$3004,"&lt;&gt;Falta",$H$5:$H$3004,"&lt;&gt;Cancelado",$H$5:$H$3004,"&lt;&gt;Remarcado")&gt;0,"Sim","Não"))</f>
        <v/>
      </c>
      <c r="S556" s="32">
        <f>IF(R556&lt;&gt;"Não","",IF(Q556+Config!$B$9&lt;=Config!$B$8,Config!$B$8-Q556,""))</f>
        <v/>
      </c>
      <c r="T556" s="26">
        <f>IF(S556="","","Sim")</f>
        <v/>
      </c>
      <c r="U556" s="41">
        <f>IF(T556="Sim",S556+ROW()/100000,0)</f>
        <v>0</v>
      </c>
      <c r="V556" s="41">
        <f>IF(AND(H556="Falta",L556=Config!$B$7,M556=Config!$B$5,COUNTIFS($E$5:E556,E556,$H$5:H556,"Falta",$L$5:L556,Config!$B$7,$M$5:M556,Config!$B$5)=1),COUNTIFS($E$5:$E$3004,E556,$H$5:$H$3004,"Falta",$L$5:$L$3004,Config!$B$7,$M$5:$M$3004,Config!$B$5)*1000-ROW()/100000,0)</f>
        <v>0</v>
      </c>
    </row>
    <row r="557">
      <c r="A557" s="39" t="n">
        <v>46230</v>
      </c>
      <c r="B557" s="40" t="n">
        <v>0.6875</v>
      </c>
      <c r="C557" s="35" t="inlineStr">
        <is>
          <t>Dr. Paulo Andrade</t>
        </is>
      </c>
      <c r="D557" s="35" t="inlineStr">
        <is>
          <t>Sala 2</t>
        </is>
      </c>
      <c r="E557" s="34" t="inlineStr">
        <is>
          <t>Roberta Almeida</t>
        </is>
      </c>
      <c r="F557" s="35" t="inlineStr">
        <is>
          <t>Saúde Total</t>
        </is>
      </c>
      <c r="G557" s="35" t="inlineStr">
        <is>
          <t>Consulta</t>
        </is>
      </c>
      <c r="H557" s="35" t="inlineStr">
        <is>
          <t>Realizado</t>
        </is>
      </c>
      <c r="I557" s="35" t="inlineStr">
        <is>
          <t>Convênio</t>
        </is>
      </c>
      <c r="J557" s="35" t="n"/>
      <c r="K557" s="34" t="n"/>
      <c r="L557" s="26">
        <f>IF(A557="","",MONTH(A557))</f>
        <v>7</v>
      </c>
      <c r="M557" s="26">
        <f>IF(A557="","",YEAR(A557))</f>
        <v>2026</v>
      </c>
      <c r="N557" s="26" t="str">
        <f>IF(A557="","",CHOOSE(WEEKDAY(A557,2),"Segunda","Terça","Quarta","Quinta","Sexta","Sábado","Domingo"))</f>
        <v>Segunda</v>
      </c>
      <c r="O557" s="26" t="str">
        <f>IF(B557="","",IF(B557&lt;TIME(12,0,0),"Manhã",IF(B557&lt;TIME(18,0,0),"Tarde","Noite")))</f>
        <v>Tarde</v>
      </c>
      <c r="P557" s="32">
        <f>IF(G557="","",IFERROR(INDEX(Config!$I$5:$I$16,MATCH(G557,Config!$H$5:$H$16,0)),0))</f>
        <v>30</v>
      </c>
      <c r="Q557" s="30">
        <f>IF(OR(H557&lt;&gt;"Realizado",P557="",P557=0),"",A557+P557)</f>
        <v>46260.0</v>
      </c>
      <c r="R557" s="26" t="str">
        <f>IF(Q557="","",IF(COUNTIFS($E$5:$E$3004,E557,$A$5:$A$3004,"&gt;"&amp;A557,$H$5:$H$3004,"&lt;&gt;Falta",$H$5:$H$3004,"&lt;&gt;Cancelado",$H$5:$H$3004,"&lt;&gt;Remarcado")&gt;0,"Sim","Não"))</f>
        <v>Não</v>
      </c>
      <c r="S557" s="32">
        <f>IF(R557&lt;&gt;"Não","",IF(Q557+Config!$B$9&lt;=Config!$B$8,Config!$B$8-Q557,""))</f>
        <v>19</v>
      </c>
      <c r="T557" s="26" t="str">
        <f>IF(S557="","","Sim")</f>
        <v>Sim</v>
      </c>
      <c r="U557" s="41">
        <f>IF(T557="Sim",S557+ROW()/100000,0)</f>
        <v>19.00557</v>
      </c>
      <c r="V557" s="41">
        <f>IF(AND(H557="Falta",L557=Config!$B$7,M557=Config!$B$5,COUNTIFS($E$5:E557,E557,$H$5:H557,"Falta",$L$5:L557,Config!$B$7,$M$5:M557,Config!$B$5)=1),COUNTIFS($E$5:$E$3004,E557,$H$5:$H$3004,"Falta",$L$5:$L$3004,Config!$B$7,$M$5:$M$3004,Config!$B$5)*1000-ROW()/100000,0)</f>
        <v>0</v>
      </c>
    </row>
    <row r="558">
      <c r="A558" s="39" t="n">
        <v>46230</v>
      </c>
      <c r="B558" s="40" t="n">
        <v>0.7083333333333334</v>
      </c>
      <c r="C558" s="35" t="inlineStr">
        <is>
          <t>Dr. Paulo Andrade</t>
        </is>
      </c>
      <c r="D558" s="35" t="inlineStr">
        <is>
          <t>Sala 2</t>
        </is>
      </c>
      <c r="E558" s="34" t="inlineStr">
        <is>
          <t>Gabriel Oliveira</t>
        </is>
      </c>
      <c r="F558" s="35" t="inlineStr">
        <is>
          <t>Particular</t>
        </is>
      </c>
      <c r="G558" s="35" t="inlineStr">
        <is>
          <t>Retorno</t>
        </is>
      </c>
      <c r="H558" s="35" t="inlineStr">
        <is>
          <t>Realizado</t>
        </is>
      </c>
      <c r="I558" s="35" t="inlineStr">
        <is>
          <t>Sem cobrança</t>
        </is>
      </c>
      <c r="J558" s="35" t="n"/>
      <c r="K558" s="34" t="n"/>
      <c r="L558" s="26">
        <f>IF(A558="","",MONTH(A558))</f>
        <v>7</v>
      </c>
      <c r="M558" s="26">
        <f>IF(A558="","",YEAR(A558))</f>
        <v>2026</v>
      </c>
      <c r="N558" s="26" t="str">
        <f>IF(A558="","",CHOOSE(WEEKDAY(A558,2),"Segunda","Terça","Quarta","Quinta","Sexta","Sábado","Domingo"))</f>
        <v>Segunda</v>
      </c>
      <c r="O558" s="26" t="str">
        <f>IF(B558="","",IF(B558&lt;TIME(12,0,0),"Manhã",IF(B558&lt;TIME(18,0,0),"Tarde","Noite")))</f>
        <v>Tarde</v>
      </c>
      <c r="P558" s="32">
        <f>IF(G558="","",IFERROR(INDEX(Config!$I$5:$I$16,MATCH(G558,Config!$H$5:$H$16,0)),0))</f>
        <v>0</v>
      </c>
      <c r="Q558" s="30">
        <f>IF(OR(H558&lt;&gt;"Realizado",P558="",P558=0),"",A558+P558)</f>
        <v/>
      </c>
      <c r="R558" s="26">
        <f>IF(Q558="","",IF(COUNTIFS($E$5:$E$3004,E558,$A$5:$A$3004,"&gt;"&amp;A558,$H$5:$H$3004,"&lt;&gt;Falta",$H$5:$H$3004,"&lt;&gt;Cancelado",$H$5:$H$3004,"&lt;&gt;Remarcado")&gt;0,"Sim","Não"))</f>
        <v/>
      </c>
      <c r="S558" s="32">
        <f>IF(R558&lt;&gt;"Não","",IF(Q558+Config!$B$9&lt;=Config!$B$8,Config!$B$8-Q558,""))</f>
        <v/>
      </c>
      <c r="T558" s="26">
        <f>IF(S558="","","Sim")</f>
        <v/>
      </c>
      <c r="U558" s="41">
        <f>IF(T558="Sim",S558+ROW()/100000,0)</f>
        <v>0</v>
      </c>
      <c r="V558" s="41">
        <f>IF(AND(H558="Falta",L558=Config!$B$7,M558=Config!$B$5,COUNTIFS($E$5:E558,E558,$H$5:H558,"Falta",$L$5:L558,Config!$B$7,$M$5:M558,Config!$B$5)=1),COUNTIFS($E$5:$E$3004,E558,$H$5:$H$3004,"Falta",$L$5:$L$3004,Config!$B$7,$M$5:$M$3004,Config!$B$5)*1000-ROW()/100000,0)</f>
        <v>0</v>
      </c>
    </row>
    <row r="559">
      <c r="A559" s="39" t="n">
        <v>46230</v>
      </c>
      <c r="B559" s="40" t="n">
        <v>0.7222222222222222</v>
      </c>
      <c r="C559" s="35" t="inlineStr">
        <is>
          <t>Dr. Paulo Andrade</t>
        </is>
      </c>
      <c r="D559" s="35" t="inlineStr">
        <is>
          <t>Sala 2</t>
        </is>
      </c>
      <c r="E559" s="34" t="inlineStr">
        <is>
          <t>Natália Xavier</t>
        </is>
      </c>
      <c r="F559" s="35" t="inlineStr">
        <is>
          <t>MediPlan</t>
        </is>
      </c>
      <c r="G559" s="35" t="inlineStr">
        <is>
          <t>Consulta</t>
        </is>
      </c>
      <c r="H559" s="35" t="inlineStr">
        <is>
          <t>Realizado</t>
        </is>
      </c>
      <c r="I559" s="35" t="inlineStr">
        <is>
          <t>Convênio</t>
        </is>
      </c>
      <c r="J559" s="35" t="n"/>
      <c r="K559" s="34" t="n"/>
      <c r="L559" s="26">
        <f>IF(A559="","",MONTH(A559))</f>
        <v>7</v>
      </c>
      <c r="M559" s="26">
        <f>IF(A559="","",YEAR(A559))</f>
        <v>2026</v>
      </c>
      <c r="N559" s="26" t="str">
        <f>IF(A559="","",CHOOSE(WEEKDAY(A559,2),"Segunda","Terça","Quarta","Quinta","Sexta","Sábado","Domingo"))</f>
        <v>Segunda</v>
      </c>
      <c r="O559" s="26" t="str">
        <f>IF(B559="","",IF(B559&lt;TIME(12,0,0),"Manhã",IF(B559&lt;TIME(18,0,0),"Tarde","Noite")))</f>
        <v>Tarde</v>
      </c>
      <c r="P559" s="32">
        <f>IF(G559="","",IFERROR(INDEX(Config!$I$5:$I$16,MATCH(G559,Config!$H$5:$H$16,0)),0))</f>
        <v>30</v>
      </c>
      <c r="Q559" s="30">
        <f>IF(OR(H559&lt;&gt;"Realizado",P559="",P559=0),"",A559+P559)</f>
        <v>46260.0</v>
      </c>
      <c r="R559" s="26" t="str">
        <f>IF(Q559="","",IF(COUNTIFS($E$5:$E$3004,E559,$A$5:$A$3004,"&gt;"&amp;A559,$H$5:$H$3004,"&lt;&gt;Falta",$H$5:$H$3004,"&lt;&gt;Cancelado",$H$5:$H$3004,"&lt;&gt;Remarcado")&gt;0,"Sim","Não"))</f>
        <v>Sim</v>
      </c>
      <c r="S559" s="32">
        <f>IF(R559&lt;&gt;"Não","",IF(Q559+Config!$B$9&lt;=Config!$B$8,Config!$B$8-Q559,""))</f>
        <v/>
      </c>
      <c r="T559" s="26">
        <f>IF(S559="","","Sim")</f>
        <v/>
      </c>
      <c r="U559" s="41">
        <f>IF(T559="Sim",S559+ROW()/100000,0)</f>
        <v>0</v>
      </c>
      <c r="V559" s="41">
        <f>IF(AND(H559="Falta",L559=Config!$B$7,M559=Config!$B$5,COUNTIFS($E$5:E559,E559,$H$5:H559,"Falta",$L$5:L559,Config!$B$7,$M$5:M559,Config!$B$5)=1),COUNTIFS($E$5:$E$3004,E559,$H$5:$H$3004,"Falta",$L$5:$L$3004,Config!$B$7,$M$5:$M$3004,Config!$B$5)*1000-ROW()/100000,0)</f>
        <v>0</v>
      </c>
    </row>
    <row r="560">
      <c r="A560" s="39" t="n">
        <v>46231</v>
      </c>
      <c r="B560" s="40" t="n">
        <v>0.3333333333333333</v>
      </c>
      <c r="C560" s="35" t="inlineStr">
        <is>
          <t>Dra. Carolina Mendes</t>
        </is>
      </c>
      <c r="D560" s="35" t="inlineStr">
        <is>
          <t>Sala 1</t>
        </is>
      </c>
      <c r="E560" s="34" t="inlineStr">
        <is>
          <t>Lucas Lopes</t>
        </is>
      </c>
      <c r="F560" s="35" t="inlineStr">
        <is>
          <t>Particular</t>
        </is>
      </c>
      <c r="G560" s="35" t="inlineStr">
        <is>
          <t>Retorno</t>
        </is>
      </c>
      <c r="H560" s="35" t="inlineStr">
        <is>
          <t>Realizado</t>
        </is>
      </c>
      <c r="I560" s="35" t="inlineStr">
        <is>
          <t>Sem cobrança</t>
        </is>
      </c>
      <c r="J560" s="35" t="n"/>
      <c r="K560" s="34" t="n"/>
      <c r="L560" s="26">
        <f>IF(A560="","",MONTH(A560))</f>
        <v>7</v>
      </c>
      <c r="M560" s="26">
        <f>IF(A560="","",YEAR(A560))</f>
        <v>2026</v>
      </c>
      <c r="N560" s="26" t="str">
        <f>IF(A560="","",CHOOSE(WEEKDAY(A560,2),"Segunda","Terça","Quarta","Quinta","Sexta","Sábado","Domingo"))</f>
        <v>Terça</v>
      </c>
      <c r="O560" s="26" t="str">
        <f>IF(B560="","",IF(B560&lt;TIME(12,0,0),"Manhã",IF(B560&lt;TIME(18,0,0),"Tarde","Noite")))</f>
        <v>Manhã</v>
      </c>
      <c r="P560" s="32">
        <f>IF(G560="","",IFERROR(INDEX(Config!$I$5:$I$16,MATCH(G560,Config!$H$5:$H$16,0)),0))</f>
        <v>0</v>
      </c>
      <c r="Q560" s="30">
        <f>IF(OR(H560&lt;&gt;"Realizado",P560="",P560=0),"",A560+P560)</f>
        <v/>
      </c>
      <c r="R560" s="26">
        <f>IF(Q560="","",IF(COUNTIFS($E$5:$E$3004,E560,$A$5:$A$3004,"&gt;"&amp;A560,$H$5:$H$3004,"&lt;&gt;Falta",$H$5:$H$3004,"&lt;&gt;Cancelado",$H$5:$H$3004,"&lt;&gt;Remarcado")&gt;0,"Sim","Não"))</f>
        <v/>
      </c>
      <c r="S560" s="32">
        <f>IF(R560&lt;&gt;"Não","",IF(Q560+Config!$B$9&lt;=Config!$B$8,Config!$B$8-Q560,""))</f>
        <v/>
      </c>
      <c r="T560" s="26">
        <f>IF(S560="","","Sim")</f>
        <v/>
      </c>
      <c r="U560" s="41">
        <f>IF(T560="Sim",S560+ROW()/100000,0)</f>
        <v>0</v>
      </c>
      <c r="V560" s="41">
        <f>IF(AND(H560="Falta",L560=Config!$B$7,M560=Config!$B$5,COUNTIFS($E$5:E560,E560,$H$5:H560,"Falta",$L$5:L560,Config!$B$7,$M$5:M560,Config!$B$5)=1),COUNTIFS($E$5:$E$3004,E560,$H$5:$H$3004,"Falta",$L$5:$L$3004,Config!$B$7,$M$5:$M$3004,Config!$B$5)*1000-ROW()/100000,0)</f>
        <v>0</v>
      </c>
    </row>
    <row r="561">
      <c r="A561" s="39" t="n">
        <v>46231</v>
      </c>
      <c r="B561" s="40" t="n">
        <v>0.3472222222222222</v>
      </c>
      <c r="C561" s="35" t="inlineStr">
        <is>
          <t>Dra. Carolina Mendes</t>
        </is>
      </c>
      <c r="D561" s="35" t="inlineStr">
        <is>
          <t>Sala 1</t>
        </is>
      </c>
      <c r="E561" s="34" t="inlineStr">
        <is>
          <t>Mônica Pinto</t>
        </is>
      </c>
      <c r="F561" s="35" t="inlineStr">
        <is>
          <t>Saúde Total</t>
        </is>
      </c>
      <c r="G561" s="35" t="inlineStr">
        <is>
          <t>Consulta</t>
        </is>
      </c>
      <c r="H561" s="35" t="inlineStr">
        <is>
          <t>Realizado</t>
        </is>
      </c>
      <c r="I561" s="35" t="inlineStr">
        <is>
          <t>Convênio</t>
        </is>
      </c>
      <c r="J561" s="35" t="n"/>
      <c r="K561" s="34" t="n"/>
      <c r="L561" s="26">
        <f>IF(A561="","",MONTH(A561))</f>
        <v>7</v>
      </c>
      <c r="M561" s="26">
        <f>IF(A561="","",YEAR(A561))</f>
        <v>2026</v>
      </c>
      <c r="N561" s="26" t="str">
        <f>IF(A561="","",CHOOSE(WEEKDAY(A561,2),"Segunda","Terça","Quarta","Quinta","Sexta","Sábado","Domingo"))</f>
        <v>Terça</v>
      </c>
      <c r="O561" s="26" t="str">
        <f>IF(B561="","",IF(B561&lt;TIME(12,0,0),"Manhã",IF(B561&lt;TIME(18,0,0),"Tarde","Noite")))</f>
        <v>Manhã</v>
      </c>
      <c r="P561" s="32">
        <f>IF(G561="","",IFERROR(INDEX(Config!$I$5:$I$16,MATCH(G561,Config!$H$5:$H$16,0)),0))</f>
        <v>30</v>
      </c>
      <c r="Q561" s="30">
        <f>IF(OR(H561&lt;&gt;"Realizado",P561="",P561=0),"",A561+P561)</f>
        <v>46261.0</v>
      </c>
      <c r="R561" s="26" t="str">
        <f>IF(Q561="","",IF(COUNTIFS($E$5:$E$3004,E561,$A$5:$A$3004,"&gt;"&amp;A561,$H$5:$H$3004,"&lt;&gt;Falta",$H$5:$H$3004,"&lt;&gt;Cancelado",$H$5:$H$3004,"&lt;&gt;Remarcado")&gt;0,"Sim","Não"))</f>
        <v>Sim</v>
      </c>
      <c r="S561" s="32">
        <f>IF(R561&lt;&gt;"Não","",IF(Q561+Config!$B$9&lt;=Config!$B$8,Config!$B$8-Q561,""))</f>
        <v/>
      </c>
      <c r="T561" s="26">
        <f>IF(S561="","","Sim")</f>
        <v/>
      </c>
      <c r="U561" s="41">
        <f>IF(T561="Sim",S561+ROW()/100000,0)</f>
        <v>0</v>
      </c>
      <c r="V561" s="41">
        <f>IF(AND(H561="Falta",L561=Config!$B$7,M561=Config!$B$5,COUNTIFS($E$5:E561,E561,$H$5:H561,"Falta",$L$5:L561,Config!$B$7,$M$5:M561,Config!$B$5)=1),COUNTIFS($E$5:$E$3004,E561,$H$5:$H$3004,"Falta",$L$5:$L$3004,Config!$B$7,$M$5:$M$3004,Config!$B$5)*1000-ROW()/100000,0)</f>
        <v>0</v>
      </c>
    </row>
    <row r="562">
      <c r="A562" s="39" t="n">
        <v>46231</v>
      </c>
      <c r="B562" s="40" t="n">
        <v>0.3680555555555556</v>
      </c>
      <c r="C562" s="35" t="inlineStr">
        <is>
          <t>Dra. Carolina Mendes</t>
        </is>
      </c>
      <c r="D562" s="35" t="inlineStr">
        <is>
          <t>Sala 1</t>
        </is>
      </c>
      <c r="E562" s="34" t="inlineStr">
        <is>
          <t>Gisele Ribeiro</t>
        </is>
      </c>
      <c r="F562" s="35" t="inlineStr">
        <is>
          <t>Particular</t>
        </is>
      </c>
      <c r="G562" s="35" t="inlineStr">
        <is>
          <t>Consulta</t>
        </is>
      </c>
      <c r="H562" s="35" t="inlineStr">
        <is>
          <t>Realizado</t>
        </is>
      </c>
      <c r="I562" s="35" t="inlineStr">
        <is>
          <t>Cartão de débito</t>
        </is>
      </c>
      <c r="J562" s="35" t="n"/>
      <c r="K562" s="34" t="n"/>
      <c r="L562" s="26">
        <f>IF(A562="","",MONTH(A562))</f>
        <v>7</v>
      </c>
      <c r="M562" s="26">
        <f>IF(A562="","",YEAR(A562))</f>
        <v>2026</v>
      </c>
      <c r="N562" s="26" t="str">
        <f>IF(A562="","",CHOOSE(WEEKDAY(A562,2),"Segunda","Terça","Quarta","Quinta","Sexta","Sábado","Domingo"))</f>
        <v>Terça</v>
      </c>
      <c r="O562" s="26" t="str">
        <f>IF(B562="","",IF(B562&lt;TIME(12,0,0),"Manhã",IF(B562&lt;TIME(18,0,0),"Tarde","Noite")))</f>
        <v>Manhã</v>
      </c>
      <c r="P562" s="32">
        <f>IF(G562="","",IFERROR(INDEX(Config!$I$5:$I$16,MATCH(G562,Config!$H$5:$H$16,0)),0))</f>
        <v>30</v>
      </c>
      <c r="Q562" s="30">
        <f>IF(OR(H562&lt;&gt;"Realizado",P562="",P562=0),"",A562+P562)</f>
        <v>46261.0</v>
      </c>
      <c r="R562" s="26" t="str">
        <f>IF(Q562="","",IF(COUNTIFS($E$5:$E$3004,E562,$A$5:$A$3004,"&gt;"&amp;A562,$H$5:$H$3004,"&lt;&gt;Falta",$H$5:$H$3004,"&lt;&gt;Cancelado",$H$5:$H$3004,"&lt;&gt;Remarcado")&gt;0,"Sim","Não"))</f>
        <v>Sim</v>
      </c>
      <c r="S562" s="32">
        <f>IF(R562&lt;&gt;"Não","",IF(Q562+Config!$B$9&lt;=Config!$B$8,Config!$B$8-Q562,""))</f>
        <v/>
      </c>
      <c r="T562" s="26">
        <f>IF(S562="","","Sim")</f>
        <v/>
      </c>
      <c r="U562" s="41">
        <f>IF(T562="Sim",S562+ROW()/100000,0)</f>
        <v>0</v>
      </c>
      <c r="V562" s="41">
        <f>IF(AND(H562="Falta",L562=Config!$B$7,M562=Config!$B$5,COUNTIFS($E$5:E562,E562,$H$5:H562,"Falta",$L$5:L562,Config!$B$7,$M$5:M562,Config!$B$5)=1),COUNTIFS($E$5:$E$3004,E562,$H$5:$H$3004,"Falta",$L$5:$L$3004,Config!$B$7,$M$5:$M$3004,Config!$B$5)*1000-ROW()/100000,0)</f>
        <v>0</v>
      </c>
    </row>
    <row r="563">
      <c r="A563" s="39" t="n">
        <v>46231</v>
      </c>
      <c r="B563" s="40" t="n">
        <v>0.3888888888888889</v>
      </c>
      <c r="C563" s="35" t="inlineStr">
        <is>
          <t>Dra. Carolina Mendes</t>
        </is>
      </c>
      <c r="D563" s="35" t="inlineStr">
        <is>
          <t>Sala 1</t>
        </is>
      </c>
      <c r="E563" s="34" t="inlineStr">
        <is>
          <t>Wagner Santos</t>
        </is>
      </c>
      <c r="F563" s="35" t="inlineStr">
        <is>
          <t>Particular</t>
        </is>
      </c>
      <c r="G563" s="35" t="inlineStr">
        <is>
          <t>Consulta</t>
        </is>
      </c>
      <c r="H563" s="35" t="inlineStr">
        <is>
          <t>Realizado</t>
        </is>
      </c>
      <c r="I563" s="35" t="inlineStr">
        <is>
          <t>Cartão de crédito</t>
        </is>
      </c>
      <c r="J563" s="35" t="n"/>
      <c r="K563" s="34" t="n"/>
      <c r="L563" s="26">
        <f>IF(A563="","",MONTH(A563))</f>
        <v>7</v>
      </c>
      <c r="M563" s="26">
        <f>IF(A563="","",YEAR(A563))</f>
        <v>2026</v>
      </c>
      <c r="N563" s="26" t="str">
        <f>IF(A563="","",CHOOSE(WEEKDAY(A563,2),"Segunda","Terça","Quarta","Quinta","Sexta","Sábado","Domingo"))</f>
        <v>Terça</v>
      </c>
      <c r="O563" s="26" t="str">
        <f>IF(B563="","",IF(B563&lt;TIME(12,0,0),"Manhã",IF(B563&lt;TIME(18,0,0),"Tarde","Noite")))</f>
        <v>Manhã</v>
      </c>
      <c r="P563" s="32">
        <f>IF(G563="","",IFERROR(INDEX(Config!$I$5:$I$16,MATCH(G563,Config!$H$5:$H$16,0)),0))</f>
        <v>30</v>
      </c>
      <c r="Q563" s="30">
        <f>IF(OR(H563&lt;&gt;"Realizado",P563="",P563=0),"",A563+P563)</f>
        <v>46261.0</v>
      </c>
      <c r="R563" s="26" t="str">
        <f>IF(Q563="","",IF(COUNTIFS($E$5:$E$3004,E563,$A$5:$A$3004,"&gt;"&amp;A563,$H$5:$H$3004,"&lt;&gt;Falta",$H$5:$H$3004,"&lt;&gt;Cancelado",$H$5:$H$3004,"&lt;&gt;Remarcado")&gt;0,"Sim","Não"))</f>
        <v>Sim</v>
      </c>
      <c r="S563" s="32">
        <f>IF(R563&lt;&gt;"Não","",IF(Q563+Config!$B$9&lt;=Config!$B$8,Config!$B$8-Q563,""))</f>
        <v/>
      </c>
      <c r="T563" s="26">
        <f>IF(S563="","","Sim")</f>
        <v/>
      </c>
      <c r="U563" s="41">
        <f>IF(T563="Sim",S563+ROW()/100000,0)</f>
        <v>0</v>
      </c>
      <c r="V563" s="41">
        <f>IF(AND(H563="Falta",L563=Config!$B$7,M563=Config!$B$5,COUNTIFS($E$5:E563,E563,$H$5:H563,"Falta",$L$5:L563,Config!$B$7,$M$5:M563,Config!$B$5)=1),COUNTIFS($E$5:$E$3004,E563,$H$5:$H$3004,"Falta",$L$5:$L$3004,Config!$B$7,$M$5:$M$3004,Config!$B$5)*1000-ROW()/100000,0)</f>
        <v>0</v>
      </c>
    </row>
    <row r="564">
      <c r="A564" s="39" t="n">
        <v>46231</v>
      </c>
      <c r="B564" s="40" t="n">
        <v>0.4097222222222222</v>
      </c>
      <c r="C564" s="35" t="inlineStr">
        <is>
          <t>Dra. Carolina Mendes</t>
        </is>
      </c>
      <c r="D564" s="35" t="inlineStr">
        <is>
          <t>Sala 1</t>
        </is>
      </c>
      <c r="E564" s="34" t="inlineStr">
        <is>
          <t>Daniel Almeida</t>
        </is>
      </c>
      <c r="F564" s="35" t="inlineStr">
        <is>
          <t>Saúde Total</t>
        </is>
      </c>
      <c r="G564" s="35" t="inlineStr">
        <is>
          <t>Retorno</t>
        </is>
      </c>
      <c r="H564" s="35" t="inlineStr">
        <is>
          <t>Realizado</t>
        </is>
      </c>
      <c r="I564" s="35" t="inlineStr">
        <is>
          <t>Sem cobrança</t>
        </is>
      </c>
      <c r="J564" s="35" t="n"/>
      <c r="K564" s="34" t="n"/>
      <c r="L564" s="26">
        <f>IF(A564="","",MONTH(A564))</f>
        <v>7</v>
      </c>
      <c r="M564" s="26">
        <f>IF(A564="","",YEAR(A564))</f>
        <v>2026</v>
      </c>
      <c r="N564" s="26" t="str">
        <f>IF(A564="","",CHOOSE(WEEKDAY(A564,2),"Segunda","Terça","Quarta","Quinta","Sexta","Sábado","Domingo"))</f>
        <v>Terça</v>
      </c>
      <c r="O564" s="26" t="str">
        <f>IF(B564="","",IF(B564&lt;TIME(12,0,0),"Manhã",IF(B564&lt;TIME(18,0,0),"Tarde","Noite")))</f>
        <v>Manhã</v>
      </c>
      <c r="P564" s="32">
        <f>IF(G564="","",IFERROR(INDEX(Config!$I$5:$I$16,MATCH(G564,Config!$H$5:$H$16,0)),0))</f>
        <v>0</v>
      </c>
      <c r="Q564" s="30">
        <f>IF(OR(H564&lt;&gt;"Realizado",P564="",P564=0),"",A564+P564)</f>
        <v/>
      </c>
      <c r="R564" s="26">
        <f>IF(Q564="","",IF(COUNTIFS($E$5:$E$3004,E564,$A$5:$A$3004,"&gt;"&amp;A564,$H$5:$H$3004,"&lt;&gt;Falta",$H$5:$H$3004,"&lt;&gt;Cancelado",$H$5:$H$3004,"&lt;&gt;Remarcado")&gt;0,"Sim","Não"))</f>
        <v/>
      </c>
      <c r="S564" s="32">
        <f>IF(R564&lt;&gt;"Não","",IF(Q564+Config!$B$9&lt;=Config!$B$8,Config!$B$8-Q564,""))</f>
        <v/>
      </c>
      <c r="T564" s="26">
        <f>IF(S564="","","Sim")</f>
        <v/>
      </c>
      <c r="U564" s="41">
        <f>IF(T564="Sim",S564+ROW()/100000,0)</f>
        <v>0</v>
      </c>
      <c r="V564" s="41">
        <f>IF(AND(H564="Falta",L564=Config!$B$7,M564=Config!$B$5,COUNTIFS($E$5:E564,E564,$H$5:H564,"Falta",$L$5:L564,Config!$B$7,$M$5:M564,Config!$B$5)=1),COUNTIFS($E$5:$E$3004,E564,$H$5:$H$3004,"Falta",$L$5:$L$3004,Config!$B$7,$M$5:$M$3004,Config!$B$5)*1000-ROW()/100000,0)</f>
        <v>0</v>
      </c>
    </row>
    <row r="565">
      <c r="A565" s="39" t="n">
        <v>46231</v>
      </c>
      <c r="B565" s="40" t="n">
        <v>0.4444444444444444</v>
      </c>
      <c r="C565" s="35" t="inlineStr">
        <is>
          <t>Dra. Carolina Mendes</t>
        </is>
      </c>
      <c r="D565" s="35" t="inlineStr">
        <is>
          <t>Sala 1</t>
        </is>
      </c>
      <c r="E565" s="34" t="inlineStr">
        <is>
          <t>Eduardo Reis</t>
        </is>
      </c>
      <c r="F565" s="35" t="inlineStr">
        <is>
          <t>Vida Care</t>
        </is>
      </c>
      <c r="G565" s="35" t="inlineStr">
        <is>
          <t>Retorno</t>
        </is>
      </c>
      <c r="H565" s="35" t="inlineStr">
        <is>
          <t>Realizado</t>
        </is>
      </c>
      <c r="I565" s="35" t="inlineStr">
        <is>
          <t>Sem cobrança</t>
        </is>
      </c>
      <c r="J565" s="35" t="n"/>
      <c r="K565" s="34" t="n"/>
      <c r="L565" s="26">
        <f>IF(A565="","",MONTH(A565))</f>
        <v>7</v>
      </c>
      <c r="M565" s="26">
        <f>IF(A565="","",YEAR(A565))</f>
        <v>2026</v>
      </c>
      <c r="N565" s="26" t="str">
        <f>IF(A565="","",CHOOSE(WEEKDAY(A565,2),"Segunda","Terça","Quarta","Quinta","Sexta","Sábado","Domingo"))</f>
        <v>Terça</v>
      </c>
      <c r="O565" s="26" t="str">
        <f>IF(B565="","",IF(B565&lt;TIME(12,0,0),"Manhã",IF(B565&lt;TIME(18,0,0),"Tarde","Noite")))</f>
        <v>Manhã</v>
      </c>
      <c r="P565" s="32">
        <f>IF(G565="","",IFERROR(INDEX(Config!$I$5:$I$16,MATCH(G565,Config!$H$5:$H$16,0)),0))</f>
        <v>0</v>
      </c>
      <c r="Q565" s="30">
        <f>IF(OR(H565&lt;&gt;"Realizado",P565="",P565=0),"",A565+P565)</f>
        <v/>
      </c>
      <c r="R565" s="26">
        <f>IF(Q565="","",IF(COUNTIFS($E$5:$E$3004,E565,$A$5:$A$3004,"&gt;"&amp;A565,$H$5:$H$3004,"&lt;&gt;Falta",$H$5:$H$3004,"&lt;&gt;Cancelado",$H$5:$H$3004,"&lt;&gt;Remarcado")&gt;0,"Sim","Não"))</f>
        <v/>
      </c>
      <c r="S565" s="32">
        <f>IF(R565&lt;&gt;"Não","",IF(Q565+Config!$B$9&lt;=Config!$B$8,Config!$B$8-Q565,""))</f>
        <v/>
      </c>
      <c r="T565" s="26">
        <f>IF(S565="","","Sim")</f>
        <v/>
      </c>
      <c r="U565" s="41">
        <f>IF(T565="Sim",S565+ROW()/100000,0)</f>
        <v>0</v>
      </c>
      <c r="V565" s="41">
        <f>IF(AND(H565="Falta",L565=Config!$B$7,M565=Config!$B$5,COUNTIFS($E$5:E565,E565,$H$5:H565,"Falta",$L$5:L565,Config!$B$7,$M$5:M565,Config!$B$5)=1),COUNTIFS($E$5:$E$3004,E565,$H$5:$H$3004,"Falta",$L$5:$L$3004,Config!$B$7,$M$5:$M$3004,Config!$B$5)*1000-ROW()/100000,0)</f>
        <v>0</v>
      </c>
    </row>
    <row r="566">
      <c r="A566" s="39" t="n">
        <v>46231</v>
      </c>
      <c r="B566" s="40" t="n">
        <v>0.4583333333333333</v>
      </c>
      <c r="C566" s="35" t="inlineStr">
        <is>
          <t>Dra. Carolina Mendes</t>
        </is>
      </c>
      <c r="D566" s="35" t="inlineStr">
        <is>
          <t>Sala 1</t>
        </is>
      </c>
      <c r="E566" s="34" t="inlineStr">
        <is>
          <t>Cláudia Santos</t>
        </is>
      </c>
      <c r="F566" s="35" t="inlineStr">
        <is>
          <t>Particular</t>
        </is>
      </c>
      <c r="G566" s="35" t="inlineStr">
        <is>
          <t>Consulta</t>
        </is>
      </c>
      <c r="H566" s="35" t="inlineStr">
        <is>
          <t>Falta</t>
        </is>
      </c>
      <c r="I566" s="35" t="n"/>
      <c r="J566" s="35" t="n"/>
      <c r="K566" s="34" t="n"/>
      <c r="L566" s="26">
        <f>IF(A566="","",MONTH(A566))</f>
        <v>7</v>
      </c>
      <c r="M566" s="26">
        <f>IF(A566="","",YEAR(A566))</f>
        <v>2026</v>
      </c>
      <c r="N566" s="26" t="str">
        <f>IF(A566="","",CHOOSE(WEEKDAY(A566,2),"Segunda","Terça","Quarta","Quinta","Sexta","Sábado","Domingo"))</f>
        <v>Terça</v>
      </c>
      <c r="O566" s="26" t="str">
        <f>IF(B566="","",IF(B566&lt;TIME(12,0,0),"Manhã",IF(B566&lt;TIME(18,0,0),"Tarde","Noite")))</f>
        <v>Manhã</v>
      </c>
      <c r="P566" s="32">
        <f>IF(G566="","",IFERROR(INDEX(Config!$I$5:$I$16,MATCH(G566,Config!$H$5:$H$16,0)),0))</f>
        <v>30</v>
      </c>
      <c r="Q566" s="30">
        <f>IF(OR(H566&lt;&gt;"Realizado",P566="",P566=0),"",A566+P566)</f>
        <v/>
      </c>
      <c r="R566" s="26">
        <f>IF(Q566="","",IF(COUNTIFS($E$5:$E$3004,E566,$A$5:$A$3004,"&gt;"&amp;A566,$H$5:$H$3004,"&lt;&gt;Falta",$H$5:$H$3004,"&lt;&gt;Cancelado",$H$5:$H$3004,"&lt;&gt;Remarcado")&gt;0,"Sim","Não"))</f>
        <v/>
      </c>
      <c r="S566" s="32">
        <f>IF(R566&lt;&gt;"Não","",IF(Q566+Config!$B$9&lt;=Config!$B$8,Config!$B$8-Q566,""))</f>
        <v/>
      </c>
      <c r="T566" s="26">
        <f>IF(S566="","","Sim")</f>
        <v/>
      </c>
      <c r="U566" s="41">
        <f>IF(T566="Sim",S566+ROW()/100000,0)</f>
        <v>0</v>
      </c>
      <c r="V566" s="41">
        <f>IF(AND(H566="Falta",L566=Config!$B$7,M566=Config!$B$5,COUNTIFS($E$5:E566,E566,$H$5:H566,"Falta",$L$5:L566,Config!$B$7,$M$5:M566,Config!$B$5)=1),COUNTIFS($E$5:$E$3004,E566,$H$5:$H$3004,"Falta",$L$5:$L$3004,Config!$B$7,$M$5:$M$3004,Config!$B$5)*1000-ROW()/100000,0)</f>
        <v>0</v>
      </c>
    </row>
    <row r="567">
      <c r="A567" s="39" t="n">
        <v>46231</v>
      </c>
      <c r="B567" s="40" t="n">
        <v>0.4791666666666667</v>
      </c>
      <c r="C567" s="35" t="inlineStr">
        <is>
          <t>Dra. Carolina Mendes</t>
        </is>
      </c>
      <c r="D567" s="35" t="inlineStr">
        <is>
          <t>Sala 1</t>
        </is>
      </c>
      <c r="E567" s="34" t="inlineStr">
        <is>
          <t>Regina Teixeira</t>
        </is>
      </c>
      <c r="F567" s="35" t="inlineStr">
        <is>
          <t>Particular</t>
        </is>
      </c>
      <c r="G567" s="35" t="inlineStr">
        <is>
          <t>Retorno</t>
        </is>
      </c>
      <c r="H567" s="35" t="inlineStr">
        <is>
          <t>Realizado</t>
        </is>
      </c>
      <c r="I567" s="35" t="inlineStr">
        <is>
          <t>Sem cobrança</t>
        </is>
      </c>
      <c r="J567" s="35" t="n"/>
      <c r="K567" s="34" t="n"/>
      <c r="L567" s="26">
        <f>IF(A567="","",MONTH(A567))</f>
        <v>7</v>
      </c>
      <c r="M567" s="26">
        <f>IF(A567="","",YEAR(A567))</f>
        <v>2026</v>
      </c>
      <c r="N567" s="26" t="str">
        <f>IF(A567="","",CHOOSE(WEEKDAY(A567,2),"Segunda","Terça","Quarta","Quinta","Sexta","Sábado","Domingo"))</f>
        <v>Terça</v>
      </c>
      <c r="O567" s="26" t="str">
        <f>IF(B567="","",IF(B567&lt;TIME(12,0,0),"Manhã",IF(B567&lt;TIME(18,0,0),"Tarde","Noite")))</f>
        <v>Manhã</v>
      </c>
      <c r="P567" s="32">
        <f>IF(G567="","",IFERROR(INDEX(Config!$I$5:$I$16,MATCH(G567,Config!$H$5:$H$16,0)),0))</f>
        <v>0</v>
      </c>
      <c r="Q567" s="30">
        <f>IF(OR(H567&lt;&gt;"Realizado",P567="",P567=0),"",A567+P567)</f>
        <v/>
      </c>
      <c r="R567" s="26">
        <f>IF(Q567="","",IF(COUNTIFS($E$5:$E$3004,E567,$A$5:$A$3004,"&gt;"&amp;A567,$H$5:$H$3004,"&lt;&gt;Falta",$H$5:$H$3004,"&lt;&gt;Cancelado",$H$5:$H$3004,"&lt;&gt;Remarcado")&gt;0,"Sim","Não"))</f>
        <v/>
      </c>
      <c r="S567" s="32">
        <f>IF(R567&lt;&gt;"Não","",IF(Q567+Config!$B$9&lt;=Config!$B$8,Config!$B$8-Q567,""))</f>
        <v/>
      </c>
      <c r="T567" s="26">
        <f>IF(S567="","","Sim")</f>
        <v/>
      </c>
      <c r="U567" s="41">
        <f>IF(T567="Sim",S567+ROW()/100000,0)</f>
        <v>0</v>
      </c>
      <c r="V567" s="41">
        <f>IF(AND(H567="Falta",L567=Config!$B$7,M567=Config!$B$5,COUNTIFS($E$5:E567,E567,$H$5:H567,"Falta",$L$5:L567,Config!$B$7,$M$5:M567,Config!$B$5)=1),COUNTIFS($E$5:$E$3004,E567,$H$5:$H$3004,"Falta",$L$5:$L$3004,Config!$B$7,$M$5:$M$3004,Config!$B$5)*1000-ROW()/100000,0)</f>
        <v>0</v>
      </c>
    </row>
    <row r="568">
      <c r="A568" s="39" t="n">
        <v>46231</v>
      </c>
      <c r="B568" s="40" t="n">
        <v>0.5833333333333334</v>
      </c>
      <c r="C568" s="35" t="inlineStr">
        <is>
          <t>Dr. Paulo Andrade</t>
        </is>
      </c>
      <c r="D568" s="35" t="inlineStr">
        <is>
          <t>Sala 2</t>
        </is>
      </c>
      <c r="E568" s="34" t="inlineStr">
        <is>
          <t>Henrique Santos</t>
        </is>
      </c>
      <c r="F568" s="35" t="inlineStr">
        <is>
          <t>Vida Care</t>
        </is>
      </c>
      <c r="G568" s="35" t="inlineStr">
        <is>
          <t>Consulta</t>
        </is>
      </c>
      <c r="H568" s="35" t="inlineStr">
        <is>
          <t>Falta</t>
        </is>
      </c>
      <c r="I568" s="35" t="n"/>
      <c r="J568" s="35" t="n"/>
      <c r="K568" s="34" t="n"/>
      <c r="L568" s="26">
        <f>IF(A568="","",MONTH(A568))</f>
        <v>7</v>
      </c>
      <c r="M568" s="26">
        <f>IF(A568="","",YEAR(A568))</f>
        <v>2026</v>
      </c>
      <c r="N568" s="26" t="str">
        <f>IF(A568="","",CHOOSE(WEEKDAY(A568,2),"Segunda","Terça","Quarta","Quinta","Sexta","Sábado","Domingo"))</f>
        <v>Terça</v>
      </c>
      <c r="O568" s="26" t="str">
        <f>IF(B568="","",IF(B568&lt;TIME(12,0,0),"Manhã",IF(B568&lt;TIME(18,0,0),"Tarde","Noite")))</f>
        <v>Tarde</v>
      </c>
      <c r="P568" s="32">
        <f>IF(G568="","",IFERROR(INDEX(Config!$I$5:$I$16,MATCH(G568,Config!$H$5:$H$16,0)),0))</f>
        <v>30</v>
      </c>
      <c r="Q568" s="30">
        <f>IF(OR(H568&lt;&gt;"Realizado",P568="",P568=0),"",A568+P568)</f>
        <v/>
      </c>
      <c r="R568" s="26">
        <f>IF(Q568="","",IF(COUNTIFS($E$5:$E$3004,E568,$A$5:$A$3004,"&gt;"&amp;A568,$H$5:$H$3004,"&lt;&gt;Falta",$H$5:$H$3004,"&lt;&gt;Cancelado",$H$5:$H$3004,"&lt;&gt;Remarcado")&gt;0,"Sim","Não"))</f>
        <v/>
      </c>
      <c r="S568" s="32">
        <f>IF(R568&lt;&gt;"Não","",IF(Q568+Config!$B$9&lt;=Config!$B$8,Config!$B$8-Q568,""))</f>
        <v/>
      </c>
      <c r="T568" s="26">
        <f>IF(S568="","","Sim")</f>
        <v/>
      </c>
      <c r="U568" s="41">
        <f>IF(T568="Sim",S568+ROW()/100000,0)</f>
        <v>0</v>
      </c>
      <c r="V568" s="41">
        <f>IF(AND(H568="Falta",L568=Config!$B$7,M568=Config!$B$5,COUNTIFS($E$5:E568,E568,$H$5:H568,"Falta",$L$5:L568,Config!$B$7,$M$5:M568,Config!$B$5)=1),COUNTIFS($E$5:$E$3004,E568,$H$5:$H$3004,"Falta",$L$5:$L$3004,Config!$B$7,$M$5:$M$3004,Config!$B$5)*1000-ROW()/100000,0)</f>
        <v>0</v>
      </c>
    </row>
    <row r="569">
      <c r="A569" s="39" t="n">
        <v>46231</v>
      </c>
      <c r="B569" s="40" t="n">
        <v>0.6041666666666666</v>
      </c>
      <c r="C569" s="35" t="inlineStr">
        <is>
          <t>Dra. Renata Sousa</t>
        </is>
      </c>
      <c r="D569" s="35" t="inlineStr">
        <is>
          <t>Sala 1</t>
        </is>
      </c>
      <c r="E569" s="34" t="inlineStr">
        <is>
          <t>Thiago Melo</t>
        </is>
      </c>
      <c r="F569" s="35" t="inlineStr">
        <is>
          <t>Particular</t>
        </is>
      </c>
      <c r="G569" s="35" t="inlineStr">
        <is>
          <t>Retorno</t>
        </is>
      </c>
      <c r="H569" s="35" t="inlineStr">
        <is>
          <t>Realizado</t>
        </is>
      </c>
      <c r="I569" s="35" t="inlineStr">
        <is>
          <t>Sem cobrança</t>
        </is>
      </c>
      <c r="J569" s="35" t="n"/>
      <c r="K569" s="34" t="n"/>
      <c r="L569" s="26">
        <f>IF(A569="","",MONTH(A569))</f>
        <v>7</v>
      </c>
      <c r="M569" s="26">
        <f>IF(A569="","",YEAR(A569))</f>
        <v>2026</v>
      </c>
      <c r="N569" s="26" t="str">
        <f>IF(A569="","",CHOOSE(WEEKDAY(A569,2),"Segunda","Terça","Quarta","Quinta","Sexta","Sábado","Domingo"))</f>
        <v>Terça</v>
      </c>
      <c r="O569" s="26" t="str">
        <f>IF(B569="","",IF(B569&lt;TIME(12,0,0),"Manhã",IF(B569&lt;TIME(18,0,0),"Tarde","Noite")))</f>
        <v>Tarde</v>
      </c>
      <c r="P569" s="32">
        <f>IF(G569="","",IFERROR(INDEX(Config!$I$5:$I$16,MATCH(G569,Config!$H$5:$H$16,0)),0))</f>
        <v>0</v>
      </c>
      <c r="Q569" s="30">
        <f>IF(OR(H569&lt;&gt;"Realizado",P569="",P569=0),"",A569+P569)</f>
        <v/>
      </c>
      <c r="R569" s="26">
        <f>IF(Q569="","",IF(COUNTIFS($E$5:$E$3004,E569,$A$5:$A$3004,"&gt;"&amp;A569,$H$5:$H$3004,"&lt;&gt;Falta",$H$5:$H$3004,"&lt;&gt;Cancelado",$H$5:$H$3004,"&lt;&gt;Remarcado")&gt;0,"Sim","Não"))</f>
        <v/>
      </c>
      <c r="S569" s="32">
        <f>IF(R569&lt;&gt;"Não","",IF(Q569+Config!$B$9&lt;=Config!$B$8,Config!$B$8-Q569,""))</f>
        <v/>
      </c>
      <c r="T569" s="26">
        <f>IF(S569="","","Sim")</f>
        <v/>
      </c>
      <c r="U569" s="41">
        <f>IF(T569="Sim",S569+ROW()/100000,0)</f>
        <v>0</v>
      </c>
      <c r="V569" s="41">
        <f>IF(AND(H569="Falta",L569=Config!$B$7,M569=Config!$B$5,COUNTIFS($E$5:E569,E569,$H$5:H569,"Falta",$L$5:L569,Config!$B$7,$M$5:M569,Config!$B$5)=1),COUNTIFS($E$5:$E$3004,E569,$H$5:$H$3004,"Falta",$L$5:$L$3004,Config!$B$7,$M$5:$M$3004,Config!$B$5)*1000-ROW()/100000,0)</f>
        <v>0</v>
      </c>
    </row>
    <row r="570">
      <c r="A570" s="39" t="n">
        <v>46231</v>
      </c>
      <c r="B570" s="40" t="n">
        <v>0.6041666666666666</v>
      </c>
      <c r="C570" s="35" t="inlineStr">
        <is>
          <t>Dr. Paulo Andrade</t>
        </is>
      </c>
      <c r="D570" s="35" t="inlineStr">
        <is>
          <t>Sala 2</t>
        </is>
      </c>
      <c r="E570" s="34" t="inlineStr">
        <is>
          <t>Otávio Nascimento</t>
        </is>
      </c>
      <c r="F570" s="35" t="inlineStr">
        <is>
          <t>Particular</t>
        </is>
      </c>
      <c r="G570" s="35" t="inlineStr">
        <is>
          <t>Holter</t>
        </is>
      </c>
      <c r="H570" s="35" t="inlineStr">
        <is>
          <t>Realizado</t>
        </is>
      </c>
      <c r="I570" s="35" t="inlineStr">
        <is>
          <t>A prazo</t>
        </is>
      </c>
      <c r="J570" s="35" t="n"/>
      <c r="K570" s="34" t="n"/>
      <c r="L570" s="26">
        <f>IF(A570="","",MONTH(A570))</f>
        <v>7</v>
      </c>
      <c r="M570" s="26">
        <f>IF(A570="","",YEAR(A570))</f>
        <v>2026</v>
      </c>
      <c r="N570" s="26" t="str">
        <f>IF(A570="","",CHOOSE(WEEKDAY(A570,2),"Segunda","Terça","Quarta","Quinta","Sexta","Sábado","Domingo"))</f>
        <v>Terça</v>
      </c>
      <c r="O570" s="26" t="str">
        <f>IF(B570="","",IF(B570&lt;TIME(12,0,0),"Manhã",IF(B570&lt;TIME(18,0,0),"Tarde","Noite")))</f>
        <v>Tarde</v>
      </c>
      <c r="P570" s="32">
        <f>IF(G570="","",IFERROR(INDEX(Config!$I$5:$I$16,MATCH(G570,Config!$H$5:$H$16,0)),0))</f>
        <v>0</v>
      </c>
      <c r="Q570" s="30">
        <f>IF(OR(H570&lt;&gt;"Realizado",P570="",P570=0),"",A570+P570)</f>
        <v/>
      </c>
      <c r="R570" s="26">
        <f>IF(Q570="","",IF(COUNTIFS($E$5:$E$3004,E570,$A$5:$A$3004,"&gt;"&amp;A570,$H$5:$H$3004,"&lt;&gt;Falta",$H$5:$H$3004,"&lt;&gt;Cancelado",$H$5:$H$3004,"&lt;&gt;Remarcado")&gt;0,"Sim","Não"))</f>
        <v/>
      </c>
      <c r="S570" s="32">
        <f>IF(R570&lt;&gt;"Não","",IF(Q570+Config!$B$9&lt;=Config!$B$8,Config!$B$8-Q570,""))</f>
        <v/>
      </c>
      <c r="T570" s="26">
        <f>IF(S570="","","Sim")</f>
        <v/>
      </c>
      <c r="U570" s="41">
        <f>IF(T570="Sim",S570+ROW()/100000,0)</f>
        <v>0</v>
      </c>
      <c r="V570" s="41">
        <f>IF(AND(H570="Falta",L570=Config!$B$7,M570=Config!$B$5,COUNTIFS($E$5:E570,E570,$H$5:H570,"Falta",$L$5:L570,Config!$B$7,$M$5:M570,Config!$B$5)=1),COUNTIFS($E$5:$E$3004,E570,$H$5:$H$3004,"Falta",$L$5:$L$3004,Config!$B$7,$M$5:$M$3004,Config!$B$5)*1000-ROW()/100000,0)</f>
        <v>0</v>
      </c>
    </row>
    <row r="571">
      <c r="A571" s="39" t="n">
        <v>46231</v>
      </c>
      <c r="B571" s="40" t="n">
        <v>0.6180555555555556</v>
      </c>
      <c r="C571" s="35" t="inlineStr">
        <is>
          <t>Dra. Renata Sousa</t>
        </is>
      </c>
      <c r="D571" s="35" t="inlineStr">
        <is>
          <t>Sala 1</t>
        </is>
      </c>
      <c r="E571" s="34" t="inlineStr">
        <is>
          <t>Carlos Freitas</t>
        </is>
      </c>
      <c r="F571" s="35" t="inlineStr">
        <is>
          <t>Particular</t>
        </is>
      </c>
      <c r="G571" s="35" t="inlineStr">
        <is>
          <t>Avaliação endócrina</t>
        </is>
      </c>
      <c r="H571" s="35" t="inlineStr">
        <is>
          <t>Realizado</t>
        </is>
      </c>
      <c r="I571" s="35" t="inlineStr">
        <is>
          <t>Cartão de crédito</t>
        </is>
      </c>
      <c r="J571" s="35" t="n">
        <v>2</v>
      </c>
      <c r="K571" s="34" t="n"/>
      <c r="L571" s="26">
        <f>IF(A571="","",MONTH(A571))</f>
        <v>7</v>
      </c>
      <c r="M571" s="26">
        <f>IF(A571="","",YEAR(A571))</f>
        <v>2026</v>
      </c>
      <c r="N571" s="26" t="str">
        <f>IF(A571="","",CHOOSE(WEEKDAY(A571,2),"Segunda","Terça","Quarta","Quinta","Sexta","Sábado","Domingo"))</f>
        <v>Terça</v>
      </c>
      <c r="O571" s="26" t="str">
        <f>IF(B571="","",IF(B571&lt;TIME(12,0,0),"Manhã",IF(B571&lt;TIME(18,0,0),"Tarde","Noite")))</f>
        <v>Tarde</v>
      </c>
      <c r="P571" s="32">
        <f>IF(G571="","",IFERROR(INDEX(Config!$I$5:$I$16,MATCH(G571,Config!$H$5:$H$16,0)),0))</f>
        <v>45</v>
      </c>
      <c r="Q571" s="30">
        <f>IF(OR(H571&lt;&gt;"Realizado",P571="",P571=0),"",A571+P571)</f>
        <v>46276.0</v>
      </c>
      <c r="R571" s="26" t="str">
        <f>IF(Q571="","",IF(COUNTIFS($E$5:$E$3004,E571,$A$5:$A$3004,"&gt;"&amp;A571,$H$5:$H$3004,"&lt;&gt;Falta",$H$5:$H$3004,"&lt;&gt;Cancelado",$H$5:$H$3004,"&lt;&gt;Remarcado")&gt;0,"Sim","Não"))</f>
        <v>Sim</v>
      </c>
      <c r="S571" s="32">
        <f>IF(R571&lt;&gt;"Não","",IF(Q571+Config!$B$9&lt;=Config!$B$8,Config!$B$8-Q571,""))</f>
        <v/>
      </c>
      <c r="T571" s="26">
        <f>IF(S571="","","Sim")</f>
        <v/>
      </c>
      <c r="U571" s="41">
        <f>IF(T571="Sim",S571+ROW()/100000,0)</f>
        <v>0</v>
      </c>
      <c r="V571" s="41">
        <f>IF(AND(H571="Falta",L571=Config!$B$7,M571=Config!$B$5,COUNTIFS($E$5:E571,E571,$H$5:H571,"Falta",$L$5:L571,Config!$B$7,$M$5:M571,Config!$B$5)=1),COUNTIFS($E$5:$E$3004,E571,$H$5:$H$3004,"Falta",$L$5:$L$3004,Config!$B$7,$M$5:$M$3004,Config!$B$5)*1000-ROW()/100000,0)</f>
        <v>0</v>
      </c>
    </row>
    <row r="572">
      <c r="A572" s="39" t="n">
        <v>46231</v>
      </c>
      <c r="B572" s="40" t="n">
        <v>0.6458333333333334</v>
      </c>
      <c r="C572" s="35" t="inlineStr">
        <is>
          <t>Dra. Renata Sousa</t>
        </is>
      </c>
      <c r="D572" s="35" t="inlineStr">
        <is>
          <t>Sala 1</t>
        </is>
      </c>
      <c r="E572" s="34" t="inlineStr">
        <is>
          <t>Cláudia Melo</t>
        </is>
      </c>
      <c r="F572" s="35" t="inlineStr">
        <is>
          <t>Particular</t>
        </is>
      </c>
      <c r="G572" s="35" t="inlineStr">
        <is>
          <t>Avaliação endócrina</t>
        </is>
      </c>
      <c r="H572" s="35" t="inlineStr">
        <is>
          <t>Realizado</t>
        </is>
      </c>
      <c r="I572" s="35" t="inlineStr">
        <is>
          <t>Pix</t>
        </is>
      </c>
      <c r="J572" s="35" t="n"/>
      <c r="K572" s="34" t="n"/>
      <c r="L572" s="26">
        <f>IF(A572="","",MONTH(A572))</f>
        <v>7</v>
      </c>
      <c r="M572" s="26">
        <f>IF(A572="","",YEAR(A572))</f>
        <v>2026</v>
      </c>
      <c r="N572" s="26" t="str">
        <f>IF(A572="","",CHOOSE(WEEKDAY(A572,2),"Segunda","Terça","Quarta","Quinta","Sexta","Sábado","Domingo"))</f>
        <v>Terça</v>
      </c>
      <c r="O572" s="26" t="str">
        <f>IF(B572="","",IF(B572&lt;TIME(12,0,0),"Manhã",IF(B572&lt;TIME(18,0,0),"Tarde","Noite")))</f>
        <v>Tarde</v>
      </c>
      <c r="P572" s="32">
        <f>IF(G572="","",IFERROR(INDEX(Config!$I$5:$I$16,MATCH(G572,Config!$H$5:$H$16,0)),0))</f>
        <v>45</v>
      </c>
      <c r="Q572" s="30">
        <f>IF(OR(H572&lt;&gt;"Realizado",P572="",P572=0),"",A572+P572)</f>
        <v>46276.0</v>
      </c>
      <c r="R572" s="26" t="str">
        <f>IF(Q572="","",IF(COUNTIFS($E$5:$E$3004,E572,$A$5:$A$3004,"&gt;"&amp;A572,$H$5:$H$3004,"&lt;&gt;Falta",$H$5:$H$3004,"&lt;&gt;Cancelado",$H$5:$H$3004,"&lt;&gt;Remarcado")&gt;0,"Sim","Não"))</f>
        <v>Sim</v>
      </c>
      <c r="S572" s="32">
        <f>IF(R572&lt;&gt;"Não","",IF(Q572+Config!$B$9&lt;=Config!$B$8,Config!$B$8-Q572,""))</f>
        <v/>
      </c>
      <c r="T572" s="26">
        <f>IF(S572="","","Sim")</f>
        <v/>
      </c>
      <c r="U572" s="41">
        <f>IF(T572="Sim",S572+ROW()/100000,0)</f>
        <v>0</v>
      </c>
      <c r="V572" s="41">
        <f>IF(AND(H572="Falta",L572=Config!$B$7,M572=Config!$B$5,COUNTIFS($E$5:E572,E572,$H$5:H572,"Falta",$L$5:L572,Config!$B$7,$M$5:M572,Config!$B$5)=1),COUNTIFS($E$5:$E$3004,E572,$H$5:$H$3004,"Falta",$L$5:$L$3004,Config!$B$7,$M$5:$M$3004,Config!$B$5)*1000-ROW()/100000,0)</f>
        <v>0</v>
      </c>
    </row>
    <row r="573">
      <c r="A573" s="39" t="n">
        <v>46231</v>
      </c>
      <c r="B573" s="40" t="n">
        <v>0.6597222222222222</v>
      </c>
      <c r="C573" s="35" t="inlineStr">
        <is>
          <t>Dr. Paulo Andrade</t>
        </is>
      </c>
      <c r="D573" s="35" t="inlineStr">
        <is>
          <t>Sala 2</t>
        </is>
      </c>
      <c r="E573" s="34" t="inlineStr">
        <is>
          <t>Marcelo Ferreira</t>
        </is>
      </c>
      <c r="F573" s="35" t="inlineStr">
        <is>
          <t>Particular</t>
        </is>
      </c>
      <c r="G573" s="35" t="inlineStr">
        <is>
          <t>Consulta</t>
        </is>
      </c>
      <c r="H573" s="35" t="inlineStr">
        <is>
          <t>Realizado</t>
        </is>
      </c>
      <c r="I573" s="35" t="inlineStr">
        <is>
          <t>Cartão de débito</t>
        </is>
      </c>
      <c r="J573" s="35" t="n"/>
      <c r="K573" s="34" t="n"/>
      <c r="L573" s="26">
        <f>IF(A573="","",MONTH(A573))</f>
        <v>7</v>
      </c>
      <c r="M573" s="26">
        <f>IF(A573="","",YEAR(A573))</f>
        <v>2026</v>
      </c>
      <c r="N573" s="26" t="str">
        <f>IF(A573="","",CHOOSE(WEEKDAY(A573,2),"Segunda","Terça","Quarta","Quinta","Sexta","Sábado","Domingo"))</f>
        <v>Terça</v>
      </c>
      <c r="O573" s="26" t="str">
        <f>IF(B573="","",IF(B573&lt;TIME(12,0,0),"Manhã",IF(B573&lt;TIME(18,0,0),"Tarde","Noite")))</f>
        <v>Tarde</v>
      </c>
      <c r="P573" s="32">
        <f>IF(G573="","",IFERROR(INDEX(Config!$I$5:$I$16,MATCH(G573,Config!$H$5:$H$16,0)),0))</f>
        <v>30</v>
      </c>
      <c r="Q573" s="30">
        <f>IF(OR(H573&lt;&gt;"Realizado",P573="",P573=0),"",A573+P573)</f>
        <v>46261.0</v>
      </c>
      <c r="R573" s="26" t="str">
        <f>IF(Q573="","",IF(COUNTIFS($E$5:$E$3004,E573,$A$5:$A$3004,"&gt;"&amp;A573,$H$5:$H$3004,"&lt;&gt;Falta",$H$5:$H$3004,"&lt;&gt;Cancelado",$H$5:$H$3004,"&lt;&gt;Remarcado")&gt;0,"Sim","Não"))</f>
        <v>Sim</v>
      </c>
      <c r="S573" s="32">
        <f>IF(R573&lt;&gt;"Não","",IF(Q573+Config!$B$9&lt;=Config!$B$8,Config!$B$8-Q573,""))</f>
        <v/>
      </c>
      <c r="T573" s="26">
        <f>IF(S573="","","Sim")</f>
        <v/>
      </c>
      <c r="U573" s="41">
        <f>IF(T573="Sim",S573+ROW()/100000,0)</f>
        <v>0</v>
      </c>
      <c r="V573" s="41">
        <f>IF(AND(H573="Falta",L573=Config!$B$7,M573=Config!$B$5,COUNTIFS($E$5:E573,E573,$H$5:H573,"Falta",$L$5:L573,Config!$B$7,$M$5:M573,Config!$B$5)=1),COUNTIFS($E$5:$E$3004,E573,$H$5:$H$3004,"Falta",$L$5:$L$3004,Config!$B$7,$M$5:$M$3004,Config!$B$5)*1000-ROW()/100000,0)</f>
        <v>0</v>
      </c>
    </row>
    <row r="574">
      <c r="A574" s="39" t="n">
        <v>46231</v>
      </c>
      <c r="B574" s="40" t="n">
        <v>0.6736111111111112</v>
      </c>
      <c r="C574" s="35" t="inlineStr">
        <is>
          <t>Dra. Renata Sousa</t>
        </is>
      </c>
      <c r="D574" s="35" t="inlineStr">
        <is>
          <t>Sala 1</t>
        </is>
      </c>
      <c r="E574" s="34" t="inlineStr">
        <is>
          <t>Rafael Pereira</t>
        </is>
      </c>
      <c r="F574" s="35" t="inlineStr">
        <is>
          <t>Particular</t>
        </is>
      </c>
      <c r="G574" s="35" t="inlineStr">
        <is>
          <t>Avaliação endócrina</t>
        </is>
      </c>
      <c r="H574" s="35" t="inlineStr">
        <is>
          <t>Realizado</t>
        </is>
      </c>
      <c r="I574" s="35" t="inlineStr">
        <is>
          <t>A prazo</t>
        </is>
      </c>
      <c r="J574" s="35" t="n"/>
      <c r="K574" s="34" t="n"/>
      <c r="L574" s="26">
        <f>IF(A574="","",MONTH(A574))</f>
        <v>7</v>
      </c>
      <c r="M574" s="26">
        <f>IF(A574="","",YEAR(A574))</f>
        <v>2026</v>
      </c>
      <c r="N574" s="26" t="str">
        <f>IF(A574="","",CHOOSE(WEEKDAY(A574,2),"Segunda","Terça","Quarta","Quinta","Sexta","Sábado","Domingo"))</f>
        <v>Terça</v>
      </c>
      <c r="O574" s="26" t="str">
        <f>IF(B574="","",IF(B574&lt;TIME(12,0,0),"Manhã",IF(B574&lt;TIME(18,0,0),"Tarde","Noite")))</f>
        <v>Tarde</v>
      </c>
      <c r="P574" s="32">
        <f>IF(G574="","",IFERROR(INDEX(Config!$I$5:$I$16,MATCH(G574,Config!$H$5:$H$16,0)),0))</f>
        <v>45</v>
      </c>
      <c r="Q574" s="30">
        <f>IF(OR(H574&lt;&gt;"Realizado",P574="",P574=0),"",A574+P574)</f>
        <v>46276.0</v>
      </c>
      <c r="R574" s="26" t="str">
        <f>IF(Q574="","",IF(COUNTIFS($E$5:$E$3004,E574,$A$5:$A$3004,"&gt;"&amp;A574,$H$5:$H$3004,"&lt;&gt;Falta",$H$5:$H$3004,"&lt;&gt;Cancelado",$H$5:$H$3004,"&lt;&gt;Remarcado")&gt;0,"Sim","Não"))</f>
        <v>Sim</v>
      </c>
      <c r="S574" s="32">
        <f>IF(R574&lt;&gt;"Não","",IF(Q574+Config!$B$9&lt;=Config!$B$8,Config!$B$8-Q574,""))</f>
        <v/>
      </c>
      <c r="T574" s="26">
        <f>IF(S574="","","Sim")</f>
        <v/>
      </c>
      <c r="U574" s="41">
        <f>IF(T574="Sim",S574+ROW()/100000,0)</f>
        <v>0</v>
      </c>
      <c r="V574" s="41">
        <f>IF(AND(H574="Falta",L574=Config!$B$7,M574=Config!$B$5,COUNTIFS($E$5:E574,E574,$H$5:H574,"Falta",$L$5:L574,Config!$B$7,$M$5:M574,Config!$B$5)=1),COUNTIFS($E$5:$E$3004,E574,$H$5:$H$3004,"Falta",$L$5:$L$3004,Config!$B$7,$M$5:$M$3004,Config!$B$5)*1000-ROW()/100000,0)</f>
        <v>0</v>
      </c>
    </row>
    <row r="575">
      <c r="A575" s="39" t="n">
        <v>46231</v>
      </c>
      <c r="B575" s="40" t="n">
        <v>0.6805555555555556</v>
      </c>
      <c r="C575" s="35" t="inlineStr">
        <is>
          <t>Dr. Paulo Andrade</t>
        </is>
      </c>
      <c r="D575" s="35" t="inlineStr">
        <is>
          <t>Sala 2</t>
        </is>
      </c>
      <c r="E575" s="34" t="inlineStr">
        <is>
          <t>Patrícia Vieira</t>
        </is>
      </c>
      <c r="F575" s="35" t="inlineStr">
        <is>
          <t>Saúde Total</t>
        </is>
      </c>
      <c r="G575" s="35" t="inlineStr">
        <is>
          <t>Consulta</t>
        </is>
      </c>
      <c r="H575" s="35" t="inlineStr">
        <is>
          <t>Realizado</t>
        </is>
      </c>
      <c r="I575" s="35" t="inlineStr">
        <is>
          <t>Convênio</t>
        </is>
      </c>
      <c r="J575" s="35" t="n"/>
      <c r="K575" s="34" t="n"/>
      <c r="L575" s="26">
        <f>IF(A575="","",MONTH(A575))</f>
        <v>7</v>
      </c>
      <c r="M575" s="26">
        <f>IF(A575="","",YEAR(A575))</f>
        <v>2026</v>
      </c>
      <c r="N575" s="26" t="str">
        <f>IF(A575="","",CHOOSE(WEEKDAY(A575,2),"Segunda","Terça","Quarta","Quinta","Sexta","Sábado","Domingo"))</f>
        <v>Terça</v>
      </c>
      <c r="O575" s="26" t="str">
        <f>IF(B575="","",IF(B575&lt;TIME(12,0,0),"Manhã",IF(B575&lt;TIME(18,0,0),"Tarde","Noite")))</f>
        <v>Tarde</v>
      </c>
      <c r="P575" s="32">
        <f>IF(G575="","",IFERROR(INDEX(Config!$I$5:$I$16,MATCH(G575,Config!$H$5:$H$16,0)),0))</f>
        <v>30</v>
      </c>
      <c r="Q575" s="30">
        <f>IF(OR(H575&lt;&gt;"Realizado",P575="",P575=0),"",A575+P575)</f>
        <v>46261.0</v>
      </c>
      <c r="R575" s="26" t="str">
        <f>IF(Q575="","",IF(COUNTIFS($E$5:$E$3004,E575,$A$5:$A$3004,"&gt;"&amp;A575,$H$5:$H$3004,"&lt;&gt;Falta",$H$5:$H$3004,"&lt;&gt;Cancelado",$H$5:$H$3004,"&lt;&gt;Remarcado")&gt;0,"Sim","Não"))</f>
        <v>Sim</v>
      </c>
      <c r="S575" s="32">
        <f>IF(R575&lt;&gt;"Não","",IF(Q575+Config!$B$9&lt;=Config!$B$8,Config!$B$8-Q575,""))</f>
        <v/>
      </c>
      <c r="T575" s="26">
        <f>IF(S575="","","Sim")</f>
        <v/>
      </c>
      <c r="U575" s="41">
        <f>IF(T575="Sim",S575+ROW()/100000,0)</f>
        <v>0</v>
      </c>
      <c r="V575" s="41">
        <f>IF(AND(H575="Falta",L575=Config!$B$7,M575=Config!$B$5,COUNTIFS($E$5:E575,E575,$H$5:H575,"Falta",$L$5:L575,Config!$B$7,$M$5:M575,Config!$B$5)=1),COUNTIFS($E$5:$E$3004,E575,$H$5:$H$3004,"Falta",$L$5:$L$3004,Config!$B$7,$M$5:$M$3004,Config!$B$5)*1000-ROW()/100000,0)</f>
        <v>0</v>
      </c>
    </row>
    <row r="576">
      <c r="A576" s="39" t="n">
        <v>46231</v>
      </c>
      <c r="B576" s="40" t="n">
        <v>0.7013888888888888</v>
      </c>
      <c r="C576" s="35" t="inlineStr">
        <is>
          <t>Dra. Renata Sousa</t>
        </is>
      </c>
      <c r="D576" s="35" t="inlineStr">
        <is>
          <t>Sala 1</t>
        </is>
      </c>
      <c r="E576" s="34" t="inlineStr">
        <is>
          <t>Roberta Lima</t>
        </is>
      </c>
      <c r="F576" s="35" t="inlineStr">
        <is>
          <t>Particular</t>
        </is>
      </c>
      <c r="G576" s="35" t="inlineStr">
        <is>
          <t>Retorno</t>
        </is>
      </c>
      <c r="H576" s="35" t="inlineStr">
        <is>
          <t>Realizado</t>
        </is>
      </c>
      <c r="I576" s="35" t="inlineStr">
        <is>
          <t>Sem cobrança</t>
        </is>
      </c>
      <c r="J576" s="35" t="n"/>
      <c r="K576" s="34" t="n"/>
      <c r="L576" s="26">
        <f>IF(A576="","",MONTH(A576))</f>
        <v>7</v>
      </c>
      <c r="M576" s="26">
        <f>IF(A576="","",YEAR(A576))</f>
        <v>2026</v>
      </c>
      <c r="N576" s="26" t="str">
        <f>IF(A576="","",CHOOSE(WEEKDAY(A576,2),"Segunda","Terça","Quarta","Quinta","Sexta","Sábado","Domingo"))</f>
        <v>Terça</v>
      </c>
      <c r="O576" s="26" t="str">
        <f>IF(B576="","",IF(B576&lt;TIME(12,0,0),"Manhã",IF(B576&lt;TIME(18,0,0),"Tarde","Noite")))</f>
        <v>Tarde</v>
      </c>
      <c r="P576" s="32">
        <f>IF(G576="","",IFERROR(INDEX(Config!$I$5:$I$16,MATCH(G576,Config!$H$5:$H$16,0)),0))</f>
        <v>0</v>
      </c>
      <c r="Q576" s="30">
        <f>IF(OR(H576&lt;&gt;"Realizado",P576="",P576=0),"",A576+P576)</f>
        <v/>
      </c>
      <c r="R576" s="26">
        <f>IF(Q576="","",IF(COUNTIFS($E$5:$E$3004,E576,$A$5:$A$3004,"&gt;"&amp;A576,$H$5:$H$3004,"&lt;&gt;Falta",$H$5:$H$3004,"&lt;&gt;Cancelado",$H$5:$H$3004,"&lt;&gt;Remarcado")&gt;0,"Sim","Não"))</f>
        <v/>
      </c>
      <c r="S576" s="32">
        <f>IF(R576&lt;&gt;"Não","",IF(Q576+Config!$B$9&lt;=Config!$B$8,Config!$B$8-Q576,""))</f>
        <v/>
      </c>
      <c r="T576" s="26">
        <f>IF(S576="","","Sim")</f>
        <v/>
      </c>
      <c r="U576" s="41">
        <f>IF(T576="Sim",S576+ROW()/100000,0)</f>
        <v>0</v>
      </c>
      <c r="V576" s="41">
        <f>IF(AND(H576="Falta",L576=Config!$B$7,M576=Config!$B$5,COUNTIFS($E$5:E576,E576,$H$5:H576,"Falta",$L$5:L576,Config!$B$7,$M$5:M576,Config!$B$5)=1),COUNTIFS($E$5:$E$3004,E576,$H$5:$H$3004,"Falta",$L$5:$L$3004,Config!$B$7,$M$5:$M$3004,Config!$B$5)*1000-ROW()/100000,0)</f>
        <v>0</v>
      </c>
    </row>
    <row r="577">
      <c r="A577" s="39" t="n">
        <v>46231</v>
      </c>
      <c r="B577" s="40" t="n">
        <v>0.7013888888888888</v>
      </c>
      <c r="C577" s="35" t="inlineStr">
        <is>
          <t>Dr. Paulo Andrade</t>
        </is>
      </c>
      <c r="D577" s="35" t="inlineStr">
        <is>
          <t>Sala 2</t>
        </is>
      </c>
      <c r="E577" s="34" t="inlineStr">
        <is>
          <t>Fernanda Freitas</t>
        </is>
      </c>
      <c r="F577" s="35" t="inlineStr">
        <is>
          <t>Particular</t>
        </is>
      </c>
      <c r="G577" s="35" t="inlineStr">
        <is>
          <t>Teste ergométrico</t>
        </is>
      </c>
      <c r="H577" s="35" t="inlineStr">
        <is>
          <t>Realizado</t>
        </is>
      </c>
      <c r="I577" s="35" t="inlineStr">
        <is>
          <t>Cartão de crédito</t>
        </is>
      </c>
      <c r="J577" s="35" t="n"/>
      <c r="K577" s="34" t="n"/>
      <c r="L577" s="26">
        <f>IF(A577="","",MONTH(A577))</f>
        <v>7</v>
      </c>
      <c r="M577" s="26">
        <f>IF(A577="","",YEAR(A577))</f>
        <v>2026</v>
      </c>
      <c r="N577" s="26" t="str">
        <f>IF(A577="","",CHOOSE(WEEKDAY(A577,2),"Segunda","Terça","Quarta","Quinta","Sexta","Sábado","Domingo"))</f>
        <v>Terça</v>
      </c>
      <c r="O577" s="26" t="str">
        <f>IF(B577="","",IF(B577&lt;TIME(12,0,0),"Manhã",IF(B577&lt;TIME(18,0,0),"Tarde","Noite")))</f>
        <v>Tarde</v>
      </c>
      <c r="P577" s="32">
        <f>IF(G577="","",IFERROR(INDEX(Config!$I$5:$I$16,MATCH(G577,Config!$H$5:$H$16,0)),0))</f>
        <v>0</v>
      </c>
      <c r="Q577" s="30">
        <f>IF(OR(H577&lt;&gt;"Realizado",P577="",P577=0),"",A577+P577)</f>
        <v/>
      </c>
      <c r="R577" s="26">
        <f>IF(Q577="","",IF(COUNTIFS($E$5:$E$3004,E577,$A$5:$A$3004,"&gt;"&amp;A577,$H$5:$H$3004,"&lt;&gt;Falta",$H$5:$H$3004,"&lt;&gt;Cancelado",$H$5:$H$3004,"&lt;&gt;Remarcado")&gt;0,"Sim","Não"))</f>
        <v/>
      </c>
      <c r="S577" s="32">
        <f>IF(R577&lt;&gt;"Não","",IF(Q577+Config!$B$9&lt;=Config!$B$8,Config!$B$8-Q577,""))</f>
        <v/>
      </c>
      <c r="T577" s="26">
        <f>IF(S577="","","Sim")</f>
        <v/>
      </c>
      <c r="U577" s="41">
        <f>IF(T577="Sim",S577+ROW()/100000,0)</f>
        <v>0</v>
      </c>
      <c r="V577" s="41">
        <f>IF(AND(H577="Falta",L577=Config!$B$7,M577=Config!$B$5,COUNTIFS($E$5:E577,E577,$H$5:H577,"Falta",$L$5:L577,Config!$B$7,$M$5:M577,Config!$B$5)=1),COUNTIFS($E$5:$E$3004,E577,$H$5:$H$3004,"Falta",$L$5:$L$3004,Config!$B$7,$M$5:$M$3004,Config!$B$5)*1000-ROW()/100000,0)</f>
        <v>0</v>
      </c>
    </row>
    <row r="578">
      <c r="A578" s="39" t="n">
        <v>46231</v>
      </c>
      <c r="B578" s="40" t="n">
        <v>0.7152777777777778</v>
      </c>
      <c r="C578" s="35" t="inlineStr">
        <is>
          <t>Dra. Renata Sousa</t>
        </is>
      </c>
      <c r="D578" s="35" t="inlineStr">
        <is>
          <t>Sala 1</t>
        </is>
      </c>
      <c r="E578" s="34" t="inlineStr">
        <is>
          <t>Fábio Ferreira</t>
        </is>
      </c>
      <c r="F578" s="35" t="inlineStr">
        <is>
          <t>Particular</t>
        </is>
      </c>
      <c r="G578" s="35" t="inlineStr">
        <is>
          <t>Avaliação endócrina</t>
        </is>
      </c>
      <c r="H578" s="35" t="inlineStr">
        <is>
          <t>Cancelado</t>
        </is>
      </c>
      <c r="I578" s="35" t="n"/>
      <c r="J578" s="35" t="n"/>
      <c r="K578" s="34" t="n"/>
      <c r="L578" s="26">
        <f>IF(A578="","",MONTH(A578))</f>
        <v>7</v>
      </c>
      <c r="M578" s="26">
        <f>IF(A578="","",YEAR(A578))</f>
        <v>2026</v>
      </c>
      <c r="N578" s="26" t="str">
        <f>IF(A578="","",CHOOSE(WEEKDAY(A578,2),"Segunda","Terça","Quarta","Quinta","Sexta","Sábado","Domingo"))</f>
        <v>Terça</v>
      </c>
      <c r="O578" s="26" t="str">
        <f>IF(B578="","",IF(B578&lt;TIME(12,0,0),"Manhã",IF(B578&lt;TIME(18,0,0),"Tarde","Noite")))</f>
        <v>Tarde</v>
      </c>
      <c r="P578" s="32">
        <f>IF(G578="","",IFERROR(INDEX(Config!$I$5:$I$16,MATCH(G578,Config!$H$5:$H$16,0)),0))</f>
        <v>45</v>
      </c>
      <c r="Q578" s="30">
        <f>IF(OR(H578&lt;&gt;"Realizado",P578="",P578=0),"",A578+P578)</f>
        <v/>
      </c>
      <c r="R578" s="26">
        <f>IF(Q578="","",IF(COUNTIFS($E$5:$E$3004,E578,$A$5:$A$3004,"&gt;"&amp;A578,$H$5:$H$3004,"&lt;&gt;Falta",$H$5:$H$3004,"&lt;&gt;Cancelado",$H$5:$H$3004,"&lt;&gt;Remarcado")&gt;0,"Sim","Não"))</f>
        <v/>
      </c>
      <c r="S578" s="32">
        <f>IF(R578&lt;&gt;"Não","",IF(Q578+Config!$B$9&lt;=Config!$B$8,Config!$B$8-Q578,""))</f>
        <v/>
      </c>
      <c r="T578" s="26">
        <f>IF(S578="","","Sim")</f>
        <v/>
      </c>
      <c r="U578" s="41">
        <f>IF(T578="Sim",S578+ROW()/100000,0)</f>
        <v>0</v>
      </c>
      <c r="V578" s="41">
        <f>IF(AND(H578="Falta",L578=Config!$B$7,M578=Config!$B$5,COUNTIFS($E$5:E578,E578,$H$5:H578,"Falta",$L$5:L578,Config!$B$7,$M$5:M578,Config!$B$5)=1),COUNTIFS($E$5:$E$3004,E578,$H$5:$H$3004,"Falta",$L$5:$L$3004,Config!$B$7,$M$5:$M$3004,Config!$B$5)*1000-ROW()/100000,0)</f>
        <v>0</v>
      </c>
    </row>
    <row r="579">
      <c r="A579" s="39" t="n">
        <v>46231</v>
      </c>
      <c r="B579" s="40" t="n">
        <v>0.7291666666666666</v>
      </c>
      <c r="C579" s="35" t="inlineStr">
        <is>
          <t>Dr. Paulo Andrade</t>
        </is>
      </c>
      <c r="D579" s="35" t="inlineStr">
        <is>
          <t>Sala 2</t>
        </is>
      </c>
      <c r="E579" s="34" t="inlineStr">
        <is>
          <t>Priscila Rocha</t>
        </is>
      </c>
      <c r="F579" s="35" t="inlineStr">
        <is>
          <t>MediPlan</t>
        </is>
      </c>
      <c r="G579" s="35" t="inlineStr">
        <is>
          <t>Retorno</t>
        </is>
      </c>
      <c r="H579" s="35" t="inlineStr">
        <is>
          <t>Realizado</t>
        </is>
      </c>
      <c r="I579" s="35" t="inlineStr">
        <is>
          <t>Sem cobrança</t>
        </is>
      </c>
      <c r="J579" s="35" t="n"/>
      <c r="K579" s="34" t="n"/>
      <c r="L579" s="26">
        <f>IF(A579="","",MONTH(A579))</f>
        <v>7</v>
      </c>
      <c r="M579" s="26">
        <f>IF(A579="","",YEAR(A579))</f>
        <v>2026</v>
      </c>
      <c r="N579" s="26" t="str">
        <f>IF(A579="","",CHOOSE(WEEKDAY(A579,2),"Segunda","Terça","Quarta","Quinta","Sexta","Sábado","Domingo"))</f>
        <v>Terça</v>
      </c>
      <c r="O579" s="26" t="str">
        <f>IF(B579="","",IF(B579&lt;TIME(12,0,0),"Manhã",IF(B579&lt;TIME(18,0,0),"Tarde","Noite")))</f>
        <v>Tarde</v>
      </c>
      <c r="P579" s="32">
        <f>IF(G579="","",IFERROR(INDEX(Config!$I$5:$I$16,MATCH(G579,Config!$H$5:$H$16,0)),0))</f>
        <v>0</v>
      </c>
      <c r="Q579" s="30">
        <f>IF(OR(H579&lt;&gt;"Realizado",P579="",P579=0),"",A579+P579)</f>
        <v/>
      </c>
      <c r="R579" s="26">
        <f>IF(Q579="","",IF(COUNTIFS($E$5:$E$3004,E579,$A$5:$A$3004,"&gt;"&amp;A579,$H$5:$H$3004,"&lt;&gt;Falta",$H$5:$H$3004,"&lt;&gt;Cancelado",$H$5:$H$3004,"&lt;&gt;Remarcado")&gt;0,"Sim","Não"))</f>
        <v/>
      </c>
      <c r="S579" s="32">
        <f>IF(R579&lt;&gt;"Não","",IF(Q579+Config!$B$9&lt;=Config!$B$8,Config!$B$8-Q579,""))</f>
        <v/>
      </c>
      <c r="T579" s="26">
        <f>IF(S579="","","Sim")</f>
        <v/>
      </c>
      <c r="U579" s="41">
        <f>IF(T579="Sim",S579+ROW()/100000,0)</f>
        <v>0</v>
      </c>
      <c r="V579" s="41">
        <f>IF(AND(H579="Falta",L579=Config!$B$7,M579=Config!$B$5,COUNTIFS($E$5:E579,E579,$H$5:H579,"Falta",$L$5:L579,Config!$B$7,$M$5:M579,Config!$B$5)=1),COUNTIFS($E$5:$E$3004,E579,$H$5:$H$3004,"Falta",$L$5:$L$3004,Config!$B$7,$M$5:$M$3004,Config!$B$5)*1000-ROW()/100000,0)</f>
        <v>0</v>
      </c>
    </row>
    <row r="580">
      <c r="A580" s="39" t="n">
        <v>46232</v>
      </c>
      <c r="B580" s="40" t="n">
        <v>0.5833333333333334</v>
      </c>
      <c r="C580" s="35" t="inlineStr">
        <is>
          <t>Dra. Carolina Mendes</t>
        </is>
      </c>
      <c r="D580" s="35" t="inlineStr">
        <is>
          <t>Sala 1</t>
        </is>
      </c>
      <c r="E580" s="34" t="inlineStr">
        <is>
          <t>Priscila Carvalho</t>
        </is>
      </c>
      <c r="F580" s="35" t="inlineStr">
        <is>
          <t>Vida Care</t>
        </is>
      </c>
      <c r="G580" s="35" t="inlineStr">
        <is>
          <t>Retorno</t>
        </is>
      </c>
      <c r="H580" s="35" t="inlineStr">
        <is>
          <t>Realizado</t>
        </is>
      </c>
      <c r="I580" s="35" t="inlineStr">
        <is>
          <t>Sem cobrança</t>
        </is>
      </c>
      <c r="J580" s="35" t="n"/>
      <c r="K580" s="34" t="n"/>
      <c r="L580" s="26">
        <f>IF(A580="","",MONTH(A580))</f>
        <v>7</v>
      </c>
      <c r="M580" s="26">
        <f>IF(A580="","",YEAR(A580))</f>
        <v>2026</v>
      </c>
      <c r="N580" s="26" t="str">
        <f>IF(A580="","",CHOOSE(WEEKDAY(A580,2),"Segunda","Terça","Quarta","Quinta","Sexta","Sábado","Domingo"))</f>
        <v>Quarta</v>
      </c>
      <c r="O580" s="26" t="str">
        <f>IF(B580="","",IF(B580&lt;TIME(12,0,0),"Manhã",IF(B580&lt;TIME(18,0,0),"Tarde","Noite")))</f>
        <v>Tarde</v>
      </c>
      <c r="P580" s="32">
        <f>IF(G580="","",IFERROR(INDEX(Config!$I$5:$I$16,MATCH(G580,Config!$H$5:$H$16,0)),0))</f>
        <v>0</v>
      </c>
      <c r="Q580" s="30">
        <f>IF(OR(H580&lt;&gt;"Realizado",P580="",P580=0),"",A580+P580)</f>
        <v/>
      </c>
      <c r="R580" s="26">
        <f>IF(Q580="","",IF(COUNTIFS($E$5:$E$3004,E580,$A$5:$A$3004,"&gt;"&amp;A580,$H$5:$H$3004,"&lt;&gt;Falta",$H$5:$H$3004,"&lt;&gt;Cancelado",$H$5:$H$3004,"&lt;&gt;Remarcado")&gt;0,"Sim","Não"))</f>
        <v/>
      </c>
      <c r="S580" s="32">
        <f>IF(R580&lt;&gt;"Não","",IF(Q580+Config!$B$9&lt;=Config!$B$8,Config!$B$8-Q580,""))</f>
        <v/>
      </c>
      <c r="T580" s="26">
        <f>IF(S580="","","Sim")</f>
        <v/>
      </c>
      <c r="U580" s="41">
        <f>IF(T580="Sim",S580+ROW()/100000,0)</f>
        <v>0</v>
      </c>
      <c r="V580" s="41">
        <f>IF(AND(H580="Falta",L580=Config!$B$7,M580=Config!$B$5,COUNTIFS($E$5:E580,E580,$H$5:H580,"Falta",$L$5:L580,Config!$B$7,$M$5:M580,Config!$B$5)=1),COUNTIFS($E$5:$E$3004,E580,$H$5:$H$3004,"Falta",$L$5:$L$3004,Config!$B$7,$M$5:$M$3004,Config!$B$5)*1000-ROW()/100000,0)</f>
        <v>0</v>
      </c>
    </row>
    <row r="581">
      <c r="A581" s="39" t="n">
        <v>46232</v>
      </c>
      <c r="B581" s="40" t="n">
        <v>0.5972222222222222</v>
      </c>
      <c r="C581" s="35" t="inlineStr">
        <is>
          <t>Dra. Carolina Mendes</t>
        </is>
      </c>
      <c r="D581" s="35" t="inlineStr">
        <is>
          <t>Sala 1</t>
        </is>
      </c>
      <c r="E581" s="34" t="inlineStr">
        <is>
          <t>Marcelo Santos</t>
        </is>
      </c>
      <c r="F581" s="35" t="inlineStr">
        <is>
          <t>Particular</t>
        </is>
      </c>
      <c r="G581" s="35" t="inlineStr">
        <is>
          <t>Consulta</t>
        </is>
      </c>
      <c r="H581" s="35" t="inlineStr">
        <is>
          <t>Falta</t>
        </is>
      </c>
      <c r="I581" s="35" t="n"/>
      <c r="J581" s="35" t="n"/>
      <c r="K581" s="34" t="n"/>
      <c r="L581" s="26">
        <f>IF(A581="","",MONTH(A581))</f>
        <v>7</v>
      </c>
      <c r="M581" s="26">
        <f>IF(A581="","",YEAR(A581))</f>
        <v>2026</v>
      </c>
      <c r="N581" s="26" t="str">
        <f>IF(A581="","",CHOOSE(WEEKDAY(A581,2),"Segunda","Terça","Quarta","Quinta","Sexta","Sábado","Domingo"))</f>
        <v>Quarta</v>
      </c>
      <c r="O581" s="26" t="str">
        <f>IF(B581="","",IF(B581&lt;TIME(12,0,0),"Manhã",IF(B581&lt;TIME(18,0,0),"Tarde","Noite")))</f>
        <v>Tarde</v>
      </c>
      <c r="P581" s="32">
        <f>IF(G581="","",IFERROR(INDEX(Config!$I$5:$I$16,MATCH(G581,Config!$H$5:$H$16,0)),0))</f>
        <v>30</v>
      </c>
      <c r="Q581" s="30">
        <f>IF(OR(H581&lt;&gt;"Realizado",P581="",P581=0),"",A581+P581)</f>
        <v/>
      </c>
      <c r="R581" s="26">
        <f>IF(Q581="","",IF(COUNTIFS($E$5:$E$3004,E581,$A$5:$A$3004,"&gt;"&amp;A581,$H$5:$H$3004,"&lt;&gt;Falta",$H$5:$H$3004,"&lt;&gt;Cancelado",$H$5:$H$3004,"&lt;&gt;Remarcado")&gt;0,"Sim","Não"))</f>
        <v/>
      </c>
      <c r="S581" s="32">
        <f>IF(R581&lt;&gt;"Não","",IF(Q581+Config!$B$9&lt;=Config!$B$8,Config!$B$8-Q581,""))</f>
        <v/>
      </c>
      <c r="T581" s="26">
        <f>IF(S581="","","Sim")</f>
        <v/>
      </c>
      <c r="U581" s="41">
        <f>IF(T581="Sim",S581+ROW()/100000,0)</f>
        <v>0</v>
      </c>
      <c r="V581" s="41">
        <f>IF(AND(H581="Falta",L581=Config!$B$7,M581=Config!$B$5,COUNTIFS($E$5:E581,E581,$H$5:H581,"Falta",$L$5:L581,Config!$B$7,$M$5:M581,Config!$B$5)=1),COUNTIFS($E$5:$E$3004,E581,$H$5:$H$3004,"Falta",$L$5:$L$3004,Config!$B$7,$M$5:$M$3004,Config!$B$5)*1000-ROW()/100000,0)</f>
        <v>0</v>
      </c>
    </row>
    <row r="582">
      <c r="A582" s="39" t="n">
        <v>46232</v>
      </c>
      <c r="B582" s="40" t="n">
        <v>0.6180555555555556</v>
      </c>
      <c r="C582" s="35" t="inlineStr">
        <is>
          <t>Dra. Carolina Mendes</t>
        </is>
      </c>
      <c r="D582" s="35" t="inlineStr">
        <is>
          <t>Sala 1</t>
        </is>
      </c>
      <c r="E582" s="34" t="inlineStr">
        <is>
          <t>Gisele Xavier</t>
        </is>
      </c>
      <c r="F582" s="35" t="inlineStr">
        <is>
          <t>Particular</t>
        </is>
      </c>
      <c r="G582" s="35" t="inlineStr">
        <is>
          <t>Consulta</t>
        </is>
      </c>
      <c r="H582" s="35" t="inlineStr">
        <is>
          <t>Realizado</t>
        </is>
      </c>
      <c r="I582" s="35" t="inlineStr">
        <is>
          <t>Pix</t>
        </is>
      </c>
      <c r="J582" s="35" t="n"/>
      <c r="K582" s="34" t="n"/>
      <c r="L582" s="26">
        <f>IF(A582="","",MONTH(A582))</f>
        <v>7</v>
      </c>
      <c r="M582" s="26">
        <f>IF(A582="","",YEAR(A582))</f>
        <v>2026</v>
      </c>
      <c r="N582" s="26" t="str">
        <f>IF(A582="","",CHOOSE(WEEKDAY(A582,2),"Segunda","Terça","Quarta","Quinta","Sexta","Sábado","Domingo"))</f>
        <v>Quarta</v>
      </c>
      <c r="O582" s="26" t="str">
        <f>IF(B582="","",IF(B582&lt;TIME(12,0,0),"Manhã",IF(B582&lt;TIME(18,0,0),"Tarde","Noite")))</f>
        <v>Tarde</v>
      </c>
      <c r="P582" s="32">
        <f>IF(G582="","",IFERROR(INDEX(Config!$I$5:$I$16,MATCH(G582,Config!$H$5:$H$16,0)),0))</f>
        <v>30</v>
      </c>
      <c r="Q582" s="30">
        <f>IF(OR(H582&lt;&gt;"Realizado",P582="",P582=0),"",A582+P582)</f>
        <v>46262.0</v>
      </c>
      <c r="R582" s="26" t="str">
        <f>IF(Q582="","",IF(COUNTIFS($E$5:$E$3004,E582,$A$5:$A$3004,"&gt;"&amp;A582,$H$5:$H$3004,"&lt;&gt;Falta",$H$5:$H$3004,"&lt;&gt;Cancelado",$H$5:$H$3004,"&lt;&gt;Remarcado")&gt;0,"Sim","Não"))</f>
        <v>Sim</v>
      </c>
      <c r="S582" s="32">
        <f>IF(R582&lt;&gt;"Não","",IF(Q582+Config!$B$9&lt;=Config!$B$8,Config!$B$8-Q582,""))</f>
        <v/>
      </c>
      <c r="T582" s="26">
        <f>IF(S582="","","Sim")</f>
        <v/>
      </c>
      <c r="U582" s="41">
        <f>IF(T582="Sim",S582+ROW()/100000,0)</f>
        <v>0</v>
      </c>
      <c r="V582" s="41">
        <f>IF(AND(H582="Falta",L582=Config!$B$7,M582=Config!$B$5,COUNTIFS($E$5:E582,E582,$H$5:H582,"Falta",$L$5:L582,Config!$B$7,$M$5:M582,Config!$B$5)=1),COUNTIFS($E$5:$E$3004,E582,$H$5:$H$3004,"Falta",$L$5:$L$3004,Config!$B$7,$M$5:$M$3004,Config!$B$5)*1000-ROW()/100000,0)</f>
        <v>0</v>
      </c>
    </row>
    <row r="583">
      <c r="A583" s="39" t="n">
        <v>46232</v>
      </c>
      <c r="B583" s="40" t="n">
        <v>0.6388888888888888</v>
      </c>
      <c r="C583" s="35" t="inlineStr">
        <is>
          <t>Dra. Carolina Mendes</t>
        </is>
      </c>
      <c r="D583" s="35" t="inlineStr">
        <is>
          <t>Sala 1</t>
        </is>
      </c>
      <c r="E583" s="34" t="inlineStr">
        <is>
          <t>Cláudia Santos</t>
        </is>
      </c>
      <c r="F583" s="35" t="inlineStr">
        <is>
          <t>Particular</t>
        </is>
      </c>
      <c r="G583" s="35" t="inlineStr">
        <is>
          <t>Consulta</t>
        </is>
      </c>
      <c r="H583" s="35" t="inlineStr">
        <is>
          <t>Realizado</t>
        </is>
      </c>
      <c r="I583" s="35" t="inlineStr">
        <is>
          <t>Pix</t>
        </is>
      </c>
      <c r="J583" s="35" t="n"/>
      <c r="K583" s="34" t="n"/>
      <c r="L583" s="26">
        <f>IF(A583="","",MONTH(A583))</f>
        <v>7</v>
      </c>
      <c r="M583" s="26">
        <f>IF(A583="","",YEAR(A583))</f>
        <v>2026</v>
      </c>
      <c r="N583" s="26" t="str">
        <f>IF(A583="","",CHOOSE(WEEKDAY(A583,2),"Segunda","Terça","Quarta","Quinta","Sexta","Sábado","Domingo"))</f>
        <v>Quarta</v>
      </c>
      <c r="O583" s="26" t="str">
        <f>IF(B583="","",IF(B583&lt;TIME(12,0,0),"Manhã",IF(B583&lt;TIME(18,0,0),"Tarde","Noite")))</f>
        <v>Tarde</v>
      </c>
      <c r="P583" s="32">
        <f>IF(G583="","",IFERROR(INDEX(Config!$I$5:$I$16,MATCH(G583,Config!$H$5:$H$16,0)),0))</f>
        <v>30</v>
      </c>
      <c r="Q583" s="30">
        <f>IF(OR(H583&lt;&gt;"Realizado",P583="",P583=0),"",A583+P583)</f>
        <v>46262.0</v>
      </c>
      <c r="R583" s="26" t="str">
        <f>IF(Q583="","",IF(COUNTIFS($E$5:$E$3004,E583,$A$5:$A$3004,"&gt;"&amp;A583,$H$5:$H$3004,"&lt;&gt;Falta",$H$5:$H$3004,"&lt;&gt;Cancelado",$H$5:$H$3004,"&lt;&gt;Remarcado")&gt;0,"Sim","Não"))</f>
        <v>Sim</v>
      </c>
      <c r="S583" s="32">
        <f>IF(R583&lt;&gt;"Não","",IF(Q583+Config!$B$9&lt;=Config!$B$8,Config!$B$8-Q583,""))</f>
        <v/>
      </c>
      <c r="T583" s="26">
        <f>IF(S583="","","Sim")</f>
        <v/>
      </c>
      <c r="U583" s="41">
        <f>IF(T583="Sim",S583+ROW()/100000,0)</f>
        <v>0</v>
      </c>
      <c r="V583" s="41">
        <f>IF(AND(H583="Falta",L583=Config!$B$7,M583=Config!$B$5,COUNTIFS($E$5:E583,E583,$H$5:H583,"Falta",$L$5:L583,Config!$B$7,$M$5:M583,Config!$B$5)=1),COUNTIFS($E$5:$E$3004,E583,$H$5:$H$3004,"Falta",$L$5:$L$3004,Config!$B$7,$M$5:$M$3004,Config!$B$5)*1000-ROW()/100000,0)</f>
        <v>0</v>
      </c>
    </row>
    <row r="584">
      <c r="A584" s="39" t="n">
        <v>46232</v>
      </c>
      <c r="B584" s="40" t="n">
        <v>0.6597222222222222</v>
      </c>
      <c r="C584" s="35" t="inlineStr">
        <is>
          <t>Dra. Carolina Mendes</t>
        </is>
      </c>
      <c r="D584" s="35" t="inlineStr">
        <is>
          <t>Sala 1</t>
        </is>
      </c>
      <c r="E584" s="34" t="inlineStr">
        <is>
          <t>Regina Castro</t>
        </is>
      </c>
      <c r="F584" s="35" t="inlineStr">
        <is>
          <t>Vida Care</t>
        </is>
      </c>
      <c r="G584" s="35" t="inlineStr">
        <is>
          <t>Consulta</t>
        </is>
      </c>
      <c r="H584" s="35" t="inlineStr">
        <is>
          <t>Realizado</t>
        </is>
      </c>
      <c r="I584" s="35" t="inlineStr">
        <is>
          <t>Convênio</t>
        </is>
      </c>
      <c r="J584" s="35" t="n"/>
      <c r="K584" s="34" t="n"/>
      <c r="L584" s="26">
        <f>IF(A584="","",MONTH(A584))</f>
        <v>7</v>
      </c>
      <c r="M584" s="26">
        <f>IF(A584="","",YEAR(A584))</f>
        <v>2026</v>
      </c>
      <c r="N584" s="26" t="str">
        <f>IF(A584="","",CHOOSE(WEEKDAY(A584,2),"Segunda","Terça","Quarta","Quinta","Sexta","Sábado","Domingo"))</f>
        <v>Quarta</v>
      </c>
      <c r="O584" s="26" t="str">
        <f>IF(B584="","",IF(B584&lt;TIME(12,0,0),"Manhã",IF(B584&lt;TIME(18,0,0),"Tarde","Noite")))</f>
        <v>Tarde</v>
      </c>
      <c r="P584" s="32">
        <f>IF(G584="","",IFERROR(INDEX(Config!$I$5:$I$16,MATCH(G584,Config!$H$5:$H$16,0)),0))</f>
        <v>30</v>
      </c>
      <c r="Q584" s="30">
        <f>IF(OR(H584&lt;&gt;"Realizado",P584="",P584=0),"",A584+P584)</f>
        <v>46262.0</v>
      </c>
      <c r="R584" s="26" t="str">
        <f>IF(Q584="","",IF(COUNTIFS($E$5:$E$3004,E584,$A$5:$A$3004,"&gt;"&amp;A584,$H$5:$H$3004,"&lt;&gt;Falta",$H$5:$H$3004,"&lt;&gt;Cancelado",$H$5:$H$3004,"&lt;&gt;Remarcado")&gt;0,"Sim","Não"))</f>
        <v>Sim</v>
      </c>
      <c r="S584" s="32">
        <f>IF(R584&lt;&gt;"Não","",IF(Q584+Config!$B$9&lt;=Config!$B$8,Config!$B$8-Q584,""))</f>
        <v/>
      </c>
      <c r="T584" s="26">
        <f>IF(S584="","","Sim")</f>
        <v/>
      </c>
      <c r="U584" s="41">
        <f>IF(T584="Sim",S584+ROW()/100000,0)</f>
        <v>0</v>
      </c>
      <c r="V584" s="41">
        <f>IF(AND(H584="Falta",L584=Config!$B$7,M584=Config!$B$5,COUNTIFS($E$5:E584,E584,$H$5:H584,"Falta",$L$5:L584,Config!$B$7,$M$5:M584,Config!$B$5)=1),COUNTIFS($E$5:$E$3004,E584,$H$5:$H$3004,"Falta",$L$5:$L$3004,Config!$B$7,$M$5:$M$3004,Config!$B$5)*1000-ROW()/100000,0)</f>
        <v>0</v>
      </c>
    </row>
    <row r="585">
      <c r="A585" s="39" t="n">
        <v>46232</v>
      </c>
      <c r="B585" s="40" t="n">
        <v>0.6805555555555556</v>
      </c>
      <c r="C585" s="35" t="inlineStr">
        <is>
          <t>Dra. Carolina Mendes</t>
        </is>
      </c>
      <c r="D585" s="35" t="inlineStr">
        <is>
          <t>Sala 1</t>
        </is>
      </c>
      <c r="E585" s="34" t="inlineStr">
        <is>
          <t>Gustavo Ferreira</t>
        </is>
      </c>
      <c r="F585" s="35" t="inlineStr">
        <is>
          <t>Particular</t>
        </is>
      </c>
      <c r="G585" s="35" t="inlineStr">
        <is>
          <t>Consulta</t>
        </is>
      </c>
      <c r="H585" s="35" t="inlineStr">
        <is>
          <t>Remarcado</t>
        </is>
      </c>
      <c r="I585" s="35" t="n"/>
      <c r="J585" s="35" t="n"/>
      <c r="K585" s="34" t="inlineStr">
        <is>
          <t>Paciente pediu outra data</t>
        </is>
      </c>
      <c r="L585" s="26">
        <f>IF(A585="","",MONTH(A585))</f>
        <v>7</v>
      </c>
      <c r="M585" s="26">
        <f>IF(A585="","",YEAR(A585))</f>
        <v>2026</v>
      </c>
      <c r="N585" s="26" t="str">
        <f>IF(A585="","",CHOOSE(WEEKDAY(A585,2),"Segunda","Terça","Quarta","Quinta","Sexta","Sábado","Domingo"))</f>
        <v>Quarta</v>
      </c>
      <c r="O585" s="26" t="str">
        <f>IF(B585="","",IF(B585&lt;TIME(12,0,0),"Manhã",IF(B585&lt;TIME(18,0,0),"Tarde","Noite")))</f>
        <v>Tarde</v>
      </c>
      <c r="P585" s="32">
        <f>IF(G585="","",IFERROR(INDEX(Config!$I$5:$I$16,MATCH(G585,Config!$H$5:$H$16,0)),0))</f>
        <v>30</v>
      </c>
      <c r="Q585" s="30">
        <f>IF(OR(H585&lt;&gt;"Realizado",P585="",P585=0),"",A585+P585)</f>
        <v/>
      </c>
      <c r="R585" s="26">
        <f>IF(Q585="","",IF(COUNTIFS($E$5:$E$3004,E585,$A$5:$A$3004,"&gt;"&amp;A585,$H$5:$H$3004,"&lt;&gt;Falta",$H$5:$H$3004,"&lt;&gt;Cancelado",$H$5:$H$3004,"&lt;&gt;Remarcado")&gt;0,"Sim","Não"))</f>
        <v/>
      </c>
      <c r="S585" s="32">
        <f>IF(R585&lt;&gt;"Não","",IF(Q585+Config!$B$9&lt;=Config!$B$8,Config!$B$8-Q585,""))</f>
        <v/>
      </c>
      <c r="T585" s="26">
        <f>IF(S585="","","Sim")</f>
        <v/>
      </c>
      <c r="U585" s="41">
        <f>IF(T585="Sim",S585+ROW()/100000,0)</f>
        <v>0</v>
      </c>
      <c r="V585" s="41">
        <f>IF(AND(H585="Falta",L585=Config!$B$7,M585=Config!$B$5,COUNTIFS($E$5:E585,E585,$H$5:H585,"Falta",$L$5:L585,Config!$B$7,$M$5:M585,Config!$B$5)=1),COUNTIFS($E$5:$E$3004,E585,$H$5:$H$3004,"Falta",$L$5:$L$3004,Config!$B$7,$M$5:$M$3004,Config!$B$5)*1000-ROW()/100000,0)</f>
        <v>0</v>
      </c>
    </row>
    <row r="586">
      <c r="A586" s="39" t="n">
        <v>46232</v>
      </c>
      <c r="B586" s="40" t="n">
        <v>0.7013888888888888</v>
      </c>
      <c r="C586" s="35" t="inlineStr">
        <is>
          <t>Dra. Carolina Mendes</t>
        </is>
      </c>
      <c r="D586" s="35" t="inlineStr">
        <is>
          <t>Sala 1</t>
        </is>
      </c>
      <c r="E586" s="34" t="inlineStr">
        <is>
          <t>Gustavo Ferreira</t>
        </is>
      </c>
      <c r="F586" s="35" t="inlineStr">
        <is>
          <t>Particular</t>
        </is>
      </c>
      <c r="G586" s="35" t="inlineStr">
        <is>
          <t>Consulta</t>
        </is>
      </c>
      <c r="H586" s="35" t="inlineStr">
        <is>
          <t>Realizado</t>
        </is>
      </c>
      <c r="I586" s="35" t="inlineStr">
        <is>
          <t>Cartão de débito</t>
        </is>
      </c>
      <c r="J586" s="35" t="n"/>
      <c r="K586" s="34" t="n"/>
      <c r="L586" s="26">
        <f>IF(A586="","",MONTH(A586))</f>
        <v>7</v>
      </c>
      <c r="M586" s="26">
        <f>IF(A586="","",YEAR(A586))</f>
        <v>2026</v>
      </c>
      <c r="N586" s="26" t="str">
        <f>IF(A586="","",CHOOSE(WEEKDAY(A586,2),"Segunda","Terça","Quarta","Quinta","Sexta","Sábado","Domingo"))</f>
        <v>Quarta</v>
      </c>
      <c r="O586" s="26" t="str">
        <f>IF(B586="","",IF(B586&lt;TIME(12,0,0),"Manhã",IF(B586&lt;TIME(18,0,0),"Tarde","Noite")))</f>
        <v>Tarde</v>
      </c>
      <c r="P586" s="32">
        <f>IF(G586="","",IFERROR(INDEX(Config!$I$5:$I$16,MATCH(G586,Config!$H$5:$H$16,0)),0))</f>
        <v>30</v>
      </c>
      <c r="Q586" s="30">
        <f>IF(OR(H586&lt;&gt;"Realizado",P586="",P586=0),"",A586+P586)</f>
        <v>46262.0</v>
      </c>
      <c r="R586" s="26" t="str">
        <f>IF(Q586="","",IF(COUNTIFS($E$5:$E$3004,E586,$A$5:$A$3004,"&gt;"&amp;A586,$H$5:$H$3004,"&lt;&gt;Falta",$H$5:$H$3004,"&lt;&gt;Cancelado",$H$5:$H$3004,"&lt;&gt;Remarcado")&gt;0,"Sim","Não"))</f>
        <v>Sim</v>
      </c>
      <c r="S586" s="32">
        <f>IF(R586&lt;&gt;"Não","",IF(Q586+Config!$B$9&lt;=Config!$B$8,Config!$B$8-Q586,""))</f>
        <v/>
      </c>
      <c r="T586" s="26">
        <f>IF(S586="","","Sim")</f>
        <v/>
      </c>
      <c r="U586" s="41">
        <f>IF(T586="Sim",S586+ROW()/100000,0)</f>
        <v>0</v>
      </c>
      <c r="V586" s="41">
        <f>IF(AND(H586="Falta",L586=Config!$B$7,M586=Config!$B$5,COUNTIFS($E$5:E586,E586,$H$5:H586,"Falta",$L$5:L586,Config!$B$7,$M$5:M586,Config!$B$5)=1),COUNTIFS($E$5:$E$3004,E586,$H$5:$H$3004,"Falta",$L$5:$L$3004,Config!$B$7,$M$5:$M$3004,Config!$B$5)*1000-ROW()/100000,0)</f>
        <v>0</v>
      </c>
    </row>
    <row r="587">
      <c r="A587" s="39" t="n">
        <v>46232</v>
      </c>
      <c r="B587" s="40" t="n">
        <v>0.7222222222222222</v>
      </c>
      <c r="C587" s="35" t="inlineStr">
        <is>
          <t>Dra. Carolina Mendes</t>
        </is>
      </c>
      <c r="D587" s="35" t="inlineStr">
        <is>
          <t>Sala 1</t>
        </is>
      </c>
      <c r="E587" s="34" t="inlineStr">
        <is>
          <t>Rafael Dias</t>
        </is>
      </c>
      <c r="F587" s="35" t="inlineStr">
        <is>
          <t>Particular</t>
        </is>
      </c>
      <c r="G587" s="35" t="inlineStr">
        <is>
          <t>Consulta</t>
        </is>
      </c>
      <c r="H587" s="35" t="inlineStr">
        <is>
          <t>Realizado</t>
        </is>
      </c>
      <c r="I587" s="35" t="inlineStr">
        <is>
          <t>Cartão de débito</t>
        </is>
      </c>
      <c r="J587" s="35" t="n"/>
      <c r="K587" s="34" t="n"/>
      <c r="L587" s="26">
        <f>IF(A587="","",MONTH(A587))</f>
        <v>7</v>
      </c>
      <c r="M587" s="26">
        <f>IF(A587="","",YEAR(A587))</f>
        <v>2026</v>
      </c>
      <c r="N587" s="26" t="str">
        <f>IF(A587="","",CHOOSE(WEEKDAY(A587,2),"Segunda","Terça","Quarta","Quinta","Sexta","Sábado","Domingo"))</f>
        <v>Quarta</v>
      </c>
      <c r="O587" s="26" t="str">
        <f>IF(B587="","",IF(B587&lt;TIME(12,0,0),"Manhã",IF(B587&lt;TIME(18,0,0),"Tarde","Noite")))</f>
        <v>Tarde</v>
      </c>
      <c r="P587" s="32">
        <f>IF(G587="","",IFERROR(INDEX(Config!$I$5:$I$16,MATCH(G587,Config!$H$5:$H$16,0)),0))</f>
        <v>30</v>
      </c>
      <c r="Q587" s="30">
        <f>IF(OR(H587&lt;&gt;"Realizado",P587="",P587=0),"",A587+P587)</f>
        <v>46262.0</v>
      </c>
      <c r="R587" s="26" t="str">
        <f>IF(Q587="","",IF(COUNTIFS($E$5:$E$3004,E587,$A$5:$A$3004,"&gt;"&amp;A587,$H$5:$H$3004,"&lt;&gt;Falta",$H$5:$H$3004,"&lt;&gt;Cancelado",$H$5:$H$3004,"&lt;&gt;Remarcado")&gt;0,"Sim","Não"))</f>
        <v>Sim</v>
      </c>
      <c r="S587" s="32">
        <f>IF(R587&lt;&gt;"Não","",IF(Q587+Config!$B$9&lt;=Config!$B$8,Config!$B$8-Q587,""))</f>
        <v/>
      </c>
      <c r="T587" s="26">
        <f>IF(S587="","","Sim")</f>
        <v/>
      </c>
      <c r="U587" s="41">
        <f>IF(T587="Sim",S587+ROW()/100000,0)</f>
        <v>0</v>
      </c>
      <c r="V587" s="41">
        <f>IF(AND(H587="Falta",L587=Config!$B$7,M587=Config!$B$5,COUNTIFS($E$5:E587,E587,$H$5:H587,"Falta",$L$5:L587,Config!$B$7,$M$5:M587,Config!$B$5)=1),COUNTIFS($E$5:$E$3004,E587,$H$5:$H$3004,"Falta",$L$5:$L$3004,Config!$B$7,$M$5:$M$3004,Config!$B$5)*1000-ROW()/100000,0)</f>
        <v>0</v>
      </c>
    </row>
    <row r="588">
      <c r="A588" s="39" t="n">
        <v>46233</v>
      </c>
      <c r="B588" s="40" t="n">
        <v>0.3333333333333333</v>
      </c>
      <c r="C588" s="35" t="inlineStr">
        <is>
          <t>Dra. Carolina Mendes</t>
        </is>
      </c>
      <c r="D588" s="35" t="inlineStr">
        <is>
          <t>Sala 1</t>
        </is>
      </c>
      <c r="E588" s="34" t="inlineStr">
        <is>
          <t>Priscila Castro</t>
        </is>
      </c>
      <c r="F588" s="35" t="inlineStr">
        <is>
          <t>Saúde Total</t>
        </is>
      </c>
      <c r="G588" s="35" t="inlineStr">
        <is>
          <t>Retorno</t>
        </is>
      </c>
      <c r="H588" s="35" t="inlineStr">
        <is>
          <t>Realizado</t>
        </is>
      </c>
      <c r="I588" s="35" t="inlineStr">
        <is>
          <t>Sem cobrança</t>
        </is>
      </c>
      <c r="J588" s="35" t="n"/>
      <c r="K588" s="34" t="n"/>
      <c r="L588" s="26">
        <f>IF(A588="","",MONTH(A588))</f>
        <v>7</v>
      </c>
      <c r="M588" s="26">
        <f>IF(A588="","",YEAR(A588))</f>
        <v>2026</v>
      </c>
      <c r="N588" s="26" t="str">
        <f>IF(A588="","",CHOOSE(WEEKDAY(A588,2),"Segunda","Terça","Quarta","Quinta","Sexta","Sábado","Domingo"))</f>
        <v>Quinta</v>
      </c>
      <c r="O588" s="26" t="str">
        <f>IF(B588="","",IF(B588&lt;TIME(12,0,0),"Manhã",IF(B588&lt;TIME(18,0,0),"Tarde","Noite")))</f>
        <v>Manhã</v>
      </c>
      <c r="P588" s="32">
        <f>IF(G588="","",IFERROR(INDEX(Config!$I$5:$I$16,MATCH(G588,Config!$H$5:$H$16,0)),0))</f>
        <v>0</v>
      </c>
      <c r="Q588" s="30">
        <f>IF(OR(H588&lt;&gt;"Realizado",P588="",P588=0),"",A588+P588)</f>
        <v/>
      </c>
      <c r="R588" s="26">
        <f>IF(Q588="","",IF(COUNTIFS($E$5:$E$3004,E588,$A$5:$A$3004,"&gt;"&amp;A588,$H$5:$H$3004,"&lt;&gt;Falta",$H$5:$H$3004,"&lt;&gt;Cancelado",$H$5:$H$3004,"&lt;&gt;Remarcado")&gt;0,"Sim","Não"))</f>
        <v/>
      </c>
      <c r="S588" s="32">
        <f>IF(R588&lt;&gt;"Não","",IF(Q588+Config!$B$9&lt;=Config!$B$8,Config!$B$8-Q588,""))</f>
        <v/>
      </c>
      <c r="T588" s="26">
        <f>IF(S588="","","Sim")</f>
        <v/>
      </c>
      <c r="U588" s="41">
        <f>IF(T588="Sim",S588+ROW()/100000,0)</f>
        <v>0</v>
      </c>
      <c r="V588" s="41">
        <f>IF(AND(H588="Falta",L588=Config!$B$7,M588=Config!$B$5,COUNTIFS($E$5:E588,E588,$H$5:H588,"Falta",$L$5:L588,Config!$B$7,$M$5:M588,Config!$B$5)=1),COUNTIFS($E$5:$E$3004,E588,$H$5:$H$3004,"Falta",$L$5:$L$3004,Config!$B$7,$M$5:$M$3004,Config!$B$5)*1000-ROW()/100000,0)</f>
        <v>0</v>
      </c>
    </row>
    <row r="589">
      <c r="A589" s="39" t="n">
        <v>46233</v>
      </c>
      <c r="B589" s="40" t="n">
        <v>0.3472222222222222</v>
      </c>
      <c r="C589" s="35" t="inlineStr">
        <is>
          <t>Dra. Carolina Mendes</t>
        </is>
      </c>
      <c r="D589" s="35" t="inlineStr">
        <is>
          <t>Sala 1</t>
        </is>
      </c>
      <c r="E589" s="34" t="inlineStr">
        <is>
          <t>Regina Macedo</t>
        </is>
      </c>
      <c r="F589" s="35" t="inlineStr">
        <is>
          <t>Particular</t>
        </is>
      </c>
      <c r="G589" s="35" t="inlineStr">
        <is>
          <t>Consulta</t>
        </is>
      </c>
      <c r="H589" s="35" t="inlineStr">
        <is>
          <t>Realizado</t>
        </is>
      </c>
      <c r="I589" s="35" t="inlineStr">
        <is>
          <t>Pix</t>
        </is>
      </c>
      <c r="J589" s="35" t="n"/>
      <c r="K589" s="34" t="n"/>
      <c r="L589" s="26">
        <f>IF(A589="","",MONTH(A589))</f>
        <v>7</v>
      </c>
      <c r="M589" s="26">
        <f>IF(A589="","",YEAR(A589))</f>
        <v>2026</v>
      </c>
      <c r="N589" s="26" t="str">
        <f>IF(A589="","",CHOOSE(WEEKDAY(A589,2),"Segunda","Terça","Quarta","Quinta","Sexta","Sábado","Domingo"))</f>
        <v>Quinta</v>
      </c>
      <c r="O589" s="26" t="str">
        <f>IF(B589="","",IF(B589&lt;TIME(12,0,0),"Manhã",IF(B589&lt;TIME(18,0,0),"Tarde","Noite")))</f>
        <v>Manhã</v>
      </c>
      <c r="P589" s="32">
        <f>IF(G589="","",IFERROR(INDEX(Config!$I$5:$I$16,MATCH(G589,Config!$H$5:$H$16,0)),0))</f>
        <v>30</v>
      </c>
      <c r="Q589" s="30">
        <f>IF(OR(H589&lt;&gt;"Realizado",P589="",P589=0),"",A589+P589)</f>
        <v>46263.0</v>
      </c>
      <c r="R589" s="26" t="str">
        <f>IF(Q589="","",IF(COUNTIFS($E$5:$E$3004,E589,$A$5:$A$3004,"&gt;"&amp;A589,$H$5:$H$3004,"&lt;&gt;Falta",$H$5:$H$3004,"&lt;&gt;Cancelado",$H$5:$H$3004,"&lt;&gt;Remarcado")&gt;0,"Sim","Não"))</f>
        <v>Sim</v>
      </c>
      <c r="S589" s="32">
        <f>IF(R589&lt;&gt;"Não","",IF(Q589+Config!$B$9&lt;=Config!$B$8,Config!$B$8-Q589,""))</f>
        <v/>
      </c>
      <c r="T589" s="26">
        <f>IF(S589="","","Sim")</f>
        <v/>
      </c>
      <c r="U589" s="41">
        <f>IF(T589="Sim",S589+ROW()/100000,0)</f>
        <v>0</v>
      </c>
      <c r="V589" s="41">
        <f>IF(AND(H589="Falta",L589=Config!$B$7,M589=Config!$B$5,COUNTIFS($E$5:E589,E589,$H$5:H589,"Falta",$L$5:L589,Config!$B$7,$M$5:M589,Config!$B$5)=1),COUNTIFS($E$5:$E$3004,E589,$H$5:$H$3004,"Falta",$L$5:$L$3004,Config!$B$7,$M$5:$M$3004,Config!$B$5)*1000-ROW()/100000,0)</f>
        <v>0</v>
      </c>
    </row>
    <row r="590">
      <c r="A590" s="39" t="n">
        <v>46233</v>
      </c>
      <c r="B590" s="40" t="n">
        <v>0.3680555555555556</v>
      </c>
      <c r="C590" s="35" t="inlineStr">
        <is>
          <t>Dra. Carolina Mendes</t>
        </is>
      </c>
      <c r="D590" s="35" t="inlineStr">
        <is>
          <t>Sala 1</t>
        </is>
      </c>
      <c r="E590" s="34" t="inlineStr">
        <is>
          <t>Gustavo Barbosa</t>
        </is>
      </c>
      <c r="F590" s="35" t="inlineStr">
        <is>
          <t>Saúde Total</t>
        </is>
      </c>
      <c r="G590" s="35" t="inlineStr">
        <is>
          <t>Consulta</t>
        </is>
      </c>
      <c r="H590" s="35" t="inlineStr">
        <is>
          <t>Realizado</t>
        </is>
      </c>
      <c r="I590" s="35" t="inlineStr">
        <is>
          <t>Convênio</t>
        </is>
      </c>
      <c r="J590" s="35" t="n"/>
      <c r="K590" s="34" t="n"/>
      <c r="L590" s="26">
        <f>IF(A590="","",MONTH(A590))</f>
        <v>7</v>
      </c>
      <c r="M590" s="26">
        <f>IF(A590="","",YEAR(A590))</f>
        <v>2026</v>
      </c>
      <c r="N590" s="26" t="str">
        <f>IF(A590="","",CHOOSE(WEEKDAY(A590,2),"Segunda","Terça","Quarta","Quinta","Sexta","Sábado","Domingo"))</f>
        <v>Quinta</v>
      </c>
      <c r="O590" s="26" t="str">
        <f>IF(B590="","",IF(B590&lt;TIME(12,0,0),"Manhã",IF(B590&lt;TIME(18,0,0),"Tarde","Noite")))</f>
        <v>Manhã</v>
      </c>
      <c r="P590" s="32">
        <f>IF(G590="","",IFERROR(INDEX(Config!$I$5:$I$16,MATCH(G590,Config!$H$5:$H$16,0)),0))</f>
        <v>30</v>
      </c>
      <c r="Q590" s="30">
        <f>IF(OR(H590&lt;&gt;"Realizado",P590="",P590=0),"",A590+P590)</f>
        <v>46263.0</v>
      </c>
      <c r="R590" s="26" t="str">
        <f>IF(Q590="","",IF(COUNTIFS($E$5:$E$3004,E590,$A$5:$A$3004,"&gt;"&amp;A590,$H$5:$H$3004,"&lt;&gt;Falta",$H$5:$H$3004,"&lt;&gt;Cancelado",$H$5:$H$3004,"&lt;&gt;Remarcado")&gt;0,"Sim","Não"))</f>
        <v>Sim</v>
      </c>
      <c r="S590" s="32">
        <f>IF(R590&lt;&gt;"Não","",IF(Q590+Config!$B$9&lt;=Config!$B$8,Config!$B$8-Q590,""))</f>
        <v/>
      </c>
      <c r="T590" s="26">
        <f>IF(S590="","","Sim")</f>
        <v/>
      </c>
      <c r="U590" s="41">
        <f>IF(T590="Sim",S590+ROW()/100000,0)</f>
        <v>0</v>
      </c>
      <c r="V590" s="41">
        <f>IF(AND(H590="Falta",L590=Config!$B$7,M590=Config!$B$5,COUNTIFS($E$5:E590,E590,$H$5:H590,"Falta",$L$5:L590,Config!$B$7,$M$5:M590,Config!$B$5)=1),COUNTIFS($E$5:$E$3004,E590,$H$5:$H$3004,"Falta",$L$5:$L$3004,Config!$B$7,$M$5:$M$3004,Config!$B$5)*1000-ROW()/100000,0)</f>
        <v>0</v>
      </c>
    </row>
    <row r="591">
      <c r="A591" s="39" t="n">
        <v>46233</v>
      </c>
      <c r="B591" s="40" t="n">
        <v>0.4097222222222222</v>
      </c>
      <c r="C591" s="35" t="inlineStr">
        <is>
          <t>Dra. Carolina Mendes</t>
        </is>
      </c>
      <c r="D591" s="35" t="inlineStr">
        <is>
          <t>Sala 1</t>
        </is>
      </c>
      <c r="E591" s="34" t="inlineStr">
        <is>
          <t>Mônica Batista</t>
        </is>
      </c>
      <c r="F591" s="35" t="inlineStr">
        <is>
          <t>MediPlan</t>
        </is>
      </c>
      <c r="G591" s="35" t="inlineStr">
        <is>
          <t>Consulta</t>
        </is>
      </c>
      <c r="H591" s="35" t="inlineStr">
        <is>
          <t>Realizado</t>
        </is>
      </c>
      <c r="I591" s="35" t="inlineStr">
        <is>
          <t>Convênio</t>
        </is>
      </c>
      <c r="J591" s="35" t="n"/>
      <c r="K591" s="34" t="n"/>
      <c r="L591" s="26">
        <f>IF(A591="","",MONTH(A591))</f>
        <v>7</v>
      </c>
      <c r="M591" s="26">
        <f>IF(A591="","",YEAR(A591))</f>
        <v>2026</v>
      </c>
      <c r="N591" s="26" t="str">
        <f>IF(A591="","",CHOOSE(WEEKDAY(A591,2),"Segunda","Terça","Quarta","Quinta","Sexta","Sábado","Domingo"))</f>
        <v>Quinta</v>
      </c>
      <c r="O591" s="26" t="str">
        <f>IF(B591="","",IF(B591&lt;TIME(12,0,0),"Manhã",IF(B591&lt;TIME(18,0,0),"Tarde","Noite")))</f>
        <v>Manhã</v>
      </c>
      <c r="P591" s="32">
        <f>IF(G591="","",IFERROR(INDEX(Config!$I$5:$I$16,MATCH(G591,Config!$H$5:$H$16,0)),0))</f>
        <v>30</v>
      </c>
      <c r="Q591" s="30">
        <f>IF(OR(H591&lt;&gt;"Realizado",P591="",P591=0),"",A591+P591)</f>
        <v>46263.0</v>
      </c>
      <c r="R591" s="26" t="str">
        <f>IF(Q591="","",IF(COUNTIFS($E$5:$E$3004,E591,$A$5:$A$3004,"&gt;"&amp;A591,$H$5:$H$3004,"&lt;&gt;Falta",$H$5:$H$3004,"&lt;&gt;Cancelado",$H$5:$H$3004,"&lt;&gt;Remarcado")&gt;0,"Sim","Não"))</f>
        <v>Sim</v>
      </c>
      <c r="S591" s="32">
        <f>IF(R591&lt;&gt;"Não","",IF(Q591+Config!$B$9&lt;=Config!$B$8,Config!$B$8-Q591,""))</f>
        <v/>
      </c>
      <c r="T591" s="26">
        <f>IF(S591="","","Sim")</f>
        <v/>
      </c>
      <c r="U591" s="41">
        <f>IF(T591="Sim",S591+ROW()/100000,0)</f>
        <v>0</v>
      </c>
      <c r="V591" s="41">
        <f>IF(AND(H591="Falta",L591=Config!$B$7,M591=Config!$B$5,COUNTIFS($E$5:E591,E591,$H$5:H591,"Falta",$L$5:L591,Config!$B$7,$M$5:M591,Config!$B$5)=1),COUNTIFS($E$5:$E$3004,E591,$H$5:$H$3004,"Falta",$L$5:$L$3004,Config!$B$7,$M$5:$M$3004,Config!$B$5)*1000-ROW()/100000,0)</f>
        <v>0</v>
      </c>
    </row>
    <row r="592">
      <c r="A592" s="39" t="n">
        <v>46233</v>
      </c>
      <c r="B592" s="40" t="n">
        <v>0.4305555555555556</v>
      </c>
      <c r="C592" s="35" t="inlineStr">
        <is>
          <t>Dra. Carolina Mendes</t>
        </is>
      </c>
      <c r="D592" s="35" t="inlineStr">
        <is>
          <t>Sala 1</t>
        </is>
      </c>
      <c r="E592" s="34" t="inlineStr">
        <is>
          <t>Roberta Araújo</t>
        </is>
      </c>
      <c r="F592" s="35" t="inlineStr">
        <is>
          <t>Particular</t>
        </is>
      </c>
      <c r="G592" s="35" t="inlineStr">
        <is>
          <t>Consulta</t>
        </is>
      </c>
      <c r="H592" s="35" t="inlineStr">
        <is>
          <t>Realizado</t>
        </is>
      </c>
      <c r="I592" s="35" t="inlineStr">
        <is>
          <t>Pix</t>
        </is>
      </c>
      <c r="J592" s="35" t="n"/>
      <c r="K592" s="34" t="n"/>
      <c r="L592" s="26">
        <f>IF(A592="","",MONTH(A592))</f>
        <v>7</v>
      </c>
      <c r="M592" s="26">
        <f>IF(A592="","",YEAR(A592))</f>
        <v>2026</v>
      </c>
      <c r="N592" s="26" t="str">
        <f>IF(A592="","",CHOOSE(WEEKDAY(A592,2),"Segunda","Terça","Quarta","Quinta","Sexta","Sábado","Domingo"))</f>
        <v>Quinta</v>
      </c>
      <c r="O592" s="26" t="str">
        <f>IF(B592="","",IF(B592&lt;TIME(12,0,0),"Manhã",IF(B592&lt;TIME(18,0,0),"Tarde","Noite")))</f>
        <v>Manhã</v>
      </c>
      <c r="P592" s="32">
        <f>IF(G592="","",IFERROR(INDEX(Config!$I$5:$I$16,MATCH(G592,Config!$H$5:$H$16,0)),0))</f>
        <v>30</v>
      </c>
      <c r="Q592" s="30">
        <f>IF(OR(H592&lt;&gt;"Realizado",P592="",P592=0),"",A592+P592)</f>
        <v>46263.0</v>
      </c>
      <c r="R592" s="26" t="str">
        <f>IF(Q592="","",IF(COUNTIFS($E$5:$E$3004,E592,$A$5:$A$3004,"&gt;"&amp;A592,$H$5:$H$3004,"&lt;&gt;Falta",$H$5:$H$3004,"&lt;&gt;Cancelado",$H$5:$H$3004,"&lt;&gt;Remarcado")&gt;0,"Sim","Não"))</f>
        <v>Sim</v>
      </c>
      <c r="S592" s="32">
        <f>IF(R592&lt;&gt;"Não","",IF(Q592+Config!$B$9&lt;=Config!$B$8,Config!$B$8-Q592,""))</f>
        <v/>
      </c>
      <c r="T592" s="26">
        <f>IF(S592="","","Sim")</f>
        <v/>
      </c>
      <c r="U592" s="41">
        <f>IF(T592="Sim",S592+ROW()/100000,0)</f>
        <v>0</v>
      </c>
      <c r="V592" s="41">
        <f>IF(AND(H592="Falta",L592=Config!$B$7,M592=Config!$B$5,COUNTIFS($E$5:E592,E592,$H$5:H592,"Falta",$L$5:L592,Config!$B$7,$M$5:M592,Config!$B$5)=1),COUNTIFS($E$5:$E$3004,E592,$H$5:$H$3004,"Falta",$L$5:$L$3004,Config!$B$7,$M$5:$M$3004,Config!$B$5)*1000-ROW()/100000,0)</f>
        <v>0</v>
      </c>
    </row>
    <row r="593">
      <c r="A593" s="39" t="n">
        <v>46233</v>
      </c>
      <c r="B593" s="40" t="n">
        <v>0.4513888888888889</v>
      </c>
      <c r="C593" s="35" t="inlineStr">
        <is>
          <t>Dra. Carolina Mendes</t>
        </is>
      </c>
      <c r="D593" s="35" t="inlineStr">
        <is>
          <t>Sala 1</t>
        </is>
      </c>
      <c r="E593" s="34" t="inlineStr">
        <is>
          <t>Otávio Nascimento</t>
        </is>
      </c>
      <c r="F593" s="35" t="inlineStr">
        <is>
          <t>Particular</t>
        </is>
      </c>
      <c r="G593" s="35" t="inlineStr">
        <is>
          <t>Consulta</t>
        </is>
      </c>
      <c r="H593" s="35" t="inlineStr">
        <is>
          <t>Realizado</t>
        </is>
      </c>
      <c r="I593" s="35" t="inlineStr">
        <is>
          <t>Dinheiro</t>
        </is>
      </c>
      <c r="J593" s="35" t="n"/>
      <c r="K593" s="34" t="n"/>
      <c r="L593" s="26">
        <f>IF(A593="","",MONTH(A593))</f>
        <v>7</v>
      </c>
      <c r="M593" s="26">
        <f>IF(A593="","",YEAR(A593))</f>
        <v>2026</v>
      </c>
      <c r="N593" s="26" t="str">
        <f>IF(A593="","",CHOOSE(WEEKDAY(A593,2),"Segunda","Terça","Quarta","Quinta","Sexta","Sábado","Domingo"))</f>
        <v>Quinta</v>
      </c>
      <c r="O593" s="26" t="str">
        <f>IF(B593="","",IF(B593&lt;TIME(12,0,0),"Manhã",IF(B593&lt;TIME(18,0,0),"Tarde","Noite")))</f>
        <v>Manhã</v>
      </c>
      <c r="P593" s="32">
        <f>IF(G593="","",IFERROR(INDEX(Config!$I$5:$I$16,MATCH(G593,Config!$H$5:$H$16,0)),0))</f>
        <v>30</v>
      </c>
      <c r="Q593" s="30">
        <f>IF(OR(H593&lt;&gt;"Realizado",P593="",P593=0),"",A593+P593)</f>
        <v>46263.0</v>
      </c>
      <c r="R593" s="26" t="str">
        <f>IF(Q593="","",IF(COUNTIFS($E$5:$E$3004,E593,$A$5:$A$3004,"&gt;"&amp;A593,$H$5:$H$3004,"&lt;&gt;Falta",$H$5:$H$3004,"&lt;&gt;Cancelado",$H$5:$H$3004,"&lt;&gt;Remarcado")&gt;0,"Sim","Não"))</f>
        <v>Sim</v>
      </c>
      <c r="S593" s="32">
        <f>IF(R593&lt;&gt;"Não","",IF(Q593+Config!$B$9&lt;=Config!$B$8,Config!$B$8-Q593,""))</f>
        <v/>
      </c>
      <c r="T593" s="26">
        <f>IF(S593="","","Sim")</f>
        <v/>
      </c>
      <c r="U593" s="41">
        <f>IF(T593="Sim",S593+ROW()/100000,0)</f>
        <v>0</v>
      </c>
      <c r="V593" s="41">
        <f>IF(AND(H593="Falta",L593=Config!$B$7,M593=Config!$B$5,COUNTIFS($E$5:E593,E593,$H$5:H593,"Falta",$L$5:L593,Config!$B$7,$M$5:M593,Config!$B$5)=1),COUNTIFS($E$5:$E$3004,E593,$H$5:$H$3004,"Falta",$L$5:$L$3004,Config!$B$7,$M$5:$M$3004,Config!$B$5)*1000-ROW()/100000,0)</f>
        <v>0</v>
      </c>
    </row>
    <row r="594">
      <c r="A594" s="39" t="n">
        <v>46233</v>
      </c>
      <c r="B594" s="40" t="n">
        <v>0.4722222222222222</v>
      </c>
      <c r="C594" s="35" t="inlineStr">
        <is>
          <t>Dra. Carolina Mendes</t>
        </is>
      </c>
      <c r="D594" s="35" t="inlineStr">
        <is>
          <t>Sala 1</t>
        </is>
      </c>
      <c r="E594" s="34" t="inlineStr">
        <is>
          <t>Camila Batista</t>
        </is>
      </c>
      <c r="F594" s="35" t="inlineStr">
        <is>
          <t>MediPlan</t>
        </is>
      </c>
      <c r="G594" s="35" t="inlineStr">
        <is>
          <t>Consulta</t>
        </is>
      </c>
      <c r="H594" s="35" t="inlineStr">
        <is>
          <t>Realizado</t>
        </is>
      </c>
      <c r="I594" s="35" t="inlineStr">
        <is>
          <t>Convênio</t>
        </is>
      </c>
      <c r="J594" s="35" t="n"/>
      <c r="K594" s="34" t="n"/>
      <c r="L594" s="26">
        <f>IF(A594="","",MONTH(A594))</f>
        <v>7</v>
      </c>
      <c r="M594" s="26">
        <f>IF(A594="","",YEAR(A594))</f>
        <v>2026</v>
      </c>
      <c r="N594" s="26" t="str">
        <f>IF(A594="","",CHOOSE(WEEKDAY(A594,2),"Segunda","Terça","Quarta","Quinta","Sexta","Sábado","Domingo"))</f>
        <v>Quinta</v>
      </c>
      <c r="O594" s="26" t="str">
        <f>IF(B594="","",IF(B594&lt;TIME(12,0,0),"Manhã",IF(B594&lt;TIME(18,0,0),"Tarde","Noite")))</f>
        <v>Manhã</v>
      </c>
      <c r="P594" s="32">
        <f>IF(G594="","",IFERROR(INDEX(Config!$I$5:$I$16,MATCH(G594,Config!$H$5:$H$16,0)),0))</f>
        <v>30</v>
      </c>
      <c r="Q594" s="30">
        <f>IF(OR(H594&lt;&gt;"Realizado",P594="",P594=0),"",A594+P594)</f>
        <v>46263.0</v>
      </c>
      <c r="R594" s="26" t="str">
        <f>IF(Q594="","",IF(COUNTIFS($E$5:$E$3004,E594,$A$5:$A$3004,"&gt;"&amp;A594,$H$5:$H$3004,"&lt;&gt;Falta",$H$5:$H$3004,"&lt;&gt;Cancelado",$H$5:$H$3004,"&lt;&gt;Remarcado")&gt;0,"Sim","Não"))</f>
        <v>Sim</v>
      </c>
      <c r="S594" s="32">
        <f>IF(R594&lt;&gt;"Não","",IF(Q594+Config!$B$9&lt;=Config!$B$8,Config!$B$8-Q594,""))</f>
        <v/>
      </c>
      <c r="T594" s="26">
        <f>IF(S594="","","Sim")</f>
        <v/>
      </c>
      <c r="U594" s="41">
        <f>IF(T594="Sim",S594+ROW()/100000,0)</f>
        <v>0</v>
      </c>
      <c r="V594" s="41">
        <f>IF(AND(H594="Falta",L594=Config!$B$7,M594=Config!$B$5,COUNTIFS($E$5:E594,E594,$H$5:H594,"Falta",$L$5:L594,Config!$B$7,$M$5:M594,Config!$B$5)=1),COUNTIFS($E$5:$E$3004,E594,$H$5:$H$3004,"Falta",$L$5:$L$3004,Config!$B$7,$M$5:$M$3004,Config!$B$5)*1000-ROW()/100000,0)</f>
        <v>0</v>
      </c>
    </row>
    <row r="595">
      <c r="A595" s="39" t="n">
        <v>46233</v>
      </c>
      <c r="B595" s="40" t="n">
        <v>0.5833333333333334</v>
      </c>
      <c r="C595" s="35" t="inlineStr">
        <is>
          <t>Dra. Renata Sousa</t>
        </is>
      </c>
      <c r="D595" s="35" t="inlineStr">
        <is>
          <t>Sala 1</t>
        </is>
      </c>
      <c r="E595" s="34" t="inlineStr">
        <is>
          <t>Rodrigo Cardoso</t>
        </is>
      </c>
      <c r="F595" s="35" t="inlineStr">
        <is>
          <t>Saúde Total</t>
        </is>
      </c>
      <c r="G595" s="35" t="inlineStr">
        <is>
          <t>Avaliação endócrina</t>
        </is>
      </c>
      <c r="H595" s="35" t="inlineStr">
        <is>
          <t>Realizado</t>
        </is>
      </c>
      <c r="I595" s="35" t="inlineStr">
        <is>
          <t>Convênio</t>
        </is>
      </c>
      <c r="J595" s="35" t="n"/>
      <c r="K595" s="34" t="n"/>
      <c r="L595" s="26">
        <f>IF(A595="","",MONTH(A595))</f>
        <v>7</v>
      </c>
      <c r="M595" s="26">
        <f>IF(A595="","",YEAR(A595))</f>
        <v>2026</v>
      </c>
      <c r="N595" s="26" t="str">
        <f>IF(A595="","",CHOOSE(WEEKDAY(A595,2),"Segunda","Terça","Quarta","Quinta","Sexta","Sábado","Domingo"))</f>
        <v>Quinta</v>
      </c>
      <c r="O595" s="26" t="str">
        <f>IF(B595="","",IF(B595&lt;TIME(12,0,0),"Manhã",IF(B595&lt;TIME(18,0,0),"Tarde","Noite")))</f>
        <v>Tarde</v>
      </c>
      <c r="P595" s="32">
        <f>IF(G595="","",IFERROR(INDEX(Config!$I$5:$I$16,MATCH(G595,Config!$H$5:$H$16,0)),0))</f>
        <v>45</v>
      </c>
      <c r="Q595" s="30">
        <f>IF(OR(H595&lt;&gt;"Realizado",P595="",P595=0),"",A595+P595)</f>
        <v>46278.0</v>
      </c>
      <c r="R595" s="26" t="str">
        <f>IF(Q595="","",IF(COUNTIFS($E$5:$E$3004,E595,$A$5:$A$3004,"&gt;"&amp;A595,$H$5:$H$3004,"&lt;&gt;Falta",$H$5:$H$3004,"&lt;&gt;Cancelado",$H$5:$H$3004,"&lt;&gt;Remarcado")&gt;0,"Sim","Não"))</f>
        <v>Sim</v>
      </c>
      <c r="S595" s="32">
        <f>IF(R595&lt;&gt;"Não","",IF(Q595+Config!$B$9&lt;=Config!$B$8,Config!$B$8-Q595,""))</f>
        <v/>
      </c>
      <c r="T595" s="26">
        <f>IF(S595="","","Sim")</f>
        <v/>
      </c>
      <c r="U595" s="41">
        <f>IF(T595="Sim",S595+ROW()/100000,0)</f>
        <v>0</v>
      </c>
      <c r="V595" s="41">
        <f>IF(AND(H595="Falta",L595=Config!$B$7,M595=Config!$B$5,COUNTIFS($E$5:E595,E595,$H$5:H595,"Falta",$L$5:L595,Config!$B$7,$M$5:M595,Config!$B$5)=1),COUNTIFS($E$5:$E$3004,E595,$H$5:$H$3004,"Falta",$L$5:$L$3004,Config!$B$7,$M$5:$M$3004,Config!$B$5)*1000-ROW()/100000,0)</f>
        <v>0</v>
      </c>
    </row>
    <row r="596">
      <c r="A596" s="39" t="n">
        <v>46233</v>
      </c>
      <c r="B596" s="40" t="n">
        <v>0.5833333333333334</v>
      </c>
      <c r="C596" s="35" t="inlineStr">
        <is>
          <t>Dr. Paulo Andrade</t>
        </is>
      </c>
      <c r="D596" s="35" t="inlineStr">
        <is>
          <t>Sala 2</t>
        </is>
      </c>
      <c r="E596" s="34" t="inlineStr">
        <is>
          <t>Rodrigo Teixeira</t>
        </is>
      </c>
      <c r="F596" s="35" t="inlineStr">
        <is>
          <t>Vida Care</t>
        </is>
      </c>
      <c r="G596" s="35" t="inlineStr">
        <is>
          <t>MAPA</t>
        </is>
      </c>
      <c r="H596" s="35" t="inlineStr">
        <is>
          <t>Falta</t>
        </is>
      </c>
      <c r="I596" s="35" t="n"/>
      <c r="J596" s="35" t="n"/>
      <c r="K596" s="34" t="n"/>
      <c r="L596" s="26">
        <f>IF(A596="","",MONTH(A596))</f>
        <v>7</v>
      </c>
      <c r="M596" s="26">
        <f>IF(A596="","",YEAR(A596))</f>
        <v>2026</v>
      </c>
      <c r="N596" s="26" t="str">
        <f>IF(A596="","",CHOOSE(WEEKDAY(A596,2),"Segunda","Terça","Quarta","Quinta","Sexta","Sábado","Domingo"))</f>
        <v>Quinta</v>
      </c>
      <c r="O596" s="26" t="str">
        <f>IF(B596="","",IF(B596&lt;TIME(12,0,0),"Manhã",IF(B596&lt;TIME(18,0,0),"Tarde","Noite")))</f>
        <v>Tarde</v>
      </c>
      <c r="P596" s="32">
        <f>IF(G596="","",IFERROR(INDEX(Config!$I$5:$I$16,MATCH(G596,Config!$H$5:$H$16,0)),0))</f>
        <v>0</v>
      </c>
      <c r="Q596" s="30">
        <f>IF(OR(H596&lt;&gt;"Realizado",P596="",P596=0),"",A596+P596)</f>
        <v/>
      </c>
      <c r="R596" s="26">
        <f>IF(Q596="","",IF(COUNTIFS($E$5:$E$3004,E596,$A$5:$A$3004,"&gt;"&amp;A596,$H$5:$H$3004,"&lt;&gt;Falta",$H$5:$H$3004,"&lt;&gt;Cancelado",$H$5:$H$3004,"&lt;&gt;Remarcado")&gt;0,"Sim","Não"))</f>
        <v/>
      </c>
      <c r="S596" s="32">
        <f>IF(R596&lt;&gt;"Não","",IF(Q596+Config!$B$9&lt;=Config!$B$8,Config!$B$8-Q596,""))</f>
        <v/>
      </c>
      <c r="T596" s="26">
        <f>IF(S596="","","Sim")</f>
        <v/>
      </c>
      <c r="U596" s="41">
        <f>IF(T596="Sim",S596+ROW()/100000,0)</f>
        <v>0</v>
      </c>
      <c r="V596" s="41">
        <f>IF(AND(H596="Falta",L596=Config!$B$7,M596=Config!$B$5,COUNTIFS($E$5:E596,E596,$H$5:H596,"Falta",$L$5:L596,Config!$B$7,$M$5:M596,Config!$B$5)=1),COUNTIFS($E$5:$E$3004,E596,$H$5:$H$3004,"Falta",$L$5:$L$3004,Config!$B$7,$M$5:$M$3004,Config!$B$5)*1000-ROW()/100000,0)</f>
        <v>0</v>
      </c>
    </row>
    <row r="597">
      <c r="A597" s="39" t="n">
        <v>46233</v>
      </c>
      <c r="B597" s="40" t="n">
        <v>0.6111111111111112</v>
      </c>
      <c r="C597" s="35" t="inlineStr">
        <is>
          <t>Dra. Renata Sousa</t>
        </is>
      </c>
      <c r="D597" s="35" t="inlineStr">
        <is>
          <t>Sala 1</t>
        </is>
      </c>
      <c r="E597" s="34" t="inlineStr">
        <is>
          <t>Márcia Duarte</t>
        </is>
      </c>
      <c r="F597" s="35" t="inlineStr">
        <is>
          <t>Particular</t>
        </is>
      </c>
      <c r="G597" s="35" t="inlineStr">
        <is>
          <t>Retorno</t>
        </is>
      </c>
      <c r="H597" s="35" t="inlineStr">
        <is>
          <t>Realizado</t>
        </is>
      </c>
      <c r="I597" s="35" t="inlineStr">
        <is>
          <t>Sem cobrança</t>
        </is>
      </c>
      <c r="J597" s="35" t="n"/>
      <c r="K597" s="34" t="n"/>
      <c r="L597" s="26">
        <f>IF(A597="","",MONTH(A597))</f>
        <v>7</v>
      </c>
      <c r="M597" s="26">
        <f>IF(A597="","",YEAR(A597))</f>
        <v>2026</v>
      </c>
      <c r="N597" s="26" t="str">
        <f>IF(A597="","",CHOOSE(WEEKDAY(A597,2),"Segunda","Terça","Quarta","Quinta","Sexta","Sábado","Domingo"))</f>
        <v>Quinta</v>
      </c>
      <c r="O597" s="26" t="str">
        <f>IF(B597="","",IF(B597&lt;TIME(12,0,0),"Manhã",IF(B597&lt;TIME(18,0,0),"Tarde","Noite")))</f>
        <v>Tarde</v>
      </c>
      <c r="P597" s="32">
        <f>IF(G597="","",IFERROR(INDEX(Config!$I$5:$I$16,MATCH(G597,Config!$H$5:$H$16,0)),0))</f>
        <v>0</v>
      </c>
      <c r="Q597" s="30">
        <f>IF(OR(H597&lt;&gt;"Realizado",P597="",P597=0),"",A597+P597)</f>
        <v/>
      </c>
      <c r="R597" s="26">
        <f>IF(Q597="","",IF(COUNTIFS($E$5:$E$3004,E597,$A$5:$A$3004,"&gt;"&amp;A597,$H$5:$H$3004,"&lt;&gt;Falta",$H$5:$H$3004,"&lt;&gt;Cancelado",$H$5:$H$3004,"&lt;&gt;Remarcado")&gt;0,"Sim","Não"))</f>
        <v/>
      </c>
      <c r="S597" s="32">
        <f>IF(R597&lt;&gt;"Não","",IF(Q597+Config!$B$9&lt;=Config!$B$8,Config!$B$8-Q597,""))</f>
        <v/>
      </c>
      <c r="T597" s="26">
        <f>IF(S597="","","Sim")</f>
        <v/>
      </c>
      <c r="U597" s="41">
        <f>IF(T597="Sim",S597+ROW()/100000,0)</f>
        <v>0</v>
      </c>
      <c r="V597" s="41">
        <f>IF(AND(H597="Falta",L597=Config!$B$7,M597=Config!$B$5,COUNTIFS($E$5:E597,E597,$H$5:H597,"Falta",$L$5:L597,Config!$B$7,$M$5:M597,Config!$B$5)=1),COUNTIFS($E$5:$E$3004,E597,$H$5:$H$3004,"Falta",$L$5:$L$3004,Config!$B$7,$M$5:$M$3004,Config!$B$5)*1000-ROW()/100000,0)</f>
        <v>0</v>
      </c>
    </row>
    <row r="598">
      <c r="A598" s="39" t="n">
        <v>46233</v>
      </c>
      <c r="B598" s="40" t="n">
        <v>0.625</v>
      </c>
      <c r="C598" s="35" t="inlineStr">
        <is>
          <t>Dra. Renata Sousa</t>
        </is>
      </c>
      <c r="D598" s="35" t="inlineStr">
        <is>
          <t>Sala 1</t>
        </is>
      </c>
      <c r="E598" s="34" t="inlineStr">
        <is>
          <t>Patrícia Dias</t>
        </is>
      </c>
      <c r="F598" s="35" t="inlineStr">
        <is>
          <t>Particular</t>
        </is>
      </c>
      <c r="G598" s="35" t="inlineStr">
        <is>
          <t>Avaliação endócrina</t>
        </is>
      </c>
      <c r="H598" s="35" t="inlineStr">
        <is>
          <t>Realizado</t>
        </is>
      </c>
      <c r="I598" s="35" t="inlineStr">
        <is>
          <t>Cartão de crédito</t>
        </is>
      </c>
      <c r="J598" s="35" t="n"/>
      <c r="K598" s="34" t="n"/>
      <c r="L598" s="26">
        <f>IF(A598="","",MONTH(A598))</f>
        <v>7</v>
      </c>
      <c r="M598" s="26">
        <f>IF(A598="","",YEAR(A598))</f>
        <v>2026</v>
      </c>
      <c r="N598" s="26" t="str">
        <f>IF(A598="","",CHOOSE(WEEKDAY(A598,2),"Segunda","Terça","Quarta","Quinta","Sexta","Sábado","Domingo"))</f>
        <v>Quinta</v>
      </c>
      <c r="O598" s="26" t="str">
        <f>IF(B598="","",IF(B598&lt;TIME(12,0,0),"Manhã",IF(B598&lt;TIME(18,0,0),"Tarde","Noite")))</f>
        <v>Tarde</v>
      </c>
      <c r="P598" s="32">
        <f>IF(G598="","",IFERROR(INDEX(Config!$I$5:$I$16,MATCH(G598,Config!$H$5:$H$16,0)),0))</f>
        <v>45</v>
      </c>
      <c r="Q598" s="30">
        <f>IF(OR(H598&lt;&gt;"Realizado",P598="",P598=0),"",A598+P598)</f>
        <v>46278.0</v>
      </c>
      <c r="R598" s="26" t="str">
        <f>IF(Q598="","",IF(COUNTIFS($E$5:$E$3004,E598,$A$5:$A$3004,"&gt;"&amp;A598,$H$5:$H$3004,"&lt;&gt;Falta",$H$5:$H$3004,"&lt;&gt;Cancelado",$H$5:$H$3004,"&lt;&gt;Remarcado")&gt;0,"Sim","Não"))</f>
        <v>Sim</v>
      </c>
      <c r="S598" s="32">
        <f>IF(R598&lt;&gt;"Não","",IF(Q598+Config!$B$9&lt;=Config!$B$8,Config!$B$8-Q598,""))</f>
        <v/>
      </c>
      <c r="T598" s="26">
        <f>IF(S598="","","Sim")</f>
        <v/>
      </c>
      <c r="U598" s="41">
        <f>IF(T598="Sim",S598+ROW()/100000,0)</f>
        <v>0</v>
      </c>
      <c r="V598" s="41">
        <f>IF(AND(H598="Falta",L598=Config!$B$7,M598=Config!$B$5,COUNTIFS($E$5:E598,E598,$H$5:H598,"Falta",$L$5:L598,Config!$B$7,$M$5:M598,Config!$B$5)=1),COUNTIFS($E$5:$E$3004,E598,$H$5:$H$3004,"Falta",$L$5:$L$3004,Config!$B$7,$M$5:$M$3004,Config!$B$5)*1000-ROW()/100000,0)</f>
        <v>0</v>
      </c>
    </row>
    <row r="599">
      <c r="A599" s="39" t="n">
        <v>46233</v>
      </c>
      <c r="B599" s="40" t="n">
        <v>0.6388888888888888</v>
      </c>
      <c r="C599" s="35" t="inlineStr">
        <is>
          <t>Dr. Paulo Andrade</t>
        </is>
      </c>
      <c r="D599" s="35" t="inlineStr">
        <is>
          <t>Sala 2</t>
        </is>
      </c>
      <c r="E599" s="34" t="inlineStr">
        <is>
          <t>Eduardo Reis</t>
        </is>
      </c>
      <c r="F599" s="35" t="inlineStr">
        <is>
          <t>Vida Care</t>
        </is>
      </c>
      <c r="G599" s="35" t="inlineStr">
        <is>
          <t>ECG</t>
        </is>
      </c>
      <c r="H599" s="35" t="inlineStr">
        <is>
          <t>Realizado</t>
        </is>
      </c>
      <c r="I599" s="35" t="inlineStr">
        <is>
          <t>Convênio</t>
        </is>
      </c>
      <c r="J599" s="35" t="n"/>
      <c r="K599" s="34" t="n"/>
      <c r="L599" s="26">
        <f>IF(A599="","",MONTH(A599))</f>
        <v>7</v>
      </c>
      <c r="M599" s="26">
        <f>IF(A599="","",YEAR(A599))</f>
        <v>2026</v>
      </c>
      <c r="N599" s="26" t="str">
        <f>IF(A599="","",CHOOSE(WEEKDAY(A599,2),"Segunda","Terça","Quarta","Quinta","Sexta","Sábado","Domingo"))</f>
        <v>Quinta</v>
      </c>
      <c r="O599" s="26" t="str">
        <f>IF(B599="","",IF(B599&lt;TIME(12,0,0),"Manhã",IF(B599&lt;TIME(18,0,0),"Tarde","Noite")))</f>
        <v>Tarde</v>
      </c>
      <c r="P599" s="32">
        <f>IF(G599="","",IFERROR(INDEX(Config!$I$5:$I$16,MATCH(G599,Config!$H$5:$H$16,0)),0))</f>
        <v>0</v>
      </c>
      <c r="Q599" s="30">
        <f>IF(OR(H599&lt;&gt;"Realizado",P599="",P599=0),"",A599+P599)</f>
        <v/>
      </c>
      <c r="R599" s="26">
        <f>IF(Q599="","",IF(COUNTIFS($E$5:$E$3004,E599,$A$5:$A$3004,"&gt;"&amp;A599,$H$5:$H$3004,"&lt;&gt;Falta",$H$5:$H$3004,"&lt;&gt;Cancelado",$H$5:$H$3004,"&lt;&gt;Remarcado")&gt;0,"Sim","Não"))</f>
        <v/>
      </c>
      <c r="S599" s="32">
        <f>IF(R599&lt;&gt;"Não","",IF(Q599+Config!$B$9&lt;=Config!$B$8,Config!$B$8-Q599,""))</f>
        <v/>
      </c>
      <c r="T599" s="26">
        <f>IF(S599="","","Sim")</f>
        <v/>
      </c>
      <c r="U599" s="41">
        <f>IF(T599="Sim",S599+ROW()/100000,0)</f>
        <v>0</v>
      </c>
      <c r="V599" s="41">
        <f>IF(AND(H599="Falta",L599=Config!$B$7,M599=Config!$B$5,COUNTIFS($E$5:E599,E599,$H$5:H599,"Falta",$L$5:L599,Config!$B$7,$M$5:M599,Config!$B$5)=1),COUNTIFS($E$5:$E$3004,E599,$H$5:$H$3004,"Falta",$L$5:$L$3004,Config!$B$7,$M$5:$M$3004,Config!$B$5)*1000-ROW()/100000,0)</f>
        <v>0</v>
      </c>
    </row>
    <row r="600">
      <c r="A600" s="39" t="n">
        <v>46233</v>
      </c>
      <c r="B600" s="40" t="n">
        <v>0.6527777777777778</v>
      </c>
      <c r="C600" s="35" t="inlineStr">
        <is>
          <t>Dra. Renata Sousa</t>
        </is>
      </c>
      <c r="D600" s="35" t="inlineStr">
        <is>
          <t>Sala 1</t>
        </is>
      </c>
      <c r="E600" s="34" t="inlineStr">
        <is>
          <t>Carlos Gonçalves</t>
        </is>
      </c>
      <c r="F600" s="35" t="inlineStr">
        <is>
          <t>Saúde Total</t>
        </is>
      </c>
      <c r="G600" s="35" t="inlineStr">
        <is>
          <t>Avaliação endócrina</t>
        </is>
      </c>
      <c r="H600" s="35" t="inlineStr">
        <is>
          <t>Realizado</t>
        </is>
      </c>
      <c r="I600" s="35" t="inlineStr">
        <is>
          <t>Convênio</t>
        </is>
      </c>
      <c r="J600" s="35" t="n"/>
      <c r="K600" s="34" t="n"/>
      <c r="L600" s="26">
        <f>IF(A600="","",MONTH(A600))</f>
        <v>7</v>
      </c>
      <c r="M600" s="26">
        <f>IF(A600="","",YEAR(A600))</f>
        <v>2026</v>
      </c>
      <c r="N600" s="26" t="str">
        <f>IF(A600="","",CHOOSE(WEEKDAY(A600,2),"Segunda","Terça","Quarta","Quinta","Sexta","Sábado","Domingo"))</f>
        <v>Quinta</v>
      </c>
      <c r="O600" s="26" t="str">
        <f>IF(B600="","",IF(B600&lt;TIME(12,0,0),"Manhã",IF(B600&lt;TIME(18,0,0),"Tarde","Noite")))</f>
        <v>Tarde</v>
      </c>
      <c r="P600" s="32">
        <f>IF(G600="","",IFERROR(INDEX(Config!$I$5:$I$16,MATCH(G600,Config!$H$5:$H$16,0)),0))</f>
        <v>45</v>
      </c>
      <c r="Q600" s="30">
        <f>IF(OR(H600&lt;&gt;"Realizado",P600="",P600=0),"",A600+P600)</f>
        <v>46278.0</v>
      </c>
      <c r="R600" s="26" t="str">
        <f>IF(Q600="","",IF(COUNTIFS($E$5:$E$3004,E600,$A$5:$A$3004,"&gt;"&amp;A600,$H$5:$H$3004,"&lt;&gt;Falta",$H$5:$H$3004,"&lt;&gt;Cancelado",$H$5:$H$3004,"&lt;&gt;Remarcado")&gt;0,"Sim","Não"))</f>
        <v>Sim</v>
      </c>
      <c r="S600" s="32">
        <f>IF(R600&lt;&gt;"Não","",IF(Q600+Config!$B$9&lt;=Config!$B$8,Config!$B$8-Q600,""))</f>
        <v/>
      </c>
      <c r="T600" s="26">
        <f>IF(S600="","","Sim")</f>
        <v/>
      </c>
      <c r="U600" s="41">
        <f>IF(T600="Sim",S600+ROW()/100000,0)</f>
        <v>0</v>
      </c>
      <c r="V600" s="41">
        <f>IF(AND(H600="Falta",L600=Config!$B$7,M600=Config!$B$5,COUNTIFS($E$5:E600,E600,$H$5:H600,"Falta",$L$5:L600,Config!$B$7,$M$5:M600,Config!$B$5)=1),COUNTIFS($E$5:$E$3004,E600,$H$5:$H$3004,"Falta",$L$5:$L$3004,Config!$B$7,$M$5:$M$3004,Config!$B$5)*1000-ROW()/100000,0)</f>
        <v>0</v>
      </c>
    </row>
    <row r="601">
      <c r="A601" s="39" t="n">
        <v>46233</v>
      </c>
      <c r="B601" s="40" t="n">
        <v>0.6736111111111112</v>
      </c>
      <c r="C601" s="35" t="inlineStr">
        <is>
          <t>Dr. Paulo Andrade</t>
        </is>
      </c>
      <c r="D601" s="35" t="inlineStr">
        <is>
          <t>Sala 2</t>
        </is>
      </c>
      <c r="E601" s="34" t="inlineStr">
        <is>
          <t>Viviane Duarte</t>
        </is>
      </c>
      <c r="F601" s="35" t="inlineStr">
        <is>
          <t>MediPlan</t>
        </is>
      </c>
      <c r="G601" s="35" t="inlineStr">
        <is>
          <t>Consulta</t>
        </is>
      </c>
      <c r="H601" s="35" t="inlineStr">
        <is>
          <t>Realizado</t>
        </is>
      </c>
      <c r="I601" s="35" t="inlineStr">
        <is>
          <t>Convênio</t>
        </is>
      </c>
      <c r="J601" s="35" t="n"/>
      <c r="K601" s="34" t="n"/>
      <c r="L601" s="26">
        <f>IF(A601="","",MONTH(A601))</f>
        <v>7</v>
      </c>
      <c r="M601" s="26">
        <f>IF(A601="","",YEAR(A601))</f>
        <v>2026</v>
      </c>
      <c r="N601" s="26" t="str">
        <f>IF(A601="","",CHOOSE(WEEKDAY(A601,2),"Segunda","Terça","Quarta","Quinta","Sexta","Sábado","Domingo"))</f>
        <v>Quinta</v>
      </c>
      <c r="O601" s="26" t="str">
        <f>IF(B601="","",IF(B601&lt;TIME(12,0,0),"Manhã",IF(B601&lt;TIME(18,0,0),"Tarde","Noite")))</f>
        <v>Tarde</v>
      </c>
      <c r="P601" s="32">
        <f>IF(G601="","",IFERROR(INDEX(Config!$I$5:$I$16,MATCH(G601,Config!$H$5:$H$16,0)),0))</f>
        <v>30</v>
      </c>
      <c r="Q601" s="30">
        <f>IF(OR(H601&lt;&gt;"Realizado",P601="",P601=0),"",A601+P601)</f>
        <v>46263.0</v>
      </c>
      <c r="R601" s="26" t="str">
        <f>IF(Q601="","",IF(COUNTIFS($E$5:$E$3004,E601,$A$5:$A$3004,"&gt;"&amp;A601,$H$5:$H$3004,"&lt;&gt;Falta",$H$5:$H$3004,"&lt;&gt;Cancelado",$H$5:$H$3004,"&lt;&gt;Remarcado")&gt;0,"Sim","Não"))</f>
        <v>Sim</v>
      </c>
      <c r="S601" s="32">
        <f>IF(R601&lt;&gt;"Não","",IF(Q601+Config!$B$9&lt;=Config!$B$8,Config!$B$8-Q601,""))</f>
        <v/>
      </c>
      <c r="T601" s="26">
        <f>IF(S601="","","Sim")</f>
        <v/>
      </c>
      <c r="U601" s="41">
        <f>IF(T601="Sim",S601+ROW()/100000,0)</f>
        <v>0</v>
      </c>
      <c r="V601" s="41">
        <f>IF(AND(H601="Falta",L601=Config!$B$7,M601=Config!$B$5,COUNTIFS($E$5:E601,E601,$H$5:H601,"Falta",$L$5:L601,Config!$B$7,$M$5:M601,Config!$B$5)=1),COUNTIFS($E$5:$E$3004,E601,$H$5:$H$3004,"Falta",$L$5:$L$3004,Config!$B$7,$M$5:$M$3004,Config!$B$5)*1000-ROW()/100000,0)</f>
        <v>0</v>
      </c>
    </row>
    <row r="602">
      <c r="A602" s="39" t="n">
        <v>46233</v>
      </c>
      <c r="B602" s="40" t="n">
        <v>0.6805555555555556</v>
      </c>
      <c r="C602" s="35" t="inlineStr">
        <is>
          <t>Dra. Renata Sousa</t>
        </is>
      </c>
      <c r="D602" s="35" t="inlineStr">
        <is>
          <t>Sala 1</t>
        </is>
      </c>
      <c r="E602" s="34" t="inlineStr">
        <is>
          <t>Fernanda Gonçalves</t>
        </is>
      </c>
      <c r="F602" s="35" t="inlineStr">
        <is>
          <t>Saúde Total</t>
        </is>
      </c>
      <c r="G602" s="35" t="inlineStr">
        <is>
          <t>Retorno</t>
        </is>
      </c>
      <c r="H602" s="35" t="inlineStr">
        <is>
          <t>Realizado</t>
        </is>
      </c>
      <c r="I602" s="35" t="inlineStr">
        <is>
          <t>Sem cobrança</t>
        </is>
      </c>
      <c r="J602" s="35" t="n"/>
      <c r="K602" s="34" t="n"/>
      <c r="L602" s="26">
        <f>IF(A602="","",MONTH(A602))</f>
        <v>7</v>
      </c>
      <c r="M602" s="26">
        <f>IF(A602="","",YEAR(A602))</f>
        <v>2026</v>
      </c>
      <c r="N602" s="26" t="str">
        <f>IF(A602="","",CHOOSE(WEEKDAY(A602,2),"Segunda","Terça","Quarta","Quinta","Sexta","Sábado","Domingo"))</f>
        <v>Quinta</v>
      </c>
      <c r="O602" s="26" t="str">
        <f>IF(B602="","",IF(B602&lt;TIME(12,0,0),"Manhã",IF(B602&lt;TIME(18,0,0),"Tarde","Noite")))</f>
        <v>Tarde</v>
      </c>
      <c r="P602" s="32">
        <f>IF(G602="","",IFERROR(INDEX(Config!$I$5:$I$16,MATCH(G602,Config!$H$5:$H$16,0)),0))</f>
        <v>0</v>
      </c>
      <c r="Q602" s="30">
        <f>IF(OR(H602&lt;&gt;"Realizado",P602="",P602=0),"",A602+P602)</f>
        <v/>
      </c>
      <c r="R602" s="26">
        <f>IF(Q602="","",IF(COUNTIFS($E$5:$E$3004,E602,$A$5:$A$3004,"&gt;"&amp;A602,$H$5:$H$3004,"&lt;&gt;Falta",$H$5:$H$3004,"&lt;&gt;Cancelado",$H$5:$H$3004,"&lt;&gt;Remarcado")&gt;0,"Sim","Não"))</f>
        <v/>
      </c>
      <c r="S602" s="32">
        <f>IF(R602&lt;&gt;"Não","",IF(Q602+Config!$B$9&lt;=Config!$B$8,Config!$B$8-Q602,""))</f>
        <v/>
      </c>
      <c r="T602" s="26">
        <f>IF(S602="","","Sim")</f>
        <v/>
      </c>
      <c r="U602" s="41">
        <f>IF(T602="Sim",S602+ROW()/100000,0)</f>
        <v>0</v>
      </c>
      <c r="V602" s="41">
        <f>IF(AND(H602="Falta",L602=Config!$B$7,M602=Config!$B$5,COUNTIFS($E$5:E602,E602,$H$5:H602,"Falta",$L$5:L602,Config!$B$7,$M$5:M602,Config!$B$5)=1),COUNTIFS($E$5:$E$3004,E602,$H$5:$H$3004,"Falta",$L$5:$L$3004,Config!$B$7,$M$5:$M$3004,Config!$B$5)*1000-ROW()/100000,0)</f>
        <v>0</v>
      </c>
    </row>
    <row r="603">
      <c r="A603" s="39" t="n">
        <v>46233</v>
      </c>
      <c r="B603" s="40" t="n">
        <v>0.6944444444444444</v>
      </c>
      <c r="C603" s="35" t="inlineStr">
        <is>
          <t>Dr. Paulo Andrade</t>
        </is>
      </c>
      <c r="D603" s="35" t="inlineStr">
        <is>
          <t>Sala 2</t>
        </is>
      </c>
      <c r="E603" s="34" t="inlineStr">
        <is>
          <t>Wagner Carvalho</t>
        </is>
      </c>
      <c r="F603" s="35" t="inlineStr">
        <is>
          <t>Vida Care</t>
        </is>
      </c>
      <c r="G603" s="35" t="inlineStr">
        <is>
          <t>Retorno</t>
        </is>
      </c>
      <c r="H603" s="35" t="inlineStr">
        <is>
          <t>Falta</t>
        </is>
      </c>
      <c r="I603" s="35" t="n"/>
      <c r="J603" s="35" t="n"/>
      <c r="K603" s="34" t="n"/>
      <c r="L603" s="26">
        <f>IF(A603="","",MONTH(A603))</f>
        <v>7</v>
      </c>
      <c r="M603" s="26">
        <f>IF(A603="","",YEAR(A603))</f>
        <v>2026</v>
      </c>
      <c r="N603" s="26" t="str">
        <f>IF(A603="","",CHOOSE(WEEKDAY(A603,2),"Segunda","Terça","Quarta","Quinta","Sexta","Sábado","Domingo"))</f>
        <v>Quinta</v>
      </c>
      <c r="O603" s="26" t="str">
        <f>IF(B603="","",IF(B603&lt;TIME(12,0,0),"Manhã",IF(B603&lt;TIME(18,0,0),"Tarde","Noite")))</f>
        <v>Tarde</v>
      </c>
      <c r="P603" s="32">
        <f>IF(G603="","",IFERROR(INDEX(Config!$I$5:$I$16,MATCH(G603,Config!$H$5:$H$16,0)),0))</f>
        <v>0</v>
      </c>
      <c r="Q603" s="30">
        <f>IF(OR(H603&lt;&gt;"Realizado",P603="",P603=0),"",A603+P603)</f>
        <v/>
      </c>
      <c r="R603" s="26">
        <f>IF(Q603="","",IF(COUNTIFS($E$5:$E$3004,E603,$A$5:$A$3004,"&gt;"&amp;A603,$H$5:$H$3004,"&lt;&gt;Falta",$H$5:$H$3004,"&lt;&gt;Cancelado",$H$5:$H$3004,"&lt;&gt;Remarcado")&gt;0,"Sim","Não"))</f>
        <v/>
      </c>
      <c r="S603" s="32">
        <f>IF(R603&lt;&gt;"Não","",IF(Q603+Config!$B$9&lt;=Config!$B$8,Config!$B$8-Q603,""))</f>
        <v/>
      </c>
      <c r="T603" s="26">
        <f>IF(S603="","","Sim")</f>
        <v/>
      </c>
      <c r="U603" s="41">
        <f>IF(T603="Sim",S603+ROW()/100000,0)</f>
        <v>0</v>
      </c>
      <c r="V603" s="41">
        <f>IF(AND(H603="Falta",L603=Config!$B$7,M603=Config!$B$5,COUNTIFS($E$5:E603,E603,$H$5:H603,"Falta",$L$5:L603,Config!$B$7,$M$5:M603,Config!$B$5)=1),COUNTIFS($E$5:$E$3004,E603,$H$5:$H$3004,"Falta",$L$5:$L$3004,Config!$B$7,$M$5:$M$3004,Config!$B$5)*1000-ROW()/100000,0)</f>
        <v>0</v>
      </c>
    </row>
    <row r="604">
      <c r="A604" s="39" t="n">
        <v>46233</v>
      </c>
      <c r="B604" s="40" t="n">
        <v>0.7083333333333334</v>
      </c>
      <c r="C604" s="35" t="inlineStr">
        <is>
          <t>Dr. Paulo Andrade</t>
        </is>
      </c>
      <c r="D604" s="35" t="inlineStr">
        <is>
          <t>Sala 2</t>
        </is>
      </c>
      <c r="E604" s="34" t="inlineStr">
        <is>
          <t>Otávio Martins</t>
        </is>
      </c>
      <c r="F604" s="35" t="inlineStr">
        <is>
          <t>MediPlan</t>
        </is>
      </c>
      <c r="G604" s="35" t="inlineStr">
        <is>
          <t>Consulta</t>
        </is>
      </c>
      <c r="H604" s="35" t="inlineStr">
        <is>
          <t>Falta</t>
        </is>
      </c>
      <c r="I604" s="35" t="n"/>
      <c r="J604" s="35" t="n"/>
      <c r="K604" s="34" t="n"/>
      <c r="L604" s="26">
        <f>IF(A604="","",MONTH(A604))</f>
        <v>7</v>
      </c>
      <c r="M604" s="26">
        <f>IF(A604="","",YEAR(A604))</f>
        <v>2026</v>
      </c>
      <c r="N604" s="26" t="str">
        <f>IF(A604="","",CHOOSE(WEEKDAY(A604,2),"Segunda","Terça","Quarta","Quinta","Sexta","Sábado","Domingo"))</f>
        <v>Quinta</v>
      </c>
      <c r="O604" s="26" t="str">
        <f>IF(B604="","",IF(B604&lt;TIME(12,0,0),"Manhã",IF(B604&lt;TIME(18,0,0),"Tarde","Noite")))</f>
        <v>Tarde</v>
      </c>
      <c r="P604" s="32">
        <f>IF(G604="","",IFERROR(INDEX(Config!$I$5:$I$16,MATCH(G604,Config!$H$5:$H$16,0)),0))</f>
        <v>30</v>
      </c>
      <c r="Q604" s="30">
        <f>IF(OR(H604&lt;&gt;"Realizado",P604="",P604=0),"",A604+P604)</f>
        <v/>
      </c>
      <c r="R604" s="26">
        <f>IF(Q604="","",IF(COUNTIFS($E$5:$E$3004,E604,$A$5:$A$3004,"&gt;"&amp;A604,$H$5:$H$3004,"&lt;&gt;Falta",$H$5:$H$3004,"&lt;&gt;Cancelado",$H$5:$H$3004,"&lt;&gt;Remarcado")&gt;0,"Sim","Não"))</f>
        <v/>
      </c>
      <c r="S604" s="32">
        <f>IF(R604&lt;&gt;"Não","",IF(Q604+Config!$B$9&lt;=Config!$B$8,Config!$B$8-Q604,""))</f>
        <v/>
      </c>
      <c r="T604" s="26">
        <f>IF(S604="","","Sim")</f>
        <v/>
      </c>
      <c r="U604" s="41">
        <f>IF(T604="Sim",S604+ROW()/100000,0)</f>
        <v>0</v>
      </c>
      <c r="V604" s="41">
        <f>IF(AND(H604="Falta",L604=Config!$B$7,M604=Config!$B$5,COUNTIFS($E$5:E604,E604,$H$5:H604,"Falta",$L$5:L604,Config!$B$7,$M$5:M604,Config!$B$5)=1),COUNTIFS($E$5:$E$3004,E604,$H$5:$H$3004,"Falta",$L$5:$L$3004,Config!$B$7,$M$5:$M$3004,Config!$B$5)*1000-ROW()/100000,0)</f>
        <v>0</v>
      </c>
    </row>
    <row r="605">
      <c r="A605" s="39" t="n">
        <v>46233</v>
      </c>
      <c r="B605" s="40" t="n">
        <v>0.7152777777777778</v>
      </c>
      <c r="C605" s="35" t="inlineStr">
        <is>
          <t>Dra. Renata Sousa</t>
        </is>
      </c>
      <c r="D605" s="35" t="inlineStr">
        <is>
          <t>Sala 1</t>
        </is>
      </c>
      <c r="E605" s="34" t="inlineStr">
        <is>
          <t>Paulo Freitas</t>
        </is>
      </c>
      <c r="F605" s="35" t="inlineStr">
        <is>
          <t>Saúde Total</t>
        </is>
      </c>
      <c r="G605" s="35" t="inlineStr">
        <is>
          <t>Avaliação endócrina</t>
        </is>
      </c>
      <c r="H605" s="35" t="inlineStr">
        <is>
          <t>Realizado</t>
        </is>
      </c>
      <c r="I605" s="35" t="inlineStr">
        <is>
          <t>Convênio</t>
        </is>
      </c>
      <c r="J605" s="35" t="n"/>
      <c r="K605" s="34" t="n"/>
      <c r="L605" s="26">
        <f>IF(A605="","",MONTH(A605))</f>
        <v>7</v>
      </c>
      <c r="M605" s="26">
        <f>IF(A605="","",YEAR(A605))</f>
        <v>2026</v>
      </c>
      <c r="N605" s="26" t="str">
        <f>IF(A605="","",CHOOSE(WEEKDAY(A605,2),"Segunda","Terça","Quarta","Quinta","Sexta","Sábado","Domingo"))</f>
        <v>Quinta</v>
      </c>
      <c r="O605" s="26" t="str">
        <f>IF(B605="","",IF(B605&lt;TIME(12,0,0),"Manhã",IF(B605&lt;TIME(18,0,0),"Tarde","Noite")))</f>
        <v>Tarde</v>
      </c>
      <c r="P605" s="32">
        <f>IF(G605="","",IFERROR(INDEX(Config!$I$5:$I$16,MATCH(G605,Config!$H$5:$H$16,0)),0))</f>
        <v>45</v>
      </c>
      <c r="Q605" s="30">
        <f>IF(OR(H605&lt;&gt;"Realizado",P605="",P605=0),"",A605+P605)</f>
        <v>46278.0</v>
      </c>
      <c r="R605" s="26" t="str">
        <f>IF(Q605="","",IF(COUNTIFS($E$5:$E$3004,E605,$A$5:$A$3004,"&gt;"&amp;A605,$H$5:$H$3004,"&lt;&gt;Falta",$H$5:$H$3004,"&lt;&gt;Cancelado",$H$5:$H$3004,"&lt;&gt;Remarcado")&gt;0,"Sim","Não"))</f>
        <v>Não</v>
      </c>
      <c r="S605" s="32">
        <f>IF(R605&lt;&gt;"Não","",IF(Q605+Config!$B$9&lt;=Config!$B$8,Config!$B$8-Q605,""))</f>
        <v>1</v>
      </c>
      <c r="T605" s="26" t="str">
        <f>IF(S605="","","Sim")</f>
        <v>Sim</v>
      </c>
      <c r="U605" s="41">
        <f>IF(T605="Sim",S605+ROW()/100000,0)</f>
        <v>1.00605</v>
      </c>
      <c r="V605" s="41">
        <f>IF(AND(H605="Falta",L605=Config!$B$7,M605=Config!$B$5,COUNTIFS($E$5:E605,E605,$H$5:H605,"Falta",$L$5:L605,Config!$B$7,$M$5:M605,Config!$B$5)=1),COUNTIFS($E$5:$E$3004,E605,$H$5:$H$3004,"Falta",$L$5:$L$3004,Config!$B$7,$M$5:$M$3004,Config!$B$5)*1000-ROW()/100000,0)</f>
        <v>0</v>
      </c>
    </row>
    <row r="606">
      <c r="A606" s="39" t="n">
        <v>46234</v>
      </c>
      <c r="B606" s="40" t="n">
        <v>0.3333333333333333</v>
      </c>
      <c r="C606" s="35" t="inlineStr">
        <is>
          <t>Dr. Paulo Andrade</t>
        </is>
      </c>
      <c r="D606" s="35" t="inlineStr">
        <is>
          <t>Sala 2</t>
        </is>
      </c>
      <c r="E606" s="34" t="inlineStr">
        <is>
          <t>Fábio Machado</t>
        </is>
      </c>
      <c r="F606" s="35" t="inlineStr">
        <is>
          <t>Particular</t>
        </is>
      </c>
      <c r="G606" s="35" t="inlineStr">
        <is>
          <t>Consulta</t>
        </is>
      </c>
      <c r="H606" s="35" t="inlineStr">
        <is>
          <t>Realizado</t>
        </is>
      </c>
      <c r="I606" s="35" t="inlineStr">
        <is>
          <t>Cartão de crédito</t>
        </is>
      </c>
      <c r="J606" s="35" t="n"/>
      <c r="K606" s="34" t="inlineStr">
        <is>
          <t>Check-up cardiológico (consulta + ECG + teste ergométrico)</t>
        </is>
      </c>
      <c r="L606" s="26">
        <f>IF(A606="","",MONTH(A606))</f>
        <v>7</v>
      </c>
      <c r="M606" s="26">
        <f>IF(A606="","",YEAR(A606))</f>
        <v>2026</v>
      </c>
      <c r="N606" s="26" t="str">
        <f>IF(A606="","",CHOOSE(WEEKDAY(A606,2),"Segunda","Terça","Quarta","Quinta","Sexta","Sábado","Domingo"))</f>
        <v>Sexta</v>
      </c>
      <c r="O606" s="26" t="str">
        <f>IF(B606="","",IF(B606&lt;TIME(12,0,0),"Manhã",IF(B606&lt;TIME(18,0,0),"Tarde","Noite")))</f>
        <v>Manhã</v>
      </c>
      <c r="P606" s="32">
        <f>IF(G606="","",IFERROR(INDEX(Config!$I$5:$I$16,MATCH(G606,Config!$H$5:$H$16,0)),0))</f>
        <v>30</v>
      </c>
      <c r="Q606" s="30">
        <f>IF(OR(H606&lt;&gt;"Realizado",P606="",P606=0),"",A606+P606)</f>
        <v>46264.0</v>
      </c>
      <c r="R606" s="26" t="str">
        <f>IF(Q606="","",IF(COUNTIFS($E$5:$E$3004,E606,$A$5:$A$3004,"&gt;"&amp;A606,$H$5:$H$3004,"&lt;&gt;Falta",$H$5:$H$3004,"&lt;&gt;Cancelado",$H$5:$H$3004,"&lt;&gt;Remarcado")&gt;0,"Sim","Não"))</f>
        <v>Sim</v>
      </c>
      <c r="S606" s="32">
        <f>IF(R606&lt;&gt;"Não","",IF(Q606+Config!$B$9&lt;=Config!$B$8,Config!$B$8-Q606,""))</f>
        <v/>
      </c>
      <c r="T606" s="26">
        <f>IF(S606="","","Sim")</f>
        <v/>
      </c>
      <c r="U606" s="41">
        <f>IF(T606="Sim",S606+ROW()/100000,0)</f>
        <v>0</v>
      </c>
      <c r="V606" s="41">
        <f>IF(AND(H606="Falta",L606=Config!$B$7,M606=Config!$B$5,COUNTIFS($E$5:E606,E606,$H$5:H606,"Falta",$L$5:L606,Config!$B$7,$M$5:M606,Config!$B$5)=1),COUNTIFS($E$5:$E$3004,E606,$H$5:$H$3004,"Falta",$L$5:$L$3004,Config!$B$7,$M$5:$M$3004,Config!$B$5)*1000-ROW()/100000,0)</f>
        <v>0</v>
      </c>
    </row>
    <row r="607">
      <c r="A607" s="39" t="n">
        <v>46234</v>
      </c>
      <c r="B607" s="40" t="n">
        <v>0.3541666666666667</v>
      </c>
      <c r="C607" s="35" t="inlineStr">
        <is>
          <t>Dr. Paulo Andrade</t>
        </is>
      </c>
      <c r="D607" s="35" t="inlineStr">
        <is>
          <t>Sala 2</t>
        </is>
      </c>
      <c r="E607" s="34" t="inlineStr">
        <is>
          <t>Fábio Machado</t>
        </is>
      </c>
      <c r="F607" s="35" t="inlineStr">
        <is>
          <t>Particular</t>
        </is>
      </c>
      <c r="G607" s="35" t="inlineStr">
        <is>
          <t>ECG</t>
        </is>
      </c>
      <c r="H607" s="35" t="inlineStr">
        <is>
          <t>Realizado</t>
        </is>
      </c>
      <c r="I607" s="35" t="inlineStr">
        <is>
          <t>Cartão de crédito</t>
        </is>
      </c>
      <c r="J607" s="35" t="n"/>
      <c r="K607" s="34" t="inlineStr">
        <is>
          <t>Check-up cardiológico (consulta + ECG + teste ergométrico)</t>
        </is>
      </c>
      <c r="L607" s="26">
        <f>IF(A607="","",MONTH(A607))</f>
        <v>7</v>
      </c>
      <c r="M607" s="26">
        <f>IF(A607="","",YEAR(A607))</f>
        <v>2026</v>
      </c>
      <c r="N607" s="26" t="str">
        <f>IF(A607="","",CHOOSE(WEEKDAY(A607,2),"Segunda","Terça","Quarta","Quinta","Sexta","Sábado","Domingo"))</f>
        <v>Sexta</v>
      </c>
      <c r="O607" s="26" t="str">
        <f>IF(B607="","",IF(B607&lt;TIME(12,0,0),"Manhã",IF(B607&lt;TIME(18,0,0),"Tarde","Noite")))</f>
        <v>Manhã</v>
      </c>
      <c r="P607" s="32">
        <f>IF(G607="","",IFERROR(INDEX(Config!$I$5:$I$16,MATCH(G607,Config!$H$5:$H$16,0)),0))</f>
        <v>0</v>
      </c>
      <c r="Q607" s="30">
        <f>IF(OR(H607&lt;&gt;"Realizado",P607="",P607=0),"",A607+P607)</f>
        <v/>
      </c>
      <c r="R607" s="26">
        <f>IF(Q607="","",IF(COUNTIFS($E$5:$E$3004,E607,$A$5:$A$3004,"&gt;"&amp;A607,$H$5:$H$3004,"&lt;&gt;Falta",$H$5:$H$3004,"&lt;&gt;Cancelado",$H$5:$H$3004,"&lt;&gt;Remarcado")&gt;0,"Sim","Não"))</f>
        <v/>
      </c>
      <c r="S607" s="32">
        <f>IF(R607&lt;&gt;"Não","",IF(Q607+Config!$B$9&lt;=Config!$B$8,Config!$B$8-Q607,""))</f>
        <v/>
      </c>
      <c r="T607" s="26">
        <f>IF(S607="","","Sim")</f>
        <v/>
      </c>
      <c r="U607" s="41">
        <f>IF(T607="Sim",S607+ROW()/100000,0)</f>
        <v>0</v>
      </c>
      <c r="V607" s="41">
        <f>IF(AND(H607="Falta",L607=Config!$B$7,M607=Config!$B$5,COUNTIFS($E$5:E607,E607,$H$5:H607,"Falta",$L$5:L607,Config!$B$7,$M$5:M607,Config!$B$5)=1),COUNTIFS($E$5:$E$3004,E607,$H$5:$H$3004,"Falta",$L$5:$L$3004,Config!$B$7,$M$5:$M$3004,Config!$B$5)*1000-ROW()/100000,0)</f>
        <v>0</v>
      </c>
    </row>
    <row r="608">
      <c r="A608" s="39" t="n">
        <v>46234</v>
      </c>
      <c r="B608" s="40" t="n">
        <v>0.3680555555555556</v>
      </c>
      <c r="C608" s="35" t="inlineStr">
        <is>
          <t>Dr. Paulo Andrade</t>
        </is>
      </c>
      <c r="D608" s="35" t="inlineStr">
        <is>
          <t>Sala 2</t>
        </is>
      </c>
      <c r="E608" s="34" t="inlineStr">
        <is>
          <t>Fábio Machado</t>
        </is>
      </c>
      <c r="F608" s="35" t="inlineStr">
        <is>
          <t>Particular</t>
        </is>
      </c>
      <c r="G608" s="35" t="inlineStr">
        <is>
          <t>Teste ergométrico</t>
        </is>
      </c>
      <c r="H608" s="35" t="inlineStr">
        <is>
          <t>Realizado</t>
        </is>
      </c>
      <c r="I608" s="35" t="inlineStr">
        <is>
          <t>Cartão de crédito</t>
        </is>
      </c>
      <c r="J608" s="35" t="n"/>
      <c r="K608" s="34" t="inlineStr">
        <is>
          <t>Check-up cardiológico (consulta + ECG + teste ergométrico)</t>
        </is>
      </c>
      <c r="L608" s="26">
        <f>IF(A608="","",MONTH(A608))</f>
        <v>7</v>
      </c>
      <c r="M608" s="26">
        <f>IF(A608="","",YEAR(A608))</f>
        <v>2026</v>
      </c>
      <c r="N608" s="26" t="str">
        <f>IF(A608="","",CHOOSE(WEEKDAY(A608,2),"Segunda","Terça","Quarta","Quinta","Sexta","Sábado","Domingo"))</f>
        <v>Sexta</v>
      </c>
      <c r="O608" s="26" t="str">
        <f>IF(B608="","",IF(B608&lt;TIME(12,0,0),"Manhã",IF(B608&lt;TIME(18,0,0),"Tarde","Noite")))</f>
        <v>Manhã</v>
      </c>
      <c r="P608" s="32">
        <f>IF(G608="","",IFERROR(INDEX(Config!$I$5:$I$16,MATCH(G608,Config!$H$5:$H$16,0)),0))</f>
        <v>0</v>
      </c>
      <c r="Q608" s="30">
        <f>IF(OR(H608&lt;&gt;"Realizado",P608="",P608=0),"",A608+P608)</f>
        <v/>
      </c>
      <c r="R608" s="26">
        <f>IF(Q608="","",IF(COUNTIFS($E$5:$E$3004,E608,$A$5:$A$3004,"&gt;"&amp;A608,$H$5:$H$3004,"&lt;&gt;Falta",$H$5:$H$3004,"&lt;&gt;Cancelado",$H$5:$H$3004,"&lt;&gt;Remarcado")&gt;0,"Sim","Não"))</f>
        <v/>
      </c>
      <c r="S608" s="32">
        <f>IF(R608&lt;&gt;"Não","",IF(Q608+Config!$B$9&lt;=Config!$B$8,Config!$B$8-Q608,""))</f>
        <v/>
      </c>
      <c r="T608" s="26">
        <f>IF(S608="","","Sim")</f>
        <v/>
      </c>
      <c r="U608" s="41">
        <f>IF(T608="Sim",S608+ROW()/100000,0)</f>
        <v>0</v>
      </c>
      <c r="V608" s="41">
        <f>IF(AND(H608="Falta",L608=Config!$B$7,M608=Config!$B$5,COUNTIFS($E$5:E608,E608,$H$5:H608,"Falta",$L$5:L608,Config!$B$7,$M$5:M608,Config!$B$5)=1),COUNTIFS($E$5:$E$3004,E608,$H$5:$H$3004,"Falta",$L$5:$L$3004,Config!$B$7,$M$5:$M$3004,Config!$B$5)*1000-ROW()/100000,0)</f>
        <v>0</v>
      </c>
    </row>
    <row r="609">
      <c r="A609" s="39" t="n">
        <v>46234</v>
      </c>
      <c r="B609" s="40" t="n">
        <v>0.3958333333333333</v>
      </c>
      <c r="C609" s="35" t="inlineStr">
        <is>
          <t>Dr. Paulo Andrade</t>
        </is>
      </c>
      <c r="D609" s="35" t="inlineStr">
        <is>
          <t>Sala 2</t>
        </is>
      </c>
      <c r="E609" s="34" t="inlineStr">
        <is>
          <t>Rafael Araújo</t>
        </is>
      </c>
      <c r="F609" s="35" t="inlineStr">
        <is>
          <t>MediPlan</t>
        </is>
      </c>
      <c r="G609" s="35" t="inlineStr">
        <is>
          <t>Consulta</t>
        </is>
      </c>
      <c r="H609" s="35" t="inlineStr">
        <is>
          <t>Realizado</t>
        </is>
      </c>
      <c r="I609" s="35" t="inlineStr">
        <is>
          <t>Convênio</t>
        </is>
      </c>
      <c r="J609" s="35" t="n"/>
      <c r="K609" s="34" t="n"/>
      <c r="L609" s="26">
        <f>IF(A609="","",MONTH(A609))</f>
        <v>7</v>
      </c>
      <c r="M609" s="26">
        <f>IF(A609="","",YEAR(A609))</f>
        <v>2026</v>
      </c>
      <c r="N609" s="26" t="str">
        <f>IF(A609="","",CHOOSE(WEEKDAY(A609,2),"Segunda","Terça","Quarta","Quinta","Sexta","Sábado","Domingo"))</f>
        <v>Sexta</v>
      </c>
      <c r="O609" s="26" t="str">
        <f>IF(B609="","",IF(B609&lt;TIME(12,0,0),"Manhã",IF(B609&lt;TIME(18,0,0),"Tarde","Noite")))</f>
        <v>Manhã</v>
      </c>
      <c r="P609" s="32">
        <f>IF(G609="","",IFERROR(INDEX(Config!$I$5:$I$16,MATCH(G609,Config!$H$5:$H$16,0)),0))</f>
        <v>30</v>
      </c>
      <c r="Q609" s="30">
        <f>IF(OR(H609&lt;&gt;"Realizado",P609="",P609=0),"",A609+P609)</f>
        <v>46264.0</v>
      </c>
      <c r="R609" s="26" t="str">
        <f>IF(Q609="","",IF(COUNTIFS($E$5:$E$3004,E609,$A$5:$A$3004,"&gt;"&amp;A609,$H$5:$H$3004,"&lt;&gt;Falta",$H$5:$H$3004,"&lt;&gt;Cancelado",$H$5:$H$3004,"&lt;&gt;Remarcado")&gt;0,"Sim","Não"))</f>
        <v>Não</v>
      </c>
      <c r="S609" s="32">
        <f>IF(R609&lt;&gt;"Não","",IF(Q609+Config!$B$9&lt;=Config!$B$8,Config!$B$8-Q609,""))</f>
        <v>15</v>
      </c>
      <c r="T609" s="26" t="str">
        <f>IF(S609="","","Sim")</f>
        <v>Sim</v>
      </c>
      <c r="U609" s="41">
        <f>IF(T609="Sim",S609+ROW()/100000,0)</f>
        <v>15.00609</v>
      </c>
      <c r="V609" s="41">
        <f>IF(AND(H609="Falta",L609=Config!$B$7,M609=Config!$B$5,COUNTIFS($E$5:E609,E609,$H$5:H609,"Falta",$L$5:L609,Config!$B$7,$M$5:M609,Config!$B$5)=1),COUNTIFS($E$5:$E$3004,E609,$H$5:$H$3004,"Falta",$L$5:$L$3004,Config!$B$7,$M$5:$M$3004,Config!$B$5)*1000-ROW()/100000,0)</f>
        <v>0</v>
      </c>
    </row>
    <row r="610">
      <c r="A610" s="39" t="n">
        <v>46234</v>
      </c>
      <c r="B610" s="40" t="n">
        <v>0.4166666666666667</v>
      </c>
      <c r="C610" s="35" t="inlineStr">
        <is>
          <t>Dr. Paulo Andrade</t>
        </is>
      </c>
      <c r="D610" s="35" t="inlineStr">
        <is>
          <t>Sala 2</t>
        </is>
      </c>
      <c r="E610" s="34" t="inlineStr">
        <is>
          <t>Otávio Martins</t>
        </is>
      </c>
      <c r="F610" s="35" t="inlineStr">
        <is>
          <t>MediPlan</t>
        </is>
      </c>
      <c r="G610" s="35" t="inlineStr">
        <is>
          <t>Retorno</t>
        </is>
      </c>
      <c r="H610" s="35" t="inlineStr">
        <is>
          <t>Realizado</t>
        </is>
      </c>
      <c r="I610" s="35" t="inlineStr">
        <is>
          <t>Sem cobrança</t>
        </is>
      </c>
      <c r="J610" s="35" t="n"/>
      <c r="K610" s="34" t="n"/>
      <c r="L610" s="26">
        <f>IF(A610="","",MONTH(A610))</f>
        <v>7</v>
      </c>
      <c r="M610" s="26">
        <f>IF(A610="","",YEAR(A610))</f>
        <v>2026</v>
      </c>
      <c r="N610" s="26" t="str">
        <f>IF(A610="","",CHOOSE(WEEKDAY(A610,2),"Segunda","Terça","Quarta","Quinta","Sexta","Sábado","Domingo"))</f>
        <v>Sexta</v>
      </c>
      <c r="O610" s="26" t="str">
        <f>IF(B610="","",IF(B610&lt;TIME(12,0,0),"Manhã",IF(B610&lt;TIME(18,0,0),"Tarde","Noite")))</f>
        <v>Manhã</v>
      </c>
      <c r="P610" s="32">
        <f>IF(G610="","",IFERROR(INDEX(Config!$I$5:$I$16,MATCH(G610,Config!$H$5:$H$16,0)),0))</f>
        <v>0</v>
      </c>
      <c r="Q610" s="30">
        <f>IF(OR(H610&lt;&gt;"Realizado",P610="",P610=0),"",A610+P610)</f>
        <v/>
      </c>
      <c r="R610" s="26">
        <f>IF(Q610="","",IF(COUNTIFS($E$5:$E$3004,E610,$A$5:$A$3004,"&gt;"&amp;A610,$H$5:$H$3004,"&lt;&gt;Falta",$H$5:$H$3004,"&lt;&gt;Cancelado",$H$5:$H$3004,"&lt;&gt;Remarcado")&gt;0,"Sim","Não"))</f>
        <v/>
      </c>
      <c r="S610" s="32">
        <f>IF(R610&lt;&gt;"Não","",IF(Q610+Config!$B$9&lt;=Config!$B$8,Config!$B$8-Q610,""))</f>
        <v/>
      </c>
      <c r="T610" s="26">
        <f>IF(S610="","","Sim")</f>
        <v/>
      </c>
      <c r="U610" s="41">
        <f>IF(T610="Sim",S610+ROW()/100000,0)</f>
        <v>0</v>
      </c>
      <c r="V610" s="41">
        <f>IF(AND(H610="Falta",L610=Config!$B$7,M610=Config!$B$5,COUNTIFS($E$5:E610,E610,$H$5:H610,"Falta",$L$5:L610,Config!$B$7,$M$5:M610,Config!$B$5)=1),COUNTIFS($E$5:$E$3004,E610,$H$5:$H$3004,"Falta",$L$5:$L$3004,Config!$B$7,$M$5:$M$3004,Config!$B$5)*1000-ROW()/100000,0)</f>
        <v>0</v>
      </c>
    </row>
    <row r="611">
      <c r="A611" s="39" t="n">
        <v>46234</v>
      </c>
      <c r="B611" s="40" t="n">
        <v>0.4305555555555556</v>
      </c>
      <c r="C611" s="35" t="inlineStr">
        <is>
          <t>Dr. Paulo Andrade</t>
        </is>
      </c>
      <c r="D611" s="35" t="inlineStr">
        <is>
          <t>Sala 2</t>
        </is>
      </c>
      <c r="E611" s="34" t="inlineStr">
        <is>
          <t>Lucas Cardoso</t>
        </is>
      </c>
      <c r="F611" s="35" t="inlineStr">
        <is>
          <t>Particular</t>
        </is>
      </c>
      <c r="G611" s="35" t="inlineStr">
        <is>
          <t>Retorno</t>
        </is>
      </c>
      <c r="H611" s="35" t="inlineStr">
        <is>
          <t>Realizado</t>
        </is>
      </c>
      <c r="I611" s="35" t="inlineStr">
        <is>
          <t>Sem cobrança</t>
        </is>
      </c>
      <c r="J611" s="35" t="n"/>
      <c r="K611" s="34" t="n"/>
      <c r="L611" s="26">
        <f>IF(A611="","",MONTH(A611))</f>
        <v>7</v>
      </c>
      <c r="M611" s="26">
        <f>IF(A611="","",YEAR(A611))</f>
        <v>2026</v>
      </c>
      <c r="N611" s="26" t="str">
        <f>IF(A611="","",CHOOSE(WEEKDAY(A611,2),"Segunda","Terça","Quarta","Quinta","Sexta","Sábado","Domingo"))</f>
        <v>Sexta</v>
      </c>
      <c r="O611" s="26" t="str">
        <f>IF(B611="","",IF(B611&lt;TIME(12,0,0),"Manhã",IF(B611&lt;TIME(18,0,0),"Tarde","Noite")))</f>
        <v>Manhã</v>
      </c>
      <c r="P611" s="32">
        <f>IF(G611="","",IFERROR(INDEX(Config!$I$5:$I$16,MATCH(G611,Config!$H$5:$H$16,0)),0))</f>
        <v>0</v>
      </c>
      <c r="Q611" s="30">
        <f>IF(OR(H611&lt;&gt;"Realizado",P611="",P611=0),"",A611+P611)</f>
        <v/>
      </c>
      <c r="R611" s="26">
        <f>IF(Q611="","",IF(COUNTIFS($E$5:$E$3004,E611,$A$5:$A$3004,"&gt;"&amp;A611,$H$5:$H$3004,"&lt;&gt;Falta",$H$5:$H$3004,"&lt;&gt;Cancelado",$H$5:$H$3004,"&lt;&gt;Remarcado")&gt;0,"Sim","Não"))</f>
        <v/>
      </c>
      <c r="S611" s="32">
        <f>IF(R611&lt;&gt;"Não","",IF(Q611+Config!$B$9&lt;=Config!$B$8,Config!$B$8-Q611,""))</f>
        <v/>
      </c>
      <c r="T611" s="26">
        <f>IF(S611="","","Sim")</f>
        <v/>
      </c>
      <c r="U611" s="41">
        <f>IF(T611="Sim",S611+ROW()/100000,0)</f>
        <v>0</v>
      </c>
      <c r="V611" s="41">
        <f>IF(AND(H611="Falta",L611=Config!$B$7,M611=Config!$B$5,COUNTIFS($E$5:E611,E611,$H$5:H611,"Falta",$L$5:L611,Config!$B$7,$M$5:M611,Config!$B$5)=1),COUNTIFS($E$5:$E$3004,E611,$H$5:$H$3004,"Falta",$L$5:$L$3004,Config!$B$7,$M$5:$M$3004,Config!$B$5)*1000-ROW()/100000,0)</f>
        <v>0</v>
      </c>
    </row>
    <row r="612">
      <c r="A612" s="39" t="n">
        <v>46234</v>
      </c>
      <c r="B612" s="40" t="n">
        <v>0.4444444444444444</v>
      </c>
      <c r="C612" s="35" t="inlineStr">
        <is>
          <t>Dr. Paulo Andrade</t>
        </is>
      </c>
      <c r="D612" s="35" t="inlineStr">
        <is>
          <t>Sala 2</t>
        </is>
      </c>
      <c r="E612" s="34" t="inlineStr">
        <is>
          <t>Renato Pereira</t>
        </is>
      </c>
      <c r="F612" s="35" t="inlineStr">
        <is>
          <t>MediPlan</t>
        </is>
      </c>
      <c r="G612" s="35" t="inlineStr">
        <is>
          <t>Consulta</t>
        </is>
      </c>
      <c r="H612" s="35" t="inlineStr">
        <is>
          <t>Cancelado</t>
        </is>
      </c>
      <c r="I612" s="35" t="n"/>
      <c r="J612" s="35" t="n"/>
      <c r="K612" s="34" t="n"/>
      <c r="L612" s="26">
        <f>IF(A612="","",MONTH(A612))</f>
        <v>7</v>
      </c>
      <c r="M612" s="26">
        <f>IF(A612="","",YEAR(A612))</f>
        <v>2026</v>
      </c>
      <c r="N612" s="26" t="str">
        <f>IF(A612="","",CHOOSE(WEEKDAY(A612,2),"Segunda","Terça","Quarta","Quinta","Sexta","Sábado","Domingo"))</f>
        <v>Sexta</v>
      </c>
      <c r="O612" s="26" t="str">
        <f>IF(B612="","",IF(B612&lt;TIME(12,0,0),"Manhã",IF(B612&lt;TIME(18,0,0),"Tarde","Noite")))</f>
        <v>Manhã</v>
      </c>
      <c r="P612" s="32">
        <f>IF(G612="","",IFERROR(INDEX(Config!$I$5:$I$16,MATCH(G612,Config!$H$5:$H$16,0)),0))</f>
        <v>30</v>
      </c>
      <c r="Q612" s="30">
        <f>IF(OR(H612&lt;&gt;"Realizado",P612="",P612=0),"",A612+P612)</f>
        <v/>
      </c>
      <c r="R612" s="26">
        <f>IF(Q612="","",IF(COUNTIFS($E$5:$E$3004,E612,$A$5:$A$3004,"&gt;"&amp;A612,$H$5:$H$3004,"&lt;&gt;Falta",$H$5:$H$3004,"&lt;&gt;Cancelado",$H$5:$H$3004,"&lt;&gt;Remarcado")&gt;0,"Sim","Não"))</f>
        <v/>
      </c>
      <c r="S612" s="32">
        <f>IF(R612&lt;&gt;"Não","",IF(Q612+Config!$B$9&lt;=Config!$B$8,Config!$B$8-Q612,""))</f>
        <v/>
      </c>
      <c r="T612" s="26">
        <f>IF(S612="","","Sim")</f>
        <v/>
      </c>
      <c r="U612" s="41">
        <f>IF(T612="Sim",S612+ROW()/100000,0)</f>
        <v>0</v>
      </c>
      <c r="V612" s="41">
        <f>IF(AND(H612="Falta",L612=Config!$B$7,M612=Config!$B$5,COUNTIFS($E$5:E612,E612,$H$5:H612,"Falta",$L$5:L612,Config!$B$7,$M$5:M612,Config!$B$5)=1),COUNTIFS($E$5:$E$3004,E612,$H$5:$H$3004,"Falta",$L$5:$L$3004,Config!$B$7,$M$5:$M$3004,Config!$B$5)*1000-ROW()/100000,0)</f>
        <v>0</v>
      </c>
    </row>
    <row r="613">
      <c r="A613" s="39" t="n">
        <v>46234</v>
      </c>
      <c r="B613" s="40" t="n">
        <v>0.4652777777777778</v>
      </c>
      <c r="C613" s="35" t="inlineStr">
        <is>
          <t>Dr. Paulo Andrade</t>
        </is>
      </c>
      <c r="D613" s="35" t="inlineStr">
        <is>
          <t>Sala 2</t>
        </is>
      </c>
      <c r="E613" s="34" t="inlineStr">
        <is>
          <t>Henrique Ribeiro</t>
        </is>
      </c>
      <c r="F613" s="35" t="inlineStr">
        <is>
          <t>Particular</t>
        </is>
      </c>
      <c r="G613" s="35" t="inlineStr">
        <is>
          <t>Consulta</t>
        </is>
      </c>
      <c r="H613" s="35" t="inlineStr">
        <is>
          <t>Realizado</t>
        </is>
      </c>
      <c r="I613" s="35" t="inlineStr">
        <is>
          <t>Cartão de débito</t>
        </is>
      </c>
      <c r="J613" s="35" t="n"/>
      <c r="K613" s="34" t="n"/>
      <c r="L613" s="26">
        <f>IF(A613="","",MONTH(A613))</f>
        <v>7</v>
      </c>
      <c r="M613" s="26">
        <f>IF(A613="","",YEAR(A613))</f>
        <v>2026</v>
      </c>
      <c r="N613" s="26" t="str">
        <f>IF(A613="","",CHOOSE(WEEKDAY(A613,2),"Segunda","Terça","Quarta","Quinta","Sexta","Sábado","Domingo"))</f>
        <v>Sexta</v>
      </c>
      <c r="O613" s="26" t="str">
        <f>IF(B613="","",IF(B613&lt;TIME(12,0,0),"Manhã",IF(B613&lt;TIME(18,0,0),"Tarde","Noite")))</f>
        <v>Manhã</v>
      </c>
      <c r="P613" s="32">
        <f>IF(G613="","",IFERROR(INDEX(Config!$I$5:$I$16,MATCH(G613,Config!$H$5:$H$16,0)),0))</f>
        <v>30</v>
      </c>
      <c r="Q613" s="30">
        <f>IF(OR(H613&lt;&gt;"Realizado",P613="",P613=0),"",A613+P613)</f>
        <v>46264.0</v>
      </c>
      <c r="R613" s="26" t="str">
        <f>IF(Q613="","",IF(COUNTIFS($E$5:$E$3004,E613,$A$5:$A$3004,"&gt;"&amp;A613,$H$5:$H$3004,"&lt;&gt;Falta",$H$5:$H$3004,"&lt;&gt;Cancelado",$H$5:$H$3004,"&lt;&gt;Remarcado")&gt;0,"Sim","Não"))</f>
        <v>Sim</v>
      </c>
      <c r="S613" s="32">
        <f>IF(R613&lt;&gt;"Não","",IF(Q613+Config!$B$9&lt;=Config!$B$8,Config!$B$8-Q613,""))</f>
        <v/>
      </c>
      <c r="T613" s="26">
        <f>IF(S613="","","Sim")</f>
        <v/>
      </c>
      <c r="U613" s="41">
        <f>IF(T613="Sim",S613+ROW()/100000,0)</f>
        <v>0</v>
      </c>
      <c r="V613" s="41">
        <f>IF(AND(H613="Falta",L613=Config!$B$7,M613=Config!$B$5,COUNTIFS($E$5:E613,E613,$H$5:H613,"Falta",$L$5:L613,Config!$B$7,$M$5:M613,Config!$B$5)=1),COUNTIFS($E$5:$E$3004,E613,$H$5:$H$3004,"Falta",$L$5:$L$3004,Config!$B$7,$M$5:$M$3004,Config!$B$5)*1000-ROW()/100000,0)</f>
        <v>0</v>
      </c>
    </row>
    <row r="614">
      <c r="A614" s="39" t="n">
        <v>46237</v>
      </c>
      <c r="B614" s="40" t="n">
        <v>0.3333333333333333</v>
      </c>
      <c r="C614" s="35" t="inlineStr">
        <is>
          <t>Dra. Carolina Mendes</t>
        </is>
      </c>
      <c r="D614" s="35" t="inlineStr">
        <is>
          <t>Sala 1</t>
        </is>
      </c>
      <c r="E614" s="34" t="inlineStr">
        <is>
          <t>Mariana Nascimento</t>
        </is>
      </c>
      <c r="F614" s="35" t="inlineStr">
        <is>
          <t>Particular</t>
        </is>
      </c>
      <c r="G614" s="35" t="inlineStr">
        <is>
          <t>Consulta</t>
        </is>
      </c>
      <c r="H614" s="35" t="inlineStr">
        <is>
          <t>Cancelado</t>
        </is>
      </c>
      <c r="I614" s="35" t="n"/>
      <c r="J614" s="35" t="n"/>
      <c r="K614" s="34" t="n"/>
      <c r="L614" s="26">
        <f>IF(A614="","",MONTH(A614))</f>
        <v>8</v>
      </c>
      <c r="M614" s="26">
        <f>IF(A614="","",YEAR(A614))</f>
        <v>2026</v>
      </c>
      <c r="N614" s="26" t="str">
        <f>IF(A614="","",CHOOSE(WEEKDAY(A614,2),"Segunda","Terça","Quarta","Quinta","Sexta","Sábado","Domingo"))</f>
        <v>Segunda</v>
      </c>
      <c r="O614" s="26" t="str">
        <f>IF(B614="","",IF(B614&lt;TIME(12,0,0),"Manhã",IF(B614&lt;TIME(18,0,0),"Tarde","Noite")))</f>
        <v>Manhã</v>
      </c>
      <c r="P614" s="32">
        <f>IF(G614="","",IFERROR(INDEX(Config!$I$5:$I$16,MATCH(G614,Config!$H$5:$H$16,0)),0))</f>
        <v>30</v>
      </c>
      <c r="Q614" s="30">
        <f>IF(OR(H614&lt;&gt;"Realizado",P614="",P614=0),"",A614+P614)</f>
        <v/>
      </c>
      <c r="R614" s="26">
        <f>IF(Q614="","",IF(COUNTIFS($E$5:$E$3004,E614,$A$5:$A$3004,"&gt;"&amp;A614,$H$5:$H$3004,"&lt;&gt;Falta",$H$5:$H$3004,"&lt;&gt;Cancelado",$H$5:$H$3004,"&lt;&gt;Remarcado")&gt;0,"Sim","Não"))</f>
        <v/>
      </c>
      <c r="S614" s="32">
        <f>IF(R614&lt;&gt;"Não","",IF(Q614+Config!$B$9&lt;=Config!$B$8,Config!$B$8-Q614,""))</f>
        <v/>
      </c>
      <c r="T614" s="26">
        <f>IF(S614="","","Sim")</f>
        <v/>
      </c>
      <c r="U614" s="41">
        <f>IF(T614="Sim",S614+ROW()/100000,0)</f>
        <v>0</v>
      </c>
      <c r="V614" s="41">
        <f>IF(AND(H614="Falta",L614=Config!$B$7,M614=Config!$B$5,COUNTIFS($E$5:E614,E614,$H$5:H614,"Falta",$L$5:L614,Config!$B$7,$M$5:M614,Config!$B$5)=1),COUNTIFS($E$5:$E$3004,E614,$H$5:$H$3004,"Falta",$L$5:$L$3004,Config!$B$7,$M$5:$M$3004,Config!$B$5)*1000-ROW()/100000,0)</f>
        <v>0</v>
      </c>
    </row>
    <row r="615">
      <c r="A615" s="39" t="n">
        <v>46237</v>
      </c>
      <c r="B615" s="40" t="n">
        <v>0.3541666666666667</v>
      </c>
      <c r="C615" s="35" t="inlineStr">
        <is>
          <t>Dra. Carolina Mendes</t>
        </is>
      </c>
      <c r="D615" s="35" t="inlineStr">
        <is>
          <t>Sala 1</t>
        </is>
      </c>
      <c r="E615" s="34" t="inlineStr">
        <is>
          <t>Tatiana Rocha</t>
        </is>
      </c>
      <c r="F615" s="35" t="inlineStr">
        <is>
          <t>Vida Care</t>
        </is>
      </c>
      <c r="G615" s="35" t="inlineStr">
        <is>
          <t>Consulta</t>
        </is>
      </c>
      <c r="H615" s="35" t="inlineStr">
        <is>
          <t>Realizado</t>
        </is>
      </c>
      <c r="I615" s="35" t="inlineStr">
        <is>
          <t>Convênio</t>
        </is>
      </c>
      <c r="J615" s="35" t="n"/>
      <c r="K615" s="34" t="n"/>
      <c r="L615" s="26">
        <f>IF(A615="","",MONTH(A615))</f>
        <v>8</v>
      </c>
      <c r="M615" s="26">
        <f>IF(A615="","",YEAR(A615))</f>
        <v>2026</v>
      </c>
      <c r="N615" s="26" t="str">
        <f>IF(A615="","",CHOOSE(WEEKDAY(A615,2),"Segunda","Terça","Quarta","Quinta","Sexta","Sábado","Domingo"))</f>
        <v>Segunda</v>
      </c>
      <c r="O615" s="26" t="str">
        <f>IF(B615="","",IF(B615&lt;TIME(12,0,0),"Manhã",IF(B615&lt;TIME(18,0,0),"Tarde","Noite")))</f>
        <v>Manhã</v>
      </c>
      <c r="P615" s="32">
        <f>IF(G615="","",IFERROR(INDEX(Config!$I$5:$I$16,MATCH(G615,Config!$H$5:$H$16,0)),0))</f>
        <v>30</v>
      </c>
      <c r="Q615" s="30">
        <f>IF(OR(H615&lt;&gt;"Realizado",P615="",P615=0),"",A615+P615)</f>
        <v>46267.0</v>
      </c>
      <c r="R615" s="26" t="str">
        <f>IF(Q615="","",IF(COUNTIFS($E$5:$E$3004,E615,$A$5:$A$3004,"&gt;"&amp;A615,$H$5:$H$3004,"&lt;&gt;Falta",$H$5:$H$3004,"&lt;&gt;Cancelado",$H$5:$H$3004,"&lt;&gt;Remarcado")&gt;0,"Sim","Não"))</f>
        <v>Sim</v>
      </c>
      <c r="S615" s="32">
        <f>IF(R615&lt;&gt;"Não","",IF(Q615+Config!$B$9&lt;=Config!$B$8,Config!$B$8-Q615,""))</f>
        <v/>
      </c>
      <c r="T615" s="26">
        <f>IF(S615="","","Sim")</f>
        <v/>
      </c>
      <c r="U615" s="41">
        <f>IF(T615="Sim",S615+ROW()/100000,0)</f>
        <v>0</v>
      </c>
      <c r="V615" s="41">
        <f>IF(AND(H615="Falta",L615=Config!$B$7,M615=Config!$B$5,COUNTIFS($E$5:E615,E615,$H$5:H615,"Falta",$L$5:L615,Config!$B$7,$M$5:M615,Config!$B$5)=1),COUNTIFS($E$5:$E$3004,E615,$H$5:$H$3004,"Falta",$L$5:$L$3004,Config!$B$7,$M$5:$M$3004,Config!$B$5)*1000-ROW()/100000,0)</f>
        <v>0</v>
      </c>
    </row>
    <row r="616">
      <c r="A616" s="39" t="n">
        <v>46237</v>
      </c>
      <c r="B616" s="40" t="n">
        <v>0.375</v>
      </c>
      <c r="C616" s="35" t="inlineStr">
        <is>
          <t>Dra. Carolina Mendes</t>
        </is>
      </c>
      <c r="D616" s="35" t="inlineStr">
        <is>
          <t>Sala 1</t>
        </is>
      </c>
      <c r="E616" s="34" t="inlineStr">
        <is>
          <t>Mateus Lima</t>
        </is>
      </c>
      <c r="F616" s="35" t="inlineStr">
        <is>
          <t>MediPlan</t>
        </is>
      </c>
      <c r="G616" s="35" t="inlineStr">
        <is>
          <t>Consulta</t>
        </is>
      </c>
      <c r="H616" s="35" t="inlineStr">
        <is>
          <t>Falta</t>
        </is>
      </c>
      <c r="I616" s="35" t="n"/>
      <c r="J616" s="35" t="n"/>
      <c r="K616" s="34" t="n"/>
      <c r="L616" s="26">
        <f>IF(A616="","",MONTH(A616))</f>
        <v>8</v>
      </c>
      <c r="M616" s="26">
        <f>IF(A616="","",YEAR(A616))</f>
        <v>2026</v>
      </c>
      <c r="N616" s="26" t="str">
        <f>IF(A616="","",CHOOSE(WEEKDAY(A616,2),"Segunda","Terça","Quarta","Quinta","Sexta","Sábado","Domingo"))</f>
        <v>Segunda</v>
      </c>
      <c r="O616" s="26" t="str">
        <f>IF(B616="","",IF(B616&lt;TIME(12,0,0),"Manhã",IF(B616&lt;TIME(18,0,0),"Tarde","Noite")))</f>
        <v>Manhã</v>
      </c>
      <c r="P616" s="32">
        <f>IF(G616="","",IFERROR(INDEX(Config!$I$5:$I$16,MATCH(G616,Config!$H$5:$H$16,0)),0))</f>
        <v>30</v>
      </c>
      <c r="Q616" s="30">
        <f>IF(OR(H616&lt;&gt;"Realizado",P616="",P616=0),"",A616+P616)</f>
        <v/>
      </c>
      <c r="R616" s="26">
        <f>IF(Q616="","",IF(COUNTIFS($E$5:$E$3004,E616,$A$5:$A$3004,"&gt;"&amp;A616,$H$5:$H$3004,"&lt;&gt;Falta",$H$5:$H$3004,"&lt;&gt;Cancelado",$H$5:$H$3004,"&lt;&gt;Remarcado")&gt;0,"Sim","Não"))</f>
        <v/>
      </c>
      <c r="S616" s="32">
        <f>IF(R616&lt;&gt;"Não","",IF(Q616+Config!$B$9&lt;=Config!$B$8,Config!$B$8-Q616,""))</f>
        <v/>
      </c>
      <c r="T616" s="26">
        <f>IF(S616="","","Sim")</f>
        <v/>
      </c>
      <c r="U616" s="41">
        <f>IF(T616="Sim",S616+ROW()/100000,0)</f>
        <v>0</v>
      </c>
      <c r="V616" s="41">
        <f>IF(AND(H616="Falta",L616=Config!$B$7,M616=Config!$B$5,COUNTIFS($E$5:E616,E616,$H$5:H616,"Falta",$L$5:L616,Config!$B$7,$M$5:M616,Config!$B$5)=1),COUNTIFS($E$5:$E$3004,E616,$H$5:$H$3004,"Falta",$L$5:$L$3004,Config!$B$7,$M$5:$M$3004,Config!$B$5)*1000-ROW()/100000,0)</f>
        <v>0</v>
      </c>
    </row>
    <row r="617">
      <c r="A617" s="39" t="n">
        <v>46237</v>
      </c>
      <c r="B617" s="40" t="n">
        <v>0.3958333333333333</v>
      </c>
      <c r="C617" s="35" t="inlineStr">
        <is>
          <t>Dra. Carolina Mendes</t>
        </is>
      </c>
      <c r="D617" s="35" t="inlineStr">
        <is>
          <t>Sala 1</t>
        </is>
      </c>
      <c r="E617" s="34" t="inlineStr">
        <is>
          <t>Mateus Lima</t>
        </is>
      </c>
      <c r="F617" s="35" t="inlineStr">
        <is>
          <t>MediPlan</t>
        </is>
      </c>
      <c r="G617" s="35" t="inlineStr">
        <is>
          <t>Consulta</t>
        </is>
      </c>
      <c r="H617" s="35" t="inlineStr">
        <is>
          <t>Realizado</t>
        </is>
      </c>
      <c r="I617" s="35" t="inlineStr">
        <is>
          <t>Convênio</t>
        </is>
      </c>
      <c r="J617" s="35" t="n"/>
      <c r="K617" s="34" t="n"/>
      <c r="L617" s="26">
        <f>IF(A617="","",MONTH(A617))</f>
        <v>8</v>
      </c>
      <c r="M617" s="26">
        <f>IF(A617="","",YEAR(A617))</f>
        <v>2026</v>
      </c>
      <c r="N617" s="26" t="str">
        <f>IF(A617="","",CHOOSE(WEEKDAY(A617,2),"Segunda","Terça","Quarta","Quinta","Sexta","Sábado","Domingo"))</f>
        <v>Segunda</v>
      </c>
      <c r="O617" s="26" t="str">
        <f>IF(B617="","",IF(B617&lt;TIME(12,0,0),"Manhã",IF(B617&lt;TIME(18,0,0),"Tarde","Noite")))</f>
        <v>Manhã</v>
      </c>
      <c r="P617" s="32">
        <f>IF(G617="","",IFERROR(INDEX(Config!$I$5:$I$16,MATCH(G617,Config!$H$5:$H$16,0)),0))</f>
        <v>30</v>
      </c>
      <c r="Q617" s="30">
        <f>IF(OR(H617&lt;&gt;"Realizado",P617="",P617=0),"",A617+P617)</f>
        <v>46267.0</v>
      </c>
      <c r="R617" s="26" t="str">
        <f>IF(Q617="","",IF(COUNTIFS($E$5:$E$3004,E617,$A$5:$A$3004,"&gt;"&amp;A617,$H$5:$H$3004,"&lt;&gt;Falta",$H$5:$H$3004,"&lt;&gt;Cancelado",$H$5:$H$3004,"&lt;&gt;Remarcado")&gt;0,"Sim","Não"))</f>
        <v>Sim</v>
      </c>
      <c r="S617" s="32">
        <f>IF(R617&lt;&gt;"Não","",IF(Q617+Config!$B$9&lt;=Config!$B$8,Config!$B$8-Q617,""))</f>
        <v/>
      </c>
      <c r="T617" s="26">
        <f>IF(S617="","","Sim")</f>
        <v/>
      </c>
      <c r="U617" s="41">
        <f>IF(T617="Sim",S617+ROW()/100000,0)</f>
        <v>0</v>
      </c>
      <c r="V617" s="41">
        <f>IF(AND(H617="Falta",L617=Config!$B$7,M617=Config!$B$5,COUNTIFS($E$5:E617,E617,$H$5:H617,"Falta",$L$5:L617,Config!$B$7,$M$5:M617,Config!$B$5)=1),COUNTIFS($E$5:$E$3004,E617,$H$5:$H$3004,"Falta",$L$5:$L$3004,Config!$B$7,$M$5:$M$3004,Config!$B$5)*1000-ROW()/100000,0)</f>
        <v>0</v>
      </c>
    </row>
    <row r="618">
      <c r="A618" s="39" t="n">
        <v>46237</v>
      </c>
      <c r="B618" s="40" t="n">
        <v>0.4166666666666667</v>
      </c>
      <c r="C618" s="35" t="inlineStr">
        <is>
          <t>Dra. Carolina Mendes</t>
        </is>
      </c>
      <c r="D618" s="35" t="inlineStr">
        <is>
          <t>Sala 1</t>
        </is>
      </c>
      <c r="E618" s="34" t="inlineStr">
        <is>
          <t>Mônica Martins</t>
        </is>
      </c>
      <c r="F618" s="35" t="inlineStr">
        <is>
          <t>Particular</t>
        </is>
      </c>
      <c r="G618" s="35" t="inlineStr">
        <is>
          <t>Consulta</t>
        </is>
      </c>
      <c r="H618" s="35" t="inlineStr">
        <is>
          <t>Realizado</t>
        </is>
      </c>
      <c r="I618" s="35" t="inlineStr">
        <is>
          <t>Cartão de crédito</t>
        </is>
      </c>
      <c r="J618" s="35" t="n"/>
      <c r="K618" s="34" t="n"/>
      <c r="L618" s="26">
        <f>IF(A618="","",MONTH(A618))</f>
        <v>8</v>
      </c>
      <c r="M618" s="26">
        <f>IF(A618="","",YEAR(A618))</f>
        <v>2026</v>
      </c>
      <c r="N618" s="26" t="str">
        <f>IF(A618="","",CHOOSE(WEEKDAY(A618,2),"Segunda","Terça","Quarta","Quinta","Sexta","Sábado","Domingo"))</f>
        <v>Segunda</v>
      </c>
      <c r="O618" s="26" t="str">
        <f>IF(B618="","",IF(B618&lt;TIME(12,0,0),"Manhã",IF(B618&lt;TIME(18,0,0),"Tarde","Noite")))</f>
        <v>Manhã</v>
      </c>
      <c r="P618" s="32">
        <f>IF(G618="","",IFERROR(INDEX(Config!$I$5:$I$16,MATCH(G618,Config!$H$5:$H$16,0)),0))</f>
        <v>30</v>
      </c>
      <c r="Q618" s="30">
        <f>IF(OR(H618&lt;&gt;"Realizado",P618="",P618=0),"",A618+P618)</f>
        <v>46267.0</v>
      </c>
      <c r="R618" s="26" t="str">
        <f>IF(Q618="","",IF(COUNTIFS($E$5:$E$3004,E618,$A$5:$A$3004,"&gt;"&amp;A618,$H$5:$H$3004,"&lt;&gt;Falta",$H$5:$H$3004,"&lt;&gt;Cancelado",$H$5:$H$3004,"&lt;&gt;Remarcado")&gt;0,"Sim","Não"))</f>
        <v>Sim</v>
      </c>
      <c r="S618" s="32">
        <f>IF(R618&lt;&gt;"Não","",IF(Q618+Config!$B$9&lt;=Config!$B$8,Config!$B$8-Q618,""))</f>
        <v/>
      </c>
      <c r="T618" s="26">
        <f>IF(S618="","","Sim")</f>
        <v/>
      </c>
      <c r="U618" s="41">
        <f>IF(T618="Sim",S618+ROW()/100000,0)</f>
        <v>0</v>
      </c>
      <c r="V618" s="41">
        <f>IF(AND(H618="Falta",L618=Config!$B$7,M618=Config!$B$5,COUNTIFS($E$5:E618,E618,$H$5:H618,"Falta",$L$5:L618,Config!$B$7,$M$5:M618,Config!$B$5)=1),COUNTIFS($E$5:$E$3004,E618,$H$5:$H$3004,"Falta",$L$5:$L$3004,Config!$B$7,$M$5:$M$3004,Config!$B$5)*1000-ROW()/100000,0)</f>
        <v>0</v>
      </c>
    </row>
    <row r="619">
      <c r="A619" s="39" t="n">
        <v>46237</v>
      </c>
      <c r="B619" s="40" t="n">
        <v>0.4375</v>
      </c>
      <c r="C619" s="35" t="inlineStr">
        <is>
          <t>Dra. Carolina Mendes</t>
        </is>
      </c>
      <c r="D619" s="35" t="inlineStr">
        <is>
          <t>Sala 1</t>
        </is>
      </c>
      <c r="E619" s="34" t="inlineStr">
        <is>
          <t>Larissa Costa</t>
        </is>
      </c>
      <c r="F619" s="35" t="inlineStr">
        <is>
          <t>Particular</t>
        </is>
      </c>
      <c r="G619" s="35" t="inlineStr">
        <is>
          <t>Consulta</t>
        </is>
      </c>
      <c r="H619" s="35" t="inlineStr">
        <is>
          <t>Realizado</t>
        </is>
      </c>
      <c r="I619" s="35" t="inlineStr">
        <is>
          <t>A prazo</t>
        </is>
      </c>
      <c r="J619" s="35" t="n"/>
      <c r="K619" s="34" t="n"/>
      <c r="L619" s="26">
        <f>IF(A619="","",MONTH(A619))</f>
        <v>8</v>
      </c>
      <c r="M619" s="26">
        <f>IF(A619="","",YEAR(A619))</f>
        <v>2026</v>
      </c>
      <c r="N619" s="26" t="str">
        <f>IF(A619="","",CHOOSE(WEEKDAY(A619,2),"Segunda","Terça","Quarta","Quinta","Sexta","Sábado","Domingo"))</f>
        <v>Segunda</v>
      </c>
      <c r="O619" s="26" t="str">
        <f>IF(B619="","",IF(B619&lt;TIME(12,0,0),"Manhã",IF(B619&lt;TIME(18,0,0),"Tarde","Noite")))</f>
        <v>Manhã</v>
      </c>
      <c r="P619" s="32">
        <f>IF(G619="","",IFERROR(INDEX(Config!$I$5:$I$16,MATCH(G619,Config!$H$5:$H$16,0)),0))</f>
        <v>30</v>
      </c>
      <c r="Q619" s="30">
        <f>IF(OR(H619&lt;&gt;"Realizado",P619="",P619=0),"",A619+P619)</f>
        <v>46267.0</v>
      </c>
      <c r="R619" s="26" t="str">
        <f>IF(Q619="","",IF(COUNTIFS($E$5:$E$3004,E619,$A$5:$A$3004,"&gt;"&amp;A619,$H$5:$H$3004,"&lt;&gt;Falta",$H$5:$H$3004,"&lt;&gt;Cancelado",$H$5:$H$3004,"&lt;&gt;Remarcado")&gt;0,"Sim","Não"))</f>
        <v>Sim</v>
      </c>
      <c r="S619" s="32">
        <f>IF(R619&lt;&gt;"Não","",IF(Q619+Config!$B$9&lt;=Config!$B$8,Config!$B$8-Q619,""))</f>
        <v/>
      </c>
      <c r="T619" s="26">
        <f>IF(S619="","","Sim")</f>
        <v/>
      </c>
      <c r="U619" s="41">
        <f>IF(T619="Sim",S619+ROW()/100000,0)</f>
        <v>0</v>
      </c>
      <c r="V619" s="41">
        <f>IF(AND(H619="Falta",L619=Config!$B$7,M619=Config!$B$5,COUNTIFS($E$5:E619,E619,$H$5:H619,"Falta",$L$5:L619,Config!$B$7,$M$5:M619,Config!$B$5)=1),COUNTIFS($E$5:$E$3004,E619,$H$5:$H$3004,"Falta",$L$5:$L$3004,Config!$B$7,$M$5:$M$3004,Config!$B$5)*1000-ROW()/100000,0)</f>
        <v>0</v>
      </c>
    </row>
    <row r="620">
      <c r="A620" s="39" t="n">
        <v>46237</v>
      </c>
      <c r="B620" s="40" t="n">
        <v>0.4583333333333333</v>
      </c>
      <c r="C620" s="35" t="inlineStr">
        <is>
          <t>Dra. Carolina Mendes</t>
        </is>
      </c>
      <c r="D620" s="35" t="inlineStr">
        <is>
          <t>Sala 1</t>
        </is>
      </c>
      <c r="E620" s="34" t="inlineStr">
        <is>
          <t>Letícia Vieira</t>
        </is>
      </c>
      <c r="F620" s="35" t="inlineStr">
        <is>
          <t>Saúde Total</t>
        </is>
      </c>
      <c r="G620" s="35" t="inlineStr">
        <is>
          <t>Consulta</t>
        </is>
      </c>
      <c r="H620" s="35" t="inlineStr">
        <is>
          <t>Realizado</t>
        </is>
      </c>
      <c r="I620" s="35" t="inlineStr">
        <is>
          <t>Convênio</t>
        </is>
      </c>
      <c r="J620" s="35" t="n"/>
      <c r="K620" s="34" t="n"/>
      <c r="L620" s="26">
        <f>IF(A620="","",MONTH(A620))</f>
        <v>8</v>
      </c>
      <c r="M620" s="26">
        <f>IF(A620="","",YEAR(A620))</f>
        <v>2026</v>
      </c>
      <c r="N620" s="26" t="str">
        <f>IF(A620="","",CHOOSE(WEEKDAY(A620,2),"Segunda","Terça","Quarta","Quinta","Sexta","Sábado","Domingo"))</f>
        <v>Segunda</v>
      </c>
      <c r="O620" s="26" t="str">
        <f>IF(B620="","",IF(B620&lt;TIME(12,0,0),"Manhã",IF(B620&lt;TIME(18,0,0),"Tarde","Noite")))</f>
        <v>Manhã</v>
      </c>
      <c r="P620" s="32">
        <f>IF(G620="","",IFERROR(INDEX(Config!$I$5:$I$16,MATCH(G620,Config!$H$5:$H$16,0)),0))</f>
        <v>30</v>
      </c>
      <c r="Q620" s="30">
        <f>IF(OR(H620&lt;&gt;"Realizado",P620="",P620=0),"",A620+P620)</f>
        <v>46267.0</v>
      </c>
      <c r="R620" s="26" t="str">
        <f>IF(Q620="","",IF(COUNTIFS($E$5:$E$3004,E620,$A$5:$A$3004,"&gt;"&amp;A620,$H$5:$H$3004,"&lt;&gt;Falta",$H$5:$H$3004,"&lt;&gt;Cancelado",$H$5:$H$3004,"&lt;&gt;Remarcado")&gt;0,"Sim","Não"))</f>
        <v>Sim</v>
      </c>
      <c r="S620" s="32">
        <f>IF(R620&lt;&gt;"Não","",IF(Q620+Config!$B$9&lt;=Config!$B$8,Config!$B$8-Q620,""))</f>
        <v/>
      </c>
      <c r="T620" s="26">
        <f>IF(S620="","","Sim")</f>
        <v/>
      </c>
      <c r="U620" s="41">
        <f>IF(T620="Sim",S620+ROW()/100000,0)</f>
        <v>0</v>
      </c>
      <c r="V620" s="41">
        <f>IF(AND(H620="Falta",L620=Config!$B$7,M620=Config!$B$5,COUNTIFS($E$5:E620,E620,$H$5:H620,"Falta",$L$5:L620,Config!$B$7,$M$5:M620,Config!$B$5)=1),COUNTIFS($E$5:$E$3004,E620,$H$5:$H$3004,"Falta",$L$5:$L$3004,Config!$B$7,$M$5:$M$3004,Config!$B$5)*1000-ROW()/100000,0)</f>
        <v>0</v>
      </c>
    </row>
    <row r="621">
      <c r="A621" s="39" t="n">
        <v>46237</v>
      </c>
      <c r="B621" s="40" t="n">
        <v>0.4791666666666667</v>
      </c>
      <c r="C621" s="35" t="inlineStr">
        <is>
          <t>Dra. Carolina Mendes</t>
        </is>
      </c>
      <c r="D621" s="35" t="inlineStr">
        <is>
          <t>Sala 1</t>
        </is>
      </c>
      <c r="E621" s="34" t="inlineStr">
        <is>
          <t>Rafael Batista</t>
        </is>
      </c>
      <c r="F621" s="35" t="inlineStr">
        <is>
          <t>Saúde Total</t>
        </is>
      </c>
      <c r="G621" s="35" t="inlineStr">
        <is>
          <t>Consulta</t>
        </is>
      </c>
      <c r="H621" s="35" t="inlineStr">
        <is>
          <t>Realizado</t>
        </is>
      </c>
      <c r="I621" s="35" t="inlineStr">
        <is>
          <t>Convênio</t>
        </is>
      </c>
      <c r="J621" s="35" t="n"/>
      <c r="K621" s="34" t="n"/>
      <c r="L621" s="26">
        <f>IF(A621="","",MONTH(A621))</f>
        <v>8</v>
      </c>
      <c r="M621" s="26">
        <f>IF(A621="","",YEAR(A621))</f>
        <v>2026</v>
      </c>
      <c r="N621" s="26" t="str">
        <f>IF(A621="","",CHOOSE(WEEKDAY(A621,2),"Segunda","Terça","Quarta","Quinta","Sexta","Sábado","Domingo"))</f>
        <v>Segunda</v>
      </c>
      <c r="O621" s="26" t="str">
        <f>IF(B621="","",IF(B621&lt;TIME(12,0,0),"Manhã",IF(B621&lt;TIME(18,0,0),"Tarde","Noite")))</f>
        <v>Manhã</v>
      </c>
      <c r="P621" s="32">
        <f>IF(G621="","",IFERROR(INDEX(Config!$I$5:$I$16,MATCH(G621,Config!$H$5:$H$16,0)),0))</f>
        <v>30</v>
      </c>
      <c r="Q621" s="30">
        <f>IF(OR(H621&lt;&gt;"Realizado",P621="",P621=0),"",A621+P621)</f>
        <v>46267.0</v>
      </c>
      <c r="R621" s="26" t="str">
        <f>IF(Q621="","",IF(COUNTIFS($E$5:$E$3004,E621,$A$5:$A$3004,"&gt;"&amp;A621,$H$5:$H$3004,"&lt;&gt;Falta",$H$5:$H$3004,"&lt;&gt;Cancelado",$H$5:$H$3004,"&lt;&gt;Remarcado")&gt;0,"Sim","Não"))</f>
        <v>Sim</v>
      </c>
      <c r="S621" s="32">
        <f>IF(R621&lt;&gt;"Não","",IF(Q621+Config!$B$9&lt;=Config!$B$8,Config!$B$8-Q621,""))</f>
        <v/>
      </c>
      <c r="T621" s="26">
        <f>IF(S621="","","Sim")</f>
        <v/>
      </c>
      <c r="U621" s="41">
        <f>IF(T621="Sim",S621+ROW()/100000,0)</f>
        <v>0</v>
      </c>
      <c r="V621" s="41">
        <f>IF(AND(H621="Falta",L621=Config!$B$7,M621=Config!$B$5,COUNTIFS($E$5:E621,E621,$H$5:H621,"Falta",$L$5:L621,Config!$B$7,$M$5:M621,Config!$B$5)=1),COUNTIFS($E$5:$E$3004,E621,$H$5:$H$3004,"Falta",$L$5:$L$3004,Config!$B$7,$M$5:$M$3004,Config!$B$5)*1000-ROW()/100000,0)</f>
        <v>0</v>
      </c>
    </row>
    <row r="622">
      <c r="A622" s="39" t="n">
        <v>46237</v>
      </c>
      <c r="B622" s="40" t="n">
        <v>0.5833333333333334</v>
      </c>
      <c r="C622" s="35" t="inlineStr">
        <is>
          <t>Dr. Paulo Andrade</t>
        </is>
      </c>
      <c r="D622" s="35" t="inlineStr">
        <is>
          <t>Sala 2</t>
        </is>
      </c>
      <c r="E622" s="34" t="inlineStr">
        <is>
          <t>Elaine Xavier</t>
        </is>
      </c>
      <c r="F622" s="35" t="inlineStr">
        <is>
          <t>MediPlan</t>
        </is>
      </c>
      <c r="G622" s="35" t="inlineStr">
        <is>
          <t>Consulta</t>
        </is>
      </c>
      <c r="H622" s="35" t="inlineStr">
        <is>
          <t>Realizado</t>
        </is>
      </c>
      <c r="I622" s="35" t="inlineStr">
        <is>
          <t>Convênio</t>
        </is>
      </c>
      <c r="J622" s="35" t="n"/>
      <c r="K622" s="34" t="n"/>
      <c r="L622" s="26">
        <f>IF(A622="","",MONTH(A622))</f>
        <v>8</v>
      </c>
      <c r="M622" s="26">
        <f>IF(A622="","",YEAR(A622))</f>
        <v>2026</v>
      </c>
      <c r="N622" s="26" t="str">
        <f>IF(A622="","",CHOOSE(WEEKDAY(A622,2),"Segunda","Terça","Quarta","Quinta","Sexta","Sábado","Domingo"))</f>
        <v>Segunda</v>
      </c>
      <c r="O622" s="26" t="str">
        <f>IF(B622="","",IF(B622&lt;TIME(12,0,0),"Manhã",IF(B622&lt;TIME(18,0,0),"Tarde","Noite")))</f>
        <v>Tarde</v>
      </c>
      <c r="P622" s="32">
        <f>IF(G622="","",IFERROR(INDEX(Config!$I$5:$I$16,MATCH(G622,Config!$H$5:$H$16,0)),0))</f>
        <v>30</v>
      </c>
      <c r="Q622" s="30">
        <f>IF(OR(H622&lt;&gt;"Realizado",P622="",P622=0),"",A622+P622)</f>
        <v>46267.0</v>
      </c>
      <c r="R622" s="26" t="str">
        <f>IF(Q622="","",IF(COUNTIFS($E$5:$E$3004,E622,$A$5:$A$3004,"&gt;"&amp;A622,$H$5:$H$3004,"&lt;&gt;Falta",$H$5:$H$3004,"&lt;&gt;Cancelado",$H$5:$H$3004,"&lt;&gt;Remarcado")&gt;0,"Sim","Não"))</f>
        <v>Sim</v>
      </c>
      <c r="S622" s="32">
        <f>IF(R622&lt;&gt;"Não","",IF(Q622+Config!$B$9&lt;=Config!$B$8,Config!$B$8-Q622,""))</f>
        <v/>
      </c>
      <c r="T622" s="26">
        <f>IF(S622="","","Sim")</f>
        <v/>
      </c>
      <c r="U622" s="41">
        <f>IF(T622="Sim",S622+ROW()/100000,0)</f>
        <v>0</v>
      </c>
      <c r="V622" s="41">
        <f>IF(AND(H622="Falta",L622=Config!$B$7,M622=Config!$B$5,COUNTIFS($E$5:E622,E622,$H$5:H622,"Falta",$L$5:L622,Config!$B$7,$M$5:M622,Config!$B$5)=1),COUNTIFS($E$5:$E$3004,E622,$H$5:$H$3004,"Falta",$L$5:$L$3004,Config!$B$7,$M$5:$M$3004,Config!$B$5)*1000-ROW()/100000,0)</f>
        <v>0</v>
      </c>
    </row>
    <row r="623">
      <c r="A623" s="39" t="n">
        <v>46237</v>
      </c>
      <c r="B623" s="40" t="n">
        <v>0.6041666666666666</v>
      </c>
      <c r="C623" s="35" t="inlineStr">
        <is>
          <t>Dr. Paulo Andrade</t>
        </is>
      </c>
      <c r="D623" s="35" t="inlineStr">
        <is>
          <t>Sala 2</t>
        </is>
      </c>
      <c r="E623" s="34" t="inlineStr">
        <is>
          <t>Lucas Xavier</t>
        </is>
      </c>
      <c r="F623" s="35" t="inlineStr">
        <is>
          <t>Saúde Total</t>
        </is>
      </c>
      <c r="G623" s="35" t="inlineStr">
        <is>
          <t>Holter</t>
        </is>
      </c>
      <c r="H623" s="35" t="inlineStr">
        <is>
          <t>Realizado</t>
        </is>
      </c>
      <c r="I623" s="35" t="inlineStr">
        <is>
          <t>Convênio</t>
        </is>
      </c>
      <c r="J623" s="35" t="n"/>
      <c r="K623" s="34" t="n"/>
      <c r="L623" s="26">
        <f>IF(A623="","",MONTH(A623))</f>
        <v>8</v>
      </c>
      <c r="M623" s="26">
        <f>IF(A623="","",YEAR(A623))</f>
        <v>2026</v>
      </c>
      <c r="N623" s="26" t="str">
        <f>IF(A623="","",CHOOSE(WEEKDAY(A623,2),"Segunda","Terça","Quarta","Quinta","Sexta","Sábado","Domingo"))</f>
        <v>Segunda</v>
      </c>
      <c r="O623" s="26" t="str">
        <f>IF(B623="","",IF(B623&lt;TIME(12,0,0),"Manhã",IF(B623&lt;TIME(18,0,0),"Tarde","Noite")))</f>
        <v>Tarde</v>
      </c>
      <c r="P623" s="32">
        <f>IF(G623="","",IFERROR(INDEX(Config!$I$5:$I$16,MATCH(G623,Config!$H$5:$H$16,0)),0))</f>
        <v>0</v>
      </c>
      <c r="Q623" s="30">
        <f>IF(OR(H623&lt;&gt;"Realizado",P623="",P623=0),"",A623+P623)</f>
        <v/>
      </c>
      <c r="R623" s="26">
        <f>IF(Q623="","",IF(COUNTIFS($E$5:$E$3004,E623,$A$5:$A$3004,"&gt;"&amp;A623,$H$5:$H$3004,"&lt;&gt;Falta",$H$5:$H$3004,"&lt;&gt;Cancelado",$H$5:$H$3004,"&lt;&gt;Remarcado")&gt;0,"Sim","Não"))</f>
        <v/>
      </c>
      <c r="S623" s="32">
        <f>IF(R623&lt;&gt;"Não","",IF(Q623+Config!$B$9&lt;=Config!$B$8,Config!$B$8-Q623,""))</f>
        <v/>
      </c>
      <c r="T623" s="26">
        <f>IF(S623="","","Sim")</f>
        <v/>
      </c>
      <c r="U623" s="41">
        <f>IF(T623="Sim",S623+ROW()/100000,0)</f>
        <v>0</v>
      </c>
      <c r="V623" s="41">
        <f>IF(AND(H623="Falta",L623=Config!$B$7,M623=Config!$B$5,COUNTIFS($E$5:E623,E623,$H$5:H623,"Falta",$L$5:L623,Config!$B$7,$M$5:M623,Config!$B$5)=1),COUNTIFS($E$5:$E$3004,E623,$H$5:$H$3004,"Falta",$L$5:$L$3004,Config!$B$7,$M$5:$M$3004,Config!$B$5)*1000-ROW()/100000,0)</f>
        <v>0</v>
      </c>
    </row>
    <row r="624">
      <c r="A624" s="39" t="n">
        <v>46237</v>
      </c>
      <c r="B624" s="40" t="n">
        <v>0.6388888888888888</v>
      </c>
      <c r="C624" s="35" t="inlineStr">
        <is>
          <t>Dr. Paulo Andrade</t>
        </is>
      </c>
      <c r="D624" s="35" t="inlineStr">
        <is>
          <t>Sala 2</t>
        </is>
      </c>
      <c r="E624" s="34" t="inlineStr">
        <is>
          <t>Paulo Nascimento</t>
        </is>
      </c>
      <c r="F624" s="35" t="inlineStr">
        <is>
          <t>MediPlan</t>
        </is>
      </c>
      <c r="G624" s="35" t="inlineStr">
        <is>
          <t>Consulta</t>
        </is>
      </c>
      <c r="H624" s="35" t="inlineStr">
        <is>
          <t>Realizado</t>
        </is>
      </c>
      <c r="I624" s="35" t="inlineStr">
        <is>
          <t>Convênio</t>
        </is>
      </c>
      <c r="J624" s="35" t="n"/>
      <c r="K624" s="34" t="n"/>
      <c r="L624" s="26">
        <f>IF(A624="","",MONTH(A624))</f>
        <v>8</v>
      </c>
      <c r="M624" s="26">
        <f>IF(A624="","",YEAR(A624))</f>
        <v>2026</v>
      </c>
      <c r="N624" s="26" t="str">
        <f>IF(A624="","",CHOOSE(WEEKDAY(A624,2),"Segunda","Terça","Quarta","Quinta","Sexta","Sábado","Domingo"))</f>
        <v>Segunda</v>
      </c>
      <c r="O624" s="26" t="str">
        <f>IF(B624="","",IF(B624&lt;TIME(12,0,0),"Manhã",IF(B624&lt;TIME(18,0,0),"Tarde","Noite")))</f>
        <v>Tarde</v>
      </c>
      <c r="P624" s="32">
        <f>IF(G624="","",IFERROR(INDEX(Config!$I$5:$I$16,MATCH(G624,Config!$H$5:$H$16,0)),0))</f>
        <v>30</v>
      </c>
      <c r="Q624" s="30">
        <f>IF(OR(H624&lt;&gt;"Realizado",P624="",P624=0),"",A624+P624)</f>
        <v>46267.0</v>
      </c>
      <c r="R624" s="26" t="str">
        <f>IF(Q624="","",IF(COUNTIFS($E$5:$E$3004,E624,$A$5:$A$3004,"&gt;"&amp;A624,$H$5:$H$3004,"&lt;&gt;Falta",$H$5:$H$3004,"&lt;&gt;Cancelado",$H$5:$H$3004,"&lt;&gt;Remarcado")&gt;0,"Sim","Não"))</f>
        <v>Sim</v>
      </c>
      <c r="S624" s="32">
        <f>IF(R624&lt;&gt;"Não","",IF(Q624+Config!$B$9&lt;=Config!$B$8,Config!$B$8-Q624,""))</f>
        <v/>
      </c>
      <c r="T624" s="26">
        <f>IF(S624="","","Sim")</f>
        <v/>
      </c>
      <c r="U624" s="41">
        <f>IF(T624="Sim",S624+ROW()/100000,0)</f>
        <v>0</v>
      </c>
      <c r="V624" s="41">
        <f>IF(AND(H624="Falta",L624=Config!$B$7,M624=Config!$B$5,COUNTIFS($E$5:E624,E624,$H$5:H624,"Falta",$L$5:L624,Config!$B$7,$M$5:M624,Config!$B$5)=1),COUNTIFS($E$5:$E$3004,E624,$H$5:$H$3004,"Falta",$L$5:$L$3004,Config!$B$7,$M$5:$M$3004,Config!$B$5)*1000-ROW()/100000,0)</f>
        <v>0</v>
      </c>
    </row>
    <row r="625">
      <c r="A625" s="39" t="n">
        <v>46237</v>
      </c>
      <c r="B625" s="40" t="n">
        <v>0.6597222222222222</v>
      </c>
      <c r="C625" s="35" t="inlineStr">
        <is>
          <t>Dr. Paulo Andrade</t>
        </is>
      </c>
      <c r="D625" s="35" t="inlineStr">
        <is>
          <t>Sala 2</t>
        </is>
      </c>
      <c r="E625" s="34" t="inlineStr">
        <is>
          <t>Renato Pereira</t>
        </is>
      </c>
      <c r="F625" s="35" t="inlineStr">
        <is>
          <t>MediPlan</t>
        </is>
      </c>
      <c r="G625" s="35" t="inlineStr">
        <is>
          <t>Retorno</t>
        </is>
      </c>
      <c r="H625" s="35" t="inlineStr">
        <is>
          <t>Realizado</t>
        </is>
      </c>
      <c r="I625" s="35" t="inlineStr">
        <is>
          <t>Sem cobrança</t>
        </is>
      </c>
      <c r="J625" s="35" t="n"/>
      <c r="K625" s="34" t="n"/>
      <c r="L625" s="26">
        <f>IF(A625="","",MONTH(A625))</f>
        <v>8</v>
      </c>
      <c r="M625" s="26">
        <f>IF(A625="","",YEAR(A625))</f>
        <v>2026</v>
      </c>
      <c r="N625" s="26" t="str">
        <f>IF(A625="","",CHOOSE(WEEKDAY(A625,2),"Segunda","Terça","Quarta","Quinta","Sexta","Sábado","Domingo"))</f>
        <v>Segunda</v>
      </c>
      <c r="O625" s="26" t="str">
        <f>IF(B625="","",IF(B625&lt;TIME(12,0,0),"Manhã",IF(B625&lt;TIME(18,0,0),"Tarde","Noite")))</f>
        <v>Tarde</v>
      </c>
      <c r="P625" s="32">
        <f>IF(G625="","",IFERROR(INDEX(Config!$I$5:$I$16,MATCH(G625,Config!$H$5:$H$16,0)),0))</f>
        <v>0</v>
      </c>
      <c r="Q625" s="30">
        <f>IF(OR(H625&lt;&gt;"Realizado",P625="",P625=0),"",A625+P625)</f>
        <v/>
      </c>
      <c r="R625" s="26">
        <f>IF(Q625="","",IF(COUNTIFS($E$5:$E$3004,E625,$A$5:$A$3004,"&gt;"&amp;A625,$H$5:$H$3004,"&lt;&gt;Falta",$H$5:$H$3004,"&lt;&gt;Cancelado",$H$5:$H$3004,"&lt;&gt;Remarcado")&gt;0,"Sim","Não"))</f>
        <v/>
      </c>
      <c r="S625" s="32">
        <f>IF(R625&lt;&gt;"Não","",IF(Q625+Config!$B$9&lt;=Config!$B$8,Config!$B$8-Q625,""))</f>
        <v/>
      </c>
      <c r="T625" s="26">
        <f>IF(S625="","","Sim")</f>
        <v/>
      </c>
      <c r="U625" s="41">
        <f>IF(T625="Sim",S625+ROW()/100000,0)</f>
        <v>0</v>
      </c>
      <c r="V625" s="41">
        <f>IF(AND(H625="Falta",L625=Config!$B$7,M625=Config!$B$5,COUNTIFS($E$5:E625,E625,$H$5:H625,"Falta",$L$5:L625,Config!$B$7,$M$5:M625,Config!$B$5)=1),COUNTIFS($E$5:$E$3004,E625,$H$5:$H$3004,"Falta",$L$5:$L$3004,Config!$B$7,$M$5:$M$3004,Config!$B$5)*1000-ROW()/100000,0)</f>
        <v>0</v>
      </c>
    </row>
    <row r="626">
      <c r="A626" s="39" t="n">
        <v>46237</v>
      </c>
      <c r="B626" s="40" t="n">
        <v>0.6944444444444444</v>
      </c>
      <c r="C626" s="35" t="inlineStr">
        <is>
          <t>Dr. Paulo Andrade</t>
        </is>
      </c>
      <c r="D626" s="35" t="inlineStr">
        <is>
          <t>Sala 2</t>
        </is>
      </c>
      <c r="E626" s="34" t="inlineStr">
        <is>
          <t>Wagner Santos</t>
        </is>
      </c>
      <c r="F626" s="35" t="inlineStr">
        <is>
          <t>Particular</t>
        </is>
      </c>
      <c r="G626" s="35" t="inlineStr">
        <is>
          <t>MAPA</t>
        </is>
      </c>
      <c r="H626" s="35" t="inlineStr">
        <is>
          <t>Realizado</t>
        </is>
      </c>
      <c r="I626" s="35" t="inlineStr">
        <is>
          <t>Cartão de débito</t>
        </is>
      </c>
      <c r="J626" s="35" t="n"/>
      <c r="K626" s="34" t="n"/>
      <c r="L626" s="26">
        <f>IF(A626="","",MONTH(A626))</f>
        <v>8</v>
      </c>
      <c r="M626" s="26">
        <f>IF(A626="","",YEAR(A626))</f>
        <v>2026</v>
      </c>
      <c r="N626" s="26" t="str">
        <f>IF(A626="","",CHOOSE(WEEKDAY(A626,2),"Segunda","Terça","Quarta","Quinta","Sexta","Sábado","Domingo"))</f>
        <v>Segunda</v>
      </c>
      <c r="O626" s="26" t="str">
        <f>IF(B626="","",IF(B626&lt;TIME(12,0,0),"Manhã",IF(B626&lt;TIME(18,0,0),"Tarde","Noite")))</f>
        <v>Tarde</v>
      </c>
      <c r="P626" s="32">
        <f>IF(G626="","",IFERROR(INDEX(Config!$I$5:$I$16,MATCH(G626,Config!$H$5:$H$16,0)),0))</f>
        <v>0</v>
      </c>
      <c r="Q626" s="30">
        <f>IF(OR(H626&lt;&gt;"Realizado",P626="",P626=0),"",A626+P626)</f>
        <v/>
      </c>
      <c r="R626" s="26">
        <f>IF(Q626="","",IF(COUNTIFS($E$5:$E$3004,E626,$A$5:$A$3004,"&gt;"&amp;A626,$H$5:$H$3004,"&lt;&gt;Falta",$H$5:$H$3004,"&lt;&gt;Cancelado",$H$5:$H$3004,"&lt;&gt;Remarcado")&gt;0,"Sim","Não"))</f>
        <v/>
      </c>
      <c r="S626" s="32">
        <f>IF(R626&lt;&gt;"Não","",IF(Q626+Config!$B$9&lt;=Config!$B$8,Config!$B$8-Q626,""))</f>
        <v/>
      </c>
      <c r="T626" s="26">
        <f>IF(S626="","","Sim")</f>
        <v/>
      </c>
      <c r="U626" s="41">
        <f>IF(T626="Sim",S626+ROW()/100000,0)</f>
        <v>0</v>
      </c>
      <c r="V626" s="41">
        <f>IF(AND(H626="Falta",L626=Config!$B$7,M626=Config!$B$5,COUNTIFS($E$5:E626,E626,$H$5:H626,"Falta",$L$5:L626,Config!$B$7,$M$5:M626,Config!$B$5)=1),COUNTIFS($E$5:$E$3004,E626,$H$5:$H$3004,"Falta",$L$5:$L$3004,Config!$B$7,$M$5:$M$3004,Config!$B$5)*1000-ROW()/100000,0)</f>
        <v>0</v>
      </c>
    </row>
    <row r="627">
      <c r="A627" s="39" t="n">
        <v>46237</v>
      </c>
      <c r="B627" s="40" t="n">
        <v>0.7291666666666666</v>
      </c>
      <c r="C627" s="35" t="inlineStr">
        <is>
          <t>Dr. Paulo Andrade</t>
        </is>
      </c>
      <c r="D627" s="35" t="inlineStr">
        <is>
          <t>Sala 2</t>
        </is>
      </c>
      <c r="E627" s="34" t="inlineStr">
        <is>
          <t>Fábio Correia</t>
        </is>
      </c>
      <c r="F627" s="35" t="inlineStr">
        <is>
          <t>Particular</t>
        </is>
      </c>
      <c r="G627" s="35" t="inlineStr">
        <is>
          <t>Retorno</t>
        </is>
      </c>
      <c r="H627" s="35" t="inlineStr">
        <is>
          <t>Realizado</t>
        </is>
      </c>
      <c r="I627" s="35" t="inlineStr">
        <is>
          <t>Sem cobrança</t>
        </is>
      </c>
      <c r="J627" s="35" t="n"/>
      <c r="K627" s="34" t="n"/>
      <c r="L627" s="26">
        <f>IF(A627="","",MONTH(A627))</f>
        <v>8</v>
      </c>
      <c r="M627" s="26">
        <f>IF(A627="","",YEAR(A627))</f>
        <v>2026</v>
      </c>
      <c r="N627" s="26" t="str">
        <f>IF(A627="","",CHOOSE(WEEKDAY(A627,2),"Segunda","Terça","Quarta","Quinta","Sexta","Sábado","Domingo"))</f>
        <v>Segunda</v>
      </c>
      <c r="O627" s="26" t="str">
        <f>IF(B627="","",IF(B627&lt;TIME(12,0,0),"Manhã",IF(B627&lt;TIME(18,0,0),"Tarde","Noite")))</f>
        <v>Tarde</v>
      </c>
      <c r="P627" s="32">
        <f>IF(G627="","",IFERROR(INDEX(Config!$I$5:$I$16,MATCH(G627,Config!$H$5:$H$16,0)),0))</f>
        <v>0</v>
      </c>
      <c r="Q627" s="30">
        <f>IF(OR(H627&lt;&gt;"Realizado",P627="",P627=0),"",A627+P627)</f>
        <v/>
      </c>
      <c r="R627" s="26">
        <f>IF(Q627="","",IF(COUNTIFS($E$5:$E$3004,E627,$A$5:$A$3004,"&gt;"&amp;A627,$H$5:$H$3004,"&lt;&gt;Falta",$H$5:$H$3004,"&lt;&gt;Cancelado",$H$5:$H$3004,"&lt;&gt;Remarcado")&gt;0,"Sim","Não"))</f>
        <v/>
      </c>
      <c r="S627" s="32">
        <f>IF(R627&lt;&gt;"Não","",IF(Q627+Config!$B$9&lt;=Config!$B$8,Config!$B$8-Q627,""))</f>
        <v/>
      </c>
      <c r="T627" s="26">
        <f>IF(S627="","","Sim")</f>
        <v/>
      </c>
      <c r="U627" s="41">
        <f>IF(T627="Sim",S627+ROW()/100000,0)</f>
        <v>0</v>
      </c>
      <c r="V627" s="41">
        <f>IF(AND(H627="Falta",L627=Config!$B$7,M627=Config!$B$5,COUNTIFS($E$5:E627,E627,$H$5:H627,"Falta",$L$5:L627,Config!$B$7,$M$5:M627,Config!$B$5)=1),COUNTIFS($E$5:$E$3004,E627,$H$5:$H$3004,"Falta",$L$5:$L$3004,Config!$B$7,$M$5:$M$3004,Config!$B$5)*1000-ROW()/100000,0)</f>
        <v>0</v>
      </c>
    </row>
    <row r="628">
      <c r="A628" s="39" t="n">
        <v>46238</v>
      </c>
      <c r="B628" s="40" t="n">
        <v>0.3333333333333333</v>
      </c>
      <c r="C628" s="35" t="inlineStr">
        <is>
          <t>Dra. Carolina Mendes</t>
        </is>
      </c>
      <c r="D628" s="35" t="inlineStr">
        <is>
          <t>Sala 1</t>
        </is>
      </c>
      <c r="E628" s="34" t="inlineStr">
        <is>
          <t>Fernanda Freitas</t>
        </is>
      </c>
      <c r="F628" s="35" t="inlineStr">
        <is>
          <t>Particular</t>
        </is>
      </c>
      <c r="G628" s="35" t="inlineStr">
        <is>
          <t>Consulta</t>
        </is>
      </c>
      <c r="H628" s="35" t="inlineStr">
        <is>
          <t>Cancelado</t>
        </is>
      </c>
      <c r="I628" s="35" t="n"/>
      <c r="J628" s="35" t="n"/>
      <c r="K628" s="34" t="n"/>
      <c r="L628" s="26">
        <f>IF(A628="","",MONTH(A628))</f>
        <v>8</v>
      </c>
      <c r="M628" s="26">
        <f>IF(A628="","",YEAR(A628))</f>
        <v>2026</v>
      </c>
      <c r="N628" s="26" t="str">
        <f>IF(A628="","",CHOOSE(WEEKDAY(A628,2),"Segunda","Terça","Quarta","Quinta","Sexta","Sábado","Domingo"))</f>
        <v>Terça</v>
      </c>
      <c r="O628" s="26" t="str">
        <f>IF(B628="","",IF(B628&lt;TIME(12,0,0),"Manhã",IF(B628&lt;TIME(18,0,0),"Tarde","Noite")))</f>
        <v>Manhã</v>
      </c>
      <c r="P628" s="32">
        <f>IF(G628="","",IFERROR(INDEX(Config!$I$5:$I$16,MATCH(G628,Config!$H$5:$H$16,0)),0))</f>
        <v>30</v>
      </c>
      <c r="Q628" s="30">
        <f>IF(OR(H628&lt;&gt;"Realizado",P628="",P628=0),"",A628+P628)</f>
        <v/>
      </c>
      <c r="R628" s="26">
        <f>IF(Q628="","",IF(COUNTIFS($E$5:$E$3004,E628,$A$5:$A$3004,"&gt;"&amp;A628,$H$5:$H$3004,"&lt;&gt;Falta",$H$5:$H$3004,"&lt;&gt;Cancelado",$H$5:$H$3004,"&lt;&gt;Remarcado")&gt;0,"Sim","Não"))</f>
        <v/>
      </c>
      <c r="S628" s="32">
        <f>IF(R628&lt;&gt;"Não","",IF(Q628+Config!$B$9&lt;=Config!$B$8,Config!$B$8-Q628,""))</f>
        <v/>
      </c>
      <c r="T628" s="26">
        <f>IF(S628="","","Sim")</f>
        <v/>
      </c>
      <c r="U628" s="41">
        <f>IF(T628="Sim",S628+ROW()/100000,0)</f>
        <v>0</v>
      </c>
      <c r="V628" s="41">
        <f>IF(AND(H628="Falta",L628=Config!$B$7,M628=Config!$B$5,COUNTIFS($E$5:E628,E628,$H$5:H628,"Falta",$L$5:L628,Config!$B$7,$M$5:M628,Config!$B$5)=1),COUNTIFS($E$5:$E$3004,E628,$H$5:$H$3004,"Falta",$L$5:$L$3004,Config!$B$7,$M$5:$M$3004,Config!$B$5)*1000-ROW()/100000,0)</f>
        <v>0</v>
      </c>
    </row>
    <row r="629">
      <c r="A629" s="39" t="n">
        <v>46238</v>
      </c>
      <c r="B629" s="40" t="n">
        <v>0.3541666666666667</v>
      </c>
      <c r="C629" s="35" t="inlineStr">
        <is>
          <t>Dra. Carolina Mendes</t>
        </is>
      </c>
      <c r="D629" s="35" t="inlineStr">
        <is>
          <t>Sala 1</t>
        </is>
      </c>
      <c r="E629" s="34" t="inlineStr">
        <is>
          <t>Helena Moreira</t>
        </is>
      </c>
      <c r="F629" s="35" t="inlineStr">
        <is>
          <t>Particular</t>
        </is>
      </c>
      <c r="G629" s="35" t="inlineStr">
        <is>
          <t>Consulta</t>
        </is>
      </c>
      <c r="H629" s="35" t="inlineStr">
        <is>
          <t>Realizado</t>
        </is>
      </c>
      <c r="I629" s="35" t="inlineStr">
        <is>
          <t>Cartão de crédito</t>
        </is>
      </c>
      <c r="J629" s="35" t="n"/>
      <c r="K629" s="34" t="n"/>
      <c r="L629" s="26">
        <f>IF(A629="","",MONTH(A629))</f>
        <v>8</v>
      </c>
      <c r="M629" s="26">
        <f>IF(A629="","",YEAR(A629))</f>
        <v>2026</v>
      </c>
      <c r="N629" s="26" t="str">
        <f>IF(A629="","",CHOOSE(WEEKDAY(A629,2),"Segunda","Terça","Quarta","Quinta","Sexta","Sábado","Domingo"))</f>
        <v>Terça</v>
      </c>
      <c r="O629" s="26" t="str">
        <f>IF(B629="","",IF(B629&lt;TIME(12,0,0),"Manhã",IF(B629&lt;TIME(18,0,0),"Tarde","Noite")))</f>
        <v>Manhã</v>
      </c>
      <c r="P629" s="32">
        <f>IF(G629="","",IFERROR(INDEX(Config!$I$5:$I$16,MATCH(G629,Config!$H$5:$H$16,0)),0))</f>
        <v>30</v>
      </c>
      <c r="Q629" s="30">
        <f>IF(OR(H629&lt;&gt;"Realizado",P629="",P629=0),"",A629+P629)</f>
        <v>46268.0</v>
      </c>
      <c r="R629" s="26" t="str">
        <f>IF(Q629="","",IF(COUNTIFS($E$5:$E$3004,E629,$A$5:$A$3004,"&gt;"&amp;A629,$H$5:$H$3004,"&lt;&gt;Falta",$H$5:$H$3004,"&lt;&gt;Cancelado",$H$5:$H$3004,"&lt;&gt;Remarcado")&gt;0,"Sim","Não"))</f>
        <v>Sim</v>
      </c>
      <c r="S629" s="32">
        <f>IF(R629&lt;&gt;"Não","",IF(Q629+Config!$B$9&lt;=Config!$B$8,Config!$B$8-Q629,""))</f>
        <v/>
      </c>
      <c r="T629" s="26">
        <f>IF(S629="","","Sim")</f>
        <v/>
      </c>
      <c r="U629" s="41">
        <f>IF(T629="Sim",S629+ROW()/100000,0)</f>
        <v>0</v>
      </c>
      <c r="V629" s="41">
        <f>IF(AND(H629="Falta",L629=Config!$B$7,M629=Config!$B$5,COUNTIFS($E$5:E629,E629,$H$5:H629,"Falta",$L$5:L629,Config!$B$7,$M$5:M629,Config!$B$5)=1),COUNTIFS($E$5:$E$3004,E629,$H$5:$H$3004,"Falta",$L$5:$L$3004,Config!$B$7,$M$5:$M$3004,Config!$B$5)*1000-ROW()/100000,0)</f>
        <v>0</v>
      </c>
    </row>
    <row r="630">
      <c r="A630" s="39" t="n">
        <v>46238</v>
      </c>
      <c r="B630" s="40" t="n">
        <v>0.375</v>
      </c>
      <c r="C630" s="35" t="inlineStr">
        <is>
          <t>Dra. Carolina Mendes</t>
        </is>
      </c>
      <c r="D630" s="35" t="inlineStr">
        <is>
          <t>Sala 1</t>
        </is>
      </c>
      <c r="E630" s="34" t="inlineStr">
        <is>
          <t>Fernanda Freitas</t>
        </is>
      </c>
      <c r="F630" s="35" t="inlineStr">
        <is>
          <t>Particular</t>
        </is>
      </c>
      <c r="G630" s="35" t="inlineStr">
        <is>
          <t>Consulta</t>
        </is>
      </c>
      <c r="H630" s="35" t="inlineStr">
        <is>
          <t>Realizado</t>
        </is>
      </c>
      <c r="I630" s="35" t="inlineStr">
        <is>
          <t>Cartão de débito</t>
        </is>
      </c>
      <c r="J630" s="35" t="n"/>
      <c r="K630" s="34" t="n"/>
      <c r="L630" s="26">
        <f>IF(A630="","",MONTH(A630))</f>
        <v>8</v>
      </c>
      <c r="M630" s="26">
        <f>IF(A630="","",YEAR(A630))</f>
        <v>2026</v>
      </c>
      <c r="N630" s="26" t="str">
        <f>IF(A630="","",CHOOSE(WEEKDAY(A630,2),"Segunda","Terça","Quarta","Quinta","Sexta","Sábado","Domingo"))</f>
        <v>Terça</v>
      </c>
      <c r="O630" s="26" t="str">
        <f>IF(B630="","",IF(B630&lt;TIME(12,0,0),"Manhã",IF(B630&lt;TIME(18,0,0),"Tarde","Noite")))</f>
        <v>Manhã</v>
      </c>
      <c r="P630" s="32">
        <f>IF(G630="","",IFERROR(INDEX(Config!$I$5:$I$16,MATCH(G630,Config!$H$5:$H$16,0)),0))</f>
        <v>30</v>
      </c>
      <c r="Q630" s="30">
        <f>IF(OR(H630&lt;&gt;"Realizado",P630="",P630=0),"",A630+P630)</f>
        <v>46268.0</v>
      </c>
      <c r="R630" s="26" t="str">
        <f>IF(Q630="","",IF(COUNTIFS($E$5:$E$3004,E630,$A$5:$A$3004,"&gt;"&amp;A630,$H$5:$H$3004,"&lt;&gt;Falta",$H$5:$H$3004,"&lt;&gt;Cancelado",$H$5:$H$3004,"&lt;&gt;Remarcado")&gt;0,"Sim","Não"))</f>
        <v>Sim</v>
      </c>
      <c r="S630" s="32">
        <f>IF(R630&lt;&gt;"Não","",IF(Q630+Config!$B$9&lt;=Config!$B$8,Config!$B$8-Q630,""))</f>
        <v/>
      </c>
      <c r="T630" s="26">
        <f>IF(S630="","","Sim")</f>
        <v/>
      </c>
      <c r="U630" s="41">
        <f>IF(T630="Sim",S630+ROW()/100000,0)</f>
        <v>0</v>
      </c>
      <c r="V630" s="41">
        <f>IF(AND(H630="Falta",L630=Config!$B$7,M630=Config!$B$5,COUNTIFS($E$5:E630,E630,$H$5:H630,"Falta",$L$5:L630,Config!$B$7,$M$5:M630,Config!$B$5)=1),COUNTIFS($E$5:$E$3004,E630,$H$5:$H$3004,"Falta",$L$5:$L$3004,Config!$B$7,$M$5:$M$3004,Config!$B$5)*1000-ROW()/100000,0)</f>
        <v>0</v>
      </c>
    </row>
    <row r="631">
      <c r="A631" s="39" t="n">
        <v>46238</v>
      </c>
      <c r="B631" s="40" t="n">
        <v>0.3958333333333333</v>
      </c>
      <c r="C631" s="35" t="inlineStr">
        <is>
          <t>Dra. Carolina Mendes</t>
        </is>
      </c>
      <c r="D631" s="35" t="inlineStr">
        <is>
          <t>Sala 1</t>
        </is>
      </c>
      <c r="E631" s="34" t="inlineStr">
        <is>
          <t>Ana Costa</t>
        </is>
      </c>
      <c r="F631" s="35" t="inlineStr">
        <is>
          <t>Particular</t>
        </is>
      </c>
      <c r="G631" s="35" t="inlineStr">
        <is>
          <t>Consulta</t>
        </is>
      </c>
      <c r="H631" s="35" t="inlineStr">
        <is>
          <t>Realizado</t>
        </is>
      </c>
      <c r="I631" s="35" t="inlineStr">
        <is>
          <t>Pix</t>
        </is>
      </c>
      <c r="J631" s="35" t="n"/>
      <c r="K631" s="34" t="n"/>
      <c r="L631" s="26">
        <f>IF(A631="","",MONTH(A631))</f>
        <v>8</v>
      </c>
      <c r="M631" s="26">
        <f>IF(A631="","",YEAR(A631))</f>
        <v>2026</v>
      </c>
      <c r="N631" s="26" t="str">
        <f>IF(A631="","",CHOOSE(WEEKDAY(A631,2),"Segunda","Terça","Quarta","Quinta","Sexta","Sábado","Domingo"))</f>
        <v>Terça</v>
      </c>
      <c r="O631" s="26" t="str">
        <f>IF(B631="","",IF(B631&lt;TIME(12,0,0),"Manhã",IF(B631&lt;TIME(18,0,0),"Tarde","Noite")))</f>
        <v>Manhã</v>
      </c>
      <c r="P631" s="32">
        <f>IF(G631="","",IFERROR(INDEX(Config!$I$5:$I$16,MATCH(G631,Config!$H$5:$H$16,0)),0))</f>
        <v>30</v>
      </c>
      <c r="Q631" s="30">
        <f>IF(OR(H631&lt;&gt;"Realizado",P631="",P631=0),"",A631+P631)</f>
        <v>46268.0</v>
      </c>
      <c r="R631" s="26" t="str">
        <f>IF(Q631="","",IF(COUNTIFS($E$5:$E$3004,E631,$A$5:$A$3004,"&gt;"&amp;A631,$H$5:$H$3004,"&lt;&gt;Falta",$H$5:$H$3004,"&lt;&gt;Cancelado",$H$5:$H$3004,"&lt;&gt;Remarcado")&gt;0,"Sim","Não"))</f>
        <v>Sim</v>
      </c>
      <c r="S631" s="32">
        <f>IF(R631&lt;&gt;"Não","",IF(Q631+Config!$B$9&lt;=Config!$B$8,Config!$B$8-Q631,""))</f>
        <v/>
      </c>
      <c r="T631" s="26">
        <f>IF(S631="","","Sim")</f>
        <v/>
      </c>
      <c r="U631" s="41">
        <f>IF(T631="Sim",S631+ROW()/100000,0)</f>
        <v>0</v>
      </c>
      <c r="V631" s="41">
        <f>IF(AND(H631="Falta",L631=Config!$B$7,M631=Config!$B$5,COUNTIFS($E$5:E631,E631,$H$5:H631,"Falta",$L$5:L631,Config!$B$7,$M$5:M631,Config!$B$5)=1),COUNTIFS($E$5:$E$3004,E631,$H$5:$H$3004,"Falta",$L$5:$L$3004,Config!$B$7,$M$5:$M$3004,Config!$B$5)*1000-ROW()/100000,0)</f>
        <v>0</v>
      </c>
    </row>
    <row r="632">
      <c r="A632" s="39" t="n">
        <v>46238</v>
      </c>
      <c r="B632" s="40" t="n">
        <v>0.4166666666666667</v>
      </c>
      <c r="C632" s="35" t="inlineStr">
        <is>
          <t>Dra. Carolina Mendes</t>
        </is>
      </c>
      <c r="D632" s="35" t="inlineStr">
        <is>
          <t>Sala 1</t>
        </is>
      </c>
      <c r="E632" s="34" t="inlineStr">
        <is>
          <t>Eduardo Lima</t>
        </is>
      </c>
      <c r="F632" s="35" t="inlineStr">
        <is>
          <t>Particular</t>
        </is>
      </c>
      <c r="G632" s="35" t="inlineStr">
        <is>
          <t>Consulta</t>
        </is>
      </c>
      <c r="H632" s="35" t="inlineStr">
        <is>
          <t>Realizado</t>
        </is>
      </c>
      <c r="I632" s="35" t="inlineStr">
        <is>
          <t>Pix</t>
        </is>
      </c>
      <c r="J632" s="35" t="n"/>
      <c r="K632" s="34" t="n"/>
      <c r="L632" s="26">
        <f>IF(A632="","",MONTH(A632))</f>
        <v>8</v>
      </c>
      <c r="M632" s="26">
        <f>IF(A632="","",YEAR(A632))</f>
        <v>2026</v>
      </c>
      <c r="N632" s="26" t="str">
        <f>IF(A632="","",CHOOSE(WEEKDAY(A632,2),"Segunda","Terça","Quarta","Quinta","Sexta","Sábado","Domingo"))</f>
        <v>Terça</v>
      </c>
      <c r="O632" s="26" t="str">
        <f>IF(B632="","",IF(B632&lt;TIME(12,0,0),"Manhã",IF(B632&lt;TIME(18,0,0),"Tarde","Noite")))</f>
        <v>Manhã</v>
      </c>
      <c r="P632" s="32">
        <f>IF(G632="","",IFERROR(INDEX(Config!$I$5:$I$16,MATCH(G632,Config!$H$5:$H$16,0)),0))</f>
        <v>30</v>
      </c>
      <c r="Q632" s="30">
        <f>IF(OR(H632&lt;&gt;"Realizado",P632="",P632=0),"",A632+P632)</f>
        <v>46268.0</v>
      </c>
      <c r="R632" s="26" t="str">
        <f>IF(Q632="","",IF(COUNTIFS($E$5:$E$3004,E632,$A$5:$A$3004,"&gt;"&amp;A632,$H$5:$H$3004,"&lt;&gt;Falta",$H$5:$H$3004,"&lt;&gt;Cancelado",$H$5:$H$3004,"&lt;&gt;Remarcado")&gt;0,"Sim","Não"))</f>
        <v>Sim</v>
      </c>
      <c r="S632" s="32">
        <f>IF(R632&lt;&gt;"Não","",IF(Q632+Config!$B$9&lt;=Config!$B$8,Config!$B$8-Q632,""))</f>
        <v/>
      </c>
      <c r="T632" s="26">
        <f>IF(S632="","","Sim")</f>
        <v/>
      </c>
      <c r="U632" s="41">
        <f>IF(T632="Sim",S632+ROW()/100000,0)</f>
        <v>0</v>
      </c>
      <c r="V632" s="41">
        <f>IF(AND(H632="Falta",L632=Config!$B$7,M632=Config!$B$5,COUNTIFS($E$5:E632,E632,$H$5:H632,"Falta",$L$5:L632,Config!$B$7,$M$5:M632,Config!$B$5)=1),COUNTIFS($E$5:$E$3004,E632,$H$5:$H$3004,"Falta",$L$5:$L$3004,Config!$B$7,$M$5:$M$3004,Config!$B$5)*1000-ROW()/100000,0)</f>
        <v>0</v>
      </c>
    </row>
    <row r="633">
      <c r="A633" s="39" t="n">
        <v>46238</v>
      </c>
      <c r="B633" s="40" t="n">
        <v>0.4375</v>
      </c>
      <c r="C633" s="35" t="inlineStr">
        <is>
          <t>Dra. Carolina Mendes</t>
        </is>
      </c>
      <c r="D633" s="35" t="inlineStr">
        <is>
          <t>Sala 1</t>
        </is>
      </c>
      <c r="E633" s="34" t="inlineStr">
        <is>
          <t>Daniel Melo</t>
        </is>
      </c>
      <c r="F633" s="35" t="inlineStr">
        <is>
          <t>Saúde Total</t>
        </is>
      </c>
      <c r="G633" s="35" t="inlineStr">
        <is>
          <t>Consulta</t>
        </is>
      </c>
      <c r="H633" s="35" t="inlineStr">
        <is>
          <t>Realizado</t>
        </is>
      </c>
      <c r="I633" s="35" t="inlineStr">
        <is>
          <t>Convênio</t>
        </is>
      </c>
      <c r="J633" s="35" t="n"/>
      <c r="K633" s="34" t="n"/>
      <c r="L633" s="26">
        <f>IF(A633="","",MONTH(A633))</f>
        <v>8</v>
      </c>
      <c r="M633" s="26">
        <f>IF(A633="","",YEAR(A633))</f>
        <v>2026</v>
      </c>
      <c r="N633" s="26" t="str">
        <f>IF(A633="","",CHOOSE(WEEKDAY(A633,2),"Segunda","Terça","Quarta","Quinta","Sexta","Sábado","Domingo"))</f>
        <v>Terça</v>
      </c>
      <c r="O633" s="26" t="str">
        <f>IF(B633="","",IF(B633&lt;TIME(12,0,0),"Manhã",IF(B633&lt;TIME(18,0,0),"Tarde","Noite")))</f>
        <v>Manhã</v>
      </c>
      <c r="P633" s="32">
        <f>IF(G633="","",IFERROR(INDEX(Config!$I$5:$I$16,MATCH(G633,Config!$H$5:$H$16,0)),0))</f>
        <v>30</v>
      </c>
      <c r="Q633" s="30">
        <f>IF(OR(H633&lt;&gt;"Realizado",P633="",P633=0),"",A633+P633)</f>
        <v>46268.0</v>
      </c>
      <c r="R633" s="26" t="str">
        <f>IF(Q633="","",IF(COUNTIFS($E$5:$E$3004,E633,$A$5:$A$3004,"&gt;"&amp;A633,$H$5:$H$3004,"&lt;&gt;Falta",$H$5:$H$3004,"&lt;&gt;Cancelado",$H$5:$H$3004,"&lt;&gt;Remarcado")&gt;0,"Sim","Não"))</f>
        <v>Sim</v>
      </c>
      <c r="S633" s="32">
        <f>IF(R633&lt;&gt;"Não","",IF(Q633+Config!$B$9&lt;=Config!$B$8,Config!$B$8-Q633,""))</f>
        <v/>
      </c>
      <c r="T633" s="26">
        <f>IF(S633="","","Sim")</f>
        <v/>
      </c>
      <c r="U633" s="41">
        <f>IF(T633="Sim",S633+ROW()/100000,0)</f>
        <v>0</v>
      </c>
      <c r="V633" s="41">
        <f>IF(AND(H633="Falta",L633=Config!$B$7,M633=Config!$B$5,COUNTIFS($E$5:E633,E633,$H$5:H633,"Falta",$L$5:L633,Config!$B$7,$M$5:M633,Config!$B$5)=1),COUNTIFS($E$5:$E$3004,E633,$H$5:$H$3004,"Falta",$L$5:$L$3004,Config!$B$7,$M$5:$M$3004,Config!$B$5)*1000-ROW()/100000,0)</f>
        <v>0</v>
      </c>
    </row>
    <row r="634">
      <c r="A634" s="39" t="n">
        <v>46238</v>
      </c>
      <c r="B634" s="40" t="n">
        <v>0.4583333333333333</v>
      </c>
      <c r="C634" s="35" t="inlineStr">
        <is>
          <t>Dra. Carolina Mendes</t>
        </is>
      </c>
      <c r="D634" s="35" t="inlineStr">
        <is>
          <t>Sala 1</t>
        </is>
      </c>
      <c r="E634" s="34" t="inlineStr">
        <is>
          <t>Mariana Nascimento</t>
        </is>
      </c>
      <c r="F634" s="35" t="inlineStr">
        <is>
          <t>Particular</t>
        </is>
      </c>
      <c r="G634" s="35" t="inlineStr">
        <is>
          <t>Consulta</t>
        </is>
      </c>
      <c r="H634" s="35" t="inlineStr">
        <is>
          <t>Falta</t>
        </is>
      </c>
      <c r="I634" s="35" t="n"/>
      <c r="J634" s="35" t="n"/>
      <c r="K634" s="34" t="n"/>
      <c r="L634" s="26">
        <f>IF(A634="","",MONTH(A634))</f>
        <v>8</v>
      </c>
      <c r="M634" s="26">
        <f>IF(A634="","",YEAR(A634))</f>
        <v>2026</v>
      </c>
      <c r="N634" s="26" t="str">
        <f>IF(A634="","",CHOOSE(WEEKDAY(A634,2),"Segunda","Terça","Quarta","Quinta","Sexta","Sábado","Domingo"))</f>
        <v>Terça</v>
      </c>
      <c r="O634" s="26" t="str">
        <f>IF(B634="","",IF(B634&lt;TIME(12,0,0),"Manhã",IF(B634&lt;TIME(18,0,0),"Tarde","Noite")))</f>
        <v>Manhã</v>
      </c>
      <c r="P634" s="32">
        <f>IF(G634="","",IFERROR(INDEX(Config!$I$5:$I$16,MATCH(G634,Config!$H$5:$H$16,0)),0))</f>
        <v>30</v>
      </c>
      <c r="Q634" s="30">
        <f>IF(OR(H634&lt;&gt;"Realizado",P634="",P634=0),"",A634+P634)</f>
        <v/>
      </c>
      <c r="R634" s="26">
        <f>IF(Q634="","",IF(COUNTIFS($E$5:$E$3004,E634,$A$5:$A$3004,"&gt;"&amp;A634,$H$5:$H$3004,"&lt;&gt;Falta",$H$5:$H$3004,"&lt;&gt;Cancelado",$H$5:$H$3004,"&lt;&gt;Remarcado")&gt;0,"Sim","Não"))</f>
        <v/>
      </c>
      <c r="S634" s="32">
        <f>IF(R634&lt;&gt;"Não","",IF(Q634+Config!$B$9&lt;=Config!$B$8,Config!$B$8-Q634,""))</f>
        <v/>
      </c>
      <c r="T634" s="26">
        <f>IF(S634="","","Sim")</f>
        <v/>
      </c>
      <c r="U634" s="41">
        <f>IF(T634="Sim",S634+ROW()/100000,0)</f>
        <v>0</v>
      </c>
      <c r="V634" s="41">
        <f>IF(AND(H634="Falta",L634=Config!$B$7,M634=Config!$B$5,COUNTIFS($E$5:E634,E634,$H$5:H634,"Falta",$L$5:L634,Config!$B$7,$M$5:M634,Config!$B$5)=1),COUNTIFS($E$5:$E$3004,E634,$H$5:$H$3004,"Falta",$L$5:$L$3004,Config!$B$7,$M$5:$M$3004,Config!$B$5)*1000-ROW()/100000,0)</f>
        <v>0</v>
      </c>
    </row>
    <row r="635">
      <c r="A635" s="39" t="n">
        <v>46238</v>
      </c>
      <c r="B635" s="40" t="n">
        <v>0.4791666666666667</v>
      </c>
      <c r="C635" s="35" t="inlineStr">
        <is>
          <t>Dra. Carolina Mendes</t>
        </is>
      </c>
      <c r="D635" s="35" t="inlineStr">
        <is>
          <t>Sala 1</t>
        </is>
      </c>
      <c r="E635" s="34" t="inlineStr">
        <is>
          <t>Wagner Lima</t>
        </is>
      </c>
      <c r="F635" s="35" t="inlineStr">
        <is>
          <t>Particular</t>
        </is>
      </c>
      <c r="G635" s="35" t="inlineStr">
        <is>
          <t>Consulta</t>
        </is>
      </c>
      <c r="H635" s="35" t="inlineStr">
        <is>
          <t>Realizado</t>
        </is>
      </c>
      <c r="I635" s="35" t="inlineStr">
        <is>
          <t>Cartão de débito</t>
        </is>
      </c>
      <c r="J635" s="35" t="n"/>
      <c r="K635" s="34" t="n"/>
      <c r="L635" s="26">
        <f>IF(A635="","",MONTH(A635))</f>
        <v>8</v>
      </c>
      <c r="M635" s="26">
        <f>IF(A635="","",YEAR(A635))</f>
        <v>2026</v>
      </c>
      <c r="N635" s="26" t="str">
        <f>IF(A635="","",CHOOSE(WEEKDAY(A635,2),"Segunda","Terça","Quarta","Quinta","Sexta","Sábado","Domingo"))</f>
        <v>Terça</v>
      </c>
      <c r="O635" s="26" t="str">
        <f>IF(B635="","",IF(B635&lt;TIME(12,0,0),"Manhã",IF(B635&lt;TIME(18,0,0),"Tarde","Noite")))</f>
        <v>Manhã</v>
      </c>
      <c r="P635" s="32">
        <f>IF(G635="","",IFERROR(INDEX(Config!$I$5:$I$16,MATCH(G635,Config!$H$5:$H$16,0)),0))</f>
        <v>30</v>
      </c>
      <c r="Q635" s="30">
        <f>IF(OR(H635&lt;&gt;"Realizado",P635="",P635=0),"",A635+P635)</f>
        <v>46268.0</v>
      </c>
      <c r="R635" s="26" t="str">
        <f>IF(Q635="","",IF(COUNTIFS($E$5:$E$3004,E635,$A$5:$A$3004,"&gt;"&amp;A635,$H$5:$H$3004,"&lt;&gt;Falta",$H$5:$H$3004,"&lt;&gt;Cancelado",$H$5:$H$3004,"&lt;&gt;Remarcado")&gt;0,"Sim","Não"))</f>
        <v>Sim</v>
      </c>
      <c r="S635" s="32">
        <f>IF(R635&lt;&gt;"Não","",IF(Q635+Config!$B$9&lt;=Config!$B$8,Config!$B$8-Q635,""))</f>
        <v/>
      </c>
      <c r="T635" s="26">
        <f>IF(S635="","","Sim")</f>
        <v/>
      </c>
      <c r="U635" s="41">
        <f>IF(T635="Sim",S635+ROW()/100000,0)</f>
        <v>0</v>
      </c>
      <c r="V635" s="41">
        <f>IF(AND(H635="Falta",L635=Config!$B$7,M635=Config!$B$5,COUNTIFS($E$5:E635,E635,$H$5:H635,"Falta",$L$5:L635,Config!$B$7,$M$5:M635,Config!$B$5)=1),COUNTIFS($E$5:$E$3004,E635,$H$5:$H$3004,"Falta",$L$5:$L$3004,Config!$B$7,$M$5:$M$3004,Config!$B$5)*1000-ROW()/100000,0)</f>
        <v>0</v>
      </c>
    </row>
    <row r="636">
      <c r="A636" s="39" t="n">
        <v>46238</v>
      </c>
      <c r="B636" s="40" t="n">
        <v>0.5833333333333334</v>
      </c>
      <c r="C636" s="35" t="inlineStr">
        <is>
          <t>Dra. Renata Sousa</t>
        </is>
      </c>
      <c r="D636" s="35" t="inlineStr">
        <is>
          <t>Sala 1</t>
        </is>
      </c>
      <c r="E636" s="34" t="inlineStr">
        <is>
          <t>Gabriel Lopes</t>
        </is>
      </c>
      <c r="F636" s="35" t="inlineStr">
        <is>
          <t>Saúde Total</t>
        </is>
      </c>
      <c r="G636" s="35" t="inlineStr">
        <is>
          <t>Avaliação endócrina</t>
        </is>
      </c>
      <c r="H636" s="35" t="inlineStr">
        <is>
          <t>Realizado</t>
        </is>
      </c>
      <c r="I636" s="35" t="inlineStr">
        <is>
          <t>Convênio</t>
        </is>
      </c>
      <c r="J636" s="35" t="n"/>
      <c r="K636" s="34" t="n"/>
      <c r="L636" s="26">
        <f>IF(A636="","",MONTH(A636))</f>
        <v>8</v>
      </c>
      <c r="M636" s="26">
        <f>IF(A636="","",YEAR(A636))</f>
        <v>2026</v>
      </c>
      <c r="N636" s="26" t="str">
        <f>IF(A636="","",CHOOSE(WEEKDAY(A636,2),"Segunda","Terça","Quarta","Quinta","Sexta","Sábado","Domingo"))</f>
        <v>Terça</v>
      </c>
      <c r="O636" s="26" t="str">
        <f>IF(B636="","",IF(B636&lt;TIME(12,0,0),"Manhã",IF(B636&lt;TIME(18,0,0),"Tarde","Noite")))</f>
        <v>Tarde</v>
      </c>
      <c r="P636" s="32">
        <f>IF(G636="","",IFERROR(INDEX(Config!$I$5:$I$16,MATCH(G636,Config!$H$5:$H$16,0)),0))</f>
        <v>45</v>
      </c>
      <c r="Q636" s="30">
        <f>IF(OR(H636&lt;&gt;"Realizado",P636="",P636=0),"",A636+P636)</f>
        <v>46283.0</v>
      </c>
      <c r="R636" s="26" t="str">
        <f>IF(Q636="","",IF(COUNTIFS($E$5:$E$3004,E636,$A$5:$A$3004,"&gt;"&amp;A636,$H$5:$H$3004,"&lt;&gt;Falta",$H$5:$H$3004,"&lt;&gt;Cancelado",$H$5:$H$3004,"&lt;&gt;Remarcado")&gt;0,"Sim","Não"))</f>
        <v>Sim</v>
      </c>
      <c r="S636" s="32">
        <f>IF(R636&lt;&gt;"Não","",IF(Q636+Config!$B$9&lt;=Config!$B$8,Config!$B$8-Q636,""))</f>
        <v/>
      </c>
      <c r="T636" s="26">
        <f>IF(S636="","","Sim")</f>
        <v/>
      </c>
      <c r="U636" s="41">
        <f>IF(T636="Sim",S636+ROW()/100000,0)</f>
        <v>0</v>
      </c>
      <c r="V636" s="41">
        <f>IF(AND(H636="Falta",L636=Config!$B$7,M636=Config!$B$5,COUNTIFS($E$5:E636,E636,$H$5:H636,"Falta",$L$5:L636,Config!$B$7,$M$5:M636,Config!$B$5)=1),COUNTIFS($E$5:$E$3004,E636,$H$5:$H$3004,"Falta",$L$5:$L$3004,Config!$B$7,$M$5:$M$3004,Config!$B$5)*1000-ROW()/100000,0)</f>
        <v>0</v>
      </c>
    </row>
    <row r="637">
      <c r="A637" s="39" t="n">
        <v>46238</v>
      </c>
      <c r="B637" s="40" t="n">
        <v>0.5833333333333334</v>
      </c>
      <c r="C637" s="35" t="inlineStr">
        <is>
          <t>Dr. Paulo Andrade</t>
        </is>
      </c>
      <c r="D637" s="35" t="inlineStr">
        <is>
          <t>Sala 2</t>
        </is>
      </c>
      <c r="E637" s="34" t="inlineStr">
        <is>
          <t>Paulo Ribeiro</t>
        </is>
      </c>
      <c r="F637" s="35" t="inlineStr">
        <is>
          <t>Saúde Total</t>
        </is>
      </c>
      <c r="G637" s="35" t="inlineStr">
        <is>
          <t>Retorno</t>
        </is>
      </c>
      <c r="H637" s="35" t="inlineStr">
        <is>
          <t>Realizado</t>
        </is>
      </c>
      <c r="I637" s="35" t="inlineStr">
        <is>
          <t>Sem cobrança</t>
        </is>
      </c>
      <c r="J637" s="35" t="n"/>
      <c r="K637" s="34" t="n"/>
      <c r="L637" s="26">
        <f>IF(A637="","",MONTH(A637))</f>
        <v>8</v>
      </c>
      <c r="M637" s="26">
        <f>IF(A637="","",YEAR(A637))</f>
        <v>2026</v>
      </c>
      <c r="N637" s="26" t="str">
        <f>IF(A637="","",CHOOSE(WEEKDAY(A637,2),"Segunda","Terça","Quarta","Quinta","Sexta","Sábado","Domingo"))</f>
        <v>Terça</v>
      </c>
      <c r="O637" s="26" t="str">
        <f>IF(B637="","",IF(B637&lt;TIME(12,0,0),"Manhã",IF(B637&lt;TIME(18,0,0),"Tarde","Noite")))</f>
        <v>Tarde</v>
      </c>
      <c r="P637" s="32">
        <f>IF(G637="","",IFERROR(INDEX(Config!$I$5:$I$16,MATCH(G637,Config!$H$5:$H$16,0)),0))</f>
        <v>0</v>
      </c>
      <c r="Q637" s="30">
        <f>IF(OR(H637&lt;&gt;"Realizado",P637="",P637=0),"",A637+P637)</f>
        <v/>
      </c>
      <c r="R637" s="26">
        <f>IF(Q637="","",IF(COUNTIFS($E$5:$E$3004,E637,$A$5:$A$3004,"&gt;"&amp;A637,$H$5:$H$3004,"&lt;&gt;Falta",$H$5:$H$3004,"&lt;&gt;Cancelado",$H$5:$H$3004,"&lt;&gt;Remarcado")&gt;0,"Sim","Não"))</f>
        <v/>
      </c>
      <c r="S637" s="32">
        <f>IF(R637&lt;&gt;"Não","",IF(Q637+Config!$B$9&lt;=Config!$B$8,Config!$B$8-Q637,""))</f>
        <v/>
      </c>
      <c r="T637" s="26">
        <f>IF(S637="","","Sim")</f>
        <v/>
      </c>
      <c r="U637" s="41">
        <f>IF(T637="Sim",S637+ROW()/100000,0)</f>
        <v>0</v>
      </c>
      <c r="V637" s="41">
        <f>IF(AND(H637="Falta",L637=Config!$B$7,M637=Config!$B$5,COUNTIFS($E$5:E637,E637,$H$5:H637,"Falta",$L$5:L637,Config!$B$7,$M$5:M637,Config!$B$5)=1),COUNTIFS($E$5:$E$3004,E637,$H$5:$H$3004,"Falta",$L$5:$L$3004,Config!$B$7,$M$5:$M$3004,Config!$B$5)*1000-ROW()/100000,0)</f>
        <v>0</v>
      </c>
    </row>
    <row r="638">
      <c r="A638" s="39" t="n">
        <v>46238</v>
      </c>
      <c r="B638" s="40" t="n">
        <v>0.5972222222222222</v>
      </c>
      <c r="C638" s="35" t="inlineStr">
        <is>
          <t>Dr. Paulo Andrade</t>
        </is>
      </c>
      <c r="D638" s="35" t="inlineStr">
        <is>
          <t>Sala 2</t>
        </is>
      </c>
      <c r="E638" s="34" t="inlineStr">
        <is>
          <t>Henrique Santos</t>
        </is>
      </c>
      <c r="F638" s="35" t="inlineStr">
        <is>
          <t>Vida Care</t>
        </is>
      </c>
      <c r="G638" s="35" t="inlineStr">
        <is>
          <t>Retorno</t>
        </is>
      </c>
      <c r="H638" s="35" t="inlineStr">
        <is>
          <t>Realizado</t>
        </is>
      </c>
      <c r="I638" s="35" t="inlineStr">
        <is>
          <t>Sem cobrança</t>
        </is>
      </c>
      <c r="J638" s="35" t="n"/>
      <c r="K638" s="34" t="n"/>
      <c r="L638" s="26">
        <f>IF(A638="","",MONTH(A638))</f>
        <v>8</v>
      </c>
      <c r="M638" s="26">
        <f>IF(A638="","",YEAR(A638))</f>
        <v>2026</v>
      </c>
      <c r="N638" s="26" t="str">
        <f>IF(A638="","",CHOOSE(WEEKDAY(A638,2),"Segunda","Terça","Quarta","Quinta","Sexta","Sábado","Domingo"))</f>
        <v>Terça</v>
      </c>
      <c r="O638" s="26" t="str">
        <f>IF(B638="","",IF(B638&lt;TIME(12,0,0),"Manhã",IF(B638&lt;TIME(18,0,0),"Tarde","Noite")))</f>
        <v>Tarde</v>
      </c>
      <c r="P638" s="32">
        <f>IF(G638="","",IFERROR(INDEX(Config!$I$5:$I$16,MATCH(G638,Config!$H$5:$H$16,0)),0))</f>
        <v>0</v>
      </c>
      <c r="Q638" s="30">
        <f>IF(OR(H638&lt;&gt;"Realizado",P638="",P638=0),"",A638+P638)</f>
        <v/>
      </c>
      <c r="R638" s="26">
        <f>IF(Q638="","",IF(COUNTIFS($E$5:$E$3004,E638,$A$5:$A$3004,"&gt;"&amp;A638,$H$5:$H$3004,"&lt;&gt;Falta",$H$5:$H$3004,"&lt;&gt;Cancelado",$H$5:$H$3004,"&lt;&gt;Remarcado")&gt;0,"Sim","Não"))</f>
        <v/>
      </c>
      <c r="S638" s="32">
        <f>IF(R638&lt;&gt;"Não","",IF(Q638+Config!$B$9&lt;=Config!$B$8,Config!$B$8-Q638,""))</f>
        <v/>
      </c>
      <c r="T638" s="26">
        <f>IF(S638="","","Sim")</f>
        <v/>
      </c>
      <c r="U638" s="41">
        <f>IF(T638="Sim",S638+ROW()/100000,0)</f>
        <v>0</v>
      </c>
      <c r="V638" s="41">
        <f>IF(AND(H638="Falta",L638=Config!$B$7,M638=Config!$B$5,COUNTIFS($E$5:E638,E638,$H$5:H638,"Falta",$L$5:L638,Config!$B$7,$M$5:M638,Config!$B$5)=1),COUNTIFS($E$5:$E$3004,E638,$H$5:$H$3004,"Falta",$L$5:$L$3004,Config!$B$7,$M$5:$M$3004,Config!$B$5)*1000-ROW()/100000,0)</f>
        <v>0</v>
      </c>
    </row>
    <row r="639">
      <c r="A639" s="39" t="n">
        <v>46238</v>
      </c>
      <c r="B639" s="40" t="n">
        <v>0.6111111111111112</v>
      </c>
      <c r="C639" s="35" t="inlineStr">
        <is>
          <t>Dra. Renata Sousa</t>
        </is>
      </c>
      <c r="D639" s="35" t="inlineStr">
        <is>
          <t>Sala 1</t>
        </is>
      </c>
      <c r="E639" s="34" t="inlineStr">
        <is>
          <t>Gustavo Carvalho</t>
        </is>
      </c>
      <c r="F639" s="35" t="inlineStr">
        <is>
          <t>Particular</t>
        </is>
      </c>
      <c r="G639" s="35" t="inlineStr">
        <is>
          <t>Avaliação endócrina</t>
        </is>
      </c>
      <c r="H639" s="35" t="inlineStr">
        <is>
          <t>Realizado</t>
        </is>
      </c>
      <c r="I639" s="35" t="inlineStr">
        <is>
          <t>Dinheiro</t>
        </is>
      </c>
      <c r="J639" s="35" t="n"/>
      <c r="K639" s="34" t="n"/>
      <c r="L639" s="26">
        <f>IF(A639="","",MONTH(A639))</f>
        <v>8</v>
      </c>
      <c r="M639" s="26">
        <f>IF(A639="","",YEAR(A639))</f>
        <v>2026</v>
      </c>
      <c r="N639" s="26" t="str">
        <f>IF(A639="","",CHOOSE(WEEKDAY(A639,2),"Segunda","Terça","Quarta","Quinta","Sexta","Sábado","Domingo"))</f>
        <v>Terça</v>
      </c>
      <c r="O639" s="26" t="str">
        <f>IF(B639="","",IF(B639&lt;TIME(12,0,0),"Manhã",IF(B639&lt;TIME(18,0,0),"Tarde","Noite")))</f>
        <v>Tarde</v>
      </c>
      <c r="P639" s="32">
        <f>IF(G639="","",IFERROR(INDEX(Config!$I$5:$I$16,MATCH(G639,Config!$H$5:$H$16,0)),0))</f>
        <v>45</v>
      </c>
      <c r="Q639" s="30">
        <f>IF(OR(H639&lt;&gt;"Realizado",P639="",P639=0),"",A639+P639)</f>
        <v>46283.0</v>
      </c>
      <c r="R639" s="26" t="str">
        <f>IF(Q639="","",IF(COUNTIFS($E$5:$E$3004,E639,$A$5:$A$3004,"&gt;"&amp;A639,$H$5:$H$3004,"&lt;&gt;Falta",$H$5:$H$3004,"&lt;&gt;Cancelado",$H$5:$H$3004,"&lt;&gt;Remarcado")&gt;0,"Sim","Não"))</f>
        <v>Sim</v>
      </c>
      <c r="S639" s="32">
        <f>IF(R639&lt;&gt;"Não","",IF(Q639+Config!$B$9&lt;=Config!$B$8,Config!$B$8-Q639,""))</f>
        <v/>
      </c>
      <c r="T639" s="26">
        <f>IF(S639="","","Sim")</f>
        <v/>
      </c>
      <c r="U639" s="41">
        <f>IF(T639="Sim",S639+ROW()/100000,0)</f>
        <v>0</v>
      </c>
      <c r="V639" s="41">
        <f>IF(AND(H639="Falta",L639=Config!$B$7,M639=Config!$B$5,COUNTIFS($E$5:E639,E639,$H$5:H639,"Falta",$L$5:L639,Config!$B$7,$M$5:M639,Config!$B$5)=1),COUNTIFS($E$5:$E$3004,E639,$H$5:$H$3004,"Falta",$L$5:$L$3004,Config!$B$7,$M$5:$M$3004,Config!$B$5)*1000-ROW()/100000,0)</f>
        <v>0</v>
      </c>
    </row>
    <row r="640">
      <c r="A640" s="39" t="n">
        <v>46238</v>
      </c>
      <c r="B640" s="40" t="n">
        <v>0.6111111111111112</v>
      </c>
      <c r="C640" s="35" t="inlineStr">
        <is>
          <t>Dr. Paulo Andrade</t>
        </is>
      </c>
      <c r="D640" s="35" t="inlineStr">
        <is>
          <t>Sala 2</t>
        </is>
      </c>
      <c r="E640" s="34" t="inlineStr">
        <is>
          <t>Sandra Cardoso</t>
        </is>
      </c>
      <c r="F640" s="35" t="inlineStr">
        <is>
          <t>Saúde Total</t>
        </is>
      </c>
      <c r="G640" s="35" t="inlineStr">
        <is>
          <t>Retorno</t>
        </is>
      </c>
      <c r="H640" s="35" t="inlineStr">
        <is>
          <t>Realizado</t>
        </is>
      </c>
      <c r="I640" s="35" t="inlineStr">
        <is>
          <t>Sem cobrança</t>
        </is>
      </c>
      <c r="J640" s="35" t="n"/>
      <c r="K640" s="34" t="n"/>
      <c r="L640" s="26">
        <f>IF(A640="","",MONTH(A640))</f>
        <v>8</v>
      </c>
      <c r="M640" s="26">
        <f>IF(A640="","",YEAR(A640))</f>
        <v>2026</v>
      </c>
      <c r="N640" s="26" t="str">
        <f>IF(A640="","",CHOOSE(WEEKDAY(A640,2),"Segunda","Terça","Quarta","Quinta","Sexta","Sábado","Domingo"))</f>
        <v>Terça</v>
      </c>
      <c r="O640" s="26" t="str">
        <f>IF(B640="","",IF(B640&lt;TIME(12,0,0),"Manhã",IF(B640&lt;TIME(18,0,0),"Tarde","Noite")))</f>
        <v>Tarde</v>
      </c>
      <c r="P640" s="32">
        <f>IF(G640="","",IFERROR(INDEX(Config!$I$5:$I$16,MATCH(G640,Config!$H$5:$H$16,0)),0))</f>
        <v>0</v>
      </c>
      <c r="Q640" s="30">
        <f>IF(OR(H640&lt;&gt;"Realizado",P640="",P640=0),"",A640+P640)</f>
        <v/>
      </c>
      <c r="R640" s="26">
        <f>IF(Q640="","",IF(COUNTIFS($E$5:$E$3004,E640,$A$5:$A$3004,"&gt;"&amp;A640,$H$5:$H$3004,"&lt;&gt;Falta",$H$5:$H$3004,"&lt;&gt;Cancelado",$H$5:$H$3004,"&lt;&gt;Remarcado")&gt;0,"Sim","Não"))</f>
        <v/>
      </c>
      <c r="S640" s="32">
        <f>IF(R640&lt;&gt;"Não","",IF(Q640+Config!$B$9&lt;=Config!$B$8,Config!$B$8-Q640,""))</f>
        <v/>
      </c>
      <c r="T640" s="26">
        <f>IF(S640="","","Sim")</f>
        <v/>
      </c>
      <c r="U640" s="41">
        <f>IF(T640="Sim",S640+ROW()/100000,0)</f>
        <v>0</v>
      </c>
      <c r="V640" s="41">
        <f>IF(AND(H640="Falta",L640=Config!$B$7,M640=Config!$B$5,COUNTIFS($E$5:E640,E640,$H$5:H640,"Falta",$L$5:L640,Config!$B$7,$M$5:M640,Config!$B$5)=1),COUNTIFS($E$5:$E$3004,E640,$H$5:$H$3004,"Falta",$L$5:$L$3004,Config!$B$7,$M$5:$M$3004,Config!$B$5)*1000-ROW()/100000,0)</f>
        <v>0</v>
      </c>
    </row>
    <row r="641">
      <c r="A641" s="39" t="n">
        <v>46238</v>
      </c>
      <c r="B641" s="40" t="n">
        <v>0.625</v>
      </c>
      <c r="C641" s="35" t="inlineStr">
        <is>
          <t>Dr. Paulo Andrade</t>
        </is>
      </c>
      <c r="D641" s="35" t="inlineStr">
        <is>
          <t>Sala 2</t>
        </is>
      </c>
      <c r="E641" s="34" t="inlineStr">
        <is>
          <t>Viviane Teixeira</t>
        </is>
      </c>
      <c r="F641" s="35" t="inlineStr">
        <is>
          <t>Particular</t>
        </is>
      </c>
      <c r="G641" s="35" t="inlineStr">
        <is>
          <t>Consulta</t>
        </is>
      </c>
      <c r="H641" s="35" t="inlineStr">
        <is>
          <t>Falta</t>
        </is>
      </c>
      <c r="I641" s="35" t="n"/>
      <c r="J641" s="35" t="n"/>
      <c r="K641" s="34" t="n"/>
      <c r="L641" s="26">
        <f>IF(A641="","",MONTH(A641))</f>
        <v>8</v>
      </c>
      <c r="M641" s="26">
        <f>IF(A641="","",YEAR(A641))</f>
        <v>2026</v>
      </c>
      <c r="N641" s="26" t="str">
        <f>IF(A641="","",CHOOSE(WEEKDAY(A641,2),"Segunda","Terça","Quarta","Quinta","Sexta","Sábado","Domingo"))</f>
        <v>Terça</v>
      </c>
      <c r="O641" s="26" t="str">
        <f>IF(B641="","",IF(B641&lt;TIME(12,0,0),"Manhã",IF(B641&lt;TIME(18,0,0),"Tarde","Noite")))</f>
        <v>Tarde</v>
      </c>
      <c r="P641" s="32">
        <f>IF(G641="","",IFERROR(INDEX(Config!$I$5:$I$16,MATCH(G641,Config!$H$5:$H$16,0)),0))</f>
        <v>30</v>
      </c>
      <c r="Q641" s="30">
        <f>IF(OR(H641&lt;&gt;"Realizado",P641="",P641=0),"",A641+P641)</f>
        <v/>
      </c>
      <c r="R641" s="26">
        <f>IF(Q641="","",IF(COUNTIFS($E$5:$E$3004,E641,$A$5:$A$3004,"&gt;"&amp;A641,$H$5:$H$3004,"&lt;&gt;Falta",$H$5:$H$3004,"&lt;&gt;Cancelado",$H$5:$H$3004,"&lt;&gt;Remarcado")&gt;0,"Sim","Não"))</f>
        <v/>
      </c>
      <c r="S641" s="32">
        <f>IF(R641&lt;&gt;"Não","",IF(Q641+Config!$B$9&lt;=Config!$B$8,Config!$B$8-Q641,""))</f>
        <v/>
      </c>
      <c r="T641" s="26">
        <f>IF(S641="","","Sim")</f>
        <v/>
      </c>
      <c r="U641" s="41">
        <f>IF(T641="Sim",S641+ROW()/100000,0)</f>
        <v>0</v>
      </c>
      <c r="V641" s="41">
        <f>IF(AND(H641="Falta",L641=Config!$B$7,M641=Config!$B$5,COUNTIFS($E$5:E641,E641,$H$5:H641,"Falta",$L$5:L641,Config!$B$7,$M$5:M641,Config!$B$5)=1),COUNTIFS($E$5:$E$3004,E641,$H$5:$H$3004,"Falta",$L$5:$L$3004,Config!$B$7,$M$5:$M$3004,Config!$B$5)*1000-ROW()/100000,0)</f>
        <v>0</v>
      </c>
    </row>
    <row r="642">
      <c r="A642" s="39" t="n">
        <v>46238</v>
      </c>
      <c r="B642" s="40" t="n">
        <v>0.6388888888888888</v>
      </c>
      <c r="C642" s="35" t="inlineStr">
        <is>
          <t>Dra. Renata Sousa</t>
        </is>
      </c>
      <c r="D642" s="35" t="inlineStr">
        <is>
          <t>Sala 1</t>
        </is>
      </c>
      <c r="E642" s="34" t="inlineStr">
        <is>
          <t>Isabela Xavier</t>
        </is>
      </c>
      <c r="F642" s="35" t="inlineStr">
        <is>
          <t>Particular</t>
        </is>
      </c>
      <c r="G642" s="35" t="inlineStr">
        <is>
          <t>Avaliação endócrina</t>
        </is>
      </c>
      <c r="H642" s="35" t="inlineStr">
        <is>
          <t>Realizado</t>
        </is>
      </c>
      <c r="I642" s="35" t="inlineStr">
        <is>
          <t>A prazo</t>
        </is>
      </c>
      <c r="J642" s="35" t="n"/>
      <c r="K642" s="34" t="n"/>
      <c r="L642" s="26">
        <f>IF(A642="","",MONTH(A642))</f>
        <v>8</v>
      </c>
      <c r="M642" s="26">
        <f>IF(A642="","",YEAR(A642))</f>
        <v>2026</v>
      </c>
      <c r="N642" s="26" t="str">
        <f>IF(A642="","",CHOOSE(WEEKDAY(A642,2),"Segunda","Terça","Quarta","Quinta","Sexta","Sábado","Domingo"))</f>
        <v>Terça</v>
      </c>
      <c r="O642" s="26" t="str">
        <f>IF(B642="","",IF(B642&lt;TIME(12,0,0),"Manhã",IF(B642&lt;TIME(18,0,0),"Tarde","Noite")))</f>
        <v>Tarde</v>
      </c>
      <c r="P642" s="32">
        <f>IF(G642="","",IFERROR(INDEX(Config!$I$5:$I$16,MATCH(G642,Config!$H$5:$H$16,0)),0))</f>
        <v>45</v>
      </c>
      <c r="Q642" s="30">
        <f>IF(OR(H642&lt;&gt;"Realizado",P642="",P642=0),"",A642+P642)</f>
        <v>46283.0</v>
      </c>
      <c r="R642" s="26" t="str">
        <f>IF(Q642="","",IF(COUNTIFS($E$5:$E$3004,E642,$A$5:$A$3004,"&gt;"&amp;A642,$H$5:$H$3004,"&lt;&gt;Falta",$H$5:$H$3004,"&lt;&gt;Cancelado",$H$5:$H$3004,"&lt;&gt;Remarcado")&gt;0,"Sim","Não"))</f>
        <v>Sim</v>
      </c>
      <c r="S642" s="32">
        <f>IF(R642&lt;&gt;"Não","",IF(Q642+Config!$B$9&lt;=Config!$B$8,Config!$B$8-Q642,""))</f>
        <v/>
      </c>
      <c r="T642" s="26">
        <f>IF(S642="","","Sim")</f>
        <v/>
      </c>
      <c r="U642" s="41">
        <f>IF(T642="Sim",S642+ROW()/100000,0)</f>
        <v>0</v>
      </c>
      <c r="V642" s="41">
        <f>IF(AND(H642="Falta",L642=Config!$B$7,M642=Config!$B$5,COUNTIFS($E$5:E642,E642,$H$5:H642,"Falta",$L$5:L642,Config!$B$7,$M$5:M642,Config!$B$5)=1),COUNTIFS($E$5:$E$3004,E642,$H$5:$H$3004,"Falta",$L$5:$L$3004,Config!$B$7,$M$5:$M$3004,Config!$B$5)*1000-ROW()/100000,0)</f>
        <v>0</v>
      </c>
    </row>
    <row r="643">
      <c r="A643" s="39" t="n">
        <v>46238</v>
      </c>
      <c r="B643" s="40" t="n">
        <v>0.6458333333333334</v>
      </c>
      <c r="C643" s="35" t="inlineStr">
        <is>
          <t>Dr. Paulo Andrade</t>
        </is>
      </c>
      <c r="D643" s="35" t="inlineStr">
        <is>
          <t>Sala 2</t>
        </is>
      </c>
      <c r="E643" s="34" t="inlineStr">
        <is>
          <t>Gustavo Pinto</t>
        </is>
      </c>
      <c r="F643" s="35" t="inlineStr">
        <is>
          <t>Particular</t>
        </is>
      </c>
      <c r="G643" s="35" t="inlineStr">
        <is>
          <t>Consulta</t>
        </is>
      </c>
      <c r="H643" s="35" t="inlineStr">
        <is>
          <t>Realizado</t>
        </is>
      </c>
      <c r="I643" s="35" t="inlineStr">
        <is>
          <t>Cartão de crédito</t>
        </is>
      </c>
      <c r="J643" s="35" t="n"/>
      <c r="K643" s="34" t="n"/>
      <c r="L643" s="26">
        <f>IF(A643="","",MONTH(A643))</f>
        <v>8</v>
      </c>
      <c r="M643" s="26">
        <f>IF(A643="","",YEAR(A643))</f>
        <v>2026</v>
      </c>
      <c r="N643" s="26" t="str">
        <f>IF(A643="","",CHOOSE(WEEKDAY(A643,2),"Segunda","Terça","Quarta","Quinta","Sexta","Sábado","Domingo"))</f>
        <v>Terça</v>
      </c>
      <c r="O643" s="26" t="str">
        <f>IF(B643="","",IF(B643&lt;TIME(12,0,0),"Manhã",IF(B643&lt;TIME(18,0,0),"Tarde","Noite")))</f>
        <v>Tarde</v>
      </c>
      <c r="P643" s="32">
        <f>IF(G643="","",IFERROR(INDEX(Config!$I$5:$I$16,MATCH(G643,Config!$H$5:$H$16,0)),0))</f>
        <v>30</v>
      </c>
      <c r="Q643" s="30">
        <f>IF(OR(H643&lt;&gt;"Realizado",P643="",P643=0),"",A643+P643)</f>
        <v>46268.0</v>
      </c>
      <c r="R643" s="26" t="str">
        <f>IF(Q643="","",IF(COUNTIFS($E$5:$E$3004,E643,$A$5:$A$3004,"&gt;"&amp;A643,$H$5:$H$3004,"&lt;&gt;Falta",$H$5:$H$3004,"&lt;&gt;Cancelado",$H$5:$H$3004,"&lt;&gt;Remarcado")&gt;0,"Sim","Não"))</f>
        <v>Sim</v>
      </c>
      <c r="S643" s="32">
        <f>IF(R643&lt;&gt;"Não","",IF(Q643+Config!$B$9&lt;=Config!$B$8,Config!$B$8-Q643,""))</f>
        <v/>
      </c>
      <c r="T643" s="26">
        <f>IF(S643="","","Sim")</f>
        <v/>
      </c>
      <c r="U643" s="41">
        <f>IF(T643="Sim",S643+ROW()/100000,0)</f>
        <v>0</v>
      </c>
      <c r="V643" s="41">
        <f>IF(AND(H643="Falta",L643=Config!$B$7,M643=Config!$B$5,COUNTIFS($E$5:E643,E643,$H$5:H643,"Falta",$L$5:L643,Config!$B$7,$M$5:M643,Config!$B$5)=1),COUNTIFS($E$5:$E$3004,E643,$H$5:$H$3004,"Falta",$L$5:$L$3004,Config!$B$7,$M$5:$M$3004,Config!$B$5)*1000-ROW()/100000,0)</f>
        <v>0</v>
      </c>
    </row>
    <row r="644">
      <c r="A644" s="39" t="n">
        <v>46238</v>
      </c>
      <c r="B644" s="40" t="n">
        <v>0.6666666666666666</v>
      </c>
      <c r="C644" s="35" t="inlineStr">
        <is>
          <t>Dra. Renata Sousa</t>
        </is>
      </c>
      <c r="D644" s="35" t="inlineStr">
        <is>
          <t>Sala 1</t>
        </is>
      </c>
      <c r="E644" s="34" t="inlineStr">
        <is>
          <t>Rafael Pereira</t>
        </is>
      </c>
      <c r="F644" s="35" t="inlineStr">
        <is>
          <t>Particular</t>
        </is>
      </c>
      <c r="G644" s="35" t="inlineStr">
        <is>
          <t>Avaliação endócrina</t>
        </is>
      </c>
      <c r="H644" s="35" t="inlineStr">
        <is>
          <t>Realizado</t>
        </is>
      </c>
      <c r="I644" s="35" t="inlineStr">
        <is>
          <t>Cartão de débito</t>
        </is>
      </c>
      <c r="J644" s="35" t="n"/>
      <c r="K644" s="34" t="n"/>
      <c r="L644" s="26">
        <f>IF(A644="","",MONTH(A644))</f>
        <v>8</v>
      </c>
      <c r="M644" s="26">
        <f>IF(A644="","",YEAR(A644))</f>
        <v>2026</v>
      </c>
      <c r="N644" s="26" t="str">
        <f>IF(A644="","",CHOOSE(WEEKDAY(A644,2),"Segunda","Terça","Quarta","Quinta","Sexta","Sábado","Domingo"))</f>
        <v>Terça</v>
      </c>
      <c r="O644" s="26" t="str">
        <f>IF(B644="","",IF(B644&lt;TIME(12,0,0),"Manhã",IF(B644&lt;TIME(18,0,0),"Tarde","Noite")))</f>
        <v>Tarde</v>
      </c>
      <c r="P644" s="32">
        <f>IF(G644="","",IFERROR(INDEX(Config!$I$5:$I$16,MATCH(G644,Config!$H$5:$H$16,0)),0))</f>
        <v>45</v>
      </c>
      <c r="Q644" s="30">
        <f>IF(OR(H644&lt;&gt;"Realizado",P644="",P644=0),"",A644+P644)</f>
        <v>46283.0</v>
      </c>
      <c r="R644" s="26" t="str">
        <f>IF(Q644="","",IF(COUNTIFS($E$5:$E$3004,E644,$A$5:$A$3004,"&gt;"&amp;A644,$H$5:$H$3004,"&lt;&gt;Falta",$H$5:$H$3004,"&lt;&gt;Cancelado",$H$5:$H$3004,"&lt;&gt;Remarcado")&gt;0,"Sim","Não"))</f>
        <v>Sim</v>
      </c>
      <c r="S644" s="32">
        <f>IF(R644&lt;&gt;"Não","",IF(Q644+Config!$B$9&lt;=Config!$B$8,Config!$B$8-Q644,""))</f>
        <v/>
      </c>
      <c r="T644" s="26">
        <f>IF(S644="","","Sim")</f>
        <v/>
      </c>
      <c r="U644" s="41">
        <f>IF(T644="Sim",S644+ROW()/100000,0)</f>
        <v>0</v>
      </c>
      <c r="V644" s="41">
        <f>IF(AND(H644="Falta",L644=Config!$B$7,M644=Config!$B$5,COUNTIFS($E$5:E644,E644,$H$5:H644,"Falta",$L$5:L644,Config!$B$7,$M$5:M644,Config!$B$5)=1),COUNTIFS($E$5:$E$3004,E644,$H$5:$H$3004,"Falta",$L$5:$L$3004,Config!$B$7,$M$5:$M$3004,Config!$B$5)*1000-ROW()/100000,0)</f>
        <v>0</v>
      </c>
    </row>
    <row r="645">
      <c r="A645" s="39" t="n">
        <v>46238</v>
      </c>
      <c r="B645" s="40" t="n">
        <v>0.6666666666666666</v>
      </c>
      <c r="C645" s="35" t="inlineStr">
        <is>
          <t>Dr. Paulo Andrade</t>
        </is>
      </c>
      <c r="D645" s="35" t="inlineStr">
        <is>
          <t>Sala 2</t>
        </is>
      </c>
      <c r="E645" s="34" t="inlineStr">
        <is>
          <t>Gabriel Vieira</t>
        </is>
      </c>
      <c r="F645" s="35" t="inlineStr">
        <is>
          <t>Vida Care</t>
        </is>
      </c>
      <c r="G645" s="35" t="inlineStr">
        <is>
          <t>Consulta</t>
        </is>
      </c>
      <c r="H645" s="35" t="inlineStr">
        <is>
          <t>Cancelado</t>
        </is>
      </c>
      <c r="I645" s="35" t="n"/>
      <c r="J645" s="35" t="n"/>
      <c r="K645" s="34" t="n"/>
      <c r="L645" s="26">
        <f>IF(A645="","",MONTH(A645))</f>
        <v>8</v>
      </c>
      <c r="M645" s="26">
        <f>IF(A645="","",YEAR(A645))</f>
        <v>2026</v>
      </c>
      <c r="N645" s="26" t="str">
        <f>IF(A645="","",CHOOSE(WEEKDAY(A645,2),"Segunda","Terça","Quarta","Quinta","Sexta","Sábado","Domingo"))</f>
        <v>Terça</v>
      </c>
      <c r="O645" s="26" t="str">
        <f>IF(B645="","",IF(B645&lt;TIME(12,0,0),"Manhã",IF(B645&lt;TIME(18,0,0),"Tarde","Noite")))</f>
        <v>Tarde</v>
      </c>
      <c r="P645" s="32">
        <f>IF(G645="","",IFERROR(INDEX(Config!$I$5:$I$16,MATCH(G645,Config!$H$5:$H$16,0)),0))</f>
        <v>30</v>
      </c>
      <c r="Q645" s="30">
        <f>IF(OR(H645&lt;&gt;"Realizado",P645="",P645=0),"",A645+P645)</f>
        <v/>
      </c>
      <c r="R645" s="26">
        <f>IF(Q645="","",IF(COUNTIFS($E$5:$E$3004,E645,$A$5:$A$3004,"&gt;"&amp;A645,$H$5:$H$3004,"&lt;&gt;Falta",$H$5:$H$3004,"&lt;&gt;Cancelado",$H$5:$H$3004,"&lt;&gt;Remarcado")&gt;0,"Sim","Não"))</f>
        <v/>
      </c>
      <c r="S645" s="32">
        <f>IF(R645&lt;&gt;"Não","",IF(Q645+Config!$B$9&lt;=Config!$B$8,Config!$B$8-Q645,""))</f>
        <v/>
      </c>
      <c r="T645" s="26">
        <f>IF(S645="","","Sim")</f>
        <v/>
      </c>
      <c r="U645" s="41">
        <f>IF(T645="Sim",S645+ROW()/100000,0)</f>
        <v>0</v>
      </c>
      <c r="V645" s="41">
        <f>IF(AND(H645="Falta",L645=Config!$B$7,M645=Config!$B$5,COUNTIFS($E$5:E645,E645,$H$5:H645,"Falta",$L$5:L645,Config!$B$7,$M$5:M645,Config!$B$5)=1),COUNTIFS($E$5:$E$3004,E645,$H$5:$H$3004,"Falta",$L$5:$L$3004,Config!$B$7,$M$5:$M$3004,Config!$B$5)*1000-ROW()/100000,0)</f>
        <v>0</v>
      </c>
    </row>
    <row r="646">
      <c r="A646" s="39" t="n">
        <v>46238</v>
      </c>
      <c r="B646" s="40" t="n">
        <v>0.6875</v>
      </c>
      <c r="C646" s="35" t="inlineStr">
        <is>
          <t>Dr. Paulo Andrade</t>
        </is>
      </c>
      <c r="D646" s="35" t="inlineStr">
        <is>
          <t>Sala 2</t>
        </is>
      </c>
      <c r="E646" s="34" t="inlineStr">
        <is>
          <t>Tatiana Rocha</t>
        </is>
      </c>
      <c r="F646" s="35" t="inlineStr">
        <is>
          <t>Vida Care</t>
        </is>
      </c>
      <c r="G646" s="35" t="inlineStr">
        <is>
          <t>ECG</t>
        </is>
      </c>
      <c r="H646" s="35" t="inlineStr">
        <is>
          <t>Realizado</t>
        </is>
      </c>
      <c r="I646" s="35" t="inlineStr">
        <is>
          <t>Convênio</t>
        </is>
      </c>
      <c r="J646" s="35" t="n"/>
      <c r="K646" s="34" t="n"/>
      <c r="L646" s="26">
        <f>IF(A646="","",MONTH(A646))</f>
        <v>8</v>
      </c>
      <c r="M646" s="26">
        <f>IF(A646="","",YEAR(A646))</f>
        <v>2026</v>
      </c>
      <c r="N646" s="26" t="str">
        <f>IF(A646="","",CHOOSE(WEEKDAY(A646,2),"Segunda","Terça","Quarta","Quinta","Sexta","Sábado","Domingo"))</f>
        <v>Terça</v>
      </c>
      <c r="O646" s="26" t="str">
        <f>IF(B646="","",IF(B646&lt;TIME(12,0,0),"Manhã",IF(B646&lt;TIME(18,0,0),"Tarde","Noite")))</f>
        <v>Tarde</v>
      </c>
      <c r="P646" s="32">
        <f>IF(G646="","",IFERROR(INDEX(Config!$I$5:$I$16,MATCH(G646,Config!$H$5:$H$16,0)),0))</f>
        <v>0</v>
      </c>
      <c r="Q646" s="30">
        <f>IF(OR(H646&lt;&gt;"Realizado",P646="",P646=0),"",A646+P646)</f>
        <v/>
      </c>
      <c r="R646" s="26">
        <f>IF(Q646="","",IF(COUNTIFS($E$5:$E$3004,E646,$A$5:$A$3004,"&gt;"&amp;A646,$H$5:$H$3004,"&lt;&gt;Falta",$H$5:$H$3004,"&lt;&gt;Cancelado",$H$5:$H$3004,"&lt;&gt;Remarcado")&gt;0,"Sim","Não"))</f>
        <v/>
      </c>
      <c r="S646" s="32">
        <f>IF(R646&lt;&gt;"Não","",IF(Q646+Config!$B$9&lt;=Config!$B$8,Config!$B$8-Q646,""))</f>
        <v/>
      </c>
      <c r="T646" s="26">
        <f>IF(S646="","","Sim")</f>
        <v/>
      </c>
      <c r="U646" s="41">
        <f>IF(T646="Sim",S646+ROW()/100000,0)</f>
        <v>0</v>
      </c>
      <c r="V646" s="41">
        <f>IF(AND(H646="Falta",L646=Config!$B$7,M646=Config!$B$5,COUNTIFS($E$5:E646,E646,$H$5:H646,"Falta",$L$5:L646,Config!$B$7,$M$5:M646,Config!$B$5)=1),COUNTIFS($E$5:$E$3004,E646,$H$5:$H$3004,"Falta",$L$5:$L$3004,Config!$B$7,$M$5:$M$3004,Config!$B$5)*1000-ROW()/100000,0)</f>
        <v>0</v>
      </c>
    </row>
    <row r="647">
      <c r="A647" s="39" t="n">
        <v>46238</v>
      </c>
      <c r="B647" s="40" t="n">
        <v>0.7013888888888888</v>
      </c>
      <c r="C647" s="35" t="inlineStr">
        <is>
          <t>Dr. Paulo Andrade</t>
        </is>
      </c>
      <c r="D647" s="35" t="inlineStr">
        <is>
          <t>Sala 2</t>
        </is>
      </c>
      <c r="E647" s="34" t="inlineStr">
        <is>
          <t>Viviane Teixeira</t>
        </is>
      </c>
      <c r="F647" s="35" t="inlineStr">
        <is>
          <t>Particular</t>
        </is>
      </c>
      <c r="G647" s="35" t="inlineStr">
        <is>
          <t>Consulta</t>
        </is>
      </c>
      <c r="H647" s="35" t="inlineStr">
        <is>
          <t>Realizado</t>
        </is>
      </c>
      <c r="I647" s="35" t="inlineStr">
        <is>
          <t>Cartão de débito</t>
        </is>
      </c>
      <c r="J647" s="35" t="n"/>
      <c r="K647" s="34" t="n"/>
      <c r="L647" s="26">
        <f>IF(A647="","",MONTH(A647))</f>
        <v>8</v>
      </c>
      <c r="M647" s="26">
        <f>IF(A647="","",YEAR(A647))</f>
        <v>2026</v>
      </c>
      <c r="N647" s="26" t="str">
        <f>IF(A647="","",CHOOSE(WEEKDAY(A647,2),"Segunda","Terça","Quarta","Quinta","Sexta","Sábado","Domingo"))</f>
        <v>Terça</v>
      </c>
      <c r="O647" s="26" t="str">
        <f>IF(B647="","",IF(B647&lt;TIME(12,0,0),"Manhã",IF(B647&lt;TIME(18,0,0),"Tarde","Noite")))</f>
        <v>Tarde</v>
      </c>
      <c r="P647" s="32">
        <f>IF(G647="","",IFERROR(INDEX(Config!$I$5:$I$16,MATCH(G647,Config!$H$5:$H$16,0)),0))</f>
        <v>30</v>
      </c>
      <c r="Q647" s="30">
        <f>IF(OR(H647&lt;&gt;"Realizado",P647="",P647=0),"",A647+P647)</f>
        <v>46268.0</v>
      </c>
      <c r="R647" s="26" t="str">
        <f>IF(Q647="","",IF(COUNTIFS($E$5:$E$3004,E647,$A$5:$A$3004,"&gt;"&amp;A647,$H$5:$H$3004,"&lt;&gt;Falta",$H$5:$H$3004,"&lt;&gt;Cancelado",$H$5:$H$3004,"&lt;&gt;Remarcado")&gt;0,"Sim","Não"))</f>
        <v>Não</v>
      </c>
      <c r="S647" s="32">
        <f>IF(R647&lt;&gt;"Não","",IF(Q647+Config!$B$9&lt;=Config!$B$8,Config!$B$8-Q647,""))</f>
        <v>11</v>
      </c>
      <c r="T647" s="26" t="str">
        <f>IF(S647="","","Sim")</f>
        <v>Sim</v>
      </c>
      <c r="U647" s="41">
        <f>IF(T647="Sim",S647+ROW()/100000,0)</f>
        <v>11.00647</v>
      </c>
      <c r="V647" s="41">
        <f>IF(AND(H647="Falta",L647=Config!$B$7,M647=Config!$B$5,COUNTIFS($E$5:E647,E647,$H$5:H647,"Falta",$L$5:L647,Config!$B$7,$M$5:M647,Config!$B$5)=1),COUNTIFS($E$5:$E$3004,E647,$H$5:$H$3004,"Falta",$L$5:$L$3004,Config!$B$7,$M$5:$M$3004,Config!$B$5)*1000-ROW()/100000,0)</f>
        <v>0</v>
      </c>
    </row>
    <row r="648">
      <c r="A648" s="39" t="n">
        <v>46238</v>
      </c>
      <c r="B648" s="40" t="n">
        <v>0.7152777777777778</v>
      </c>
      <c r="C648" s="35" t="inlineStr">
        <is>
          <t>Dra. Renata Sousa</t>
        </is>
      </c>
      <c r="D648" s="35" t="inlineStr">
        <is>
          <t>Sala 1</t>
        </is>
      </c>
      <c r="E648" s="34" t="inlineStr">
        <is>
          <t>Daniel Moreira</t>
        </is>
      </c>
      <c r="F648" s="35" t="inlineStr">
        <is>
          <t>Saúde Total</t>
        </is>
      </c>
      <c r="G648" s="35" t="inlineStr">
        <is>
          <t>Retorno</t>
        </is>
      </c>
      <c r="H648" s="35" t="inlineStr">
        <is>
          <t>Realizado</t>
        </is>
      </c>
      <c r="I648" s="35" t="inlineStr">
        <is>
          <t>Sem cobrança</t>
        </is>
      </c>
      <c r="J648" s="35" t="n"/>
      <c r="K648" s="34" t="n"/>
      <c r="L648" s="26">
        <f>IF(A648="","",MONTH(A648))</f>
        <v>8</v>
      </c>
      <c r="M648" s="26">
        <f>IF(A648="","",YEAR(A648))</f>
        <v>2026</v>
      </c>
      <c r="N648" s="26" t="str">
        <f>IF(A648="","",CHOOSE(WEEKDAY(A648,2),"Segunda","Terça","Quarta","Quinta","Sexta","Sábado","Domingo"))</f>
        <v>Terça</v>
      </c>
      <c r="O648" s="26" t="str">
        <f>IF(B648="","",IF(B648&lt;TIME(12,0,0),"Manhã",IF(B648&lt;TIME(18,0,0),"Tarde","Noite")))</f>
        <v>Tarde</v>
      </c>
      <c r="P648" s="32">
        <f>IF(G648="","",IFERROR(INDEX(Config!$I$5:$I$16,MATCH(G648,Config!$H$5:$H$16,0)),0))</f>
        <v>0</v>
      </c>
      <c r="Q648" s="30">
        <f>IF(OR(H648&lt;&gt;"Realizado",P648="",P648=0),"",A648+P648)</f>
        <v/>
      </c>
      <c r="R648" s="26">
        <f>IF(Q648="","",IF(COUNTIFS($E$5:$E$3004,E648,$A$5:$A$3004,"&gt;"&amp;A648,$H$5:$H$3004,"&lt;&gt;Falta",$H$5:$H$3004,"&lt;&gt;Cancelado",$H$5:$H$3004,"&lt;&gt;Remarcado")&gt;0,"Sim","Não"))</f>
        <v/>
      </c>
      <c r="S648" s="32">
        <f>IF(R648&lt;&gt;"Não","",IF(Q648+Config!$B$9&lt;=Config!$B$8,Config!$B$8-Q648,""))</f>
        <v/>
      </c>
      <c r="T648" s="26">
        <f>IF(S648="","","Sim")</f>
        <v/>
      </c>
      <c r="U648" s="41">
        <f>IF(T648="Sim",S648+ROW()/100000,0)</f>
        <v>0</v>
      </c>
      <c r="V648" s="41">
        <f>IF(AND(H648="Falta",L648=Config!$B$7,M648=Config!$B$5,COUNTIFS($E$5:E648,E648,$H$5:H648,"Falta",$L$5:L648,Config!$B$7,$M$5:M648,Config!$B$5)=1),COUNTIFS($E$5:$E$3004,E648,$H$5:$H$3004,"Falta",$L$5:$L$3004,Config!$B$7,$M$5:$M$3004,Config!$B$5)*1000-ROW()/100000,0)</f>
        <v>0</v>
      </c>
    </row>
    <row r="649">
      <c r="A649" s="39" t="n">
        <v>46238</v>
      </c>
      <c r="B649" s="40" t="n">
        <v>0.7222222222222222</v>
      </c>
      <c r="C649" s="35" t="inlineStr">
        <is>
          <t>Dr. Paulo Andrade</t>
        </is>
      </c>
      <c r="D649" s="35" t="inlineStr">
        <is>
          <t>Sala 2</t>
        </is>
      </c>
      <c r="E649" s="34" t="inlineStr">
        <is>
          <t>Marcelo Ferreira</t>
        </is>
      </c>
      <c r="F649" s="35" t="inlineStr">
        <is>
          <t>Particular</t>
        </is>
      </c>
      <c r="G649" s="35" t="inlineStr">
        <is>
          <t>Consulta</t>
        </is>
      </c>
      <c r="H649" s="35" t="inlineStr">
        <is>
          <t>Cancelado</t>
        </is>
      </c>
      <c r="I649" s="35" t="n"/>
      <c r="J649" s="35" t="n"/>
      <c r="K649" s="34" t="n"/>
      <c r="L649" s="26">
        <f>IF(A649="","",MONTH(A649))</f>
        <v>8</v>
      </c>
      <c r="M649" s="26">
        <f>IF(A649="","",YEAR(A649))</f>
        <v>2026</v>
      </c>
      <c r="N649" s="26" t="str">
        <f>IF(A649="","",CHOOSE(WEEKDAY(A649,2),"Segunda","Terça","Quarta","Quinta","Sexta","Sábado","Domingo"))</f>
        <v>Terça</v>
      </c>
      <c r="O649" s="26" t="str">
        <f>IF(B649="","",IF(B649&lt;TIME(12,0,0),"Manhã",IF(B649&lt;TIME(18,0,0),"Tarde","Noite")))</f>
        <v>Tarde</v>
      </c>
      <c r="P649" s="32">
        <f>IF(G649="","",IFERROR(INDEX(Config!$I$5:$I$16,MATCH(G649,Config!$H$5:$H$16,0)),0))</f>
        <v>30</v>
      </c>
      <c r="Q649" s="30">
        <f>IF(OR(H649&lt;&gt;"Realizado",P649="",P649=0),"",A649+P649)</f>
        <v/>
      </c>
      <c r="R649" s="26">
        <f>IF(Q649="","",IF(COUNTIFS($E$5:$E$3004,E649,$A$5:$A$3004,"&gt;"&amp;A649,$H$5:$H$3004,"&lt;&gt;Falta",$H$5:$H$3004,"&lt;&gt;Cancelado",$H$5:$H$3004,"&lt;&gt;Remarcado")&gt;0,"Sim","Não"))</f>
        <v/>
      </c>
      <c r="S649" s="32">
        <f>IF(R649&lt;&gt;"Não","",IF(Q649+Config!$B$9&lt;=Config!$B$8,Config!$B$8-Q649,""))</f>
        <v/>
      </c>
      <c r="T649" s="26">
        <f>IF(S649="","","Sim")</f>
        <v/>
      </c>
      <c r="U649" s="41">
        <f>IF(T649="Sim",S649+ROW()/100000,0)</f>
        <v>0</v>
      </c>
      <c r="V649" s="41">
        <f>IF(AND(H649="Falta",L649=Config!$B$7,M649=Config!$B$5,COUNTIFS($E$5:E649,E649,$H$5:H649,"Falta",$L$5:L649,Config!$B$7,$M$5:M649,Config!$B$5)=1),COUNTIFS($E$5:$E$3004,E649,$H$5:$H$3004,"Falta",$L$5:$L$3004,Config!$B$7,$M$5:$M$3004,Config!$B$5)*1000-ROW()/100000,0)</f>
        <v>0</v>
      </c>
    </row>
    <row r="650">
      <c r="A650" s="39" t="n">
        <v>46238</v>
      </c>
      <c r="B650" s="40" t="n">
        <v>0.7291666666666666</v>
      </c>
      <c r="C650" s="35" t="inlineStr">
        <is>
          <t>Dra. Renata Sousa</t>
        </is>
      </c>
      <c r="D650" s="35" t="inlineStr">
        <is>
          <t>Sala 1</t>
        </is>
      </c>
      <c r="E650" s="34" t="inlineStr">
        <is>
          <t>Cláudia Vieira</t>
        </is>
      </c>
      <c r="F650" s="35" t="inlineStr">
        <is>
          <t>Saúde Total</t>
        </is>
      </c>
      <c r="G650" s="35" t="inlineStr">
        <is>
          <t>Retorno</t>
        </is>
      </c>
      <c r="H650" s="35" t="inlineStr">
        <is>
          <t>Realizado</t>
        </is>
      </c>
      <c r="I650" s="35" t="inlineStr">
        <is>
          <t>Sem cobrança</t>
        </is>
      </c>
      <c r="J650" s="35" t="n"/>
      <c r="K650" s="34" t="n"/>
      <c r="L650" s="26">
        <f>IF(A650="","",MONTH(A650))</f>
        <v>8</v>
      </c>
      <c r="M650" s="26">
        <f>IF(A650="","",YEAR(A650))</f>
        <v>2026</v>
      </c>
      <c r="N650" s="26" t="str">
        <f>IF(A650="","",CHOOSE(WEEKDAY(A650,2),"Segunda","Terça","Quarta","Quinta","Sexta","Sábado","Domingo"))</f>
        <v>Terça</v>
      </c>
      <c r="O650" s="26" t="str">
        <f>IF(B650="","",IF(B650&lt;TIME(12,0,0),"Manhã",IF(B650&lt;TIME(18,0,0),"Tarde","Noite")))</f>
        <v>Tarde</v>
      </c>
      <c r="P650" s="32">
        <f>IF(G650="","",IFERROR(INDEX(Config!$I$5:$I$16,MATCH(G650,Config!$H$5:$H$16,0)),0))</f>
        <v>0</v>
      </c>
      <c r="Q650" s="30">
        <f>IF(OR(H650&lt;&gt;"Realizado",P650="",P650=0),"",A650+P650)</f>
        <v/>
      </c>
      <c r="R650" s="26">
        <f>IF(Q650="","",IF(COUNTIFS($E$5:$E$3004,E650,$A$5:$A$3004,"&gt;"&amp;A650,$H$5:$H$3004,"&lt;&gt;Falta",$H$5:$H$3004,"&lt;&gt;Cancelado",$H$5:$H$3004,"&lt;&gt;Remarcado")&gt;0,"Sim","Não"))</f>
        <v/>
      </c>
      <c r="S650" s="32">
        <f>IF(R650&lt;&gt;"Não","",IF(Q650+Config!$B$9&lt;=Config!$B$8,Config!$B$8-Q650,""))</f>
        <v/>
      </c>
      <c r="T650" s="26">
        <f>IF(S650="","","Sim")</f>
        <v/>
      </c>
      <c r="U650" s="41">
        <f>IF(T650="Sim",S650+ROW()/100000,0)</f>
        <v>0</v>
      </c>
      <c r="V650" s="41">
        <f>IF(AND(H650="Falta",L650=Config!$B$7,M650=Config!$B$5,COUNTIFS($E$5:E650,E650,$H$5:H650,"Falta",$L$5:L650,Config!$B$7,$M$5:M650,Config!$B$5)=1),COUNTIFS($E$5:$E$3004,E650,$H$5:$H$3004,"Falta",$L$5:$L$3004,Config!$B$7,$M$5:$M$3004,Config!$B$5)*1000-ROW()/100000,0)</f>
        <v>0</v>
      </c>
    </row>
    <row r="651">
      <c r="A651" s="39" t="n">
        <v>46239</v>
      </c>
      <c r="B651" s="40" t="n">
        <v>0.5833333333333334</v>
      </c>
      <c r="C651" s="35" t="inlineStr">
        <is>
          <t>Dra. Carolina Mendes</t>
        </is>
      </c>
      <c r="D651" s="35" t="inlineStr">
        <is>
          <t>Sala 1</t>
        </is>
      </c>
      <c r="E651" s="34" t="inlineStr">
        <is>
          <t>Regina Duarte</t>
        </is>
      </c>
      <c r="F651" s="35" t="inlineStr">
        <is>
          <t>Particular</t>
        </is>
      </c>
      <c r="G651" s="35" t="inlineStr">
        <is>
          <t>Consulta</t>
        </is>
      </c>
      <c r="H651" s="35" t="inlineStr">
        <is>
          <t>Realizado</t>
        </is>
      </c>
      <c r="I651" s="35" t="inlineStr">
        <is>
          <t>Cartão de crédito</t>
        </is>
      </c>
      <c r="J651" s="35" t="n">
        <v>2</v>
      </c>
      <c r="K651" s="34" t="n"/>
      <c r="L651" s="26">
        <f>IF(A651="","",MONTH(A651))</f>
        <v>8</v>
      </c>
      <c r="M651" s="26">
        <f>IF(A651="","",YEAR(A651))</f>
        <v>2026</v>
      </c>
      <c r="N651" s="26" t="str">
        <f>IF(A651="","",CHOOSE(WEEKDAY(A651,2),"Segunda","Terça","Quarta","Quinta","Sexta","Sábado","Domingo"))</f>
        <v>Quarta</v>
      </c>
      <c r="O651" s="26" t="str">
        <f>IF(B651="","",IF(B651&lt;TIME(12,0,0),"Manhã",IF(B651&lt;TIME(18,0,0),"Tarde","Noite")))</f>
        <v>Tarde</v>
      </c>
      <c r="P651" s="32">
        <f>IF(G651="","",IFERROR(INDEX(Config!$I$5:$I$16,MATCH(G651,Config!$H$5:$H$16,0)),0))</f>
        <v>30</v>
      </c>
      <c r="Q651" s="30">
        <f>IF(OR(H651&lt;&gt;"Realizado",P651="",P651=0),"",A651+P651)</f>
        <v>46269.0</v>
      </c>
      <c r="R651" s="26" t="str">
        <f>IF(Q651="","",IF(COUNTIFS($E$5:$E$3004,E651,$A$5:$A$3004,"&gt;"&amp;A651,$H$5:$H$3004,"&lt;&gt;Falta",$H$5:$H$3004,"&lt;&gt;Cancelado",$H$5:$H$3004,"&lt;&gt;Remarcado")&gt;0,"Sim","Não"))</f>
        <v>Sim</v>
      </c>
      <c r="S651" s="32">
        <f>IF(R651&lt;&gt;"Não","",IF(Q651+Config!$B$9&lt;=Config!$B$8,Config!$B$8-Q651,""))</f>
        <v/>
      </c>
      <c r="T651" s="26">
        <f>IF(S651="","","Sim")</f>
        <v/>
      </c>
      <c r="U651" s="41">
        <f>IF(T651="Sim",S651+ROW()/100000,0)</f>
        <v>0</v>
      </c>
      <c r="V651" s="41">
        <f>IF(AND(H651="Falta",L651=Config!$B$7,M651=Config!$B$5,COUNTIFS($E$5:E651,E651,$H$5:H651,"Falta",$L$5:L651,Config!$B$7,$M$5:M651,Config!$B$5)=1),COUNTIFS($E$5:$E$3004,E651,$H$5:$H$3004,"Falta",$L$5:$L$3004,Config!$B$7,$M$5:$M$3004,Config!$B$5)*1000-ROW()/100000,0)</f>
        <v>0</v>
      </c>
    </row>
    <row r="652">
      <c r="A652" s="39" t="n">
        <v>46239</v>
      </c>
      <c r="B652" s="40" t="n">
        <v>0.6458333333333334</v>
      </c>
      <c r="C652" s="35" t="inlineStr">
        <is>
          <t>Dra. Carolina Mendes</t>
        </is>
      </c>
      <c r="D652" s="35" t="inlineStr">
        <is>
          <t>Sala 1</t>
        </is>
      </c>
      <c r="E652" s="34" t="inlineStr">
        <is>
          <t>Marcelo Santos</t>
        </is>
      </c>
      <c r="F652" s="35" t="inlineStr">
        <is>
          <t>Particular</t>
        </is>
      </c>
      <c r="G652" s="35" t="inlineStr">
        <is>
          <t>Consulta</t>
        </is>
      </c>
      <c r="H652" s="35" t="inlineStr">
        <is>
          <t>Realizado</t>
        </is>
      </c>
      <c r="I652" s="35" t="inlineStr">
        <is>
          <t>Pix</t>
        </is>
      </c>
      <c r="J652" s="35" t="n"/>
      <c r="K652" s="34" t="n"/>
      <c r="L652" s="26">
        <f>IF(A652="","",MONTH(A652))</f>
        <v>8</v>
      </c>
      <c r="M652" s="26">
        <f>IF(A652="","",YEAR(A652))</f>
        <v>2026</v>
      </c>
      <c r="N652" s="26" t="str">
        <f>IF(A652="","",CHOOSE(WEEKDAY(A652,2),"Segunda","Terça","Quarta","Quinta","Sexta","Sábado","Domingo"))</f>
        <v>Quarta</v>
      </c>
      <c r="O652" s="26" t="str">
        <f>IF(B652="","",IF(B652&lt;TIME(12,0,0),"Manhã",IF(B652&lt;TIME(18,0,0),"Tarde","Noite")))</f>
        <v>Tarde</v>
      </c>
      <c r="P652" s="32">
        <f>IF(G652="","",IFERROR(INDEX(Config!$I$5:$I$16,MATCH(G652,Config!$H$5:$H$16,0)),0))</f>
        <v>30</v>
      </c>
      <c r="Q652" s="30">
        <f>IF(OR(H652&lt;&gt;"Realizado",P652="",P652=0),"",A652+P652)</f>
        <v>46269.0</v>
      </c>
      <c r="R652" s="26" t="str">
        <f>IF(Q652="","",IF(COUNTIFS($E$5:$E$3004,E652,$A$5:$A$3004,"&gt;"&amp;A652,$H$5:$H$3004,"&lt;&gt;Falta",$H$5:$H$3004,"&lt;&gt;Cancelado",$H$5:$H$3004,"&lt;&gt;Remarcado")&gt;0,"Sim","Não"))</f>
        <v>Sim</v>
      </c>
      <c r="S652" s="32">
        <f>IF(R652&lt;&gt;"Não","",IF(Q652+Config!$B$9&lt;=Config!$B$8,Config!$B$8-Q652,""))</f>
        <v/>
      </c>
      <c r="T652" s="26">
        <f>IF(S652="","","Sim")</f>
        <v/>
      </c>
      <c r="U652" s="41">
        <f>IF(T652="Sim",S652+ROW()/100000,0)</f>
        <v>0</v>
      </c>
      <c r="V652" s="41">
        <f>IF(AND(H652="Falta",L652=Config!$B$7,M652=Config!$B$5,COUNTIFS($E$5:E652,E652,$H$5:H652,"Falta",$L$5:L652,Config!$B$7,$M$5:M652,Config!$B$5)=1),COUNTIFS($E$5:$E$3004,E652,$H$5:$H$3004,"Falta",$L$5:$L$3004,Config!$B$7,$M$5:$M$3004,Config!$B$5)*1000-ROW()/100000,0)</f>
        <v>0</v>
      </c>
    </row>
    <row r="653">
      <c r="A653" s="39" t="n">
        <v>46239</v>
      </c>
      <c r="B653" s="40" t="n">
        <v>0.6666666666666666</v>
      </c>
      <c r="C653" s="35" t="inlineStr">
        <is>
          <t>Dra. Carolina Mendes</t>
        </is>
      </c>
      <c r="D653" s="35" t="inlineStr">
        <is>
          <t>Sala 1</t>
        </is>
      </c>
      <c r="E653" s="34" t="inlineStr">
        <is>
          <t>Eduardo Nunes</t>
        </is>
      </c>
      <c r="F653" s="35" t="inlineStr">
        <is>
          <t>MediPlan</t>
        </is>
      </c>
      <c r="G653" s="35" t="inlineStr">
        <is>
          <t>Consulta</t>
        </is>
      </c>
      <c r="H653" s="35" t="inlineStr">
        <is>
          <t>Realizado</t>
        </is>
      </c>
      <c r="I653" s="35" t="inlineStr">
        <is>
          <t>Convênio</t>
        </is>
      </c>
      <c r="J653" s="35" t="n"/>
      <c r="K653" s="34" t="n"/>
      <c r="L653" s="26">
        <f>IF(A653="","",MONTH(A653))</f>
        <v>8</v>
      </c>
      <c r="M653" s="26">
        <f>IF(A653="","",YEAR(A653))</f>
        <v>2026</v>
      </c>
      <c r="N653" s="26" t="str">
        <f>IF(A653="","",CHOOSE(WEEKDAY(A653,2),"Segunda","Terça","Quarta","Quinta","Sexta","Sábado","Domingo"))</f>
        <v>Quarta</v>
      </c>
      <c r="O653" s="26" t="str">
        <f>IF(B653="","",IF(B653&lt;TIME(12,0,0),"Manhã",IF(B653&lt;TIME(18,0,0),"Tarde","Noite")))</f>
        <v>Tarde</v>
      </c>
      <c r="P653" s="32">
        <f>IF(G653="","",IFERROR(INDEX(Config!$I$5:$I$16,MATCH(G653,Config!$H$5:$H$16,0)),0))</f>
        <v>30</v>
      </c>
      <c r="Q653" s="30">
        <f>IF(OR(H653&lt;&gt;"Realizado",P653="",P653=0),"",A653+P653)</f>
        <v>46269.0</v>
      </c>
      <c r="R653" s="26" t="str">
        <f>IF(Q653="","",IF(COUNTIFS($E$5:$E$3004,E653,$A$5:$A$3004,"&gt;"&amp;A653,$H$5:$H$3004,"&lt;&gt;Falta",$H$5:$H$3004,"&lt;&gt;Cancelado",$H$5:$H$3004,"&lt;&gt;Remarcado")&gt;0,"Sim","Não"))</f>
        <v>Sim</v>
      </c>
      <c r="S653" s="32">
        <f>IF(R653&lt;&gt;"Não","",IF(Q653+Config!$B$9&lt;=Config!$B$8,Config!$B$8-Q653,""))</f>
        <v/>
      </c>
      <c r="T653" s="26">
        <f>IF(S653="","","Sim")</f>
        <v/>
      </c>
      <c r="U653" s="41">
        <f>IF(T653="Sim",S653+ROW()/100000,0)</f>
        <v>0</v>
      </c>
      <c r="V653" s="41">
        <f>IF(AND(H653="Falta",L653=Config!$B$7,M653=Config!$B$5,COUNTIFS($E$5:E653,E653,$H$5:H653,"Falta",$L$5:L653,Config!$B$7,$M$5:M653,Config!$B$5)=1),COUNTIFS($E$5:$E$3004,E653,$H$5:$H$3004,"Falta",$L$5:$L$3004,Config!$B$7,$M$5:$M$3004,Config!$B$5)*1000-ROW()/100000,0)</f>
        <v>0</v>
      </c>
    </row>
    <row r="654">
      <c r="A654" s="39" t="n">
        <v>46239</v>
      </c>
      <c r="B654" s="40" t="n">
        <v>0.7083333333333334</v>
      </c>
      <c r="C654" s="35" t="inlineStr">
        <is>
          <t>Dra. Carolina Mendes</t>
        </is>
      </c>
      <c r="D654" s="35" t="inlineStr">
        <is>
          <t>Sala 1</t>
        </is>
      </c>
      <c r="E654" s="34" t="inlineStr">
        <is>
          <t>Mônica Martins</t>
        </is>
      </c>
      <c r="F654" s="35" t="inlineStr">
        <is>
          <t>Particular</t>
        </is>
      </c>
      <c r="G654" s="35" t="inlineStr">
        <is>
          <t>Retorno</t>
        </is>
      </c>
      <c r="H654" s="35" t="inlineStr">
        <is>
          <t>Realizado</t>
        </is>
      </c>
      <c r="I654" s="35" t="inlineStr">
        <is>
          <t>Sem cobrança</t>
        </is>
      </c>
      <c r="J654" s="35" t="n"/>
      <c r="K654" s="34" t="n"/>
      <c r="L654" s="26">
        <f>IF(A654="","",MONTH(A654))</f>
        <v>8</v>
      </c>
      <c r="M654" s="26">
        <f>IF(A654="","",YEAR(A654))</f>
        <v>2026</v>
      </c>
      <c r="N654" s="26" t="str">
        <f>IF(A654="","",CHOOSE(WEEKDAY(A654,2),"Segunda","Terça","Quarta","Quinta","Sexta","Sábado","Domingo"))</f>
        <v>Quarta</v>
      </c>
      <c r="O654" s="26" t="str">
        <f>IF(B654="","",IF(B654&lt;TIME(12,0,0),"Manhã",IF(B654&lt;TIME(18,0,0),"Tarde","Noite")))</f>
        <v>Tarde</v>
      </c>
      <c r="P654" s="32">
        <f>IF(G654="","",IFERROR(INDEX(Config!$I$5:$I$16,MATCH(G654,Config!$H$5:$H$16,0)),0))</f>
        <v>0</v>
      </c>
      <c r="Q654" s="30">
        <f>IF(OR(H654&lt;&gt;"Realizado",P654="",P654=0),"",A654+P654)</f>
        <v/>
      </c>
      <c r="R654" s="26">
        <f>IF(Q654="","",IF(COUNTIFS($E$5:$E$3004,E654,$A$5:$A$3004,"&gt;"&amp;A654,$H$5:$H$3004,"&lt;&gt;Falta",$H$5:$H$3004,"&lt;&gt;Cancelado",$H$5:$H$3004,"&lt;&gt;Remarcado")&gt;0,"Sim","Não"))</f>
        <v/>
      </c>
      <c r="S654" s="32">
        <f>IF(R654&lt;&gt;"Não","",IF(Q654+Config!$B$9&lt;=Config!$B$8,Config!$B$8-Q654,""))</f>
        <v/>
      </c>
      <c r="T654" s="26">
        <f>IF(S654="","","Sim")</f>
        <v/>
      </c>
      <c r="U654" s="41">
        <f>IF(T654="Sim",S654+ROW()/100000,0)</f>
        <v>0</v>
      </c>
      <c r="V654" s="41">
        <f>IF(AND(H654="Falta",L654=Config!$B$7,M654=Config!$B$5,COUNTIFS($E$5:E654,E654,$H$5:H654,"Falta",$L$5:L654,Config!$B$7,$M$5:M654,Config!$B$5)=1),COUNTIFS($E$5:$E$3004,E654,$H$5:$H$3004,"Falta",$L$5:$L$3004,Config!$B$7,$M$5:$M$3004,Config!$B$5)*1000-ROW()/100000,0)</f>
        <v>0</v>
      </c>
    </row>
    <row r="655">
      <c r="A655" s="39" t="n">
        <v>46239</v>
      </c>
      <c r="B655" s="40" t="n">
        <v>0.7222222222222222</v>
      </c>
      <c r="C655" s="35" t="inlineStr">
        <is>
          <t>Dra. Carolina Mendes</t>
        </is>
      </c>
      <c r="D655" s="35" t="inlineStr">
        <is>
          <t>Sala 1</t>
        </is>
      </c>
      <c r="E655" s="34" t="inlineStr">
        <is>
          <t>Rodrigo Moreira</t>
        </is>
      </c>
      <c r="F655" s="35" t="inlineStr">
        <is>
          <t>Particular</t>
        </is>
      </c>
      <c r="G655" s="35" t="inlineStr">
        <is>
          <t>Consulta</t>
        </is>
      </c>
      <c r="H655" s="35" t="inlineStr">
        <is>
          <t>Realizado</t>
        </is>
      </c>
      <c r="I655" s="35" t="inlineStr">
        <is>
          <t>Cartão de débito</t>
        </is>
      </c>
      <c r="J655" s="35" t="n"/>
      <c r="K655" s="34" t="n"/>
      <c r="L655" s="26">
        <f>IF(A655="","",MONTH(A655))</f>
        <v>8</v>
      </c>
      <c r="M655" s="26">
        <f>IF(A655="","",YEAR(A655))</f>
        <v>2026</v>
      </c>
      <c r="N655" s="26" t="str">
        <f>IF(A655="","",CHOOSE(WEEKDAY(A655,2),"Segunda","Terça","Quarta","Quinta","Sexta","Sábado","Domingo"))</f>
        <v>Quarta</v>
      </c>
      <c r="O655" s="26" t="str">
        <f>IF(B655="","",IF(B655&lt;TIME(12,0,0),"Manhã",IF(B655&lt;TIME(18,0,0),"Tarde","Noite")))</f>
        <v>Tarde</v>
      </c>
      <c r="P655" s="32">
        <f>IF(G655="","",IFERROR(INDEX(Config!$I$5:$I$16,MATCH(G655,Config!$H$5:$H$16,0)),0))</f>
        <v>30</v>
      </c>
      <c r="Q655" s="30">
        <f>IF(OR(H655&lt;&gt;"Realizado",P655="",P655=0),"",A655+P655)</f>
        <v>46269.0</v>
      </c>
      <c r="R655" s="26" t="str">
        <f>IF(Q655="","",IF(COUNTIFS($E$5:$E$3004,E655,$A$5:$A$3004,"&gt;"&amp;A655,$H$5:$H$3004,"&lt;&gt;Falta",$H$5:$H$3004,"&lt;&gt;Cancelado",$H$5:$H$3004,"&lt;&gt;Remarcado")&gt;0,"Sim","Não"))</f>
        <v>Sim</v>
      </c>
      <c r="S655" s="32">
        <f>IF(R655&lt;&gt;"Não","",IF(Q655+Config!$B$9&lt;=Config!$B$8,Config!$B$8-Q655,""))</f>
        <v/>
      </c>
      <c r="T655" s="26">
        <f>IF(S655="","","Sim")</f>
        <v/>
      </c>
      <c r="U655" s="41">
        <f>IF(T655="Sim",S655+ROW()/100000,0)</f>
        <v>0</v>
      </c>
      <c r="V655" s="41">
        <f>IF(AND(H655="Falta",L655=Config!$B$7,M655=Config!$B$5,COUNTIFS($E$5:E655,E655,$H$5:H655,"Falta",$L$5:L655,Config!$B$7,$M$5:M655,Config!$B$5)=1),COUNTIFS($E$5:$E$3004,E655,$H$5:$H$3004,"Falta",$L$5:$L$3004,Config!$B$7,$M$5:$M$3004,Config!$B$5)*1000-ROW()/100000,0)</f>
        <v>0</v>
      </c>
    </row>
    <row r="656">
      <c r="A656" s="39" t="n">
        <v>46240</v>
      </c>
      <c r="B656" s="40" t="n">
        <v>0.3333333333333333</v>
      </c>
      <c r="C656" s="35" t="inlineStr">
        <is>
          <t>Dra. Carolina Mendes</t>
        </is>
      </c>
      <c r="D656" s="35" t="inlineStr">
        <is>
          <t>Sala 1</t>
        </is>
      </c>
      <c r="E656" s="34" t="inlineStr">
        <is>
          <t>Camila Batista</t>
        </is>
      </c>
      <c r="F656" s="35" t="inlineStr">
        <is>
          <t>MediPlan</t>
        </is>
      </c>
      <c r="G656" s="35" t="inlineStr">
        <is>
          <t>Consulta</t>
        </is>
      </c>
      <c r="H656" s="35" t="inlineStr">
        <is>
          <t>Realizado</t>
        </is>
      </c>
      <c r="I656" s="35" t="inlineStr">
        <is>
          <t>Convênio</t>
        </is>
      </c>
      <c r="J656" s="35" t="n"/>
      <c r="K656" s="34" t="n"/>
      <c r="L656" s="26">
        <f>IF(A656="","",MONTH(A656))</f>
        <v>8</v>
      </c>
      <c r="M656" s="26">
        <f>IF(A656="","",YEAR(A656))</f>
        <v>2026</v>
      </c>
      <c r="N656" s="26" t="str">
        <f>IF(A656="","",CHOOSE(WEEKDAY(A656,2),"Segunda","Terça","Quarta","Quinta","Sexta","Sábado","Domingo"))</f>
        <v>Quinta</v>
      </c>
      <c r="O656" s="26" t="str">
        <f>IF(B656="","",IF(B656&lt;TIME(12,0,0),"Manhã",IF(B656&lt;TIME(18,0,0),"Tarde","Noite")))</f>
        <v>Manhã</v>
      </c>
      <c r="P656" s="32">
        <f>IF(G656="","",IFERROR(INDEX(Config!$I$5:$I$16,MATCH(G656,Config!$H$5:$H$16,0)),0))</f>
        <v>30</v>
      </c>
      <c r="Q656" s="30">
        <f>IF(OR(H656&lt;&gt;"Realizado",P656="",P656=0),"",A656+P656)</f>
        <v>46270.0</v>
      </c>
      <c r="R656" s="26" t="str">
        <f>IF(Q656="","",IF(COUNTIFS($E$5:$E$3004,E656,$A$5:$A$3004,"&gt;"&amp;A656,$H$5:$H$3004,"&lt;&gt;Falta",$H$5:$H$3004,"&lt;&gt;Cancelado",$H$5:$H$3004,"&lt;&gt;Remarcado")&gt;0,"Sim","Não"))</f>
        <v>Sim</v>
      </c>
      <c r="S656" s="32">
        <f>IF(R656&lt;&gt;"Não","",IF(Q656+Config!$B$9&lt;=Config!$B$8,Config!$B$8-Q656,""))</f>
        <v/>
      </c>
      <c r="T656" s="26">
        <f>IF(S656="","","Sim")</f>
        <v/>
      </c>
      <c r="U656" s="41">
        <f>IF(T656="Sim",S656+ROW()/100000,0)</f>
        <v>0</v>
      </c>
      <c r="V656" s="41">
        <f>IF(AND(H656="Falta",L656=Config!$B$7,M656=Config!$B$5,COUNTIFS($E$5:E656,E656,$H$5:H656,"Falta",$L$5:L656,Config!$B$7,$M$5:M656,Config!$B$5)=1),COUNTIFS($E$5:$E$3004,E656,$H$5:$H$3004,"Falta",$L$5:$L$3004,Config!$B$7,$M$5:$M$3004,Config!$B$5)*1000-ROW()/100000,0)</f>
        <v>0</v>
      </c>
    </row>
    <row r="657">
      <c r="A657" s="39" t="n">
        <v>46240</v>
      </c>
      <c r="B657" s="40" t="n">
        <v>0.375</v>
      </c>
      <c r="C657" s="35" t="inlineStr">
        <is>
          <t>Dra. Carolina Mendes</t>
        </is>
      </c>
      <c r="D657" s="35" t="inlineStr">
        <is>
          <t>Sala 1</t>
        </is>
      </c>
      <c r="E657" s="34" t="inlineStr">
        <is>
          <t>Elaine Cardoso</t>
        </is>
      </c>
      <c r="F657" s="35" t="inlineStr">
        <is>
          <t>Particular</t>
        </is>
      </c>
      <c r="G657" s="35" t="inlineStr">
        <is>
          <t>Consulta</t>
        </is>
      </c>
      <c r="H657" s="35" t="inlineStr">
        <is>
          <t>Realizado</t>
        </is>
      </c>
      <c r="I657" s="35" t="inlineStr">
        <is>
          <t>Cartão de crédito</t>
        </is>
      </c>
      <c r="J657" s="35" t="n">
        <v>2</v>
      </c>
      <c r="K657" s="34" t="n"/>
      <c r="L657" s="26">
        <f>IF(A657="","",MONTH(A657))</f>
        <v>8</v>
      </c>
      <c r="M657" s="26">
        <f>IF(A657="","",YEAR(A657))</f>
        <v>2026</v>
      </c>
      <c r="N657" s="26" t="str">
        <f>IF(A657="","",CHOOSE(WEEKDAY(A657,2),"Segunda","Terça","Quarta","Quinta","Sexta","Sábado","Domingo"))</f>
        <v>Quinta</v>
      </c>
      <c r="O657" s="26" t="str">
        <f>IF(B657="","",IF(B657&lt;TIME(12,0,0),"Manhã",IF(B657&lt;TIME(18,0,0),"Tarde","Noite")))</f>
        <v>Manhã</v>
      </c>
      <c r="P657" s="32">
        <f>IF(G657="","",IFERROR(INDEX(Config!$I$5:$I$16,MATCH(G657,Config!$H$5:$H$16,0)),0))</f>
        <v>30</v>
      </c>
      <c r="Q657" s="30">
        <f>IF(OR(H657&lt;&gt;"Realizado",P657="",P657=0),"",A657+P657)</f>
        <v>46270.0</v>
      </c>
      <c r="R657" s="26" t="str">
        <f>IF(Q657="","",IF(COUNTIFS($E$5:$E$3004,E657,$A$5:$A$3004,"&gt;"&amp;A657,$H$5:$H$3004,"&lt;&gt;Falta",$H$5:$H$3004,"&lt;&gt;Cancelado",$H$5:$H$3004,"&lt;&gt;Remarcado")&gt;0,"Sim","Não"))</f>
        <v>Sim</v>
      </c>
      <c r="S657" s="32">
        <f>IF(R657&lt;&gt;"Não","",IF(Q657+Config!$B$9&lt;=Config!$B$8,Config!$B$8-Q657,""))</f>
        <v/>
      </c>
      <c r="T657" s="26">
        <f>IF(S657="","","Sim")</f>
        <v/>
      </c>
      <c r="U657" s="41">
        <f>IF(T657="Sim",S657+ROW()/100000,0)</f>
        <v>0</v>
      </c>
      <c r="V657" s="41">
        <f>IF(AND(H657="Falta",L657=Config!$B$7,M657=Config!$B$5,COUNTIFS($E$5:E657,E657,$H$5:H657,"Falta",$L$5:L657,Config!$B$7,$M$5:M657,Config!$B$5)=1),COUNTIFS($E$5:$E$3004,E657,$H$5:$H$3004,"Falta",$L$5:$L$3004,Config!$B$7,$M$5:$M$3004,Config!$B$5)*1000-ROW()/100000,0)</f>
        <v>0</v>
      </c>
    </row>
    <row r="658">
      <c r="A658" s="39" t="n">
        <v>46240</v>
      </c>
      <c r="B658" s="40" t="n">
        <v>0.3958333333333333</v>
      </c>
      <c r="C658" s="35" t="inlineStr">
        <is>
          <t>Dra. Carolina Mendes</t>
        </is>
      </c>
      <c r="D658" s="35" t="inlineStr">
        <is>
          <t>Sala 1</t>
        </is>
      </c>
      <c r="E658" s="34" t="inlineStr">
        <is>
          <t>Isabela Pinto</t>
        </is>
      </c>
      <c r="F658" s="35" t="inlineStr">
        <is>
          <t>Saúde Total</t>
        </is>
      </c>
      <c r="G658" s="35" t="inlineStr">
        <is>
          <t>Consulta</t>
        </is>
      </c>
      <c r="H658" s="35" t="inlineStr">
        <is>
          <t>Realizado</t>
        </is>
      </c>
      <c r="I658" s="35" t="inlineStr">
        <is>
          <t>Convênio</t>
        </is>
      </c>
      <c r="J658" s="35" t="n"/>
      <c r="K658" s="34" t="n"/>
      <c r="L658" s="26">
        <f>IF(A658="","",MONTH(A658))</f>
        <v>8</v>
      </c>
      <c r="M658" s="26">
        <f>IF(A658="","",YEAR(A658))</f>
        <v>2026</v>
      </c>
      <c r="N658" s="26" t="str">
        <f>IF(A658="","",CHOOSE(WEEKDAY(A658,2),"Segunda","Terça","Quarta","Quinta","Sexta","Sábado","Domingo"))</f>
        <v>Quinta</v>
      </c>
      <c r="O658" s="26" t="str">
        <f>IF(B658="","",IF(B658&lt;TIME(12,0,0),"Manhã",IF(B658&lt;TIME(18,0,0),"Tarde","Noite")))</f>
        <v>Manhã</v>
      </c>
      <c r="P658" s="32">
        <f>IF(G658="","",IFERROR(INDEX(Config!$I$5:$I$16,MATCH(G658,Config!$H$5:$H$16,0)),0))</f>
        <v>30</v>
      </c>
      <c r="Q658" s="30">
        <f>IF(OR(H658&lt;&gt;"Realizado",P658="",P658=0),"",A658+P658)</f>
        <v>46270.0</v>
      </c>
      <c r="R658" s="26" t="str">
        <f>IF(Q658="","",IF(COUNTIFS($E$5:$E$3004,E658,$A$5:$A$3004,"&gt;"&amp;A658,$H$5:$H$3004,"&lt;&gt;Falta",$H$5:$H$3004,"&lt;&gt;Cancelado",$H$5:$H$3004,"&lt;&gt;Remarcado")&gt;0,"Sim","Não"))</f>
        <v>Sim</v>
      </c>
      <c r="S658" s="32">
        <f>IF(R658&lt;&gt;"Não","",IF(Q658+Config!$B$9&lt;=Config!$B$8,Config!$B$8-Q658,""))</f>
        <v/>
      </c>
      <c r="T658" s="26">
        <f>IF(S658="","","Sim")</f>
        <v/>
      </c>
      <c r="U658" s="41">
        <f>IF(T658="Sim",S658+ROW()/100000,0)</f>
        <v>0</v>
      </c>
      <c r="V658" s="41">
        <f>IF(AND(H658="Falta",L658=Config!$B$7,M658=Config!$B$5,COUNTIFS($E$5:E658,E658,$H$5:H658,"Falta",$L$5:L658,Config!$B$7,$M$5:M658,Config!$B$5)=1),COUNTIFS($E$5:$E$3004,E658,$H$5:$H$3004,"Falta",$L$5:$L$3004,Config!$B$7,$M$5:$M$3004,Config!$B$5)*1000-ROW()/100000,0)</f>
        <v>0</v>
      </c>
    </row>
    <row r="659">
      <c r="A659" s="39" t="n">
        <v>46240</v>
      </c>
      <c r="B659" s="40" t="n">
        <v>0.4375</v>
      </c>
      <c r="C659" s="35" t="inlineStr">
        <is>
          <t>Dra. Carolina Mendes</t>
        </is>
      </c>
      <c r="D659" s="35" t="inlineStr">
        <is>
          <t>Sala 1</t>
        </is>
      </c>
      <c r="E659" s="34" t="inlineStr">
        <is>
          <t>Daniel Almeida</t>
        </is>
      </c>
      <c r="F659" s="35" t="inlineStr">
        <is>
          <t>Saúde Total</t>
        </is>
      </c>
      <c r="G659" s="35" t="inlineStr">
        <is>
          <t>Consulta</t>
        </is>
      </c>
      <c r="H659" s="35" t="inlineStr">
        <is>
          <t>Realizado</t>
        </is>
      </c>
      <c r="I659" s="35" t="inlineStr">
        <is>
          <t>Convênio</t>
        </is>
      </c>
      <c r="J659" s="35" t="n"/>
      <c r="K659" s="34" t="n"/>
      <c r="L659" s="26">
        <f>IF(A659="","",MONTH(A659))</f>
        <v>8</v>
      </c>
      <c r="M659" s="26">
        <f>IF(A659="","",YEAR(A659))</f>
        <v>2026</v>
      </c>
      <c r="N659" s="26" t="str">
        <f>IF(A659="","",CHOOSE(WEEKDAY(A659,2),"Segunda","Terça","Quarta","Quinta","Sexta","Sábado","Domingo"))</f>
        <v>Quinta</v>
      </c>
      <c r="O659" s="26" t="str">
        <f>IF(B659="","",IF(B659&lt;TIME(12,0,0),"Manhã",IF(B659&lt;TIME(18,0,0),"Tarde","Noite")))</f>
        <v>Manhã</v>
      </c>
      <c r="P659" s="32">
        <f>IF(G659="","",IFERROR(INDEX(Config!$I$5:$I$16,MATCH(G659,Config!$H$5:$H$16,0)),0))</f>
        <v>30</v>
      </c>
      <c r="Q659" s="30">
        <f>IF(OR(H659&lt;&gt;"Realizado",P659="",P659=0),"",A659+P659)</f>
        <v>46270.0</v>
      </c>
      <c r="R659" s="26" t="str">
        <f>IF(Q659="","",IF(COUNTIFS($E$5:$E$3004,E659,$A$5:$A$3004,"&gt;"&amp;A659,$H$5:$H$3004,"&lt;&gt;Falta",$H$5:$H$3004,"&lt;&gt;Cancelado",$H$5:$H$3004,"&lt;&gt;Remarcado")&gt;0,"Sim","Não"))</f>
        <v>Sim</v>
      </c>
      <c r="S659" s="32">
        <f>IF(R659&lt;&gt;"Não","",IF(Q659+Config!$B$9&lt;=Config!$B$8,Config!$B$8-Q659,""))</f>
        <v/>
      </c>
      <c r="T659" s="26">
        <f>IF(S659="","","Sim")</f>
        <v/>
      </c>
      <c r="U659" s="41">
        <f>IF(T659="Sim",S659+ROW()/100000,0)</f>
        <v>0</v>
      </c>
      <c r="V659" s="41">
        <f>IF(AND(H659="Falta",L659=Config!$B$7,M659=Config!$B$5,COUNTIFS($E$5:E659,E659,$H$5:H659,"Falta",$L$5:L659,Config!$B$7,$M$5:M659,Config!$B$5)=1),COUNTIFS($E$5:$E$3004,E659,$H$5:$H$3004,"Falta",$L$5:$L$3004,Config!$B$7,$M$5:$M$3004,Config!$B$5)*1000-ROW()/100000,0)</f>
        <v>0</v>
      </c>
    </row>
    <row r="660">
      <c r="A660" s="39" t="n">
        <v>46240</v>
      </c>
      <c r="B660" s="40" t="n">
        <v>0.4583333333333333</v>
      </c>
      <c r="C660" s="35" t="inlineStr">
        <is>
          <t>Dra. Carolina Mendes</t>
        </is>
      </c>
      <c r="D660" s="35" t="inlineStr">
        <is>
          <t>Sala 1</t>
        </is>
      </c>
      <c r="E660" s="34" t="inlineStr">
        <is>
          <t>Patrícia Fernandes</t>
        </is>
      </c>
      <c r="F660" s="35" t="inlineStr">
        <is>
          <t>Particular</t>
        </is>
      </c>
      <c r="G660" s="35" t="inlineStr">
        <is>
          <t>Consulta</t>
        </is>
      </c>
      <c r="H660" s="35" t="inlineStr">
        <is>
          <t>Realizado</t>
        </is>
      </c>
      <c r="I660" s="35" t="inlineStr">
        <is>
          <t>Cartão de débito</t>
        </is>
      </c>
      <c r="J660" s="35" t="n"/>
      <c r="K660" s="34" t="n"/>
      <c r="L660" s="26">
        <f>IF(A660="","",MONTH(A660))</f>
        <v>8</v>
      </c>
      <c r="M660" s="26">
        <f>IF(A660="","",YEAR(A660))</f>
        <v>2026</v>
      </c>
      <c r="N660" s="26" t="str">
        <f>IF(A660="","",CHOOSE(WEEKDAY(A660,2),"Segunda","Terça","Quarta","Quinta","Sexta","Sábado","Domingo"))</f>
        <v>Quinta</v>
      </c>
      <c r="O660" s="26" t="str">
        <f>IF(B660="","",IF(B660&lt;TIME(12,0,0),"Manhã",IF(B660&lt;TIME(18,0,0),"Tarde","Noite")))</f>
        <v>Manhã</v>
      </c>
      <c r="P660" s="32">
        <f>IF(G660="","",IFERROR(INDEX(Config!$I$5:$I$16,MATCH(G660,Config!$H$5:$H$16,0)),0))</f>
        <v>30</v>
      </c>
      <c r="Q660" s="30">
        <f>IF(OR(H660&lt;&gt;"Realizado",P660="",P660=0),"",A660+P660)</f>
        <v>46270.0</v>
      </c>
      <c r="R660" s="26" t="str">
        <f>IF(Q660="","",IF(COUNTIFS($E$5:$E$3004,E660,$A$5:$A$3004,"&gt;"&amp;A660,$H$5:$H$3004,"&lt;&gt;Falta",$H$5:$H$3004,"&lt;&gt;Cancelado",$H$5:$H$3004,"&lt;&gt;Remarcado")&gt;0,"Sim","Não"))</f>
        <v>Sim</v>
      </c>
      <c r="S660" s="32">
        <f>IF(R660&lt;&gt;"Não","",IF(Q660+Config!$B$9&lt;=Config!$B$8,Config!$B$8-Q660,""))</f>
        <v/>
      </c>
      <c r="T660" s="26">
        <f>IF(S660="","","Sim")</f>
        <v/>
      </c>
      <c r="U660" s="41">
        <f>IF(T660="Sim",S660+ROW()/100000,0)</f>
        <v>0</v>
      </c>
      <c r="V660" s="41">
        <f>IF(AND(H660="Falta",L660=Config!$B$7,M660=Config!$B$5,COUNTIFS($E$5:E660,E660,$H$5:H660,"Falta",$L$5:L660,Config!$B$7,$M$5:M660,Config!$B$5)=1),COUNTIFS($E$5:$E$3004,E660,$H$5:$H$3004,"Falta",$L$5:$L$3004,Config!$B$7,$M$5:$M$3004,Config!$B$5)*1000-ROW()/100000,0)</f>
        <v>0</v>
      </c>
    </row>
    <row r="661">
      <c r="A661" s="39" t="n">
        <v>46240</v>
      </c>
      <c r="B661" s="40" t="n">
        <v>0.4791666666666667</v>
      </c>
      <c r="C661" s="35" t="inlineStr">
        <is>
          <t>Dra. Carolina Mendes</t>
        </is>
      </c>
      <c r="D661" s="35" t="inlineStr">
        <is>
          <t>Sala 1</t>
        </is>
      </c>
      <c r="E661" s="34" t="inlineStr">
        <is>
          <t>Otávio Cardoso</t>
        </is>
      </c>
      <c r="F661" s="35" t="inlineStr">
        <is>
          <t>Particular</t>
        </is>
      </c>
      <c r="G661" s="35" t="inlineStr">
        <is>
          <t>Retorno</t>
        </is>
      </c>
      <c r="H661" s="35" t="inlineStr">
        <is>
          <t>Realizado</t>
        </is>
      </c>
      <c r="I661" s="35" t="inlineStr">
        <is>
          <t>Sem cobrança</t>
        </is>
      </c>
      <c r="J661" s="35" t="n"/>
      <c r="K661" s="34" t="n"/>
      <c r="L661" s="26">
        <f>IF(A661="","",MONTH(A661))</f>
        <v>8</v>
      </c>
      <c r="M661" s="26">
        <f>IF(A661="","",YEAR(A661))</f>
        <v>2026</v>
      </c>
      <c r="N661" s="26" t="str">
        <f>IF(A661="","",CHOOSE(WEEKDAY(A661,2),"Segunda","Terça","Quarta","Quinta","Sexta","Sábado","Domingo"))</f>
        <v>Quinta</v>
      </c>
      <c r="O661" s="26" t="str">
        <f>IF(B661="","",IF(B661&lt;TIME(12,0,0),"Manhã",IF(B661&lt;TIME(18,0,0),"Tarde","Noite")))</f>
        <v>Manhã</v>
      </c>
      <c r="P661" s="32">
        <f>IF(G661="","",IFERROR(INDEX(Config!$I$5:$I$16,MATCH(G661,Config!$H$5:$H$16,0)),0))</f>
        <v>0</v>
      </c>
      <c r="Q661" s="30">
        <f>IF(OR(H661&lt;&gt;"Realizado",P661="",P661=0),"",A661+P661)</f>
        <v/>
      </c>
      <c r="R661" s="26">
        <f>IF(Q661="","",IF(COUNTIFS($E$5:$E$3004,E661,$A$5:$A$3004,"&gt;"&amp;A661,$H$5:$H$3004,"&lt;&gt;Falta",$H$5:$H$3004,"&lt;&gt;Cancelado",$H$5:$H$3004,"&lt;&gt;Remarcado")&gt;0,"Sim","Não"))</f>
        <v/>
      </c>
      <c r="S661" s="32">
        <f>IF(R661&lt;&gt;"Não","",IF(Q661+Config!$B$9&lt;=Config!$B$8,Config!$B$8-Q661,""))</f>
        <v/>
      </c>
      <c r="T661" s="26">
        <f>IF(S661="","","Sim")</f>
        <v/>
      </c>
      <c r="U661" s="41">
        <f>IF(T661="Sim",S661+ROW()/100000,0)</f>
        <v>0</v>
      </c>
      <c r="V661" s="41">
        <f>IF(AND(H661="Falta",L661=Config!$B$7,M661=Config!$B$5,COUNTIFS($E$5:E661,E661,$H$5:H661,"Falta",$L$5:L661,Config!$B$7,$M$5:M661,Config!$B$5)=1),COUNTIFS($E$5:$E$3004,E661,$H$5:$H$3004,"Falta",$L$5:$L$3004,Config!$B$7,$M$5:$M$3004,Config!$B$5)*1000-ROW()/100000,0)</f>
        <v>0</v>
      </c>
    </row>
    <row r="662">
      <c r="A662" s="39" t="n">
        <v>46240</v>
      </c>
      <c r="B662" s="40" t="n">
        <v>0.5833333333333334</v>
      </c>
      <c r="C662" s="35" t="inlineStr">
        <is>
          <t>Dra. Renata Sousa</t>
        </is>
      </c>
      <c r="D662" s="35" t="inlineStr">
        <is>
          <t>Sala 1</t>
        </is>
      </c>
      <c r="E662" s="34" t="inlineStr">
        <is>
          <t>Mariana Reis</t>
        </is>
      </c>
      <c r="F662" s="35" t="inlineStr">
        <is>
          <t>Particular</t>
        </is>
      </c>
      <c r="G662" s="35" t="inlineStr">
        <is>
          <t>Retorno</t>
        </is>
      </c>
      <c r="H662" s="35" t="inlineStr">
        <is>
          <t>Realizado</t>
        </is>
      </c>
      <c r="I662" s="35" t="inlineStr">
        <is>
          <t>Sem cobrança</t>
        </is>
      </c>
      <c r="J662" s="35" t="n"/>
      <c r="K662" s="34" t="n"/>
      <c r="L662" s="26">
        <f>IF(A662="","",MONTH(A662))</f>
        <v>8</v>
      </c>
      <c r="M662" s="26">
        <f>IF(A662="","",YEAR(A662))</f>
        <v>2026</v>
      </c>
      <c r="N662" s="26" t="str">
        <f>IF(A662="","",CHOOSE(WEEKDAY(A662,2),"Segunda","Terça","Quarta","Quinta","Sexta","Sábado","Domingo"))</f>
        <v>Quinta</v>
      </c>
      <c r="O662" s="26" t="str">
        <f>IF(B662="","",IF(B662&lt;TIME(12,0,0),"Manhã",IF(B662&lt;TIME(18,0,0),"Tarde","Noite")))</f>
        <v>Tarde</v>
      </c>
      <c r="P662" s="32">
        <f>IF(G662="","",IFERROR(INDEX(Config!$I$5:$I$16,MATCH(G662,Config!$H$5:$H$16,0)),0))</f>
        <v>0</v>
      </c>
      <c r="Q662" s="30">
        <f>IF(OR(H662&lt;&gt;"Realizado",P662="",P662=0),"",A662+P662)</f>
        <v/>
      </c>
      <c r="R662" s="26">
        <f>IF(Q662="","",IF(COUNTIFS($E$5:$E$3004,E662,$A$5:$A$3004,"&gt;"&amp;A662,$H$5:$H$3004,"&lt;&gt;Falta",$H$5:$H$3004,"&lt;&gt;Cancelado",$H$5:$H$3004,"&lt;&gt;Remarcado")&gt;0,"Sim","Não"))</f>
        <v/>
      </c>
      <c r="S662" s="32">
        <f>IF(R662&lt;&gt;"Não","",IF(Q662+Config!$B$9&lt;=Config!$B$8,Config!$B$8-Q662,""))</f>
        <v/>
      </c>
      <c r="T662" s="26">
        <f>IF(S662="","","Sim")</f>
        <v/>
      </c>
      <c r="U662" s="41">
        <f>IF(T662="Sim",S662+ROW()/100000,0)</f>
        <v>0</v>
      </c>
      <c r="V662" s="41">
        <f>IF(AND(H662="Falta",L662=Config!$B$7,M662=Config!$B$5,COUNTIFS($E$5:E662,E662,$H$5:H662,"Falta",$L$5:L662,Config!$B$7,$M$5:M662,Config!$B$5)=1),COUNTIFS($E$5:$E$3004,E662,$H$5:$H$3004,"Falta",$L$5:$L$3004,Config!$B$7,$M$5:$M$3004,Config!$B$5)*1000-ROW()/100000,0)</f>
        <v>0</v>
      </c>
    </row>
    <row r="663">
      <c r="A663" s="39" t="n">
        <v>46240</v>
      </c>
      <c r="B663" s="40" t="n">
        <v>0.5833333333333334</v>
      </c>
      <c r="C663" s="35" t="inlineStr">
        <is>
          <t>Dr. Paulo Andrade</t>
        </is>
      </c>
      <c r="D663" s="35" t="inlineStr">
        <is>
          <t>Sala 2</t>
        </is>
      </c>
      <c r="E663" s="34" t="inlineStr">
        <is>
          <t>Juliana Silva</t>
        </is>
      </c>
      <c r="F663" s="35" t="inlineStr">
        <is>
          <t>Vida Care</t>
        </is>
      </c>
      <c r="G663" s="35" t="inlineStr">
        <is>
          <t>Teste ergométrico</t>
        </is>
      </c>
      <c r="H663" s="35" t="inlineStr">
        <is>
          <t>Realizado</t>
        </is>
      </c>
      <c r="I663" s="35" t="inlineStr">
        <is>
          <t>Convênio</t>
        </is>
      </c>
      <c r="J663" s="35" t="n"/>
      <c r="K663" s="34" t="n"/>
      <c r="L663" s="26">
        <f>IF(A663="","",MONTH(A663))</f>
        <v>8</v>
      </c>
      <c r="M663" s="26">
        <f>IF(A663="","",YEAR(A663))</f>
        <v>2026</v>
      </c>
      <c r="N663" s="26" t="str">
        <f>IF(A663="","",CHOOSE(WEEKDAY(A663,2),"Segunda","Terça","Quarta","Quinta","Sexta","Sábado","Domingo"))</f>
        <v>Quinta</v>
      </c>
      <c r="O663" s="26" t="str">
        <f>IF(B663="","",IF(B663&lt;TIME(12,0,0),"Manhã",IF(B663&lt;TIME(18,0,0),"Tarde","Noite")))</f>
        <v>Tarde</v>
      </c>
      <c r="P663" s="32">
        <f>IF(G663="","",IFERROR(INDEX(Config!$I$5:$I$16,MATCH(G663,Config!$H$5:$H$16,0)),0))</f>
        <v>0</v>
      </c>
      <c r="Q663" s="30">
        <f>IF(OR(H663&lt;&gt;"Realizado",P663="",P663=0),"",A663+P663)</f>
        <v/>
      </c>
      <c r="R663" s="26">
        <f>IF(Q663="","",IF(COUNTIFS($E$5:$E$3004,E663,$A$5:$A$3004,"&gt;"&amp;A663,$H$5:$H$3004,"&lt;&gt;Falta",$H$5:$H$3004,"&lt;&gt;Cancelado",$H$5:$H$3004,"&lt;&gt;Remarcado")&gt;0,"Sim","Não"))</f>
        <v/>
      </c>
      <c r="S663" s="32">
        <f>IF(R663&lt;&gt;"Não","",IF(Q663+Config!$B$9&lt;=Config!$B$8,Config!$B$8-Q663,""))</f>
        <v/>
      </c>
      <c r="T663" s="26">
        <f>IF(S663="","","Sim")</f>
        <v/>
      </c>
      <c r="U663" s="41">
        <f>IF(T663="Sim",S663+ROW()/100000,0)</f>
        <v>0</v>
      </c>
      <c r="V663" s="41">
        <f>IF(AND(H663="Falta",L663=Config!$B$7,M663=Config!$B$5,COUNTIFS($E$5:E663,E663,$H$5:H663,"Falta",$L$5:L663,Config!$B$7,$M$5:M663,Config!$B$5)=1),COUNTIFS($E$5:$E$3004,E663,$H$5:$H$3004,"Falta",$L$5:$L$3004,Config!$B$7,$M$5:$M$3004,Config!$B$5)*1000-ROW()/100000,0)</f>
        <v>0</v>
      </c>
    </row>
    <row r="664">
      <c r="A664" s="39" t="n">
        <v>46240</v>
      </c>
      <c r="B664" s="40" t="n">
        <v>0.5972222222222222</v>
      </c>
      <c r="C664" s="35" t="inlineStr">
        <is>
          <t>Dra. Renata Sousa</t>
        </is>
      </c>
      <c r="D664" s="35" t="inlineStr">
        <is>
          <t>Sala 1</t>
        </is>
      </c>
      <c r="E664" s="34" t="inlineStr">
        <is>
          <t>Fábio Ferreira</t>
        </is>
      </c>
      <c r="F664" s="35" t="inlineStr">
        <is>
          <t>Particular</t>
        </is>
      </c>
      <c r="G664" s="35" t="inlineStr">
        <is>
          <t>Avaliação endócrina</t>
        </is>
      </c>
      <c r="H664" s="35" t="inlineStr">
        <is>
          <t>Realizado</t>
        </is>
      </c>
      <c r="I664" s="35" t="inlineStr">
        <is>
          <t>Cartão de crédito</t>
        </is>
      </c>
      <c r="J664" s="35" t="n">
        <v>2</v>
      </c>
      <c r="K664" s="34" t="n"/>
      <c r="L664" s="26">
        <f>IF(A664="","",MONTH(A664))</f>
        <v>8</v>
      </c>
      <c r="M664" s="26">
        <f>IF(A664="","",YEAR(A664))</f>
        <v>2026</v>
      </c>
      <c r="N664" s="26" t="str">
        <f>IF(A664="","",CHOOSE(WEEKDAY(A664,2),"Segunda","Terça","Quarta","Quinta","Sexta","Sábado","Domingo"))</f>
        <v>Quinta</v>
      </c>
      <c r="O664" s="26" t="str">
        <f>IF(B664="","",IF(B664&lt;TIME(12,0,0),"Manhã",IF(B664&lt;TIME(18,0,0),"Tarde","Noite")))</f>
        <v>Tarde</v>
      </c>
      <c r="P664" s="32">
        <f>IF(G664="","",IFERROR(INDEX(Config!$I$5:$I$16,MATCH(G664,Config!$H$5:$H$16,0)),0))</f>
        <v>45</v>
      </c>
      <c r="Q664" s="30">
        <f>IF(OR(H664&lt;&gt;"Realizado",P664="",P664=0),"",A664+P664)</f>
        <v>46285.0</v>
      </c>
      <c r="R664" s="26" t="str">
        <f>IF(Q664="","",IF(COUNTIFS($E$5:$E$3004,E664,$A$5:$A$3004,"&gt;"&amp;A664,$H$5:$H$3004,"&lt;&gt;Falta",$H$5:$H$3004,"&lt;&gt;Cancelado",$H$5:$H$3004,"&lt;&gt;Remarcado")&gt;0,"Sim","Não"))</f>
        <v>Não</v>
      </c>
      <c r="S664" s="32">
        <f>IF(R664&lt;&gt;"Não","",IF(Q664+Config!$B$9&lt;=Config!$B$8,Config!$B$8-Q664,""))</f>
        <v/>
      </c>
      <c r="T664" s="26">
        <f>IF(S664="","","Sim")</f>
        <v/>
      </c>
      <c r="U664" s="41">
        <f>IF(T664="Sim",S664+ROW()/100000,0)</f>
        <v>0</v>
      </c>
      <c r="V664" s="41">
        <f>IF(AND(H664="Falta",L664=Config!$B$7,M664=Config!$B$5,COUNTIFS($E$5:E664,E664,$H$5:H664,"Falta",$L$5:L664,Config!$B$7,$M$5:M664,Config!$B$5)=1),COUNTIFS($E$5:$E$3004,E664,$H$5:$H$3004,"Falta",$L$5:$L$3004,Config!$B$7,$M$5:$M$3004,Config!$B$5)*1000-ROW()/100000,0)</f>
        <v>0</v>
      </c>
    </row>
    <row r="665">
      <c r="A665" s="39" t="n">
        <v>46240</v>
      </c>
      <c r="B665" s="40" t="n">
        <v>0.625</v>
      </c>
      <c r="C665" s="35" t="inlineStr">
        <is>
          <t>Dra. Renata Sousa</t>
        </is>
      </c>
      <c r="D665" s="35" t="inlineStr">
        <is>
          <t>Sala 1</t>
        </is>
      </c>
      <c r="E665" s="34" t="inlineStr">
        <is>
          <t>Priscila Reis</t>
        </is>
      </c>
      <c r="F665" s="35" t="inlineStr">
        <is>
          <t>Particular</t>
        </is>
      </c>
      <c r="G665" s="35" t="inlineStr">
        <is>
          <t>Retorno</t>
        </is>
      </c>
      <c r="H665" s="35" t="inlineStr">
        <is>
          <t>Realizado</t>
        </is>
      </c>
      <c r="I665" s="35" t="inlineStr">
        <is>
          <t>Sem cobrança</t>
        </is>
      </c>
      <c r="J665" s="35" t="n"/>
      <c r="K665" s="34" t="n"/>
      <c r="L665" s="26">
        <f>IF(A665="","",MONTH(A665))</f>
        <v>8</v>
      </c>
      <c r="M665" s="26">
        <f>IF(A665="","",YEAR(A665))</f>
        <v>2026</v>
      </c>
      <c r="N665" s="26" t="str">
        <f>IF(A665="","",CHOOSE(WEEKDAY(A665,2),"Segunda","Terça","Quarta","Quinta","Sexta","Sábado","Domingo"))</f>
        <v>Quinta</v>
      </c>
      <c r="O665" s="26" t="str">
        <f>IF(B665="","",IF(B665&lt;TIME(12,0,0),"Manhã",IF(B665&lt;TIME(18,0,0),"Tarde","Noite")))</f>
        <v>Tarde</v>
      </c>
      <c r="P665" s="32">
        <f>IF(G665="","",IFERROR(INDEX(Config!$I$5:$I$16,MATCH(G665,Config!$H$5:$H$16,0)),0))</f>
        <v>0</v>
      </c>
      <c r="Q665" s="30">
        <f>IF(OR(H665&lt;&gt;"Realizado",P665="",P665=0),"",A665+P665)</f>
        <v/>
      </c>
      <c r="R665" s="26">
        <f>IF(Q665="","",IF(COUNTIFS($E$5:$E$3004,E665,$A$5:$A$3004,"&gt;"&amp;A665,$H$5:$H$3004,"&lt;&gt;Falta",$H$5:$H$3004,"&lt;&gt;Cancelado",$H$5:$H$3004,"&lt;&gt;Remarcado")&gt;0,"Sim","Não"))</f>
        <v/>
      </c>
      <c r="S665" s="32">
        <f>IF(R665&lt;&gt;"Não","",IF(Q665+Config!$B$9&lt;=Config!$B$8,Config!$B$8-Q665,""))</f>
        <v/>
      </c>
      <c r="T665" s="26">
        <f>IF(S665="","","Sim")</f>
        <v/>
      </c>
      <c r="U665" s="41">
        <f>IF(T665="Sim",S665+ROW()/100000,0)</f>
        <v>0</v>
      </c>
      <c r="V665" s="41">
        <f>IF(AND(H665="Falta",L665=Config!$B$7,M665=Config!$B$5,COUNTIFS($E$5:E665,E665,$H$5:H665,"Falta",$L$5:L665,Config!$B$7,$M$5:M665,Config!$B$5)=1),COUNTIFS($E$5:$E$3004,E665,$H$5:$H$3004,"Falta",$L$5:$L$3004,Config!$B$7,$M$5:$M$3004,Config!$B$5)*1000-ROW()/100000,0)</f>
        <v>0</v>
      </c>
    </row>
    <row r="666">
      <c r="A666" s="39" t="n">
        <v>46240</v>
      </c>
      <c r="B666" s="40" t="n">
        <v>0.6319444444444444</v>
      </c>
      <c r="C666" s="35" t="inlineStr">
        <is>
          <t>Dr. Paulo Andrade</t>
        </is>
      </c>
      <c r="D666" s="35" t="inlineStr">
        <is>
          <t>Sala 2</t>
        </is>
      </c>
      <c r="E666" s="34" t="inlineStr">
        <is>
          <t>Sandra Martins</t>
        </is>
      </c>
      <c r="F666" s="35" t="inlineStr">
        <is>
          <t>MediPlan</t>
        </is>
      </c>
      <c r="G666" s="35" t="inlineStr">
        <is>
          <t>Consulta</t>
        </is>
      </c>
      <c r="H666" s="35" t="inlineStr">
        <is>
          <t>Realizado</t>
        </is>
      </c>
      <c r="I666" s="35" t="inlineStr">
        <is>
          <t>Convênio</t>
        </is>
      </c>
      <c r="J666" s="35" t="n"/>
      <c r="K666" s="34" t="n"/>
      <c r="L666" s="26">
        <f>IF(A666="","",MONTH(A666))</f>
        <v>8</v>
      </c>
      <c r="M666" s="26">
        <f>IF(A666="","",YEAR(A666))</f>
        <v>2026</v>
      </c>
      <c r="N666" s="26" t="str">
        <f>IF(A666="","",CHOOSE(WEEKDAY(A666,2),"Segunda","Terça","Quarta","Quinta","Sexta","Sábado","Domingo"))</f>
        <v>Quinta</v>
      </c>
      <c r="O666" s="26" t="str">
        <f>IF(B666="","",IF(B666&lt;TIME(12,0,0),"Manhã",IF(B666&lt;TIME(18,0,0),"Tarde","Noite")))</f>
        <v>Tarde</v>
      </c>
      <c r="P666" s="32">
        <f>IF(G666="","",IFERROR(INDEX(Config!$I$5:$I$16,MATCH(G666,Config!$H$5:$H$16,0)),0))</f>
        <v>30</v>
      </c>
      <c r="Q666" s="30">
        <f>IF(OR(H666&lt;&gt;"Realizado",P666="",P666=0),"",A666+P666)</f>
        <v>46270.0</v>
      </c>
      <c r="R666" s="26" t="str">
        <f>IF(Q666="","",IF(COUNTIFS($E$5:$E$3004,E666,$A$5:$A$3004,"&gt;"&amp;A666,$H$5:$H$3004,"&lt;&gt;Falta",$H$5:$H$3004,"&lt;&gt;Cancelado",$H$5:$H$3004,"&lt;&gt;Remarcado")&gt;0,"Sim","Não"))</f>
        <v>Sim</v>
      </c>
      <c r="S666" s="32">
        <f>IF(R666&lt;&gt;"Não","",IF(Q666+Config!$B$9&lt;=Config!$B$8,Config!$B$8-Q666,""))</f>
        <v/>
      </c>
      <c r="T666" s="26">
        <f>IF(S666="","","Sim")</f>
        <v/>
      </c>
      <c r="U666" s="41">
        <f>IF(T666="Sim",S666+ROW()/100000,0)</f>
        <v>0</v>
      </c>
      <c r="V666" s="41">
        <f>IF(AND(H666="Falta",L666=Config!$B$7,M666=Config!$B$5,COUNTIFS($E$5:E666,E666,$H$5:H666,"Falta",$L$5:L666,Config!$B$7,$M$5:M666,Config!$B$5)=1),COUNTIFS($E$5:$E$3004,E666,$H$5:$H$3004,"Falta",$L$5:$L$3004,Config!$B$7,$M$5:$M$3004,Config!$B$5)*1000-ROW()/100000,0)</f>
        <v>0</v>
      </c>
    </row>
    <row r="667">
      <c r="A667" s="39" t="n">
        <v>46240</v>
      </c>
      <c r="B667" s="40" t="n">
        <v>0.6388888888888888</v>
      </c>
      <c r="C667" s="35" t="inlineStr">
        <is>
          <t>Dra. Renata Sousa</t>
        </is>
      </c>
      <c r="D667" s="35" t="inlineStr">
        <is>
          <t>Sala 1</t>
        </is>
      </c>
      <c r="E667" s="34" t="inlineStr">
        <is>
          <t>Cláudia Melo</t>
        </is>
      </c>
      <c r="F667" s="35" t="inlineStr">
        <is>
          <t>Particular</t>
        </is>
      </c>
      <c r="G667" s="35" t="inlineStr">
        <is>
          <t>Avaliação endócrina</t>
        </is>
      </c>
      <c r="H667" s="35" t="inlineStr">
        <is>
          <t>Realizado</t>
        </is>
      </c>
      <c r="I667" s="35" t="inlineStr">
        <is>
          <t>Pix</t>
        </is>
      </c>
      <c r="J667" s="35" t="n"/>
      <c r="K667" s="34" t="n"/>
      <c r="L667" s="26">
        <f>IF(A667="","",MONTH(A667))</f>
        <v>8</v>
      </c>
      <c r="M667" s="26">
        <f>IF(A667="","",YEAR(A667))</f>
        <v>2026</v>
      </c>
      <c r="N667" s="26" t="str">
        <f>IF(A667="","",CHOOSE(WEEKDAY(A667,2),"Segunda","Terça","Quarta","Quinta","Sexta","Sábado","Domingo"))</f>
        <v>Quinta</v>
      </c>
      <c r="O667" s="26" t="str">
        <f>IF(B667="","",IF(B667&lt;TIME(12,0,0),"Manhã",IF(B667&lt;TIME(18,0,0),"Tarde","Noite")))</f>
        <v>Tarde</v>
      </c>
      <c r="P667" s="32">
        <f>IF(G667="","",IFERROR(INDEX(Config!$I$5:$I$16,MATCH(G667,Config!$H$5:$H$16,0)),0))</f>
        <v>45</v>
      </c>
      <c r="Q667" s="30">
        <f>IF(OR(H667&lt;&gt;"Realizado",P667="",P667=0),"",A667+P667)</f>
        <v>46285.0</v>
      </c>
      <c r="R667" s="26" t="str">
        <f>IF(Q667="","",IF(COUNTIFS($E$5:$E$3004,E667,$A$5:$A$3004,"&gt;"&amp;A667,$H$5:$H$3004,"&lt;&gt;Falta",$H$5:$H$3004,"&lt;&gt;Cancelado",$H$5:$H$3004,"&lt;&gt;Remarcado")&gt;0,"Sim","Não"))</f>
        <v>Sim</v>
      </c>
      <c r="S667" s="32">
        <f>IF(R667&lt;&gt;"Não","",IF(Q667+Config!$B$9&lt;=Config!$B$8,Config!$B$8-Q667,""))</f>
        <v/>
      </c>
      <c r="T667" s="26">
        <f>IF(S667="","","Sim")</f>
        <v/>
      </c>
      <c r="U667" s="41">
        <f>IF(T667="Sim",S667+ROW()/100000,0)</f>
        <v>0</v>
      </c>
      <c r="V667" s="41">
        <f>IF(AND(H667="Falta",L667=Config!$B$7,M667=Config!$B$5,COUNTIFS($E$5:E667,E667,$H$5:H667,"Falta",$L$5:L667,Config!$B$7,$M$5:M667,Config!$B$5)=1),COUNTIFS($E$5:$E$3004,E667,$H$5:$H$3004,"Falta",$L$5:$L$3004,Config!$B$7,$M$5:$M$3004,Config!$B$5)*1000-ROW()/100000,0)</f>
        <v>0</v>
      </c>
    </row>
    <row r="668">
      <c r="A668" s="39" t="n">
        <v>46240</v>
      </c>
      <c r="B668" s="40" t="n">
        <v>0.6527777777777778</v>
      </c>
      <c r="C668" s="35" t="inlineStr">
        <is>
          <t>Dr. Paulo Andrade</t>
        </is>
      </c>
      <c r="D668" s="35" t="inlineStr">
        <is>
          <t>Sala 2</t>
        </is>
      </c>
      <c r="E668" s="34" t="inlineStr">
        <is>
          <t>Mateus Dias</t>
        </is>
      </c>
      <c r="F668" s="35" t="inlineStr">
        <is>
          <t>Saúde Total</t>
        </is>
      </c>
      <c r="G668" s="35" t="inlineStr">
        <is>
          <t>Consulta</t>
        </is>
      </c>
      <c r="H668" s="35" t="inlineStr">
        <is>
          <t>Realizado</t>
        </is>
      </c>
      <c r="I668" s="35" t="inlineStr">
        <is>
          <t>Convênio</t>
        </is>
      </c>
      <c r="J668" s="35" t="n"/>
      <c r="K668" s="34" t="n"/>
      <c r="L668" s="26">
        <f>IF(A668="","",MONTH(A668))</f>
        <v>8</v>
      </c>
      <c r="M668" s="26">
        <f>IF(A668="","",YEAR(A668))</f>
        <v>2026</v>
      </c>
      <c r="N668" s="26" t="str">
        <f>IF(A668="","",CHOOSE(WEEKDAY(A668,2),"Segunda","Terça","Quarta","Quinta","Sexta","Sábado","Domingo"))</f>
        <v>Quinta</v>
      </c>
      <c r="O668" s="26" t="str">
        <f>IF(B668="","",IF(B668&lt;TIME(12,0,0),"Manhã",IF(B668&lt;TIME(18,0,0),"Tarde","Noite")))</f>
        <v>Tarde</v>
      </c>
      <c r="P668" s="32">
        <f>IF(G668="","",IFERROR(INDEX(Config!$I$5:$I$16,MATCH(G668,Config!$H$5:$H$16,0)),0))</f>
        <v>30</v>
      </c>
      <c r="Q668" s="30">
        <f>IF(OR(H668&lt;&gt;"Realizado",P668="",P668=0),"",A668+P668)</f>
        <v>46270.0</v>
      </c>
      <c r="R668" s="26" t="str">
        <f>IF(Q668="","",IF(COUNTIFS($E$5:$E$3004,E668,$A$5:$A$3004,"&gt;"&amp;A668,$H$5:$H$3004,"&lt;&gt;Falta",$H$5:$H$3004,"&lt;&gt;Cancelado",$H$5:$H$3004,"&lt;&gt;Remarcado")&gt;0,"Sim","Não"))</f>
        <v>Sim</v>
      </c>
      <c r="S668" s="32">
        <f>IF(R668&lt;&gt;"Não","",IF(Q668+Config!$B$9&lt;=Config!$B$8,Config!$B$8-Q668,""))</f>
        <v/>
      </c>
      <c r="T668" s="26">
        <f>IF(S668="","","Sim")</f>
        <v/>
      </c>
      <c r="U668" s="41">
        <f>IF(T668="Sim",S668+ROW()/100000,0)</f>
        <v>0</v>
      </c>
      <c r="V668" s="41">
        <f>IF(AND(H668="Falta",L668=Config!$B$7,M668=Config!$B$5,COUNTIFS($E$5:E668,E668,$H$5:H668,"Falta",$L$5:L668,Config!$B$7,$M$5:M668,Config!$B$5)=1),COUNTIFS($E$5:$E$3004,E668,$H$5:$H$3004,"Falta",$L$5:$L$3004,Config!$B$7,$M$5:$M$3004,Config!$B$5)*1000-ROW()/100000,0)</f>
        <v>0</v>
      </c>
    </row>
    <row r="669">
      <c r="A669" s="39" t="n">
        <v>46240</v>
      </c>
      <c r="B669" s="40" t="n">
        <v>0.6666666666666666</v>
      </c>
      <c r="C669" s="35" t="inlineStr">
        <is>
          <t>Dra. Renata Sousa</t>
        </is>
      </c>
      <c r="D669" s="35" t="inlineStr">
        <is>
          <t>Sala 1</t>
        </is>
      </c>
      <c r="E669" s="34" t="inlineStr">
        <is>
          <t>Roberta Lima</t>
        </is>
      </c>
      <c r="F669" s="35" t="inlineStr">
        <is>
          <t>Particular</t>
        </is>
      </c>
      <c r="G669" s="35" t="inlineStr">
        <is>
          <t>Avaliação endócrina</t>
        </is>
      </c>
      <c r="H669" s="35" t="inlineStr">
        <is>
          <t>Realizado</t>
        </is>
      </c>
      <c r="I669" s="35" t="inlineStr">
        <is>
          <t>A prazo</t>
        </is>
      </c>
      <c r="J669" s="35" t="n"/>
      <c r="K669" s="34" t="n"/>
      <c r="L669" s="26">
        <f>IF(A669="","",MONTH(A669))</f>
        <v>8</v>
      </c>
      <c r="M669" s="26">
        <f>IF(A669="","",YEAR(A669))</f>
        <v>2026</v>
      </c>
      <c r="N669" s="26" t="str">
        <f>IF(A669="","",CHOOSE(WEEKDAY(A669,2),"Segunda","Terça","Quarta","Quinta","Sexta","Sábado","Domingo"))</f>
        <v>Quinta</v>
      </c>
      <c r="O669" s="26" t="str">
        <f>IF(B669="","",IF(B669&lt;TIME(12,0,0),"Manhã",IF(B669&lt;TIME(18,0,0),"Tarde","Noite")))</f>
        <v>Tarde</v>
      </c>
      <c r="P669" s="32">
        <f>IF(G669="","",IFERROR(INDEX(Config!$I$5:$I$16,MATCH(G669,Config!$H$5:$H$16,0)),0))</f>
        <v>45</v>
      </c>
      <c r="Q669" s="30">
        <f>IF(OR(H669&lt;&gt;"Realizado",P669="",P669=0),"",A669+P669)</f>
        <v>46285.0</v>
      </c>
      <c r="R669" s="26" t="str">
        <f>IF(Q669="","",IF(COUNTIFS($E$5:$E$3004,E669,$A$5:$A$3004,"&gt;"&amp;A669,$H$5:$H$3004,"&lt;&gt;Falta",$H$5:$H$3004,"&lt;&gt;Cancelado",$H$5:$H$3004,"&lt;&gt;Remarcado")&gt;0,"Sim","Não"))</f>
        <v>Não</v>
      </c>
      <c r="S669" s="32">
        <f>IF(R669&lt;&gt;"Não","",IF(Q669+Config!$B$9&lt;=Config!$B$8,Config!$B$8-Q669,""))</f>
        <v/>
      </c>
      <c r="T669" s="26">
        <f>IF(S669="","","Sim")</f>
        <v/>
      </c>
      <c r="U669" s="41">
        <f>IF(T669="Sim",S669+ROW()/100000,0)</f>
        <v>0</v>
      </c>
      <c r="V669" s="41">
        <f>IF(AND(H669="Falta",L669=Config!$B$7,M669=Config!$B$5,COUNTIFS($E$5:E669,E669,$H$5:H669,"Falta",$L$5:L669,Config!$B$7,$M$5:M669,Config!$B$5)=1),COUNTIFS($E$5:$E$3004,E669,$H$5:$H$3004,"Falta",$L$5:$L$3004,Config!$B$7,$M$5:$M$3004,Config!$B$5)*1000-ROW()/100000,0)</f>
        <v>0</v>
      </c>
    </row>
    <row r="670">
      <c r="A670" s="39" t="n">
        <v>46240</v>
      </c>
      <c r="B670" s="40" t="n">
        <v>0.6944444444444444</v>
      </c>
      <c r="C670" s="35" t="inlineStr">
        <is>
          <t>Dra. Renata Sousa</t>
        </is>
      </c>
      <c r="D670" s="35" t="inlineStr">
        <is>
          <t>Sala 1</t>
        </is>
      </c>
      <c r="E670" s="34" t="inlineStr">
        <is>
          <t>Carlos Freitas</t>
        </is>
      </c>
      <c r="F670" s="35" t="inlineStr">
        <is>
          <t>Particular</t>
        </is>
      </c>
      <c r="G670" s="35" t="inlineStr">
        <is>
          <t>Avaliação endócrina</t>
        </is>
      </c>
      <c r="H670" s="35" t="inlineStr">
        <is>
          <t>Falta</t>
        </is>
      </c>
      <c r="I670" s="35" t="n"/>
      <c r="J670" s="35" t="n"/>
      <c r="K670" s="34" t="n"/>
      <c r="L670" s="26">
        <f>IF(A670="","",MONTH(A670))</f>
        <v>8</v>
      </c>
      <c r="M670" s="26">
        <f>IF(A670="","",YEAR(A670))</f>
        <v>2026</v>
      </c>
      <c r="N670" s="26" t="str">
        <f>IF(A670="","",CHOOSE(WEEKDAY(A670,2),"Segunda","Terça","Quarta","Quinta","Sexta","Sábado","Domingo"))</f>
        <v>Quinta</v>
      </c>
      <c r="O670" s="26" t="str">
        <f>IF(B670="","",IF(B670&lt;TIME(12,0,0),"Manhã",IF(B670&lt;TIME(18,0,0),"Tarde","Noite")))</f>
        <v>Tarde</v>
      </c>
      <c r="P670" s="32">
        <f>IF(G670="","",IFERROR(INDEX(Config!$I$5:$I$16,MATCH(G670,Config!$H$5:$H$16,0)),0))</f>
        <v>45</v>
      </c>
      <c r="Q670" s="30">
        <f>IF(OR(H670&lt;&gt;"Realizado",P670="",P670=0),"",A670+P670)</f>
        <v/>
      </c>
      <c r="R670" s="26">
        <f>IF(Q670="","",IF(COUNTIFS($E$5:$E$3004,E670,$A$5:$A$3004,"&gt;"&amp;A670,$H$5:$H$3004,"&lt;&gt;Falta",$H$5:$H$3004,"&lt;&gt;Cancelado",$H$5:$H$3004,"&lt;&gt;Remarcado")&gt;0,"Sim","Não"))</f>
        <v/>
      </c>
      <c r="S670" s="32">
        <f>IF(R670&lt;&gt;"Não","",IF(Q670+Config!$B$9&lt;=Config!$B$8,Config!$B$8-Q670,""))</f>
        <v/>
      </c>
      <c r="T670" s="26">
        <f>IF(S670="","","Sim")</f>
        <v/>
      </c>
      <c r="U670" s="41">
        <f>IF(T670="Sim",S670+ROW()/100000,0)</f>
        <v>0</v>
      </c>
      <c r="V670" s="41">
        <f>IF(AND(H670="Falta",L670=Config!$B$7,M670=Config!$B$5,COUNTIFS($E$5:E670,E670,$H$5:H670,"Falta",$L$5:L670,Config!$B$7,$M$5:M670,Config!$B$5)=1),COUNTIFS($E$5:$E$3004,E670,$H$5:$H$3004,"Falta",$L$5:$L$3004,Config!$B$7,$M$5:$M$3004,Config!$B$5)*1000-ROW()/100000,0)</f>
        <v>0</v>
      </c>
    </row>
    <row r="671">
      <c r="A671" s="39" t="n">
        <v>46240</v>
      </c>
      <c r="B671" s="40" t="n">
        <v>0.6944444444444444</v>
      </c>
      <c r="C671" s="35" t="inlineStr">
        <is>
          <t>Dr. Paulo Andrade</t>
        </is>
      </c>
      <c r="D671" s="35" t="inlineStr">
        <is>
          <t>Sala 2</t>
        </is>
      </c>
      <c r="E671" s="34" t="inlineStr">
        <is>
          <t>Otávio Cardoso</t>
        </is>
      </c>
      <c r="F671" s="35" t="inlineStr">
        <is>
          <t>Particular</t>
        </is>
      </c>
      <c r="G671" s="35" t="inlineStr">
        <is>
          <t>Teste ergométrico</t>
        </is>
      </c>
      <c r="H671" s="35" t="inlineStr">
        <is>
          <t>Realizado</t>
        </is>
      </c>
      <c r="I671" s="35" t="inlineStr">
        <is>
          <t>Pix</t>
        </is>
      </c>
      <c r="J671" s="35" t="n"/>
      <c r="K671" s="34" t="n"/>
      <c r="L671" s="26">
        <f>IF(A671="","",MONTH(A671))</f>
        <v>8</v>
      </c>
      <c r="M671" s="26">
        <f>IF(A671="","",YEAR(A671))</f>
        <v>2026</v>
      </c>
      <c r="N671" s="26" t="str">
        <f>IF(A671="","",CHOOSE(WEEKDAY(A671,2),"Segunda","Terça","Quarta","Quinta","Sexta","Sábado","Domingo"))</f>
        <v>Quinta</v>
      </c>
      <c r="O671" s="26" t="str">
        <f>IF(B671="","",IF(B671&lt;TIME(12,0,0),"Manhã",IF(B671&lt;TIME(18,0,0),"Tarde","Noite")))</f>
        <v>Tarde</v>
      </c>
      <c r="P671" s="32">
        <f>IF(G671="","",IFERROR(INDEX(Config!$I$5:$I$16,MATCH(G671,Config!$H$5:$H$16,0)),0))</f>
        <v>0</v>
      </c>
      <c r="Q671" s="30">
        <f>IF(OR(H671&lt;&gt;"Realizado",P671="",P671=0),"",A671+P671)</f>
        <v/>
      </c>
      <c r="R671" s="26">
        <f>IF(Q671="","",IF(COUNTIFS($E$5:$E$3004,E671,$A$5:$A$3004,"&gt;"&amp;A671,$H$5:$H$3004,"&lt;&gt;Falta",$H$5:$H$3004,"&lt;&gt;Cancelado",$H$5:$H$3004,"&lt;&gt;Remarcado")&gt;0,"Sim","Não"))</f>
        <v/>
      </c>
      <c r="S671" s="32">
        <f>IF(R671&lt;&gt;"Não","",IF(Q671+Config!$B$9&lt;=Config!$B$8,Config!$B$8-Q671,""))</f>
        <v/>
      </c>
      <c r="T671" s="26">
        <f>IF(S671="","","Sim")</f>
        <v/>
      </c>
      <c r="U671" s="41">
        <f>IF(T671="Sim",S671+ROW()/100000,0)</f>
        <v>0</v>
      </c>
      <c r="V671" s="41">
        <f>IF(AND(H671="Falta",L671=Config!$B$7,M671=Config!$B$5,COUNTIFS($E$5:E671,E671,$H$5:H671,"Falta",$L$5:L671,Config!$B$7,$M$5:M671,Config!$B$5)=1),COUNTIFS($E$5:$E$3004,E671,$H$5:$H$3004,"Falta",$L$5:$L$3004,Config!$B$7,$M$5:$M$3004,Config!$B$5)*1000-ROW()/100000,0)</f>
        <v>0</v>
      </c>
    </row>
    <row r="672">
      <c r="A672" s="39" t="n">
        <v>46240</v>
      </c>
      <c r="B672" s="40" t="n">
        <v>0.7222222222222222</v>
      </c>
      <c r="C672" s="35" t="inlineStr">
        <is>
          <t>Dra. Renata Sousa</t>
        </is>
      </c>
      <c r="D672" s="35" t="inlineStr">
        <is>
          <t>Sala 1</t>
        </is>
      </c>
      <c r="E672" s="34" t="inlineStr">
        <is>
          <t>Patrícia Dias</t>
        </is>
      </c>
      <c r="F672" s="35" t="inlineStr">
        <is>
          <t>Particular</t>
        </is>
      </c>
      <c r="G672" s="35" t="inlineStr">
        <is>
          <t>Avaliação endócrina</t>
        </is>
      </c>
      <c r="H672" s="35" t="inlineStr">
        <is>
          <t>Falta</t>
        </is>
      </c>
      <c r="I672" s="35" t="n"/>
      <c r="J672" s="35" t="n"/>
      <c r="K672" s="34" t="n"/>
      <c r="L672" s="26">
        <f>IF(A672="","",MONTH(A672))</f>
        <v>8</v>
      </c>
      <c r="M672" s="26">
        <f>IF(A672="","",YEAR(A672))</f>
        <v>2026</v>
      </c>
      <c r="N672" s="26" t="str">
        <f>IF(A672="","",CHOOSE(WEEKDAY(A672,2),"Segunda","Terça","Quarta","Quinta","Sexta","Sábado","Domingo"))</f>
        <v>Quinta</v>
      </c>
      <c r="O672" s="26" t="str">
        <f>IF(B672="","",IF(B672&lt;TIME(12,0,0),"Manhã",IF(B672&lt;TIME(18,0,0),"Tarde","Noite")))</f>
        <v>Tarde</v>
      </c>
      <c r="P672" s="32">
        <f>IF(G672="","",IFERROR(INDEX(Config!$I$5:$I$16,MATCH(G672,Config!$H$5:$H$16,0)),0))</f>
        <v>45</v>
      </c>
      <c r="Q672" s="30">
        <f>IF(OR(H672&lt;&gt;"Realizado",P672="",P672=0),"",A672+P672)</f>
        <v/>
      </c>
      <c r="R672" s="26">
        <f>IF(Q672="","",IF(COUNTIFS($E$5:$E$3004,E672,$A$5:$A$3004,"&gt;"&amp;A672,$H$5:$H$3004,"&lt;&gt;Falta",$H$5:$H$3004,"&lt;&gt;Cancelado",$H$5:$H$3004,"&lt;&gt;Remarcado")&gt;0,"Sim","Não"))</f>
        <v/>
      </c>
      <c r="S672" s="32">
        <f>IF(R672&lt;&gt;"Não","",IF(Q672+Config!$B$9&lt;=Config!$B$8,Config!$B$8-Q672,""))</f>
        <v/>
      </c>
      <c r="T672" s="26">
        <f>IF(S672="","","Sim")</f>
        <v/>
      </c>
      <c r="U672" s="41">
        <f>IF(T672="Sim",S672+ROW()/100000,0)</f>
        <v>0</v>
      </c>
      <c r="V672" s="41">
        <f>IF(AND(H672="Falta",L672=Config!$B$7,M672=Config!$B$5,COUNTIFS($E$5:E672,E672,$H$5:H672,"Falta",$L$5:L672,Config!$B$7,$M$5:M672,Config!$B$5)=1),COUNTIFS($E$5:$E$3004,E672,$H$5:$H$3004,"Falta",$L$5:$L$3004,Config!$B$7,$M$5:$M$3004,Config!$B$5)*1000-ROW()/100000,0)</f>
        <v>0</v>
      </c>
    </row>
    <row r="673">
      <c r="A673" s="39" t="n">
        <v>46240</v>
      </c>
      <c r="B673" s="40" t="n">
        <v>0.7222222222222222</v>
      </c>
      <c r="C673" s="35" t="inlineStr">
        <is>
          <t>Dr. Paulo Andrade</t>
        </is>
      </c>
      <c r="D673" s="35" t="inlineStr">
        <is>
          <t>Sala 2</t>
        </is>
      </c>
      <c r="E673" s="34" t="inlineStr">
        <is>
          <t>Ricardo Melo</t>
        </is>
      </c>
      <c r="F673" s="35" t="inlineStr">
        <is>
          <t>Saúde Total</t>
        </is>
      </c>
      <c r="G673" s="35" t="inlineStr">
        <is>
          <t>ECG</t>
        </is>
      </c>
      <c r="H673" s="35" t="inlineStr">
        <is>
          <t>Realizado</t>
        </is>
      </c>
      <c r="I673" s="35" t="inlineStr">
        <is>
          <t>Convênio</t>
        </is>
      </c>
      <c r="J673" s="35" t="n"/>
      <c r="K673" s="34" t="n"/>
      <c r="L673" s="26">
        <f>IF(A673="","",MONTH(A673))</f>
        <v>8</v>
      </c>
      <c r="M673" s="26">
        <f>IF(A673="","",YEAR(A673))</f>
        <v>2026</v>
      </c>
      <c r="N673" s="26" t="str">
        <f>IF(A673="","",CHOOSE(WEEKDAY(A673,2),"Segunda","Terça","Quarta","Quinta","Sexta","Sábado","Domingo"))</f>
        <v>Quinta</v>
      </c>
      <c r="O673" s="26" t="str">
        <f>IF(B673="","",IF(B673&lt;TIME(12,0,0),"Manhã",IF(B673&lt;TIME(18,0,0),"Tarde","Noite")))</f>
        <v>Tarde</v>
      </c>
      <c r="P673" s="32">
        <f>IF(G673="","",IFERROR(INDEX(Config!$I$5:$I$16,MATCH(G673,Config!$H$5:$H$16,0)),0))</f>
        <v>0</v>
      </c>
      <c r="Q673" s="30">
        <f>IF(OR(H673&lt;&gt;"Realizado",P673="",P673=0),"",A673+P673)</f>
        <v/>
      </c>
      <c r="R673" s="26">
        <f>IF(Q673="","",IF(COUNTIFS($E$5:$E$3004,E673,$A$5:$A$3004,"&gt;"&amp;A673,$H$5:$H$3004,"&lt;&gt;Falta",$H$5:$H$3004,"&lt;&gt;Cancelado",$H$5:$H$3004,"&lt;&gt;Remarcado")&gt;0,"Sim","Não"))</f>
        <v/>
      </c>
      <c r="S673" s="32">
        <f>IF(R673&lt;&gt;"Não","",IF(Q673+Config!$B$9&lt;=Config!$B$8,Config!$B$8-Q673,""))</f>
        <v/>
      </c>
      <c r="T673" s="26">
        <f>IF(S673="","","Sim")</f>
        <v/>
      </c>
      <c r="U673" s="41">
        <f>IF(T673="Sim",S673+ROW()/100000,0)</f>
        <v>0</v>
      </c>
      <c r="V673" s="41">
        <f>IF(AND(H673="Falta",L673=Config!$B$7,M673=Config!$B$5,COUNTIFS($E$5:E673,E673,$H$5:H673,"Falta",$L$5:L673,Config!$B$7,$M$5:M673,Config!$B$5)=1),COUNTIFS($E$5:$E$3004,E673,$H$5:$H$3004,"Falta",$L$5:$L$3004,Config!$B$7,$M$5:$M$3004,Config!$B$5)*1000-ROW()/100000,0)</f>
        <v>0</v>
      </c>
    </row>
    <row r="674">
      <c r="A674" s="39" t="n">
        <v>46240</v>
      </c>
      <c r="B674" s="40" t="n">
        <v>0.7361111111111112</v>
      </c>
      <c r="C674" s="35" t="inlineStr">
        <is>
          <t>Dr. Paulo Andrade</t>
        </is>
      </c>
      <c r="D674" s="35" t="inlineStr">
        <is>
          <t>Sala 2</t>
        </is>
      </c>
      <c r="E674" s="34" t="inlineStr">
        <is>
          <t>Carlos Barros</t>
        </is>
      </c>
      <c r="F674" s="35" t="inlineStr">
        <is>
          <t>MediPlan</t>
        </is>
      </c>
      <c r="G674" s="35" t="inlineStr">
        <is>
          <t>MAPA</t>
        </is>
      </c>
      <c r="H674" s="35" t="inlineStr">
        <is>
          <t>Realizado</t>
        </is>
      </c>
      <c r="I674" s="35" t="inlineStr">
        <is>
          <t>Convênio</t>
        </is>
      </c>
      <c r="J674" s="35" t="n"/>
      <c r="K674" s="34" t="n"/>
      <c r="L674" s="26">
        <f>IF(A674="","",MONTH(A674))</f>
        <v>8</v>
      </c>
      <c r="M674" s="26">
        <f>IF(A674="","",YEAR(A674))</f>
        <v>2026</v>
      </c>
      <c r="N674" s="26" t="str">
        <f>IF(A674="","",CHOOSE(WEEKDAY(A674,2),"Segunda","Terça","Quarta","Quinta","Sexta","Sábado","Domingo"))</f>
        <v>Quinta</v>
      </c>
      <c r="O674" s="26" t="str">
        <f>IF(B674="","",IF(B674&lt;TIME(12,0,0),"Manhã",IF(B674&lt;TIME(18,0,0),"Tarde","Noite")))</f>
        <v>Tarde</v>
      </c>
      <c r="P674" s="32">
        <f>IF(G674="","",IFERROR(INDEX(Config!$I$5:$I$16,MATCH(G674,Config!$H$5:$H$16,0)),0))</f>
        <v>0</v>
      </c>
      <c r="Q674" s="30">
        <f>IF(OR(H674&lt;&gt;"Realizado",P674="",P674=0),"",A674+P674)</f>
        <v/>
      </c>
      <c r="R674" s="26">
        <f>IF(Q674="","",IF(COUNTIFS($E$5:$E$3004,E674,$A$5:$A$3004,"&gt;"&amp;A674,$H$5:$H$3004,"&lt;&gt;Falta",$H$5:$H$3004,"&lt;&gt;Cancelado",$H$5:$H$3004,"&lt;&gt;Remarcado")&gt;0,"Sim","Não"))</f>
        <v/>
      </c>
      <c r="S674" s="32">
        <f>IF(R674&lt;&gt;"Não","",IF(Q674+Config!$B$9&lt;=Config!$B$8,Config!$B$8-Q674,""))</f>
        <v/>
      </c>
      <c r="T674" s="26">
        <f>IF(S674="","","Sim")</f>
        <v/>
      </c>
      <c r="U674" s="41">
        <f>IF(T674="Sim",S674+ROW()/100000,0)</f>
        <v>0</v>
      </c>
      <c r="V674" s="41">
        <f>IF(AND(H674="Falta",L674=Config!$B$7,M674=Config!$B$5,COUNTIFS($E$5:E674,E674,$H$5:H674,"Falta",$L$5:L674,Config!$B$7,$M$5:M674,Config!$B$5)=1),COUNTIFS($E$5:$E$3004,E674,$H$5:$H$3004,"Falta",$L$5:$L$3004,Config!$B$7,$M$5:$M$3004,Config!$B$5)*1000-ROW()/100000,0)</f>
        <v>0</v>
      </c>
    </row>
    <row r="675">
      <c r="A675" s="39" t="n">
        <v>46241</v>
      </c>
      <c r="B675" s="40" t="n">
        <v>0.3333333333333333</v>
      </c>
      <c r="C675" s="35" t="inlineStr">
        <is>
          <t>Dr. Paulo Andrade</t>
        </is>
      </c>
      <c r="D675" s="35" t="inlineStr">
        <is>
          <t>Sala 2</t>
        </is>
      </c>
      <c r="E675" s="34" t="inlineStr">
        <is>
          <t>Rafael Barros</t>
        </is>
      </c>
      <c r="F675" s="35" t="inlineStr">
        <is>
          <t>Particular</t>
        </is>
      </c>
      <c r="G675" s="35" t="inlineStr">
        <is>
          <t>Retorno</t>
        </is>
      </c>
      <c r="H675" s="35" t="inlineStr">
        <is>
          <t>Realizado</t>
        </is>
      </c>
      <c r="I675" s="35" t="inlineStr">
        <is>
          <t>Sem cobrança</t>
        </is>
      </c>
      <c r="J675" s="35" t="n"/>
      <c r="K675" s="34" t="n"/>
      <c r="L675" s="26">
        <f>IF(A675="","",MONTH(A675))</f>
        <v>8</v>
      </c>
      <c r="M675" s="26">
        <f>IF(A675="","",YEAR(A675))</f>
        <v>2026</v>
      </c>
      <c r="N675" s="26" t="str">
        <f>IF(A675="","",CHOOSE(WEEKDAY(A675,2),"Segunda","Terça","Quarta","Quinta","Sexta","Sábado","Domingo"))</f>
        <v>Sexta</v>
      </c>
      <c r="O675" s="26" t="str">
        <f>IF(B675="","",IF(B675&lt;TIME(12,0,0),"Manhã",IF(B675&lt;TIME(18,0,0),"Tarde","Noite")))</f>
        <v>Manhã</v>
      </c>
      <c r="P675" s="32">
        <f>IF(G675="","",IFERROR(INDEX(Config!$I$5:$I$16,MATCH(G675,Config!$H$5:$H$16,0)),0))</f>
        <v>0</v>
      </c>
      <c r="Q675" s="30">
        <f>IF(OR(H675&lt;&gt;"Realizado",P675="",P675=0),"",A675+P675)</f>
        <v/>
      </c>
      <c r="R675" s="26">
        <f>IF(Q675="","",IF(COUNTIFS($E$5:$E$3004,E675,$A$5:$A$3004,"&gt;"&amp;A675,$H$5:$H$3004,"&lt;&gt;Falta",$H$5:$H$3004,"&lt;&gt;Cancelado",$H$5:$H$3004,"&lt;&gt;Remarcado")&gt;0,"Sim","Não"))</f>
        <v/>
      </c>
      <c r="S675" s="32">
        <f>IF(R675&lt;&gt;"Não","",IF(Q675+Config!$B$9&lt;=Config!$B$8,Config!$B$8-Q675,""))</f>
        <v/>
      </c>
      <c r="T675" s="26">
        <f>IF(S675="","","Sim")</f>
        <v/>
      </c>
      <c r="U675" s="41">
        <f>IF(T675="Sim",S675+ROW()/100000,0)</f>
        <v>0</v>
      </c>
      <c r="V675" s="41">
        <f>IF(AND(H675="Falta",L675=Config!$B$7,M675=Config!$B$5,COUNTIFS($E$5:E675,E675,$H$5:H675,"Falta",$L$5:L675,Config!$B$7,$M$5:M675,Config!$B$5)=1),COUNTIFS($E$5:$E$3004,E675,$H$5:$H$3004,"Falta",$L$5:$L$3004,Config!$B$7,$M$5:$M$3004,Config!$B$5)*1000-ROW()/100000,0)</f>
        <v>0</v>
      </c>
    </row>
    <row r="676">
      <c r="A676" s="39" t="n">
        <v>46241</v>
      </c>
      <c r="B676" s="40" t="n">
        <v>0.3472222222222222</v>
      </c>
      <c r="C676" s="35" t="inlineStr">
        <is>
          <t>Dr. Paulo Andrade</t>
        </is>
      </c>
      <c r="D676" s="35" t="inlineStr">
        <is>
          <t>Sala 2</t>
        </is>
      </c>
      <c r="E676" s="34" t="inlineStr">
        <is>
          <t>Fernanda Nunes</t>
        </is>
      </c>
      <c r="F676" s="35" t="inlineStr">
        <is>
          <t>MediPlan</t>
        </is>
      </c>
      <c r="G676" s="35" t="inlineStr">
        <is>
          <t>Teste ergométrico</t>
        </is>
      </c>
      <c r="H676" s="35" t="inlineStr">
        <is>
          <t>Realizado</t>
        </is>
      </c>
      <c r="I676" s="35" t="inlineStr">
        <is>
          <t>Convênio</t>
        </is>
      </c>
      <c r="J676" s="35" t="n"/>
      <c r="K676" s="34" t="n"/>
      <c r="L676" s="26">
        <f>IF(A676="","",MONTH(A676))</f>
        <v>8</v>
      </c>
      <c r="M676" s="26">
        <f>IF(A676="","",YEAR(A676))</f>
        <v>2026</v>
      </c>
      <c r="N676" s="26" t="str">
        <f>IF(A676="","",CHOOSE(WEEKDAY(A676,2),"Segunda","Terça","Quarta","Quinta","Sexta","Sábado","Domingo"))</f>
        <v>Sexta</v>
      </c>
      <c r="O676" s="26" t="str">
        <f>IF(B676="","",IF(B676&lt;TIME(12,0,0),"Manhã",IF(B676&lt;TIME(18,0,0),"Tarde","Noite")))</f>
        <v>Manhã</v>
      </c>
      <c r="P676" s="32">
        <f>IF(G676="","",IFERROR(INDEX(Config!$I$5:$I$16,MATCH(G676,Config!$H$5:$H$16,0)),0))</f>
        <v>0</v>
      </c>
      <c r="Q676" s="30">
        <f>IF(OR(H676&lt;&gt;"Realizado",P676="",P676=0),"",A676+P676)</f>
        <v/>
      </c>
      <c r="R676" s="26">
        <f>IF(Q676="","",IF(COUNTIFS($E$5:$E$3004,E676,$A$5:$A$3004,"&gt;"&amp;A676,$H$5:$H$3004,"&lt;&gt;Falta",$H$5:$H$3004,"&lt;&gt;Cancelado",$H$5:$H$3004,"&lt;&gt;Remarcado")&gt;0,"Sim","Não"))</f>
        <v/>
      </c>
      <c r="S676" s="32">
        <f>IF(R676&lt;&gt;"Não","",IF(Q676+Config!$B$9&lt;=Config!$B$8,Config!$B$8-Q676,""))</f>
        <v/>
      </c>
      <c r="T676" s="26">
        <f>IF(S676="","","Sim")</f>
        <v/>
      </c>
      <c r="U676" s="41">
        <f>IF(T676="Sim",S676+ROW()/100000,0)</f>
        <v>0</v>
      </c>
      <c r="V676" s="41">
        <f>IF(AND(H676="Falta",L676=Config!$B$7,M676=Config!$B$5,COUNTIFS($E$5:E676,E676,$H$5:H676,"Falta",$L$5:L676,Config!$B$7,$M$5:M676,Config!$B$5)=1),COUNTIFS($E$5:$E$3004,E676,$H$5:$H$3004,"Falta",$L$5:$L$3004,Config!$B$7,$M$5:$M$3004,Config!$B$5)*1000-ROW()/100000,0)</f>
        <v>0</v>
      </c>
    </row>
    <row r="677">
      <c r="A677" s="39" t="n">
        <v>46241</v>
      </c>
      <c r="B677" s="40" t="n">
        <v>0.375</v>
      </c>
      <c r="C677" s="35" t="inlineStr">
        <is>
          <t>Dr. Paulo Andrade</t>
        </is>
      </c>
      <c r="D677" s="35" t="inlineStr">
        <is>
          <t>Sala 2</t>
        </is>
      </c>
      <c r="E677" s="34" t="inlineStr">
        <is>
          <t>Paulo Reis</t>
        </is>
      </c>
      <c r="F677" s="35" t="inlineStr">
        <is>
          <t>Particular</t>
        </is>
      </c>
      <c r="G677" s="35" t="inlineStr">
        <is>
          <t>Retorno</t>
        </is>
      </c>
      <c r="H677" s="35" t="inlineStr">
        <is>
          <t>Realizado</t>
        </is>
      </c>
      <c r="I677" s="35" t="inlineStr">
        <is>
          <t>Sem cobrança</t>
        </is>
      </c>
      <c r="J677" s="35" t="n"/>
      <c r="K677" s="34" t="n"/>
      <c r="L677" s="26">
        <f>IF(A677="","",MONTH(A677))</f>
        <v>8</v>
      </c>
      <c r="M677" s="26">
        <f>IF(A677="","",YEAR(A677))</f>
        <v>2026</v>
      </c>
      <c r="N677" s="26" t="str">
        <f>IF(A677="","",CHOOSE(WEEKDAY(A677,2),"Segunda","Terça","Quarta","Quinta","Sexta","Sábado","Domingo"))</f>
        <v>Sexta</v>
      </c>
      <c r="O677" s="26" t="str">
        <f>IF(B677="","",IF(B677&lt;TIME(12,0,0),"Manhã",IF(B677&lt;TIME(18,0,0),"Tarde","Noite")))</f>
        <v>Manhã</v>
      </c>
      <c r="P677" s="32">
        <f>IF(G677="","",IFERROR(INDEX(Config!$I$5:$I$16,MATCH(G677,Config!$H$5:$H$16,0)),0))</f>
        <v>0</v>
      </c>
      <c r="Q677" s="30">
        <f>IF(OR(H677&lt;&gt;"Realizado",P677="",P677=0),"",A677+P677)</f>
        <v/>
      </c>
      <c r="R677" s="26">
        <f>IF(Q677="","",IF(COUNTIFS($E$5:$E$3004,E677,$A$5:$A$3004,"&gt;"&amp;A677,$H$5:$H$3004,"&lt;&gt;Falta",$H$5:$H$3004,"&lt;&gt;Cancelado",$H$5:$H$3004,"&lt;&gt;Remarcado")&gt;0,"Sim","Não"))</f>
        <v/>
      </c>
      <c r="S677" s="32">
        <f>IF(R677&lt;&gt;"Não","",IF(Q677+Config!$B$9&lt;=Config!$B$8,Config!$B$8-Q677,""))</f>
        <v/>
      </c>
      <c r="T677" s="26">
        <f>IF(S677="","","Sim")</f>
        <v/>
      </c>
      <c r="U677" s="41">
        <f>IF(T677="Sim",S677+ROW()/100000,0)</f>
        <v>0</v>
      </c>
      <c r="V677" s="41">
        <f>IF(AND(H677="Falta",L677=Config!$B$7,M677=Config!$B$5,COUNTIFS($E$5:E677,E677,$H$5:H677,"Falta",$L$5:L677,Config!$B$7,$M$5:M677,Config!$B$5)=1),COUNTIFS($E$5:$E$3004,E677,$H$5:$H$3004,"Falta",$L$5:$L$3004,Config!$B$7,$M$5:$M$3004,Config!$B$5)*1000-ROW()/100000,0)</f>
        <v>0</v>
      </c>
    </row>
    <row r="678">
      <c r="A678" s="39" t="n">
        <v>46241</v>
      </c>
      <c r="B678" s="40" t="n">
        <v>0.3888888888888889</v>
      </c>
      <c r="C678" s="35" t="inlineStr">
        <is>
          <t>Dr. Paulo Andrade</t>
        </is>
      </c>
      <c r="D678" s="35" t="inlineStr">
        <is>
          <t>Sala 2</t>
        </is>
      </c>
      <c r="E678" s="34" t="inlineStr">
        <is>
          <t>Cláudia Costa</t>
        </is>
      </c>
      <c r="F678" s="35" t="inlineStr">
        <is>
          <t>Particular</t>
        </is>
      </c>
      <c r="G678" s="35" t="inlineStr">
        <is>
          <t>ECG</t>
        </is>
      </c>
      <c r="H678" s="35" t="inlineStr">
        <is>
          <t>Realizado</t>
        </is>
      </c>
      <c r="I678" s="35" t="inlineStr">
        <is>
          <t>Pix</t>
        </is>
      </c>
      <c r="J678" s="35" t="n"/>
      <c r="K678" s="34" t="n"/>
      <c r="L678" s="26">
        <f>IF(A678="","",MONTH(A678))</f>
        <v>8</v>
      </c>
      <c r="M678" s="26">
        <f>IF(A678="","",YEAR(A678))</f>
        <v>2026</v>
      </c>
      <c r="N678" s="26" t="str">
        <f>IF(A678="","",CHOOSE(WEEKDAY(A678,2),"Segunda","Terça","Quarta","Quinta","Sexta","Sábado","Domingo"))</f>
        <v>Sexta</v>
      </c>
      <c r="O678" s="26" t="str">
        <f>IF(B678="","",IF(B678&lt;TIME(12,0,0),"Manhã",IF(B678&lt;TIME(18,0,0),"Tarde","Noite")))</f>
        <v>Manhã</v>
      </c>
      <c r="P678" s="32">
        <f>IF(G678="","",IFERROR(INDEX(Config!$I$5:$I$16,MATCH(G678,Config!$H$5:$H$16,0)),0))</f>
        <v>0</v>
      </c>
      <c r="Q678" s="30">
        <f>IF(OR(H678&lt;&gt;"Realizado",P678="",P678=0),"",A678+P678)</f>
        <v/>
      </c>
      <c r="R678" s="26">
        <f>IF(Q678="","",IF(COUNTIFS($E$5:$E$3004,E678,$A$5:$A$3004,"&gt;"&amp;A678,$H$5:$H$3004,"&lt;&gt;Falta",$H$5:$H$3004,"&lt;&gt;Cancelado",$H$5:$H$3004,"&lt;&gt;Remarcado")&gt;0,"Sim","Não"))</f>
        <v/>
      </c>
      <c r="S678" s="32">
        <f>IF(R678&lt;&gt;"Não","",IF(Q678+Config!$B$9&lt;=Config!$B$8,Config!$B$8-Q678,""))</f>
        <v/>
      </c>
      <c r="T678" s="26">
        <f>IF(S678="","","Sim")</f>
        <v/>
      </c>
      <c r="U678" s="41">
        <f>IF(T678="Sim",S678+ROW()/100000,0)</f>
        <v>0</v>
      </c>
      <c r="V678" s="41">
        <f>IF(AND(H678="Falta",L678=Config!$B$7,M678=Config!$B$5,COUNTIFS($E$5:E678,E678,$H$5:H678,"Falta",$L$5:L678,Config!$B$7,$M$5:M678,Config!$B$5)=1),COUNTIFS($E$5:$E$3004,E678,$H$5:$H$3004,"Falta",$L$5:$L$3004,Config!$B$7,$M$5:$M$3004,Config!$B$5)*1000-ROW()/100000,0)</f>
        <v>0</v>
      </c>
    </row>
    <row r="679">
      <c r="A679" s="39" t="n">
        <v>46241</v>
      </c>
      <c r="B679" s="40" t="n">
        <v>0.4027777777777778</v>
      </c>
      <c r="C679" s="35" t="inlineStr">
        <is>
          <t>Dr. Paulo Andrade</t>
        </is>
      </c>
      <c r="D679" s="35" t="inlineStr">
        <is>
          <t>Sala 2</t>
        </is>
      </c>
      <c r="E679" s="34" t="inlineStr">
        <is>
          <t>Wagner Costa</t>
        </is>
      </c>
      <c r="F679" s="35" t="inlineStr">
        <is>
          <t>Particular</t>
        </is>
      </c>
      <c r="G679" s="35" t="inlineStr">
        <is>
          <t>Consulta</t>
        </is>
      </c>
      <c r="H679" s="35" t="inlineStr">
        <is>
          <t>Realizado</t>
        </is>
      </c>
      <c r="I679" s="35" t="inlineStr">
        <is>
          <t>Cartão de crédito</t>
        </is>
      </c>
      <c r="J679" s="35" t="n"/>
      <c r="K679" s="34" t="n"/>
      <c r="L679" s="26">
        <f>IF(A679="","",MONTH(A679))</f>
        <v>8</v>
      </c>
      <c r="M679" s="26">
        <f>IF(A679="","",YEAR(A679))</f>
        <v>2026</v>
      </c>
      <c r="N679" s="26" t="str">
        <f>IF(A679="","",CHOOSE(WEEKDAY(A679,2),"Segunda","Terça","Quarta","Quinta","Sexta","Sábado","Domingo"))</f>
        <v>Sexta</v>
      </c>
      <c r="O679" s="26" t="str">
        <f>IF(B679="","",IF(B679&lt;TIME(12,0,0),"Manhã",IF(B679&lt;TIME(18,0,0),"Tarde","Noite")))</f>
        <v>Manhã</v>
      </c>
      <c r="P679" s="32">
        <f>IF(G679="","",IFERROR(INDEX(Config!$I$5:$I$16,MATCH(G679,Config!$H$5:$H$16,0)),0))</f>
        <v>30</v>
      </c>
      <c r="Q679" s="30">
        <f>IF(OR(H679&lt;&gt;"Realizado",P679="",P679=0),"",A679+P679)</f>
        <v>46271.0</v>
      </c>
      <c r="R679" s="26" t="str">
        <f>IF(Q679="","",IF(COUNTIFS($E$5:$E$3004,E679,$A$5:$A$3004,"&gt;"&amp;A679,$H$5:$H$3004,"&lt;&gt;Falta",$H$5:$H$3004,"&lt;&gt;Cancelado",$H$5:$H$3004,"&lt;&gt;Remarcado")&gt;0,"Sim","Não"))</f>
        <v>Sim</v>
      </c>
      <c r="S679" s="32">
        <f>IF(R679&lt;&gt;"Não","",IF(Q679+Config!$B$9&lt;=Config!$B$8,Config!$B$8-Q679,""))</f>
        <v/>
      </c>
      <c r="T679" s="26">
        <f>IF(S679="","","Sim")</f>
        <v/>
      </c>
      <c r="U679" s="41">
        <f>IF(T679="Sim",S679+ROW()/100000,0)</f>
        <v>0</v>
      </c>
      <c r="V679" s="41">
        <f>IF(AND(H679="Falta",L679=Config!$B$7,M679=Config!$B$5,COUNTIFS($E$5:E679,E679,$H$5:H679,"Falta",$L$5:L679,Config!$B$7,$M$5:M679,Config!$B$5)=1),COUNTIFS($E$5:$E$3004,E679,$H$5:$H$3004,"Falta",$L$5:$L$3004,Config!$B$7,$M$5:$M$3004,Config!$B$5)*1000-ROW()/100000,0)</f>
        <v>0</v>
      </c>
    </row>
    <row r="680">
      <c r="A680" s="39" t="n">
        <v>46241</v>
      </c>
      <c r="B680" s="40" t="n">
        <v>0.4236111111111111</v>
      </c>
      <c r="C680" s="35" t="inlineStr">
        <is>
          <t>Dr. Paulo Andrade</t>
        </is>
      </c>
      <c r="D680" s="35" t="inlineStr">
        <is>
          <t>Sala 2</t>
        </is>
      </c>
      <c r="E680" s="34" t="inlineStr">
        <is>
          <t>Patrícia Vieira</t>
        </is>
      </c>
      <c r="F680" s="35" t="inlineStr">
        <is>
          <t>Saúde Total</t>
        </is>
      </c>
      <c r="G680" s="35" t="inlineStr">
        <is>
          <t>Consulta</t>
        </is>
      </c>
      <c r="H680" s="35" t="inlineStr">
        <is>
          <t>Realizado</t>
        </is>
      </c>
      <c r="I680" s="35" t="inlineStr">
        <is>
          <t>Convênio</t>
        </is>
      </c>
      <c r="J680" s="35" t="n"/>
      <c r="K680" s="34" t="n"/>
      <c r="L680" s="26">
        <f>IF(A680="","",MONTH(A680))</f>
        <v>8</v>
      </c>
      <c r="M680" s="26">
        <f>IF(A680="","",YEAR(A680))</f>
        <v>2026</v>
      </c>
      <c r="N680" s="26" t="str">
        <f>IF(A680="","",CHOOSE(WEEKDAY(A680,2),"Segunda","Terça","Quarta","Quinta","Sexta","Sábado","Domingo"))</f>
        <v>Sexta</v>
      </c>
      <c r="O680" s="26" t="str">
        <f>IF(B680="","",IF(B680&lt;TIME(12,0,0),"Manhã",IF(B680&lt;TIME(18,0,0),"Tarde","Noite")))</f>
        <v>Manhã</v>
      </c>
      <c r="P680" s="32">
        <f>IF(G680="","",IFERROR(INDEX(Config!$I$5:$I$16,MATCH(G680,Config!$H$5:$H$16,0)),0))</f>
        <v>30</v>
      </c>
      <c r="Q680" s="30">
        <f>IF(OR(H680&lt;&gt;"Realizado",P680="",P680=0),"",A680+P680)</f>
        <v>46271.0</v>
      </c>
      <c r="R680" s="26" t="str">
        <f>IF(Q680="","",IF(COUNTIFS($E$5:$E$3004,E680,$A$5:$A$3004,"&gt;"&amp;A680,$H$5:$H$3004,"&lt;&gt;Falta",$H$5:$H$3004,"&lt;&gt;Cancelado",$H$5:$H$3004,"&lt;&gt;Remarcado")&gt;0,"Sim","Não"))</f>
        <v>Não</v>
      </c>
      <c r="S680" s="32">
        <f>IF(R680&lt;&gt;"Não","",IF(Q680+Config!$B$9&lt;=Config!$B$8,Config!$B$8-Q680,""))</f>
        <v>8</v>
      </c>
      <c r="T680" s="26" t="str">
        <f>IF(S680="","","Sim")</f>
        <v>Sim</v>
      </c>
      <c r="U680" s="41">
        <f>IF(T680="Sim",S680+ROW()/100000,0)</f>
        <v>8.0068</v>
      </c>
      <c r="V680" s="41">
        <f>IF(AND(H680="Falta",L680=Config!$B$7,M680=Config!$B$5,COUNTIFS($E$5:E680,E680,$H$5:H680,"Falta",$L$5:L680,Config!$B$7,$M$5:M680,Config!$B$5)=1),COUNTIFS($E$5:$E$3004,E680,$H$5:$H$3004,"Falta",$L$5:$L$3004,Config!$B$7,$M$5:$M$3004,Config!$B$5)*1000-ROW()/100000,0)</f>
        <v>0</v>
      </c>
    </row>
    <row r="681">
      <c r="A681" s="39" t="n">
        <v>46241</v>
      </c>
      <c r="B681" s="40" t="n">
        <v>0.4861111111111111</v>
      </c>
      <c r="C681" s="35" t="inlineStr">
        <is>
          <t>Dr. Paulo Andrade</t>
        </is>
      </c>
      <c r="D681" s="35" t="inlineStr">
        <is>
          <t>Sala 2</t>
        </is>
      </c>
      <c r="E681" s="34" t="inlineStr">
        <is>
          <t>Gisele Pinto</t>
        </is>
      </c>
      <c r="F681" s="35" t="inlineStr">
        <is>
          <t>Saúde Total</t>
        </is>
      </c>
      <c r="G681" s="35" t="inlineStr">
        <is>
          <t>Retorno</t>
        </is>
      </c>
      <c r="H681" s="35" t="inlineStr">
        <is>
          <t>Falta</t>
        </is>
      </c>
      <c r="I681" s="35" t="n"/>
      <c r="J681" s="35" t="n"/>
      <c r="K681" s="34" t="n"/>
      <c r="L681" s="26">
        <f>IF(A681="","",MONTH(A681))</f>
        <v>8</v>
      </c>
      <c r="M681" s="26">
        <f>IF(A681="","",YEAR(A681))</f>
        <v>2026</v>
      </c>
      <c r="N681" s="26" t="str">
        <f>IF(A681="","",CHOOSE(WEEKDAY(A681,2),"Segunda","Terça","Quarta","Quinta","Sexta","Sábado","Domingo"))</f>
        <v>Sexta</v>
      </c>
      <c r="O681" s="26" t="str">
        <f>IF(B681="","",IF(B681&lt;TIME(12,0,0),"Manhã",IF(B681&lt;TIME(18,0,0),"Tarde","Noite")))</f>
        <v>Manhã</v>
      </c>
      <c r="P681" s="32">
        <f>IF(G681="","",IFERROR(INDEX(Config!$I$5:$I$16,MATCH(G681,Config!$H$5:$H$16,0)),0))</f>
        <v>0</v>
      </c>
      <c r="Q681" s="30">
        <f>IF(OR(H681&lt;&gt;"Realizado",P681="",P681=0),"",A681+P681)</f>
        <v/>
      </c>
      <c r="R681" s="26">
        <f>IF(Q681="","",IF(COUNTIFS($E$5:$E$3004,E681,$A$5:$A$3004,"&gt;"&amp;A681,$H$5:$H$3004,"&lt;&gt;Falta",$H$5:$H$3004,"&lt;&gt;Cancelado",$H$5:$H$3004,"&lt;&gt;Remarcado")&gt;0,"Sim","Não"))</f>
        <v/>
      </c>
      <c r="S681" s="32">
        <f>IF(R681&lt;&gt;"Não","",IF(Q681+Config!$B$9&lt;=Config!$B$8,Config!$B$8-Q681,""))</f>
        <v/>
      </c>
      <c r="T681" s="26">
        <f>IF(S681="","","Sim")</f>
        <v/>
      </c>
      <c r="U681" s="41">
        <f>IF(T681="Sim",S681+ROW()/100000,0)</f>
        <v>0</v>
      </c>
      <c r="V681" s="41">
        <f>IF(AND(H681="Falta",L681=Config!$B$7,M681=Config!$B$5,COUNTIFS($E$5:E681,E681,$H$5:H681,"Falta",$L$5:L681,Config!$B$7,$M$5:M681,Config!$B$5)=1),COUNTIFS($E$5:$E$3004,E681,$H$5:$H$3004,"Falta",$L$5:$L$3004,Config!$B$7,$M$5:$M$3004,Config!$B$5)*1000-ROW()/100000,0)</f>
        <v>0</v>
      </c>
    </row>
    <row r="682">
      <c r="A682" s="39" t="n">
        <v>46244</v>
      </c>
      <c r="B682" s="40" t="n">
        <v>0.3333333333333333</v>
      </c>
      <c r="C682" s="35" t="inlineStr">
        <is>
          <t>Dra. Carolina Mendes</t>
        </is>
      </c>
      <c r="D682" s="35" t="inlineStr">
        <is>
          <t>Sala 1</t>
        </is>
      </c>
      <c r="E682" s="34" t="inlineStr">
        <is>
          <t>Sérgio Martins</t>
        </is>
      </c>
      <c r="F682" s="35" t="inlineStr">
        <is>
          <t>Particular</t>
        </is>
      </c>
      <c r="G682" s="35" t="inlineStr">
        <is>
          <t>Consulta</t>
        </is>
      </c>
      <c r="H682" s="35" t="inlineStr">
        <is>
          <t>Realizado</t>
        </is>
      </c>
      <c r="I682" s="35" t="inlineStr">
        <is>
          <t>A prazo</t>
        </is>
      </c>
      <c r="J682" s="35" t="n"/>
      <c r="K682" s="34" t="n"/>
      <c r="L682" s="26">
        <f>IF(A682="","",MONTH(A682))</f>
        <v>8</v>
      </c>
      <c r="M682" s="26">
        <f>IF(A682="","",YEAR(A682))</f>
        <v>2026</v>
      </c>
      <c r="N682" s="26" t="str">
        <f>IF(A682="","",CHOOSE(WEEKDAY(A682,2),"Segunda","Terça","Quarta","Quinta","Sexta","Sábado","Domingo"))</f>
        <v>Segunda</v>
      </c>
      <c r="O682" s="26" t="str">
        <f>IF(B682="","",IF(B682&lt;TIME(12,0,0),"Manhã",IF(B682&lt;TIME(18,0,0),"Tarde","Noite")))</f>
        <v>Manhã</v>
      </c>
      <c r="P682" s="32">
        <f>IF(G682="","",IFERROR(INDEX(Config!$I$5:$I$16,MATCH(G682,Config!$H$5:$H$16,0)),0))</f>
        <v>30</v>
      </c>
      <c r="Q682" s="30">
        <f>IF(OR(H682&lt;&gt;"Realizado",P682="",P682=0),"",A682+P682)</f>
        <v>46274.0</v>
      </c>
      <c r="R682" s="26" t="str">
        <f>IF(Q682="","",IF(COUNTIFS($E$5:$E$3004,E682,$A$5:$A$3004,"&gt;"&amp;A682,$H$5:$H$3004,"&lt;&gt;Falta",$H$5:$H$3004,"&lt;&gt;Cancelado",$H$5:$H$3004,"&lt;&gt;Remarcado")&gt;0,"Sim","Não"))</f>
        <v>Sim</v>
      </c>
      <c r="S682" s="32">
        <f>IF(R682&lt;&gt;"Não","",IF(Q682+Config!$B$9&lt;=Config!$B$8,Config!$B$8-Q682,""))</f>
        <v/>
      </c>
      <c r="T682" s="26">
        <f>IF(S682="","","Sim")</f>
        <v/>
      </c>
      <c r="U682" s="41">
        <f>IF(T682="Sim",S682+ROW()/100000,0)</f>
        <v>0</v>
      </c>
      <c r="V682" s="41">
        <f>IF(AND(H682="Falta",L682=Config!$B$7,M682=Config!$B$5,COUNTIFS($E$5:E682,E682,$H$5:H682,"Falta",$L$5:L682,Config!$B$7,$M$5:M682,Config!$B$5)=1),COUNTIFS($E$5:$E$3004,E682,$H$5:$H$3004,"Falta",$L$5:$L$3004,Config!$B$7,$M$5:$M$3004,Config!$B$5)*1000-ROW()/100000,0)</f>
        <v>0</v>
      </c>
    </row>
    <row r="683">
      <c r="A683" s="39" t="n">
        <v>46244</v>
      </c>
      <c r="B683" s="40" t="n">
        <v>0.3541666666666667</v>
      </c>
      <c r="C683" s="35" t="inlineStr">
        <is>
          <t>Dra. Carolina Mendes</t>
        </is>
      </c>
      <c r="D683" s="35" t="inlineStr">
        <is>
          <t>Sala 1</t>
        </is>
      </c>
      <c r="E683" s="34" t="inlineStr">
        <is>
          <t>Mariana Nascimento</t>
        </is>
      </c>
      <c r="F683" s="35" t="inlineStr">
        <is>
          <t>Particular</t>
        </is>
      </c>
      <c r="G683" s="35" t="inlineStr">
        <is>
          <t>Retorno</t>
        </is>
      </c>
      <c r="H683" s="35" t="inlineStr">
        <is>
          <t>Realizado</t>
        </is>
      </c>
      <c r="I683" s="35" t="inlineStr">
        <is>
          <t>Sem cobrança</t>
        </is>
      </c>
      <c r="J683" s="35" t="n"/>
      <c r="K683" s="34" t="n"/>
      <c r="L683" s="26">
        <f>IF(A683="","",MONTH(A683))</f>
        <v>8</v>
      </c>
      <c r="M683" s="26">
        <f>IF(A683="","",YEAR(A683))</f>
        <v>2026</v>
      </c>
      <c r="N683" s="26" t="str">
        <f>IF(A683="","",CHOOSE(WEEKDAY(A683,2),"Segunda","Terça","Quarta","Quinta","Sexta","Sábado","Domingo"))</f>
        <v>Segunda</v>
      </c>
      <c r="O683" s="26" t="str">
        <f>IF(B683="","",IF(B683&lt;TIME(12,0,0),"Manhã",IF(B683&lt;TIME(18,0,0),"Tarde","Noite")))</f>
        <v>Manhã</v>
      </c>
      <c r="P683" s="32">
        <f>IF(G683="","",IFERROR(INDEX(Config!$I$5:$I$16,MATCH(G683,Config!$H$5:$H$16,0)),0))</f>
        <v>0</v>
      </c>
      <c r="Q683" s="30">
        <f>IF(OR(H683&lt;&gt;"Realizado",P683="",P683=0),"",A683+P683)</f>
        <v/>
      </c>
      <c r="R683" s="26">
        <f>IF(Q683="","",IF(COUNTIFS($E$5:$E$3004,E683,$A$5:$A$3004,"&gt;"&amp;A683,$H$5:$H$3004,"&lt;&gt;Falta",$H$5:$H$3004,"&lt;&gt;Cancelado",$H$5:$H$3004,"&lt;&gt;Remarcado")&gt;0,"Sim","Não"))</f>
        <v/>
      </c>
      <c r="S683" s="32">
        <f>IF(R683&lt;&gt;"Não","",IF(Q683+Config!$B$9&lt;=Config!$B$8,Config!$B$8-Q683,""))</f>
        <v/>
      </c>
      <c r="T683" s="26">
        <f>IF(S683="","","Sim")</f>
        <v/>
      </c>
      <c r="U683" s="41">
        <f>IF(T683="Sim",S683+ROW()/100000,0)</f>
        <v>0</v>
      </c>
      <c r="V683" s="41">
        <f>IF(AND(H683="Falta",L683=Config!$B$7,M683=Config!$B$5,COUNTIFS($E$5:E683,E683,$H$5:H683,"Falta",$L$5:L683,Config!$B$7,$M$5:M683,Config!$B$5)=1),COUNTIFS($E$5:$E$3004,E683,$H$5:$H$3004,"Falta",$L$5:$L$3004,Config!$B$7,$M$5:$M$3004,Config!$B$5)*1000-ROW()/100000,0)</f>
        <v>0</v>
      </c>
    </row>
    <row r="684">
      <c r="A684" s="39" t="n">
        <v>46244</v>
      </c>
      <c r="B684" s="40" t="n">
        <v>0.3680555555555556</v>
      </c>
      <c r="C684" s="35" t="inlineStr">
        <is>
          <t>Dra. Carolina Mendes</t>
        </is>
      </c>
      <c r="D684" s="35" t="inlineStr">
        <is>
          <t>Sala 1</t>
        </is>
      </c>
      <c r="E684" s="34" t="inlineStr">
        <is>
          <t>Mônica Teixeira</t>
        </is>
      </c>
      <c r="F684" s="35" t="inlineStr">
        <is>
          <t>Vida Care</t>
        </is>
      </c>
      <c r="G684" s="35" t="inlineStr">
        <is>
          <t>Consulta</t>
        </is>
      </c>
      <c r="H684" s="35" t="inlineStr">
        <is>
          <t>Realizado</t>
        </is>
      </c>
      <c r="I684" s="35" t="inlineStr">
        <is>
          <t>Convênio</t>
        </is>
      </c>
      <c r="J684" s="35" t="n"/>
      <c r="K684" s="34" t="n"/>
      <c r="L684" s="26">
        <f>IF(A684="","",MONTH(A684))</f>
        <v>8</v>
      </c>
      <c r="M684" s="26">
        <f>IF(A684="","",YEAR(A684))</f>
        <v>2026</v>
      </c>
      <c r="N684" s="26" t="str">
        <f>IF(A684="","",CHOOSE(WEEKDAY(A684,2),"Segunda","Terça","Quarta","Quinta","Sexta","Sábado","Domingo"))</f>
        <v>Segunda</v>
      </c>
      <c r="O684" s="26" t="str">
        <f>IF(B684="","",IF(B684&lt;TIME(12,0,0),"Manhã",IF(B684&lt;TIME(18,0,0),"Tarde","Noite")))</f>
        <v>Manhã</v>
      </c>
      <c r="P684" s="32">
        <f>IF(G684="","",IFERROR(INDEX(Config!$I$5:$I$16,MATCH(G684,Config!$H$5:$H$16,0)),0))</f>
        <v>30</v>
      </c>
      <c r="Q684" s="30">
        <f>IF(OR(H684&lt;&gt;"Realizado",P684="",P684=0),"",A684+P684)</f>
        <v>46274.0</v>
      </c>
      <c r="R684" s="26" t="str">
        <f>IF(Q684="","",IF(COUNTIFS($E$5:$E$3004,E684,$A$5:$A$3004,"&gt;"&amp;A684,$H$5:$H$3004,"&lt;&gt;Falta",$H$5:$H$3004,"&lt;&gt;Cancelado",$H$5:$H$3004,"&lt;&gt;Remarcado")&gt;0,"Sim","Não"))</f>
        <v>Sim</v>
      </c>
      <c r="S684" s="32">
        <f>IF(R684&lt;&gt;"Não","",IF(Q684+Config!$B$9&lt;=Config!$B$8,Config!$B$8-Q684,""))</f>
        <v/>
      </c>
      <c r="T684" s="26">
        <f>IF(S684="","","Sim")</f>
        <v/>
      </c>
      <c r="U684" s="41">
        <f>IF(T684="Sim",S684+ROW()/100000,0)</f>
        <v>0</v>
      </c>
      <c r="V684" s="41">
        <f>IF(AND(H684="Falta",L684=Config!$B$7,M684=Config!$B$5,COUNTIFS($E$5:E684,E684,$H$5:H684,"Falta",$L$5:L684,Config!$B$7,$M$5:M684,Config!$B$5)=1),COUNTIFS($E$5:$E$3004,E684,$H$5:$H$3004,"Falta",$L$5:$L$3004,Config!$B$7,$M$5:$M$3004,Config!$B$5)*1000-ROW()/100000,0)</f>
        <v>0</v>
      </c>
    </row>
    <row r="685">
      <c r="A685" s="39" t="n">
        <v>46244</v>
      </c>
      <c r="B685" s="40" t="n">
        <v>0.3888888888888889</v>
      </c>
      <c r="C685" s="35" t="inlineStr">
        <is>
          <t>Dra. Carolina Mendes</t>
        </is>
      </c>
      <c r="D685" s="35" t="inlineStr">
        <is>
          <t>Sala 1</t>
        </is>
      </c>
      <c r="E685" s="34" t="inlineStr">
        <is>
          <t>Priscila Nunes</t>
        </is>
      </c>
      <c r="F685" s="35" t="inlineStr">
        <is>
          <t>MediPlan</t>
        </is>
      </c>
      <c r="G685" s="35" t="inlineStr">
        <is>
          <t>Retorno</t>
        </is>
      </c>
      <c r="H685" s="35" t="inlineStr">
        <is>
          <t>Realizado</t>
        </is>
      </c>
      <c r="I685" s="35" t="inlineStr">
        <is>
          <t>Sem cobrança</t>
        </is>
      </c>
      <c r="J685" s="35" t="n"/>
      <c r="K685" s="34" t="n"/>
      <c r="L685" s="26">
        <f>IF(A685="","",MONTH(A685))</f>
        <v>8</v>
      </c>
      <c r="M685" s="26">
        <f>IF(A685="","",YEAR(A685))</f>
        <v>2026</v>
      </c>
      <c r="N685" s="26" t="str">
        <f>IF(A685="","",CHOOSE(WEEKDAY(A685,2),"Segunda","Terça","Quarta","Quinta","Sexta","Sábado","Domingo"))</f>
        <v>Segunda</v>
      </c>
      <c r="O685" s="26" t="str">
        <f>IF(B685="","",IF(B685&lt;TIME(12,0,0),"Manhã",IF(B685&lt;TIME(18,0,0),"Tarde","Noite")))</f>
        <v>Manhã</v>
      </c>
      <c r="P685" s="32">
        <f>IF(G685="","",IFERROR(INDEX(Config!$I$5:$I$16,MATCH(G685,Config!$H$5:$H$16,0)),0))</f>
        <v>0</v>
      </c>
      <c r="Q685" s="30">
        <f>IF(OR(H685&lt;&gt;"Realizado",P685="",P685=0),"",A685+P685)</f>
        <v/>
      </c>
      <c r="R685" s="26">
        <f>IF(Q685="","",IF(COUNTIFS($E$5:$E$3004,E685,$A$5:$A$3004,"&gt;"&amp;A685,$H$5:$H$3004,"&lt;&gt;Falta",$H$5:$H$3004,"&lt;&gt;Cancelado",$H$5:$H$3004,"&lt;&gt;Remarcado")&gt;0,"Sim","Não"))</f>
        <v/>
      </c>
      <c r="S685" s="32">
        <f>IF(R685&lt;&gt;"Não","",IF(Q685+Config!$B$9&lt;=Config!$B$8,Config!$B$8-Q685,""))</f>
        <v/>
      </c>
      <c r="T685" s="26">
        <f>IF(S685="","","Sim")</f>
        <v/>
      </c>
      <c r="U685" s="41">
        <f>IF(T685="Sim",S685+ROW()/100000,0)</f>
        <v>0</v>
      </c>
      <c r="V685" s="41">
        <f>IF(AND(H685="Falta",L685=Config!$B$7,M685=Config!$B$5,COUNTIFS($E$5:E685,E685,$H$5:H685,"Falta",$L$5:L685,Config!$B$7,$M$5:M685,Config!$B$5)=1),COUNTIFS($E$5:$E$3004,E685,$H$5:$H$3004,"Falta",$L$5:$L$3004,Config!$B$7,$M$5:$M$3004,Config!$B$5)*1000-ROW()/100000,0)</f>
        <v>0</v>
      </c>
    </row>
    <row r="686">
      <c r="A686" s="39" t="n">
        <v>46244</v>
      </c>
      <c r="B686" s="40" t="n">
        <v>0.4027777777777778</v>
      </c>
      <c r="C686" s="35" t="inlineStr">
        <is>
          <t>Dra. Carolina Mendes</t>
        </is>
      </c>
      <c r="D686" s="35" t="inlineStr">
        <is>
          <t>Sala 1</t>
        </is>
      </c>
      <c r="E686" s="34" t="inlineStr">
        <is>
          <t>Carlos Barros</t>
        </is>
      </c>
      <c r="F686" s="35" t="inlineStr">
        <is>
          <t>MediPlan</t>
        </is>
      </c>
      <c r="G686" s="35" t="inlineStr">
        <is>
          <t>Consulta</t>
        </is>
      </c>
      <c r="H686" s="35" t="inlineStr">
        <is>
          <t>Realizado</t>
        </is>
      </c>
      <c r="I686" s="35" t="inlineStr">
        <is>
          <t>Convênio</t>
        </is>
      </c>
      <c r="J686" s="35" t="n"/>
      <c r="K686" s="34" t="n"/>
      <c r="L686" s="26">
        <f>IF(A686="","",MONTH(A686))</f>
        <v>8</v>
      </c>
      <c r="M686" s="26">
        <f>IF(A686="","",YEAR(A686))</f>
        <v>2026</v>
      </c>
      <c r="N686" s="26" t="str">
        <f>IF(A686="","",CHOOSE(WEEKDAY(A686,2),"Segunda","Terça","Quarta","Quinta","Sexta","Sábado","Domingo"))</f>
        <v>Segunda</v>
      </c>
      <c r="O686" s="26" t="str">
        <f>IF(B686="","",IF(B686&lt;TIME(12,0,0),"Manhã",IF(B686&lt;TIME(18,0,0),"Tarde","Noite")))</f>
        <v>Manhã</v>
      </c>
      <c r="P686" s="32">
        <f>IF(G686="","",IFERROR(INDEX(Config!$I$5:$I$16,MATCH(G686,Config!$H$5:$H$16,0)),0))</f>
        <v>30</v>
      </c>
      <c r="Q686" s="30">
        <f>IF(OR(H686&lt;&gt;"Realizado",P686="",P686=0),"",A686+P686)</f>
        <v>46274.0</v>
      </c>
      <c r="R686" s="26" t="str">
        <f>IF(Q686="","",IF(COUNTIFS($E$5:$E$3004,E686,$A$5:$A$3004,"&gt;"&amp;A686,$H$5:$H$3004,"&lt;&gt;Falta",$H$5:$H$3004,"&lt;&gt;Cancelado",$H$5:$H$3004,"&lt;&gt;Remarcado")&gt;0,"Sim","Não"))</f>
        <v>Sim</v>
      </c>
      <c r="S686" s="32">
        <f>IF(R686&lt;&gt;"Não","",IF(Q686+Config!$B$9&lt;=Config!$B$8,Config!$B$8-Q686,""))</f>
        <v/>
      </c>
      <c r="T686" s="26">
        <f>IF(S686="","","Sim")</f>
        <v/>
      </c>
      <c r="U686" s="41">
        <f>IF(T686="Sim",S686+ROW()/100000,0)</f>
        <v>0</v>
      </c>
      <c r="V686" s="41">
        <f>IF(AND(H686="Falta",L686=Config!$B$7,M686=Config!$B$5,COUNTIFS($E$5:E686,E686,$H$5:H686,"Falta",$L$5:L686,Config!$B$7,$M$5:M686,Config!$B$5)=1),COUNTIFS($E$5:$E$3004,E686,$H$5:$H$3004,"Falta",$L$5:$L$3004,Config!$B$7,$M$5:$M$3004,Config!$B$5)*1000-ROW()/100000,0)</f>
        <v>0</v>
      </c>
    </row>
    <row r="687">
      <c r="A687" s="39" t="n">
        <v>46244</v>
      </c>
      <c r="B687" s="40" t="n">
        <v>0.4652777777777778</v>
      </c>
      <c r="C687" s="35" t="inlineStr">
        <is>
          <t>Dra. Carolina Mendes</t>
        </is>
      </c>
      <c r="D687" s="35" t="inlineStr">
        <is>
          <t>Sala 1</t>
        </is>
      </c>
      <c r="E687" s="34" t="inlineStr">
        <is>
          <t>Roberta Fernandes</t>
        </is>
      </c>
      <c r="F687" s="35" t="inlineStr">
        <is>
          <t>Saúde Total</t>
        </is>
      </c>
      <c r="G687" s="35" t="inlineStr">
        <is>
          <t>Consulta</t>
        </is>
      </c>
      <c r="H687" s="35" t="inlineStr">
        <is>
          <t>Realizado</t>
        </is>
      </c>
      <c r="I687" s="35" t="inlineStr">
        <is>
          <t>Convênio</t>
        </is>
      </c>
      <c r="J687" s="35" t="n"/>
      <c r="K687" s="34" t="n"/>
      <c r="L687" s="26">
        <f>IF(A687="","",MONTH(A687))</f>
        <v>8</v>
      </c>
      <c r="M687" s="26">
        <f>IF(A687="","",YEAR(A687))</f>
        <v>2026</v>
      </c>
      <c r="N687" s="26" t="str">
        <f>IF(A687="","",CHOOSE(WEEKDAY(A687,2),"Segunda","Terça","Quarta","Quinta","Sexta","Sábado","Domingo"))</f>
        <v>Segunda</v>
      </c>
      <c r="O687" s="26" t="str">
        <f>IF(B687="","",IF(B687&lt;TIME(12,0,0),"Manhã",IF(B687&lt;TIME(18,0,0),"Tarde","Noite")))</f>
        <v>Manhã</v>
      </c>
      <c r="P687" s="32">
        <f>IF(G687="","",IFERROR(INDEX(Config!$I$5:$I$16,MATCH(G687,Config!$H$5:$H$16,0)),0))</f>
        <v>30</v>
      </c>
      <c r="Q687" s="30">
        <f>IF(OR(H687&lt;&gt;"Realizado",P687="",P687=0),"",A687+P687)</f>
        <v>46274.0</v>
      </c>
      <c r="R687" s="26" t="str">
        <f>IF(Q687="","",IF(COUNTIFS($E$5:$E$3004,E687,$A$5:$A$3004,"&gt;"&amp;A687,$H$5:$H$3004,"&lt;&gt;Falta",$H$5:$H$3004,"&lt;&gt;Cancelado",$H$5:$H$3004,"&lt;&gt;Remarcado")&gt;0,"Sim","Não"))</f>
        <v>Sim</v>
      </c>
      <c r="S687" s="32">
        <f>IF(R687&lt;&gt;"Não","",IF(Q687+Config!$B$9&lt;=Config!$B$8,Config!$B$8-Q687,""))</f>
        <v/>
      </c>
      <c r="T687" s="26">
        <f>IF(S687="","","Sim")</f>
        <v/>
      </c>
      <c r="U687" s="41">
        <f>IF(T687="Sim",S687+ROW()/100000,0)</f>
        <v>0</v>
      </c>
      <c r="V687" s="41">
        <f>IF(AND(H687="Falta",L687=Config!$B$7,M687=Config!$B$5,COUNTIFS($E$5:E687,E687,$H$5:H687,"Falta",$L$5:L687,Config!$B$7,$M$5:M687,Config!$B$5)=1),COUNTIFS($E$5:$E$3004,E687,$H$5:$H$3004,"Falta",$L$5:$L$3004,Config!$B$7,$M$5:$M$3004,Config!$B$5)*1000-ROW()/100000,0)</f>
        <v>0</v>
      </c>
    </row>
    <row r="688">
      <c r="A688" s="39" t="n">
        <v>46244</v>
      </c>
      <c r="B688" s="40" t="n">
        <v>0.4861111111111111</v>
      </c>
      <c r="C688" s="35" t="inlineStr">
        <is>
          <t>Dra. Carolina Mendes</t>
        </is>
      </c>
      <c r="D688" s="35" t="inlineStr">
        <is>
          <t>Sala 1</t>
        </is>
      </c>
      <c r="E688" s="34" t="inlineStr">
        <is>
          <t>Gustavo Barbosa</t>
        </is>
      </c>
      <c r="F688" s="35" t="inlineStr">
        <is>
          <t>Saúde Total</t>
        </is>
      </c>
      <c r="G688" s="35" t="inlineStr">
        <is>
          <t>Consulta</t>
        </is>
      </c>
      <c r="H688" s="35" t="inlineStr">
        <is>
          <t>Falta</t>
        </is>
      </c>
      <c r="I688" s="35" t="n"/>
      <c r="J688" s="35" t="n"/>
      <c r="K688" s="34" t="n"/>
      <c r="L688" s="26">
        <f>IF(A688="","",MONTH(A688))</f>
        <v>8</v>
      </c>
      <c r="M688" s="26">
        <f>IF(A688="","",YEAR(A688))</f>
        <v>2026</v>
      </c>
      <c r="N688" s="26" t="str">
        <f>IF(A688="","",CHOOSE(WEEKDAY(A688,2),"Segunda","Terça","Quarta","Quinta","Sexta","Sábado","Domingo"))</f>
        <v>Segunda</v>
      </c>
      <c r="O688" s="26" t="str">
        <f>IF(B688="","",IF(B688&lt;TIME(12,0,0),"Manhã",IF(B688&lt;TIME(18,0,0),"Tarde","Noite")))</f>
        <v>Manhã</v>
      </c>
      <c r="P688" s="32">
        <f>IF(G688="","",IFERROR(INDEX(Config!$I$5:$I$16,MATCH(G688,Config!$H$5:$H$16,0)),0))</f>
        <v>30</v>
      </c>
      <c r="Q688" s="30">
        <f>IF(OR(H688&lt;&gt;"Realizado",P688="",P688=0),"",A688+P688)</f>
        <v/>
      </c>
      <c r="R688" s="26">
        <f>IF(Q688="","",IF(COUNTIFS($E$5:$E$3004,E688,$A$5:$A$3004,"&gt;"&amp;A688,$H$5:$H$3004,"&lt;&gt;Falta",$H$5:$H$3004,"&lt;&gt;Cancelado",$H$5:$H$3004,"&lt;&gt;Remarcado")&gt;0,"Sim","Não"))</f>
        <v/>
      </c>
      <c r="S688" s="32">
        <f>IF(R688&lt;&gt;"Não","",IF(Q688+Config!$B$9&lt;=Config!$B$8,Config!$B$8-Q688,""))</f>
        <v/>
      </c>
      <c r="T688" s="26">
        <f>IF(S688="","","Sim")</f>
        <v/>
      </c>
      <c r="U688" s="41">
        <f>IF(T688="Sim",S688+ROW()/100000,0)</f>
        <v>0</v>
      </c>
      <c r="V688" s="41">
        <f>IF(AND(H688="Falta",L688=Config!$B$7,M688=Config!$B$5,COUNTIFS($E$5:E688,E688,$H$5:H688,"Falta",$L$5:L688,Config!$B$7,$M$5:M688,Config!$B$5)=1),COUNTIFS($E$5:$E$3004,E688,$H$5:$H$3004,"Falta",$L$5:$L$3004,Config!$B$7,$M$5:$M$3004,Config!$B$5)*1000-ROW()/100000,0)</f>
        <v>0</v>
      </c>
    </row>
    <row r="689">
      <c r="A689" s="39" t="n">
        <v>46244</v>
      </c>
      <c r="B689" s="40" t="n">
        <v>0.5833333333333334</v>
      </c>
      <c r="C689" s="35" t="inlineStr">
        <is>
          <t>Dr. Paulo Andrade</t>
        </is>
      </c>
      <c r="D689" s="35" t="inlineStr">
        <is>
          <t>Sala 2</t>
        </is>
      </c>
      <c r="E689" s="34" t="inlineStr">
        <is>
          <t>Natália Xavier</t>
        </is>
      </c>
      <c r="F689" s="35" t="inlineStr">
        <is>
          <t>MediPlan</t>
        </is>
      </c>
      <c r="G689" s="35" t="inlineStr">
        <is>
          <t>Retorno</t>
        </is>
      </c>
      <c r="H689" s="35" t="inlineStr">
        <is>
          <t>Realizado</t>
        </is>
      </c>
      <c r="I689" s="35" t="inlineStr">
        <is>
          <t>Sem cobrança</t>
        </is>
      </c>
      <c r="J689" s="35" t="n"/>
      <c r="K689" s="34" t="n"/>
      <c r="L689" s="26">
        <f>IF(A689="","",MONTH(A689))</f>
        <v>8</v>
      </c>
      <c r="M689" s="26">
        <f>IF(A689="","",YEAR(A689))</f>
        <v>2026</v>
      </c>
      <c r="N689" s="26" t="str">
        <f>IF(A689="","",CHOOSE(WEEKDAY(A689,2),"Segunda","Terça","Quarta","Quinta","Sexta","Sábado","Domingo"))</f>
        <v>Segunda</v>
      </c>
      <c r="O689" s="26" t="str">
        <f>IF(B689="","",IF(B689&lt;TIME(12,0,0),"Manhã",IF(B689&lt;TIME(18,0,0),"Tarde","Noite")))</f>
        <v>Tarde</v>
      </c>
      <c r="P689" s="32">
        <f>IF(G689="","",IFERROR(INDEX(Config!$I$5:$I$16,MATCH(G689,Config!$H$5:$H$16,0)),0))</f>
        <v>0</v>
      </c>
      <c r="Q689" s="30">
        <f>IF(OR(H689&lt;&gt;"Realizado",P689="",P689=0),"",A689+P689)</f>
        <v/>
      </c>
      <c r="R689" s="26">
        <f>IF(Q689="","",IF(COUNTIFS($E$5:$E$3004,E689,$A$5:$A$3004,"&gt;"&amp;A689,$H$5:$H$3004,"&lt;&gt;Falta",$H$5:$H$3004,"&lt;&gt;Cancelado",$H$5:$H$3004,"&lt;&gt;Remarcado")&gt;0,"Sim","Não"))</f>
        <v/>
      </c>
      <c r="S689" s="32">
        <f>IF(R689&lt;&gt;"Não","",IF(Q689+Config!$B$9&lt;=Config!$B$8,Config!$B$8-Q689,""))</f>
        <v/>
      </c>
      <c r="T689" s="26">
        <f>IF(S689="","","Sim")</f>
        <v/>
      </c>
      <c r="U689" s="41">
        <f>IF(T689="Sim",S689+ROW()/100000,0)</f>
        <v>0</v>
      </c>
      <c r="V689" s="41">
        <f>IF(AND(H689="Falta",L689=Config!$B$7,M689=Config!$B$5,COUNTIFS($E$5:E689,E689,$H$5:H689,"Falta",$L$5:L689,Config!$B$7,$M$5:M689,Config!$B$5)=1),COUNTIFS($E$5:$E$3004,E689,$H$5:$H$3004,"Falta",$L$5:$L$3004,Config!$B$7,$M$5:$M$3004,Config!$B$5)*1000-ROW()/100000,0)</f>
        <v>0</v>
      </c>
    </row>
    <row r="690">
      <c r="A690" s="39" t="n">
        <v>46244</v>
      </c>
      <c r="B690" s="40" t="n">
        <v>0.5972222222222222</v>
      </c>
      <c r="C690" s="35" t="inlineStr">
        <is>
          <t>Dr. Paulo Andrade</t>
        </is>
      </c>
      <c r="D690" s="35" t="inlineStr">
        <is>
          <t>Sala 2</t>
        </is>
      </c>
      <c r="E690" s="34" t="inlineStr">
        <is>
          <t>Helena Ribeiro</t>
        </is>
      </c>
      <c r="F690" s="35" t="inlineStr">
        <is>
          <t>MediPlan</t>
        </is>
      </c>
      <c r="G690" s="35" t="inlineStr">
        <is>
          <t>Consulta</t>
        </is>
      </c>
      <c r="H690" s="35" t="inlineStr">
        <is>
          <t>Realizado</t>
        </is>
      </c>
      <c r="I690" s="35" t="inlineStr">
        <is>
          <t>Convênio</t>
        </is>
      </c>
      <c r="J690" s="35" t="n"/>
      <c r="K690" s="34" t="n"/>
      <c r="L690" s="26">
        <f>IF(A690="","",MONTH(A690))</f>
        <v>8</v>
      </c>
      <c r="M690" s="26">
        <f>IF(A690="","",YEAR(A690))</f>
        <v>2026</v>
      </c>
      <c r="N690" s="26" t="str">
        <f>IF(A690="","",CHOOSE(WEEKDAY(A690,2),"Segunda","Terça","Quarta","Quinta","Sexta","Sábado","Domingo"))</f>
        <v>Segunda</v>
      </c>
      <c r="O690" s="26" t="str">
        <f>IF(B690="","",IF(B690&lt;TIME(12,0,0),"Manhã",IF(B690&lt;TIME(18,0,0),"Tarde","Noite")))</f>
        <v>Tarde</v>
      </c>
      <c r="P690" s="32">
        <f>IF(G690="","",IFERROR(INDEX(Config!$I$5:$I$16,MATCH(G690,Config!$H$5:$H$16,0)),0))</f>
        <v>30</v>
      </c>
      <c r="Q690" s="30">
        <f>IF(OR(H690&lt;&gt;"Realizado",P690="",P690=0),"",A690+P690)</f>
        <v>46274.0</v>
      </c>
      <c r="R690" s="26" t="str">
        <f>IF(Q690="","",IF(COUNTIFS($E$5:$E$3004,E690,$A$5:$A$3004,"&gt;"&amp;A690,$H$5:$H$3004,"&lt;&gt;Falta",$H$5:$H$3004,"&lt;&gt;Cancelado",$H$5:$H$3004,"&lt;&gt;Remarcado")&gt;0,"Sim","Não"))</f>
        <v>Sim</v>
      </c>
      <c r="S690" s="32">
        <f>IF(R690&lt;&gt;"Não","",IF(Q690+Config!$B$9&lt;=Config!$B$8,Config!$B$8-Q690,""))</f>
        <v/>
      </c>
      <c r="T690" s="26">
        <f>IF(S690="","","Sim")</f>
        <v/>
      </c>
      <c r="U690" s="41">
        <f>IF(T690="Sim",S690+ROW()/100000,0)</f>
        <v>0</v>
      </c>
      <c r="V690" s="41">
        <f>IF(AND(H690="Falta",L690=Config!$B$7,M690=Config!$B$5,COUNTIFS($E$5:E690,E690,$H$5:H690,"Falta",$L$5:L690,Config!$B$7,$M$5:M690,Config!$B$5)=1),COUNTIFS($E$5:$E$3004,E690,$H$5:$H$3004,"Falta",$L$5:$L$3004,Config!$B$7,$M$5:$M$3004,Config!$B$5)*1000-ROW()/100000,0)</f>
        <v>0</v>
      </c>
    </row>
    <row r="691">
      <c r="A691" s="39" t="n">
        <v>46244</v>
      </c>
      <c r="B691" s="40" t="n">
        <v>0.6388888888888888</v>
      </c>
      <c r="C691" s="35" t="inlineStr">
        <is>
          <t>Dr. Paulo Andrade</t>
        </is>
      </c>
      <c r="D691" s="35" t="inlineStr">
        <is>
          <t>Sala 2</t>
        </is>
      </c>
      <c r="E691" s="34" t="inlineStr">
        <is>
          <t>Marcelo Moreira</t>
        </is>
      </c>
      <c r="F691" s="35" t="inlineStr">
        <is>
          <t>Particular</t>
        </is>
      </c>
      <c r="G691" s="35" t="inlineStr">
        <is>
          <t>Holter</t>
        </is>
      </c>
      <c r="H691" s="35" t="inlineStr">
        <is>
          <t>Realizado</t>
        </is>
      </c>
      <c r="I691" s="35" t="inlineStr">
        <is>
          <t>Cartão de débito</t>
        </is>
      </c>
      <c r="J691" s="35" t="n"/>
      <c r="K691" s="34" t="n"/>
      <c r="L691" s="26">
        <f>IF(A691="","",MONTH(A691))</f>
        <v>8</v>
      </c>
      <c r="M691" s="26">
        <f>IF(A691="","",YEAR(A691))</f>
        <v>2026</v>
      </c>
      <c r="N691" s="26" t="str">
        <f>IF(A691="","",CHOOSE(WEEKDAY(A691,2),"Segunda","Terça","Quarta","Quinta","Sexta","Sábado","Domingo"))</f>
        <v>Segunda</v>
      </c>
      <c r="O691" s="26" t="str">
        <f>IF(B691="","",IF(B691&lt;TIME(12,0,0),"Manhã",IF(B691&lt;TIME(18,0,0),"Tarde","Noite")))</f>
        <v>Tarde</v>
      </c>
      <c r="P691" s="32">
        <f>IF(G691="","",IFERROR(INDEX(Config!$I$5:$I$16,MATCH(G691,Config!$H$5:$H$16,0)),0))</f>
        <v>0</v>
      </c>
      <c r="Q691" s="30">
        <f>IF(OR(H691&lt;&gt;"Realizado",P691="",P691=0),"",A691+P691)</f>
        <v/>
      </c>
      <c r="R691" s="26">
        <f>IF(Q691="","",IF(COUNTIFS($E$5:$E$3004,E691,$A$5:$A$3004,"&gt;"&amp;A691,$H$5:$H$3004,"&lt;&gt;Falta",$H$5:$H$3004,"&lt;&gt;Cancelado",$H$5:$H$3004,"&lt;&gt;Remarcado")&gt;0,"Sim","Não"))</f>
        <v/>
      </c>
      <c r="S691" s="32">
        <f>IF(R691&lt;&gt;"Não","",IF(Q691+Config!$B$9&lt;=Config!$B$8,Config!$B$8-Q691,""))</f>
        <v/>
      </c>
      <c r="T691" s="26">
        <f>IF(S691="","","Sim")</f>
        <v/>
      </c>
      <c r="U691" s="41">
        <f>IF(T691="Sim",S691+ROW()/100000,0)</f>
        <v>0</v>
      </c>
      <c r="V691" s="41">
        <f>IF(AND(H691="Falta",L691=Config!$B$7,M691=Config!$B$5,COUNTIFS($E$5:E691,E691,$H$5:H691,"Falta",$L$5:L691,Config!$B$7,$M$5:M691,Config!$B$5)=1),COUNTIFS($E$5:$E$3004,E691,$H$5:$H$3004,"Falta",$L$5:$L$3004,Config!$B$7,$M$5:$M$3004,Config!$B$5)*1000-ROW()/100000,0)</f>
        <v>0</v>
      </c>
    </row>
    <row r="692">
      <c r="A692" s="39" t="n">
        <v>46244</v>
      </c>
      <c r="B692" s="40" t="n">
        <v>0.6527777777777778</v>
      </c>
      <c r="C692" s="35" t="inlineStr">
        <is>
          <t>Dr. Paulo Andrade</t>
        </is>
      </c>
      <c r="D692" s="35" t="inlineStr">
        <is>
          <t>Sala 2</t>
        </is>
      </c>
      <c r="E692" s="34" t="inlineStr">
        <is>
          <t>Otávio Martins</t>
        </is>
      </c>
      <c r="F692" s="35" t="inlineStr">
        <is>
          <t>MediPlan</t>
        </is>
      </c>
      <c r="G692" s="35" t="inlineStr">
        <is>
          <t>Consulta</t>
        </is>
      </c>
      <c r="H692" s="35" t="inlineStr">
        <is>
          <t>Realizado</t>
        </is>
      </c>
      <c r="I692" s="35" t="inlineStr">
        <is>
          <t>Convênio</t>
        </is>
      </c>
      <c r="J692" s="35" t="n"/>
      <c r="K692" s="34" t="n"/>
      <c r="L692" s="26">
        <f>IF(A692="","",MONTH(A692))</f>
        <v>8</v>
      </c>
      <c r="M692" s="26">
        <f>IF(A692="","",YEAR(A692))</f>
        <v>2026</v>
      </c>
      <c r="N692" s="26" t="str">
        <f>IF(A692="","",CHOOSE(WEEKDAY(A692,2),"Segunda","Terça","Quarta","Quinta","Sexta","Sábado","Domingo"))</f>
        <v>Segunda</v>
      </c>
      <c r="O692" s="26" t="str">
        <f>IF(B692="","",IF(B692&lt;TIME(12,0,0),"Manhã",IF(B692&lt;TIME(18,0,0),"Tarde","Noite")))</f>
        <v>Tarde</v>
      </c>
      <c r="P692" s="32">
        <f>IF(G692="","",IFERROR(INDEX(Config!$I$5:$I$16,MATCH(G692,Config!$H$5:$H$16,0)),0))</f>
        <v>30</v>
      </c>
      <c r="Q692" s="30">
        <f>IF(OR(H692&lt;&gt;"Realizado",P692="",P692=0),"",A692+P692)</f>
        <v>46274.0</v>
      </c>
      <c r="R692" s="26" t="str">
        <f>IF(Q692="","",IF(COUNTIFS($E$5:$E$3004,E692,$A$5:$A$3004,"&gt;"&amp;A692,$H$5:$H$3004,"&lt;&gt;Falta",$H$5:$H$3004,"&lt;&gt;Cancelado",$H$5:$H$3004,"&lt;&gt;Remarcado")&gt;0,"Sim","Não"))</f>
        <v>Sim</v>
      </c>
      <c r="S692" s="32">
        <f>IF(R692&lt;&gt;"Não","",IF(Q692+Config!$B$9&lt;=Config!$B$8,Config!$B$8-Q692,""))</f>
        <v/>
      </c>
      <c r="T692" s="26">
        <f>IF(S692="","","Sim")</f>
        <v/>
      </c>
      <c r="U692" s="41">
        <f>IF(T692="Sim",S692+ROW()/100000,0)</f>
        <v>0</v>
      </c>
      <c r="V692" s="41">
        <f>IF(AND(H692="Falta",L692=Config!$B$7,M692=Config!$B$5,COUNTIFS($E$5:E692,E692,$H$5:H692,"Falta",$L$5:L692,Config!$B$7,$M$5:M692,Config!$B$5)=1),COUNTIFS($E$5:$E$3004,E692,$H$5:$H$3004,"Falta",$L$5:$L$3004,Config!$B$7,$M$5:$M$3004,Config!$B$5)*1000-ROW()/100000,0)</f>
        <v>0</v>
      </c>
    </row>
    <row r="693">
      <c r="A693" s="39" t="n">
        <v>46244</v>
      </c>
      <c r="B693" s="40" t="n">
        <v>0.6736111111111112</v>
      </c>
      <c r="C693" s="35" t="inlineStr">
        <is>
          <t>Dr. Paulo Andrade</t>
        </is>
      </c>
      <c r="D693" s="35" t="inlineStr">
        <is>
          <t>Sala 2</t>
        </is>
      </c>
      <c r="E693" s="34" t="inlineStr">
        <is>
          <t>Marcelo Santos</t>
        </is>
      </c>
      <c r="F693" s="35" t="inlineStr">
        <is>
          <t>Particular</t>
        </is>
      </c>
      <c r="G693" s="35" t="inlineStr">
        <is>
          <t>ECG</t>
        </is>
      </c>
      <c r="H693" s="35" t="inlineStr">
        <is>
          <t>Realizado</t>
        </is>
      </c>
      <c r="I693" s="35" t="inlineStr">
        <is>
          <t>Pix</t>
        </is>
      </c>
      <c r="J693" s="35" t="n"/>
      <c r="K693" s="34" t="n"/>
      <c r="L693" s="26">
        <f>IF(A693="","",MONTH(A693))</f>
        <v>8</v>
      </c>
      <c r="M693" s="26">
        <f>IF(A693="","",YEAR(A693))</f>
        <v>2026</v>
      </c>
      <c r="N693" s="26" t="str">
        <f>IF(A693="","",CHOOSE(WEEKDAY(A693,2),"Segunda","Terça","Quarta","Quinta","Sexta","Sábado","Domingo"))</f>
        <v>Segunda</v>
      </c>
      <c r="O693" s="26" t="str">
        <f>IF(B693="","",IF(B693&lt;TIME(12,0,0),"Manhã",IF(B693&lt;TIME(18,0,0),"Tarde","Noite")))</f>
        <v>Tarde</v>
      </c>
      <c r="P693" s="32">
        <f>IF(G693="","",IFERROR(INDEX(Config!$I$5:$I$16,MATCH(G693,Config!$H$5:$H$16,0)),0))</f>
        <v>0</v>
      </c>
      <c r="Q693" s="30">
        <f>IF(OR(H693&lt;&gt;"Realizado",P693="",P693=0),"",A693+P693)</f>
        <v/>
      </c>
      <c r="R693" s="26">
        <f>IF(Q693="","",IF(COUNTIFS($E$5:$E$3004,E693,$A$5:$A$3004,"&gt;"&amp;A693,$H$5:$H$3004,"&lt;&gt;Falta",$H$5:$H$3004,"&lt;&gt;Cancelado",$H$5:$H$3004,"&lt;&gt;Remarcado")&gt;0,"Sim","Não"))</f>
        <v/>
      </c>
      <c r="S693" s="32">
        <f>IF(R693&lt;&gt;"Não","",IF(Q693+Config!$B$9&lt;=Config!$B$8,Config!$B$8-Q693,""))</f>
        <v/>
      </c>
      <c r="T693" s="26">
        <f>IF(S693="","","Sim")</f>
        <v/>
      </c>
      <c r="U693" s="41">
        <f>IF(T693="Sim",S693+ROW()/100000,0)</f>
        <v>0</v>
      </c>
      <c r="V693" s="41">
        <f>IF(AND(H693="Falta",L693=Config!$B$7,M693=Config!$B$5,COUNTIFS($E$5:E693,E693,$H$5:H693,"Falta",$L$5:L693,Config!$B$7,$M$5:M693,Config!$B$5)=1),COUNTIFS($E$5:$E$3004,E693,$H$5:$H$3004,"Falta",$L$5:$L$3004,Config!$B$7,$M$5:$M$3004,Config!$B$5)*1000-ROW()/100000,0)</f>
        <v>0</v>
      </c>
    </row>
    <row r="694">
      <c r="A694" s="39" t="n">
        <v>46244</v>
      </c>
      <c r="B694" s="40" t="n">
        <v>0.7083333333333334</v>
      </c>
      <c r="C694" s="35" t="inlineStr">
        <is>
          <t>Dr. Paulo Andrade</t>
        </is>
      </c>
      <c r="D694" s="35" t="inlineStr">
        <is>
          <t>Sala 2</t>
        </is>
      </c>
      <c r="E694" s="34" t="inlineStr">
        <is>
          <t>Rafael Correia</t>
        </is>
      </c>
      <c r="F694" s="35" t="inlineStr">
        <is>
          <t>Particular</t>
        </is>
      </c>
      <c r="G694" s="35" t="inlineStr">
        <is>
          <t>Consulta</t>
        </is>
      </c>
      <c r="H694" s="35" t="inlineStr">
        <is>
          <t>Realizado</t>
        </is>
      </c>
      <c r="I694" s="35" t="inlineStr">
        <is>
          <t>Cartão de crédito</t>
        </is>
      </c>
      <c r="J694" s="35" t="n"/>
      <c r="K694" s="34" t="n"/>
      <c r="L694" s="26">
        <f>IF(A694="","",MONTH(A694))</f>
        <v>8</v>
      </c>
      <c r="M694" s="26">
        <f>IF(A694="","",YEAR(A694))</f>
        <v>2026</v>
      </c>
      <c r="N694" s="26" t="str">
        <f>IF(A694="","",CHOOSE(WEEKDAY(A694,2),"Segunda","Terça","Quarta","Quinta","Sexta","Sábado","Domingo"))</f>
        <v>Segunda</v>
      </c>
      <c r="O694" s="26" t="str">
        <f>IF(B694="","",IF(B694&lt;TIME(12,0,0),"Manhã",IF(B694&lt;TIME(18,0,0),"Tarde","Noite")))</f>
        <v>Tarde</v>
      </c>
      <c r="P694" s="32">
        <f>IF(G694="","",IFERROR(INDEX(Config!$I$5:$I$16,MATCH(G694,Config!$H$5:$H$16,0)),0))</f>
        <v>30</v>
      </c>
      <c r="Q694" s="30">
        <f>IF(OR(H694&lt;&gt;"Realizado",P694="",P694=0),"",A694+P694)</f>
        <v>46274.0</v>
      </c>
      <c r="R694" s="26" t="str">
        <f>IF(Q694="","",IF(COUNTIFS($E$5:$E$3004,E694,$A$5:$A$3004,"&gt;"&amp;A694,$H$5:$H$3004,"&lt;&gt;Falta",$H$5:$H$3004,"&lt;&gt;Cancelado",$H$5:$H$3004,"&lt;&gt;Remarcado")&gt;0,"Sim","Não"))</f>
        <v>Sim</v>
      </c>
      <c r="S694" s="32">
        <f>IF(R694&lt;&gt;"Não","",IF(Q694+Config!$B$9&lt;=Config!$B$8,Config!$B$8-Q694,""))</f>
        <v/>
      </c>
      <c r="T694" s="26">
        <f>IF(S694="","","Sim")</f>
        <v/>
      </c>
      <c r="U694" s="41">
        <f>IF(T694="Sim",S694+ROW()/100000,0)</f>
        <v>0</v>
      </c>
      <c r="V694" s="41">
        <f>IF(AND(H694="Falta",L694=Config!$B$7,M694=Config!$B$5,COUNTIFS($E$5:E694,E694,$H$5:H694,"Falta",$L$5:L694,Config!$B$7,$M$5:M694,Config!$B$5)=1),COUNTIFS($E$5:$E$3004,E694,$H$5:$H$3004,"Falta",$L$5:$L$3004,Config!$B$7,$M$5:$M$3004,Config!$B$5)*1000-ROW()/100000,0)</f>
        <v>0</v>
      </c>
    </row>
    <row r="695">
      <c r="A695" s="39" t="n">
        <v>46244</v>
      </c>
      <c r="B695" s="40" t="n">
        <v>0.7291666666666666</v>
      </c>
      <c r="C695" s="35" t="inlineStr">
        <is>
          <t>Dr. Paulo Andrade</t>
        </is>
      </c>
      <c r="D695" s="35" t="inlineStr">
        <is>
          <t>Sala 2</t>
        </is>
      </c>
      <c r="E695" s="34" t="inlineStr">
        <is>
          <t>Sérgio Teixeira</t>
        </is>
      </c>
      <c r="F695" s="35" t="inlineStr">
        <is>
          <t>MediPlan</t>
        </is>
      </c>
      <c r="G695" s="35" t="inlineStr">
        <is>
          <t>Retorno</t>
        </is>
      </c>
      <c r="H695" s="35" t="inlineStr">
        <is>
          <t>Realizado</t>
        </is>
      </c>
      <c r="I695" s="35" t="inlineStr">
        <is>
          <t>Sem cobrança</t>
        </is>
      </c>
      <c r="J695" s="35" t="n"/>
      <c r="K695" s="34" t="n"/>
      <c r="L695" s="26">
        <f>IF(A695="","",MONTH(A695))</f>
        <v>8</v>
      </c>
      <c r="M695" s="26">
        <f>IF(A695="","",YEAR(A695))</f>
        <v>2026</v>
      </c>
      <c r="N695" s="26" t="str">
        <f>IF(A695="","",CHOOSE(WEEKDAY(A695,2),"Segunda","Terça","Quarta","Quinta","Sexta","Sábado","Domingo"))</f>
        <v>Segunda</v>
      </c>
      <c r="O695" s="26" t="str">
        <f>IF(B695="","",IF(B695&lt;TIME(12,0,0),"Manhã",IF(B695&lt;TIME(18,0,0),"Tarde","Noite")))</f>
        <v>Tarde</v>
      </c>
      <c r="P695" s="32">
        <f>IF(G695="","",IFERROR(INDEX(Config!$I$5:$I$16,MATCH(G695,Config!$H$5:$H$16,0)),0))</f>
        <v>0</v>
      </c>
      <c r="Q695" s="30">
        <f>IF(OR(H695&lt;&gt;"Realizado",P695="",P695=0),"",A695+P695)</f>
        <v/>
      </c>
      <c r="R695" s="26">
        <f>IF(Q695="","",IF(COUNTIFS($E$5:$E$3004,E695,$A$5:$A$3004,"&gt;"&amp;A695,$H$5:$H$3004,"&lt;&gt;Falta",$H$5:$H$3004,"&lt;&gt;Cancelado",$H$5:$H$3004,"&lt;&gt;Remarcado")&gt;0,"Sim","Não"))</f>
        <v/>
      </c>
      <c r="S695" s="32">
        <f>IF(R695&lt;&gt;"Não","",IF(Q695+Config!$B$9&lt;=Config!$B$8,Config!$B$8-Q695,""))</f>
        <v/>
      </c>
      <c r="T695" s="26">
        <f>IF(S695="","","Sim")</f>
        <v/>
      </c>
      <c r="U695" s="41">
        <f>IF(T695="Sim",S695+ROW()/100000,0)</f>
        <v>0</v>
      </c>
      <c r="V695" s="41">
        <f>IF(AND(H695="Falta",L695=Config!$B$7,M695=Config!$B$5,COUNTIFS($E$5:E695,E695,$H$5:H695,"Falta",$L$5:L695,Config!$B$7,$M$5:M695,Config!$B$5)=1),COUNTIFS($E$5:$E$3004,E695,$H$5:$H$3004,"Falta",$L$5:$L$3004,Config!$B$7,$M$5:$M$3004,Config!$B$5)*1000-ROW()/100000,0)</f>
        <v>0</v>
      </c>
    </row>
    <row r="696">
      <c r="A696" s="39" t="n">
        <v>46245</v>
      </c>
      <c r="B696" s="40" t="n">
        <v>0.3333333333333333</v>
      </c>
      <c r="C696" s="35" t="inlineStr">
        <is>
          <t>Dra. Carolina Mendes</t>
        </is>
      </c>
      <c r="D696" s="35" t="inlineStr">
        <is>
          <t>Sala 1</t>
        </is>
      </c>
      <c r="E696" s="34" t="inlineStr">
        <is>
          <t>Gisele Ribeiro</t>
        </is>
      </c>
      <c r="F696" s="35" t="inlineStr">
        <is>
          <t>Particular</t>
        </is>
      </c>
      <c r="G696" s="35" t="inlineStr">
        <is>
          <t>Retorno</t>
        </is>
      </c>
      <c r="H696" s="35" t="inlineStr">
        <is>
          <t>Realizado</t>
        </is>
      </c>
      <c r="I696" s="35" t="inlineStr">
        <is>
          <t>Sem cobrança</t>
        </is>
      </c>
      <c r="J696" s="35" t="n"/>
      <c r="K696" s="34" t="n"/>
      <c r="L696" s="26">
        <f>IF(A696="","",MONTH(A696))</f>
        <v>8</v>
      </c>
      <c r="M696" s="26">
        <f>IF(A696="","",YEAR(A696))</f>
        <v>2026</v>
      </c>
      <c r="N696" s="26" t="str">
        <f>IF(A696="","",CHOOSE(WEEKDAY(A696,2),"Segunda","Terça","Quarta","Quinta","Sexta","Sábado","Domingo"))</f>
        <v>Terça</v>
      </c>
      <c r="O696" s="26" t="str">
        <f>IF(B696="","",IF(B696&lt;TIME(12,0,0),"Manhã",IF(B696&lt;TIME(18,0,0),"Tarde","Noite")))</f>
        <v>Manhã</v>
      </c>
      <c r="P696" s="32">
        <f>IF(G696="","",IFERROR(INDEX(Config!$I$5:$I$16,MATCH(G696,Config!$H$5:$H$16,0)),0))</f>
        <v>0</v>
      </c>
      <c r="Q696" s="30">
        <f>IF(OR(H696&lt;&gt;"Realizado",P696="",P696=0),"",A696+P696)</f>
        <v/>
      </c>
      <c r="R696" s="26">
        <f>IF(Q696="","",IF(COUNTIFS($E$5:$E$3004,E696,$A$5:$A$3004,"&gt;"&amp;A696,$H$5:$H$3004,"&lt;&gt;Falta",$H$5:$H$3004,"&lt;&gt;Cancelado",$H$5:$H$3004,"&lt;&gt;Remarcado")&gt;0,"Sim","Não"))</f>
        <v/>
      </c>
      <c r="S696" s="32">
        <f>IF(R696&lt;&gt;"Não","",IF(Q696+Config!$B$9&lt;=Config!$B$8,Config!$B$8-Q696,""))</f>
        <v/>
      </c>
      <c r="T696" s="26">
        <f>IF(S696="","","Sim")</f>
        <v/>
      </c>
      <c r="U696" s="41">
        <f>IF(T696="Sim",S696+ROW()/100000,0)</f>
        <v>0</v>
      </c>
      <c r="V696" s="41">
        <f>IF(AND(H696="Falta",L696=Config!$B$7,M696=Config!$B$5,COUNTIFS($E$5:E696,E696,$H$5:H696,"Falta",$L$5:L696,Config!$B$7,$M$5:M696,Config!$B$5)=1),COUNTIFS($E$5:$E$3004,E696,$H$5:$H$3004,"Falta",$L$5:$L$3004,Config!$B$7,$M$5:$M$3004,Config!$B$5)*1000-ROW()/100000,0)</f>
        <v>0</v>
      </c>
    </row>
    <row r="697">
      <c r="A697" s="39" t="n">
        <v>46245</v>
      </c>
      <c r="B697" s="40" t="n">
        <v>0.3472222222222222</v>
      </c>
      <c r="C697" s="35" t="inlineStr">
        <is>
          <t>Dra. Carolina Mendes</t>
        </is>
      </c>
      <c r="D697" s="35" t="inlineStr">
        <is>
          <t>Sala 1</t>
        </is>
      </c>
      <c r="E697" s="34" t="inlineStr">
        <is>
          <t>Wagner Santos</t>
        </is>
      </c>
      <c r="F697" s="35" t="inlineStr">
        <is>
          <t>Particular</t>
        </is>
      </c>
      <c r="G697" s="35" t="inlineStr">
        <is>
          <t>Retorno</t>
        </is>
      </c>
      <c r="H697" s="35" t="inlineStr">
        <is>
          <t>Realizado</t>
        </is>
      </c>
      <c r="I697" s="35" t="inlineStr">
        <is>
          <t>Sem cobrança</t>
        </is>
      </c>
      <c r="J697" s="35" t="n"/>
      <c r="K697" s="34" t="n"/>
      <c r="L697" s="26">
        <f>IF(A697="","",MONTH(A697))</f>
        <v>8</v>
      </c>
      <c r="M697" s="26">
        <f>IF(A697="","",YEAR(A697))</f>
        <v>2026</v>
      </c>
      <c r="N697" s="26" t="str">
        <f>IF(A697="","",CHOOSE(WEEKDAY(A697,2),"Segunda","Terça","Quarta","Quinta","Sexta","Sábado","Domingo"))</f>
        <v>Terça</v>
      </c>
      <c r="O697" s="26" t="str">
        <f>IF(B697="","",IF(B697&lt;TIME(12,0,0),"Manhã",IF(B697&lt;TIME(18,0,0),"Tarde","Noite")))</f>
        <v>Manhã</v>
      </c>
      <c r="P697" s="32">
        <f>IF(G697="","",IFERROR(INDEX(Config!$I$5:$I$16,MATCH(G697,Config!$H$5:$H$16,0)),0))</f>
        <v>0</v>
      </c>
      <c r="Q697" s="30">
        <f>IF(OR(H697&lt;&gt;"Realizado",P697="",P697=0),"",A697+P697)</f>
        <v/>
      </c>
      <c r="R697" s="26">
        <f>IF(Q697="","",IF(COUNTIFS($E$5:$E$3004,E697,$A$5:$A$3004,"&gt;"&amp;A697,$H$5:$H$3004,"&lt;&gt;Falta",$H$5:$H$3004,"&lt;&gt;Cancelado",$H$5:$H$3004,"&lt;&gt;Remarcado")&gt;0,"Sim","Não"))</f>
        <v/>
      </c>
      <c r="S697" s="32">
        <f>IF(R697&lt;&gt;"Não","",IF(Q697+Config!$B$9&lt;=Config!$B$8,Config!$B$8-Q697,""))</f>
        <v/>
      </c>
      <c r="T697" s="26">
        <f>IF(S697="","","Sim")</f>
        <v/>
      </c>
      <c r="U697" s="41">
        <f>IF(T697="Sim",S697+ROW()/100000,0)</f>
        <v>0</v>
      </c>
      <c r="V697" s="41">
        <f>IF(AND(H697="Falta",L697=Config!$B$7,M697=Config!$B$5,COUNTIFS($E$5:E697,E697,$H$5:H697,"Falta",$L$5:L697,Config!$B$7,$M$5:M697,Config!$B$5)=1),COUNTIFS($E$5:$E$3004,E697,$H$5:$H$3004,"Falta",$L$5:$L$3004,Config!$B$7,$M$5:$M$3004,Config!$B$5)*1000-ROW()/100000,0)</f>
        <v>0</v>
      </c>
    </row>
    <row r="698">
      <c r="A698" s="39" t="n">
        <v>46245</v>
      </c>
      <c r="B698" s="40" t="n">
        <v>0.3611111111111111</v>
      </c>
      <c r="C698" s="35" t="inlineStr">
        <is>
          <t>Dra. Carolina Mendes</t>
        </is>
      </c>
      <c r="D698" s="35" t="inlineStr">
        <is>
          <t>Sala 1</t>
        </is>
      </c>
      <c r="E698" s="34" t="inlineStr">
        <is>
          <t>Mônica Batista</t>
        </is>
      </c>
      <c r="F698" s="35" t="inlineStr">
        <is>
          <t>MediPlan</t>
        </is>
      </c>
      <c r="G698" s="35" t="inlineStr">
        <is>
          <t>Consulta</t>
        </is>
      </c>
      <c r="H698" s="35" t="inlineStr">
        <is>
          <t>Remarcado</t>
        </is>
      </c>
      <c r="I698" s="35" t="n"/>
      <c r="J698" s="35" t="n"/>
      <c r="K698" s="34" t="inlineStr">
        <is>
          <t>Paciente pediu outra data</t>
        </is>
      </c>
      <c r="L698" s="26">
        <f>IF(A698="","",MONTH(A698))</f>
        <v>8</v>
      </c>
      <c r="M698" s="26">
        <f>IF(A698="","",YEAR(A698))</f>
        <v>2026</v>
      </c>
      <c r="N698" s="26" t="str">
        <f>IF(A698="","",CHOOSE(WEEKDAY(A698,2),"Segunda","Terça","Quarta","Quinta","Sexta","Sábado","Domingo"))</f>
        <v>Terça</v>
      </c>
      <c r="O698" s="26" t="str">
        <f>IF(B698="","",IF(B698&lt;TIME(12,0,0),"Manhã",IF(B698&lt;TIME(18,0,0),"Tarde","Noite")))</f>
        <v>Manhã</v>
      </c>
      <c r="P698" s="32">
        <f>IF(G698="","",IFERROR(INDEX(Config!$I$5:$I$16,MATCH(G698,Config!$H$5:$H$16,0)),0))</f>
        <v>30</v>
      </c>
      <c r="Q698" s="30">
        <f>IF(OR(H698&lt;&gt;"Realizado",P698="",P698=0),"",A698+P698)</f>
        <v/>
      </c>
      <c r="R698" s="26">
        <f>IF(Q698="","",IF(COUNTIFS($E$5:$E$3004,E698,$A$5:$A$3004,"&gt;"&amp;A698,$H$5:$H$3004,"&lt;&gt;Falta",$H$5:$H$3004,"&lt;&gt;Cancelado",$H$5:$H$3004,"&lt;&gt;Remarcado")&gt;0,"Sim","Não"))</f>
        <v/>
      </c>
      <c r="S698" s="32">
        <f>IF(R698&lt;&gt;"Não","",IF(Q698+Config!$B$9&lt;=Config!$B$8,Config!$B$8-Q698,""))</f>
        <v/>
      </c>
      <c r="T698" s="26">
        <f>IF(S698="","","Sim")</f>
        <v/>
      </c>
      <c r="U698" s="41">
        <f>IF(T698="Sim",S698+ROW()/100000,0)</f>
        <v>0</v>
      </c>
      <c r="V698" s="41">
        <f>IF(AND(H698="Falta",L698=Config!$B$7,M698=Config!$B$5,COUNTIFS($E$5:E698,E698,$H$5:H698,"Falta",$L$5:L698,Config!$B$7,$M$5:M698,Config!$B$5)=1),COUNTIFS($E$5:$E$3004,E698,$H$5:$H$3004,"Falta",$L$5:$L$3004,Config!$B$7,$M$5:$M$3004,Config!$B$5)*1000-ROW()/100000,0)</f>
        <v>0</v>
      </c>
    </row>
    <row r="699">
      <c r="A699" s="39" t="n">
        <v>46245</v>
      </c>
      <c r="B699" s="40" t="n">
        <v>0.4027777777777778</v>
      </c>
      <c r="C699" s="35" t="inlineStr">
        <is>
          <t>Dra. Carolina Mendes</t>
        </is>
      </c>
      <c r="D699" s="35" t="inlineStr">
        <is>
          <t>Sala 1</t>
        </is>
      </c>
      <c r="E699" s="34" t="inlineStr">
        <is>
          <t>Mônica Batista</t>
        </is>
      </c>
      <c r="F699" s="35" t="inlineStr">
        <is>
          <t>MediPlan</t>
        </is>
      </c>
      <c r="G699" s="35" t="inlineStr">
        <is>
          <t>Consulta</t>
        </is>
      </c>
      <c r="H699" s="35" t="inlineStr">
        <is>
          <t>Realizado</t>
        </is>
      </c>
      <c r="I699" s="35" t="inlineStr">
        <is>
          <t>Convênio</t>
        </is>
      </c>
      <c r="J699" s="35" t="n"/>
      <c r="K699" s="34" t="n"/>
      <c r="L699" s="26">
        <f>IF(A699="","",MONTH(A699))</f>
        <v>8</v>
      </c>
      <c r="M699" s="26">
        <f>IF(A699="","",YEAR(A699))</f>
        <v>2026</v>
      </c>
      <c r="N699" s="26" t="str">
        <f>IF(A699="","",CHOOSE(WEEKDAY(A699,2),"Segunda","Terça","Quarta","Quinta","Sexta","Sábado","Domingo"))</f>
        <v>Terça</v>
      </c>
      <c r="O699" s="26" t="str">
        <f>IF(B699="","",IF(B699&lt;TIME(12,0,0),"Manhã",IF(B699&lt;TIME(18,0,0),"Tarde","Noite")))</f>
        <v>Manhã</v>
      </c>
      <c r="P699" s="32">
        <f>IF(G699="","",IFERROR(INDEX(Config!$I$5:$I$16,MATCH(G699,Config!$H$5:$H$16,0)),0))</f>
        <v>30</v>
      </c>
      <c r="Q699" s="30">
        <f>IF(OR(H699&lt;&gt;"Realizado",P699="",P699=0),"",A699+P699)</f>
        <v>46275.0</v>
      </c>
      <c r="R699" s="26" t="str">
        <f>IF(Q699="","",IF(COUNTIFS($E$5:$E$3004,E699,$A$5:$A$3004,"&gt;"&amp;A699,$H$5:$H$3004,"&lt;&gt;Falta",$H$5:$H$3004,"&lt;&gt;Cancelado",$H$5:$H$3004,"&lt;&gt;Remarcado")&gt;0,"Sim","Não"))</f>
        <v>Sim</v>
      </c>
      <c r="S699" s="32">
        <f>IF(R699&lt;&gt;"Não","",IF(Q699+Config!$B$9&lt;=Config!$B$8,Config!$B$8-Q699,""))</f>
        <v/>
      </c>
      <c r="T699" s="26">
        <f>IF(S699="","","Sim")</f>
        <v/>
      </c>
      <c r="U699" s="41">
        <f>IF(T699="Sim",S699+ROW()/100000,0)</f>
        <v>0</v>
      </c>
      <c r="V699" s="41">
        <f>IF(AND(H699="Falta",L699=Config!$B$7,M699=Config!$B$5,COUNTIFS($E$5:E699,E699,$H$5:H699,"Falta",$L$5:L699,Config!$B$7,$M$5:M699,Config!$B$5)=1),COUNTIFS($E$5:$E$3004,E699,$H$5:$H$3004,"Falta",$L$5:$L$3004,Config!$B$7,$M$5:$M$3004,Config!$B$5)*1000-ROW()/100000,0)</f>
        <v>0</v>
      </c>
    </row>
    <row r="700">
      <c r="A700" s="39" t="n">
        <v>46245</v>
      </c>
      <c r="B700" s="40" t="n">
        <v>0.4236111111111111</v>
      </c>
      <c r="C700" s="35" t="inlineStr">
        <is>
          <t>Dra. Carolina Mendes</t>
        </is>
      </c>
      <c r="D700" s="35" t="inlineStr">
        <is>
          <t>Sala 1</t>
        </is>
      </c>
      <c r="E700" s="34" t="inlineStr">
        <is>
          <t>Letícia Vieira</t>
        </is>
      </c>
      <c r="F700" s="35" t="inlineStr">
        <is>
          <t>Saúde Total</t>
        </is>
      </c>
      <c r="G700" s="35" t="inlineStr">
        <is>
          <t>Consulta</t>
        </is>
      </c>
      <c r="H700" s="35" t="inlineStr">
        <is>
          <t>Cancelado</t>
        </is>
      </c>
      <c r="I700" s="35" t="n"/>
      <c r="J700" s="35" t="n"/>
      <c r="K700" s="34" t="n"/>
      <c r="L700" s="26">
        <f>IF(A700="","",MONTH(A700))</f>
        <v>8</v>
      </c>
      <c r="M700" s="26">
        <f>IF(A700="","",YEAR(A700))</f>
        <v>2026</v>
      </c>
      <c r="N700" s="26" t="str">
        <f>IF(A700="","",CHOOSE(WEEKDAY(A700,2),"Segunda","Terça","Quarta","Quinta","Sexta","Sábado","Domingo"))</f>
        <v>Terça</v>
      </c>
      <c r="O700" s="26" t="str">
        <f>IF(B700="","",IF(B700&lt;TIME(12,0,0),"Manhã",IF(B700&lt;TIME(18,0,0),"Tarde","Noite")))</f>
        <v>Manhã</v>
      </c>
      <c r="P700" s="32">
        <f>IF(G700="","",IFERROR(INDEX(Config!$I$5:$I$16,MATCH(G700,Config!$H$5:$H$16,0)),0))</f>
        <v>30</v>
      </c>
      <c r="Q700" s="30">
        <f>IF(OR(H700&lt;&gt;"Realizado",P700="",P700=0),"",A700+P700)</f>
        <v/>
      </c>
      <c r="R700" s="26">
        <f>IF(Q700="","",IF(COUNTIFS($E$5:$E$3004,E700,$A$5:$A$3004,"&gt;"&amp;A700,$H$5:$H$3004,"&lt;&gt;Falta",$H$5:$H$3004,"&lt;&gt;Cancelado",$H$5:$H$3004,"&lt;&gt;Remarcado")&gt;0,"Sim","Não"))</f>
        <v/>
      </c>
      <c r="S700" s="32">
        <f>IF(R700&lt;&gt;"Não","",IF(Q700+Config!$B$9&lt;=Config!$B$8,Config!$B$8-Q700,""))</f>
        <v/>
      </c>
      <c r="T700" s="26">
        <f>IF(S700="","","Sim")</f>
        <v/>
      </c>
      <c r="U700" s="41">
        <f>IF(T700="Sim",S700+ROW()/100000,0)</f>
        <v>0</v>
      </c>
      <c r="V700" s="41">
        <f>IF(AND(H700="Falta",L700=Config!$B$7,M700=Config!$B$5,COUNTIFS($E$5:E700,E700,$H$5:H700,"Falta",$L$5:L700,Config!$B$7,$M$5:M700,Config!$B$5)=1),COUNTIFS($E$5:$E$3004,E700,$H$5:$H$3004,"Falta",$L$5:$L$3004,Config!$B$7,$M$5:$M$3004,Config!$B$5)*1000-ROW()/100000,0)</f>
        <v>0</v>
      </c>
    </row>
    <row r="701">
      <c r="A701" s="39" t="n">
        <v>46245</v>
      </c>
      <c r="B701" s="40" t="n">
        <v>0.4444444444444444</v>
      </c>
      <c r="C701" s="35" t="inlineStr">
        <is>
          <t>Dra. Carolina Mendes</t>
        </is>
      </c>
      <c r="D701" s="35" t="inlineStr">
        <is>
          <t>Sala 1</t>
        </is>
      </c>
      <c r="E701" s="34" t="inlineStr">
        <is>
          <t>Ana Costa</t>
        </is>
      </c>
      <c r="F701" s="35" t="inlineStr">
        <is>
          <t>Particular</t>
        </is>
      </c>
      <c r="G701" s="35" t="inlineStr">
        <is>
          <t>Consulta</t>
        </is>
      </c>
      <c r="H701" s="35" t="inlineStr">
        <is>
          <t>Realizado</t>
        </is>
      </c>
      <c r="I701" s="35" t="inlineStr">
        <is>
          <t>Cartão de crédito</t>
        </is>
      </c>
      <c r="J701" s="35" t="n">
        <v>2</v>
      </c>
      <c r="K701" s="34" t="n"/>
      <c r="L701" s="26">
        <f>IF(A701="","",MONTH(A701))</f>
        <v>8</v>
      </c>
      <c r="M701" s="26">
        <f>IF(A701="","",YEAR(A701))</f>
        <v>2026</v>
      </c>
      <c r="N701" s="26" t="str">
        <f>IF(A701="","",CHOOSE(WEEKDAY(A701,2),"Segunda","Terça","Quarta","Quinta","Sexta","Sábado","Domingo"))</f>
        <v>Terça</v>
      </c>
      <c r="O701" s="26" t="str">
        <f>IF(B701="","",IF(B701&lt;TIME(12,0,0),"Manhã",IF(B701&lt;TIME(18,0,0),"Tarde","Noite")))</f>
        <v>Manhã</v>
      </c>
      <c r="P701" s="32">
        <f>IF(G701="","",IFERROR(INDEX(Config!$I$5:$I$16,MATCH(G701,Config!$H$5:$H$16,0)),0))</f>
        <v>30</v>
      </c>
      <c r="Q701" s="30">
        <f>IF(OR(H701&lt;&gt;"Realizado",P701="",P701=0),"",A701+P701)</f>
        <v>46275.0</v>
      </c>
      <c r="R701" s="26" t="str">
        <f>IF(Q701="","",IF(COUNTIFS($E$5:$E$3004,E701,$A$5:$A$3004,"&gt;"&amp;A701,$H$5:$H$3004,"&lt;&gt;Falta",$H$5:$H$3004,"&lt;&gt;Cancelado",$H$5:$H$3004,"&lt;&gt;Remarcado")&gt;0,"Sim","Não"))</f>
        <v>Sim</v>
      </c>
      <c r="S701" s="32">
        <f>IF(R701&lt;&gt;"Não","",IF(Q701+Config!$B$9&lt;=Config!$B$8,Config!$B$8-Q701,""))</f>
        <v/>
      </c>
      <c r="T701" s="26">
        <f>IF(S701="","","Sim")</f>
        <v/>
      </c>
      <c r="U701" s="41">
        <f>IF(T701="Sim",S701+ROW()/100000,0)</f>
        <v>0</v>
      </c>
      <c r="V701" s="41">
        <f>IF(AND(H701="Falta",L701=Config!$B$7,M701=Config!$B$5,COUNTIFS($E$5:E701,E701,$H$5:H701,"Falta",$L$5:L701,Config!$B$7,$M$5:M701,Config!$B$5)=1),COUNTIFS($E$5:$E$3004,E701,$H$5:$H$3004,"Falta",$L$5:$L$3004,Config!$B$7,$M$5:$M$3004,Config!$B$5)*1000-ROW()/100000,0)</f>
        <v>0</v>
      </c>
    </row>
    <row r="702">
      <c r="A702" s="39" t="n">
        <v>46245</v>
      </c>
      <c r="B702" s="40" t="n">
        <v>0.4652777777777778</v>
      </c>
      <c r="C702" s="35" t="inlineStr">
        <is>
          <t>Dra. Carolina Mendes</t>
        </is>
      </c>
      <c r="D702" s="35" t="inlineStr">
        <is>
          <t>Sala 1</t>
        </is>
      </c>
      <c r="E702" s="34" t="inlineStr">
        <is>
          <t>Gustavo Ferreira</t>
        </is>
      </c>
      <c r="F702" s="35" t="inlineStr">
        <is>
          <t>Particular</t>
        </is>
      </c>
      <c r="G702" s="35" t="inlineStr">
        <is>
          <t>Consulta</t>
        </is>
      </c>
      <c r="H702" s="35" t="inlineStr">
        <is>
          <t>Realizado</t>
        </is>
      </c>
      <c r="I702" s="35" t="inlineStr">
        <is>
          <t>Cartão de crédito</t>
        </is>
      </c>
      <c r="J702" s="35" t="n"/>
      <c r="K702" s="34" t="n"/>
      <c r="L702" s="26">
        <f>IF(A702="","",MONTH(A702))</f>
        <v>8</v>
      </c>
      <c r="M702" s="26">
        <f>IF(A702="","",YEAR(A702))</f>
        <v>2026</v>
      </c>
      <c r="N702" s="26" t="str">
        <f>IF(A702="","",CHOOSE(WEEKDAY(A702,2),"Segunda","Terça","Quarta","Quinta","Sexta","Sábado","Domingo"))</f>
        <v>Terça</v>
      </c>
      <c r="O702" s="26" t="str">
        <f>IF(B702="","",IF(B702&lt;TIME(12,0,0),"Manhã",IF(B702&lt;TIME(18,0,0),"Tarde","Noite")))</f>
        <v>Manhã</v>
      </c>
      <c r="P702" s="32">
        <f>IF(G702="","",IFERROR(INDEX(Config!$I$5:$I$16,MATCH(G702,Config!$H$5:$H$16,0)),0))</f>
        <v>30</v>
      </c>
      <c r="Q702" s="30">
        <f>IF(OR(H702&lt;&gt;"Realizado",P702="",P702=0),"",A702+P702)</f>
        <v>46275.0</v>
      </c>
      <c r="R702" s="26" t="str">
        <f>IF(Q702="","",IF(COUNTIFS($E$5:$E$3004,E702,$A$5:$A$3004,"&gt;"&amp;A702,$H$5:$H$3004,"&lt;&gt;Falta",$H$5:$H$3004,"&lt;&gt;Cancelado",$H$5:$H$3004,"&lt;&gt;Remarcado")&gt;0,"Sim","Não"))</f>
        <v>Sim</v>
      </c>
      <c r="S702" s="32">
        <f>IF(R702&lt;&gt;"Não","",IF(Q702+Config!$B$9&lt;=Config!$B$8,Config!$B$8-Q702,""))</f>
        <v/>
      </c>
      <c r="T702" s="26">
        <f>IF(S702="","","Sim")</f>
        <v/>
      </c>
      <c r="U702" s="41">
        <f>IF(T702="Sim",S702+ROW()/100000,0)</f>
        <v>0</v>
      </c>
      <c r="V702" s="41">
        <f>IF(AND(H702="Falta",L702=Config!$B$7,M702=Config!$B$5,COUNTIFS($E$5:E702,E702,$H$5:H702,"Falta",$L$5:L702,Config!$B$7,$M$5:M702,Config!$B$5)=1),COUNTIFS($E$5:$E$3004,E702,$H$5:$H$3004,"Falta",$L$5:$L$3004,Config!$B$7,$M$5:$M$3004,Config!$B$5)*1000-ROW()/100000,0)</f>
        <v>0</v>
      </c>
    </row>
    <row r="703">
      <c r="A703" s="39" t="n">
        <v>46245</v>
      </c>
      <c r="B703" s="40" t="n">
        <v>0.4861111111111111</v>
      </c>
      <c r="C703" s="35" t="inlineStr">
        <is>
          <t>Dra. Carolina Mendes</t>
        </is>
      </c>
      <c r="D703" s="35" t="inlineStr">
        <is>
          <t>Sala 1</t>
        </is>
      </c>
      <c r="E703" s="34" t="inlineStr">
        <is>
          <t>Tatiana Rocha</t>
        </is>
      </c>
      <c r="F703" s="35" t="inlineStr">
        <is>
          <t>Vida Care</t>
        </is>
      </c>
      <c r="G703" s="35" t="inlineStr">
        <is>
          <t>Consulta</t>
        </is>
      </c>
      <c r="H703" s="35" t="inlineStr">
        <is>
          <t>Realizado</t>
        </is>
      </c>
      <c r="I703" s="35" t="inlineStr">
        <is>
          <t>Convênio</t>
        </is>
      </c>
      <c r="J703" s="35" t="n"/>
      <c r="K703" s="34" t="n"/>
      <c r="L703" s="26">
        <f>IF(A703="","",MONTH(A703))</f>
        <v>8</v>
      </c>
      <c r="M703" s="26">
        <f>IF(A703="","",YEAR(A703))</f>
        <v>2026</v>
      </c>
      <c r="N703" s="26" t="str">
        <f>IF(A703="","",CHOOSE(WEEKDAY(A703,2),"Segunda","Terça","Quarta","Quinta","Sexta","Sábado","Domingo"))</f>
        <v>Terça</v>
      </c>
      <c r="O703" s="26" t="str">
        <f>IF(B703="","",IF(B703&lt;TIME(12,0,0),"Manhã",IF(B703&lt;TIME(18,0,0),"Tarde","Noite")))</f>
        <v>Manhã</v>
      </c>
      <c r="P703" s="32">
        <f>IF(G703="","",IFERROR(INDEX(Config!$I$5:$I$16,MATCH(G703,Config!$H$5:$H$16,0)),0))</f>
        <v>30</v>
      </c>
      <c r="Q703" s="30">
        <f>IF(OR(H703&lt;&gt;"Realizado",P703="",P703=0),"",A703+P703)</f>
        <v>46275.0</v>
      </c>
      <c r="R703" s="26" t="str">
        <f>IF(Q703="","",IF(COUNTIFS($E$5:$E$3004,E703,$A$5:$A$3004,"&gt;"&amp;A703,$H$5:$H$3004,"&lt;&gt;Falta",$H$5:$H$3004,"&lt;&gt;Cancelado",$H$5:$H$3004,"&lt;&gt;Remarcado")&gt;0,"Sim","Não"))</f>
        <v>Não</v>
      </c>
      <c r="S703" s="32">
        <f>IF(R703&lt;&gt;"Não","",IF(Q703+Config!$B$9&lt;=Config!$B$8,Config!$B$8-Q703,""))</f>
        <v>4</v>
      </c>
      <c r="T703" s="26" t="str">
        <f>IF(S703="","","Sim")</f>
        <v>Sim</v>
      </c>
      <c r="U703" s="41">
        <f>IF(T703="Sim",S703+ROW()/100000,0)</f>
        <v>4.00703</v>
      </c>
      <c r="V703" s="41">
        <f>IF(AND(H703="Falta",L703=Config!$B$7,M703=Config!$B$5,COUNTIFS($E$5:E703,E703,$H$5:H703,"Falta",$L$5:L703,Config!$B$7,$M$5:M703,Config!$B$5)=1),COUNTIFS($E$5:$E$3004,E703,$H$5:$H$3004,"Falta",$L$5:$L$3004,Config!$B$7,$M$5:$M$3004,Config!$B$5)*1000-ROW()/100000,0)</f>
        <v>0</v>
      </c>
    </row>
    <row r="704">
      <c r="A704" s="39" t="n">
        <v>46245</v>
      </c>
      <c r="B704" s="40" t="n">
        <v>0.5833333333333334</v>
      </c>
      <c r="C704" s="35" t="inlineStr">
        <is>
          <t>Dra. Renata Sousa</t>
        </is>
      </c>
      <c r="D704" s="35" t="inlineStr">
        <is>
          <t>Sala 1</t>
        </is>
      </c>
      <c r="E704" s="34" t="inlineStr">
        <is>
          <t>Carlos Freitas</t>
        </is>
      </c>
      <c r="F704" s="35" t="inlineStr">
        <is>
          <t>Particular</t>
        </is>
      </c>
      <c r="G704" s="35" t="inlineStr">
        <is>
          <t>Retorno</t>
        </is>
      </c>
      <c r="H704" s="35" t="inlineStr">
        <is>
          <t>Realizado</t>
        </is>
      </c>
      <c r="I704" s="35" t="inlineStr">
        <is>
          <t>Sem cobrança</t>
        </is>
      </c>
      <c r="J704" s="35" t="n"/>
      <c r="K704" s="34" t="n"/>
      <c r="L704" s="26">
        <f>IF(A704="","",MONTH(A704))</f>
        <v>8</v>
      </c>
      <c r="M704" s="26">
        <f>IF(A704="","",YEAR(A704))</f>
        <v>2026</v>
      </c>
      <c r="N704" s="26" t="str">
        <f>IF(A704="","",CHOOSE(WEEKDAY(A704,2),"Segunda","Terça","Quarta","Quinta","Sexta","Sábado","Domingo"))</f>
        <v>Terça</v>
      </c>
      <c r="O704" s="26" t="str">
        <f>IF(B704="","",IF(B704&lt;TIME(12,0,0),"Manhã",IF(B704&lt;TIME(18,0,0),"Tarde","Noite")))</f>
        <v>Tarde</v>
      </c>
      <c r="P704" s="32">
        <f>IF(G704="","",IFERROR(INDEX(Config!$I$5:$I$16,MATCH(G704,Config!$H$5:$H$16,0)),0))</f>
        <v>0</v>
      </c>
      <c r="Q704" s="30">
        <f>IF(OR(H704&lt;&gt;"Realizado",P704="",P704=0),"",A704+P704)</f>
        <v/>
      </c>
      <c r="R704" s="26">
        <f>IF(Q704="","",IF(COUNTIFS($E$5:$E$3004,E704,$A$5:$A$3004,"&gt;"&amp;A704,$H$5:$H$3004,"&lt;&gt;Falta",$H$5:$H$3004,"&lt;&gt;Cancelado",$H$5:$H$3004,"&lt;&gt;Remarcado")&gt;0,"Sim","Não"))</f>
        <v/>
      </c>
      <c r="S704" s="32">
        <f>IF(R704&lt;&gt;"Não","",IF(Q704+Config!$B$9&lt;=Config!$B$8,Config!$B$8-Q704,""))</f>
        <v/>
      </c>
      <c r="T704" s="26">
        <f>IF(S704="","","Sim")</f>
        <v/>
      </c>
      <c r="U704" s="41">
        <f>IF(T704="Sim",S704+ROW()/100000,0)</f>
        <v>0</v>
      </c>
      <c r="V704" s="41">
        <f>IF(AND(H704="Falta",L704=Config!$B$7,M704=Config!$B$5,COUNTIFS($E$5:E704,E704,$H$5:H704,"Falta",$L$5:L704,Config!$B$7,$M$5:M704,Config!$B$5)=1),COUNTIFS($E$5:$E$3004,E704,$H$5:$H$3004,"Falta",$L$5:$L$3004,Config!$B$7,$M$5:$M$3004,Config!$B$5)*1000-ROW()/100000,0)</f>
        <v>0</v>
      </c>
    </row>
    <row r="705">
      <c r="A705" s="39" t="n">
        <v>46245</v>
      </c>
      <c r="B705" s="40" t="n">
        <v>0.5833333333333334</v>
      </c>
      <c r="C705" s="35" t="inlineStr">
        <is>
          <t>Dr. Paulo Andrade</t>
        </is>
      </c>
      <c r="D705" s="35" t="inlineStr">
        <is>
          <t>Sala 2</t>
        </is>
      </c>
      <c r="E705" s="34" t="inlineStr">
        <is>
          <t>Larissa Costa</t>
        </is>
      </c>
      <c r="F705" s="35" t="inlineStr">
        <is>
          <t>Particular</t>
        </is>
      </c>
      <c r="G705" s="35" t="inlineStr">
        <is>
          <t>Holter</t>
        </is>
      </c>
      <c r="H705" s="35" t="inlineStr">
        <is>
          <t>Realizado</t>
        </is>
      </c>
      <c r="I705" s="35" t="inlineStr">
        <is>
          <t>Cartão de débito</t>
        </is>
      </c>
      <c r="J705" s="35" t="n"/>
      <c r="K705" s="34" t="n"/>
      <c r="L705" s="26">
        <f>IF(A705="","",MONTH(A705))</f>
        <v>8</v>
      </c>
      <c r="M705" s="26">
        <f>IF(A705="","",YEAR(A705))</f>
        <v>2026</v>
      </c>
      <c r="N705" s="26" t="str">
        <f>IF(A705="","",CHOOSE(WEEKDAY(A705,2),"Segunda","Terça","Quarta","Quinta","Sexta","Sábado","Domingo"))</f>
        <v>Terça</v>
      </c>
      <c r="O705" s="26" t="str">
        <f>IF(B705="","",IF(B705&lt;TIME(12,0,0),"Manhã",IF(B705&lt;TIME(18,0,0),"Tarde","Noite")))</f>
        <v>Tarde</v>
      </c>
      <c r="P705" s="32">
        <f>IF(G705="","",IFERROR(INDEX(Config!$I$5:$I$16,MATCH(G705,Config!$H$5:$H$16,0)),0))</f>
        <v>0</v>
      </c>
      <c r="Q705" s="30">
        <f>IF(OR(H705&lt;&gt;"Realizado",P705="",P705=0),"",A705+P705)</f>
        <v/>
      </c>
      <c r="R705" s="26">
        <f>IF(Q705="","",IF(COUNTIFS($E$5:$E$3004,E705,$A$5:$A$3004,"&gt;"&amp;A705,$H$5:$H$3004,"&lt;&gt;Falta",$H$5:$H$3004,"&lt;&gt;Cancelado",$H$5:$H$3004,"&lt;&gt;Remarcado")&gt;0,"Sim","Não"))</f>
        <v/>
      </c>
      <c r="S705" s="32">
        <f>IF(R705&lt;&gt;"Não","",IF(Q705+Config!$B$9&lt;=Config!$B$8,Config!$B$8-Q705,""))</f>
        <v/>
      </c>
      <c r="T705" s="26">
        <f>IF(S705="","","Sim")</f>
        <v/>
      </c>
      <c r="U705" s="41">
        <f>IF(T705="Sim",S705+ROW()/100000,0)</f>
        <v>0</v>
      </c>
      <c r="V705" s="41">
        <f>IF(AND(H705="Falta",L705=Config!$B$7,M705=Config!$B$5,COUNTIFS($E$5:E705,E705,$H$5:H705,"Falta",$L$5:L705,Config!$B$7,$M$5:M705,Config!$B$5)=1),COUNTIFS($E$5:$E$3004,E705,$H$5:$H$3004,"Falta",$L$5:$L$3004,Config!$B$7,$M$5:$M$3004,Config!$B$5)*1000-ROW()/100000,0)</f>
        <v>0</v>
      </c>
    </row>
    <row r="706">
      <c r="A706" s="39" t="n">
        <v>46245</v>
      </c>
      <c r="B706" s="40" t="n">
        <v>0.5972222222222222</v>
      </c>
      <c r="C706" s="35" t="inlineStr">
        <is>
          <t>Dra. Renata Sousa</t>
        </is>
      </c>
      <c r="D706" s="35" t="inlineStr">
        <is>
          <t>Sala 1</t>
        </is>
      </c>
      <c r="E706" s="34" t="inlineStr">
        <is>
          <t>Rafael Nascimento</t>
        </is>
      </c>
      <c r="F706" s="35" t="inlineStr">
        <is>
          <t>Saúde Total</t>
        </is>
      </c>
      <c r="G706" s="35" t="inlineStr">
        <is>
          <t>Avaliação endócrina</t>
        </is>
      </c>
      <c r="H706" s="35" t="inlineStr">
        <is>
          <t>Realizado</t>
        </is>
      </c>
      <c r="I706" s="35" t="inlineStr">
        <is>
          <t>Convênio</t>
        </is>
      </c>
      <c r="J706" s="35" t="n"/>
      <c r="K706" s="34" t="n"/>
      <c r="L706" s="26">
        <f>IF(A706="","",MONTH(A706))</f>
        <v>8</v>
      </c>
      <c r="M706" s="26">
        <f>IF(A706="","",YEAR(A706))</f>
        <v>2026</v>
      </c>
      <c r="N706" s="26" t="str">
        <f>IF(A706="","",CHOOSE(WEEKDAY(A706,2),"Segunda","Terça","Quarta","Quinta","Sexta","Sábado","Domingo"))</f>
        <v>Terça</v>
      </c>
      <c r="O706" s="26" t="str">
        <f>IF(B706="","",IF(B706&lt;TIME(12,0,0),"Manhã",IF(B706&lt;TIME(18,0,0),"Tarde","Noite")))</f>
        <v>Tarde</v>
      </c>
      <c r="P706" s="32">
        <f>IF(G706="","",IFERROR(INDEX(Config!$I$5:$I$16,MATCH(G706,Config!$H$5:$H$16,0)),0))</f>
        <v>45</v>
      </c>
      <c r="Q706" s="30">
        <f>IF(OR(H706&lt;&gt;"Realizado",P706="",P706=0),"",A706+P706)</f>
        <v>46290.0</v>
      </c>
      <c r="R706" s="26" t="str">
        <f>IF(Q706="","",IF(COUNTIFS($E$5:$E$3004,E706,$A$5:$A$3004,"&gt;"&amp;A706,$H$5:$H$3004,"&lt;&gt;Falta",$H$5:$H$3004,"&lt;&gt;Cancelado",$H$5:$H$3004,"&lt;&gt;Remarcado")&gt;0,"Sim","Não"))</f>
        <v>Não</v>
      </c>
      <c r="S706" s="32">
        <f>IF(R706&lt;&gt;"Não","",IF(Q706+Config!$B$9&lt;=Config!$B$8,Config!$B$8-Q706,""))</f>
        <v/>
      </c>
      <c r="T706" s="26">
        <f>IF(S706="","","Sim")</f>
        <v/>
      </c>
      <c r="U706" s="41">
        <f>IF(T706="Sim",S706+ROW()/100000,0)</f>
        <v>0</v>
      </c>
      <c r="V706" s="41">
        <f>IF(AND(H706="Falta",L706=Config!$B$7,M706=Config!$B$5,COUNTIFS($E$5:E706,E706,$H$5:H706,"Falta",$L$5:L706,Config!$B$7,$M$5:M706,Config!$B$5)=1),COUNTIFS($E$5:$E$3004,E706,$H$5:$H$3004,"Falta",$L$5:$L$3004,Config!$B$7,$M$5:$M$3004,Config!$B$5)*1000-ROW()/100000,0)</f>
        <v>0</v>
      </c>
    </row>
    <row r="707">
      <c r="A707" s="39" t="n">
        <v>46245</v>
      </c>
      <c r="B707" s="40" t="n">
        <v>0.5972222222222222</v>
      </c>
      <c r="C707" s="35" t="inlineStr">
        <is>
          <t>Dr. Paulo Andrade</t>
        </is>
      </c>
      <c r="D707" s="35" t="inlineStr">
        <is>
          <t>Sala 2</t>
        </is>
      </c>
      <c r="E707" s="34" t="inlineStr">
        <is>
          <t>Rodrigo Teixeira</t>
        </is>
      </c>
      <c r="F707" s="35" t="inlineStr">
        <is>
          <t>Vida Care</t>
        </is>
      </c>
      <c r="G707" s="35" t="inlineStr">
        <is>
          <t>Holter</t>
        </is>
      </c>
      <c r="H707" s="35" t="inlineStr">
        <is>
          <t>Realizado</t>
        </is>
      </c>
      <c r="I707" s="35" t="inlineStr">
        <is>
          <t>Convênio</t>
        </is>
      </c>
      <c r="J707" s="35" t="n"/>
      <c r="K707" s="34" t="n"/>
      <c r="L707" s="26">
        <f>IF(A707="","",MONTH(A707))</f>
        <v>8</v>
      </c>
      <c r="M707" s="26">
        <f>IF(A707="","",YEAR(A707))</f>
        <v>2026</v>
      </c>
      <c r="N707" s="26" t="str">
        <f>IF(A707="","",CHOOSE(WEEKDAY(A707,2),"Segunda","Terça","Quarta","Quinta","Sexta","Sábado","Domingo"))</f>
        <v>Terça</v>
      </c>
      <c r="O707" s="26" t="str">
        <f>IF(B707="","",IF(B707&lt;TIME(12,0,0),"Manhã",IF(B707&lt;TIME(18,0,0),"Tarde","Noite")))</f>
        <v>Tarde</v>
      </c>
      <c r="P707" s="32">
        <f>IF(G707="","",IFERROR(INDEX(Config!$I$5:$I$16,MATCH(G707,Config!$H$5:$H$16,0)),0))</f>
        <v>0</v>
      </c>
      <c r="Q707" s="30">
        <f>IF(OR(H707&lt;&gt;"Realizado",P707="",P707=0),"",A707+P707)</f>
        <v/>
      </c>
      <c r="R707" s="26">
        <f>IF(Q707="","",IF(COUNTIFS($E$5:$E$3004,E707,$A$5:$A$3004,"&gt;"&amp;A707,$H$5:$H$3004,"&lt;&gt;Falta",$H$5:$H$3004,"&lt;&gt;Cancelado",$H$5:$H$3004,"&lt;&gt;Remarcado")&gt;0,"Sim","Não"))</f>
        <v/>
      </c>
      <c r="S707" s="32">
        <f>IF(R707&lt;&gt;"Não","",IF(Q707+Config!$B$9&lt;=Config!$B$8,Config!$B$8-Q707,""))</f>
        <v/>
      </c>
      <c r="T707" s="26">
        <f>IF(S707="","","Sim")</f>
        <v/>
      </c>
      <c r="U707" s="41">
        <f>IF(T707="Sim",S707+ROW()/100000,0)</f>
        <v>0</v>
      </c>
      <c r="V707" s="41">
        <f>IF(AND(H707="Falta",L707=Config!$B$7,M707=Config!$B$5,COUNTIFS($E$5:E707,E707,$H$5:H707,"Falta",$L$5:L707,Config!$B$7,$M$5:M707,Config!$B$5)=1),COUNTIFS($E$5:$E$3004,E707,$H$5:$H$3004,"Falta",$L$5:$L$3004,Config!$B$7,$M$5:$M$3004,Config!$B$5)*1000-ROW()/100000,0)</f>
        <v>0</v>
      </c>
    </row>
    <row r="708">
      <c r="A708" s="39" t="n">
        <v>46245</v>
      </c>
      <c r="B708" s="40" t="n">
        <v>0.6111111111111112</v>
      </c>
      <c r="C708" s="35" t="inlineStr">
        <is>
          <t>Dr. Paulo Andrade</t>
        </is>
      </c>
      <c r="D708" s="35" t="inlineStr">
        <is>
          <t>Sala 2</t>
        </is>
      </c>
      <c r="E708" s="34" t="inlineStr">
        <is>
          <t>Regina Duarte</t>
        </is>
      </c>
      <c r="F708" s="35" t="inlineStr">
        <is>
          <t>Particular</t>
        </is>
      </c>
      <c r="G708" s="35" t="inlineStr">
        <is>
          <t>Teste ergométrico</t>
        </is>
      </c>
      <c r="H708" s="35" t="inlineStr">
        <is>
          <t>Realizado</t>
        </is>
      </c>
      <c r="I708" s="35" t="inlineStr">
        <is>
          <t>Pix</t>
        </is>
      </c>
      <c r="J708" s="35" t="n"/>
      <c r="K708" s="34" t="n"/>
      <c r="L708" s="26">
        <f>IF(A708="","",MONTH(A708))</f>
        <v>8</v>
      </c>
      <c r="M708" s="26">
        <f>IF(A708="","",YEAR(A708))</f>
        <v>2026</v>
      </c>
      <c r="N708" s="26" t="str">
        <f>IF(A708="","",CHOOSE(WEEKDAY(A708,2),"Segunda","Terça","Quarta","Quinta","Sexta","Sábado","Domingo"))</f>
        <v>Terça</v>
      </c>
      <c r="O708" s="26" t="str">
        <f>IF(B708="","",IF(B708&lt;TIME(12,0,0),"Manhã",IF(B708&lt;TIME(18,0,0),"Tarde","Noite")))</f>
        <v>Tarde</v>
      </c>
      <c r="P708" s="32">
        <f>IF(G708="","",IFERROR(INDEX(Config!$I$5:$I$16,MATCH(G708,Config!$H$5:$H$16,0)),0))</f>
        <v>0</v>
      </c>
      <c r="Q708" s="30">
        <f>IF(OR(H708&lt;&gt;"Realizado",P708="",P708=0),"",A708+P708)</f>
        <v/>
      </c>
      <c r="R708" s="26">
        <f>IF(Q708="","",IF(COUNTIFS($E$5:$E$3004,E708,$A$5:$A$3004,"&gt;"&amp;A708,$H$5:$H$3004,"&lt;&gt;Falta",$H$5:$H$3004,"&lt;&gt;Cancelado",$H$5:$H$3004,"&lt;&gt;Remarcado")&gt;0,"Sim","Não"))</f>
        <v/>
      </c>
      <c r="S708" s="32">
        <f>IF(R708&lt;&gt;"Não","",IF(Q708+Config!$B$9&lt;=Config!$B$8,Config!$B$8-Q708,""))</f>
        <v/>
      </c>
      <c r="T708" s="26">
        <f>IF(S708="","","Sim")</f>
        <v/>
      </c>
      <c r="U708" s="41">
        <f>IF(T708="Sim",S708+ROW()/100000,0)</f>
        <v>0</v>
      </c>
      <c r="V708" s="41">
        <f>IF(AND(H708="Falta",L708=Config!$B$7,M708=Config!$B$5,COUNTIFS($E$5:E708,E708,$H$5:H708,"Falta",$L$5:L708,Config!$B$7,$M$5:M708,Config!$B$5)=1),COUNTIFS($E$5:$E$3004,E708,$H$5:$H$3004,"Falta",$L$5:$L$3004,Config!$B$7,$M$5:$M$3004,Config!$B$5)*1000-ROW()/100000,0)</f>
        <v>0</v>
      </c>
    </row>
    <row r="709">
      <c r="A709" s="39" t="n">
        <v>46245</v>
      </c>
      <c r="B709" s="40" t="n">
        <v>0.625</v>
      </c>
      <c r="C709" s="35" t="inlineStr">
        <is>
          <t>Dra. Renata Sousa</t>
        </is>
      </c>
      <c r="D709" s="35" t="inlineStr">
        <is>
          <t>Sala 1</t>
        </is>
      </c>
      <c r="E709" s="34" t="inlineStr">
        <is>
          <t>Beatriz Monteiro</t>
        </is>
      </c>
      <c r="F709" s="35" t="inlineStr">
        <is>
          <t>Particular</t>
        </is>
      </c>
      <c r="G709" s="35" t="inlineStr">
        <is>
          <t>Avaliação endócrina</t>
        </is>
      </c>
      <c r="H709" s="35" t="inlineStr">
        <is>
          <t>Realizado</t>
        </is>
      </c>
      <c r="I709" s="35" t="inlineStr">
        <is>
          <t>Cartão de crédito</t>
        </is>
      </c>
      <c r="J709" s="35" t="n"/>
      <c r="K709" s="34" t="n"/>
      <c r="L709" s="26">
        <f>IF(A709="","",MONTH(A709))</f>
        <v>8</v>
      </c>
      <c r="M709" s="26">
        <f>IF(A709="","",YEAR(A709))</f>
        <v>2026</v>
      </c>
      <c r="N709" s="26" t="str">
        <f>IF(A709="","",CHOOSE(WEEKDAY(A709,2),"Segunda","Terça","Quarta","Quinta","Sexta","Sábado","Domingo"))</f>
        <v>Terça</v>
      </c>
      <c r="O709" s="26" t="str">
        <f>IF(B709="","",IF(B709&lt;TIME(12,0,0),"Manhã",IF(B709&lt;TIME(18,0,0),"Tarde","Noite")))</f>
        <v>Tarde</v>
      </c>
      <c r="P709" s="32">
        <f>IF(G709="","",IFERROR(INDEX(Config!$I$5:$I$16,MATCH(G709,Config!$H$5:$H$16,0)),0))</f>
        <v>45</v>
      </c>
      <c r="Q709" s="30">
        <f>IF(OR(H709&lt;&gt;"Realizado",P709="",P709=0),"",A709+P709)</f>
        <v>46290.0</v>
      </c>
      <c r="R709" s="26" t="str">
        <f>IF(Q709="","",IF(COUNTIFS($E$5:$E$3004,E709,$A$5:$A$3004,"&gt;"&amp;A709,$H$5:$H$3004,"&lt;&gt;Falta",$H$5:$H$3004,"&lt;&gt;Cancelado",$H$5:$H$3004,"&lt;&gt;Remarcado")&gt;0,"Sim","Não"))</f>
        <v>Sim</v>
      </c>
      <c r="S709" s="32">
        <f>IF(R709&lt;&gt;"Não","",IF(Q709+Config!$B$9&lt;=Config!$B$8,Config!$B$8-Q709,""))</f>
        <v/>
      </c>
      <c r="T709" s="26">
        <f>IF(S709="","","Sim")</f>
        <v/>
      </c>
      <c r="U709" s="41">
        <f>IF(T709="Sim",S709+ROW()/100000,0)</f>
        <v>0</v>
      </c>
      <c r="V709" s="41">
        <f>IF(AND(H709="Falta",L709=Config!$B$7,M709=Config!$B$5,COUNTIFS($E$5:E709,E709,$H$5:H709,"Falta",$L$5:L709,Config!$B$7,$M$5:M709,Config!$B$5)=1),COUNTIFS($E$5:$E$3004,E709,$H$5:$H$3004,"Falta",$L$5:$L$3004,Config!$B$7,$M$5:$M$3004,Config!$B$5)*1000-ROW()/100000,0)</f>
        <v>0</v>
      </c>
    </row>
    <row r="710">
      <c r="A710" s="39" t="n">
        <v>46245</v>
      </c>
      <c r="B710" s="40" t="n">
        <v>0.6388888888888888</v>
      </c>
      <c r="C710" s="35" t="inlineStr">
        <is>
          <t>Dr. Paulo Andrade</t>
        </is>
      </c>
      <c r="D710" s="35" t="inlineStr">
        <is>
          <t>Sala 2</t>
        </is>
      </c>
      <c r="E710" s="34" t="inlineStr">
        <is>
          <t>Roberta Fernandes</t>
        </is>
      </c>
      <c r="F710" s="35" t="inlineStr">
        <is>
          <t>Saúde Total</t>
        </is>
      </c>
      <c r="G710" s="35" t="inlineStr">
        <is>
          <t>MAPA</t>
        </is>
      </c>
      <c r="H710" s="35" t="inlineStr">
        <is>
          <t>Realizado</t>
        </is>
      </c>
      <c r="I710" s="35" t="inlineStr">
        <is>
          <t>Convênio</t>
        </is>
      </c>
      <c r="J710" s="35" t="n"/>
      <c r="K710" s="34" t="n"/>
      <c r="L710" s="26">
        <f>IF(A710="","",MONTH(A710))</f>
        <v>8</v>
      </c>
      <c r="M710" s="26">
        <f>IF(A710="","",YEAR(A710))</f>
        <v>2026</v>
      </c>
      <c r="N710" s="26" t="str">
        <f>IF(A710="","",CHOOSE(WEEKDAY(A710,2),"Segunda","Terça","Quarta","Quinta","Sexta","Sábado","Domingo"))</f>
        <v>Terça</v>
      </c>
      <c r="O710" s="26" t="str">
        <f>IF(B710="","",IF(B710&lt;TIME(12,0,0),"Manhã",IF(B710&lt;TIME(18,0,0),"Tarde","Noite")))</f>
        <v>Tarde</v>
      </c>
      <c r="P710" s="32">
        <f>IF(G710="","",IFERROR(INDEX(Config!$I$5:$I$16,MATCH(G710,Config!$H$5:$H$16,0)),0))</f>
        <v>0</v>
      </c>
      <c r="Q710" s="30">
        <f>IF(OR(H710&lt;&gt;"Realizado",P710="",P710=0),"",A710+P710)</f>
        <v/>
      </c>
      <c r="R710" s="26">
        <f>IF(Q710="","",IF(COUNTIFS($E$5:$E$3004,E710,$A$5:$A$3004,"&gt;"&amp;A710,$H$5:$H$3004,"&lt;&gt;Falta",$H$5:$H$3004,"&lt;&gt;Cancelado",$H$5:$H$3004,"&lt;&gt;Remarcado")&gt;0,"Sim","Não"))</f>
        <v/>
      </c>
      <c r="S710" s="32">
        <f>IF(R710&lt;&gt;"Não","",IF(Q710+Config!$B$9&lt;=Config!$B$8,Config!$B$8-Q710,""))</f>
        <v/>
      </c>
      <c r="T710" s="26">
        <f>IF(S710="","","Sim")</f>
        <v/>
      </c>
      <c r="U710" s="41">
        <f>IF(T710="Sim",S710+ROW()/100000,0)</f>
        <v>0</v>
      </c>
      <c r="V710" s="41">
        <f>IF(AND(H710="Falta",L710=Config!$B$7,M710=Config!$B$5,COUNTIFS($E$5:E710,E710,$H$5:H710,"Falta",$L$5:L710,Config!$B$7,$M$5:M710,Config!$B$5)=1),COUNTIFS($E$5:$E$3004,E710,$H$5:$H$3004,"Falta",$L$5:$L$3004,Config!$B$7,$M$5:$M$3004,Config!$B$5)*1000-ROW()/100000,0)</f>
        <v>0</v>
      </c>
    </row>
    <row r="711">
      <c r="A711" s="39" t="n">
        <v>46245</v>
      </c>
      <c r="B711" s="40" t="n">
        <v>0.6527777777777778</v>
      </c>
      <c r="C711" s="35" t="inlineStr">
        <is>
          <t>Dra. Renata Sousa</t>
        </is>
      </c>
      <c r="D711" s="35" t="inlineStr">
        <is>
          <t>Sala 1</t>
        </is>
      </c>
      <c r="E711" s="34" t="inlineStr">
        <is>
          <t>Gustavo Carvalho</t>
        </is>
      </c>
      <c r="F711" s="35" t="inlineStr">
        <is>
          <t>Particular</t>
        </is>
      </c>
      <c r="G711" s="35" t="inlineStr">
        <is>
          <t>Avaliação endócrina</t>
        </is>
      </c>
      <c r="H711" s="35" t="inlineStr">
        <is>
          <t>Realizado</t>
        </is>
      </c>
      <c r="I711" s="35" t="inlineStr">
        <is>
          <t>Pix</t>
        </is>
      </c>
      <c r="J711" s="35" t="n"/>
      <c r="K711" s="34" t="n"/>
      <c r="L711" s="26">
        <f>IF(A711="","",MONTH(A711))</f>
        <v>8</v>
      </c>
      <c r="M711" s="26">
        <f>IF(A711="","",YEAR(A711))</f>
        <v>2026</v>
      </c>
      <c r="N711" s="26" t="str">
        <f>IF(A711="","",CHOOSE(WEEKDAY(A711,2),"Segunda","Terça","Quarta","Quinta","Sexta","Sábado","Domingo"))</f>
        <v>Terça</v>
      </c>
      <c r="O711" s="26" t="str">
        <f>IF(B711="","",IF(B711&lt;TIME(12,0,0),"Manhã",IF(B711&lt;TIME(18,0,0),"Tarde","Noite")))</f>
        <v>Tarde</v>
      </c>
      <c r="P711" s="32">
        <f>IF(G711="","",IFERROR(INDEX(Config!$I$5:$I$16,MATCH(G711,Config!$H$5:$H$16,0)),0))</f>
        <v>45</v>
      </c>
      <c r="Q711" s="30">
        <f>IF(OR(H711&lt;&gt;"Realizado",P711="",P711=0),"",A711+P711)</f>
        <v>46290.0</v>
      </c>
      <c r="R711" s="26" t="str">
        <f>IF(Q711="","",IF(COUNTIFS($E$5:$E$3004,E711,$A$5:$A$3004,"&gt;"&amp;A711,$H$5:$H$3004,"&lt;&gt;Falta",$H$5:$H$3004,"&lt;&gt;Cancelado",$H$5:$H$3004,"&lt;&gt;Remarcado")&gt;0,"Sim","Não"))</f>
        <v>Sim</v>
      </c>
      <c r="S711" s="32">
        <f>IF(R711&lt;&gt;"Não","",IF(Q711+Config!$B$9&lt;=Config!$B$8,Config!$B$8-Q711,""))</f>
        <v/>
      </c>
      <c r="T711" s="26">
        <f>IF(S711="","","Sim")</f>
        <v/>
      </c>
      <c r="U711" s="41">
        <f>IF(T711="Sim",S711+ROW()/100000,0)</f>
        <v>0</v>
      </c>
      <c r="V711" s="41">
        <f>IF(AND(H711="Falta",L711=Config!$B$7,M711=Config!$B$5,COUNTIFS($E$5:E711,E711,$H$5:H711,"Falta",$L$5:L711,Config!$B$7,$M$5:M711,Config!$B$5)=1),COUNTIFS($E$5:$E$3004,E711,$H$5:$H$3004,"Falta",$L$5:$L$3004,Config!$B$7,$M$5:$M$3004,Config!$B$5)*1000-ROW()/100000,0)</f>
        <v>0</v>
      </c>
    </row>
    <row r="712">
      <c r="A712" s="39" t="n">
        <v>46245</v>
      </c>
      <c r="B712" s="40" t="n">
        <v>0.6527777777777778</v>
      </c>
      <c r="C712" s="35" t="inlineStr">
        <is>
          <t>Dr. Paulo Andrade</t>
        </is>
      </c>
      <c r="D712" s="35" t="inlineStr">
        <is>
          <t>Sala 2</t>
        </is>
      </c>
      <c r="E712" s="34" t="inlineStr">
        <is>
          <t>Daniel Almeida</t>
        </is>
      </c>
      <c r="F712" s="35" t="inlineStr">
        <is>
          <t>Saúde Total</t>
        </is>
      </c>
      <c r="G712" s="35" t="inlineStr">
        <is>
          <t>ECG</t>
        </is>
      </c>
      <c r="H712" s="35" t="inlineStr">
        <is>
          <t>Realizado</t>
        </is>
      </c>
      <c r="I712" s="35" t="inlineStr">
        <is>
          <t>Convênio</t>
        </is>
      </c>
      <c r="J712" s="35" t="n"/>
      <c r="K712" s="34" t="n"/>
      <c r="L712" s="26">
        <f>IF(A712="","",MONTH(A712))</f>
        <v>8</v>
      </c>
      <c r="M712" s="26">
        <f>IF(A712="","",YEAR(A712))</f>
        <v>2026</v>
      </c>
      <c r="N712" s="26" t="str">
        <f>IF(A712="","",CHOOSE(WEEKDAY(A712,2),"Segunda","Terça","Quarta","Quinta","Sexta","Sábado","Domingo"))</f>
        <v>Terça</v>
      </c>
      <c r="O712" s="26" t="str">
        <f>IF(B712="","",IF(B712&lt;TIME(12,0,0),"Manhã",IF(B712&lt;TIME(18,0,0),"Tarde","Noite")))</f>
        <v>Tarde</v>
      </c>
      <c r="P712" s="32">
        <f>IF(G712="","",IFERROR(INDEX(Config!$I$5:$I$16,MATCH(G712,Config!$H$5:$H$16,0)),0))</f>
        <v>0</v>
      </c>
      <c r="Q712" s="30">
        <f>IF(OR(H712&lt;&gt;"Realizado",P712="",P712=0),"",A712+P712)</f>
        <v/>
      </c>
      <c r="R712" s="26">
        <f>IF(Q712="","",IF(COUNTIFS($E$5:$E$3004,E712,$A$5:$A$3004,"&gt;"&amp;A712,$H$5:$H$3004,"&lt;&gt;Falta",$H$5:$H$3004,"&lt;&gt;Cancelado",$H$5:$H$3004,"&lt;&gt;Remarcado")&gt;0,"Sim","Não"))</f>
        <v/>
      </c>
      <c r="S712" s="32">
        <f>IF(R712&lt;&gt;"Não","",IF(Q712+Config!$B$9&lt;=Config!$B$8,Config!$B$8-Q712,""))</f>
        <v/>
      </c>
      <c r="T712" s="26">
        <f>IF(S712="","","Sim")</f>
        <v/>
      </c>
      <c r="U712" s="41">
        <f>IF(T712="Sim",S712+ROW()/100000,0)</f>
        <v>0</v>
      </c>
      <c r="V712" s="41">
        <f>IF(AND(H712="Falta",L712=Config!$B$7,M712=Config!$B$5,COUNTIFS($E$5:E712,E712,$H$5:H712,"Falta",$L$5:L712,Config!$B$7,$M$5:M712,Config!$B$5)=1),COUNTIFS($E$5:$E$3004,E712,$H$5:$H$3004,"Falta",$L$5:$L$3004,Config!$B$7,$M$5:$M$3004,Config!$B$5)*1000-ROW()/100000,0)</f>
        <v>0</v>
      </c>
    </row>
    <row r="713">
      <c r="A713" s="39" t="n">
        <v>46245</v>
      </c>
      <c r="B713" s="40" t="n">
        <v>0.6666666666666666</v>
      </c>
      <c r="C713" s="35" t="inlineStr">
        <is>
          <t>Dr. Paulo Andrade</t>
        </is>
      </c>
      <c r="D713" s="35" t="inlineStr">
        <is>
          <t>Sala 2</t>
        </is>
      </c>
      <c r="E713" s="34" t="inlineStr">
        <is>
          <t>Camila Martins</t>
        </is>
      </c>
      <c r="F713" s="35" t="inlineStr">
        <is>
          <t>Vida Care</t>
        </is>
      </c>
      <c r="G713" s="35" t="inlineStr">
        <is>
          <t>Retorno</t>
        </is>
      </c>
      <c r="H713" s="35" t="inlineStr">
        <is>
          <t>Falta</t>
        </is>
      </c>
      <c r="I713" s="35" t="n"/>
      <c r="J713" s="35" t="n"/>
      <c r="K713" s="34" t="n"/>
      <c r="L713" s="26">
        <f>IF(A713="","",MONTH(A713))</f>
        <v>8</v>
      </c>
      <c r="M713" s="26">
        <f>IF(A713="","",YEAR(A713))</f>
        <v>2026</v>
      </c>
      <c r="N713" s="26" t="str">
        <f>IF(A713="","",CHOOSE(WEEKDAY(A713,2),"Segunda","Terça","Quarta","Quinta","Sexta","Sábado","Domingo"))</f>
        <v>Terça</v>
      </c>
      <c r="O713" s="26" t="str">
        <f>IF(B713="","",IF(B713&lt;TIME(12,0,0),"Manhã",IF(B713&lt;TIME(18,0,0),"Tarde","Noite")))</f>
        <v>Tarde</v>
      </c>
      <c r="P713" s="32">
        <f>IF(G713="","",IFERROR(INDEX(Config!$I$5:$I$16,MATCH(G713,Config!$H$5:$H$16,0)),0))</f>
        <v>0</v>
      </c>
      <c r="Q713" s="30">
        <f>IF(OR(H713&lt;&gt;"Realizado",P713="",P713=0),"",A713+P713)</f>
        <v/>
      </c>
      <c r="R713" s="26">
        <f>IF(Q713="","",IF(COUNTIFS($E$5:$E$3004,E713,$A$5:$A$3004,"&gt;"&amp;A713,$H$5:$H$3004,"&lt;&gt;Falta",$H$5:$H$3004,"&lt;&gt;Cancelado",$H$5:$H$3004,"&lt;&gt;Remarcado")&gt;0,"Sim","Não"))</f>
        <v/>
      </c>
      <c r="S713" s="32">
        <f>IF(R713&lt;&gt;"Não","",IF(Q713+Config!$B$9&lt;=Config!$B$8,Config!$B$8-Q713,""))</f>
        <v/>
      </c>
      <c r="T713" s="26">
        <f>IF(S713="","","Sim")</f>
        <v/>
      </c>
      <c r="U713" s="41">
        <f>IF(T713="Sim",S713+ROW()/100000,0)</f>
        <v>0</v>
      </c>
      <c r="V713" s="41">
        <f>IF(AND(H713="Falta",L713=Config!$B$7,M713=Config!$B$5,COUNTIFS($E$5:E713,E713,$H$5:H713,"Falta",$L$5:L713,Config!$B$7,$M$5:M713,Config!$B$5)=1),COUNTIFS($E$5:$E$3004,E713,$H$5:$H$3004,"Falta",$L$5:$L$3004,Config!$B$7,$M$5:$M$3004,Config!$B$5)*1000-ROW()/100000,0)</f>
        <v>0</v>
      </c>
    </row>
    <row r="714">
      <c r="A714" s="39" t="n">
        <v>46245</v>
      </c>
      <c r="B714" s="40" t="n">
        <v>0.6805555555555556</v>
      </c>
      <c r="C714" s="35" t="inlineStr">
        <is>
          <t>Dr. Paulo Andrade</t>
        </is>
      </c>
      <c r="D714" s="35" t="inlineStr">
        <is>
          <t>Sala 2</t>
        </is>
      </c>
      <c r="E714" s="34" t="inlineStr">
        <is>
          <t>Gisele Ribeiro</t>
        </is>
      </c>
      <c r="F714" s="35" t="inlineStr">
        <is>
          <t>Particular</t>
        </is>
      </c>
      <c r="G714" s="35" t="inlineStr">
        <is>
          <t>ECG</t>
        </is>
      </c>
      <c r="H714" s="35" t="inlineStr">
        <is>
          <t>Realizado</t>
        </is>
      </c>
      <c r="I714" s="35" t="inlineStr">
        <is>
          <t>Pix</t>
        </is>
      </c>
      <c r="J714" s="35" t="n"/>
      <c r="K714" s="34" t="n"/>
      <c r="L714" s="26">
        <f>IF(A714="","",MONTH(A714))</f>
        <v>8</v>
      </c>
      <c r="M714" s="26">
        <f>IF(A714="","",YEAR(A714))</f>
        <v>2026</v>
      </c>
      <c r="N714" s="26" t="str">
        <f>IF(A714="","",CHOOSE(WEEKDAY(A714,2),"Segunda","Terça","Quarta","Quinta","Sexta","Sábado","Domingo"))</f>
        <v>Terça</v>
      </c>
      <c r="O714" s="26" t="str">
        <f>IF(B714="","",IF(B714&lt;TIME(12,0,0),"Manhã",IF(B714&lt;TIME(18,0,0),"Tarde","Noite")))</f>
        <v>Tarde</v>
      </c>
      <c r="P714" s="32">
        <f>IF(G714="","",IFERROR(INDEX(Config!$I$5:$I$16,MATCH(G714,Config!$H$5:$H$16,0)),0))</f>
        <v>0</v>
      </c>
      <c r="Q714" s="30">
        <f>IF(OR(H714&lt;&gt;"Realizado",P714="",P714=0),"",A714+P714)</f>
        <v/>
      </c>
      <c r="R714" s="26">
        <f>IF(Q714="","",IF(COUNTIFS($E$5:$E$3004,E714,$A$5:$A$3004,"&gt;"&amp;A714,$H$5:$H$3004,"&lt;&gt;Falta",$H$5:$H$3004,"&lt;&gt;Cancelado",$H$5:$H$3004,"&lt;&gt;Remarcado")&gt;0,"Sim","Não"))</f>
        <v/>
      </c>
      <c r="S714" s="32">
        <f>IF(R714&lt;&gt;"Não","",IF(Q714+Config!$B$9&lt;=Config!$B$8,Config!$B$8-Q714,""))</f>
        <v/>
      </c>
      <c r="T714" s="26">
        <f>IF(S714="","","Sim")</f>
        <v/>
      </c>
      <c r="U714" s="41">
        <f>IF(T714="Sim",S714+ROW()/100000,0)</f>
        <v>0</v>
      </c>
      <c r="V714" s="41">
        <f>IF(AND(H714="Falta",L714=Config!$B$7,M714=Config!$B$5,COUNTIFS($E$5:E714,E714,$H$5:H714,"Falta",$L$5:L714,Config!$B$7,$M$5:M714,Config!$B$5)=1),COUNTIFS($E$5:$E$3004,E714,$H$5:$H$3004,"Falta",$L$5:$L$3004,Config!$B$7,$M$5:$M$3004,Config!$B$5)*1000-ROW()/100000,0)</f>
        <v>0</v>
      </c>
    </row>
    <row r="715">
      <c r="A715" s="39" t="n">
        <v>46245</v>
      </c>
      <c r="B715" s="40" t="n">
        <v>0.7152777777777778</v>
      </c>
      <c r="C715" s="35" t="inlineStr">
        <is>
          <t>Dr. Paulo Andrade</t>
        </is>
      </c>
      <c r="D715" s="35" t="inlineStr">
        <is>
          <t>Sala 2</t>
        </is>
      </c>
      <c r="E715" s="34" t="inlineStr">
        <is>
          <t>Simone Monteiro</t>
        </is>
      </c>
      <c r="F715" s="35" t="inlineStr">
        <is>
          <t>Vida Care</t>
        </is>
      </c>
      <c r="G715" s="35" t="inlineStr">
        <is>
          <t>Teste ergométrico</t>
        </is>
      </c>
      <c r="H715" s="35" t="inlineStr">
        <is>
          <t>Falta</t>
        </is>
      </c>
      <c r="I715" s="35" t="n"/>
      <c r="J715" s="35" t="n"/>
      <c r="K715" s="34" t="n"/>
      <c r="L715" s="26">
        <f>IF(A715="","",MONTH(A715))</f>
        <v>8</v>
      </c>
      <c r="M715" s="26">
        <f>IF(A715="","",YEAR(A715))</f>
        <v>2026</v>
      </c>
      <c r="N715" s="26" t="str">
        <f>IF(A715="","",CHOOSE(WEEKDAY(A715,2),"Segunda","Terça","Quarta","Quinta","Sexta","Sábado","Domingo"))</f>
        <v>Terça</v>
      </c>
      <c r="O715" s="26" t="str">
        <f>IF(B715="","",IF(B715&lt;TIME(12,0,0),"Manhã",IF(B715&lt;TIME(18,0,0),"Tarde","Noite")))</f>
        <v>Tarde</v>
      </c>
      <c r="P715" s="32">
        <f>IF(G715="","",IFERROR(INDEX(Config!$I$5:$I$16,MATCH(G715,Config!$H$5:$H$16,0)),0))</f>
        <v>0</v>
      </c>
      <c r="Q715" s="30">
        <f>IF(OR(H715&lt;&gt;"Realizado",P715="",P715=0),"",A715+P715)</f>
        <v/>
      </c>
      <c r="R715" s="26">
        <f>IF(Q715="","",IF(COUNTIFS($E$5:$E$3004,E715,$A$5:$A$3004,"&gt;"&amp;A715,$H$5:$H$3004,"&lt;&gt;Falta",$H$5:$H$3004,"&lt;&gt;Cancelado",$H$5:$H$3004,"&lt;&gt;Remarcado")&gt;0,"Sim","Não"))</f>
        <v/>
      </c>
      <c r="S715" s="32">
        <f>IF(R715&lt;&gt;"Não","",IF(Q715+Config!$B$9&lt;=Config!$B$8,Config!$B$8-Q715,""))</f>
        <v/>
      </c>
      <c r="T715" s="26">
        <f>IF(S715="","","Sim")</f>
        <v/>
      </c>
      <c r="U715" s="41">
        <f>IF(T715="Sim",S715+ROW()/100000,0)</f>
        <v>0</v>
      </c>
      <c r="V715" s="41">
        <f>IF(AND(H715="Falta",L715=Config!$B$7,M715=Config!$B$5,COUNTIFS($E$5:E715,E715,$H$5:H715,"Falta",$L$5:L715,Config!$B$7,$M$5:M715,Config!$B$5)=1),COUNTIFS($E$5:$E$3004,E715,$H$5:$H$3004,"Falta",$L$5:$L$3004,Config!$B$7,$M$5:$M$3004,Config!$B$5)*1000-ROW()/100000,0)</f>
        <v>0</v>
      </c>
    </row>
    <row r="716">
      <c r="A716" s="39" t="n">
        <v>46245</v>
      </c>
      <c r="B716" s="40" t="n">
        <v>0.7222222222222222</v>
      </c>
      <c r="C716" s="35" t="inlineStr">
        <is>
          <t>Dra. Renata Sousa</t>
        </is>
      </c>
      <c r="D716" s="35" t="inlineStr">
        <is>
          <t>Sala 1</t>
        </is>
      </c>
      <c r="E716" s="34" t="inlineStr">
        <is>
          <t>Fábio Gomes</t>
        </is>
      </c>
      <c r="F716" s="35" t="inlineStr">
        <is>
          <t>Particular</t>
        </is>
      </c>
      <c r="G716" s="35" t="inlineStr">
        <is>
          <t>Avaliação endócrina</t>
        </is>
      </c>
      <c r="H716" s="35" t="inlineStr">
        <is>
          <t>Realizado</t>
        </is>
      </c>
      <c r="I716" s="35" t="inlineStr">
        <is>
          <t>A prazo</t>
        </is>
      </c>
      <c r="J716" s="35" t="n"/>
      <c r="K716" s="34" t="n"/>
      <c r="L716" s="26">
        <f>IF(A716="","",MONTH(A716))</f>
        <v>8</v>
      </c>
      <c r="M716" s="26">
        <f>IF(A716="","",YEAR(A716))</f>
        <v>2026</v>
      </c>
      <c r="N716" s="26" t="str">
        <f>IF(A716="","",CHOOSE(WEEKDAY(A716,2),"Segunda","Terça","Quarta","Quinta","Sexta","Sábado","Domingo"))</f>
        <v>Terça</v>
      </c>
      <c r="O716" s="26" t="str">
        <f>IF(B716="","",IF(B716&lt;TIME(12,0,0),"Manhã",IF(B716&lt;TIME(18,0,0),"Tarde","Noite")))</f>
        <v>Tarde</v>
      </c>
      <c r="P716" s="32">
        <f>IF(G716="","",IFERROR(INDEX(Config!$I$5:$I$16,MATCH(G716,Config!$H$5:$H$16,0)),0))</f>
        <v>45</v>
      </c>
      <c r="Q716" s="30">
        <f>IF(OR(H716&lt;&gt;"Realizado",P716="",P716=0),"",A716+P716)</f>
        <v>46290.0</v>
      </c>
      <c r="R716" s="26" t="str">
        <f>IF(Q716="","",IF(COUNTIFS($E$5:$E$3004,E716,$A$5:$A$3004,"&gt;"&amp;A716,$H$5:$H$3004,"&lt;&gt;Falta",$H$5:$H$3004,"&lt;&gt;Cancelado",$H$5:$H$3004,"&lt;&gt;Remarcado")&gt;0,"Sim","Não"))</f>
        <v>Sim</v>
      </c>
      <c r="S716" s="32">
        <f>IF(R716&lt;&gt;"Não","",IF(Q716+Config!$B$9&lt;=Config!$B$8,Config!$B$8-Q716,""))</f>
        <v/>
      </c>
      <c r="T716" s="26">
        <f>IF(S716="","","Sim")</f>
        <v/>
      </c>
      <c r="U716" s="41">
        <f>IF(T716="Sim",S716+ROW()/100000,0)</f>
        <v>0</v>
      </c>
      <c r="V716" s="41">
        <f>IF(AND(H716="Falta",L716=Config!$B$7,M716=Config!$B$5,COUNTIFS($E$5:E716,E716,$H$5:H716,"Falta",$L$5:L716,Config!$B$7,$M$5:M716,Config!$B$5)=1),COUNTIFS($E$5:$E$3004,E716,$H$5:$H$3004,"Falta",$L$5:$L$3004,Config!$B$7,$M$5:$M$3004,Config!$B$5)*1000-ROW()/100000,0)</f>
        <v>0</v>
      </c>
    </row>
    <row r="717">
      <c r="A717" s="39" t="n">
        <v>46246</v>
      </c>
      <c r="B717" s="40" t="n">
        <v>0.5833333333333334</v>
      </c>
      <c r="C717" s="35" t="inlineStr">
        <is>
          <t>Dra. Carolina Mendes</t>
        </is>
      </c>
      <c r="D717" s="35" t="inlineStr">
        <is>
          <t>Sala 1</t>
        </is>
      </c>
      <c r="E717" s="34" t="inlineStr">
        <is>
          <t>Cláudia Santos</t>
        </is>
      </c>
      <c r="F717" s="35" t="inlineStr">
        <is>
          <t>Particular</t>
        </is>
      </c>
      <c r="G717" s="35" t="inlineStr">
        <is>
          <t>Consulta</t>
        </is>
      </c>
      <c r="H717" s="35" t="inlineStr">
        <is>
          <t>Realizado</t>
        </is>
      </c>
      <c r="I717" s="35" t="inlineStr">
        <is>
          <t>Pix</t>
        </is>
      </c>
      <c r="J717" s="35" t="n"/>
      <c r="K717" s="34" t="n"/>
      <c r="L717" s="26">
        <f>IF(A717="","",MONTH(A717))</f>
        <v>8</v>
      </c>
      <c r="M717" s="26">
        <f>IF(A717="","",YEAR(A717))</f>
        <v>2026</v>
      </c>
      <c r="N717" s="26" t="str">
        <f>IF(A717="","",CHOOSE(WEEKDAY(A717,2),"Segunda","Terça","Quarta","Quinta","Sexta","Sábado","Domingo"))</f>
        <v>Quarta</v>
      </c>
      <c r="O717" s="26" t="str">
        <f>IF(B717="","",IF(B717&lt;TIME(12,0,0),"Manhã",IF(B717&lt;TIME(18,0,0),"Tarde","Noite")))</f>
        <v>Tarde</v>
      </c>
      <c r="P717" s="32">
        <f>IF(G717="","",IFERROR(INDEX(Config!$I$5:$I$16,MATCH(G717,Config!$H$5:$H$16,0)),0))</f>
        <v>30</v>
      </c>
      <c r="Q717" s="30">
        <f>IF(OR(H717&lt;&gt;"Realizado",P717="",P717=0),"",A717+P717)</f>
        <v>46276.0</v>
      </c>
      <c r="R717" s="26" t="str">
        <f>IF(Q717="","",IF(COUNTIFS($E$5:$E$3004,E717,$A$5:$A$3004,"&gt;"&amp;A717,$H$5:$H$3004,"&lt;&gt;Falta",$H$5:$H$3004,"&lt;&gt;Cancelado",$H$5:$H$3004,"&lt;&gt;Remarcado")&gt;0,"Sim","Não"))</f>
        <v>Sim</v>
      </c>
      <c r="S717" s="32">
        <f>IF(R717&lt;&gt;"Não","",IF(Q717+Config!$B$9&lt;=Config!$B$8,Config!$B$8-Q717,""))</f>
        <v/>
      </c>
      <c r="T717" s="26">
        <f>IF(S717="","","Sim")</f>
        <v/>
      </c>
      <c r="U717" s="41">
        <f>IF(T717="Sim",S717+ROW()/100000,0)</f>
        <v>0</v>
      </c>
      <c r="V717" s="41">
        <f>IF(AND(H717="Falta",L717=Config!$B$7,M717=Config!$B$5,COUNTIFS($E$5:E717,E717,$H$5:H717,"Falta",$L$5:L717,Config!$B$7,$M$5:M717,Config!$B$5)=1),COUNTIFS($E$5:$E$3004,E717,$H$5:$H$3004,"Falta",$L$5:$L$3004,Config!$B$7,$M$5:$M$3004,Config!$B$5)*1000-ROW()/100000,0)</f>
        <v>0</v>
      </c>
    </row>
    <row r="718">
      <c r="A718" s="39" t="n">
        <v>46246</v>
      </c>
      <c r="B718" s="40" t="n">
        <v>0.625</v>
      </c>
      <c r="C718" s="35" t="inlineStr">
        <is>
          <t>Dra. Carolina Mendes</t>
        </is>
      </c>
      <c r="D718" s="35" t="inlineStr">
        <is>
          <t>Sala 1</t>
        </is>
      </c>
      <c r="E718" s="34" t="inlineStr">
        <is>
          <t>Gisele Xavier</t>
        </is>
      </c>
      <c r="F718" s="35" t="inlineStr">
        <is>
          <t>Particular</t>
        </is>
      </c>
      <c r="G718" s="35" t="inlineStr">
        <is>
          <t>Consulta</t>
        </is>
      </c>
      <c r="H718" s="35" t="inlineStr">
        <is>
          <t>Realizado</t>
        </is>
      </c>
      <c r="I718" s="35" t="inlineStr">
        <is>
          <t>Pix</t>
        </is>
      </c>
      <c r="J718" s="35" t="n"/>
      <c r="K718" s="34" t="n"/>
      <c r="L718" s="26">
        <f>IF(A718="","",MONTH(A718))</f>
        <v>8</v>
      </c>
      <c r="M718" s="26">
        <f>IF(A718="","",YEAR(A718))</f>
        <v>2026</v>
      </c>
      <c r="N718" s="26" t="str">
        <f>IF(A718="","",CHOOSE(WEEKDAY(A718,2),"Segunda","Terça","Quarta","Quinta","Sexta","Sábado","Domingo"))</f>
        <v>Quarta</v>
      </c>
      <c r="O718" s="26" t="str">
        <f>IF(B718="","",IF(B718&lt;TIME(12,0,0),"Manhã",IF(B718&lt;TIME(18,0,0),"Tarde","Noite")))</f>
        <v>Tarde</v>
      </c>
      <c r="P718" s="32">
        <f>IF(G718="","",IFERROR(INDEX(Config!$I$5:$I$16,MATCH(G718,Config!$H$5:$H$16,0)),0))</f>
        <v>30</v>
      </c>
      <c r="Q718" s="30">
        <f>IF(OR(H718&lt;&gt;"Realizado",P718="",P718=0),"",A718+P718)</f>
        <v>46276.0</v>
      </c>
      <c r="R718" s="26" t="str">
        <f>IF(Q718="","",IF(COUNTIFS($E$5:$E$3004,E718,$A$5:$A$3004,"&gt;"&amp;A718,$H$5:$H$3004,"&lt;&gt;Falta",$H$5:$H$3004,"&lt;&gt;Cancelado",$H$5:$H$3004,"&lt;&gt;Remarcado")&gt;0,"Sim","Não"))</f>
        <v>Sim</v>
      </c>
      <c r="S718" s="32">
        <f>IF(R718&lt;&gt;"Não","",IF(Q718+Config!$B$9&lt;=Config!$B$8,Config!$B$8-Q718,""))</f>
        <v/>
      </c>
      <c r="T718" s="26">
        <f>IF(S718="","","Sim")</f>
        <v/>
      </c>
      <c r="U718" s="41">
        <f>IF(T718="Sim",S718+ROW()/100000,0)</f>
        <v>0</v>
      </c>
      <c r="V718" s="41">
        <f>IF(AND(H718="Falta",L718=Config!$B$7,M718=Config!$B$5,COUNTIFS($E$5:E718,E718,$H$5:H718,"Falta",$L$5:L718,Config!$B$7,$M$5:M718,Config!$B$5)=1),COUNTIFS($E$5:$E$3004,E718,$H$5:$H$3004,"Falta",$L$5:$L$3004,Config!$B$7,$M$5:$M$3004,Config!$B$5)*1000-ROW()/100000,0)</f>
        <v>0</v>
      </c>
    </row>
    <row r="719">
      <c r="A719" s="39" t="n">
        <v>46246</v>
      </c>
      <c r="B719" s="40" t="n">
        <v>0.6458333333333334</v>
      </c>
      <c r="C719" s="35" t="inlineStr">
        <is>
          <t>Dra. Carolina Mendes</t>
        </is>
      </c>
      <c r="D719" s="35" t="inlineStr">
        <is>
          <t>Sala 1</t>
        </is>
      </c>
      <c r="E719" s="34" t="inlineStr">
        <is>
          <t>Wagner Lima</t>
        </is>
      </c>
      <c r="F719" s="35" t="inlineStr">
        <is>
          <t>Particular</t>
        </is>
      </c>
      <c r="G719" s="35" t="inlineStr">
        <is>
          <t>Consulta</t>
        </is>
      </c>
      <c r="H719" s="35" t="inlineStr">
        <is>
          <t>Realizado</t>
        </is>
      </c>
      <c r="I719" s="35" t="inlineStr">
        <is>
          <t>Cartão de crédito</t>
        </is>
      </c>
      <c r="J719" s="35" t="n"/>
      <c r="K719" s="34" t="n"/>
      <c r="L719" s="26">
        <f>IF(A719="","",MONTH(A719))</f>
        <v>8</v>
      </c>
      <c r="M719" s="26">
        <f>IF(A719="","",YEAR(A719))</f>
        <v>2026</v>
      </c>
      <c r="N719" s="26" t="str">
        <f>IF(A719="","",CHOOSE(WEEKDAY(A719,2),"Segunda","Terça","Quarta","Quinta","Sexta","Sábado","Domingo"))</f>
        <v>Quarta</v>
      </c>
      <c r="O719" s="26" t="str">
        <f>IF(B719="","",IF(B719&lt;TIME(12,0,0),"Manhã",IF(B719&lt;TIME(18,0,0),"Tarde","Noite")))</f>
        <v>Tarde</v>
      </c>
      <c r="P719" s="32">
        <f>IF(G719="","",IFERROR(INDEX(Config!$I$5:$I$16,MATCH(G719,Config!$H$5:$H$16,0)),0))</f>
        <v>30</v>
      </c>
      <c r="Q719" s="30">
        <f>IF(OR(H719&lt;&gt;"Realizado",P719="",P719=0),"",A719+P719)</f>
        <v>46276.0</v>
      </c>
      <c r="R719" s="26" t="str">
        <f>IF(Q719="","",IF(COUNTIFS($E$5:$E$3004,E719,$A$5:$A$3004,"&gt;"&amp;A719,$H$5:$H$3004,"&lt;&gt;Falta",$H$5:$H$3004,"&lt;&gt;Cancelado",$H$5:$H$3004,"&lt;&gt;Remarcado")&gt;0,"Sim","Não"))</f>
        <v>Sim</v>
      </c>
      <c r="S719" s="32">
        <f>IF(R719&lt;&gt;"Não","",IF(Q719+Config!$B$9&lt;=Config!$B$8,Config!$B$8-Q719,""))</f>
        <v/>
      </c>
      <c r="T719" s="26">
        <f>IF(S719="","","Sim")</f>
        <v/>
      </c>
      <c r="U719" s="41">
        <f>IF(T719="Sim",S719+ROW()/100000,0)</f>
        <v>0</v>
      </c>
      <c r="V719" s="41">
        <f>IF(AND(H719="Falta",L719=Config!$B$7,M719=Config!$B$5,COUNTIFS($E$5:E719,E719,$H$5:H719,"Falta",$L$5:L719,Config!$B$7,$M$5:M719,Config!$B$5)=1),COUNTIFS($E$5:$E$3004,E719,$H$5:$H$3004,"Falta",$L$5:$L$3004,Config!$B$7,$M$5:$M$3004,Config!$B$5)*1000-ROW()/100000,0)</f>
        <v>0</v>
      </c>
    </row>
    <row r="720">
      <c r="A720" s="39" t="n">
        <v>46246</v>
      </c>
      <c r="B720" s="40" t="n">
        <v>0.6666666666666666</v>
      </c>
      <c r="C720" s="35" t="inlineStr">
        <is>
          <t>Dra. Carolina Mendes</t>
        </is>
      </c>
      <c r="D720" s="35" t="inlineStr">
        <is>
          <t>Sala 1</t>
        </is>
      </c>
      <c r="E720" s="34" t="inlineStr">
        <is>
          <t>Priscila Castro</t>
        </is>
      </c>
      <c r="F720" s="35" t="inlineStr">
        <is>
          <t>Saúde Total</t>
        </is>
      </c>
      <c r="G720" s="35" t="inlineStr">
        <is>
          <t>Consulta</t>
        </is>
      </c>
      <c r="H720" s="35" t="inlineStr">
        <is>
          <t>Realizado</t>
        </is>
      </c>
      <c r="I720" s="35" t="inlineStr">
        <is>
          <t>Convênio</t>
        </is>
      </c>
      <c r="J720" s="35" t="n"/>
      <c r="K720" s="34" t="n"/>
      <c r="L720" s="26">
        <f>IF(A720="","",MONTH(A720))</f>
        <v>8</v>
      </c>
      <c r="M720" s="26">
        <f>IF(A720="","",YEAR(A720))</f>
        <v>2026</v>
      </c>
      <c r="N720" s="26" t="str">
        <f>IF(A720="","",CHOOSE(WEEKDAY(A720,2),"Segunda","Terça","Quarta","Quinta","Sexta","Sábado","Domingo"))</f>
        <v>Quarta</v>
      </c>
      <c r="O720" s="26" t="str">
        <f>IF(B720="","",IF(B720&lt;TIME(12,0,0),"Manhã",IF(B720&lt;TIME(18,0,0),"Tarde","Noite")))</f>
        <v>Tarde</v>
      </c>
      <c r="P720" s="32">
        <f>IF(G720="","",IFERROR(INDEX(Config!$I$5:$I$16,MATCH(G720,Config!$H$5:$H$16,0)),0))</f>
        <v>30</v>
      </c>
      <c r="Q720" s="30">
        <f>IF(OR(H720&lt;&gt;"Realizado",P720="",P720=0),"",A720+P720)</f>
        <v>46276.0</v>
      </c>
      <c r="R720" s="26" t="str">
        <f>IF(Q720="","",IF(COUNTIFS($E$5:$E$3004,E720,$A$5:$A$3004,"&gt;"&amp;A720,$H$5:$H$3004,"&lt;&gt;Falta",$H$5:$H$3004,"&lt;&gt;Cancelado",$H$5:$H$3004,"&lt;&gt;Remarcado")&gt;0,"Sim","Não"))</f>
        <v>Sim</v>
      </c>
      <c r="S720" s="32">
        <f>IF(R720&lt;&gt;"Não","",IF(Q720+Config!$B$9&lt;=Config!$B$8,Config!$B$8-Q720,""))</f>
        <v/>
      </c>
      <c r="T720" s="26">
        <f>IF(S720="","","Sim")</f>
        <v/>
      </c>
      <c r="U720" s="41">
        <f>IF(T720="Sim",S720+ROW()/100000,0)</f>
        <v>0</v>
      </c>
      <c r="V720" s="41">
        <f>IF(AND(H720="Falta",L720=Config!$B$7,M720=Config!$B$5,COUNTIFS($E$5:E720,E720,$H$5:H720,"Falta",$L$5:L720,Config!$B$7,$M$5:M720,Config!$B$5)=1),COUNTIFS($E$5:$E$3004,E720,$H$5:$H$3004,"Falta",$L$5:$L$3004,Config!$B$7,$M$5:$M$3004,Config!$B$5)*1000-ROW()/100000,0)</f>
        <v>0</v>
      </c>
    </row>
    <row r="721">
      <c r="A721" s="39" t="n">
        <v>46246</v>
      </c>
      <c r="B721" s="40" t="n">
        <v>0.6875</v>
      </c>
      <c r="C721" s="35" t="inlineStr">
        <is>
          <t>Dra. Carolina Mendes</t>
        </is>
      </c>
      <c r="D721" s="35" t="inlineStr">
        <is>
          <t>Sala 1</t>
        </is>
      </c>
      <c r="E721" s="34" t="inlineStr">
        <is>
          <t>Regina Castro</t>
        </is>
      </c>
      <c r="F721" s="35" t="inlineStr">
        <is>
          <t>Vida Care</t>
        </is>
      </c>
      <c r="G721" s="35" t="inlineStr">
        <is>
          <t>Retorno</t>
        </is>
      </c>
      <c r="H721" s="35" t="inlineStr">
        <is>
          <t>Realizado</t>
        </is>
      </c>
      <c r="I721" s="35" t="inlineStr">
        <is>
          <t>Sem cobrança</t>
        </is>
      </c>
      <c r="J721" s="35" t="n"/>
      <c r="K721" s="34" t="n"/>
      <c r="L721" s="26">
        <f>IF(A721="","",MONTH(A721))</f>
        <v>8</v>
      </c>
      <c r="M721" s="26">
        <f>IF(A721="","",YEAR(A721))</f>
        <v>2026</v>
      </c>
      <c r="N721" s="26" t="str">
        <f>IF(A721="","",CHOOSE(WEEKDAY(A721,2),"Segunda","Terça","Quarta","Quinta","Sexta","Sábado","Domingo"))</f>
        <v>Quarta</v>
      </c>
      <c r="O721" s="26" t="str">
        <f>IF(B721="","",IF(B721&lt;TIME(12,0,0),"Manhã",IF(B721&lt;TIME(18,0,0),"Tarde","Noite")))</f>
        <v>Tarde</v>
      </c>
      <c r="P721" s="32">
        <f>IF(G721="","",IFERROR(INDEX(Config!$I$5:$I$16,MATCH(G721,Config!$H$5:$H$16,0)),0))</f>
        <v>0</v>
      </c>
      <c r="Q721" s="30">
        <f>IF(OR(H721&lt;&gt;"Realizado",P721="",P721=0),"",A721+P721)</f>
        <v/>
      </c>
      <c r="R721" s="26">
        <f>IF(Q721="","",IF(COUNTIFS($E$5:$E$3004,E721,$A$5:$A$3004,"&gt;"&amp;A721,$H$5:$H$3004,"&lt;&gt;Falta",$H$5:$H$3004,"&lt;&gt;Cancelado",$H$5:$H$3004,"&lt;&gt;Remarcado")&gt;0,"Sim","Não"))</f>
        <v/>
      </c>
      <c r="S721" s="32">
        <f>IF(R721&lt;&gt;"Não","",IF(Q721+Config!$B$9&lt;=Config!$B$8,Config!$B$8-Q721,""))</f>
        <v/>
      </c>
      <c r="T721" s="26">
        <f>IF(S721="","","Sim")</f>
        <v/>
      </c>
      <c r="U721" s="41">
        <f>IF(T721="Sim",S721+ROW()/100000,0)</f>
        <v>0</v>
      </c>
      <c r="V721" s="41">
        <f>IF(AND(H721="Falta",L721=Config!$B$7,M721=Config!$B$5,COUNTIFS($E$5:E721,E721,$H$5:H721,"Falta",$L$5:L721,Config!$B$7,$M$5:M721,Config!$B$5)=1),COUNTIFS($E$5:$E$3004,E721,$H$5:$H$3004,"Falta",$L$5:$L$3004,Config!$B$7,$M$5:$M$3004,Config!$B$5)*1000-ROW()/100000,0)</f>
        <v>0</v>
      </c>
    </row>
    <row r="722">
      <c r="A722" s="39" t="n">
        <v>46246</v>
      </c>
      <c r="B722" s="40" t="n">
        <v>0.7013888888888888</v>
      </c>
      <c r="C722" s="35" t="inlineStr">
        <is>
          <t>Dra. Carolina Mendes</t>
        </is>
      </c>
      <c r="D722" s="35" t="inlineStr">
        <is>
          <t>Sala 1</t>
        </is>
      </c>
      <c r="E722" s="34" t="inlineStr">
        <is>
          <t>Otávio Nascimento</t>
        </is>
      </c>
      <c r="F722" s="35" t="inlineStr">
        <is>
          <t>Particular</t>
        </is>
      </c>
      <c r="G722" s="35" t="inlineStr">
        <is>
          <t>Consulta</t>
        </is>
      </c>
      <c r="H722" s="35" t="inlineStr">
        <is>
          <t>Realizado</t>
        </is>
      </c>
      <c r="I722" s="35" t="inlineStr">
        <is>
          <t>Cartão de crédito</t>
        </is>
      </c>
      <c r="J722" s="35" t="n"/>
      <c r="K722" s="34" t="n"/>
      <c r="L722" s="26">
        <f>IF(A722="","",MONTH(A722))</f>
        <v>8</v>
      </c>
      <c r="M722" s="26">
        <f>IF(A722="","",YEAR(A722))</f>
        <v>2026</v>
      </c>
      <c r="N722" s="26" t="str">
        <f>IF(A722="","",CHOOSE(WEEKDAY(A722,2),"Segunda","Terça","Quarta","Quinta","Sexta","Sábado","Domingo"))</f>
        <v>Quarta</v>
      </c>
      <c r="O722" s="26" t="str">
        <f>IF(B722="","",IF(B722&lt;TIME(12,0,0),"Manhã",IF(B722&lt;TIME(18,0,0),"Tarde","Noite")))</f>
        <v>Tarde</v>
      </c>
      <c r="P722" s="32">
        <f>IF(G722="","",IFERROR(INDEX(Config!$I$5:$I$16,MATCH(G722,Config!$H$5:$H$16,0)),0))</f>
        <v>30</v>
      </c>
      <c r="Q722" s="30">
        <f>IF(OR(H722&lt;&gt;"Realizado",P722="",P722=0),"",A722+P722)</f>
        <v>46276.0</v>
      </c>
      <c r="R722" s="26" t="str">
        <f>IF(Q722="","",IF(COUNTIFS($E$5:$E$3004,E722,$A$5:$A$3004,"&gt;"&amp;A722,$H$5:$H$3004,"&lt;&gt;Falta",$H$5:$H$3004,"&lt;&gt;Cancelado",$H$5:$H$3004,"&lt;&gt;Remarcado")&gt;0,"Sim","Não"))</f>
        <v>Sim</v>
      </c>
      <c r="S722" s="32">
        <f>IF(R722&lt;&gt;"Não","",IF(Q722+Config!$B$9&lt;=Config!$B$8,Config!$B$8-Q722,""))</f>
        <v/>
      </c>
      <c r="T722" s="26">
        <f>IF(S722="","","Sim")</f>
        <v/>
      </c>
      <c r="U722" s="41">
        <f>IF(T722="Sim",S722+ROW()/100000,0)</f>
        <v>0</v>
      </c>
      <c r="V722" s="41">
        <f>IF(AND(H722="Falta",L722=Config!$B$7,M722=Config!$B$5,COUNTIFS($E$5:E722,E722,$H$5:H722,"Falta",$L$5:L722,Config!$B$7,$M$5:M722,Config!$B$5)=1),COUNTIFS($E$5:$E$3004,E722,$H$5:$H$3004,"Falta",$L$5:$L$3004,Config!$B$7,$M$5:$M$3004,Config!$B$5)*1000-ROW()/100000,0)</f>
        <v>0</v>
      </c>
    </row>
    <row r="723">
      <c r="A723" s="39" t="n">
        <v>46246</v>
      </c>
      <c r="B723" s="40" t="n">
        <v>0.7222222222222222</v>
      </c>
      <c r="C723" s="35" t="inlineStr">
        <is>
          <t>Dra. Carolina Mendes</t>
        </is>
      </c>
      <c r="D723" s="35" t="inlineStr">
        <is>
          <t>Sala 1</t>
        </is>
      </c>
      <c r="E723" s="34" t="inlineStr">
        <is>
          <t>Eduardo Nunes</t>
        </is>
      </c>
      <c r="F723" s="35" t="inlineStr">
        <is>
          <t>MediPlan</t>
        </is>
      </c>
      <c r="G723" s="35" t="inlineStr">
        <is>
          <t>Consulta</t>
        </is>
      </c>
      <c r="H723" s="35" t="inlineStr">
        <is>
          <t>Realizado</t>
        </is>
      </c>
      <c r="I723" s="35" t="inlineStr">
        <is>
          <t>Convênio</t>
        </is>
      </c>
      <c r="J723" s="35" t="n"/>
      <c r="K723" s="34" t="n"/>
      <c r="L723" s="26">
        <f>IF(A723="","",MONTH(A723))</f>
        <v>8</v>
      </c>
      <c r="M723" s="26">
        <f>IF(A723="","",YEAR(A723))</f>
        <v>2026</v>
      </c>
      <c r="N723" s="26" t="str">
        <f>IF(A723="","",CHOOSE(WEEKDAY(A723,2),"Segunda","Terça","Quarta","Quinta","Sexta","Sábado","Domingo"))</f>
        <v>Quarta</v>
      </c>
      <c r="O723" s="26" t="str">
        <f>IF(B723="","",IF(B723&lt;TIME(12,0,0),"Manhã",IF(B723&lt;TIME(18,0,0),"Tarde","Noite")))</f>
        <v>Tarde</v>
      </c>
      <c r="P723" s="32">
        <f>IF(G723="","",IFERROR(INDEX(Config!$I$5:$I$16,MATCH(G723,Config!$H$5:$H$16,0)),0))</f>
        <v>30</v>
      </c>
      <c r="Q723" s="30">
        <f>IF(OR(H723&lt;&gt;"Realizado",P723="",P723=0),"",A723+P723)</f>
        <v>46276.0</v>
      </c>
      <c r="R723" s="26" t="str">
        <f>IF(Q723="","",IF(COUNTIFS($E$5:$E$3004,E723,$A$5:$A$3004,"&gt;"&amp;A723,$H$5:$H$3004,"&lt;&gt;Falta",$H$5:$H$3004,"&lt;&gt;Cancelado",$H$5:$H$3004,"&lt;&gt;Remarcado")&gt;0,"Sim","Não"))</f>
        <v>Sim</v>
      </c>
      <c r="S723" s="32">
        <f>IF(R723&lt;&gt;"Não","",IF(Q723+Config!$B$9&lt;=Config!$B$8,Config!$B$8-Q723,""))</f>
        <v/>
      </c>
      <c r="T723" s="26">
        <f>IF(S723="","","Sim")</f>
        <v/>
      </c>
      <c r="U723" s="41">
        <f>IF(T723="Sim",S723+ROW()/100000,0)</f>
        <v>0</v>
      </c>
      <c r="V723" s="41">
        <f>IF(AND(H723="Falta",L723=Config!$B$7,M723=Config!$B$5,COUNTIFS($E$5:E723,E723,$H$5:H723,"Falta",$L$5:L723,Config!$B$7,$M$5:M723,Config!$B$5)=1),COUNTIFS($E$5:$E$3004,E723,$H$5:$H$3004,"Falta",$L$5:$L$3004,Config!$B$7,$M$5:$M$3004,Config!$B$5)*1000-ROW()/100000,0)</f>
        <v>0</v>
      </c>
    </row>
    <row r="724">
      <c r="A724" s="39" t="n">
        <v>46247</v>
      </c>
      <c r="B724" s="40" t="n">
        <v>0.3333333333333333</v>
      </c>
      <c r="C724" s="35" t="inlineStr">
        <is>
          <t>Dra. Carolina Mendes</t>
        </is>
      </c>
      <c r="D724" s="35" t="inlineStr">
        <is>
          <t>Sala 1</t>
        </is>
      </c>
      <c r="E724" s="34" t="inlineStr">
        <is>
          <t>Daniel Melo</t>
        </is>
      </c>
      <c r="F724" s="35" t="inlineStr">
        <is>
          <t>Saúde Total</t>
        </is>
      </c>
      <c r="G724" s="35" t="inlineStr">
        <is>
          <t>Consulta</t>
        </is>
      </c>
      <c r="H724" s="35" t="inlineStr">
        <is>
          <t>Realizado</t>
        </is>
      </c>
      <c r="I724" s="35" t="inlineStr">
        <is>
          <t>Convênio</t>
        </is>
      </c>
      <c r="J724" s="35" t="n"/>
      <c r="K724" s="34" t="n"/>
      <c r="L724" s="26">
        <f>IF(A724="","",MONTH(A724))</f>
        <v>8</v>
      </c>
      <c r="M724" s="26">
        <f>IF(A724="","",YEAR(A724))</f>
        <v>2026</v>
      </c>
      <c r="N724" s="26" t="str">
        <f>IF(A724="","",CHOOSE(WEEKDAY(A724,2),"Segunda","Terça","Quarta","Quinta","Sexta","Sábado","Domingo"))</f>
        <v>Quinta</v>
      </c>
      <c r="O724" s="26" t="str">
        <f>IF(B724="","",IF(B724&lt;TIME(12,0,0),"Manhã",IF(B724&lt;TIME(18,0,0),"Tarde","Noite")))</f>
        <v>Manhã</v>
      </c>
      <c r="P724" s="32">
        <f>IF(G724="","",IFERROR(INDEX(Config!$I$5:$I$16,MATCH(G724,Config!$H$5:$H$16,0)),0))</f>
        <v>30</v>
      </c>
      <c r="Q724" s="30">
        <f>IF(OR(H724&lt;&gt;"Realizado",P724="",P724=0),"",A724+P724)</f>
        <v>46277.0</v>
      </c>
      <c r="R724" s="26" t="str">
        <f>IF(Q724="","",IF(COUNTIFS($E$5:$E$3004,E724,$A$5:$A$3004,"&gt;"&amp;A724,$H$5:$H$3004,"&lt;&gt;Falta",$H$5:$H$3004,"&lt;&gt;Cancelado",$H$5:$H$3004,"&lt;&gt;Remarcado")&gt;0,"Sim","Não"))</f>
        <v>Sim</v>
      </c>
      <c r="S724" s="32">
        <f>IF(R724&lt;&gt;"Não","",IF(Q724+Config!$B$9&lt;=Config!$B$8,Config!$B$8-Q724,""))</f>
        <v/>
      </c>
      <c r="T724" s="26">
        <f>IF(S724="","","Sim")</f>
        <v/>
      </c>
      <c r="U724" s="41">
        <f>IF(T724="Sim",S724+ROW()/100000,0)</f>
        <v>0</v>
      </c>
      <c r="V724" s="41">
        <f>IF(AND(H724="Falta",L724=Config!$B$7,M724=Config!$B$5,COUNTIFS($E$5:E724,E724,$H$5:H724,"Falta",$L$5:L724,Config!$B$7,$M$5:M724,Config!$B$5)=1),COUNTIFS($E$5:$E$3004,E724,$H$5:$H$3004,"Falta",$L$5:$L$3004,Config!$B$7,$M$5:$M$3004,Config!$B$5)*1000-ROW()/100000,0)</f>
        <v>0</v>
      </c>
    </row>
    <row r="725">
      <c r="A725" s="39" t="n">
        <v>46247</v>
      </c>
      <c r="B725" s="40" t="n">
        <v>0.3541666666666667</v>
      </c>
      <c r="C725" s="35" t="inlineStr">
        <is>
          <t>Dra. Carolina Mendes</t>
        </is>
      </c>
      <c r="D725" s="35" t="inlineStr">
        <is>
          <t>Sala 1</t>
        </is>
      </c>
      <c r="E725" s="34" t="inlineStr">
        <is>
          <t>Mateus Lima</t>
        </is>
      </c>
      <c r="F725" s="35" t="inlineStr">
        <is>
          <t>MediPlan</t>
        </is>
      </c>
      <c r="G725" s="35" t="inlineStr">
        <is>
          <t>Consulta</t>
        </is>
      </c>
      <c r="H725" s="35" t="inlineStr">
        <is>
          <t>Realizado</t>
        </is>
      </c>
      <c r="I725" s="35" t="inlineStr">
        <is>
          <t>Convênio</t>
        </is>
      </c>
      <c r="J725" s="35" t="n"/>
      <c r="K725" s="34" t="n"/>
      <c r="L725" s="26">
        <f>IF(A725="","",MONTH(A725))</f>
        <v>8</v>
      </c>
      <c r="M725" s="26">
        <f>IF(A725="","",YEAR(A725))</f>
        <v>2026</v>
      </c>
      <c r="N725" s="26" t="str">
        <f>IF(A725="","",CHOOSE(WEEKDAY(A725,2),"Segunda","Terça","Quarta","Quinta","Sexta","Sábado","Domingo"))</f>
        <v>Quinta</v>
      </c>
      <c r="O725" s="26" t="str">
        <f>IF(B725="","",IF(B725&lt;TIME(12,0,0),"Manhã",IF(B725&lt;TIME(18,0,0),"Tarde","Noite")))</f>
        <v>Manhã</v>
      </c>
      <c r="P725" s="32">
        <f>IF(G725="","",IFERROR(INDEX(Config!$I$5:$I$16,MATCH(G725,Config!$H$5:$H$16,0)),0))</f>
        <v>30</v>
      </c>
      <c r="Q725" s="30">
        <f>IF(OR(H725&lt;&gt;"Realizado",P725="",P725=0),"",A725+P725)</f>
        <v>46277.0</v>
      </c>
      <c r="R725" s="26" t="str">
        <f>IF(Q725="","",IF(COUNTIFS($E$5:$E$3004,E725,$A$5:$A$3004,"&gt;"&amp;A725,$H$5:$H$3004,"&lt;&gt;Falta",$H$5:$H$3004,"&lt;&gt;Cancelado",$H$5:$H$3004,"&lt;&gt;Remarcado")&gt;0,"Sim","Não"))</f>
        <v>Sim</v>
      </c>
      <c r="S725" s="32">
        <f>IF(R725&lt;&gt;"Não","",IF(Q725+Config!$B$9&lt;=Config!$B$8,Config!$B$8-Q725,""))</f>
        <v/>
      </c>
      <c r="T725" s="26">
        <f>IF(S725="","","Sim")</f>
        <v/>
      </c>
      <c r="U725" s="41">
        <f>IF(T725="Sim",S725+ROW()/100000,0)</f>
        <v>0</v>
      </c>
      <c r="V725" s="41">
        <f>IF(AND(H725="Falta",L725=Config!$B$7,M725=Config!$B$5,COUNTIFS($E$5:E725,E725,$H$5:H725,"Falta",$L$5:L725,Config!$B$7,$M$5:M725,Config!$B$5)=1),COUNTIFS($E$5:$E$3004,E725,$H$5:$H$3004,"Falta",$L$5:$L$3004,Config!$B$7,$M$5:$M$3004,Config!$B$5)*1000-ROW()/100000,0)</f>
        <v>0</v>
      </c>
    </row>
    <row r="726">
      <c r="A726" s="39" t="n">
        <v>46247</v>
      </c>
      <c r="B726" s="40" t="n">
        <v>0.375</v>
      </c>
      <c r="C726" s="35" t="inlineStr">
        <is>
          <t>Dra. Carolina Mendes</t>
        </is>
      </c>
      <c r="D726" s="35" t="inlineStr">
        <is>
          <t>Sala 1</t>
        </is>
      </c>
      <c r="E726" s="34" t="inlineStr">
        <is>
          <t>Rafael Dias</t>
        </is>
      </c>
      <c r="F726" s="35" t="inlineStr">
        <is>
          <t>Particular</t>
        </is>
      </c>
      <c r="G726" s="35" t="inlineStr">
        <is>
          <t>Retorno</t>
        </is>
      </c>
      <c r="H726" s="35" t="inlineStr">
        <is>
          <t>Realizado</t>
        </is>
      </c>
      <c r="I726" s="35" t="inlineStr">
        <is>
          <t>Sem cobrança</t>
        </is>
      </c>
      <c r="J726" s="35" t="n"/>
      <c r="K726" s="34" t="n"/>
      <c r="L726" s="26">
        <f>IF(A726="","",MONTH(A726))</f>
        <v>8</v>
      </c>
      <c r="M726" s="26">
        <f>IF(A726="","",YEAR(A726))</f>
        <v>2026</v>
      </c>
      <c r="N726" s="26" t="str">
        <f>IF(A726="","",CHOOSE(WEEKDAY(A726,2),"Segunda","Terça","Quarta","Quinta","Sexta","Sábado","Domingo"))</f>
        <v>Quinta</v>
      </c>
      <c r="O726" s="26" t="str">
        <f>IF(B726="","",IF(B726&lt;TIME(12,0,0),"Manhã",IF(B726&lt;TIME(18,0,0),"Tarde","Noite")))</f>
        <v>Manhã</v>
      </c>
      <c r="P726" s="32">
        <f>IF(G726="","",IFERROR(INDEX(Config!$I$5:$I$16,MATCH(G726,Config!$H$5:$H$16,0)),0))</f>
        <v>0</v>
      </c>
      <c r="Q726" s="30">
        <f>IF(OR(H726&lt;&gt;"Realizado",P726="",P726=0),"",A726+P726)</f>
        <v/>
      </c>
      <c r="R726" s="26">
        <f>IF(Q726="","",IF(COUNTIFS($E$5:$E$3004,E726,$A$5:$A$3004,"&gt;"&amp;A726,$H$5:$H$3004,"&lt;&gt;Falta",$H$5:$H$3004,"&lt;&gt;Cancelado",$H$5:$H$3004,"&lt;&gt;Remarcado")&gt;0,"Sim","Não"))</f>
        <v/>
      </c>
      <c r="S726" s="32">
        <f>IF(R726&lt;&gt;"Não","",IF(Q726+Config!$B$9&lt;=Config!$B$8,Config!$B$8-Q726,""))</f>
        <v/>
      </c>
      <c r="T726" s="26">
        <f>IF(S726="","","Sim")</f>
        <v/>
      </c>
      <c r="U726" s="41">
        <f>IF(T726="Sim",S726+ROW()/100000,0)</f>
        <v>0</v>
      </c>
      <c r="V726" s="41">
        <f>IF(AND(H726="Falta",L726=Config!$B$7,M726=Config!$B$5,COUNTIFS($E$5:E726,E726,$H$5:H726,"Falta",$L$5:L726,Config!$B$7,$M$5:M726,Config!$B$5)=1),COUNTIFS($E$5:$E$3004,E726,$H$5:$H$3004,"Falta",$L$5:$L$3004,Config!$B$7,$M$5:$M$3004,Config!$B$5)*1000-ROW()/100000,0)</f>
        <v>0</v>
      </c>
    </row>
    <row r="727">
      <c r="A727" s="39" t="n">
        <v>46247</v>
      </c>
      <c r="B727" s="40" t="n">
        <v>0.3888888888888889</v>
      </c>
      <c r="C727" s="35" t="inlineStr">
        <is>
          <t>Dra. Carolina Mendes</t>
        </is>
      </c>
      <c r="D727" s="35" t="inlineStr">
        <is>
          <t>Sala 1</t>
        </is>
      </c>
      <c r="E727" s="34" t="inlineStr">
        <is>
          <t>Eduardo Lima</t>
        </is>
      </c>
      <c r="F727" s="35" t="inlineStr">
        <is>
          <t>Particular</t>
        </is>
      </c>
      <c r="G727" s="35" t="inlineStr">
        <is>
          <t>Consulta</t>
        </is>
      </c>
      <c r="H727" s="35" t="inlineStr">
        <is>
          <t>Realizado</t>
        </is>
      </c>
      <c r="I727" s="35" t="inlineStr">
        <is>
          <t>Cartão de crédito</t>
        </is>
      </c>
      <c r="J727" s="35" t="n"/>
      <c r="K727" s="34" t="n"/>
      <c r="L727" s="26">
        <f>IF(A727="","",MONTH(A727))</f>
        <v>8</v>
      </c>
      <c r="M727" s="26">
        <f>IF(A727="","",YEAR(A727))</f>
        <v>2026</v>
      </c>
      <c r="N727" s="26" t="str">
        <f>IF(A727="","",CHOOSE(WEEKDAY(A727,2),"Segunda","Terça","Quarta","Quinta","Sexta","Sábado","Domingo"))</f>
        <v>Quinta</v>
      </c>
      <c r="O727" s="26" t="str">
        <f>IF(B727="","",IF(B727&lt;TIME(12,0,0),"Manhã",IF(B727&lt;TIME(18,0,0),"Tarde","Noite")))</f>
        <v>Manhã</v>
      </c>
      <c r="P727" s="32">
        <f>IF(G727="","",IFERROR(INDEX(Config!$I$5:$I$16,MATCH(G727,Config!$H$5:$H$16,0)),0))</f>
        <v>30</v>
      </c>
      <c r="Q727" s="30">
        <f>IF(OR(H727&lt;&gt;"Realizado",P727="",P727=0),"",A727+P727)</f>
        <v>46277.0</v>
      </c>
      <c r="R727" s="26" t="str">
        <f>IF(Q727="","",IF(COUNTIFS($E$5:$E$3004,E727,$A$5:$A$3004,"&gt;"&amp;A727,$H$5:$H$3004,"&lt;&gt;Falta",$H$5:$H$3004,"&lt;&gt;Cancelado",$H$5:$H$3004,"&lt;&gt;Remarcado")&gt;0,"Sim","Não"))</f>
        <v>Sim</v>
      </c>
      <c r="S727" s="32">
        <f>IF(R727&lt;&gt;"Não","",IF(Q727+Config!$B$9&lt;=Config!$B$8,Config!$B$8-Q727,""))</f>
        <v/>
      </c>
      <c r="T727" s="26">
        <f>IF(S727="","","Sim")</f>
        <v/>
      </c>
      <c r="U727" s="41">
        <f>IF(T727="Sim",S727+ROW()/100000,0)</f>
        <v>0</v>
      </c>
      <c r="V727" s="41">
        <f>IF(AND(H727="Falta",L727=Config!$B$7,M727=Config!$B$5,COUNTIFS($E$5:E727,E727,$H$5:H727,"Falta",$L$5:L727,Config!$B$7,$M$5:M727,Config!$B$5)=1),COUNTIFS($E$5:$E$3004,E727,$H$5:$H$3004,"Falta",$L$5:$L$3004,Config!$B$7,$M$5:$M$3004,Config!$B$5)*1000-ROW()/100000,0)</f>
        <v>0</v>
      </c>
    </row>
    <row r="728">
      <c r="A728" s="39" t="n">
        <v>46247</v>
      </c>
      <c r="B728" s="40" t="n">
        <v>0.4097222222222222</v>
      </c>
      <c r="C728" s="35" t="inlineStr">
        <is>
          <t>Dra. Carolina Mendes</t>
        </is>
      </c>
      <c r="D728" s="35" t="inlineStr">
        <is>
          <t>Sala 1</t>
        </is>
      </c>
      <c r="E728" s="34" t="inlineStr">
        <is>
          <t>Roberta Araújo</t>
        </is>
      </c>
      <c r="F728" s="35" t="inlineStr">
        <is>
          <t>Particular</t>
        </is>
      </c>
      <c r="G728" s="35" t="inlineStr">
        <is>
          <t>Retorno</t>
        </is>
      </c>
      <c r="H728" s="35" t="inlineStr">
        <is>
          <t>Realizado</t>
        </is>
      </c>
      <c r="I728" s="35" t="inlineStr">
        <is>
          <t>Sem cobrança</t>
        </is>
      </c>
      <c r="J728" s="35" t="n"/>
      <c r="K728" s="34" t="n"/>
      <c r="L728" s="26">
        <f>IF(A728="","",MONTH(A728))</f>
        <v>8</v>
      </c>
      <c r="M728" s="26">
        <f>IF(A728="","",YEAR(A728))</f>
        <v>2026</v>
      </c>
      <c r="N728" s="26" t="str">
        <f>IF(A728="","",CHOOSE(WEEKDAY(A728,2),"Segunda","Terça","Quarta","Quinta","Sexta","Sábado","Domingo"))</f>
        <v>Quinta</v>
      </c>
      <c r="O728" s="26" t="str">
        <f>IF(B728="","",IF(B728&lt;TIME(12,0,0),"Manhã",IF(B728&lt;TIME(18,0,0),"Tarde","Noite")))</f>
        <v>Manhã</v>
      </c>
      <c r="P728" s="32">
        <f>IF(G728="","",IFERROR(INDEX(Config!$I$5:$I$16,MATCH(G728,Config!$H$5:$H$16,0)),0))</f>
        <v>0</v>
      </c>
      <c r="Q728" s="30">
        <f>IF(OR(H728&lt;&gt;"Realizado",P728="",P728=0),"",A728+P728)</f>
        <v/>
      </c>
      <c r="R728" s="26">
        <f>IF(Q728="","",IF(COUNTIFS($E$5:$E$3004,E728,$A$5:$A$3004,"&gt;"&amp;A728,$H$5:$H$3004,"&lt;&gt;Falta",$H$5:$H$3004,"&lt;&gt;Cancelado",$H$5:$H$3004,"&lt;&gt;Remarcado")&gt;0,"Sim","Não"))</f>
        <v/>
      </c>
      <c r="S728" s="32">
        <f>IF(R728&lt;&gt;"Não","",IF(Q728+Config!$B$9&lt;=Config!$B$8,Config!$B$8-Q728,""))</f>
        <v/>
      </c>
      <c r="T728" s="26">
        <f>IF(S728="","","Sim")</f>
        <v/>
      </c>
      <c r="U728" s="41">
        <f>IF(T728="Sim",S728+ROW()/100000,0)</f>
        <v>0</v>
      </c>
      <c r="V728" s="41">
        <f>IF(AND(H728="Falta",L728=Config!$B$7,M728=Config!$B$5,COUNTIFS($E$5:E728,E728,$H$5:H728,"Falta",$L$5:L728,Config!$B$7,$M$5:M728,Config!$B$5)=1),COUNTIFS($E$5:$E$3004,E728,$H$5:$H$3004,"Falta",$L$5:$L$3004,Config!$B$7,$M$5:$M$3004,Config!$B$5)*1000-ROW()/100000,0)</f>
        <v>0</v>
      </c>
    </row>
    <row r="729">
      <c r="A729" s="39" t="n">
        <v>46247</v>
      </c>
      <c r="B729" s="40" t="n">
        <v>0.4236111111111111</v>
      </c>
      <c r="C729" s="35" t="inlineStr">
        <is>
          <t>Dra. Carolina Mendes</t>
        </is>
      </c>
      <c r="D729" s="35" t="inlineStr">
        <is>
          <t>Sala 1</t>
        </is>
      </c>
      <c r="E729" s="34" t="inlineStr">
        <is>
          <t>Gustavo Barbosa</t>
        </is>
      </c>
      <c r="F729" s="35" t="inlineStr">
        <is>
          <t>Saúde Total</t>
        </is>
      </c>
      <c r="G729" s="35" t="inlineStr">
        <is>
          <t>Retorno</t>
        </is>
      </c>
      <c r="H729" s="35" t="inlineStr">
        <is>
          <t>Falta</t>
        </is>
      </c>
      <c r="I729" s="35" t="n"/>
      <c r="J729" s="35" t="n"/>
      <c r="K729" s="34" t="n"/>
      <c r="L729" s="26">
        <f>IF(A729="","",MONTH(A729))</f>
        <v>8</v>
      </c>
      <c r="M729" s="26">
        <f>IF(A729="","",YEAR(A729))</f>
        <v>2026</v>
      </c>
      <c r="N729" s="26" t="str">
        <f>IF(A729="","",CHOOSE(WEEKDAY(A729,2),"Segunda","Terça","Quarta","Quinta","Sexta","Sábado","Domingo"))</f>
        <v>Quinta</v>
      </c>
      <c r="O729" s="26" t="str">
        <f>IF(B729="","",IF(B729&lt;TIME(12,0,0),"Manhã",IF(B729&lt;TIME(18,0,0),"Tarde","Noite")))</f>
        <v>Manhã</v>
      </c>
      <c r="P729" s="32">
        <f>IF(G729="","",IFERROR(INDEX(Config!$I$5:$I$16,MATCH(G729,Config!$H$5:$H$16,0)),0))</f>
        <v>0</v>
      </c>
      <c r="Q729" s="30">
        <f>IF(OR(H729&lt;&gt;"Realizado",P729="",P729=0),"",A729+P729)</f>
        <v/>
      </c>
      <c r="R729" s="26">
        <f>IF(Q729="","",IF(COUNTIFS($E$5:$E$3004,E729,$A$5:$A$3004,"&gt;"&amp;A729,$H$5:$H$3004,"&lt;&gt;Falta",$H$5:$H$3004,"&lt;&gt;Cancelado",$H$5:$H$3004,"&lt;&gt;Remarcado")&gt;0,"Sim","Não"))</f>
        <v/>
      </c>
      <c r="S729" s="32">
        <f>IF(R729&lt;&gt;"Não","",IF(Q729+Config!$B$9&lt;=Config!$B$8,Config!$B$8-Q729,""))</f>
        <v/>
      </c>
      <c r="T729" s="26">
        <f>IF(S729="","","Sim")</f>
        <v/>
      </c>
      <c r="U729" s="41">
        <f>IF(T729="Sim",S729+ROW()/100000,0)</f>
        <v>0</v>
      </c>
      <c r="V729" s="41">
        <f>IF(AND(H729="Falta",L729=Config!$B$7,M729=Config!$B$5,COUNTIFS($E$5:E729,E729,$H$5:H729,"Falta",$L$5:L729,Config!$B$7,$M$5:M729,Config!$B$5)=1),COUNTIFS($E$5:$E$3004,E729,$H$5:$H$3004,"Falta",$L$5:$L$3004,Config!$B$7,$M$5:$M$3004,Config!$B$5)*1000-ROW()/100000,0)</f>
        <v>0</v>
      </c>
    </row>
    <row r="730">
      <c r="A730" s="39" t="n">
        <v>46247</v>
      </c>
      <c r="B730" s="40" t="n">
        <v>0.4375</v>
      </c>
      <c r="C730" s="35" t="inlineStr">
        <is>
          <t>Dra. Carolina Mendes</t>
        </is>
      </c>
      <c r="D730" s="35" t="inlineStr">
        <is>
          <t>Sala 1</t>
        </is>
      </c>
      <c r="E730" s="34" t="inlineStr">
        <is>
          <t>Regina Macedo</t>
        </is>
      </c>
      <c r="F730" s="35" t="inlineStr">
        <is>
          <t>Particular</t>
        </is>
      </c>
      <c r="G730" s="35" t="inlineStr">
        <is>
          <t>Consulta</t>
        </is>
      </c>
      <c r="H730" s="35" t="inlineStr">
        <is>
          <t>Realizado</t>
        </is>
      </c>
      <c r="I730" s="35" t="inlineStr">
        <is>
          <t>Pix</t>
        </is>
      </c>
      <c r="J730" s="35" t="n"/>
      <c r="K730" s="34" t="n"/>
      <c r="L730" s="26">
        <f>IF(A730="","",MONTH(A730))</f>
        <v>8</v>
      </c>
      <c r="M730" s="26">
        <f>IF(A730="","",YEAR(A730))</f>
        <v>2026</v>
      </c>
      <c r="N730" s="26" t="str">
        <f>IF(A730="","",CHOOSE(WEEKDAY(A730,2),"Segunda","Terça","Quarta","Quinta","Sexta","Sábado","Domingo"))</f>
        <v>Quinta</v>
      </c>
      <c r="O730" s="26" t="str">
        <f>IF(B730="","",IF(B730&lt;TIME(12,0,0),"Manhã",IF(B730&lt;TIME(18,0,0),"Tarde","Noite")))</f>
        <v>Manhã</v>
      </c>
      <c r="P730" s="32">
        <f>IF(G730="","",IFERROR(INDEX(Config!$I$5:$I$16,MATCH(G730,Config!$H$5:$H$16,0)),0))</f>
        <v>30</v>
      </c>
      <c r="Q730" s="30">
        <f>IF(OR(H730&lt;&gt;"Realizado",P730="",P730=0),"",A730+P730)</f>
        <v>46277.0</v>
      </c>
      <c r="R730" s="26" t="str">
        <f>IF(Q730="","",IF(COUNTIFS($E$5:$E$3004,E730,$A$5:$A$3004,"&gt;"&amp;A730,$H$5:$H$3004,"&lt;&gt;Falta",$H$5:$H$3004,"&lt;&gt;Cancelado",$H$5:$H$3004,"&lt;&gt;Remarcado")&gt;0,"Sim","Não"))</f>
        <v>Sim</v>
      </c>
      <c r="S730" s="32">
        <f>IF(R730&lt;&gt;"Não","",IF(Q730+Config!$B$9&lt;=Config!$B$8,Config!$B$8-Q730,""))</f>
        <v/>
      </c>
      <c r="T730" s="26">
        <f>IF(S730="","","Sim")</f>
        <v/>
      </c>
      <c r="U730" s="41">
        <f>IF(T730="Sim",S730+ROW()/100000,0)</f>
        <v>0</v>
      </c>
      <c r="V730" s="41">
        <f>IF(AND(H730="Falta",L730=Config!$B$7,M730=Config!$B$5,COUNTIFS($E$5:E730,E730,$H$5:H730,"Falta",$L$5:L730,Config!$B$7,$M$5:M730,Config!$B$5)=1),COUNTIFS($E$5:$E$3004,E730,$H$5:$H$3004,"Falta",$L$5:$L$3004,Config!$B$7,$M$5:$M$3004,Config!$B$5)*1000-ROW()/100000,0)</f>
        <v>0</v>
      </c>
    </row>
    <row r="731">
      <c r="A731" s="39" t="n">
        <v>46247</v>
      </c>
      <c r="B731" s="40" t="n">
        <v>0.4583333333333333</v>
      </c>
      <c r="C731" s="35" t="inlineStr">
        <is>
          <t>Dra. Carolina Mendes</t>
        </is>
      </c>
      <c r="D731" s="35" t="inlineStr">
        <is>
          <t>Sala 1</t>
        </is>
      </c>
      <c r="E731" s="34" t="inlineStr">
        <is>
          <t>Otávio Cardoso</t>
        </is>
      </c>
      <c r="F731" s="35" t="inlineStr">
        <is>
          <t>Particular</t>
        </is>
      </c>
      <c r="G731" s="35" t="inlineStr">
        <is>
          <t>Consulta</t>
        </is>
      </c>
      <c r="H731" s="35" t="inlineStr">
        <is>
          <t>Realizado</t>
        </is>
      </c>
      <c r="I731" s="35" t="inlineStr">
        <is>
          <t>Dinheiro</t>
        </is>
      </c>
      <c r="J731" s="35" t="n"/>
      <c r="K731" s="34" t="n"/>
      <c r="L731" s="26">
        <f>IF(A731="","",MONTH(A731))</f>
        <v>8</v>
      </c>
      <c r="M731" s="26">
        <f>IF(A731="","",YEAR(A731))</f>
        <v>2026</v>
      </c>
      <c r="N731" s="26" t="str">
        <f>IF(A731="","",CHOOSE(WEEKDAY(A731,2),"Segunda","Terça","Quarta","Quinta","Sexta","Sábado","Domingo"))</f>
        <v>Quinta</v>
      </c>
      <c r="O731" s="26" t="str">
        <f>IF(B731="","",IF(B731&lt;TIME(12,0,0),"Manhã",IF(B731&lt;TIME(18,0,0),"Tarde","Noite")))</f>
        <v>Manhã</v>
      </c>
      <c r="P731" s="32">
        <f>IF(G731="","",IFERROR(INDEX(Config!$I$5:$I$16,MATCH(G731,Config!$H$5:$H$16,0)),0))</f>
        <v>30</v>
      </c>
      <c r="Q731" s="30">
        <f>IF(OR(H731&lt;&gt;"Realizado",P731="",P731=0),"",A731+P731)</f>
        <v>46277.0</v>
      </c>
      <c r="R731" s="26" t="str">
        <f>IF(Q731="","",IF(COUNTIFS($E$5:$E$3004,E731,$A$5:$A$3004,"&gt;"&amp;A731,$H$5:$H$3004,"&lt;&gt;Falta",$H$5:$H$3004,"&lt;&gt;Cancelado",$H$5:$H$3004,"&lt;&gt;Remarcado")&gt;0,"Sim","Não"))</f>
        <v>Sim</v>
      </c>
      <c r="S731" s="32">
        <f>IF(R731&lt;&gt;"Não","",IF(Q731+Config!$B$9&lt;=Config!$B$8,Config!$B$8-Q731,""))</f>
        <v/>
      </c>
      <c r="T731" s="26">
        <f>IF(S731="","","Sim")</f>
        <v/>
      </c>
      <c r="U731" s="41">
        <f>IF(T731="Sim",S731+ROW()/100000,0)</f>
        <v>0</v>
      </c>
      <c r="V731" s="41">
        <f>IF(AND(H731="Falta",L731=Config!$B$7,M731=Config!$B$5,COUNTIFS($E$5:E731,E731,$H$5:H731,"Falta",$L$5:L731,Config!$B$7,$M$5:M731,Config!$B$5)=1),COUNTIFS($E$5:$E$3004,E731,$H$5:$H$3004,"Falta",$L$5:$L$3004,Config!$B$7,$M$5:$M$3004,Config!$B$5)*1000-ROW()/100000,0)</f>
        <v>0</v>
      </c>
    </row>
    <row r="732">
      <c r="A732" s="39" t="n">
        <v>46247</v>
      </c>
      <c r="B732" s="40" t="n">
        <v>0.4791666666666667</v>
      </c>
      <c r="C732" s="35" t="inlineStr">
        <is>
          <t>Dra. Carolina Mendes</t>
        </is>
      </c>
      <c r="D732" s="35" t="inlineStr">
        <is>
          <t>Sala 1</t>
        </is>
      </c>
      <c r="E732" s="34" t="inlineStr">
        <is>
          <t>Daniel Almeida</t>
        </is>
      </c>
      <c r="F732" s="35" t="inlineStr">
        <is>
          <t>Saúde Total</t>
        </is>
      </c>
      <c r="G732" s="35" t="inlineStr">
        <is>
          <t>Consulta</t>
        </is>
      </c>
      <c r="H732" s="35" t="inlineStr">
        <is>
          <t>Cancelado</t>
        </is>
      </c>
      <c r="I732" s="35" t="n"/>
      <c r="J732" s="35" t="n"/>
      <c r="K732" s="34" t="n"/>
      <c r="L732" s="26">
        <f>IF(A732="","",MONTH(A732))</f>
        <v>8</v>
      </c>
      <c r="M732" s="26">
        <f>IF(A732="","",YEAR(A732))</f>
        <v>2026</v>
      </c>
      <c r="N732" s="26" t="str">
        <f>IF(A732="","",CHOOSE(WEEKDAY(A732,2),"Segunda","Terça","Quarta","Quinta","Sexta","Sábado","Domingo"))</f>
        <v>Quinta</v>
      </c>
      <c r="O732" s="26" t="str">
        <f>IF(B732="","",IF(B732&lt;TIME(12,0,0),"Manhã",IF(B732&lt;TIME(18,0,0),"Tarde","Noite")))</f>
        <v>Manhã</v>
      </c>
      <c r="P732" s="32">
        <f>IF(G732="","",IFERROR(INDEX(Config!$I$5:$I$16,MATCH(G732,Config!$H$5:$H$16,0)),0))</f>
        <v>30</v>
      </c>
      <c r="Q732" s="30">
        <f>IF(OR(H732&lt;&gt;"Realizado",P732="",P732=0),"",A732+P732)</f>
        <v/>
      </c>
      <c r="R732" s="26">
        <f>IF(Q732="","",IF(COUNTIFS($E$5:$E$3004,E732,$A$5:$A$3004,"&gt;"&amp;A732,$H$5:$H$3004,"&lt;&gt;Falta",$H$5:$H$3004,"&lt;&gt;Cancelado",$H$5:$H$3004,"&lt;&gt;Remarcado")&gt;0,"Sim","Não"))</f>
        <v/>
      </c>
      <c r="S732" s="32">
        <f>IF(R732&lt;&gt;"Não","",IF(Q732+Config!$B$9&lt;=Config!$B$8,Config!$B$8-Q732,""))</f>
        <v/>
      </c>
      <c r="T732" s="26">
        <f>IF(S732="","","Sim")</f>
        <v/>
      </c>
      <c r="U732" s="41">
        <f>IF(T732="Sim",S732+ROW()/100000,0)</f>
        <v>0</v>
      </c>
      <c r="V732" s="41">
        <f>IF(AND(H732="Falta",L732=Config!$B$7,M732=Config!$B$5,COUNTIFS($E$5:E732,E732,$H$5:H732,"Falta",$L$5:L732,Config!$B$7,$M$5:M732,Config!$B$5)=1),COUNTIFS($E$5:$E$3004,E732,$H$5:$H$3004,"Falta",$L$5:$L$3004,Config!$B$7,$M$5:$M$3004,Config!$B$5)*1000-ROW()/100000,0)</f>
        <v>0</v>
      </c>
    </row>
    <row r="733">
      <c r="A733" s="39" t="n">
        <v>46247</v>
      </c>
      <c r="B733" s="40" t="n">
        <v>0.5833333333333334</v>
      </c>
      <c r="C733" s="35" t="inlineStr">
        <is>
          <t>Dra. Renata Sousa</t>
        </is>
      </c>
      <c r="D733" s="35" t="inlineStr">
        <is>
          <t>Sala 1</t>
        </is>
      </c>
      <c r="E733" s="34" t="inlineStr">
        <is>
          <t>Rafael Pereira</t>
        </is>
      </c>
      <c r="F733" s="35" t="inlineStr">
        <is>
          <t>Particular</t>
        </is>
      </c>
      <c r="G733" s="35" t="inlineStr">
        <is>
          <t>Avaliação endócrina</t>
        </is>
      </c>
      <c r="H733" s="35" t="inlineStr">
        <is>
          <t>Realizado</t>
        </is>
      </c>
      <c r="I733" s="35" t="inlineStr">
        <is>
          <t>Pix</t>
        </is>
      </c>
      <c r="J733" s="35" t="n"/>
      <c r="K733" s="34" t="n"/>
      <c r="L733" s="26">
        <f>IF(A733="","",MONTH(A733))</f>
        <v>8</v>
      </c>
      <c r="M733" s="26">
        <f>IF(A733="","",YEAR(A733))</f>
        <v>2026</v>
      </c>
      <c r="N733" s="26" t="str">
        <f>IF(A733="","",CHOOSE(WEEKDAY(A733,2),"Segunda","Terça","Quarta","Quinta","Sexta","Sábado","Domingo"))</f>
        <v>Quinta</v>
      </c>
      <c r="O733" s="26" t="str">
        <f>IF(B733="","",IF(B733&lt;TIME(12,0,0),"Manhã",IF(B733&lt;TIME(18,0,0),"Tarde","Noite")))</f>
        <v>Tarde</v>
      </c>
      <c r="P733" s="32">
        <f>IF(G733="","",IFERROR(INDEX(Config!$I$5:$I$16,MATCH(G733,Config!$H$5:$H$16,0)),0))</f>
        <v>45</v>
      </c>
      <c r="Q733" s="30">
        <f>IF(OR(H733&lt;&gt;"Realizado",P733="",P733=0),"",A733+P733)</f>
        <v>46292.0</v>
      </c>
      <c r="R733" s="26" t="str">
        <f>IF(Q733="","",IF(COUNTIFS($E$5:$E$3004,E733,$A$5:$A$3004,"&gt;"&amp;A733,$H$5:$H$3004,"&lt;&gt;Falta",$H$5:$H$3004,"&lt;&gt;Cancelado",$H$5:$H$3004,"&lt;&gt;Remarcado")&gt;0,"Sim","Não"))</f>
        <v>Sim</v>
      </c>
      <c r="S733" s="32">
        <f>IF(R733&lt;&gt;"Não","",IF(Q733+Config!$B$9&lt;=Config!$B$8,Config!$B$8-Q733,""))</f>
        <v/>
      </c>
      <c r="T733" s="26">
        <f>IF(S733="","","Sim")</f>
        <v/>
      </c>
      <c r="U733" s="41">
        <f>IF(T733="Sim",S733+ROW()/100000,0)</f>
        <v>0</v>
      </c>
      <c r="V733" s="41">
        <f>IF(AND(H733="Falta",L733=Config!$B$7,M733=Config!$B$5,COUNTIFS($E$5:E733,E733,$H$5:H733,"Falta",$L$5:L733,Config!$B$7,$M$5:M733,Config!$B$5)=1),COUNTIFS($E$5:$E$3004,E733,$H$5:$H$3004,"Falta",$L$5:$L$3004,Config!$B$7,$M$5:$M$3004,Config!$B$5)*1000-ROW()/100000,0)</f>
        <v>0</v>
      </c>
    </row>
    <row r="734">
      <c r="A734" s="39" t="n">
        <v>46247</v>
      </c>
      <c r="B734" s="40" t="n">
        <v>0.5833333333333334</v>
      </c>
      <c r="C734" s="35" t="inlineStr">
        <is>
          <t>Dr. Paulo Andrade</t>
        </is>
      </c>
      <c r="D734" s="35" t="inlineStr">
        <is>
          <t>Sala 2</t>
        </is>
      </c>
      <c r="E734" s="34" t="inlineStr">
        <is>
          <t>Camila Freitas</t>
        </is>
      </c>
      <c r="F734" s="35" t="inlineStr">
        <is>
          <t>Particular</t>
        </is>
      </c>
      <c r="G734" s="35" t="inlineStr">
        <is>
          <t>Consulta</t>
        </is>
      </c>
      <c r="H734" s="35" t="inlineStr">
        <is>
          <t>Realizado</t>
        </is>
      </c>
      <c r="I734" s="35" t="inlineStr">
        <is>
          <t>Pix</t>
        </is>
      </c>
      <c r="J734" s="35" t="n"/>
      <c r="K734" s="34" t="n"/>
      <c r="L734" s="26">
        <f>IF(A734="","",MONTH(A734))</f>
        <v>8</v>
      </c>
      <c r="M734" s="26">
        <f>IF(A734="","",YEAR(A734))</f>
        <v>2026</v>
      </c>
      <c r="N734" s="26" t="str">
        <f>IF(A734="","",CHOOSE(WEEKDAY(A734,2),"Segunda","Terça","Quarta","Quinta","Sexta","Sábado","Domingo"))</f>
        <v>Quinta</v>
      </c>
      <c r="O734" s="26" t="str">
        <f>IF(B734="","",IF(B734&lt;TIME(12,0,0),"Manhã",IF(B734&lt;TIME(18,0,0),"Tarde","Noite")))</f>
        <v>Tarde</v>
      </c>
      <c r="P734" s="32">
        <f>IF(G734="","",IFERROR(INDEX(Config!$I$5:$I$16,MATCH(G734,Config!$H$5:$H$16,0)),0))</f>
        <v>30</v>
      </c>
      <c r="Q734" s="30">
        <f>IF(OR(H734&lt;&gt;"Realizado",P734="",P734=0),"",A734+P734)</f>
        <v>46277.0</v>
      </c>
      <c r="R734" s="26" t="str">
        <f>IF(Q734="","",IF(COUNTIFS($E$5:$E$3004,E734,$A$5:$A$3004,"&gt;"&amp;A734,$H$5:$H$3004,"&lt;&gt;Falta",$H$5:$H$3004,"&lt;&gt;Cancelado",$H$5:$H$3004,"&lt;&gt;Remarcado")&gt;0,"Sim","Não"))</f>
        <v>Sim</v>
      </c>
      <c r="S734" s="32">
        <f>IF(R734&lt;&gt;"Não","",IF(Q734+Config!$B$9&lt;=Config!$B$8,Config!$B$8-Q734,""))</f>
        <v/>
      </c>
      <c r="T734" s="26">
        <f>IF(S734="","","Sim")</f>
        <v/>
      </c>
      <c r="U734" s="41">
        <f>IF(T734="Sim",S734+ROW()/100000,0)</f>
        <v>0</v>
      </c>
      <c r="V734" s="41">
        <f>IF(AND(H734="Falta",L734=Config!$B$7,M734=Config!$B$5,COUNTIFS($E$5:E734,E734,$H$5:H734,"Falta",$L$5:L734,Config!$B$7,$M$5:M734,Config!$B$5)=1),COUNTIFS($E$5:$E$3004,E734,$H$5:$H$3004,"Falta",$L$5:$L$3004,Config!$B$7,$M$5:$M$3004,Config!$B$5)*1000-ROW()/100000,0)</f>
        <v>0</v>
      </c>
    </row>
    <row r="735">
      <c r="A735" s="39" t="n">
        <v>46247</v>
      </c>
      <c r="B735" s="40" t="n">
        <v>0.6041666666666666</v>
      </c>
      <c r="C735" s="35" t="inlineStr">
        <is>
          <t>Dr. Paulo Andrade</t>
        </is>
      </c>
      <c r="D735" s="35" t="inlineStr">
        <is>
          <t>Sala 2</t>
        </is>
      </c>
      <c r="E735" s="34" t="inlineStr">
        <is>
          <t>Wagner Carvalho</t>
        </is>
      </c>
      <c r="F735" s="35" t="inlineStr">
        <is>
          <t>Vida Care</t>
        </is>
      </c>
      <c r="G735" s="35" t="inlineStr">
        <is>
          <t>Consulta</t>
        </is>
      </c>
      <c r="H735" s="35" t="inlineStr">
        <is>
          <t>Realizado</t>
        </is>
      </c>
      <c r="I735" s="35" t="inlineStr">
        <is>
          <t>Convênio</t>
        </is>
      </c>
      <c r="J735" s="35" t="n"/>
      <c r="K735" s="34" t="n"/>
      <c r="L735" s="26">
        <f>IF(A735="","",MONTH(A735))</f>
        <v>8</v>
      </c>
      <c r="M735" s="26">
        <f>IF(A735="","",YEAR(A735))</f>
        <v>2026</v>
      </c>
      <c r="N735" s="26" t="str">
        <f>IF(A735="","",CHOOSE(WEEKDAY(A735,2),"Segunda","Terça","Quarta","Quinta","Sexta","Sábado","Domingo"))</f>
        <v>Quinta</v>
      </c>
      <c r="O735" s="26" t="str">
        <f>IF(B735="","",IF(B735&lt;TIME(12,0,0),"Manhã",IF(B735&lt;TIME(18,0,0),"Tarde","Noite")))</f>
        <v>Tarde</v>
      </c>
      <c r="P735" s="32">
        <f>IF(G735="","",IFERROR(INDEX(Config!$I$5:$I$16,MATCH(G735,Config!$H$5:$H$16,0)),0))</f>
        <v>30</v>
      </c>
      <c r="Q735" s="30">
        <f>IF(OR(H735&lt;&gt;"Realizado",P735="",P735=0),"",A735+P735)</f>
        <v>46277.0</v>
      </c>
      <c r="R735" s="26" t="str">
        <f>IF(Q735="","",IF(COUNTIFS($E$5:$E$3004,E735,$A$5:$A$3004,"&gt;"&amp;A735,$H$5:$H$3004,"&lt;&gt;Falta",$H$5:$H$3004,"&lt;&gt;Cancelado",$H$5:$H$3004,"&lt;&gt;Remarcado")&gt;0,"Sim","Não"))</f>
        <v>Sim</v>
      </c>
      <c r="S735" s="32">
        <f>IF(R735&lt;&gt;"Não","",IF(Q735+Config!$B$9&lt;=Config!$B$8,Config!$B$8-Q735,""))</f>
        <v/>
      </c>
      <c r="T735" s="26">
        <f>IF(S735="","","Sim")</f>
        <v/>
      </c>
      <c r="U735" s="41">
        <f>IF(T735="Sim",S735+ROW()/100000,0)</f>
        <v>0</v>
      </c>
      <c r="V735" s="41">
        <f>IF(AND(H735="Falta",L735=Config!$B$7,M735=Config!$B$5,COUNTIFS($E$5:E735,E735,$H$5:H735,"Falta",$L$5:L735,Config!$B$7,$M$5:M735,Config!$B$5)=1),COUNTIFS($E$5:$E$3004,E735,$H$5:$H$3004,"Falta",$L$5:$L$3004,Config!$B$7,$M$5:$M$3004,Config!$B$5)*1000-ROW()/100000,0)</f>
        <v>0</v>
      </c>
    </row>
    <row r="736">
      <c r="A736" s="39" t="n">
        <v>46247</v>
      </c>
      <c r="B736" s="40" t="n">
        <v>0.6111111111111112</v>
      </c>
      <c r="C736" s="35" t="inlineStr">
        <is>
          <t>Dra. Renata Sousa</t>
        </is>
      </c>
      <c r="D736" s="35" t="inlineStr">
        <is>
          <t>Sala 1</t>
        </is>
      </c>
      <c r="E736" s="34" t="inlineStr">
        <is>
          <t>Cláudia Melo</t>
        </is>
      </c>
      <c r="F736" s="35" t="inlineStr">
        <is>
          <t>Particular</t>
        </is>
      </c>
      <c r="G736" s="35" t="inlineStr">
        <is>
          <t>Avaliação endócrina</t>
        </is>
      </c>
      <c r="H736" s="35" t="inlineStr">
        <is>
          <t>Realizado</t>
        </is>
      </c>
      <c r="I736" s="35" t="inlineStr">
        <is>
          <t>Cartão de débito</t>
        </is>
      </c>
      <c r="J736" s="35" t="n"/>
      <c r="K736" s="34" t="n"/>
      <c r="L736" s="26">
        <f>IF(A736="","",MONTH(A736))</f>
        <v>8</v>
      </c>
      <c r="M736" s="26">
        <f>IF(A736="","",YEAR(A736))</f>
        <v>2026</v>
      </c>
      <c r="N736" s="26" t="str">
        <f>IF(A736="","",CHOOSE(WEEKDAY(A736,2),"Segunda","Terça","Quarta","Quinta","Sexta","Sábado","Domingo"))</f>
        <v>Quinta</v>
      </c>
      <c r="O736" s="26" t="str">
        <f>IF(B736="","",IF(B736&lt;TIME(12,0,0),"Manhã",IF(B736&lt;TIME(18,0,0),"Tarde","Noite")))</f>
        <v>Tarde</v>
      </c>
      <c r="P736" s="32">
        <f>IF(G736="","",IFERROR(INDEX(Config!$I$5:$I$16,MATCH(G736,Config!$H$5:$H$16,0)),0))</f>
        <v>45</v>
      </c>
      <c r="Q736" s="30">
        <f>IF(OR(H736&lt;&gt;"Realizado",P736="",P736=0),"",A736+P736)</f>
        <v>46292.0</v>
      </c>
      <c r="R736" s="26" t="str">
        <f>IF(Q736="","",IF(COUNTIFS($E$5:$E$3004,E736,$A$5:$A$3004,"&gt;"&amp;A736,$H$5:$H$3004,"&lt;&gt;Falta",$H$5:$H$3004,"&lt;&gt;Cancelado",$H$5:$H$3004,"&lt;&gt;Remarcado")&gt;0,"Sim","Não"))</f>
        <v>Sim</v>
      </c>
      <c r="S736" s="32">
        <f>IF(R736&lt;&gt;"Não","",IF(Q736+Config!$B$9&lt;=Config!$B$8,Config!$B$8-Q736,""))</f>
        <v/>
      </c>
      <c r="T736" s="26">
        <f>IF(S736="","","Sim")</f>
        <v/>
      </c>
      <c r="U736" s="41">
        <f>IF(T736="Sim",S736+ROW()/100000,0)</f>
        <v>0</v>
      </c>
      <c r="V736" s="41">
        <f>IF(AND(H736="Falta",L736=Config!$B$7,M736=Config!$B$5,COUNTIFS($E$5:E736,E736,$H$5:H736,"Falta",$L$5:L736,Config!$B$7,$M$5:M736,Config!$B$5)=1),COUNTIFS($E$5:$E$3004,E736,$H$5:$H$3004,"Falta",$L$5:$L$3004,Config!$B$7,$M$5:$M$3004,Config!$B$5)*1000-ROW()/100000,0)</f>
        <v>0</v>
      </c>
    </row>
    <row r="737">
      <c r="A737" s="39" t="n">
        <v>46247</v>
      </c>
      <c r="B737" s="40" t="n">
        <v>0.625</v>
      </c>
      <c r="C737" s="35" t="inlineStr">
        <is>
          <t>Dr. Paulo Andrade</t>
        </is>
      </c>
      <c r="D737" s="35" t="inlineStr">
        <is>
          <t>Sala 2</t>
        </is>
      </c>
      <c r="E737" s="34" t="inlineStr">
        <is>
          <t>Sérgio Batista</t>
        </is>
      </c>
      <c r="F737" s="35" t="inlineStr">
        <is>
          <t>MediPlan</t>
        </is>
      </c>
      <c r="G737" s="35" t="inlineStr">
        <is>
          <t>Teste ergométrico</t>
        </is>
      </c>
      <c r="H737" s="35" t="inlineStr">
        <is>
          <t>Realizado</t>
        </is>
      </c>
      <c r="I737" s="35" t="inlineStr">
        <is>
          <t>Convênio</t>
        </is>
      </c>
      <c r="J737" s="35" t="n"/>
      <c r="K737" s="34" t="n"/>
      <c r="L737" s="26">
        <f>IF(A737="","",MONTH(A737))</f>
        <v>8</v>
      </c>
      <c r="M737" s="26">
        <f>IF(A737="","",YEAR(A737))</f>
        <v>2026</v>
      </c>
      <c r="N737" s="26" t="str">
        <f>IF(A737="","",CHOOSE(WEEKDAY(A737,2),"Segunda","Terça","Quarta","Quinta","Sexta","Sábado","Domingo"))</f>
        <v>Quinta</v>
      </c>
      <c r="O737" s="26" t="str">
        <f>IF(B737="","",IF(B737&lt;TIME(12,0,0),"Manhã",IF(B737&lt;TIME(18,0,0),"Tarde","Noite")))</f>
        <v>Tarde</v>
      </c>
      <c r="P737" s="32">
        <f>IF(G737="","",IFERROR(INDEX(Config!$I$5:$I$16,MATCH(G737,Config!$H$5:$H$16,0)),0))</f>
        <v>0</v>
      </c>
      <c r="Q737" s="30">
        <f>IF(OR(H737&lt;&gt;"Realizado",P737="",P737=0),"",A737+P737)</f>
        <v/>
      </c>
      <c r="R737" s="26">
        <f>IF(Q737="","",IF(COUNTIFS($E$5:$E$3004,E737,$A$5:$A$3004,"&gt;"&amp;A737,$H$5:$H$3004,"&lt;&gt;Falta",$H$5:$H$3004,"&lt;&gt;Cancelado",$H$5:$H$3004,"&lt;&gt;Remarcado")&gt;0,"Sim","Não"))</f>
        <v/>
      </c>
      <c r="S737" s="32">
        <f>IF(R737&lt;&gt;"Não","",IF(Q737+Config!$B$9&lt;=Config!$B$8,Config!$B$8-Q737,""))</f>
        <v/>
      </c>
      <c r="T737" s="26">
        <f>IF(S737="","","Sim")</f>
        <v/>
      </c>
      <c r="U737" s="41">
        <f>IF(T737="Sim",S737+ROW()/100000,0)</f>
        <v>0</v>
      </c>
      <c r="V737" s="41">
        <f>IF(AND(H737="Falta",L737=Config!$B$7,M737=Config!$B$5,COUNTIFS($E$5:E737,E737,$H$5:H737,"Falta",$L$5:L737,Config!$B$7,$M$5:M737,Config!$B$5)=1),COUNTIFS($E$5:$E$3004,E737,$H$5:$H$3004,"Falta",$L$5:$L$3004,Config!$B$7,$M$5:$M$3004,Config!$B$5)*1000-ROW()/100000,0)</f>
        <v>0</v>
      </c>
    </row>
    <row r="738">
      <c r="A738" s="39" t="n">
        <v>46247</v>
      </c>
      <c r="B738" s="40" t="n">
        <v>0.6527777777777778</v>
      </c>
      <c r="C738" s="35" t="inlineStr">
        <is>
          <t>Dr. Paulo Andrade</t>
        </is>
      </c>
      <c r="D738" s="35" t="inlineStr">
        <is>
          <t>Sala 2</t>
        </is>
      </c>
      <c r="E738" s="34" t="inlineStr">
        <is>
          <t>Bruno Carvalho</t>
        </is>
      </c>
      <c r="F738" s="35" t="inlineStr">
        <is>
          <t>Saúde Total</t>
        </is>
      </c>
      <c r="G738" s="35" t="inlineStr">
        <is>
          <t>Consulta</t>
        </is>
      </c>
      <c r="H738" s="35" t="inlineStr">
        <is>
          <t>Realizado</t>
        </is>
      </c>
      <c r="I738" s="35" t="inlineStr">
        <is>
          <t>Convênio</t>
        </is>
      </c>
      <c r="J738" s="35" t="n"/>
      <c r="K738" s="34" t="n"/>
      <c r="L738" s="26">
        <f>IF(A738="","",MONTH(A738))</f>
        <v>8</v>
      </c>
      <c r="M738" s="26">
        <f>IF(A738="","",YEAR(A738))</f>
        <v>2026</v>
      </c>
      <c r="N738" s="26" t="str">
        <f>IF(A738="","",CHOOSE(WEEKDAY(A738,2),"Segunda","Terça","Quarta","Quinta","Sexta","Sábado","Domingo"))</f>
        <v>Quinta</v>
      </c>
      <c r="O738" s="26" t="str">
        <f>IF(B738="","",IF(B738&lt;TIME(12,0,0),"Manhã",IF(B738&lt;TIME(18,0,0),"Tarde","Noite")))</f>
        <v>Tarde</v>
      </c>
      <c r="P738" s="32">
        <f>IF(G738="","",IFERROR(INDEX(Config!$I$5:$I$16,MATCH(G738,Config!$H$5:$H$16,0)),0))</f>
        <v>30</v>
      </c>
      <c r="Q738" s="30">
        <f>IF(OR(H738&lt;&gt;"Realizado",P738="",P738=0),"",A738+P738)</f>
        <v>46277.0</v>
      </c>
      <c r="R738" s="26" t="str">
        <f>IF(Q738="","",IF(COUNTIFS($E$5:$E$3004,E738,$A$5:$A$3004,"&gt;"&amp;A738,$H$5:$H$3004,"&lt;&gt;Falta",$H$5:$H$3004,"&lt;&gt;Cancelado",$H$5:$H$3004,"&lt;&gt;Remarcado")&gt;0,"Sim","Não"))</f>
        <v>Sim</v>
      </c>
      <c r="S738" s="32">
        <f>IF(R738&lt;&gt;"Não","",IF(Q738+Config!$B$9&lt;=Config!$B$8,Config!$B$8-Q738,""))</f>
        <v/>
      </c>
      <c r="T738" s="26">
        <f>IF(S738="","","Sim")</f>
        <v/>
      </c>
      <c r="U738" s="41">
        <f>IF(T738="Sim",S738+ROW()/100000,0)</f>
        <v>0</v>
      </c>
      <c r="V738" s="41">
        <f>IF(AND(H738="Falta",L738=Config!$B$7,M738=Config!$B$5,COUNTIFS($E$5:E738,E738,$H$5:H738,"Falta",$L$5:L738,Config!$B$7,$M$5:M738,Config!$B$5)=1),COUNTIFS($E$5:$E$3004,E738,$H$5:$H$3004,"Falta",$L$5:$L$3004,Config!$B$7,$M$5:$M$3004,Config!$B$5)*1000-ROW()/100000,0)</f>
        <v>0</v>
      </c>
    </row>
    <row r="739">
      <c r="A739" s="39" t="n">
        <v>46247</v>
      </c>
      <c r="B739" s="40" t="n">
        <v>0.6597222222222222</v>
      </c>
      <c r="C739" s="35" t="inlineStr">
        <is>
          <t>Dra. Renata Sousa</t>
        </is>
      </c>
      <c r="D739" s="35" t="inlineStr">
        <is>
          <t>Sala 1</t>
        </is>
      </c>
      <c r="E739" s="34" t="inlineStr">
        <is>
          <t>Patrícia Dias</t>
        </is>
      </c>
      <c r="F739" s="35" t="inlineStr">
        <is>
          <t>Particular</t>
        </is>
      </c>
      <c r="G739" s="35" t="inlineStr">
        <is>
          <t>Retorno</t>
        </is>
      </c>
      <c r="H739" s="35" t="inlineStr">
        <is>
          <t>Realizado</t>
        </is>
      </c>
      <c r="I739" s="35" t="inlineStr">
        <is>
          <t>Sem cobrança</t>
        </is>
      </c>
      <c r="J739" s="35" t="n"/>
      <c r="K739" s="34" t="n"/>
      <c r="L739" s="26">
        <f>IF(A739="","",MONTH(A739))</f>
        <v>8</v>
      </c>
      <c r="M739" s="26">
        <f>IF(A739="","",YEAR(A739))</f>
        <v>2026</v>
      </c>
      <c r="N739" s="26" t="str">
        <f>IF(A739="","",CHOOSE(WEEKDAY(A739,2),"Segunda","Terça","Quarta","Quinta","Sexta","Sábado","Domingo"))</f>
        <v>Quinta</v>
      </c>
      <c r="O739" s="26" t="str">
        <f>IF(B739="","",IF(B739&lt;TIME(12,0,0),"Manhã",IF(B739&lt;TIME(18,0,0),"Tarde","Noite")))</f>
        <v>Tarde</v>
      </c>
      <c r="P739" s="32">
        <f>IF(G739="","",IFERROR(INDEX(Config!$I$5:$I$16,MATCH(G739,Config!$H$5:$H$16,0)),0))</f>
        <v>0</v>
      </c>
      <c r="Q739" s="30">
        <f>IF(OR(H739&lt;&gt;"Realizado",P739="",P739=0),"",A739+P739)</f>
        <v/>
      </c>
      <c r="R739" s="26">
        <f>IF(Q739="","",IF(COUNTIFS($E$5:$E$3004,E739,$A$5:$A$3004,"&gt;"&amp;A739,$H$5:$H$3004,"&lt;&gt;Falta",$H$5:$H$3004,"&lt;&gt;Cancelado",$H$5:$H$3004,"&lt;&gt;Remarcado")&gt;0,"Sim","Não"))</f>
        <v/>
      </c>
      <c r="S739" s="32">
        <f>IF(R739&lt;&gt;"Não","",IF(Q739+Config!$B$9&lt;=Config!$B$8,Config!$B$8-Q739,""))</f>
        <v/>
      </c>
      <c r="T739" s="26">
        <f>IF(S739="","","Sim")</f>
        <v/>
      </c>
      <c r="U739" s="41">
        <f>IF(T739="Sim",S739+ROW()/100000,0)</f>
        <v>0</v>
      </c>
      <c r="V739" s="41">
        <f>IF(AND(H739="Falta",L739=Config!$B$7,M739=Config!$B$5,COUNTIFS($E$5:E739,E739,$H$5:H739,"Falta",$L$5:L739,Config!$B$7,$M$5:M739,Config!$B$5)=1),COUNTIFS($E$5:$E$3004,E739,$H$5:$H$3004,"Falta",$L$5:$L$3004,Config!$B$7,$M$5:$M$3004,Config!$B$5)*1000-ROW()/100000,0)</f>
        <v>0</v>
      </c>
    </row>
    <row r="740">
      <c r="A740" s="39" t="n">
        <v>46247</v>
      </c>
      <c r="B740" s="40" t="n">
        <v>0.6736111111111112</v>
      </c>
      <c r="C740" s="35" t="inlineStr">
        <is>
          <t>Dra. Renata Sousa</t>
        </is>
      </c>
      <c r="D740" s="35" t="inlineStr">
        <is>
          <t>Sala 1</t>
        </is>
      </c>
      <c r="E740" s="34" t="inlineStr">
        <is>
          <t>Carlos Gonçalves</t>
        </is>
      </c>
      <c r="F740" s="35" t="inlineStr">
        <is>
          <t>Saúde Total</t>
        </is>
      </c>
      <c r="G740" s="35" t="inlineStr">
        <is>
          <t>Retorno</t>
        </is>
      </c>
      <c r="H740" s="35" t="inlineStr">
        <is>
          <t>Realizado</t>
        </is>
      </c>
      <c r="I740" s="35" t="inlineStr">
        <is>
          <t>Sem cobrança</t>
        </is>
      </c>
      <c r="J740" s="35" t="n"/>
      <c r="K740" s="34" t="n"/>
      <c r="L740" s="26">
        <f>IF(A740="","",MONTH(A740))</f>
        <v>8</v>
      </c>
      <c r="M740" s="26">
        <f>IF(A740="","",YEAR(A740))</f>
        <v>2026</v>
      </c>
      <c r="N740" s="26" t="str">
        <f>IF(A740="","",CHOOSE(WEEKDAY(A740,2),"Segunda","Terça","Quarta","Quinta","Sexta","Sábado","Domingo"))</f>
        <v>Quinta</v>
      </c>
      <c r="O740" s="26" t="str">
        <f>IF(B740="","",IF(B740&lt;TIME(12,0,0),"Manhã",IF(B740&lt;TIME(18,0,0),"Tarde","Noite")))</f>
        <v>Tarde</v>
      </c>
      <c r="P740" s="32">
        <f>IF(G740="","",IFERROR(INDEX(Config!$I$5:$I$16,MATCH(G740,Config!$H$5:$H$16,0)),0))</f>
        <v>0</v>
      </c>
      <c r="Q740" s="30">
        <f>IF(OR(H740&lt;&gt;"Realizado",P740="",P740=0),"",A740+P740)</f>
        <v/>
      </c>
      <c r="R740" s="26">
        <f>IF(Q740="","",IF(COUNTIFS($E$5:$E$3004,E740,$A$5:$A$3004,"&gt;"&amp;A740,$H$5:$H$3004,"&lt;&gt;Falta",$H$5:$H$3004,"&lt;&gt;Cancelado",$H$5:$H$3004,"&lt;&gt;Remarcado")&gt;0,"Sim","Não"))</f>
        <v/>
      </c>
      <c r="S740" s="32">
        <f>IF(R740&lt;&gt;"Não","",IF(Q740+Config!$B$9&lt;=Config!$B$8,Config!$B$8-Q740,""))</f>
        <v/>
      </c>
      <c r="T740" s="26">
        <f>IF(S740="","","Sim")</f>
        <v/>
      </c>
      <c r="U740" s="41">
        <f>IF(T740="Sim",S740+ROW()/100000,0)</f>
        <v>0</v>
      </c>
      <c r="V740" s="41">
        <f>IF(AND(H740="Falta",L740=Config!$B$7,M740=Config!$B$5,COUNTIFS($E$5:E740,E740,$H$5:H740,"Falta",$L$5:L740,Config!$B$7,$M$5:M740,Config!$B$5)=1),COUNTIFS($E$5:$E$3004,E740,$H$5:$H$3004,"Falta",$L$5:$L$3004,Config!$B$7,$M$5:$M$3004,Config!$B$5)*1000-ROW()/100000,0)</f>
        <v>0</v>
      </c>
    </row>
    <row r="741">
      <c r="A741" s="39" t="n">
        <v>46247</v>
      </c>
      <c r="B741" s="40" t="n">
        <v>0.6736111111111112</v>
      </c>
      <c r="C741" s="35" t="inlineStr">
        <is>
          <t>Dr. Paulo Andrade</t>
        </is>
      </c>
      <c r="D741" s="35" t="inlineStr">
        <is>
          <t>Sala 2</t>
        </is>
      </c>
      <c r="E741" s="34" t="inlineStr">
        <is>
          <t>Débora Moreira</t>
        </is>
      </c>
      <c r="F741" s="35" t="inlineStr">
        <is>
          <t>Particular</t>
        </is>
      </c>
      <c r="G741" s="35" t="inlineStr">
        <is>
          <t>Consulta</t>
        </is>
      </c>
      <c r="H741" s="35" t="inlineStr">
        <is>
          <t>Realizado</t>
        </is>
      </c>
      <c r="I741" s="35" t="inlineStr">
        <is>
          <t>Pix</t>
        </is>
      </c>
      <c r="J741" s="35" t="n"/>
      <c r="K741" s="34" t="n"/>
      <c r="L741" s="26">
        <f>IF(A741="","",MONTH(A741))</f>
        <v>8</v>
      </c>
      <c r="M741" s="26">
        <f>IF(A741="","",YEAR(A741))</f>
        <v>2026</v>
      </c>
      <c r="N741" s="26" t="str">
        <f>IF(A741="","",CHOOSE(WEEKDAY(A741,2),"Segunda","Terça","Quarta","Quinta","Sexta","Sábado","Domingo"))</f>
        <v>Quinta</v>
      </c>
      <c r="O741" s="26" t="str">
        <f>IF(B741="","",IF(B741&lt;TIME(12,0,0),"Manhã",IF(B741&lt;TIME(18,0,0),"Tarde","Noite")))</f>
        <v>Tarde</v>
      </c>
      <c r="P741" s="32">
        <f>IF(G741="","",IFERROR(INDEX(Config!$I$5:$I$16,MATCH(G741,Config!$H$5:$H$16,0)),0))</f>
        <v>30</v>
      </c>
      <c r="Q741" s="30">
        <f>IF(OR(H741&lt;&gt;"Realizado",P741="",P741=0),"",A741+P741)</f>
        <v>46277.0</v>
      </c>
      <c r="R741" s="26" t="str">
        <f>IF(Q741="","",IF(COUNTIFS($E$5:$E$3004,E741,$A$5:$A$3004,"&gt;"&amp;A741,$H$5:$H$3004,"&lt;&gt;Falta",$H$5:$H$3004,"&lt;&gt;Cancelado",$H$5:$H$3004,"&lt;&gt;Remarcado")&gt;0,"Sim","Não"))</f>
        <v>Sim</v>
      </c>
      <c r="S741" s="32">
        <f>IF(R741&lt;&gt;"Não","",IF(Q741+Config!$B$9&lt;=Config!$B$8,Config!$B$8-Q741,""))</f>
        <v/>
      </c>
      <c r="T741" s="26">
        <f>IF(S741="","","Sim")</f>
        <v/>
      </c>
      <c r="U741" s="41">
        <f>IF(T741="Sim",S741+ROW()/100000,0)</f>
        <v>0</v>
      </c>
      <c r="V741" s="41">
        <f>IF(AND(H741="Falta",L741=Config!$B$7,M741=Config!$B$5,COUNTIFS($E$5:E741,E741,$H$5:H741,"Falta",$L$5:L741,Config!$B$7,$M$5:M741,Config!$B$5)=1),COUNTIFS($E$5:$E$3004,E741,$H$5:$H$3004,"Falta",$L$5:$L$3004,Config!$B$7,$M$5:$M$3004,Config!$B$5)*1000-ROW()/100000,0)</f>
        <v>0</v>
      </c>
    </row>
    <row r="742">
      <c r="A742" s="39" t="n">
        <v>46247</v>
      </c>
      <c r="B742" s="40" t="n">
        <v>0.6875</v>
      </c>
      <c r="C742" s="35" t="inlineStr">
        <is>
          <t>Dra. Renata Sousa</t>
        </is>
      </c>
      <c r="D742" s="35" t="inlineStr">
        <is>
          <t>Sala 1</t>
        </is>
      </c>
      <c r="E742" s="34" t="inlineStr">
        <is>
          <t>Isabela Xavier</t>
        </is>
      </c>
      <c r="F742" s="35" t="inlineStr">
        <is>
          <t>Particular</t>
        </is>
      </c>
      <c r="G742" s="35" t="inlineStr">
        <is>
          <t>Avaliação endócrina</t>
        </is>
      </c>
      <c r="H742" s="35" t="inlineStr">
        <is>
          <t>Realizado</t>
        </is>
      </c>
      <c r="I742" s="35" t="inlineStr">
        <is>
          <t>Cartão de débito</t>
        </is>
      </c>
      <c r="J742" s="35" t="n"/>
      <c r="K742" s="34" t="n"/>
      <c r="L742" s="26">
        <f>IF(A742="","",MONTH(A742))</f>
        <v>8</v>
      </c>
      <c r="M742" s="26">
        <f>IF(A742="","",YEAR(A742))</f>
        <v>2026</v>
      </c>
      <c r="N742" s="26" t="str">
        <f>IF(A742="","",CHOOSE(WEEKDAY(A742,2),"Segunda","Terça","Quarta","Quinta","Sexta","Sábado","Domingo"))</f>
        <v>Quinta</v>
      </c>
      <c r="O742" s="26" t="str">
        <f>IF(B742="","",IF(B742&lt;TIME(12,0,0),"Manhã",IF(B742&lt;TIME(18,0,0),"Tarde","Noite")))</f>
        <v>Tarde</v>
      </c>
      <c r="P742" s="32">
        <f>IF(G742="","",IFERROR(INDEX(Config!$I$5:$I$16,MATCH(G742,Config!$H$5:$H$16,0)),0))</f>
        <v>45</v>
      </c>
      <c r="Q742" s="30">
        <f>IF(OR(H742&lt;&gt;"Realizado",P742="",P742=0),"",A742+P742)</f>
        <v>46292.0</v>
      </c>
      <c r="R742" s="26" t="str">
        <f>IF(Q742="","",IF(COUNTIFS($E$5:$E$3004,E742,$A$5:$A$3004,"&gt;"&amp;A742,$H$5:$H$3004,"&lt;&gt;Falta",$H$5:$H$3004,"&lt;&gt;Cancelado",$H$5:$H$3004,"&lt;&gt;Remarcado")&gt;0,"Sim","Não"))</f>
        <v>Sim</v>
      </c>
      <c r="S742" s="32">
        <f>IF(R742&lt;&gt;"Não","",IF(Q742+Config!$B$9&lt;=Config!$B$8,Config!$B$8-Q742,""))</f>
        <v/>
      </c>
      <c r="T742" s="26">
        <f>IF(S742="","","Sim")</f>
        <v/>
      </c>
      <c r="U742" s="41">
        <f>IF(T742="Sim",S742+ROW()/100000,0)</f>
        <v>0</v>
      </c>
      <c r="V742" s="41">
        <f>IF(AND(H742="Falta",L742=Config!$B$7,M742=Config!$B$5,COUNTIFS($E$5:E742,E742,$H$5:H742,"Falta",$L$5:L742,Config!$B$7,$M$5:M742,Config!$B$5)=1),COUNTIFS($E$5:$E$3004,E742,$H$5:$H$3004,"Falta",$L$5:$L$3004,Config!$B$7,$M$5:$M$3004,Config!$B$5)*1000-ROW()/100000,0)</f>
        <v>0</v>
      </c>
    </row>
    <row r="743">
      <c r="A743" s="39" t="n">
        <v>46247</v>
      </c>
      <c r="B743" s="40" t="n">
        <v>0.6944444444444444</v>
      </c>
      <c r="C743" s="35" t="inlineStr">
        <is>
          <t>Dr. Paulo Andrade</t>
        </is>
      </c>
      <c r="D743" s="35" t="inlineStr">
        <is>
          <t>Sala 2</t>
        </is>
      </c>
      <c r="E743" s="34" t="inlineStr">
        <is>
          <t>Leandro Gomes</t>
        </is>
      </c>
      <c r="F743" s="35" t="inlineStr">
        <is>
          <t>Saúde Total</t>
        </is>
      </c>
      <c r="G743" s="35" t="inlineStr">
        <is>
          <t>Holter</t>
        </is>
      </c>
      <c r="H743" s="35" t="inlineStr">
        <is>
          <t>Realizado</t>
        </is>
      </c>
      <c r="I743" s="35" t="inlineStr">
        <is>
          <t>Convênio</t>
        </is>
      </c>
      <c r="J743" s="35" t="n"/>
      <c r="K743" s="34" t="n"/>
      <c r="L743" s="26">
        <f>IF(A743="","",MONTH(A743))</f>
        <v>8</v>
      </c>
      <c r="M743" s="26">
        <f>IF(A743="","",YEAR(A743))</f>
        <v>2026</v>
      </c>
      <c r="N743" s="26" t="str">
        <f>IF(A743="","",CHOOSE(WEEKDAY(A743,2),"Segunda","Terça","Quarta","Quinta","Sexta","Sábado","Domingo"))</f>
        <v>Quinta</v>
      </c>
      <c r="O743" s="26" t="str">
        <f>IF(B743="","",IF(B743&lt;TIME(12,0,0),"Manhã",IF(B743&lt;TIME(18,0,0),"Tarde","Noite")))</f>
        <v>Tarde</v>
      </c>
      <c r="P743" s="32">
        <f>IF(G743="","",IFERROR(INDEX(Config!$I$5:$I$16,MATCH(G743,Config!$H$5:$H$16,0)),0))</f>
        <v>0</v>
      </c>
      <c r="Q743" s="30">
        <f>IF(OR(H743&lt;&gt;"Realizado",P743="",P743=0),"",A743+P743)</f>
        <v/>
      </c>
      <c r="R743" s="26">
        <f>IF(Q743="","",IF(COUNTIFS($E$5:$E$3004,E743,$A$5:$A$3004,"&gt;"&amp;A743,$H$5:$H$3004,"&lt;&gt;Falta",$H$5:$H$3004,"&lt;&gt;Cancelado",$H$5:$H$3004,"&lt;&gt;Remarcado")&gt;0,"Sim","Não"))</f>
        <v/>
      </c>
      <c r="S743" s="32">
        <f>IF(R743&lt;&gt;"Não","",IF(Q743+Config!$B$9&lt;=Config!$B$8,Config!$B$8-Q743,""))</f>
        <v/>
      </c>
      <c r="T743" s="26">
        <f>IF(S743="","","Sim")</f>
        <v/>
      </c>
      <c r="U743" s="41">
        <f>IF(T743="Sim",S743+ROW()/100000,0)</f>
        <v>0</v>
      </c>
      <c r="V743" s="41">
        <f>IF(AND(H743="Falta",L743=Config!$B$7,M743=Config!$B$5,COUNTIFS($E$5:E743,E743,$H$5:H743,"Falta",$L$5:L743,Config!$B$7,$M$5:M743,Config!$B$5)=1),COUNTIFS($E$5:$E$3004,E743,$H$5:$H$3004,"Falta",$L$5:$L$3004,Config!$B$7,$M$5:$M$3004,Config!$B$5)*1000-ROW()/100000,0)</f>
        <v>0</v>
      </c>
    </row>
    <row r="744">
      <c r="A744" s="39" t="n">
        <v>46247</v>
      </c>
      <c r="B744" s="40" t="n">
        <v>0.7083333333333334</v>
      </c>
      <c r="C744" s="35" t="inlineStr">
        <is>
          <t>Dr. Paulo Andrade</t>
        </is>
      </c>
      <c r="D744" s="35" t="inlineStr">
        <is>
          <t>Sala 2</t>
        </is>
      </c>
      <c r="E744" s="34" t="inlineStr">
        <is>
          <t>Sandra Cardoso</t>
        </is>
      </c>
      <c r="F744" s="35" t="inlineStr">
        <is>
          <t>Saúde Total</t>
        </is>
      </c>
      <c r="G744" s="35" t="inlineStr">
        <is>
          <t>Consulta</t>
        </is>
      </c>
      <c r="H744" s="35" t="inlineStr">
        <is>
          <t>Realizado</t>
        </is>
      </c>
      <c r="I744" s="35" t="inlineStr">
        <is>
          <t>Convênio</t>
        </is>
      </c>
      <c r="J744" s="35" t="n"/>
      <c r="K744" s="34" t="n"/>
      <c r="L744" s="26">
        <f>IF(A744="","",MONTH(A744))</f>
        <v>8</v>
      </c>
      <c r="M744" s="26">
        <f>IF(A744="","",YEAR(A744))</f>
        <v>2026</v>
      </c>
      <c r="N744" s="26" t="str">
        <f>IF(A744="","",CHOOSE(WEEKDAY(A744,2),"Segunda","Terça","Quarta","Quinta","Sexta","Sábado","Domingo"))</f>
        <v>Quinta</v>
      </c>
      <c r="O744" s="26" t="str">
        <f>IF(B744="","",IF(B744&lt;TIME(12,0,0),"Manhã",IF(B744&lt;TIME(18,0,0),"Tarde","Noite")))</f>
        <v>Tarde</v>
      </c>
      <c r="P744" s="32">
        <f>IF(G744="","",IFERROR(INDEX(Config!$I$5:$I$16,MATCH(G744,Config!$H$5:$H$16,0)),0))</f>
        <v>30</v>
      </c>
      <c r="Q744" s="30">
        <f>IF(OR(H744&lt;&gt;"Realizado",P744="",P744=0),"",A744+P744)</f>
        <v>46277.0</v>
      </c>
      <c r="R744" s="26" t="str">
        <f>IF(Q744="","",IF(COUNTIFS($E$5:$E$3004,E744,$A$5:$A$3004,"&gt;"&amp;A744,$H$5:$H$3004,"&lt;&gt;Falta",$H$5:$H$3004,"&lt;&gt;Cancelado",$H$5:$H$3004,"&lt;&gt;Remarcado")&gt;0,"Sim","Não"))</f>
        <v>Sim</v>
      </c>
      <c r="S744" s="32">
        <f>IF(R744&lt;&gt;"Não","",IF(Q744+Config!$B$9&lt;=Config!$B$8,Config!$B$8-Q744,""))</f>
        <v/>
      </c>
      <c r="T744" s="26">
        <f>IF(S744="","","Sim")</f>
        <v/>
      </c>
      <c r="U744" s="41">
        <f>IF(T744="Sim",S744+ROW()/100000,0)</f>
        <v>0</v>
      </c>
      <c r="V744" s="41">
        <f>IF(AND(H744="Falta",L744=Config!$B$7,M744=Config!$B$5,COUNTIFS($E$5:E744,E744,$H$5:H744,"Falta",$L$5:L744,Config!$B$7,$M$5:M744,Config!$B$5)=1),COUNTIFS($E$5:$E$3004,E744,$H$5:$H$3004,"Falta",$L$5:$L$3004,Config!$B$7,$M$5:$M$3004,Config!$B$5)*1000-ROW()/100000,0)</f>
        <v>0</v>
      </c>
    </row>
    <row r="745">
      <c r="A745" s="39" t="n">
        <v>46247</v>
      </c>
      <c r="B745" s="40" t="n">
        <v>0.7152777777777778</v>
      </c>
      <c r="C745" s="35" t="inlineStr">
        <is>
          <t>Dra. Renata Sousa</t>
        </is>
      </c>
      <c r="D745" s="35" t="inlineStr">
        <is>
          <t>Sala 1</t>
        </is>
      </c>
      <c r="E745" s="34" t="inlineStr">
        <is>
          <t>Rodrigo Cardoso</t>
        </is>
      </c>
      <c r="F745" s="35" t="inlineStr">
        <is>
          <t>Saúde Total</t>
        </is>
      </c>
      <c r="G745" s="35" t="inlineStr">
        <is>
          <t>Retorno</t>
        </is>
      </c>
      <c r="H745" s="35" t="inlineStr">
        <is>
          <t>Realizado</t>
        </is>
      </c>
      <c r="I745" s="35" t="inlineStr">
        <is>
          <t>Sem cobrança</t>
        </is>
      </c>
      <c r="J745" s="35" t="n"/>
      <c r="K745" s="34" t="n"/>
      <c r="L745" s="26">
        <f>IF(A745="","",MONTH(A745))</f>
        <v>8</v>
      </c>
      <c r="M745" s="26">
        <f>IF(A745="","",YEAR(A745))</f>
        <v>2026</v>
      </c>
      <c r="N745" s="26" t="str">
        <f>IF(A745="","",CHOOSE(WEEKDAY(A745,2),"Segunda","Terça","Quarta","Quinta","Sexta","Sábado","Domingo"))</f>
        <v>Quinta</v>
      </c>
      <c r="O745" s="26" t="str">
        <f>IF(B745="","",IF(B745&lt;TIME(12,0,0),"Manhã",IF(B745&lt;TIME(18,0,0),"Tarde","Noite")))</f>
        <v>Tarde</v>
      </c>
      <c r="P745" s="32">
        <f>IF(G745="","",IFERROR(INDEX(Config!$I$5:$I$16,MATCH(G745,Config!$H$5:$H$16,0)),0))</f>
        <v>0</v>
      </c>
      <c r="Q745" s="30">
        <f>IF(OR(H745&lt;&gt;"Realizado",P745="",P745=0),"",A745+P745)</f>
        <v/>
      </c>
      <c r="R745" s="26">
        <f>IF(Q745="","",IF(COUNTIFS($E$5:$E$3004,E745,$A$5:$A$3004,"&gt;"&amp;A745,$H$5:$H$3004,"&lt;&gt;Falta",$H$5:$H$3004,"&lt;&gt;Cancelado",$H$5:$H$3004,"&lt;&gt;Remarcado")&gt;0,"Sim","Não"))</f>
        <v/>
      </c>
      <c r="S745" s="32">
        <f>IF(R745&lt;&gt;"Não","",IF(Q745+Config!$B$9&lt;=Config!$B$8,Config!$B$8-Q745,""))</f>
        <v/>
      </c>
      <c r="T745" s="26">
        <f>IF(S745="","","Sim")</f>
        <v/>
      </c>
      <c r="U745" s="41">
        <f>IF(T745="Sim",S745+ROW()/100000,0)</f>
        <v>0</v>
      </c>
      <c r="V745" s="41">
        <f>IF(AND(H745="Falta",L745=Config!$B$7,M745=Config!$B$5,COUNTIFS($E$5:E745,E745,$H$5:H745,"Falta",$L$5:L745,Config!$B$7,$M$5:M745,Config!$B$5)=1),COUNTIFS($E$5:$E$3004,E745,$H$5:$H$3004,"Falta",$L$5:$L$3004,Config!$B$7,$M$5:$M$3004,Config!$B$5)*1000-ROW()/100000,0)</f>
        <v>0</v>
      </c>
    </row>
    <row r="746">
      <c r="A746" s="39" t="n">
        <v>46247</v>
      </c>
      <c r="B746" s="40" t="n">
        <v>0.7291666666666666</v>
      </c>
      <c r="C746" s="35" t="inlineStr">
        <is>
          <t>Dra. Renata Sousa</t>
        </is>
      </c>
      <c r="D746" s="35" t="inlineStr">
        <is>
          <t>Sala 1</t>
        </is>
      </c>
      <c r="E746" s="34" t="inlineStr">
        <is>
          <t>Priscila Reis</t>
        </is>
      </c>
      <c r="F746" s="35" t="inlineStr">
        <is>
          <t>Particular</t>
        </is>
      </c>
      <c r="G746" s="35" t="inlineStr">
        <is>
          <t>Avaliação endócrina</t>
        </is>
      </c>
      <c r="H746" s="35" t="inlineStr">
        <is>
          <t>Realizado</t>
        </is>
      </c>
      <c r="I746" s="35" t="inlineStr">
        <is>
          <t>Pix</t>
        </is>
      </c>
      <c r="J746" s="35" t="n"/>
      <c r="K746" s="34" t="n"/>
      <c r="L746" s="26">
        <f>IF(A746="","",MONTH(A746))</f>
        <v>8</v>
      </c>
      <c r="M746" s="26">
        <f>IF(A746="","",YEAR(A746))</f>
        <v>2026</v>
      </c>
      <c r="N746" s="26" t="str">
        <f>IF(A746="","",CHOOSE(WEEKDAY(A746,2),"Segunda","Terça","Quarta","Quinta","Sexta","Sábado","Domingo"))</f>
        <v>Quinta</v>
      </c>
      <c r="O746" s="26" t="str">
        <f>IF(B746="","",IF(B746&lt;TIME(12,0,0),"Manhã",IF(B746&lt;TIME(18,0,0),"Tarde","Noite")))</f>
        <v>Tarde</v>
      </c>
      <c r="P746" s="32">
        <f>IF(G746="","",IFERROR(INDEX(Config!$I$5:$I$16,MATCH(G746,Config!$H$5:$H$16,0)),0))</f>
        <v>45</v>
      </c>
      <c r="Q746" s="30">
        <f>IF(OR(H746&lt;&gt;"Realizado",P746="",P746=0),"",A746+P746)</f>
        <v>46292.0</v>
      </c>
      <c r="R746" s="26" t="str">
        <f>IF(Q746="","",IF(COUNTIFS($E$5:$E$3004,E746,$A$5:$A$3004,"&gt;"&amp;A746,$H$5:$H$3004,"&lt;&gt;Falta",$H$5:$H$3004,"&lt;&gt;Cancelado",$H$5:$H$3004,"&lt;&gt;Remarcado")&gt;0,"Sim","Não"))</f>
        <v>Sim</v>
      </c>
      <c r="S746" s="32">
        <f>IF(R746&lt;&gt;"Não","",IF(Q746+Config!$B$9&lt;=Config!$B$8,Config!$B$8-Q746,""))</f>
        <v/>
      </c>
      <c r="T746" s="26">
        <f>IF(S746="","","Sim")</f>
        <v/>
      </c>
      <c r="U746" s="41">
        <f>IF(T746="Sim",S746+ROW()/100000,0)</f>
        <v>0</v>
      </c>
      <c r="V746" s="41">
        <f>IF(AND(H746="Falta",L746=Config!$B$7,M746=Config!$B$5,COUNTIFS($E$5:E746,E746,$H$5:H746,"Falta",$L$5:L746,Config!$B$7,$M$5:M746,Config!$B$5)=1),COUNTIFS($E$5:$E$3004,E746,$H$5:$H$3004,"Falta",$L$5:$L$3004,Config!$B$7,$M$5:$M$3004,Config!$B$5)*1000-ROW()/100000,0)</f>
        <v>0</v>
      </c>
    </row>
    <row r="747">
      <c r="A747" s="39" t="n">
        <v>46247</v>
      </c>
      <c r="B747" s="40" t="n">
        <v>0.7291666666666666</v>
      </c>
      <c r="C747" s="35" t="inlineStr">
        <is>
          <t>Dr. Paulo Andrade</t>
        </is>
      </c>
      <c r="D747" s="35" t="inlineStr">
        <is>
          <t>Sala 2</t>
        </is>
      </c>
      <c r="E747" s="34" t="inlineStr">
        <is>
          <t>Gustavo Barbosa</t>
        </is>
      </c>
      <c r="F747" s="35" t="inlineStr">
        <is>
          <t>Saúde Total</t>
        </is>
      </c>
      <c r="G747" s="35" t="inlineStr">
        <is>
          <t>ECG</t>
        </is>
      </c>
      <c r="H747" s="35" t="inlineStr">
        <is>
          <t>Realizado</t>
        </is>
      </c>
      <c r="I747" s="35" t="inlineStr">
        <is>
          <t>Convênio</t>
        </is>
      </c>
      <c r="J747" s="35" t="n"/>
      <c r="K747" s="34" t="n"/>
      <c r="L747" s="26">
        <f>IF(A747="","",MONTH(A747))</f>
        <v>8</v>
      </c>
      <c r="M747" s="26">
        <f>IF(A747="","",YEAR(A747))</f>
        <v>2026</v>
      </c>
      <c r="N747" s="26" t="str">
        <f>IF(A747="","",CHOOSE(WEEKDAY(A747,2),"Segunda","Terça","Quarta","Quinta","Sexta","Sábado","Domingo"))</f>
        <v>Quinta</v>
      </c>
      <c r="O747" s="26" t="str">
        <f>IF(B747="","",IF(B747&lt;TIME(12,0,0),"Manhã",IF(B747&lt;TIME(18,0,0),"Tarde","Noite")))</f>
        <v>Tarde</v>
      </c>
      <c r="P747" s="32">
        <f>IF(G747="","",IFERROR(INDEX(Config!$I$5:$I$16,MATCH(G747,Config!$H$5:$H$16,0)),0))</f>
        <v>0</v>
      </c>
      <c r="Q747" s="30">
        <f>IF(OR(H747&lt;&gt;"Realizado",P747="",P747=0),"",A747+P747)</f>
        <v/>
      </c>
      <c r="R747" s="26">
        <f>IF(Q747="","",IF(COUNTIFS($E$5:$E$3004,E747,$A$5:$A$3004,"&gt;"&amp;A747,$H$5:$H$3004,"&lt;&gt;Falta",$H$5:$H$3004,"&lt;&gt;Cancelado",$H$5:$H$3004,"&lt;&gt;Remarcado")&gt;0,"Sim","Não"))</f>
        <v/>
      </c>
      <c r="S747" s="32">
        <f>IF(R747&lt;&gt;"Não","",IF(Q747+Config!$B$9&lt;=Config!$B$8,Config!$B$8-Q747,""))</f>
        <v/>
      </c>
      <c r="T747" s="26">
        <f>IF(S747="","","Sim")</f>
        <v/>
      </c>
      <c r="U747" s="41">
        <f>IF(T747="Sim",S747+ROW()/100000,0)</f>
        <v>0</v>
      </c>
      <c r="V747" s="41">
        <f>IF(AND(H747="Falta",L747=Config!$B$7,M747=Config!$B$5,COUNTIFS($E$5:E747,E747,$H$5:H747,"Falta",$L$5:L747,Config!$B$7,$M$5:M747,Config!$B$5)=1),COUNTIFS($E$5:$E$3004,E747,$H$5:$H$3004,"Falta",$L$5:$L$3004,Config!$B$7,$M$5:$M$3004,Config!$B$5)*1000-ROW()/100000,0)</f>
        <v>0</v>
      </c>
    </row>
    <row r="748">
      <c r="A748" s="39" t="n">
        <v>46248</v>
      </c>
      <c r="B748" s="40" t="n">
        <v>0.375</v>
      </c>
      <c r="C748" s="35" t="inlineStr">
        <is>
          <t>Dr. Paulo Andrade</t>
        </is>
      </c>
      <c r="D748" s="35" t="inlineStr">
        <is>
          <t>Sala 2</t>
        </is>
      </c>
      <c r="E748" s="34" t="inlineStr">
        <is>
          <t>Sandra Martins</t>
        </is>
      </c>
      <c r="F748" s="35" t="inlineStr">
        <is>
          <t>MediPlan</t>
        </is>
      </c>
      <c r="G748" s="35" t="inlineStr">
        <is>
          <t>Consulta</t>
        </is>
      </c>
      <c r="H748" s="35" t="inlineStr">
        <is>
          <t>Realizado</t>
        </is>
      </c>
      <c r="I748" s="35" t="inlineStr">
        <is>
          <t>Convênio</t>
        </is>
      </c>
      <c r="J748" s="35" t="n"/>
      <c r="K748" s="34" t="n"/>
      <c r="L748" s="26">
        <f>IF(A748="","",MONTH(A748))</f>
        <v>8</v>
      </c>
      <c r="M748" s="26">
        <f>IF(A748="","",YEAR(A748))</f>
        <v>2026</v>
      </c>
      <c r="N748" s="26" t="str">
        <f>IF(A748="","",CHOOSE(WEEKDAY(A748,2),"Segunda","Terça","Quarta","Quinta","Sexta","Sábado","Domingo"))</f>
        <v>Sexta</v>
      </c>
      <c r="O748" s="26" t="str">
        <f>IF(B748="","",IF(B748&lt;TIME(12,0,0),"Manhã",IF(B748&lt;TIME(18,0,0),"Tarde","Noite")))</f>
        <v>Manhã</v>
      </c>
      <c r="P748" s="32">
        <f>IF(G748="","",IFERROR(INDEX(Config!$I$5:$I$16,MATCH(G748,Config!$H$5:$H$16,0)),0))</f>
        <v>30</v>
      </c>
      <c r="Q748" s="30">
        <f>IF(OR(H748&lt;&gt;"Realizado",P748="",P748=0),"",A748+P748)</f>
        <v>46278.0</v>
      </c>
      <c r="R748" s="26" t="str">
        <f>IF(Q748="","",IF(COUNTIFS($E$5:$E$3004,E748,$A$5:$A$3004,"&gt;"&amp;A748,$H$5:$H$3004,"&lt;&gt;Falta",$H$5:$H$3004,"&lt;&gt;Cancelado",$H$5:$H$3004,"&lt;&gt;Remarcado")&gt;0,"Sim","Não"))</f>
        <v>Sim</v>
      </c>
      <c r="S748" s="32">
        <f>IF(R748&lt;&gt;"Não","",IF(Q748+Config!$B$9&lt;=Config!$B$8,Config!$B$8-Q748,""))</f>
        <v/>
      </c>
      <c r="T748" s="26">
        <f>IF(S748="","","Sim")</f>
        <v/>
      </c>
      <c r="U748" s="41">
        <f>IF(T748="Sim",S748+ROW()/100000,0)</f>
        <v>0</v>
      </c>
      <c r="V748" s="41">
        <f>IF(AND(H748="Falta",L748=Config!$B$7,M748=Config!$B$5,COUNTIFS($E$5:E748,E748,$H$5:H748,"Falta",$L$5:L748,Config!$B$7,$M$5:M748,Config!$B$5)=1),COUNTIFS($E$5:$E$3004,E748,$H$5:$H$3004,"Falta",$L$5:$L$3004,Config!$B$7,$M$5:$M$3004,Config!$B$5)*1000-ROW()/100000,0)</f>
        <v>0</v>
      </c>
    </row>
    <row r="749">
      <c r="A749" s="39" t="n">
        <v>46248</v>
      </c>
      <c r="B749" s="40" t="n">
        <v>0.3958333333333333</v>
      </c>
      <c r="C749" s="35" t="inlineStr">
        <is>
          <t>Dr. Paulo Andrade</t>
        </is>
      </c>
      <c r="D749" s="35" t="inlineStr">
        <is>
          <t>Sala 2</t>
        </is>
      </c>
      <c r="E749" s="34" t="inlineStr">
        <is>
          <t>Henrique Ribeiro</t>
        </is>
      </c>
      <c r="F749" s="35" t="inlineStr">
        <is>
          <t>Particular</t>
        </is>
      </c>
      <c r="G749" s="35" t="inlineStr">
        <is>
          <t>Retorno</t>
        </is>
      </c>
      <c r="H749" s="35" t="inlineStr">
        <is>
          <t>Realizado</t>
        </is>
      </c>
      <c r="I749" s="35" t="inlineStr">
        <is>
          <t>Sem cobrança</t>
        </is>
      </c>
      <c r="J749" s="35" t="n"/>
      <c r="K749" s="34" t="n"/>
      <c r="L749" s="26">
        <f>IF(A749="","",MONTH(A749))</f>
        <v>8</v>
      </c>
      <c r="M749" s="26">
        <f>IF(A749="","",YEAR(A749))</f>
        <v>2026</v>
      </c>
      <c r="N749" s="26" t="str">
        <f>IF(A749="","",CHOOSE(WEEKDAY(A749,2),"Segunda","Terça","Quarta","Quinta","Sexta","Sábado","Domingo"))</f>
        <v>Sexta</v>
      </c>
      <c r="O749" s="26" t="str">
        <f>IF(B749="","",IF(B749&lt;TIME(12,0,0),"Manhã",IF(B749&lt;TIME(18,0,0),"Tarde","Noite")))</f>
        <v>Manhã</v>
      </c>
      <c r="P749" s="32">
        <f>IF(G749="","",IFERROR(INDEX(Config!$I$5:$I$16,MATCH(G749,Config!$H$5:$H$16,0)),0))</f>
        <v>0</v>
      </c>
      <c r="Q749" s="30">
        <f>IF(OR(H749&lt;&gt;"Realizado",P749="",P749=0),"",A749+P749)</f>
        <v/>
      </c>
      <c r="R749" s="26">
        <f>IF(Q749="","",IF(COUNTIFS($E$5:$E$3004,E749,$A$5:$A$3004,"&gt;"&amp;A749,$H$5:$H$3004,"&lt;&gt;Falta",$H$5:$H$3004,"&lt;&gt;Cancelado",$H$5:$H$3004,"&lt;&gt;Remarcado")&gt;0,"Sim","Não"))</f>
        <v/>
      </c>
      <c r="S749" s="32">
        <f>IF(R749&lt;&gt;"Não","",IF(Q749+Config!$B$9&lt;=Config!$B$8,Config!$B$8-Q749,""))</f>
        <v/>
      </c>
      <c r="T749" s="26">
        <f>IF(S749="","","Sim")</f>
        <v/>
      </c>
      <c r="U749" s="41">
        <f>IF(T749="Sim",S749+ROW()/100000,0)</f>
        <v>0</v>
      </c>
      <c r="V749" s="41">
        <f>IF(AND(H749="Falta",L749=Config!$B$7,M749=Config!$B$5,COUNTIFS($E$5:E749,E749,$H$5:H749,"Falta",$L$5:L749,Config!$B$7,$M$5:M749,Config!$B$5)=1),COUNTIFS($E$5:$E$3004,E749,$H$5:$H$3004,"Falta",$L$5:$L$3004,Config!$B$7,$M$5:$M$3004,Config!$B$5)*1000-ROW()/100000,0)</f>
        <v>0</v>
      </c>
    </row>
    <row r="750">
      <c r="A750" s="39" t="n">
        <v>46248</v>
      </c>
      <c r="B750" s="40" t="n">
        <v>0.4097222222222222</v>
      </c>
      <c r="C750" s="35" t="inlineStr">
        <is>
          <t>Dr. Paulo Andrade</t>
        </is>
      </c>
      <c r="D750" s="35" t="inlineStr">
        <is>
          <t>Sala 2</t>
        </is>
      </c>
      <c r="E750" s="34" t="inlineStr">
        <is>
          <t>Gisele Pinto</t>
        </is>
      </c>
      <c r="F750" s="35" t="inlineStr">
        <is>
          <t>Saúde Total</t>
        </is>
      </c>
      <c r="G750" s="35" t="inlineStr">
        <is>
          <t>Consulta</t>
        </is>
      </c>
      <c r="H750" s="35" t="inlineStr">
        <is>
          <t>Realizado</t>
        </is>
      </c>
      <c r="I750" s="35" t="inlineStr">
        <is>
          <t>Convênio</t>
        </is>
      </c>
      <c r="J750" s="35" t="n"/>
      <c r="K750" s="34" t="n"/>
      <c r="L750" s="26">
        <f>IF(A750="","",MONTH(A750))</f>
        <v>8</v>
      </c>
      <c r="M750" s="26">
        <f>IF(A750="","",YEAR(A750))</f>
        <v>2026</v>
      </c>
      <c r="N750" s="26" t="str">
        <f>IF(A750="","",CHOOSE(WEEKDAY(A750,2),"Segunda","Terça","Quarta","Quinta","Sexta","Sábado","Domingo"))</f>
        <v>Sexta</v>
      </c>
      <c r="O750" s="26" t="str">
        <f>IF(B750="","",IF(B750&lt;TIME(12,0,0),"Manhã",IF(B750&lt;TIME(18,0,0),"Tarde","Noite")))</f>
        <v>Manhã</v>
      </c>
      <c r="P750" s="32">
        <f>IF(G750="","",IFERROR(INDEX(Config!$I$5:$I$16,MATCH(G750,Config!$H$5:$H$16,0)),0))</f>
        <v>30</v>
      </c>
      <c r="Q750" s="30">
        <f>IF(OR(H750&lt;&gt;"Realizado",P750="",P750=0),"",A750+P750)</f>
        <v>46278.0</v>
      </c>
      <c r="R750" s="26" t="str">
        <f>IF(Q750="","",IF(COUNTIFS($E$5:$E$3004,E750,$A$5:$A$3004,"&gt;"&amp;A750,$H$5:$H$3004,"&lt;&gt;Falta",$H$5:$H$3004,"&lt;&gt;Cancelado",$H$5:$H$3004,"&lt;&gt;Remarcado")&gt;0,"Sim","Não"))</f>
        <v>Sim</v>
      </c>
      <c r="S750" s="32">
        <f>IF(R750&lt;&gt;"Não","",IF(Q750+Config!$B$9&lt;=Config!$B$8,Config!$B$8-Q750,""))</f>
        <v/>
      </c>
      <c r="T750" s="26">
        <f>IF(S750="","","Sim")</f>
        <v/>
      </c>
      <c r="U750" s="41">
        <f>IF(T750="Sim",S750+ROW()/100000,0)</f>
        <v>0</v>
      </c>
      <c r="V750" s="41">
        <f>IF(AND(H750="Falta",L750=Config!$B$7,M750=Config!$B$5,COUNTIFS($E$5:E750,E750,$H$5:H750,"Falta",$L$5:L750,Config!$B$7,$M$5:M750,Config!$B$5)=1),COUNTIFS($E$5:$E$3004,E750,$H$5:$H$3004,"Falta",$L$5:$L$3004,Config!$B$7,$M$5:$M$3004,Config!$B$5)*1000-ROW()/100000,0)</f>
        <v>0</v>
      </c>
    </row>
    <row r="751">
      <c r="A751" s="39" t="n">
        <v>46248</v>
      </c>
      <c r="B751" s="40" t="n">
        <v>0.4305555555555556</v>
      </c>
      <c r="C751" s="35" t="inlineStr">
        <is>
          <t>Dr. Paulo Andrade</t>
        </is>
      </c>
      <c r="D751" s="35" t="inlineStr">
        <is>
          <t>Sala 2</t>
        </is>
      </c>
      <c r="E751" s="34" t="inlineStr">
        <is>
          <t>Cláudia Santos</t>
        </is>
      </c>
      <c r="F751" s="35" t="inlineStr">
        <is>
          <t>Particular</t>
        </is>
      </c>
      <c r="G751" s="35" t="inlineStr">
        <is>
          <t>MAPA</t>
        </is>
      </c>
      <c r="H751" s="35" t="inlineStr">
        <is>
          <t>Falta</t>
        </is>
      </c>
      <c r="I751" s="35" t="n"/>
      <c r="J751" s="35" t="n"/>
      <c r="K751" s="34" t="n"/>
      <c r="L751" s="26">
        <f>IF(A751="","",MONTH(A751))</f>
        <v>8</v>
      </c>
      <c r="M751" s="26">
        <f>IF(A751="","",YEAR(A751))</f>
        <v>2026</v>
      </c>
      <c r="N751" s="26" t="str">
        <f>IF(A751="","",CHOOSE(WEEKDAY(A751,2),"Segunda","Terça","Quarta","Quinta","Sexta","Sábado","Domingo"))</f>
        <v>Sexta</v>
      </c>
      <c r="O751" s="26" t="str">
        <f>IF(B751="","",IF(B751&lt;TIME(12,0,0),"Manhã",IF(B751&lt;TIME(18,0,0),"Tarde","Noite")))</f>
        <v>Manhã</v>
      </c>
      <c r="P751" s="32">
        <f>IF(G751="","",IFERROR(INDEX(Config!$I$5:$I$16,MATCH(G751,Config!$H$5:$H$16,0)),0))</f>
        <v>0</v>
      </c>
      <c r="Q751" s="30">
        <f>IF(OR(H751&lt;&gt;"Realizado",P751="",P751=0),"",A751+P751)</f>
        <v/>
      </c>
      <c r="R751" s="26">
        <f>IF(Q751="","",IF(COUNTIFS($E$5:$E$3004,E751,$A$5:$A$3004,"&gt;"&amp;A751,$H$5:$H$3004,"&lt;&gt;Falta",$H$5:$H$3004,"&lt;&gt;Cancelado",$H$5:$H$3004,"&lt;&gt;Remarcado")&gt;0,"Sim","Não"))</f>
        <v/>
      </c>
      <c r="S751" s="32">
        <f>IF(R751&lt;&gt;"Não","",IF(Q751+Config!$B$9&lt;=Config!$B$8,Config!$B$8-Q751,""))</f>
        <v/>
      </c>
      <c r="T751" s="26">
        <f>IF(S751="","","Sim")</f>
        <v/>
      </c>
      <c r="U751" s="41">
        <f>IF(T751="Sim",S751+ROW()/100000,0)</f>
        <v>0</v>
      </c>
      <c r="V751" s="41">
        <f>IF(AND(H751="Falta",L751=Config!$B$7,M751=Config!$B$5,COUNTIFS($E$5:E751,E751,$H$5:H751,"Falta",$L$5:L751,Config!$B$7,$M$5:M751,Config!$B$5)=1),COUNTIFS($E$5:$E$3004,E751,$H$5:$H$3004,"Falta",$L$5:$L$3004,Config!$B$7,$M$5:$M$3004,Config!$B$5)*1000-ROW()/100000,0)</f>
        <v>0</v>
      </c>
    </row>
    <row r="752">
      <c r="A752" s="39" t="n">
        <v>46248</v>
      </c>
      <c r="B752" s="40" t="n">
        <v>0.4652777777777778</v>
      </c>
      <c r="C752" s="35" t="inlineStr">
        <is>
          <t>Dr. Paulo Andrade</t>
        </is>
      </c>
      <c r="D752" s="35" t="inlineStr">
        <is>
          <t>Sala 2</t>
        </is>
      </c>
      <c r="E752" s="34" t="inlineStr">
        <is>
          <t>Thiago Duarte</t>
        </is>
      </c>
      <c r="F752" s="35" t="inlineStr">
        <is>
          <t>Saúde Total</t>
        </is>
      </c>
      <c r="G752" s="35" t="inlineStr">
        <is>
          <t>ECG</t>
        </is>
      </c>
      <c r="H752" s="35" t="inlineStr">
        <is>
          <t>Realizado</t>
        </is>
      </c>
      <c r="I752" s="35" t="inlineStr">
        <is>
          <t>Convênio</t>
        </is>
      </c>
      <c r="J752" s="35" t="n"/>
      <c r="K752" s="34" t="n"/>
      <c r="L752" s="26">
        <f>IF(A752="","",MONTH(A752))</f>
        <v>8</v>
      </c>
      <c r="M752" s="26">
        <f>IF(A752="","",YEAR(A752))</f>
        <v>2026</v>
      </c>
      <c r="N752" s="26" t="str">
        <f>IF(A752="","",CHOOSE(WEEKDAY(A752,2),"Segunda","Terça","Quarta","Quinta","Sexta","Sábado","Domingo"))</f>
        <v>Sexta</v>
      </c>
      <c r="O752" s="26" t="str">
        <f>IF(B752="","",IF(B752&lt;TIME(12,0,0),"Manhã",IF(B752&lt;TIME(18,0,0),"Tarde","Noite")))</f>
        <v>Manhã</v>
      </c>
      <c r="P752" s="32">
        <f>IF(G752="","",IFERROR(INDEX(Config!$I$5:$I$16,MATCH(G752,Config!$H$5:$H$16,0)),0))</f>
        <v>0</v>
      </c>
      <c r="Q752" s="30">
        <f>IF(OR(H752&lt;&gt;"Realizado",P752="",P752=0),"",A752+P752)</f>
        <v/>
      </c>
      <c r="R752" s="26">
        <f>IF(Q752="","",IF(COUNTIFS($E$5:$E$3004,E752,$A$5:$A$3004,"&gt;"&amp;A752,$H$5:$H$3004,"&lt;&gt;Falta",$H$5:$H$3004,"&lt;&gt;Cancelado",$H$5:$H$3004,"&lt;&gt;Remarcado")&gt;0,"Sim","Não"))</f>
        <v/>
      </c>
      <c r="S752" s="32">
        <f>IF(R752&lt;&gt;"Não","",IF(Q752+Config!$B$9&lt;=Config!$B$8,Config!$B$8-Q752,""))</f>
        <v/>
      </c>
      <c r="T752" s="26">
        <f>IF(S752="","","Sim")</f>
        <v/>
      </c>
      <c r="U752" s="41">
        <f>IF(T752="Sim",S752+ROW()/100000,0)</f>
        <v>0</v>
      </c>
      <c r="V752" s="41">
        <f>IF(AND(H752="Falta",L752=Config!$B$7,M752=Config!$B$5,COUNTIFS($E$5:E752,E752,$H$5:H752,"Falta",$L$5:L752,Config!$B$7,$M$5:M752,Config!$B$5)=1),COUNTIFS($E$5:$E$3004,E752,$H$5:$H$3004,"Falta",$L$5:$L$3004,Config!$B$7,$M$5:$M$3004,Config!$B$5)*1000-ROW()/100000,0)</f>
        <v>0</v>
      </c>
    </row>
    <row r="753">
      <c r="A753" s="39" t="n">
        <v>46248</v>
      </c>
      <c r="B753" s="40" t="n">
        <v>0.4791666666666667</v>
      </c>
      <c r="C753" s="35" t="inlineStr">
        <is>
          <t>Dr. Paulo Andrade</t>
        </is>
      </c>
      <c r="D753" s="35" t="inlineStr">
        <is>
          <t>Sala 2</t>
        </is>
      </c>
      <c r="E753" s="34" t="inlineStr">
        <is>
          <t>Elaine Cardoso</t>
        </is>
      </c>
      <c r="F753" s="35" t="inlineStr">
        <is>
          <t>Particular</t>
        </is>
      </c>
      <c r="G753" s="35" t="inlineStr">
        <is>
          <t>ECG</t>
        </is>
      </c>
      <c r="H753" s="35" t="inlineStr">
        <is>
          <t>Realizado</t>
        </is>
      </c>
      <c r="I753" s="35" t="inlineStr">
        <is>
          <t>A prazo</t>
        </is>
      </c>
      <c r="J753" s="35" t="n"/>
      <c r="K753" s="34" t="n"/>
      <c r="L753" s="26">
        <f>IF(A753="","",MONTH(A753))</f>
        <v>8</v>
      </c>
      <c r="M753" s="26">
        <f>IF(A753="","",YEAR(A753))</f>
        <v>2026</v>
      </c>
      <c r="N753" s="26" t="str">
        <f>IF(A753="","",CHOOSE(WEEKDAY(A753,2),"Segunda","Terça","Quarta","Quinta","Sexta","Sábado","Domingo"))</f>
        <v>Sexta</v>
      </c>
      <c r="O753" s="26" t="str">
        <f>IF(B753="","",IF(B753&lt;TIME(12,0,0),"Manhã",IF(B753&lt;TIME(18,0,0),"Tarde","Noite")))</f>
        <v>Manhã</v>
      </c>
      <c r="P753" s="32">
        <f>IF(G753="","",IFERROR(INDEX(Config!$I$5:$I$16,MATCH(G753,Config!$H$5:$H$16,0)),0))</f>
        <v>0</v>
      </c>
      <c r="Q753" s="30">
        <f>IF(OR(H753&lt;&gt;"Realizado",P753="",P753=0),"",A753+P753)</f>
        <v/>
      </c>
      <c r="R753" s="26">
        <f>IF(Q753="","",IF(COUNTIFS($E$5:$E$3004,E753,$A$5:$A$3004,"&gt;"&amp;A753,$H$5:$H$3004,"&lt;&gt;Falta",$H$5:$H$3004,"&lt;&gt;Cancelado",$H$5:$H$3004,"&lt;&gt;Remarcado")&gt;0,"Sim","Não"))</f>
        <v/>
      </c>
      <c r="S753" s="32">
        <f>IF(R753&lt;&gt;"Não","",IF(Q753+Config!$B$9&lt;=Config!$B$8,Config!$B$8-Q753,""))</f>
        <v/>
      </c>
      <c r="T753" s="26">
        <f>IF(S753="","","Sim")</f>
        <v/>
      </c>
      <c r="U753" s="41">
        <f>IF(T753="Sim",S753+ROW()/100000,0)</f>
        <v>0</v>
      </c>
      <c r="V753" s="41">
        <f>IF(AND(H753="Falta",L753=Config!$B$7,M753=Config!$B$5,COUNTIFS($E$5:E753,E753,$H$5:H753,"Falta",$L$5:L753,Config!$B$7,$M$5:M753,Config!$B$5)=1),COUNTIFS($E$5:$E$3004,E753,$H$5:$H$3004,"Falta",$L$5:$L$3004,Config!$B$7,$M$5:$M$3004,Config!$B$5)*1000-ROW()/100000,0)</f>
        <v>0</v>
      </c>
    </row>
    <row r="754">
      <c r="A754" s="39" t="n">
        <v>46251</v>
      </c>
      <c r="B754" s="40" t="n">
        <v>0.3333333333333333</v>
      </c>
      <c r="C754" s="35" t="inlineStr">
        <is>
          <t>Dra. Carolina Mendes</t>
        </is>
      </c>
      <c r="D754" s="35" t="inlineStr">
        <is>
          <t>Sala 1</t>
        </is>
      </c>
      <c r="E754" s="34" t="inlineStr">
        <is>
          <t>Letícia Vieira</t>
        </is>
      </c>
      <c r="F754" s="35" t="inlineStr">
        <is>
          <t>Saúde Total</t>
        </is>
      </c>
      <c r="G754" s="35" t="inlineStr">
        <is>
          <t>Retorno</t>
        </is>
      </c>
      <c r="H754" s="35" t="inlineStr">
        <is>
          <t>Realizado</t>
        </is>
      </c>
      <c r="I754" s="35" t="inlineStr">
        <is>
          <t>Sem cobrança</t>
        </is>
      </c>
      <c r="J754" s="35" t="n"/>
      <c r="K754" s="34" t="n"/>
      <c r="L754" s="26">
        <f>IF(A754="","",MONTH(A754))</f>
        <v>8</v>
      </c>
      <c r="M754" s="26">
        <f>IF(A754="","",YEAR(A754))</f>
        <v>2026</v>
      </c>
      <c r="N754" s="26" t="str">
        <f>IF(A754="","",CHOOSE(WEEKDAY(A754,2),"Segunda","Terça","Quarta","Quinta","Sexta","Sábado","Domingo"))</f>
        <v>Segunda</v>
      </c>
      <c r="O754" s="26" t="str">
        <f>IF(B754="","",IF(B754&lt;TIME(12,0,0),"Manhã",IF(B754&lt;TIME(18,0,0),"Tarde","Noite")))</f>
        <v>Manhã</v>
      </c>
      <c r="P754" s="32">
        <f>IF(G754="","",IFERROR(INDEX(Config!$I$5:$I$16,MATCH(G754,Config!$H$5:$H$16,0)),0))</f>
        <v>0</v>
      </c>
      <c r="Q754" s="30">
        <f>IF(OR(H754&lt;&gt;"Realizado",P754="",P754=0),"",A754+P754)</f>
        <v/>
      </c>
      <c r="R754" s="26">
        <f>IF(Q754="","",IF(COUNTIFS($E$5:$E$3004,E754,$A$5:$A$3004,"&gt;"&amp;A754,$H$5:$H$3004,"&lt;&gt;Falta",$H$5:$H$3004,"&lt;&gt;Cancelado",$H$5:$H$3004,"&lt;&gt;Remarcado")&gt;0,"Sim","Não"))</f>
        <v/>
      </c>
      <c r="S754" s="32">
        <f>IF(R754&lt;&gt;"Não","",IF(Q754+Config!$B$9&lt;=Config!$B$8,Config!$B$8-Q754,""))</f>
        <v/>
      </c>
      <c r="T754" s="26">
        <f>IF(S754="","","Sim")</f>
        <v/>
      </c>
      <c r="U754" s="41">
        <f>IF(T754="Sim",S754+ROW()/100000,0)</f>
        <v>0</v>
      </c>
      <c r="V754" s="41">
        <f>IF(AND(H754="Falta",L754=Config!$B$7,M754=Config!$B$5,COUNTIFS($E$5:E754,E754,$H$5:H754,"Falta",$L$5:L754,Config!$B$7,$M$5:M754,Config!$B$5)=1),COUNTIFS($E$5:$E$3004,E754,$H$5:$H$3004,"Falta",$L$5:$L$3004,Config!$B$7,$M$5:$M$3004,Config!$B$5)*1000-ROW()/100000,0)</f>
        <v>0</v>
      </c>
    </row>
    <row r="755">
      <c r="A755" s="39" t="n">
        <v>46251</v>
      </c>
      <c r="B755" s="40" t="n">
        <v>0.3472222222222222</v>
      </c>
      <c r="C755" s="35" t="inlineStr">
        <is>
          <t>Dra. Carolina Mendes</t>
        </is>
      </c>
      <c r="D755" s="35" t="inlineStr">
        <is>
          <t>Sala 1</t>
        </is>
      </c>
      <c r="E755" s="34" t="inlineStr">
        <is>
          <t>Regina Duarte</t>
        </is>
      </c>
      <c r="F755" s="35" t="inlineStr">
        <is>
          <t>Particular</t>
        </is>
      </c>
      <c r="G755" s="35" t="inlineStr">
        <is>
          <t>Consulta</t>
        </is>
      </c>
      <c r="H755" s="35" t="inlineStr">
        <is>
          <t>Realizado</t>
        </is>
      </c>
      <c r="I755" s="35" t="inlineStr">
        <is>
          <t>Cartão de débito</t>
        </is>
      </c>
      <c r="J755" s="35" t="n"/>
      <c r="K755" s="34" t="n"/>
      <c r="L755" s="26">
        <f>IF(A755="","",MONTH(A755))</f>
        <v>8</v>
      </c>
      <c r="M755" s="26">
        <f>IF(A755="","",YEAR(A755))</f>
        <v>2026</v>
      </c>
      <c r="N755" s="26" t="str">
        <f>IF(A755="","",CHOOSE(WEEKDAY(A755,2),"Segunda","Terça","Quarta","Quinta","Sexta","Sábado","Domingo"))</f>
        <v>Segunda</v>
      </c>
      <c r="O755" s="26" t="str">
        <f>IF(B755="","",IF(B755&lt;TIME(12,0,0),"Manhã",IF(B755&lt;TIME(18,0,0),"Tarde","Noite")))</f>
        <v>Manhã</v>
      </c>
      <c r="P755" s="32">
        <f>IF(G755="","",IFERROR(INDEX(Config!$I$5:$I$16,MATCH(G755,Config!$H$5:$H$16,0)),0))</f>
        <v>30</v>
      </c>
      <c r="Q755" s="30">
        <f>IF(OR(H755&lt;&gt;"Realizado",P755="",P755=0),"",A755+P755)</f>
        <v>46281.0</v>
      </c>
      <c r="R755" s="26" t="str">
        <f>IF(Q755="","",IF(COUNTIFS($E$5:$E$3004,E755,$A$5:$A$3004,"&gt;"&amp;A755,$H$5:$H$3004,"&lt;&gt;Falta",$H$5:$H$3004,"&lt;&gt;Cancelado",$H$5:$H$3004,"&lt;&gt;Remarcado")&gt;0,"Sim","Não"))</f>
        <v>Sim</v>
      </c>
      <c r="S755" s="32">
        <f>IF(R755&lt;&gt;"Não","",IF(Q755+Config!$B$9&lt;=Config!$B$8,Config!$B$8-Q755,""))</f>
        <v/>
      </c>
      <c r="T755" s="26">
        <f>IF(S755="","","Sim")</f>
        <v/>
      </c>
      <c r="U755" s="41">
        <f>IF(T755="Sim",S755+ROW()/100000,0)</f>
        <v>0</v>
      </c>
      <c r="V755" s="41">
        <f>IF(AND(H755="Falta",L755=Config!$B$7,M755=Config!$B$5,COUNTIFS($E$5:E755,E755,$H$5:H755,"Falta",$L$5:L755,Config!$B$7,$M$5:M755,Config!$B$5)=1),COUNTIFS($E$5:$E$3004,E755,$H$5:$H$3004,"Falta",$L$5:$L$3004,Config!$B$7,$M$5:$M$3004,Config!$B$5)*1000-ROW()/100000,0)</f>
        <v>0</v>
      </c>
    </row>
    <row r="756">
      <c r="A756" s="39" t="n">
        <v>46251</v>
      </c>
      <c r="B756" s="40" t="n">
        <v>0.3888888888888889</v>
      </c>
      <c r="C756" s="35" t="inlineStr">
        <is>
          <t>Dra. Carolina Mendes</t>
        </is>
      </c>
      <c r="D756" s="35" t="inlineStr">
        <is>
          <t>Sala 1</t>
        </is>
      </c>
      <c r="E756" s="34" t="inlineStr">
        <is>
          <t>Tatiana Rocha</t>
        </is>
      </c>
      <c r="F756" s="35" t="inlineStr">
        <is>
          <t>Vida Care</t>
        </is>
      </c>
      <c r="G756" s="35" t="inlineStr">
        <is>
          <t>Retorno</t>
        </is>
      </c>
      <c r="H756" s="35" t="inlineStr">
        <is>
          <t>Falta</t>
        </is>
      </c>
      <c r="I756" s="35" t="n"/>
      <c r="J756" s="35" t="n"/>
      <c r="K756" s="34" t="n"/>
      <c r="L756" s="26">
        <f>IF(A756="","",MONTH(A756))</f>
        <v>8</v>
      </c>
      <c r="M756" s="26">
        <f>IF(A756="","",YEAR(A756))</f>
        <v>2026</v>
      </c>
      <c r="N756" s="26" t="str">
        <f>IF(A756="","",CHOOSE(WEEKDAY(A756,2),"Segunda","Terça","Quarta","Quinta","Sexta","Sábado","Domingo"))</f>
        <v>Segunda</v>
      </c>
      <c r="O756" s="26" t="str">
        <f>IF(B756="","",IF(B756&lt;TIME(12,0,0),"Manhã",IF(B756&lt;TIME(18,0,0),"Tarde","Noite")))</f>
        <v>Manhã</v>
      </c>
      <c r="P756" s="32">
        <f>IF(G756="","",IFERROR(INDEX(Config!$I$5:$I$16,MATCH(G756,Config!$H$5:$H$16,0)),0))</f>
        <v>0</v>
      </c>
      <c r="Q756" s="30">
        <f>IF(OR(H756&lt;&gt;"Realizado",P756="",P756=0),"",A756+P756)</f>
        <v/>
      </c>
      <c r="R756" s="26">
        <f>IF(Q756="","",IF(COUNTIFS($E$5:$E$3004,E756,$A$5:$A$3004,"&gt;"&amp;A756,$H$5:$H$3004,"&lt;&gt;Falta",$H$5:$H$3004,"&lt;&gt;Cancelado",$H$5:$H$3004,"&lt;&gt;Remarcado")&gt;0,"Sim","Não"))</f>
        <v/>
      </c>
      <c r="S756" s="32">
        <f>IF(R756&lt;&gt;"Não","",IF(Q756+Config!$B$9&lt;=Config!$B$8,Config!$B$8-Q756,""))</f>
        <v/>
      </c>
      <c r="T756" s="26">
        <f>IF(S756="","","Sim")</f>
        <v/>
      </c>
      <c r="U756" s="41">
        <f>IF(T756="Sim",S756+ROW()/100000,0)</f>
        <v>0</v>
      </c>
      <c r="V756" s="41">
        <f>IF(AND(H756="Falta",L756=Config!$B$7,M756=Config!$B$5,COUNTIFS($E$5:E756,E756,$H$5:H756,"Falta",$L$5:L756,Config!$B$7,$M$5:M756,Config!$B$5)=1),COUNTIFS($E$5:$E$3004,E756,$H$5:$H$3004,"Falta",$L$5:$L$3004,Config!$B$7,$M$5:$M$3004,Config!$B$5)*1000-ROW()/100000,0)</f>
        <v>0</v>
      </c>
    </row>
    <row r="757">
      <c r="A757" s="39" t="n">
        <v>46251</v>
      </c>
      <c r="B757" s="40" t="n">
        <v>0.4236111111111111</v>
      </c>
      <c r="C757" s="35" t="inlineStr">
        <is>
          <t>Dra. Carolina Mendes</t>
        </is>
      </c>
      <c r="D757" s="35" t="inlineStr">
        <is>
          <t>Sala 1</t>
        </is>
      </c>
      <c r="E757" s="34" t="inlineStr">
        <is>
          <t>Larissa Costa</t>
        </is>
      </c>
      <c r="F757" s="35" t="inlineStr">
        <is>
          <t>Particular</t>
        </is>
      </c>
      <c r="G757" s="35" t="inlineStr">
        <is>
          <t>Retorno</t>
        </is>
      </c>
      <c r="H757" s="35" t="inlineStr">
        <is>
          <t>Realizado</t>
        </is>
      </c>
      <c r="I757" s="35" t="inlineStr">
        <is>
          <t>Sem cobrança</t>
        </is>
      </c>
      <c r="J757" s="35" t="n"/>
      <c r="K757" s="34" t="n"/>
      <c r="L757" s="26">
        <f>IF(A757="","",MONTH(A757))</f>
        <v>8</v>
      </c>
      <c r="M757" s="26">
        <f>IF(A757="","",YEAR(A757))</f>
        <v>2026</v>
      </c>
      <c r="N757" s="26" t="str">
        <f>IF(A757="","",CHOOSE(WEEKDAY(A757,2),"Segunda","Terça","Quarta","Quinta","Sexta","Sábado","Domingo"))</f>
        <v>Segunda</v>
      </c>
      <c r="O757" s="26" t="str">
        <f>IF(B757="","",IF(B757&lt;TIME(12,0,0),"Manhã",IF(B757&lt;TIME(18,0,0),"Tarde","Noite")))</f>
        <v>Manhã</v>
      </c>
      <c r="P757" s="32">
        <f>IF(G757="","",IFERROR(INDEX(Config!$I$5:$I$16,MATCH(G757,Config!$H$5:$H$16,0)),0))</f>
        <v>0</v>
      </c>
      <c r="Q757" s="30">
        <f>IF(OR(H757&lt;&gt;"Realizado",P757="",P757=0),"",A757+P757)</f>
        <v/>
      </c>
      <c r="R757" s="26">
        <f>IF(Q757="","",IF(COUNTIFS($E$5:$E$3004,E757,$A$5:$A$3004,"&gt;"&amp;A757,$H$5:$H$3004,"&lt;&gt;Falta",$H$5:$H$3004,"&lt;&gt;Cancelado",$H$5:$H$3004,"&lt;&gt;Remarcado")&gt;0,"Sim","Não"))</f>
        <v/>
      </c>
      <c r="S757" s="32">
        <f>IF(R757&lt;&gt;"Não","",IF(Q757+Config!$B$9&lt;=Config!$B$8,Config!$B$8-Q757,""))</f>
        <v/>
      </c>
      <c r="T757" s="26">
        <f>IF(S757="","","Sim")</f>
        <v/>
      </c>
      <c r="U757" s="41">
        <f>IF(T757="Sim",S757+ROW()/100000,0)</f>
        <v>0</v>
      </c>
      <c r="V757" s="41">
        <f>IF(AND(H757="Falta",L757=Config!$B$7,M757=Config!$B$5,COUNTIFS($E$5:E757,E757,$H$5:H757,"Falta",$L$5:L757,Config!$B$7,$M$5:M757,Config!$B$5)=1),COUNTIFS($E$5:$E$3004,E757,$H$5:$H$3004,"Falta",$L$5:$L$3004,Config!$B$7,$M$5:$M$3004,Config!$B$5)*1000-ROW()/100000,0)</f>
        <v>0</v>
      </c>
    </row>
    <row r="758">
      <c r="A758" s="39" t="n">
        <v>46251</v>
      </c>
      <c r="B758" s="40" t="n">
        <v>0.4375</v>
      </c>
      <c r="C758" s="35" t="inlineStr">
        <is>
          <t>Dra. Carolina Mendes</t>
        </is>
      </c>
      <c r="D758" s="35" t="inlineStr">
        <is>
          <t>Sala 1</t>
        </is>
      </c>
      <c r="E758" s="34" t="inlineStr">
        <is>
          <t>Camila Batista</t>
        </is>
      </c>
      <c r="F758" s="35" t="inlineStr">
        <is>
          <t>MediPlan</t>
        </is>
      </c>
      <c r="G758" s="35" t="inlineStr">
        <is>
          <t>Consulta</t>
        </is>
      </c>
      <c r="H758" s="35" t="inlineStr">
        <is>
          <t>Realizado</t>
        </is>
      </c>
      <c r="I758" s="35" t="inlineStr">
        <is>
          <t>Convênio</t>
        </is>
      </c>
      <c r="J758" s="35" t="n"/>
      <c r="K758" s="34" t="n"/>
      <c r="L758" s="26">
        <f>IF(A758="","",MONTH(A758))</f>
        <v>8</v>
      </c>
      <c r="M758" s="26">
        <f>IF(A758="","",YEAR(A758))</f>
        <v>2026</v>
      </c>
      <c r="N758" s="26" t="str">
        <f>IF(A758="","",CHOOSE(WEEKDAY(A758,2),"Segunda","Terça","Quarta","Quinta","Sexta","Sábado","Domingo"))</f>
        <v>Segunda</v>
      </c>
      <c r="O758" s="26" t="str">
        <f>IF(B758="","",IF(B758&lt;TIME(12,0,0),"Manhã",IF(B758&lt;TIME(18,0,0),"Tarde","Noite")))</f>
        <v>Manhã</v>
      </c>
      <c r="P758" s="32">
        <f>IF(G758="","",IFERROR(INDEX(Config!$I$5:$I$16,MATCH(G758,Config!$H$5:$H$16,0)),0))</f>
        <v>30</v>
      </c>
      <c r="Q758" s="30">
        <f>IF(OR(H758&lt;&gt;"Realizado",P758="",P758=0),"",A758+P758)</f>
        <v>46281.0</v>
      </c>
      <c r="R758" s="26" t="str">
        <f>IF(Q758="","",IF(COUNTIFS($E$5:$E$3004,E758,$A$5:$A$3004,"&gt;"&amp;A758,$H$5:$H$3004,"&lt;&gt;Falta",$H$5:$H$3004,"&lt;&gt;Cancelado",$H$5:$H$3004,"&lt;&gt;Remarcado")&gt;0,"Sim","Não"))</f>
        <v>Sim</v>
      </c>
      <c r="S758" s="32">
        <f>IF(R758&lt;&gt;"Não","",IF(Q758+Config!$B$9&lt;=Config!$B$8,Config!$B$8-Q758,""))</f>
        <v/>
      </c>
      <c r="T758" s="26">
        <f>IF(S758="","","Sim")</f>
        <v/>
      </c>
      <c r="U758" s="41">
        <f>IF(T758="Sim",S758+ROW()/100000,0)</f>
        <v>0</v>
      </c>
      <c r="V758" s="41">
        <f>IF(AND(H758="Falta",L758=Config!$B$7,M758=Config!$B$5,COUNTIFS($E$5:E758,E758,$H$5:H758,"Falta",$L$5:L758,Config!$B$7,$M$5:M758,Config!$B$5)=1),COUNTIFS($E$5:$E$3004,E758,$H$5:$H$3004,"Falta",$L$5:$L$3004,Config!$B$7,$M$5:$M$3004,Config!$B$5)*1000-ROW()/100000,0)</f>
        <v>0</v>
      </c>
    </row>
    <row r="759">
      <c r="A759" s="39" t="n">
        <v>46251</v>
      </c>
      <c r="B759" s="40" t="n">
        <v>0.4583333333333333</v>
      </c>
      <c r="C759" s="35" t="inlineStr">
        <is>
          <t>Dra. Carolina Mendes</t>
        </is>
      </c>
      <c r="D759" s="35" t="inlineStr">
        <is>
          <t>Sala 1</t>
        </is>
      </c>
      <c r="E759" s="34" t="inlineStr">
        <is>
          <t>Elaine Cardoso</t>
        </is>
      </c>
      <c r="F759" s="35" t="inlineStr">
        <is>
          <t>Particular</t>
        </is>
      </c>
      <c r="G759" s="35" t="inlineStr">
        <is>
          <t>Consulta</t>
        </is>
      </c>
      <c r="H759" s="35" t="inlineStr">
        <is>
          <t>Realizado</t>
        </is>
      </c>
      <c r="I759" s="35" t="inlineStr">
        <is>
          <t>A prazo</t>
        </is>
      </c>
      <c r="J759" s="35" t="n"/>
      <c r="K759" s="34" t="n"/>
      <c r="L759" s="26">
        <f>IF(A759="","",MONTH(A759))</f>
        <v>8</v>
      </c>
      <c r="M759" s="26">
        <f>IF(A759="","",YEAR(A759))</f>
        <v>2026</v>
      </c>
      <c r="N759" s="26" t="str">
        <f>IF(A759="","",CHOOSE(WEEKDAY(A759,2),"Segunda","Terça","Quarta","Quinta","Sexta","Sábado","Domingo"))</f>
        <v>Segunda</v>
      </c>
      <c r="O759" s="26" t="str">
        <f>IF(B759="","",IF(B759&lt;TIME(12,0,0),"Manhã",IF(B759&lt;TIME(18,0,0),"Tarde","Noite")))</f>
        <v>Manhã</v>
      </c>
      <c r="P759" s="32">
        <f>IF(G759="","",IFERROR(INDEX(Config!$I$5:$I$16,MATCH(G759,Config!$H$5:$H$16,0)),0))</f>
        <v>30</v>
      </c>
      <c r="Q759" s="30">
        <f>IF(OR(H759&lt;&gt;"Realizado",P759="",P759=0),"",A759+P759)</f>
        <v>46281.0</v>
      </c>
      <c r="R759" s="26" t="str">
        <f>IF(Q759="","",IF(COUNTIFS($E$5:$E$3004,E759,$A$5:$A$3004,"&gt;"&amp;A759,$H$5:$H$3004,"&lt;&gt;Falta",$H$5:$H$3004,"&lt;&gt;Cancelado",$H$5:$H$3004,"&lt;&gt;Remarcado")&gt;0,"Sim","Não"))</f>
        <v>Sim</v>
      </c>
      <c r="S759" s="32">
        <f>IF(R759&lt;&gt;"Não","",IF(Q759+Config!$B$9&lt;=Config!$B$8,Config!$B$8-Q759,""))</f>
        <v/>
      </c>
      <c r="T759" s="26">
        <f>IF(S759="","","Sim")</f>
        <v/>
      </c>
      <c r="U759" s="41">
        <f>IF(T759="Sim",S759+ROW()/100000,0)</f>
        <v>0</v>
      </c>
      <c r="V759" s="41">
        <f>IF(AND(H759="Falta",L759=Config!$B$7,M759=Config!$B$5,COUNTIFS($E$5:E759,E759,$H$5:H759,"Falta",$L$5:L759,Config!$B$7,$M$5:M759,Config!$B$5)=1),COUNTIFS($E$5:$E$3004,E759,$H$5:$H$3004,"Falta",$L$5:$L$3004,Config!$B$7,$M$5:$M$3004,Config!$B$5)*1000-ROW()/100000,0)</f>
        <v>0</v>
      </c>
    </row>
    <row r="760">
      <c r="A760" s="39" t="n">
        <v>46251</v>
      </c>
      <c r="B760" s="40" t="n">
        <v>0.4791666666666667</v>
      </c>
      <c r="C760" s="35" t="inlineStr">
        <is>
          <t>Dra. Carolina Mendes</t>
        </is>
      </c>
      <c r="D760" s="35" t="inlineStr">
        <is>
          <t>Sala 1</t>
        </is>
      </c>
      <c r="E760" s="34" t="inlineStr">
        <is>
          <t>Daniel Almeida</t>
        </is>
      </c>
      <c r="F760" s="35" t="inlineStr">
        <is>
          <t>Saúde Total</t>
        </is>
      </c>
      <c r="G760" s="35" t="inlineStr">
        <is>
          <t>Consulta</t>
        </is>
      </c>
      <c r="H760" s="35" t="inlineStr">
        <is>
          <t>Falta</t>
        </is>
      </c>
      <c r="I760" s="35" t="n"/>
      <c r="J760" s="35" t="n"/>
      <c r="K760" s="34" t="n"/>
      <c r="L760" s="26">
        <f>IF(A760="","",MONTH(A760))</f>
        <v>8</v>
      </c>
      <c r="M760" s="26">
        <f>IF(A760="","",YEAR(A760))</f>
        <v>2026</v>
      </c>
      <c r="N760" s="26" t="str">
        <f>IF(A760="","",CHOOSE(WEEKDAY(A760,2),"Segunda","Terça","Quarta","Quinta","Sexta","Sábado","Domingo"))</f>
        <v>Segunda</v>
      </c>
      <c r="O760" s="26" t="str">
        <f>IF(B760="","",IF(B760&lt;TIME(12,0,0),"Manhã",IF(B760&lt;TIME(18,0,0),"Tarde","Noite")))</f>
        <v>Manhã</v>
      </c>
      <c r="P760" s="32">
        <f>IF(G760="","",IFERROR(INDEX(Config!$I$5:$I$16,MATCH(G760,Config!$H$5:$H$16,0)),0))</f>
        <v>30</v>
      </c>
      <c r="Q760" s="30">
        <f>IF(OR(H760&lt;&gt;"Realizado",P760="",P760=0),"",A760+P760)</f>
        <v/>
      </c>
      <c r="R760" s="26">
        <f>IF(Q760="","",IF(COUNTIFS($E$5:$E$3004,E760,$A$5:$A$3004,"&gt;"&amp;A760,$H$5:$H$3004,"&lt;&gt;Falta",$H$5:$H$3004,"&lt;&gt;Cancelado",$H$5:$H$3004,"&lt;&gt;Remarcado")&gt;0,"Sim","Não"))</f>
        <v/>
      </c>
      <c r="S760" s="32">
        <f>IF(R760&lt;&gt;"Não","",IF(Q760+Config!$B$9&lt;=Config!$B$8,Config!$B$8-Q760,""))</f>
        <v/>
      </c>
      <c r="T760" s="26">
        <f>IF(S760="","","Sim")</f>
        <v/>
      </c>
      <c r="U760" s="41">
        <f>IF(T760="Sim",S760+ROW()/100000,0)</f>
        <v>0</v>
      </c>
      <c r="V760" s="41">
        <f>IF(AND(H760="Falta",L760=Config!$B$7,M760=Config!$B$5,COUNTIFS($E$5:E760,E760,$H$5:H760,"Falta",$L$5:L760,Config!$B$7,$M$5:M760,Config!$B$5)=1),COUNTIFS($E$5:$E$3004,E760,$H$5:$H$3004,"Falta",$L$5:$L$3004,Config!$B$7,$M$5:$M$3004,Config!$B$5)*1000-ROW()/100000,0)</f>
        <v>0</v>
      </c>
    </row>
    <row r="761">
      <c r="A761" s="39" t="n">
        <v>46251</v>
      </c>
      <c r="B761" s="40" t="n">
        <v>0.5833333333333334</v>
      </c>
      <c r="C761" s="35" t="inlineStr">
        <is>
          <t>Dr. Paulo Andrade</t>
        </is>
      </c>
      <c r="D761" s="35" t="inlineStr">
        <is>
          <t>Sala 2</t>
        </is>
      </c>
      <c r="E761" s="34" t="inlineStr">
        <is>
          <t>Rafael Correia</t>
        </is>
      </c>
      <c r="F761" s="35" t="inlineStr">
        <is>
          <t>Particular</t>
        </is>
      </c>
      <c r="G761" s="35" t="inlineStr">
        <is>
          <t>Consulta</t>
        </is>
      </c>
      <c r="H761" s="35" t="inlineStr">
        <is>
          <t>Realizado</t>
        </is>
      </c>
      <c r="I761" s="35" t="inlineStr">
        <is>
          <t>Dinheiro</t>
        </is>
      </c>
      <c r="J761" s="35" t="n"/>
      <c r="K761" s="34" t="n"/>
      <c r="L761" s="26">
        <f>IF(A761="","",MONTH(A761))</f>
        <v>8</v>
      </c>
      <c r="M761" s="26">
        <f>IF(A761="","",YEAR(A761))</f>
        <v>2026</v>
      </c>
      <c r="N761" s="26" t="str">
        <f>IF(A761="","",CHOOSE(WEEKDAY(A761,2),"Segunda","Terça","Quarta","Quinta","Sexta","Sábado","Domingo"))</f>
        <v>Segunda</v>
      </c>
      <c r="O761" s="26" t="str">
        <f>IF(B761="","",IF(B761&lt;TIME(12,0,0),"Manhã",IF(B761&lt;TIME(18,0,0),"Tarde","Noite")))</f>
        <v>Tarde</v>
      </c>
      <c r="P761" s="32">
        <f>IF(G761="","",IFERROR(INDEX(Config!$I$5:$I$16,MATCH(G761,Config!$H$5:$H$16,0)),0))</f>
        <v>30</v>
      </c>
      <c r="Q761" s="30">
        <f>IF(OR(H761&lt;&gt;"Realizado",P761="",P761=0),"",A761+P761)</f>
        <v>46281.0</v>
      </c>
      <c r="R761" s="26" t="str">
        <f>IF(Q761="","",IF(COUNTIFS($E$5:$E$3004,E761,$A$5:$A$3004,"&gt;"&amp;A761,$H$5:$H$3004,"&lt;&gt;Falta",$H$5:$H$3004,"&lt;&gt;Cancelado",$H$5:$H$3004,"&lt;&gt;Remarcado")&gt;0,"Sim","Não"))</f>
        <v>Sim</v>
      </c>
      <c r="S761" s="32">
        <f>IF(R761&lt;&gt;"Não","",IF(Q761+Config!$B$9&lt;=Config!$B$8,Config!$B$8-Q761,""))</f>
        <v/>
      </c>
      <c r="T761" s="26">
        <f>IF(S761="","","Sim")</f>
        <v/>
      </c>
      <c r="U761" s="41">
        <f>IF(T761="Sim",S761+ROW()/100000,0)</f>
        <v>0</v>
      </c>
      <c r="V761" s="41">
        <f>IF(AND(H761="Falta",L761=Config!$B$7,M761=Config!$B$5,COUNTIFS($E$5:E761,E761,$H$5:H761,"Falta",$L$5:L761,Config!$B$7,$M$5:M761,Config!$B$5)=1),COUNTIFS($E$5:$E$3004,E761,$H$5:$H$3004,"Falta",$L$5:$L$3004,Config!$B$7,$M$5:$M$3004,Config!$B$5)*1000-ROW()/100000,0)</f>
        <v>0</v>
      </c>
    </row>
    <row r="762">
      <c r="A762" s="39" t="n">
        <v>46251</v>
      </c>
      <c r="B762" s="40" t="n">
        <v>0.6458333333333334</v>
      </c>
      <c r="C762" s="35" t="inlineStr">
        <is>
          <t>Dr. Paulo Andrade</t>
        </is>
      </c>
      <c r="D762" s="35" t="inlineStr">
        <is>
          <t>Sala 2</t>
        </is>
      </c>
      <c r="E762" s="34" t="inlineStr">
        <is>
          <t>Helena Moreira</t>
        </is>
      </c>
      <c r="F762" s="35" t="inlineStr">
        <is>
          <t>Particular</t>
        </is>
      </c>
      <c r="G762" s="35" t="inlineStr">
        <is>
          <t>MAPA</t>
        </is>
      </c>
      <c r="H762" s="35" t="inlineStr">
        <is>
          <t>Realizado</t>
        </is>
      </c>
      <c r="I762" s="35" t="inlineStr">
        <is>
          <t>Cartão de crédito</t>
        </is>
      </c>
      <c r="J762" s="35" t="n">
        <v>2</v>
      </c>
      <c r="K762" s="34" t="n"/>
      <c r="L762" s="26">
        <f>IF(A762="","",MONTH(A762))</f>
        <v>8</v>
      </c>
      <c r="M762" s="26">
        <f>IF(A762="","",YEAR(A762))</f>
        <v>2026</v>
      </c>
      <c r="N762" s="26" t="str">
        <f>IF(A762="","",CHOOSE(WEEKDAY(A762,2),"Segunda","Terça","Quarta","Quinta","Sexta","Sábado","Domingo"))</f>
        <v>Segunda</v>
      </c>
      <c r="O762" s="26" t="str">
        <f>IF(B762="","",IF(B762&lt;TIME(12,0,0),"Manhã",IF(B762&lt;TIME(18,0,0),"Tarde","Noite")))</f>
        <v>Tarde</v>
      </c>
      <c r="P762" s="32">
        <f>IF(G762="","",IFERROR(INDEX(Config!$I$5:$I$16,MATCH(G762,Config!$H$5:$H$16,0)),0))</f>
        <v>0</v>
      </c>
      <c r="Q762" s="30">
        <f>IF(OR(H762&lt;&gt;"Realizado",P762="",P762=0),"",A762+P762)</f>
        <v/>
      </c>
      <c r="R762" s="26">
        <f>IF(Q762="","",IF(COUNTIFS($E$5:$E$3004,E762,$A$5:$A$3004,"&gt;"&amp;A762,$H$5:$H$3004,"&lt;&gt;Falta",$H$5:$H$3004,"&lt;&gt;Cancelado",$H$5:$H$3004,"&lt;&gt;Remarcado")&gt;0,"Sim","Não"))</f>
        <v/>
      </c>
      <c r="S762" s="32">
        <f>IF(R762&lt;&gt;"Não","",IF(Q762+Config!$B$9&lt;=Config!$B$8,Config!$B$8-Q762,""))</f>
        <v/>
      </c>
      <c r="T762" s="26">
        <f>IF(S762="","","Sim")</f>
        <v/>
      </c>
      <c r="U762" s="41">
        <f>IF(T762="Sim",S762+ROW()/100000,0)</f>
        <v>0</v>
      </c>
      <c r="V762" s="41">
        <f>IF(AND(H762="Falta",L762=Config!$B$7,M762=Config!$B$5,COUNTIFS($E$5:E762,E762,$H$5:H762,"Falta",$L$5:L762,Config!$B$7,$M$5:M762,Config!$B$5)=1),COUNTIFS($E$5:$E$3004,E762,$H$5:$H$3004,"Falta",$L$5:$L$3004,Config!$B$7,$M$5:$M$3004,Config!$B$5)*1000-ROW()/100000,0)</f>
        <v>0</v>
      </c>
    </row>
    <row r="763">
      <c r="A763" s="39" t="n">
        <v>46251</v>
      </c>
      <c r="B763" s="40" t="n">
        <v>0.6597222222222222</v>
      </c>
      <c r="C763" s="35" t="inlineStr">
        <is>
          <t>Dr. Paulo Andrade</t>
        </is>
      </c>
      <c r="D763" s="35" t="inlineStr">
        <is>
          <t>Sala 2</t>
        </is>
      </c>
      <c r="E763" s="34" t="inlineStr">
        <is>
          <t>Paulo Nascimento</t>
        </is>
      </c>
      <c r="F763" s="35" t="inlineStr">
        <is>
          <t>MediPlan</t>
        </is>
      </c>
      <c r="G763" s="35" t="inlineStr">
        <is>
          <t>Consulta</t>
        </is>
      </c>
      <c r="H763" s="35" t="inlineStr">
        <is>
          <t>Realizado</t>
        </is>
      </c>
      <c r="I763" s="35" t="inlineStr">
        <is>
          <t>Convênio</t>
        </is>
      </c>
      <c r="J763" s="35" t="n"/>
      <c r="K763" s="34" t="n"/>
      <c r="L763" s="26">
        <f>IF(A763="","",MONTH(A763))</f>
        <v>8</v>
      </c>
      <c r="M763" s="26">
        <f>IF(A763="","",YEAR(A763))</f>
        <v>2026</v>
      </c>
      <c r="N763" s="26" t="str">
        <f>IF(A763="","",CHOOSE(WEEKDAY(A763,2),"Segunda","Terça","Quarta","Quinta","Sexta","Sábado","Domingo"))</f>
        <v>Segunda</v>
      </c>
      <c r="O763" s="26" t="str">
        <f>IF(B763="","",IF(B763&lt;TIME(12,0,0),"Manhã",IF(B763&lt;TIME(18,0,0),"Tarde","Noite")))</f>
        <v>Tarde</v>
      </c>
      <c r="P763" s="32">
        <f>IF(G763="","",IFERROR(INDEX(Config!$I$5:$I$16,MATCH(G763,Config!$H$5:$H$16,0)),0))</f>
        <v>30</v>
      </c>
      <c r="Q763" s="30">
        <f>IF(OR(H763&lt;&gt;"Realizado",P763="",P763=0),"",A763+P763)</f>
        <v>46281.0</v>
      </c>
      <c r="R763" s="26" t="str">
        <f>IF(Q763="","",IF(COUNTIFS($E$5:$E$3004,E763,$A$5:$A$3004,"&gt;"&amp;A763,$H$5:$H$3004,"&lt;&gt;Falta",$H$5:$H$3004,"&lt;&gt;Cancelado",$H$5:$H$3004,"&lt;&gt;Remarcado")&gt;0,"Sim","Não"))</f>
        <v>Sim</v>
      </c>
      <c r="S763" s="32">
        <f>IF(R763&lt;&gt;"Não","",IF(Q763+Config!$B$9&lt;=Config!$B$8,Config!$B$8-Q763,""))</f>
        <v/>
      </c>
      <c r="T763" s="26">
        <f>IF(S763="","","Sim")</f>
        <v/>
      </c>
      <c r="U763" s="41">
        <f>IF(T763="Sim",S763+ROW()/100000,0)</f>
        <v>0</v>
      </c>
      <c r="V763" s="41">
        <f>IF(AND(H763="Falta",L763=Config!$B$7,M763=Config!$B$5,COUNTIFS($E$5:E763,E763,$H$5:H763,"Falta",$L$5:L763,Config!$B$7,$M$5:M763,Config!$B$5)=1),COUNTIFS($E$5:$E$3004,E763,$H$5:$H$3004,"Falta",$L$5:$L$3004,Config!$B$7,$M$5:$M$3004,Config!$B$5)*1000-ROW()/100000,0)</f>
        <v>0</v>
      </c>
    </row>
    <row r="764">
      <c r="A764" s="39" t="n">
        <v>46251</v>
      </c>
      <c r="B764" s="40" t="n">
        <v>0.6805555555555556</v>
      </c>
      <c r="C764" s="35" t="inlineStr">
        <is>
          <t>Dr. Paulo Andrade</t>
        </is>
      </c>
      <c r="D764" s="35" t="inlineStr">
        <is>
          <t>Sala 2</t>
        </is>
      </c>
      <c r="E764" s="34" t="inlineStr">
        <is>
          <t>Marcelo Ferreira</t>
        </is>
      </c>
      <c r="F764" s="35" t="inlineStr">
        <is>
          <t>Particular</t>
        </is>
      </c>
      <c r="G764" s="35" t="inlineStr">
        <is>
          <t>Consulta</t>
        </is>
      </c>
      <c r="H764" s="35" t="inlineStr">
        <is>
          <t>Realizado</t>
        </is>
      </c>
      <c r="I764" s="35" t="inlineStr">
        <is>
          <t>Pix</t>
        </is>
      </c>
      <c r="J764" s="35" t="n"/>
      <c r="K764" s="34" t="n"/>
      <c r="L764" s="26">
        <f>IF(A764="","",MONTH(A764))</f>
        <v>8</v>
      </c>
      <c r="M764" s="26">
        <f>IF(A764="","",YEAR(A764))</f>
        <v>2026</v>
      </c>
      <c r="N764" s="26" t="str">
        <f>IF(A764="","",CHOOSE(WEEKDAY(A764,2),"Segunda","Terça","Quarta","Quinta","Sexta","Sábado","Domingo"))</f>
        <v>Segunda</v>
      </c>
      <c r="O764" s="26" t="str">
        <f>IF(B764="","",IF(B764&lt;TIME(12,0,0),"Manhã",IF(B764&lt;TIME(18,0,0),"Tarde","Noite")))</f>
        <v>Tarde</v>
      </c>
      <c r="P764" s="32">
        <f>IF(G764="","",IFERROR(INDEX(Config!$I$5:$I$16,MATCH(G764,Config!$H$5:$H$16,0)),0))</f>
        <v>30</v>
      </c>
      <c r="Q764" s="30">
        <f>IF(OR(H764&lt;&gt;"Realizado",P764="",P764=0),"",A764+P764)</f>
        <v>46281.0</v>
      </c>
      <c r="R764" s="26" t="str">
        <f>IF(Q764="","",IF(COUNTIFS($E$5:$E$3004,E764,$A$5:$A$3004,"&gt;"&amp;A764,$H$5:$H$3004,"&lt;&gt;Falta",$H$5:$H$3004,"&lt;&gt;Cancelado",$H$5:$H$3004,"&lt;&gt;Remarcado")&gt;0,"Sim","Não"))</f>
        <v>Sim</v>
      </c>
      <c r="S764" s="32">
        <f>IF(R764&lt;&gt;"Não","",IF(Q764+Config!$B$9&lt;=Config!$B$8,Config!$B$8-Q764,""))</f>
        <v/>
      </c>
      <c r="T764" s="26">
        <f>IF(S764="","","Sim")</f>
        <v/>
      </c>
      <c r="U764" s="41">
        <f>IF(T764="Sim",S764+ROW()/100000,0)</f>
        <v>0</v>
      </c>
      <c r="V764" s="41">
        <f>IF(AND(H764="Falta",L764=Config!$B$7,M764=Config!$B$5,COUNTIFS($E$5:E764,E764,$H$5:H764,"Falta",$L$5:L764,Config!$B$7,$M$5:M764,Config!$B$5)=1),COUNTIFS($E$5:$E$3004,E764,$H$5:$H$3004,"Falta",$L$5:$L$3004,Config!$B$7,$M$5:$M$3004,Config!$B$5)*1000-ROW()/100000,0)</f>
        <v>0</v>
      </c>
    </row>
    <row r="765">
      <c r="A765" s="39" t="n">
        <v>46251</v>
      </c>
      <c r="B765" s="40" t="n">
        <v>0.7013888888888888</v>
      </c>
      <c r="C765" s="35" t="inlineStr">
        <is>
          <t>Dr. Paulo Andrade</t>
        </is>
      </c>
      <c r="D765" s="35" t="inlineStr">
        <is>
          <t>Sala 2</t>
        </is>
      </c>
      <c r="E765" s="34" t="inlineStr">
        <is>
          <t>Fábio Machado</t>
        </is>
      </c>
      <c r="F765" s="35" t="inlineStr">
        <is>
          <t>Particular</t>
        </is>
      </c>
      <c r="G765" s="35" t="inlineStr">
        <is>
          <t>Retorno</t>
        </is>
      </c>
      <c r="H765" s="35" t="inlineStr">
        <is>
          <t>Realizado</t>
        </is>
      </c>
      <c r="I765" s="35" t="inlineStr">
        <is>
          <t>Sem cobrança</t>
        </is>
      </c>
      <c r="J765" s="35" t="n"/>
      <c r="K765" s="34" t="n"/>
      <c r="L765" s="26">
        <f>IF(A765="","",MONTH(A765))</f>
        <v>8</v>
      </c>
      <c r="M765" s="26">
        <f>IF(A765="","",YEAR(A765))</f>
        <v>2026</v>
      </c>
      <c r="N765" s="26" t="str">
        <f>IF(A765="","",CHOOSE(WEEKDAY(A765,2),"Segunda","Terça","Quarta","Quinta","Sexta","Sábado","Domingo"))</f>
        <v>Segunda</v>
      </c>
      <c r="O765" s="26" t="str">
        <f>IF(B765="","",IF(B765&lt;TIME(12,0,0),"Manhã",IF(B765&lt;TIME(18,0,0),"Tarde","Noite")))</f>
        <v>Tarde</v>
      </c>
      <c r="P765" s="32">
        <f>IF(G765="","",IFERROR(INDEX(Config!$I$5:$I$16,MATCH(G765,Config!$H$5:$H$16,0)),0))</f>
        <v>0</v>
      </c>
      <c r="Q765" s="30">
        <f>IF(OR(H765&lt;&gt;"Realizado",P765="",P765=0),"",A765+P765)</f>
        <v/>
      </c>
      <c r="R765" s="26">
        <f>IF(Q765="","",IF(COUNTIFS($E$5:$E$3004,E765,$A$5:$A$3004,"&gt;"&amp;A765,$H$5:$H$3004,"&lt;&gt;Falta",$H$5:$H$3004,"&lt;&gt;Cancelado",$H$5:$H$3004,"&lt;&gt;Remarcado")&gt;0,"Sim","Não"))</f>
        <v/>
      </c>
      <c r="S765" s="32">
        <f>IF(R765&lt;&gt;"Não","",IF(Q765+Config!$B$9&lt;=Config!$B$8,Config!$B$8-Q765,""))</f>
        <v/>
      </c>
      <c r="T765" s="26">
        <f>IF(S765="","","Sim")</f>
        <v/>
      </c>
      <c r="U765" s="41">
        <f>IF(T765="Sim",S765+ROW()/100000,0)</f>
        <v>0</v>
      </c>
      <c r="V765" s="41">
        <f>IF(AND(H765="Falta",L765=Config!$B$7,M765=Config!$B$5,COUNTIFS($E$5:E765,E765,$H$5:H765,"Falta",$L$5:L765,Config!$B$7,$M$5:M765,Config!$B$5)=1),COUNTIFS($E$5:$E$3004,E765,$H$5:$H$3004,"Falta",$L$5:$L$3004,Config!$B$7,$M$5:$M$3004,Config!$B$5)*1000-ROW()/100000,0)</f>
        <v>0</v>
      </c>
    </row>
    <row r="766">
      <c r="A766" s="39" t="n">
        <v>46251</v>
      </c>
      <c r="B766" s="40" t="n">
        <v>0.7152777777777778</v>
      </c>
      <c r="C766" s="35" t="inlineStr">
        <is>
          <t>Dr. Paulo Andrade</t>
        </is>
      </c>
      <c r="D766" s="35" t="inlineStr">
        <is>
          <t>Sala 2</t>
        </is>
      </c>
      <c r="E766" s="34" t="inlineStr">
        <is>
          <t>Viviane Duarte</t>
        </is>
      </c>
      <c r="F766" s="35" t="inlineStr">
        <is>
          <t>MediPlan</t>
        </is>
      </c>
      <c r="G766" s="35" t="inlineStr">
        <is>
          <t>Retorno</t>
        </is>
      </c>
      <c r="H766" s="35" t="inlineStr">
        <is>
          <t>Realizado</t>
        </is>
      </c>
      <c r="I766" s="35" t="inlineStr">
        <is>
          <t>Sem cobrança</t>
        </is>
      </c>
      <c r="J766" s="35" t="n"/>
      <c r="K766" s="34" t="n"/>
      <c r="L766" s="26">
        <f>IF(A766="","",MONTH(A766))</f>
        <v>8</v>
      </c>
      <c r="M766" s="26">
        <f>IF(A766="","",YEAR(A766))</f>
        <v>2026</v>
      </c>
      <c r="N766" s="26" t="str">
        <f>IF(A766="","",CHOOSE(WEEKDAY(A766,2),"Segunda","Terça","Quarta","Quinta","Sexta","Sábado","Domingo"))</f>
        <v>Segunda</v>
      </c>
      <c r="O766" s="26" t="str">
        <f>IF(B766="","",IF(B766&lt;TIME(12,0,0),"Manhã",IF(B766&lt;TIME(18,0,0),"Tarde","Noite")))</f>
        <v>Tarde</v>
      </c>
      <c r="P766" s="32">
        <f>IF(G766="","",IFERROR(INDEX(Config!$I$5:$I$16,MATCH(G766,Config!$H$5:$H$16,0)),0))</f>
        <v>0</v>
      </c>
      <c r="Q766" s="30">
        <f>IF(OR(H766&lt;&gt;"Realizado",P766="",P766=0),"",A766+P766)</f>
        <v/>
      </c>
      <c r="R766" s="26">
        <f>IF(Q766="","",IF(COUNTIFS($E$5:$E$3004,E766,$A$5:$A$3004,"&gt;"&amp;A766,$H$5:$H$3004,"&lt;&gt;Falta",$H$5:$H$3004,"&lt;&gt;Cancelado",$H$5:$H$3004,"&lt;&gt;Remarcado")&gt;0,"Sim","Não"))</f>
        <v/>
      </c>
      <c r="S766" s="32">
        <f>IF(R766&lt;&gt;"Não","",IF(Q766+Config!$B$9&lt;=Config!$B$8,Config!$B$8-Q766,""))</f>
        <v/>
      </c>
      <c r="T766" s="26">
        <f>IF(S766="","","Sim")</f>
        <v/>
      </c>
      <c r="U766" s="41">
        <f>IF(T766="Sim",S766+ROW()/100000,0)</f>
        <v>0</v>
      </c>
      <c r="V766" s="41">
        <f>IF(AND(H766="Falta",L766=Config!$B$7,M766=Config!$B$5,COUNTIFS($E$5:E766,E766,$H$5:H766,"Falta",$L$5:L766,Config!$B$7,$M$5:M766,Config!$B$5)=1),COUNTIFS($E$5:$E$3004,E766,$H$5:$H$3004,"Falta",$L$5:$L$3004,Config!$B$7,$M$5:$M$3004,Config!$B$5)*1000-ROW()/100000,0)</f>
        <v>0</v>
      </c>
    </row>
    <row r="767">
      <c r="A767" s="39" t="n">
        <v>46251</v>
      </c>
      <c r="B767" s="40" t="n">
        <v>0.7291666666666666</v>
      </c>
      <c r="C767" s="35" t="inlineStr">
        <is>
          <t>Dr. Paulo Andrade</t>
        </is>
      </c>
      <c r="D767" s="35" t="inlineStr">
        <is>
          <t>Sala 2</t>
        </is>
      </c>
      <c r="E767" s="34" t="inlineStr">
        <is>
          <t>Lucas Cardoso</t>
        </is>
      </c>
      <c r="F767" s="35" t="inlineStr">
        <is>
          <t>Particular</t>
        </is>
      </c>
      <c r="G767" s="35" t="inlineStr">
        <is>
          <t>Consulta</t>
        </is>
      </c>
      <c r="H767" s="35" t="inlineStr">
        <is>
          <t>Falta</t>
        </is>
      </c>
      <c r="I767" s="35" t="n"/>
      <c r="J767" s="35" t="n"/>
      <c r="K767" s="34" t="n"/>
      <c r="L767" s="26">
        <f>IF(A767="","",MONTH(A767))</f>
        <v>8</v>
      </c>
      <c r="M767" s="26">
        <f>IF(A767="","",YEAR(A767))</f>
        <v>2026</v>
      </c>
      <c r="N767" s="26" t="str">
        <f>IF(A767="","",CHOOSE(WEEKDAY(A767,2),"Segunda","Terça","Quarta","Quinta","Sexta","Sábado","Domingo"))</f>
        <v>Segunda</v>
      </c>
      <c r="O767" s="26" t="str">
        <f>IF(B767="","",IF(B767&lt;TIME(12,0,0),"Manhã",IF(B767&lt;TIME(18,0,0),"Tarde","Noite")))</f>
        <v>Tarde</v>
      </c>
      <c r="P767" s="32">
        <f>IF(G767="","",IFERROR(INDEX(Config!$I$5:$I$16,MATCH(G767,Config!$H$5:$H$16,0)),0))</f>
        <v>30</v>
      </c>
      <c r="Q767" s="30">
        <f>IF(OR(H767&lt;&gt;"Realizado",P767="",P767=0),"",A767+P767)</f>
        <v/>
      </c>
      <c r="R767" s="26">
        <f>IF(Q767="","",IF(COUNTIFS($E$5:$E$3004,E767,$A$5:$A$3004,"&gt;"&amp;A767,$H$5:$H$3004,"&lt;&gt;Falta",$H$5:$H$3004,"&lt;&gt;Cancelado",$H$5:$H$3004,"&lt;&gt;Remarcado")&gt;0,"Sim","Não"))</f>
        <v/>
      </c>
      <c r="S767" s="32">
        <f>IF(R767&lt;&gt;"Não","",IF(Q767+Config!$B$9&lt;=Config!$B$8,Config!$B$8-Q767,""))</f>
        <v/>
      </c>
      <c r="T767" s="26">
        <f>IF(S767="","","Sim")</f>
        <v/>
      </c>
      <c r="U767" s="41">
        <f>IF(T767="Sim",S767+ROW()/100000,0)</f>
        <v>0</v>
      </c>
      <c r="V767" s="41">
        <f>IF(AND(H767="Falta",L767=Config!$B$7,M767=Config!$B$5,COUNTIFS($E$5:E767,E767,$H$5:H767,"Falta",$L$5:L767,Config!$B$7,$M$5:M767,Config!$B$5)=1),COUNTIFS($E$5:$E$3004,E767,$H$5:$H$3004,"Falta",$L$5:$L$3004,Config!$B$7,$M$5:$M$3004,Config!$B$5)*1000-ROW()/100000,0)</f>
        <v>0</v>
      </c>
    </row>
    <row r="768">
      <c r="A768" s="39" t="n">
        <v>46252</v>
      </c>
      <c r="B768" s="40" t="n">
        <v>0.3541666666666667</v>
      </c>
      <c r="C768" s="35" t="inlineStr">
        <is>
          <t>Dra. Carolina Mendes</t>
        </is>
      </c>
      <c r="D768" s="35" t="inlineStr">
        <is>
          <t>Sala 1</t>
        </is>
      </c>
      <c r="E768" s="34" t="inlineStr">
        <is>
          <t>Helena Moreira</t>
        </is>
      </c>
      <c r="F768" s="35" t="inlineStr">
        <is>
          <t>Particular</t>
        </is>
      </c>
      <c r="G768" s="35" t="inlineStr">
        <is>
          <t>Retorno</t>
        </is>
      </c>
      <c r="H768" s="35" t="inlineStr">
        <is>
          <t>Realizado</t>
        </is>
      </c>
      <c r="I768" s="35" t="inlineStr">
        <is>
          <t>Sem cobrança</t>
        </is>
      </c>
      <c r="J768" s="35" t="n"/>
      <c r="K768" s="34" t="n"/>
      <c r="L768" s="26">
        <f>IF(A768="","",MONTH(A768))</f>
        <v>8</v>
      </c>
      <c r="M768" s="26">
        <f>IF(A768="","",YEAR(A768))</f>
        <v>2026</v>
      </c>
      <c r="N768" s="26" t="str">
        <f>IF(A768="","",CHOOSE(WEEKDAY(A768,2),"Segunda","Terça","Quarta","Quinta","Sexta","Sábado","Domingo"))</f>
        <v>Terça</v>
      </c>
      <c r="O768" s="26" t="str">
        <f>IF(B768="","",IF(B768&lt;TIME(12,0,0),"Manhã",IF(B768&lt;TIME(18,0,0),"Tarde","Noite")))</f>
        <v>Manhã</v>
      </c>
      <c r="P768" s="32">
        <f>IF(G768="","",IFERROR(INDEX(Config!$I$5:$I$16,MATCH(G768,Config!$H$5:$H$16,0)),0))</f>
        <v>0</v>
      </c>
      <c r="Q768" s="30">
        <f>IF(OR(H768&lt;&gt;"Realizado",P768="",P768=0),"",A768+P768)</f>
        <v/>
      </c>
      <c r="R768" s="26">
        <f>IF(Q768="","",IF(COUNTIFS($E$5:$E$3004,E768,$A$5:$A$3004,"&gt;"&amp;A768,$H$5:$H$3004,"&lt;&gt;Falta",$H$5:$H$3004,"&lt;&gt;Cancelado",$H$5:$H$3004,"&lt;&gt;Remarcado")&gt;0,"Sim","Não"))</f>
        <v/>
      </c>
      <c r="S768" s="32">
        <f>IF(R768&lt;&gt;"Não","",IF(Q768+Config!$B$9&lt;=Config!$B$8,Config!$B$8-Q768,""))</f>
        <v/>
      </c>
      <c r="T768" s="26">
        <f>IF(S768="","","Sim")</f>
        <v/>
      </c>
      <c r="U768" s="41">
        <f>IF(T768="Sim",S768+ROW()/100000,0)</f>
        <v>0</v>
      </c>
      <c r="V768" s="41">
        <f>IF(AND(H768="Falta",L768=Config!$B$7,M768=Config!$B$5,COUNTIFS($E$5:E768,E768,$H$5:H768,"Falta",$L$5:L768,Config!$B$7,$M$5:M768,Config!$B$5)=1),COUNTIFS($E$5:$E$3004,E768,$H$5:$H$3004,"Falta",$L$5:$L$3004,Config!$B$7,$M$5:$M$3004,Config!$B$5)*1000-ROW()/100000,0)</f>
        <v>0</v>
      </c>
    </row>
    <row r="769">
      <c r="A769" s="39" t="n">
        <v>46252</v>
      </c>
      <c r="B769" s="40" t="n">
        <v>0.3680555555555556</v>
      </c>
      <c r="C769" s="35" t="inlineStr">
        <is>
          <t>Dra. Carolina Mendes</t>
        </is>
      </c>
      <c r="D769" s="35" t="inlineStr">
        <is>
          <t>Sala 1</t>
        </is>
      </c>
      <c r="E769" s="34" t="inlineStr">
        <is>
          <t>Rodrigo Teixeira</t>
        </is>
      </c>
      <c r="F769" s="35" t="inlineStr">
        <is>
          <t>Vida Care</t>
        </is>
      </c>
      <c r="G769" s="35" t="inlineStr">
        <is>
          <t>Consulta</t>
        </is>
      </c>
      <c r="H769" s="35" t="inlineStr">
        <is>
          <t>Realizado</t>
        </is>
      </c>
      <c r="I769" s="35" t="inlineStr">
        <is>
          <t>Convênio</t>
        </is>
      </c>
      <c r="J769" s="35" t="n"/>
      <c r="K769" s="34" t="n"/>
      <c r="L769" s="26">
        <f>IF(A769="","",MONTH(A769))</f>
        <v>8</v>
      </c>
      <c r="M769" s="26">
        <f>IF(A769="","",YEAR(A769))</f>
        <v>2026</v>
      </c>
      <c r="N769" s="26" t="str">
        <f>IF(A769="","",CHOOSE(WEEKDAY(A769,2),"Segunda","Terça","Quarta","Quinta","Sexta","Sábado","Domingo"))</f>
        <v>Terça</v>
      </c>
      <c r="O769" s="26" t="str">
        <f>IF(B769="","",IF(B769&lt;TIME(12,0,0),"Manhã",IF(B769&lt;TIME(18,0,0),"Tarde","Noite")))</f>
        <v>Manhã</v>
      </c>
      <c r="P769" s="32">
        <f>IF(G769="","",IFERROR(INDEX(Config!$I$5:$I$16,MATCH(G769,Config!$H$5:$H$16,0)),0))</f>
        <v>30</v>
      </c>
      <c r="Q769" s="30">
        <f>IF(OR(H769&lt;&gt;"Realizado",P769="",P769=0),"",A769+P769)</f>
        <v>46282.0</v>
      </c>
      <c r="R769" s="26" t="str">
        <f>IF(Q769="","",IF(COUNTIFS($E$5:$E$3004,E769,$A$5:$A$3004,"&gt;"&amp;A769,$H$5:$H$3004,"&lt;&gt;Falta",$H$5:$H$3004,"&lt;&gt;Cancelado",$H$5:$H$3004,"&lt;&gt;Remarcado")&gt;0,"Sim","Não"))</f>
        <v>Sim</v>
      </c>
      <c r="S769" s="32">
        <f>IF(R769&lt;&gt;"Não","",IF(Q769+Config!$B$9&lt;=Config!$B$8,Config!$B$8-Q769,""))</f>
        <v/>
      </c>
      <c r="T769" s="26">
        <f>IF(S769="","","Sim")</f>
        <v/>
      </c>
      <c r="U769" s="41">
        <f>IF(T769="Sim",S769+ROW()/100000,0)</f>
        <v>0</v>
      </c>
      <c r="V769" s="41">
        <f>IF(AND(H769="Falta",L769=Config!$B$7,M769=Config!$B$5,COUNTIFS($E$5:E769,E769,$H$5:H769,"Falta",$L$5:L769,Config!$B$7,$M$5:M769,Config!$B$5)=1),COUNTIFS($E$5:$E$3004,E769,$H$5:$H$3004,"Falta",$L$5:$L$3004,Config!$B$7,$M$5:$M$3004,Config!$B$5)*1000-ROW()/100000,0)</f>
        <v>0</v>
      </c>
    </row>
    <row r="770">
      <c r="A770" s="39" t="n">
        <v>46252</v>
      </c>
      <c r="B770" s="40" t="n">
        <v>0.3888888888888889</v>
      </c>
      <c r="C770" s="35" t="inlineStr">
        <is>
          <t>Dra. Carolina Mendes</t>
        </is>
      </c>
      <c r="D770" s="35" t="inlineStr">
        <is>
          <t>Sala 1</t>
        </is>
      </c>
      <c r="E770" s="34" t="inlineStr">
        <is>
          <t>Sérgio Martins</t>
        </is>
      </c>
      <c r="F770" s="35" t="inlineStr">
        <is>
          <t>Particular</t>
        </is>
      </c>
      <c r="G770" s="35" t="inlineStr">
        <is>
          <t>Consulta</t>
        </is>
      </c>
      <c r="H770" s="35" t="inlineStr">
        <is>
          <t>Realizado</t>
        </is>
      </c>
      <c r="I770" s="35" t="inlineStr">
        <is>
          <t>Cartão de débito</t>
        </is>
      </c>
      <c r="J770" s="35" t="n"/>
      <c r="K770" s="34" t="n"/>
      <c r="L770" s="26">
        <f>IF(A770="","",MONTH(A770))</f>
        <v>8</v>
      </c>
      <c r="M770" s="26">
        <f>IF(A770="","",YEAR(A770))</f>
        <v>2026</v>
      </c>
      <c r="N770" s="26" t="str">
        <f>IF(A770="","",CHOOSE(WEEKDAY(A770,2),"Segunda","Terça","Quarta","Quinta","Sexta","Sábado","Domingo"))</f>
        <v>Terça</v>
      </c>
      <c r="O770" s="26" t="str">
        <f>IF(B770="","",IF(B770&lt;TIME(12,0,0),"Manhã",IF(B770&lt;TIME(18,0,0),"Tarde","Noite")))</f>
        <v>Manhã</v>
      </c>
      <c r="P770" s="32">
        <f>IF(G770="","",IFERROR(INDEX(Config!$I$5:$I$16,MATCH(G770,Config!$H$5:$H$16,0)),0))</f>
        <v>30</v>
      </c>
      <c r="Q770" s="30">
        <f>IF(OR(H770&lt;&gt;"Realizado",P770="",P770=0),"",A770+P770)</f>
        <v>46282.0</v>
      </c>
      <c r="R770" s="26" t="str">
        <f>IF(Q770="","",IF(COUNTIFS($E$5:$E$3004,E770,$A$5:$A$3004,"&gt;"&amp;A770,$H$5:$H$3004,"&lt;&gt;Falta",$H$5:$H$3004,"&lt;&gt;Cancelado",$H$5:$H$3004,"&lt;&gt;Remarcado")&gt;0,"Sim","Não"))</f>
        <v>Sim</v>
      </c>
      <c r="S770" s="32">
        <f>IF(R770&lt;&gt;"Não","",IF(Q770+Config!$B$9&lt;=Config!$B$8,Config!$B$8-Q770,""))</f>
        <v/>
      </c>
      <c r="T770" s="26">
        <f>IF(S770="","","Sim")</f>
        <v/>
      </c>
      <c r="U770" s="41">
        <f>IF(T770="Sim",S770+ROW()/100000,0)</f>
        <v>0</v>
      </c>
      <c r="V770" s="41">
        <f>IF(AND(H770="Falta",L770=Config!$B$7,M770=Config!$B$5,COUNTIFS($E$5:E770,E770,$H$5:H770,"Falta",$L$5:L770,Config!$B$7,$M$5:M770,Config!$B$5)=1),COUNTIFS($E$5:$E$3004,E770,$H$5:$H$3004,"Falta",$L$5:$L$3004,Config!$B$7,$M$5:$M$3004,Config!$B$5)*1000-ROW()/100000,0)</f>
        <v>0</v>
      </c>
    </row>
    <row r="771">
      <c r="A771" s="39" t="n">
        <v>46252</v>
      </c>
      <c r="B771" s="40" t="n">
        <v>0.4097222222222222</v>
      </c>
      <c r="C771" s="35" t="inlineStr">
        <is>
          <t>Dra. Carolina Mendes</t>
        </is>
      </c>
      <c r="D771" s="35" t="inlineStr">
        <is>
          <t>Sala 1</t>
        </is>
      </c>
      <c r="E771" s="34" t="inlineStr">
        <is>
          <t>Carlos Barros</t>
        </is>
      </c>
      <c r="F771" s="35" t="inlineStr">
        <is>
          <t>MediPlan</t>
        </is>
      </c>
      <c r="G771" s="35" t="inlineStr">
        <is>
          <t>Consulta</t>
        </is>
      </c>
      <c r="H771" s="35" t="inlineStr">
        <is>
          <t>Realizado</t>
        </is>
      </c>
      <c r="I771" s="35" t="inlineStr">
        <is>
          <t>Convênio</t>
        </is>
      </c>
      <c r="J771" s="35" t="n"/>
      <c r="K771" s="34" t="n"/>
      <c r="L771" s="26">
        <f>IF(A771="","",MONTH(A771))</f>
        <v>8</v>
      </c>
      <c r="M771" s="26">
        <f>IF(A771="","",YEAR(A771))</f>
        <v>2026</v>
      </c>
      <c r="N771" s="26" t="str">
        <f>IF(A771="","",CHOOSE(WEEKDAY(A771,2),"Segunda","Terça","Quarta","Quinta","Sexta","Sábado","Domingo"))</f>
        <v>Terça</v>
      </c>
      <c r="O771" s="26" t="str">
        <f>IF(B771="","",IF(B771&lt;TIME(12,0,0),"Manhã",IF(B771&lt;TIME(18,0,0),"Tarde","Noite")))</f>
        <v>Manhã</v>
      </c>
      <c r="P771" s="32">
        <f>IF(G771="","",IFERROR(INDEX(Config!$I$5:$I$16,MATCH(G771,Config!$H$5:$H$16,0)),0))</f>
        <v>30</v>
      </c>
      <c r="Q771" s="30">
        <f>IF(OR(H771&lt;&gt;"Realizado",P771="",P771=0),"",A771+P771)</f>
        <v>46282.0</v>
      </c>
      <c r="R771" s="26" t="str">
        <f>IF(Q771="","",IF(COUNTIFS($E$5:$E$3004,E771,$A$5:$A$3004,"&gt;"&amp;A771,$H$5:$H$3004,"&lt;&gt;Falta",$H$5:$H$3004,"&lt;&gt;Cancelado",$H$5:$H$3004,"&lt;&gt;Remarcado")&gt;0,"Sim","Não"))</f>
        <v>Sim</v>
      </c>
      <c r="S771" s="32">
        <f>IF(R771&lt;&gt;"Não","",IF(Q771+Config!$B$9&lt;=Config!$B$8,Config!$B$8-Q771,""))</f>
        <v/>
      </c>
      <c r="T771" s="26">
        <f>IF(S771="","","Sim")</f>
        <v/>
      </c>
      <c r="U771" s="41">
        <f>IF(T771="Sim",S771+ROW()/100000,0)</f>
        <v>0</v>
      </c>
      <c r="V771" s="41">
        <f>IF(AND(H771="Falta",L771=Config!$B$7,M771=Config!$B$5,COUNTIFS($E$5:E771,E771,$H$5:H771,"Falta",$L$5:L771,Config!$B$7,$M$5:M771,Config!$B$5)=1),COUNTIFS($E$5:$E$3004,E771,$H$5:$H$3004,"Falta",$L$5:$L$3004,Config!$B$7,$M$5:$M$3004,Config!$B$5)*1000-ROW()/100000,0)</f>
        <v>0</v>
      </c>
    </row>
    <row r="772">
      <c r="A772" s="39" t="n">
        <v>46252</v>
      </c>
      <c r="B772" s="40" t="n">
        <v>0.4305555555555556</v>
      </c>
      <c r="C772" s="35" t="inlineStr">
        <is>
          <t>Dra. Carolina Mendes</t>
        </is>
      </c>
      <c r="D772" s="35" t="inlineStr">
        <is>
          <t>Sala 1</t>
        </is>
      </c>
      <c r="E772" s="34" t="inlineStr">
        <is>
          <t>Priscila Carvalho</t>
        </is>
      </c>
      <c r="F772" s="35" t="inlineStr">
        <is>
          <t>Vida Care</t>
        </is>
      </c>
      <c r="G772" s="35" t="inlineStr">
        <is>
          <t>Consulta</t>
        </is>
      </c>
      <c r="H772" s="35" t="inlineStr">
        <is>
          <t>Realizado</t>
        </is>
      </c>
      <c r="I772" s="35" t="inlineStr">
        <is>
          <t>Convênio</t>
        </is>
      </c>
      <c r="J772" s="35" t="n"/>
      <c r="K772" s="34" t="n"/>
      <c r="L772" s="26">
        <f>IF(A772="","",MONTH(A772))</f>
        <v>8</v>
      </c>
      <c r="M772" s="26">
        <f>IF(A772="","",YEAR(A772))</f>
        <v>2026</v>
      </c>
      <c r="N772" s="26" t="str">
        <f>IF(A772="","",CHOOSE(WEEKDAY(A772,2),"Segunda","Terça","Quarta","Quinta","Sexta","Sábado","Domingo"))</f>
        <v>Terça</v>
      </c>
      <c r="O772" s="26" t="str">
        <f>IF(B772="","",IF(B772&lt;TIME(12,0,0),"Manhã",IF(B772&lt;TIME(18,0,0),"Tarde","Noite")))</f>
        <v>Manhã</v>
      </c>
      <c r="P772" s="32">
        <f>IF(G772="","",IFERROR(INDEX(Config!$I$5:$I$16,MATCH(G772,Config!$H$5:$H$16,0)),0))</f>
        <v>30</v>
      </c>
      <c r="Q772" s="30">
        <f>IF(OR(H772&lt;&gt;"Realizado",P772="",P772=0),"",A772+P772)</f>
        <v>46282.0</v>
      </c>
      <c r="R772" s="26" t="str">
        <f>IF(Q772="","",IF(COUNTIFS($E$5:$E$3004,E772,$A$5:$A$3004,"&gt;"&amp;A772,$H$5:$H$3004,"&lt;&gt;Falta",$H$5:$H$3004,"&lt;&gt;Cancelado",$H$5:$H$3004,"&lt;&gt;Remarcado")&gt;0,"Sim","Não"))</f>
        <v>Sim</v>
      </c>
      <c r="S772" s="32">
        <f>IF(R772&lt;&gt;"Não","",IF(Q772+Config!$B$9&lt;=Config!$B$8,Config!$B$8-Q772,""))</f>
        <v/>
      </c>
      <c r="T772" s="26">
        <f>IF(S772="","","Sim")</f>
        <v/>
      </c>
      <c r="U772" s="41">
        <f>IF(T772="Sim",S772+ROW()/100000,0)</f>
        <v>0</v>
      </c>
      <c r="V772" s="41">
        <f>IF(AND(H772="Falta",L772=Config!$B$7,M772=Config!$B$5,COUNTIFS($E$5:E772,E772,$H$5:H772,"Falta",$L$5:L772,Config!$B$7,$M$5:M772,Config!$B$5)=1),COUNTIFS($E$5:$E$3004,E772,$H$5:$H$3004,"Falta",$L$5:$L$3004,Config!$B$7,$M$5:$M$3004,Config!$B$5)*1000-ROW()/100000,0)</f>
        <v>0</v>
      </c>
    </row>
    <row r="773">
      <c r="A773" s="39" t="n">
        <v>46252</v>
      </c>
      <c r="B773" s="40" t="n">
        <v>0.4513888888888889</v>
      </c>
      <c r="C773" s="35" t="inlineStr">
        <is>
          <t>Dra. Carolina Mendes</t>
        </is>
      </c>
      <c r="D773" s="35" t="inlineStr">
        <is>
          <t>Sala 1</t>
        </is>
      </c>
      <c r="E773" s="34" t="inlineStr">
        <is>
          <t>Gustavo Barbosa</t>
        </is>
      </c>
      <c r="F773" s="35" t="inlineStr">
        <is>
          <t>Saúde Total</t>
        </is>
      </c>
      <c r="G773" s="35" t="inlineStr">
        <is>
          <t>Consulta</t>
        </is>
      </c>
      <c r="H773" s="35" t="inlineStr">
        <is>
          <t>Realizado</t>
        </is>
      </c>
      <c r="I773" s="35" t="inlineStr">
        <is>
          <t>Convênio</t>
        </is>
      </c>
      <c r="J773" s="35" t="n"/>
      <c r="K773" s="34" t="n"/>
      <c r="L773" s="26">
        <f>IF(A773="","",MONTH(A773))</f>
        <v>8</v>
      </c>
      <c r="M773" s="26">
        <f>IF(A773="","",YEAR(A773))</f>
        <v>2026</v>
      </c>
      <c r="N773" s="26" t="str">
        <f>IF(A773="","",CHOOSE(WEEKDAY(A773,2),"Segunda","Terça","Quarta","Quinta","Sexta","Sábado","Domingo"))</f>
        <v>Terça</v>
      </c>
      <c r="O773" s="26" t="str">
        <f>IF(B773="","",IF(B773&lt;TIME(12,0,0),"Manhã",IF(B773&lt;TIME(18,0,0),"Tarde","Noite")))</f>
        <v>Manhã</v>
      </c>
      <c r="P773" s="32">
        <f>IF(G773="","",IFERROR(INDEX(Config!$I$5:$I$16,MATCH(G773,Config!$H$5:$H$16,0)),0))</f>
        <v>30</v>
      </c>
      <c r="Q773" s="30">
        <f>IF(OR(H773&lt;&gt;"Realizado",P773="",P773=0),"",A773+P773)</f>
        <v>46282.0</v>
      </c>
      <c r="R773" s="26" t="str">
        <f>IF(Q773="","",IF(COUNTIFS($E$5:$E$3004,E773,$A$5:$A$3004,"&gt;"&amp;A773,$H$5:$H$3004,"&lt;&gt;Falta",$H$5:$H$3004,"&lt;&gt;Cancelado",$H$5:$H$3004,"&lt;&gt;Remarcado")&gt;0,"Sim","Não"))</f>
        <v>Sim</v>
      </c>
      <c r="S773" s="32">
        <f>IF(R773&lt;&gt;"Não","",IF(Q773+Config!$B$9&lt;=Config!$B$8,Config!$B$8-Q773,""))</f>
        <v/>
      </c>
      <c r="T773" s="26">
        <f>IF(S773="","","Sim")</f>
        <v/>
      </c>
      <c r="U773" s="41">
        <f>IF(T773="Sim",S773+ROW()/100000,0)</f>
        <v>0</v>
      </c>
      <c r="V773" s="41">
        <f>IF(AND(H773="Falta",L773=Config!$B$7,M773=Config!$B$5,COUNTIFS($E$5:E773,E773,$H$5:H773,"Falta",$L$5:L773,Config!$B$7,$M$5:M773,Config!$B$5)=1),COUNTIFS($E$5:$E$3004,E773,$H$5:$H$3004,"Falta",$L$5:$L$3004,Config!$B$7,$M$5:$M$3004,Config!$B$5)*1000-ROW()/100000,0)</f>
        <v>0</v>
      </c>
    </row>
    <row r="774">
      <c r="A774" s="39" t="n">
        <v>46252</v>
      </c>
      <c r="B774" s="40" t="n">
        <v>0.4722222222222222</v>
      </c>
      <c r="C774" s="35" t="inlineStr">
        <is>
          <t>Dra. Carolina Mendes</t>
        </is>
      </c>
      <c r="D774" s="35" t="inlineStr">
        <is>
          <t>Sala 1</t>
        </is>
      </c>
      <c r="E774" s="34" t="inlineStr">
        <is>
          <t>Rodrigo Moreira</t>
        </is>
      </c>
      <c r="F774" s="35" t="inlineStr">
        <is>
          <t>Particular</t>
        </is>
      </c>
      <c r="G774" s="35" t="inlineStr">
        <is>
          <t>Consulta</t>
        </is>
      </c>
      <c r="H774" s="35" t="inlineStr">
        <is>
          <t>Realizado</t>
        </is>
      </c>
      <c r="I774" s="35" t="inlineStr">
        <is>
          <t>Cartão de crédito</t>
        </is>
      </c>
      <c r="J774" s="35" t="n">
        <v>2</v>
      </c>
      <c r="K774" s="34" t="n"/>
      <c r="L774" s="26">
        <f>IF(A774="","",MONTH(A774))</f>
        <v>8</v>
      </c>
      <c r="M774" s="26">
        <f>IF(A774="","",YEAR(A774))</f>
        <v>2026</v>
      </c>
      <c r="N774" s="26" t="str">
        <f>IF(A774="","",CHOOSE(WEEKDAY(A774,2),"Segunda","Terça","Quarta","Quinta","Sexta","Sábado","Domingo"))</f>
        <v>Terça</v>
      </c>
      <c r="O774" s="26" t="str">
        <f>IF(B774="","",IF(B774&lt;TIME(12,0,0),"Manhã",IF(B774&lt;TIME(18,0,0),"Tarde","Noite")))</f>
        <v>Manhã</v>
      </c>
      <c r="P774" s="32">
        <f>IF(G774="","",IFERROR(INDEX(Config!$I$5:$I$16,MATCH(G774,Config!$H$5:$H$16,0)),0))</f>
        <v>30</v>
      </c>
      <c r="Q774" s="30">
        <f>IF(OR(H774&lt;&gt;"Realizado",P774="",P774=0),"",A774+P774)</f>
        <v>46282.0</v>
      </c>
      <c r="R774" s="26" t="str">
        <f>IF(Q774="","",IF(COUNTIFS($E$5:$E$3004,E774,$A$5:$A$3004,"&gt;"&amp;A774,$H$5:$H$3004,"&lt;&gt;Falta",$H$5:$H$3004,"&lt;&gt;Cancelado",$H$5:$H$3004,"&lt;&gt;Remarcado")&gt;0,"Sim","Não"))</f>
        <v>Sim</v>
      </c>
      <c r="S774" s="32">
        <f>IF(R774&lt;&gt;"Não","",IF(Q774+Config!$B$9&lt;=Config!$B$8,Config!$B$8-Q774,""))</f>
        <v/>
      </c>
      <c r="T774" s="26">
        <f>IF(S774="","","Sim")</f>
        <v/>
      </c>
      <c r="U774" s="41">
        <f>IF(T774="Sim",S774+ROW()/100000,0)</f>
        <v>0</v>
      </c>
      <c r="V774" s="41">
        <f>IF(AND(H774="Falta",L774=Config!$B$7,M774=Config!$B$5,COUNTIFS($E$5:E774,E774,$H$5:H774,"Falta",$L$5:L774,Config!$B$7,$M$5:M774,Config!$B$5)=1),COUNTIFS($E$5:$E$3004,E774,$H$5:$H$3004,"Falta",$L$5:$L$3004,Config!$B$7,$M$5:$M$3004,Config!$B$5)*1000-ROW()/100000,0)</f>
        <v>0</v>
      </c>
    </row>
    <row r="775">
      <c r="A775" s="39" t="n">
        <v>46252</v>
      </c>
      <c r="B775" s="40" t="n">
        <v>0.5833333333333334</v>
      </c>
      <c r="C775" s="35" t="inlineStr">
        <is>
          <t>Dra. Renata Sousa</t>
        </is>
      </c>
      <c r="D775" s="35" t="inlineStr">
        <is>
          <t>Sala 1</t>
        </is>
      </c>
      <c r="E775" s="34" t="inlineStr">
        <is>
          <t>Gustavo Carvalho</t>
        </is>
      </c>
      <c r="F775" s="35" t="inlineStr">
        <is>
          <t>Particular</t>
        </is>
      </c>
      <c r="G775" s="35" t="inlineStr">
        <is>
          <t>Retorno</t>
        </is>
      </c>
      <c r="H775" s="35" t="inlineStr">
        <is>
          <t>Realizado</t>
        </is>
      </c>
      <c r="I775" s="35" t="inlineStr">
        <is>
          <t>Sem cobrança</t>
        </is>
      </c>
      <c r="J775" s="35" t="n"/>
      <c r="K775" s="34" t="n"/>
      <c r="L775" s="26">
        <f>IF(A775="","",MONTH(A775))</f>
        <v>8</v>
      </c>
      <c r="M775" s="26">
        <f>IF(A775="","",YEAR(A775))</f>
        <v>2026</v>
      </c>
      <c r="N775" s="26" t="str">
        <f>IF(A775="","",CHOOSE(WEEKDAY(A775,2),"Segunda","Terça","Quarta","Quinta","Sexta","Sábado","Domingo"))</f>
        <v>Terça</v>
      </c>
      <c r="O775" s="26" t="str">
        <f>IF(B775="","",IF(B775&lt;TIME(12,0,0),"Manhã",IF(B775&lt;TIME(18,0,0),"Tarde","Noite")))</f>
        <v>Tarde</v>
      </c>
      <c r="P775" s="32">
        <f>IF(G775="","",IFERROR(INDEX(Config!$I$5:$I$16,MATCH(G775,Config!$H$5:$H$16,0)),0))</f>
        <v>0</v>
      </c>
      <c r="Q775" s="30">
        <f>IF(OR(H775&lt;&gt;"Realizado",P775="",P775=0),"",A775+P775)</f>
        <v/>
      </c>
      <c r="R775" s="26">
        <f>IF(Q775="","",IF(COUNTIFS($E$5:$E$3004,E775,$A$5:$A$3004,"&gt;"&amp;A775,$H$5:$H$3004,"&lt;&gt;Falta",$H$5:$H$3004,"&lt;&gt;Cancelado",$H$5:$H$3004,"&lt;&gt;Remarcado")&gt;0,"Sim","Não"))</f>
        <v/>
      </c>
      <c r="S775" s="32">
        <f>IF(R775&lt;&gt;"Não","",IF(Q775+Config!$B$9&lt;=Config!$B$8,Config!$B$8-Q775,""))</f>
        <v/>
      </c>
      <c r="T775" s="26">
        <f>IF(S775="","","Sim")</f>
        <v/>
      </c>
      <c r="U775" s="41">
        <f>IF(T775="Sim",S775+ROW()/100000,0)</f>
        <v>0</v>
      </c>
      <c r="V775" s="41">
        <f>IF(AND(H775="Falta",L775=Config!$B$7,M775=Config!$B$5,COUNTIFS($E$5:E775,E775,$H$5:H775,"Falta",$L$5:L775,Config!$B$7,$M$5:M775,Config!$B$5)=1),COUNTIFS($E$5:$E$3004,E775,$H$5:$H$3004,"Falta",$L$5:$L$3004,Config!$B$7,$M$5:$M$3004,Config!$B$5)*1000-ROW()/100000,0)</f>
        <v>0</v>
      </c>
    </row>
    <row r="776">
      <c r="A776" s="39" t="n">
        <v>46252</v>
      </c>
      <c r="B776" s="40" t="n">
        <v>0.5833333333333334</v>
      </c>
      <c r="C776" s="35" t="inlineStr">
        <is>
          <t>Dr. Paulo Andrade</t>
        </is>
      </c>
      <c r="D776" s="35" t="inlineStr">
        <is>
          <t>Sala 2</t>
        </is>
      </c>
      <c r="E776" s="34" t="inlineStr">
        <is>
          <t>Tatiana Cunha</t>
        </is>
      </c>
      <c r="F776" s="35" t="inlineStr">
        <is>
          <t>Saúde Total</t>
        </is>
      </c>
      <c r="G776" s="35" t="inlineStr">
        <is>
          <t>ECG</t>
        </is>
      </c>
      <c r="H776" s="35" t="inlineStr">
        <is>
          <t>Realizado</t>
        </is>
      </c>
      <c r="I776" s="35" t="inlineStr">
        <is>
          <t>Convênio</t>
        </is>
      </c>
      <c r="J776" s="35" t="n"/>
      <c r="K776" s="34" t="n"/>
      <c r="L776" s="26">
        <f>IF(A776="","",MONTH(A776))</f>
        <v>8</v>
      </c>
      <c r="M776" s="26">
        <f>IF(A776="","",YEAR(A776))</f>
        <v>2026</v>
      </c>
      <c r="N776" s="26" t="str">
        <f>IF(A776="","",CHOOSE(WEEKDAY(A776,2),"Segunda","Terça","Quarta","Quinta","Sexta","Sábado","Domingo"))</f>
        <v>Terça</v>
      </c>
      <c r="O776" s="26" t="str">
        <f>IF(B776="","",IF(B776&lt;TIME(12,0,0),"Manhã",IF(B776&lt;TIME(18,0,0),"Tarde","Noite")))</f>
        <v>Tarde</v>
      </c>
      <c r="P776" s="32">
        <f>IF(G776="","",IFERROR(INDEX(Config!$I$5:$I$16,MATCH(G776,Config!$H$5:$H$16,0)),0))</f>
        <v>0</v>
      </c>
      <c r="Q776" s="30">
        <f>IF(OR(H776&lt;&gt;"Realizado",P776="",P776=0),"",A776+P776)</f>
        <v/>
      </c>
      <c r="R776" s="26">
        <f>IF(Q776="","",IF(COUNTIFS($E$5:$E$3004,E776,$A$5:$A$3004,"&gt;"&amp;A776,$H$5:$H$3004,"&lt;&gt;Falta",$H$5:$H$3004,"&lt;&gt;Cancelado",$H$5:$H$3004,"&lt;&gt;Remarcado")&gt;0,"Sim","Não"))</f>
        <v/>
      </c>
      <c r="S776" s="32">
        <f>IF(R776&lt;&gt;"Não","",IF(Q776+Config!$B$9&lt;=Config!$B$8,Config!$B$8-Q776,""))</f>
        <v/>
      </c>
      <c r="T776" s="26">
        <f>IF(S776="","","Sim")</f>
        <v/>
      </c>
      <c r="U776" s="41">
        <f>IF(T776="Sim",S776+ROW()/100000,0)</f>
        <v>0</v>
      </c>
      <c r="V776" s="41">
        <f>IF(AND(H776="Falta",L776=Config!$B$7,M776=Config!$B$5,COUNTIFS($E$5:E776,E776,$H$5:H776,"Falta",$L$5:L776,Config!$B$7,$M$5:M776,Config!$B$5)=1),COUNTIFS($E$5:$E$3004,E776,$H$5:$H$3004,"Falta",$L$5:$L$3004,Config!$B$7,$M$5:$M$3004,Config!$B$5)*1000-ROW()/100000,0)</f>
        <v>0</v>
      </c>
    </row>
    <row r="777">
      <c r="A777" s="39" t="n">
        <v>46252</v>
      </c>
      <c r="B777" s="40" t="n">
        <v>0.5972222222222222</v>
      </c>
      <c r="C777" s="35" t="inlineStr">
        <is>
          <t>Dra. Renata Sousa</t>
        </is>
      </c>
      <c r="D777" s="35" t="inlineStr">
        <is>
          <t>Sala 1</t>
        </is>
      </c>
      <c r="E777" s="34" t="inlineStr">
        <is>
          <t>Gabriel Lopes</t>
        </is>
      </c>
      <c r="F777" s="35" t="inlineStr">
        <is>
          <t>Saúde Total</t>
        </is>
      </c>
      <c r="G777" s="35" t="inlineStr">
        <is>
          <t>Retorno</t>
        </is>
      </c>
      <c r="H777" s="35" t="inlineStr">
        <is>
          <t>Realizado</t>
        </is>
      </c>
      <c r="I777" s="35" t="inlineStr">
        <is>
          <t>Sem cobrança</t>
        </is>
      </c>
      <c r="J777" s="35" t="n"/>
      <c r="K777" s="34" t="n"/>
      <c r="L777" s="26">
        <f>IF(A777="","",MONTH(A777))</f>
        <v>8</v>
      </c>
      <c r="M777" s="26">
        <f>IF(A777="","",YEAR(A777))</f>
        <v>2026</v>
      </c>
      <c r="N777" s="26" t="str">
        <f>IF(A777="","",CHOOSE(WEEKDAY(A777,2),"Segunda","Terça","Quarta","Quinta","Sexta","Sábado","Domingo"))</f>
        <v>Terça</v>
      </c>
      <c r="O777" s="26" t="str">
        <f>IF(B777="","",IF(B777&lt;TIME(12,0,0),"Manhã",IF(B777&lt;TIME(18,0,0),"Tarde","Noite")))</f>
        <v>Tarde</v>
      </c>
      <c r="P777" s="32">
        <f>IF(G777="","",IFERROR(INDEX(Config!$I$5:$I$16,MATCH(G777,Config!$H$5:$H$16,0)),0))</f>
        <v>0</v>
      </c>
      <c r="Q777" s="30">
        <f>IF(OR(H777&lt;&gt;"Realizado",P777="",P777=0),"",A777+P777)</f>
        <v/>
      </c>
      <c r="R777" s="26">
        <f>IF(Q777="","",IF(COUNTIFS($E$5:$E$3004,E777,$A$5:$A$3004,"&gt;"&amp;A777,$H$5:$H$3004,"&lt;&gt;Falta",$H$5:$H$3004,"&lt;&gt;Cancelado",$H$5:$H$3004,"&lt;&gt;Remarcado")&gt;0,"Sim","Não"))</f>
        <v/>
      </c>
      <c r="S777" s="32">
        <f>IF(R777&lt;&gt;"Não","",IF(Q777+Config!$B$9&lt;=Config!$B$8,Config!$B$8-Q777,""))</f>
        <v/>
      </c>
      <c r="T777" s="26">
        <f>IF(S777="","","Sim")</f>
        <v/>
      </c>
      <c r="U777" s="41">
        <f>IF(T777="Sim",S777+ROW()/100000,0)</f>
        <v>0</v>
      </c>
      <c r="V777" s="41">
        <f>IF(AND(H777="Falta",L777=Config!$B$7,M777=Config!$B$5,COUNTIFS($E$5:E777,E777,$H$5:H777,"Falta",$L$5:L777,Config!$B$7,$M$5:M777,Config!$B$5)=1),COUNTIFS($E$5:$E$3004,E777,$H$5:$H$3004,"Falta",$L$5:$L$3004,Config!$B$7,$M$5:$M$3004,Config!$B$5)*1000-ROW()/100000,0)</f>
        <v>0</v>
      </c>
    </row>
    <row r="778">
      <c r="A778" s="39" t="n">
        <v>46252</v>
      </c>
      <c r="B778" s="40" t="n">
        <v>0.5972222222222222</v>
      </c>
      <c r="C778" s="35" t="inlineStr">
        <is>
          <t>Dr. Paulo Andrade</t>
        </is>
      </c>
      <c r="D778" s="35" t="inlineStr">
        <is>
          <t>Sala 2</t>
        </is>
      </c>
      <c r="E778" s="34" t="inlineStr">
        <is>
          <t>Patrícia Vieira</t>
        </is>
      </c>
      <c r="F778" s="35" t="inlineStr">
        <is>
          <t>Saúde Total</t>
        </is>
      </c>
      <c r="G778" s="35" t="inlineStr">
        <is>
          <t>Retorno</t>
        </is>
      </c>
      <c r="H778" s="35" t="inlineStr">
        <is>
          <t>Falta</t>
        </is>
      </c>
      <c r="I778" s="35" t="n"/>
      <c r="J778" s="35" t="n"/>
      <c r="K778" s="34" t="n"/>
      <c r="L778" s="26">
        <f>IF(A778="","",MONTH(A778))</f>
        <v>8</v>
      </c>
      <c r="M778" s="26">
        <f>IF(A778="","",YEAR(A778))</f>
        <v>2026</v>
      </c>
      <c r="N778" s="26" t="str">
        <f>IF(A778="","",CHOOSE(WEEKDAY(A778,2),"Segunda","Terça","Quarta","Quinta","Sexta","Sábado","Domingo"))</f>
        <v>Terça</v>
      </c>
      <c r="O778" s="26" t="str">
        <f>IF(B778="","",IF(B778&lt;TIME(12,0,0),"Manhã",IF(B778&lt;TIME(18,0,0),"Tarde","Noite")))</f>
        <v>Tarde</v>
      </c>
      <c r="P778" s="32">
        <f>IF(G778="","",IFERROR(INDEX(Config!$I$5:$I$16,MATCH(G778,Config!$H$5:$H$16,0)),0))</f>
        <v>0</v>
      </c>
      <c r="Q778" s="30">
        <f>IF(OR(H778&lt;&gt;"Realizado",P778="",P778=0),"",A778+P778)</f>
        <v/>
      </c>
      <c r="R778" s="26">
        <f>IF(Q778="","",IF(COUNTIFS($E$5:$E$3004,E778,$A$5:$A$3004,"&gt;"&amp;A778,$H$5:$H$3004,"&lt;&gt;Falta",$H$5:$H$3004,"&lt;&gt;Cancelado",$H$5:$H$3004,"&lt;&gt;Remarcado")&gt;0,"Sim","Não"))</f>
        <v/>
      </c>
      <c r="S778" s="32">
        <f>IF(R778&lt;&gt;"Não","",IF(Q778+Config!$B$9&lt;=Config!$B$8,Config!$B$8-Q778,""))</f>
        <v/>
      </c>
      <c r="T778" s="26">
        <f>IF(S778="","","Sim")</f>
        <v/>
      </c>
      <c r="U778" s="41">
        <f>IF(T778="Sim",S778+ROW()/100000,0)</f>
        <v>0</v>
      </c>
      <c r="V778" s="41">
        <f>IF(AND(H778="Falta",L778=Config!$B$7,M778=Config!$B$5,COUNTIFS($E$5:E778,E778,$H$5:H778,"Falta",$L$5:L778,Config!$B$7,$M$5:M778,Config!$B$5)=1),COUNTIFS($E$5:$E$3004,E778,$H$5:$H$3004,"Falta",$L$5:$L$3004,Config!$B$7,$M$5:$M$3004,Config!$B$5)*1000-ROW()/100000,0)</f>
        <v>0</v>
      </c>
    </row>
    <row r="779">
      <c r="A779" s="39" t="n">
        <v>46252</v>
      </c>
      <c r="B779" s="40" t="n">
        <v>0.6319444444444444</v>
      </c>
      <c r="C779" s="35" t="inlineStr">
        <is>
          <t>Dra. Renata Sousa</t>
        </is>
      </c>
      <c r="D779" s="35" t="inlineStr">
        <is>
          <t>Sala 1</t>
        </is>
      </c>
      <c r="E779" s="34" t="inlineStr">
        <is>
          <t>Carlos Gomes</t>
        </is>
      </c>
      <c r="F779" s="35" t="inlineStr">
        <is>
          <t>Saúde Total</t>
        </is>
      </c>
      <c r="G779" s="35" t="inlineStr">
        <is>
          <t>Avaliação endócrina</t>
        </is>
      </c>
      <c r="H779" s="35" t="inlineStr">
        <is>
          <t>Realizado</t>
        </is>
      </c>
      <c r="I779" s="35" t="inlineStr">
        <is>
          <t>Convênio</t>
        </is>
      </c>
      <c r="J779" s="35" t="n"/>
      <c r="K779" s="34" t="n"/>
      <c r="L779" s="26">
        <f>IF(A779="","",MONTH(A779))</f>
        <v>8</v>
      </c>
      <c r="M779" s="26">
        <f>IF(A779="","",YEAR(A779))</f>
        <v>2026</v>
      </c>
      <c r="N779" s="26" t="str">
        <f>IF(A779="","",CHOOSE(WEEKDAY(A779,2),"Segunda","Terça","Quarta","Quinta","Sexta","Sábado","Domingo"))</f>
        <v>Terça</v>
      </c>
      <c r="O779" s="26" t="str">
        <f>IF(B779="","",IF(B779&lt;TIME(12,0,0),"Manhã",IF(B779&lt;TIME(18,0,0),"Tarde","Noite")))</f>
        <v>Tarde</v>
      </c>
      <c r="P779" s="32">
        <f>IF(G779="","",IFERROR(INDEX(Config!$I$5:$I$16,MATCH(G779,Config!$H$5:$H$16,0)),0))</f>
        <v>45</v>
      </c>
      <c r="Q779" s="30">
        <f>IF(OR(H779&lt;&gt;"Realizado",P779="",P779=0),"",A779+P779)</f>
        <v>46297.0</v>
      </c>
      <c r="R779" s="26" t="str">
        <f>IF(Q779="","",IF(COUNTIFS($E$5:$E$3004,E779,$A$5:$A$3004,"&gt;"&amp;A779,$H$5:$H$3004,"&lt;&gt;Falta",$H$5:$H$3004,"&lt;&gt;Cancelado",$H$5:$H$3004,"&lt;&gt;Remarcado")&gt;0,"Sim","Não"))</f>
        <v>Sim</v>
      </c>
      <c r="S779" s="32">
        <f>IF(R779&lt;&gt;"Não","",IF(Q779+Config!$B$9&lt;=Config!$B$8,Config!$B$8-Q779,""))</f>
        <v/>
      </c>
      <c r="T779" s="26">
        <f>IF(S779="","","Sim")</f>
        <v/>
      </c>
      <c r="U779" s="41">
        <f>IF(T779="Sim",S779+ROW()/100000,0)</f>
        <v>0</v>
      </c>
      <c r="V779" s="41">
        <f>IF(AND(H779="Falta",L779=Config!$B$7,M779=Config!$B$5,COUNTIFS($E$5:E779,E779,$H$5:H779,"Falta",$L$5:L779,Config!$B$7,$M$5:M779,Config!$B$5)=1),COUNTIFS($E$5:$E$3004,E779,$H$5:$H$3004,"Falta",$L$5:$L$3004,Config!$B$7,$M$5:$M$3004,Config!$B$5)*1000-ROW()/100000,0)</f>
        <v>0</v>
      </c>
    </row>
    <row r="780">
      <c r="A780" s="39" t="n">
        <v>46252</v>
      </c>
      <c r="B780" s="40" t="n">
        <v>0.6319444444444444</v>
      </c>
      <c r="C780" s="35" t="inlineStr">
        <is>
          <t>Dr. Paulo Andrade</t>
        </is>
      </c>
      <c r="D780" s="35" t="inlineStr">
        <is>
          <t>Sala 2</t>
        </is>
      </c>
      <c r="E780" s="34" t="inlineStr">
        <is>
          <t>Henrique Santos</t>
        </is>
      </c>
      <c r="F780" s="35" t="inlineStr">
        <is>
          <t>Vida Care</t>
        </is>
      </c>
      <c r="G780" s="35" t="inlineStr">
        <is>
          <t>Consulta</t>
        </is>
      </c>
      <c r="H780" s="35" t="inlineStr">
        <is>
          <t>Remarcado</t>
        </is>
      </c>
      <c r="I780" s="35" t="n"/>
      <c r="J780" s="35" t="n"/>
      <c r="K780" s="34" t="inlineStr">
        <is>
          <t>Paciente pediu outra data</t>
        </is>
      </c>
      <c r="L780" s="26">
        <f>IF(A780="","",MONTH(A780))</f>
        <v>8</v>
      </c>
      <c r="M780" s="26">
        <f>IF(A780="","",YEAR(A780))</f>
        <v>2026</v>
      </c>
      <c r="N780" s="26" t="str">
        <f>IF(A780="","",CHOOSE(WEEKDAY(A780,2),"Segunda","Terça","Quarta","Quinta","Sexta","Sábado","Domingo"))</f>
        <v>Terça</v>
      </c>
      <c r="O780" s="26" t="str">
        <f>IF(B780="","",IF(B780&lt;TIME(12,0,0),"Manhã",IF(B780&lt;TIME(18,0,0),"Tarde","Noite")))</f>
        <v>Tarde</v>
      </c>
      <c r="P780" s="32">
        <f>IF(G780="","",IFERROR(INDEX(Config!$I$5:$I$16,MATCH(G780,Config!$H$5:$H$16,0)),0))</f>
        <v>30</v>
      </c>
      <c r="Q780" s="30">
        <f>IF(OR(H780&lt;&gt;"Realizado",P780="",P780=0),"",A780+P780)</f>
        <v/>
      </c>
      <c r="R780" s="26">
        <f>IF(Q780="","",IF(COUNTIFS($E$5:$E$3004,E780,$A$5:$A$3004,"&gt;"&amp;A780,$H$5:$H$3004,"&lt;&gt;Falta",$H$5:$H$3004,"&lt;&gt;Cancelado",$H$5:$H$3004,"&lt;&gt;Remarcado")&gt;0,"Sim","Não"))</f>
        <v/>
      </c>
      <c r="S780" s="32">
        <f>IF(R780&lt;&gt;"Não","",IF(Q780+Config!$B$9&lt;=Config!$B$8,Config!$B$8-Q780,""))</f>
        <v/>
      </c>
      <c r="T780" s="26">
        <f>IF(S780="","","Sim")</f>
        <v/>
      </c>
      <c r="U780" s="41">
        <f>IF(T780="Sim",S780+ROW()/100000,0)</f>
        <v>0</v>
      </c>
      <c r="V780" s="41">
        <f>IF(AND(H780="Falta",L780=Config!$B$7,M780=Config!$B$5,COUNTIFS($E$5:E780,E780,$H$5:H780,"Falta",$L$5:L780,Config!$B$7,$M$5:M780,Config!$B$5)=1),COUNTIFS($E$5:$E$3004,E780,$H$5:$H$3004,"Falta",$L$5:$L$3004,Config!$B$7,$M$5:$M$3004,Config!$B$5)*1000-ROW()/100000,0)</f>
        <v>0</v>
      </c>
    </row>
    <row r="781">
      <c r="A781" s="39" t="n">
        <v>46252</v>
      </c>
      <c r="B781" s="40" t="n">
        <v>0.6527777777777778</v>
      </c>
      <c r="C781" s="35" t="inlineStr">
        <is>
          <t>Dr. Paulo Andrade</t>
        </is>
      </c>
      <c r="D781" s="35" t="inlineStr">
        <is>
          <t>Sala 2</t>
        </is>
      </c>
      <c r="E781" s="34" t="inlineStr">
        <is>
          <t>Leandro Cardoso</t>
        </is>
      </c>
      <c r="F781" s="35" t="inlineStr">
        <is>
          <t>MediPlan</t>
        </is>
      </c>
      <c r="G781" s="35" t="inlineStr">
        <is>
          <t>Consulta</t>
        </is>
      </c>
      <c r="H781" s="35" t="inlineStr">
        <is>
          <t>Realizado</t>
        </is>
      </c>
      <c r="I781" s="35" t="inlineStr">
        <is>
          <t>Convênio</t>
        </is>
      </c>
      <c r="J781" s="35" t="n"/>
      <c r="K781" s="34" t="n"/>
      <c r="L781" s="26">
        <f>IF(A781="","",MONTH(A781))</f>
        <v>8</v>
      </c>
      <c r="M781" s="26">
        <f>IF(A781="","",YEAR(A781))</f>
        <v>2026</v>
      </c>
      <c r="N781" s="26" t="str">
        <f>IF(A781="","",CHOOSE(WEEKDAY(A781,2),"Segunda","Terça","Quarta","Quinta","Sexta","Sábado","Domingo"))</f>
        <v>Terça</v>
      </c>
      <c r="O781" s="26" t="str">
        <f>IF(B781="","",IF(B781&lt;TIME(12,0,0),"Manhã",IF(B781&lt;TIME(18,0,0),"Tarde","Noite")))</f>
        <v>Tarde</v>
      </c>
      <c r="P781" s="32">
        <f>IF(G781="","",IFERROR(INDEX(Config!$I$5:$I$16,MATCH(G781,Config!$H$5:$H$16,0)),0))</f>
        <v>30</v>
      </c>
      <c r="Q781" s="30">
        <f>IF(OR(H781&lt;&gt;"Realizado",P781="",P781=0),"",A781+P781)</f>
        <v>46282.0</v>
      </c>
      <c r="R781" s="26" t="str">
        <f>IF(Q781="","",IF(COUNTIFS($E$5:$E$3004,E781,$A$5:$A$3004,"&gt;"&amp;A781,$H$5:$H$3004,"&lt;&gt;Falta",$H$5:$H$3004,"&lt;&gt;Cancelado",$H$5:$H$3004,"&lt;&gt;Remarcado")&gt;0,"Sim","Não"))</f>
        <v>Sim</v>
      </c>
      <c r="S781" s="32">
        <f>IF(R781&lt;&gt;"Não","",IF(Q781+Config!$B$9&lt;=Config!$B$8,Config!$B$8-Q781,""))</f>
        <v/>
      </c>
      <c r="T781" s="26">
        <f>IF(S781="","","Sim")</f>
        <v/>
      </c>
      <c r="U781" s="41">
        <f>IF(T781="Sim",S781+ROW()/100000,0)</f>
        <v>0</v>
      </c>
      <c r="V781" s="41">
        <f>IF(AND(H781="Falta",L781=Config!$B$7,M781=Config!$B$5,COUNTIFS($E$5:E781,E781,$H$5:H781,"Falta",$L$5:L781,Config!$B$7,$M$5:M781,Config!$B$5)=1),COUNTIFS($E$5:$E$3004,E781,$H$5:$H$3004,"Falta",$L$5:$L$3004,Config!$B$7,$M$5:$M$3004,Config!$B$5)*1000-ROW()/100000,0)</f>
        <v>0</v>
      </c>
    </row>
    <row r="782">
      <c r="A782" s="39" t="n">
        <v>46252</v>
      </c>
      <c r="B782" s="40" t="n">
        <v>0.6597222222222222</v>
      </c>
      <c r="C782" s="35" t="inlineStr">
        <is>
          <t>Dra. Renata Sousa</t>
        </is>
      </c>
      <c r="D782" s="35" t="inlineStr">
        <is>
          <t>Sala 1</t>
        </is>
      </c>
      <c r="E782" s="34" t="inlineStr">
        <is>
          <t>Mariana Reis</t>
        </is>
      </c>
      <c r="F782" s="35" t="inlineStr">
        <is>
          <t>Particular</t>
        </is>
      </c>
      <c r="G782" s="35" t="inlineStr">
        <is>
          <t>Avaliação endócrina</t>
        </is>
      </c>
      <c r="H782" s="35" t="inlineStr">
        <is>
          <t>Realizado</t>
        </is>
      </c>
      <c r="I782" s="35" t="inlineStr">
        <is>
          <t>Pix</t>
        </is>
      </c>
      <c r="J782" s="35" t="n"/>
      <c r="K782" s="34" t="n"/>
      <c r="L782" s="26">
        <f>IF(A782="","",MONTH(A782))</f>
        <v>8</v>
      </c>
      <c r="M782" s="26">
        <f>IF(A782="","",YEAR(A782))</f>
        <v>2026</v>
      </c>
      <c r="N782" s="26" t="str">
        <f>IF(A782="","",CHOOSE(WEEKDAY(A782,2),"Segunda","Terça","Quarta","Quinta","Sexta","Sábado","Domingo"))</f>
        <v>Terça</v>
      </c>
      <c r="O782" s="26" t="str">
        <f>IF(B782="","",IF(B782&lt;TIME(12,0,0),"Manhã",IF(B782&lt;TIME(18,0,0),"Tarde","Noite")))</f>
        <v>Tarde</v>
      </c>
      <c r="P782" s="32">
        <f>IF(G782="","",IFERROR(INDEX(Config!$I$5:$I$16,MATCH(G782,Config!$H$5:$H$16,0)),0))</f>
        <v>45</v>
      </c>
      <c r="Q782" s="30">
        <f>IF(OR(H782&lt;&gt;"Realizado",P782="",P782=0),"",A782+P782)</f>
        <v>46297.0</v>
      </c>
      <c r="R782" s="26" t="str">
        <f>IF(Q782="","",IF(COUNTIFS($E$5:$E$3004,E782,$A$5:$A$3004,"&gt;"&amp;A782,$H$5:$H$3004,"&lt;&gt;Falta",$H$5:$H$3004,"&lt;&gt;Cancelado",$H$5:$H$3004,"&lt;&gt;Remarcado")&gt;0,"Sim","Não"))</f>
        <v>Sim</v>
      </c>
      <c r="S782" s="32">
        <f>IF(R782&lt;&gt;"Não","",IF(Q782+Config!$B$9&lt;=Config!$B$8,Config!$B$8-Q782,""))</f>
        <v/>
      </c>
      <c r="T782" s="26">
        <f>IF(S782="","","Sim")</f>
        <v/>
      </c>
      <c r="U782" s="41">
        <f>IF(T782="Sim",S782+ROW()/100000,0)</f>
        <v>0</v>
      </c>
      <c r="V782" s="41">
        <f>IF(AND(H782="Falta",L782=Config!$B$7,M782=Config!$B$5,COUNTIFS($E$5:E782,E782,$H$5:H782,"Falta",$L$5:L782,Config!$B$7,$M$5:M782,Config!$B$5)=1),COUNTIFS($E$5:$E$3004,E782,$H$5:$H$3004,"Falta",$L$5:$L$3004,Config!$B$7,$M$5:$M$3004,Config!$B$5)*1000-ROW()/100000,0)</f>
        <v>0</v>
      </c>
    </row>
    <row r="783">
      <c r="A783" s="39" t="n">
        <v>46252</v>
      </c>
      <c r="B783" s="40" t="n">
        <v>0.6736111111111112</v>
      </c>
      <c r="C783" s="35" t="inlineStr">
        <is>
          <t>Dr. Paulo Andrade</t>
        </is>
      </c>
      <c r="D783" s="35" t="inlineStr">
        <is>
          <t>Sala 2</t>
        </is>
      </c>
      <c r="E783" s="34" t="inlineStr">
        <is>
          <t>Fábio Correia</t>
        </is>
      </c>
      <c r="F783" s="35" t="inlineStr">
        <is>
          <t>Particular</t>
        </is>
      </c>
      <c r="G783" s="35" t="inlineStr">
        <is>
          <t>Consulta</t>
        </is>
      </c>
      <c r="H783" s="35" t="inlineStr">
        <is>
          <t>Realizado</t>
        </is>
      </c>
      <c r="I783" s="35" t="inlineStr">
        <is>
          <t>Pix</t>
        </is>
      </c>
      <c r="J783" s="35" t="n"/>
      <c r="K783" s="34" t="n"/>
      <c r="L783" s="26">
        <f>IF(A783="","",MONTH(A783))</f>
        <v>8</v>
      </c>
      <c r="M783" s="26">
        <f>IF(A783="","",YEAR(A783))</f>
        <v>2026</v>
      </c>
      <c r="N783" s="26" t="str">
        <f>IF(A783="","",CHOOSE(WEEKDAY(A783,2),"Segunda","Terça","Quarta","Quinta","Sexta","Sábado","Domingo"))</f>
        <v>Terça</v>
      </c>
      <c r="O783" s="26" t="str">
        <f>IF(B783="","",IF(B783&lt;TIME(12,0,0),"Manhã",IF(B783&lt;TIME(18,0,0),"Tarde","Noite")))</f>
        <v>Tarde</v>
      </c>
      <c r="P783" s="32">
        <f>IF(G783="","",IFERROR(INDEX(Config!$I$5:$I$16,MATCH(G783,Config!$H$5:$H$16,0)),0))</f>
        <v>30</v>
      </c>
      <c r="Q783" s="30">
        <f>IF(OR(H783&lt;&gt;"Realizado",P783="",P783=0),"",A783+P783)</f>
        <v>46282.0</v>
      </c>
      <c r="R783" s="26" t="str">
        <f>IF(Q783="","",IF(COUNTIFS($E$5:$E$3004,E783,$A$5:$A$3004,"&gt;"&amp;A783,$H$5:$H$3004,"&lt;&gt;Falta",$H$5:$H$3004,"&lt;&gt;Cancelado",$H$5:$H$3004,"&lt;&gt;Remarcado")&gt;0,"Sim","Não"))</f>
        <v>Sim</v>
      </c>
      <c r="S783" s="32">
        <f>IF(R783&lt;&gt;"Não","",IF(Q783+Config!$B$9&lt;=Config!$B$8,Config!$B$8-Q783,""))</f>
        <v/>
      </c>
      <c r="T783" s="26">
        <f>IF(S783="","","Sim")</f>
        <v/>
      </c>
      <c r="U783" s="41">
        <f>IF(T783="Sim",S783+ROW()/100000,0)</f>
        <v>0</v>
      </c>
      <c r="V783" s="41">
        <f>IF(AND(H783="Falta",L783=Config!$B$7,M783=Config!$B$5,COUNTIFS($E$5:E783,E783,$H$5:H783,"Falta",$L$5:L783,Config!$B$7,$M$5:M783,Config!$B$5)=1),COUNTIFS($E$5:$E$3004,E783,$H$5:$H$3004,"Falta",$L$5:$L$3004,Config!$B$7,$M$5:$M$3004,Config!$B$5)*1000-ROW()/100000,0)</f>
        <v>0</v>
      </c>
    </row>
    <row r="784">
      <c r="A784" s="39" t="n">
        <v>46252</v>
      </c>
      <c r="B784" s="40" t="n">
        <v>0.6875</v>
      </c>
      <c r="C784" s="35" t="inlineStr">
        <is>
          <t>Dra. Renata Sousa</t>
        </is>
      </c>
      <c r="D784" s="35" t="inlineStr">
        <is>
          <t>Sala 1</t>
        </is>
      </c>
      <c r="E784" s="34" t="inlineStr">
        <is>
          <t>Fábio Gomes</t>
        </is>
      </c>
      <c r="F784" s="35" t="inlineStr">
        <is>
          <t>Particular</t>
        </is>
      </c>
      <c r="G784" s="35" t="inlineStr">
        <is>
          <t>Avaliação endócrina</t>
        </is>
      </c>
      <c r="H784" s="35" t="inlineStr">
        <is>
          <t>Realizado</t>
        </is>
      </c>
      <c r="I784" s="35" t="inlineStr">
        <is>
          <t>A prazo</t>
        </is>
      </c>
      <c r="J784" s="35" t="n"/>
      <c r="K784" s="34" t="n"/>
      <c r="L784" s="26">
        <f>IF(A784="","",MONTH(A784))</f>
        <v>8</v>
      </c>
      <c r="M784" s="26">
        <f>IF(A784="","",YEAR(A784))</f>
        <v>2026</v>
      </c>
      <c r="N784" s="26" t="str">
        <f>IF(A784="","",CHOOSE(WEEKDAY(A784,2),"Segunda","Terça","Quarta","Quinta","Sexta","Sábado","Domingo"))</f>
        <v>Terça</v>
      </c>
      <c r="O784" s="26" t="str">
        <f>IF(B784="","",IF(B784&lt;TIME(12,0,0),"Manhã",IF(B784&lt;TIME(18,0,0),"Tarde","Noite")))</f>
        <v>Tarde</v>
      </c>
      <c r="P784" s="32">
        <f>IF(G784="","",IFERROR(INDEX(Config!$I$5:$I$16,MATCH(G784,Config!$H$5:$H$16,0)),0))</f>
        <v>45</v>
      </c>
      <c r="Q784" s="30">
        <f>IF(OR(H784&lt;&gt;"Realizado",P784="",P784=0),"",A784+P784)</f>
        <v>46297.0</v>
      </c>
      <c r="R784" s="26" t="str">
        <f>IF(Q784="","",IF(COUNTIFS($E$5:$E$3004,E784,$A$5:$A$3004,"&gt;"&amp;A784,$H$5:$H$3004,"&lt;&gt;Falta",$H$5:$H$3004,"&lt;&gt;Cancelado",$H$5:$H$3004,"&lt;&gt;Remarcado")&gt;0,"Sim","Não"))</f>
        <v>Sim</v>
      </c>
      <c r="S784" s="32">
        <f>IF(R784&lt;&gt;"Não","",IF(Q784+Config!$B$9&lt;=Config!$B$8,Config!$B$8-Q784,""))</f>
        <v/>
      </c>
      <c r="T784" s="26">
        <f>IF(S784="","","Sim")</f>
        <v/>
      </c>
      <c r="U784" s="41">
        <f>IF(T784="Sim",S784+ROW()/100000,0)</f>
        <v>0</v>
      </c>
      <c r="V784" s="41">
        <f>IF(AND(H784="Falta",L784=Config!$B$7,M784=Config!$B$5,COUNTIFS($E$5:E784,E784,$H$5:H784,"Falta",$L$5:L784,Config!$B$7,$M$5:M784,Config!$B$5)=1),COUNTIFS($E$5:$E$3004,E784,$H$5:$H$3004,"Falta",$L$5:$L$3004,Config!$B$7,$M$5:$M$3004,Config!$B$5)*1000-ROW()/100000,0)</f>
        <v>0</v>
      </c>
    </row>
    <row r="785">
      <c r="A785" s="39" t="n">
        <v>46252</v>
      </c>
      <c r="B785" s="40" t="n">
        <v>0.6944444444444444</v>
      </c>
      <c r="C785" s="35" t="inlineStr">
        <is>
          <t>Dr. Paulo Andrade</t>
        </is>
      </c>
      <c r="D785" s="35" t="inlineStr">
        <is>
          <t>Sala 2</t>
        </is>
      </c>
      <c r="E785" s="34" t="inlineStr">
        <is>
          <t>Helena Ribeiro</t>
        </is>
      </c>
      <c r="F785" s="35" t="inlineStr">
        <is>
          <t>MediPlan</t>
        </is>
      </c>
      <c r="G785" s="35" t="inlineStr">
        <is>
          <t>Consulta</t>
        </is>
      </c>
      <c r="H785" s="35" t="inlineStr">
        <is>
          <t>Realizado</t>
        </is>
      </c>
      <c r="I785" s="35" t="inlineStr">
        <is>
          <t>Convênio</t>
        </is>
      </c>
      <c r="J785" s="35" t="n"/>
      <c r="K785" s="34" t="n"/>
      <c r="L785" s="26">
        <f>IF(A785="","",MONTH(A785))</f>
        <v>8</v>
      </c>
      <c r="M785" s="26">
        <f>IF(A785="","",YEAR(A785))</f>
        <v>2026</v>
      </c>
      <c r="N785" s="26" t="str">
        <f>IF(A785="","",CHOOSE(WEEKDAY(A785,2),"Segunda","Terça","Quarta","Quinta","Sexta","Sábado","Domingo"))</f>
        <v>Terça</v>
      </c>
      <c r="O785" s="26" t="str">
        <f>IF(B785="","",IF(B785&lt;TIME(12,0,0),"Manhã",IF(B785&lt;TIME(18,0,0),"Tarde","Noite")))</f>
        <v>Tarde</v>
      </c>
      <c r="P785" s="32">
        <f>IF(G785="","",IFERROR(INDEX(Config!$I$5:$I$16,MATCH(G785,Config!$H$5:$H$16,0)),0))</f>
        <v>30</v>
      </c>
      <c r="Q785" s="30">
        <f>IF(OR(H785&lt;&gt;"Realizado",P785="",P785=0),"",A785+P785)</f>
        <v>46282.0</v>
      </c>
      <c r="R785" s="26" t="str">
        <f>IF(Q785="","",IF(COUNTIFS($E$5:$E$3004,E785,$A$5:$A$3004,"&gt;"&amp;A785,$H$5:$H$3004,"&lt;&gt;Falta",$H$5:$H$3004,"&lt;&gt;Cancelado",$H$5:$H$3004,"&lt;&gt;Remarcado")&gt;0,"Sim","Não"))</f>
        <v>Sim</v>
      </c>
      <c r="S785" s="32">
        <f>IF(R785&lt;&gt;"Não","",IF(Q785+Config!$B$9&lt;=Config!$B$8,Config!$B$8-Q785,""))</f>
        <v/>
      </c>
      <c r="T785" s="26">
        <f>IF(S785="","","Sim")</f>
        <v/>
      </c>
      <c r="U785" s="41">
        <f>IF(T785="Sim",S785+ROW()/100000,0)</f>
        <v>0</v>
      </c>
      <c r="V785" s="41">
        <f>IF(AND(H785="Falta",L785=Config!$B$7,M785=Config!$B$5,COUNTIFS($E$5:E785,E785,$H$5:H785,"Falta",$L$5:L785,Config!$B$7,$M$5:M785,Config!$B$5)=1),COUNTIFS($E$5:$E$3004,E785,$H$5:$H$3004,"Falta",$L$5:$L$3004,Config!$B$7,$M$5:$M$3004,Config!$B$5)*1000-ROW()/100000,0)</f>
        <v>0</v>
      </c>
    </row>
    <row r="786">
      <c r="A786" s="39" t="n">
        <v>46252</v>
      </c>
      <c r="B786" s="40" t="n">
        <v>0.7152777777777778</v>
      </c>
      <c r="C786" s="35" t="inlineStr">
        <is>
          <t>Dra. Renata Sousa</t>
        </is>
      </c>
      <c r="D786" s="35" t="inlineStr">
        <is>
          <t>Sala 1</t>
        </is>
      </c>
      <c r="E786" s="34" t="inlineStr">
        <is>
          <t>Beatriz Monteiro</t>
        </is>
      </c>
      <c r="F786" s="35" t="inlineStr">
        <is>
          <t>Particular</t>
        </is>
      </c>
      <c r="G786" s="35" t="inlineStr">
        <is>
          <t>Avaliação endócrina</t>
        </is>
      </c>
      <c r="H786" s="35" t="inlineStr">
        <is>
          <t>Cancelado</t>
        </is>
      </c>
      <c r="I786" s="35" t="n"/>
      <c r="J786" s="35" t="n"/>
      <c r="K786" s="34" t="n"/>
      <c r="L786" s="26">
        <f>IF(A786="","",MONTH(A786))</f>
        <v>8</v>
      </c>
      <c r="M786" s="26">
        <f>IF(A786="","",YEAR(A786))</f>
        <v>2026</v>
      </c>
      <c r="N786" s="26" t="str">
        <f>IF(A786="","",CHOOSE(WEEKDAY(A786,2),"Segunda","Terça","Quarta","Quinta","Sexta","Sábado","Domingo"))</f>
        <v>Terça</v>
      </c>
      <c r="O786" s="26" t="str">
        <f>IF(B786="","",IF(B786&lt;TIME(12,0,0),"Manhã",IF(B786&lt;TIME(18,0,0),"Tarde","Noite")))</f>
        <v>Tarde</v>
      </c>
      <c r="P786" s="32">
        <f>IF(G786="","",IFERROR(INDEX(Config!$I$5:$I$16,MATCH(G786,Config!$H$5:$H$16,0)),0))</f>
        <v>45</v>
      </c>
      <c r="Q786" s="30">
        <f>IF(OR(H786&lt;&gt;"Realizado",P786="",P786=0),"",A786+P786)</f>
        <v/>
      </c>
      <c r="R786" s="26">
        <f>IF(Q786="","",IF(COUNTIFS($E$5:$E$3004,E786,$A$5:$A$3004,"&gt;"&amp;A786,$H$5:$H$3004,"&lt;&gt;Falta",$H$5:$H$3004,"&lt;&gt;Cancelado",$H$5:$H$3004,"&lt;&gt;Remarcado")&gt;0,"Sim","Não"))</f>
        <v/>
      </c>
      <c r="S786" s="32">
        <f>IF(R786&lt;&gt;"Não","",IF(Q786+Config!$B$9&lt;=Config!$B$8,Config!$B$8-Q786,""))</f>
        <v/>
      </c>
      <c r="T786" s="26">
        <f>IF(S786="","","Sim")</f>
        <v/>
      </c>
      <c r="U786" s="41">
        <f>IF(T786="Sim",S786+ROW()/100000,0)</f>
        <v>0</v>
      </c>
      <c r="V786" s="41">
        <f>IF(AND(H786="Falta",L786=Config!$B$7,M786=Config!$B$5,COUNTIFS($E$5:E786,E786,$H$5:H786,"Falta",$L$5:L786,Config!$B$7,$M$5:M786,Config!$B$5)=1),COUNTIFS($E$5:$E$3004,E786,$H$5:$H$3004,"Falta",$L$5:$L$3004,Config!$B$7,$M$5:$M$3004,Config!$B$5)*1000-ROW()/100000,0)</f>
        <v>0</v>
      </c>
    </row>
    <row r="787">
      <c r="A787" s="39" t="n">
        <v>46252</v>
      </c>
      <c r="B787" s="40" t="n">
        <v>0.7152777777777778</v>
      </c>
      <c r="C787" s="35" t="inlineStr">
        <is>
          <t>Dr. Paulo Andrade</t>
        </is>
      </c>
      <c r="D787" s="35" t="inlineStr">
        <is>
          <t>Sala 2</t>
        </is>
      </c>
      <c r="E787" s="34" t="inlineStr">
        <is>
          <t>Natália Xavier</t>
        </is>
      </c>
      <c r="F787" s="35" t="inlineStr">
        <is>
          <t>MediPlan</t>
        </is>
      </c>
      <c r="G787" s="35" t="inlineStr">
        <is>
          <t>Consulta</t>
        </is>
      </c>
      <c r="H787" s="35" t="inlineStr">
        <is>
          <t>Realizado</t>
        </is>
      </c>
      <c r="I787" s="35" t="inlineStr">
        <is>
          <t>Convênio</t>
        </is>
      </c>
      <c r="J787" s="35" t="n"/>
      <c r="K787" s="34" t="n"/>
      <c r="L787" s="26">
        <f>IF(A787="","",MONTH(A787))</f>
        <v>8</v>
      </c>
      <c r="M787" s="26">
        <f>IF(A787="","",YEAR(A787))</f>
        <v>2026</v>
      </c>
      <c r="N787" s="26" t="str">
        <f>IF(A787="","",CHOOSE(WEEKDAY(A787,2),"Segunda","Terça","Quarta","Quinta","Sexta","Sábado","Domingo"))</f>
        <v>Terça</v>
      </c>
      <c r="O787" s="26" t="str">
        <f>IF(B787="","",IF(B787&lt;TIME(12,0,0),"Manhã",IF(B787&lt;TIME(18,0,0),"Tarde","Noite")))</f>
        <v>Tarde</v>
      </c>
      <c r="P787" s="32">
        <f>IF(G787="","",IFERROR(INDEX(Config!$I$5:$I$16,MATCH(G787,Config!$H$5:$H$16,0)),0))</f>
        <v>30</v>
      </c>
      <c r="Q787" s="30">
        <f>IF(OR(H787&lt;&gt;"Realizado",P787="",P787=0),"",A787+P787)</f>
        <v>46282.0</v>
      </c>
      <c r="R787" s="26" t="str">
        <f>IF(Q787="","",IF(COUNTIFS($E$5:$E$3004,E787,$A$5:$A$3004,"&gt;"&amp;A787,$H$5:$H$3004,"&lt;&gt;Falta",$H$5:$H$3004,"&lt;&gt;Cancelado",$H$5:$H$3004,"&lt;&gt;Remarcado")&gt;0,"Sim","Não"))</f>
        <v>Sim</v>
      </c>
      <c r="S787" s="32">
        <f>IF(R787&lt;&gt;"Não","",IF(Q787+Config!$B$9&lt;=Config!$B$8,Config!$B$8-Q787,""))</f>
        <v/>
      </c>
      <c r="T787" s="26">
        <f>IF(S787="","","Sim")</f>
        <v/>
      </c>
      <c r="U787" s="41">
        <f>IF(T787="Sim",S787+ROW()/100000,0)</f>
        <v>0</v>
      </c>
      <c r="V787" s="41">
        <f>IF(AND(H787="Falta",L787=Config!$B$7,M787=Config!$B$5,COUNTIFS($E$5:E787,E787,$H$5:H787,"Falta",$L$5:L787,Config!$B$7,$M$5:M787,Config!$B$5)=1),COUNTIFS($E$5:$E$3004,E787,$H$5:$H$3004,"Falta",$L$5:$L$3004,Config!$B$7,$M$5:$M$3004,Config!$B$5)*1000-ROW()/100000,0)</f>
        <v>0</v>
      </c>
    </row>
    <row r="788">
      <c r="A788" s="39" t="n">
        <v>46252</v>
      </c>
      <c r="B788" s="40" t="n">
        <v>0.7361111111111112</v>
      </c>
      <c r="C788" s="35" t="inlineStr">
        <is>
          <t>Dr. Paulo Andrade</t>
        </is>
      </c>
      <c r="D788" s="35" t="inlineStr">
        <is>
          <t>Sala 2</t>
        </is>
      </c>
      <c r="E788" s="34" t="inlineStr">
        <is>
          <t>Rodrigo Moreira</t>
        </is>
      </c>
      <c r="F788" s="35" t="inlineStr">
        <is>
          <t>Particular</t>
        </is>
      </c>
      <c r="G788" s="35" t="inlineStr">
        <is>
          <t>MAPA</t>
        </is>
      </c>
      <c r="H788" s="35" t="inlineStr">
        <is>
          <t>Cancelado</t>
        </is>
      </c>
      <c r="I788" s="35" t="n"/>
      <c r="J788" s="35" t="n"/>
      <c r="K788" s="34" t="n"/>
      <c r="L788" s="26">
        <f>IF(A788="","",MONTH(A788))</f>
        <v>8</v>
      </c>
      <c r="M788" s="26">
        <f>IF(A788="","",YEAR(A788))</f>
        <v>2026</v>
      </c>
      <c r="N788" s="26" t="str">
        <f>IF(A788="","",CHOOSE(WEEKDAY(A788,2),"Segunda","Terça","Quarta","Quinta","Sexta","Sábado","Domingo"))</f>
        <v>Terça</v>
      </c>
      <c r="O788" s="26" t="str">
        <f>IF(B788="","",IF(B788&lt;TIME(12,0,0),"Manhã",IF(B788&lt;TIME(18,0,0),"Tarde","Noite")))</f>
        <v>Tarde</v>
      </c>
      <c r="P788" s="32">
        <f>IF(G788="","",IFERROR(INDEX(Config!$I$5:$I$16,MATCH(G788,Config!$H$5:$H$16,0)),0))</f>
        <v>0</v>
      </c>
      <c r="Q788" s="30">
        <f>IF(OR(H788&lt;&gt;"Realizado",P788="",P788=0),"",A788+P788)</f>
        <v/>
      </c>
      <c r="R788" s="26">
        <f>IF(Q788="","",IF(COUNTIFS($E$5:$E$3004,E788,$A$5:$A$3004,"&gt;"&amp;A788,$H$5:$H$3004,"&lt;&gt;Falta",$H$5:$H$3004,"&lt;&gt;Cancelado",$H$5:$H$3004,"&lt;&gt;Remarcado")&gt;0,"Sim","Não"))</f>
        <v/>
      </c>
      <c r="S788" s="32">
        <f>IF(R788&lt;&gt;"Não","",IF(Q788+Config!$B$9&lt;=Config!$B$8,Config!$B$8-Q788,""))</f>
        <v/>
      </c>
      <c r="T788" s="26">
        <f>IF(S788="","","Sim")</f>
        <v/>
      </c>
      <c r="U788" s="41">
        <f>IF(T788="Sim",S788+ROW()/100000,0)</f>
        <v>0</v>
      </c>
      <c r="V788" s="41">
        <f>IF(AND(H788="Falta",L788=Config!$B$7,M788=Config!$B$5,COUNTIFS($E$5:E788,E788,$H$5:H788,"Falta",$L$5:L788,Config!$B$7,$M$5:M788,Config!$B$5)=1),COUNTIFS($E$5:$E$3004,E788,$H$5:$H$3004,"Falta",$L$5:$L$3004,Config!$B$7,$M$5:$M$3004,Config!$B$5)*1000-ROW()/100000,0)</f>
        <v>0</v>
      </c>
    </row>
    <row r="789">
      <c r="A789" s="39" t="n">
        <v>46253</v>
      </c>
      <c r="B789" s="40" t="n">
        <v>0.5833333333333334</v>
      </c>
      <c r="C789" s="35" t="inlineStr">
        <is>
          <t>Dra. Carolina Mendes</t>
        </is>
      </c>
      <c r="D789" s="35" t="inlineStr">
        <is>
          <t>Sala 1</t>
        </is>
      </c>
      <c r="E789" s="34" t="inlineStr">
        <is>
          <t>Otávio Nascimento</t>
        </is>
      </c>
      <c r="F789" s="35" t="inlineStr">
        <is>
          <t>Particular</t>
        </is>
      </c>
      <c r="G789" s="35" t="inlineStr">
        <is>
          <t>Consulta</t>
        </is>
      </c>
      <c r="H789" s="35" t="inlineStr">
        <is>
          <t>Falta</t>
        </is>
      </c>
      <c r="I789" s="35" t="n"/>
      <c r="J789" s="35" t="n"/>
      <c r="K789" s="34" t="n"/>
      <c r="L789" s="26">
        <f>IF(A789="","",MONTH(A789))</f>
        <v>8</v>
      </c>
      <c r="M789" s="26">
        <f>IF(A789="","",YEAR(A789))</f>
        <v>2026</v>
      </c>
      <c r="N789" s="26" t="str">
        <f>IF(A789="","",CHOOSE(WEEKDAY(A789,2),"Segunda","Terça","Quarta","Quinta","Sexta","Sábado","Domingo"))</f>
        <v>Quarta</v>
      </c>
      <c r="O789" s="26" t="str">
        <f>IF(B789="","",IF(B789&lt;TIME(12,0,0),"Manhã",IF(B789&lt;TIME(18,0,0),"Tarde","Noite")))</f>
        <v>Tarde</v>
      </c>
      <c r="P789" s="32">
        <f>IF(G789="","",IFERROR(INDEX(Config!$I$5:$I$16,MATCH(G789,Config!$H$5:$H$16,0)),0))</f>
        <v>30</v>
      </c>
      <c r="Q789" s="30">
        <f>IF(OR(H789&lt;&gt;"Realizado",P789="",P789=0),"",A789+P789)</f>
        <v/>
      </c>
      <c r="R789" s="26">
        <f>IF(Q789="","",IF(COUNTIFS($E$5:$E$3004,E789,$A$5:$A$3004,"&gt;"&amp;A789,$H$5:$H$3004,"&lt;&gt;Falta",$H$5:$H$3004,"&lt;&gt;Cancelado",$H$5:$H$3004,"&lt;&gt;Remarcado")&gt;0,"Sim","Não"))</f>
        <v/>
      </c>
      <c r="S789" s="32">
        <f>IF(R789&lt;&gt;"Não","",IF(Q789+Config!$B$9&lt;=Config!$B$8,Config!$B$8-Q789,""))</f>
        <v/>
      </c>
      <c r="T789" s="26">
        <f>IF(S789="","","Sim")</f>
        <v/>
      </c>
      <c r="U789" s="41">
        <f>IF(T789="Sim",S789+ROW()/100000,0)</f>
        <v>0</v>
      </c>
      <c r="V789" s="41">
        <f>IF(AND(H789="Falta",L789=Config!$B$7,M789=Config!$B$5,COUNTIFS($E$5:E789,E789,$H$5:H789,"Falta",$L$5:L789,Config!$B$7,$M$5:M789,Config!$B$5)=1),COUNTIFS($E$5:$E$3004,E789,$H$5:$H$3004,"Falta",$L$5:$L$3004,Config!$B$7,$M$5:$M$3004,Config!$B$5)*1000-ROW()/100000,0)</f>
        <v>0</v>
      </c>
    </row>
    <row r="790">
      <c r="A790" s="39" t="n">
        <v>46253</v>
      </c>
      <c r="B790" s="40" t="n">
        <v>0.6041666666666666</v>
      </c>
      <c r="C790" s="35" t="inlineStr">
        <is>
          <t>Dra. Carolina Mendes</t>
        </is>
      </c>
      <c r="D790" s="35" t="inlineStr">
        <is>
          <t>Sala 1</t>
        </is>
      </c>
      <c r="E790" s="34" t="inlineStr">
        <is>
          <t>Isabela Pinto</t>
        </is>
      </c>
      <c r="F790" s="35" t="inlineStr">
        <is>
          <t>Saúde Total</t>
        </is>
      </c>
      <c r="G790" s="35" t="inlineStr">
        <is>
          <t>Consulta</t>
        </is>
      </c>
      <c r="H790" s="35" t="inlineStr">
        <is>
          <t>Remarcado</t>
        </is>
      </c>
      <c r="I790" s="35" t="n"/>
      <c r="J790" s="35" t="n"/>
      <c r="K790" s="34" t="inlineStr">
        <is>
          <t>Paciente pediu outra data</t>
        </is>
      </c>
      <c r="L790" s="26">
        <f>IF(A790="","",MONTH(A790))</f>
        <v>8</v>
      </c>
      <c r="M790" s="26">
        <f>IF(A790="","",YEAR(A790))</f>
        <v>2026</v>
      </c>
      <c r="N790" s="26" t="str">
        <f>IF(A790="","",CHOOSE(WEEKDAY(A790,2),"Segunda","Terça","Quarta","Quinta","Sexta","Sábado","Domingo"))</f>
        <v>Quarta</v>
      </c>
      <c r="O790" s="26" t="str">
        <f>IF(B790="","",IF(B790&lt;TIME(12,0,0),"Manhã",IF(B790&lt;TIME(18,0,0),"Tarde","Noite")))</f>
        <v>Tarde</v>
      </c>
      <c r="P790" s="32">
        <f>IF(G790="","",IFERROR(INDEX(Config!$I$5:$I$16,MATCH(G790,Config!$H$5:$H$16,0)),0))</f>
        <v>30</v>
      </c>
      <c r="Q790" s="30">
        <f>IF(OR(H790&lt;&gt;"Realizado",P790="",P790=0),"",A790+P790)</f>
        <v/>
      </c>
      <c r="R790" s="26">
        <f>IF(Q790="","",IF(COUNTIFS($E$5:$E$3004,E790,$A$5:$A$3004,"&gt;"&amp;A790,$H$5:$H$3004,"&lt;&gt;Falta",$H$5:$H$3004,"&lt;&gt;Cancelado",$H$5:$H$3004,"&lt;&gt;Remarcado")&gt;0,"Sim","Não"))</f>
        <v/>
      </c>
      <c r="S790" s="32">
        <f>IF(R790&lt;&gt;"Não","",IF(Q790+Config!$B$9&lt;=Config!$B$8,Config!$B$8-Q790,""))</f>
        <v/>
      </c>
      <c r="T790" s="26">
        <f>IF(S790="","","Sim")</f>
        <v/>
      </c>
      <c r="U790" s="41">
        <f>IF(T790="Sim",S790+ROW()/100000,0)</f>
        <v>0</v>
      </c>
      <c r="V790" s="41">
        <f>IF(AND(H790="Falta",L790=Config!$B$7,M790=Config!$B$5,COUNTIFS($E$5:E790,E790,$H$5:H790,"Falta",$L$5:L790,Config!$B$7,$M$5:M790,Config!$B$5)=1),COUNTIFS($E$5:$E$3004,E790,$H$5:$H$3004,"Falta",$L$5:$L$3004,Config!$B$7,$M$5:$M$3004,Config!$B$5)*1000-ROW()/100000,0)</f>
        <v>0</v>
      </c>
    </row>
    <row r="791">
      <c r="A791" s="39" t="n">
        <v>46253</v>
      </c>
      <c r="B791" s="40" t="n">
        <v>0.625</v>
      </c>
      <c r="C791" s="35" t="inlineStr">
        <is>
          <t>Dra. Carolina Mendes</t>
        </is>
      </c>
      <c r="D791" s="35" t="inlineStr">
        <is>
          <t>Sala 1</t>
        </is>
      </c>
      <c r="E791" s="34" t="inlineStr">
        <is>
          <t>Marcelo Santos</t>
        </is>
      </c>
      <c r="F791" s="35" t="inlineStr">
        <is>
          <t>Particular</t>
        </is>
      </c>
      <c r="G791" s="35" t="inlineStr">
        <is>
          <t>Consulta</t>
        </is>
      </c>
      <c r="H791" s="35" t="inlineStr">
        <is>
          <t>Realizado</t>
        </is>
      </c>
      <c r="I791" s="35" t="inlineStr">
        <is>
          <t>Pix</t>
        </is>
      </c>
      <c r="J791" s="35" t="n"/>
      <c r="K791" s="34" t="n"/>
      <c r="L791" s="26">
        <f>IF(A791="","",MONTH(A791))</f>
        <v>8</v>
      </c>
      <c r="M791" s="26">
        <f>IF(A791="","",YEAR(A791))</f>
        <v>2026</v>
      </c>
      <c r="N791" s="26" t="str">
        <f>IF(A791="","",CHOOSE(WEEKDAY(A791,2),"Segunda","Terça","Quarta","Quinta","Sexta","Sábado","Domingo"))</f>
        <v>Quarta</v>
      </c>
      <c r="O791" s="26" t="str">
        <f>IF(B791="","",IF(B791&lt;TIME(12,0,0),"Manhã",IF(B791&lt;TIME(18,0,0),"Tarde","Noite")))</f>
        <v>Tarde</v>
      </c>
      <c r="P791" s="32">
        <f>IF(G791="","",IFERROR(INDEX(Config!$I$5:$I$16,MATCH(G791,Config!$H$5:$H$16,0)),0))</f>
        <v>30</v>
      </c>
      <c r="Q791" s="30">
        <f>IF(OR(H791&lt;&gt;"Realizado",P791="",P791=0),"",A791+P791)</f>
        <v>46283.0</v>
      </c>
      <c r="R791" s="26" t="str">
        <f>IF(Q791="","",IF(COUNTIFS($E$5:$E$3004,E791,$A$5:$A$3004,"&gt;"&amp;A791,$H$5:$H$3004,"&lt;&gt;Falta",$H$5:$H$3004,"&lt;&gt;Cancelado",$H$5:$H$3004,"&lt;&gt;Remarcado")&gt;0,"Sim","Não"))</f>
        <v>Sim</v>
      </c>
      <c r="S791" s="32">
        <f>IF(R791&lt;&gt;"Não","",IF(Q791+Config!$B$9&lt;=Config!$B$8,Config!$B$8-Q791,""))</f>
        <v/>
      </c>
      <c r="T791" s="26">
        <f>IF(S791="","","Sim")</f>
        <v/>
      </c>
      <c r="U791" s="41">
        <f>IF(T791="Sim",S791+ROW()/100000,0)</f>
        <v>0</v>
      </c>
      <c r="V791" s="41">
        <f>IF(AND(H791="Falta",L791=Config!$B$7,M791=Config!$B$5,COUNTIFS($E$5:E791,E791,$H$5:H791,"Falta",$L$5:L791,Config!$B$7,$M$5:M791,Config!$B$5)=1),COUNTIFS($E$5:$E$3004,E791,$H$5:$H$3004,"Falta",$L$5:$L$3004,Config!$B$7,$M$5:$M$3004,Config!$B$5)*1000-ROW()/100000,0)</f>
        <v>0</v>
      </c>
    </row>
    <row r="792">
      <c r="A792" s="39" t="n">
        <v>46253</v>
      </c>
      <c r="B792" s="40" t="n">
        <v>0.6458333333333334</v>
      </c>
      <c r="C792" s="35" t="inlineStr">
        <is>
          <t>Dra. Carolina Mendes</t>
        </is>
      </c>
      <c r="D792" s="35" t="inlineStr">
        <is>
          <t>Sala 1</t>
        </is>
      </c>
      <c r="E792" s="34" t="inlineStr">
        <is>
          <t>Cláudia Santos</t>
        </is>
      </c>
      <c r="F792" s="35" t="inlineStr">
        <is>
          <t>Particular</t>
        </is>
      </c>
      <c r="G792" s="35" t="inlineStr">
        <is>
          <t>Consulta</t>
        </is>
      </c>
      <c r="H792" s="35" t="inlineStr">
        <is>
          <t>Cancelado</t>
        </is>
      </c>
      <c r="I792" s="35" t="n"/>
      <c r="J792" s="35" t="n"/>
      <c r="K792" s="34" t="n"/>
      <c r="L792" s="26">
        <f>IF(A792="","",MONTH(A792))</f>
        <v>8</v>
      </c>
      <c r="M792" s="26">
        <f>IF(A792="","",YEAR(A792))</f>
        <v>2026</v>
      </c>
      <c r="N792" s="26" t="str">
        <f>IF(A792="","",CHOOSE(WEEKDAY(A792,2),"Segunda","Terça","Quarta","Quinta","Sexta","Sábado","Domingo"))</f>
        <v>Quarta</v>
      </c>
      <c r="O792" s="26" t="str">
        <f>IF(B792="","",IF(B792&lt;TIME(12,0,0),"Manhã",IF(B792&lt;TIME(18,0,0),"Tarde","Noite")))</f>
        <v>Tarde</v>
      </c>
      <c r="P792" s="32">
        <f>IF(G792="","",IFERROR(INDEX(Config!$I$5:$I$16,MATCH(G792,Config!$H$5:$H$16,0)),0))</f>
        <v>30</v>
      </c>
      <c r="Q792" s="30">
        <f>IF(OR(H792&lt;&gt;"Realizado",P792="",P792=0),"",A792+P792)</f>
        <v/>
      </c>
      <c r="R792" s="26">
        <f>IF(Q792="","",IF(COUNTIFS($E$5:$E$3004,E792,$A$5:$A$3004,"&gt;"&amp;A792,$H$5:$H$3004,"&lt;&gt;Falta",$H$5:$H$3004,"&lt;&gt;Cancelado",$H$5:$H$3004,"&lt;&gt;Remarcado")&gt;0,"Sim","Não"))</f>
        <v/>
      </c>
      <c r="S792" s="32">
        <f>IF(R792&lt;&gt;"Não","",IF(Q792+Config!$B$9&lt;=Config!$B$8,Config!$B$8-Q792,""))</f>
        <v/>
      </c>
      <c r="T792" s="26">
        <f>IF(S792="","","Sim")</f>
        <v/>
      </c>
      <c r="U792" s="41">
        <f>IF(T792="Sim",S792+ROW()/100000,0)</f>
        <v>0</v>
      </c>
      <c r="V792" s="41">
        <f>IF(AND(H792="Falta",L792=Config!$B$7,M792=Config!$B$5,COUNTIFS($E$5:E792,E792,$H$5:H792,"Falta",$L$5:L792,Config!$B$7,$M$5:M792,Config!$B$5)=1),COUNTIFS($E$5:$E$3004,E792,$H$5:$H$3004,"Falta",$L$5:$L$3004,Config!$B$7,$M$5:$M$3004,Config!$B$5)*1000-ROW()/100000,0)</f>
        <v>0</v>
      </c>
    </row>
    <row r="793">
      <c r="A793" s="39" t="n">
        <v>46253</v>
      </c>
      <c r="B793" s="40" t="n">
        <v>0.6666666666666666</v>
      </c>
      <c r="C793" s="35" t="inlineStr">
        <is>
          <t>Dra. Carolina Mendes</t>
        </is>
      </c>
      <c r="D793" s="35" t="inlineStr">
        <is>
          <t>Sala 1</t>
        </is>
      </c>
      <c r="E793" s="34" t="inlineStr">
        <is>
          <t>Isabela Pinto</t>
        </is>
      </c>
      <c r="F793" s="35" t="inlineStr">
        <is>
          <t>Saúde Total</t>
        </is>
      </c>
      <c r="G793" s="35" t="inlineStr">
        <is>
          <t>Consulta</t>
        </is>
      </c>
      <c r="H793" s="35" t="inlineStr">
        <is>
          <t>Realizado</t>
        </is>
      </c>
      <c r="I793" s="35" t="inlineStr">
        <is>
          <t>Convênio</t>
        </is>
      </c>
      <c r="J793" s="35" t="n"/>
      <c r="K793" s="34" t="n"/>
      <c r="L793" s="26">
        <f>IF(A793="","",MONTH(A793))</f>
        <v>8</v>
      </c>
      <c r="M793" s="26">
        <f>IF(A793="","",YEAR(A793))</f>
        <v>2026</v>
      </c>
      <c r="N793" s="26" t="str">
        <f>IF(A793="","",CHOOSE(WEEKDAY(A793,2),"Segunda","Terça","Quarta","Quinta","Sexta","Sábado","Domingo"))</f>
        <v>Quarta</v>
      </c>
      <c r="O793" s="26" t="str">
        <f>IF(B793="","",IF(B793&lt;TIME(12,0,0),"Manhã",IF(B793&lt;TIME(18,0,0),"Tarde","Noite")))</f>
        <v>Tarde</v>
      </c>
      <c r="P793" s="32">
        <f>IF(G793="","",IFERROR(INDEX(Config!$I$5:$I$16,MATCH(G793,Config!$H$5:$H$16,0)),0))</f>
        <v>30</v>
      </c>
      <c r="Q793" s="30">
        <f>IF(OR(H793&lt;&gt;"Realizado",P793="",P793=0),"",A793+P793)</f>
        <v>46283.0</v>
      </c>
      <c r="R793" s="26" t="str">
        <f>IF(Q793="","",IF(COUNTIFS($E$5:$E$3004,E793,$A$5:$A$3004,"&gt;"&amp;A793,$H$5:$H$3004,"&lt;&gt;Falta",$H$5:$H$3004,"&lt;&gt;Cancelado",$H$5:$H$3004,"&lt;&gt;Remarcado")&gt;0,"Sim","Não"))</f>
        <v>Sim</v>
      </c>
      <c r="S793" s="32">
        <f>IF(R793&lt;&gt;"Não","",IF(Q793+Config!$B$9&lt;=Config!$B$8,Config!$B$8-Q793,""))</f>
        <v/>
      </c>
      <c r="T793" s="26">
        <f>IF(S793="","","Sim")</f>
        <v/>
      </c>
      <c r="U793" s="41">
        <f>IF(T793="Sim",S793+ROW()/100000,0)</f>
        <v>0</v>
      </c>
      <c r="V793" s="41">
        <f>IF(AND(H793="Falta",L793=Config!$B$7,M793=Config!$B$5,COUNTIFS($E$5:E793,E793,$H$5:H793,"Falta",$L$5:L793,Config!$B$7,$M$5:M793,Config!$B$5)=1),COUNTIFS($E$5:$E$3004,E793,$H$5:$H$3004,"Falta",$L$5:$L$3004,Config!$B$7,$M$5:$M$3004,Config!$B$5)*1000-ROW()/100000,0)</f>
        <v>0</v>
      </c>
    </row>
    <row r="794">
      <c r="A794" s="39" t="n">
        <v>46253</v>
      </c>
      <c r="B794" s="40" t="n">
        <v>0.6875</v>
      </c>
      <c r="C794" s="35" t="inlineStr">
        <is>
          <t>Dra. Carolina Mendes</t>
        </is>
      </c>
      <c r="D794" s="35" t="inlineStr">
        <is>
          <t>Sala 1</t>
        </is>
      </c>
      <c r="E794" s="34" t="inlineStr">
        <is>
          <t>Gisele Xavier</t>
        </is>
      </c>
      <c r="F794" s="35" t="inlineStr">
        <is>
          <t>Particular</t>
        </is>
      </c>
      <c r="G794" s="35" t="inlineStr">
        <is>
          <t>Consulta</t>
        </is>
      </c>
      <c r="H794" s="35" t="inlineStr">
        <is>
          <t>Realizado</t>
        </is>
      </c>
      <c r="I794" s="35" t="inlineStr">
        <is>
          <t>Cartão de débito</t>
        </is>
      </c>
      <c r="J794" s="35" t="n"/>
      <c r="K794" s="34" t="n"/>
      <c r="L794" s="26">
        <f>IF(A794="","",MONTH(A794))</f>
        <v>8</v>
      </c>
      <c r="M794" s="26">
        <f>IF(A794="","",YEAR(A794))</f>
        <v>2026</v>
      </c>
      <c r="N794" s="26" t="str">
        <f>IF(A794="","",CHOOSE(WEEKDAY(A794,2),"Segunda","Terça","Quarta","Quinta","Sexta","Sábado","Domingo"))</f>
        <v>Quarta</v>
      </c>
      <c r="O794" s="26" t="str">
        <f>IF(B794="","",IF(B794&lt;TIME(12,0,0),"Manhã",IF(B794&lt;TIME(18,0,0),"Tarde","Noite")))</f>
        <v>Tarde</v>
      </c>
      <c r="P794" s="32">
        <f>IF(G794="","",IFERROR(INDEX(Config!$I$5:$I$16,MATCH(G794,Config!$H$5:$H$16,0)),0))</f>
        <v>30</v>
      </c>
      <c r="Q794" s="30">
        <f>IF(OR(H794&lt;&gt;"Realizado",P794="",P794=0),"",A794+P794)</f>
        <v>46283.0</v>
      </c>
      <c r="R794" s="26" t="str">
        <f>IF(Q794="","",IF(COUNTIFS($E$5:$E$3004,E794,$A$5:$A$3004,"&gt;"&amp;A794,$H$5:$H$3004,"&lt;&gt;Falta",$H$5:$H$3004,"&lt;&gt;Cancelado",$H$5:$H$3004,"&lt;&gt;Remarcado")&gt;0,"Sim","Não"))</f>
        <v>Sim</v>
      </c>
      <c r="S794" s="32">
        <f>IF(R794&lt;&gt;"Não","",IF(Q794+Config!$B$9&lt;=Config!$B$8,Config!$B$8-Q794,""))</f>
        <v/>
      </c>
      <c r="T794" s="26">
        <f>IF(S794="","","Sim")</f>
        <v/>
      </c>
      <c r="U794" s="41">
        <f>IF(T794="Sim",S794+ROW()/100000,0)</f>
        <v>0</v>
      </c>
      <c r="V794" s="41">
        <f>IF(AND(H794="Falta",L794=Config!$B$7,M794=Config!$B$5,COUNTIFS($E$5:E794,E794,$H$5:H794,"Falta",$L$5:L794,Config!$B$7,$M$5:M794,Config!$B$5)=1),COUNTIFS($E$5:$E$3004,E794,$H$5:$H$3004,"Falta",$L$5:$L$3004,Config!$B$7,$M$5:$M$3004,Config!$B$5)*1000-ROW()/100000,0)</f>
        <v>0</v>
      </c>
    </row>
    <row r="795">
      <c r="A795" s="39" t="n">
        <v>46253</v>
      </c>
      <c r="B795" s="40" t="n">
        <v>0.7083333333333334</v>
      </c>
      <c r="C795" s="35" t="inlineStr">
        <is>
          <t>Dra. Carolina Mendes</t>
        </is>
      </c>
      <c r="D795" s="35" t="inlineStr">
        <is>
          <t>Sala 1</t>
        </is>
      </c>
      <c r="E795" s="34" t="inlineStr">
        <is>
          <t>Mônica Batista</t>
        </is>
      </c>
      <c r="F795" s="35" t="inlineStr">
        <is>
          <t>MediPlan</t>
        </is>
      </c>
      <c r="G795" s="35" t="inlineStr">
        <is>
          <t>Consulta</t>
        </is>
      </c>
      <c r="H795" s="35" t="inlineStr">
        <is>
          <t>Realizado</t>
        </is>
      </c>
      <c r="I795" s="35" t="inlineStr">
        <is>
          <t>Convênio</t>
        </is>
      </c>
      <c r="J795" s="35" t="n"/>
      <c r="K795" s="34" t="n"/>
      <c r="L795" s="26">
        <f>IF(A795="","",MONTH(A795))</f>
        <v>8</v>
      </c>
      <c r="M795" s="26">
        <f>IF(A795="","",YEAR(A795))</f>
        <v>2026</v>
      </c>
      <c r="N795" s="26" t="str">
        <f>IF(A795="","",CHOOSE(WEEKDAY(A795,2),"Segunda","Terça","Quarta","Quinta","Sexta","Sábado","Domingo"))</f>
        <v>Quarta</v>
      </c>
      <c r="O795" s="26" t="str">
        <f>IF(B795="","",IF(B795&lt;TIME(12,0,0),"Manhã",IF(B795&lt;TIME(18,0,0),"Tarde","Noite")))</f>
        <v>Tarde</v>
      </c>
      <c r="P795" s="32">
        <f>IF(G795="","",IFERROR(INDEX(Config!$I$5:$I$16,MATCH(G795,Config!$H$5:$H$16,0)),0))</f>
        <v>30</v>
      </c>
      <c r="Q795" s="30">
        <f>IF(OR(H795&lt;&gt;"Realizado",P795="",P795=0),"",A795+P795)</f>
        <v>46283.0</v>
      </c>
      <c r="R795" s="26" t="str">
        <f>IF(Q795="","",IF(COUNTIFS($E$5:$E$3004,E795,$A$5:$A$3004,"&gt;"&amp;A795,$H$5:$H$3004,"&lt;&gt;Falta",$H$5:$H$3004,"&lt;&gt;Cancelado",$H$5:$H$3004,"&lt;&gt;Remarcado")&gt;0,"Sim","Não"))</f>
        <v>Sim</v>
      </c>
      <c r="S795" s="32">
        <f>IF(R795&lt;&gt;"Não","",IF(Q795+Config!$B$9&lt;=Config!$B$8,Config!$B$8-Q795,""))</f>
        <v/>
      </c>
      <c r="T795" s="26">
        <f>IF(S795="","","Sim")</f>
        <v/>
      </c>
      <c r="U795" s="41">
        <f>IF(T795="Sim",S795+ROW()/100000,0)</f>
        <v>0</v>
      </c>
      <c r="V795" s="41">
        <f>IF(AND(H795="Falta",L795=Config!$B$7,M795=Config!$B$5,COUNTIFS($E$5:E795,E795,$H$5:H795,"Falta",$L$5:L795,Config!$B$7,$M$5:M795,Config!$B$5)=1),COUNTIFS($E$5:$E$3004,E795,$H$5:$H$3004,"Falta",$L$5:$L$3004,Config!$B$7,$M$5:$M$3004,Config!$B$5)*1000-ROW()/100000,0)</f>
        <v>0</v>
      </c>
    </row>
    <row r="796">
      <c r="A796" s="39" t="n">
        <v>46253</v>
      </c>
      <c r="B796" s="40" t="n">
        <v>0.7291666666666666</v>
      </c>
      <c r="C796" s="35" t="inlineStr">
        <is>
          <t>Dra. Carolina Mendes</t>
        </is>
      </c>
      <c r="D796" s="35" t="inlineStr">
        <is>
          <t>Sala 1</t>
        </is>
      </c>
      <c r="E796" s="34" t="inlineStr">
        <is>
          <t>Roberta Fernandes</t>
        </is>
      </c>
      <c r="F796" s="35" t="inlineStr">
        <is>
          <t>Saúde Total</t>
        </is>
      </c>
      <c r="G796" s="35" t="inlineStr">
        <is>
          <t>Consulta</t>
        </is>
      </c>
      <c r="H796" s="35" t="inlineStr">
        <is>
          <t>Realizado</t>
        </is>
      </c>
      <c r="I796" s="35" t="inlineStr">
        <is>
          <t>Convênio</t>
        </is>
      </c>
      <c r="J796" s="35" t="n"/>
      <c r="K796" s="34" t="n"/>
      <c r="L796" s="26">
        <f>IF(A796="","",MONTH(A796))</f>
        <v>8</v>
      </c>
      <c r="M796" s="26">
        <f>IF(A796="","",YEAR(A796))</f>
        <v>2026</v>
      </c>
      <c r="N796" s="26" t="str">
        <f>IF(A796="","",CHOOSE(WEEKDAY(A796,2),"Segunda","Terça","Quarta","Quinta","Sexta","Sábado","Domingo"))</f>
        <v>Quarta</v>
      </c>
      <c r="O796" s="26" t="str">
        <f>IF(B796="","",IF(B796&lt;TIME(12,0,0),"Manhã",IF(B796&lt;TIME(18,0,0),"Tarde","Noite")))</f>
        <v>Tarde</v>
      </c>
      <c r="P796" s="32">
        <f>IF(G796="","",IFERROR(INDEX(Config!$I$5:$I$16,MATCH(G796,Config!$H$5:$H$16,0)),0))</f>
        <v>30</v>
      </c>
      <c r="Q796" s="30">
        <f>IF(OR(H796&lt;&gt;"Realizado",P796="",P796=0),"",A796+P796)</f>
        <v>46283.0</v>
      </c>
      <c r="R796" s="26" t="str">
        <f>IF(Q796="","",IF(COUNTIFS($E$5:$E$3004,E796,$A$5:$A$3004,"&gt;"&amp;A796,$H$5:$H$3004,"&lt;&gt;Falta",$H$5:$H$3004,"&lt;&gt;Cancelado",$H$5:$H$3004,"&lt;&gt;Remarcado")&gt;0,"Sim","Não"))</f>
        <v>Sim</v>
      </c>
      <c r="S796" s="32">
        <f>IF(R796&lt;&gt;"Não","",IF(Q796+Config!$B$9&lt;=Config!$B$8,Config!$B$8-Q796,""))</f>
        <v/>
      </c>
      <c r="T796" s="26">
        <f>IF(S796="","","Sim")</f>
        <v/>
      </c>
      <c r="U796" s="41">
        <f>IF(T796="Sim",S796+ROW()/100000,0)</f>
        <v>0</v>
      </c>
      <c r="V796" s="41">
        <f>IF(AND(H796="Falta",L796=Config!$B$7,M796=Config!$B$5,COUNTIFS($E$5:E796,E796,$H$5:H796,"Falta",$L$5:L796,Config!$B$7,$M$5:M796,Config!$B$5)=1),COUNTIFS($E$5:$E$3004,E796,$H$5:$H$3004,"Falta",$L$5:$L$3004,Config!$B$7,$M$5:$M$3004,Config!$B$5)*1000-ROW()/100000,0)</f>
        <v>0</v>
      </c>
    </row>
    <row r="797">
      <c r="A797" s="39" t="n">
        <v>46254</v>
      </c>
      <c r="B797" s="40" t="n">
        <v>0.3541666666666667</v>
      </c>
      <c r="C797" s="35" t="inlineStr">
        <is>
          <t>Dra. Carolina Mendes</t>
        </is>
      </c>
      <c r="D797" s="35" t="inlineStr">
        <is>
          <t>Sala 1</t>
        </is>
      </c>
      <c r="E797" s="34" t="inlineStr">
        <is>
          <t>Eduardo Lima</t>
        </is>
      </c>
      <c r="F797" s="35" t="inlineStr">
        <is>
          <t>Particular</t>
        </is>
      </c>
      <c r="G797" s="35" t="inlineStr">
        <is>
          <t>Consulta</t>
        </is>
      </c>
      <c r="H797" s="35" t="inlineStr">
        <is>
          <t>Realizado</t>
        </is>
      </c>
      <c r="I797" s="35" t="inlineStr">
        <is>
          <t>A prazo</t>
        </is>
      </c>
      <c r="J797" s="35" t="n"/>
      <c r="K797" s="34" t="n"/>
      <c r="L797" s="26">
        <f>IF(A797="","",MONTH(A797))</f>
        <v>8</v>
      </c>
      <c r="M797" s="26">
        <f>IF(A797="","",YEAR(A797))</f>
        <v>2026</v>
      </c>
      <c r="N797" s="26" t="str">
        <f>IF(A797="","",CHOOSE(WEEKDAY(A797,2),"Segunda","Terça","Quarta","Quinta","Sexta","Sábado","Domingo"))</f>
        <v>Quinta</v>
      </c>
      <c r="O797" s="26" t="str">
        <f>IF(B797="","",IF(B797&lt;TIME(12,0,0),"Manhã",IF(B797&lt;TIME(18,0,0),"Tarde","Noite")))</f>
        <v>Manhã</v>
      </c>
      <c r="P797" s="32">
        <f>IF(G797="","",IFERROR(INDEX(Config!$I$5:$I$16,MATCH(G797,Config!$H$5:$H$16,0)),0))</f>
        <v>30</v>
      </c>
      <c r="Q797" s="30">
        <f>IF(OR(H797&lt;&gt;"Realizado",P797="",P797=0),"",A797+P797)</f>
        <v>46284.0</v>
      </c>
      <c r="R797" s="26" t="str">
        <f>IF(Q797="","",IF(COUNTIFS($E$5:$E$3004,E797,$A$5:$A$3004,"&gt;"&amp;A797,$H$5:$H$3004,"&lt;&gt;Falta",$H$5:$H$3004,"&lt;&gt;Cancelado",$H$5:$H$3004,"&lt;&gt;Remarcado")&gt;0,"Sim","Não"))</f>
        <v>Sim</v>
      </c>
      <c r="S797" s="32">
        <f>IF(R797&lt;&gt;"Não","",IF(Q797+Config!$B$9&lt;=Config!$B$8,Config!$B$8-Q797,""))</f>
        <v/>
      </c>
      <c r="T797" s="26">
        <f>IF(S797="","","Sim")</f>
        <v/>
      </c>
      <c r="U797" s="41">
        <f>IF(T797="Sim",S797+ROW()/100000,0)</f>
        <v>0</v>
      </c>
      <c r="V797" s="41">
        <f>IF(AND(H797="Falta",L797=Config!$B$7,M797=Config!$B$5,COUNTIFS($E$5:E797,E797,$H$5:H797,"Falta",$L$5:L797,Config!$B$7,$M$5:M797,Config!$B$5)=1),COUNTIFS($E$5:$E$3004,E797,$H$5:$H$3004,"Falta",$L$5:$L$3004,Config!$B$7,$M$5:$M$3004,Config!$B$5)*1000-ROW()/100000,0)</f>
        <v>0</v>
      </c>
    </row>
    <row r="798">
      <c r="A798" s="39" t="n">
        <v>46254</v>
      </c>
      <c r="B798" s="40" t="n">
        <v>0.375</v>
      </c>
      <c r="C798" s="35" t="inlineStr">
        <is>
          <t>Dra. Carolina Mendes</t>
        </is>
      </c>
      <c r="D798" s="35" t="inlineStr">
        <is>
          <t>Sala 1</t>
        </is>
      </c>
      <c r="E798" s="34" t="inlineStr">
        <is>
          <t>Daniel Almeida</t>
        </is>
      </c>
      <c r="F798" s="35" t="inlineStr">
        <is>
          <t>Saúde Total</t>
        </is>
      </c>
      <c r="G798" s="35" t="inlineStr">
        <is>
          <t>Retorno</t>
        </is>
      </c>
      <c r="H798" s="35" t="inlineStr">
        <is>
          <t>Realizado</t>
        </is>
      </c>
      <c r="I798" s="35" t="inlineStr">
        <is>
          <t>Sem cobrança</t>
        </is>
      </c>
      <c r="J798" s="35" t="n"/>
      <c r="K798" s="34" t="n"/>
      <c r="L798" s="26">
        <f>IF(A798="","",MONTH(A798))</f>
        <v>8</v>
      </c>
      <c r="M798" s="26">
        <f>IF(A798="","",YEAR(A798))</f>
        <v>2026</v>
      </c>
      <c r="N798" s="26" t="str">
        <f>IF(A798="","",CHOOSE(WEEKDAY(A798,2),"Segunda","Terça","Quarta","Quinta","Sexta","Sábado","Domingo"))</f>
        <v>Quinta</v>
      </c>
      <c r="O798" s="26" t="str">
        <f>IF(B798="","",IF(B798&lt;TIME(12,0,0),"Manhã",IF(B798&lt;TIME(18,0,0),"Tarde","Noite")))</f>
        <v>Manhã</v>
      </c>
      <c r="P798" s="32">
        <f>IF(G798="","",IFERROR(INDEX(Config!$I$5:$I$16,MATCH(G798,Config!$H$5:$H$16,0)),0))</f>
        <v>0</v>
      </c>
      <c r="Q798" s="30">
        <f>IF(OR(H798&lt;&gt;"Realizado",P798="",P798=0),"",A798+P798)</f>
        <v/>
      </c>
      <c r="R798" s="26">
        <f>IF(Q798="","",IF(COUNTIFS($E$5:$E$3004,E798,$A$5:$A$3004,"&gt;"&amp;A798,$H$5:$H$3004,"&lt;&gt;Falta",$H$5:$H$3004,"&lt;&gt;Cancelado",$H$5:$H$3004,"&lt;&gt;Remarcado")&gt;0,"Sim","Não"))</f>
        <v/>
      </c>
      <c r="S798" s="32">
        <f>IF(R798&lt;&gt;"Não","",IF(Q798+Config!$B$9&lt;=Config!$B$8,Config!$B$8-Q798,""))</f>
        <v/>
      </c>
      <c r="T798" s="26">
        <f>IF(S798="","","Sim")</f>
        <v/>
      </c>
      <c r="U798" s="41">
        <f>IF(T798="Sim",S798+ROW()/100000,0)</f>
        <v>0</v>
      </c>
      <c r="V798" s="41">
        <f>IF(AND(H798="Falta",L798=Config!$B$7,M798=Config!$B$5,COUNTIFS($E$5:E798,E798,$H$5:H798,"Falta",$L$5:L798,Config!$B$7,$M$5:M798,Config!$B$5)=1),COUNTIFS($E$5:$E$3004,E798,$H$5:$H$3004,"Falta",$L$5:$L$3004,Config!$B$7,$M$5:$M$3004,Config!$B$5)*1000-ROW()/100000,0)</f>
        <v>0</v>
      </c>
    </row>
    <row r="799">
      <c r="A799" s="39" t="n">
        <v>46254</v>
      </c>
      <c r="B799" s="40" t="n">
        <v>0.3888888888888889</v>
      </c>
      <c r="C799" s="35" t="inlineStr">
        <is>
          <t>Dra. Carolina Mendes</t>
        </is>
      </c>
      <c r="D799" s="35" t="inlineStr">
        <is>
          <t>Sala 1</t>
        </is>
      </c>
      <c r="E799" s="34" t="inlineStr">
        <is>
          <t>Regina Macedo</t>
        </is>
      </c>
      <c r="F799" s="35" t="inlineStr">
        <is>
          <t>Particular</t>
        </is>
      </c>
      <c r="G799" s="35" t="inlineStr">
        <is>
          <t>Consulta</t>
        </is>
      </c>
      <c r="H799" s="35" t="inlineStr">
        <is>
          <t>Realizado</t>
        </is>
      </c>
      <c r="I799" s="35" t="inlineStr">
        <is>
          <t>Pix</t>
        </is>
      </c>
      <c r="J799" s="35" t="n"/>
      <c r="K799" s="34" t="n"/>
      <c r="L799" s="26">
        <f>IF(A799="","",MONTH(A799))</f>
        <v>8</v>
      </c>
      <c r="M799" s="26">
        <f>IF(A799="","",YEAR(A799))</f>
        <v>2026</v>
      </c>
      <c r="N799" s="26" t="str">
        <f>IF(A799="","",CHOOSE(WEEKDAY(A799,2),"Segunda","Terça","Quarta","Quinta","Sexta","Sábado","Domingo"))</f>
        <v>Quinta</v>
      </c>
      <c r="O799" s="26" t="str">
        <f>IF(B799="","",IF(B799&lt;TIME(12,0,0),"Manhã",IF(B799&lt;TIME(18,0,0),"Tarde","Noite")))</f>
        <v>Manhã</v>
      </c>
      <c r="P799" s="32">
        <f>IF(G799="","",IFERROR(INDEX(Config!$I$5:$I$16,MATCH(G799,Config!$H$5:$H$16,0)),0))</f>
        <v>30</v>
      </c>
      <c r="Q799" s="30">
        <f>IF(OR(H799&lt;&gt;"Realizado",P799="",P799=0),"",A799+P799)</f>
        <v>46284.0</v>
      </c>
      <c r="R799" s="26" t="str">
        <f>IF(Q799="","",IF(COUNTIFS($E$5:$E$3004,E799,$A$5:$A$3004,"&gt;"&amp;A799,$H$5:$H$3004,"&lt;&gt;Falta",$H$5:$H$3004,"&lt;&gt;Cancelado",$H$5:$H$3004,"&lt;&gt;Remarcado")&gt;0,"Sim","Não"))</f>
        <v>Sim</v>
      </c>
      <c r="S799" s="32">
        <f>IF(R799&lt;&gt;"Não","",IF(Q799+Config!$B$9&lt;=Config!$B$8,Config!$B$8-Q799,""))</f>
        <v/>
      </c>
      <c r="T799" s="26">
        <f>IF(S799="","","Sim")</f>
        <v/>
      </c>
      <c r="U799" s="41">
        <f>IF(T799="Sim",S799+ROW()/100000,0)</f>
        <v>0</v>
      </c>
      <c r="V799" s="41">
        <f>IF(AND(H799="Falta",L799=Config!$B$7,M799=Config!$B$5,COUNTIFS($E$5:E799,E799,$H$5:H799,"Falta",$L$5:L799,Config!$B$7,$M$5:M799,Config!$B$5)=1),COUNTIFS($E$5:$E$3004,E799,$H$5:$H$3004,"Falta",$L$5:$L$3004,Config!$B$7,$M$5:$M$3004,Config!$B$5)*1000-ROW()/100000,0)</f>
        <v>0</v>
      </c>
    </row>
    <row r="800">
      <c r="A800" s="39" t="n">
        <v>46254</v>
      </c>
      <c r="B800" s="40" t="n">
        <v>0.4097222222222222</v>
      </c>
      <c r="C800" s="35" t="inlineStr">
        <is>
          <t>Dra. Carolina Mendes</t>
        </is>
      </c>
      <c r="D800" s="35" t="inlineStr">
        <is>
          <t>Sala 1</t>
        </is>
      </c>
      <c r="E800" s="34" t="inlineStr">
        <is>
          <t>Eduardo Nunes</t>
        </is>
      </c>
      <c r="F800" s="35" t="inlineStr">
        <is>
          <t>MediPlan</t>
        </is>
      </c>
      <c r="G800" s="35" t="inlineStr">
        <is>
          <t>Consulta</t>
        </is>
      </c>
      <c r="H800" s="35" t="inlineStr">
        <is>
          <t>Realizado</t>
        </is>
      </c>
      <c r="I800" s="35" t="inlineStr">
        <is>
          <t>Convênio</t>
        </is>
      </c>
      <c r="J800" s="35" t="n"/>
      <c r="K800" s="34" t="n"/>
      <c r="L800" s="26">
        <f>IF(A800="","",MONTH(A800))</f>
        <v>8</v>
      </c>
      <c r="M800" s="26">
        <f>IF(A800="","",YEAR(A800))</f>
        <v>2026</v>
      </c>
      <c r="N800" s="26" t="str">
        <f>IF(A800="","",CHOOSE(WEEKDAY(A800,2),"Segunda","Terça","Quarta","Quinta","Sexta","Sábado","Domingo"))</f>
        <v>Quinta</v>
      </c>
      <c r="O800" s="26" t="str">
        <f>IF(B800="","",IF(B800&lt;TIME(12,0,0),"Manhã",IF(B800&lt;TIME(18,0,0),"Tarde","Noite")))</f>
        <v>Manhã</v>
      </c>
      <c r="P800" s="32">
        <f>IF(G800="","",IFERROR(INDEX(Config!$I$5:$I$16,MATCH(G800,Config!$H$5:$H$16,0)),0))</f>
        <v>30</v>
      </c>
      <c r="Q800" s="30">
        <f>IF(OR(H800&lt;&gt;"Realizado",P800="",P800=0),"",A800+P800)</f>
        <v>46284.0</v>
      </c>
      <c r="R800" s="26" t="str">
        <f>IF(Q800="","",IF(COUNTIFS($E$5:$E$3004,E800,$A$5:$A$3004,"&gt;"&amp;A800,$H$5:$H$3004,"&lt;&gt;Falta",$H$5:$H$3004,"&lt;&gt;Cancelado",$H$5:$H$3004,"&lt;&gt;Remarcado")&gt;0,"Sim","Não"))</f>
        <v>Sim</v>
      </c>
      <c r="S800" s="32">
        <f>IF(R800&lt;&gt;"Não","",IF(Q800+Config!$B$9&lt;=Config!$B$8,Config!$B$8-Q800,""))</f>
        <v/>
      </c>
      <c r="T800" s="26">
        <f>IF(S800="","","Sim")</f>
        <v/>
      </c>
      <c r="U800" s="41">
        <f>IF(T800="Sim",S800+ROW()/100000,0)</f>
        <v>0</v>
      </c>
      <c r="V800" s="41">
        <f>IF(AND(H800="Falta",L800=Config!$B$7,M800=Config!$B$5,COUNTIFS($E$5:E800,E800,$H$5:H800,"Falta",$L$5:L800,Config!$B$7,$M$5:M800,Config!$B$5)=1),COUNTIFS($E$5:$E$3004,E800,$H$5:$H$3004,"Falta",$L$5:$L$3004,Config!$B$7,$M$5:$M$3004,Config!$B$5)*1000-ROW()/100000,0)</f>
        <v>0</v>
      </c>
    </row>
    <row r="801">
      <c r="A801" s="39" t="n">
        <v>46254</v>
      </c>
      <c r="B801" s="40" t="n">
        <v>0.4513888888888889</v>
      </c>
      <c r="C801" s="35" t="inlineStr">
        <is>
          <t>Dra. Carolina Mendes</t>
        </is>
      </c>
      <c r="D801" s="35" t="inlineStr">
        <is>
          <t>Sala 1</t>
        </is>
      </c>
      <c r="E801" s="34" t="inlineStr">
        <is>
          <t>Mônica Teixeira</t>
        </is>
      </c>
      <c r="F801" s="35" t="inlineStr">
        <is>
          <t>Vida Care</t>
        </is>
      </c>
      <c r="G801" s="35" t="inlineStr">
        <is>
          <t>Consulta</t>
        </is>
      </c>
      <c r="H801" s="35" t="inlineStr">
        <is>
          <t>Realizado</t>
        </is>
      </c>
      <c r="I801" s="35" t="inlineStr">
        <is>
          <t>Convênio</t>
        </is>
      </c>
      <c r="J801" s="35" t="n"/>
      <c r="K801" s="34" t="n"/>
      <c r="L801" s="26">
        <f>IF(A801="","",MONTH(A801))</f>
        <v>8</v>
      </c>
      <c r="M801" s="26">
        <f>IF(A801="","",YEAR(A801))</f>
        <v>2026</v>
      </c>
      <c r="N801" s="26" t="str">
        <f>IF(A801="","",CHOOSE(WEEKDAY(A801,2),"Segunda","Terça","Quarta","Quinta","Sexta","Sábado","Domingo"))</f>
        <v>Quinta</v>
      </c>
      <c r="O801" s="26" t="str">
        <f>IF(B801="","",IF(B801&lt;TIME(12,0,0),"Manhã",IF(B801&lt;TIME(18,0,0),"Tarde","Noite")))</f>
        <v>Manhã</v>
      </c>
      <c r="P801" s="32">
        <f>IF(G801="","",IFERROR(INDEX(Config!$I$5:$I$16,MATCH(G801,Config!$H$5:$H$16,0)),0))</f>
        <v>30</v>
      </c>
      <c r="Q801" s="30">
        <f>IF(OR(H801&lt;&gt;"Realizado",P801="",P801=0),"",A801+P801)</f>
        <v>46284.0</v>
      </c>
      <c r="R801" s="26" t="str">
        <f>IF(Q801="","",IF(COUNTIFS($E$5:$E$3004,E801,$A$5:$A$3004,"&gt;"&amp;A801,$H$5:$H$3004,"&lt;&gt;Falta",$H$5:$H$3004,"&lt;&gt;Cancelado",$H$5:$H$3004,"&lt;&gt;Remarcado")&gt;0,"Sim","Não"))</f>
        <v>Sim</v>
      </c>
      <c r="S801" s="32">
        <f>IF(R801&lt;&gt;"Não","",IF(Q801+Config!$B$9&lt;=Config!$B$8,Config!$B$8-Q801,""))</f>
        <v/>
      </c>
      <c r="T801" s="26">
        <f>IF(S801="","","Sim")</f>
        <v/>
      </c>
      <c r="U801" s="41">
        <f>IF(T801="Sim",S801+ROW()/100000,0)</f>
        <v>0</v>
      </c>
      <c r="V801" s="41">
        <f>IF(AND(H801="Falta",L801=Config!$B$7,M801=Config!$B$5,COUNTIFS($E$5:E801,E801,$H$5:H801,"Falta",$L$5:L801,Config!$B$7,$M$5:M801,Config!$B$5)=1),COUNTIFS($E$5:$E$3004,E801,$H$5:$H$3004,"Falta",$L$5:$L$3004,Config!$B$7,$M$5:$M$3004,Config!$B$5)*1000-ROW()/100000,0)</f>
        <v>0</v>
      </c>
    </row>
    <row r="802">
      <c r="A802" s="39" t="n">
        <v>46254</v>
      </c>
      <c r="B802" s="40" t="n">
        <v>0.4722222222222222</v>
      </c>
      <c r="C802" s="35" t="inlineStr">
        <is>
          <t>Dra. Carolina Mendes</t>
        </is>
      </c>
      <c r="D802" s="35" t="inlineStr">
        <is>
          <t>Sala 1</t>
        </is>
      </c>
      <c r="E802" s="34" t="inlineStr">
        <is>
          <t>Otávio Cardoso</t>
        </is>
      </c>
      <c r="F802" s="35" t="inlineStr">
        <is>
          <t>Particular</t>
        </is>
      </c>
      <c r="G802" s="35" t="inlineStr">
        <is>
          <t>Consulta</t>
        </is>
      </c>
      <c r="H802" s="35" t="inlineStr">
        <is>
          <t>Cancelado</t>
        </is>
      </c>
      <c r="I802" s="35" t="n"/>
      <c r="J802" s="35" t="n"/>
      <c r="K802" s="34" t="n"/>
      <c r="L802" s="26">
        <f>IF(A802="","",MONTH(A802))</f>
        <v>8</v>
      </c>
      <c r="M802" s="26">
        <f>IF(A802="","",YEAR(A802))</f>
        <v>2026</v>
      </c>
      <c r="N802" s="26" t="str">
        <f>IF(A802="","",CHOOSE(WEEKDAY(A802,2),"Segunda","Terça","Quarta","Quinta","Sexta","Sábado","Domingo"))</f>
        <v>Quinta</v>
      </c>
      <c r="O802" s="26" t="str">
        <f>IF(B802="","",IF(B802&lt;TIME(12,0,0),"Manhã",IF(B802&lt;TIME(18,0,0),"Tarde","Noite")))</f>
        <v>Manhã</v>
      </c>
      <c r="P802" s="32">
        <f>IF(G802="","",IFERROR(INDEX(Config!$I$5:$I$16,MATCH(G802,Config!$H$5:$H$16,0)),0))</f>
        <v>30</v>
      </c>
      <c r="Q802" s="30">
        <f>IF(OR(H802&lt;&gt;"Realizado",P802="",P802=0),"",A802+P802)</f>
        <v/>
      </c>
      <c r="R802" s="26">
        <f>IF(Q802="","",IF(COUNTIFS($E$5:$E$3004,E802,$A$5:$A$3004,"&gt;"&amp;A802,$H$5:$H$3004,"&lt;&gt;Falta",$H$5:$H$3004,"&lt;&gt;Cancelado",$H$5:$H$3004,"&lt;&gt;Remarcado")&gt;0,"Sim","Não"))</f>
        <v/>
      </c>
      <c r="S802" s="32">
        <f>IF(R802&lt;&gt;"Não","",IF(Q802+Config!$B$9&lt;=Config!$B$8,Config!$B$8-Q802,""))</f>
        <v/>
      </c>
      <c r="T802" s="26">
        <f>IF(S802="","","Sim")</f>
        <v/>
      </c>
      <c r="U802" s="41">
        <f>IF(T802="Sim",S802+ROW()/100000,0)</f>
        <v>0</v>
      </c>
      <c r="V802" s="41">
        <f>IF(AND(H802="Falta",L802=Config!$B$7,M802=Config!$B$5,COUNTIFS($E$5:E802,E802,$H$5:H802,"Falta",$L$5:L802,Config!$B$7,$M$5:M802,Config!$B$5)=1),COUNTIFS($E$5:$E$3004,E802,$H$5:$H$3004,"Falta",$L$5:$L$3004,Config!$B$7,$M$5:$M$3004,Config!$B$5)*1000-ROW()/100000,0)</f>
        <v>0</v>
      </c>
    </row>
    <row r="803">
      <c r="A803" s="39" t="n">
        <v>46254</v>
      </c>
      <c r="B803" s="40" t="n">
        <v>0.5833333333333334</v>
      </c>
      <c r="C803" s="35" t="inlineStr">
        <is>
          <t>Dra. Renata Sousa</t>
        </is>
      </c>
      <c r="D803" s="35" t="inlineStr">
        <is>
          <t>Sala 1</t>
        </is>
      </c>
      <c r="E803" s="34" t="inlineStr">
        <is>
          <t>Beatriz Monteiro</t>
        </is>
      </c>
      <c r="F803" s="35" t="inlineStr">
        <is>
          <t>Particular</t>
        </is>
      </c>
      <c r="G803" s="35" t="inlineStr">
        <is>
          <t>Avaliação endócrina</t>
        </is>
      </c>
      <c r="H803" s="35" t="inlineStr">
        <is>
          <t>Cancelado</t>
        </is>
      </c>
      <c r="I803" s="35" t="n"/>
      <c r="J803" s="35" t="n"/>
      <c r="K803" s="34" t="n"/>
      <c r="L803" s="26">
        <f>IF(A803="","",MONTH(A803))</f>
        <v>8</v>
      </c>
      <c r="M803" s="26">
        <f>IF(A803="","",YEAR(A803))</f>
        <v>2026</v>
      </c>
      <c r="N803" s="26" t="str">
        <f>IF(A803="","",CHOOSE(WEEKDAY(A803,2),"Segunda","Terça","Quarta","Quinta","Sexta","Sábado","Domingo"))</f>
        <v>Quinta</v>
      </c>
      <c r="O803" s="26" t="str">
        <f>IF(B803="","",IF(B803&lt;TIME(12,0,0),"Manhã",IF(B803&lt;TIME(18,0,0),"Tarde","Noite")))</f>
        <v>Tarde</v>
      </c>
      <c r="P803" s="32">
        <f>IF(G803="","",IFERROR(INDEX(Config!$I$5:$I$16,MATCH(G803,Config!$H$5:$H$16,0)),0))</f>
        <v>45</v>
      </c>
      <c r="Q803" s="30">
        <f>IF(OR(H803&lt;&gt;"Realizado",P803="",P803=0),"",A803+P803)</f>
        <v/>
      </c>
      <c r="R803" s="26">
        <f>IF(Q803="","",IF(COUNTIFS($E$5:$E$3004,E803,$A$5:$A$3004,"&gt;"&amp;A803,$H$5:$H$3004,"&lt;&gt;Falta",$H$5:$H$3004,"&lt;&gt;Cancelado",$H$5:$H$3004,"&lt;&gt;Remarcado")&gt;0,"Sim","Não"))</f>
        <v/>
      </c>
      <c r="S803" s="32">
        <f>IF(R803&lt;&gt;"Não","",IF(Q803+Config!$B$9&lt;=Config!$B$8,Config!$B$8-Q803,""))</f>
        <v/>
      </c>
      <c r="T803" s="26">
        <f>IF(S803="","","Sim")</f>
        <v/>
      </c>
      <c r="U803" s="41">
        <f>IF(T803="Sim",S803+ROW()/100000,0)</f>
        <v>0</v>
      </c>
      <c r="V803" s="41">
        <f>IF(AND(H803="Falta",L803=Config!$B$7,M803=Config!$B$5,COUNTIFS($E$5:E803,E803,$H$5:H803,"Falta",$L$5:L803,Config!$B$7,$M$5:M803,Config!$B$5)=1),COUNTIFS($E$5:$E$3004,E803,$H$5:$H$3004,"Falta",$L$5:$L$3004,Config!$B$7,$M$5:$M$3004,Config!$B$5)*1000-ROW()/100000,0)</f>
        <v>0</v>
      </c>
    </row>
    <row r="804">
      <c r="A804" s="39" t="n">
        <v>46254</v>
      </c>
      <c r="B804" s="40" t="n">
        <v>0.6041666666666666</v>
      </c>
      <c r="C804" s="35" t="inlineStr">
        <is>
          <t>Dr. Paulo Andrade</t>
        </is>
      </c>
      <c r="D804" s="35" t="inlineStr">
        <is>
          <t>Sala 2</t>
        </is>
      </c>
      <c r="E804" s="34" t="inlineStr">
        <is>
          <t>Viviane Ribeiro</t>
        </is>
      </c>
      <c r="F804" s="35" t="inlineStr">
        <is>
          <t>Particular</t>
        </is>
      </c>
      <c r="G804" s="35" t="inlineStr">
        <is>
          <t>Teste ergométrico</t>
        </is>
      </c>
      <c r="H804" s="35" t="inlineStr">
        <is>
          <t>Realizado</t>
        </is>
      </c>
      <c r="I804" s="35" t="inlineStr">
        <is>
          <t>Pix</t>
        </is>
      </c>
      <c r="J804" s="35" t="n"/>
      <c r="K804" s="34" t="n"/>
      <c r="L804" s="26">
        <f>IF(A804="","",MONTH(A804))</f>
        <v>8</v>
      </c>
      <c r="M804" s="26">
        <f>IF(A804="","",YEAR(A804))</f>
        <v>2026</v>
      </c>
      <c r="N804" s="26" t="str">
        <f>IF(A804="","",CHOOSE(WEEKDAY(A804,2),"Segunda","Terça","Quarta","Quinta","Sexta","Sábado","Domingo"))</f>
        <v>Quinta</v>
      </c>
      <c r="O804" s="26" t="str">
        <f>IF(B804="","",IF(B804&lt;TIME(12,0,0),"Manhã",IF(B804&lt;TIME(18,0,0),"Tarde","Noite")))</f>
        <v>Tarde</v>
      </c>
      <c r="P804" s="32">
        <f>IF(G804="","",IFERROR(INDEX(Config!$I$5:$I$16,MATCH(G804,Config!$H$5:$H$16,0)),0))</f>
        <v>0</v>
      </c>
      <c r="Q804" s="30">
        <f>IF(OR(H804&lt;&gt;"Realizado",P804="",P804=0),"",A804+P804)</f>
        <v/>
      </c>
      <c r="R804" s="26">
        <f>IF(Q804="","",IF(COUNTIFS($E$5:$E$3004,E804,$A$5:$A$3004,"&gt;"&amp;A804,$H$5:$H$3004,"&lt;&gt;Falta",$H$5:$H$3004,"&lt;&gt;Cancelado",$H$5:$H$3004,"&lt;&gt;Remarcado")&gt;0,"Sim","Não"))</f>
        <v/>
      </c>
      <c r="S804" s="32">
        <f>IF(R804&lt;&gt;"Não","",IF(Q804+Config!$B$9&lt;=Config!$B$8,Config!$B$8-Q804,""))</f>
        <v/>
      </c>
      <c r="T804" s="26">
        <f>IF(S804="","","Sim")</f>
        <v/>
      </c>
      <c r="U804" s="41">
        <f>IF(T804="Sim",S804+ROW()/100000,0)</f>
        <v>0</v>
      </c>
      <c r="V804" s="41">
        <f>IF(AND(H804="Falta",L804=Config!$B$7,M804=Config!$B$5,COUNTIFS($E$5:E804,E804,$H$5:H804,"Falta",$L$5:L804,Config!$B$7,$M$5:M804,Config!$B$5)=1),COUNTIFS($E$5:$E$3004,E804,$H$5:$H$3004,"Falta",$L$5:$L$3004,Config!$B$7,$M$5:$M$3004,Config!$B$5)*1000-ROW()/100000,0)</f>
        <v>0</v>
      </c>
    </row>
    <row r="805">
      <c r="A805" s="39" t="n">
        <v>46254</v>
      </c>
      <c r="B805" s="40" t="n">
        <v>0.6319444444444444</v>
      </c>
      <c r="C805" s="35" t="inlineStr">
        <is>
          <t>Dra. Renata Sousa</t>
        </is>
      </c>
      <c r="D805" s="35" t="inlineStr">
        <is>
          <t>Sala 1</t>
        </is>
      </c>
      <c r="E805" s="34" t="inlineStr">
        <is>
          <t>Patrícia Dias</t>
        </is>
      </c>
      <c r="F805" s="35" t="inlineStr">
        <is>
          <t>Particular</t>
        </is>
      </c>
      <c r="G805" s="35" t="inlineStr">
        <is>
          <t>Avaliação endócrina</t>
        </is>
      </c>
      <c r="H805" s="35" t="inlineStr">
        <is>
          <t>Realizado</t>
        </is>
      </c>
      <c r="I805" s="35" t="inlineStr">
        <is>
          <t>Cartão de crédito</t>
        </is>
      </c>
      <c r="J805" s="35" t="n">
        <v>2</v>
      </c>
      <c r="K805" s="34" t="n"/>
      <c r="L805" s="26">
        <f>IF(A805="","",MONTH(A805))</f>
        <v>8</v>
      </c>
      <c r="M805" s="26">
        <f>IF(A805="","",YEAR(A805))</f>
        <v>2026</v>
      </c>
      <c r="N805" s="26" t="str">
        <f>IF(A805="","",CHOOSE(WEEKDAY(A805,2),"Segunda","Terça","Quarta","Quinta","Sexta","Sábado","Domingo"))</f>
        <v>Quinta</v>
      </c>
      <c r="O805" s="26" t="str">
        <f>IF(B805="","",IF(B805&lt;TIME(12,0,0),"Manhã",IF(B805&lt;TIME(18,0,0),"Tarde","Noite")))</f>
        <v>Tarde</v>
      </c>
      <c r="P805" s="32">
        <f>IF(G805="","",IFERROR(INDEX(Config!$I$5:$I$16,MATCH(G805,Config!$H$5:$H$16,0)),0))</f>
        <v>45</v>
      </c>
      <c r="Q805" s="30">
        <f>IF(OR(H805&lt;&gt;"Realizado",P805="",P805=0),"",A805+P805)</f>
        <v>46299.0</v>
      </c>
      <c r="R805" s="26" t="str">
        <f>IF(Q805="","",IF(COUNTIFS($E$5:$E$3004,E805,$A$5:$A$3004,"&gt;"&amp;A805,$H$5:$H$3004,"&lt;&gt;Falta",$H$5:$H$3004,"&lt;&gt;Cancelado",$H$5:$H$3004,"&lt;&gt;Remarcado")&gt;0,"Sim","Não"))</f>
        <v>Sim</v>
      </c>
      <c r="S805" s="32">
        <f>IF(R805&lt;&gt;"Não","",IF(Q805+Config!$B$9&lt;=Config!$B$8,Config!$B$8-Q805,""))</f>
        <v/>
      </c>
      <c r="T805" s="26">
        <f>IF(S805="","","Sim")</f>
        <v/>
      </c>
      <c r="U805" s="41">
        <f>IF(T805="Sim",S805+ROW()/100000,0)</f>
        <v>0</v>
      </c>
      <c r="V805" s="41">
        <f>IF(AND(H805="Falta",L805=Config!$B$7,M805=Config!$B$5,COUNTIFS($E$5:E805,E805,$H$5:H805,"Falta",$L$5:L805,Config!$B$7,$M$5:M805,Config!$B$5)=1),COUNTIFS($E$5:$E$3004,E805,$H$5:$H$3004,"Falta",$L$5:$L$3004,Config!$B$7,$M$5:$M$3004,Config!$B$5)*1000-ROW()/100000,0)</f>
        <v>0</v>
      </c>
    </row>
    <row r="806">
      <c r="A806" s="39" t="n">
        <v>46254</v>
      </c>
      <c r="B806" s="40" t="n">
        <v>0.6319444444444444</v>
      </c>
      <c r="C806" s="35" t="inlineStr">
        <is>
          <t>Dr. Paulo Andrade</t>
        </is>
      </c>
      <c r="D806" s="35" t="inlineStr">
        <is>
          <t>Sala 2</t>
        </is>
      </c>
      <c r="E806" s="34" t="inlineStr">
        <is>
          <t>Wagner Costa</t>
        </is>
      </c>
      <c r="F806" s="35" t="inlineStr">
        <is>
          <t>Particular</t>
        </is>
      </c>
      <c r="G806" s="35" t="inlineStr">
        <is>
          <t>Consulta</t>
        </is>
      </c>
      <c r="H806" s="35" t="inlineStr">
        <is>
          <t>Realizado</t>
        </is>
      </c>
      <c r="I806" s="35" t="inlineStr">
        <is>
          <t>Pix</t>
        </is>
      </c>
      <c r="J806" s="35" t="n"/>
      <c r="K806" s="34" t="n"/>
      <c r="L806" s="26">
        <f>IF(A806="","",MONTH(A806))</f>
        <v>8</v>
      </c>
      <c r="M806" s="26">
        <f>IF(A806="","",YEAR(A806))</f>
        <v>2026</v>
      </c>
      <c r="N806" s="26" t="str">
        <f>IF(A806="","",CHOOSE(WEEKDAY(A806,2),"Segunda","Terça","Quarta","Quinta","Sexta","Sábado","Domingo"))</f>
        <v>Quinta</v>
      </c>
      <c r="O806" s="26" t="str">
        <f>IF(B806="","",IF(B806&lt;TIME(12,0,0),"Manhã",IF(B806&lt;TIME(18,0,0),"Tarde","Noite")))</f>
        <v>Tarde</v>
      </c>
      <c r="P806" s="32">
        <f>IF(G806="","",IFERROR(INDEX(Config!$I$5:$I$16,MATCH(G806,Config!$H$5:$H$16,0)),0))</f>
        <v>30</v>
      </c>
      <c r="Q806" s="30">
        <f>IF(OR(H806&lt;&gt;"Realizado",P806="",P806=0),"",A806+P806)</f>
        <v>46284.0</v>
      </c>
      <c r="R806" s="26" t="str">
        <f>IF(Q806="","",IF(COUNTIFS($E$5:$E$3004,E806,$A$5:$A$3004,"&gt;"&amp;A806,$H$5:$H$3004,"&lt;&gt;Falta",$H$5:$H$3004,"&lt;&gt;Cancelado",$H$5:$H$3004,"&lt;&gt;Remarcado")&gt;0,"Sim","Não"))</f>
        <v>Sim</v>
      </c>
      <c r="S806" s="32">
        <f>IF(R806&lt;&gt;"Não","",IF(Q806+Config!$B$9&lt;=Config!$B$8,Config!$B$8-Q806,""))</f>
        <v/>
      </c>
      <c r="T806" s="26">
        <f>IF(S806="","","Sim")</f>
        <v/>
      </c>
      <c r="U806" s="41">
        <f>IF(T806="Sim",S806+ROW()/100000,0)</f>
        <v>0</v>
      </c>
      <c r="V806" s="41">
        <f>IF(AND(H806="Falta",L806=Config!$B$7,M806=Config!$B$5,COUNTIFS($E$5:E806,E806,$H$5:H806,"Falta",$L$5:L806,Config!$B$7,$M$5:M806,Config!$B$5)=1),COUNTIFS($E$5:$E$3004,E806,$H$5:$H$3004,"Falta",$L$5:$L$3004,Config!$B$7,$M$5:$M$3004,Config!$B$5)*1000-ROW()/100000,0)</f>
        <v>0</v>
      </c>
    </row>
    <row r="807">
      <c r="A807" s="39" t="n">
        <v>46254</v>
      </c>
      <c r="B807" s="40" t="n">
        <v>0.6527777777777778</v>
      </c>
      <c r="C807" s="35" t="inlineStr">
        <is>
          <t>Dr. Paulo Andrade</t>
        </is>
      </c>
      <c r="D807" s="35" t="inlineStr">
        <is>
          <t>Sala 2</t>
        </is>
      </c>
      <c r="E807" s="34" t="inlineStr">
        <is>
          <t>Regina Teixeira</t>
        </is>
      </c>
      <c r="F807" s="35" t="inlineStr">
        <is>
          <t>Particular</t>
        </is>
      </c>
      <c r="G807" s="35" t="inlineStr">
        <is>
          <t>Consulta</t>
        </is>
      </c>
      <c r="H807" s="35" t="inlineStr">
        <is>
          <t>Realizado</t>
        </is>
      </c>
      <c r="I807" s="35" t="inlineStr">
        <is>
          <t>Pix</t>
        </is>
      </c>
      <c r="J807" s="35" t="n"/>
      <c r="K807" s="34" t="inlineStr">
        <is>
          <t>Check-up cardiológico (consulta + ECG + teste ergométrico)</t>
        </is>
      </c>
      <c r="L807" s="26">
        <f>IF(A807="","",MONTH(A807))</f>
        <v>8</v>
      </c>
      <c r="M807" s="26">
        <f>IF(A807="","",YEAR(A807))</f>
        <v>2026</v>
      </c>
      <c r="N807" s="26" t="str">
        <f>IF(A807="","",CHOOSE(WEEKDAY(A807,2),"Segunda","Terça","Quarta","Quinta","Sexta","Sábado","Domingo"))</f>
        <v>Quinta</v>
      </c>
      <c r="O807" s="26" t="str">
        <f>IF(B807="","",IF(B807&lt;TIME(12,0,0),"Manhã",IF(B807&lt;TIME(18,0,0),"Tarde","Noite")))</f>
        <v>Tarde</v>
      </c>
      <c r="P807" s="32">
        <f>IF(G807="","",IFERROR(INDEX(Config!$I$5:$I$16,MATCH(G807,Config!$H$5:$H$16,0)),0))</f>
        <v>30</v>
      </c>
      <c r="Q807" s="30">
        <f>IF(OR(H807&lt;&gt;"Realizado",P807="",P807=0),"",A807+P807)</f>
        <v>46284.0</v>
      </c>
      <c r="R807" s="26" t="str">
        <f>IF(Q807="","",IF(COUNTIFS($E$5:$E$3004,E807,$A$5:$A$3004,"&gt;"&amp;A807,$H$5:$H$3004,"&lt;&gt;Falta",$H$5:$H$3004,"&lt;&gt;Cancelado",$H$5:$H$3004,"&lt;&gt;Remarcado")&gt;0,"Sim","Não"))</f>
        <v>Sim</v>
      </c>
      <c r="S807" s="32">
        <f>IF(R807&lt;&gt;"Não","",IF(Q807+Config!$B$9&lt;=Config!$B$8,Config!$B$8-Q807,""))</f>
        <v/>
      </c>
      <c r="T807" s="26">
        <f>IF(S807="","","Sim")</f>
        <v/>
      </c>
      <c r="U807" s="41">
        <f>IF(T807="Sim",S807+ROW()/100000,0)</f>
        <v>0</v>
      </c>
      <c r="V807" s="41">
        <f>IF(AND(H807="Falta",L807=Config!$B$7,M807=Config!$B$5,COUNTIFS($E$5:E807,E807,$H$5:H807,"Falta",$L$5:L807,Config!$B$7,$M$5:M807,Config!$B$5)=1),COUNTIFS($E$5:$E$3004,E807,$H$5:$H$3004,"Falta",$L$5:$L$3004,Config!$B$7,$M$5:$M$3004,Config!$B$5)*1000-ROW()/100000,0)</f>
        <v>0</v>
      </c>
    </row>
    <row r="808">
      <c r="A808" s="39" t="n">
        <v>46254</v>
      </c>
      <c r="B808" s="40" t="n">
        <v>0.6597222222222222</v>
      </c>
      <c r="C808" s="35" t="inlineStr">
        <is>
          <t>Dra. Renata Sousa</t>
        </is>
      </c>
      <c r="D808" s="35" t="inlineStr">
        <is>
          <t>Sala 1</t>
        </is>
      </c>
      <c r="E808" s="34" t="inlineStr">
        <is>
          <t>Beatriz Monteiro</t>
        </is>
      </c>
      <c r="F808" s="35" t="inlineStr">
        <is>
          <t>Particular</t>
        </is>
      </c>
      <c r="G808" s="35" t="inlineStr">
        <is>
          <t>Avaliação endócrina</t>
        </is>
      </c>
      <c r="H808" s="35" t="inlineStr">
        <is>
          <t>Realizado</t>
        </is>
      </c>
      <c r="I808" s="35" t="inlineStr">
        <is>
          <t>Cartão de débito</t>
        </is>
      </c>
      <c r="J808" s="35" t="n"/>
      <c r="K808" s="34" t="n"/>
      <c r="L808" s="26">
        <f>IF(A808="","",MONTH(A808))</f>
        <v>8</v>
      </c>
      <c r="M808" s="26">
        <f>IF(A808="","",YEAR(A808))</f>
        <v>2026</v>
      </c>
      <c r="N808" s="26" t="str">
        <f>IF(A808="","",CHOOSE(WEEKDAY(A808,2),"Segunda","Terça","Quarta","Quinta","Sexta","Sábado","Domingo"))</f>
        <v>Quinta</v>
      </c>
      <c r="O808" s="26" t="str">
        <f>IF(B808="","",IF(B808&lt;TIME(12,0,0),"Manhã",IF(B808&lt;TIME(18,0,0),"Tarde","Noite")))</f>
        <v>Tarde</v>
      </c>
      <c r="P808" s="32">
        <f>IF(G808="","",IFERROR(INDEX(Config!$I$5:$I$16,MATCH(G808,Config!$H$5:$H$16,0)),0))</f>
        <v>45</v>
      </c>
      <c r="Q808" s="30">
        <f>IF(OR(H808&lt;&gt;"Realizado",P808="",P808=0),"",A808+P808)</f>
        <v>46299.0</v>
      </c>
      <c r="R808" s="26" t="str">
        <f>IF(Q808="","",IF(COUNTIFS($E$5:$E$3004,E808,$A$5:$A$3004,"&gt;"&amp;A808,$H$5:$H$3004,"&lt;&gt;Falta",$H$5:$H$3004,"&lt;&gt;Cancelado",$H$5:$H$3004,"&lt;&gt;Remarcado")&gt;0,"Sim","Não"))</f>
        <v>Sim</v>
      </c>
      <c r="S808" s="32">
        <f>IF(R808&lt;&gt;"Não","",IF(Q808+Config!$B$9&lt;=Config!$B$8,Config!$B$8-Q808,""))</f>
        <v/>
      </c>
      <c r="T808" s="26">
        <f>IF(S808="","","Sim")</f>
        <v/>
      </c>
      <c r="U808" s="41">
        <f>IF(T808="Sim",S808+ROW()/100000,0)</f>
        <v>0</v>
      </c>
      <c r="V808" s="41">
        <f>IF(AND(H808="Falta",L808=Config!$B$7,M808=Config!$B$5,COUNTIFS($E$5:E808,E808,$H$5:H808,"Falta",$L$5:L808,Config!$B$7,$M$5:M808,Config!$B$5)=1),COUNTIFS($E$5:$E$3004,E808,$H$5:$H$3004,"Falta",$L$5:$L$3004,Config!$B$7,$M$5:$M$3004,Config!$B$5)*1000-ROW()/100000,0)</f>
        <v>0</v>
      </c>
    </row>
    <row r="809">
      <c r="A809" s="39" t="n">
        <v>46254</v>
      </c>
      <c r="B809" s="40" t="n">
        <v>0.6736111111111112</v>
      </c>
      <c r="C809" s="35" t="inlineStr">
        <is>
          <t>Dr. Paulo Andrade</t>
        </is>
      </c>
      <c r="D809" s="35" t="inlineStr">
        <is>
          <t>Sala 2</t>
        </is>
      </c>
      <c r="E809" s="34" t="inlineStr">
        <is>
          <t>Regina Teixeira</t>
        </is>
      </c>
      <c r="F809" s="35" t="inlineStr">
        <is>
          <t>Particular</t>
        </is>
      </c>
      <c r="G809" s="35" t="inlineStr">
        <is>
          <t>ECG</t>
        </is>
      </c>
      <c r="H809" s="35" t="inlineStr">
        <is>
          <t>Realizado</t>
        </is>
      </c>
      <c r="I809" s="35" t="inlineStr">
        <is>
          <t>Pix</t>
        </is>
      </c>
      <c r="J809" s="35" t="n"/>
      <c r="K809" s="34" t="inlineStr">
        <is>
          <t>Check-up cardiológico (consulta + ECG + teste ergométrico)</t>
        </is>
      </c>
      <c r="L809" s="26">
        <f>IF(A809="","",MONTH(A809))</f>
        <v>8</v>
      </c>
      <c r="M809" s="26">
        <f>IF(A809="","",YEAR(A809))</f>
        <v>2026</v>
      </c>
      <c r="N809" s="26" t="str">
        <f>IF(A809="","",CHOOSE(WEEKDAY(A809,2),"Segunda","Terça","Quarta","Quinta","Sexta","Sábado","Domingo"))</f>
        <v>Quinta</v>
      </c>
      <c r="O809" s="26" t="str">
        <f>IF(B809="","",IF(B809&lt;TIME(12,0,0),"Manhã",IF(B809&lt;TIME(18,0,0),"Tarde","Noite")))</f>
        <v>Tarde</v>
      </c>
      <c r="P809" s="32">
        <f>IF(G809="","",IFERROR(INDEX(Config!$I$5:$I$16,MATCH(G809,Config!$H$5:$H$16,0)),0))</f>
        <v>0</v>
      </c>
      <c r="Q809" s="30">
        <f>IF(OR(H809&lt;&gt;"Realizado",P809="",P809=0),"",A809+P809)</f>
        <v/>
      </c>
      <c r="R809" s="26">
        <f>IF(Q809="","",IF(COUNTIFS($E$5:$E$3004,E809,$A$5:$A$3004,"&gt;"&amp;A809,$H$5:$H$3004,"&lt;&gt;Falta",$H$5:$H$3004,"&lt;&gt;Cancelado",$H$5:$H$3004,"&lt;&gt;Remarcado")&gt;0,"Sim","Não"))</f>
        <v/>
      </c>
      <c r="S809" s="32">
        <f>IF(R809&lt;&gt;"Não","",IF(Q809+Config!$B$9&lt;=Config!$B$8,Config!$B$8-Q809,""))</f>
        <v/>
      </c>
      <c r="T809" s="26">
        <f>IF(S809="","","Sim")</f>
        <v/>
      </c>
      <c r="U809" s="41">
        <f>IF(T809="Sim",S809+ROW()/100000,0)</f>
        <v>0</v>
      </c>
      <c r="V809" s="41">
        <f>IF(AND(H809="Falta",L809=Config!$B$7,M809=Config!$B$5,COUNTIFS($E$5:E809,E809,$H$5:H809,"Falta",$L$5:L809,Config!$B$7,$M$5:M809,Config!$B$5)=1),COUNTIFS($E$5:$E$3004,E809,$H$5:$H$3004,"Falta",$L$5:$L$3004,Config!$B$7,$M$5:$M$3004,Config!$B$5)*1000-ROW()/100000,0)</f>
        <v>0</v>
      </c>
    </row>
    <row r="810">
      <c r="A810" s="39" t="n">
        <v>46254</v>
      </c>
      <c r="B810" s="40" t="n">
        <v>0.6875</v>
      </c>
      <c r="C810" s="35" t="inlineStr">
        <is>
          <t>Dra. Renata Sousa</t>
        </is>
      </c>
      <c r="D810" s="35" t="inlineStr">
        <is>
          <t>Sala 1</t>
        </is>
      </c>
      <c r="E810" s="34" t="inlineStr">
        <is>
          <t>Isabela Xavier</t>
        </is>
      </c>
      <c r="F810" s="35" t="inlineStr">
        <is>
          <t>Particular</t>
        </is>
      </c>
      <c r="G810" s="35" t="inlineStr">
        <is>
          <t>Avaliação endócrina</t>
        </is>
      </c>
      <c r="H810" s="35" t="inlineStr">
        <is>
          <t>Realizado</t>
        </is>
      </c>
      <c r="I810" s="35" t="inlineStr">
        <is>
          <t>Cartão de crédito</t>
        </is>
      </c>
      <c r="J810" s="35" t="n"/>
      <c r="K810" s="34" t="n"/>
      <c r="L810" s="26">
        <f>IF(A810="","",MONTH(A810))</f>
        <v>8</v>
      </c>
      <c r="M810" s="26">
        <f>IF(A810="","",YEAR(A810))</f>
        <v>2026</v>
      </c>
      <c r="N810" s="26" t="str">
        <f>IF(A810="","",CHOOSE(WEEKDAY(A810,2),"Segunda","Terça","Quarta","Quinta","Sexta","Sábado","Domingo"))</f>
        <v>Quinta</v>
      </c>
      <c r="O810" s="26" t="str">
        <f>IF(B810="","",IF(B810&lt;TIME(12,0,0),"Manhã",IF(B810&lt;TIME(18,0,0),"Tarde","Noite")))</f>
        <v>Tarde</v>
      </c>
      <c r="P810" s="32">
        <f>IF(G810="","",IFERROR(INDEX(Config!$I$5:$I$16,MATCH(G810,Config!$H$5:$H$16,0)),0))</f>
        <v>45</v>
      </c>
      <c r="Q810" s="30">
        <f>IF(OR(H810&lt;&gt;"Realizado",P810="",P810=0),"",A810+P810)</f>
        <v>46299.0</v>
      </c>
      <c r="R810" s="26" t="str">
        <f>IF(Q810="","",IF(COUNTIFS($E$5:$E$3004,E810,$A$5:$A$3004,"&gt;"&amp;A810,$H$5:$H$3004,"&lt;&gt;Falta",$H$5:$H$3004,"&lt;&gt;Cancelado",$H$5:$H$3004,"&lt;&gt;Remarcado")&gt;0,"Sim","Não"))</f>
        <v>Sim</v>
      </c>
      <c r="S810" s="32">
        <f>IF(R810&lt;&gt;"Não","",IF(Q810+Config!$B$9&lt;=Config!$B$8,Config!$B$8-Q810,""))</f>
        <v/>
      </c>
      <c r="T810" s="26">
        <f>IF(S810="","","Sim")</f>
        <v/>
      </c>
      <c r="U810" s="41">
        <f>IF(T810="Sim",S810+ROW()/100000,0)</f>
        <v>0</v>
      </c>
      <c r="V810" s="41">
        <f>IF(AND(H810="Falta",L810=Config!$B$7,M810=Config!$B$5,COUNTIFS($E$5:E810,E810,$H$5:H810,"Falta",$L$5:L810,Config!$B$7,$M$5:M810,Config!$B$5)=1),COUNTIFS($E$5:$E$3004,E810,$H$5:$H$3004,"Falta",$L$5:$L$3004,Config!$B$7,$M$5:$M$3004,Config!$B$5)*1000-ROW()/100000,0)</f>
        <v>0</v>
      </c>
    </row>
    <row r="811">
      <c r="A811" s="39" t="n">
        <v>46254</v>
      </c>
      <c r="B811" s="40" t="n">
        <v>0.6875</v>
      </c>
      <c r="C811" s="35" t="inlineStr">
        <is>
          <t>Dr. Paulo Andrade</t>
        </is>
      </c>
      <c r="D811" s="35" t="inlineStr">
        <is>
          <t>Sala 2</t>
        </is>
      </c>
      <c r="E811" s="34" t="inlineStr">
        <is>
          <t>Regina Teixeira</t>
        </is>
      </c>
      <c r="F811" s="35" t="inlineStr">
        <is>
          <t>Particular</t>
        </is>
      </c>
      <c r="G811" s="35" t="inlineStr">
        <is>
          <t>Teste ergométrico</t>
        </is>
      </c>
      <c r="H811" s="35" t="inlineStr">
        <is>
          <t>Realizado</t>
        </is>
      </c>
      <c r="I811" s="35" t="inlineStr">
        <is>
          <t>Pix</t>
        </is>
      </c>
      <c r="J811" s="35" t="n"/>
      <c r="K811" s="34" t="inlineStr">
        <is>
          <t>Check-up cardiológico (consulta + ECG + teste ergométrico)</t>
        </is>
      </c>
      <c r="L811" s="26">
        <f>IF(A811="","",MONTH(A811))</f>
        <v>8</v>
      </c>
      <c r="M811" s="26">
        <f>IF(A811="","",YEAR(A811))</f>
        <v>2026</v>
      </c>
      <c r="N811" s="26" t="str">
        <f>IF(A811="","",CHOOSE(WEEKDAY(A811,2),"Segunda","Terça","Quarta","Quinta","Sexta","Sábado","Domingo"))</f>
        <v>Quinta</v>
      </c>
      <c r="O811" s="26" t="str">
        <f>IF(B811="","",IF(B811&lt;TIME(12,0,0),"Manhã",IF(B811&lt;TIME(18,0,0),"Tarde","Noite")))</f>
        <v>Tarde</v>
      </c>
      <c r="P811" s="32">
        <f>IF(G811="","",IFERROR(INDEX(Config!$I$5:$I$16,MATCH(G811,Config!$H$5:$H$16,0)),0))</f>
        <v>0</v>
      </c>
      <c r="Q811" s="30">
        <f>IF(OR(H811&lt;&gt;"Realizado",P811="",P811=0),"",A811+P811)</f>
        <v/>
      </c>
      <c r="R811" s="26">
        <f>IF(Q811="","",IF(COUNTIFS($E$5:$E$3004,E811,$A$5:$A$3004,"&gt;"&amp;A811,$H$5:$H$3004,"&lt;&gt;Falta",$H$5:$H$3004,"&lt;&gt;Cancelado",$H$5:$H$3004,"&lt;&gt;Remarcado")&gt;0,"Sim","Não"))</f>
        <v/>
      </c>
      <c r="S811" s="32">
        <f>IF(R811&lt;&gt;"Não","",IF(Q811+Config!$B$9&lt;=Config!$B$8,Config!$B$8-Q811,""))</f>
        <v/>
      </c>
      <c r="T811" s="26">
        <f>IF(S811="","","Sim")</f>
        <v/>
      </c>
      <c r="U811" s="41">
        <f>IF(T811="Sim",S811+ROW()/100000,0)</f>
        <v>0</v>
      </c>
      <c r="V811" s="41">
        <f>IF(AND(H811="Falta",L811=Config!$B$7,M811=Config!$B$5,COUNTIFS($E$5:E811,E811,$H$5:H811,"Falta",$L$5:L811,Config!$B$7,$M$5:M811,Config!$B$5)=1),COUNTIFS($E$5:$E$3004,E811,$H$5:$H$3004,"Falta",$L$5:$L$3004,Config!$B$7,$M$5:$M$3004,Config!$B$5)*1000-ROW()/100000,0)</f>
        <v>0</v>
      </c>
    </row>
    <row r="812">
      <c r="A812" s="39" t="n">
        <v>46254</v>
      </c>
      <c r="B812" s="40" t="n">
        <v>0.7152777777777778</v>
      </c>
      <c r="C812" s="35" t="inlineStr">
        <is>
          <t>Dra. Renata Sousa</t>
        </is>
      </c>
      <c r="D812" s="35" t="inlineStr">
        <is>
          <t>Sala 1</t>
        </is>
      </c>
      <c r="E812" s="34" t="inlineStr">
        <is>
          <t>Carlos Gonçalves</t>
        </is>
      </c>
      <c r="F812" s="35" t="inlineStr">
        <is>
          <t>Saúde Total</t>
        </is>
      </c>
      <c r="G812" s="35" t="inlineStr">
        <is>
          <t>Avaliação endócrina</t>
        </is>
      </c>
      <c r="H812" s="35" t="inlineStr">
        <is>
          <t>Realizado</t>
        </is>
      </c>
      <c r="I812" s="35" t="inlineStr">
        <is>
          <t>Convênio</t>
        </is>
      </c>
      <c r="J812" s="35" t="n"/>
      <c r="K812" s="34" t="n"/>
      <c r="L812" s="26">
        <f>IF(A812="","",MONTH(A812))</f>
        <v>8</v>
      </c>
      <c r="M812" s="26">
        <f>IF(A812="","",YEAR(A812))</f>
        <v>2026</v>
      </c>
      <c r="N812" s="26" t="str">
        <f>IF(A812="","",CHOOSE(WEEKDAY(A812,2),"Segunda","Terça","Quarta","Quinta","Sexta","Sábado","Domingo"))</f>
        <v>Quinta</v>
      </c>
      <c r="O812" s="26" t="str">
        <f>IF(B812="","",IF(B812&lt;TIME(12,0,0),"Manhã",IF(B812&lt;TIME(18,0,0),"Tarde","Noite")))</f>
        <v>Tarde</v>
      </c>
      <c r="P812" s="32">
        <f>IF(G812="","",IFERROR(INDEX(Config!$I$5:$I$16,MATCH(G812,Config!$H$5:$H$16,0)),0))</f>
        <v>45</v>
      </c>
      <c r="Q812" s="30">
        <f>IF(OR(H812&lt;&gt;"Realizado",P812="",P812=0),"",A812+P812)</f>
        <v>46299.0</v>
      </c>
      <c r="R812" s="26" t="str">
        <f>IF(Q812="","",IF(COUNTIFS($E$5:$E$3004,E812,$A$5:$A$3004,"&gt;"&amp;A812,$H$5:$H$3004,"&lt;&gt;Falta",$H$5:$H$3004,"&lt;&gt;Cancelado",$H$5:$H$3004,"&lt;&gt;Remarcado")&gt;0,"Sim","Não"))</f>
        <v>Sim</v>
      </c>
      <c r="S812" s="32">
        <f>IF(R812&lt;&gt;"Não","",IF(Q812+Config!$B$9&lt;=Config!$B$8,Config!$B$8-Q812,""))</f>
        <v/>
      </c>
      <c r="T812" s="26">
        <f>IF(S812="","","Sim")</f>
        <v/>
      </c>
      <c r="U812" s="41">
        <f>IF(T812="Sim",S812+ROW()/100000,0)</f>
        <v>0</v>
      </c>
      <c r="V812" s="41">
        <f>IF(AND(H812="Falta",L812=Config!$B$7,M812=Config!$B$5,COUNTIFS($E$5:E812,E812,$H$5:H812,"Falta",$L$5:L812,Config!$B$7,$M$5:M812,Config!$B$5)=1),COUNTIFS($E$5:$E$3004,E812,$H$5:$H$3004,"Falta",$L$5:$L$3004,Config!$B$7,$M$5:$M$3004,Config!$B$5)*1000-ROW()/100000,0)</f>
        <v>0</v>
      </c>
    </row>
    <row r="813">
      <c r="A813" s="39" t="n">
        <v>46254</v>
      </c>
      <c r="B813" s="40" t="n">
        <v>0.7152777777777778</v>
      </c>
      <c r="C813" s="35" t="inlineStr">
        <is>
          <t>Dr. Paulo Andrade</t>
        </is>
      </c>
      <c r="D813" s="35" t="inlineStr">
        <is>
          <t>Sala 2</t>
        </is>
      </c>
      <c r="E813" s="34" t="inlineStr">
        <is>
          <t>Cláudia Santos</t>
        </is>
      </c>
      <c r="F813" s="35" t="inlineStr">
        <is>
          <t>Particular</t>
        </is>
      </c>
      <c r="G813" s="35" t="inlineStr">
        <is>
          <t>ECG</t>
        </is>
      </c>
      <c r="H813" s="35" t="inlineStr">
        <is>
          <t>Realizado</t>
        </is>
      </c>
      <c r="I813" s="35" t="inlineStr">
        <is>
          <t>Dinheiro</t>
        </is>
      </c>
      <c r="J813" s="35" t="n"/>
      <c r="K813" s="34" t="n"/>
      <c r="L813" s="26">
        <f>IF(A813="","",MONTH(A813))</f>
        <v>8</v>
      </c>
      <c r="M813" s="26">
        <f>IF(A813="","",YEAR(A813))</f>
        <v>2026</v>
      </c>
      <c r="N813" s="26" t="str">
        <f>IF(A813="","",CHOOSE(WEEKDAY(A813,2),"Segunda","Terça","Quarta","Quinta","Sexta","Sábado","Domingo"))</f>
        <v>Quinta</v>
      </c>
      <c r="O813" s="26" t="str">
        <f>IF(B813="","",IF(B813&lt;TIME(12,0,0),"Manhã",IF(B813&lt;TIME(18,0,0),"Tarde","Noite")))</f>
        <v>Tarde</v>
      </c>
      <c r="P813" s="32">
        <f>IF(G813="","",IFERROR(INDEX(Config!$I$5:$I$16,MATCH(G813,Config!$H$5:$H$16,0)),0))</f>
        <v>0</v>
      </c>
      <c r="Q813" s="30">
        <f>IF(OR(H813&lt;&gt;"Realizado",P813="",P813=0),"",A813+P813)</f>
        <v/>
      </c>
      <c r="R813" s="26">
        <f>IF(Q813="","",IF(COUNTIFS($E$5:$E$3004,E813,$A$5:$A$3004,"&gt;"&amp;A813,$H$5:$H$3004,"&lt;&gt;Falta",$H$5:$H$3004,"&lt;&gt;Cancelado",$H$5:$H$3004,"&lt;&gt;Remarcado")&gt;0,"Sim","Não"))</f>
        <v/>
      </c>
      <c r="S813" s="32">
        <f>IF(R813&lt;&gt;"Não","",IF(Q813+Config!$B$9&lt;=Config!$B$8,Config!$B$8-Q813,""))</f>
        <v/>
      </c>
      <c r="T813" s="26">
        <f>IF(S813="","","Sim")</f>
        <v/>
      </c>
      <c r="U813" s="41">
        <f>IF(T813="Sim",S813+ROW()/100000,0)</f>
        <v>0</v>
      </c>
      <c r="V813" s="41">
        <f>IF(AND(H813="Falta",L813=Config!$B$7,M813=Config!$B$5,COUNTIFS($E$5:E813,E813,$H$5:H813,"Falta",$L$5:L813,Config!$B$7,$M$5:M813,Config!$B$5)=1),COUNTIFS($E$5:$E$3004,E813,$H$5:$H$3004,"Falta",$L$5:$L$3004,Config!$B$7,$M$5:$M$3004,Config!$B$5)*1000-ROW()/100000,0)</f>
        <v>0</v>
      </c>
    </row>
    <row r="814">
      <c r="A814" s="39" t="n">
        <v>46254</v>
      </c>
      <c r="B814" s="40" t="n">
        <v>0.7291666666666666</v>
      </c>
      <c r="C814" s="35" t="inlineStr">
        <is>
          <t>Dr. Paulo Andrade</t>
        </is>
      </c>
      <c r="D814" s="35" t="inlineStr">
        <is>
          <t>Sala 2</t>
        </is>
      </c>
      <c r="E814" s="34" t="inlineStr">
        <is>
          <t>Gustavo Pinto</t>
        </is>
      </c>
      <c r="F814" s="35" t="inlineStr">
        <is>
          <t>Particular</t>
        </is>
      </c>
      <c r="G814" s="35" t="inlineStr">
        <is>
          <t>Retorno</t>
        </is>
      </c>
      <c r="H814" s="35" t="inlineStr">
        <is>
          <t>Realizado</t>
        </is>
      </c>
      <c r="I814" s="35" t="inlineStr">
        <is>
          <t>Sem cobrança</t>
        </is>
      </c>
      <c r="J814" s="35" t="n"/>
      <c r="K814" s="34" t="n"/>
      <c r="L814" s="26">
        <f>IF(A814="","",MONTH(A814))</f>
        <v>8</v>
      </c>
      <c r="M814" s="26">
        <f>IF(A814="","",YEAR(A814))</f>
        <v>2026</v>
      </c>
      <c r="N814" s="26" t="str">
        <f>IF(A814="","",CHOOSE(WEEKDAY(A814,2),"Segunda","Terça","Quarta","Quinta","Sexta","Sábado","Domingo"))</f>
        <v>Quinta</v>
      </c>
      <c r="O814" s="26" t="str">
        <f>IF(B814="","",IF(B814&lt;TIME(12,0,0),"Manhã",IF(B814&lt;TIME(18,0,0),"Tarde","Noite")))</f>
        <v>Tarde</v>
      </c>
      <c r="P814" s="32">
        <f>IF(G814="","",IFERROR(INDEX(Config!$I$5:$I$16,MATCH(G814,Config!$H$5:$H$16,0)),0))</f>
        <v>0</v>
      </c>
      <c r="Q814" s="30">
        <f>IF(OR(H814&lt;&gt;"Realizado",P814="",P814=0),"",A814+P814)</f>
        <v/>
      </c>
      <c r="R814" s="26">
        <f>IF(Q814="","",IF(COUNTIFS($E$5:$E$3004,E814,$A$5:$A$3004,"&gt;"&amp;A814,$H$5:$H$3004,"&lt;&gt;Falta",$H$5:$H$3004,"&lt;&gt;Cancelado",$H$5:$H$3004,"&lt;&gt;Remarcado")&gt;0,"Sim","Não"))</f>
        <v/>
      </c>
      <c r="S814" s="32">
        <f>IF(R814&lt;&gt;"Não","",IF(Q814+Config!$B$9&lt;=Config!$B$8,Config!$B$8-Q814,""))</f>
        <v/>
      </c>
      <c r="T814" s="26">
        <f>IF(S814="","","Sim")</f>
        <v/>
      </c>
      <c r="U814" s="41">
        <f>IF(T814="Sim",S814+ROW()/100000,0)</f>
        <v>0</v>
      </c>
      <c r="V814" s="41">
        <f>IF(AND(H814="Falta",L814=Config!$B$7,M814=Config!$B$5,COUNTIFS($E$5:E814,E814,$H$5:H814,"Falta",$L$5:L814,Config!$B$7,$M$5:M814,Config!$B$5)=1),COUNTIFS($E$5:$E$3004,E814,$H$5:$H$3004,"Falta",$L$5:$L$3004,Config!$B$7,$M$5:$M$3004,Config!$B$5)*1000-ROW()/100000,0)</f>
        <v>0</v>
      </c>
    </row>
    <row r="815">
      <c r="A815" s="39" t="n">
        <v>46255</v>
      </c>
      <c r="B815" s="40" t="n">
        <v>0.3541666666666667</v>
      </c>
      <c r="C815" s="35" t="inlineStr">
        <is>
          <t>Dr. Paulo Andrade</t>
        </is>
      </c>
      <c r="D815" s="35" t="inlineStr">
        <is>
          <t>Sala 2</t>
        </is>
      </c>
      <c r="E815" s="34" t="inlineStr">
        <is>
          <t>Mateus Dias</t>
        </is>
      </c>
      <c r="F815" s="35" t="inlineStr">
        <is>
          <t>Saúde Total</t>
        </is>
      </c>
      <c r="G815" s="35" t="inlineStr">
        <is>
          <t>Retorno</t>
        </is>
      </c>
      <c r="H815" s="35" t="inlineStr">
        <is>
          <t>Falta</t>
        </is>
      </c>
      <c r="I815" s="35" t="n"/>
      <c r="J815" s="35" t="n"/>
      <c r="K815" s="34" t="n"/>
      <c r="L815" s="26">
        <f>IF(A815="","",MONTH(A815))</f>
        <v>8</v>
      </c>
      <c r="M815" s="26">
        <f>IF(A815="","",YEAR(A815))</f>
        <v>2026</v>
      </c>
      <c r="N815" s="26" t="str">
        <f>IF(A815="","",CHOOSE(WEEKDAY(A815,2),"Segunda","Terça","Quarta","Quinta","Sexta","Sábado","Domingo"))</f>
        <v>Sexta</v>
      </c>
      <c r="O815" s="26" t="str">
        <f>IF(B815="","",IF(B815&lt;TIME(12,0,0),"Manhã",IF(B815&lt;TIME(18,0,0),"Tarde","Noite")))</f>
        <v>Manhã</v>
      </c>
      <c r="P815" s="32">
        <f>IF(G815="","",IFERROR(INDEX(Config!$I$5:$I$16,MATCH(G815,Config!$H$5:$H$16,0)),0))</f>
        <v>0</v>
      </c>
      <c r="Q815" s="30">
        <f>IF(OR(H815&lt;&gt;"Realizado",P815="",P815=0),"",A815+P815)</f>
        <v/>
      </c>
      <c r="R815" s="26">
        <f>IF(Q815="","",IF(COUNTIFS($E$5:$E$3004,E815,$A$5:$A$3004,"&gt;"&amp;A815,$H$5:$H$3004,"&lt;&gt;Falta",$H$5:$H$3004,"&lt;&gt;Cancelado",$H$5:$H$3004,"&lt;&gt;Remarcado")&gt;0,"Sim","Não"))</f>
        <v/>
      </c>
      <c r="S815" s="32">
        <f>IF(R815&lt;&gt;"Não","",IF(Q815+Config!$B$9&lt;=Config!$B$8,Config!$B$8-Q815,""))</f>
        <v/>
      </c>
      <c r="T815" s="26">
        <f>IF(S815="","","Sim")</f>
        <v/>
      </c>
      <c r="U815" s="41">
        <f>IF(T815="Sim",S815+ROW()/100000,0)</f>
        <v>0</v>
      </c>
      <c r="V815" s="41">
        <f>IF(AND(H815="Falta",L815=Config!$B$7,M815=Config!$B$5,COUNTIFS($E$5:E815,E815,$H$5:H815,"Falta",$L$5:L815,Config!$B$7,$M$5:M815,Config!$B$5)=1),COUNTIFS($E$5:$E$3004,E815,$H$5:$H$3004,"Falta",$L$5:$L$3004,Config!$B$7,$M$5:$M$3004,Config!$B$5)*1000-ROW()/100000,0)</f>
        <v>0</v>
      </c>
    </row>
    <row r="816">
      <c r="A816" s="39" t="n">
        <v>46255</v>
      </c>
      <c r="B816" s="40" t="n">
        <v>0.3680555555555556</v>
      </c>
      <c r="C816" s="35" t="inlineStr">
        <is>
          <t>Dr. Paulo Andrade</t>
        </is>
      </c>
      <c r="D816" s="35" t="inlineStr">
        <is>
          <t>Sala 2</t>
        </is>
      </c>
      <c r="E816" s="34" t="inlineStr">
        <is>
          <t>Paulo Ribeiro</t>
        </is>
      </c>
      <c r="F816" s="35" t="inlineStr">
        <is>
          <t>Saúde Total</t>
        </is>
      </c>
      <c r="G816" s="35" t="inlineStr">
        <is>
          <t>Consulta</t>
        </is>
      </c>
      <c r="H816" s="35" t="inlineStr">
        <is>
          <t>Realizado</t>
        </is>
      </c>
      <c r="I816" s="35" t="inlineStr">
        <is>
          <t>Convênio</t>
        </is>
      </c>
      <c r="J816" s="35" t="n"/>
      <c r="K816" s="34" t="n"/>
      <c r="L816" s="26">
        <f>IF(A816="","",MONTH(A816))</f>
        <v>8</v>
      </c>
      <c r="M816" s="26">
        <f>IF(A816="","",YEAR(A816))</f>
        <v>2026</v>
      </c>
      <c r="N816" s="26" t="str">
        <f>IF(A816="","",CHOOSE(WEEKDAY(A816,2),"Segunda","Terça","Quarta","Quinta","Sexta","Sábado","Domingo"))</f>
        <v>Sexta</v>
      </c>
      <c r="O816" s="26" t="str">
        <f>IF(B816="","",IF(B816&lt;TIME(12,0,0),"Manhã",IF(B816&lt;TIME(18,0,0),"Tarde","Noite")))</f>
        <v>Manhã</v>
      </c>
      <c r="P816" s="32">
        <f>IF(G816="","",IFERROR(INDEX(Config!$I$5:$I$16,MATCH(G816,Config!$H$5:$H$16,0)),0))</f>
        <v>30</v>
      </c>
      <c r="Q816" s="30">
        <f>IF(OR(H816&lt;&gt;"Realizado",P816="",P816=0),"",A816+P816)</f>
        <v>46285.0</v>
      </c>
      <c r="R816" s="26" t="str">
        <f>IF(Q816="","",IF(COUNTIFS($E$5:$E$3004,E816,$A$5:$A$3004,"&gt;"&amp;A816,$H$5:$H$3004,"&lt;&gt;Falta",$H$5:$H$3004,"&lt;&gt;Cancelado",$H$5:$H$3004,"&lt;&gt;Remarcado")&gt;0,"Sim","Não"))</f>
        <v>Sim</v>
      </c>
      <c r="S816" s="32">
        <f>IF(R816&lt;&gt;"Não","",IF(Q816+Config!$B$9&lt;=Config!$B$8,Config!$B$8-Q816,""))</f>
        <v/>
      </c>
      <c r="T816" s="26">
        <f>IF(S816="","","Sim")</f>
        <v/>
      </c>
      <c r="U816" s="41">
        <f>IF(T816="Sim",S816+ROW()/100000,0)</f>
        <v>0</v>
      </c>
      <c r="V816" s="41">
        <f>IF(AND(H816="Falta",L816=Config!$B$7,M816=Config!$B$5,COUNTIFS($E$5:E816,E816,$H$5:H816,"Falta",$L$5:L816,Config!$B$7,$M$5:M816,Config!$B$5)=1),COUNTIFS($E$5:$E$3004,E816,$H$5:$H$3004,"Falta",$L$5:$L$3004,Config!$B$7,$M$5:$M$3004,Config!$B$5)*1000-ROW()/100000,0)</f>
        <v>0</v>
      </c>
    </row>
    <row r="817">
      <c r="A817" s="39" t="n">
        <v>46255</v>
      </c>
      <c r="B817" s="40" t="n">
        <v>0.4097222222222222</v>
      </c>
      <c r="C817" s="35" t="inlineStr">
        <is>
          <t>Dr. Paulo Andrade</t>
        </is>
      </c>
      <c r="D817" s="35" t="inlineStr">
        <is>
          <t>Sala 2</t>
        </is>
      </c>
      <c r="E817" s="34" t="inlineStr">
        <is>
          <t>Elaine Xavier</t>
        </is>
      </c>
      <c r="F817" s="35" t="inlineStr">
        <is>
          <t>MediPlan</t>
        </is>
      </c>
      <c r="G817" s="35" t="inlineStr">
        <is>
          <t>Retorno</t>
        </is>
      </c>
      <c r="H817" s="35" t="inlineStr">
        <is>
          <t>Realizado</t>
        </is>
      </c>
      <c r="I817" s="35" t="inlineStr">
        <is>
          <t>Sem cobrança</t>
        </is>
      </c>
      <c r="J817" s="35" t="n"/>
      <c r="K817" s="34" t="n"/>
      <c r="L817" s="26">
        <f>IF(A817="","",MONTH(A817))</f>
        <v>8</v>
      </c>
      <c r="M817" s="26">
        <f>IF(A817="","",YEAR(A817))</f>
        <v>2026</v>
      </c>
      <c r="N817" s="26" t="str">
        <f>IF(A817="","",CHOOSE(WEEKDAY(A817,2),"Segunda","Terça","Quarta","Quinta","Sexta","Sábado","Domingo"))</f>
        <v>Sexta</v>
      </c>
      <c r="O817" s="26" t="str">
        <f>IF(B817="","",IF(B817&lt;TIME(12,0,0),"Manhã",IF(B817&lt;TIME(18,0,0),"Tarde","Noite")))</f>
        <v>Manhã</v>
      </c>
      <c r="P817" s="32">
        <f>IF(G817="","",IFERROR(INDEX(Config!$I$5:$I$16,MATCH(G817,Config!$H$5:$H$16,0)),0))</f>
        <v>0</v>
      </c>
      <c r="Q817" s="30">
        <f>IF(OR(H817&lt;&gt;"Realizado",P817="",P817=0),"",A817+P817)</f>
        <v/>
      </c>
      <c r="R817" s="26">
        <f>IF(Q817="","",IF(COUNTIFS($E$5:$E$3004,E817,$A$5:$A$3004,"&gt;"&amp;A817,$H$5:$H$3004,"&lt;&gt;Falta",$H$5:$H$3004,"&lt;&gt;Cancelado",$H$5:$H$3004,"&lt;&gt;Remarcado")&gt;0,"Sim","Não"))</f>
        <v/>
      </c>
      <c r="S817" s="32">
        <f>IF(R817&lt;&gt;"Não","",IF(Q817+Config!$B$9&lt;=Config!$B$8,Config!$B$8-Q817,""))</f>
        <v/>
      </c>
      <c r="T817" s="26">
        <f>IF(S817="","","Sim")</f>
        <v/>
      </c>
      <c r="U817" s="41">
        <f>IF(T817="Sim",S817+ROW()/100000,0)</f>
        <v>0</v>
      </c>
      <c r="V817" s="41">
        <f>IF(AND(H817="Falta",L817=Config!$B$7,M817=Config!$B$5,COUNTIFS($E$5:E817,E817,$H$5:H817,"Falta",$L$5:L817,Config!$B$7,$M$5:M817,Config!$B$5)=1),COUNTIFS($E$5:$E$3004,E817,$H$5:$H$3004,"Falta",$L$5:$L$3004,Config!$B$7,$M$5:$M$3004,Config!$B$5)*1000-ROW()/100000,0)</f>
        <v>0</v>
      </c>
    </row>
    <row r="818">
      <c r="A818" s="39" t="n">
        <v>46255</v>
      </c>
      <c r="B818" s="40" t="n">
        <v>0.4236111111111111</v>
      </c>
      <c r="C818" s="35" t="inlineStr">
        <is>
          <t>Dr. Paulo Andrade</t>
        </is>
      </c>
      <c r="D818" s="35" t="inlineStr">
        <is>
          <t>Sala 2</t>
        </is>
      </c>
      <c r="E818" s="34" t="inlineStr">
        <is>
          <t>Mônica Pinto</t>
        </is>
      </c>
      <c r="F818" s="35" t="inlineStr">
        <is>
          <t>Saúde Total</t>
        </is>
      </c>
      <c r="G818" s="35" t="inlineStr">
        <is>
          <t>MAPA</t>
        </is>
      </c>
      <c r="H818" s="35" t="inlineStr">
        <is>
          <t>Realizado</t>
        </is>
      </c>
      <c r="I818" s="35" t="inlineStr">
        <is>
          <t>Convênio</t>
        </is>
      </c>
      <c r="J818" s="35" t="n"/>
      <c r="K818" s="34" t="n"/>
      <c r="L818" s="26">
        <f>IF(A818="","",MONTH(A818))</f>
        <v>8</v>
      </c>
      <c r="M818" s="26">
        <f>IF(A818="","",YEAR(A818))</f>
        <v>2026</v>
      </c>
      <c r="N818" s="26" t="str">
        <f>IF(A818="","",CHOOSE(WEEKDAY(A818,2),"Segunda","Terça","Quarta","Quinta","Sexta","Sábado","Domingo"))</f>
        <v>Sexta</v>
      </c>
      <c r="O818" s="26" t="str">
        <f>IF(B818="","",IF(B818&lt;TIME(12,0,0),"Manhã",IF(B818&lt;TIME(18,0,0),"Tarde","Noite")))</f>
        <v>Manhã</v>
      </c>
      <c r="P818" s="32">
        <f>IF(G818="","",IFERROR(INDEX(Config!$I$5:$I$16,MATCH(G818,Config!$H$5:$H$16,0)),0))</f>
        <v>0</v>
      </c>
      <c r="Q818" s="30">
        <f>IF(OR(H818&lt;&gt;"Realizado",P818="",P818=0),"",A818+P818)</f>
        <v/>
      </c>
      <c r="R818" s="26">
        <f>IF(Q818="","",IF(COUNTIFS($E$5:$E$3004,E818,$A$5:$A$3004,"&gt;"&amp;A818,$H$5:$H$3004,"&lt;&gt;Falta",$H$5:$H$3004,"&lt;&gt;Cancelado",$H$5:$H$3004,"&lt;&gt;Remarcado")&gt;0,"Sim","Não"))</f>
        <v/>
      </c>
      <c r="S818" s="32">
        <f>IF(R818&lt;&gt;"Não","",IF(Q818+Config!$B$9&lt;=Config!$B$8,Config!$B$8-Q818,""))</f>
        <v/>
      </c>
      <c r="T818" s="26">
        <f>IF(S818="","","Sim")</f>
        <v/>
      </c>
      <c r="U818" s="41">
        <f>IF(T818="Sim",S818+ROW()/100000,0)</f>
        <v>0</v>
      </c>
      <c r="V818" s="41">
        <f>IF(AND(H818="Falta",L818=Config!$B$7,M818=Config!$B$5,COUNTIFS($E$5:E818,E818,$H$5:H818,"Falta",$L$5:L818,Config!$B$7,$M$5:M818,Config!$B$5)=1),COUNTIFS($E$5:$E$3004,E818,$H$5:$H$3004,"Falta",$L$5:$L$3004,Config!$B$7,$M$5:$M$3004,Config!$B$5)*1000-ROW()/100000,0)</f>
        <v>0</v>
      </c>
    </row>
    <row r="819">
      <c r="A819" s="39" t="n">
        <v>46258</v>
      </c>
      <c r="B819" s="40" t="n">
        <v>0.3333333333333333</v>
      </c>
      <c r="C819" s="35" t="inlineStr">
        <is>
          <t>Dra. Carolina Mendes</t>
        </is>
      </c>
      <c r="D819" s="35" t="inlineStr">
        <is>
          <t>Sala 1</t>
        </is>
      </c>
      <c r="E819" s="34" t="inlineStr">
        <is>
          <t>Wagner Lima</t>
        </is>
      </c>
      <c r="F819" s="35" t="inlineStr">
        <is>
          <t>Particular</t>
        </is>
      </c>
      <c r="G819" s="35" t="inlineStr">
        <is>
          <t>Consulta</t>
        </is>
      </c>
      <c r="H819" s="35" t="inlineStr">
        <is>
          <t>Realizado</t>
        </is>
      </c>
      <c r="I819" s="35" t="inlineStr">
        <is>
          <t>Cartão de débito</t>
        </is>
      </c>
      <c r="J819" s="35" t="n"/>
      <c r="K819" s="34" t="n"/>
      <c r="L819" s="26">
        <f>IF(A819="","",MONTH(A819))</f>
        <v>8</v>
      </c>
      <c r="M819" s="26">
        <f>IF(A819="","",YEAR(A819))</f>
        <v>2026</v>
      </c>
      <c r="N819" s="26" t="str">
        <f>IF(A819="","",CHOOSE(WEEKDAY(A819,2),"Segunda","Terça","Quarta","Quinta","Sexta","Sábado","Domingo"))</f>
        <v>Segunda</v>
      </c>
      <c r="O819" s="26" t="str">
        <f>IF(B819="","",IF(B819&lt;TIME(12,0,0),"Manhã",IF(B819&lt;TIME(18,0,0),"Tarde","Noite")))</f>
        <v>Manhã</v>
      </c>
      <c r="P819" s="32">
        <f>IF(G819="","",IFERROR(INDEX(Config!$I$5:$I$16,MATCH(G819,Config!$H$5:$H$16,0)),0))</f>
        <v>30</v>
      </c>
      <c r="Q819" s="30">
        <f>IF(OR(H819&lt;&gt;"Realizado",P819="",P819=0),"",A819+P819)</f>
        <v>46288.0</v>
      </c>
      <c r="R819" s="26" t="str">
        <f>IF(Q819="","",IF(COUNTIFS($E$5:$E$3004,E819,$A$5:$A$3004,"&gt;"&amp;A819,$H$5:$H$3004,"&lt;&gt;Falta",$H$5:$H$3004,"&lt;&gt;Cancelado",$H$5:$H$3004,"&lt;&gt;Remarcado")&gt;0,"Sim","Não"))</f>
        <v>Sim</v>
      </c>
      <c r="S819" s="32">
        <f>IF(R819&lt;&gt;"Não","",IF(Q819+Config!$B$9&lt;=Config!$B$8,Config!$B$8-Q819,""))</f>
        <v/>
      </c>
      <c r="T819" s="26">
        <f>IF(S819="","","Sim")</f>
        <v/>
      </c>
      <c r="U819" s="41">
        <f>IF(T819="Sim",S819+ROW()/100000,0)</f>
        <v>0</v>
      </c>
      <c r="V819" s="41">
        <f>IF(AND(H819="Falta",L819=Config!$B$7,M819=Config!$B$5,COUNTIFS($E$5:E819,E819,$H$5:H819,"Falta",$L$5:L819,Config!$B$7,$M$5:M819,Config!$B$5)=1),COUNTIFS($E$5:$E$3004,E819,$H$5:$H$3004,"Falta",$L$5:$L$3004,Config!$B$7,$M$5:$M$3004,Config!$B$5)*1000-ROW()/100000,0)</f>
        <v>0</v>
      </c>
    </row>
    <row r="820">
      <c r="A820" s="39" t="n">
        <v>46258</v>
      </c>
      <c r="B820" s="40" t="n">
        <v>0.3541666666666667</v>
      </c>
      <c r="C820" s="35" t="inlineStr">
        <is>
          <t>Dra. Carolina Mendes</t>
        </is>
      </c>
      <c r="D820" s="35" t="inlineStr">
        <is>
          <t>Sala 1</t>
        </is>
      </c>
      <c r="E820" s="34" t="inlineStr">
        <is>
          <t>Renato Dias</t>
        </is>
      </c>
      <c r="F820" s="35" t="inlineStr">
        <is>
          <t>Particular</t>
        </is>
      </c>
      <c r="G820" s="35" t="inlineStr">
        <is>
          <t>Consulta</t>
        </is>
      </c>
      <c r="H820" s="35" t="inlineStr">
        <is>
          <t>Realizado</t>
        </is>
      </c>
      <c r="I820" s="35" t="inlineStr">
        <is>
          <t>Pix</t>
        </is>
      </c>
      <c r="J820" s="35" t="n"/>
      <c r="K820" s="34" t="n"/>
      <c r="L820" s="26">
        <f>IF(A820="","",MONTH(A820))</f>
        <v>8</v>
      </c>
      <c r="M820" s="26">
        <f>IF(A820="","",YEAR(A820))</f>
        <v>2026</v>
      </c>
      <c r="N820" s="26" t="str">
        <f>IF(A820="","",CHOOSE(WEEKDAY(A820,2),"Segunda","Terça","Quarta","Quinta","Sexta","Sábado","Domingo"))</f>
        <v>Segunda</v>
      </c>
      <c r="O820" s="26" t="str">
        <f>IF(B820="","",IF(B820&lt;TIME(12,0,0),"Manhã",IF(B820&lt;TIME(18,0,0),"Tarde","Noite")))</f>
        <v>Manhã</v>
      </c>
      <c r="P820" s="32">
        <f>IF(G820="","",IFERROR(INDEX(Config!$I$5:$I$16,MATCH(G820,Config!$H$5:$H$16,0)),0))</f>
        <v>30</v>
      </c>
      <c r="Q820" s="30">
        <f>IF(OR(H820&lt;&gt;"Realizado",P820="",P820=0),"",A820+P820)</f>
        <v>46288.0</v>
      </c>
      <c r="R820" s="26" t="str">
        <f>IF(Q820="","",IF(COUNTIFS($E$5:$E$3004,E820,$A$5:$A$3004,"&gt;"&amp;A820,$H$5:$H$3004,"&lt;&gt;Falta",$H$5:$H$3004,"&lt;&gt;Cancelado",$H$5:$H$3004,"&lt;&gt;Remarcado")&gt;0,"Sim","Não"))</f>
        <v>Sim</v>
      </c>
      <c r="S820" s="32">
        <f>IF(R820&lt;&gt;"Não","",IF(Q820+Config!$B$9&lt;=Config!$B$8,Config!$B$8-Q820,""))</f>
        <v/>
      </c>
      <c r="T820" s="26">
        <f>IF(S820="","","Sim")</f>
        <v/>
      </c>
      <c r="U820" s="41">
        <f>IF(T820="Sim",S820+ROW()/100000,0)</f>
        <v>0</v>
      </c>
      <c r="V820" s="41">
        <f>IF(AND(H820="Falta",L820=Config!$B$7,M820=Config!$B$5,COUNTIFS($E$5:E820,E820,$H$5:H820,"Falta",$L$5:L820,Config!$B$7,$M$5:M820,Config!$B$5)=1),COUNTIFS($E$5:$E$3004,E820,$H$5:$H$3004,"Falta",$L$5:$L$3004,Config!$B$7,$M$5:$M$3004,Config!$B$5)*1000-ROW()/100000,0)</f>
        <v>0</v>
      </c>
    </row>
    <row r="821">
      <c r="A821" s="39" t="n">
        <v>46258</v>
      </c>
      <c r="B821" s="40" t="n">
        <v>0.375</v>
      </c>
      <c r="C821" s="35" t="inlineStr">
        <is>
          <t>Dra. Carolina Mendes</t>
        </is>
      </c>
      <c r="D821" s="35" t="inlineStr">
        <is>
          <t>Sala 1</t>
        </is>
      </c>
      <c r="E821" s="34" t="inlineStr">
        <is>
          <t>Cláudia Santos</t>
        </is>
      </c>
      <c r="F821" s="35" t="inlineStr">
        <is>
          <t>Particular</t>
        </is>
      </c>
      <c r="G821" s="35" t="inlineStr">
        <is>
          <t>Consulta</t>
        </is>
      </c>
      <c r="H821" s="35" t="inlineStr">
        <is>
          <t>Realizado</t>
        </is>
      </c>
      <c r="I821" s="35" t="inlineStr">
        <is>
          <t>A prazo</t>
        </is>
      </c>
      <c r="J821" s="35" t="n"/>
      <c r="K821" s="34" t="n"/>
      <c r="L821" s="26">
        <f>IF(A821="","",MONTH(A821))</f>
        <v>8</v>
      </c>
      <c r="M821" s="26">
        <f>IF(A821="","",YEAR(A821))</f>
        <v>2026</v>
      </c>
      <c r="N821" s="26" t="str">
        <f>IF(A821="","",CHOOSE(WEEKDAY(A821,2),"Segunda","Terça","Quarta","Quinta","Sexta","Sábado","Domingo"))</f>
        <v>Segunda</v>
      </c>
      <c r="O821" s="26" t="str">
        <f>IF(B821="","",IF(B821&lt;TIME(12,0,0),"Manhã",IF(B821&lt;TIME(18,0,0),"Tarde","Noite")))</f>
        <v>Manhã</v>
      </c>
      <c r="P821" s="32">
        <f>IF(G821="","",IFERROR(INDEX(Config!$I$5:$I$16,MATCH(G821,Config!$H$5:$H$16,0)),0))</f>
        <v>30</v>
      </c>
      <c r="Q821" s="30">
        <f>IF(OR(H821&lt;&gt;"Realizado",P821="",P821=0),"",A821+P821)</f>
        <v>46288.0</v>
      </c>
      <c r="R821" s="26" t="str">
        <f>IF(Q821="","",IF(COUNTIFS($E$5:$E$3004,E821,$A$5:$A$3004,"&gt;"&amp;A821,$H$5:$H$3004,"&lt;&gt;Falta",$H$5:$H$3004,"&lt;&gt;Cancelado",$H$5:$H$3004,"&lt;&gt;Remarcado")&gt;0,"Sim","Não"))</f>
        <v>Sim</v>
      </c>
      <c r="S821" s="32">
        <f>IF(R821&lt;&gt;"Não","",IF(Q821+Config!$B$9&lt;=Config!$B$8,Config!$B$8-Q821,""))</f>
        <v/>
      </c>
      <c r="T821" s="26">
        <f>IF(S821="","","Sim")</f>
        <v/>
      </c>
      <c r="U821" s="41">
        <f>IF(T821="Sim",S821+ROW()/100000,0)</f>
        <v>0</v>
      </c>
      <c r="V821" s="41">
        <f>IF(AND(H821="Falta",L821=Config!$B$7,M821=Config!$B$5,COUNTIFS($E$5:E821,E821,$H$5:H821,"Falta",$L$5:L821,Config!$B$7,$M$5:M821,Config!$B$5)=1),COUNTIFS($E$5:$E$3004,E821,$H$5:$H$3004,"Falta",$L$5:$L$3004,Config!$B$7,$M$5:$M$3004,Config!$B$5)*1000-ROW()/100000,0)</f>
        <v>0</v>
      </c>
    </row>
    <row r="822">
      <c r="A822" s="39" t="n">
        <v>46258</v>
      </c>
      <c r="B822" s="40" t="n">
        <v>0.3958333333333333</v>
      </c>
      <c r="C822" s="35" t="inlineStr">
        <is>
          <t>Dra. Carolina Mendes</t>
        </is>
      </c>
      <c r="D822" s="35" t="inlineStr">
        <is>
          <t>Sala 1</t>
        </is>
      </c>
      <c r="E822" s="34" t="inlineStr">
        <is>
          <t>Sérgio Batista</t>
        </is>
      </c>
      <c r="F822" s="35" t="inlineStr">
        <is>
          <t>MediPlan</t>
        </is>
      </c>
      <c r="G822" s="35" t="inlineStr">
        <is>
          <t>Consulta</t>
        </is>
      </c>
      <c r="H822" s="35" t="inlineStr">
        <is>
          <t>Realizado</t>
        </is>
      </c>
      <c r="I822" s="35" t="inlineStr">
        <is>
          <t>Convênio</t>
        </is>
      </c>
      <c r="J822" s="35" t="n"/>
      <c r="K822" s="34" t="n"/>
      <c r="L822" s="26">
        <f>IF(A822="","",MONTH(A822))</f>
        <v>8</v>
      </c>
      <c r="M822" s="26">
        <f>IF(A822="","",YEAR(A822))</f>
        <v>2026</v>
      </c>
      <c r="N822" s="26" t="str">
        <f>IF(A822="","",CHOOSE(WEEKDAY(A822,2),"Segunda","Terça","Quarta","Quinta","Sexta","Sábado","Domingo"))</f>
        <v>Segunda</v>
      </c>
      <c r="O822" s="26" t="str">
        <f>IF(B822="","",IF(B822&lt;TIME(12,0,0),"Manhã",IF(B822&lt;TIME(18,0,0),"Tarde","Noite")))</f>
        <v>Manhã</v>
      </c>
      <c r="P822" s="32">
        <f>IF(G822="","",IFERROR(INDEX(Config!$I$5:$I$16,MATCH(G822,Config!$H$5:$H$16,0)),0))</f>
        <v>30</v>
      </c>
      <c r="Q822" s="30">
        <f>IF(OR(H822&lt;&gt;"Realizado",P822="",P822=0),"",A822+P822)</f>
        <v>46288.0</v>
      </c>
      <c r="R822" s="26" t="str">
        <f>IF(Q822="","",IF(COUNTIFS($E$5:$E$3004,E822,$A$5:$A$3004,"&gt;"&amp;A822,$H$5:$H$3004,"&lt;&gt;Falta",$H$5:$H$3004,"&lt;&gt;Cancelado",$H$5:$H$3004,"&lt;&gt;Remarcado")&gt;0,"Sim","Não"))</f>
        <v>Sim</v>
      </c>
      <c r="S822" s="32">
        <f>IF(R822&lt;&gt;"Não","",IF(Q822+Config!$B$9&lt;=Config!$B$8,Config!$B$8-Q822,""))</f>
        <v/>
      </c>
      <c r="T822" s="26">
        <f>IF(S822="","","Sim")</f>
        <v/>
      </c>
      <c r="U822" s="41">
        <f>IF(T822="Sim",S822+ROW()/100000,0)</f>
        <v>0</v>
      </c>
      <c r="V822" s="41">
        <f>IF(AND(H822="Falta",L822=Config!$B$7,M822=Config!$B$5,COUNTIFS($E$5:E822,E822,$H$5:H822,"Falta",$L$5:L822,Config!$B$7,$M$5:M822,Config!$B$5)=1),COUNTIFS($E$5:$E$3004,E822,$H$5:$H$3004,"Falta",$L$5:$L$3004,Config!$B$7,$M$5:$M$3004,Config!$B$5)*1000-ROW()/100000,0)</f>
        <v>0</v>
      </c>
    </row>
    <row r="823">
      <c r="A823" s="39" t="n">
        <v>46258</v>
      </c>
      <c r="B823" s="40" t="n">
        <v>0.4166666666666667</v>
      </c>
      <c r="C823" s="35" t="inlineStr">
        <is>
          <t>Dra. Carolina Mendes</t>
        </is>
      </c>
      <c r="D823" s="35" t="inlineStr">
        <is>
          <t>Sala 1</t>
        </is>
      </c>
      <c r="E823" s="34" t="inlineStr">
        <is>
          <t>Camila Batista</t>
        </is>
      </c>
      <c r="F823" s="35" t="inlineStr">
        <is>
          <t>MediPlan</t>
        </is>
      </c>
      <c r="G823" s="35" t="inlineStr">
        <is>
          <t>Consulta</t>
        </is>
      </c>
      <c r="H823" s="35" t="inlineStr">
        <is>
          <t>Realizado</t>
        </is>
      </c>
      <c r="I823" s="35" t="inlineStr">
        <is>
          <t>Convênio</t>
        </is>
      </c>
      <c r="J823" s="35" t="n"/>
      <c r="K823" s="34" t="n"/>
      <c r="L823" s="26">
        <f>IF(A823="","",MONTH(A823))</f>
        <v>8</v>
      </c>
      <c r="M823" s="26">
        <f>IF(A823="","",YEAR(A823))</f>
        <v>2026</v>
      </c>
      <c r="N823" s="26" t="str">
        <f>IF(A823="","",CHOOSE(WEEKDAY(A823,2),"Segunda","Terça","Quarta","Quinta","Sexta","Sábado","Domingo"))</f>
        <v>Segunda</v>
      </c>
      <c r="O823" s="26" t="str">
        <f>IF(B823="","",IF(B823&lt;TIME(12,0,0),"Manhã",IF(B823&lt;TIME(18,0,0),"Tarde","Noite")))</f>
        <v>Manhã</v>
      </c>
      <c r="P823" s="32">
        <f>IF(G823="","",IFERROR(INDEX(Config!$I$5:$I$16,MATCH(G823,Config!$H$5:$H$16,0)),0))</f>
        <v>30</v>
      </c>
      <c r="Q823" s="30">
        <f>IF(OR(H823&lt;&gt;"Realizado",P823="",P823=0),"",A823+P823)</f>
        <v>46288.0</v>
      </c>
      <c r="R823" s="26" t="str">
        <f>IF(Q823="","",IF(COUNTIFS($E$5:$E$3004,E823,$A$5:$A$3004,"&gt;"&amp;A823,$H$5:$H$3004,"&lt;&gt;Falta",$H$5:$H$3004,"&lt;&gt;Cancelado",$H$5:$H$3004,"&lt;&gt;Remarcado")&gt;0,"Sim","Não"))</f>
        <v>Sim</v>
      </c>
      <c r="S823" s="32">
        <f>IF(R823&lt;&gt;"Não","",IF(Q823+Config!$B$9&lt;=Config!$B$8,Config!$B$8-Q823,""))</f>
        <v/>
      </c>
      <c r="T823" s="26">
        <f>IF(S823="","","Sim")</f>
        <v/>
      </c>
      <c r="U823" s="41">
        <f>IF(T823="Sim",S823+ROW()/100000,0)</f>
        <v>0</v>
      </c>
      <c r="V823" s="41">
        <f>IF(AND(H823="Falta",L823=Config!$B$7,M823=Config!$B$5,COUNTIFS($E$5:E823,E823,$H$5:H823,"Falta",$L$5:L823,Config!$B$7,$M$5:M823,Config!$B$5)=1),COUNTIFS($E$5:$E$3004,E823,$H$5:$H$3004,"Falta",$L$5:$L$3004,Config!$B$7,$M$5:$M$3004,Config!$B$5)*1000-ROW()/100000,0)</f>
        <v>0</v>
      </c>
    </row>
    <row r="824">
      <c r="A824" s="39" t="n">
        <v>46258</v>
      </c>
      <c r="B824" s="40" t="n">
        <v>0.4375</v>
      </c>
      <c r="C824" s="35" t="inlineStr">
        <is>
          <t>Dra. Carolina Mendes</t>
        </is>
      </c>
      <c r="D824" s="35" t="inlineStr">
        <is>
          <t>Sala 1</t>
        </is>
      </c>
      <c r="E824" s="34" t="inlineStr">
        <is>
          <t>Mariana Nascimento</t>
        </is>
      </c>
      <c r="F824" s="35" t="inlineStr">
        <is>
          <t>Particular</t>
        </is>
      </c>
      <c r="G824" s="35" t="inlineStr">
        <is>
          <t>Consulta</t>
        </is>
      </c>
      <c r="H824" s="35" t="inlineStr">
        <is>
          <t>Realizado</t>
        </is>
      </c>
      <c r="I824" s="35" t="inlineStr">
        <is>
          <t>Cartão de crédito</t>
        </is>
      </c>
      <c r="J824" s="35" t="n">
        <v>2</v>
      </c>
      <c r="K824" s="34" t="n"/>
      <c r="L824" s="26">
        <f>IF(A824="","",MONTH(A824))</f>
        <v>8</v>
      </c>
      <c r="M824" s="26">
        <f>IF(A824="","",YEAR(A824))</f>
        <v>2026</v>
      </c>
      <c r="N824" s="26" t="str">
        <f>IF(A824="","",CHOOSE(WEEKDAY(A824,2),"Segunda","Terça","Quarta","Quinta","Sexta","Sábado","Domingo"))</f>
        <v>Segunda</v>
      </c>
      <c r="O824" s="26" t="str">
        <f>IF(B824="","",IF(B824&lt;TIME(12,0,0),"Manhã",IF(B824&lt;TIME(18,0,0),"Tarde","Noite")))</f>
        <v>Manhã</v>
      </c>
      <c r="P824" s="32">
        <f>IF(G824="","",IFERROR(INDEX(Config!$I$5:$I$16,MATCH(G824,Config!$H$5:$H$16,0)),0))</f>
        <v>30</v>
      </c>
      <c r="Q824" s="30">
        <f>IF(OR(H824&lt;&gt;"Realizado",P824="",P824=0),"",A824+P824)</f>
        <v>46288.0</v>
      </c>
      <c r="R824" s="26" t="str">
        <f>IF(Q824="","",IF(COUNTIFS($E$5:$E$3004,E824,$A$5:$A$3004,"&gt;"&amp;A824,$H$5:$H$3004,"&lt;&gt;Falta",$H$5:$H$3004,"&lt;&gt;Cancelado",$H$5:$H$3004,"&lt;&gt;Remarcado")&gt;0,"Sim","Não"))</f>
        <v>Sim</v>
      </c>
      <c r="S824" s="32">
        <f>IF(R824&lt;&gt;"Não","",IF(Q824+Config!$B$9&lt;=Config!$B$8,Config!$B$8-Q824,""))</f>
        <v/>
      </c>
      <c r="T824" s="26">
        <f>IF(S824="","","Sim")</f>
        <v/>
      </c>
      <c r="U824" s="41">
        <f>IF(T824="Sim",S824+ROW()/100000,0)</f>
        <v>0</v>
      </c>
      <c r="V824" s="41">
        <f>IF(AND(H824="Falta",L824=Config!$B$7,M824=Config!$B$5,COUNTIFS($E$5:E824,E824,$H$5:H824,"Falta",$L$5:L824,Config!$B$7,$M$5:M824,Config!$B$5)=1),COUNTIFS($E$5:$E$3004,E824,$H$5:$H$3004,"Falta",$L$5:$L$3004,Config!$B$7,$M$5:$M$3004,Config!$B$5)*1000-ROW()/100000,0)</f>
        <v>0</v>
      </c>
    </row>
    <row r="825">
      <c r="A825" s="39" t="n">
        <v>46258</v>
      </c>
      <c r="B825" s="40" t="n">
        <v>0.4791666666666667</v>
      </c>
      <c r="C825" s="35" t="inlineStr">
        <is>
          <t>Dra. Carolina Mendes</t>
        </is>
      </c>
      <c r="D825" s="35" t="inlineStr">
        <is>
          <t>Sala 1</t>
        </is>
      </c>
      <c r="E825" s="34" t="inlineStr">
        <is>
          <t>Ana Costa</t>
        </is>
      </c>
      <c r="F825" s="35" t="inlineStr">
        <is>
          <t>Particular</t>
        </is>
      </c>
      <c r="G825" s="35" t="inlineStr">
        <is>
          <t>Consulta</t>
        </is>
      </c>
      <c r="H825" s="35" t="inlineStr">
        <is>
          <t>Realizado</t>
        </is>
      </c>
      <c r="I825" s="35" t="inlineStr">
        <is>
          <t>Cartão de crédito</t>
        </is>
      </c>
      <c r="J825" s="35" t="n"/>
      <c r="K825" s="34" t="n"/>
      <c r="L825" s="26">
        <f>IF(A825="","",MONTH(A825))</f>
        <v>8</v>
      </c>
      <c r="M825" s="26">
        <f>IF(A825="","",YEAR(A825))</f>
        <v>2026</v>
      </c>
      <c r="N825" s="26" t="str">
        <f>IF(A825="","",CHOOSE(WEEKDAY(A825,2),"Segunda","Terça","Quarta","Quinta","Sexta","Sábado","Domingo"))</f>
        <v>Segunda</v>
      </c>
      <c r="O825" s="26" t="str">
        <f>IF(B825="","",IF(B825&lt;TIME(12,0,0),"Manhã",IF(B825&lt;TIME(18,0,0),"Tarde","Noite")))</f>
        <v>Manhã</v>
      </c>
      <c r="P825" s="32">
        <f>IF(G825="","",IFERROR(INDEX(Config!$I$5:$I$16,MATCH(G825,Config!$H$5:$H$16,0)),0))</f>
        <v>30</v>
      </c>
      <c r="Q825" s="30">
        <f>IF(OR(H825&lt;&gt;"Realizado",P825="",P825=0),"",A825+P825)</f>
        <v>46288.0</v>
      </c>
      <c r="R825" s="26" t="str">
        <f>IF(Q825="","",IF(COUNTIFS($E$5:$E$3004,E825,$A$5:$A$3004,"&gt;"&amp;A825,$H$5:$H$3004,"&lt;&gt;Falta",$H$5:$H$3004,"&lt;&gt;Cancelado",$H$5:$H$3004,"&lt;&gt;Remarcado")&gt;0,"Sim","Não"))</f>
        <v>Sim</v>
      </c>
      <c r="S825" s="32">
        <f>IF(R825&lt;&gt;"Não","",IF(Q825+Config!$B$9&lt;=Config!$B$8,Config!$B$8-Q825,""))</f>
        <v/>
      </c>
      <c r="T825" s="26">
        <f>IF(S825="","","Sim")</f>
        <v/>
      </c>
      <c r="U825" s="41">
        <f>IF(T825="Sim",S825+ROW()/100000,0)</f>
        <v>0</v>
      </c>
      <c r="V825" s="41">
        <f>IF(AND(H825="Falta",L825=Config!$B$7,M825=Config!$B$5,COUNTIFS($E$5:E825,E825,$H$5:H825,"Falta",$L$5:L825,Config!$B$7,$M$5:M825,Config!$B$5)=1),COUNTIFS($E$5:$E$3004,E825,$H$5:$H$3004,"Falta",$L$5:$L$3004,Config!$B$7,$M$5:$M$3004,Config!$B$5)*1000-ROW()/100000,0)</f>
        <v>0</v>
      </c>
    </row>
    <row r="826">
      <c r="A826" s="39" t="n">
        <v>46258</v>
      </c>
      <c r="B826" s="40" t="n">
        <v>0.5833333333333334</v>
      </c>
      <c r="C826" s="35" t="inlineStr">
        <is>
          <t>Dr. Paulo Andrade</t>
        </is>
      </c>
      <c r="D826" s="35" t="inlineStr">
        <is>
          <t>Sala 2</t>
        </is>
      </c>
      <c r="E826" s="34" t="inlineStr">
        <is>
          <t>Carlos Fernandes</t>
        </is>
      </c>
      <c r="F826" s="35" t="inlineStr">
        <is>
          <t>Particular</t>
        </is>
      </c>
      <c r="G826" s="35" t="inlineStr">
        <is>
          <t>ECG</t>
        </is>
      </c>
      <c r="H826" s="35" t="inlineStr">
        <is>
          <t>Realizado</t>
        </is>
      </c>
      <c r="I826" s="35" t="inlineStr">
        <is>
          <t>Cartão de crédito</t>
        </is>
      </c>
      <c r="J826" s="35" t="n"/>
      <c r="K826" s="34" t="n"/>
      <c r="L826" s="26">
        <f>IF(A826="","",MONTH(A826))</f>
        <v>8</v>
      </c>
      <c r="M826" s="26">
        <f>IF(A826="","",YEAR(A826))</f>
        <v>2026</v>
      </c>
      <c r="N826" s="26" t="str">
        <f>IF(A826="","",CHOOSE(WEEKDAY(A826,2),"Segunda","Terça","Quarta","Quinta","Sexta","Sábado","Domingo"))</f>
        <v>Segunda</v>
      </c>
      <c r="O826" s="26" t="str">
        <f>IF(B826="","",IF(B826&lt;TIME(12,0,0),"Manhã",IF(B826&lt;TIME(18,0,0),"Tarde","Noite")))</f>
        <v>Tarde</v>
      </c>
      <c r="P826" s="32">
        <f>IF(G826="","",IFERROR(INDEX(Config!$I$5:$I$16,MATCH(G826,Config!$H$5:$H$16,0)),0))</f>
        <v>0</v>
      </c>
      <c r="Q826" s="30">
        <f>IF(OR(H826&lt;&gt;"Realizado",P826="",P826=0),"",A826+P826)</f>
        <v/>
      </c>
      <c r="R826" s="26">
        <f>IF(Q826="","",IF(COUNTIFS($E$5:$E$3004,E826,$A$5:$A$3004,"&gt;"&amp;A826,$H$5:$H$3004,"&lt;&gt;Falta",$H$5:$H$3004,"&lt;&gt;Cancelado",$H$5:$H$3004,"&lt;&gt;Remarcado")&gt;0,"Sim","Não"))</f>
        <v/>
      </c>
      <c r="S826" s="32">
        <f>IF(R826&lt;&gt;"Não","",IF(Q826+Config!$B$9&lt;=Config!$B$8,Config!$B$8-Q826,""))</f>
        <v/>
      </c>
      <c r="T826" s="26">
        <f>IF(S826="","","Sim")</f>
        <v/>
      </c>
      <c r="U826" s="41">
        <f>IF(T826="Sim",S826+ROW()/100000,0)</f>
        <v>0</v>
      </c>
      <c r="V826" s="41">
        <f>IF(AND(H826="Falta",L826=Config!$B$7,M826=Config!$B$5,COUNTIFS($E$5:E826,E826,$H$5:H826,"Falta",$L$5:L826,Config!$B$7,$M$5:M826,Config!$B$5)=1),COUNTIFS($E$5:$E$3004,E826,$H$5:$H$3004,"Falta",$L$5:$L$3004,Config!$B$7,$M$5:$M$3004,Config!$B$5)*1000-ROW()/100000,0)</f>
        <v>0</v>
      </c>
    </row>
    <row r="827">
      <c r="A827" s="39" t="n">
        <v>46258</v>
      </c>
      <c r="B827" s="40" t="n">
        <v>0.5972222222222222</v>
      </c>
      <c r="C827" s="35" t="inlineStr">
        <is>
          <t>Dr. Paulo Andrade</t>
        </is>
      </c>
      <c r="D827" s="35" t="inlineStr">
        <is>
          <t>Sala 2</t>
        </is>
      </c>
      <c r="E827" s="34" t="inlineStr">
        <is>
          <t>Vinícius Cardoso</t>
        </is>
      </c>
      <c r="F827" s="35" t="inlineStr">
        <is>
          <t>MediPlan</t>
        </is>
      </c>
      <c r="G827" s="35" t="inlineStr">
        <is>
          <t>Consulta</t>
        </is>
      </c>
      <c r="H827" s="35" t="inlineStr">
        <is>
          <t>Realizado</t>
        </is>
      </c>
      <c r="I827" s="35" t="inlineStr">
        <is>
          <t>Convênio</t>
        </is>
      </c>
      <c r="J827" s="35" t="n"/>
      <c r="K827" s="34" t="n"/>
      <c r="L827" s="26">
        <f>IF(A827="","",MONTH(A827))</f>
        <v>8</v>
      </c>
      <c r="M827" s="26">
        <f>IF(A827="","",YEAR(A827))</f>
        <v>2026</v>
      </c>
      <c r="N827" s="26" t="str">
        <f>IF(A827="","",CHOOSE(WEEKDAY(A827,2),"Segunda","Terça","Quarta","Quinta","Sexta","Sábado","Domingo"))</f>
        <v>Segunda</v>
      </c>
      <c r="O827" s="26" t="str">
        <f>IF(B827="","",IF(B827&lt;TIME(12,0,0),"Manhã",IF(B827&lt;TIME(18,0,0),"Tarde","Noite")))</f>
        <v>Tarde</v>
      </c>
      <c r="P827" s="32">
        <f>IF(G827="","",IFERROR(INDEX(Config!$I$5:$I$16,MATCH(G827,Config!$H$5:$H$16,0)),0))</f>
        <v>30</v>
      </c>
      <c r="Q827" s="30">
        <f>IF(OR(H827&lt;&gt;"Realizado",P827="",P827=0),"",A827+P827)</f>
        <v>46288.0</v>
      </c>
      <c r="R827" s="26" t="str">
        <f>IF(Q827="","",IF(COUNTIFS($E$5:$E$3004,E827,$A$5:$A$3004,"&gt;"&amp;A827,$H$5:$H$3004,"&lt;&gt;Falta",$H$5:$H$3004,"&lt;&gt;Cancelado",$H$5:$H$3004,"&lt;&gt;Remarcado")&gt;0,"Sim","Não"))</f>
        <v>Sim</v>
      </c>
      <c r="S827" s="32">
        <f>IF(R827&lt;&gt;"Não","",IF(Q827+Config!$B$9&lt;=Config!$B$8,Config!$B$8-Q827,""))</f>
        <v/>
      </c>
      <c r="T827" s="26">
        <f>IF(S827="","","Sim")</f>
        <v/>
      </c>
      <c r="U827" s="41">
        <f>IF(T827="Sim",S827+ROW()/100000,0)</f>
        <v>0</v>
      </c>
      <c r="V827" s="41">
        <f>IF(AND(H827="Falta",L827=Config!$B$7,M827=Config!$B$5,COUNTIFS($E$5:E827,E827,$H$5:H827,"Falta",$L$5:L827,Config!$B$7,$M$5:M827,Config!$B$5)=1),COUNTIFS($E$5:$E$3004,E827,$H$5:$H$3004,"Falta",$L$5:$L$3004,Config!$B$7,$M$5:$M$3004,Config!$B$5)*1000-ROW()/100000,0)</f>
        <v>0</v>
      </c>
    </row>
    <row r="828">
      <c r="A828" s="39" t="n">
        <v>46258</v>
      </c>
      <c r="B828" s="40" t="n">
        <v>0.6180555555555556</v>
      </c>
      <c r="C828" s="35" t="inlineStr">
        <is>
          <t>Dr. Paulo Andrade</t>
        </is>
      </c>
      <c r="D828" s="35" t="inlineStr">
        <is>
          <t>Sala 2</t>
        </is>
      </c>
      <c r="E828" s="34" t="inlineStr">
        <is>
          <t>Camila Freitas</t>
        </is>
      </c>
      <c r="F828" s="35" t="inlineStr">
        <is>
          <t>Particular</t>
        </is>
      </c>
      <c r="G828" s="35" t="inlineStr">
        <is>
          <t>Consulta</t>
        </is>
      </c>
      <c r="H828" s="35" t="inlineStr">
        <is>
          <t>Realizado</t>
        </is>
      </c>
      <c r="I828" s="35" t="inlineStr">
        <is>
          <t>Pix</t>
        </is>
      </c>
      <c r="J828" s="35" t="n"/>
      <c r="K828" s="34" t="n"/>
      <c r="L828" s="26">
        <f>IF(A828="","",MONTH(A828))</f>
        <v>8</v>
      </c>
      <c r="M828" s="26">
        <f>IF(A828="","",YEAR(A828))</f>
        <v>2026</v>
      </c>
      <c r="N828" s="26" t="str">
        <f>IF(A828="","",CHOOSE(WEEKDAY(A828,2),"Segunda","Terça","Quarta","Quinta","Sexta","Sábado","Domingo"))</f>
        <v>Segunda</v>
      </c>
      <c r="O828" s="26" t="str">
        <f>IF(B828="","",IF(B828&lt;TIME(12,0,0),"Manhã",IF(B828&lt;TIME(18,0,0),"Tarde","Noite")))</f>
        <v>Tarde</v>
      </c>
      <c r="P828" s="32">
        <f>IF(G828="","",IFERROR(INDEX(Config!$I$5:$I$16,MATCH(G828,Config!$H$5:$H$16,0)),0))</f>
        <v>30</v>
      </c>
      <c r="Q828" s="30">
        <f>IF(OR(H828&lt;&gt;"Realizado",P828="",P828=0),"",A828+P828)</f>
        <v>46288.0</v>
      </c>
      <c r="R828" s="26" t="str">
        <f>IF(Q828="","",IF(COUNTIFS($E$5:$E$3004,E828,$A$5:$A$3004,"&gt;"&amp;A828,$H$5:$H$3004,"&lt;&gt;Falta",$H$5:$H$3004,"&lt;&gt;Cancelado",$H$5:$H$3004,"&lt;&gt;Remarcado")&gt;0,"Sim","Não"))</f>
        <v>Sim</v>
      </c>
      <c r="S828" s="32">
        <f>IF(R828&lt;&gt;"Não","",IF(Q828+Config!$B$9&lt;=Config!$B$8,Config!$B$8-Q828,""))</f>
        <v/>
      </c>
      <c r="T828" s="26">
        <f>IF(S828="","","Sim")</f>
        <v/>
      </c>
      <c r="U828" s="41">
        <f>IF(T828="Sim",S828+ROW()/100000,0)</f>
        <v>0</v>
      </c>
      <c r="V828" s="41">
        <f>IF(AND(H828="Falta",L828=Config!$B$7,M828=Config!$B$5,COUNTIFS($E$5:E828,E828,$H$5:H828,"Falta",$L$5:L828,Config!$B$7,$M$5:M828,Config!$B$5)=1),COUNTIFS($E$5:$E$3004,E828,$H$5:$H$3004,"Falta",$L$5:$L$3004,Config!$B$7,$M$5:$M$3004,Config!$B$5)*1000-ROW()/100000,0)</f>
        <v>0</v>
      </c>
    </row>
    <row r="829">
      <c r="A829" s="39" t="n">
        <v>46258</v>
      </c>
      <c r="B829" s="40" t="n">
        <v>0.6388888888888888</v>
      </c>
      <c r="C829" s="35" t="inlineStr">
        <is>
          <t>Dr. Paulo Andrade</t>
        </is>
      </c>
      <c r="D829" s="35" t="inlineStr">
        <is>
          <t>Sala 2</t>
        </is>
      </c>
      <c r="E829" s="34" t="inlineStr">
        <is>
          <t>Otávio Martins</t>
        </is>
      </c>
      <c r="F829" s="35" t="inlineStr">
        <is>
          <t>MediPlan</t>
        </is>
      </c>
      <c r="G829" s="35" t="inlineStr">
        <is>
          <t>Retorno</t>
        </is>
      </c>
      <c r="H829" s="35" t="inlineStr">
        <is>
          <t>Realizado</t>
        </is>
      </c>
      <c r="I829" s="35" t="inlineStr">
        <is>
          <t>Sem cobrança</t>
        </is>
      </c>
      <c r="J829" s="35" t="n"/>
      <c r="K829" s="34" t="n"/>
      <c r="L829" s="26">
        <f>IF(A829="","",MONTH(A829))</f>
        <v>8</v>
      </c>
      <c r="M829" s="26">
        <f>IF(A829="","",YEAR(A829))</f>
        <v>2026</v>
      </c>
      <c r="N829" s="26" t="str">
        <f>IF(A829="","",CHOOSE(WEEKDAY(A829,2),"Segunda","Terça","Quarta","Quinta","Sexta","Sábado","Domingo"))</f>
        <v>Segunda</v>
      </c>
      <c r="O829" s="26" t="str">
        <f>IF(B829="","",IF(B829&lt;TIME(12,0,0),"Manhã",IF(B829&lt;TIME(18,0,0),"Tarde","Noite")))</f>
        <v>Tarde</v>
      </c>
      <c r="P829" s="32">
        <f>IF(G829="","",IFERROR(INDEX(Config!$I$5:$I$16,MATCH(G829,Config!$H$5:$H$16,0)),0))</f>
        <v>0</v>
      </c>
      <c r="Q829" s="30">
        <f>IF(OR(H829&lt;&gt;"Realizado",P829="",P829=0),"",A829+P829)</f>
        <v/>
      </c>
      <c r="R829" s="26">
        <f>IF(Q829="","",IF(COUNTIFS($E$5:$E$3004,E829,$A$5:$A$3004,"&gt;"&amp;A829,$H$5:$H$3004,"&lt;&gt;Falta",$H$5:$H$3004,"&lt;&gt;Cancelado",$H$5:$H$3004,"&lt;&gt;Remarcado")&gt;0,"Sim","Não"))</f>
        <v/>
      </c>
      <c r="S829" s="32">
        <f>IF(R829&lt;&gt;"Não","",IF(Q829+Config!$B$9&lt;=Config!$B$8,Config!$B$8-Q829,""))</f>
        <v/>
      </c>
      <c r="T829" s="26">
        <f>IF(S829="","","Sim")</f>
        <v/>
      </c>
      <c r="U829" s="41">
        <f>IF(T829="Sim",S829+ROW()/100000,0)</f>
        <v>0</v>
      </c>
      <c r="V829" s="41">
        <f>IF(AND(H829="Falta",L829=Config!$B$7,M829=Config!$B$5,COUNTIFS($E$5:E829,E829,$H$5:H829,"Falta",$L$5:L829,Config!$B$7,$M$5:M829,Config!$B$5)=1),COUNTIFS($E$5:$E$3004,E829,$H$5:$H$3004,"Falta",$L$5:$L$3004,Config!$B$7,$M$5:$M$3004,Config!$B$5)*1000-ROW()/100000,0)</f>
        <v>0</v>
      </c>
    </row>
    <row r="830">
      <c r="A830" s="39" t="n">
        <v>46258</v>
      </c>
      <c r="B830" s="40" t="n">
        <v>0.6527777777777778</v>
      </c>
      <c r="C830" s="35" t="inlineStr">
        <is>
          <t>Dr. Paulo Andrade</t>
        </is>
      </c>
      <c r="D830" s="35" t="inlineStr">
        <is>
          <t>Sala 2</t>
        </is>
      </c>
      <c r="E830" s="34" t="inlineStr">
        <is>
          <t>Gabriel Oliveira</t>
        </is>
      </c>
      <c r="F830" s="35" t="inlineStr">
        <is>
          <t>Particular</t>
        </is>
      </c>
      <c r="G830" s="35" t="inlineStr">
        <is>
          <t>Consulta</t>
        </is>
      </c>
      <c r="H830" s="35" t="inlineStr">
        <is>
          <t>Realizado</t>
        </is>
      </c>
      <c r="I830" s="35" t="inlineStr">
        <is>
          <t>Pix</t>
        </is>
      </c>
      <c r="J830" s="35" t="n"/>
      <c r="K830" s="34" t="n"/>
      <c r="L830" s="26">
        <f>IF(A830="","",MONTH(A830))</f>
        <v>8</v>
      </c>
      <c r="M830" s="26">
        <f>IF(A830="","",YEAR(A830))</f>
        <v>2026</v>
      </c>
      <c r="N830" s="26" t="str">
        <f>IF(A830="","",CHOOSE(WEEKDAY(A830,2),"Segunda","Terça","Quarta","Quinta","Sexta","Sábado","Domingo"))</f>
        <v>Segunda</v>
      </c>
      <c r="O830" s="26" t="str">
        <f>IF(B830="","",IF(B830&lt;TIME(12,0,0),"Manhã",IF(B830&lt;TIME(18,0,0),"Tarde","Noite")))</f>
        <v>Tarde</v>
      </c>
      <c r="P830" s="32">
        <f>IF(G830="","",IFERROR(INDEX(Config!$I$5:$I$16,MATCH(G830,Config!$H$5:$H$16,0)),0))</f>
        <v>30</v>
      </c>
      <c r="Q830" s="30">
        <f>IF(OR(H830&lt;&gt;"Realizado",P830="",P830=0),"",A830+P830)</f>
        <v>46288.0</v>
      </c>
      <c r="R830" s="26" t="str">
        <f>IF(Q830="","",IF(COUNTIFS($E$5:$E$3004,E830,$A$5:$A$3004,"&gt;"&amp;A830,$H$5:$H$3004,"&lt;&gt;Falta",$H$5:$H$3004,"&lt;&gt;Cancelado",$H$5:$H$3004,"&lt;&gt;Remarcado")&gt;0,"Sim","Não"))</f>
        <v>Sim</v>
      </c>
      <c r="S830" s="32">
        <f>IF(R830&lt;&gt;"Não","",IF(Q830+Config!$B$9&lt;=Config!$B$8,Config!$B$8-Q830,""))</f>
        <v/>
      </c>
      <c r="T830" s="26">
        <f>IF(S830="","","Sim")</f>
        <v/>
      </c>
      <c r="U830" s="41">
        <f>IF(T830="Sim",S830+ROW()/100000,0)</f>
        <v>0</v>
      </c>
      <c r="V830" s="41">
        <f>IF(AND(H830="Falta",L830=Config!$B$7,M830=Config!$B$5,COUNTIFS($E$5:E830,E830,$H$5:H830,"Falta",$L$5:L830,Config!$B$7,$M$5:M830,Config!$B$5)=1),COUNTIFS($E$5:$E$3004,E830,$H$5:$H$3004,"Falta",$L$5:$L$3004,Config!$B$7,$M$5:$M$3004,Config!$B$5)*1000-ROW()/100000,0)</f>
        <v>0</v>
      </c>
    </row>
    <row r="831">
      <c r="A831" s="39" t="n">
        <v>46258</v>
      </c>
      <c r="B831" s="40" t="n">
        <v>0.6736111111111112</v>
      </c>
      <c r="C831" s="35" t="inlineStr">
        <is>
          <t>Dr. Paulo Andrade</t>
        </is>
      </c>
      <c r="D831" s="35" t="inlineStr">
        <is>
          <t>Sala 2</t>
        </is>
      </c>
      <c r="E831" s="34" t="inlineStr">
        <is>
          <t>Gabriel Vieira</t>
        </is>
      </c>
      <c r="F831" s="35" t="inlineStr">
        <is>
          <t>Vida Care</t>
        </is>
      </c>
      <c r="G831" s="35" t="inlineStr">
        <is>
          <t>Consulta</t>
        </is>
      </c>
      <c r="H831" s="35" t="inlineStr">
        <is>
          <t>Realizado</t>
        </is>
      </c>
      <c r="I831" s="35" t="inlineStr">
        <is>
          <t>Convênio</t>
        </is>
      </c>
      <c r="J831" s="35" t="n"/>
      <c r="K831" s="34" t="n"/>
      <c r="L831" s="26">
        <f>IF(A831="","",MONTH(A831))</f>
        <v>8</v>
      </c>
      <c r="M831" s="26">
        <f>IF(A831="","",YEAR(A831))</f>
        <v>2026</v>
      </c>
      <c r="N831" s="26" t="str">
        <f>IF(A831="","",CHOOSE(WEEKDAY(A831,2),"Segunda","Terça","Quarta","Quinta","Sexta","Sábado","Domingo"))</f>
        <v>Segunda</v>
      </c>
      <c r="O831" s="26" t="str">
        <f>IF(B831="","",IF(B831&lt;TIME(12,0,0),"Manhã",IF(B831&lt;TIME(18,0,0),"Tarde","Noite")))</f>
        <v>Tarde</v>
      </c>
      <c r="P831" s="32">
        <f>IF(G831="","",IFERROR(INDEX(Config!$I$5:$I$16,MATCH(G831,Config!$H$5:$H$16,0)),0))</f>
        <v>30</v>
      </c>
      <c r="Q831" s="30">
        <f>IF(OR(H831&lt;&gt;"Realizado",P831="",P831=0),"",A831+P831)</f>
        <v>46288.0</v>
      </c>
      <c r="R831" s="26" t="str">
        <f>IF(Q831="","",IF(COUNTIFS($E$5:$E$3004,E831,$A$5:$A$3004,"&gt;"&amp;A831,$H$5:$H$3004,"&lt;&gt;Falta",$H$5:$H$3004,"&lt;&gt;Cancelado",$H$5:$H$3004,"&lt;&gt;Remarcado")&gt;0,"Sim","Não"))</f>
        <v>Sim</v>
      </c>
      <c r="S831" s="32">
        <f>IF(R831&lt;&gt;"Não","",IF(Q831+Config!$B$9&lt;=Config!$B$8,Config!$B$8-Q831,""))</f>
        <v/>
      </c>
      <c r="T831" s="26">
        <f>IF(S831="","","Sim")</f>
        <v/>
      </c>
      <c r="U831" s="41">
        <f>IF(T831="Sim",S831+ROW()/100000,0)</f>
        <v>0</v>
      </c>
      <c r="V831" s="41">
        <f>IF(AND(H831="Falta",L831=Config!$B$7,M831=Config!$B$5,COUNTIFS($E$5:E831,E831,$H$5:H831,"Falta",$L$5:L831,Config!$B$7,$M$5:M831,Config!$B$5)=1),COUNTIFS($E$5:$E$3004,E831,$H$5:$H$3004,"Falta",$L$5:$L$3004,Config!$B$7,$M$5:$M$3004,Config!$B$5)*1000-ROW()/100000,0)</f>
        <v>0</v>
      </c>
    </row>
    <row r="832">
      <c r="A832" s="39" t="n">
        <v>46258</v>
      </c>
      <c r="B832" s="40" t="n">
        <v>0.6944444444444444</v>
      </c>
      <c r="C832" s="35" t="inlineStr">
        <is>
          <t>Dr. Paulo Andrade</t>
        </is>
      </c>
      <c r="D832" s="35" t="inlineStr">
        <is>
          <t>Sala 2</t>
        </is>
      </c>
      <c r="E832" s="34" t="inlineStr">
        <is>
          <t>Daniel Melo</t>
        </is>
      </c>
      <c r="F832" s="35" t="inlineStr">
        <is>
          <t>Saúde Total</t>
        </is>
      </c>
      <c r="G832" s="35" t="inlineStr">
        <is>
          <t>MAPA</t>
        </is>
      </c>
      <c r="H832" s="35" t="inlineStr">
        <is>
          <t>Realizado</t>
        </is>
      </c>
      <c r="I832" s="35" t="inlineStr">
        <is>
          <t>Convênio</t>
        </is>
      </c>
      <c r="J832" s="35" t="n"/>
      <c r="K832" s="34" t="n"/>
      <c r="L832" s="26">
        <f>IF(A832="","",MONTH(A832))</f>
        <v>8</v>
      </c>
      <c r="M832" s="26">
        <f>IF(A832="","",YEAR(A832))</f>
        <v>2026</v>
      </c>
      <c r="N832" s="26" t="str">
        <f>IF(A832="","",CHOOSE(WEEKDAY(A832,2),"Segunda","Terça","Quarta","Quinta","Sexta","Sábado","Domingo"))</f>
        <v>Segunda</v>
      </c>
      <c r="O832" s="26" t="str">
        <f>IF(B832="","",IF(B832&lt;TIME(12,0,0),"Manhã",IF(B832&lt;TIME(18,0,0),"Tarde","Noite")))</f>
        <v>Tarde</v>
      </c>
      <c r="P832" s="32">
        <f>IF(G832="","",IFERROR(INDEX(Config!$I$5:$I$16,MATCH(G832,Config!$H$5:$H$16,0)),0))</f>
        <v>0</v>
      </c>
      <c r="Q832" s="30">
        <f>IF(OR(H832&lt;&gt;"Realizado",P832="",P832=0),"",A832+P832)</f>
        <v/>
      </c>
      <c r="R832" s="26">
        <f>IF(Q832="","",IF(COUNTIFS($E$5:$E$3004,E832,$A$5:$A$3004,"&gt;"&amp;A832,$H$5:$H$3004,"&lt;&gt;Falta",$H$5:$H$3004,"&lt;&gt;Cancelado",$H$5:$H$3004,"&lt;&gt;Remarcado")&gt;0,"Sim","Não"))</f>
        <v/>
      </c>
      <c r="S832" s="32">
        <f>IF(R832&lt;&gt;"Não","",IF(Q832+Config!$B$9&lt;=Config!$B$8,Config!$B$8-Q832,""))</f>
        <v/>
      </c>
      <c r="T832" s="26">
        <f>IF(S832="","","Sim")</f>
        <v/>
      </c>
      <c r="U832" s="41">
        <f>IF(T832="Sim",S832+ROW()/100000,0)</f>
        <v>0</v>
      </c>
      <c r="V832" s="41">
        <f>IF(AND(H832="Falta",L832=Config!$B$7,M832=Config!$B$5,COUNTIFS($E$5:E832,E832,$H$5:H832,"Falta",$L$5:L832,Config!$B$7,$M$5:M832,Config!$B$5)=1),COUNTIFS($E$5:$E$3004,E832,$H$5:$H$3004,"Falta",$L$5:$L$3004,Config!$B$7,$M$5:$M$3004,Config!$B$5)*1000-ROW()/100000,0)</f>
        <v>0</v>
      </c>
    </row>
    <row r="833">
      <c r="A833" s="39" t="n">
        <v>46258</v>
      </c>
      <c r="B833" s="40" t="n">
        <v>0.7083333333333334</v>
      </c>
      <c r="C833" s="35" t="inlineStr">
        <is>
          <t>Dr. Paulo Andrade</t>
        </is>
      </c>
      <c r="D833" s="35" t="inlineStr">
        <is>
          <t>Sala 2</t>
        </is>
      </c>
      <c r="E833" s="34" t="inlineStr">
        <is>
          <t>Sérgio Martins</t>
        </is>
      </c>
      <c r="F833" s="35" t="inlineStr">
        <is>
          <t>Particular</t>
        </is>
      </c>
      <c r="G833" s="35" t="inlineStr">
        <is>
          <t>Holter</t>
        </is>
      </c>
      <c r="H833" s="35" t="inlineStr">
        <is>
          <t>Realizado</t>
        </is>
      </c>
      <c r="I833" s="35" t="inlineStr">
        <is>
          <t>Dinheiro</t>
        </is>
      </c>
      <c r="J833" s="35" t="n"/>
      <c r="K833" s="34" t="n"/>
      <c r="L833" s="26">
        <f>IF(A833="","",MONTH(A833))</f>
        <v>8</v>
      </c>
      <c r="M833" s="26">
        <f>IF(A833="","",YEAR(A833))</f>
        <v>2026</v>
      </c>
      <c r="N833" s="26" t="str">
        <f>IF(A833="","",CHOOSE(WEEKDAY(A833,2),"Segunda","Terça","Quarta","Quinta","Sexta","Sábado","Domingo"))</f>
        <v>Segunda</v>
      </c>
      <c r="O833" s="26" t="str">
        <f>IF(B833="","",IF(B833&lt;TIME(12,0,0),"Manhã",IF(B833&lt;TIME(18,0,0),"Tarde","Noite")))</f>
        <v>Tarde</v>
      </c>
      <c r="P833" s="32">
        <f>IF(G833="","",IFERROR(INDEX(Config!$I$5:$I$16,MATCH(G833,Config!$H$5:$H$16,0)),0))</f>
        <v>0</v>
      </c>
      <c r="Q833" s="30">
        <f>IF(OR(H833&lt;&gt;"Realizado",P833="",P833=0),"",A833+P833)</f>
        <v/>
      </c>
      <c r="R833" s="26">
        <f>IF(Q833="","",IF(COUNTIFS($E$5:$E$3004,E833,$A$5:$A$3004,"&gt;"&amp;A833,$H$5:$H$3004,"&lt;&gt;Falta",$H$5:$H$3004,"&lt;&gt;Cancelado",$H$5:$H$3004,"&lt;&gt;Remarcado")&gt;0,"Sim","Não"))</f>
        <v/>
      </c>
      <c r="S833" s="32">
        <f>IF(R833&lt;&gt;"Não","",IF(Q833+Config!$B$9&lt;=Config!$B$8,Config!$B$8-Q833,""))</f>
        <v/>
      </c>
      <c r="T833" s="26">
        <f>IF(S833="","","Sim")</f>
        <v/>
      </c>
      <c r="U833" s="41">
        <f>IF(T833="Sim",S833+ROW()/100000,0)</f>
        <v>0</v>
      </c>
      <c r="V833" s="41">
        <f>IF(AND(H833="Falta",L833=Config!$B$7,M833=Config!$B$5,COUNTIFS($E$5:E833,E833,$H$5:H833,"Falta",$L$5:L833,Config!$B$7,$M$5:M833,Config!$B$5)=1),COUNTIFS($E$5:$E$3004,E833,$H$5:$H$3004,"Falta",$L$5:$L$3004,Config!$B$7,$M$5:$M$3004,Config!$B$5)*1000-ROW()/100000,0)</f>
        <v>0</v>
      </c>
    </row>
    <row r="834">
      <c r="A834" s="39" t="n">
        <v>46258</v>
      </c>
      <c r="B834" s="40" t="n">
        <v>0.7222222222222222</v>
      </c>
      <c r="C834" s="35" t="inlineStr">
        <is>
          <t>Dr. Paulo Andrade</t>
        </is>
      </c>
      <c r="D834" s="35" t="inlineStr">
        <is>
          <t>Sala 2</t>
        </is>
      </c>
      <c r="E834" s="34" t="inlineStr">
        <is>
          <t>Isabela Nascimento</t>
        </is>
      </c>
      <c r="F834" s="35" t="inlineStr">
        <is>
          <t>Vida Care</t>
        </is>
      </c>
      <c r="G834" s="35" t="inlineStr">
        <is>
          <t>Teste ergométrico</t>
        </is>
      </c>
      <c r="H834" s="35" t="inlineStr">
        <is>
          <t>Realizado</t>
        </is>
      </c>
      <c r="I834" s="35" t="inlineStr">
        <is>
          <t>Convênio</t>
        </is>
      </c>
      <c r="J834" s="35" t="n"/>
      <c r="K834" s="34" t="n"/>
      <c r="L834" s="26">
        <f>IF(A834="","",MONTH(A834))</f>
        <v>8</v>
      </c>
      <c r="M834" s="26">
        <f>IF(A834="","",YEAR(A834))</f>
        <v>2026</v>
      </c>
      <c r="N834" s="26" t="str">
        <f>IF(A834="","",CHOOSE(WEEKDAY(A834,2),"Segunda","Terça","Quarta","Quinta","Sexta","Sábado","Domingo"))</f>
        <v>Segunda</v>
      </c>
      <c r="O834" s="26" t="str">
        <f>IF(B834="","",IF(B834&lt;TIME(12,0,0),"Manhã",IF(B834&lt;TIME(18,0,0),"Tarde","Noite")))</f>
        <v>Tarde</v>
      </c>
      <c r="P834" s="32">
        <f>IF(G834="","",IFERROR(INDEX(Config!$I$5:$I$16,MATCH(G834,Config!$H$5:$H$16,0)),0))</f>
        <v>0</v>
      </c>
      <c r="Q834" s="30">
        <f>IF(OR(H834&lt;&gt;"Realizado",P834="",P834=0),"",A834+P834)</f>
        <v/>
      </c>
      <c r="R834" s="26">
        <f>IF(Q834="","",IF(COUNTIFS($E$5:$E$3004,E834,$A$5:$A$3004,"&gt;"&amp;A834,$H$5:$H$3004,"&lt;&gt;Falta",$H$5:$H$3004,"&lt;&gt;Cancelado",$H$5:$H$3004,"&lt;&gt;Remarcado")&gt;0,"Sim","Não"))</f>
        <v/>
      </c>
      <c r="S834" s="32">
        <f>IF(R834&lt;&gt;"Não","",IF(Q834+Config!$B$9&lt;=Config!$B$8,Config!$B$8-Q834,""))</f>
        <v/>
      </c>
      <c r="T834" s="26">
        <f>IF(S834="","","Sim")</f>
        <v/>
      </c>
      <c r="U834" s="41">
        <f>IF(T834="Sim",S834+ROW()/100000,0)</f>
        <v>0</v>
      </c>
      <c r="V834" s="41">
        <f>IF(AND(H834="Falta",L834=Config!$B$7,M834=Config!$B$5,COUNTIFS($E$5:E834,E834,$H$5:H834,"Falta",$L$5:L834,Config!$B$7,$M$5:M834,Config!$B$5)=1),COUNTIFS($E$5:$E$3004,E834,$H$5:$H$3004,"Falta",$L$5:$L$3004,Config!$B$7,$M$5:$M$3004,Config!$B$5)*1000-ROW()/100000,0)</f>
        <v>0</v>
      </c>
    </row>
    <row r="835">
      <c r="A835" s="39" t="n">
        <v>46259</v>
      </c>
      <c r="B835" s="40" t="n">
        <v>0.3333333333333333</v>
      </c>
      <c r="C835" s="35" t="inlineStr">
        <is>
          <t>Dra. Carolina Mendes</t>
        </is>
      </c>
      <c r="D835" s="35" t="inlineStr">
        <is>
          <t>Sala 1</t>
        </is>
      </c>
      <c r="E835" s="34" t="inlineStr">
        <is>
          <t>Gustavo Ferreira</t>
        </is>
      </c>
      <c r="F835" s="35" t="inlineStr">
        <is>
          <t>Particular</t>
        </is>
      </c>
      <c r="G835" s="35" t="inlineStr">
        <is>
          <t>Retorno</t>
        </is>
      </c>
      <c r="H835" s="35" t="inlineStr">
        <is>
          <t>Falta</t>
        </is>
      </c>
      <c r="I835" s="35" t="n"/>
      <c r="J835" s="35" t="n"/>
      <c r="K835" s="34" t="n"/>
      <c r="L835" s="26">
        <f>IF(A835="","",MONTH(A835))</f>
        <v>8</v>
      </c>
      <c r="M835" s="26">
        <f>IF(A835="","",YEAR(A835))</f>
        <v>2026</v>
      </c>
      <c r="N835" s="26" t="str">
        <f>IF(A835="","",CHOOSE(WEEKDAY(A835,2),"Segunda","Terça","Quarta","Quinta","Sexta","Sábado","Domingo"))</f>
        <v>Terça</v>
      </c>
      <c r="O835" s="26" t="str">
        <f>IF(B835="","",IF(B835&lt;TIME(12,0,0),"Manhã",IF(B835&lt;TIME(18,0,0),"Tarde","Noite")))</f>
        <v>Manhã</v>
      </c>
      <c r="P835" s="32">
        <f>IF(G835="","",IFERROR(INDEX(Config!$I$5:$I$16,MATCH(G835,Config!$H$5:$H$16,0)),0))</f>
        <v>0</v>
      </c>
      <c r="Q835" s="30">
        <f>IF(OR(H835&lt;&gt;"Realizado",P835="",P835=0),"",A835+P835)</f>
        <v/>
      </c>
      <c r="R835" s="26">
        <f>IF(Q835="","",IF(COUNTIFS($E$5:$E$3004,E835,$A$5:$A$3004,"&gt;"&amp;A835,$H$5:$H$3004,"&lt;&gt;Falta",$H$5:$H$3004,"&lt;&gt;Cancelado",$H$5:$H$3004,"&lt;&gt;Remarcado")&gt;0,"Sim","Não"))</f>
        <v/>
      </c>
      <c r="S835" s="32">
        <f>IF(R835&lt;&gt;"Não","",IF(Q835+Config!$B$9&lt;=Config!$B$8,Config!$B$8-Q835,""))</f>
        <v/>
      </c>
      <c r="T835" s="26">
        <f>IF(S835="","","Sim")</f>
        <v/>
      </c>
      <c r="U835" s="41">
        <f>IF(T835="Sim",S835+ROW()/100000,0)</f>
        <v>0</v>
      </c>
      <c r="V835" s="41">
        <f>IF(AND(H835="Falta",L835=Config!$B$7,M835=Config!$B$5,COUNTIFS($E$5:E835,E835,$H$5:H835,"Falta",$L$5:L835,Config!$B$7,$M$5:M835,Config!$B$5)=1),COUNTIFS($E$5:$E$3004,E835,$H$5:$H$3004,"Falta",$L$5:$L$3004,Config!$B$7,$M$5:$M$3004,Config!$B$5)*1000-ROW()/100000,0)</f>
        <v>0</v>
      </c>
    </row>
    <row r="836">
      <c r="A836" s="39" t="n">
        <v>46259</v>
      </c>
      <c r="B836" s="40" t="n">
        <v>0.3472222222222222</v>
      </c>
      <c r="C836" s="35" t="inlineStr">
        <is>
          <t>Dra. Carolina Mendes</t>
        </is>
      </c>
      <c r="D836" s="35" t="inlineStr">
        <is>
          <t>Sala 1</t>
        </is>
      </c>
      <c r="E836" s="34" t="inlineStr">
        <is>
          <t>Larissa Costa</t>
        </is>
      </c>
      <c r="F836" s="35" t="inlineStr">
        <is>
          <t>Particular</t>
        </is>
      </c>
      <c r="G836" s="35" t="inlineStr">
        <is>
          <t>Consulta</t>
        </is>
      </c>
      <c r="H836" s="35" t="inlineStr">
        <is>
          <t>Realizado</t>
        </is>
      </c>
      <c r="I836" s="35" t="inlineStr">
        <is>
          <t>Pix</t>
        </is>
      </c>
      <c r="J836" s="35" t="n"/>
      <c r="K836" s="34" t="n"/>
      <c r="L836" s="26">
        <f>IF(A836="","",MONTH(A836))</f>
        <v>8</v>
      </c>
      <c r="M836" s="26">
        <f>IF(A836="","",YEAR(A836))</f>
        <v>2026</v>
      </c>
      <c r="N836" s="26" t="str">
        <f>IF(A836="","",CHOOSE(WEEKDAY(A836,2),"Segunda","Terça","Quarta","Quinta","Sexta","Sábado","Domingo"))</f>
        <v>Terça</v>
      </c>
      <c r="O836" s="26" t="str">
        <f>IF(B836="","",IF(B836&lt;TIME(12,0,0),"Manhã",IF(B836&lt;TIME(18,0,0),"Tarde","Noite")))</f>
        <v>Manhã</v>
      </c>
      <c r="P836" s="32">
        <f>IF(G836="","",IFERROR(INDEX(Config!$I$5:$I$16,MATCH(G836,Config!$H$5:$H$16,0)),0))</f>
        <v>30</v>
      </c>
      <c r="Q836" s="30">
        <f>IF(OR(H836&lt;&gt;"Realizado",P836="",P836=0),"",A836+P836)</f>
        <v>46289.0</v>
      </c>
      <c r="R836" s="26" t="str">
        <f>IF(Q836="","",IF(COUNTIFS($E$5:$E$3004,E836,$A$5:$A$3004,"&gt;"&amp;A836,$H$5:$H$3004,"&lt;&gt;Falta",$H$5:$H$3004,"&lt;&gt;Cancelado",$H$5:$H$3004,"&lt;&gt;Remarcado")&gt;0,"Sim","Não"))</f>
        <v>Sim</v>
      </c>
      <c r="S836" s="32">
        <f>IF(R836&lt;&gt;"Não","",IF(Q836+Config!$B$9&lt;=Config!$B$8,Config!$B$8-Q836,""))</f>
        <v/>
      </c>
      <c r="T836" s="26">
        <f>IF(S836="","","Sim")</f>
        <v/>
      </c>
      <c r="U836" s="41">
        <f>IF(T836="Sim",S836+ROW()/100000,0)</f>
        <v>0</v>
      </c>
      <c r="V836" s="41">
        <f>IF(AND(H836="Falta",L836=Config!$B$7,M836=Config!$B$5,COUNTIFS($E$5:E836,E836,$H$5:H836,"Falta",$L$5:L836,Config!$B$7,$M$5:M836,Config!$B$5)=1),COUNTIFS($E$5:$E$3004,E836,$H$5:$H$3004,"Falta",$L$5:$L$3004,Config!$B$7,$M$5:$M$3004,Config!$B$5)*1000-ROW()/100000,0)</f>
        <v>0</v>
      </c>
    </row>
    <row r="837">
      <c r="A837" s="39" t="n">
        <v>46259</v>
      </c>
      <c r="B837" s="40" t="n">
        <v>0.3680555555555556</v>
      </c>
      <c r="C837" s="35" t="inlineStr">
        <is>
          <t>Dra. Carolina Mendes</t>
        </is>
      </c>
      <c r="D837" s="35" t="inlineStr">
        <is>
          <t>Sala 1</t>
        </is>
      </c>
      <c r="E837" s="34" t="inlineStr">
        <is>
          <t>Otávio Nascimento</t>
        </is>
      </c>
      <c r="F837" s="35" t="inlineStr">
        <is>
          <t>Particular</t>
        </is>
      </c>
      <c r="G837" s="35" t="inlineStr">
        <is>
          <t>Consulta</t>
        </is>
      </c>
      <c r="H837" s="35" t="inlineStr">
        <is>
          <t>Realizado</t>
        </is>
      </c>
      <c r="I837" s="35" t="inlineStr">
        <is>
          <t>Cartão de crédito</t>
        </is>
      </c>
      <c r="J837" s="35" t="n">
        <v>2</v>
      </c>
      <c r="K837" s="34" t="n"/>
      <c r="L837" s="26">
        <f>IF(A837="","",MONTH(A837))</f>
        <v>8</v>
      </c>
      <c r="M837" s="26">
        <f>IF(A837="","",YEAR(A837))</f>
        <v>2026</v>
      </c>
      <c r="N837" s="26" t="str">
        <f>IF(A837="","",CHOOSE(WEEKDAY(A837,2),"Segunda","Terça","Quarta","Quinta","Sexta","Sábado","Domingo"))</f>
        <v>Terça</v>
      </c>
      <c r="O837" s="26" t="str">
        <f>IF(B837="","",IF(B837&lt;TIME(12,0,0),"Manhã",IF(B837&lt;TIME(18,0,0),"Tarde","Noite")))</f>
        <v>Manhã</v>
      </c>
      <c r="P837" s="32">
        <f>IF(G837="","",IFERROR(INDEX(Config!$I$5:$I$16,MATCH(G837,Config!$H$5:$H$16,0)),0))</f>
        <v>30</v>
      </c>
      <c r="Q837" s="30">
        <f>IF(OR(H837&lt;&gt;"Realizado",P837="",P837=0),"",A837+P837)</f>
        <v>46289.0</v>
      </c>
      <c r="R837" s="26" t="str">
        <f>IF(Q837="","",IF(COUNTIFS($E$5:$E$3004,E837,$A$5:$A$3004,"&gt;"&amp;A837,$H$5:$H$3004,"&lt;&gt;Falta",$H$5:$H$3004,"&lt;&gt;Cancelado",$H$5:$H$3004,"&lt;&gt;Remarcado")&gt;0,"Sim","Não"))</f>
        <v>Sim</v>
      </c>
      <c r="S837" s="32">
        <f>IF(R837&lt;&gt;"Não","",IF(Q837+Config!$B$9&lt;=Config!$B$8,Config!$B$8-Q837,""))</f>
        <v/>
      </c>
      <c r="T837" s="26">
        <f>IF(S837="","","Sim")</f>
        <v/>
      </c>
      <c r="U837" s="41">
        <f>IF(T837="Sim",S837+ROW()/100000,0)</f>
        <v>0</v>
      </c>
      <c r="V837" s="41">
        <f>IF(AND(H837="Falta",L837=Config!$B$7,M837=Config!$B$5,COUNTIFS($E$5:E837,E837,$H$5:H837,"Falta",$L$5:L837,Config!$B$7,$M$5:M837,Config!$B$5)=1),COUNTIFS($E$5:$E$3004,E837,$H$5:$H$3004,"Falta",$L$5:$L$3004,Config!$B$7,$M$5:$M$3004,Config!$B$5)*1000-ROW()/100000,0)</f>
        <v>0</v>
      </c>
    </row>
    <row r="838">
      <c r="A838" s="39" t="n">
        <v>46259</v>
      </c>
      <c r="B838" s="40" t="n">
        <v>0.3888888888888889</v>
      </c>
      <c r="C838" s="35" t="inlineStr">
        <is>
          <t>Dra. Carolina Mendes</t>
        </is>
      </c>
      <c r="D838" s="35" t="inlineStr">
        <is>
          <t>Sala 1</t>
        </is>
      </c>
      <c r="E838" s="34" t="inlineStr">
        <is>
          <t>Daniel Melo</t>
        </is>
      </c>
      <c r="F838" s="35" t="inlineStr">
        <is>
          <t>Saúde Total</t>
        </is>
      </c>
      <c r="G838" s="35" t="inlineStr">
        <is>
          <t>Consulta</t>
        </is>
      </c>
      <c r="H838" s="35" t="inlineStr">
        <is>
          <t>Realizado</t>
        </is>
      </c>
      <c r="I838" s="35" t="inlineStr">
        <is>
          <t>Convênio</t>
        </is>
      </c>
      <c r="J838" s="35" t="n"/>
      <c r="K838" s="34" t="n"/>
      <c r="L838" s="26">
        <f>IF(A838="","",MONTH(A838))</f>
        <v>8</v>
      </c>
      <c r="M838" s="26">
        <f>IF(A838="","",YEAR(A838))</f>
        <v>2026</v>
      </c>
      <c r="N838" s="26" t="str">
        <f>IF(A838="","",CHOOSE(WEEKDAY(A838,2),"Segunda","Terça","Quarta","Quinta","Sexta","Sábado","Domingo"))</f>
        <v>Terça</v>
      </c>
      <c r="O838" s="26" t="str">
        <f>IF(B838="","",IF(B838&lt;TIME(12,0,0),"Manhã",IF(B838&lt;TIME(18,0,0),"Tarde","Noite")))</f>
        <v>Manhã</v>
      </c>
      <c r="P838" s="32">
        <f>IF(G838="","",IFERROR(INDEX(Config!$I$5:$I$16,MATCH(G838,Config!$H$5:$H$16,0)),0))</f>
        <v>30</v>
      </c>
      <c r="Q838" s="30">
        <f>IF(OR(H838&lt;&gt;"Realizado",P838="",P838=0),"",A838+P838)</f>
        <v>46289.0</v>
      </c>
      <c r="R838" s="26" t="str">
        <f>IF(Q838="","",IF(COUNTIFS($E$5:$E$3004,E838,$A$5:$A$3004,"&gt;"&amp;A838,$H$5:$H$3004,"&lt;&gt;Falta",$H$5:$H$3004,"&lt;&gt;Cancelado",$H$5:$H$3004,"&lt;&gt;Remarcado")&gt;0,"Sim","Não"))</f>
        <v>Sim</v>
      </c>
      <c r="S838" s="32">
        <f>IF(R838&lt;&gt;"Não","",IF(Q838+Config!$B$9&lt;=Config!$B$8,Config!$B$8-Q838,""))</f>
        <v/>
      </c>
      <c r="T838" s="26">
        <f>IF(S838="","","Sim")</f>
        <v/>
      </c>
      <c r="U838" s="41">
        <f>IF(T838="Sim",S838+ROW()/100000,0)</f>
        <v>0</v>
      </c>
      <c r="V838" s="41">
        <f>IF(AND(H838="Falta",L838=Config!$B$7,M838=Config!$B$5,COUNTIFS($E$5:E838,E838,$H$5:H838,"Falta",$L$5:L838,Config!$B$7,$M$5:M838,Config!$B$5)=1),COUNTIFS($E$5:$E$3004,E838,$H$5:$H$3004,"Falta",$L$5:$L$3004,Config!$B$7,$M$5:$M$3004,Config!$B$5)*1000-ROW()/100000,0)</f>
        <v>0</v>
      </c>
    </row>
    <row r="839">
      <c r="A839" s="39" t="n">
        <v>46259</v>
      </c>
      <c r="B839" s="40" t="n">
        <v>0.4097222222222222</v>
      </c>
      <c r="C839" s="35" t="inlineStr">
        <is>
          <t>Dra. Carolina Mendes</t>
        </is>
      </c>
      <c r="D839" s="35" t="inlineStr">
        <is>
          <t>Sala 1</t>
        </is>
      </c>
      <c r="E839" s="34" t="inlineStr">
        <is>
          <t>Priscila Castro</t>
        </is>
      </c>
      <c r="F839" s="35" t="inlineStr">
        <is>
          <t>Saúde Total</t>
        </is>
      </c>
      <c r="G839" s="35" t="inlineStr">
        <is>
          <t>Consulta</t>
        </is>
      </c>
      <c r="H839" s="35" t="inlineStr">
        <is>
          <t>Realizado</t>
        </is>
      </c>
      <c r="I839" s="35" t="inlineStr">
        <is>
          <t>Convênio</t>
        </is>
      </c>
      <c r="J839" s="35" t="n"/>
      <c r="K839" s="34" t="n"/>
      <c r="L839" s="26">
        <f>IF(A839="","",MONTH(A839))</f>
        <v>8</v>
      </c>
      <c r="M839" s="26">
        <f>IF(A839="","",YEAR(A839))</f>
        <v>2026</v>
      </c>
      <c r="N839" s="26" t="str">
        <f>IF(A839="","",CHOOSE(WEEKDAY(A839,2),"Segunda","Terça","Quarta","Quinta","Sexta","Sábado","Domingo"))</f>
        <v>Terça</v>
      </c>
      <c r="O839" s="26" t="str">
        <f>IF(B839="","",IF(B839&lt;TIME(12,0,0),"Manhã",IF(B839&lt;TIME(18,0,0),"Tarde","Noite")))</f>
        <v>Manhã</v>
      </c>
      <c r="P839" s="32">
        <f>IF(G839="","",IFERROR(INDEX(Config!$I$5:$I$16,MATCH(G839,Config!$H$5:$H$16,0)),0))</f>
        <v>30</v>
      </c>
      <c r="Q839" s="30">
        <f>IF(OR(H839&lt;&gt;"Realizado",P839="",P839=0),"",A839+P839)</f>
        <v>46289.0</v>
      </c>
      <c r="R839" s="26" t="str">
        <f>IF(Q839="","",IF(COUNTIFS($E$5:$E$3004,E839,$A$5:$A$3004,"&gt;"&amp;A839,$H$5:$H$3004,"&lt;&gt;Falta",$H$5:$H$3004,"&lt;&gt;Cancelado",$H$5:$H$3004,"&lt;&gt;Remarcado")&gt;0,"Sim","Não"))</f>
        <v>Sim</v>
      </c>
      <c r="S839" s="32">
        <f>IF(R839&lt;&gt;"Não","",IF(Q839+Config!$B$9&lt;=Config!$B$8,Config!$B$8-Q839,""))</f>
        <v/>
      </c>
      <c r="T839" s="26">
        <f>IF(S839="","","Sim")</f>
        <v/>
      </c>
      <c r="U839" s="41">
        <f>IF(T839="Sim",S839+ROW()/100000,0)</f>
        <v>0</v>
      </c>
      <c r="V839" s="41">
        <f>IF(AND(H839="Falta",L839=Config!$B$7,M839=Config!$B$5,COUNTIFS($E$5:E839,E839,$H$5:H839,"Falta",$L$5:L839,Config!$B$7,$M$5:M839,Config!$B$5)=1),COUNTIFS($E$5:$E$3004,E839,$H$5:$H$3004,"Falta",$L$5:$L$3004,Config!$B$7,$M$5:$M$3004,Config!$B$5)*1000-ROW()/100000,0)</f>
        <v>0</v>
      </c>
    </row>
    <row r="840">
      <c r="A840" s="39" t="n">
        <v>46259</v>
      </c>
      <c r="B840" s="40" t="n">
        <v>0.4513888888888889</v>
      </c>
      <c r="C840" s="35" t="inlineStr">
        <is>
          <t>Dra. Carolina Mendes</t>
        </is>
      </c>
      <c r="D840" s="35" t="inlineStr">
        <is>
          <t>Sala 1</t>
        </is>
      </c>
      <c r="E840" s="34" t="inlineStr">
        <is>
          <t>Gustavo Ferreira</t>
        </is>
      </c>
      <c r="F840" s="35" t="inlineStr">
        <is>
          <t>Particular</t>
        </is>
      </c>
      <c r="G840" s="35" t="inlineStr">
        <is>
          <t>Consulta</t>
        </is>
      </c>
      <c r="H840" s="35" t="inlineStr">
        <is>
          <t>Falta</t>
        </is>
      </c>
      <c r="I840" s="35" t="n"/>
      <c r="J840" s="35" t="n"/>
      <c r="K840" s="34" t="n"/>
      <c r="L840" s="26">
        <f>IF(A840="","",MONTH(A840))</f>
        <v>8</v>
      </c>
      <c r="M840" s="26">
        <f>IF(A840="","",YEAR(A840))</f>
        <v>2026</v>
      </c>
      <c r="N840" s="26" t="str">
        <f>IF(A840="","",CHOOSE(WEEKDAY(A840,2),"Segunda","Terça","Quarta","Quinta","Sexta","Sábado","Domingo"))</f>
        <v>Terça</v>
      </c>
      <c r="O840" s="26" t="str">
        <f>IF(B840="","",IF(B840&lt;TIME(12,0,0),"Manhã",IF(B840&lt;TIME(18,0,0),"Tarde","Noite")))</f>
        <v>Manhã</v>
      </c>
      <c r="P840" s="32">
        <f>IF(G840="","",IFERROR(INDEX(Config!$I$5:$I$16,MATCH(G840,Config!$H$5:$H$16,0)),0))</f>
        <v>30</v>
      </c>
      <c r="Q840" s="30">
        <f>IF(OR(H840&lt;&gt;"Realizado",P840="",P840=0),"",A840+P840)</f>
        <v/>
      </c>
      <c r="R840" s="26">
        <f>IF(Q840="","",IF(COUNTIFS($E$5:$E$3004,E840,$A$5:$A$3004,"&gt;"&amp;A840,$H$5:$H$3004,"&lt;&gt;Falta",$H$5:$H$3004,"&lt;&gt;Cancelado",$H$5:$H$3004,"&lt;&gt;Remarcado")&gt;0,"Sim","Não"))</f>
        <v/>
      </c>
      <c r="S840" s="32">
        <f>IF(R840&lt;&gt;"Não","",IF(Q840+Config!$B$9&lt;=Config!$B$8,Config!$B$8-Q840,""))</f>
        <v/>
      </c>
      <c r="T840" s="26">
        <f>IF(S840="","","Sim")</f>
        <v/>
      </c>
      <c r="U840" s="41">
        <f>IF(T840="Sim",S840+ROW()/100000,0)</f>
        <v>0</v>
      </c>
      <c r="V840" s="41">
        <f>IF(AND(H840="Falta",L840=Config!$B$7,M840=Config!$B$5,COUNTIFS($E$5:E840,E840,$H$5:H840,"Falta",$L$5:L840,Config!$B$7,$M$5:M840,Config!$B$5)=1),COUNTIFS($E$5:$E$3004,E840,$H$5:$H$3004,"Falta",$L$5:$L$3004,Config!$B$7,$M$5:$M$3004,Config!$B$5)*1000-ROW()/100000,0)</f>
        <v>0</v>
      </c>
    </row>
    <row r="841">
      <c r="A841" s="39" t="n">
        <v>46259</v>
      </c>
      <c r="B841" s="40" t="n">
        <v>0.4722222222222222</v>
      </c>
      <c r="C841" s="35" t="inlineStr">
        <is>
          <t>Dra. Carolina Mendes</t>
        </is>
      </c>
      <c r="D841" s="35" t="inlineStr">
        <is>
          <t>Sala 1</t>
        </is>
      </c>
      <c r="E841" s="34" t="inlineStr">
        <is>
          <t>Gustavo Barbosa</t>
        </is>
      </c>
      <c r="F841" s="35" t="inlineStr">
        <is>
          <t>Saúde Total</t>
        </is>
      </c>
      <c r="G841" s="35" t="inlineStr">
        <is>
          <t>Consulta</t>
        </is>
      </c>
      <c r="H841" s="35" t="inlineStr">
        <is>
          <t>Realizado</t>
        </is>
      </c>
      <c r="I841" s="35" t="inlineStr">
        <is>
          <t>Convênio</t>
        </is>
      </c>
      <c r="J841" s="35" t="n"/>
      <c r="K841" s="34" t="n"/>
      <c r="L841" s="26">
        <f>IF(A841="","",MONTH(A841))</f>
        <v>8</v>
      </c>
      <c r="M841" s="26">
        <f>IF(A841="","",YEAR(A841))</f>
        <v>2026</v>
      </c>
      <c r="N841" s="26" t="str">
        <f>IF(A841="","",CHOOSE(WEEKDAY(A841,2),"Segunda","Terça","Quarta","Quinta","Sexta","Sábado","Domingo"))</f>
        <v>Terça</v>
      </c>
      <c r="O841" s="26" t="str">
        <f>IF(B841="","",IF(B841&lt;TIME(12,0,0),"Manhã",IF(B841&lt;TIME(18,0,0),"Tarde","Noite")))</f>
        <v>Manhã</v>
      </c>
      <c r="P841" s="32">
        <f>IF(G841="","",IFERROR(INDEX(Config!$I$5:$I$16,MATCH(G841,Config!$H$5:$H$16,0)),0))</f>
        <v>30</v>
      </c>
      <c r="Q841" s="30">
        <f>IF(OR(H841&lt;&gt;"Realizado",P841="",P841=0),"",A841+P841)</f>
        <v>46289.0</v>
      </c>
      <c r="R841" s="26" t="str">
        <f>IF(Q841="","",IF(COUNTIFS($E$5:$E$3004,E841,$A$5:$A$3004,"&gt;"&amp;A841,$H$5:$H$3004,"&lt;&gt;Falta",$H$5:$H$3004,"&lt;&gt;Cancelado",$H$5:$H$3004,"&lt;&gt;Remarcado")&gt;0,"Sim","Não"))</f>
        <v>Sim</v>
      </c>
      <c r="S841" s="32">
        <f>IF(R841&lt;&gt;"Não","",IF(Q841+Config!$B$9&lt;=Config!$B$8,Config!$B$8-Q841,""))</f>
        <v/>
      </c>
      <c r="T841" s="26">
        <f>IF(S841="","","Sim")</f>
        <v/>
      </c>
      <c r="U841" s="41">
        <f>IF(T841="Sim",S841+ROW()/100000,0)</f>
        <v>0</v>
      </c>
      <c r="V841" s="41">
        <f>IF(AND(H841="Falta",L841=Config!$B$7,M841=Config!$B$5,COUNTIFS($E$5:E841,E841,$H$5:H841,"Falta",$L$5:L841,Config!$B$7,$M$5:M841,Config!$B$5)=1),COUNTIFS($E$5:$E$3004,E841,$H$5:$H$3004,"Falta",$L$5:$L$3004,Config!$B$7,$M$5:$M$3004,Config!$B$5)*1000-ROW()/100000,0)</f>
        <v>0</v>
      </c>
    </row>
    <row r="842">
      <c r="A842" s="39" t="n">
        <v>46259</v>
      </c>
      <c r="B842" s="40" t="n">
        <v>0.5833333333333334</v>
      </c>
      <c r="C842" s="35" t="inlineStr">
        <is>
          <t>Dra. Renata Sousa</t>
        </is>
      </c>
      <c r="D842" s="35" t="inlineStr">
        <is>
          <t>Sala 1</t>
        </is>
      </c>
      <c r="E842" s="34" t="inlineStr">
        <is>
          <t>Mônica Almeida</t>
        </is>
      </c>
      <c r="F842" s="35" t="inlineStr">
        <is>
          <t>Particular</t>
        </is>
      </c>
      <c r="G842" s="35" t="inlineStr">
        <is>
          <t>Avaliação endócrina</t>
        </is>
      </c>
      <c r="H842" s="35" t="inlineStr">
        <is>
          <t>Realizado</t>
        </is>
      </c>
      <c r="I842" s="35" t="inlineStr">
        <is>
          <t>Cartão de crédito</t>
        </is>
      </c>
      <c r="J842" s="35" t="n">
        <v>2</v>
      </c>
      <c r="K842" s="34" t="n"/>
      <c r="L842" s="26">
        <f>IF(A842="","",MONTH(A842))</f>
        <v>8</v>
      </c>
      <c r="M842" s="26">
        <f>IF(A842="","",YEAR(A842))</f>
        <v>2026</v>
      </c>
      <c r="N842" s="26" t="str">
        <f>IF(A842="","",CHOOSE(WEEKDAY(A842,2),"Segunda","Terça","Quarta","Quinta","Sexta","Sábado","Domingo"))</f>
        <v>Terça</v>
      </c>
      <c r="O842" s="26" t="str">
        <f>IF(B842="","",IF(B842&lt;TIME(12,0,0),"Manhã",IF(B842&lt;TIME(18,0,0),"Tarde","Noite")))</f>
        <v>Tarde</v>
      </c>
      <c r="P842" s="32">
        <f>IF(G842="","",IFERROR(INDEX(Config!$I$5:$I$16,MATCH(G842,Config!$H$5:$H$16,0)),0))</f>
        <v>45</v>
      </c>
      <c r="Q842" s="30">
        <f>IF(OR(H842&lt;&gt;"Realizado",P842="",P842=0),"",A842+P842)</f>
        <v>46304.0</v>
      </c>
      <c r="R842" s="26" t="str">
        <f>IF(Q842="","",IF(COUNTIFS($E$5:$E$3004,E842,$A$5:$A$3004,"&gt;"&amp;A842,$H$5:$H$3004,"&lt;&gt;Falta",$H$5:$H$3004,"&lt;&gt;Cancelado",$H$5:$H$3004,"&lt;&gt;Remarcado")&gt;0,"Sim","Não"))</f>
        <v>Sim</v>
      </c>
      <c r="S842" s="32">
        <f>IF(R842&lt;&gt;"Não","",IF(Q842+Config!$B$9&lt;=Config!$B$8,Config!$B$8-Q842,""))</f>
        <v/>
      </c>
      <c r="T842" s="26">
        <f>IF(S842="","","Sim")</f>
        <v/>
      </c>
      <c r="U842" s="41">
        <f>IF(T842="Sim",S842+ROW()/100000,0)</f>
        <v>0</v>
      </c>
      <c r="V842" s="41">
        <f>IF(AND(H842="Falta",L842=Config!$B$7,M842=Config!$B$5,COUNTIFS($E$5:E842,E842,$H$5:H842,"Falta",$L$5:L842,Config!$B$7,$M$5:M842,Config!$B$5)=1),COUNTIFS($E$5:$E$3004,E842,$H$5:$H$3004,"Falta",$L$5:$L$3004,Config!$B$7,$M$5:$M$3004,Config!$B$5)*1000-ROW()/100000,0)</f>
        <v>0</v>
      </c>
    </row>
    <row r="843">
      <c r="A843" s="39" t="n">
        <v>46259</v>
      </c>
      <c r="B843" s="40" t="n">
        <v>0.5833333333333334</v>
      </c>
      <c r="C843" s="35" t="inlineStr">
        <is>
          <t>Dr. Paulo Andrade</t>
        </is>
      </c>
      <c r="D843" s="35" t="inlineStr">
        <is>
          <t>Sala 2</t>
        </is>
      </c>
      <c r="E843" s="34" t="inlineStr">
        <is>
          <t>Lucas Cardoso</t>
        </is>
      </c>
      <c r="F843" s="35" t="inlineStr">
        <is>
          <t>Particular</t>
        </is>
      </c>
      <c r="G843" s="35" t="inlineStr">
        <is>
          <t>Consulta</t>
        </is>
      </c>
      <c r="H843" s="35" t="inlineStr">
        <is>
          <t>Realizado</t>
        </is>
      </c>
      <c r="I843" s="35" t="inlineStr">
        <is>
          <t>Pix</t>
        </is>
      </c>
      <c r="J843" s="35" t="n"/>
      <c r="K843" s="34" t="n"/>
      <c r="L843" s="26">
        <f>IF(A843="","",MONTH(A843))</f>
        <v>8</v>
      </c>
      <c r="M843" s="26">
        <f>IF(A843="","",YEAR(A843))</f>
        <v>2026</v>
      </c>
      <c r="N843" s="26" t="str">
        <f>IF(A843="","",CHOOSE(WEEKDAY(A843,2),"Segunda","Terça","Quarta","Quinta","Sexta","Sábado","Domingo"))</f>
        <v>Terça</v>
      </c>
      <c r="O843" s="26" t="str">
        <f>IF(B843="","",IF(B843&lt;TIME(12,0,0),"Manhã",IF(B843&lt;TIME(18,0,0),"Tarde","Noite")))</f>
        <v>Tarde</v>
      </c>
      <c r="P843" s="32">
        <f>IF(G843="","",IFERROR(INDEX(Config!$I$5:$I$16,MATCH(G843,Config!$H$5:$H$16,0)),0))</f>
        <v>30</v>
      </c>
      <c r="Q843" s="30">
        <f>IF(OR(H843&lt;&gt;"Realizado",P843="",P843=0),"",A843+P843)</f>
        <v>46289.0</v>
      </c>
      <c r="R843" s="26" t="str">
        <f>IF(Q843="","",IF(COUNTIFS($E$5:$E$3004,E843,$A$5:$A$3004,"&gt;"&amp;A843,$H$5:$H$3004,"&lt;&gt;Falta",$H$5:$H$3004,"&lt;&gt;Cancelado",$H$5:$H$3004,"&lt;&gt;Remarcado")&gt;0,"Sim","Não"))</f>
        <v>Sim</v>
      </c>
      <c r="S843" s="32">
        <f>IF(R843&lt;&gt;"Não","",IF(Q843+Config!$B$9&lt;=Config!$B$8,Config!$B$8-Q843,""))</f>
        <v/>
      </c>
      <c r="T843" s="26">
        <f>IF(S843="","","Sim")</f>
        <v/>
      </c>
      <c r="U843" s="41">
        <f>IF(T843="Sim",S843+ROW()/100000,0)</f>
        <v>0</v>
      </c>
      <c r="V843" s="41">
        <f>IF(AND(H843="Falta",L843=Config!$B$7,M843=Config!$B$5,COUNTIFS($E$5:E843,E843,$H$5:H843,"Falta",$L$5:L843,Config!$B$7,$M$5:M843,Config!$B$5)=1),COUNTIFS($E$5:$E$3004,E843,$H$5:$H$3004,"Falta",$L$5:$L$3004,Config!$B$7,$M$5:$M$3004,Config!$B$5)*1000-ROW()/100000,0)</f>
        <v>0</v>
      </c>
    </row>
    <row r="844">
      <c r="A844" s="39" t="n">
        <v>46259</v>
      </c>
      <c r="B844" s="40" t="n">
        <v>0.6041666666666666</v>
      </c>
      <c r="C844" s="35" t="inlineStr">
        <is>
          <t>Dr. Paulo Andrade</t>
        </is>
      </c>
      <c r="D844" s="35" t="inlineStr">
        <is>
          <t>Sala 2</t>
        </is>
      </c>
      <c r="E844" s="34" t="inlineStr">
        <is>
          <t>Roberta Araújo</t>
        </is>
      </c>
      <c r="F844" s="35" t="inlineStr">
        <is>
          <t>Particular</t>
        </is>
      </c>
      <c r="G844" s="35" t="inlineStr">
        <is>
          <t>Holter</t>
        </is>
      </c>
      <c r="H844" s="35" t="inlineStr">
        <is>
          <t>Realizado</t>
        </is>
      </c>
      <c r="I844" s="35" t="inlineStr">
        <is>
          <t>Cartão de crédito</t>
        </is>
      </c>
      <c r="J844" s="35" t="n"/>
      <c r="K844" s="34" t="n"/>
      <c r="L844" s="26">
        <f>IF(A844="","",MONTH(A844))</f>
        <v>8</v>
      </c>
      <c r="M844" s="26">
        <f>IF(A844="","",YEAR(A844))</f>
        <v>2026</v>
      </c>
      <c r="N844" s="26" t="str">
        <f>IF(A844="","",CHOOSE(WEEKDAY(A844,2),"Segunda","Terça","Quarta","Quinta","Sexta","Sábado","Domingo"))</f>
        <v>Terça</v>
      </c>
      <c r="O844" s="26" t="str">
        <f>IF(B844="","",IF(B844&lt;TIME(12,0,0),"Manhã",IF(B844&lt;TIME(18,0,0),"Tarde","Noite")))</f>
        <v>Tarde</v>
      </c>
      <c r="P844" s="32">
        <f>IF(G844="","",IFERROR(INDEX(Config!$I$5:$I$16,MATCH(G844,Config!$H$5:$H$16,0)),0))</f>
        <v>0</v>
      </c>
      <c r="Q844" s="30">
        <f>IF(OR(H844&lt;&gt;"Realizado",P844="",P844=0),"",A844+P844)</f>
        <v/>
      </c>
      <c r="R844" s="26">
        <f>IF(Q844="","",IF(COUNTIFS($E$5:$E$3004,E844,$A$5:$A$3004,"&gt;"&amp;A844,$H$5:$H$3004,"&lt;&gt;Falta",$H$5:$H$3004,"&lt;&gt;Cancelado",$H$5:$H$3004,"&lt;&gt;Remarcado")&gt;0,"Sim","Não"))</f>
        <v/>
      </c>
      <c r="S844" s="32">
        <f>IF(R844&lt;&gt;"Não","",IF(Q844+Config!$B$9&lt;=Config!$B$8,Config!$B$8-Q844,""))</f>
        <v/>
      </c>
      <c r="T844" s="26">
        <f>IF(S844="","","Sim")</f>
        <v/>
      </c>
      <c r="U844" s="41">
        <f>IF(T844="Sim",S844+ROW()/100000,0)</f>
        <v>0</v>
      </c>
      <c r="V844" s="41">
        <f>IF(AND(H844="Falta",L844=Config!$B$7,M844=Config!$B$5,COUNTIFS($E$5:E844,E844,$H$5:H844,"Falta",$L$5:L844,Config!$B$7,$M$5:M844,Config!$B$5)=1),COUNTIFS($E$5:$E$3004,E844,$H$5:$H$3004,"Falta",$L$5:$L$3004,Config!$B$7,$M$5:$M$3004,Config!$B$5)*1000-ROW()/100000,0)</f>
        <v>0</v>
      </c>
    </row>
    <row r="845">
      <c r="A845" s="39" t="n">
        <v>46259</v>
      </c>
      <c r="B845" s="40" t="n">
        <v>0.6111111111111112</v>
      </c>
      <c r="C845" s="35" t="inlineStr">
        <is>
          <t>Dra. Renata Sousa</t>
        </is>
      </c>
      <c r="D845" s="35" t="inlineStr">
        <is>
          <t>Sala 1</t>
        </is>
      </c>
      <c r="E845" s="34" t="inlineStr">
        <is>
          <t>Beatriz Monteiro</t>
        </is>
      </c>
      <c r="F845" s="35" t="inlineStr">
        <is>
          <t>Particular</t>
        </is>
      </c>
      <c r="G845" s="35" t="inlineStr">
        <is>
          <t>Retorno</t>
        </is>
      </c>
      <c r="H845" s="35" t="inlineStr">
        <is>
          <t>Realizado</t>
        </is>
      </c>
      <c r="I845" s="35" t="inlineStr">
        <is>
          <t>Sem cobrança</t>
        </is>
      </c>
      <c r="J845" s="35" t="n"/>
      <c r="K845" s="34" t="n"/>
      <c r="L845" s="26">
        <f>IF(A845="","",MONTH(A845))</f>
        <v>8</v>
      </c>
      <c r="M845" s="26">
        <f>IF(A845="","",YEAR(A845))</f>
        <v>2026</v>
      </c>
      <c r="N845" s="26" t="str">
        <f>IF(A845="","",CHOOSE(WEEKDAY(A845,2),"Segunda","Terça","Quarta","Quinta","Sexta","Sábado","Domingo"))</f>
        <v>Terça</v>
      </c>
      <c r="O845" s="26" t="str">
        <f>IF(B845="","",IF(B845&lt;TIME(12,0,0),"Manhã",IF(B845&lt;TIME(18,0,0),"Tarde","Noite")))</f>
        <v>Tarde</v>
      </c>
      <c r="P845" s="32">
        <f>IF(G845="","",IFERROR(INDEX(Config!$I$5:$I$16,MATCH(G845,Config!$H$5:$H$16,0)),0))</f>
        <v>0</v>
      </c>
      <c r="Q845" s="30">
        <f>IF(OR(H845&lt;&gt;"Realizado",P845="",P845=0),"",A845+P845)</f>
        <v/>
      </c>
      <c r="R845" s="26">
        <f>IF(Q845="","",IF(COUNTIFS($E$5:$E$3004,E845,$A$5:$A$3004,"&gt;"&amp;A845,$H$5:$H$3004,"&lt;&gt;Falta",$H$5:$H$3004,"&lt;&gt;Cancelado",$H$5:$H$3004,"&lt;&gt;Remarcado")&gt;0,"Sim","Não"))</f>
        <v/>
      </c>
      <c r="S845" s="32">
        <f>IF(R845&lt;&gt;"Não","",IF(Q845+Config!$B$9&lt;=Config!$B$8,Config!$B$8-Q845,""))</f>
        <v/>
      </c>
      <c r="T845" s="26">
        <f>IF(S845="","","Sim")</f>
        <v/>
      </c>
      <c r="U845" s="41">
        <f>IF(T845="Sim",S845+ROW()/100000,0)</f>
        <v>0</v>
      </c>
      <c r="V845" s="41">
        <f>IF(AND(H845="Falta",L845=Config!$B$7,M845=Config!$B$5,COUNTIFS($E$5:E845,E845,$H$5:H845,"Falta",$L$5:L845,Config!$B$7,$M$5:M845,Config!$B$5)=1),COUNTIFS($E$5:$E$3004,E845,$H$5:$H$3004,"Falta",$L$5:$L$3004,Config!$B$7,$M$5:$M$3004,Config!$B$5)*1000-ROW()/100000,0)</f>
        <v>0</v>
      </c>
    </row>
    <row r="846">
      <c r="A846" s="39" t="n">
        <v>46259</v>
      </c>
      <c r="B846" s="40" t="n">
        <v>0.625</v>
      </c>
      <c r="C846" s="35" t="inlineStr">
        <is>
          <t>Dra. Renata Sousa</t>
        </is>
      </c>
      <c r="D846" s="35" t="inlineStr">
        <is>
          <t>Sala 1</t>
        </is>
      </c>
      <c r="E846" s="34" t="inlineStr">
        <is>
          <t>Rafael Pereira</t>
        </is>
      </c>
      <c r="F846" s="35" t="inlineStr">
        <is>
          <t>Particular</t>
        </is>
      </c>
      <c r="G846" s="35" t="inlineStr">
        <is>
          <t>Avaliação endócrina</t>
        </is>
      </c>
      <c r="H846" s="35" t="inlineStr">
        <is>
          <t>Realizado</t>
        </is>
      </c>
      <c r="I846" s="35" t="inlineStr">
        <is>
          <t>Dinheiro</t>
        </is>
      </c>
      <c r="J846" s="35" t="n"/>
      <c r="K846" s="34" t="n"/>
      <c r="L846" s="26">
        <f>IF(A846="","",MONTH(A846))</f>
        <v>8</v>
      </c>
      <c r="M846" s="26">
        <f>IF(A846="","",YEAR(A846))</f>
        <v>2026</v>
      </c>
      <c r="N846" s="26" t="str">
        <f>IF(A846="","",CHOOSE(WEEKDAY(A846,2),"Segunda","Terça","Quarta","Quinta","Sexta","Sábado","Domingo"))</f>
        <v>Terça</v>
      </c>
      <c r="O846" s="26" t="str">
        <f>IF(B846="","",IF(B846&lt;TIME(12,0,0),"Manhã",IF(B846&lt;TIME(18,0,0),"Tarde","Noite")))</f>
        <v>Tarde</v>
      </c>
      <c r="P846" s="32">
        <f>IF(G846="","",IFERROR(INDEX(Config!$I$5:$I$16,MATCH(G846,Config!$H$5:$H$16,0)),0))</f>
        <v>45</v>
      </c>
      <c r="Q846" s="30">
        <f>IF(OR(H846&lt;&gt;"Realizado",P846="",P846=0),"",A846+P846)</f>
        <v>46304.0</v>
      </c>
      <c r="R846" s="26" t="str">
        <f>IF(Q846="","",IF(COUNTIFS($E$5:$E$3004,E846,$A$5:$A$3004,"&gt;"&amp;A846,$H$5:$H$3004,"&lt;&gt;Falta",$H$5:$H$3004,"&lt;&gt;Cancelado",$H$5:$H$3004,"&lt;&gt;Remarcado")&gt;0,"Sim","Não"))</f>
        <v>Sim</v>
      </c>
      <c r="S846" s="32">
        <f>IF(R846&lt;&gt;"Não","",IF(Q846+Config!$B$9&lt;=Config!$B$8,Config!$B$8-Q846,""))</f>
        <v/>
      </c>
      <c r="T846" s="26">
        <f>IF(S846="","","Sim")</f>
        <v/>
      </c>
      <c r="U846" s="41">
        <f>IF(T846="Sim",S846+ROW()/100000,0)</f>
        <v>0</v>
      </c>
      <c r="V846" s="41">
        <f>IF(AND(H846="Falta",L846=Config!$B$7,M846=Config!$B$5,COUNTIFS($E$5:E846,E846,$H$5:H846,"Falta",$L$5:L846,Config!$B$7,$M$5:M846,Config!$B$5)=1),COUNTIFS($E$5:$E$3004,E846,$H$5:$H$3004,"Falta",$L$5:$L$3004,Config!$B$7,$M$5:$M$3004,Config!$B$5)*1000-ROW()/100000,0)</f>
        <v>0</v>
      </c>
    </row>
    <row r="847">
      <c r="A847" s="39" t="n">
        <v>46259</v>
      </c>
      <c r="B847" s="40" t="n">
        <v>0.6388888888888888</v>
      </c>
      <c r="C847" s="35" t="inlineStr">
        <is>
          <t>Dr. Paulo Andrade</t>
        </is>
      </c>
      <c r="D847" s="35" t="inlineStr">
        <is>
          <t>Sala 2</t>
        </is>
      </c>
      <c r="E847" s="34" t="inlineStr">
        <is>
          <t>Rafael Barros</t>
        </is>
      </c>
      <c r="F847" s="35" t="inlineStr">
        <is>
          <t>Particular</t>
        </is>
      </c>
      <c r="G847" s="35" t="inlineStr">
        <is>
          <t>Consulta</t>
        </is>
      </c>
      <c r="H847" s="35" t="inlineStr">
        <is>
          <t>Realizado</t>
        </is>
      </c>
      <c r="I847" s="35" t="inlineStr">
        <is>
          <t>Cartão de crédito</t>
        </is>
      </c>
      <c r="J847" s="35" t="n">
        <v>2</v>
      </c>
      <c r="K847" s="34" t="n"/>
      <c r="L847" s="26">
        <f>IF(A847="","",MONTH(A847))</f>
        <v>8</v>
      </c>
      <c r="M847" s="26">
        <f>IF(A847="","",YEAR(A847))</f>
        <v>2026</v>
      </c>
      <c r="N847" s="26" t="str">
        <f>IF(A847="","",CHOOSE(WEEKDAY(A847,2),"Segunda","Terça","Quarta","Quinta","Sexta","Sábado","Domingo"))</f>
        <v>Terça</v>
      </c>
      <c r="O847" s="26" t="str">
        <f>IF(B847="","",IF(B847&lt;TIME(12,0,0),"Manhã",IF(B847&lt;TIME(18,0,0),"Tarde","Noite")))</f>
        <v>Tarde</v>
      </c>
      <c r="P847" s="32">
        <f>IF(G847="","",IFERROR(INDEX(Config!$I$5:$I$16,MATCH(G847,Config!$H$5:$H$16,0)),0))</f>
        <v>30</v>
      </c>
      <c r="Q847" s="30">
        <f>IF(OR(H847&lt;&gt;"Realizado",P847="",P847=0),"",A847+P847)</f>
        <v>46289.0</v>
      </c>
      <c r="R847" s="26" t="str">
        <f>IF(Q847="","",IF(COUNTIFS($E$5:$E$3004,E847,$A$5:$A$3004,"&gt;"&amp;A847,$H$5:$H$3004,"&lt;&gt;Falta",$H$5:$H$3004,"&lt;&gt;Cancelado",$H$5:$H$3004,"&lt;&gt;Remarcado")&gt;0,"Sim","Não"))</f>
        <v>Sim</v>
      </c>
      <c r="S847" s="32">
        <f>IF(R847&lt;&gt;"Não","",IF(Q847+Config!$B$9&lt;=Config!$B$8,Config!$B$8-Q847,""))</f>
        <v/>
      </c>
      <c r="T847" s="26">
        <f>IF(S847="","","Sim")</f>
        <v/>
      </c>
      <c r="U847" s="41">
        <f>IF(T847="Sim",S847+ROW()/100000,0)</f>
        <v>0</v>
      </c>
      <c r="V847" s="41">
        <f>IF(AND(H847="Falta",L847=Config!$B$7,M847=Config!$B$5,COUNTIFS($E$5:E847,E847,$H$5:H847,"Falta",$L$5:L847,Config!$B$7,$M$5:M847,Config!$B$5)=1),COUNTIFS($E$5:$E$3004,E847,$H$5:$H$3004,"Falta",$L$5:$L$3004,Config!$B$7,$M$5:$M$3004,Config!$B$5)*1000-ROW()/100000,0)</f>
        <v>0</v>
      </c>
    </row>
    <row r="848">
      <c r="A848" s="39" t="n">
        <v>46259</v>
      </c>
      <c r="B848" s="40" t="n">
        <v>0.6527777777777778</v>
      </c>
      <c r="C848" s="35" t="inlineStr">
        <is>
          <t>Dra. Renata Sousa</t>
        </is>
      </c>
      <c r="D848" s="35" t="inlineStr">
        <is>
          <t>Sala 1</t>
        </is>
      </c>
      <c r="E848" s="34" t="inlineStr">
        <is>
          <t>Carlos Gomes</t>
        </is>
      </c>
      <c r="F848" s="35" t="inlineStr">
        <is>
          <t>Saúde Total</t>
        </is>
      </c>
      <c r="G848" s="35" t="inlineStr">
        <is>
          <t>Avaliação endócrina</t>
        </is>
      </c>
      <c r="H848" s="35" t="inlineStr">
        <is>
          <t>Realizado</t>
        </is>
      </c>
      <c r="I848" s="35" t="inlineStr">
        <is>
          <t>Convênio</t>
        </is>
      </c>
      <c r="J848" s="35" t="n"/>
      <c r="K848" s="34" t="n"/>
      <c r="L848" s="26">
        <f>IF(A848="","",MONTH(A848))</f>
        <v>8</v>
      </c>
      <c r="M848" s="26">
        <f>IF(A848="","",YEAR(A848))</f>
        <v>2026</v>
      </c>
      <c r="N848" s="26" t="str">
        <f>IF(A848="","",CHOOSE(WEEKDAY(A848,2),"Segunda","Terça","Quarta","Quinta","Sexta","Sábado","Domingo"))</f>
        <v>Terça</v>
      </c>
      <c r="O848" s="26" t="str">
        <f>IF(B848="","",IF(B848&lt;TIME(12,0,0),"Manhã",IF(B848&lt;TIME(18,0,0),"Tarde","Noite")))</f>
        <v>Tarde</v>
      </c>
      <c r="P848" s="32">
        <f>IF(G848="","",IFERROR(INDEX(Config!$I$5:$I$16,MATCH(G848,Config!$H$5:$H$16,0)),0))</f>
        <v>45</v>
      </c>
      <c r="Q848" s="30">
        <f>IF(OR(H848&lt;&gt;"Realizado",P848="",P848=0),"",A848+P848)</f>
        <v>46304.0</v>
      </c>
      <c r="R848" s="26" t="str">
        <f>IF(Q848="","",IF(COUNTIFS($E$5:$E$3004,E848,$A$5:$A$3004,"&gt;"&amp;A848,$H$5:$H$3004,"&lt;&gt;Falta",$H$5:$H$3004,"&lt;&gt;Cancelado",$H$5:$H$3004,"&lt;&gt;Remarcado")&gt;0,"Sim","Não"))</f>
        <v>Sim</v>
      </c>
      <c r="S848" s="32">
        <f>IF(R848&lt;&gt;"Não","",IF(Q848+Config!$B$9&lt;=Config!$B$8,Config!$B$8-Q848,""))</f>
        <v/>
      </c>
      <c r="T848" s="26">
        <f>IF(S848="","","Sim")</f>
        <v/>
      </c>
      <c r="U848" s="41">
        <f>IF(T848="Sim",S848+ROW()/100000,0)</f>
        <v>0</v>
      </c>
      <c r="V848" s="41">
        <f>IF(AND(H848="Falta",L848=Config!$B$7,M848=Config!$B$5,COUNTIFS($E$5:E848,E848,$H$5:H848,"Falta",$L$5:L848,Config!$B$7,$M$5:M848,Config!$B$5)=1),COUNTIFS($E$5:$E$3004,E848,$H$5:$H$3004,"Falta",$L$5:$L$3004,Config!$B$7,$M$5:$M$3004,Config!$B$5)*1000-ROW()/100000,0)</f>
        <v>0</v>
      </c>
    </row>
    <row r="849">
      <c r="A849" s="39" t="n">
        <v>46259</v>
      </c>
      <c r="B849" s="40" t="n">
        <v>0.6597222222222222</v>
      </c>
      <c r="C849" s="35" t="inlineStr">
        <is>
          <t>Dr. Paulo Andrade</t>
        </is>
      </c>
      <c r="D849" s="35" t="inlineStr">
        <is>
          <t>Sala 2</t>
        </is>
      </c>
      <c r="E849" s="34" t="inlineStr">
        <is>
          <t>Natália Xavier</t>
        </is>
      </c>
      <c r="F849" s="35" t="inlineStr">
        <is>
          <t>MediPlan</t>
        </is>
      </c>
      <c r="G849" s="35" t="inlineStr">
        <is>
          <t>Consulta</t>
        </is>
      </c>
      <c r="H849" s="35" t="inlineStr">
        <is>
          <t>Realizado</t>
        </is>
      </c>
      <c r="I849" s="35" t="inlineStr">
        <is>
          <t>Convênio</t>
        </is>
      </c>
      <c r="J849" s="35" t="n"/>
      <c r="K849" s="34" t="n"/>
      <c r="L849" s="26">
        <f>IF(A849="","",MONTH(A849))</f>
        <v>8</v>
      </c>
      <c r="M849" s="26">
        <f>IF(A849="","",YEAR(A849))</f>
        <v>2026</v>
      </c>
      <c r="N849" s="26" t="str">
        <f>IF(A849="","",CHOOSE(WEEKDAY(A849,2),"Segunda","Terça","Quarta","Quinta","Sexta","Sábado","Domingo"))</f>
        <v>Terça</v>
      </c>
      <c r="O849" s="26" t="str">
        <f>IF(B849="","",IF(B849&lt;TIME(12,0,0),"Manhã",IF(B849&lt;TIME(18,0,0),"Tarde","Noite")))</f>
        <v>Tarde</v>
      </c>
      <c r="P849" s="32">
        <f>IF(G849="","",IFERROR(INDEX(Config!$I$5:$I$16,MATCH(G849,Config!$H$5:$H$16,0)),0))</f>
        <v>30</v>
      </c>
      <c r="Q849" s="30">
        <f>IF(OR(H849&lt;&gt;"Realizado",P849="",P849=0),"",A849+P849)</f>
        <v>46289.0</v>
      </c>
      <c r="R849" s="26" t="str">
        <f>IF(Q849="","",IF(COUNTIFS($E$5:$E$3004,E849,$A$5:$A$3004,"&gt;"&amp;A849,$H$5:$H$3004,"&lt;&gt;Falta",$H$5:$H$3004,"&lt;&gt;Cancelado",$H$5:$H$3004,"&lt;&gt;Remarcado")&gt;0,"Sim","Não"))</f>
        <v>Sim</v>
      </c>
      <c r="S849" s="32">
        <f>IF(R849&lt;&gt;"Não","",IF(Q849+Config!$B$9&lt;=Config!$B$8,Config!$B$8-Q849,""))</f>
        <v/>
      </c>
      <c r="T849" s="26">
        <f>IF(S849="","","Sim")</f>
        <v/>
      </c>
      <c r="U849" s="41">
        <f>IF(T849="Sim",S849+ROW()/100000,0)</f>
        <v>0</v>
      </c>
      <c r="V849" s="41">
        <f>IF(AND(H849="Falta",L849=Config!$B$7,M849=Config!$B$5,COUNTIFS($E$5:E849,E849,$H$5:H849,"Falta",$L$5:L849,Config!$B$7,$M$5:M849,Config!$B$5)=1),COUNTIFS($E$5:$E$3004,E849,$H$5:$H$3004,"Falta",$L$5:$L$3004,Config!$B$7,$M$5:$M$3004,Config!$B$5)*1000-ROW()/100000,0)</f>
        <v>0</v>
      </c>
    </row>
    <row r="850">
      <c r="A850" s="39" t="n">
        <v>46259</v>
      </c>
      <c r="B850" s="40" t="n">
        <v>0.6805555555555556</v>
      </c>
      <c r="C850" s="35" t="inlineStr">
        <is>
          <t>Dra. Renata Sousa</t>
        </is>
      </c>
      <c r="D850" s="35" t="inlineStr">
        <is>
          <t>Sala 1</t>
        </is>
      </c>
      <c r="E850" s="34" t="inlineStr">
        <is>
          <t>Gabriel Lopes</t>
        </is>
      </c>
      <c r="F850" s="35" t="inlineStr">
        <is>
          <t>Saúde Total</t>
        </is>
      </c>
      <c r="G850" s="35" t="inlineStr">
        <is>
          <t>Avaliação endócrina</t>
        </is>
      </c>
      <c r="H850" s="35" t="inlineStr">
        <is>
          <t>Realizado</t>
        </is>
      </c>
      <c r="I850" s="35" t="inlineStr">
        <is>
          <t>Convênio</t>
        </is>
      </c>
      <c r="J850" s="35" t="n"/>
      <c r="K850" s="34" t="n"/>
      <c r="L850" s="26">
        <f>IF(A850="","",MONTH(A850))</f>
        <v>8</v>
      </c>
      <c r="M850" s="26">
        <f>IF(A850="","",YEAR(A850))</f>
        <v>2026</v>
      </c>
      <c r="N850" s="26" t="str">
        <f>IF(A850="","",CHOOSE(WEEKDAY(A850,2),"Segunda","Terça","Quarta","Quinta","Sexta","Sábado","Domingo"))</f>
        <v>Terça</v>
      </c>
      <c r="O850" s="26" t="str">
        <f>IF(B850="","",IF(B850&lt;TIME(12,0,0),"Manhã",IF(B850&lt;TIME(18,0,0),"Tarde","Noite")))</f>
        <v>Tarde</v>
      </c>
      <c r="P850" s="32">
        <f>IF(G850="","",IFERROR(INDEX(Config!$I$5:$I$16,MATCH(G850,Config!$H$5:$H$16,0)),0))</f>
        <v>45</v>
      </c>
      <c r="Q850" s="30">
        <f>IF(OR(H850&lt;&gt;"Realizado",P850="",P850=0),"",A850+P850)</f>
        <v>46304.0</v>
      </c>
      <c r="R850" s="26" t="str">
        <f>IF(Q850="","",IF(COUNTIFS($E$5:$E$3004,E850,$A$5:$A$3004,"&gt;"&amp;A850,$H$5:$H$3004,"&lt;&gt;Falta",$H$5:$H$3004,"&lt;&gt;Cancelado",$H$5:$H$3004,"&lt;&gt;Remarcado")&gt;0,"Sim","Não"))</f>
        <v>Sim</v>
      </c>
      <c r="S850" s="32">
        <f>IF(R850&lt;&gt;"Não","",IF(Q850+Config!$B$9&lt;=Config!$B$8,Config!$B$8-Q850,""))</f>
        <v/>
      </c>
      <c r="T850" s="26">
        <f>IF(S850="","","Sim")</f>
        <v/>
      </c>
      <c r="U850" s="41">
        <f>IF(T850="Sim",S850+ROW()/100000,0)</f>
        <v>0</v>
      </c>
      <c r="V850" s="41">
        <f>IF(AND(H850="Falta",L850=Config!$B$7,M850=Config!$B$5,COUNTIFS($E$5:E850,E850,$H$5:H850,"Falta",$L$5:L850,Config!$B$7,$M$5:M850,Config!$B$5)=1),COUNTIFS($E$5:$E$3004,E850,$H$5:$H$3004,"Falta",$L$5:$L$3004,Config!$B$7,$M$5:$M$3004,Config!$B$5)*1000-ROW()/100000,0)</f>
        <v>0</v>
      </c>
    </row>
    <row r="851">
      <c r="A851" s="39" t="n">
        <v>46259</v>
      </c>
      <c r="B851" s="40" t="n">
        <v>0.6805555555555556</v>
      </c>
      <c r="C851" s="35" t="inlineStr">
        <is>
          <t>Dr. Paulo Andrade</t>
        </is>
      </c>
      <c r="D851" s="35" t="inlineStr">
        <is>
          <t>Sala 2</t>
        </is>
      </c>
      <c r="E851" s="34" t="inlineStr">
        <is>
          <t>Camila Martins</t>
        </is>
      </c>
      <c r="F851" s="35" t="inlineStr">
        <is>
          <t>Vida Care</t>
        </is>
      </c>
      <c r="G851" s="35" t="inlineStr">
        <is>
          <t>Consulta</t>
        </is>
      </c>
      <c r="H851" s="35" t="inlineStr">
        <is>
          <t>Realizado</t>
        </is>
      </c>
      <c r="I851" s="35" t="inlineStr">
        <is>
          <t>Convênio</t>
        </is>
      </c>
      <c r="J851" s="35" t="n"/>
      <c r="K851" s="34" t="n"/>
      <c r="L851" s="26">
        <f>IF(A851="","",MONTH(A851))</f>
        <v>8</v>
      </c>
      <c r="M851" s="26">
        <f>IF(A851="","",YEAR(A851))</f>
        <v>2026</v>
      </c>
      <c r="N851" s="26" t="str">
        <f>IF(A851="","",CHOOSE(WEEKDAY(A851,2),"Segunda","Terça","Quarta","Quinta","Sexta","Sábado","Domingo"))</f>
        <v>Terça</v>
      </c>
      <c r="O851" s="26" t="str">
        <f>IF(B851="","",IF(B851&lt;TIME(12,0,0),"Manhã",IF(B851&lt;TIME(18,0,0),"Tarde","Noite")))</f>
        <v>Tarde</v>
      </c>
      <c r="P851" s="32">
        <f>IF(G851="","",IFERROR(INDEX(Config!$I$5:$I$16,MATCH(G851,Config!$H$5:$H$16,0)),0))</f>
        <v>30</v>
      </c>
      <c r="Q851" s="30">
        <f>IF(OR(H851&lt;&gt;"Realizado",P851="",P851=0),"",A851+P851)</f>
        <v>46289.0</v>
      </c>
      <c r="R851" s="26" t="str">
        <f>IF(Q851="","",IF(COUNTIFS($E$5:$E$3004,E851,$A$5:$A$3004,"&gt;"&amp;A851,$H$5:$H$3004,"&lt;&gt;Falta",$H$5:$H$3004,"&lt;&gt;Cancelado",$H$5:$H$3004,"&lt;&gt;Remarcado")&gt;0,"Sim","Não"))</f>
        <v>Sim</v>
      </c>
      <c r="S851" s="32">
        <f>IF(R851&lt;&gt;"Não","",IF(Q851+Config!$B$9&lt;=Config!$B$8,Config!$B$8-Q851,""))</f>
        <v/>
      </c>
      <c r="T851" s="26">
        <f>IF(S851="","","Sim")</f>
        <v/>
      </c>
      <c r="U851" s="41">
        <f>IF(T851="Sim",S851+ROW()/100000,0)</f>
        <v>0</v>
      </c>
      <c r="V851" s="41">
        <f>IF(AND(H851="Falta",L851=Config!$B$7,M851=Config!$B$5,COUNTIFS($E$5:E851,E851,$H$5:H851,"Falta",$L$5:L851,Config!$B$7,$M$5:M851,Config!$B$5)=1),COUNTIFS($E$5:$E$3004,E851,$H$5:$H$3004,"Falta",$L$5:$L$3004,Config!$B$7,$M$5:$M$3004,Config!$B$5)*1000-ROW()/100000,0)</f>
        <v>0</v>
      </c>
    </row>
    <row r="852">
      <c r="A852" s="39" t="n">
        <v>46259</v>
      </c>
      <c r="B852" s="40" t="n">
        <v>0.7013888888888888</v>
      </c>
      <c r="C852" s="35" t="inlineStr">
        <is>
          <t>Dr. Paulo Andrade</t>
        </is>
      </c>
      <c r="D852" s="35" t="inlineStr">
        <is>
          <t>Sala 2</t>
        </is>
      </c>
      <c r="E852" s="34" t="inlineStr">
        <is>
          <t>Simone Monteiro</t>
        </is>
      </c>
      <c r="F852" s="35" t="inlineStr">
        <is>
          <t>Vida Care</t>
        </is>
      </c>
      <c r="G852" s="35" t="inlineStr">
        <is>
          <t>ECG</t>
        </is>
      </c>
      <c r="H852" s="35" t="inlineStr">
        <is>
          <t>Realizado</t>
        </is>
      </c>
      <c r="I852" s="35" t="inlineStr">
        <is>
          <t>Convênio</t>
        </is>
      </c>
      <c r="J852" s="35" t="n"/>
      <c r="K852" s="34" t="n"/>
      <c r="L852" s="26">
        <f>IF(A852="","",MONTH(A852))</f>
        <v>8</v>
      </c>
      <c r="M852" s="26">
        <f>IF(A852="","",YEAR(A852))</f>
        <v>2026</v>
      </c>
      <c r="N852" s="26" t="str">
        <f>IF(A852="","",CHOOSE(WEEKDAY(A852,2),"Segunda","Terça","Quarta","Quinta","Sexta","Sábado","Domingo"))</f>
        <v>Terça</v>
      </c>
      <c r="O852" s="26" t="str">
        <f>IF(B852="","",IF(B852&lt;TIME(12,0,0),"Manhã",IF(B852&lt;TIME(18,0,0),"Tarde","Noite")))</f>
        <v>Tarde</v>
      </c>
      <c r="P852" s="32">
        <f>IF(G852="","",IFERROR(INDEX(Config!$I$5:$I$16,MATCH(G852,Config!$H$5:$H$16,0)),0))</f>
        <v>0</v>
      </c>
      <c r="Q852" s="30">
        <f>IF(OR(H852&lt;&gt;"Realizado",P852="",P852=0),"",A852+P852)</f>
        <v/>
      </c>
      <c r="R852" s="26">
        <f>IF(Q852="","",IF(COUNTIFS($E$5:$E$3004,E852,$A$5:$A$3004,"&gt;"&amp;A852,$H$5:$H$3004,"&lt;&gt;Falta",$H$5:$H$3004,"&lt;&gt;Cancelado",$H$5:$H$3004,"&lt;&gt;Remarcado")&gt;0,"Sim","Não"))</f>
        <v/>
      </c>
      <c r="S852" s="32">
        <f>IF(R852&lt;&gt;"Não","",IF(Q852+Config!$B$9&lt;=Config!$B$8,Config!$B$8-Q852,""))</f>
        <v/>
      </c>
      <c r="T852" s="26">
        <f>IF(S852="","","Sim")</f>
        <v/>
      </c>
      <c r="U852" s="41">
        <f>IF(T852="Sim",S852+ROW()/100000,0)</f>
        <v>0</v>
      </c>
      <c r="V852" s="41">
        <f>IF(AND(H852="Falta",L852=Config!$B$7,M852=Config!$B$5,COUNTIFS($E$5:E852,E852,$H$5:H852,"Falta",$L$5:L852,Config!$B$7,$M$5:M852,Config!$B$5)=1),COUNTIFS($E$5:$E$3004,E852,$H$5:$H$3004,"Falta",$L$5:$L$3004,Config!$B$7,$M$5:$M$3004,Config!$B$5)*1000-ROW()/100000,0)</f>
        <v>0</v>
      </c>
    </row>
    <row r="853">
      <c r="A853" s="39" t="n">
        <v>46259</v>
      </c>
      <c r="B853" s="40" t="n">
        <v>0.7083333333333334</v>
      </c>
      <c r="C853" s="35" t="inlineStr">
        <is>
          <t>Dra. Renata Sousa</t>
        </is>
      </c>
      <c r="D853" s="35" t="inlineStr">
        <is>
          <t>Sala 1</t>
        </is>
      </c>
      <c r="E853" s="34" t="inlineStr">
        <is>
          <t>Cláudia Melo</t>
        </is>
      </c>
      <c r="F853" s="35" t="inlineStr">
        <is>
          <t>Particular</t>
        </is>
      </c>
      <c r="G853" s="35" t="inlineStr">
        <is>
          <t>Avaliação endócrina</t>
        </is>
      </c>
      <c r="H853" s="35" t="inlineStr">
        <is>
          <t>Realizado</t>
        </is>
      </c>
      <c r="I853" s="35" t="inlineStr">
        <is>
          <t>Cartão de débito</t>
        </is>
      </c>
      <c r="J853" s="35" t="n"/>
      <c r="K853" s="34" t="n"/>
      <c r="L853" s="26">
        <f>IF(A853="","",MONTH(A853))</f>
        <v>8</v>
      </c>
      <c r="M853" s="26">
        <f>IF(A853="","",YEAR(A853))</f>
        <v>2026</v>
      </c>
      <c r="N853" s="26" t="str">
        <f>IF(A853="","",CHOOSE(WEEKDAY(A853,2),"Segunda","Terça","Quarta","Quinta","Sexta","Sábado","Domingo"))</f>
        <v>Terça</v>
      </c>
      <c r="O853" s="26" t="str">
        <f>IF(B853="","",IF(B853&lt;TIME(12,0,0),"Manhã",IF(B853&lt;TIME(18,0,0),"Tarde","Noite")))</f>
        <v>Tarde</v>
      </c>
      <c r="P853" s="32">
        <f>IF(G853="","",IFERROR(INDEX(Config!$I$5:$I$16,MATCH(G853,Config!$H$5:$H$16,0)),0))</f>
        <v>45</v>
      </c>
      <c r="Q853" s="30">
        <f>IF(OR(H853&lt;&gt;"Realizado",P853="",P853=0),"",A853+P853)</f>
        <v>46304.0</v>
      </c>
      <c r="R853" s="26" t="str">
        <f>IF(Q853="","",IF(COUNTIFS($E$5:$E$3004,E853,$A$5:$A$3004,"&gt;"&amp;A853,$H$5:$H$3004,"&lt;&gt;Falta",$H$5:$H$3004,"&lt;&gt;Cancelado",$H$5:$H$3004,"&lt;&gt;Remarcado")&gt;0,"Sim","Não"))</f>
        <v>Sim</v>
      </c>
      <c r="S853" s="32">
        <f>IF(R853&lt;&gt;"Não","",IF(Q853+Config!$B$9&lt;=Config!$B$8,Config!$B$8-Q853,""))</f>
        <v/>
      </c>
      <c r="T853" s="26">
        <f>IF(S853="","","Sim")</f>
        <v/>
      </c>
      <c r="U853" s="41">
        <f>IF(T853="Sim",S853+ROW()/100000,0)</f>
        <v>0</v>
      </c>
      <c r="V853" s="41">
        <f>IF(AND(H853="Falta",L853=Config!$B$7,M853=Config!$B$5,COUNTIFS($E$5:E853,E853,$H$5:H853,"Falta",$L$5:L853,Config!$B$7,$M$5:M853,Config!$B$5)=1),COUNTIFS($E$5:$E$3004,E853,$H$5:$H$3004,"Falta",$L$5:$L$3004,Config!$B$7,$M$5:$M$3004,Config!$B$5)*1000-ROW()/100000,0)</f>
        <v>0</v>
      </c>
    </row>
    <row r="854">
      <c r="A854" s="39" t="n">
        <v>46259</v>
      </c>
      <c r="B854" s="40" t="n">
        <v>0.7152777777777778</v>
      </c>
      <c r="C854" s="35" t="inlineStr">
        <is>
          <t>Dr. Paulo Andrade</t>
        </is>
      </c>
      <c r="D854" s="35" t="inlineStr">
        <is>
          <t>Sala 2</t>
        </is>
      </c>
      <c r="E854" s="34" t="inlineStr">
        <is>
          <t>Paulo Reis</t>
        </is>
      </c>
      <c r="F854" s="35" t="inlineStr">
        <is>
          <t>Particular</t>
        </is>
      </c>
      <c r="G854" s="35" t="inlineStr">
        <is>
          <t>Holter</t>
        </is>
      </c>
      <c r="H854" s="35" t="inlineStr">
        <is>
          <t>Realizado</t>
        </is>
      </c>
      <c r="I854" s="35" t="inlineStr">
        <is>
          <t>Cartão de crédito</t>
        </is>
      </c>
      <c r="J854" s="35" t="n">
        <v>2</v>
      </c>
      <c r="K854" s="34" t="n"/>
      <c r="L854" s="26">
        <f>IF(A854="","",MONTH(A854))</f>
        <v>8</v>
      </c>
      <c r="M854" s="26">
        <f>IF(A854="","",YEAR(A854))</f>
        <v>2026</v>
      </c>
      <c r="N854" s="26" t="str">
        <f>IF(A854="","",CHOOSE(WEEKDAY(A854,2),"Segunda","Terça","Quarta","Quinta","Sexta","Sábado","Domingo"))</f>
        <v>Terça</v>
      </c>
      <c r="O854" s="26" t="str">
        <f>IF(B854="","",IF(B854&lt;TIME(12,0,0),"Manhã",IF(B854&lt;TIME(18,0,0),"Tarde","Noite")))</f>
        <v>Tarde</v>
      </c>
      <c r="P854" s="32">
        <f>IF(G854="","",IFERROR(INDEX(Config!$I$5:$I$16,MATCH(G854,Config!$H$5:$H$16,0)),0))</f>
        <v>0</v>
      </c>
      <c r="Q854" s="30">
        <f>IF(OR(H854&lt;&gt;"Realizado",P854="",P854=0),"",A854+P854)</f>
        <v/>
      </c>
      <c r="R854" s="26">
        <f>IF(Q854="","",IF(COUNTIFS($E$5:$E$3004,E854,$A$5:$A$3004,"&gt;"&amp;A854,$H$5:$H$3004,"&lt;&gt;Falta",$H$5:$H$3004,"&lt;&gt;Cancelado",$H$5:$H$3004,"&lt;&gt;Remarcado")&gt;0,"Sim","Não"))</f>
        <v/>
      </c>
      <c r="S854" s="32">
        <f>IF(R854&lt;&gt;"Não","",IF(Q854+Config!$B$9&lt;=Config!$B$8,Config!$B$8-Q854,""))</f>
        <v/>
      </c>
      <c r="T854" s="26">
        <f>IF(S854="","","Sim")</f>
        <v/>
      </c>
      <c r="U854" s="41">
        <f>IF(T854="Sim",S854+ROW()/100000,0)</f>
        <v>0</v>
      </c>
      <c r="V854" s="41">
        <f>IF(AND(H854="Falta",L854=Config!$B$7,M854=Config!$B$5,COUNTIFS($E$5:E854,E854,$H$5:H854,"Falta",$L$5:L854,Config!$B$7,$M$5:M854,Config!$B$5)=1),COUNTIFS($E$5:$E$3004,E854,$H$5:$H$3004,"Falta",$L$5:$L$3004,Config!$B$7,$M$5:$M$3004,Config!$B$5)*1000-ROW()/100000,0)</f>
        <v>0</v>
      </c>
    </row>
    <row r="855">
      <c r="A855" s="39" t="n">
        <v>46260</v>
      </c>
      <c r="B855" s="40" t="n">
        <v>0.5833333333333334</v>
      </c>
      <c r="C855" s="35" t="inlineStr">
        <is>
          <t>Dra. Carolina Mendes</t>
        </is>
      </c>
      <c r="D855" s="35" t="inlineStr">
        <is>
          <t>Sala 1</t>
        </is>
      </c>
      <c r="E855" s="34" t="inlineStr">
        <is>
          <t>Helena Moreira</t>
        </is>
      </c>
      <c r="F855" s="35" t="inlineStr">
        <is>
          <t>Particular</t>
        </is>
      </c>
      <c r="G855" s="35" t="inlineStr">
        <is>
          <t>Consulta</t>
        </is>
      </c>
      <c r="H855" s="35" t="inlineStr">
        <is>
          <t>Realizado</t>
        </is>
      </c>
      <c r="I855" s="35" t="inlineStr">
        <is>
          <t>Cartão de débito</t>
        </is>
      </c>
      <c r="J855" s="35" t="n"/>
      <c r="K855" s="34" t="n"/>
      <c r="L855" s="26">
        <f>IF(A855="","",MONTH(A855))</f>
        <v>8</v>
      </c>
      <c r="M855" s="26">
        <f>IF(A855="","",YEAR(A855))</f>
        <v>2026</v>
      </c>
      <c r="N855" s="26" t="str">
        <f>IF(A855="","",CHOOSE(WEEKDAY(A855,2),"Segunda","Terça","Quarta","Quinta","Sexta","Sábado","Domingo"))</f>
        <v>Quarta</v>
      </c>
      <c r="O855" s="26" t="str">
        <f>IF(B855="","",IF(B855&lt;TIME(12,0,0),"Manhã",IF(B855&lt;TIME(18,0,0),"Tarde","Noite")))</f>
        <v>Tarde</v>
      </c>
      <c r="P855" s="32">
        <f>IF(G855="","",IFERROR(INDEX(Config!$I$5:$I$16,MATCH(G855,Config!$H$5:$H$16,0)),0))</f>
        <v>30</v>
      </c>
      <c r="Q855" s="30">
        <f>IF(OR(H855&lt;&gt;"Realizado",P855="",P855=0),"",A855+P855)</f>
        <v>46290.0</v>
      </c>
      <c r="R855" s="26" t="str">
        <f>IF(Q855="","",IF(COUNTIFS($E$5:$E$3004,E855,$A$5:$A$3004,"&gt;"&amp;A855,$H$5:$H$3004,"&lt;&gt;Falta",$H$5:$H$3004,"&lt;&gt;Cancelado",$H$5:$H$3004,"&lt;&gt;Remarcado")&gt;0,"Sim","Não"))</f>
        <v>Sim</v>
      </c>
      <c r="S855" s="32">
        <f>IF(R855&lt;&gt;"Não","",IF(Q855+Config!$B$9&lt;=Config!$B$8,Config!$B$8-Q855,""))</f>
        <v/>
      </c>
      <c r="T855" s="26">
        <f>IF(S855="","","Sim")</f>
        <v/>
      </c>
      <c r="U855" s="41">
        <f>IF(T855="Sim",S855+ROW()/100000,0)</f>
        <v>0</v>
      </c>
      <c r="V855" s="41">
        <f>IF(AND(H855="Falta",L855=Config!$B$7,M855=Config!$B$5,COUNTIFS($E$5:E855,E855,$H$5:H855,"Falta",$L$5:L855,Config!$B$7,$M$5:M855,Config!$B$5)=1),COUNTIFS($E$5:$E$3004,E855,$H$5:$H$3004,"Falta",$L$5:$L$3004,Config!$B$7,$M$5:$M$3004,Config!$B$5)*1000-ROW()/100000,0)</f>
        <v>0</v>
      </c>
    </row>
    <row r="856">
      <c r="A856" s="39" t="n">
        <v>46260</v>
      </c>
      <c r="B856" s="40" t="n">
        <v>0.6041666666666666</v>
      </c>
      <c r="C856" s="35" t="inlineStr">
        <is>
          <t>Dra. Carolina Mendes</t>
        </is>
      </c>
      <c r="D856" s="35" t="inlineStr">
        <is>
          <t>Sala 1</t>
        </is>
      </c>
      <c r="E856" s="34" t="inlineStr">
        <is>
          <t>Priscila Nunes</t>
        </is>
      </c>
      <c r="F856" s="35" t="inlineStr">
        <is>
          <t>MediPlan</t>
        </is>
      </c>
      <c r="G856" s="35" t="inlineStr">
        <is>
          <t>Consulta</t>
        </is>
      </c>
      <c r="H856" s="35" t="inlineStr">
        <is>
          <t>Realizado</t>
        </is>
      </c>
      <c r="I856" s="35" t="inlineStr">
        <is>
          <t>Convênio</t>
        </is>
      </c>
      <c r="J856" s="35" t="n"/>
      <c r="K856" s="34" t="n"/>
      <c r="L856" s="26">
        <f>IF(A856="","",MONTH(A856))</f>
        <v>8</v>
      </c>
      <c r="M856" s="26">
        <f>IF(A856="","",YEAR(A856))</f>
        <v>2026</v>
      </c>
      <c r="N856" s="26" t="str">
        <f>IF(A856="","",CHOOSE(WEEKDAY(A856,2),"Segunda","Terça","Quarta","Quinta","Sexta","Sábado","Domingo"))</f>
        <v>Quarta</v>
      </c>
      <c r="O856" s="26" t="str">
        <f>IF(B856="","",IF(B856&lt;TIME(12,0,0),"Manhã",IF(B856&lt;TIME(18,0,0),"Tarde","Noite")))</f>
        <v>Tarde</v>
      </c>
      <c r="P856" s="32">
        <f>IF(G856="","",IFERROR(INDEX(Config!$I$5:$I$16,MATCH(G856,Config!$H$5:$H$16,0)),0))</f>
        <v>30</v>
      </c>
      <c r="Q856" s="30">
        <f>IF(OR(H856&lt;&gt;"Realizado",P856="",P856=0),"",A856+P856)</f>
        <v>46290.0</v>
      </c>
      <c r="R856" s="26" t="str">
        <f>IF(Q856="","",IF(COUNTIFS($E$5:$E$3004,E856,$A$5:$A$3004,"&gt;"&amp;A856,$H$5:$H$3004,"&lt;&gt;Falta",$H$5:$H$3004,"&lt;&gt;Cancelado",$H$5:$H$3004,"&lt;&gt;Remarcado")&gt;0,"Sim","Não"))</f>
        <v>Sim</v>
      </c>
      <c r="S856" s="32">
        <f>IF(R856&lt;&gt;"Não","",IF(Q856+Config!$B$9&lt;=Config!$B$8,Config!$B$8-Q856,""))</f>
        <v/>
      </c>
      <c r="T856" s="26">
        <f>IF(S856="","","Sim")</f>
        <v/>
      </c>
      <c r="U856" s="41">
        <f>IF(T856="Sim",S856+ROW()/100000,0)</f>
        <v>0</v>
      </c>
      <c r="V856" s="41">
        <f>IF(AND(H856="Falta",L856=Config!$B$7,M856=Config!$B$5,COUNTIFS($E$5:E856,E856,$H$5:H856,"Falta",$L$5:L856,Config!$B$7,$M$5:M856,Config!$B$5)=1),COUNTIFS($E$5:$E$3004,E856,$H$5:$H$3004,"Falta",$L$5:$L$3004,Config!$B$7,$M$5:$M$3004,Config!$B$5)*1000-ROW()/100000,0)</f>
        <v>0</v>
      </c>
    </row>
    <row r="857">
      <c r="A857" s="39" t="n">
        <v>46260</v>
      </c>
      <c r="B857" s="40" t="n">
        <v>0.625</v>
      </c>
      <c r="C857" s="35" t="inlineStr">
        <is>
          <t>Dra. Carolina Mendes</t>
        </is>
      </c>
      <c r="D857" s="35" t="inlineStr">
        <is>
          <t>Sala 1</t>
        </is>
      </c>
      <c r="E857" s="34" t="inlineStr">
        <is>
          <t>Sérgio Martins</t>
        </is>
      </c>
      <c r="F857" s="35" t="inlineStr">
        <is>
          <t>Particular</t>
        </is>
      </c>
      <c r="G857" s="35" t="inlineStr">
        <is>
          <t>Consulta</t>
        </is>
      </c>
      <c r="H857" s="35" t="inlineStr">
        <is>
          <t>Realizado</t>
        </is>
      </c>
      <c r="I857" s="35" t="inlineStr">
        <is>
          <t>A prazo</t>
        </is>
      </c>
      <c r="J857" s="35" t="n"/>
      <c r="K857" s="34" t="n"/>
      <c r="L857" s="26">
        <f>IF(A857="","",MONTH(A857))</f>
        <v>8</v>
      </c>
      <c r="M857" s="26">
        <f>IF(A857="","",YEAR(A857))</f>
        <v>2026</v>
      </c>
      <c r="N857" s="26" t="str">
        <f>IF(A857="","",CHOOSE(WEEKDAY(A857,2),"Segunda","Terça","Quarta","Quinta","Sexta","Sábado","Domingo"))</f>
        <v>Quarta</v>
      </c>
      <c r="O857" s="26" t="str">
        <f>IF(B857="","",IF(B857&lt;TIME(12,0,0),"Manhã",IF(B857&lt;TIME(18,0,0),"Tarde","Noite")))</f>
        <v>Tarde</v>
      </c>
      <c r="P857" s="32">
        <f>IF(G857="","",IFERROR(INDEX(Config!$I$5:$I$16,MATCH(G857,Config!$H$5:$H$16,0)),0))</f>
        <v>30</v>
      </c>
      <c r="Q857" s="30">
        <f>IF(OR(H857&lt;&gt;"Realizado",P857="",P857=0),"",A857+P857)</f>
        <v>46290.0</v>
      </c>
      <c r="R857" s="26" t="str">
        <f>IF(Q857="","",IF(COUNTIFS($E$5:$E$3004,E857,$A$5:$A$3004,"&gt;"&amp;A857,$H$5:$H$3004,"&lt;&gt;Falta",$H$5:$H$3004,"&lt;&gt;Cancelado",$H$5:$H$3004,"&lt;&gt;Remarcado")&gt;0,"Sim","Não"))</f>
        <v>Sim</v>
      </c>
      <c r="S857" s="32">
        <f>IF(R857&lt;&gt;"Não","",IF(Q857+Config!$B$9&lt;=Config!$B$8,Config!$B$8-Q857,""))</f>
        <v/>
      </c>
      <c r="T857" s="26">
        <f>IF(S857="","","Sim")</f>
        <v/>
      </c>
      <c r="U857" s="41">
        <f>IF(T857="Sim",S857+ROW()/100000,0)</f>
        <v>0</v>
      </c>
      <c r="V857" s="41">
        <f>IF(AND(H857="Falta",L857=Config!$B$7,M857=Config!$B$5,COUNTIFS($E$5:E857,E857,$H$5:H857,"Falta",$L$5:L857,Config!$B$7,$M$5:M857,Config!$B$5)=1),COUNTIFS($E$5:$E$3004,E857,$H$5:$H$3004,"Falta",$L$5:$L$3004,Config!$B$7,$M$5:$M$3004,Config!$B$5)*1000-ROW()/100000,0)</f>
        <v>0</v>
      </c>
    </row>
    <row r="858">
      <c r="A858" s="39" t="n">
        <v>46260</v>
      </c>
      <c r="B858" s="40" t="n">
        <v>0.6458333333333334</v>
      </c>
      <c r="C858" s="35" t="inlineStr">
        <is>
          <t>Dra. Carolina Mendes</t>
        </is>
      </c>
      <c r="D858" s="35" t="inlineStr">
        <is>
          <t>Sala 1</t>
        </is>
      </c>
      <c r="E858" s="34" t="inlineStr">
        <is>
          <t>Carlos Castro</t>
        </is>
      </c>
      <c r="F858" s="35" t="inlineStr">
        <is>
          <t>Saúde Total</t>
        </is>
      </c>
      <c r="G858" s="35" t="inlineStr">
        <is>
          <t>Consulta</t>
        </is>
      </c>
      <c r="H858" s="35" t="inlineStr">
        <is>
          <t>Falta</t>
        </is>
      </c>
      <c r="I858" s="35" t="n"/>
      <c r="J858" s="35" t="n"/>
      <c r="K858" s="34" t="n"/>
      <c r="L858" s="26">
        <f>IF(A858="","",MONTH(A858))</f>
        <v>8</v>
      </c>
      <c r="M858" s="26">
        <f>IF(A858="","",YEAR(A858))</f>
        <v>2026</v>
      </c>
      <c r="N858" s="26" t="str">
        <f>IF(A858="","",CHOOSE(WEEKDAY(A858,2),"Segunda","Terça","Quarta","Quinta","Sexta","Sábado","Domingo"))</f>
        <v>Quarta</v>
      </c>
      <c r="O858" s="26" t="str">
        <f>IF(B858="","",IF(B858&lt;TIME(12,0,0),"Manhã",IF(B858&lt;TIME(18,0,0),"Tarde","Noite")))</f>
        <v>Tarde</v>
      </c>
      <c r="P858" s="32">
        <f>IF(G858="","",IFERROR(INDEX(Config!$I$5:$I$16,MATCH(G858,Config!$H$5:$H$16,0)),0))</f>
        <v>30</v>
      </c>
      <c r="Q858" s="30">
        <f>IF(OR(H858&lt;&gt;"Realizado",P858="",P858=0),"",A858+P858)</f>
        <v/>
      </c>
      <c r="R858" s="26">
        <f>IF(Q858="","",IF(COUNTIFS($E$5:$E$3004,E858,$A$5:$A$3004,"&gt;"&amp;A858,$H$5:$H$3004,"&lt;&gt;Falta",$H$5:$H$3004,"&lt;&gt;Cancelado",$H$5:$H$3004,"&lt;&gt;Remarcado")&gt;0,"Sim","Não"))</f>
        <v/>
      </c>
      <c r="S858" s="32">
        <f>IF(R858&lt;&gt;"Não","",IF(Q858+Config!$B$9&lt;=Config!$B$8,Config!$B$8-Q858,""))</f>
        <v/>
      </c>
      <c r="T858" s="26">
        <f>IF(S858="","","Sim")</f>
        <v/>
      </c>
      <c r="U858" s="41">
        <f>IF(T858="Sim",S858+ROW()/100000,0)</f>
        <v>0</v>
      </c>
      <c r="V858" s="41">
        <f>IF(AND(H858="Falta",L858=Config!$B$7,M858=Config!$B$5,COUNTIFS($E$5:E858,E858,$H$5:H858,"Falta",$L$5:L858,Config!$B$7,$M$5:M858,Config!$B$5)=1),COUNTIFS($E$5:$E$3004,E858,$H$5:$H$3004,"Falta",$L$5:$L$3004,Config!$B$7,$M$5:$M$3004,Config!$B$5)*1000-ROW()/100000,0)</f>
        <v>0</v>
      </c>
    </row>
    <row r="859">
      <c r="A859" s="39" t="n">
        <v>46260</v>
      </c>
      <c r="B859" s="40" t="n">
        <v>0.6875</v>
      </c>
      <c r="C859" s="35" t="inlineStr">
        <is>
          <t>Dra. Carolina Mendes</t>
        </is>
      </c>
      <c r="D859" s="35" t="inlineStr">
        <is>
          <t>Sala 1</t>
        </is>
      </c>
      <c r="E859" s="34" t="inlineStr">
        <is>
          <t>Carlos Castro</t>
        </is>
      </c>
      <c r="F859" s="35" t="inlineStr">
        <is>
          <t>Saúde Total</t>
        </is>
      </c>
      <c r="G859" s="35" t="inlineStr">
        <is>
          <t>Consulta</t>
        </is>
      </c>
      <c r="H859" s="35" t="inlineStr">
        <is>
          <t>Realizado</t>
        </is>
      </c>
      <c r="I859" s="35" t="inlineStr">
        <is>
          <t>Convênio</t>
        </is>
      </c>
      <c r="J859" s="35" t="n"/>
      <c r="K859" s="34" t="n"/>
      <c r="L859" s="26">
        <f>IF(A859="","",MONTH(A859))</f>
        <v>8</v>
      </c>
      <c r="M859" s="26">
        <f>IF(A859="","",YEAR(A859))</f>
        <v>2026</v>
      </c>
      <c r="N859" s="26" t="str">
        <f>IF(A859="","",CHOOSE(WEEKDAY(A859,2),"Segunda","Terça","Quarta","Quinta","Sexta","Sábado","Domingo"))</f>
        <v>Quarta</v>
      </c>
      <c r="O859" s="26" t="str">
        <f>IF(B859="","",IF(B859&lt;TIME(12,0,0),"Manhã",IF(B859&lt;TIME(18,0,0),"Tarde","Noite")))</f>
        <v>Tarde</v>
      </c>
      <c r="P859" s="32">
        <f>IF(G859="","",IFERROR(INDEX(Config!$I$5:$I$16,MATCH(G859,Config!$H$5:$H$16,0)),0))</f>
        <v>30</v>
      </c>
      <c r="Q859" s="30">
        <f>IF(OR(H859&lt;&gt;"Realizado",P859="",P859=0),"",A859+P859)</f>
        <v>46290.0</v>
      </c>
      <c r="R859" s="26" t="str">
        <f>IF(Q859="","",IF(COUNTIFS($E$5:$E$3004,E859,$A$5:$A$3004,"&gt;"&amp;A859,$H$5:$H$3004,"&lt;&gt;Falta",$H$5:$H$3004,"&lt;&gt;Cancelado",$H$5:$H$3004,"&lt;&gt;Remarcado")&gt;0,"Sim","Não"))</f>
        <v>Sim</v>
      </c>
      <c r="S859" s="32">
        <f>IF(R859&lt;&gt;"Não","",IF(Q859+Config!$B$9&lt;=Config!$B$8,Config!$B$8-Q859,""))</f>
        <v/>
      </c>
      <c r="T859" s="26">
        <f>IF(S859="","","Sim")</f>
        <v/>
      </c>
      <c r="U859" s="41">
        <f>IF(T859="Sim",S859+ROW()/100000,0)</f>
        <v>0</v>
      </c>
      <c r="V859" s="41">
        <f>IF(AND(H859="Falta",L859=Config!$B$7,M859=Config!$B$5,COUNTIFS($E$5:E859,E859,$H$5:H859,"Falta",$L$5:L859,Config!$B$7,$M$5:M859,Config!$B$5)=1),COUNTIFS($E$5:$E$3004,E859,$H$5:$H$3004,"Falta",$L$5:$L$3004,Config!$B$7,$M$5:$M$3004,Config!$B$5)*1000-ROW()/100000,0)</f>
        <v>0</v>
      </c>
    </row>
    <row r="860">
      <c r="A860" s="39" t="n">
        <v>46260</v>
      </c>
      <c r="B860" s="40" t="n">
        <v>0.7083333333333334</v>
      </c>
      <c r="C860" s="35" t="inlineStr">
        <is>
          <t>Dra. Carolina Mendes</t>
        </is>
      </c>
      <c r="D860" s="35" t="inlineStr">
        <is>
          <t>Sala 1</t>
        </is>
      </c>
      <c r="E860" s="34" t="inlineStr">
        <is>
          <t>Rodrigo Moreira</t>
        </is>
      </c>
      <c r="F860" s="35" t="inlineStr">
        <is>
          <t>Particular</t>
        </is>
      </c>
      <c r="G860" s="35" t="inlineStr">
        <is>
          <t>Consulta</t>
        </is>
      </c>
      <c r="H860" s="35" t="inlineStr">
        <is>
          <t>Realizado</t>
        </is>
      </c>
      <c r="I860" s="35" t="inlineStr">
        <is>
          <t>Pix</t>
        </is>
      </c>
      <c r="J860" s="35" t="n"/>
      <c r="K860" s="34" t="n"/>
      <c r="L860" s="26">
        <f>IF(A860="","",MONTH(A860))</f>
        <v>8</v>
      </c>
      <c r="M860" s="26">
        <f>IF(A860="","",YEAR(A860))</f>
        <v>2026</v>
      </c>
      <c r="N860" s="26" t="str">
        <f>IF(A860="","",CHOOSE(WEEKDAY(A860,2),"Segunda","Terça","Quarta","Quinta","Sexta","Sábado","Domingo"))</f>
        <v>Quarta</v>
      </c>
      <c r="O860" s="26" t="str">
        <f>IF(B860="","",IF(B860&lt;TIME(12,0,0),"Manhã",IF(B860&lt;TIME(18,0,0),"Tarde","Noite")))</f>
        <v>Tarde</v>
      </c>
      <c r="P860" s="32">
        <f>IF(G860="","",IFERROR(INDEX(Config!$I$5:$I$16,MATCH(G860,Config!$H$5:$H$16,0)),0))</f>
        <v>30</v>
      </c>
      <c r="Q860" s="30">
        <f>IF(OR(H860&lt;&gt;"Realizado",P860="",P860=0),"",A860+P860)</f>
        <v>46290.0</v>
      </c>
      <c r="R860" s="26" t="str">
        <f>IF(Q860="","",IF(COUNTIFS($E$5:$E$3004,E860,$A$5:$A$3004,"&gt;"&amp;A860,$H$5:$H$3004,"&lt;&gt;Falta",$H$5:$H$3004,"&lt;&gt;Cancelado",$H$5:$H$3004,"&lt;&gt;Remarcado")&gt;0,"Sim","Não"))</f>
        <v>Sim</v>
      </c>
      <c r="S860" s="32">
        <f>IF(R860&lt;&gt;"Não","",IF(Q860+Config!$B$9&lt;=Config!$B$8,Config!$B$8-Q860,""))</f>
        <v/>
      </c>
      <c r="T860" s="26">
        <f>IF(S860="","","Sim")</f>
        <v/>
      </c>
      <c r="U860" s="41">
        <f>IF(T860="Sim",S860+ROW()/100000,0)</f>
        <v>0</v>
      </c>
      <c r="V860" s="41">
        <f>IF(AND(H860="Falta",L860=Config!$B$7,M860=Config!$B$5,COUNTIFS($E$5:E860,E860,$H$5:H860,"Falta",$L$5:L860,Config!$B$7,$M$5:M860,Config!$B$5)=1),COUNTIFS($E$5:$E$3004,E860,$H$5:$H$3004,"Falta",$L$5:$L$3004,Config!$B$7,$M$5:$M$3004,Config!$B$5)*1000-ROW()/100000,0)</f>
        <v>0</v>
      </c>
    </row>
    <row r="861">
      <c r="A861" s="39" t="n">
        <v>46260</v>
      </c>
      <c r="B861" s="40" t="n">
        <v>0.7291666666666666</v>
      </c>
      <c r="C861" s="35" t="inlineStr">
        <is>
          <t>Dra. Carolina Mendes</t>
        </is>
      </c>
      <c r="D861" s="35" t="inlineStr">
        <is>
          <t>Sala 1</t>
        </is>
      </c>
      <c r="E861" s="34" t="inlineStr">
        <is>
          <t>Rafael Dias</t>
        </is>
      </c>
      <c r="F861" s="35" t="inlineStr">
        <is>
          <t>Particular</t>
        </is>
      </c>
      <c r="G861" s="35" t="inlineStr">
        <is>
          <t>Consulta</t>
        </is>
      </c>
      <c r="H861" s="35" t="inlineStr">
        <is>
          <t>Realizado</t>
        </is>
      </c>
      <c r="I861" s="35" t="inlineStr">
        <is>
          <t>Pix</t>
        </is>
      </c>
      <c r="J861" s="35" t="n"/>
      <c r="K861" s="34" t="n"/>
      <c r="L861" s="26">
        <f>IF(A861="","",MONTH(A861))</f>
        <v>8</v>
      </c>
      <c r="M861" s="26">
        <f>IF(A861="","",YEAR(A861))</f>
        <v>2026</v>
      </c>
      <c r="N861" s="26" t="str">
        <f>IF(A861="","",CHOOSE(WEEKDAY(A861,2),"Segunda","Terça","Quarta","Quinta","Sexta","Sábado","Domingo"))</f>
        <v>Quarta</v>
      </c>
      <c r="O861" s="26" t="str">
        <f>IF(B861="","",IF(B861&lt;TIME(12,0,0),"Manhã",IF(B861&lt;TIME(18,0,0),"Tarde","Noite")))</f>
        <v>Tarde</v>
      </c>
      <c r="P861" s="32">
        <f>IF(G861="","",IFERROR(INDEX(Config!$I$5:$I$16,MATCH(G861,Config!$H$5:$H$16,0)),0))</f>
        <v>30</v>
      </c>
      <c r="Q861" s="30">
        <f>IF(OR(H861&lt;&gt;"Realizado",P861="",P861=0),"",A861+P861)</f>
        <v>46290.0</v>
      </c>
      <c r="R861" s="26" t="str">
        <f>IF(Q861="","",IF(COUNTIFS($E$5:$E$3004,E861,$A$5:$A$3004,"&gt;"&amp;A861,$H$5:$H$3004,"&lt;&gt;Falta",$H$5:$H$3004,"&lt;&gt;Cancelado",$H$5:$H$3004,"&lt;&gt;Remarcado")&gt;0,"Sim","Não"))</f>
        <v>Sim</v>
      </c>
      <c r="S861" s="32">
        <f>IF(R861&lt;&gt;"Não","",IF(Q861+Config!$B$9&lt;=Config!$B$8,Config!$B$8-Q861,""))</f>
        <v/>
      </c>
      <c r="T861" s="26">
        <f>IF(S861="","","Sim")</f>
        <v/>
      </c>
      <c r="U861" s="41">
        <f>IF(T861="Sim",S861+ROW()/100000,0)</f>
        <v>0</v>
      </c>
      <c r="V861" s="41">
        <f>IF(AND(H861="Falta",L861=Config!$B$7,M861=Config!$B$5,COUNTIFS($E$5:E861,E861,$H$5:H861,"Falta",$L$5:L861,Config!$B$7,$M$5:M861,Config!$B$5)=1),COUNTIFS($E$5:$E$3004,E861,$H$5:$H$3004,"Falta",$L$5:$L$3004,Config!$B$7,$M$5:$M$3004,Config!$B$5)*1000-ROW()/100000,0)</f>
        <v>0</v>
      </c>
    </row>
    <row r="862">
      <c r="A862" s="39" t="n">
        <v>46261</v>
      </c>
      <c r="B862" s="40" t="n">
        <v>0.3333333333333333</v>
      </c>
      <c r="C862" s="35" t="inlineStr">
        <is>
          <t>Dra. Carolina Mendes</t>
        </is>
      </c>
      <c r="D862" s="35" t="inlineStr">
        <is>
          <t>Sala 1</t>
        </is>
      </c>
      <c r="E862" s="34" t="inlineStr">
        <is>
          <t>Mateus Lima</t>
        </is>
      </c>
      <c r="F862" s="35" t="inlineStr">
        <is>
          <t>MediPlan</t>
        </is>
      </c>
      <c r="G862" s="35" t="inlineStr">
        <is>
          <t>Retorno</t>
        </is>
      </c>
      <c r="H862" s="35" t="inlineStr">
        <is>
          <t>Realizado</t>
        </is>
      </c>
      <c r="I862" s="35" t="inlineStr">
        <is>
          <t>Sem cobrança</t>
        </is>
      </c>
      <c r="J862" s="35" t="n"/>
      <c r="K862" s="34" t="n"/>
      <c r="L862" s="26">
        <f>IF(A862="","",MONTH(A862))</f>
        <v>8</v>
      </c>
      <c r="M862" s="26">
        <f>IF(A862="","",YEAR(A862))</f>
        <v>2026</v>
      </c>
      <c r="N862" s="26" t="str">
        <f>IF(A862="","",CHOOSE(WEEKDAY(A862,2),"Segunda","Terça","Quarta","Quinta","Sexta","Sábado","Domingo"))</f>
        <v>Quinta</v>
      </c>
      <c r="O862" s="26" t="str">
        <f>IF(B862="","",IF(B862&lt;TIME(12,0,0),"Manhã",IF(B862&lt;TIME(18,0,0),"Tarde","Noite")))</f>
        <v>Manhã</v>
      </c>
      <c r="P862" s="32">
        <f>IF(G862="","",IFERROR(INDEX(Config!$I$5:$I$16,MATCH(G862,Config!$H$5:$H$16,0)),0))</f>
        <v>0</v>
      </c>
      <c r="Q862" s="30">
        <f>IF(OR(H862&lt;&gt;"Realizado",P862="",P862=0),"",A862+P862)</f>
        <v/>
      </c>
      <c r="R862" s="26">
        <f>IF(Q862="","",IF(COUNTIFS($E$5:$E$3004,E862,$A$5:$A$3004,"&gt;"&amp;A862,$H$5:$H$3004,"&lt;&gt;Falta",$H$5:$H$3004,"&lt;&gt;Cancelado",$H$5:$H$3004,"&lt;&gt;Remarcado")&gt;0,"Sim","Não"))</f>
        <v/>
      </c>
      <c r="S862" s="32">
        <f>IF(R862&lt;&gt;"Não","",IF(Q862+Config!$B$9&lt;=Config!$B$8,Config!$B$8-Q862,""))</f>
        <v/>
      </c>
      <c r="T862" s="26">
        <f>IF(S862="","","Sim")</f>
        <v/>
      </c>
      <c r="U862" s="41">
        <f>IF(T862="Sim",S862+ROW()/100000,0)</f>
        <v>0</v>
      </c>
      <c r="V862" s="41">
        <f>IF(AND(H862="Falta",L862=Config!$B$7,M862=Config!$B$5,COUNTIFS($E$5:E862,E862,$H$5:H862,"Falta",$L$5:L862,Config!$B$7,$M$5:M862,Config!$B$5)=1),COUNTIFS($E$5:$E$3004,E862,$H$5:$H$3004,"Falta",$L$5:$L$3004,Config!$B$7,$M$5:$M$3004,Config!$B$5)*1000-ROW()/100000,0)</f>
        <v>0</v>
      </c>
    </row>
    <row r="863">
      <c r="A863" s="39" t="n">
        <v>46261</v>
      </c>
      <c r="B863" s="40" t="n">
        <v>0.3472222222222222</v>
      </c>
      <c r="C863" s="35" t="inlineStr">
        <is>
          <t>Dra. Carolina Mendes</t>
        </is>
      </c>
      <c r="D863" s="35" t="inlineStr">
        <is>
          <t>Sala 1</t>
        </is>
      </c>
      <c r="E863" s="34" t="inlineStr">
        <is>
          <t>Regina Duarte</t>
        </is>
      </c>
      <c r="F863" s="35" t="inlineStr">
        <is>
          <t>Particular</t>
        </is>
      </c>
      <c r="G863" s="35" t="inlineStr">
        <is>
          <t>Consulta</t>
        </is>
      </c>
      <c r="H863" s="35" t="inlineStr">
        <is>
          <t>Realizado</t>
        </is>
      </c>
      <c r="I863" s="35" t="inlineStr">
        <is>
          <t>Cartão de débito</t>
        </is>
      </c>
      <c r="J863" s="35" t="n"/>
      <c r="K863" s="34" t="n"/>
      <c r="L863" s="26">
        <f>IF(A863="","",MONTH(A863))</f>
        <v>8</v>
      </c>
      <c r="M863" s="26">
        <f>IF(A863="","",YEAR(A863))</f>
        <v>2026</v>
      </c>
      <c r="N863" s="26" t="str">
        <f>IF(A863="","",CHOOSE(WEEKDAY(A863,2),"Segunda","Terça","Quarta","Quinta","Sexta","Sábado","Domingo"))</f>
        <v>Quinta</v>
      </c>
      <c r="O863" s="26" t="str">
        <f>IF(B863="","",IF(B863&lt;TIME(12,0,0),"Manhã",IF(B863&lt;TIME(18,0,0),"Tarde","Noite")))</f>
        <v>Manhã</v>
      </c>
      <c r="P863" s="32">
        <f>IF(G863="","",IFERROR(INDEX(Config!$I$5:$I$16,MATCH(G863,Config!$H$5:$H$16,0)),0))</f>
        <v>30</v>
      </c>
      <c r="Q863" s="30">
        <f>IF(OR(H863&lt;&gt;"Realizado",P863="",P863=0),"",A863+P863)</f>
        <v>46291.0</v>
      </c>
      <c r="R863" s="26" t="str">
        <f>IF(Q863="","",IF(COUNTIFS($E$5:$E$3004,E863,$A$5:$A$3004,"&gt;"&amp;A863,$H$5:$H$3004,"&lt;&gt;Falta",$H$5:$H$3004,"&lt;&gt;Cancelado",$H$5:$H$3004,"&lt;&gt;Remarcado")&gt;0,"Sim","Não"))</f>
        <v>Sim</v>
      </c>
      <c r="S863" s="32">
        <f>IF(R863&lt;&gt;"Não","",IF(Q863+Config!$B$9&lt;=Config!$B$8,Config!$B$8-Q863,""))</f>
        <v/>
      </c>
      <c r="T863" s="26">
        <f>IF(S863="","","Sim")</f>
        <v/>
      </c>
      <c r="U863" s="41">
        <f>IF(T863="Sim",S863+ROW()/100000,0)</f>
        <v>0</v>
      </c>
      <c r="V863" s="41">
        <f>IF(AND(H863="Falta",L863=Config!$B$7,M863=Config!$B$5,COUNTIFS($E$5:E863,E863,$H$5:H863,"Falta",$L$5:L863,Config!$B$7,$M$5:M863,Config!$B$5)=1),COUNTIFS($E$5:$E$3004,E863,$H$5:$H$3004,"Falta",$L$5:$L$3004,Config!$B$7,$M$5:$M$3004,Config!$B$5)*1000-ROW()/100000,0)</f>
        <v>0</v>
      </c>
    </row>
    <row r="864">
      <c r="A864" s="39" t="n">
        <v>46261</v>
      </c>
      <c r="B864" s="40" t="n">
        <v>0.3680555555555556</v>
      </c>
      <c r="C864" s="35" t="inlineStr">
        <is>
          <t>Dra. Carolina Mendes</t>
        </is>
      </c>
      <c r="D864" s="35" t="inlineStr">
        <is>
          <t>Sala 1</t>
        </is>
      </c>
      <c r="E864" s="34" t="inlineStr">
        <is>
          <t>Gisele Xavier</t>
        </is>
      </c>
      <c r="F864" s="35" t="inlineStr">
        <is>
          <t>Particular</t>
        </is>
      </c>
      <c r="G864" s="35" t="inlineStr">
        <is>
          <t>Consulta</t>
        </is>
      </c>
      <c r="H864" s="35" t="inlineStr">
        <is>
          <t>Realizado</t>
        </is>
      </c>
      <c r="I864" s="35" t="inlineStr">
        <is>
          <t>Cartão de crédito</t>
        </is>
      </c>
      <c r="J864" s="35" t="n"/>
      <c r="K864" s="34" t="n"/>
      <c r="L864" s="26">
        <f>IF(A864="","",MONTH(A864))</f>
        <v>8</v>
      </c>
      <c r="M864" s="26">
        <f>IF(A864="","",YEAR(A864))</f>
        <v>2026</v>
      </c>
      <c r="N864" s="26" t="str">
        <f>IF(A864="","",CHOOSE(WEEKDAY(A864,2),"Segunda","Terça","Quarta","Quinta","Sexta","Sábado","Domingo"))</f>
        <v>Quinta</v>
      </c>
      <c r="O864" s="26" t="str">
        <f>IF(B864="","",IF(B864&lt;TIME(12,0,0),"Manhã",IF(B864&lt;TIME(18,0,0),"Tarde","Noite")))</f>
        <v>Manhã</v>
      </c>
      <c r="P864" s="32">
        <f>IF(G864="","",IFERROR(INDEX(Config!$I$5:$I$16,MATCH(G864,Config!$H$5:$H$16,0)),0))</f>
        <v>30</v>
      </c>
      <c r="Q864" s="30">
        <f>IF(OR(H864&lt;&gt;"Realizado",P864="",P864=0),"",A864+P864)</f>
        <v>46291.0</v>
      </c>
      <c r="R864" s="26" t="str">
        <f>IF(Q864="","",IF(COUNTIFS($E$5:$E$3004,E864,$A$5:$A$3004,"&gt;"&amp;A864,$H$5:$H$3004,"&lt;&gt;Falta",$H$5:$H$3004,"&lt;&gt;Cancelado",$H$5:$H$3004,"&lt;&gt;Remarcado")&gt;0,"Sim","Não"))</f>
        <v>Sim</v>
      </c>
      <c r="S864" s="32">
        <f>IF(R864&lt;&gt;"Não","",IF(Q864+Config!$B$9&lt;=Config!$B$8,Config!$B$8-Q864,""))</f>
        <v/>
      </c>
      <c r="T864" s="26">
        <f>IF(S864="","","Sim")</f>
        <v/>
      </c>
      <c r="U864" s="41">
        <f>IF(T864="Sim",S864+ROW()/100000,0)</f>
        <v>0</v>
      </c>
      <c r="V864" s="41">
        <f>IF(AND(H864="Falta",L864=Config!$B$7,M864=Config!$B$5,COUNTIFS($E$5:E864,E864,$H$5:H864,"Falta",$L$5:L864,Config!$B$7,$M$5:M864,Config!$B$5)=1),COUNTIFS($E$5:$E$3004,E864,$H$5:$H$3004,"Falta",$L$5:$L$3004,Config!$B$7,$M$5:$M$3004,Config!$B$5)*1000-ROW()/100000,0)</f>
        <v>0</v>
      </c>
    </row>
    <row r="865">
      <c r="A865" s="39" t="n">
        <v>46261</v>
      </c>
      <c r="B865" s="40" t="n">
        <v>0.3888888888888889</v>
      </c>
      <c r="C865" s="35" t="inlineStr">
        <is>
          <t>Dra. Carolina Mendes</t>
        </is>
      </c>
      <c r="D865" s="35" t="inlineStr">
        <is>
          <t>Sala 1</t>
        </is>
      </c>
      <c r="E865" s="34" t="inlineStr">
        <is>
          <t>Marcelo Santos</t>
        </is>
      </c>
      <c r="F865" s="35" t="inlineStr">
        <is>
          <t>Particular</t>
        </is>
      </c>
      <c r="G865" s="35" t="inlineStr">
        <is>
          <t>Consulta</t>
        </is>
      </c>
      <c r="H865" s="35" t="inlineStr">
        <is>
          <t>Realizado</t>
        </is>
      </c>
      <c r="I865" s="35" t="inlineStr">
        <is>
          <t>Cartão de crédito</t>
        </is>
      </c>
      <c r="J865" s="35" t="n"/>
      <c r="K865" s="34" t="n"/>
      <c r="L865" s="26">
        <f>IF(A865="","",MONTH(A865))</f>
        <v>8</v>
      </c>
      <c r="M865" s="26">
        <f>IF(A865="","",YEAR(A865))</f>
        <v>2026</v>
      </c>
      <c r="N865" s="26" t="str">
        <f>IF(A865="","",CHOOSE(WEEKDAY(A865,2),"Segunda","Terça","Quarta","Quinta","Sexta","Sábado","Domingo"))</f>
        <v>Quinta</v>
      </c>
      <c r="O865" s="26" t="str">
        <f>IF(B865="","",IF(B865&lt;TIME(12,0,0),"Manhã",IF(B865&lt;TIME(18,0,0),"Tarde","Noite")))</f>
        <v>Manhã</v>
      </c>
      <c r="P865" s="32">
        <f>IF(G865="","",IFERROR(INDEX(Config!$I$5:$I$16,MATCH(G865,Config!$H$5:$H$16,0)),0))</f>
        <v>30</v>
      </c>
      <c r="Q865" s="30">
        <f>IF(OR(H865&lt;&gt;"Realizado",P865="",P865=0),"",A865+P865)</f>
        <v>46291.0</v>
      </c>
      <c r="R865" s="26" t="str">
        <f>IF(Q865="","",IF(COUNTIFS($E$5:$E$3004,E865,$A$5:$A$3004,"&gt;"&amp;A865,$H$5:$H$3004,"&lt;&gt;Falta",$H$5:$H$3004,"&lt;&gt;Cancelado",$H$5:$H$3004,"&lt;&gt;Remarcado")&gt;0,"Sim","Não"))</f>
        <v>Sim</v>
      </c>
      <c r="S865" s="32">
        <f>IF(R865&lt;&gt;"Não","",IF(Q865+Config!$B$9&lt;=Config!$B$8,Config!$B$8-Q865,""))</f>
        <v/>
      </c>
      <c r="T865" s="26">
        <f>IF(S865="","","Sim")</f>
        <v/>
      </c>
      <c r="U865" s="41">
        <f>IF(T865="Sim",S865+ROW()/100000,0)</f>
        <v>0</v>
      </c>
      <c r="V865" s="41">
        <f>IF(AND(H865="Falta",L865=Config!$B$7,M865=Config!$B$5,COUNTIFS($E$5:E865,E865,$H$5:H865,"Falta",$L$5:L865,Config!$B$7,$M$5:M865,Config!$B$5)=1),COUNTIFS($E$5:$E$3004,E865,$H$5:$H$3004,"Falta",$L$5:$L$3004,Config!$B$7,$M$5:$M$3004,Config!$B$5)*1000-ROW()/100000,0)</f>
        <v>0</v>
      </c>
    </row>
    <row r="866">
      <c r="A866" s="39" t="n">
        <v>46261</v>
      </c>
      <c r="B866" s="40" t="n">
        <v>0.4097222222222222</v>
      </c>
      <c r="C866" s="35" t="inlineStr">
        <is>
          <t>Dra. Carolina Mendes</t>
        </is>
      </c>
      <c r="D866" s="35" t="inlineStr">
        <is>
          <t>Sala 1</t>
        </is>
      </c>
      <c r="E866" s="34" t="inlineStr">
        <is>
          <t>Roberta Fernandes</t>
        </is>
      </c>
      <c r="F866" s="35" t="inlineStr">
        <is>
          <t>Saúde Total</t>
        </is>
      </c>
      <c r="G866" s="35" t="inlineStr">
        <is>
          <t>Consulta</t>
        </is>
      </c>
      <c r="H866" s="35" t="inlineStr">
        <is>
          <t>Realizado</t>
        </is>
      </c>
      <c r="I866" s="35" t="inlineStr">
        <is>
          <t>Convênio</t>
        </is>
      </c>
      <c r="J866" s="35" t="n"/>
      <c r="K866" s="34" t="n"/>
      <c r="L866" s="26">
        <f>IF(A866="","",MONTH(A866))</f>
        <v>8</v>
      </c>
      <c r="M866" s="26">
        <f>IF(A866="","",YEAR(A866))</f>
        <v>2026</v>
      </c>
      <c r="N866" s="26" t="str">
        <f>IF(A866="","",CHOOSE(WEEKDAY(A866,2),"Segunda","Terça","Quarta","Quinta","Sexta","Sábado","Domingo"))</f>
        <v>Quinta</v>
      </c>
      <c r="O866" s="26" t="str">
        <f>IF(B866="","",IF(B866&lt;TIME(12,0,0),"Manhã",IF(B866&lt;TIME(18,0,0),"Tarde","Noite")))</f>
        <v>Manhã</v>
      </c>
      <c r="P866" s="32">
        <f>IF(G866="","",IFERROR(INDEX(Config!$I$5:$I$16,MATCH(G866,Config!$H$5:$H$16,0)),0))</f>
        <v>30</v>
      </c>
      <c r="Q866" s="30">
        <f>IF(OR(H866&lt;&gt;"Realizado",P866="",P866=0),"",A866+P866)</f>
        <v>46291.0</v>
      </c>
      <c r="R866" s="26" t="str">
        <f>IF(Q866="","",IF(COUNTIFS($E$5:$E$3004,E866,$A$5:$A$3004,"&gt;"&amp;A866,$H$5:$H$3004,"&lt;&gt;Falta",$H$5:$H$3004,"&lt;&gt;Cancelado",$H$5:$H$3004,"&lt;&gt;Remarcado")&gt;0,"Sim","Não"))</f>
        <v>Sim</v>
      </c>
      <c r="S866" s="32">
        <f>IF(R866&lt;&gt;"Não","",IF(Q866+Config!$B$9&lt;=Config!$B$8,Config!$B$8-Q866,""))</f>
        <v/>
      </c>
      <c r="T866" s="26">
        <f>IF(S866="","","Sim")</f>
        <v/>
      </c>
      <c r="U866" s="41">
        <f>IF(T866="Sim",S866+ROW()/100000,0)</f>
        <v>0</v>
      </c>
      <c r="V866" s="41">
        <f>IF(AND(H866="Falta",L866=Config!$B$7,M866=Config!$B$5,COUNTIFS($E$5:E866,E866,$H$5:H866,"Falta",$L$5:L866,Config!$B$7,$M$5:M866,Config!$B$5)=1),COUNTIFS($E$5:$E$3004,E866,$H$5:$H$3004,"Falta",$L$5:$L$3004,Config!$B$7,$M$5:$M$3004,Config!$B$5)*1000-ROW()/100000,0)</f>
        <v>0</v>
      </c>
    </row>
    <row r="867">
      <c r="A867" s="39" t="n">
        <v>46261</v>
      </c>
      <c r="B867" s="40" t="n">
        <v>0.4305555555555556</v>
      </c>
      <c r="C867" s="35" t="inlineStr">
        <is>
          <t>Dra. Carolina Mendes</t>
        </is>
      </c>
      <c r="D867" s="35" t="inlineStr">
        <is>
          <t>Sala 1</t>
        </is>
      </c>
      <c r="E867" s="34" t="inlineStr">
        <is>
          <t>Elaine Cardoso</t>
        </is>
      </c>
      <c r="F867" s="35" t="inlineStr">
        <is>
          <t>Particular</t>
        </is>
      </c>
      <c r="G867" s="35" t="inlineStr">
        <is>
          <t>Consulta</t>
        </is>
      </c>
      <c r="H867" s="35" t="inlineStr">
        <is>
          <t>Remarcado</t>
        </is>
      </c>
      <c r="I867" s="35" t="n"/>
      <c r="J867" s="35" t="n"/>
      <c r="K867" s="34" t="inlineStr">
        <is>
          <t>Paciente pediu outra data</t>
        </is>
      </c>
      <c r="L867" s="26">
        <f>IF(A867="","",MONTH(A867))</f>
        <v>8</v>
      </c>
      <c r="M867" s="26">
        <f>IF(A867="","",YEAR(A867))</f>
        <v>2026</v>
      </c>
      <c r="N867" s="26" t="str">
        <f>IF(A867="","",CHOOSE(WEEKDAY(A867,2),"Segunda","Terça","Quarta","Quinta","Sexta","Sábado","Domingo"))</f>
        <v>Quinta</v>
      </c>
      <c r="O867" s="26" t="str">
        <f>IF(B867="","",IF(B867&lt;TIME(12,0,0),"Manhã",IF(B867&lt;TIME(18,0,0),"Tarde","Noite")))</f>
        <v>Manhã</v>
      </c>
      <c r="P867" s="32">
        <f>IF(G867="","",IFERROR(INDEX(Config!$I$5:$I$16,MATCH(G867,Config!$H$5:$H$16,0)),0))</f>
        <v>30</v>
      </c>
      <c r="Q867" s="30">
        <f>IF(OR(H867&lt;&gt;"Realizado",P867="",P867=0),"",A867+P867)</f>
        <v/>
      </c>
      <c r="R867" s="26">
        <f>IF(Q867="","",IF(COUNTIFS($E$5:$E$3004,E867,$A$5:$A$3004,"&gt;"&amp;A867,$H$5:$H$3004,"&lt;&gt;Falta",$H$5:$H$3004,"&lt;&gt;Cancelado",$H$5:$H$3004,"&lt;&gt;Remarcado")&gt;0,"Sim","Não"))</f>
        <v/>
      </c>
      <c r="S867" s="32">
        <f>IF(R867&lt;&gt;"Não","",IF(Q867+Config!$B$9&lt;=Config!$B$8,Config!$B$8-Q867,""))</f>
        <v/>
      </c>
      <c r="T867" s="26">
        <f>IF(S867="","","Sim")</f>
        <v/>
      </c>
      <c r="U867" s="41">
        <f>IF(T867="Sim",S867+ROW()/100000,0)</f>
        <v>0</v>
      </c>
      <c r="V867" s="41">
        <f>IF(AND(H867="Falta",L867=Config!$B$7,M867=Config!$B$5,COUNTIFS($E$5:E867,E867,$H$5:H867,"Falta",$L$5:L867,Config!$B$7,$M$5:M867,Config!$B$5)=1),COUNTIFS($E$5:$E$3004,E867,$H$5:$H$3004,"Falta",$L$5:$L$3004,Config!$B$7,$M$5:$M$3004,Config!$B$5)*1000-ROW()/100000,0)</f>
        <v>0</v>
      </c>
    </row>
    <row r="868">
      <c r="A868" s="39" t="n">
        <v>46261</v>
      </c>
      <c r="B868" s="40" t="n">
        <v>0.4513888888888889</v>
      </c>
      <c r="C868" s="35" t="inlineStr">
        <is>
          <t>Dra. Carolina Mendes</t>
        </is>
      </c>
      <c r="D868" s="35" t="inlineStr">
        <is>
          <t>Sala 1</t>
        </is>
      </c>
      <c r="E868" s="34" t="inlineStr">
        <is>
          <t>Otávio Cardoso</t>
        </is>
      </c>
      <c r="F868" s="35" t="inlineStr">
        <is>
          <t>Particular</t>
        </is>
      </c>
      <c r="G868" s="35" t="inlineStr">
        <is>
          <t>Retorno</t>
        </is>
      </c>
      <c r="H868" s="35" t="inlineStr">
        <is>
          <t>Realizado</t>
        </is>
      </c>
      <c r="I868" s="35" t="inlineStr">
        <is>
          <t>Sem cobrança</t>
        </is>
      </c>
      <c r="J868" s="35" t="n"/>
      <c r="K868" s="34" t="n"/>
      <c r="L868" s="26">
        <f>IF(A868="","",MONTH(A868))</f>
        <v>8</v>
      </c>
      <c r="M868" s="26">
        <f>IF(A868="","",YEAR(A868))</f>
        <v>2026</v>
      </c>
      <c r="N868" s="26" t="str">
        <f>IF(A868="","",CHOOSE(WEEKDAY(A868,2),"Segunda","Terça","Quarta","Quinta","Sexta","Sábado","Domingo"))</f>
        <v>Quinta</v>
      </c>
      <c r="O868" s="26" t="str">
        <f>IF(B868="","",IF(B868&lt;TIME(12,0,0),"Manhã",IF(B868&lt;TIME(18,0,0),"Tarde","Noite")))</f>
        <v>Manhã</v>
      </c>
      <c r="P868" s="32">
        <f>IF(G868="","",IFERROR(INDEX(Config!$I$5:$I$16,MATCH(G868,Config!$H$5:$H$16,0)),0))</f>
        <v>0</v>
      </c>
      <c r="Q868" s="30">
        <f>IF(OR(H868&lt;&gt;"Realizado",P868="",P868=0),"",A868+P868)</f>
        <v/>
      </c>
      <c r="R868" s="26">
        <f>IF(Q868="","",IF(COUNTIFS($E$5:$E$3004,E868,$A$5:$A$3004,"&gt;"&amp;A868,$H$5:$H$3004,"&lt;&gt;Falta",$H$5:$H$3004,"&lt;&gt;Cancelado",$H$5:$H$3004,"&lt;&gt;Remarcado")&gt;0,"Sim","Não"))</f>
        <v/>
      </c>
      <c r="S868" s="32">
        <f>IF(R868&lt;&gt;"Não","",IF(Q868+Config!$B$9&lt;=Config!$B$8,Config!$B$8-Q868,""))</f>
        <v/>
      </c>
      <c r="T868" s="26">
        <f>IF(S868="","","Sim")</f>
        <v/>
      </c>
      <c r="U868" s="41">
        <f>IF(T868="Sim",S868+ROW()/100000,0)</f>
        <v>0</v>
      </c>
      <c r="V868" s="41">
        <f>IF(AND(H868="Falta",L868=Config!$B$7,M868=Config!$B$5,COUNTIFS($E$5:E868,E868,$H$5:H868,"Falta",$L$5:L868,Config!$B$7,$M$5:M868,Config!$B$5)=1),COUNTIFS($E$5:$E$3004,E868,$H$5:$H$3004,"Falta",$L$5:$L$3004,Config!$B$7,$M$5:$M$3004,Config!$B$5)*1000-ROW()/100000,0)</f>
        <v>0</v>
      </c>
    </row>
    <row r="869">
      <c r="A869" s="39" t="n">
        <v>46261</v>
      </c>
      <c r="B869" s="40" t="n">
        <v>0.4652777777777778</v>
      </c>
      <c r="C869" s="35" t="inlineStr">
        <is>
          <t>Dra. Carolina Mendes</t>
        </is>
      </c>
      <c r="D869" s="35" t="inlineStr">
        <is>
          <t>Sala 1</t>
        </is>
      </c>
      <c r="E869" s="34" t="inlineStr">
        <is>
          <t>Gisele Ribeiro</t>
        </is>
      </c>
      <c r="F869" s="35" t="inlineStr">
        <is>
          <t>Particular</t>
        </is>
      </c>
      <c r="G869" s="35" t="inlineStr">
        <is>
          <t>Consulta</t>
        </is>
      </c>
      <c r="H869" s="35" t="inlineStr">
        <is>
          <t>Realizado</t>
        </is>
      </c>
      <c r="I869" s="35" t="inlineStr">
        <is>
          <t>A prazo</t>
        </is>
      </c>
      <c r="J869" s="35" t="n"/>
      <c r="K869" s="34" t="n"/>
      <c r="L869" s="26">
        <f>IF(A869="","",MONTH(A869))</f>
        <v>8</v>
      </c>
      <c r="M869" s="26">
        <f>IF(A869="","",YEAR(A869))</f>
        <v>2026</v>
      </c>
      <c r="N869" s="26" t="str">
        <f>IF(A869="","",CHOOSE(WEEKDAY(A869,2),"Segunda","Terça","Quarta","Quinta","Sexta","Sábado","Domingo"))</f>
        <v>Quinta</v>
      </c>
      <c r="O869" s="26" t="str">
        <f>IF(B869="","",IF(B869&lt;TIME(12,0,0),"Manhã",IF(B869&lt;TIME(18,0,0),"Tarde","Noite")))</f>
        <v>Manhã</v>
      </c>
      <c r="P869" s="32">
        <f>IF(G869="","",IFERROR(INDEX(Config!$I$5:$I$16,MATCH(G869,Config!$H$5:$H$16,0)),0))</f>
        <v>30</v>
      </c>
      <c r="Q869" s="30">
        <f>IF(OR(H869&lt;&gt;"Realizado",P869="",P869=0),"",A869+P869)</f>
        <v>46291.0</v>
      </c>
      <c r="R869" s="26" t="str">
        <f>IF(Q869="","",IF(COUNTIFS($E$5:$E$3004,E869,$A$5:$A$3004,"&gt;"&amp;A869,$H$5:$H$3004,"&lt;&gt;Falta",$H$5:$H$3004,"&lt;&gt;Cancelado",$H$5:$H$3004,"&lt;&gt;Remarcado")&gt;0,"Sim","Não"))</f>
        <v>Sim</v>
      </c>
      <c r="S869" s="32">
        <f>IF(R869&lt;&gt;"Não","",IF(Q869+Config!$B$9&lt;=Config!$B$8,Config!$B$8-Q869,""))</f>
        <v/>
      </c>
      <c r="T869" s="26">
        <f>IF(S869="","","Sim")</f>
        <v/>
      </c>
      <c r="U869" s="41">
        <f>IF(T869="Sim",S869+ROW()/100000,0)</f>
        <v>0</v>
      </c>
      <c r="V869" s="41">
        <f>IF(AND(H869="Falta",L869=Config!$B$7,M869=Config!$B$5,COUNTIFS($E$5:E869,E869,$H$5:H869,"Falta",$L$5:L869,Config!$B$7,$M$5:M869,Config!$B$5)=1),COUNTIFS($E$5:$E$3004,E869,$H$5:$H$3004,"Falta",$L$5:$L$3004,Config!$B$7,$M$5:$M$3004,Config!$B$5)*1000-ROW()/100000,0)</f>
        <v>0</v>
      </c>
    </row>
    <row r="870">
      <c r="A870" s="39" t="n">
        <v>46261</v>
      </c>
      <c r="B870" s="40" t="n">
        <v>0.4861111111111111</v>
      </c>
      <c r="C870" s="35" t="inlineStr">
        <is>
          <t>Dra. Carolina Mendes</t>
        </is>
      </c>
      <c r="D870" s="35" t="inlineStr">
        <is>
          <t>Sala 1</t>
        </is>
      </c>
      <c r="E870" s="34" t="inlineStr">
        <is>
          <t>Eduardo Lima</t>
        </is>
      </c>
      <c r="F870" s="35" t="inlineStr">
        <is>
          <t>Particular</t>
        </is>
      </c>
      <c r="G870" s="35" t="inlineStr">
        <is>
          <t>Retorno</t>
        </is>
      </c>
      <c r="H870" s="35" t="inlineStr">
        <is>
          <t>Falta</t>
        </is>
      </c>
      <c r="I870" s="35" t="n"/>
      <c r="J870" s="35" t="n"/>
      <c r="K870" s="34" t="n"/>
      <c r="L870" s="26">
        <f>IF(A870="","",MONTH(A870))</f>
        <v>8</v>
      </c>
      <c r="M870" s="26">
        <f>IF(A870="","",YEAR(A870))</f>
        <v>2026</v>
      </c>
      <c r="N870" s="26" t="str">
        <f>IF(A870="","",CHOOSE(WEEKDAY(A870,2),"Segunda","Terça","Quarta","Quinta","Sexta","Sábado","Domingo"))</f>
        <v>Quinta</v>
      </c>
      <c r="O870" s="26" t="str">
        <f>IF(B870="","",IF(B870&lt;TIME(12,0,0),"Manhã",IF(B870&lt;TIME(18,0,0),"Tarde","Noite")))</f>
        <v>Manhã</v>
      </c>
      <c r="P870" s="32">
        <f>IF(G870="","",IFERROR(INDEX(Config!$I$5:$I$16,MATCH(G870,Config!$H$5:$H$16,0)),0))</f>
        <v>0</v>
      </c>
      <c r="Q870" s="30">
        <f>IF(OR(H870&lt;&gt;"Realizado",P870="",P870=0),"",A870+P870)</f>
        <v/>
      </c>
      <c r="R870" s="26">
        <f>IF(Q870="","",IF(COUNTIFS($E$5:$E$3004,E870,$A$5:$A$3004,"&gt;"&amp;A870,$H$5:$H$3004,"&lt;&gt;Falta",$H$5:$H$3004,"&lt;&gt;Cancelado",$H$5:$H$3004,"&lt;&gt;Remarcado")&gt;0,"Sim","Não"))</f>
        <v/>
      </c>
      <c r="S870" s="32">
        <f>IF(R870&lt;&gt;"Não","",IF(Q870+Config!$B$9&lt;=Config!$B$8,Config!$B$8-Q870,""))</f>
        <v/>
      </c>
      <c r="T870" s="26">
        <f>IF(S870="","","Sim")</f>
        <v/>
      </c>
      <c r="U870" s="41">
        <f>IF(T870="Sim",S870+ROW()/100000,0)</f>
        <v>0</v>
      </c>
      <c r="V870" s="41">
        <f>IF(AND(H870="Falta",L870=Config!$B$7,M870=Config!$B$5,COUNTIFS($E$5:E870,E870,$H$5:H870,"Falta",$L$5:L870,Config!$B$7,$M$5:M870,Config!$B$5)=1),COUNTIFS($E$5:$E$3004,E870,$H$5:$H$3004,"Falta",$L$5:$L$3004,Config!$B$7,$M$5:$M$3004,Config!$B$5)*1000-ROW()/100000,0)</f>
        <v>0</v>
      </c>
    </row>
    <row r="871">
      <c r="A871" s="39" t="n">
        <v>46261</v>
      </c>
      <c r="B871" s="40" t="n">
        <v>0.5833333333333334</v>
      </c>
      <c r="C871" s="35" t="inlineStr">
        <is>
          <t>Dra. Renata Sousa</t>
        </is>
      </c>
      <c r="D871" s="35" t="inlineStr">
        <is>
          <t>Sala 1</t>
        </is>
      </c>
      <c r="E871" s="34" t="inlineStr">
        <is>
          <t>Priscila Reis</t>
        </is>
      </c>
      <c r="F871" s="35" t="inlineStr">
        <is>
          <t>Particular</t>
        </is>
      </c>
      <c r="G871" s="35" t="inlineStr">
        <is>
          <t>Retorno</t>
        </is>
      </c>
      <c r="H871" s="35" t="inlineStr">
        <is>
          <t>Cancelado</t>
        </is>
      </c>
      <c r="I871" s="35" t="n"/>
      <c r="J871" s="35" t="n"/>
      <c r="K871" s="34" t="n"/>
      <c r="L871" s="26">
        <f>IF(A871="","",MONTH(A871))</f>
        <v>8</v>
      </c>
      <c r="M871" s="26">
        <f>IF(A871="","",YEAR(A871))</f>
        <v>2026</v>
      </c>
      <c r="N871" s="26" t="str">
        <f>IF(A871="","",CHOOSE(WEEKDAY(A871,2),"Segunda","Terça","Quarta","Quinta","Sexta","Sábado","Domingo"))</f>
        <v>Quinta</v>
      </c>
      <c r="O871" s="26" t="str">
        <f>IF(B871="","",IF(B871&lt;TIME(12,0,0),"Manhã",IF(B871&lt;TIME(18,0,0),"Tarde","Noite")))</f>
        <v>Tarde</v>
      </c>
      <c r="P871" s="32">
        <f>IF(G871="","",IFERROR(INDEX(Config!$I$5:$I$16,MATCH(G871,Config!$H$5:$H$16,0)),0))</f>
        <v>0</v>
      </c>
      <c r="Q871" s="30">
        <f>IF(OR(H871&lt;&gt;"Realizado",P871="",P871=0),"",A871+P871)</f>
        <v/>
      </c>
      <c r="R871" s="26">
        <f>IF(Q871="","",IF(COUNTIFS($E$5:$E$3004,E871,$A$5:$A$3004,"&gt;"&amp;A871,$H$5:$H$3004,"&lt;&gt;Falta",$H$5:$H$3004,"&lt;&gt;Cancelado",$H$5:$H$3004,"&lt;&gt;Remarcado")&gt;0,"Sim","Não"))</f>
        <v/>
      </c>
      <c r="S871" s="32">
        <f>IF(R871&lt;&gt;"Não","",IF(Q871+Config!$B$9&lt;=Config!$B$8,Config!$B$8-Q871,""))</f>
        <v/>
      </c>
      <c r="T871" s="26">
        <f>IF(S871="","","Sim")</f>
        <v/>
      </c>
      <c r="U871" s="41">
        <f>IF(T871="Sim",S871+ROW()/100000,0)</f>
        <v>0</v>
      </c>
      <c r="V871" s="41">
        <f>IF(AND(H871="Falta",L871=Config!$B$7,M871=Config!$B$5,COUNTIFS($E$5:E871,E871,$H$5:H871,"Falta",$L$5:L871,Config!$B$7,$M$5:M871,Config!$B$5)=1),COUNTIFS($E$5:$E$3004,E871,$H$5:$H$3004,"Falta",$L$5:$L$3004,Config!$B$7,$M$5:$M$3004,Config!$B$5)*1000-ROW()/100000,0)</f>
        <v>0</v>
      </c>
    </row>
    <row r="872">
      <c r="A872" s="39" t="n">
        <v>46261</v>
      </c>
      <c r="B872" s="40" t="n">
        <v>0.5833333333333334</v>
      </c>
      <c r="C872" s="35" t="inlineStr">
        <is>
          <t>Dr. Paulo Andrade</t>
        </is>
      </c>
      <c r="D872" s="35" t="inlineStr">
        <is>
          <t>Sala 2</t>
        </is>
      </c>
      <c r="E872" s="34" t="inlineStr">
        <is>
          <t>Regina Castro</t>
        </is>
      </c>
      <c r="F872" s="35" t="inlineStr">
        <is>
          <t>Vida Care</t>
        </is>
      </c>
      <c r="G872" s="35" t="inlineStr">
        <is>
          <t>MAPA</t>
        </is>
      </c>
      <c r="H872" s="35" t="inlineStr">
        <is>
          <t>Realizado</t>
        </is>
      </c>
      <c r="I872" s="35" t="inlineStr">
        <is>
          <t>Convênio</t>
        </is>
      </c>
      <c r="J872" s="35" t="n"/>
      <c r="K872" s="34" t="n"/>
      <c r="L872" s="26">
        <f>IF(A872="","",MONTH(A872))</f>
        <v>8</v>
      </c>
      <c r="M872" s="26">
        <f>IF(A872="","",YEAR(A872))</f>
        <v>2026</v>
      </c>
      <c r="N872" s="26" t="str">
        <f>IF(A872="","",CHOOSE(WEEKDAY(A872,2),"Segunda","Terça","Quarta","Quinta","Sexta","Sábado","Domingo"))</f>
        <v>Quinta</v>
      </c>
      <c r="O872" s="26" t="str">
        <f>IF(B872="","",IF(B872&lt;TIME(12,0,0),"Manhã",IF(B872&lt;TIME(18,0,0),"Tarde","Noite")))</f>
        <v>Tarde</v>
      </c>
      <c r="P872" s="32">
        <f>IF(G872="","",IFERROR(INDEX(Config!$I$5:$I$16,MATCH(G872,Config!$H$5:$H$16,0)),0))</f>
        <v>0</v>
      </c>
      <c r="Q872" s="30">
        <f>IF(OR(H872&lt;&gt;"Realizado",P872="",P872=0),"",A872+P872)</f>
        <v/>
      </c>
      <c r="R872" s="26">
        <f>IF(Q872="","",IF(COUNTIFS($E$5:$E$3004,E872,$A$5:$A$3004,"&gt;"&amp;A872,$H$5:$H$3004,"&lt;&gt;Falta",$H$5:$H$3004,"&lt;&gt;Cancelado",$H$5:$H$3004,"&lt;&gt;Remarcado")&gt;0,"Sim","Não"))</f>
        <v/>
      </c>
      <c r="S872" s="32">
        <f>IF(R872&lt;&gt;"Não","",IF(Q872+Config!$B$9&lt;=Config!$B$8,Config!$B$8-Q872,""))</f>
        <v/>
      </c>
      <c r="T872" s="26">
        <f>IF(S872="","","Sim")</f>
        <v/>
      </c>
      <c r="U872" s="41">
        <f>IF(T872="Sim",S872+ROW()/100000,0)</f>
        <v>0</v>
      </c>
      <c r="V872" s="41">
        <f>IF(AND(H872="Falta",L872=Config!$B$7,M872=Config!$B$5,COUNTIFS($E$5:E872,E872,$H$5:H872,"Falta",$L$5:L872,Config!$B$7,$M$5:M872,Config!$B$5)=1),COUNTIFS($E$5:$E$3004,E872,$H$5:$H$3004,"Falta",$L$5:$L$3004,Config!$B$7,$M$5:$M$3004,Config!$B$5)*1000-ROW()/100000,0)</f>
        <v>0</v>
      </c>
    </row>
    <row r="873">
      <c r="A873" s="39" t="n">
        <v>46261</v>
      </c>
      <c r="B873" s="40" t="n">
        <v>0.5972222222222222</v>
      </c>
      <c r="C873" s="35" t="inlineStr">
        <is>
          <t>Dra. Renata Sousa</t>
        </is>
      </c>
      <c r="D873" s="35" t="inlineStr">
        <is>
          <t>Sala 1</t>
        </is>
      </c>
      <c r="E873" s="34" t="inlineStr">
        <is>
          <t>Priscila Reis</t>
        </is>
      </c>
      <c r="F873" s="35" t="inlineStr">
        <is>
          <t>Particular</t>
        </is>
      </c>
      <c r="G873" s="35" t="inlineStr">
        <is>
          <t>Avaliação endócrina</t>
        </is>
      </c>
      <c r="H873" s="35" t="inlineStr">
        <is>
          <t>Realizado</t>
        </is>
      </c>
      <c r="I873" s="35" t="inlineStr">
        <is>
          <t>Cartão de débito</t>
        </is>
      </c>
      <c r="J873" s="35" t="n"/>
      <c r="K873" s="34" t="n"/>
      <c r="L873" s="26">
        <f>IF(A873="","",MONTH(A873))</f>
        <v>8</v>
      </c>
      <c r="M873" s="26">
        <f>IF(A873="","",YEAR(A873))</f>
        <v>2026</v>
      </c>
      <c r="N873" s="26" t="str">
        <f>IF(A873="","",CHOOSE(WEEKDAY(A873,2),"Segunda","Terça","Quarta","Quinta","Sexta","Sábado","Domingo"))</f>
        <v>Quinta</v>
      </c>
      <c r="O873" s="26" t="str">
        <f>IF(B873="","",IF(B873&lt;TIME(12,0,0),"Manhã",IF(B873&lt;TIME(18,0,0),"Tarde","Noite")))</f>
        <v>Tarde</v>
      </c>
      <c r="P873" s="32">
        <f>IF(G873="","",IFERROR(INDEX(Config!$I$5:$I$16,MATCH(G873,Config!$H$5:$H$16,0)),0))</f>
        <v>45</v>
      </c>
      <c r="Q873" s="30">
        <f>IF(OR(H873&lt;&gt;"Realizado",P873="",P873=0),"",A873+P873)</f>
        <v>46306.0</v>
      </c>
      <c r="R873" s="26" t="str">
        <f>IF(Q873="","",IF(COUNTIFS($E$5:$E$3004,E873,$A$5:$A$3004,"&gt;"&amp;A873,$H$5:$H$3004,"&lt;&gt;Falta",$H$5:$H$3004,"&lt;&gt;Cancelado",$H$5:$H$3004,"&lt;&gt;Remarcado")&gt;0,"Sim","Não"))</f>
        <v>Sim</v>
      </c>
      <c r="S873" s="32">
        <f>IF(R873&lt;&gt;"Não","",IF(Q873+Config!$B$9&lt;=Config!$B$8,Config!$B$8-Q873,""))</f>
        <v/>
      </c>
      <c r="T873" s="26">
        <f>IF(S873="","","Sim")</f>
        <v/>
      </c>
      <c r="U873" s="41">
        <f>IF(T873="Sim",S873+ROW()/100000,0)</f>
        <v>0</v>
      </c>
      <c r="V873" s="41">
        <f>IF(AND(H873="Falta",L873=Config!$B$7,M873=Config!$B$5,COUNTIFS($E$5:E873,E873,$H$5:H873,"Falta",$L$5:L873,Config!$B$7,$M$5:M873,Config!$B$5)=1),COUNTIFS($E$5:$E$3004,E873,$H$5:$H$3004,"Falta",$L$5:$L$3004,Config!$B$7,$M$5:$M$3004,Config!$B$5)*1000-ROW()/100000,0)</f>
        <v>0</v>
      </c>
    </row>
    <row r="874">
      <c r="A874" s="39" t="n">
        <v>46261</v>
      </c>
      <c r="B874" s="40" t="n">
        <v>0.5972222222222222</v>
      </c>
      <c r="C874" s="35" t="inlineStr">
        <is>
          <t>Dr. Paulo Andrade</t>
        </is>
      </c>
      <c r="D874" s="35" t="inlineStr">
        <is>
          <t>Sala 2</t>
        </is>
      </c>
      <c r="E874" s="34" t="inlineStr">
        <is>
          <t>Thiago Duarte</t>
        </is>
      </c>
      <c r="F874" s="35" t="inlineStr">
        <is>
          <t>Saúde Total</t>
        </is>
      </c>
      <c r="G874" s="35" t="inlineStr">
        <is>
          <t>ECG</t>
        </is>
      </c>
      <c r="H874" s="35" t="inlineStr">
        <is>
          <t>Realizado</t>
        </is>
      </c>
      <c r="I874" s="35" t="inlineStr">
        <is>
          <t>Convênio</t>
        </is>
      </c>
      <c r="J874" s="35" t="n"/>
      <c r="K874" s="34" t="n"/>
      <c r="L874" s="26">
        <f>IF(A874="","",MONTH(A874))</f>
        <v>8</v>
      </c>
      <c r="M874" s="26">
        <f>IF(A874="","",YEAR(A874))</f>
        <v>2026</v>
      </c>
      <c r="N874" s="26" t="str">
        <f>IF(A874="","",CHOOSE(WEEKDAY(A874,2),"Segunda","Terça","Quarta","Quinta","Sexta","Sábado","Domingo"))</f>
        <v>Quinta</v>
      </c>
      <c r="O874" s="26" t="str">
        <f>IF(B874="","",IF(B874&lt;TIME(12,0,0),"Manhã",IF(B874&lt;TIME(18,0,0),"Tarde","Noite")))</f>
        <v>Tarde</v>
      </c>
      <c r="P874" s="32">
        <f>IF(G874="","",IFERROR(INDEX(Config!$I$5:$I$16,MATCH(G874,Config!$H$5:$H$16,0)),0))</f>
        <v>0</v>
      </c>
      <c r="Q874" s="30">
        <f>IF(OR(H874&lt;&gt;"Realizado",P874="",P874=0),"",A874+P874)</f>
        <v/>
      </c>
      <c r="R874" s="26">
        <f>IF(Q874="","",IF(COUNTIFS($E$5:$E$3004,E874,$A$5:$A$3004,"&gt;"&amp;A874,$H$5:$H$3004,"&lt;&gt;Falta",$H$5:$H$3004,"&lt;&gt;Cancelado",$H$5:$H$3004,"&lt;&gt;Remarcado")&gt;0,"Sim","Não"))</f>
        <v/>
      </c>
      <c r="S874" s="32">
        <f>IF(R874&lt;&gt;"Não","",IF(Q874+Config!$B$9&lt;=Config!$B$8,Config!$B$8-Q874,""))</f>
        <v/>
      </c>
      <c r="T874" s="26">
        <f>IF(S874="","","Sim")</f>
        <v/>
      </c>
      <c r="U874" s="41">
        <f>IF(T874="Sim",S874+ROW()/100000,0)</f>
        <v>0</v>
      </c>
      <c r="V874" s="41">
        <f>IF(AND(H874="Falta",L874=Config!$B$7,M874=Config!$B$5,COUNTIFS($E$5:E874,E874,$H$5:H874,"Falta",$L$5:L874,Config!$B$7,$M$5:M874,Config!$B$5)=1),COUNTIFS($E$5:$E$3004,E874,$H$5:$H$3004,"Falta",$L$5:$L$3004,Config!$B$7,$M$5:$M$3004,Config!$B$5)*1000-ROW()/100000,0)</f>
        <v>0</v>
      </c>
    </row>
    <row r="875">
      <c r="A875" s="39" t="n">
        <v>46261</v>
      </c>
      <c r="B875" s="40" t="n">
        <v>0.6111111111111112</v>
      </c>
      <c r="C875" s="35" t="inlineStr">
        <is>
          <t>Dr. Paulo Andrade</t>
        </is>
      </c>
      <c r="D875" s="35" t="inlineStr">
        <is>
          <t>Sala 2</t>
        </is>
      </c>
      <c r="E875" s="34" t="inlineStr">
        <is>
          <t>Wagner Costa</t>
        </is>
      </c>
      <c r="F875" s="35" t="inlineStr">
        <is>
          <t>Particular</t>
        </is>
      </c>
      <c r="G875" s="35" t="inlineStr">
        <is>
          <t>MAPA</t>
        </is>
      </c>
      <c r="H875" s="35" t="inlineStr">
        <is>
          <t>Realizado</t>
        </is>
      </c>
      <c r="I875" s="35" t="inlineStr">
        <is>
          <t>Pix</t>
        </is>
      </c>
      <c r="J875" s="35" t="n"/>
      <c r="K875" s="34" t="n"/>
      <c r="L875" s="26">
        <f>IF(A875="","",MONTH(A875))</f>
        <v>8</v>
      </c>
      <c r="M875" s="26">
        <f>IF(A875="","",YEAR(A875))</f>
        <v>2026</v>
      </c>
      <c r="N875" s="26" t="str">
        <f>IF(A875="","",CHOOSE(WEEKDAY(A875,2),"Segunda","Terça","Quarta","Quinta","Sexta","Sábado","Domingo"))</f>
        <v>Quinta</v>
      </c>
      <c r="O875" s="26" t="str">
        <f>IF(B875="","",IF(B875&lt;TIME(12,0,0),"Manhã",IF(B875&lt;TIME(18,0,0),"Tarde","Noite")))</f>
        <v>Tarde</v>
      </c>
      <c r="P875" s="32">
        <f>IF(G875="","",IFERROR(INDEX(Config!$I$5:$I$16,MATCH(G875,Config!$H$5:$H$16,0)),0))</f>
        <v>0</v>
      </c>
      <c r="Q875" s="30">
        <f>IF(OR(H875&lt;&gt;"Realizado",P875="",P875=0),"",A875+P875)</f>
        <v/>
      </c>
      <c r="R875" s="26">
        <f>IF(Q875="","",IF(COUNTIFS($E$5:$E$3004,E875,$A$5:$A$3004,"&gt;"&amp;A875,$H$5:$H$3004,"&lt;&gt;Falta",$H$5:$H$3004,"&lt;&gt;Cancelado",$H$5:$H$3004,"&lt;&gt;Remarcado")&gt;0,"Sim","Não"))</f>
        <v/>
      </c>
      <c r="S875" s="32">
        <f>IF(R875&lt;&gt;"Não","",IF(Q875+Config!$B$9&lt;=Config!$B$8,Config!$B$8-Q875,""))</f>
        <v/>
      </c>
      <c r="T875" s="26">
        <f>IF(S875="","","Sim")</f>
        <v/>
      </c>
      <c r="U875" s="41">
        <f>IF(T875="Sim",S875+ROW()/100000,0)</f>
        <v>0</v>
      </c>
      <c r="V875" s="41">
        <f>IF(AND(H875="Falta",L875=Config!$B$7,M875=Config!$B$5,COUNTIFS($E$5:E875,E875,$H$5:H875,"Falta",$L$5:L875,Config!$B$7,$M$5:M875,Config!$B$5)=1),COUNTIFS($E$5:$E$3004,E875,$H$5:$H$3004,"Falta",$L$5:$L$3004,Config!$B$7,$M$5:$M$3004,Config!$B$5)*1000-ROW()/100000,0)</f>
        <v>0</v>
      </c>
    </row>
    <row r="876">
      <c r="A876" s="39" t="n">
        <v>46261</v>
      </c>
      <c r="B876" s="40" t="n">
        <v>0.625</v>
      </c>
      <c r="C876" s="35" t="inlineStr">
        <is>
          <t>Dr. Paulo Andrade</t>
        </is>
      </c>
      <c r="D876" s="35" t="inlineStr">
        <is>
          <t>Sala 2</t>
        </is>
      </c>
      <c r="E876" s="34" t="inlineStr">
        <is>
          <t>Renato Dias</t>
        </is>
      </c>
      <c r="F876" s="35" t="inlineStr">
        <is>
          <t>Particular</t>
        </is>
      </c>
      <c r="G876" s="35" t="inlineStr">
        <is>
          <t>Holter</t>
        </is>
      </c>
      <c r="H876" s="35" t="inlineStr">
        <is>
          <t>Realizado</t>
        </is>
      </c>
      <c r="I876" s="35" t="inlineStr">
        <is>
          <t>A prazo</t>
        </is>
      </c>
      <c r="J876" s="35" t="n"/>
      <c r="K876" s="34" t="n"/>
      <c r="L876" s="26">
        <f>IF(A876="","",MONTH(A876))</f>
        <v>8</v>
      </c>
      <c r="M876" s="26">
        <f>IF(A876="","",YEAR(A876))</f>
        <v>2026</v>
      </c>
      <c r="N876" s="26" t="str">
        <f>IF(A876="","",CHOOSE(WEEKDAY(A876,2),"Segunda","Terça","Quarta","Quinta","Sexta","Sábado","Domingo"))</f>
        <v>Quinta</v>
      </c>
      <c r="O876" s="26" t="str">
        <f>IF(B876="","",IF(B876&lt;TIME(12,0,0),"Manhã",IF(B876&lt;TIME(18,0,0),"Tarde","Noite")))</f>
        <v>Tarde</v>
      </c>
      <c r="P876" s="32">
        <f>IF(G876="","",IFERROR(INDEX(Config!$I$5:$I$16,MATCH(G876,Config!$H$5:$H$16,0)),0))</f>
        <v>0</v>
      </c>
      <c r="Q876" s="30">
        <f>IF(OR(H876&lt;&gt;"Realizado",P876="",P876=0),"",A876+P876)</f>
        <v/>
      </c>
      <c r="R876" s="26">
        <f>IF(Q876="","",IF(COUNTIFS($E$5:$E$3004,E876,$A$5:$A$3004,"&gt;"&amp;A876,$H$5:$H$3004,"&lt;&gt;Falta",$H$5:$H$3004,"&lt;&gt;Cancelado",$H$5:$H$3004,"&lt;&gt;Remarcado")&gt;0,"Sim","Não"))</f>
        <v/>
      </c>
      <c r="S876" s="32">
        <f>IF(R876&lt;&gt;"Não","",IF(Q876+Config!$B$9&lt;=Config!$B$8,Config!$B$8-Q876,""))</f>
        <v/>
      </c>
      <c r="T876" s="26">
        <f>IF(S876="","","Sim")</f>
        <v/>
      </c>
      <c r="U876" s="41">
        <f>IF(T876="Sim",S876+ROW()/100000,0)</f>
        <v>0</v>
      </c>
      <c r="V876" s="41">
        <f>IF(AND(H876="Falta",L876=Config!$B$7,M876=Config!$B$5,COUNTIFS($E$5:E876,E876,$H$5:H876,"Falta",$L$5:L876,Config!$B$7,$M$5:M876,Config!$B$5)=1),COUNTIFS($E$5:$E$3004,E876,$H$5:$H$3004,"Falta",$L$5:$L$3004,Config!$B$7,$M$5:$M$3004,Config!$B$5)*1000-ROW()/100000,0)</f>
        <v>0</v>
      </c>
    </row>
    <row r="877">
      <c r="A877" s="39" t="n">
        <v>46261</v>
      </c>
      <c r="B877" s="40" t="n">
        <v>0.6458333333333334</v>
      </c>
      <c r="C877" s="35" t="inlineStr">
        <is>
          <t>Dra. Renata Sousa</t>
        </is>
      </c>
      <c r="D877" s="35" t="inlineStr">
        <is>
          <t>Sala 1</t>
        </is>
      </c>
      <c r="E877" s="34" t="inlineStr">
        <is>
          <t>Tatiana Macedo</t>
        </is>
      </c>
      <c r="F877" s="35" t="inlineStr">
        <is>
          <t>Particular</t>
        </is>
      </c>
      <c r="G877" s="35" t="inlineStr">
        <is>
          <t>Avaliação endócrina</t>
        </is>
      </c>
      <c r="H877" s="35" t="inlineStr">
        <is>
          <t>Realizado</t>
        </is>
      </c>
      <c r="I877" s="35" t="inlineStr">
        <is>
          <t>Pix</t>
        </is>
      </c>
      <c r="J877" s="35" t="n"/>
      <c r="K877" s="34" t="n"/>
      <c r="L877" s="26">
        <f>IF(A877="","",MONTH(A877))</f>
        <v>8</v>
      </c>
      <c r="M877" s="26">
        <f>IF(A877="","",YEAR(A877))</f>
        <v>2026</v>
      </c>
      <c r="N877" s="26" t="str">
        <f>IF(A877="","",CHOOSE(WEEKDAY(A877,2),"Segunda","Terça","Quarta","Quinta","Sexta","Sábado","Domingo"))</f>
        <v>Quinta</v>
      </c>
      <c r="O877" s="26" t="str">
        <f>IF(B877="","",IF(B877&lt;TIME(12,0,0),"Manhã",IF(B877&lt;TIME(18,0,0),"Tarde","Noite")))</f>
        <v>Tarde</v>
      </c>
      <c r="P877" s="32">
        <f>IF(G877="","",IFERROR(INDEX(Config!$I$5:$I$16,MATCH(G877,Config!$H$5:$H$16,0)),0))</f>
        <v>45</v>
      </c>
      <c r="Q877" s="30">
        <f>IF(OR(H877&lt;&gt;"Realizado",P877="",P877=0),"",A877+P877)</f>
        <v>46306.0</v>
      </c>
      <c r="R877" s="26" t="str">
        <f>IF(Q877="","",IF(COUNTIFS($E$5:$E$3004,E877,$A$5:$A$3004,"&gt;"&amp;A877,$H$5:$H$3004,"&lt;&gt;Falta",$H$5:$H$3004,"&lt;&gt;Cancelado",$H$5:$H$3004,"&lt;&gt;Remarcado")&gt;0,"Sim","Não"))</f>
        <v>Sim</v>
      </c>
      <c r="S877" s="32">
        <f>IF(R877&lt;&gt;"Não","",IF(Q877+Config!$B$9&lt;=Config!$B$8,Config!$B$8-Q877,""))</f>
        <v/>
      </c>
      <c r="T877" s="26">
        <f>IF(S877="","","Sim")</f>
        <v/>
      </c>
      <c r="U877" s="41">
        <f>IF(T877="Sim",S877+ROW()/100000,0)</f>
        <v>0</v>
      </c>
      <c r="V877" s="41">
        <f>IF(AND(H877="Falta",L877=Config!$B$7,M877=Config!$B$5,COUNTIFS($E$5:E877,E877,$H$5:H877,"Falta",$L$5:L877,Config!$B$7,$M$5:M877,Config!$B$5)=1),COUNTIFS($E$5:$E$3004,E877,$H$5:$H$3004,"Falta",$L$5:$L$3004,Config!$B$7,$M$5:$M$3004,Config!$B$5)*1000-ROW()/100000,0)</f>
        <v>0</v>
      </c>
    </row>
    <row r="878">
      <c r="A878" s="39" t="n">
        <v>46261</v>
      </c>
      <c r="B878" s="40" t="n">
        <v>0.6597222222222222</v>
      </c>
      <c r="C878" s="35" t="inlineStr">
        <is>
          <t>Dr. Paulo Andrade</t>
        </is>
      </c>
      <c r="D878" s="35" t="inlineStr">
        <is>
          <t>Sala 2</t>
        </is>
      </c>
      <c r="E878" s="34" t="inlineStr">
        <is>
          <t>Bruno Carvalho</t>
        </is>
      </c>
      <c r="F878" s="35" t="inlineStr">
        <is>
          <t>Saúde Total</t>
        </is>
      </c>
      <c r="G878" s="35" t="inlineStr">
        <is>
          <t>Consulta</t>
        </is>
      </c>
      <c r="H878" s="35" t="inlineStr">
        <is>
          <t>Realizado</t>
        </is>
      </c>
      <c r="I878" s="35" t="inlineStr">
        <is>
          <t>Convênio</t>
        </is>
      </c>
      <c r="J878" s="35" t="n"/>
      <c r="K878" s="34" t="n"/>
      <c r="L878" s="26">
        <f>IF(A878="","",MONTH(A878))</f>
        <v>8</v>
      </c>
      <c r="M878" s="26">
        <f>IF(A878="","",YEAR(A878))</f>
        <v>2026</v>
      </c>
      <c r="N878" s="26" t="str">
        <f>IF(A878="","",CHOOSE(WEEKDAY(A878,2),"Segunda","Terça","Quarta","Quinta","Sexta","Sábado","Domingo"))</f>
        <v>Quinta</v>
      </c>
      <c r="O878" s="26" t="str">
        <f>IF(B878="","",IF(B878&lt;TIME(12,0,0),"Manhã",IF(B878&lt;TIME(18,0,0),"Tarde","Noite")))</f>
        <v>Tarde</v>
      </c>
      <c r="P878" s="32">
        <f>IF(G878="","",IFERROR(INDEX(Config!$I$5:$I$16,MATCH(G878,Config!$H$5:$H$16,0)),0))</f>
        <v>30</v>
      </c>
      <c r="Q878" s="30">
        <f>IF(OR(H878&lt;&gt;"Realizado",P878="",P878=0),"",A878+P878)</f>
        <v>46291.0</v>
      </c>
      <c r="R878" s="26" t="str">
        <f>IF(Q878="","",IF(COUNTIFS($E$5:$E$3004,E878,$A$5:$A$3004,"&gt;"&amp;A878,$H$5:$H$3004,"&lt;&gt;Falta",$H$5:$H$3004,"&lt;&gt;Cancelado",$H$5:$H$3004,"&lt;&gt;Remarcado")&gt;0,"Sim","Não"))</f>
        <v>Sim</v>
      </c>
      <c r="S878" s="32">
        <f>IF(R878&lt;&gt;"Não","",IF(Q878+Config!$B$9&lt;=Config!$B$8,Config!$B$8-Q878,""))</f>
        <v/>
      </c>
      <c r="T878" s="26">
        <f>IF(S878="","","Sim")</f>
        <v/>
      </c>
      <c r="U878" s="41">
        <f>IF(T878="Sim",S878+ROW()/100000,0)</f>
        <v>0</v>
      </c>
      <c r="V878" s="41">
        <f>IF(AND(H878="Falta",L878=Config!$B$7,M878=Config!$B$5,COUNTIFS($E$5:E878,E878,$H$5:H878,"Falta",$L$5:L878,Config!$B$7,$M$5:M878,Config!$B$5)=1),COUNTIFS($E$5:$E$3004,E878,$H$5:$H$3004,"Falta",$L$5:$L$3004,Config!$B$7,$M$5:$M$3004,Config!$B$5)*1000-ROW()/100000,0)</f>
        <v>0</v>
      </c>
    </row>
    <row r="879">
      <c r="A879" s="39" t="n">
        <v>46261</v>
      </c>
      <c r="B879" s="40" t="n">
        <v>0.6736111111111112</v>
      </c>
      <c r="C879" s="35" t="inlineStr">
        <is>
          <t>Dra. Renata Sousa</t>
        </is>
      </c>
      <c r="D879" s="35" t="inlineStr">
        <is>
          <t>Sala 1</t>
        </is>
      </c>
      <c r="E879" s="34" t="inlineStr">
        <is>
          <t>Mariana Reis</t>
        </is>
      </c>
      <c r="F879" s="35" t="inlineStr">
        <is>
          <t>Particular</t>
        </is>
      </c>
      <c r="G879" s="35" t="inlineStr">
        <is>
          <t>Avaliação endócrina</t>
        </is>
      </c>
      <c r="H879" s="35" t="inlineStr">
        <is>
          <t>Realizado</t>
        </is>
      </c>
      <c r="I879" s="35" t="inlineStr">
        <is>
          <t>A prazo</t>
        </is>
      </c>
      <c r="J879" s="35" t="n"/>
      <c r="K879" s="34" t="n"/>
      <c r="L879" s="26">
        <f>IF(A879="","",MONTH(A879))</f>
        <v>8</v>
      </c>
      <c r="M879" s="26">
        <f>IF(A879="","",YEAR(A879))</f>
        <v>2026</v>
      </c>
      <c r="N879" s="26" t="str">
        <f>IF(A879="","",CHOOSE(WEEKDAY(A879,2),"Segunda","Terça","Quarta","Quinta","Sexta","Sábado","Domingo"))</f>
        <v>Quinta</v>
      </c>
      <c r="O879" s="26" t="str">
        <f>IF(B879="","",IF(B879&lt;TIME(12,0,0),"Manhã",IF(B879&lt;TIME(18,0,0),"Tarde","Noite")))</f>
        <v>Tarde</v>
      </c>
      <c r="P879" s="32">
        <f>IF(G879="","",IFERROR(INDEX(Config!$I$5:$I$16,MATCH(G879,Config!$H$5:$H$16,0)),0))</f>
        <v>45</v>
      </c>
      <c r="Q879" s="30">
        <f>IF(OR(H879&lt;&gt;"Realizado",P879="",P879=0),"",A879+P879)</f>
        <v>46306.0</v>
      </c>
      <c r="R879" s="26" t="str">
        <f>IF(Q879="","",IF(COUNTIFS($E$5:$E$3004,E879,$A$5:$A$3004,"&gt;"&amp;A879,$H$5:$H$3004,"&lt;&gt;Falta",$H$5:$H$3004,"&lt;&gt;Cancelado",$H$5:$H$3004,"&lt;&gt;Remarcado")&gt;0,"Sim","Não"))</f>
        <v>Sim</v>
      </c>
      <c r="S879" s="32">
        <f>IF(R879&lt;&gt;"Não","",IF(Q879+Config!$B$9&lt;=Config!$B$8,Config!$B$8-Q879,""))</f>
        <v/>
      </c>
      <c r="T879" s="26">
        <f>IF(S879="","","Sim")</f>
        <v/>
      </c>
      <c r="U879" s="41">
        <f>IF(T879="Sim",S879+ROW()/100000,0)</f>
        <v>0</v>
      </c>
      <c r="V879" s="41">
        <f>IF(AND(H879="Falta",L879=Config!$B$7,M879=Config!$B$5,COUNTIFS($E$5:E879,E879,$H$5:H879,"Falta",$L$5:L879,Config!$B$7,$M$5:M879,Config!$B$5)=1),COUNTIFS($E$5:$E$3004,E879,$H$5:$H$3004,"Falta",$L$5:$L$3004,Config!$B$7,$M$5:$M$3004,Config!$B$5)*1000-ROW()/100000,0)</f>
        <v>0</v>
      </c>
    </row>
    <row r="880">
      <c r="A880" s="39" t="n">
        <v>46261</v>
      </c>
      <c r="B880" s="40" t="n">
        <v>0.6805555555555556</v>
      </c>
      <c r="C880" s="35" t="inlineStr">
        <is>
          <t>Dr. Paulo Andrade</t>
        </is>
      </c>
      <c r="D880" s="35" t="inlineStr">
        <is>
          <t>Sala 2</t>
        </is>
      </c>
      <c r="E880" s="34" t="inlineStr">
        <is>
          <t>Fernanda Nunes</t>
        </is>
      </c>
      <c r="F880" s="35" t="inlineStr">
        <is>
          <t>MediPlan</t>
        </is>
      </c>
      <c r="G880" s="35" t="inlineStr">
        <is>
          <t>Consulta</t>
        </is>
      </c>
      <c r="H880" s="35" t="inlineStr">
        <is>
          <t>Realizado</t>
        </is>
      </c>
      <c r="I880" s="35" t="inlineStr">
        <is>
          <t>Convênio</t>
        </is>
      </c>
      <c r="J880" s="35" t="n"/>
      <c r="K880" s="34" t="n"/>
      <c r="L880" s="26">
        <f>IF(A880="","",MONTH(A880))</f>
        <v>8</v>
      </c>
      <c r="M880" s="26">
        <f>IF(A880="","",YEAR(A880))</f>
        <v>2026</v>
      </c>
      <c r="N880" s="26" t="str">
        <f>IF(A880="","",CHOOSE(WEEKDAY(A880,2),"Segunda","Terça","Quarta","Quinta","Sexta","Sábado","Domingo"))</f>
        <v>Quinta</v>
      </c>
      <c r="O880" s="26" t="str">
        <f>IF(B880="","",IF(B880&lt;TIME(12,0,0),"Manhã",IF(B880&lt;TIME(18,0,0),"Tarde","Noite")))</f>
        <v>Tarde</v>
      </c>
      <c r="P880" s="32">
        <f>IF(G880="","",IFERROR(INDEX(Config!$I$5:$I$16,MATCH(G880,Config!$H$5:$H$16,0)),0))</f>
        <v>30</v>
      </c>
      <c r="Q880" s="30">
        <f>IF(OR(H880&lt;&gt;"Realizado",P880="",P880=0),"",A880+P880)</f>
        <v>46291.0</v>
      </c>
      <c r="R880" s="26" t="str">
        <f>IF(Q880="","",IF(COUNTIFS($E$5:$E$3004,E880,$A$5:$A$3004,"&gt;"&amp;A880,$H$5:$H$3004,"&lt;&gt;Falta",$H$5:$H$3004,"&lt;&gt;Cancelado",$H$5:$H$3004,"&lt;&gt;Remarcado")&gt;0,"Sim","Não"))</f>
        <v>Sim</v>
      </c>
      <c r="S880" s="32">
        <f>IF(R880&lt;&gt;"Não","",IF(Q880+Config!$B$9&lt;=Config!$B$8,Config!$B$8-Q880,""))</f>
        <v/>
      </c>
      <c r="T880" s="26">
        <f>IF(S880="","","Sim")</f>
        <v/>
      </c>
      <c r="U880" s="41">
        <f>IF(T880="Sim",S880+ROW()/100000,0)</f>
        <v>0</v>
      </c>
      <c r="V880" s="41">
        <f>IF(AND(H880="Falta",L880=Config!$B$7,M880=Config!$B$5,COUNTIFS($E$5:E880,E880,$H$5:H880,"Falta",$L$5:L880,Config!$B$7,$M$5:M880,Config!$B$5)=1),COUNTIFS($E$5:$E$3004,E880,$H$5:$H$3004,"Falta",$L$5:$L$3004,Config!$B$7,$M$5:$M$3004,Config!$B$5)*1000-ROW()/100000,0)</f>
        <v>0</v>
      </c>
    </row>
    <row r="881">
      <c r="A881" s="39" t="n">
        <v>46261</v>
      </c>
      <c r="B881" s="40" t="n">
        <v>0.7013888888888888</v>
      </c>
      <c r="C881" s="35" t="inlineStr">
        <is>
          <t>Dr. Paulo Andrade</t>
        </is>
      </c>
      <c r="D881" s="35" t="inlineStr">
        <is>
          <t>Sala 2</t>
        </is>
      </c>
      <c r="E881" s="34" t="inlineStr">
        <is>
          <t>Débora Moreira</t>
        </is>
      </c>
      <c r="F881" s="35" t="inlineStr">
        <is>
          <t>Particular</t>
        </is>
      </c>
      <c r="G881" s="35" t="inlineStr">
        <is>
          <t>Retorno</t>
        </is>
      </c>
      <c r="H881" s="35" t="inlineStr">
        <is>
          <t>Realizado</t>
        </is>
      </c>
      <c r="I881" s="35" t="inlineStr">
        <is>
          <t>Sem cobrança</t>
        </is>
      </c>
      <c r="J881" s="35" t="n"/>
      <c r="K881" s="34" t="n"/>
      <c r="L881" s="26">
        <f>IF(A881="","",MONTH(A881))</f>
        <v>8</v>
      </c>
      <c r="M881" s="26">
        <f>IF(A881="","",YEAR(A881))</f>
        <v>2026</v>
      </c>
      <c r="N881" s="26" t="str">
        <f>IF(A881="","",CHOOSE(WEEKDAY(A881,2),"Segunda","Terça","Quarta","Quinta","Sexta","Sábado","Domingo"))</f>
        <v>Quinta</v>
      </c>
      <c r="O881" s="26" t="str">
        <f>IF(B881="","",IF(B881&lt;TIME(12,0,0),"Manhã",IF(B881&lt;TIME(18,0,0),"Tarde","Noite")))</f>
        <v>Tarde</v>
      </c>
      <c r="P881" s="32">
        <f>IF(G881="","",IFERROR(INDEX(Config!$I$5:$I$16,MATCH(G881,Config!$H$5:$H$16,0)),0))</f>
        <v>0</v>
      </c>
      <c r="Q881" s="30">
        <f>IF(OR(H881&lt;&gt;"Realizado",P881="",P881=0),"",A881+P881)</f>
        <v/>
      </c>
      <c r="R881" s="26">
        <f>IF(Q881="","",IF(COUNTIFS($E$5:$E$3004,E881,$A$5:$A$3004,"&gt;"&amp;A881,$H$5:$H$3004,"&lt;&gt;Falta",$H$5:$H$3004,"&lt;&gt;Cancelado",$H$5:$H$3004,"&lt;&gt;Remarcado")&gt;0,"Sim","Não"))</f>
        <v/>
      </c>
      <c r="S881" s="32">
        <f>IF(R881&lt;&gt;"Não","",IF(Q881+Config!$B$9&lt;=Config!$B$8,Config!$B$8-Q881,""))</f>
        <v/>
      </c>
      <c r="T881" s="26">
        <f>IF(S881="","","Sim")</f>
        <v/>
      </c>
      <c r="U881" s="41">
        <f>IF(T881="Sim",S881+ROW()/100000,0)</f>
        <v>0</v>
      </c>
      <c r="V881" s="41">
        <f>IF(AND(H881="Falta",L881=Config!$B$7,M881=Config!$B$5,COUNTIFS($E$5:E881,E881,$H$5:H881,"Falta",$L$5:L881,Config!$B$7,$M$5:M881,Config!$B$5)=1),COUNTIFS($E$5:$E$3004,E881,$H$5:$H$3004,"Falta",$L$5:$L$3004,Config!$B$7,$M$5:$M$3004,Config!$B$5)*1000-ROW()/100000,0)</f>
        <v>0</v>
      </c>
    </row>
    <row r="882">
      <c r="A882" s="39" t="n">
        <v>46261</v>
      </c>
      <c r="B882" s="40" t="n">
        <v>0.7222222222222222</v>
      </c>
      <c r="C882" s="35" t="inlineStr">
        <is>
          <t>Dra. Renata Sousa</t>
        </is>
      </c>
      <c r="D882" s="35" t="inlineStr">
        <is>
          <t>Sala 1</t>
        </is>
      </c>
      <c r="E882" s="34" t="inlineStr">
        <is>
          <t>Patrícia Dias</t>
        </is>
      </c>
      <c r="F882" s="35" t="inlineStr">
        <is>
          <t>Particular</t>
        </is>
      </c>
      <c r="G882" s="35" t="inlineStr">
        <is>
          <t>Avaliação endócrina</t>
        </is>
      </c>
      <c r="H882" s="35" t="inlineStr">
        <is>
          <t>Falta</t>
        </is>
      </c>
      <c r="I882" s="35" t="n"/>
      <c r="J882" s="35" t="n"/>
      <c r="K882" s="34" t="n"/>
      <c r="L882" s="26">
        <f>IF(A882="","",MONTH(A882))</f>
        <v>8</v>
      </c>
      <c r="M882" s="26">
        <f>IF(A882="","",YEAR(A882))</f>
        <v>2026</v>
      </c>
      <c r="N882" s="26" t="str">
        <f>IF(A882="","",CHOOSE(WEEKDAY(A882,2),"Segunda","Terça","Quarta","Quinta","Sexta","Sábado","Domingo"))</f>
        <v>Quinta</v>
      </c>
      <c r="O882" s="26" t="str">
        <f>IF(B882="","",IF(B882&lt;TIME(12,0,0),"Manhã",IF(B882&lt;TIME(18,0,0),"Tarde","Noite")))</f>
        <v>Tarde</v>
      </c>
      <c r="P882" s="32">
        <f>IF(G882="","",IFERROR(INDEX(Config!$I$5:$I$16,MATCH(G882,Config!$H$5:$H$16,0)),0))</f>
        <v>45</v>
      </c>
      <c r="Q882" s="30">
        <f>IF(OR(H882&lt;&gt;"Realizado",P882="",P882=0),"",A882+P882)</f>
        <v/>
      </c>
      <c r="R882" s="26">
        <f>IF(Q882="","",IF(COUNTIFS($E$5:$E$3004,E882,$A$5:$A$3004,"&gt;"&amp;A882,$H$5:$H$3004,"&lt;&gt;Falta",$H$5:$H$3004,"&lt;&gt;Cancelado",$H$5:$H$3004,"&lt;&gt;Remarcado")&gt;0,"Sim","Não"))</f>
        <v/>
      </c>
      <c r="S882" s="32">
        <f>IF(R882&lt;&gt;"Não","",IF(Q882+Config!$B$9&lt;=Config!$B$8,Config!$B$8-Q882,""))</f>
        <v/>
      </c>
      <c r="T882" s="26">
        <f>IF(S882="","","Sim")</f>
        <v/>
      </c>
      <c r="U882" s="41">
        <f>IF(T882="Sim",S882+ROW()/100000,0)</f>
        <v>0</v>
      </c>
      <c r="V882" s="41">
        <f>IF(AND(H882="Falta",L882=Config!$B$7,M882=Config!$B$5,COUNTIFS($E$5:E882,E882,$H$5:H882,"Falta",$L$5:L882,Config!$B$7,$M$5:M882,Config!$B$5)=1),COUNTIFS($E$5:$E$3004,E882,$H$5:$H$3004,"Falta",$L$5:$L$3004,Config!$B$7,$M$5:$M$3004,Config!$B$5)*1000-ROW()/100000,0)</f>
        <v>0</v>
      </c>
    </row>
    <row r="883">
      <c r="A883" s="39" t="n">
        <v>46261</v>
      </c>
      <c r="B883" s="40" t="n">
        <v>0.7361111111111112</v>
      </c>
      <c r="C883" s="35" t="inlineStr">
        <is>
          <t>Dr. Paulo Andrade</t>
        </is>
      </c>
      <c r="D883" s="35" t="inlineStr">
        <is>
          <t>Sala 2</t>
        </is>
      </c>
      <c r="E883" s="34" t="inlineStr">
        <is>
          <t>Wagner Carvalho</t>
        </is>
      </c>
      <c r="F883" s="35" t="inlineStr">
        <is>
          <t>Vida Care</t>
        </is>
      </c>
      <c r="G883" s="35" t="inlineStr">
        <is>
          <t>Retorno</t>
        </is>
      </c>
      <c r="H883" s="35" t="inlineStr">
        <is>
          <t>Realizado</t>
        </is>
      </c>
      <c r="I883" s="35" t="inlineStr">
        <is>
          <t>Sem cobrança</t>
        </is>
      </c>
      <c r="J883" s="35" t="n"/>
      <c r="K883" s="34" t="n"/>
      <c r="L883" s="26">
        <f>IF(A883="","",MONTH(A883))</f>
        <v>8</v>
      </c>
      <c r="M883" s="26">
        <f>IF(A883="","",YEAR(A883))</f>
        <v>2026</v>
      </c>
      <c r="N883" s="26" t="str">
        <f>IF(A883="","",CHOOSE(WEEKDAY(A883,2),"Segunda","Terça","Quarta","Quinta","Sexta","Sábado","Domingo"))</f>
        <v>Quinta</v>
      </c>
      <c r="O883" s="26" t="str">
        <f>IF(B883="","",IF(B883&lt;TIME(12,0,0),"Manhã",IF(B883&lt;TIME(18,0,0),"Tarde","Noite")))</f>
        <v>Tarde</v>
      </c>
      <c r="P883" s="32">
        <f>IF(G883="","",IFERROR(INDEX(Config!$I$5:$I$16,MATCH(G883,Config!$H$5:$H$16,0)),0))</f>
        <v>0</v>
      </c>
      <c r="Q883" s="30">
        <f>IF(OR(H883&lt;&gt;"Realizado",P883="",P883=0),"",A883+P883)</f>
        <v/>
      </c>
      <c r="R883" s="26">
        <f>IF(Q883="","",IF(COUNTIFS($E$5:$E$3004,E883,$A$5:$A$3004,"&gt;"&amp;A883,$H$5:$H$3004,"&lt;&gt;Falta",$H$5:$H$3004,"&lt;&gt;Cancelado",$H$5:$H$3004,"&lt;&gt;Remarcado")&gt;0,"Sim","Não"))</f>
        <v/>
      </c>
      <c r="S883" s="32">
        <f>IF(R883&lt;&gt;"Não","",IF(Q883+Config!$B$9&lt;=Config!$B$8,Config!$B$8-Q883,""))</f>
        <v/>
      </c>
      <c r="T883" s="26">
        <f>IF(S883="","","Sim")</f>
        <v/>
      </c>
      <c r="U883" s="41">
        <f>IF(T883="Sim",S883+ROW()/100000,0)</f>
        <v>0</v>
      </c>
      <c r="V883" s="41">
        <f>IF(AND(H883="Falta",L883=Config!$B$7,M883=Config!$B$5,COUNTIFS($E$5:E883,E883,$H$5:H883,"Falta",$L$5:L883,Config!$B$7,$M$5:M883,Config!$B$5)=1),COUNTIFS($E$5:$E$3004,E883,$H$5:$H$3004,"Falta",$L$5:$L$3004,Config!$B$7,$M$5:$M$3004,Config!$B$5)*1000-ROW()/100000,0)</f>
        <v>0</v>
      </c>
    </row>
    <row r="884">
      <c r="A884" s="39" t="n">
        <v>46262</v>
      </c>
      <c r="B884" s="40" t="n">
        <v>0.3333333333333333</v>
      </c>
      <c r="C884" s="35" t="inlineStr">
        <is>
          <t>Dr. Paulo Andrade</t>
        </is>
      </c>
      <c r="D884" s="35" t="inlineStr">
        <is>
          <t>Sala 2</t>
        </is>
      </c>
      <c r="E884" s="34" t="inlineStr">
        <is>
          <t>Vanessa Carvalho</t>
        </is>
      </c>
      <c r="F884" s="35" t="inlineStr">
        <is>
          <t>Saúde Total</t>
        </is>
      </c>
      <c r="G884" s="35" t="inlineStr">
        <is>
          <t>Consulta</t>
        </is>
      </c>
      <c r="H884" s="35" t="inlineStr">
        <is>
          <t>Realizado</t>
        </is>
      </c>
      <c r="I884" s="35" t="inlineStr">
        <is>
          <t>Convênio</t>
        </is>
      </c>
      <c r="J884" s="35" t="n"/>
      <c r="K884" s="34" t="n"/>
      <c r="L884" s="26">
        <f>IF(A884="","",MONTH(A884))</f>
        <v>8</v>
      </c>
      <c r="M884" s="26">
        <f>IF(A884="","",YEAR(A884))</f>
        <v>2026</v>
      </c>
      <c r="N884" s="26" t="str">
        <f>IF(A884="","",CHOOSE(WEEKDAY(A884,2),"Segunda","Terça","Quarta","Quinta","Sexta","Sábado","Domingo"))</f>
        <v>Sexta</v>
      </c>
      <c r="O884" s="26" t="str">
        <f>IF(B884="","",IF(B884&lt;TIME(12,0,0),"Manhã",IF(B884&lt;TIME(18,0,0),"Tarde","Noite")))</f>
        <v>Manhã</v>
      </c>
      <c r="P884" s="32">
        <f>IF(G884="","",IFERROR(INDEX(Config!$I$5:$I$16,MATCH(G884,Config!$H$5:$H$16,0)),0))</f>
        <v>30</v>
      </c>
      <c r="Q884" s="30">
        <f>IF(OR(H884&lt;&gt;"Realizado",P884="",P884=0),"",A884+P884)</f>
        <v>46292.0</v>
      </c>
      <c r="R884" s="26" t="str">
        <f>IF(Q884="","",IF(COUNTIFS($E$5:$E$3004,E884,$A$5:$A$3004,"&gt;"&amp;A884,$H$5:$H$3004,"&lt;&gt;Falta",$H$5:$H$3004,"&lt;&gt;Cancelado",$H$5:$H$3004,"&lt;&gt;Remarcado")&gt;0,"Sim","Não"))</f>
        <v>Sim</v>
      </c>
      <c r="S884" s="32">
        <f>IF(R884&lt;&gt;"Não","",IF(Q884+Config!$B$9&lt;=Config!$B$8,Config!$B$8-Q884,""))</f>
        <v/>
      </c>
      <c r="T884" s="26">
        <f>IF(S884="","","Sim")</f>
        <v/>
      </c>
      <c r="U884" s="41">
        <f>IF(T884="Sim",S884+ROW()/100000,0)</f>
        <v>0</v>
      </c>
      <c r="V884" s="41">
        <f>IF(AND(H884="Falta",L884=Config!$B$7,M884=Config!$B$5,COUNTIFS($E$5:E884,E884,$H$5:H884,"Falta",$L$5:L884,Config!$B$7,$M$5:M884,Config!$B$5)=1),COUNTIFS($E$5:$E$3004,E884,$H$5:$H$3004,"Falta",$L$5:$L$3004,Config!$B$7,$M$5:$M$3004,Config!$B$5)*1000-ROW()/100000,0)</f>
        <v>0</v>
      </c>
    </row>
    <row r="885">
      <c r="A885" s="39" t="n">
        <v>46262</v>
      </c>
      <c r="B885" s="40" t="n">
        <v>0.3541666666666667</v>
      </c>
      <c r="C885" s="35" t="inlineStr">
        <is>
          <t>Dr. Paulo Andrade</t>
        </is>
      </c>
      <c r="D885" s="35" t="inlineStr">
        <is>
          <t>Sala 2</t>
        </is>
      </c>
      <c r="E885" s="34" t="inlineStr">
        <is>
          <t>Mateus Martins</t>
        </is>
      </c>
      <c r="F885" s="35" t="inlineStr">
        <is>
          <t>Vida Care</t>
        </is>
      </c>
      <c r="G885" s="35" t="inlineStr">
        <is>
          <t>Consulta</t>
        </is>
      </c>
      <c r="H885" s="35" t="inlineStr">
        <is>
          <t>Realizado</t>
        </is>
      </c>
      <c r="I885" s="35" t="inlineStr">
        <is>
          <t>Convênio</t>
        </is>
      </c>
      <c r="J885" s="35" t="n"/>
      <c r="K885" s="34" t="n"/>
      <c r="L885" s="26">
        <f>IF(A885="","",MONTH(A885))</f>
        <v>8</v>
      </c>
      <c r="M885" s="26">
        <f>IF(A885="","",YEAR(A885))</f>
        <v>2026</v>
      </c>
      <c r="N885" s="26" t="str">
        <f>IF(A885="","",CHOOSE(WEEKDAY(A885,2),"Segunda","Terça","Quarta","Quinta","Sexta","Sábado","Domingo"))</f>
        <v>Sexta</v>
      </c>
      <c r="O885" s="26" t="str">
        <f>IF(B885="","",IF(B885&lt;TIME(12,0,0),"Manhã",IF(B885&lt;TIME(18,0,0),"Tarde","Noite")))</f>
        <v>Manhã</v>
      </c>
      <c r="P885" s="32">
        <f>IF(G885="","",IFERROR(INDEX(Config!$I$5:$I$16,MATCH(G885,Config!$H$5:$H$16,0)),0))</f>
        <v>30</v>
      </c>
      <c r="Q885" s="30">
        <f>IF(OR(H885&lt;&gt;"Realizado",P885="",P885=0),"",A885+P885)</f>
        <v>46292.0</v>
      </c>
      <c r="R885" s="26" t="str">
        <f>IF(Q885="","",IF(COUNTIFS($E$5:$E$3004,E885,$A$5:$A$3004,"&gt;"&amp;A885,$H$5:$H$3004,"&lt;&gt;Falta",$H$5:$H$3004,"&lt;&gt;Cancelado",$H$5:$H$3004,"&lt;&gt;Remarcado")&gt;0,"Sim","Não"))</f>
        <v>Sim</v>
      </c>
      <c r="S885" s="32">
        <f>IF(R885&lt;&gt;"Não","",IF(Q885+Config!$B$9&lt;=Config!$B$8,Config!$B$8-Q885,""))</f>
        <v/>
      </c>
      <c r="T885" s="26">
        <f>IF(S885="","","Sim")</f>
        <v/>
      </c>
      <c r="U885" s="41">
        <f>IF(T885="Sim",S885+ROW()/100000,0)</f>
        <v>0</v>
      </c>
      <c r="V885" s="41">
        <f>IF(AND(H885="Falta",L885=Config!$B$7,M885=Config!$B$5,COUNTIFS($E$5:E885,E885,$H$5:H885,"Falta",$L$5:L885,Config!$B$7,$M$5:M885,Config!$B$5)=1),COUNTIFS($E$5:$E$3004,E885,$H$5:$H$3004,"Falta",$L$5:$L$3004,Config!$B$7,$M$5:$M$3004,Config!$B$5)*1000-ROW()/100000,0)</f>
        <v>0</v>
      </c>
    </row>
    <row r="886">
      <c r="A886" s="39" t="n">
        <v>46262</v>
      </c>
      <c r="B886" s="40" t="n">
        <v>0.3958333333333333</v>
      </c>
      <c r="C886" s="35" t="inlineStr">
        <is>
          <t>Dr. Paulo Andrade</t>
        </is>
      </c>
      <c r="D886" s="35" t="inlineStr">
        <is>
          <t>Sala 2</t>
        </is>
      </c>
      <c r="E886" s="34" t="inlineStr">
        <is>
          <t>Henrique Santos</t>
        </is>
      </c>
      <c r="F886" s="35" t="inlineStr">
        <is>
          <t>Vida Care</t>
        </is>
      </c>
      <c r="G886" s="35" t="inlineStr">
        <is>
          <t>Consulta</t>
        </is>
      </c>
      <c r="H886" s="35" t="inlineStr">
        <is>
          <t>Realizado</t>
        </is>
      </c>
      <c r="I886" s="35" t="inlineStr">
        <is>
          <t>Convênio</t>
        </is>
      </c>
      <c r="J886" s="35" t="n"/>
      <c r="K886" s="34" t="n"/>
      <c r="L886" s="26">
        <f>IF(A886="","",MONTH(A886))</f>
        <v>8</v>
      </c>
      <c r="M886" s="26">
        <f>IF(A886="","",YEAR(A886))</f>
        <v>2026</v>
      </c>
      <c r="N886" s="26" t="str">
        <f>IF(A886="","",CHOOSE(WEEKDAY(A886,2),"Segunda","Terça","Quarta","Quinta","Sexta","Sábado","Domingo"))</f>
        <v>Sexta</v>
      </c>
      <c r="O886" s="26" t="str">
        <f>IF(B886="","",IF(B886&lt;TIME(12,0,0),"Manhã",IF(B886&lt;TIME(18,0,0),"Tarde","Noite")))</f>
        <v>Manhã</v>
      </c>
      <c r="P886" s="32">
        <f>IF(G886="","",IFERROR(INDEX(Config!$I$5:$I$16,MATCH(G886,Config!$H$5:$H$16,0)),0))</f>
        <v>30</v>
      </c>
      <c r="Q886" s="30">
        <f>IF(OR(H886&lt;&gt;"Realizado",P886="",P886=0),"",A886+P886)</f>
        <v>46292.0</v>
      </c>
      <c r="R886" s="26" t="str">
        <f>IF(Q886="","",IF(COUNTIFS($E$5:$E$3004,E886,$A$5:$A$3004,"&gt;"&amp;A886,$H$5:$H$3004,"&lt;&gt;Falta",$H$5:$H$3004,"&lt;&gt;Cancelado",$H$5:$H$3004,"&lt;&gt;Remarcado")&gt;0,"Sim","Não"))</f>
        <v>Não</v>
      </c>
      <c r="S886" s="32">
        <f>IF(R886&lt;&gt;"Não","",IF(Q886+Config!$B$9&lt;=Config!$B$8,Config!$B$8-Q886,""))</f>
        <v/>
      </c>
      <c r="T886" s="26">
        <f>IF(S886="","","Sim")</f>
        <v/>
      </c>
      <c r="U886" s="41">
        <f>IF(T886="Sim",S886+ROW()/100000,0)</f>
        <v>0</v>
      </c>
      <c r="V886" s="41">
        <f>IF(AND(H886="Falta",L886=Config!$B$7,M886=Config!$B$5,COUNTIFS($E$5:E886,E886,$H$5:H886,"Falta",$L$5:L886,Config!$B$7,$M$5:M886,Config!$B$5)=1),COUNTIFS($E$5:$E$3004,E886,$H$5:$H$3004,"Falta",$L$5:$L$3004,Config!$B$7,$M$5:$M$3004,Config!$B$5)*1000-ROW()/100000,0)</f>
        <v>0</v>
      </c>
    </row>
    <row r="887">
      <c r="A887" s="39" t="n">
        <v>46262</v>
      </c>
      <c r="B887" s="40" t="n">
        <v>0.4375</v>
      </c>
      <c r="C887" s="35" t="inlineStr">
        <is>
          <t>Dr. Paulo Andrade</t>
        </is>
      </c>
      <c r="D887" s="35" t="inlineStr">
        <is>
          <t>Sala 2</t>
        </is>
      </c>
      <c r="E887" s="34" t="inlineStr">
        <is>
          <t>Paulo Nascimento</t>
        </is>
      </c>
      <c r="F887" s="35" t="inlineStr">
        <is>
          <t>MediPlan</t>
        </is>
      </c>
      <c r="G887" s="35" t="inlineStr">
        <is>
          <t>Consulta</t>
        </is>
      </c>
      <c r="H887" s="35" t="inlineStr">
        <is>
          <t>Realizado</t>
        </is>
      </c>
      <c r="I887" s="35" t="inlineStr">
        <is>
          <t>Convênio</t>
        </is>
      </c>
      <c r="J887" s="35" t="n"/>
      <c r="K887" s="34" t="n"/>
      <c r="L887" s="26">
        <f>IF(A887="","",MONTH(A887))</f>
        <v>8</v>
      </c>
      <c r="M887" s="26">
        <f>IF(A887="","",YEAR(A887))</f>
        <v>2026</v>
      </c>
      <c r="N887" s="26" t="str">
        <f>IF(A887="","",CHOOSE(WEEKDAY(A887,2),"Segunda","Terça","Quarta","Quinta","Sexta","Sábado","Domingo"))</f>
        <v>Sexta</v>
      </c>
      <c r="O887" s="26" t="str">
        <f>IF(B887="","",IF(B887&lt;TIME(12,0,0),"Manhã",IF(B887&lt;TIME(18,0,0),"Tarde","Noite")))</f>
        <v>Manhã</v>
      </c>
      <c r="P887" s="32">
        <f>IF(G887="","",IFERROR(INDEX(Config!$I$5:$I$16,MATCH(G887,Config!$H$5:$H$16,0)),0))</f>
        <v>30</v>
      </c>
      <c r="Q887" s="30">
        <f>IF(OR(H887&lt;&gt;"Realizado",P887="",P887=0),"",A887+P887)</f>
        <v>46292.0</v>
      </c>
      <c r="R887" s="26" t="str">
        <f>IF(Q887="","",IF(COUNTIFS($E$5:$E$3004,E887,$A$5:$A$3004,"&gt;"&amp;A887,$H$5:$H$3004,"&lt;&gt;Falta",$H$5:$H$3004,"&lt;&gt;Cancelado",$H$5:$H$3004,"&lt;&gt;Remarcado")&gt;0,"Sim","Não"))</f>
        <v>Sim</v>
      </c>
      <c r="S887" s="32">
        <f>IF(R887&lt;&gt;"Não","",IF(Q887+Config!$B$9&lt;=Config!$B$8,Config!$B$8-Q887,""))</f>
        <v/>
      </c>
      <c r="T887" s="26">
        <f>IF(S887="","","Sim")</f>
        <v/>
      </c>
      <c r="U887" s="41">
        <f>IF(T887="Sim",S887+ROW()/100000,0)</f>
        <v>0</v>
      </c>
      <c r="V887" s="41">
        <f>IF(AND(H887="Falta",L887=Config!$B$7,M887=Config!$B$5,COUNTIFS($E$5:E887,E887,$H$5:H887,"Falta",$L$5:L887,Config!$B$7,$M$5:M887,Config!$B$5)=1),COUNTIFS($E$5:$E$3004,E887,$H$5:$H$3004,"Falta",$L$5:$L$3004,Config!$B$7,$M$5:$M$3004,Config!$B$5)*1000-ROW()/100000,0)</f>
        <v>0</v>
      </c>
    </row>
    <row r="888">
      <c r="A888" s="39" t="n">
        <v>46262</v>
      </c>
      <c r="B888" s="40" t="n">
        <v>0.4583333333333333</v>
      </c>
      <c r="C888" s="35" t="inlineStr">
        <is>
          <t>Dr. Paulo Andrade</t>
        </is>
      </c>
      <c r="D888" s="35" t="inlineStr">
        <is>
          <t>Sala 2</t>
        </is>
      </c>
      <c r="E888" s="34" t="inlineStr">
        <is>
          <t>Eduardo Reis</t>
        </is>
      </c>
      <c r="F888" s="35" t="inlineStr">
        <is>
          <t>Vida Care</t>
        </is>
      </c>
      <c r="G888" s="35" t="inlineStr">
        <is>
          <t>ECG</t>
        </is>
      </c>
      <c r="H888" s="35" t="inlineStr">
        <is>
          <t>Realizado</t>
        </is>
      </c>
      <c r="I888" s="35" t="inlineStr">
        <is>
          <t>Convênio</t>
        </is>
      </c>
      <c r="J888" s="35" t="n"/>
      <c r="K888" s="34" t="n"/>
      <c r="L888" s="26">
        <f>IF(A888="","",MONTH(A888))</f>
        <v>8</v>
      </c>
      <c r="M888" s="26">
        <f>IF(A888="","",YEAR(A888))</f>
        <v>2026</v>
      </c>
      <c r="N888" s="26" t="str">
        <f>IF(A888="","",CHOOSE(WEEKDAY(A888,2),"Segunda","Terça","Quarta","Quinta","Sexta","Sábado","Domingo"))</f>
        <v>Sexta</v>
      </c>
      <c r="O888" s="26" t="str">
        <f>IF(B888="","",IF(B888&lt;TIME(12,0,0),"Manhã",IF(B888&lt;TIME(18,0,0),"Tarde","Noite")))</f>
        <v>Manhã</v>
      </c>
      <c r="P888" s="32">
        <f>IF(G888="","",IFERROR(INDEX(Config!$I$5:$I$16,MATCH(G888,Config!$H$5:$H$16,0)),0))</f>
        <v>0</v>
      </c>
      <c r="Q888" s="30">
        <f>IF(OR(H888&lt;&gt;"Realizado",P888="",P888=0),"",A888+P888)</f>
        <v/>
      </c>
      <c r="R888" s="26">
        <f>IF(Q888="","",IF(COUNTIFS($E$5:$E$3004,E888,$A$5:$A$3004,"&gt;"&amp;A888,$H$5:$H$3004,"&lt;&gt;Falta",$H$5:$H$3004,"&lt;&gt;Cancelado",$H$5:$H$3004,"&lt;&gt;Remarcado")&gt;0,"Sim","Não"))</f>
        <v/>
      </c>
      <c r="S888" s="32">
        <f>IF(R888&lt;&gt;"Não","",IF(Q888+Config!$B$9&lt;=Config!$B$8,Config!$B$8-Q888,""))</f>
        <v/>
      </c>
      <c r="T888" s="26">
        <f>IF(S888="","","Sim")</f>
        <v/>
      </c>
      <c r="U888" s="41">
        <f>IF(T888="Sim",S888+ROW()/100000,0)</f>
        <v>0</v>
      </c>
      <c r="V888" s="41">
        <f>IF(AND(H888="Falta",L888=Config!$B$7,M888=Config!$B$5,COUNTIFS($E$5:E888,E888,$H$5:H888,"Falta",$L$5:L888,Config!$B$7,$M$5:M888,Config!$B$5)=1),COUNTIFS($E$5:$E$3004,E888,$H$5:$H$3004,"Falta",$L$5:$L$3004,Config!$B$7,$M$5:$M$3004,Config!$B$5)*1000-ROW()/100000,0)</f>
        <v>0</v>
      </c>
    </row>
    <row r="889">
      <c r="A889" s="39" t="n">
        <v>46262</v>
      </c>
      <c r="B889" s="40" t="n">
        <v>0.4722222222222222</v>
      </c>
      <c r="C889" s="35" t="inlineStr">
        <is>
          <t>Dr. Paulo Andrade</t>
        </is>
      </c>
      <c r="D889" s="35" t="inlineStr">
        <is>
          <t>Sala 2</t>
        </is>
      </c>
      <c r="E889" s="34" t="inlineStr">
        <is>
          <t>Sandra Cardoso</t>
        </is>
      </c>
      <c r="F889" s="35" t="inlineStr">
        <is>
          <t>Saúde Total</t>
        </is>
      </c>
      <c r="G889" s="35" t="inlineStr">
        <is>
          <t>Retorno</t>
        </is>
      </c>
      <c r="H889" s="35" t="inlineStr">
        <is>
          <t>Falta</t>
        </is>
      </c>
      <c r="I889" s="35" t="n"/>
      <c r="J889" s="35" t="n"/>
      <c r="K889" s="34" t="n"/>
      <c r="L889" s="26">
        <f>IF(A889="","",MONTH(A889))</f>
        <v>8</v>
      </c>
      <c r="M889" s="26">
        <f>IF(A889="","",YEAR(A889))</f>
        <v>2026</v>
      </c>
      <c r="N889" s="26" t="str">
        <f>IF(A889="","",CHOOSE(WEEKDAY(A889,2),"Segunda","Terça","Quarta","Quinta","Sexta","Sábado","Domingo"))</f>
        <v>Sexta</v>
      </c>
      <c r="O889" s="26" t="str">
        <f>IF(B889="","",IF(B889&lt;TIME(12,0,0),"Manhã",IF(B889&lt;TIME(18,0,0),"Tarde","Noite")))</f>
        <v>Manhã</v>
      </c>
      <c r="P889" s="32">
        <f>IF(G889="","",IFERROR(INDEX(Config!$I$5:$I$16,MATCH(G889,Config!$H$5:$H$16,0)),0))</f>
        <v>0</v>
      </c>
      <c r="Q889" s="30">
        <f>IF(OR(H889&lt;&gt;"Realizado",P889="",P889=0),"",A889+P889)</f>
        <v/>
      </c>
      <c r="R889" s="26">
        <f>IF(Q889="","",IF(COUNTIFS($E$5:$E$3004,E889,$A$5:$A$3004,"&gt;"&amp;A889,$H$5:$H$3004,"&lt;&gt;Falta",$H$5:$H$3004,"&lt;&gt;Cancelado",$H$5:$H$3004,"&lt;&gt;Remarcado")&gt;0,"Sim","Não"))</f>
        <v/>
      </c>
      <c r="S889" s="32">
        <f>IF(R889&lt;&gt;"Não","",IF(Q889+Config!$B$9&lt;=Config!$B$8,Config!$B$8-Q889,""))</f>
        <v/>
      </c>
      <c r="T889" s="26">
        <f>IF(S889="","","Sim")</f>
        <v/>
      </c>
      <c r="U889" s="41">
        <f>IF(T889="Sim",S889+ROW()/100000,0)</f>
        <v>0</v>
      </c>
      <c r="V889" s="41">
        <f>IF(AND(H889="Falta",L889=Config!$B$7,M889=Config!$B$5,COUNTIFS($E$5:E889,E889,$H$5:H889,"Falta",$L$5:L889,Config!$B$7,$M$5:M889,Config!$B$5)=1),COUNTIFS($E$5:$E$3004,E889,$H$5:$H$3004,"Falta",$L$5:$L$3004,Config!$B$7,$M$5:$M$3004,Config!$B$5)*1000-ROW()/100000,0)</f>
        <v>0</v>
      </c>
    </row>
    <row r="890">
      <c r="A890" s="39" t="n">
        <v>46262</v>
      </c>
      <c r="B890" s="40" t="n">
        <v>0.4861111111111111</v>
      </c>
      <c r="C890" s="35" t="inlineStr">
        <is>
          <t>Dr. Paulo Andrade</t>
        </is>
      </c>
      <c r="D890" s="35" t="inlineStr">
        <is>
          <t>Sala 2</t>
        </is>
      </c>
      <c r="E890" s="34" t="inlineStr">
        <is>
          <t>Gisele Pinto</t>
        </is>
      </c>
      <c r="F890" s="35" t="inlineStr">
        <is>
          <t>Saúde Total</t>
        </is>
      </c>
      <c r="G890" s="35" t="inlineStr">
        <is>
          <t>Retorno</t>
        </is>
      </c>
      <c r="H890" s="35" t="inlineStr">
        <is>
          <t>Realizado</t>
        </is>
      </c>
      <c r="I890" s="35" t="inlineStr">
        <is>
          <t>Sem cobrança</t>
        </is>
      </c>
      <c r="J890" s="35" t="n"/>
      <c r="K890" s="34" t="n"/>
      <c r="L890" s="26">
        <f>IF(A890="","",MONTH(A890))</f>
        <v>8</v>
      </c>
      <c r="M890" s="26">
        <f>IF(A890="","",YEAR(A890))</f>
        <v>2026</v>
      </c>
      <c r="N890" s="26" t="str">
        <f>IF(A890="","",CHOOSE(WEEKDAY(A890,2),"Segunda","Terça","Quarta","Quinta","Sexta","Sábado","Domingo"))</f>
        <v>Sexta</v>
      </c>
      <c r="O890" s="26" t="str">
        <f>IF(B890="","",IF(B890&lt;TIME(12,0,0),"Manhã",IF(B890&lt;TIME(18,0,0),"Tarde","Noite")))</f>
        <v>Manhã</v>
      </c>
      <c r="P890" s="32">
        <f>IF(G890="","",IFERROR(INDEX(Config!$I$5:$I$16,MATCH(G890,Config!$H$5:$H$16,0)),0))</f>
        <v>0</v>
      </c>
      <c r="Q890" s="30">
        <f>IF(OR(H890&lt;&gt;"Realizado",P890="",P890=0),"",A890+P890)</f>
        <v/>
      </c>
      <c r="R890" s="26">
        <f>IF(Q890="","",IF(COUNTIFS($E$5:$E$3004,E890,$A$5:$A$3004,"&gt;"&amp;A890,$H$5:$H$3004,"&lt;&gt;Falta",$H$5:$H$3004,"&lt;&gt;Cancelado",$H$5:$H$3004,"&lt;&gt;Remarcado")&gt;0,"Sim","Não"))</f>
        <v/>
      </c>
      <c r="S890" s="32">
        <f>IF(R890&lt;&gt;"Não","",IF(Q890+Config!$B$9&lt;=Config!$B$8,Config!$B$8-Q890,""))</f>
        <v/>
      </c>
      <c r="T890" s="26">
        <f>IF(S890="","","Sim")</f>
        <v/>
      </c>
      <c r="U890" s="41">
        <f>IF(T890="Sim",S890+ROW()/100000,0)</f>
        <v>0</v>
      </c>
      <c r="V890" s="41">
        <f>IF(AND(H890="Falta",L890=Config!$B$7,M890=Config!$B$5,COUNTIFS($E$5:E890,E890,$H$5:H890,"Falta",$L$5:L890,Config!$B$7,$M$5:M890,Config!$B$5)=1),COUNTIFS($E$5:$E$3004,E890,$H$5:$H$3004,"Falta",$L$5:$L$3004,Config!$B$7,$M$5:$M$3004,Config!$B$5)*1000-ROW()/100000,0)</f>
        <v>0</v>
      </c>
    </row>
    <row r="891">
      <c r="A891" s="39" t="n">
        <v>46265</v>
      </c>
      <c r="B891" s="40" t="n">
        <v>0.3333333333333333</v>
      </c>
      <c r="C891" s="35" t="inlineStr">
        <is>
          <t>Dra. Carolina Mendes</t>
        </is>
      </c>
      <c r="D891" s="35" t="inlineStr">
        <is>
          <t>Sala 1</t>
        </is>
      </c>
      <c r="E891" s="34" t="inlineStr">
        <is>
          <t>Elaine Cardoso</t>
        </is>
      </c>
      <c r="F891" s="35" t="inlineStr">
        <is>
          <t>Particular</t>
        </is>
      </c>
      <c r="G891" s="35" t="inlineStr">
        <is>
          <t>Retorno</t>
        </is>
      </c>
      <c r="H891" s="35" t="inlineStr">
        <is>
          <t>Realizado</t>
        </is>
      </c>
      <c r="I891" s="35" t="inlineStr">
        <is>
          <t>Sem cobrança</t>
        </is>
      </c>
      <c r="J891" s="35" t="n"/>
      <c r="K891" s="34" t="n"/>
      <c r="L891" s="26">
        <f>IF(A891="","",MONTH(A891))</f>
        <v>8</v>
      </c>
      <c r="M891" s="26">
        <f>IF(A891="","",YEAR(A891))</f>
        <v>2026</v>
      </c>
      <c r="N891" s="26" t="str">
        <f>IF(A891="","",CHOOSE(WEEKDAY(A891,2),"Segunda","Terça","Quarta","Quinta","Sexta","Sábado","Domingo"))</f>
        <v>Segunda</v>
      </c>
      <c r="O891" s="26" t="str">
        <f>IF(B891="","",IF(B891&lt;TIME(12,0,0),"Manhã",IF(B891&lt;TIME(18,0,0),"Tarde","Noite")))</f>
        <v>Manhã</v>
      </c>
      <c r="P891" s="32">
        <f>IF(G891="","",IFERROR(INDEX(Config!$I$5:$I$16,MATCH(G891,Config!$H$5:$H$16,0)),0))</f>
        <v>0</v>
      </c>
      <c r="Q891" s="30">
        <f>IF(OR(H891&lt;&gt;"Realizado",P891="",P891=0),"",A891+P891)</f>
        <v/>
      </c>
      <c r="R891" s="26">
        <f>IF(Q891="","",IF(COUNTIFS($E$5:$E$3004,E891,$A$5:$A$3004,"&gt;"&amp;A891,$H$5:$H$3004,"&lt;&gt;Falta",$H$5:$H$3004,"&lt;&gt;Cancelado",$H$5:$H$3004,"&lt;&gt;Remarcado")&gt;0,"Sim","Não"))</f>
        <v/>
      </c>
      <c r="S891" s="32">
        <f>IF(R891&lt;&gt;"Não","",IF(Q891+Config!$B$9&lt;=Config!$B$8,Config!$B$8-Q891,""))</f>
        <v/>
      </c>
      <c r="T891" s="26">
        <f>IF(S891="","","Sim")</f>
        <v/>
      </c>
      <c r="U891" s="41">
        <f>IF(T891="Sim",S891+ROW()/100000,0)</f>
        <v>0</v>
      </c>
      <c r="V891" s="41">
        <f>IF(AND(H891="Falta",L891=Config!$B$7,M891=Config!$B$5,COUNTIFS($E$5:E891,E891,$H$5:H891,"Falta",$L$5:L891,Config!$B$7,$M$5:M891,Config!$B$5)=1),COUNTIFS($E$5:$E$3004,E891,$H$5:$H$3004,"Falta",$L$5:$L$3004,Config!$B$7,$M$5:$M$3004,Config!$B$5)*1000-ROW()/100000,0)</f>
        <v>0</v>
      </c>
    </row>
    <row r="892">
      <c r="A892" s="39" t="n">
        <v>46265</v>
      </c>
      <c r="B892" s="40" t="n">
        <v>0.3472222222222222</v>
      </c>
      <c r="C892" s="35" t="inlineStr">
        <is>
          <t>Dra. Carolina Mendes</t>
        </is>
      </c>
      <c r="D892" s="35" t="inlineStr">
        <is>
          <t>Sala 1</t>
        </is>
      </c>
      <c r="E892" s="34" t="inlineStr">
        <is>
          <t>Lucas Xavier</t>
        </is>
      </c>
      <c r="F892" s="35" t="inlineStr">
        <is>
          <t>Saúde Total</t>
        </is>
      </c>
      <c r="G892" s="35" t="inlineStr">
        <is>
          <t>Consulta</t>
        </is>
      </c>
      <c r="H892" s="35" t="inlineStr">
        <is>
          <t>Realizado</t>
        </is>
      </c>
      <c r="I892" s="35" t="inlineStr">
        <is>
          <t>Convênio</t>
        </is>
      </c>
      <c r="J892" s="35" t="n"/>
      <c r="K892" s="34" t="n"/>
      <c r="L892" s="26">
        <f>IF(A892="","",MONTH(A892))</f>
        <v>8</v>
      </c>
      <c r="M892" s="26">
        <f>IF(A892="","",YEAR(A892))</f>
        <v>2026</v>
      </c>
      <c r="N892" s="26" t="str">
        <f>IF(A892="","",CHOOSE(WEEKDAY(A892,2),"Segunda","Terça","Quarta","Quinta","Sexta","Sábado","Domingo"))</f>
        <v>Segunda</v>
      </c>
      <c r="O892" s="26" t="str">
        <f>IF(B892="","",IF(B892&lt;TIME(12,0,0),"Manhã",IF(B892&lt;TIME(18,0,0),"Tarde","Noite")))</f>
        <v>Manhã</v>
      </c>
      <c r="P892" s="32">
        <f>IF(G892="","",IFERROR(INDEX(Config!$I$5:$I$16,MATCH(G892,Config!$H$5:$H$16,0)),0))</f>
        <v>30</v>
      </c>
      <c r="Q892" s="30">
        <f>IF(OR(H892&lt;&gt;"Realizado",P892="",P892=0),"",A892+P892)</f>
        <v>46295.0</v>
      </c>
      <c r="R892" s="26" t="str">
        <f>IF(Q892="","",IF(COUNTIFS($E$5:$E$3004,E892,$A$5:$A$3004,"&gt;"&amp;A892,$H$5:$H$3004,"&lt;&gt;Falta",$H$5:$H$3004,"&lt;&gt;Cancelado",$H$5:$H$3004,"&lt;&gt;Remarcado")&gt;0,"Sim","Não"))</f>
        <v>Não</v>
      </c>
      <c r="S892" s="32">
        <f>IF(R892&lt;&gt;"Não","",IF(Q892+Config!$B$9&lt;=Config!$B$8,Config!$B$8-Q892,""))</f>
        <v/>
      </c>
      <c r="T892" s="26">
        <f>IF(S892="","","Sim")</f>
        <v/>
      </c>
      <c r="U892" s="41">
        <f>IF(T892="Sim",S892+ROW()/100000,0)</f>
        <v>0</v>
      </c>
      <c r="V892" s="41">
        <f>IF(AND(H892="Falta",L892=Config!$B$7,M892=Config!$B$5,COUNTIFS($E$5:E892,E892,$H$5:H892,"Falta",$L$5:L892,Config!$B$7,$M$5:M892,Config!$B$5)=1),COUNTIFS($E$5:$E$3004,E892,$H$5:$H$3004,"Falta",$L$5:$L$3004,Config!$B$7,$M$5:$M$3004,Config!$B$5)*1000-ROW()/100000,0)</f>
        <v>0</v>
      </c>
    </row>
    <row r="893">
      <c r="A893" s="39" t="n">
        <v>46265</v>
      </c>
      <c r="B893" s="40" t="n">
        <v>0.3680555555555556</v>
      </c>
      <c r="C893" s="35" t="inlineStr">
        <is>
          <t>Dra. Carolina Mendes</t>
        </is>
      </c>
      <c r="D893" s="35" t="inlineStr">
        <is>
          <t>Sala 1</t>
        </is>
      </c>
      <c r="E893" s="34" t="inlineStr">
        <is>
          <t>Eduardo Nunes</t>
        </is>
      </c>
      <c r="F893" s="35" t="inlineStr">
        <is>
          <t>MediPlan</t>
        </is>
      </c>
      <c r="G893" s="35" t="inlineStr">
        <is>
          <t>Consulta</t>
        </is>
      </c>
      <c r="H893" s="35" t="inlineStr">
        <is>
          <t>Realizado</t>
        </is>
      </c>
      <c r="I893" s="35" t="inlineStr">
        <is>
          <t>Convênio</t>
        </is>
      </c>
      <c r="J893" s="35" t="n"/>
      <c r="K893" s="34" t="n"/>
      <c r="L893" s="26">
        <f>IF(A893="","",MONTH(A893))</f>
        <v>8</v>
      </c>
      <c r="M893" s="26">
        <f>IF(A893="","",YEAR(A893))</f>
        <v>2026</v>
      </c>
      <c r="N893" s="26" t="str">
        <f>IF(A893="","",CHOOSE(WEEKDAY(A893,2),"Segunda","Terça","Quarta","Quinta","Sexta","Sábado","Domingo"))</f>
        <v>Segunda</v>
      </c>
      <c r="O893" s="26" t="str">
        <f>IF(B893="","",IF(B893&lt;TIME(12,0,0),"Manhã",IF(B893&lt;TIME(18,0,0),"Tarde","Noite")))</f>
        <v>Manhã</v>
      </c>
      <c r="P893" s="32">
        <f>IF(G893="","",IFERROR(INDEX(Config!$I$5:$I$16,MATCH(G893,Config!$H$5:$H$16,0)),0))</f>
        <v>30</v>
      </c>
      <c r="Q893" s="30">
        <f>IF(OR(H893&lt;&gt;"Realizado",P893="",P893=0),"",A893+P893)</f>
        <v>46295.0</v>
      </c>
      <c r="R893" s="26" t="str">
        <f>IF(Q893="","",IF(COUNTIFS($E$5:$E$3004,E893,$A$5:$A$3004,"&gt;"&amp;A893,$H$5:$H$3004,"&lt;&gt;Falta",$H$5:$H$3004,"&lt;&gt;Cancelado",$H$5:$H$3004,"&lt;&gt;Remarcado")&gt;0,"Sim","Não"))</f>
        <v>Sim</v>
      </c>
      <c r="S893" s="32">
        <f>IF(R893&lt;&gt;"Não","",IF(Q893+Config!$B$9&lt;=Config!$B$8,Config!$B$8-Q893,""))</f>
        <v/>
      </c>
      <c r="T893" s="26">
        <f>IF(S893="","","Sim")</f>
        <v/>
      </c>
      <c r="U893" s="41">
        <f>IF(T893="Sim",S893+ROW()/100000,0)</f>
        <v>0</v>
      </c>
      <c r="V893" s="41">
        <f>IF(AND(H893="Falta",L893=Config!$B$7,M893=Config!$B$5,COUNTIFS($E$5:E893,E893,$H$5:H893,"Falta",$L$5:L893,Config!$B$7,$M$5:M893,Config!$B$5)=1),COUNTIFS($E$5:$E$3004,E893,$H$5:$H$3004,"Falta",$L$5:$L$3004,Config!$B$7,$M$5:$M$3004,Config!$B$5)*1000-ROW()/100000,0)</f>
        <v>0</v>
      </c>
    </row>
    <row r="894">
      <c r="A894" s="39" t="n">
        <v>46265</v>
      </c>
      <c r="B894" s="40" t="n">
        <v>0.4097222222222222</v>
      </c>
      <c r="C894" s="35" t="inlineStr">
        <is>
          <t>Dra. Carolina Mendes</t>
        </is>
      </c>
      <c r="D894" s="35" t="inlineStr">
        <is>
          <t>Sala 1</t>
        </is>
      </c>
      <c r="E894" s="34" t="inlineStr">
        <is>
          <t>Simone Monteiro</t>
        </is>
      </c>
      <c r="F894" s="35" t="inlineStr">
        <is>
          <t>Vida Care</t>
        </is>
      </c>
      <c r="G894" s="35" t="inlineStr">
        <is>
          <t>Consulta</t>
        </is>
      </c>
      <c r="H894" s="35" t="inlineStr">
        <is>
          <t>Realizado</t>
        </is>
      </c>
      <c r="I894" s="35" t="inlineStr">
        <is>
          <t>Convênio</t>
        </is>
      </c>
      <c r="J894" s="35" t="n"/>
      <c r="K894" s="34" t="n"/>
      <c r="L894" s="26">
        <f>IF(A894="","",MONTH(A894))</f>
        <v>8</v>
      </c>
      <c r="M894" s="26">
        <f>IF(A894="","",YEAR(A894))</f>
        <v>2026</v>
      </c>
      <c r="N894" s="26" t="str">
        <f>IF(A894="","",CHOOSE(WEEKDAY(A894,2),"Segunda","Terça","Quarta","Quinta","Sexta","Sábado","Domingo"))</f>
        <v>Segunda</v>
      </c>
      <c r="O894" s="26" t="str">
        <f>IF(B894="","",IF(B894&lt;TIME(12,0,0),"Manhã",IF(B894&lt;TIME(18,0,0),"Tarde","Noite")))</f>
        <v>Manhã</v>
      </c>
      <c r="P894" s="32">
        <f>IF(G894="","",IFERROR(INDEX(Config!$I$5:$I$16,MATCH(G894,Config!$H$5:$H$16,0)),0))</f>
        <v>30</v>
      </c>
      <c r="Q894" s="30">
        <f>IF(OR(H894&lt;&gt;"Realizado",P894="",P894=0),"",A894+P894)</f>
        <v>46295.0</v>
      </c>
      <c r="R894" s="26" t="str">
        <f>IF(Q894="","",IF(COUNTIFS($E$5:$E$3004,E894,$A$5:$A$3004,"&gt;"&amp;A894,$H$5:$H$3004,"&lt;&gt;Falta",$H$5:$H$3004,"&lt;&gt;Cancelado",$H$5:$H$3004,"&lt;&gt;Remarcado")&gt;0,"Sim","Não"))</f>
        <v>Sim</v>
      </c>
      <c r="S894" s="32">
        <f>IF(R894&lt;&gt;"Não","",IF(Q894+Config!$B$9&lt;=Config!$B$8,Config!$B$8-Q894,""))</f>
        <v/>
      </c>
      <c r="T894" s="26">
        <f>IF(S894="","","Sim")</f>
        <v/>
      </c>
      <c r="U894" s="41">
        <f>IF(T894="Sim",S894+ROW()/100000,0)</f>
        <v>0</v>
      </c>
      <c r="V894" s="41">
        <f>IF(AND(H894="Falta",L894=Config!$B$7,M894=Config!$B$5,COUNTIFS($E$5:E894,E894,$H$5:H894,"Falta",$L$5:L894,Config!$B$7,$M$5:M894,Config!$B$5)=1),COUNTIFS($E$5:$E$3004,E894,$H$5:$H$3004,"Falta",$L$5:$L$3004,Config!$B$7,$M$5:$M$3004,Config!$B$5)*1000-ROW()/100000,0)</f>
        <v>0</v>
      </c>
    </row>
    <row r="895">
      <c r="A895" s="39" t="n">
        <v>46265</v>
      </c>
      <c r="B895" s="40" t="n">
        <v>0.4305555555555556</v>
      </c>
      <c r="C895" s="35" t="inlineStr">
        <is>
          <t>Dra. Carolina Mendes</t>
        </is>
      </c>
      <c r="D895" s="35" t="inlineStr">
        <is>
          <t>Sala 1</t>
        </is>
      </c>
      <c r="E895" s="34" t="inlineStr">
        <is>
          <t>Isabela Nascimento</t>
        </is>
      </c>
      <c r="F895" s="35" t="inlineStr">
        <is>
          <t>Vida Care</t>
        </is>
      </c>
      <c r="G895" s="35" t="inlineStr">
        <is>
          <t>Consulta</t>
        </is>
      </c>
      <c r="H895" s="35" t="inlineStr">
        <is>
          <t>Realizado</t>
        </is>
      </c>
      <c r="I895" s="35" t="inlineStr">
        <is>
          <t>Convênio</t>
        </is>
      </c>
      <c r="J895" s="35" t="n"/>
      <c r="K895" s="34" t="n"/>
      <c r="L895" s="26">
        <f>IF(A895="","",MONTH(A895))</f>
        <v>8</v>
      </c>
      <c r="M895" s="26">
        <f>IF(A895="","",YEAR(A895))</f>
        <v>2026</v>
      </c>
      <c r="N895" s="26" t="str">
        <f>IF(A895="","",CHOOSE(WEEKDAY(A895,2),"Segunda","Terça","Quarta","Quinta","Sexta","Sábado","Domingo"))</f>
        <v>Segunda</v>
      </c>
      <c r="O895" s="26" t="str">
        <f>IF(B895="","",IF(B895&lt;TIME(12,0,0),"Manhã",IF(B895&lt;TIME(18,0,0),"Tarde","Noite")))</f>
        <v>Manhã</v>
      </c>
      <c r="P895" s="32">
        <f>IF(G895="","",IFERROR(INDEX(Config!$I$5:$I$16,MATCH(G895,Config!$H$5:$H$16,0)),0))</f>
        <v>30</v>
      </c>
      <c r="Q895" s="30">
        <f>IF(OR(H895&lt;&gt;"Realizado",P895="",P895=0),"",A895+P895)</f>
        <v>46295.0</v>
      </c>
      <c r="R895" s="26" t="str">
        <f>IF(Q895="","",IF(COUNTIFS($E$5:$E$3004,E895,$A$5:$A$3004,"&gt;"&amp;A895,$H$5:$H$3004,"&lt;&gt;Falta",$H$5:$H$3004,"&lt;&gt;Cancelado",$H$5:$H$3004,"&lt;&gt;Remarcado")&gt;0,"Sim","Não"))</f>
        <v>Sim</v>
      </c>
      <c r="S895" s="32">
        <f>IF(R895&lt;&gt;"Não","",IF(Q895+Config!$B$9&lt;=Config!$B$8,Config!$B$8-Q895,""))</f>
        <v/>
      </c>
      <c r="T895" s="26">
        <f>IF(S895="","","Sim")</f>
        <v/>
      </c>
      <c r="U895" s="41">
        <f>IF(T895="Sim",S895+ROW()/100000,0)</f>
        <v>0</v>
      </c>
      <c r="V895" s="41">
        <f>IF(AND(H895="Falta",L895=Config!$B$7,M895=Config!$B$5,COUNTIFS($E$5:E895,E895,$H$5:H895,"Falta",$L$5:L895,Config!$B$7,$M$5:M895,Config!$B$5)=1),COUNTIFS($E$5:$E$3004,E895,$H$5:$H$3004,"Falta",$L$5:$L$3004,Config!$B$7,$M$5:$M$3004,Config!$B$5)*1000-ROW()/100000,0)</f>
        <v>0</v>
      </c>
    </row>
    <row r="896">
      <c r="A896" s="39" t="n">
        <v>46265</v>
      </c>
      <c r="B896" s="40" t="n">
        <v>0.4513888888888889</v>
      </c>
      <c r="C896" s="35" t="inlineStr">
        <is>
          <t>Dra. Carolina Mendes</t>
        </is>
      </c>
      <c r="D896" s="35" t="inlineStr">
        <is>
          <t>Sala 1</t>
        </is>
      </c>
      <c r="E896" s="34" t="inlineStr">
        <is>
          <t>Renato Dias</t>
        </is>
      </c>
      <c r="F896" s="35" t="inlineStr">
        <is>
          <t>Particular</t>
        </is>
      </c>
      <c r="G896" s="35" t="inlineStr">
        <is>
          <t>Consulta</t>
        </is>
      </c>
      <c r="H896" s="35" t="inlineStr">
        <is>
          <t>Realizado</t>
        </is>
      </c>
      <c r="I896" s="35" t="inlineStr">
        <is>
          <t>Cartão de débito</t>
        </is>
      </c>
      <c r="J896" s="35" t="n"/>
      <c r="K896" s="34" t="n"/>
      <c r="L896" s="26">
        <f>IF(A896="","",MONTH(A896))</f>
        <v>8</v>
      </c>
      <c r="M896" s="26">
        <f>IF(A896="","",YEAR(A896))</f>
        <v>2026</v>
      </c>
      <c r="N896" s="26" t="str">
        <f>IF(A896="","",CHOOSE(WEEKDAY(A896,2),"Segunda","Terça","Quarta","Quinta","Sexta","Sábado","Domingo"))</f>
        <v>Segunda</v>
      </c>
      <c r="O896" s="26" t="str">
        <f>IF(B896="","",IF(B896&lt;TIME(12,0,0),"Manhã",IF(B896&lt;TIME(18,0,0),"Tarde","Noite")))</f>
        <v>Manhã</v>
      </c>
      <c r="P896" s="32">
        <f>IF(G896="","",IFERROR(INDEX(Config!$I$5:$I$16,MATCH(G896,Config!$H$5:$H$16,0)),0))</f>
        <v>30</v>
      </c>
      <c r="Q896" s="30">
        <f>IF(OR(H896&lt;&gt;"Realizado",P896="",P896=0),"",A896+P896)</f>
        <v>46295.0</v>
      </c>
      <c r="R896" s="26" t="str">
        <f>IF(Q896="","",IF(COUNTIFS($E$5:$E$3004,E896,$A$5:$A$3004,"&gt;"&amp;A896,$H$5:$H$3004,"&lt;&gt;Falta",$H$5:$H$3004,"&lt;&gt;Cancelado",$H$5:$H$3004,"&lt;&gt;Remarcado")&gt;0,"Sim","Não"))</f>
        <v>Sim</v>
      </c>
      <c r="S896" s="32">
        <f>IF(R896&lt;&gt;"Não","",IF(Q896+Config!$B$9&lt;=Config!$B$8,Config!$B$8-Q896,""))</f>
        <v/>
      </c>
      <c r="T896" s="26">
        <f>IF(S896="","","Sim")</f>
        <v/>
      </c>
      <c r="U896" s="41">
        <f>IF(T896="Sim",S896+ROW()/100000,0)</f>
        <v>0</v>
      </c>
      <c r="V896" s="41">
        <f>IF(AND(H896="Falta",L896=Config!$B$7,M896=Config!$B$5,COUNTIFS($E$5:E896,E896,$H$5:H896,"Falta",$L$5:L896,Config!$B$7,$M$5:M896,Config!$B$5)=1),COUNTIFS($E$5:$E$3004,E896,$H$5:$H$3004,"Falta",$L$5:$L$3004,Config!$B$7,$M$5:$M$3004,Config!$B$5)*1000-ROW()/100000,0)</f>
        <v>0</v>
      </c>
    </row>
    <row r="897">
      <c r="A897" s="39" t="n">
        <v>46265</v>
      </c>
      <c r="B897" s="40" t="n">
        <v>0.4722222222222222</v>
      </c>
      <c r="C897" s="35" t="inlineStr">
        <is>
          <t>Dra. Carolina Mendes</t>
        </is>
      </c>
      <c r="D897" s="35" t="inlineStr">
        <is>
          <t>Sala 1</t>
        </is>
      </c>
      <c r="E897" s="34" t="inlineStr">
        <is>
          <t>Mônica Teixeira</t>
        </is>
      </c>
      <c r="F897" s="35" t="inlineStr">
        <is>
          <t>Vida Care</t>
        </is>
      </c>
      <c r="G897" s="35" t="inlineStr">
        <is>
          <t>Consulta</t>
        </is>
      </c>
      <c r="H897" s="35" t="inlineStr">
        <is>
          <t>Cancelado</t>
        </is>
      </c>
      <c r="I897" s="35" t="n"/>
      <c r="J897" s="35" t="n"/>
      <c r="K897" s="34" t="n"/>
      <c r="L897" s="26">
        <f>IF(A897="","",MONTH(A897))</f>
        <v>8</v>
      </c>
      <c r="M897" s="26">
        <f>IF(A897="","",YEAR(A897))</f>
        <v>2026</v>
      </c>
      <c r="N897" s="26" t="str">
        <f>IF(A897="","",CHOOSE(WEEKDAY(A897,2),"Segunda","Terça","Quarta","Quinta","Sexta","Sábado","Domingo"))</f>
        <v>Segunda</v>
      </c>
      <c r="O897" s="26" t="str">
        <f>IF(B897="","",IF(B897&lt;TIME(12,0,0),"Manhã",IF(B897&lt;TIME(18,0,0),"Tarde","Noite")))</f>
        <v>Manhã</v>
      </c>
      <c r="P897" s="32">
        <f>IF(G897="","",IFERROR(INDEX(Config!$I$5:$I$16,MATCH(G897,Config!$H$5:$H$16,0)),0))</f>
        <v>30</v>
      </c>
      <c r="Q897" s="30">
        <f>IF(OR(H897&lt;&gt;"Realizado",P897="",P897=0),"",A897+P897)</f>
        <v/>
      </c>
      <c r="R897" s="26">
        <f>IF(Q897="","",IF(COUNTIFS($E$5:$E$3004,E897,$A$5:$A$3004,"&gt;"&amp;A897,$H$5:$H$3004,"&lt;&gt;Falta",$H$5:$H$3004,"&lt;&gt;Cancelado",$H$5:$H$3004,"&lt;&gt;Remarcado")&gt;0,"Sim","Não"))</f>
        <v/>
      </c>
      <c r="S897" s="32">
        <f>IF(R897&lt;&gt;"Não","",IF(Q897+Config!$B$9&lt;=Config!$B$8,Config!$B$8-Q897,""))</f>
        <v/>
      </c>
      <c r="T897" s="26">
        <f>IF(S897="","","Sim")</f>
        <v/>
      </c>
      <c r="U897" s="41">
        <f>IF(T897="Sim",S897+ROW()/100000,0)</f>
        <v>0</v>
      </c>
      <c r="V897" s="41">
        <f>IF(AND(H897="Falta",L897=Config!$B$7,M897=Config!$B$5,COUNTIFS($E$5:E897,E897,$H$5:H897,"Falta",$L$5:L897,Config!$B$7,$M$5:M897,Config!$B$5)=1),COUNTIFS($E$5:$E$3004,E897,$H$5:$H$3004,"Falta",$L$5:$L$3004,Config!$B$7,$M$5:$M$3004,Config!$B$5)*1000-ROW()/100000,0)</f>
        <v>0</v>
      </c>
    </row>
    <row r="898">
      <c r="A898" s="39" t="n">
        <v>46265</v>
      </c>
      <c r="B898" s="40" t="n">
        <v>0.5833333333333334</v>
      </c>
      <c r="C898" s="35" t="inlineStr">
        <is>
          <t>Dr. Paulo Andrade</t>
        </is>
      </c>
      <c r="D898" s="35" t="inlineStr">
        <is>
          <t>Sala 2</t>
        </is>
      </c>
      <c r="E898" s="34" t="inlineStr">
        <is>
          <t>Henrique Ribeiro</t>
        </is>
      </c>
      <c r="F898" s="35" t="inlineStr">
        <is>
          <t>Particular</t>
        </is>
      </c>
      <c r="G898" s="35" t="inlineStr">
        <is>
          <t>Consulta</t>
        </is>
      </c>
      <c r="H898" s="35" t="inlineStr">
        <is>
          <t>Realizado</t>
        </is>
      </c>
      <c r="I898" s="35" t="inlineStr">
        <is>
          <t>Pix</t>
        </is>
      </c>
      <c r="J898" s="35" t="n"/>
      <c r="K898" s="34" t="n"/>
      <c r="L898" s="26">
        <f>IF(A898="","",MONTH(A898))</f>
        <v>8</v>
      </c>
      <c r="M898" s="26">
        <f>IF(A898="","",YEAR(A898))</f>
        <v>2026</v>
      </c>
      <c r="N898" s="26" t="str">
        <f>IF(A898="","",CHOOSE(WEEKDAY(A898,2),"Segunda","Terça","Quarta","Quinta","Sexta","Sábado","Domingo"))</f>
        <v>Segunda</v>
      </c>
      <c r="O898" s="26" t="str">
        <f>IF(B898="","",IF(B898&lt;TIME(12,0,0),"Manhã",IF(B898&lt;TIME(18,0,0),"Tarde","Noite")))</f>
        <v>Tarde</v>
      </c>
      <c r="P898" s="32">
        <f>IF(G898="","",IFERROR(INDEX(Config!$I$5:$I$16,MATCH(G898,Config!$H$5:$H$16,0)),0))</f>
        <v>30</v>
      </c>
      <c r="Q898" s="30">
        <f>IF(OR(H898&lt;&gt;"Realizado",P898="",P898=0),"",A898+P898)</f>
        <v>46295.0</v>
      </c>
      <c r="R898" s="26" t="str">
        <f>IF(Q898="","",IF(COUNTIFS($E$5:$E$3004,E898,$A$5:$A$3004,"&gt;"&amp;A898,$H$5:$H$3004,"&lt;&gt;Falta",$H$5:$H$3004,"&lt;&gt;Cancelado",$H$5:$H$3004,"&lt;&gt;Remarcado")&gt;0,"Sim","Não"))</f>
        <v>Sim</v>
      </c>
      <c r="S898" s="32">
        <f>IF(R898&lt;&gt;"Não","",IF(Q898+Config!$B$9&lt;=Config!$B$8,Config!$B$8-Q898,""))</f>
        <v/>
      </c>
      <c r="T898" s="26">
        <f>IF(S898="","","Sim")</f>
        <v/>
      </c>
      <c r="U898" s="41">
        <f>IF(T898="Sim",S898+ROW()/100000,0)</f>
        <v>0</v>
      </c>
      <c r="V898" s="41">
        <f>IF(AND(H898="Falta",L898=Config!$B$7,M898=Config!$B$5,COUNTIFS($E$5:E898,E898,$H$5:H898,"Falta",$L$5:L898,Config!$B$7,$M$5:M898,Config!$B$5)=1),COUNTIFS($E$5:$E$3004,E898,$H$5:$H$3004,"Falta",$L$5:$L$3004,Config!$B$7,$M$5:$M$3004,Config!$B$5)*1000-ROW()/100000,0)</f>
        <v>0</v>
      </c>
    </row>
    <row r="899">
      <c r="A899" s="39" t="n">
        <v>46265</v>
      </c>
      <c r="B899" s="40" t="n">
        <v>0.625</v>
      </c>
      <c r="C899" s="35" t="inlineStr">
        <is>
          <t>Dr. Paulo Andrade</t>
        </is>
      </c>
      <c r="D899" s="35" t="inlineStr">
        <is>
          <t>Sala 2</t>
        </is>
      </c>
      <c r="E899" s="34" t="inlineStr">
        <is>
          <t>Rafael Correia</t>
        </is>
      </c>
      <c r="F899" s="35" t="inlineStr">
        <is>
          <t>Particular</t>
        </is>
      </c>
      <c r="G899" s="35" t="inlineStr">
        <is>
          <t>Retorno</t>
        </is>
      </c>
      <c r="H899" s="35" t="inlineStr">
        <is>
          <t>Realizado</t>
        </is>
      </c>
      <c r="I899" s="35" t="inlineStr">
        <is>
          <t>Sem cobrança</t>
        </is>
      </c>
      <c r="J899" s="35" t="n"/>
      <c r="K899" s="34" t="n"/>
      <c r="L899" s="26">
        <f>IF(A899="","",MONTH(A899))</f>
        <v>8</v>
      </c>
      <c r="M899" s="26">
        <f>IF(A899="","",YEAR(A899))</f>
        <v>2026</v>
      </c>
      <c r="N899" s="26" t="str">
        <f>IF(A899="","",CHOOSE(WEEKDAY(A899,2),"Segunda","Terça","Quarta","Quinta","Sexta","Sábado","Domingo"))</f>
        <v>Segunda</v>
      </c>
      <c r="O899" s="26" t="str">
        <f>IF(B899="","",IF(B899&lt;TIME(12,0,0),"Manhã",IF(B899&lt;TIME(18,0,0),"Tarde","Noite")))</f>
        <v>Tarde</v>
      </c>
      <c r="P899" s="32">
        <f>IF(G899="","",IFERROR(INDEX(Config!$I$5:$I$16,MATCH(G899,Config!$H$5:$H$16,0)),0))</f>
        <v>0</v>
      </c>
      <c r="Q899" s="30">
        <f>IF(OR(H899&lt;&gt;"Realizado",P899="",P899=0),"",A899+P899)</f>
        <v/>
      </c>
      <c r="R899" s="26">
        <f>IF(Q899="","",IF(COUNTIFS($E$5:$E$3004,E899,$A$5:$A$3004,"&gt;"&amp;A899,$H$5:$H$3004,"&lt;&gt;Falta",$H$5:$H$3004,"&lt;&gt;Cancelado",$H$5:$H$3004,"&lt;&gt;Remarcado")&gt;0,"Sim","Não"))</f>
        <v/>
      </c>
      <c r="S899" s="32">
        <f>IF(R899&lt;&gt;"Não","",IF(Q899+Config!$B$9&lt;=Config!$B$8,Config!$B$8-Q899,""))</f>
        <v/>
      </c>
      <c r="T899" s="26">
        <f>IF(S899="","","Sim")</f>
        <v/>
      </c>
      <c r="U899" s="41">
        <f>IF(T899="Sim",S899+ROW()/100000,0)</f>
        <v>0</v>
      </c>
      <c r="V899" s="41">
        <f>IF(AND(H899="Falta",L899=Config!$B$7,M899=Config!$B$5,COUNTIFS($E$5:E899,E899,$H$5:H899,"Falta",$L$5:L899,Config!$B$7,$M$5:M899,Config!$B$5)=1),COUNTIFS($E$5:$E$3004,E899,$H$5:$H$3004,"Falta",$L$5:$L$3004,Config!$B$7,$M$5:$M$3004,Config!$B$5)*1000-ROW()/100000,0)</f>
        <v>0</v>
      </c>
    </row>
    <row r="900">
      <c r="A900" s="39" t="n">
        <v>46265</v>
      </c>
      <c r="B900" s="40" t="n">
        <v>0.6597222222222222</v>
      </c>
      <c r="C900" s="35" t="inlineStr">
        <is>
          <t>Dr. Paulo Andrade</t>
        </is>
      </c>
      <c r="D900" s="35" t="inlineStr">
        <is>
          <t>Sala 2</t>
        </is>
      </c>
      <c r="E900" s="34" t="inlineStr">
        <is>
          <t>Sandra Martins</t>
        </is>
      </c>
      <c r="F900" s="35" t="inlineStr">
        <is>
          <t>MediPlan</t>
        </is>
      </c>
      <c r="G900" s="35" t="inlineStr">
        <is>
          <t>Retorno</t>
        </is>
      </c>
      <c r="H900" s="35" t="inlineStr">
        <is>
          <t>Realizado</t>
        </is>
      </c>
      <c r="I900" s="35" t="inlineStr">
        <is>
          <t>Sem cobrança</t>
        </is>
      </c>
      <c r="J900" s="35" t="n"/>
      <c r="K900" s="34" t="n"/>
      <c r="L900" s="26">
        <f>IF(A900="","",MONTH(A900))</f>
        <v>8</v>
      </c>
      <c r="M900" s="26">
        <f>IF(A900="","",YEAR(A900))</f>
        <v>2026</v>
      </c>
      <c r="N900" s="26" t="str">
        <f>IF(A900="","",CHOOSE(WEEKDAY(A900,2),"Segunda","Terça","Quarta","Quinta","Sexta","Sábado","Domingo"))</f>
        <v>Segunda</v>
      </c>
      <c r="O900" s="26" t="str">
        <f>IF(B900="","",IF(B900&lt;TIME(12,0,0),"Manhã",IF(B900&lt;TIME(18,0,0),"Tarde","Noite")))</f>
        <v>Tarde</v>
      </c>
      <c r="P900" s="32">
        <f>IF(G900="","",IFERROR(INDEX(Config!$I$5:$I$16,MATCH(G900,Config!$H$5:$H$16,0)),0))</f>
        <v>0</v>
      </c>
      <c r="Q900" s="30">
        <f>IF(OR(H900&lt;&gt;"Realizado",P900="",P900=0),"",A900+P900)</f>
        <v/>
      </c>
      <c r="R900" s="26">
        <f>IF(Q900="","",IF(COUNTIFS($E$5:$E$3004,E900,$A$5:$A$3004,"&gt;"&amp;A900,$H$5:$H$3004,"&lt;&gt;Falta",$H$5:$H$3004,"&lt;&gt;Cancelado",$H$5:$H$3004,"&lt;&gt;Remarcado")&gt;0,"Sim","Não"))</f>
        <v/>
      </c>
      <c r="S900" s="32">
        <f>IF(R900&lt;&gt;"Não","",IF(Q900+Config!$B$9&lt;=Config!$B$8,Config!$B$8-Q900,""))</f>
        <v/>
      </c>
      <c r="T900" s="26">
        <f>IF(S900="","","Sim")</f>
        <v/>
      </c>
      <c r="U900" s="41">
        <f>IF(T900="Sim",S900+ROW()/100000,0)</f>
        <v>0</v>
      </c>
      <c r="V900" s="41">
        <f>IF(AND(H900="Falta",L900=Config!$B$7,M900=Config!$B$5,COUNTIFS($E$5:E900,E900,$H$5:H900,"Falta",$L$5:L900,Config!$B$7,$M$5:M900,Config!$B$5)=1),COUNTIFS($E$5:$E$3004,E900,$H$5:$H$3004,"Falta",$L$5:$L$3004,Config!$B$7,$M$5:$M$3004,Config!$B$5)*1000-ROW()/100000,0)</f>
        <v>0</v>
      </c>
    </row>
    <row r="901">
      <c r="A901" s="39" t="n">
        <v>46265</v>
      </c>
      <c r="B901" s="40" t="n">
        <v>0.6736111111111112</v>
      </c>
      <c r="C901" s="35" t="inlineStr">
        <is>
          <t>Dr. Paulo Andrade</t>
        </is>
      </c>
      <c r="D901" s="35" t="inlineStr">
        <is>
          <t>Sala 2</t>
        </is>
      </c>
      <c r="E901" s="34" t="inlineStr">
        <is>
          <t>Leandro Cardoso</t>
        </is>
      </c>
      <c r="F901" s="35" t="inlineStr">
        <is>
          <t>MediPlan</t>
        </is>
      </c>
      <c r="G901" s="35" t="inlineStr">
        <is>
          <t>Consulta</t>
        </is>
      </c>
      <c r="H901" s="35" t="inlineStr">
        <is>
          <t>Realizado</t>
        </is>
      </c>
      <c r="I901" s="35" t="inlineStr">
        <is>
          <t>Convênio</t>
        </is>
      </c>
      <c r="J901" s="35" t="n"/>
      <c r="K901" s="34" t="n"/>
      <c r="L901" s="26">
        <f>IF(A901="","",MONTH(A901))</f>
        <v>8</v>
      </c>
      <c r="M901" s="26">
        <f>IF(A901="","",YEAR(A901))</f>
        <v>2026</v>
      </c>
      <c r="N901" s="26" t="str">
        <f>IF(A901="","",CHOOSE(WEEKDAY(A901,2),"Segunda","Terça","Quarta","Quinta","Sexta","Sábado","Domingo"))</f>
        <v>Segunda</v>
      </c>
      <c r="O901" s="26" t="str">
        <f>IF(B901="","",IF(B901&lt;TIME(12,0,0),"Manhã",IF(B901&lt;TIME(18,0,0),"Tarde","Noite")))</f>
        <v>Tarde</v>
      </c>
      <c r="P901" s="32">
        <f>IF(G901="","",IFERROR(INDEX(Config!$I$5:$I$16,MATCH(G901,Config!$H$5:$H$16,0)),0))</f>
        <v>30</v>
      </c>
      <c r="Q901" s="30">
        <f>IF(OR(H901&lt;&gt;"Realizado",P901="",P901=0),"",A901+P901)</f>
        <v>46295.0</v>
      </c>
      <c r="R901" s="26" t="str">
        <f>IF(Q901="","",IF(COUNTIFS($E$5:$E$3004,E901,$A$5:$A$3004,"&gt;"&amp;A901,$H$5:$H$3004,"&lt;&gt;Falta",$H$5:$H$3004,"&lt;&gt;Cancelado",$H$5:$H$3004,"&lt;&gt;Remarcado")&gt;0,"Sim","Não"))</f>
        <v>Sim</v>
      </c>
      <c r="S901" s="32">
        <f>IF(R901&lt;&gt;"Não","",IF(Q901+Config!$B$9&lt;=Config!$B$8,Config!$B$8-Q901,""))</f>
        <v/>
      </c>
      <c r="T901" s="26">
        <f>IF(S901="","","Sim")</f>
        <v/>
      </c>
      <c r="U901" s="41">
        <f>IF(T901="Sim",S901+ROW()/100000,0)</f>
        <v>0</v>
      </c>
      <c r="V901" s="41">
        <f>IF(AND(H901="Falta",L901=Config!$B$7,M901=Config!$B$5,COUNTIFS($E$5:E901,E901,$H$5:H901,"Falta",$L$5:L901,Config!$B$7,$M$5:M901,Config!$B$5)=1),COUNTIFS($E$5:$E$3004,E901,$H$5:$H$3004,"Falta",$L$5:$L$3004,Config!$B$7,$M$5:$M$3004,Config!$B$5)*1000-ROW()/100000,0)</f>
        <v>0</v>
      </c>
    </row>
    <row r="902">
      <c r="A902" s="39" t="n">
        <v>46265</v>
      </c>
      <c r="B902" s="40" t="n">
        <v>0.6944444444444444</v>
      </c>
      <c r="C902" s="35" t="inlineStr">
        <is>
          <t>Dr. Paulo Andrade</t>
        </is>
      </c>
      <c r="D902" s="35" t="inlineStr">
        <is>
          <t>Sala 2</t>
        </is>
      </c>
      <c r="E902" s="34" t="inlineStr">
        <is>
          <t>Marcelo Ferreira</t>
        </is>
      </c>
      <c r="F902" s="35" t="inlineStr">
        <is>
          <t>Particular</t>
        </is>
      </c>
      <c r="G902" s="35" t="inlineStr">
        <is>
          <t>Retorno</t>
        </is>
      </c>
      <c r="H902" s="35" t="inlineStr">
        <is>
          <t>Realizado</t>
        </is>
      </c>
      <c r="I902" s="35" t="inlineStr">
        <is>
          <t>Sem cobrança</t>
        </is>
      </c>
      <c r="J902" s="35" t="n"/>
      <c r="K902" s="34" t="n"/>
      <c r="L902" s="26">
        <f>IF(A902="","",MONTH(A902))</f>
        <v>8</v>
      </c>
      <c r="M902" s="26">
        <f>IF(A902="","",YEAR(A902))</f>
        <v>2026</v>
      </c>
      <c r="N902" s="26" t="str">
        <f>IF(A902="","",CHOOSE(WEEKDAY(A902,2),"Segunda","Terça","Quarta","Quinta","Sexta","Sábado","Domingo"))</f>
        <v>Segunda</v>
      </c>
      <c r="O902" s="26" t="str">
        <f>IF(B902="","",IF(B902&lt;TIME(12,0,0),"Manhã",IF(B902&lt;TIME(18,0,0),"Tarde","Noite")))</f>
        <v>Tarde</v>
      </c>
      <c r="P902" s="32">
        <f>IF(G902="","",IFERROR(INDEX(Config!$I$5:$I$16,MATCH(G902,Config!$H$5:$H$16,0)),0))</f>
        <v>0</v>
      </c>
      <c r="Q902" s="30">
        <f>IF(OR(H902&lt;&gt;"Realizado",P902="",P902=0),"",A902+P902)</f>
        <v/>
      </c>
      <c r="R902" s="26">
        <f>IF(Q902="","",IF(COUNTIFS($E$5:$E$3004,E902,$A$5:$A$3004,"&gt;"&amp;A902,$H$5:$H$3004,"&lt;&gt;Falta",$H$5:$H$3004,"&lt;&gt;Cancelado",$H$5:$H$3004,"&lt;&gt;Remarcado")&gt;0,"Sim","Não"))</f>
        <v/>
      </c>
      <c r="S902" s="32">
        <f>IF(R902&lt;&gt;"Não","",IF(Q902+Config!$B$9&lt;=Config!$B$8,Config!$B$8-Q902,""))</f>
        <v/>
      </c>
      <c r="T902" s="26">
        <f>IF(S902="","","Sim")</f>
        <v/>
      </c>
      <c r="U902" s="41">
        <f>IF(T902="Sim",S902+ROW()/100000,0)</f>
        <v>0</v>
      </c>
      <c r="V902" s="41">
        <f>IF(AND(H902="Falta",L902=Config!$B$7,M902=Config!$B$5,COUNTIFS($E$5:E902,E902,$H$5:H902,"Falta",$L$5:L902,Config!$B$7,$M$5:M902,Config!$B$5)=1),COUNTIFS($E$5:$E$3004,E902,$H$5:$H$3004,"Falta",$L$5:$L$3004,Config!$B$7,$M$5:$M$3004,Config!$B$5)*1000-ROW()/100000,0)</f>
        <v>0</v>
      </c>
    </row>
    <row r="903">
      <c r="A903" s="39" t="n">
        <v>46265</v>
      </c>
      <c r="B903" s="40" t="n">
        <v>0.7083333333333334</v>
      </c>
      <c r="C903" s="35" t="inlineStr">
        <is>
          <t>Dr. Paulo Andrade</t>
        </is>
      </c>
      <c r="D903" s="35" t="inlineStr">
        <is>
          <t>Sala 2</t>
        </is>
      </c>
      <c r="E903" s="34" t="inlineStr">
        <is>
          <t>Sandra Cardoso</t>
        </is>
      </c>
      <c r="F903" s="35" t="inlineStr">
        <is>
          <t>Saúde Total</t>
        </is>
      </c>
      <c r="G903" s="35" t="inlineStr">
        <is>
          <t>ECG</t>
        </is>
      </c>
      <c r="H903" s="35" t="inlineStr">
        <is>
          <t>Realizado</t>
        </is>
      </c>
      <c r="I903" s="35" t="inlineStr">
        <is>
          <t>Convênio</t>
        </is>
      </c>
      <c r="J903" s="35" t="n"/>
      <c r="K903" s="34" t="n"/>
      <c r="L903" s="26">
        <f>IF(A903="","",MONTH(A903))</f>
        <v>8</v>
      </c>
      <c r="M903" s="26">
        <f>IF(A903="","",YEAR(A903))</f>
        <v>2026</v>
      </c>
      <c r="N903" s="26" t="str">
        <f>IF(A903="","",CHOOSE(WEEKDAY(A903,2),"Segunda","Terça","Quarta","Quinta","Sexta","Sábado","Domingo"))</f>
        <v>Segunda</v>
      </c>
      <c r="O903" s="26" t="str">
        <f>IF(B903="","",IF(B903&lt;TIME(12,0,0),"Manhã",IF(B903&lt;TIME(18,0,0),"Tarde","Noite")))</f>
        <v>Tarde</v>
      </c>
      <c r="P903" s="32">
        <f>IF(G903="","",IFERROR(INDEX(Config!$I$5:$I$16,MATCH(G903,Config!$H$5:$H$16,0)),0))</f>
        <v>0</v>
      </c>
      <c r="Q903" s="30">
        <f>IF(OR(H903&lt;&gt;"Realizado",P903="",P903=0),"",A903+P903)</f>
        <v/>
      </c>
      <c r="R903" s="26">
        <f>IF(Q903="","",IF(COUNTIFS($E$5:$E$3004,E903,$A$5:$A$3004,"&gt;"&amp;A903,$H$5:$H$3004,"&lt;&gt;Falta",$H$5:$H$3004,"&lt;&gt;Cancelado",$H$5:$H$3004,"&lt;&gt;Remarcado")&gt;0,"Sim","Não"))</f>
        <v/>
      </c>
      <c r="S903" s="32">
        <f>IF(R903&lt;&gt;"Não","",IF(Q903+Config!$B$9&lt;=Config!$B$8,Config!$B$8-Q903,""))</f>
        <v/>
      </c>
      <c r="T903" s="26">
        <f>IF(S903="","","Sim")</f>
        <v/>
      </c>
      <c r="U903" s="41">
        <f>IF(T903="Sim",S903+ROW()/100000,0)</f>
        <v>0</v>
      </c>
      <c r="V903" s="41">
        <f>IF(AND(H903="Falta",L903=Config!$B$7,M903=Config!$B$5,COUNTIFS($E$5:E903,E903,$H$5:H903,"Falta",$L$5:L903,Config!$B$7,$M$5:M903,Config!$B$5)=1),COUNTIFS($E$5:$E$3004,E903,$H$5:$H$3004,"Falta",$L$5:$L$3004,Config!$B$7,$M$5:$M$3004,Config!$B$5)*1000-ROW()/100000,0)</f>
        <v>0</v>
      </c>
    </row>
    <row r="904">
      <c r="A904" s="39" t="n">
        <v>46265</v>
      </c>
      <c r="B904" s="40" t="n">
        <v>0.7222222222222222</v>
      </c>
      <c r="C904" s="35" t="inlineStr">
        <is>
          <t>Dr. Paulo Andrade</t>
        </is>
      </c>
      <c r="D904" s="35" t="inlineStr">
        <is>
          <t>Sala 2</t>
        </is>
      </c>
      <c r="E904" s="34" t="inlineStr">
        <is>
          <t>Débora Ramos</t>
        </is>
      </c>
      <c r="F904" s="35" t="inlineStr">
        <is>
          <t>Particular</t>
        </is>
      </c>
      <c r="G904" s="35" t="inlineStr">
        <is>
          <t>ECG</t>
        </is>
      </c>
      <c r="H904" s="35" t="inlineStr">
        <is>
          <t>Realizado</t>
        </is>
      </c>
      <c r="I904" s="35" t="inlineStr">
        <is>
          <t>Cartão de débito</t>
        </is>
      </c>
      <c r="J904" s="35" t="n"/>
      <c r="K904" s="34" t="n"/>
      <c r="L904" s="26">
        <f>IF(A904="","",MONTH(A904))</f>
        <v>8</v>
      </c>
      <c r="M904" s="26">
        <f>IF(A904="","",YEAR(A904))</f>
        <v>2026</v>
      </c>
      <c r="N904" s="26" t="str">
        <f>IF(A904="","",CHOOSE(WEEKDAY(A904,2),"Segunda","Terça","Quarta","Quinta","Sexta","Sábado","Domingo"))</f>
        <v>Segunda</v>
      </c>
      <c r="O904" s="26" t="str">
        <f>IF(B904="","",IF(B904&lt;TIME(12,0,0),"Manhã",IF(B904&lt;TIME(18,0,0),"Tarde","Noite")))</f>
        <v>Tarde</v>
      </c>
      <c r="P904" s="32">
        <f>IF(G904="","",IFERROR(INDEX(Config!$I$5:$I$16,MATCH(G904,Config!$H$5:$H$16,0)),0))</f>
        <v>0</v>
      </c>
      <c r="Q904" s="30">
        <f>IF(OR(H904&lt;&gt;"Realizado",P904="",P904=0),"",A904+P904)</f>
        <v/>
      </c>
      <c r="R904" s="26">
        <f>IF(Q904="","",IF(COUNTIFS($E$5:$E$3004,E904,$A$5:$A$3004,"&gt;"&amp;A904,$H$5:$H$3004,"&lt;&gt;Falta",$H$5:$H$3004,"&lt;&gt;Cancelado",$H$5:$H$3004,"&lt;&gt;Remarcado")&gt;0,"Sim","Não"))</f>
        <v/>
      </c>
      <c r="S904" s="32">
        <f>IF(R904&lt;&gt;"Não","",IF(Q904+Config!$B$9&lt;=Config!$B$8,Config!$B$8-Q904,""))</f>
        <v/>
      </c>
      <c r="T904" s="26">
        <f>IF(S904="","","Sim")</f>
        <v/>
      </c>
      <c r="U904" s="41">
        <f>IF(T904="Sim",S904+ROW()/100000,0)</f>
        <v>0</v>
      </c>
      <c r="V904" s="41">
        <f>IF(AND(H904="Falta",L904=Config!$B$7,M904=Config!$B$5,COUNTIFS($E$5:E904,E904,$H$5:H904,"Falta",$L$5:L904,Config!$B$7,$M$5:M904,Config!$B$5)=1),COUNTIFS($E$5:$E$3004,E904,$H$5:$H$3004,"Falta",$L$5:$L$3004,Config!$B$7,$M$5:$M$3004,Config!$B$5)*1000-ROW()/100000,0)</f>
        <v>0</v>
      </c>
    </row>
    <row r="905">
      <c r="A905" s="39" t="n">
        <v>46265</v>
      </c>
      <c r="B905" s="40" t="n">
        <v>0.7361111111111112</v>
      </c>
      <c r="C905" s="35" t="inlineStr">
        <is>
          <t>Dr. Paulo Andrade</t>
        </is>
      </c>
      <c r="D905" s="35" t="inlineStr">
        <is>
          <t>Sala 2</t>
        </is>
      </c>
      <c r="E905" s="34" t="inlineStr">
        <is>
          <t>Priscila Nunes</t>
        </is>
      </c>
      <c r="F905" s="35" t="inlineStr">
        <is>
          <t>MediPlan</t>
        </is>
      </c>
      <c r="G905" s="35" t="inlineStr">
        <is>
          <t>Holter</t>
        </is>
      </c>
      <c r="H905" s="35" t="inlineStr">
        <is>
          <t>Realizado</t>
        </is>
      </c>
      <c r="I905" s="35" t="inlineStr">
        <is>
          <t>Convênio</t>
        </is>
      </c>
      <c r="J905" s="35" t="n"/>
      <c r="K905" s="34" t="n"/>
      <c r="L905" s="26">
        <f>IF(A905="","",MONTH(A905))</f>
        <v>8</v>
      </c>
      <c r="M905" s="26">
        <f>IF(A905="","",YEAR(A905))</f>
        <v>2026</v>
      </c>
      <c r="N905" s="26" t="str">
        <f>IF(A905="","",CHOOSE(WEEKDAY(A905,2),"Segunda","Terça","Quarta","Quinta","Sexta","Sábado","Domingo"))</f>
        <v>Segunda</v>
      </c>
      <c r="O905" s="26" t="str">
        <f>IF(B905="","",IF(B905&lt;TIME(12,0,0),"Manhã",IF(B905&lt;TIME(18,0,0),"Tarde","Noite")))</f>
        <v>Tarde</v>
      </c>
      <c r="P905" s="32">
        <f>IF(G905="","",IFERROR(INDEX(Config!$I$5:$I$16,MATCH(G905,Config!$H$5:$H$16,0)),0))</f>
        <v>0</v>
      </c>
      <c r="Q905" s="30">
        <f>IF(OR(H905&lt;&gt;"Realizado",P905="",P905=0),"",A905+P905)</f>
        <v/>
      </c>
      <c r="R905" s="26">
        <f>IF(Q905="","",IF(COUNTIFS($E$5:$E$3004,E905,$A$5:$A$3004,"&gt;"&amp;A905,$H$5:$H$3004,"&lt;&gt;Falta",$H$5:$H$3004,"&lt;&gt;Cancelado",$H$5:$H$3004,"&lt;&gt;Remarcado")&gt;0,"Sim","Não"))</f>
        <v/>
      </c>
      <c r="S905" s="32">
        <f>IF(R905&lt;&gt;"Não","",IF(Q905+Config!$B$9&lt;=Config!$B$8,Config!$B$8-Q905,""))</f>
        <v/>
      </c>
      <c r="T905" s="26">
        <f>IF(S905="","","Sim")</f>
        <v/>
      </c>
      <c r="U905" s="41">
        <f>IF(T905="Sim",S905+ROW()/100000,0)</f>
        <v>0</v>
      </c>
      <c r="V905" s="41">
        <f>IF(AND(H905="Falta",L905=Config!$B$7,M905=Config!$B$5,COUNTIFS($E$5:E905,E905,$H$5:H905,"Falta",$L$5:L905,Config!$B$7,$M$5:M905,Config!$B$5)=1),COUNTIFS($E$5:$E$3004,E905,$H$5:$H$3004,"Falta",$L$5:$L$3004,Config!$B$7,$M$5:$M$3004,Config!$B$5)*1000-ROW()/100000,0)</f>
        <v>0</v>
      </c>
    </row>
    <row r="906">
      <c r="A906" s="39" t="n">
        <v>46266</v>
      </c>
      <c r="B906" s="40" t="n">
        <v>0.3333333333333333</v>
      </c>
      <c r="C906" s="35" t="inlineStr">
        <is>
          <t>Dra. Carolina Mendes</t>
        </is>
      </c>
      <c r="D906" s="35" t="inlineStr">
        <is>
          <t>Sala 1</t>
        </is>
      </c>
      <c r="E906" s="34" t="inlineStr">
        <is>
          <t>Ana Costa</t>
        </is>
      </c>
      <c r="F906" s="35" t="inlineStr">
        <is>
          <t>Particular</t>
        </is>
      </c>
      <c r="G906" s="35" t="inlineStr">
        <is>
          <t>Consulta</t>
        </is>
      </c>
      <c r="H906" s="35" t="inlineStr">
        <is>
          <t>Realizado</t>
        </is>
      </c>
      <c r="I906" s="35" t="inlineStr">
        <is>
          <t>Cartão de crédito</t>
        </is>
      </c>
      <c r="J906" s="35" t="n"/>
      <c r="K906" s="34" t="n"/>
      <c r="L906" s="26">
        <f>IF(A906="","",MONTH(A906))</f>
        <v>9</v>
      </c>
      <c r="M906" s="26">
        <f>IF(A906="","",YEAR(A906))</f>
        <v>2026</v>
      </c>
      <c r="N906" s="26" t="str">
        <f>IF(A906="","",CHOOSE(WEEKDAY(A906,2),"Segunda","Terça","Quarta","Quinta","Sexta","Sábado","Domingo"))</f>
        <v>Terça</v>
      </c>
      <c r="O906" s="26" t="str">
        <f>IF(B906="","",IF(B906&lt;TIME(12,0,0),"Manhã",IF(B906&lt;TIME(18,0,0),"Tarde","Noite")))</f>
        <v>Manhã</v>
      </c>
      <c r="P906" s="32">
        <f>IF(G906="","",IFERROR(INDEX(Config!$I$5:$I$16,MATCH(G906,Config!$H$5:$H$16,0)),0))</f>
        <v>30</v>
      </c>
      <c r="Q906" s="30">
        <f>IF(OR(H906&lt;&gt;"Realizado",P906="",P906=0),"",A906+P906)</f>
        <v>46296.0</v>
      </c>
      <c r="R906" s="26" t="str">
        <f>IF(Q906="","",IF(COUNTIFS($E$5:$E$3004,E906,$A$5:$A$3004,"&gt;"&amp;A906,$H$5:$H$3004,"&lt;&gt;Falta",$H$5:$H$3004,"&lt;&gt;Cancelado",$H$5:$H$3004,"&lt;&gt;Remarcado")&gt;0,"Sim","Não"))</f>
        <v>Sim</v>
      </c>
      <c r="S906" s="32">
        <f>IF(R906&lt;&gt;"Não","",IF(Q906+Config!$B$9&lt;=Config!$B$8,Config!$B$8-Q906,""))</f>
        <v/>
      </c>
      <c r="T906" s="26">
        <f>IF(S906="","","Sim")</f>
        <v/>
      </c>
      <c r="U906" s="41">
        <f>IF(T906="Sim",S906+ROW()/100000,0)</f>
        <v>0</v>
      </c>
      <c r="V906" s="41">
        <f>IF(AND(H906="Falta",L906=Config!$B$7,M906=Config!$B$5,COUNTIFS($E$5:E906,E906,$H$5:H906,"Falta",$L$5:L906,Config!$B$7,$M$5:M906,Config!$B$5)=1),COUNTIFS($E$5:$E$3004,E906,$H$5:$H$3004,"Falta",$L$5:$L$3004,Config!$B$7,$M$5:$M$3004,Config!$B$5)*1000-ROW()/100000,0)</f>
        <v>0</v>
      </c>
    </row>
    <row r="907">
      <c r="A907" s="39" t="n">
        <v>46266</v>
      </c>
      <c r="B907" s="40" t="n">
        <v>0.3541666666666667</v>
      </c>
      <c r="C907" s="35" t="inlineStr">
        <is>
          <t>Dra. Carolina Mendes</t>
        </is>
      </c>
      <c r="D907" s="35" t="inlineStr">
        <is>
          <t>Sala 1</t>
        </is>
      </c>
      <c r="E907" s="34" t="inlineStr">
        <is>
          <t>Gustavo Ferreira</t>
        </is>
      </c>
      <c r="F907" s="35" t="inlineStr">
        <is>
          <t>Particular</t>
        </is>
      </c>
      <c r="G907" s="35" t="inlineStr">
        <is>
          <t>Consulta</t>
        </is>
      </c>
      <c r="H907" s="35" t="inlineStr">
        <is>
          <t>Realizado</t>
        </is>
      </c>
      <c r="I907" s="35" t="inlineStr">
        <is>
          <t>Cartão de crédito</t>
        </is>
      </c>
      <c r="J907" s="35" t="n"/>
      <c r="K907" s="34" t="n"/>
      <c r="L907" s="26">
        <f>IF(A907="","",MONTH(A907))</f>
        <v>9</v>
      </c>
      <c r="M907" s="26">
        <f>IF(A907="","",YEAR(A907))</f>
        <v>2026</v>
      </c>
      <c r="N907" s="26" t="str">
        <f>IF(A907="","",CHOOSE(WEEKDAY(A907,2),"Segunda","Terça","Quarta","Quinta","Sexta","Sábado","Domingo"))</f>
        <v>Terça</v>
      </c>
      <c r="O907" s="26" t="str">
        <f>IF(B907="","",IF(B907&lt;TIME(12,0,0),"Manhã",IF(B907&lt;TIME(18,0,0),"Tarde","Noite")))</f>
        <v>Manhã</v>
      </c>
      <c r="P907" s="32">
        <f>IF(G907="","",IFERROR(INDEX(Config!$I$5:$I$16,MATCH(G907,Config!$H$5:$H$16,0)),0))</f>
        <v>30</v>
      </c>
      <c r="Q907" s="30">
        <f>IF(OR(H907&lt;&gt;"Realizado",P907="",P907=0),"",A907+P907)</f>
        <v>46296.0</v>
      </c>
      <c r="R907" s="26" t="str">
        <f>IF(Q907="","",IF(COUNTIFS($E$5:$E$3004,E907,$A$5:$A$3004,"&gt;"&amp;A907,$H$5:$H$3004,"&lt;&gt;Falta",$H$5:$H$3004,"&lt;&gt;Cancelado",$H$5:$H$3004,"&lt;&gt;Remarcado")&gt;0,"Sim","Não"))</f>
        <v>Sim</v>
      </c>
      <c r="S907" s="32">
        <f>IF(R907&lt;&gt;"Não","",IF(Q907+Config!$B$9&lt;=Config!$B$8,Config!$B$8-Q907,""))</f>
        <v/>
      </c>
      <c r="T907" s="26">
        <f>IF(S907="","","Sim")</f>
        <v/>
      </c>
      <c r="U907" s="41">
        <f>IF(T907="Sim",S907+ROW()/100000,0)</f>
        <v>0</v>
      </c>
      <c r="V907" s="41">
        <f>IF(AND(H907="Falta",L907=Config!$B$7,M907=Config!$B$5,COUNTIFS($E$5:E907,E907,$H$5:H907,"Falta",$L$5:L907,Config!$B$7,$M$5:M907,Config!$B$5)=1),COUNTIFS($E$5:$E$3004,E907,$H$5:$H$3004,"Falta",$L$5:$L$3004,Config!$B$7,$M$5:$M$3004,Config!$B$5)*1000-ROW()/100000,0)</f>
        <v>0</v>
      </c>
    </row>
    <row r="908">
      <c r="A908" s="39" t="n">
        <v>46266</v>
      </c>
      <c r="B908" s="40" t="n">
        <v>0.375</v>
      </c>
      <c r="C908" s="35" t="inlineStr">
        <is>
          <t>Dra. Carolina Mendes</t>
        </is>
      </c>
      <c r="D908" s="35" t="inlineStr">
        <is>
          <t>Sala 1</t>
        </is>
      </c>
      <c r="E908" s="34" t="inlineStr">
        <is>
          <t>Rodrigo Moreira</t>
        </is>
      </c>
      <c r="F908" s="35" t="inlineStr">
        <is>
          <t>Particular</t>
        </is>
      </c>
      <c r="G908" s="35" t="inlineStr">
        <is>
          <t>Retorno</t>
        </is>
      </c>
      <c r="H908" s="35" t="inlineStr">
        <is>
          <t>Realizado</t>
        </is>
      </c>
      <c r="I908" s="35" t="inlineStr">
        <is>
          <t>Sem cobrança</t>
        </is>
      </c>
      <c r="J908" s="35" t="n"/>
      <c r="K908" s="34" t="n"/>
      <c r="L908" s="26">
        <f>IF(A908="","",MONTH(A908))</f>
        <v>9</v>
      </c>
      <c r="M908" s="26">
        <f>IF(A908="","",YEAR(A908))</f>
        <v>2026</v>
      </c>
      <c r="N908" s="26" t="str">
        <f>IF(A908="","",CHOOSE(WEEKDAY(A908,2),"Segunda","Terça","Quarta","Quinta","Sexta","Sábado","Domingo"))</f>
        <v>Terça</v>
      </c>
      <c r="O908" s="26" t="str">
        <f>IF(B908="","",IF(B908&lt;TIME(12,0,0),"Manhã",IF(B908&lt;TIME(18,0,0),"Tarde","Noite")))</f>
        <v>Manhã</v>
      </c>
      <c r="P908" s="32">
        <f>IF(G908="","",IFERROR(INDEX(Config!$I$5:$I$16,MATCH(G908,Config!$H$5:$H$16,0)),0))</f>
        <v>0</v>
      </c>
      <c r="Q908" s="30">
        <f>IF(OR(H908&lt;&gt;"Realizado",P908="",P908=0),"",A908+P908)</f>
        <v/>
      </c>
      <c r="R908" s="26">
        <f>IF(Q908="","",IF(COUNTIFS($E$5:$E$3004,E908,$A$5:$A$3004,"&gt;"&amp;A908,$H$5:$H$3004,"&lt;&gt;Falta",$H$5:$H$3004,"&lt;&gt;Cancelado",$H$5:$H$3004,"&lt;&gt;Remarcado")&gt;0,"Sim","Não"))</f>
        <v/>
      </c>
      <c r="S908" s="32">
        <f>IF(R908&lt;&gt;"Não","",IF(Q908+Config!$B$9&lt;=Config!$B$8,Config!$B$8-Q908,""))</f>
        <v/>
      </c>
      <c r="T908" s="26">
        <f>IF(S908="","","Sim")</f>
        <v/>
      </c>
      <c r="U908" s="41">
        <f>IF(T908="Sim",S908+ROW()/100000,0)</f>
        <v>0</v>
      </c>
      <c r="V908" s="41">
        <f>IF(AND(H908="Falta",L908=Config!$B$7,M908=Config!$B$5,COUNTIFS($E$5:E908,E908,$H$5:H908,"Falta",$L$5:L908,Config!$B$7,$M$5:M908,Config!$B$5)=1),COUNTIFS($E$5:$E$3004,E908,$H$5:$H$3004,"Falta",$L$5:$L$3004,Config!$B$7,$M$5:$M$3004,Config!$B$5)*1000-ROW()/100000,0)</f>
        <v>0</v>
      </c>
    </row>
    <row r="909">
      <c r="A909" s="39" t="n">
        <v>46266</v>
      </c>
      <c r="B909" s="40" t="n">
        <v>0.4097222222222222</v>
      </c>
      <c r="C909" s="35" t="inlineStr">
        <is>
          <t>Dra. Carolina Mendes</t>
        </is>
      </c>
      <c r="D909" s="35" t="inlineStr">
        <is>
          <t>Sala 1</t>
        </is>
      </c>
      <c r="E909" s="34" t="inlineStr">
        <is>
          <t>Daniel Melo</t>
        </is>
      </c>
      <c r="F909" s="35" t="inlineStr">
        <is>
          <t>Saúde Total</t>
        </is>
      </c>
      <c r="G909" s="35" t="inlineStr">
        <is>
          <t>Consulta</t>
        </is>
      </c>
      <c r="H909" s="35" t="inlineStr">
        <is>
          <t>Realizado</t>
        </is>
      </c>
      <c r="I909" s="35" t="inlineStr">
        <is>
          <t>Convênio</t>
        </is>
      </c>
      <c r="J909" s="35" t="n"/>
      <c r="K909" s="34" t="n"/>
      <c r="L909" s="26">
        <f>IF(A909="","",MONTH(A909))</f>
        <v>9</v>
      </c>
      <c r="M909" s="26">
        <f>IF(A909="","",YEAR(A909))</f>
        <v>2026</v>
      </c>
      <c r="N909" s="26" t="str">
        <f>IF(A909="","",CHOOSE(WEEKDAY(A909,2),"Segunda","Terça","Quarta","Quinta","Sexta","Sábado","Domingo"))</f>
        <v>Terça</v>
      </c>
      <c r="O909" s="26" t="str">
        <f>IF(B909="","",IF(B909&lt;TIME(12,0,0),"Manhã",IF(B909&lt;TIME(18,0,0),"Tarde","Noite")))</f>
        <v>Manhã</v>
      </c>
      <c r="P909" s="32">
        <f>IF(G909="","",IFERROR(INDEX(Config!$I$5:$I$16,MATCH(G909,Config!$H$5:$H$16,0)),0))</f>
        <v>30</v>
      </c>
      <c r="Q909" s="30">
        <f>IF(OR(H909&lt;&gt;"Realizado",P909="",P909=0),"",A909+P909)</f>
        <v>46296.0</v>
      </c>
      <c r="R909" s="26" t="str">
        <f>IF(Q909="","",IF(COUNTIFS($E$5:$E$3004,E909,$A$5:$A$3004,"&gt;"&amp;A909,$H$5:$H$3004,"&lt;&gt;Falta",$H$5:$H$3004,"&lt;&gt;Cancelado",$H$5:$H$3004,"&lt;&gt;Remarcado")&gt;0,"Sim","Não"))</f>
        <v>Não</v>
      </c>
      <c r="S909" s="32">
        <f>IF(R909&lt;&gt;"Não","",IF(Q909+Config!$B$9&lt;=Config!$B$8,Config!$B$8-Q909,""))</f>
        <v/>
      </c>
      <c r="T909" s="26">
        <f>IF(S909="","","Sim")</f>
        <v/>
      </c>
      <c r="U909" s="41">
        <f>IF(T909="Sim",S909+ROW()/100000,0)</f>
        <v>0</v>
      </c>
      <c r="V909" s="41">
        <f>IF(AND(H909="Falta",L909=Config!$B$7,M909=Config!$B$5,COUNTIFS($E$5:E909,E909,$H$5:H909,"Falta",$L$5:L909,Config!$B$7,$M$5:M909,Config!$B$5)=1),COUNTIFS($E$5:$E$3004,E909,$H$5:$H$3004,"Falta",$L$5:$L$3004,Config!$B$7,$M$5:$M$3004,Config!$B$5)*1000-ROW()/100000,0)</f>
        <v>0</v>
      </c>
    </row>
    <row r="910">
      <c r="A910" s="39" t="n">
        <v>46266</v>
      </c>
      <c r="B910" s="40" t="n">
        <v>0.4305555555555556</v>
      </c>
      <c r="C910" s="35" t="inlineStr">
        <is>
          <t>Dra. Carolina Mendes</t>
        </is>
      </c>
      <c r="D910" s="35" t="inlineStr">
        <is>
          <t>Sala 1</t>
        </is>
      </c>
      <c r="E910" s="34" t="inlineStr">
        <is>
          <t>Otávio Nascimento</t>
        </is>
      </c>
      <c r="F910" s="35" t="inlineStr">
        <is>
          <t>Particular</t>
        </is>
      </c>
      <c r="G910" s="35" t="inlineStr">
        <is>
          <t>Consulta</t>
        </is>
      </c>
      <c r="H910" s="35" t="inlineStr">
        <is>
          <t>Realizado</t>
        </is>
      </c>
      <c r="I910" s="35" t="inlineStr">
        <is>
          <t>Cartão de crédito</t>
        </is>
      </c>
      <c r="J910" s="35" t="n">
        <v>2</v>
      </c>
      <c r="K910" s="34" t="n"/>
      <c r="L910" s="26">
        <f>IF(A910="","",MONTH(A910))</f>
        <v>9</v>
      </c>
      <c r="M910" s="26">
        <f>IF(A910="","",YEAR(A910))</f>
        <v>2026</v>
      </c>
      <c r="N910" s="26" t="str">
        <f>IF(A910="","",CHOOSE(WEEKDAY(A910,2),"Segunda","Terça","Quarta","Quinta","Sexta","Sábado","Domingo"))</f>
        <v>Terça</v>
      </c>
      <c r="O910" s="26" t="str">
        <f>IF(B910="","",IF(B910&lt;TIME(12,0,0),"Manhã",IF(B910&lt;TIME(18,0,0),"Tarde","Noite")))</f>
        <v>Manhã</v>
      </c>
      <c r="P910" s="32">
        <f>IF(G910="","",IFERROR(INDEX(Config!$I$5:$I$16,MATCH(G910,Config!$H$5:$H$16,0)),0))</f>
        <v>30</v>
      </c>
      <c r="Q910" s="30">
        <f>IF(OR(H910&lt;&gt;"Realizado",P910="",P910=0),"",A910+P910)</f>
        <v>46296.0</v>
      </c>
      <c r="R910" s="26" t="str">
        <f>IF(Q910="","",IF(COUNTIFS($E$5:$E$3004,E910,$A$5:$A$3004,"&gt;"&amp;A910,$H$5:$H$3004,"&lt;&gt;Falta",$H$5:$H$3004,"&lt;&gt;Cancelado",$H$5:$H$3004,"&lt;&gt;Remarcado")&gt;0,"Sim","Não"))</f>
        <v>Sim</v>
      </c>
      <c r="S910" s="32">
        <f>IF(R910&lt;&gt;"Não","",IF(Q910+Config!$B$9&lt;=Config!$B$8,Config!$B$8-Q910,""))</f>
        <v/>
      </c>
      <c r="T910" s="26">
        <f>IF(S910="","","Sim")</f>
        <v/>
      </c>
      <c r="U910" s="41">
        <f>IF(T910="Sim",S910+ROW()/100000,0)</f>
        <v>0</v>
      </c>
      <c r="V910" s="41">
        <f>IF(AND(H910="Falta",L910=Config!$B$7,M910=Config!$B$5,COUNTIFS($E$5:E910,E910,$H$5:H910,"Falta",$L$5:L910,Config!$B$7,$M$5:M910,Config!$B$5)=1),COUNTIFS($E$5:$E$3004,E910,$H$5:$H$3004,"Falta",$L$5:$L$3004,Config!$B$7,$M$5:$M$3004,Config!$B$5)*1000-ROW()/100000,0)</f>
        <v>0</v>
      </c>
    </row>
    <row r="911">
      <c r="A911" s="39" t="n">
        <v>46266</v>
      </c>
      <c r="B911" s="40" t="n">
        <v>0.4513888888888889</v>
      </c>
      <c r="C911" s="35" t="inlineStr">
        <is>
          <t>Dra. Carolina Mendes</t>
        </is>
      </c>
      <c r="D911" s="35" t="inlineStr">
        <is>
          <t>Sala 1</t>
        </is>
      </c>
      <c r="E911" s="34" t="inlineStr">
        <is>
          <t>Mariana Nascimento</t>
        </is>
      </c>
      <c r="F911" s="35" t="inlineStr">
        <is>
          <t>Particular</t>
        </is>
      </c>
      <c r="G911" s="35" t="inlineStr">
        <is>
          <t>Consulta</t>
        </is>
      </c>
      <c r="H911" s="35" t="inlineStr">
        <is>
          <t>Realizado</t>
        </is>
      </c>
      <c r="I911" s="35" t="inlineStr">
        <is>
          <t>Cartão de crédito</t>
        </is>
      </c>
      <c r="J911" s="35" t="n"/>
      <c r="K911" s="34" t="n"/>
      <c r="L911" s="26">
        <f>IF(A911="","",MONTH(A911))</f>
        <v>9</v>
      </c>
      <c r="M911" s="26">
        <f>IF(A911="","",YEAR(A911))</f>
        <v>2026</v>
      </c>
      <c r="N911" s="26" t="str">
        <f>IF(A911="","",CHOOSE(WEEKDAY(A911,2),"Segunda","Terça","Quarta","Quinta","Sexta","Sábado","Domingo"))</f>
        <v>Terça</v>
      </c>
      <c r="O911" s="26" t="str">
        <f>IF(B911="","",IF(B911&lt;TIME(12,0,0),"Manhã",IF(B911&lt;TIME(18,0,0),"Tarde","Noite")))</f>
        <v>Manhã</v>
      </c>
      <c r="P911" s="32">
        <f>IF(G911="","",IFERROR(INDEX(Config!$I$5:$I$16,MATCH(G911,Config!$H$5:$H$16,0)),0))</f>
        <v>30</v>
      </c>
      <c r="Q911" s="30">
        <f>IF(OR(H911&lt;&gt;"Realizado",P911="",P911=0),"",A911+P911)</f>
        <v>46296.0</v>
      </c>
      <c r="R911" s="26" t="str">
        <f>IF(Q911="","",IF(COUNTIFS($E$5:$E$3004,E911,$A$5:$A$3004,"&gt;"&amp;A911,$H$5:$H$3004,"&lt;&gt;Falta",$H$5:$H$3004,"&lt;&gt;Cancelado",$H$5:$H$3004,"&lt;&gt;Remarcado")&gt;0,"Sim","Não"))</f>
        <v>Sim</v>
      </c>
      <c r="S911" s="32">
        <f>IF(R911&lt;&gt;"Não","",IF(Q911+Config!$B$9&lt;=Config!$B$8,Config!$B$8-Q911,""))</f>
        <v/>
      </c>
      <c r="T911" s="26">
        <f>IF(S911="","","Sim")</f>
        <v/>
      </c>
      <c r="U911" s="41">
        <f>IF(T911="Sim",S911+ROW()/100000,0)</f>
        <v>0</v>
      </c>
      <c r="V911" s="41">
        <f>IF(AND(H911="Falta",L911=Config!$B$7,M911=Config!$B$5,COUNTIFS($E$5:E911,E911,$H$5:H911,"Falta",$L$5:L911,Config!$B$7,$M$5:M911,Config!$B$5)=1),COUNTIFS($E$5:$E$3004,E911,$H$5:$H$3004,"Falta",$L$5:$L$3004,Config!$B$7,$M$5:$M$3004,Config!$B$5)*1000-ROW()/100000,0)</f>
        <v>0</v>
      </c>
    </row>
    <row r="912">
      <c r="A912" s="39" t="n">
        <v>46266</v>
      </c>
      <c r="B912" s="40" t="n">
        <v>0.4722222222222222</v>
      </c>
      <c r="C912" s="35" t="inlineStr">
        <is>
          <t>Dra. Carolina Mendes</t>
        </is>
      </c>
      <c r="D912" s="35" t="inlineStr">
        <is>
          <t>Sala 1</t>
        </is>
      </c>
      <c r="E912" s="34" t="inlineStr">
        <is>
          <t>Carlos Barros</t>
        </is>
      </c>
      <c r="F912" s="35" t="inlineStr">
        <is>
          <t>MediPlan</t>
        </is>
      </c>
      <c r="G912" s="35" t="inlineStr">
        <is>
          <t>Retorno</t>
        </is>
      </c>
      <c r="H912" s="35" t="inlineStr">
        <is>
          <t>Realizado</t>
        </is>
      </c>
      <c r="I912" s="35" t="inlineStr">
        <is>
          <t>Sem cobrança</t>
        </is>
      </c>
      <c r="J912" s="35" t="n"/>
      <c r="K912" s="34" t="n"/>
      <c r="L912" s="26">
        <f>IF(A912="","",MONTH(A912))</f>
        <v>9</v>
      </c>
      <c r="M912" s="26">
        <f>IF(A912="","",YEAR(A912))</f>
        <v>2026</v>
      </c>
      <c r="N912" s="26" t="str">
        <f>IF(A912="","",CHOOSE(WEEKDAY(A912,2),"Segunda","Terça","Quarta","Quinta","Sexta","Sábado","Domingo"))</f>
        <v>Terça</v>
      </c>
      <c r="O912" s="26" t="str">
        <f>IF(B912="","",IF(B912&lt;TIME(12,0,0),"Manhã",IF(B912&lt;TIME(18,0,0),"Tarde","Noite")))</f>
        <v>Manhã</v>
      </c>
      <c r="P912" s="32">
        <f>IF(G912="","",IFERROR(INDEX(Config!$I$5:$I$16,MATCH(G912,Config!$H$5:$H$16,0)),0))</f>
        <v>0</v>
      </c>
      <c r="Q912" s="30">
        <f>IF(OR(H912&lt;&gt;"Realizado",P912="",P912=0),"",A912+P912)</f>
        <v/>
      </c>
      <c r="R912" s="26">
        <f>IF(Q912="","",IF(COUNTIFS($E$5:$E$3004,E912,$A$5:$A$3004,"&gt;"&amp;A912,$H$5:$H$3004,"&lt;&gt;Falta",$H$5:$H$3004,"&lt;&gt;Cancelado",$H$5:$H$3004,"&lt;&gt;Remarcado")&gt;0,"Sim","Não"))</f>
        <v/>
      </c>
      <c r="S912" s="32">
        <f>IF(R912&lt;&gt;"Não","",IF(Q912+Config!$B$9&lt;=Config!$B$8,Config!$B$8-Q912,""))</f>
        <v/>
      </c>
      <c r="T912" s="26">
        <f>IF(S912="","","Sim")</f>
        <v/>
      </c>
      <c r="U912" s="41">
        <f>IF(T912="Sim",S912+ROW()/100000,0)</f>
        <v>0</v>
      </c>
      <c r="V912" s="41">
        <f>IF(AND(H912="Falta",L912=Config!$B$7,M912=Config!$B$5,COUNTIFS($E$5:E912,E912,$H$5:H912,"Falta",$L$5:L912,Config!$B$7,$M$5:M912,Config!$B$5)=1),COUNTIFS($E$5:$E$3004,E912,$H$5:$H$3004,"Falta",$L$5:$L$3004,Config!$B$7,$M$5:$M$3004,Config!$B$5)*1000-ROW()/100000,0)</f>
        <v>0</v>
      </c>
    </row>
    <row r="913">
      <c r="A913" s="39" t="n">
        <v>46266</v>
      </c>
      <c r="B913" s="40" t="n">
        <v>0.4861111111111111</v>
      </c>
      <c r="C913" s="35" t="inlineStr">
        <is>
          <t>Dra. Carolina Mendes</t>
        </is>
      </c>
      <c r="D913" s="35" t="inlineStr">
        <is>
          <t>Sala 1</t>
        </is>
      </c>
      <c r="E913" s="34" t="inlineStr">
        <is>
          <t>Gustavo Barbosa</t>
        </is>
      </c>
      <c r="F913" s="35" t="inlineStr">
        <is>
          <t>Saúde Total</t>
        </is>
      </c>
      <c r="G913" s="35" t="inlineStr">
        <is>
          <t>Consulta</t>
        </is>
      </c>
      <c r="H913" s="35" t="inlineStr">
        <is>
          <t>Realizado</t>
        </is>
      </c>
      <c r="I913" s="35" t="inlineStr">
        <is>
          <t>Convênio</t>
        </is>
      </c>
      <c r="J913" s="35" t="n"/>
      <c r="K913" s="34" t="n"/>
      <c r="L913" s="26">
        <f>IF(A913="","",MONTH(A913))</f>
        <v>9</v>
      </c>
      <c r="M913" s="26">
        <f>IF(A913="","",YEAR(A913))</f>
        <v>2026</v>
      </c>
      <c r="N913" s="26" t="str">
        <f>IF(A913="","",CHOOSE(WEEKDAY(A913,2),"Segunda","Terça","Quarta","Quinta","Sexta","Sábado","Domingo"))</f>
        <v>Terça</v>
      </c>
      <c r="O913" s="26" t="str">
        <f>IF(B913="","",IF(B913&lt;TIME(12,0,0),"Manhã",IF(B913&lt;TIME(18,0,0),"Tarde","Noite")))</f>
        <v>Manhã</v>
      </c>
      <c r="P913" s="32">
        <f>IF(G913="","",IFERROR(INDEX(Config!$I$5:$I$16,MATCH(G913,Config!$H$5:$H$16,0)),0))</f>
        <v>30</v>
      </c>
      <c r="Q913" s="30">
        <f>IF(OR(H913&lt;&gt;"Realizado",P913="",P913=0),"",A913+P913)</f>
        <v>46296.0</v>
      </c>
      <c r="R913" s="26" t="str">
        <f>IF(Q913="","",IF(COUNTIFS($E$5:$E$3004,E913,$A$5:$A$3004,"&gt;"&amp;A913,$H$5:$H$3004,"&lt;&gt;Falta",$H$5:$H$3004,"&lt;&gt;Cancelado",$H$5:$H$3004,"&lt;&gt;Remarcado")&gt;0,"Sim","Não"))</f>
        <v>Sim</v>
      </c>
      <c r="S913" s="32">
        <f>IF(R913&lt;&gt;"Não","",IF(Q913+Config!$B$9&lt;=Config!$B$8,Config!$B$8-Q913,""))</f>
        <v/>
      </c>
      <c r="T913" s="26">
        <f>IF(S913="","","Sim")</f>
        <v/>
      </c>
      <c r="U913" s="41">
        <f>IF(T913="Sim",S913+ROW()/100000,0)</f>
        <v>0</v>
      </c>
      <c r="V913" s="41">
        <f>IF(AND(H913="Falta",L913=Config!$B$7,M913=Config!$B$5,COUNTIFS($E$5:E913,E913,$H$5:H913,"Falta",$L$5:L913,Config!$B$7,$M$5:M913,Config!$B$5)=1),COUNTIFS($E$5:$E$3004,E913,$H$5:$H$3004,"Falta",$L$5:$L$3004,Config!$B$7,$M$5:$M$3004,Config!$B$5)*1000-ROW()/100000,0)</f>
        <v>0</v>
      </c>
    </row>
    <row r="914">
      <c r="A914" s="39" t="n">
        <v>46266</v>
      </c>
      <c r="B914" s="40" t="n">
        <v>0.5833333333333334</v>
      </c>
      <c r="C914" s="35" t="inlineStr">
        <is>
          <t>Dra. Renata Sousa</t>
        </is>
      </c>
      <c r="D914" s="35" t="inlineStr">
        <is>
          <t>Sala 1</t>
        </is>
      </c>
      <c r="E914" s="34" t="inlineStr">
        <is>
          <t>Paulo Fernandes</t>
        </is>
      </c>
      <c r="F914" s="35" t="inlineStr">
        <is>
          <t>Particular</t>
        </is>
      </c>
      <c r="G914" s="35" t="inlineStr">
        <is>
          <t>Avaliação endócrina</t>
        </is>
      </c>
      <c r="H914" s="35" t="inlineStr">
        <is>
          <t>Realizado</t>
        </is>
      </c>
      <c r="I914" s="35" t="inlineStr">
        <is>
          <t>Cartão de débito</t>
        </is>
      </c>
      <c r="J914" s="35" t="n"/>
      <c r="K914" s="34" t="n"/>
      <c r="L914" s="26">
        <f>IF(A914="","",MONTH(A914))</f>
        <v>9</v>
      </c>
      <c r="M914" s="26">
        <f>IF(A914="","",YEAR(A914))</f>
        <v>2026</v>
      </c>
      <c r="N914" s="26" t="str">
        <f>IF(A914="","",CHOOSE(WEEKDAY(A914,2),"Segunda","Terça","Quarta","Quinta","Sexta","Sábado","Domingo"))</f>
        <v>Terça</v>
      </c>
      <c r="O914" s="26" t="str">
        <f>IF(B914="","",IF(B914&lt;TIME(12,0,0),"Manhã",IF(B914&lt;TIME(18,0,0),"Tarde","Noite")))</f>
        <v>Tarde</v>
      </c>
      <c r="P914" s="32">
        <f>IF(G914="","",IFERROR(INDEX(Config!$I$5:$I$16,MATCH(G914,Config!$H$5:$H$16,0)),0))</f>
        <v>45</v>
      </c>
      <c r="Q914" s="30">
        <f>IF(OR(H914&lt;&gt;"Realizado",P914="",P914=0),"",A914+P914)</f>
        <v>46311.0</v>
      </c>
      <c r="R914" s="26" t="str">
        <f>IF(Q914="","",IF(COUNTIFS($E$5:$E$3004,E914,$A$5:$A$3004,"&gt;"&amp;A914,$H$5:$H$3004,"&lt;&gt;Falta",$H$5:$H$3004,"&lt;&gt;Cancelado",$H$5:$H$3004,"&lt;&gt;Remarcado")&gt;0,"Sim","Não"))</f>
        <v>Não</v>
      </c>
      <c r="S914" s="32">
        <f>IF(R914&lt;&gt;"Não","",IF(Q914+Config!$B$9&lt;=Config!$B$8,Config!$B$8-Q914,""))</f>
        <v/>
      </c>
      <c r="T914" s="26">
        <f>IF(S914="","","Sim")</f>
        <v/>
      </c>
      <c r="U914" s="41">
        <f>IF(T914="Sim",S914+ROW()/100000,0)</f>
        <v>0</v>
      </c>
      <c r="V914" s="41">
        <f>IF(AND(H914="Falta",L914=Config!$B$7,M914=Config!$B$5,COUNTIFS($E$5:E914,E914,$H$5:H914,"Falta",$L$5:L914,Config!$B$7,$M$5:M914,Config!$B$5)=1),COUNTIFS($E$5:$E$3004,E914,$H$5:$H$3004,"Falta",$L$5:$L$3004,Config!$B$7,$M$5:$M$3004,Config!$B$5)*1000-ROW()/100000,0)</f>
        <v>0</v>
      </c>
    </row>
    <row r="915">
      <c r="A915" s="39" t="n">
        <v>46266</v>
      </c>
      <c r="B915" s="40" t="n">
        <v>0.5833333333333334</v>
      </c>
      <c r="C915" s="35" t="inlineStr">
        <is>
          <t>Dr. Paulo Andrade</t>
        </is>
      </c>
      <c r="D915" s="35" t="inlineStr">
        <is>
          <t>Sala 2</t>
        </is>
      </c>
      <c r="E915" s="34" t="inlineStr">
        <is>
          <t>Mateus Dias</t>
        </is>
      </c>
      <c r="F915" s="35" t="inlineStr">
        <is>
          <t>Saúde Total</t>
        </is>
      </c>
      <c r="G915" s="35" t="inlineStr">
        <is>
          <t>Consulta</t>
        </is>
      </c>
      <c r="H915" s="35" t="inlineStr">
        <is>
          <t>Realizado</t>
        </is>
      </c>
      <c r="I915" s="35" t="inlineStr">
        <is>
          <t>Convênio</t>
        </is>
      </c>
      <c r="J915" s="35" t="n"/>
      <c r="K915" s="34" t="n"/>
      <c r="L915" s="26">
        <f>IF(A915="","",MONTH(A915))</f>
        <v>9</v>
      </c>
      <c r="M915" s="26">
        <f>IF(A915="","",YEAR(A915))</f>
        <v>2026</v>
      </c>
      <c r="N915" s="26" t="str">
        <f>IF(A915="","",CHOOSE(WEEKDAY(A915,2),"Segunda","Terça","Quarta","Quinta","Sexta","Sábado","Domingo"))</f>
        <v>Terça</v>
      </c>
      <c r="O915" s="26" t="str">
        <f>IF(B915="","",IF(B915&lt;TIME(12,0,0),"Manhã",IF(B915&lt;TIME(18,0,0),"Tarde","Noite")))</f>
        <v>Tarde</v>
      </c>
      <c r="P915" s="32">
        <f>IF(G915="","",IFERROR(INDEX(Config!$I$5:$I$16,MATCH(G915,Config!$H$5:$H$16,0)),0))</f>
        <v>30</v>
      </c>
      <c r="Q915" s="30">
        <f>IF(OR(H915&lt;&gt;"Realizado",P915="",P915=0),"",A915+P915)</f>
        <v>46296.0</v>
      </c>
      <c r="R915" s="26" t="str">
        <f>IF(Q915="","",IF(COUNTIFS($E$5:$E$3004,E915,$A$5:$A$3004,"&gt;"&amp;A915,$H$5:$H$3004,"&lt;&gt;Falta",$H$5:$H$3004,"&lt;&gt;Cancelado",$H$5:$H$3004,"&lt;&gt;Remarcado")&gt;0,"Sim","Não"))</f>
        <v>Sim</v>
      </c>
      <c r="S915" s="32">
        <f>IF(R915&lt;&gt;"Não","",IF(Q915+Config!$B$9&lt;=Config!$B$8,Config!$B$8-Q915,""))</f>
        <v/>
      </c>
      <c r="T915" s="26">
        <f>IF(S915="","","Sim")</f>
        <v/>
      </c>
      <c r="U915" s="41">
        <f>IF(T915="Sim",S915+ROW()/100000,0)</f>
        <v>0</v>
      </c>
      <c r="V915" s="41">
        <f>IF(AND(H915="Falta",L915=Config!$B$7,M915=Config!$B$5,COUNTIFS($E$5:E915,E915,$H$5:H915,"Falta",$L$5:L915,Config!$B$7,$M$5:M915,Config!$B$5)=1),COUNTIFS($E$5:$E$3004,E915,$H$5:$H$3004,"Falta",$L$5:$L$3004,Config!$B$7,$M$5:$M$3004,Config!$B$5)*1000-ROW()/100000,0)</f>
        <v>0</v>
      </c>
    </row>
    <row r="916">
      <c r="A916" s="39" t="n">
        <v>46266</v>
      </c>
      <c r="B916" s="40" t="n">
        <v>0.6111111111111112</v>
      </c>
      <c r="C916" s="35" t="inlineStr">
        <is>
          <t>Dra. Renata Sousa</t>
        </is>
      </c>
      <c r="D916" s="35" t="inlineStr">
        <is>
          <t>Sala 1</t>
        </is>
      </c>
      <c r="E916" s="34" t="inlineStr">
        <is>
          <t>Gabriel Reis</t>
        </is>
      </c>
      <c r="F916" s="35" t="inlineStr">
        <is>
          <t>Particular</t>
        </is>
      </c>
      <c r="G916" s="35" t="inlineStr">
        <is>
          <t>Avaliação endócrina</t>
        </is>
      </c>
      <c r="H916" s="35" t="inlineStr">
        <is>
          <t>Realizado</t>
        </is>
      </c>
      <c r="I916" s="35" t="inlineStr">
        <is>
          <t>Pix</t>
        </is>
      </c>
      <c r="J916" s="35" t="n"/>
      <c r="K916" s="34" t="n"/>
      <c r="L916" s="26">
        <f>IF(A916="","",MONTH(A916))</f>
        <v>9</v>
      </c>
      <c r="M916" s="26">
        <f>IF(A916="","",YEAR(A916))</f>
        <v>2026</v>
      </c>
      <c r="N916" s="26" t="str">
        <f>IF(A916="","",CHOOSE(WEEKDAY(A916,2),"Segunda","Terça","Quarta","Quinta","Sexta","Sábado","Domingo"))</f>
        <v>Terça</v>
      </c>
      <c r="O916" s="26" t="str">
        <f>IF(B916="","",IF(B916&lt;TIME(12,0,0),"Manhã",IF(B916&lt;TIME(18,0,0),"Tarde","Noite")))</f>
        <v>Tarde</v>
      </c>
      <c r="P916" s="32">
        <f>IF(G916="","",IFERROR(INDEX(Config!$I$5:$I$16,MATCH(G916,Config!$H$5:$H$16,0)),0))</f>
        <v>45</v>
      </c>
      <c r="Q916" s="30">
        <f>IF(OR(H916&lt;&gt;"Realizado",P916="",P916=0),"",A916+P916)</f>
        <v>46311.0</v>
      </c>
      <c r="R916" s="26" t="str">
        <f>IF(Q916="","",IF(COUNTIFS($E$5:$E$3004,E916,$A$5:$A$3004,"&gt;"&amp;A916,$H$5:$H$3004,"&lt;&gt;Falta",$H$5:$H$3004,"&lt;&gt;Cancelado",$H$5:$H$3004,"&lt;&gt;Remarcado")&gt;0,"Sim","Não"))</f>
        <v>Sim</v>
      </c>
      <c r="S916" s="32">
        <f>IF(R916&lt;&gt;"Não","",IF(Q916+Config!$B$9&lt;=Config!$B$8,Config!$B$8-Q916,""))</f>
        <v/>
      </c>
      <c r="T916" s="26">
        <f>IF(S916="","","Sim")</f>
        <v/>
      </c>
      <c r="U916" s="41">
        <f>IF(T916="Sim",S916+ROW()/100000,0)</f>
        <v>0</v>
      </c>
      <c r="V916" s="41">
        <f>IF(AND(H916="Falta",L916=Config!$B$7,M916=Config!$B$5,COUNTIFS($E$5:E916,E916,$H$5:H916,"Falta",$L$5:L916,Config!$B$7,$M$5:M916,Config!$B$5)=1),COUNTIFS($E$5:$E$3004,E916,$H$5:$H$3004,"Falta",$L$5:$L$3004,Config!$B$7,$M$5:$M$3004,Config!$B$5)*1000-ROW()/100000,0)</f>
        <v>0</v>
      </c>
    </row>
    <row r="917">
      <c r="A917" s="39" t="n">
        <v>46266</v>
      </c>
      <c r="B917" s="40" t="n">
        <v>0.625</v>
      </c>
      <c r="C917" s="35" t="inlineStr">
        <is>
          <t>Dr. Paulo Andrade</t>
        </is>
      </c>
      <c r="D917" s="35" t="inlineStr">
        <is>
          <t>Sala 2</t>
        </is>
      </c>
      <c r="E917" s="34" t="inlineStr">
        <is>
          <t>Sandra Barros</t>
        </is>
      </c>
      <c r="F917" s="35" t="inlineStr">
        <is>
          <t>Saúde Total</t>
        </is>
      </c>
      <c r="G917" s="35" t="inlineStr">
        <is>
          <t>Teste ergométrico</t>
        </is>
      </c>
      <c r="H917" s="35" t="inlineStr">
        <is>
          <t>Realizado</t>
        </is>
      </c>
      <c r="I917" s="35" t="inlineStr">
        <is>
          <t>Convênio</t>
        </is>
      </c>
      <c r="J917" s="35" t="n"/>
      <c r="K917" s="34" t="n"/>
      <c r="L917" s="26">
        <f>IF(A917="","",MONTH(A917))</f>
        <v>9</v>
      </c>
      <c r="M917" s="26">
        <f>IF(A917="","",YEAR(A917))</f>
        <v>2026</v>
      </c>
      <c r="N917" s="26" t="str">
        <f>IF(A917="","",CHOOSE(WEEKDAY(A917,2),"Segunda","Terça","Quarta","Quinta","Sexta","Sábado","Domingo"))</f>
        <v>Terça</v>
      </c>
      <c r="O917" s="26" t="str">
        <f>IF(B917="","",IF(B917&lt;TIME(12,0,0),"Manhã",IF(B917&lt;TIME(18,0,0),"Tarde","Noite")))</f>
        <v>Tarde</v>
      </c>
      <c r="P917" s="32">
        <f>IF(G917="","",IFERROR(INDEX(Config!$I$5:$I$16,MATCH(G917,Config!$H$5:$H$16,0)),0))</f>
        <v>0</v>
      </c>
      <c r="Q917" s="30">
        <f>IF(OR(H917&lt;&gt;"Realizado",P917="",P917=0),"",A917+P917)</f>
        <v/>
      </c>
      <c r="R917" s="26">
        <f>IF(Q917="","",IF(COUNTIFS($E$5:$E$3004,E917,$A$5:$A$3004,"&gt;"&amp;A917,$H$5:$H$3004,"&lt;&gt;Falta",$H$5:$H$3004,"&lt;&gt;Cancelado",$H$5:$H$3004,"&lt;&gt;Remarcado")&gt;0,"Sim","Não"))</f>
        <v/>
      </c>
      <c r="S917" s="32">
        <f>IF(R917&lt;&gt;"Não","",IF(Q917+Config!$B$9&lt;=Config!$B$8,Config!$B$8-Q917,""))</f>
        <v/>
      </c>
      <c r="T917" s="26">
        <f>IF(S917="","","Sim")</f>
        <v/>
      </c>
      <c r="U917" s="41">
        <f>IF(T917="Sim",S917+ROW()/100000,0)</f>
        <v>0</v>
      </c>
      <c r="V917" s="41">
        <f>IF(AND(H917="Falta",L917=Config!$B$7,M917=Config!$B$5,COUNTIFS($E$5:E917,E917,$H$5:H917,"Falta",$L$5:L917,Config!$B$7,$M$5:M917,Config!$B$5)=1),COUNTIFS($E$5:$E$3004,E917,$H$5:$H$3004,"Falta",$L$5:$L$3004,Config!$B$7,$M$5:$M$3004,Config!$B$5)*1000-ROW()/100000,0)</f>
        <v>0</v>
      </c>
    </row>
    <row r="918">
      <c r="A918" s="39" t="n">
        <v>46266</v>
      </c>
      <c r="B918" s="40" t="n">
        <v>0.6388888888888888</v>
      </c>
      <c r="C918" s="35" t="inlineStr">
        <is>
          <t>Dra. Renata Sousa</t>
        </is>
      </c>
      <c r="D918" s="35" t="inlineStr">
        <is>
          <t>Sala 1</t>
        </is>
      </c>
      <c r="E918" s="34" t="inlineStr">
        <is>
          <t>Rodrigo Cardoso</t>
        </is>
      </c>
      <c r="F918" s="35" t="inlineStr">
        <is>
          <t>Saúde Total</t>
        </is>
      </c>
      <c r="G918" s="35" t="inlineStr">
        <is>
          <t>Avaliação endócrina</t>
        </is>
      </c>
      <c r="H918" s="35" t="inlineStr">
        <is>
          <t>Realizado</t>
        </is>
      </c>
      <c r="I918" s="35" t="inlineStr">
        <is>
          <t>Convênio</t>
        </is>
      </c>
      <c r="J918" s="35" t="n"/>
      <c r="K918" s="34" t="n"/>
      <c r="L918" s="26">
        <f>IF(A918="","",MONTH(A918))</f>
        <v>9</v>
      </c>
      <c r="M918" s="26">
        <f>IF(A918="","",YEAR(A918))</f>
        <v>2026</v>
      </c>
      <c r="N918" s="26" t="str">
        <f>IF(A918="","",CHOOSE(WEEKDAY(A918,2),"Segunda","Terça","Quarta","Quinta","Sexta","Sábado","Domingo"))</f>
        <v>Terça</v>
      </c>
      <c r="O918" s="26" t="str">
        <f>IF(B918="","",IF(B918&lt;TIME(12,0,0),"Manhã",IF(B918&lt;TIME(18,0,0),"Tarde","Noite")))</f>
        <v>Tarde</v>
      </c>
      <c r="P918" s="32">
        <f>IF(G918="","",IFERROR(INDEX(Config!$I$5:$I$16,MATCH(G918,Config!$H$5:$H$16,0)),0))</f>
        <v>45</v>
      </c>
      <c r="Q918" s="30">
        <f>IF(OR(H918&lt;&gt;"Realizado",P918="",P918=0),"",A918+P918)</f>
        <v>46311.0</v>
      </c>
      <c r="R918" s="26" t="str">
        <f>IF(Q918="","",IF(COUNTIFS($E$5:$E$3004,E918,$A$5:$A$3004,"&gt;"&amp;A918,$H$5:$H$3004,"&lt;&gt;Falta",$H$5:$H$3004,"&lt;&gt;Cancelado",$H$5:$H$3004,"&lt;&gt;Remarcado")&gt;0,"Sim","Não"))</f>
        <v>Sim</v>
      </c>
      <c r="S918" s="32">
        <f>IF(R918&lt;&gt;"Não","",IF(Q918+Config!$B$9&lt;=Config!$B$8,Config!$B$8-Q918,""))</f>
        <v/>
      </c>
      <c r="T918" s="26">
        <f>IF(S918="","","Sim")</f>
        <v/>
      </c>
      <c r="U918" s="41">
        <f>IF(T918="Sim",S918+ROW()/100000,0)</f>
        <v>0</v>
      </c>
      <c r="V918" s="41">
        <f>IF(AND(H918="Falta",L918=Config!$B$7,M918=Config!$B$5,COUNTIFS($E$5:E918,E918,$H$5:H918,"Falta",$L$5:L918,Config!$B$7,$M$5:M918,Config!$B$5)=1),COUNTIFS($E$5:$E$3004,E918,$H$5:$H$3004,"Falta",$L$5:$L$3004,Config!$B$7,$M$5:$M$3004,Config!$B$5)*1000-ROW()/100000,0)</f>
        <v>0</v>
      </c>
    </row>
    <row r="919">
      <c r="A919" s="39" t="n">
        <v>46266</v>
      </c>
      <c r="B919" s="40" t="n">
        <v>0.6527777777777778</v>
      </c>
      <c r="C919" s="35" t="inlineStr">
        <is>
          <t>Dr. Paulo Andrade</t>
        </is>
      </c>
      <c r="D919" s="35" t="inlineStr">
        <is>
          <t>Sala 2</t>
        </is>
      </c>
      <c r="E919" s="34" t="inlineStr">
        <is>
          <t>Juliana Ribeiro</t>
        </is>
      </c>
      <c r="F919" s="35" t="inlineStr">
        <is>
          <t>Saúde Total</t>
        </is>
      </c>
      <c r="G919" s="35" t="inlineStr">
        <is>
          <t>Teste ergométrico</t>
        </is>
      </c>
      <c r="H919" s="35" t="inlineStr">
        <is>
          <t>Realizado</t>
        </is>
      </c>
      <c r="I919" s="35" t="inlineStr">
        <is>
          <t>Convênio</t>
        </is>
      </c>
      <c r="J919" s="35" t="n"/>
      <c r="K919" s="34" t="n"/>
      <c r="L919" s="26">
        <f>IF(A919="","",MONTH(A919))</f>
        <v>9</v>
      </c>
      <c r="M919" s="26">
        <f>IF(A919="","",YEAR(A919))</f>
        <v>2026</v>
      </c>
      <c r="N919" s="26" t="str">
        <f>IF(A919="","",CHOOSE(WEEKDAY(A919,2),"Segunda","Terça","Quarta","Quinta","Sexta","Sábado","Domingo"))</f>
        <v>Terça</v>
      </c>
      <c r="O919" s="26" t="str">
        <f>IF(B919="","",IF(B919&lt;TIME(12,0,0),"Manhã",IF(B919&lt;TIME(18,0,0),"Tarde","Noite")))</f>
        <v>Tarde</v>
      </c>
      <c r="P919" s="32">
        <f>IF(G919="","",IFERROR(INDEX(Config!$I$5:$I$16,MATCH(G919,Config!$H$5:$H$16,0)),0))</f>
        <v>0</v>
      </c>
      <c r="Q919" s="30">
        <f>IF(OR(H919&lt;&gt;"Realizado",P919="",P919=0),"",A919+P919)</f>
        <v/>
      </c>
      <c r="R919" s="26">
        <f>IF(Q919="","",IF(COUNTIFS($E$5:$E$3004,E919,$A$5:$A$3004,"&gt;"&amp;A919,$H$5:$H$3004,"&lt;&gt;Falta",$H$5:$H$3004,"&lt;&gt;Cancelado",$H$5:$H$3004,"&lt;&gt;Remarcado")&gt;0,"Sim","Não"))</f>
        <v/>
      </c>
      <c r="S919" s="32">
        <f>IF(R919&lt;&gt;"Não","",IF(Q919+Config!$B$9&lt;=Config!$B$8,Config!$B$8-Q919,""))</f>
        <v/>
      </c>
      <c r="T919" s="26">
        <f>IF(S919="","","Sim")</f>
        <v/>
      </c>
      <c r="U919" s="41">
        <f>IF(T919="Sim",S919+ROW()/100000,0)</f>
        <v>0</v>
      </c>
      <c r="V919" s="41">
        <f>IF(AND(H919="Falta",L919=Config!$B$7,M919=Config!$B$5,COUNTIFS($E$5:E919,E919,$H$5:H919,"Falta",$L$5:L919,Config!$B$7,$M$5:M919,Config!$B$5)=1),COUNTIFS($E$5:$E$3004,E919,$H$5:$H$3004,"Falta",$L$5:$L$3004,Config!$B$7,$M$5:$M$3004,Config!$B$5)*1000-ROW()/100000,0)</f>
        <v>0</v>
      </c>
    </row>
    <row r="920">
      <c r="A920" s="39" t="n">
        <v>46266</v>
      </c>
      <c r="B920" s="40" t="n">
        <v>0.6805555555555556</v>
      </c>
      <c r="C920" s="35" t="inlineStr">
        <is>
          <t>Dr. Paulo Andrade</t>
        </is>
      </c>
      <c r="D920" s="35" t="inlineStr">
        <is>
          <t>Sala 2</t>
        </is>
      </c>
      <c r="E920" s="34" t="inlineStr">
        <is>
          <t>Helena Ribeiro</t>
        </is>
      </c>
      <c r="F920" s="35" t="inlineStr">
        <is>
          <t>MediPlan</t>
        </is>
      </c>
      <c r="G920" s="35" t="inlineStr">
        <is>
          <t>Retorno</t>
        </is>
      </c>
      <c r="H920" s="35" t="inlineStr">
        <is>
          <t>Realizado</t>
        </is>
      </c>
      <c r="I920" s="35" t="inlineStr">
        <is>
          <t>Sem cobrança</t>
        </is>
      </c>
      <c r="J920" s="35" t="n"/>
      <c r="K920" s="34" t="n"/>
      <c r="L920" s="26">
        <f>IF(A920="","",MONTH(A920))</f>
        <v>9</v>
      </c>
      <c r="M920" s="26">
        <f>IF(A920="","",YEAR(A920))</f>
        <v>2026</v>
      </c>
      <c r="N920" s="26" t="str">
        <f>IF(A920="","",CHOOSE(WEEKDAY(A920,2),"Segunda","Terça","Quarta","Quinta","Sexta","Sábado","Domingo"))</f>
        <v>Terça</v>
      </c>
      <c r="O920" s="26" t="str">
        <f>IF(B920="","",IF(B920&lt;TIME(12,0,0),"Manhã",IF(B920&lt;TIME(18,0,0),"Tarde","Noite")))</f>
        <v>Tarde</v>
      </c>
      <c r="P920" s="32">
        <f>IF(G920="","",IFERROR(INDEX(Config!$I$5:$I$16,MATCH(G920,Config!$H$5:$H$16,0)),0))</f>
        <v>0</v>
      </c>
      <c r="Q920" s="30">
        <f>IF(OR(H920&lt;&gt;"Realizado",P920="",P920=0),"",A920+P920)</f>
        <v/>
      </c>
      <c r="R920" s="26">
        <f>IF(Q920="","",IF(COUNTIFS($E$5:$E$3004,E920,$A$5:$A$3004,"&gt;"&amp;A920,$H$5:$H$3004,"&lt;&gt;Falta",$H$5:$H$3004,"&lt;&gt;Cancelado",$H$5:$H$3004,"&lt;&gt;Remarcado")&gt;0,"Sim","Não"))</f>
        <v/>
      </c>
      <c r="S920" s="32">
        <f>IF(R920&lt;&gt;"Não","",IF(Q920+Config!$B$9&lt;=Config!$B$8,Config!$B$8-Q920,""))</f>
        <v/>
      </c>
      <c r="T920" s="26">
        <f>IF(S920="","","Sim")</f>
        <v/>
      </c>
      <c r="U920" s="41">
        <f>IF(T920="Sim",S920+ROW()/100000,0)</f>
        <v>0</v>
      </c>
      <c r="V920" s="41">
        <f>IF(AND(H920="Falta",L920=Config!$B$7,M920=Config!$B$5,COUNTIFS($E$5:E920,E920,$H$5:H920,"Falta",$L$5:L920,Config!$B$7,$M$5:M920,Config!$B$5)=1),COUNTIFS($E$5:$E$3004,E920,$H$5:$H$3004,"Falta",$L$5:$L$3004,Config!$B$7,$M$5:$M$3004,Config!$B$5)*1000-ROW()/100000,0)</f>
        <v>0</v>
      </c>
    </row>
    <row r="921">
      <c r="A921" s="39" t="n">
        <v>46266</v>
      </c>
      <c r="B921" s="40" t="n">
        <v>0.6875</v>
      </c>
      <c r="C921" s="35" t="inlineStr">
        <is>
          <t>Dra. Renata Sousa</t>
        </is>
      </c>
      <c r="D921" s="35" t="inlineStr">
        <is>
          <t>Sala 1</t>
        </is>
      </c>
      <c r="E921" s="34" t="inlineStr">
        <is>
          <t>Fábio Gomes</t>
        </is>
      </c>
      <c r="F921" s="35" t="inlineStr">
        <is>
          <t>Particular</t>
        </is>
      </c>
      <c r="G921" s="35" t="inlineStr">
        <is>
          <t>Retorno</t>
        </is>
      </c>
      <c r="H921" s="35" t="inlineStr">
        <is>
          <t>Realizado</t>
        </is>
      </c>
      <c r="I921" s="35" t="inlineStr">
        <is>
          <t>Sem cobrança</t>
        </is>
      </c>
      <c r="J921" s="35" t="n"/>
      <c r="K921" s="34" t="n"/>
      <c r="L921" s="26">
        <f>IF(A921="","",MONTH(A921))</f>
        <v>9</v>
      </c>
      <c r="M921" s="26">
        <f>IF(A921="","",YEAR(A921))</f>
        <v>2026</v>
      </c>
      <c r="N921" s="26" t="str">
        <f>IF(A921="","",CHOOSE(WEEKDAY(A921,2),"Segunda","Terça","Quarta","Quinta","Sexta","Sábado","Domingo"))</f>
        <v>Terça</v>
      </c>
      <c r="O921" s="26" t="str">
        <f>IF(B921="","",IF(B921&lt;TIME(12,0,0),"Manhã",IF(B921&lt;TIME(18,0,0),"Tarde","Noite")))</f>
        <v>Tarde</v>
      </c>
      <c r="P921" s="32">
        <f>IF(G921="","",IFERROR(INDEX(Config!$I$5:$I$16,MATCH(G921,Config!$H$5:$H$16,0)),0))</f>
        <v>0</v>
      </c>
      <c r="Q921" s="30">
        <f>IF(OR(H921&lt;&gt;"Realizado",P921="",P921=0),"",A921+P921)</f>
        <v/>
      </c>
      <c r="R921" s="26">
        <f>IF(Q921="","",IF(COUNTIFS($E$5:$E$3004,E921,$A$5:$A$3004,"&gt;"&amp;A921,$H$5:$H$3004,"&lt;&gt;Falta",$H$5:$H$3004,"&lt;&gt;Cancelado",$H$5:$H$3004,"&lt;&gt;Remarcado")&gt;0,"Sim","Não"))</f>
        <v/>
      </c>
      <c r="S921" s="32">
        <f>IF(R921&lt;&gt;"Não","",IF(Q921+Config!$B$9&lt;=Config!$B$8,Config!$B$8-Q921,""))</f>
        <v/>
      </c>
      <c r="T921" s="26">
        <f>IF(S921="","","Sim")</f>
        <v/>
      </c>
      <c r="U921" s="41">
        <f>IF(T921="Sim",S921+ROW()/100000,0)</f>
        <v>0</v>
      </c>
      <c r="V921" s="41">
        <f>IF(AND(H921="Falta",L921=Config!$B$7,M921=Config!$B$5,COUNTIFS($E$5:E921,E921,$H$5:H921,"Falta",$L$5:L921,Config!$B$7,$M$5:M921,Config!$B$5)=1),COUNTIFS($E$5:$E$3004,E921,$H$5:$H$3004,"Falta",$L$5:$L$3004,Config!$B$7,$M$5:$M$3004,Config!$B$5)*1000-ROW()/100000,0)</f>
        <v>0</v>
      </c>
    </row>
    <row r="922">
      <c r="A922" s="39" t="n">
        <v>46266</v>
      </c>
      <c r="B922" s="40" t="n">
        <v>0.6944444444444444</v>
      </c>
      <c r="C922" s="35" t="inlineStr">
        <is>
          <t>Dr. Paulo Andrade</t>
        </is>
      </c>
      <c r="D922" s="35" t="inlineStr">
        <is>
          <t>Sala 2</t>
        </is>
      </c>
      <c r="E922" s="34" t="inlineStr">
        <is>
          <t>Sérgio Teixeira</t>
        </is>
      </c>
      <c r="F922" s="35" t="inlineStr">
        <is>
          <t>MediPlan</t>
        </is>
      </c>
      <c r="G922" s="35" t="inlineStr">
        <is>
          <t>Consulta</t>
        </is>
      </c>
      <c r="H922" s="35" t="inlineStr">
        <is>
          <t>Realizado</t>
        </is>
      </c>
      <c r="I922" s="35" t="inlineStr">
        <is>
          <t>Convênio</t>
        </is>
      </c>
      <c r="J922" s="35" t="n"/>
      <c r="K922" s="34" t="n"/>
      <c r="L922" s="26">
        <f>IF(A922="","",MONTH(A922))</f>
        <v>9</v>
      </c>
      <c r="M922" s="26">
        <f>IF(A922="","",YEAR(A922))</f>
        <v>2026</v>
      </c>
      <c r="N922" s="26" t="str">
        <f>IF(A922="","",CHOOSE(WEEKDAY(A922,2),"Segunda","Terça","Quarta","Quinta","Sexta","Sábado","Domingo"))</f>
        <v>Terça</v>
      </c>
      <c r="O922" s="26" t="str">
        <f>IF(B922="","",IF(B922&lt;TIME(12,0,0),"Manhã",IF(B922&lt;TIME(18,0,0),"Tarde","Noite")))</f>
        <v>Tarde</v>
      </c>
      <c r="P922" s="32">
        <f>IF(G922="","",IFERROR(INDEX(Config!$I$5:$I$16,MATCH(G922,Config!$H$5:$H$16,0)),0))</f>
        <v>30</v>
      </c>
      <c r="Q922" s="30">
        <f>IF(OR(H922&lt;&gt;"Realizado",P922="",P922=0),"",A922+P922)</f>
        <v>46296.0</v>
      </c>
      <c r="R922" s="26" t="str">
        <f>IF(Q922="","",IF(COUNTIFS($E$5:$E$3004,E922,$A$5:$A$3004,"&gt;"&amp;A922,$H$5:$H$3004,"&lt;&gt;Falta",$H$5:$H$3004,"&lt;&gt;Cancelado",$H$5:$H$3004,"&lt;&gt;Remarcado")&gt;0,"Sim","Não"))</f>
        <v>Sim</v>
      </c>
      <c r="S922" s="32">
        <f>IF(R922&lt;&gt;"Não","",IF(Q922+Config!$B$9&lt;=Config!$B$8,Config!$B$8-Q922,""))</f>
        <v/>
      </c>
      <c r="T922" s="26">
        <f>IF(S922="","","Sim")</f>
        <v/>
      </c>
      <c r="U922" s="41">
        <f>IF(T922="Sim",S922+ROW()/100000,0)</f>
        <v>0</v>
      </c>
      <c r="V922" s="41">
        <f>IF(AND(H922="Falta",L922=Config!$B$7,M922=Config!$B$5,COUNTIFS($E$5:E922,E922,$H$5:H922,"Falta",$L$5:L922,Config!$B$7,$M$5:M922,Config!$B$5)=1),COUNTIFS($E$5:$E$3004,E922,$H$5:$H$3004,"Falta",$L$5:$L$3004,Config!$B$7,$M$5:$M$3004,Config!$B$5)*1000-ROW()/100000,0)</f>
        <v>0</v>
      </c>
    </row>
    <row r="923">
      <c r="A923" s="39" t="n">
        <v>46266</v>
      </c>
      <c r="B923" s="40" t="n">
        <v>0.7013888888888888</v>
      </c>
      <c r="C923" s="35" t="inlineStr">
        <is>
          <t>Dra. Renata Sousa</t>
        </is>
      </c>
      <c r="D923" s="35" t="inlineStr">
        <is>
          <t>Sala 1</t>
        </is>
      </c>
      <c r="E923" s="34" t="inlineStr">
        <is>
          <t>Isabela Xavier</t>
        </is>
      </c>
      <c r="F923" s="35" t="inlineStr">
        <is>
          <t>Particular</t>
        </is>
      </c>
      <c r="G923" s="35" t="inlineStr">
        <is>
          <t>Avaliação endócrina</t>
        </is>
      </c>
      <c r="H923" s="35" t="inlineStr">
        <is>
          <t>Realizado</t>
        </is>
      </c>
      <c r="I923" s="35" t="inlineStr">
        <is>
          <t>Cartão de crédito</t>
        </is>
      </c>
      <c r="J923" s="35" t="n"/>
      <c r="K923" s="34" t="n"/>
      <c r="L923" s="26">
        <f>IF(A923="","",MONTH(A923))</f>
        <v>9</v>
      </c>
      <c r="M923" s="26">
        <f>IF(A923="","",YEAR(A923))</f>
        <v>2026</v>
      </c>
      <c r="N923" s="26" t="str">
        <f>IF(A923="","",CHOOSE(WEEKDAY(A923,2),"Segunda","Terça","Quarta","Quinta","Sexta","Sábado","Domingo"))</f>
        <v>Terça</v>
      </c>
      <c r="O923" s="26" t="str">
        <f>IF(B923="","",IF(B923&lt;TIME(12,0,0),"Manhã",IF(B923&lt;TIME(18,0,0),"Tarde","Noite")))</f>
        <v>Tarde</v>
      </c>
      <c r="P923" s="32">
        <f>IF(G923="","",IFERROR(INDEX(Config!$I$5:$I$16,MATCH(G923,Config!$H$5:$H$16,0)),0))</f>
        <v>45</v>
      </c>
      <c r="Q923" s="30">
        <f>IF(OR(H923&lt;&gt;"Realizado",P923="",P923=0),"",A923+P923)</f>
        <v>46311.0</v>
      </c>
      <c r="R923" s="26" t="str">
        <f>IF(Q923="","",IF(COUNTIFS($E$5:$E$3004,E923,$A$5:$A$3004,"&gt;"&amp;A923,$H$5:$H$3004,"&lt;&gt;Falta",$H$5:$H$3004,"&lt;&gt;Cancelado",$H$5:$H$3004,"&lt;&gt;Remarcado")&gt;0,"Sim","Não"))</f>
        <v>Sim</v>
      </c>
      <c r="S923" s="32">
        <f>IF(R923&lt;&gt;"Não","",IF(Q923+Config!$B$9&lt;=Config!$B$8,Config!$B$8-Q923,""))</f>
        <v/>
      </c>
      <c r="T923" s="26">
        <f>IF(S923="","","Sim")</f>
        <v/>
      </c>
      <c r="U923" s="41">
        <f>IF(T923="Sim",S923+ROW()/100000,0)</f>
        <v>0</v>
      </c>
      <c r="V923" s="41">
        <f>IF(AND(H923="Falta",L923=Config!$B$7,M923=Config!$B$5,COUNTIFS($E$5:E923,E923,$H$5:H923,"Falta",$L$5:L923,Config!$B$7,$M$5:M923,Config!$B$5)=1),COUNTIFS($E$5:$E$3004,E923,$H$5:$H$3004,"Falta",$L$5:$L$3004,Config!$B$7,$M$5:$M$3004,Config!$B$5)*1000-ROW()/100000,0)</f>
        <v>0</v>
      </c>
    </row>
    <row r="924">
      <c r="A924" s="39" t="n">
        <v>46266</v>
      </c>
      <c r="B924" s="40" t="n">
        <v>0.7152777777777778</v>
      </c>
      <c r="C924" s="35" t="inlineStr">
        <is>
          <t>Dr. Paulo Andrade</t>
        </is>
      </c>
      <c r="D924" s="35" t="inlineStr">
        <is>
          <t>Sala 2</t>
        </is>
      </c>
      <c r="E924" s="34" t="inlineStr">
        <is>
          <t>Viviane Duarte</t>
        </is>
      </c>
      <c r="F924" s="35" t="inlineStr">
        <is>
          <t>MediPlan</t>
        </is>
      </c>
      <c r="G924" s="35" t="inlineStr">
        <is>
          <t>Consulta</t>
        </is>
      </c>
      <c r="H924" s="35" t="inlineStr">
        <is>
          <t>Realizado</t>
        </is>
      </c>
      <c r="I924" s="35" t="inlineStr">
        <is>
          <t>Convênio</t>
        </is>
      </c>
      <c r="J924" s="35" t="n"/>
      <c r="K924" s="34" t="n"/>
      <c r="L924" s="26">
        <f>IF(A924="","",MONTH(A924))</f>
        <v>9</v>
      </c>
      <c r="M924" s="26">
        <f>IF(A924="","",YEAR(A924))</f>
        <v>2026</v>
      </c>
      <c r="N924" s="26" t="str">
        <f>IF(A924="","",CHOOSE(WEEKDAY(A924,2),"Segunda","Terça","Quarta","Quinta","Sexta","Sábado","Domingo"))</f>
        <v>Terça</v>
      </c>
      <c r="O924" s="26" t="str">
        <f>IF(B924="","",IF(B924&lt;TIME(12,0,0),"Manhã",IF(B924&lt;TIME(18,0,0),"Tarde","Noite")))</f>
        <v>Tarde</v>
      </c>
      <c r="P924" s="32">
        <f>IF(G924="","",IFERROR(INDEX(Config!$I$5:$I$16,MATCH(G924,Config!$H$5:$H$16,0)),0))</f>
        <v>30</v>
      </c>
      <c r="Q924" s="30">
        <f>IF(OR(H924&lt;&gt;"Realizado",P924="",P924=0),"",A924+P924)</f>
        <v>46296.0</v>
      </c>
      <c r="R924" s="26" t="str">
        <f>IF(Q924="","",IF(COUNTIFS($E$5:$E$3004,E924,$A$5:$A$3004,"&gt;"&amp;A924,$H$5:$H$3004,"&lt;&gt;Falta",$H$5:$H$3004,"&lt;&gt;Cancelado",$H$5:$H$3004,"&lt;&gt;Remarcado")&gt;0,"Sim","Não"))</f>
        <v>Sim</v>
      </c>
      <c r="S924" s="32">
        <f>IF(R924&lt;&gt;"Não","",IF(Q924+Config!$B$9&lt;=Config!$B$8,Config!$B$8-Q924,""))</f>
        <v/>
      </c>
      <c r="T924" s="26">
        <f>IF(S924="","","Sim")</f>
        <v/>
      </c>
      <c r="U924" s="41">
        <f>IF(T924="Sim",S924+ROW()/100000,0)</f>
        <v>0</v>
      </c>
      <c r="V924" s="41">
        <f>IF(AND(H924="Falta",L924=Config!$B$7,M924=Config!$B$5,COUNTIFS($E$5:E924,E924,$H$5:H924,"Falta",$L$5:L924,Config!$B$7,$M$5:M924,Config!$B$5)=1),COUNTIFS($E$5:$E$3004,E924,$H$5:$H$3004,"Falta",$L$5:$L$3004,Config!$B$7,$M$5:$M$3004,Config!$B$5)*1000-ROW()/100000,0)</f>
        <v>0</v>
      </c>
    </row>
    <row r="925">
      <c r="A925" s="39" t="n">
        <v>46266</v>
      </c>
      <c r="B925" s="40" t="n">
        <v>0.7291666666666666</v>
      </c>
      <c r="C925" s="35" t="inlineStr">
        <is>
          <t>Dra. Renata Sousa</t>
        </is>
      </c>
      <c r="D925" s="35" t="inlineStr">
        <is>
          <t>Sala 1</t>
        </is>
      </c>
      <c r="E925" s="34" t="inlineStr">
        <is>
          <t>Mariana Reis</t>
        </is>
      </c>
      <c r="F925" s="35" t="inlineStr">
        <is>
          <t>Particular</t>
        </is>
      </c>
      <c r="G925" s="35" t="inlineStr">
        <is>
          <t>Retorno</t>
        </is>
      </c>
      <c r="H925" s="35" t="inlineStr">
        <is>
          <t>Realizado</t>
        </is>
      </c>
      <c r="I925" s="35" t="inlineStr">
        <is>
          <t>Sem cobrança</t>
        </is>
      </c>
      <c r="J925" s="35" t="n"/>
      <c r="K925" s="34" t="n"/>
      <c r="L925" s="26">
        <f>IF(A925="","",MONTH(A925))</f>
        <v>9</v>
      </c>
      <c r="M925" s="26">
        <f>IF(A925="","",YEAR(A925))</f>
        <v>2026</v>
      </c>
      <c r="N925" s="26" t="str">
        <f>IF(A925="","",CHOOSE(WEEKDAY(A925,2),"Segunda","Terça","Quarta","Quinta","Sexta","Sábado","Domingo"))</f>
        <v>Terça</v>
      </c>
      <c r="O925" s="26" t="str">
        <f>IF(B925="","",IF(B925&lt;TIME(12,0,0),"Manhã",IF(B925&lt;TIME(18,0,0),"Tarde","Noite")))</f>
        <v>Tarde</v>
      </c>
      <c r="P925" s="32">
        <f>IF(G925="","",IFERROR(INDEX(Config!$I$5:$I$16,MATCH(G925,Config!$H$5:$H$16,0)),0))</f>
        <v>0</v>
      </c>
      <c r="Q925" s="30">
        <f>IF(OR(H925&lt;&gt;"Realizado",P925="",P925=0),"",A925+P925)</f>
        <v/>
      </c>
      <c r="R925" s="26">
        <f>IF(Q925="","",IF(COUNTIFS($E$5:$E$3004,E925,$A$5:$A$3004,"&gt;"&amp;A925,$H$5:$H$3004,"&lt;&gt;Falta",$H$5:$H$3004,"&lt;&gt;Cancelado",$H$5:$H$3004,"&lt;&gt;Remarcado")&gt;0,"Sim","Não"))</f>
        <v/>
      </c>
      <c r="S925" s="32">
        <f>IF(R925&lt;&gt;"Não","",IF(Q925+Config!$B$9&lt;=Config!$B$8,Config!$B$8-Q925,""))</f>
        <v/>
      </c>
      <c r="T925" s="26">
        <f>IF(S925="","","Sim")</f>
        <v/>
      </c>
      <c r="U925" s="41">
        <f>IF(T925="Sim",S925+ROW()/100000,0)</f>
        <v>0</v>
      </c>
      <c r="V925" s="41">
        <f>IF(AND(H925="Falta",L925=Config!$B$7,M925=Config!$B$5,COUNTIFS($E$5:E925,E925,$H$5:H925,"Falta",$L$5:L925,Config!$B$7,$M$5:M925,Config!$B$5)=1),COUNTIFS($E$5:$E$3004,E925,$H$5:$H$3004,"Falta",$L$5:$L$3004,Config!$B$7,$M$5:$M$3004,Config!$B$5)*1000-ROW()/100000,0)</f>
        <v>0</v>
      </c>
    </row>
    <row r="926">
      <c r="A926" s="39" t="n">
        <v>46266</v>
      </c>
      <c r="B926" s="40" t="n">
        <v>0.7361111111111112</v>
      </c>
      <c r="C926" s="35" t="inlineStr">
        <is>
          <t>Dr. Paulo Andrade</t>
        </is>
      </c>
      <c r="D926" s="35" t="inlineStr">
        <is>
          <t>Sala 2</t>
        </is>
      </c>
      <c r="E926" s="34" t="inlineStr">
        <is>
          <t>Natália Xavier</t>
        </is>
      </c>
      <c r="F926" s="35" t="inlineStr">
        <is>
          <t>MediPlan</t>
        </is>
      </c>
      <c r="G926" s="35" t="inlineStr">
        <is>
          <t>Retorno</t>
        </is>
      </c>
      <c r="H926" s="35" t="inlineStr">
        <is>
          <t>Realizado</t>
        </is>
      </c>
      <c r="I926" s="35" t="inlineStr">
        <is>
          <t>Sem cobrança</t>
        </is>
      </c>
      <c r="J926" s="35" t="n"/>
      <c r="K926" s="34" t="n"/>
      <c r="L926" s="26">
        <f>IF(A926="","",MONTH(A926))</f>
        <v>9</v>
      </c>
      <c r="M926" s="26">
        <f>IF(A926="","",YEAR(A926))</f>
        <v>2026</v>
      </c>
      <c r="N926" s="26" t="str">
        <f>IF(A926="","",CHOOSE(WEEKDAY(A926,2),"Segunda","Terça","Quarta","Quinta","Sexta","Sábado","Domingo"))</f>
        <v>Terça</v>
      </c>
      <c r="O926" s="26" t="str">
        <f>IF(B926="","",IF(B926&lt;TIME(12,0,0),"Manhã",IF(B926&lt;TIME(18,0,0),"Tarde","Noite")))</f>
        <v>Tarde</v>
      </c>
      <c r="P926" s="32">
        <f>IF(G926="","",IFERROR(INDEX(Config!$I$5:$I$16,MATCH(G926,Config!$H$5:$H$16,0)),0))</f>
        <v>0</v>
      </c>
      <c r="Q926" s="30">
        <f>IF(OR(H926&lt;&gt;"Realizado",P926="",P926=0),"",A926+P926)</f>
        <v/>
      </c>
      <c r="R926" s="26">
        <f>IF(Q926="","",IF(COUNTIFS($E$5:$E$3004,E926,$A$5:$A$3004,"&gt;"&amp;A926,$H$5:$H$3004,"&lt;&gt;Falta",$H$5:$H$3004,"&lt;&gt;Cancelado",$H$5:$H$3004,"&lt;&gt;Remarcado")&gt;0,"Sim","Não"))</f>
        <v/>
      </c>
      <c r="S926" s="32">
        <f>IF(R926&lt;&gt;"Não","",IF(Q926+Config!$B$9&lt;=Config!$B$8,Config!$B$8-Q926,""))</f>
        <v/>
      </c>
      <c r="T926" s="26">
        <f>IF(S926="","","Sim")</f>
        <v/>
      </c>
      <c r="U926" s="41">
        <f>IF(T926="Sim",S926+ROW()/100000,0)</f>
        <v>0</v>
      </c>
      <c r="V926" s="41">
        <f>IF(AND(H926="Falta",L926=Config!$B$7,M926=Config!$B$5,COUNTIFS($E$5:E926,E926,$H$5:H926,"Falta",$L$5:L926,Config!$B$7,$M$5:M926,Config!$B$5)=1),COUNTIFS($E$5:$E$3004,E926,$H$5:$H$3004,"Falta",$L$5:$L$3004,Config!$B$7,$M$5:$M$3004,Config!$B$5)*1000-ROW()/100000,0)</f>
        <v>0</v>
      </c>
    </row>
    <row r="927">
      <c r="A927" s="39" t="n">
        <v>46267</v>
      </c>
      <c r="B927" s="40" t="n">
        <v>0.5833333333333334</v>
      </c>
      <c r="C927" s="35" t="inlineStr">
        <is>
          <t>Dra. Carolina Mendes</t>
        </is>
      </c>
      <c r="D927" s="35" t="inlineStr">
        <is>
          <t>Sala 1</t>
        </is>
      </c>
      <c r="E927" s="34" t="inlineStr">
        <is>
          <t>Isabela Pinto</t>
        </is>
      </c>
      <c r="F927" s="35" t="inlineStr">
        <is>
          <t>Saúde Total</t>
        </is>
      </c>
      <c r="G927" s="35" t="inlineStr">
        <is>
          <t>Retorno</t>
        </is>
      </c>
      <c r="H927" s="35" t="inlineStr">
        <is>
          <t>Realizado</t>
        </is>
      </c>
      <c r="I927" s="35" t="inlineStr">
        <is>
          <t>Sem cobrança</t>
        </is>
      </c>
      <c r="J927" s="35" t="n"/>
      <c r="K927" s="34" t="n"/>
      <c r="L927" s="26">
        <f>IF(A927="","",MONTH(A927))</f>
        <v>9</v>
      </c>
      <c r="M927" s="26">
        <f>IF(A927="","",YEAR(A927))</f>
        <v>2026</v>
      </c>
      <c r="N927" s="26" t="str">
        <f>IF(A927="","",CHOOSE(WEEKDAY(A927,2),"Segunda","Terça","Quarta","Quinta","Sexta","Sábado","Domingo"))</f>
        <v>Quarta</v>
      </c>
      <c r="O927" s="26" t="str">
        <f>IF(B927="","",IF(B927&lt;TIME(12,0,0),"Manhã",IF(B927&lt;TIME(18,0,0),"Tarde","Noite")))</f>
        <v>Tarde</v>
      </c>
      <c r="P927" s="32">
        <f>IF(G927="","",IFERROR(INDEX(Config!$I$5:$I$16,MATCH(G927,Config!$H$5:$H$16,0)),0))</f>
        <v>0</v>
      </c>
      <c r="Q927" s="30">
        <f>IF(OR(H927&lt;&gt;"Realizado",P927="",P927=0),"",A927+P927)</f>
        <v/>
      </c>
      <c r="R927" s="26">
        <f>IF(Q927="","",IF(COUNTIFS($E$5:$E$3004,E927,$A$5:$A$3004,"&gt;"&amp;A927,$H$5:$H$3004,"&lt;&gt;Falta",$H$5:$H$3004,"&lt;&gt;Cancelado",$H$5:$H$3004,"&lt;&gt;Remarcado")&gt;0,"Sim","Não"))</f>
        <v/>
      </c>
      <c r="S927" s="32">
        <f>IF(R927&lt;&gt;"Não","",IF(Q927+Config!$B$9&lt;=Config!$B$8,Config!$B$8-Q927,""))</f>
        <v/>
      </c>
      <c r="T927" s="26">
        <f>IF(S927="","","Sim")</f>
        <v/>
      </c>
      <c r="U927" s="41">
        <f>IF(T927="Sim",S927+ROW()/100000,0)</f>
        <v>0</v>
      </c>
      <c r="V927" s="41">
        <f>IF(AND(H927="Falta",L927=Config!$B$7,M927=Config!$B$5,COUNTIFS($E$5:E927,E927,$H$5:H927,"Falta",$L$5:L927,Config!$B$7,$M$5:M927,Config!$B$5)=1),COUNTIFS($E$5:$E$3004,E927,$H$5:$H$3004,"Falta",$L$5:$L$3004,Config!$B$7,$M$5:$M$3004,Config!$B$5)*1000-ROW()/100000,0)</f>
        <v>0</v>
      </c>
    </row>
    <row r="928">
      <c r="A928" s="39" t="n">
        <v>46267</v>
      </c>
      <c r="B928" s="40" t="n">
        <v>0.5972222222222222</v>
      </c>
      <c r="C928" s="35" t="inlineStr">
        <is>
          <t>Dra. Carolina Mendes</t>
        </is>
      </c>
      <c r="D928" s="35" t="inlineStr">
        <is>
          <t>Sala 1</t>
        </is>
      </c>
      <c r="E928" s="34" t="inlineStr">
        <is>
          <t>Mônica Batista</t>
        </is>
      </c>
      <c r="F928" s="35" t="inlineStr">
        <is>
          <t>MediPlan</t>
        </is>
      </c>
      <c r="G928" s="35" t="inlineStr">
        <is>
          <t>Retorno</t>
        </is>
      </c>
      <c r="H928" s="35" t="inlineStr">
        <is>
          <t>Realizado</t>
        </is>
      </c>
      <c r="I928" s="35" t="inlineStr">
        <is>
          <t>Sem cobrança</t>
        </is>
      </c>
      <c r="J928" s="35" t="n"/>
      <c r="K928" s="34" t="n"/>
      <c r="L928" s="26">
        <f>IF(A928="","",MONTH(A928))</f>
        <v>9</v>
      </c>
      <c r="M928" s="26">
        <f>IF(A928="","",YEAR(A928))</f>
        <v>2026</v>
      </c>
      <c r="N928" s="26" t="str">
        <f>IF(A928="","",CHOOSE(WEEKDAY(A928,2),"Segunda","Terça","Quarta","Quinta","Sexta","Sábado","Domingo"))</f>
        <v>Quarta</v>
      </c>
      <c r="O928" s="26" t="str">
        <f>IF(B928="","",IF(B928&lt;TIME(12,0,0),"Manhã",IF(B928&lt;TIME(18,0,0),"Tarde","Noite")))</f>
        <v>Tarde</v>
      </c>
      <c r="P928" s="32">
        <f>IF(G928="","",IFERROR(INDEX(Config!$I$5:$I$16,MATCH(G928,Config!$H$5:$H$16,0)),0))</f>
        <v>0</v>
      </c>
      <c r="Q928" s="30">
        <f>IF(OR(H928&lt;&gt;"Realizado",P928="",P928=0),"",A928+P928)</f>
        <v/>
      </c>
      <c r="R928" s="26">
        <f>IF(Q928="","",IF(COUNTIFS($E$5:$E$3004,E928,$A$5:$A$3004,"&gt;"&amp;A928,$H$5:$H$3004,"&lt;&gt;Falta",$H$5:$H$3004,"&lt;&gt;Cancelado",$H$5:$H$3004,"&lt;&gt;Remarcado")&gt;0,"Sim","Não"))</f>
        <v/>
      </c>
      <c r="S928" s="32">
        <f>IF(R928&lt;&gt;"Não","",IF(Q928+Config!$B$9&lt;=Config!$B$8,Config!$B$8-Q928,""))</f>
        <v/>
      </c>
      <c r="T928" s="26">
        <f>IF(S928="","","Sim")</f>
        <v/>
      </c>
      <c r="U928" s="41">
        <f>IF(T928="Sim",S928+ROW()/100000,0)</f>
        <v>0</v>
      </c>
      <c r="V928" s="41">
        <f>IF(AND(H928="Falta",L928=Config!$B$7,M928=Config!$B$5,COUNTIFS($E$5:E928,E928,$H$5:H928,"Falta",$L$5:L928,Config!$B$7,$M$5:M928,Config!$B$5)=1),COUNTIFS($E$5:$E$3004,E928,$H$5:$H$3004,"Falta",$L$5:$L$3004,Config!$B$7,$M$5:$M$3004,Config!$B$5)*1000-ROW()/100000,0)</f>
        <v>0</v>
      </c>
    </row>
    <row r="929">
      <c r="A929" s="39" t="n">
        <v>46267</v>
      </c>
      <c r="B929" s="40" t="n">
        <v>0.6111111111111112</v>
      </c>
      <c r="C929" s="35" t="inlineStr">
        <is>
          <t>Dra. Carolina Mendes</t>
        </is>
      </c>
      <c r="D929" s="35" t="inlineStr">
        <is>
          <t>Sala 1</t>
        </is>
      </c>
      <c r="E929" s="34" t="inlineStr">
        <is>
          <t>Helena Moreira</t>
        </is>
      </c>
      <c r="F929" s="35" t="inlineStr">
        <is>
          <t>Particular</t>
        </is>
      </c>
      <c r="G929" s="35" t="inlineStr">
        <is>
          <t>Consulta</t>
        </is>
      </c>
      <c r="H929" s="35" t="inlineStr">
        <is>
          <t>Realizado</t>
        </is>
      </c>
      <c r="I929" s="35" t="inlineStr">
        <is>
          <t>Cartão de débito</t>
        </is>
      </c>
      <c r="J929" s="35" t="n"/>
      <c r="K929" s="34" t="n"/>
      <c r="L929" s="26">
        <f>IF(A929="","",MONTH(A929))</f>
        <v>9</v>
      </c>
      <c r="M929" s="26">
        <f>IF(A929="","",YEAR(A929))</f>
        <v>2026</v>
      </c>
      <c r="N929" s="26" t="str">
        <f>IF(A929="","",CHOOSE(WEEKDAY(A929,2),"Segunda","Terça","Quarta","Quinta","Sexta","Sábado","Domingo"))</f>
        <v>Quarta</v>
      </c>
      <c r="O929" s="26" t="str">
        <f>IF(B929="","",IF(B929&lt;TIME(12,0,0),"Manhã",IF(B929&lt;TIME(18,0,0),"Tarde","Noite")))</f>
        <v>Tarde</v>
      </c>
      <c r="P929" s="32">
        <f>IF(G929="","",IFERROR(INDEX(Config!$I$5:$I$16,MATCH(G929,Config!$H$5:$H$16,0)),0))</f>
        <v>30</v>
      </c>
      <c r="Q929" s="30">
        <f>IF(OR(H929&lt;&gt;"Realizado",P929="",P929=0),"",A929+P929)</f>
        <v>46297.0</v>
      </c>
      <c r="R929" s="26" t="str">
        <f>IF(Q929="","",IF(COUNTIFS($E$5:$E$3004,E929,$A$5:$A$3004,"&gt;"&amp;A929,$H$5:$H$3004,"&lt;&gt;Falta",$H$5:$H$3004,"&lt;&gt;Cancelado",$H$5:$H$3004,"&lt;&gt;Remarcado")&gt;0,"Sim","Não"))</f>
        <v>Sim</v>
      </c>
      <c r="S929" s="32">
        <f>IF(R929&lt;&gt;"Não","",IF(Q929+Config!$B$9&lt;=Config!$B$8,Config!$B$8-Q929,""))</f>
        <v/>
      </c>
      <c r="T929" s="26">
        <f>IF(S929="","","Sim")</f>
        <v/>
      </c>
      <c r="U929" s="41">
        <f>IF(T929="Sim",S929+ROW()/100000,0)</f>
        <v>0</v>
      </c>
      <c r="V929" s="41">
        <f>IF(AND(H929="Falta",L929=Config!$B$7,M929=Config!$B$5,COUNTIFS($E$5:E929,E929,$H$5:H929,"Falta",$L$5:L929,Config!$B$7,$M$5:M929,Config!$B$5)=1),COUNTIFS($E$5:$E$3004,E929,$H$5:$H$3004,"Falta",$L$5:$L$3004,Config!$B$7,$M$5:$M$3004,Config!$B$5)*1000-ROW()/100000,0)</f>
        <v>0</v>
      </c>
    </row>
    <row r="930">
      <c r="A930" s="39" t="n">
        <v>46267</v>
      </c>
      <c r="B930" s="40" t="n">
        <v>0.6319444444444444</v>
      </c>
      <c r="C930" s="35" t="inlineStr">
        <is>
          <t>Dra. Carolina Mendes</t>
        </is>
      </c>
      <c r="D930" s="35" t="inlineStr">
        <is>
          <t>Sala 1</t>
        </is>
      </c>
      <c r="E930" s="34" t="inlineStr">
        <is>
          <t>Rafael Dias</t>
        </is>
      </c>
      <c r="F930" s="35" t="inlineStr">
        <is>
          <t>Particular</t>
        </is>
      </c>
      <c r="G930" s="35" t="inlineStr">
        <is>
          <t>Consulta</t>
        </is>
      </c>
      <c r="H930" s="35" t="inlineStr">
        <is>
          <t>Realizado</t>
        </is>
      </c>
      <c r="I930" s="35" t="inlineStr">
        <is>
          <t>Pix</t>
        </is>
      </c>
      <c r="J930" s="35" t="n"/>
      <c r="K930" s="34" t="n"/>
      <c r="L930" s="26">
        <f>IF(A930="","",MONTH(A930))</f>
        <v>9</v>
      </c>
      <c r="M930" s="26">
        <f>IF(A930="","",YEAR(A930))</f>
        <v>2026</v>
      </c>
      <c r="N930" s="26" t="str">
        <f>IF(A930="","",CHOOSE(WEEKDAY(A930,2),"Segunda","Terça","Quarta","Quinta","Sexta","Sábado","Domingo"))</f>
        <v>Quarta</v>
      </c>
      <c r="O930" s="26" t="str">
        <f>IF(B930="","",IF(B930&lt;TIME(12,0,0),"Manhã",IF(B930&lt;TIME(18,0,0),"Tarde","Noite")))</f>
        <v>Tarde</v>
      </c>
      <c r="P930" s="32">
        <f>IF(G930="","",IFERROR(INDEX(Config!$I$5:$I$16,MATCH(G930,Config!$H$5:$H$16,0)),0))</f>
        <v>30</v>
      </c>
      <c r="Q930" s="30">
        <f>IF(OR(H930&lt;&gt;"Realizado",P930="",P930=0),"",A930+P930)</f>
        <v>46297.0</v>
      </c>
      <c r="R930" s="26" t="str">
        <f>IF(Q930="","",IF(COUNTIFS($E$5:$E$3004,E930,$A$5:$A$3004,"&gt;"&amp;A930,$H$5:$H$3004,"&lt;&gt;Falta",$H$5:$H$3004,"&lt;&gt;Cancelado",$H$5:$H$3004,"&lt;&gt;Remarcado")&gt;0,"Sim","Não"))</f>
        <v>Sim</v>
      </c>
      <c r="S930" s="32">
        <f>IF(R930&lt;&gt;"Não","",IF(Q930+Config!$B$9&lt;=Config!$B$8,Config!$B$8-Q930,""))</f>
        <v/>
      </c>
      <c r="T930" s="26">
        <f>IF(S930="","","Sim")</f>
        <v/>
      </c>
      <c r="U930" s="41">
        <f>IF(T930="Sim",S930+ROW()/100000,0)</f>
        <v>0</v>
      </c>
      <c r="V930" s="41">
        <f>IF(AND(H930="Falta",L930=Config!$B$7,M930=Config!$B$5,COUNTIFS($E$5:E930,E930,$H$5:H930,"Falta",$L$5:L930,Config!$B$7,$M$5:M930,Config!$B$5)=1),COUNTIFS($E$5:$E$3004,E930,$H$5:$H$3004,"Falta",$L$5:$L$3004,Config!$B$7,$M$5:$M$3004,Config!$B$5)*1000-ROW()/100000,0)</f>
        <v>0</v>
      </c>
    </row>
    <row r="931">
      <c r="A931" s="39" t="n">
        <v>46267</v>
      </c>
      <c r="B931" s="40" t="n">
        <v>0.6527777777777778</v>
      </c>
      <c r="C931" s="35" t="inlineStr">
        <is>
          <t>Dra. Carolina Mendes</t>
        </is>
      </c>
      <c r="D931" s="35" t="inlineStr">
        <is>
          <t>Sala 1</t>
        </is>
      </c>
      <c r="E931" s="34" t="inlineStr">
        <is>
          <t>Camila Batista</t>
        </is>
      </c>
      <c r="F931" s="35" t="inlineStr">
        <is>
          <t>MediPlan</t>
        </is>
      </c>
      <c r="G931" s="35" t="inlineStr">
        <is>
          <t>Consulta</t>
        </is>
      </c>
      <c r="H931" s="35" t="inlineStr">
        <is>
          <t>Realizado</t>
        </is>
      </c>
      <c r="I931" s="35" t="inlineStr">
        <is>
          <t>Convênio</t>
        </is>
      </c>
      <c r="J931" s="35" t="n"/>
      <c r="K931" s="34" t="n"/>
      <c r="L931" s="26">
        <f>IF(A931="","",MONTH(A931))</f>
        <v>9</v>
      </c>
      <c r="M931" s="26">
        <f>IF(A931="","",YEAR(A931))</f>
        <v>2026</v>
      </c>
      <c r="N931" s="26" t="str">
        <f>IF(A931="","",CHOOSE(WEEKDAY(A931,2),"Segunda","Terça","Quarta","Quinta","Sexta","Sábado","Domingo"))</f>
        <v>Quarta</v>
      </c>
      <c r="O931" s="26" t="str">
        <f>IF(B931="","",IF(B931&lt;TIME(12,0,0),"Manhã",IF(B931&lt;TIME(18,0,0),"Tarde","Noite")))</f>
        <v>Tarde</v>
      </c>
      <c r="P931" s="32">
        <f>IF(G931="","",IFERROR(INDEX(Config!$I$5:$I$16,MATCH(G931,Config!$H$5:$H$16,0)),0))</f>
        <v>30</v>
      </c>
      <c r="Q931" s="30">
        <f>IF(OR(H931&lt;&gt;"Realizado",P931="",P931=0),"",A931+P931)</f>
        <v>46297.0</v>
      </c>
      <c r="R931" s="26" t="str">
        <f>IF(Q931="","",IF(COUNTIFS($E$5:$E$3004,E931,$A$5:$A$3004,"&gt;"&amp;A931,$H$5:$H$3004,"&lt;&gt;Falta",$H$5:$H$3004,"&lt;&gt;Cancelado",$H$5:$H$3004,"&lt;&gt;Remarcado")&gt;0,"Sim","Não"))</f>
        <v>Sim</v>
      </c>
      <c r="S931" s="32">
        <f>IF(R931&lt;&gt;"Não","",IF(Q931+Config!$B$9&lt;=Config!$B$8,Config!$B$8-Q931,""))</f>
        <v/>
      </c>
      <c r="T931" s="26">
        <f>IF(S931="","","Sim")</f>
        <v/>
      </c>
      <c r="U931" s="41">
        <f>IF(T931="Sim",S931+ROW()/100000,0)</f>
        <v>0</v>
      </c>
      <c r="V931" s="41">
        <f>IF(AND(H931="Falta",L931=Config!$B$7,M931=Config!$B$5,COUNTIFS($E$5:E931,E931,$H$5:H931,"Falta",$L$5:L931,Config!$B$7,$M$5:M931,Config!$B$5)=1),COUNTIFS($E$5:$E$3004,E931,$H$5:$H$3004,"Falta",$L$5:$L$3004,Config!$B$7,$M$5:$M$3004,Config!$B$5)*1000-ROW()/100000,0)</f>
        <v>0</v>
      </c>
    </row>
    <row r="932">
      <c r="A932" s="39" t="n">
        <v>46267</v>
      </c>
      <c r="B932" s="40" t="n">
        <v>0.6736111111111112</v>
      </c>
      <c r="C932" s="35" t="inlineStr">
        <is>
          <t>Dra. Carolina Mendes</t>
        </is>
      </c>
      <c r="D932" s="35" t="inlineStr">
        <is>
          <t>Sala 1</t>
        </is>
      </c>
      <c r="E932" s="34" t="inlineStr">
        <is>
          <t>Cláudia Santos</t>
        </is>
      </c>
      <c r="F932" s="35" t="inlineStr">
        <is>
          <t>Particular</t>
        </is>
      </c>
      <c r="G932" s="35" t="inlineStr">
        <is>
          <t>Consulta</t>
        </is>
      </c>
      <c r="H932" s="35" t="inlineStr">
        <is>
          <t>Realizado</t>
        </is>
      </c>
      <c r="I932" s="35" t="inlineStr">
        <is>
          <t>Cartão de crédito</t>
        </is>
      </c>
      <c r="J932" s="35" t="n">
        <v>2</v>
      </c>
      <c r="K932" s="34" t="n"/>
      <c r="L932" s="26">
        <f>IF(A932="","",MONTH(A932))</f>
        <v>9</v>
      </c>
      <c r="M932" s="26">
        <f>IF(A932="","",YEAR(A932))</f>
        <v>2026</v>
      </c>
      <c r="N932" s="26" t="str">
        <f>IF(A932="","",CHOOSE(WEEKDAY(A932,2),"Segunda","Terça","Quarta","Quinta","Sexta","Sábado","Domingo"))</f>
        <v>Quarta</v>
      </c>
      <c r="O932" s="26" t="str">
        <f>IF(B932="","",IF(B932&lt;TIME(12,0,0),"Manhã",IF(B932&lt;TIME(18,0,0),"Tarde","Noite")))</f>
        <v>Tarde</v>
      </c>
      <c r="P932" s="32">
        <f>IF(G932="","",IFERROR(INDEX(Config!$I$5:$I$16,MATCH(G932,Config!$H$5:$H$16,0)),0))</f>
        <v>30</v>
      </c>
      <c r="Q932" s="30">
        <f>IF(OR(H932&lt;&gt;"Realizado",P932="",P932=0),"",A932+P932)</f>
        <v>46297.0</v>
      </c>
      <c r="R932" s="26" t="str">
        <f>IF(Q932="","",IF(COUNTIFS($E$5:$E$3004,E932,$A$5:$A$3004,"&gt;"&amp;A932,$H$5:$H$3004,"&lt;&gt;Falta",$H$5:$H$3004,"&lt;&gt;Cancelado",$H$5:$H$3004,"&lt;&gt;Remarcado")&gt;0,"Sim","Não"))</f>
        <v>Sim</v>
      </c>
      <c r="S932" s="32">
        <f>IF(R932&lt;&gt;"Não","",IF(Q932+Config!$B$9&lt;=Config!$B$8,Config!$B$8-Q932,""))</f>
        <v/>
      </c>
      <c r="T932" s="26">
        <f>IF(S932="","","Sim")</f>
        <v/>
      </c>
      <c r="U932" s="41">
        <f>IF(T932="Sim",S932+ROW()/100000,0)</f>
        <v>0</v>
      </c>
      <c r="V932" s="41">
        <f>IF(AND(H932="Falta",L932=Config!$B$7,M932=Config!$B$5,COUNTIFS($E$5:E932,E932,$H$5:H932,"Falta",$L$5:L932,Config!$B$7,$M$5:M932,Config!$B$5)=1),COUNTIFS($E$5:$E$3004,E932,$H$5:$H$3004,"Falta",$L$5:$L$3004,Config!$B$7,$M$5:$M$3004,Config!$B$5)*1000-ROW()/100000,0)</f>
        <v>0</v>
      </c>
    </row>
    <row r="933">
      <c r="A933" s="39" t="n">
        <v>46267</v>
      </c>
      <c r="B933" s="40" t="n">
        <v>0.6944444444444444</v>
      </c>
      <c r="C933" s="35" t="inlineStr">
        <is>
          <t>Dra. Carolina Mendes</t>
        </is>
      </c>
      <c r="D933" s="35" t="inlineStr">
        <is>
          <t>Sala 1</t>
        </is>
      </c>
      <c r="E933" s="34" t="inlineStr">
        <is>
          <t>Sérgio Batista</t>
        </is>
      </c>
      <c r="F933" s="35" t="inlineStr">
        <is>
          <t>MediPlan</t>
        </is>
      </c>
      <c r="G933" s="35" t="inlineStr">
        <is>
          <t>Consulta</t>
        </is>
      </c>
      <c r="H933" s="35" t="inlineStr">
        <is>
          <t>Realizado</t>
        </is>
      </c>
      <c r="I933" s="35" t="inlineStr">
        <is>
          <t>Convênio</t>
        </is>
      </c>
      <c r="J933" s="35" t="n"/>
      <c r="K933" s="34" t="n"/>
      <c r="L933" s="26">
        <f>IF(A933="","",MONTH(A933))</f>
        <v>9</v>
      </c>
      <c r="M933" s="26">
        <f>IF(A933="","",YEAR(A933))</f>
        <v>2026</v>
      </c>
      <c r="N933" s="26" t="str">
        <f>IF(A933="","",CHOOSE(WEEKDAY(A933,2),"Segunda","Terça","Quarta","Quinta","Sexta","Sábado","Domingo"))</f>
        <v>Quarta</v>
      </c>
      <c r="O933" s="26" t="str">
        <f>IF(B933="","",IF(B933&lt;TIME(12,0,0),"Manhã",IF(B933&lt;TIME(18,0,0),"Tarde","Noite")))</f>
        <v>Tarde</v>
      </c>
      <c r="P933" s="32">
        <f>IF(G933="","",IFERROR(INDEX(Config!$I$5:$I$16,MATCH(G933,Config!$H$5:$H$16,0)),0))</f>
        <v>30</v>
      </c>
      <c r="Q933" s="30">
        <f>IF(OR(H933&lt;&gt;"Realizado",P933="",P933=0),"",A933+P933)</f>
        <v>46297.0</v>
      </c>
      <c r="R933" s="26" t="str">
        <f>IF(Q933="","",IF(COUNTIFS($E$5:$E$3004,E933,$A$5:$A$3004,"&gt;"&amp;A933,$H$5:$H$3004,"&lt;&gt;Falta",$H$5:$H$3004,"&lt;&gt;Cancelado",$H$5:$H$3004,"&lt;&gt;Remarcado")&gt;0,"Sim","Não"))</f>
        <v>Sim</v>
      </c>
      <c r="S933" s="32">
        <f>IF(R933&lt;&gt;"Não","",IF(Q933+Config!$B$9&lt;=Config!$B$8,Config!$B$8-Q933,""))</f>
        <v/>
      </c>
      <c r="T933" s="26">
        <f>IF(S933="","","Sim")</f>
        <v/>
      </c>
      <c r="U933" s="41">
        <f>IF(T933="Sim",S933+ROW()/100000,0)</f>
        <v>0</v>
      </c>
      <c r="V933" s="41">
        <f>IF(AND(H933="Falta",L933=Config!$B$7,M933=Config!$B$5,COUNTIFS($E$5:E933,E933,$H$5:H933,"Falta",$L$5:L933,Config!$B$7,$M$5:M933,Config!$B$5)=1),COUNTIFS($E$5:$E$3004,E933,$H$5:$H$3004,"Falta",$L$5:$L$3004,Config!$B$7,$M$5:$M$3004,Config!$B$5)*1000-ROW()/100000,0)</f>
        <v>0</v>
      </c>
    </row>
    <row r="934">
      <c r="A934" s="39" t="n">
        <v>46267</v>
      </c>
      <c r="B934" s="40" t="n">
        <v>0.7152777777777778</v>
      </c>
      <c r="C934" s="35" t="inlineStr">
        <is>
          <t>Dra. Carolina Mendes</t>
        </is>
      </c>
      <c r="D934" s="35" t="inlineStr">
        <is>
          <t>Sala 1</t>
        </is>
      </c>
      <c r="E934" s="34" t="inlineStr">
        <is>
          <t>Mônica Teixeira</t>
        </is>
      </c>
      <c r="F934" s="35" t="inlineStr">
        <is>
          <t>Vida Care</t>
        </is>
      </c>
      <c r="G934" s="35" t="inlineStr">
        <is>
          <t>Consulta</t>
        </is>
      </c>
      <c r="H934" s="35" t="inlineStr">
        <is>
          <t>Realizado</t>
        </is>
      </c>
      <c r="I934" s="35" t="inlineStr">
        <is>
          <t>Convênio</t>
        </is>
      </c>
      <c r="J934" s="35" t="n"/>
      <c r="K934" s="34" t="n"/>
      <c r="L934" s="26">
        <f>IF(A934="","",MONTH(A934))</f>
        <v>9</v>
      </c>
      <c r="M934" s="26">
        <f>IF(A934="","",YEAR(A934))</f>
        <v>2026</v>
      </c>
      <c r="N934" s="26" t="str">
        <f>IF(A934="","",CHOOSE(WEEKDAY(A934,2),"Segunda","Terça","Quarta","Quinta","Sexta","Sábado","Domingo"))</f>
        <v>Quarta</v>
      </c>
      <c r="O934" s="26" t="str">
        <f>IF(B934="","",IF(B934&lt;TIME(12,0,0),"Manhã",IF(B934&lt;TIME(18,0,0),"Tarde","Noite")))</f>
        <v>Tarde</v>
      </c>
      <c r="P934" s="32">
        <f>IF(G934="","",IFERROR(INDEX(Config!$I$5:$I$16,MATCH(G934,Config!$H$5:$H$16,0)),0))</f>
        <v>30</v>
      </c>
      <c r="Q934" s="30">
        <f>IF(OR(H934&lt;&gt;"Realizado",P934="",P934=0),"",A934+P934)</f>
        <v>46297.0</v>
      </c>
      <c r="R934" s="26" t="str">
        <f>IF(Q934="","",IF(COUNTIFS($E$5:$E$3004,E934,$A$5:$A$3004,"&gt;"&amp;A934,$H$5:$H$3004,"&lt;&gt;Falta",$H$5:$H$3004,"&lt;&gt;Cancelado",$H$5:$H$3004,"&lt;&gt;Remarcado")&gt;0,"Sim","Não"))</f>
        <v>Sim</v>
      </c>
      <c r="S934" s="32">
        <f>IF(R934&lt;&gt;"Não","",IF(Q934+Config!$B$9&lt;=Config!$B$8,Config!$B$8-Q934,""))</f>
        <v/>
      </c>
      <c r="T934" s="26">
        <f>IF(S934="","","Sim")</f>
        <v/>
      </c>
      <c r="U934" s="41">
        <f>IF(T934="Sim",S934+ROW()/100000,0)</f>
        <v>0</v>
      </c>
      <c r="V934" s="41">
        <f>IF(AND(H934="Falta",L934=Config!$B$7,M934=Config!$B$5,COUNTIFS($E$5:E934,E934,$H$5:H934,"Falta",$L$5:L934,Config!$B$7,$M$5:M934,Config!$B$5)=1),COUNTIFS($E$5:$E$3004,E934,$H$5:$H$3004,"Falta",$L$5:$L$3004,Config!$B$7,$M$5:$M$3004,Config!$B$5)*1000-ROW()/100000,0)</f>
        <v>0</v>
      </c>
    </row>
    <row r="935">
      <c r="A935" s="39" t="n">
        <v>46267</v>
      </c>
      <c r="B935" s="40" t="n">
        <v>0.7361111111111112</v>
      </c>
      <c r="C935" s="35" t="inlineStr">
        <is>
          <t>Dra. Carolina Mendes</t>
        </is>
      </c>
      <c r="D935" s="35" t="inlineStr">
        <is>
          <t>Sala 1</t>
        </is>
      </c>
      <c r="E935" s="34" t="inlineStr">
        <is>
          <t>Carlos Castro</t>
        </is>
      </c>
      <c r="F935" s="35" t="inlineStr">
        <is>
          <t>Saúde Total</t>
        </is>
      </c>
      <c r="G935" s="35" t="inlineStr">
        <is>
          <t>Consulta</t>
        </is>
      </c>
      <c r="H935" s="35" t="inlineStr">
        <is>
          <t>Realizado</t>
        </is>
      </c>
      <c r="I935" s="35" t="inlineStr">
        <is>
          <t>Convênio</t>
        </is>
      </c>
      <c r="J935" s="35" t="n"/>
      <c r="K935" s="34" t="n"/>
      <c r="L935" s="26">
        <f>IF(A935="","",MONTH(A935))</f>
        <v>9</v>
      </c>
      <c r="M935" s="26">
        <f>IF(A935="","",YEAR(A935))</f>
        <v>2026</v>
      </c>
      <c r="N935" s="26" t="str">
        <f>IF(A935="","",CHOOSE(WEEKDAY(A935,2),"Segunda","Terça","Quarta","Quinta","Sexta","Sábado","Domingo"))</f>
        <v>Quarta</v>
      </c>
      <c r="O935" s="26" t="str">
        <f>IF(B935="","",IF(B935&lt;TIME(12,0,0),"Manhã",IF(B935&lt;TIME(18,0,0),"Tarde","Noite")))</f>
        <v>Tarde</v>
      </c>
      <c r="P935" s="32">
        <f>IF(G935="","",IFERROR(INDEX(Config!$I$5:$I$16,MATCH(G935,Config!$H$5:$H$16,0)),0))</f>
        <v>30</v>
      </c>
      <c r="Q935" s="30">
        <f>IF(OR(H935&lt;&gt;"Realizado",P935="",P935=0),"",A935+P935)</f>
        <v>46297.0</v>
      </c>
      <c r="R935" s="26" t="str">
        <f>IF(Q935="","",IF(COUNTIFS($E$5:$E$3004,E935,$A$5:$A$3004,"&gt;"&amp;A935,$H$5:$H$3004,"&lt;&gt;Falta",$H$5:$H$3004,"&lt;&gt;Cancelado",$H$5:$H$3004,"&lt;&gt;Remarcado")&gt;0,"Sim","Não"))</f>
        <v>Sim</v>
      </c>
      <c r="S935" s="32">
        <f>IF(R935&lt;&gt;"Não","",IF(Q935+Config!$B$9&lt;=Config!$B$8,Config!$B$8-Q935,""))</f>
        <v/>
      </c>
      <c r="T935" s="26">
        <f>IF(S935="","","Sim")</f>
        <v/>
      </c>
      <c r="U935" s="41">
        <f>IF(T935="Sim",S935+ROW()/100000,0)</f>
        <v>0</v>
      </c>
      <c r="V935" s="41">
        <f>IF(AND(H935="Falta",L935=Config!$B$7,M935=Config!$B$5,COUNTIFS($E$5:E935,E935,$H$5:H935,"Falta",$L$5:L935,Config!$B$7,$M$5:M935,Config!$B$5)=1),COUNTIFS($E$5:$E$3004,E935,$H$5:$H$3004,"Falta",$L$5:$L$3004,Config!$B$7,$M$5:$M$3004,Config!$B$5)*1000-ROW()/100000,0)</f>
        <v>0</v>
      </c>
    </row>
    <row r="936">
      <c r="A936" s="39" t="n">
        <v>46268</v>
      </c>
      <c r="B936" s="40" t="n">
        <v>0.3333333333333333</v>
      </c>
      <c r="C936" s="35" t="inlineStr">
        <is>
          <t>Dra. Carolina Mendes</t>
        </is>
      </c>
      <c r="D936" s="35" t="inlineStr">
        <is>
          <t>Sala 1</t>
        </is>
      </c>
      <c r="E936" s="34" t="inlineStr">
        <is>
          <t>Gisele Xavier</t>
        </is>
      </c>
      <c r="F936" s="35" t="inlineStr">
        <is>
          <t>Particular</t>
        </is>
      </c>
      <c r="G936" s="35" t="inlineStr">
        <is>
          <t>Consulta</t>
        </is>
      </c>
      <c r="H936" s="35" t="inlineStr">
        <is>
          <t>Realizado</t>
        </is>
      </c>
      <c r="I936" s="35" t="inlineStr">
        <is>
          <t>Cartão de crédito</t>
        </is>
      </c>
      <c r="J936" s="35" t="n"/>
      <c r="K936" s="34" t="n"/>
      <c r="L936" s="26">
        <f>IF(A936="","",MONTH(A936))</f>
        <v>9</v>
      </c>
      <c r="M936" s="26">
        <f>IF(A936="","",YEAR(A936))</f>
        <v>2026</v>
      </c>
      <c r="N936" s="26" t="str">
        <f>IF(A936="","",CHOOSE(WEEKDAY(A936,2),"Segunda","Terça","Quarta","Quinta","Sexta","Sábado","Domingo"))</f>
        <v>Quinta</v>
      </c>
      <c r="O936" s="26" t="str">
        <f>IF(B936="","",IF(B936&lt;TIME(12,0,0),"Manhã",IF(B936&lt;TIME(18,0,0),"Tarde","Noite")))</f>
        <v>Manhã</v>
      </c>
      <c r="P936" s="32">
        <f>IF(G936="","",IFERROR(INDEX(Config!$I$5:$I$16,MATCH(G936,Config!$H$5:$H$16,0)),0))</f>
        <v>30</v>
      </c>
      <c r="Q936" s="30">
        <f>IF(OR(H936&lt;&gt;"Realizado",P936="",P936=0),"",A936+P936)</f>
        <v>46298.0</v>
      </c>
      <c r="R936" s="26" t="str">
        <f>IF(Q936="","",IF(COUNTIFS($E$5:$E$3004,E936,$A$5:$A$3004,"&gt;"&amp;A936,$H$5:$H$3004,"&lt;&gt;Falta",$H$5:$H$3004,"&lt;&gt;Cancelado",$H$5:$H$3004,"&lt;&gt;Remarcado")&gt;0,"Sim","Não"))</f>
        <v>Sim</v>
      </c>
      <c r="S936" s="32">
        <f>IF(R936&lt;&gt;"Não","",IF(Q936+Config!$B$9&lt;=Config!$B$8,Config!$B$8-Q936,""))</f>
        <v/>
      </c>
      <c r="T936" s="26">
        <f>IF(S936="","","Sim")</f>
        <v/>
      </c>
      <c r="U936" s="41">
        <f>IF(T936="Sim",S936+ROW()/100000,0)</f>
        <v>0</v>
      </c>
      <c r="V936" s="41">
        <f>IF(AND(H936="Falta",L936=Config!$B$7,M936=Config!$B$5,COUNTIFS($E$5:E936,E936,$H$5:H936,"Falta",$L$5:L936,Config!$B$7,$M$5:M936,Config!$B$5)=1),COUNTIFS($E$5:$E$3004,E936,$H$5:$H$3004,"Falta",$L$5:$L$3004,Config!$B$7,$M$5:$M$3004,Config!$B$5)*1000-ROW()/100000,0)</f>
        <v>0</v>
      </c>
    </row>
    <row r="937">
      <c r="A937" s="39" t="n">
        <v>46268</v>
      </c>
      <c r="B937" s="40" t="n">
        <v>0.3541666666666667</v>
      </c>
      <c r="C937" s="35" t="inlineStr">
        <is>
          <t>Dra. Carolina Mendes</t>
        </is>
      </c>
      <c r="D937" s="35" t="inlineStr">
        <is>
          <t>Sala 1</t>
        </is>
      </c>
      <c r="E937" s="34" t="inlineStr">
        <is>
          <t>Regina Macedo</t>
        </is>
      </c>
      <c r="F937" s="35" t="inlineStr">
        <is>
          <t>Particular</t>
        </is>
      </c>
      <c r="G937" s="35" t="inlineStr">
        <is>
          <t>Retorno</t>
        </is>
      </c>
      <c r="H937" s="35" t="inlineStr">
        <is>
          <t>Realizado</t>
        </is>
      </c>
      <c r="I937" s="35" t="inlineStr">
        <is>
          <t>Sem cobrança</t>
        </is>
      </c>
      <c r="J937" s="35" t="n"/>
      <c r="K937" s="34" t="n"/>
      <c r="L937" s="26">
        <f>IF(A937="","",MONTH(A937))</f>
        <v>9</v>
      </c>
      <c r="M937" s="26">
        <f>IF(A937="","",YEAR(A937))</f>
        <v>2026</v>
      </c>
      <c r="N937" s="26" t="str">
        <f>IF(A937="","",CHOOSE(WEEKDAY(A937,2),"Segunda","Terça","Quarta","Quinta","Sexta","Sábado","Domingo"))</f>
        <v>Quinta</v>
      </c>
      <c r="O937" s="26" t="str">
        <f>IF(B937="","",IF(B937&lt;TIME(12,0,0),"Manhã",IF(B937&lt;TIME(18,0,0),"Tarde","Noite")))</f>
        <v>Manhã</v>
      </c>
      <c r="P937" s="32">
        <f>IF(G937="","",IFERROR(INDEX(Config!$I$5:$I$16,MATCH(G937,Config!$H$5:$H$16,0)),0))</f>
        <v>0</v>
      </c>
      <c r="Q937" s="30">
        <f>IF(OR(H937&lt;&gt;"Realizado",P937="",P937=0),"",A937+P937)</f>
        <v/>
      </c>
      <c r="R937" s="26">
        <f>IF(Q937="","",IF(COUNTIFS($E$5:$E$3004,E937,$A$5:$A$3004,"&gt;"&amp;A937,$H$5:$H$3004,"&lt;&gt;Falta",$H$5:$H$3004,"&lt;&gt;Cancelado",$H$5:$H$3004,"&lt;&gt;Remarcado")&gt;0,"Sim","Não"))</f>
        <v/>
      </c>
      <c r="S937" s="32">
        <f>IF(R937&lt;&gt;"Não","",IF(Q937+Config!$B$9&lt;=Config!$B$8,Config!$B$8-Q937,""))</f>
        <v/>
      </c>
      <c r="T937" s="26">
        <f>IF(S937="","","Sim")</f>
        <v/>
      </c>
      <c r="U937" s="41">
        <f>IF(T937="Sim",S937+ROW()/100000,0)</f>
        <v>0</v>
      </c>
      <c r="V937" s="41">
        <f>IF(AND(H937="Falta",L937=Config!$B$7,M937=Config!$B$5,COUNTIFS($E$5:E937,E937,$H$5:H937,"Falta",$L$5:L937,Config!$B$7,$M$5:M937,Config!$B$5)=1),COUNTIFS($E$5:$E$3004,E937,$H$5:$H$3004,"Falta",$L$5:$L$3004,Config!$B$7,$M$5:$M$3004,Config!$B$5)*1000-ROW()/100000,0)</f>
        <v>0</v>
      </c>
    </row>
    <row r="938">
      <c r="A938" s="39" t="n">
        <v>46268</v>
      </c>
      <c r="B938" s="40" t="n">
        <v>0.3680555555555556</v>
      </c>
      <c r="C938" s="35" t="inlineStr">
        <is>
          <t>Dra. Carolina Mendes</t>
        </is>
      </c>
      <c r="D938" s="35" t="inlineStr">
        <is>
          <t>Sala 1</t>
        </is>
      </c>
      <c r="E938" s="34" t="inlineStr">
        <is>
          <t>Priscila Castro</t>
        </is>
      </c>
      <c r="F938" s="35" t="inlineStr">
        <is>
          <t>Saúde Total</t>
        </is>
      </c>
      <c r="G938" s="35" t="inlineStr">
        <is>
          <t>Consulta</t>
        </is>
      </c>
      <c r="H938" s="35" t="inlineStr">
        <is>
          <t>Realizado</t>
        </is>
      </c>
      <c r="I938" s="35" t="inlineStr">
        <is>
          <t>Convênio</t>
        </is>
      </c>
      <c r="J938" s="35" t="n"/>
      <c r="K938" s="34" t="n"/>
      <c r="L938" s="26">
        <f>IF(A938="","",MONTH(A938))</f>
        <v>9</v>
      </c>
      <c r="M938" s="26">
        <f>IF(A938="","",YEAR(A938))</f>
        <v>2026</v>
      </c>
      <c r="N938" s="26" t="str">
        <f>IF(A938="","",CHOOSE(WEEKDAY(A938,2),"Segunda","Terça","Quarta","Quinta","Sexta","Sábado","Domingo"))</f>
        <v>Quinta</v>
      </c>
      <c r="O938" s="26" t="str">
        <f>IF(B938="","",IF(B938&lt;TIME(12,0,0),"Manhã",IF(B938&lt;TIME(18,0,0),"Tarde","Noite")))</f>
        <v>Manhã</v>
      </c>
      <c r="P938" s="32">
        <f>IF(G938="","",IFERROR(INDEX(Config!$I$5:$I$16,MATCH(G938,Config!$H$5:$H$16,0)),0))</f>
        <v>30</v>
      </c>
      <c r="Q938" s="30">
        <f>IF(OR(H938&lt;&gt;"Realizado",P938="",P938=0),"",A938+P938)</f>
        <v>46298.0</v>
      </c>
      <c r="R938" s="26" t="str">
        <f>IF(Q938="","",IF(COUNTIFS($E$5:$E$3004,E938,$A$5:$A$3004,"&gt;"&amp;A938,$H$5:$H$3004,"&lt;&gt;Falta",$H$5:$H$3004,"&lt;&gt;Cancelado",$H$5:$H$3004,"&lt;&gt;Remarcado")&gt;0,"Sim","Não"))</f>
        <v>Sim</v>
      </c>
      <c r="S938" s="32">
        <f>IF(R938&lt;&gt;"Não","",IF(Q938+Config!$B$9&lt;=Config!$B$8,Config!$B$8-Q938,""))</f>
        <v/>
      </c>
      <c r="T938" s="26">
        <f>IF(S938="","","Sim")</f>
        <v/>
      </c>
      <c r="U938" s="41">
        <f>IF(T938="Sim",S938+ROW()/100000,0)</f>
        <v>0</v>
      </c>
      <c r="V938" s="41">
        <f>IF(AND(H938="Falta",L938=Config!$B$7,M938=Config!$B$5,COUNTIFS($E$5:E938,E938,$H$5:H938,"Falta",$L$5:L938,Config!$B$7,$M$5:M938,Config!$B$5)=1),COUNTIFS($E$5:$E$3004,E938,$H$5:$H$3004,"Falta",$L$5:$L$3004,Config!$B$7,$M$5:$M$3004,Config!$B$5)*1000-ROW()/100000,0)</f>
        <v>0</v>
      </c>
    </row>
    <row r="939">
      <c r="A939" s="39" t="n">
        <v>46268</v>
      </c>
      <c r="B939" s="40" t="n">
        <v>0.3888888888888889</v>
      </c>
      <c r="C939" s="35" t="inlineStr">
        <is>
          <t>Dra. Carolina Mendes</t>
        </is>
      </c>
      <c r="D939" s="35" t="inlineStr">
        <is>
          <t>Sala 1</t>
        </is>
      </c>
      <c r="E939" s="34" t="inlineStr">
        <is>
          <t>Larissa Costa</t>
        </is>
      </c>
      <c r="F939" s="35" t="inlineStr">
        <is>
          <t>Particular</t>
        </is>
      </c>
      <c r="G939" s="35" t="inlineStr">
        <is>
          <t>Consulta</t>
        </is>
      </c>
      <c r="H939" s="35" t="inlineStr">
        <is>
          <t>Realizado</t>
        </is>
      </c>
      <c r="I939" s="35" t="inlineStr">
        <is>
          <t>A prazo</t>
        </is>
      </c>
      <c r="J939" s="35" t="n"/>
      <c r="K939" s="34" t="n"/>
      <c r="L939" s="26">
        <f>IF(A939="","",MONTH(A939))</f>
        <v>9</v>
      </c>
      <c r="M939" s="26">
        <f>IF(A939="","",YEAR(A939))</f>
        <v>2026</v>
      </c>
      <c r="N939" s="26" t="str">
        <f>IF(A939="","",CHOOSE(WEEKDAY(A939,2),"Segunda","Terça","Quarta","Quinta","Sexta","Sábado","Domingo"))</f>
        <v>Quinta</v>
      </c>
      <c r="O939" s="26" t="str">
        <f>IF(B939="","",IF(B939&lt;TIME(12,0,0),"Manhã",IF(B939&lt;TIME(18,0,0),"Tarde","Noite")))</f>
        <v>Manhã</v>
      </c>
      <c r="P939" s="32">
        <f>IF(G939="","",IFERROR(INDEX(Config!$I$5:$I$16,MATCH(G939,Config!$H$5:$H$16,0)),0))</f>
        <v>30</v>
      </c>
      <c r="Q939" s="30">
        <f>IF(OR(H939&lt;&gt;"Realizado",P939="",P939=0),"",A939+P939)</f>
        <v>46298.0</v>
      </c>
      <c r="R939" s="26" t="str">
        <f>IF(Q939="","",IF(COUNTIFS($E$5:$E$3004,E939,$A$5:$A$3004,"&gt;"&amp;A939,$H$5:$H$3004,"&lt;&gt;Falta",$H$5:$H$3004,"&lt;&gt;Cancelado",$H$5:$H$3004,"&lt;&gt;Remarcado")&gt;0,"Sim","Não"))</f>
        <v>Sim</v>
      </c>
      <c r="S939" s="32">
        <f>IF(R939&lt;&gt;"Não","",IF(Q939+Config!$B$9&lt;=Config!$B$8,Config!$B$8-Q939,""))</f>
        <v/>
      </c>
      <c r="T939" s="26">
        <f>IF(S939="","","Sim")</f>
        <v/>
      </c>
      <c r="U939" s="41">
        <f>IF(T939="Sim",S939+ROW()/100000,0)</f>
        <v>0</v>
      </c>
      <c r="V939" s="41">
        <f>IF(AND(H939="Falta",L939=Config!$B$7,M939=Config!$B$5,COUNTIFS($E$5:E939,E939,$H$5:H939,"Falta",$L$5:L939,Config!$B$7,$M$5:M939,Config!$B$5)=1),COUNTIFS($E$5:$E$3004,E939,$H$5:$H$3004,"Falta",$L$5:$L$3004,Config!$B$7,$M$5:$M$3004,Config!$B$5)*1000-ROW()/100000,0)</f>
        <v>0</v>
      </c>
    </row>
    <row r="940">
      <c r="A940" s="39" t="n">
        <v>46268</v>
      </c>
      <c r="B940" s="40" t="n">
        <v>0.4097222222222222</v>
      </c>
      <c r="C940" s="35" t="inlineStr">
        <is>
          <t>Dra. Carolina Mendes</t>
        </is>
      </c>
      <c r="D940" s="35" t="inlineStr">
        <is>
          <t>Sala 1</t>
        </is>
      </c>
      <c r="E940" s="34" t="inlineStr">
        <is>
          <t>Marcelo Santos</t>
        </is>
      </c>
      <c r="F940" s="35" t="inlineStr">
        <is>
          <t>Particular</t>
        </is>
      </c>
      <c r="G940" s="35" t="inlineStr">
        <is>
          <t>Consulta</t>
        </is>
      </c>
      <c r="H940" s="35" t="inlineStr">
        <is>
          <t>Realizado</t>
        </is>
      </c>
      <c r="I940" s="35" t="inlineStr">
        <is>
          <t>Cartão de débito</t>
        </is>
      </c>
      <c r="J940" s="35" t="n"/>
      <c r="K940" s="34" t="n"/>
      <c r="L940" s="26">
        <f>IF(A940="","",MONTH(A940))</f>
        <v>9</v>
      </c>
      <c r="M940" s="26">
        <f>IF(A940="","",YEAR(A940))</f>
        <v>2026</v>
      </c>
      <c r="N940" s="26" t="str">
        <f>IF(A940="","",CHOOSE(WEEKDAY(A940,2),"Segunda","Terça","Quarta","Quinta","Sexta","Sábado","Domingo"))</f>
        <v>Quinta</v>
      </c>
      <c r="O940" s="26" t="str">
        <f>IF(B940="","",IF(B940&lt;TIME(12,0,0),"Manhã",IF(B940&lt;TIME(18,0,0),"Tarde","Noite")))</f>
        <v>Manhã</v>
      </c>
      <c r="P940" s="32">
        <f>IF(G940="","",IFERROR(INDEX(Config!$I$5:$I$16,MATCH(G940,Config!$H$5:$H$16,0)),0))</f>
        <v>30</v>
      </c>
      <c r="Q940" s="30">
        <f>IF(OR(H940&lt;&gt;"Realizado",P940="",P940=0),"",A940+P940)</f>
        <v>46298.0</v>
      </c>
      <c r="R940" s="26" t="str">
        <f>IF(Q940="","",IF(COUNTIFS($E$5:$E$3004,E940,$A$5:$A$3004,"&gt;"&amp;A940,$H$5:$H$3004,"&lt;&gt;Falta",$H$5:$H$3004,"&lt;&gt;Cancelado",$H$5:$H$3004,"&lt;&gt;Remarcado")&gt;0,"Sim","Não"))</f>
        <v>Sim</v>
      </c>
      <c r="S940" s="32">
        <f>IF(R940&lt;&gt;"Não","",IF(Q940+Config!$B$9&lt;=Config!$B$8,Config!$B$8-Q940,""))</f>
        <v/>
      </c>
      <c r="T940" s="26">
        <f>IF(S940="","","Sim")</f>
        <v/>
      </c>
      <c r="U940" s="41">
        <f>IF(T940="Sim",S940+ROW()/100000,0)</f>
        <v>0</v>
      </c>
      <c r="V940" s="41">
        <f>IF(AND(H940="Falta",L940=Config!$B$7,M940=Config!$B$5,COUNTIFS($E$5:E940,E940,$H$5:H940,"Falta",$L$5:L940,Config!$B$7,$M$5:M940,Config!$B$5)=1),COUNTIFS($E$5:$E$3004,E940,$H$5:$H$3004,"Falta",$L$5:$L$3004,Config!$B$7,$M$5:$M$3004,Config!$B$5)*1000-ROW()/100000,0)</f>
        <v>0</v>
      </c>
    </row>
    <row r="941">
      <c r="A941" s="39" t="n">
        <v>46268</v>
      </c>
      <c r="B941" s="40" t="n">
        <v>0.4513888888888889</v>
      </c>
      <c r="C941" s="35" t="inlineStr">
        <is>
          <t>Dra. Carolina Mendes</t>
        </is>
      </c>
      <c r="D941" s="35" t="inlineStr">
        <is>
          <t>Sala 1</t>
        </is>
      </c>
      <c r="E941" s="34" t="inlineStr">
        <is>
          <t>Regina Duarte</t>
        </is>
      </c>
      <c r="F941" s="35" t="inlineStr">
        <is>
          <t>Particular</t>
        </is>
      </c>
      <c r="G941" s="35" t="inlineStr">
        <is>
          <t>Consulta</t>
        </is>
      </c>
      <c r="H941" s="35" t="inlineStr">
        <is>
          <t>Realizado</t>
        </is>
      </c>
      <c r="I941" s="35" t="inlineStr">
        <is>
          <t>Pix</t>
        </is>
      </c>
      <c r="J941" s="35" t="n"/>
      <c r="K941" s="34" t="n"/>
      <c r="L941" s="26">
        <f>IF(A941="","",MONTH(A941))</f>
        <v>9</v>
      </c>
      <c r="M941" s="26">
        <f>IF(A941="","",YEAR(A941))</f>
        <v>2026</v>
      </c>
      <c r="N941" s="26" t="str">
        <f>IF(A941="","",CHOOSE(WEEKDAY(A941,2),"Segunda","Terça","Quarta","Quinta","Sexta","Sábado","Domingo"))</f>
        <v>Quinta</v>
      </c>
      <c r="O941" s="26" t="str">
        <f>IF(B941="","",IF(B941&lt;TIME(12,0,0),"Manhã",IF(B941&lt;TIME(18,0,0),"Tarde","Noite")))</f>
        <v>Manhã</v>
      </c>
      <c r="P941" s="32">
        <f>IF(G941="","",IFERROR(INDEX(Config!$I$5:$I$16,MATCH(G941,Config!$H$5:$H$16,0)),0))</f>
        <v>30</v>
      </c>
      <c r="Q941" s="30">
        <f>IF(OR(H941&lt;&gt;"Realizado",P941="",P941=0),"",A941+P941)</f>
        <v>46298.0</v>
      </c>
      <c r="R941" s="26" t="str">
        <f>IF(Q941="","",IF(COUNTIFS($E$5:$E$3004,E941,$A$5:$A$3004,"&gt;"&amp;A941,$H$5:$H$3004,"&lt;&gt;Falta",$H$5:$H$3004,"&lt;&gt;Cancelado",$H$5:$H$3004,"&lt;&gt;Remarcado")&gt;0,"Sim","Não"))</f>
        <v>Sim</v>
      </c>
      <c r="S941" s="32">
        <f>IF(R941&lt;&gt;"Não","",IF(Q941+Config!$B$9&lt;=Config!$B$8,Config!$B$8-Q941,""))</f>
        <v/>
      </c>
      <c r="T941" s="26">
        <f>IF(S941="","","Sim")</f>
        <v/>
      </c>
      <c r="U941" s="41">
        <f>IF(T941="Sim",S941+ROW()/100000,0)</f>
        <v>0</v>
      </c>
      <c r="V941" s="41">
        <f>IF(AND(H941="Falta",L941=Config!$B$7,M941=Config!$B$5,COUNTIFS($E$5:E941,E941,$H$5:H941,"Falta",$L$5:L941,Config!$B$7,$M$5:M941,Config!$B$5)=1),COUNTIFS($E$5:$E$3004,E941,$H$5:$H$3004,"Falta",$L$5:$L$3004,Config!$B$7,$M$5:$M$3004,Config!$B$5)*1000-ROW()/100000,0)</f>
        <v>0</v>
      </c>
    </row>
    <row r="942">
      <c r="A942" s="39" t="n">
        <v>46268</v>
      </c>
      <c r="B942" s="40" t="n">
        <v>0.4722222222222222</v>
      </c>
      <c r="C942" s="35" t="inlineStr">
        <is>
          <t>Dra. Carolina Mendes</t>
        </is>
      </c>
      <c r="D942" s="35" t="inlineStr">
        <is>
          <t>Sala 1</t>
        </is>
      </c>
      <c r="E942" s="34" t="inlineStr">
        <is>
          <t>Mateus Lima</t>
        </is>
      </c>
      <c r="F942" s="35" t="inlineStr">
        <is>
          <t>MediPlan</t>
        </is>
      </c>
      <c r="G942" s="35" t="inlineStr">
        <is>
          <t>Consulta</t>
        </is>
      </c>
      <c r="H942" s="35" t="inlineStr">
        <is>
          <t>Realizado</t>
        </is>
      </c>
      <c r="I942" s="35" t="inlineStr">
        <is>
          <t>Convênio</t>
        </is>
      </c>
      <c r="J942" s="35" t="n"/>
      <c r="K942" s="34" t="n"/>
      <c r="L942" s="26">
        <f>IF(A942="","",MONTH(A942))</f>
        <v>9</v>
      </c>
      <c r="M942" s="26">
        <f>IF(A942="","",YEAR(A942))</f>
        <v>2026</v>
      </c>
      <c r="N942" s="26" t="str">
        <f>IF(A942="","",CHOOSE(WEEKDAY(A942,2),"Segunda","Terça","Quarta","Quinta","Sexta","Sábado","Domingo"))</f>
        <v>Quinta</v>
      </c>
      <c r="O942" s="26" t="str">
        <f>IF(B942="","",IF(B942&lt;TIME(12,0,0),"Manhã",IF(B942&lt;TIME(18,0,0),"Tarde","Noite")))</f>
        <v>Manhã</v>
      </c>
      <c r="P942" s="32">
        <f>IF(G942="","",IFERROR(INDEX(Config!$I$5:$I$16,MATCH(G942,Config!$H$5:$H$16,0)),0))</f>
        <v>30</v>
      </c>
      <c r="Q942" s="30">
        <f>IF(OR(H942&lt;&gt;"Realizado",P942="",P942=0),"",A942+P942)</f>
        <v>46298.0</v>
      </c>
      <c r="R942" s="26" t="str">
        <f>IF(Q942="","",IF(COUNTIFS($E$5:$E$3004,E942,$A$5:$A$3004,"&gt;"&amp;A942,$H$5:$H$3004,"&lt;&gt;Falta",$H$5:$H$3004,"&lt;&gt;Cancelado",$H$5:$H$3004,"&lt;&gt;Remarcado")&gt;0,"Sim","Não"))</f>
        <v>Sim</v>
      </c>
      <c r="S942" s="32">
        <f>IF(R942&lt;&gt;"Não","",IF(Q942+Config!$B$9&lt;=Config!$B$8,Config!$B$8-Q942,""))</f>
        <v/>
      </c>
      <c r="T942" s="26">
        <f>IF(S942="","","Sim")</f>
        <v/>
      </c>
      <c r="U942" s="41">
        <f>IF(T942="Sim",S942+ROW()/100000,0)</f>
        <v>0</v>
      </c>
      <c r="V942" s="41">
        <f>IF(AND(H942="Falta",L942=Config!$B$7,M942=Config!$B$5,COUNTIFS($E$5:E942,E942,$H$5:H942,"Falta",$L$5:L942,Config!$B$7,$M$5:M942,Config!$B$5)=1),COUNTIFS($E$5:$E$3004,E942,$H$5:$H$3004,"Falta",$L$5:$L$3004,Config!$B$7,$M$5:$M$3004,Config!$B$5)*1000-ROW()/100000,0)</f>
        <v>0</v>
      </c>
    </row>
    <row r="943">
      <c r="A943" s="39" t="n">
        <v>46268</v>
      </c>
      <c r="B943" s="40" t="n">
        <v>0.5833333333333334</v>
      </c>
      <c r="C943" s="35" t="inlineStr">
        <is>
          <t>Dra. Renata Sousa</t>
        </is>
      </c>
      <c r="D943" s="35" t="inlineStr">
        <is>
          <t>Sala 1</t>
        </is>
      </c>
      <c r="E943" s="34" t="inlineStr">
        <is>
          <t>Cláudia Melo</t>
        </is>
      </c>
      <c r="F943" s="35" t="inlineStr">
        <is>
          <t>Particular</t>
        </is>
      </c>
      <c r="G943" s="35" t="inlineStr">
        <is>
          <t>Avaliação endócrina</t>
        </is>
      </c>
      <c r="H943" s="35" t="inlineStr">
        <is>
          <t>Realizado</t>
        </is>
      </c>
      <c r="I943" s="35" t="inlineStr">
        <is>
          <t>Pix</t>
        </is>
      </c>
      <c r="J943" s="35" t="n"/>
      <c r="K943" s="34" t="n"/>
      <c r="L943" s="26">
        <f>IF(A943="","",MONTH(A943))</f>
        <v>9</v>
      </c>
      <c r="M943" s="26">
        <f>IF(A943="","",YEAR(A943))</f>
        <v>2026</v>
      </c>
      <c r="N943" s="26" t="str">
        <f>IF(A943="","",CHOOSE(WEEKDAY(A943,2),"Segunda","Terça","Quarta","Quinta","Sexta","Sábado","Domingo"))</f>
        <v>Quinta</v>
      </c>
      <c r="O943" s="26" t="str">
        <f>IF(B943="","",IF(B943&lt;TIME(12,0,0),"Manhã",IF(B943&lt;TIME(18,0,0),"Tarde","Noite")))</f>
        <v>Tarde</v>
      </c>
      <c r="P943" s="32">
        <f>IF(G943="","",IFERROR(INDEX(Config!$I$5:$I$16,MATCH(G943,Config!$H$5:$H$16,0)),0))</f>
        <v>45</v>
      </c>
      <c r="Q943" s="30">
        <f>IF(OR(H943&lt;&gt;"Realizado",P943="",P943=0),"",A943+P943)</f>
        <v>46313.0</v>
      </c>
      <c r="R943" s="26" t="str">
        <f>IF(Q943="","",IF(COUNTIFS($E$5:$E$3004,E943,$A$5:$A$3004,"&gt;"&amp;A943,$H$5:$H$3004,"&lt;&gt;Falta",$H$5:$H$3004,"&lt;&gt;Cancelado",$H$5:$H$3004,"&lt;&gt;Remarcado")&gt;0,"Sim","Não"))</f>
        <v>Sim</v>
      </c>
      <c r="S943" s="32">
        <f>IF(R943&lt;&gt;"Não","",IF(Q943+Config!$B$9&lt;=Config!$B$8,Config!$B$8-Q943,""))</f>
        <v/>
      </c>
      <c r="T943" s="26">
        <f>IF(S943="","","Sim")</f>
        <v/>
      </c>
      <c r="U943" s="41">
        <f>IF(T943="Sim",S943+ROW()/100000,0)</f>
        <v>0</v>
      </c>
      <c r="V943" s="41">
        <f>IF(AND(H943="Falta",L943=Config!$B$7,M943=Config!$B$5,COUNTIFS($E$5:E943,E943,$H$5:H943,"Falta",$L$5:L943,Config!$B$7,$M$5:M943,Config!$B$5)=1),COUNTIFS($E$5:$E$3004,E943,$H$5:$H$3004,"Falta",$L$5:$L$3004,Config!$B$7,$M$5:$M$3004,Config!$B$5)*1000-ROW()/100000,0)</f>
        <v>0</v>
      </c>
    </row>
    <row r="944">
      <c r="A944" s="39" t="n">
        <v>46268</v>
      </c>
      <c r="B944" s="40" t="n">
        <v>0.5833333333333334</v>
      </c>
      <c r="C944" s="35" t="inlineStr">
        <is>
          <t>Dr. Paulo Andrade</t>
        </is>
      </c>
      <c r="D944" s="35" t="inlineStr">
        <is>
          <t>Sala 2</t>
        </is>
      </c>
      <c r="E944" s="34" t="inlineStr">
        <is>
          <t>Vinícius Cardoso</t>
        </is>
      </c>
      <c r="F944" s="35" t="inlineStr">
        <is>
          <t>MediPlan</t>
        </is>
      </c>
      <c r="G944" s="35" t="inlineStr">
        <is>
          <t>Consulta</t>
        </is>
      </c>
      <c r="H944" s="35" t="inlineStr">
        <is>
          <t>Realizado</t>
        </is>
      </c>
      <c r="I944" s="35" t="inlineStr">
        <is>
          <t>Convênio</t>
        </is>
      </c>
      <c r="J944" s="35" t="n"/>
      <c r="K944" s="34" t="n"/>
      <c r="L944" s="26">
        <f>IF(A944="","",MONTH(A944))</f>
        <v>9</v>
      </c>
      <c r="M944" s="26">
        <f>IF(A944="","",YEAR(A944))</f>
        <v>2026</v>
      </c>
      <c r="N944" s="26" t="str">
        <f>IF(A944="","",CHOOSE(WEEKDAY(A944,2),"Segunda","Terça","Quarta","Quinta","Sexta","Sábado","Domingo"))</f>
        <v>Quinta</v>
      </c>
      <c r="O944" s="26" t="str">
        <f>IF(B944="","",IF(B944&lt;TIME(12,0,0),"Manhã",IF(B944&lt;TIME(18,0,0),"Tarde","Noite")))</f>
        <v>Tarde</v>
      </c>
      <c r="P944" s="32">
        <f>IF(G944="","",IFERROR(INDEX(Config!$I$5:$I$16,MATCH(G944,Config!$H$5:$H$16,0)),0))</f>
        <v>30</v>
      </c>
      <c r="Q944" s="30">
        <f>IF(OR(H944&lt;&gt;"Realizado",P944="",P944=0),"",A944+P944)</f>
        <v>46298.0</v>
      </c>
      <c r="R944" s="26" t="str">
        <f>IF(Q944="","",IF(COUNTIFS($E$5:$E$3004,E944,$A$5:$A$3004,"&gt;"&amp;A944,$H$5:$H$3004,"&lt;&gt;Falta",$H$5:$H$3004,"&lt;&gt;Cancelado",$H$5:$H$3004,"&lt;&gt;Remarcado")&gt;0,"Sim","Não"))</f>
        <v>Sim</v>
      </c>
      <c r="S944" s="32">
        <f>IF(R944&lt;&gt;"Não","",IF(Q944+Config!$B$9&lt;=Config!$B$8,Config!$B$8-Q944,""))</f>
        <v/>
      </c>
      <c r="T944" s="26">
        <f>IF(S944="","","Sim")</f>
        <v/>
      </c>
      <c r="U944" s="41">
        <f>IF(T944="Sim",S944+ROW()/100000,0)</f>
        <v>0</v>
      </c>
      <c r="V944" s="41">
        <f>IF(AND(H944="Falta",L944=Config!$B$7,M944=Config!$B$5,COUNTIFS($E$5:E944,E944,$H$5:H944,"Falta",$L$5:L944,Config!$B$7,$M$5:M944,Config!$B$5)=1),COUNTIFS($E$5:$E$3004,E944,$H$5:$H$3004,"Falta",$L$5:$L$3004,Config!$B$7,$M$5:$M$3004,Config!$B$5)*1000-ROW()/100000,0)</f>
        <v>0</v>
      </c>
    </row>
    <row r="945">
      <c r="A945" s="39" t="n">
        <v>46268</v>
      </c>
      <c r="B945" s="40" t="n">
        <v>0.6041666666666666</v>
      </c>
      <c r="C945" s="35" t="inlineStr">
        <is>
          <t>Dr. Paulo Andrade</t>
        </is>
      </c>
      <c r="D945" s="35" t="inlineStr">
        <is>
          <t>Sala 2</t>
        </is>
      </c>
      <c r="E945" s="34" t="inlineStr">
        <is>
          <t>Elaine Cardoso</t>
        </is>
      </c>
      <c r="F945" s="35" t="inlineStr">
        <is>
          <t>Particular</t>
        </is>
      </c>
      <c r="G945" s="35" t="inlineStr">
        <is>
          <t>ECG</t>
        </is>
      </c>
      <c r="H945" s="35" t="inlineStr">
        <is>
          <t>Realizado</t>
        </is>
      </c>
      <c r="I945" s="35" t="inlineStr">
        <is>
          <t>Cartão de débito</t>
        </is>
      </c>
      <c r="J945" s="35" t="n"/>
      <c r="K945" s="34" t="n"/>
      <c r="L945" s="26">
        <f>IF(A945="","",MONTH(A945))</f>
        <v>9</v>
      </c>
      <c r="M945" s="26">
        <f>IF(A945="","",YEAR(A945))</f>
        <v>2026</v>
      </c>
      <c r="N945" s="26" t="str">
        <f>IF(A945="","",CHOOSE(WEEKDAY(A945,2),"Segunda","Terça","Quarta","Quinta","Sexta","Sábado","Domingo"))</f>
        <v>Quinta</v>
      </c>
      <c r="O945" s="26" t="str">
        <f>IF(B945="","",IF(B945&lt;TIME(12,0,0),"Manhã",IF(B945&lt;TIME(18,0,0),"Tarde","Noite")))</f>
        <v>Tarde</v>
      </c>
      <c r="P945" s="32">
        <f>IF(G945="","",IFERROR(INDEX(Config!$I$5:$I$16,MATCH(G945,Config!$H$5:$H$16,0)),0))</f>
        <v>0</v>
      </c>
      <c r="Q945" s="30">
        <f>IF(OR(H945&lt;&gt;"Realizado",P945="",P945=0),"",A945+P945)</f>
        <v/>
      </c>
      <c r="R945" s="26">
        <f>IF(Q945="","",IF(COUNTIFS($E$5:$E$3004,E945,$A$5:$A$3004,"&gt;"&amp;A945,$H$5:$H$3004,"&lt;&gt;Falta",$H$5:$H$3004,"&lt;&gt;Cancelado",$H$5:$H$3004,"&lt;&gt;Remarcado")&gt;0,"Sim","Não"))</f>
        <v/>
      </c>
      <c r="S945" s="32">
        <f>IF(R945&lt;&gt;"Não","",IF(Q945+Config!$B$9&lt;=Config!$B$8,Config!$B$8-Q945,""))</f>
        <v/>
      </c>
      <c r="T945" s="26">
        <f>IF(S945="","","Sim")</f>
        <v/>
      </c>
      <c r="U945" s="41">
        <f>IF(T945="Sim",S945+ROW()/100000,0)</f>
        <v>0</v>
      </c>
      <c r="V945" s="41">
        <f>IF(AND(H945="Falta",L945=Config!$B$7,M945=Config!$B$5,COUNTIFS($E$5:E945,E945,$H$5:H945,"Falta",$L$5:L945,Config!$B$7,$M$5:M945,Config!$B$5)=1),COUNTIFS($E$5:$E$3004,E945,$H$5:$H$3004,"Falta",$L$5:$L$3004,Config!$B$7,$M$5:$M$3004,Config!$B$5)*1000-ROW()/100000,0)</f>
        <v>0</v>
      </c>
    </row>
    <row r="946">
      <c r="A946" s="39" t="n">
        <v>46268</v>
      </c>
      <c r="B946" s="40" t="n">
        <v>0.6111111111111112</v>
      </c>
      <c r="C946" s="35" t="inlineStr">
        <is>
          <t>Dra. Renata Sousa</t>
        </is>
      </c>
      <c r="D946" s="35" t="inlineStr">
        <is>
          <t>Sala 1</t>
        </is>
      </c>
      <c r="E946" s="34" t="inlineStr">
        <is>
          <t>Carlos Gonçalves</t>
        </is>
      </c>
      <c r="F946" s="35" t="inlineStr">
        <is>
          <t>Saúde Total</t>
        </is>
      </c>
      <c r="G946" s="35" t="inlineStr">
        <is>
          <t>Retorno</t>
        </is>
      </c>
      <c r="H946" s="35" t="inlineStr">
        <is>
          <t>Realizado</t>
        </is>
      </c>
      <c r="I946" s="35" t="inlineStr">
        <is>
          <t>Sem cobrança</t>
        </is>
      </c>
      <c r="J946" s="35" t="n"/>
      <c r="K946" s="34" t="n"/>
      <c r="L946" s="26">
        <f>IF(A946="","",MONTH(A946))</f>
        <v>9</v>
      </c>
      <c r="M946" s="26">
        <f>IF(A946="","",YEAR(A946))</f>
        <v>2026</v>
      </c>
      <c r="N946" s="26" t="str">
        <f>IF(A946="","",CHOOSE(WEEKDAY(A946,2),"Segunda","Terça","Quarta","Quinta","Sexta","Sábado","Domingo"))</f>
        <v>Quinta</v>
      </c>
      <c r="O946" s="26" t="str">
        <f>IF(B946="","",IF(B946&lt;TIME(12,0,0),"Manhã",IF(B946&lt;TIME(18,0,0),"Tarde","Noite")))</f>
        <v>Tarde</v>
      </c>
      <c r="P946" s="32">
        <f>IF(G946="","",IFERROR(INDEX(Config!$I$5:$I$16,MATCH(G946,Config!$H$5:$H$16,0)),0))</f>
        <v>0</v>
      </c>
      <c r="Q946" s="30">
        <f>IF(OR(H946&lt;&gt;"Realizado",P946="",P946=0),"",A946+P946)</f>
        <v/>
      </c>
      <c r="R946" s="26">
        <f>IF(Q946="","",IF(COUNTIFS($E$5:$E$3004,E946,$A$5:$A$3004,"&gt;"&amp;A946,$H$5:$H$3004,"&lt;&gt;Falta",$H$5:$H$3004,"&lt;&gt;Cancelado",$H$5:$H$3004,"&lt;&gt;Remarcado")&gt;0,"Sim","Não"))</f>
        <v/>
      </c>
      <c r="S946" s="32">
        <f>IF(R946&lt;&gt;"Não","",IF(Q946+Config!$B$9&lt;=Config!$B$8,Config!$B$8-Q946,""))</f>
        <v/>
      </c>
      <c r="T946" s="26">
        <f>IF(S946="","","Sim")</f>
        <v/>
      </c>
      <c r="U946" s="41">
        <f>IF(T946="Sim",S946+ROW()/100000,0)</f>
        <v>0</v>
      </c>
      <c r="V946" s="41">
        <f>IF(AND(H946="Falta",L946=Config!$B$7,M946=Config!$B$5,COUNTIFS($E$5:E946,E946,$H$5:H946,"Falta",$L$5:L946,Config!$B$7,$M$5:M946,Config!$B$5)=1),COUNTIFS($E$5:$E$3004,E946,$H$5:$H$3004,"Falta",$L$5:$L$3004,Config!$B$7,$M$5:$M$3004,Config!$B$5)*1000-ROW()/100000,0)</f>
        <v>0</v>
      </c>
    </row>
    <row r="947">
      <c r="A947" s="39" t="n">
        <v>46268</v>
      </c>
      <c r="B947" s="40" t="n">
        <v>0.6180555555555556</v>
      </c>
      <c r="C947" s="35" t="inlineStr">
        <is>
          <t>Dr. Paulo Andrade</t>
        </is>
      </c>
      <c r="D947" s="35" t="inlineStr">
        <is>
          <t>Sala 2</t>
        </is>
      </c>
      <c r="E947" s="34" t="inlineStr">
        <is>
          <t>Camila Batista</t>
        </is>
      </c>
      <c r="F947" s="35" t="inlineStr">
        <is>
          <t>MediPlan</t>
        </is>
      </c>
      <c r="G947" s="35" t="inlineStr">
        <is>
          <t>Holter</t>
        </is>
      </c>
      <c r="H947" s="35" t="inlineStr">
        <is>
          <t>Falta</t>
        </is>
      </c>
      <c r="I947" s="35" t="n"/>
      <c r="J947" s="35" t="n"/>
      <c r="K947" s="34" t="n"/>
      <c r="L947" s="26">
        <f>IF(A947="","",MONTH(A947))</f>
        <v>9</v>
      </c>
      <c r="M947" s="26">
        <f>IF(A947="","",YEAR(A947))</f>
        <v>2026</v>
      </c>
      <c r="N947" s="26" t="str">
        <f>IF(A947="","",CHOOSE(WEEKDAY(A947,2),"Segunda","Terça","Quarta","Quinta","Sexta","Sábado","Domingo"))</f>
        <v>Quinta</v>
      </c>
      <c r="O947" s="26" t="str">
        <f>IF(B947="","",IF(B947&lt;TIME(12,0,0),"Manhã",IF(B947&lt;TIME(18,0,0),"Tarde","Noite")))</f>
        <v>Tarde</v>
      </c>
      <c r="P947" s="32">
        <f>IF(G947="","",IFERROR(INDEX(Config!$I$5:$I$16,MATCH(G947,Config!$H$5:$H$16,0)),0))</f>
        <v>0</v>
      </c>
      <c r="Q947" s="30">
        <f>IF(OR(H947&lt;&gt;"Realizado",P947="",P947=0),"",A947+P947)</f>
        <v/>
      </c>
      <c r="R947" s="26">
        <f>IF(Q947="","",IF(COUNTIFS($E$5:$E$3004,E947,$A$5:$A$3004,"&gt;"&amp;A947,$H$5:$H$3004,"&lt;&gt;Falta",$H$5:$H$3004,"&lt;&gt;Cancelado",$H$5:$H$3004,"&lt;&gt;Remarcado")&gt;0,"Sim","Não"))</f>
        <v/>
      </c>
      <c r="S947" s="32">
        <f>IF(R947&lt;&gt;"Não","",IF(Q947+Config!$B$9&lt;=Config!$B$8,Config!$B$8-Q947,""))</f>
        <v/>
      </c>
      <c r="T947" s="26">
        <f>IF(S947="","","Sim")</f>
        <v/>
      </c>
      <c r="U947" s="41">
        <f>IF(T947="Sim",S947+ROW()/100000,0)</f>
        <v>0</v>
      </c>
      <c r="V947" s="41">
        <f>IF(AND(H947="Falta",L947=Config!$B$7,M947=Config!$B$5,COUNTIFS($E$5:E947,E947,$H$5:H947,"Falta",$L$5:L947,Config!$B$7,$M$5:M947,Config!$B$5)=1),COUNTIFS($E$5:$E$3004,E947,$H$5:$H$3004,"Falta",$L$5:$L$3004,Config!$B$7,$M$5:$M$3004,Config!$B$5)*1000-ROW()/100000,0)</f>
        <v>999.99053</v>
      </c>
    </row>
    <row r="948">
      <c r="A948" s="39" t="n">
        <v>46268</v>
      </c>
      <c r="B948" s="40" t="n">
        <v>0.625</v>
      </c>
      <c r="C948" s="35" t="inlineStr">
        <is>
          <t>Dra. Renata Sousa</t>
        </is>
      </c>
      <c r="D948" s="35" t="inlineStr">
        <is>
          <t>Sala 1</t>
        </is>
      </c>
      <c r="E948" s="34" t="inlineStr">
        <is>
          <t>Carlos Gomes</t>
        </is>
      </c>
      <c r="F948" s="35" t="inlineStr">
        <is>
          <t>Saúde Total</t>
        </is>
      </c>
      <c r="G948" s="35" t="inlineStr">
        <is>
          <t>Avaliação endócrina</t>
        </is>
      </c>
      <c r="H948" s="35" t="inlineStr">
        <is>
          <t>Realizado</t>
        </is>
      </c>
      <c r="I948" s="35" t="inlineStr">
        <is>
          <t>Convênio</t>
        </is>
      </c>
      <c r="J948" s="35" t="n"/>
      <c r="K948" s="34" t="n"/>
      <c r="L948" s="26">
        <f>IF(A948="","",MONTH(A948))</f>
        <v>9</v>
      </c>
      <c r="M948" s="26">
        <f>IF(A948="","",YEAR(A948))</f>
        <v>2026</v>
      </c>
      <c r="N948" s="26" t="str">
        <f>IF(A948="","",CHOOSE(WEEKDAY(A948,2),"Segunda","Terça","Quarta","Quinta","Sexta","Sábado","Domingo"))</f>
        <v>Quinta</v>
      </c>
      <c r="O948" s="26" t="str">
        <f>IF(B948="","",IF(B948&lt;TIME(12,0,0),"Manhã",IF(B948&lt;TIME(18,0,0),"Tarde","Noite")))</f>
        <v>Tarde</v>
      </c>
      <c r="P948" s="32">
        <f>IF(G948="","",IFERROR(INDEX(Config!$I$5:$I$16,MATCH(G948,Config!$H$5:$H$16,0)),0))</f>
        <v>45</v>
      </c>
      <c r="Q948" s="30">
        <f>IF(OR(H948&lt;&gt;"Realizado",P948="",P948=0),"",A948+P948)</f>
        <v>46313.0</v>
      </c>
      <c r="R948" s="26" t="str">
        <f>IF(Q948="","",IF(COUNTIFS($E$5:$E$3004,E948,$A$5:$A$3004,"&gt;"&amp;A948,$H$5:$H$3004,"&lt;&gt;Falta",$H$5:$H$3004,"&lt;&gt;Cancelado",$H$5:$H$3004,"&lt;&gt;Remarcado")&gt;0,"Sim","Não"))</f>
        <v>Sim</v>
      </c>
      <c r="S948" s="32">
        <f>IF(R948&lt;&gt;"Não","",IF(Q948+Config!$B$9&lt;=Config!$B$8,Config!$B$8-Q948,""))</f>
        <v/>
      </c>
      <c r="T948" s="26">
        <f>IF(S948="","","Sim")</f>
        <v/>
      </c>
      <c r="U948" s="41">
        <f>IF(T948="Sim",S948+ROW()/100000,0)</f>
        <v>0</v>
      </c>
      <c r="V948" s="41">
        <f>IF(AND(H948="Falta",L948=Config!$B$7,M948=Config!$B$5,COUNTIFS($E$5:E948,E948,$H$5:H948,"Falta",$L$5:L948,Config!$B$7,$M$5:M948,Config!$B$5)=1),COUNTIFS($E$5:$E$3004,E948,$H$5:$H$3004,"Falta",$L$5:$L$3004,Config!$B$7,$M$5:$M$3004,Config!$B$5)*1000-ROW()/100000,0)</f>
        <v>0</v>
      </c>
    </row>
    <row r="949">
      <c r="A949" s="39" t="n">
        <v>46268</v>
      </c>
      <c r="B949" s="40" t="n">
        <v>0.6319444444444444</v>
      </c>
      <c r="C949" s="35" t="inlineStr">
        <is>
          <t>Dr. Paulo Andrade</t>
        </is>
      </c>
      <c r="D949" s="35" t="inlineStr">
        <is>
          <t>Sala 2</t>
        </is>
      </c>
      <c r="E949" s="34" t="inlineStr">
        <is>
          <t>Paulo Ribeiro</t>
        </is>
      </c>
      <c r="F949" s="35" t="inlineStr">
        <is>
          <t>Saúde Total</t>
        </is>
      </c>
      <c r="G949" s="35" t="inlineStr">
        <is>
          <t>Consulta</t>
        </is>
      </c>
      <c r="H949" s="35" t="inlineStr">
        <is>
          <t>Realizado</t>
        </is>
      </c>
      <c r="I949" s="35" t="inlineStr">
        <is>
          <t>Convênio</t>
        </is>
      </c>
      <c r="J949" s="35" t="n"/>
      <c r="K949" s="34" t="n"/>
      <c r="L949" s="26">
        <f>IF(A949="","",MONTH(A949))</f>
        <v>9</v>
      </c>
      <c r="M949" s="26">
        <f>IF(A949="","",YEAR(A949))</f>
        <v>2026</v>
      </c>
      <c r="N949" s="26" t="str">
        <f>IF(A949="","",CHOOSE(WEEKDAY(A949,2),"Segunda","Terça","Quarta","Quinta","Sexta","Sábado","Domingo"))</f>
        <v>Quinta</v>
      </c>
      <c r="O949" s="26" t="str">
        <f>IF(B949="","",IF(B949&lt;TIME(12,0,0),"Manhã",IF(B949&lt;TIME(18,0,0),"Tarde","Noite")))</f>
        <v>Tarde</v>
      </c>
      <c r="P949" s="32">
        <f>IF(G949="","",IFERROR(INDEX(Config!$I$5:$I$16,MATCH(G949,Config!$H$5:$H$16,0)),0))</f>
        <v>30</v>
      </c>
      <c r="Q949" s="30">
        <f>IF(OR(H949&lt;&gt;"Realizado",P949="",P949=0),"",A949+P949)</f>
        <v>46298.0</v>
      </c>
      <c r="R949" s="26" t="str">
        <f>IF(Q949="","",IF(COUNTIFS($E$5:$E$3004,E949,$A$5:$A$3004,"&gt;"&amp;A949,$H$5:$H$3004,"&lt;&gt;Falta",$H$5:$H$3004,"&lt;&gt;Cancelado",$H$5:$H$3004,"&lt;&gt;Remarcado")&gt;0,"Sim","Não"))</f>
        <v>Sim</v>
      </c>
      <c r="S949" s="32">
        <f>IF(R949&lt;&gt;"Não","",IF(Q949+Config!$B$9&lt;=Config!$B$8,Config!$B$8-Q949,""))</f>
        <v/>
      </c>
      <c r="T949" s="26">
        <f>IF(S949="","","Sim")</f>
        <v/>
      </c>
      <c r="U949" s="41">
        <f>IF(T949="Sim",S949+ROW()/100000,0)</f>
        <v>0</v>
      </c>
      <c r="V949" s="41">
        <f>IF(AND(H949="Falta",L949=Config!$B$7,M949=Config!$B$5,COUNTIFS($E$5:E949,E949,$H$5:H949,"Falta",$L$5:L949,Config!$B$7,$M$5:M949,Config!$B$5)=1),COUNTIFS($E$5:$E$3004,E949,$H$5:$H$3004,"Falta",$L$5:$L$3004,Config!$B$7,$M$5:$M$3004,Config!$B$5)*1000-ROW()/100000,0)</f>
        <v>0</v>
      </c>
    </row>
    <row r="950">
      <c r="A950" s="39" t="n">
        <v>46268</v>
      </c>
      <c r="B950" s="40" t="n">
        <v>0.6527777777777778</v>
      </c>
      <c r="C950" s="35" t="inlineStr">
        <is>
          <t>Dra. Renata Sousa</t>
        </is>
      </c>
      <c r="D950" s="35" t="inlineStr">
        <is>
          <t>Sala 1</t>
        </is>
      </c>
      <c r="E950" s="34" t="inlineStr">
        <is>
          <t>Patrícia Dias</t>
        </is>
      </c>
      <c r="F950" s="35" t="inlineStr">
        <is>
          <t>Particular</t>
        </is>
      </c>
      <c r="G950" s="35" t="inlineStr">
        <is>
          <t>Retorno</t>
        </is>
      </c>
      <c r="H950" s="35" t="inlineStr">
        <is>
          <t>Realizado</t>
        </is>
      </c>
      <c r="I950" s="35" t="inlineStr">
        <is>
          <t>Sem cobrança</t>
        </is>
      </c>
      <c r="J950" s="35" t="n"/>
      <c r="K950" s="34" t="n"/>
      <c r="L950" s="26">
        <f>IF(A950="","",MONTH(A950))</f>
        <v>9</v>
      </c>
      <c r="M950" s="26">
        <f>IF(A950="","",YEAR(A950))</f>
        <v>2026</v>
      </c>
      <c r="N950" s="26" t="str">
        <f>IF(A950="","",CHOOSE(WEEKDAY(A950,2),"Segunda","Terça","Quarta","Quinta","Sexta","Sábado","Domingo"))</f>
        <v>Quinta</v>
      </c>
      <c r="O950" s="26" t="str">
        <f>IF(B950="","",IF(B950&lt;TIME(12,0,0),"Manhã",IF(B950&lt;TIME(18,0,0),"Tarde","Noite")))</f>
        <v>Tarde</v>
      </c>
      <c r="P950" s="32">
        <f>IF(G950="","",IFERROR(INDEX(Config!$I$5:$I$16,MATCH(G950,Config!$H$5:$H$16,0)),0))</f>
        <v>0</v>
      </c>
      <c r="Q950" s="30">
        <f>IF(OR(H950&lt;&gt;"Realizado",P950="",P950=0),"",A950+P950)</f>
        <v/>
      </c>
      <c r="R950" s="26">
        <f>IF(Q950="","",IF(COUNTIFS($E$5:$E$3004,E950,$A$5:$A$3004,"&gt;"&amp;A950,$H$5:$H$3004,"&lt;&gt;Falta",$H$5:$H$3004,"&lt;&gt;Cancelado",$H$5:$H$3004,"&lt;&gt;Remarcado")&gt;0,"Sim","Não"))</f>
        <v/>
      </c>
      <c r="S950" s="32">
        <f>IF(R950&lt;&gt;"Não","",IF(Q950+Config!$B$9&lt;=Config!$B$8,Config!$B$8-Q950,""))</f>
        <v/>
      </c>
      <c r="T950" s="26">
        <f>IF(S950="","","Sim")</f>
        <v/>
      </c>
      <c r="U950" s="41">
        <f>IF(T950="Sim",S950+ROW()/100000,0)</f>
        <v>0</v>
      </c>
      <c r="V950" s="41">
        <f>IF(AND(H950="Falta",L950=Config!$B$7,M950=Config!$B$5,COUNTIFS($E$5:E950,E950,$H$5:H950,"Falta",$L$5:L950,Config!$B$7,$M$5:M950,Config!$B$5)=1),COUNTIFS($E$5:$E$3004,E950,$H$5:$H$3004,"Falta",$L$5:$L$3004,Config!$B$7,$M$5:$M$3004,Config!$B$5)*1000-ROW()/100000,0)</f>
        <v>0</v>
      </c>
    </row>
    <row r="951">
      <c r="A951" s="39" t="n">
        <v>46268</v>
      </c>
      <c r="B951" s="40" t="n">
        <v>0.6527777777777778</v>
      </c>
      <c r="C951" s="35" t="inlineStr">
        <is>
          <t>Dr. Paulo Andrade</t>
        </is>
      </c>
      <c r="D951" s="35" t="inlineStr">
        <is>
          <t>Sala 2</t>
        </is>
      </c>
      <c r="E951" s="34" t="inlineStr">
        <is>
          <t>Regina Teixeira</t>
        </is>
      </c>
      <c r="F951" s="35" t="inlineStr">
        <is>
          <t>Particular</t>
        </is>
      </c>
      <c r="G951" s="35" t="inlineStr">
        <is>
          <t>Retorno</t>
        </is>
      </c>
      <c r="H951" s="35" t="inlineStr">
        <is>
          <t>Realizado</t>
        </is>
      </c>
      <c r="I951" s="35" t="inlineStr">
        <is>
          <t>Sem cobrança</t>
        </is>
      </c>
      <c r="J951" s="35" t="n"/>
      <c r="K951" s="34" t="n"/>
      <c r="L951" s="26">
        <f>IF(A951="","",MONTH(A951))</f>
        <v>9</v>
      </c>
      <c r="M951" s="26">
        <f>IF(A951="","",YEAR(A951))</f>
        <v>2026</v>
      </c>
      <c r="N951" s="26" t="str">
        <f>IF(A951="","",CHOOSE(WEEKDAY(A951,2),"Segunda","Terça","Quarta","Quinta","Sexta","Sábado","Domingo"))</f>
        <v>Quinta</v>
      </c>
      <c r="O951" s="26" t="str">
        <f>IF(B951="","",IF(B951&lt;TIME(12,0,0),"Manhã",IF(B951&lt;TIME(18,0,0),"Tarde","Noite")))</f>
        <v>Tarde</v>
      </c>
      <c r="P951" s="32">
        <f>IF(G951="","",IFERROR(INDEX(Config!$I$5:$I$16,MATCH(G951,Config!$H$5:$H$16,0)),0))</f>
        <v>0</v>
      </c>
      <c r="Q951" s="30">
        <f>IF(OR(H951&lt;&gt;"Realizado",P951="",P951=0),"",A951+P951)</f>
        <v/>
      </c>
      <c r="R951" s="26">
        <f>IF(Q951="","",IF(COUNTIFS($E$5:$E$3004,E951,$A$5:$A$3004,"&gt;"&amp;A951,$H$5:$H$3004,"&lt;&gt;Falta",$H$5:$H$3004,"&lt;&gt;Cancelado",$H$5:$H$3004,"&lt;&gt;Remarcado")&gt;0,"Sim","Não"))</f>
        <v/>
      </c>
      <c r="S951" s="32">
        <f>IF(R951&lt;&gt;"Não","",IF(Q951+Config!$B$9&lt;=Config!$B$8,Config!$B$8-Q951,""))</f>
        <v/>
      </c>
      <c r="T951" s="26">
        <f>IF(S951="","","Sim")</f>
        <v/>
      </c>
      <c r="U951" s="41">
        <f>IF(T951="Sim",S951+ROW()/100000,0)</f>
        <v>0</v>
      </c>
      <c r="V951" s="41">
        <f>IF(AND(H951="Falta",L951=Config!$B$7,M951=Config!$B$5,COUNTIFS($E$5:E951,E951,$H$5:H951,"Falta",$L$5:L951,Config!$B$7,$M$5:M951,Config!$B$5)=1),COUNTIFS($E$5:$E$3004,E951,$H$5:$H$3004,"Falta",$L$5:$L$3004,Config!$B$7,$M$5:$M$3004,Config!$B$5)*1000-ROW()/100000,0)</f>
        <v>0</v>
      </c>
    </row>
    <row r="952">
      <c r="A952" s="39" t="n">
        <v>46268</v>
      </c>
      <c r="B952" s="40" t="n">
        <v>0.6666666666666666</v>
      </c>
      <c r="C952" s="35" t="inlineStr">
        <is>
          <t>Dra. Renata Sousa</t>
        </is>
      </c>
      <c r="D952" s="35" t="inlineStr">
        <is>
          <t>Sala 1</t>
        </is>
      </c>
      <c r="E952" s="34" t="inlineStr">
        <is>
          <t>Rafael Pereira</t>
        </is>
      </c>
      <c r="F952" s="35" t="inlineStr">
        <is>
          <t>Particular</t>
        </is>
      </c>
      <c r="G952" s="35" t="inlineStr">
        <is>
          <t>Avaliação endócrina</t>
        </is>
      </c>
      <c r="H952" s="35" t="inlineStr">
        <is>
          <t>Realizado</t>
        </is>
      </c>
      <c r="I952" s="35" t="inlineStr">
        <is>
          <t>Cartão de crédito</t>
        </is>
      </c>
      <c r="J952" s="35" t="n">
        <v>2</v>
      </c>
      <c r="K952" s="34" t="n"/>
      <c r="L952" s="26">
        <f>IF(A952="","",MONTH(A952))</f>
        <v>9</v>
      </c>
      <c r="M952" s="26">
        <f>IF(A952="","",YEAR(A952))</f>
        <v>2026</v>
      </c>
      <c r="N952" s="26" t="str">
        <f>IF(A952="","",CHOOSE(WEEKDAY(A952,2),"Segunda","Terça","Quarta","Quinta","Sexta","Sábado","Domingo"))</f>
        <v>Quinta</v>
      </c>
      <c r="O952" s="26" t="str">
        <f>IF(B952="","",IF(B952&lt;TIME(12,0,0),"Manhã",IF(B952&lt;TIME(18,0,0),"Tarde","Noite")))</f>
        <v>Tarde</v>
      </c>
      <c r="P952" s="32">
        <f>IF(G952="","",IFERROR(INDEX(Config!$I$5:$I$16,MATCH(G952,Config!$H$5:$H$16,0)),0))</f>
        <v>45</v>
      </c>
      <c r="Q952" s="30">
        <f>IF(OR(H952&lt;&gt;"Realizado",P952="",P952=0),"",A952+P952)</f>
        <v>46313.0</v>
      </c>
      <c r="R952" s="26" t="str">
        <f>IF(Q952="","",IF(COUNTIFS($E$5:$E$3004,E952,$A$5:$A$3004,"&gt;"&amp;A952,$H$5:$H$3004,"&lt;&gt;Falta",$H$5:$H$3004,"&lt;&gt;Cancelado",$H$5:$H$3004,"&lt;&gt;Remarcado")&gt;0,"Sim","Não"))</f>
        <v>Não</v>
      </c>
      <c r="S952" s="32">
        <f>IF(R952&lt;&gt;"Não","",IF(Q952+Config!$B$9&lt;=Config!$B$8,Config!$B$8-Q952,""))</f>
        <v/>
      </c>
      <c r="T952" s="26">
        <f>IF(S952="","","Sim")</f>
        <v/>
      </c>
      <c r="U952" s="41">
        <f>IF(T952="Sim",S952+ROW()/100000,0)</f>
        <v>0</v>
      </c>
      <c r="V952" s="41">
        <f>IF(AND(H952="Falta",L952=Config!$B$7,M952=Config!$B$5,COUNTIFS($E$5:E952,E952,$H$5:H952,"Falta",$L$5:L952,Config!$B$7,$M$5:M952,Config!$B$5)=1),COUNTIFS($E$5:$E$3004,E952,$H$5:$H$3004,"Falta",$L$5:$L$3004,Config!$B$7,$M$5:$M$3004,Config!$B$5)*1000-ROW()/100000,0)</f>
        <v>0</v>
      </c>
    </row>
    <row r="953">
      <c r="A953" s="39" t="n">
        <v>46268</v>
      </c>
      <c r="B953" s="40" t="n">
        <v>0.6666666666666666</v>
      </c>
      <c r="C953" s="35" t="inlineStr">
        <is>
          <t>Dr. Paulo Andrade</t>
        </is>
      </c>
      <c r="D953" s="35" t="inlineStr">
        <is>
          <t>Sala 2</t>
        </is>
      </c>
      <c r="E953" s="34" t="inlineStr">
        <is>
          <t>Isabela Pinto</t>
        </is>
      </c>
      <c r="F953" s="35" t="inlineStr">
        <is>
          <t>Saúde Total</t>
        </is>
      </c>
      <c r="G953" s="35" t="inlineStr">
        <is>
          <t>ECG</t>
        </is>
      </c>
      <c r="H953" s="35" t="inlineStr">
        <is>
          <t>Realizado</t>
        </is>
      </c>
      <c r="I953" s="35" t="inlineStr">
        <is>
          <t>Convênio</t>
        </is>
      </c>
      <c r="J953" s="35" t="n"/>
      <c r="K953" s="34" t="n"/>
      <c r="L953" s="26">
        <f>IF(A953="","",MONTH(A953))</f>
        <v>9</v>
      </c>
      <c r="M953" s="26">
        <f>IF(A953="","",YEAR(A953))</f>
        <v>2026</v>
      </c>
      <c r="N953" s="26" t="str">
        <f>IF(A953="","",CHOOSE(WEEKDAY(A953,2),"Segunda","Terça","Quarta","Quinta","Sexta","Sábado","Domingo"))</f>
        <v>Quinta</v>
      </c>
      <c r="O953" s="26" t="str">
        <f>IF(B953="","",IF(B953&lt;TIME(12,0,0),"Manhã",IF(B953&lt;TIME(18,0,0),"Tarde","Noite")))</f>
        <v>Tarde</v>
      </c>
      <c r="P953" s="32">
        <f>IF(G953="","",IFERROR(INDEX(Config!$I$5:$I$16,MATCH(G953,Config!$H$5:$H$16,0)),0))</f>
        <v>0</v>
      </c>
      <c r="Q953" s="30">
        <f>IF(OR(H953&lt;&gt;"Realizado",P953="",P953=0),"",A953+P953)</f>
        <v/>
      </c>
      <c r="R953" s="26">
        <f>IF(Q953="","",IF(COUNTIFS($E$5:$E$3004,E953,$A$5:$A$3004,"&gt;"&amp;A953,$H$5:$H$3004,"&lt;&gt;Falta",$H$5:$H$3004,"&lt;&gt;Cancelado",$H$5:$H$3004,"&lt;&gt;Remarcado")&gt;0,"Sim","Não"))</f>
        <v/>
      </c>
      <c r="S953" s="32">
        <f>IF(R953&lt;&gt;"Não","",IF(Q953+Config!$B$9&lt;=Config!$B$8,Config!$B$8-Q953,""))</f>
        <v/>
      </c>
      <c r="T953" s="26">
        <f>IF(S953="","","Sim")</f>
        <v/>
      </c>
      <c r="U953" s="41">
        <f>IF(T953="Sim",S953+ROW()/100000,0)</f>
        <v>0</v>
      </c>
      <c r="V953" s="41">
        <f>IF(AND(H953="Falta",L953=Config!$B$7,M953=Config!$B$5,COUNTIFS($E$5:E953,E953,$H$5:H953,"Falta",$L$5:L953,Config!$B$7,$M$5:M953,Config!$B$5)=1),COUNTIFS($E$5:$E$3004,E953,$H$5:$H$3004,"Falta",$L$5:$L$3004,Config!$B$7,$M$5:$M$3004,Config!$B$5)*1000-ROW()/100000,0)</f>
        <v>0</v>
      </c>
    </row>
    <row r="954">
      <c r="A954" s="39" t="n">
        <v>46268</v>
      </c>
      <c r="B954" s="40" t="n">
        <v>0.6805555555555556</v>
      </c>
      <c r="C954" s="35" t="inlineStr">
        <is>
          <t>Dr. Paulo Andrade</t>
        </is>
      </c>
      <c r="D954" s="35" t="inlineStr">
        <is>
          <t>Sala 2</t>
        </is>
      </c>
      <c r="E954" s="34" t="inlineStr">
        <is>
          <t>Rafael Barros</t>
        </is>
      </c>
      <c r="F954" s="35" t="inlineStr">
        <is>
          <t>Particular</t>
        </is>
      </c>
      <c r="G954" s="35" t="inlineStr">
        <is>
          <t>Teste ergométrico</t>
        </is>
      </c>
      <c r="H954" s="35" t="inlineStr">
        <is>
          <t>Realizado</t>
        </is>
      </c>
      <c r="I954" s="35" t="inlineStr">
        <is>
          <t>Cartão de débito</t>
        </is>
      </c>
      <c r="J954" s="35" t="n"/>
      <c r="K954" s="34" t="n"/>
      <c r="L954" s="26">
        <f>IF(A954="","",MONTH(A954))</f>
        <v>9</v>
      </c>
      <c r="M954" s="26">
        <f>IF(A954="","",YEAR(A954))</f>
        <v>2026</v>
      </c>
      <c r="N954" s="26" t="str">
        <f>IF(A954="","",CHOOSE(WEEKDAY(A954,2),"Segunda","Terça","Quarta","Quinta","Sexta","Sábado","Domingo"))</f>
        <v>Quinta</v>
      </c>
      <c r="O954" s="26" t="str">
        <f>IF(B954="","",IF(B954&lt;TIME(12,0,0),"Manhã",IF(B954&lt;TIME(18,0,0),"Tarde","Noite")))</f>
        <v>Tarde</v>
      </c>
      <c r="P954" s="32">
        <f>IF(G954="","",IFERROR(INDEX(Config!$I$5:$I$16,MATCH(G954,Config!$H$5:$H$16,0)),0))</f>
        <v>0</v>
      </c>
      <c r="Q954" s="30">
        <f>IF(OR(H954&lt;&gt;"Realizado",P954="",P954=0),"",A954+P954)</f>
        <v/>
      </c>
      <c r="R954" s="26">
        <f>IF(Q954="","",IF(COUNTIFS($E$5:$E$3004,E954,$A$5:$A$3004,"&gt;"&amp;A954,$H$5:$H$3004,"&lt;&gt;Falta",$H$5:$H$3004,"&lt;&gt;Cancelado",$H$5:$H$3004,"&lt;&gt;Remarcado")&gt;0,"Sim","Não"))</f>
        <v/>
      </c>
      <c r="S954" s="32">
        <f>IF(R954&lt;&gt;"Não","",IF(Q954+Config!$B$9&lt;=Config!$B$8,Config!$B$8-Q954,""))</f>
        <v/>
      </c>
      <c r="T954" s="26">
        <f>IF(S954="","","Sim")</f>
        <v/>
      </c>
      <c r="U954" s="41">
        <f>IF(T954="Sim",S954+ROW()/100000,0)</f>
        <v>0</v>
      </c>
      <c r="V954" s="41">
        <f>IF(AND(H954="Falta",L954=Config!$B$7,M954=Config!$B$5,COUNTIFS($E$5:E954,E954,$H$5:H954,"Falta",$L$5:L954,Config!$B$7,$M$5:M954,Config!$B$5)=1),COUNTIFS($E$5:$E$3004,E954,$H$5:$H$3004,"Falta",$L$5:$L$3004,Config!$B$7,$M$5:$M$3004,Config!$B$5)*1000-ROW()/100000,0)</f>
        <v>0</v>
      </c>
    </row>
    <row r="955">
      <c r="A955" s="39" t="n">
        <v>46268</v>
      </c>
      <c r="B955" s="40" t="n">
        <v>0.6944444444444444</v>
      </c>
      <c r="C955" s="35" t="inlineStr">
        <is>
          <t>Dra. Renata Sousa</t>
        </is>
      </c>
      <c r="D955" s="35" t="inlineStr">
        <is>
          <t>Sala 1</t>
        </is>
      </c>
      <c r="E955" s="34" t="inlineStr">
        <is>
          <t>Tatiana Macedo</t>
        </is>
      </c>
      <c r="F955" s="35" t="inlineStr">
        <is>
          <t>Particular</t>
        </is>
      </c>
      <c r="G955" s="35" t="inlineStr">
        <is>
          <t>Avaliação endócrina</t>
        </is>
      </c>
      <c r="H955" s="35" t="inlineStr">
        <is>
          <t>Realizado</t>
        </is>
      </c>
      <c r="I955" s="35" t="inlineStr">
        <is>
          <t>Pix</t>
        </is>
      </c>
      <c r="J955" s="35" t="n"/>
      <c r="K955" s="34" t="n"/>
      <c r="L955" s="26">
        <f>IF(A955="","",MONTH(A955))</f>
        <v>9</v>
      </c>
      <c r="M955" s="26">
        <f>IF(A955="","",YEAR(A955))</f>
        <v>2026</v>
      </c>
      <c r="N955" s="26" t="str">
        <f>IF(A955="","",CHOOSE(WEEKDAY(A955,2),"Segunda","Terça","Quarta","Quinta","Sexta","Sábado","Domingo"))</f>
        <v>Quinta</v>
      </c>
      <c r="O955" s="26" t="str">
        <f>IF(B955="","",IF(B955&lt;TIME(12,0,0),"Manhã",IF(B955&lt;TIME(18,0,0),"Tarde","Noite")))</f>
        <v>Tarde</v>
      </c>
      <c r="P955" s="32">
        <f>IF(G955="","",IFERROR(INDEX(Config!$I$5:$I$16,MATCH(G955,Config!$H$5:$H$16,0)),0))</f>
        <v>45</v>
      </c>
      <c r="Q955" s="30">
        <f>IF(OR(H955&lt;&gt;"Realizado",P955="",P955=0),"",A955+P955)</f>
        <v>46313.0</v>
      </c>
      <c r="R955" s="26" t="str">
        <f>IF(Q955="","",IF(COUNTIFS($E$5:$E$3004,E955,$A$5:$A$3004,"&gt;"&amp;A955,$H$5:$H$3004,"&lt;&gt;Falta",$H$5:$H$3004,"&lt;&gt;Cancelado",$H$5:$H$3004,"&lt;&gt;Remarcado")&gt;0,"Sim","Não"))</f>
        <v>Sim</v>
      </c>
      <c r="S955" s="32">
        <f>IF(R955&lt;&gt;"Não","",IF(Q955+Config!$B$9&lt;=Config!$B$8,Config!$B$8-Q955,""))</f>
        <v/>
      </c>
      <c r="T955" s="26">
        <f>IF(S955="","","Sim")</f>
        <v/>
      </c>
      <c r="U955" s="41">
        <f>IF(T955="Sim",S955+ROW()/100000,0)</f>
        <v>0</v>
      </c>
      <c r="V955" s="41">
        <f>IF(AND(H955="Falta",L955=Config!$B$7,M955=Config!$B$5,COUNTIFS($E$5:E955,E955,$H$5:H955,"Falta",$L$5:L955,Config!$B$7,$M$5:M955,Config!$B$5)=1),COUNTIFS($E$5:$E$3004,E955,$H$5:$H$3004,"Falta",$L$5:$L$3004,Config!$B$7,$M$5:$M$3004,Config!$B$5)*1000-ROW()/100000,0)</f>
        <v>0</v>
      </c>
    </row>
    <row r="956">
      <c r="A956" s="39" t="n">
        <v>46268</v>
      </c>
      <c r="B956" s="40" t="n">
        <v>0.7083333333333334</v>
      </c>
      <c r="C956" s="35" t="inlineStr">
        <is>
          <t>Dr. Paulo Andrade</t>
        </is>
      </c>
      <c r="D956" s="35" t="inlineStr">
        <is>
          <t>Sala 2</t>
        </is>
      </c>
      <c r="E956" s="34" t="inlineStr">
        <is>
          <t>Fábio Correia</t>
        </is>
      </c>
      <c r="F956" s="35" t="inlineStr">
        <is>
          <t>Particular</t>
        </is>
      </c>
      <c r="G956" s="35" t="inlineStr">
        <is>
          <t>Retorno</t>
        </is>
      </c>
      <c r="H956" s="35" t="inlineStr">
        <is>
          <t>Realizado</t>
        </is>
      </c>
      <c r="I956" s="35" t="inlineStr">
        <is>
          <t>Sem cobrança</t>
        </is>
      </c>
      <c r="J956" s="35" t="n"/>
      <c r="K956" s="34" t="n"/>
      <c r="L956" s="26">
        <f>IF(A956="","",MONTH(A956))</f>
        <v>9</v>
      </c>
      <c r="M956" s="26">
        <f>IF(A956="","",YEAR(A956))</f>
        <v>2026</v>
      </c>
      <c r="N956" s="26" t="str">
        <f>IF(A956="","",CHOOSE(WEEKDAY(A956,2),"Segunda","Terça","Quarta","Quinta","Sexta","Sábado","Domingo"))</f>
        <v>Quinta</v>
      </c>
      <c r="O956" s="26" t="str">
        <f>IF(B956="","",IF(B956&lt;TIME(12,0,0),"Manhã",IF(B956&lt;TIME(18,0,0),"Tarde","Noite")))</f>
        <v>Tarde</v>
      </c>
      <c r="P956" s="32">
        <f>IF(G956="","",IFERROR(INDEX(Config!$I$5:$I$16,MATCH(G956,Config!$H$5:$H$16,0)),0))</f>
        <v>0</v>
      </c>
      <c r="Q956" s="30">
        <f>IF(OR(H956&lt;&gt;"Realizado",P956="",P956=0),"",A956+P956)</f>
        <v/>
      </c>
      <c r="R956" s="26">
        <f>IF(Q956="","",IF(COUNTIFS($E$5:$E$3004,E956,$A$5:$A$3004,"&gt;"&amp;A956,$H$5:$H$3004,"&lt;&gt;Falta",$H$5:$H$3004,"&lt;&gt;Cancelado",$H$5:$H$3004,"&lt;&gt;Remarcado")&gt;0,"Sim","Não"))</f>
        <v/>
      </c>
      <c r="S956" s="32">
        <f>IF(R956&lt;&gt;"Não","",IF(Q956+Config!$B$9&lt;=Config!$B$8,Config!$B$8-Q956,""))</f>
        <v/>
      </c>
      <c r="T956" s="26">
        <f>IF(S956="","","Sim")</f>
        <v/>
      </c>
      <c r="U956" s="41">
        <f>IF(T956="Sim",S956+ROW()/100000,0)</f>
        <v>0</v>
      </c>
      <c r="V956" s="41">
        <f>IF(AND(H956="Falta",L956=Config!$B$7,M956=Config!$B$5,COUNTIFS($E$5:E956,E956,$H$5:H956,"Falta",$L$5:L956,Config!$B$7,$M$5:M956,Config!$B$5)=1),COUNTIFS($E$5:$E$3004,E956,$H$5:$H$3004,"Falta",$L$5:$L$3004,Config!$B$7,$M$5:$M$3004,Config!$B$5)*1000-ROW()/100000,0)</f>
        <v>0</v>
      </c>
    </row>
    <row r="957">
      <c r="A957" s="39" t="n">
        <v>46268</v>
      </c>
      <c r="B957" s="40" t="n">
        <v>0.7222222222222222</v>
      </c>
      <c r="C957" s="35" t="inlineStr">
        <is>
          <t>Dra. Renata Sousa</t>
        </is>
      </c>
      <c r="D957" s="35" t="inlineStr">
        <is>
          <t>Sala 1</t>
        </is>
      </c>
      <c r="E957" s="34" t="inlineStr">
        <is>
          <t>Mônica Almeida</t>
        </is>
      </c>
      <c r="F957" s="35" t="inlineStr">
        <is>
          <t>Particular</t>
        </is>
      </c>
      <c r="G957" s="35" t="inlineStr">
        <is>
          <t>Avaliação endócrina</t>
        </is>
      </c>
      <c r="H957" s="35" t="inlineStr">
        <is>
          <t>Realizado</t>
        </is>
      </c>
      <c r="I957" s="35" t="inlineStr">
        <is>
          <t>Pix</t>
        </is>
      </c>
      <c r="J957" s="35" t="n"/>
      <c r="K957" s="34" t="n"/>
      <c r="L957" s="26">
        <f>IF(A957="","",MONTH(A957))</f>
        <v>9</v>
      </c>
      <c r="M957" s="26">
        <f>IF(A957="","",YEAR(A957))</f>
        <v>2026</v>
      </c>
      <c r="N957" s="26" t="str">
        <f>IF(A957="","",CHOOSE(WEEKDAY(A957,2),"Segunda","Terça","Quarta","Quinta","Sexta","Sábado","Domingo"))</f>
        <v>Quinta</v>
      </c>
      <c r="O957" s="26" t="str">
        <f>IF(B957="","",IF(B957&lt;TIME(12,0,0),"Manhã",IF(B957&lt;TIME(18,0,0),"Tarde","Noite")))</f>
        <v>Tarde</v>
      </c>
      <c r="P957" s="32">
        <f>IF(G957="","",IFERROR(INDEX(Config!$I$5:$I$16,MATCH(G957,Config!$H$5:$H$16,0)),0))</f>
        <v>45</v>
      </c>
      <c r="Q957" s="30">
        <f>IF(OR(H957&lt;&gt;"Realizado",P957="",P957=0),"",A957+P957)</f>
        <v>46313.0</v>
      </c>
      <c r="R957" s="26" t="str">
        <f>IF(Q957="","",IF(COUNTIFS($E$5:$E$3004,E957,$A$5:$A$3004,"&gt;"&amp;A957,$H$5:$H$3004,"&lt;&gt;Falta",$H$5:$H$3004,"&lt;&gt;Cancelado",$H$5:$H$3004,"&lt;&gt;Remarcado")&gt;0,"Sim","Não"))</f>
        <v>Sim</v>
      </c>
      <c r="S957" s="32">
        <f>IF(R957&lt;&gt;"Não","",IF(Q957+Config!$B$9&lt;=Config!$B$8,Config!$B$8-Q957,""))</f>
        <v/>
      </c>
      <c r="T957" s="26">
        <f>IF(S957="","","Sim")</f>
        <v/>
      </c>
      <c r="U957" s="41">
        <f>IF(T957="Sim",S957+ROW()/100000,0)</f>
        <v>0</v>
      </c>
      <c r="V957" s="41">
        <f>IF(AND(H957="Falta",L957=Config!$B$7,M957=Config!$B$5,COUNTIFS($E$5:E957,E957,$H$5:H957,"Falta",$L$5:L957,Config!$B$7,$M$5:M957,Config!$B$5)=1),COUNTIFS($E$5:$E$3004,E957,$H$5:$H$3004,"Falta",$L$5:$L$3004,Config!$B$7,$M$5:$M$3004,Config!$B$5)*1000-ROW()/100000,0)</f>
        <v>0</v>
      </c>
    </row>
    <row r="958">
      <c r="A958" s="39" t="n">
        <v>46269</v>
      </c>
      <c r="B958" s="40" t="n">
        <v>0.3333333333333333</v>
      </c>
      <c r="C958" s="35" t="inlineStr">
        <is>
          <t>Dr. Paulo Andrade</t>
        </is>
      </c>
      <c r="D958" s="35" t="inlineStr">
        <is>
          <t>Sala 2</t>
        </is>
      </c>
      <c r="E958" s="34" t="inlineStr">
        <is>
          <t>Eduardo Nunes</t>
        </is>
      </c>
      <c r="F958" s="35" t="inlineStr">
        <is>
          <t>MediPlan</t>
        </is>
      </c>
      <c r="G958" s="35" t="inlineStr">
        <is>
          <t>MAPA</t>
        </is>
      </c>
      <c r="H958" s="35" t="inlineStr">
        <is>
          <t>Realizado</t>
        </is>
      </c>
      <c r="I958" s="35" t="inlineStr">
        <is>
          <t>Convênio</t>
        </is>
      </c>
      <c r="J958" s="35" t="n"/>
      <c r="K958" s="34" t="n"/>
      <c r="L958" s="26">
        <f>IF(A958="","",MONTH(A958))</f>
        <v>9</v>
      </c>
      <c r="M958" s="26">
        <f>IF(A958="","",YEAR(A958))</f>
        <v>2026</v>
      </c>
      <c r="N958" s="26" t="str">
        <f>IF(A958="","",CHOOSE(WEEKDAY(A958,2),"Segunda","Terça","Quarta","Quinta","Sexta","Sábado","Domingo"))</f>
        <v>Sexta</v>
      </c>
      <c r="O958" s="26" t="str">
        <f>IF(B958="","",IF(B958&lt;TIME(12,0,0),"Manhã",IF(B958&lt;TIME(18,0,0),"Tarde","Noite")))</f>
        <v>Manhã</v>
      </c>
      <c r="P958" s="32">
        <f>IF(G958="","",IFERROR(INDEX(Config!$I$5:$I$16,MATCH(G958,Config!$H$5:$H$16,0)),0))</f>
        <v>0</v>
      </c>
      <c r="Q958" s="30">
        <f>IF(OR(H958&lt;&gt;"Realizado",P958="",P958=0),"",A958+P958)</f>
        <v/>
      </c>
      <c r="R958" s="26">
        <f>IF(Q958="","",IF(COUNTIFS($E$5:$E$3004,E958,$A$5:$A$3004,"&gt;"&amp;A958,$H$5:$H$3004,"&lt;&gt;Falta",$H$5:$H$3004,"&lt;&gt;Cancelado",$H$5:$H$3004,"&lt;&gt;Remarcado")&gt;0,"Sim","Não"))</f>
        <v/>
      </c>
      <c r="S958" s="32">
        <f>IF(R958&lt;&gt;"Não","",IF(Q958+Config!$B$9&lt;=Config!$B$8,Config!$B$8-Q958,""))</f>
        <v/>
      </c>
      <c r="T958" s="26">
        <f>IF(S958="","","Sim")</f>
        <v/>
      </c>
      <c r="U958" s="41">
        <f>IF(T958="Sim",S958+ROW()/100000,0)</f>
        <v>0</v>
      </c>
      <c r="V958" s="41">
        <f>IF(AND(H958="Falta",L958=Config!$B$7,M958=Config!$B$5,COUNTIFS($E$5:E958,E958,$H$5:H958,"Falta",$L$5:L958,Config!$B$7,$M$5:M958,Config!$B$5)=1),COUNTIFS($E$5:$E$3004,E958,$H$5:$H$3004,"Falta",$L$5:$L$3004,Config!$B$7,$M$5:$M$3004,Config!$B$5)*1000-ROW()/100000,0)</f>
        <v>0</v>
      </c>
    </row>
    <row r="959">
      <c r="A959" s="39" t="n">
        <v>46269</v>
      </c>
      <c r="B959" s="40" t="n">
        <v>0.3472222222222222</v>
      </c>
      <c r="C959" s="35" t="inlineStr">
        <is>
          <t>Dr. Paulo Andrade</t>
        </is>
      </c>
      <c r="D959" s="35" t="inlineStr">
        <is>
          <t>Sala 2</t>
        </is>
      </c>
      <c r="E959" s="34" t="inlineStr">
        <is>
          <t>Camila Batista</t>
        </is>
      </c>
      <c r="F959" s="35" t="inlineStr">
        <is>
          <t>MediPlan</t>
        </is>
      </c>
      <c r="G959" s="35" t="inlineStr">
        <is>
          <t>Teste ergométrico</t>
        </is>
      </c>
      <c r="H959" s="35" t="inlineStr">
        <is>
          <t>Realizado</t>
        </is>
      </c>
      <c r="I959" s="35" t="inlineStr">
        <is>
          <t>Convênio</t>
        </is>
      </c>
      <c r="J959" s="35" t="n"/>
      <c r="K959" s="34" t="n"/>
      <c r="L959" s="26">
        <f>IF(A959="","",MONTH(A959))</f>
        <v>9</v>
      </c>
      <c r="M959" s="26">
        <f>IF(A959="","",YEAR(A959))</f>
        <v>2026</v>
      </c>
      <c r="N959" s="26" t="str">
        <f>IF(A959="","",CHOOSE(WEEKDAY(A959,2),"Segunda","Terça","Quarta","Quinta","Sexta","Sábado","Domingo"))</f>
        <v>Sexta</v>
      </c>
      <c r="O959" s="26" t="str">
        <f>IF(B959="","",IF(B959&lt;TIME(12,0,0),"Manhã",IF(B959&lt;TIME(18,0,0),"Tarde","Noite")))</f>
        <v>Manhã</v>
      </c>
      <c r="P959" s="32">
        <f>IF(G959="","",IFERROR(INDEX(Config!$I$5:$I$16,MATCH(G959,Config!$H$5:$H$16,0)),0))</f>
        <v>0</v>
      </c>
      <c r="Q959" s="30">
        <f>IF(OR(H959&lt;&gt;"Realizado",P959="",P959=0),"",A959+P959)</f>
        <v/>
      </c>
      <c r="R959" s="26">
        <f>IF(Q959="","",IF(COUNTIFS($E$5:$E$3004,E959,$A$5:$A$3004,"&gt;"&amp;A959,$H$5:$H$3004,"&lt;&gt;Falta",$H$5:$H$3004,"&lt;&gt;Cancelado",$H$5:$H$3004,"&lt;&gt;Remarcado")&gt;0,"Sim","Não"))</f>
        <v/>
      </c>
      <c r="S959" s="32">
        <f>IF(R959&lt;&gt;"Não","",IF(Q959+Config!$B$9&lt;=Config!$B$8,Config!$B$8-Q959,""))</f>
        <v/>
      </c>
      <c r="T959" s="26">
        <f>IF(S959="","","Sim")</f>
        <v/>
      </c>
      <c r="U959" s="41">
        <f>IF(T959="Sim",S959+ROW()/100000,0)</f>
        <v>0</v>
      </c>
      <c r="V959" s="41">
        <f>IF(AND(H959="Falta",L959=Config!$B$7,M959=Config!$B$5,COUNTIFS($E$5:E959,E959,$H$5:H959,"Falta",$L$5:L959,Config!$B$7,$M$5:M959,Config!$B$5)=1),COUNTIFS($E$5:$E$3004,E959,$H$5:$H$3004,"Falta",$L$5:$L$3004,Config!$B$7,$M$5:$M$3004,Config!$B$5)*1000-ROW()/100000,0)</f>
        <v>0</v>
      </c>
    </row>
    <row r="960">
      <c r="A960" s="39" t="n">
        <v>46269</v>
      </c>
      <c r="B960" s="40" t="n">
        <v>0.375</v>
      </c>
      <c r="C960" s="35" t="inlineStr">
        <is>
          <t>Dr. Paulo Andrade</t>
        </is>
      </c>
      <c r="D960" s="35" t="inlineStr">
        <is>
          <t>Sala 2</t>
        </is>
      </c>
      <c r="E960" s="34" t="inlineStr">
        <is>
          <t>Ricardo Melo</t>
        </is>
      </c>
      <c r="F960" s="35" t="inlineStr">
        <is>
          <t>Saúde Total</t>
        </is>
      </c>
      <c r="G960" s="35" t="inlineStr">
        <is>
          <t>Holter</t>
        </is>
      </c>
      <c r="H960" s="35" t="inlineStr">
        <is>
          <t>Falta</t>
        </is>
      </c>
      <c r="I960" s="35" t="n"/>
      <c r="J960" s="35" t="n"/>
      <c r="K960" s="34" t="n"/>
      <c r="L960" s="26">
        <f>IF(A960="","",MONTH(A960))</f>
        <v>9</v>
      </c>
      <c r="M960" s="26">
        <f>IF(A960="","",YEAR(A960))</f>
        <v>2026</v>
      </c>
      <c r="N960" s="26" t="str">
        <f>IF(A960="","",CHOOSE(WEEKDAY(A960,2),"Segunda","Terça","Quarta","Quinta","Sexta","Sábado","Domingo"))</f>
        <v>Sexta</v>
      </c>
      <c r="O960" s="26" t="str">
        <f>IF(B960="","",IF(B960&lt;TIME(12,0,0),"Manhã",IF(B960&lt;TIME(18,0,0),"Tarde","Noite")))</f>
        <v>Manhã</v>
      </c>
      <c r="P960" s="32">
        <f>IF(G960="","",IFERROR(INDEX(Config!$I$5:$I$16,MATCH(G960,Config!$H$5:$H$16,0)),0))</f>
        <v>0</v>
      </c>
      <c r="Q960" s="30">
        <f>IF(OR(H960&lt;&gt;"Realizado",P960="",P960=0),"",A960+P960)</f>
        <v/>
      </c>
      <c r="R960" s="26">
        <f>IF(Q960="","",IF(COUNTIFS($E$5:$E$3004,E960,$A$5:$A$3004,"&gt;"&amp;A960,$H$5:$H$3004,"&lt;&gt;Falta",$H$5:$H$3004,"&lt;&gt;Cancelado",$H$5:$H$3004,"&lt;&gt;Remarcado")&gt;0,"Sim","Não"))</f>
        <v/>
      </c>
      <c r="S960" s="32">
        <f>IF(R960&lt;&gt;"Não","",IF(Q960+Config!$B$9&lt;=Config!$B$8,Config!$B$8-Q960,""))</f>
        <v/>
      </c>
      <c r="T960" s="26">
        <f>IF(S960="","","Sim")</f>
        <v/>
      </c>
      <c r="U960" s="41">
        <f>IF(T960="Sim",S960+ROW()/100000,0)</f>
        <v>0</v>
      </c>
      <c r="V960" s="41">
        <f>IF(AND(H960="Falta",L960=Config!$B$7,M960=Config!$B$5,COUNTIFS($E$5:E960,E960,$H$5:H960,"Falta",$L$5:L960,Config!$B$7,$M$5:M960,Config!$B$5)=1),COUNTIFS($E$5:$E$3004,E960,$H$5:$H$3004,"Falta",$L$5:$L$3004,Config!$B$7,$M$5:$M$3004,Config!$B$5)*1000-ROW()/100000,0)</f>
        <v>999.9904</v>
      </c>
    </row>
    <row r="961">
      <c r="A961" s="39" t="n">
        <v>46269</v>
      </c>
      <c r="B961" s="40" t="n">
        <v>0.3888888888888889</v>
      </c>
      <c r="C961" s="35" t="inlineStr">
        <is>
          <t>Dr. Paulo Andrade</t>
        </is>
      </c>
      <c r="D961" s="35" t="inlineStr">
        <is>
          <t>Sala 2</t>
        </is>
      </c>
      <c r="E961" s="34" t="inlineStr">
        <is>
          <t>Wagner Costa</t>
        </is>
      </c>
      <c r="F961" s="35" t="inlineStr">
        <is>
          <t>Particular</t>
        </is>
      </c>
      <c r="G961" s="35" t="inlineStr">
        <is>
          <t>Retorno</t>
        </is>
      </c>
      <c r="H961" s="35" t="inlineStr">
        <is>
          <t>Realizado</t>
        </is>
      </c>
      <c r="I961" s="35" t="inlineStr">
        <is>
          <t>Sem cobrança</t>
        </is>
      </c>
      <c r="J961" s="35" t="n"/>
      <c r="K961" s="34" t="n"/>
      <c r="L961" s="26">
        <f>IF(A961="","",MONTH(A961))</f>
        <v>9</v>
      </c>
      <c r="M961" s="26">
        <f>IF(A961="","",YEAR(A961))</f>
        <v>2026</v>
      </c>
      <c r="N961" s="26" t="str">
        <f>IF(A961="","",CHOOSE(WEEKDAY(A961,2),"Segunda","Terça","Quarta","Quinta","Sexta","Sábado","Domingo"))</f>
        <v>Sexta</v>
      </c>
      <c r="O961" s="26" t="str">
        <f>IF(B961="","",IF(B961&lt;TIME(12,0,0),"Manhã",IF(B961&lt;TIME(18,0,0),"Tarde","Noite")))</f>
        <v>Manhã</v>
      </c>
      <c r="P961" s="32">
        <f>IF(G961="","",IFERROR(INDEX(Config!$I$5:$I$16,MATCH(G961,Config!$H$5:$H$16,0)),0))</f>
        <v>0</v>
      </c>
      <c r="Q961" s="30">
        <f>IF(OR(H961&lt;&gt;"Realizado",P961="",P961=0),"",A961+P961)</f>
        <v/>
      </c>
      <c r="R961" s="26">
        <f>IF(Q961="","",IF(COUNTIFS($E$5:$E$3004,E961,$A$5:$A$3004,"&gt;"&amp;A961,$H$5:$H$3004,"&lt;&gt;Falta",$H$5:$H$3004,"&lt;&gt;Cancelado",$H$5:$H$3004,"&lt;&gt;Remarcado")&gt;0,"Sim","Não"))</f>
        <v/>
      </c>
      <c r="S961" s="32">
        <f>IF(R961&lt;&gt;"Não","",IF(Q961+Config!$B$9&lt;=Config!$B$8,Config!$B$8-Q961,""))</f>
        <v/>
      </c>
      <c r="T961" s="26">
        <f>IF(S961="","","Sim")</f>
        <v/>
      </c>
      <c r="U961" s="41">
        <f>IF(T961="Sim",S961+ROW()/100000,0)</f>
        <v>0</v>
      </c>
      <c r="V961" s="41">
        <f>IF(AND(H961="Falta",L961=Config!$B$7,M961=Config!$B$5,COUNTIFS($E$5:E961,E961,$H$5:H961,"Falta",$L$5:L961,Config!$B$7,$M$5:M961,Config!$B$5)=1),COUNTIFS($E$5:$E$3004,E961,$H$5:$H$3004,"Falta",$L$5:$L$3004,Config!$B$7,$M$5:$M$3004,Config!$B$5)*1000-ROW()/100000,0)</f>
        <v>0</v>
      </c>
    </row>
    <row r="962">
      <c r="A962" s="39" t="n">
        <v>46269</v>
      </c>
      <c r="B962" s="40" t="n">
        <v>0.4027777777777778</v>
      </c>
      <c r="C962" s="35" t="inlineStr">
        <is>
          <t>Dr. Paulo Andrade</t>
        </is>
      </c>
      <c r="D962" s="35" t="inlineStr">
        <is>
          <t>Sala 2</t>
        </is>
      </c>
      <c r="E962" s="34" t="inlineStr">
        <is>
          <t>Vanessa Carvalho</t>
        </is>
      </c>
      <c r="F962" s="35" t="inlineStr">
        <is>
          <t>Saúde Total</t>
        </is>
      </c>
      <c r="G962" s="35" t="inlineStr">
        <is>
          <t>Consulta</t>
        </is>
      </c>
      <c r="H962" s="35" t="inlineStr">
        <is>
          <t>Realizado</t>
        </is>
      </c>
      <c r="I962" s="35" t="inlineStr">
        <is>
          <t>Convênio</t>
        </is>
      </c>
      <c r="J962" s="35" t="n"/>
      <c r="K962" s="34" t="n"/>
      <c r="L962" s="26">
        <f>IF(A962="","",MONTH(A962))</f>
        <v>9</v>
      </c>
      <c r="M962" s="26">
        <f>IF(A962="","",YEAR(A962))</f>
        <v>2026</v>
      </c>
      <c r="N962" s="26" t="str">
        <f>IF(A962="","",CHOOSE(WEEKDAY(A962,2),"Segunda","Terça","Quarta","Quinta","Sexta","Sábado","Domingo"))</f>
        <v>Sexta</v>
      </c>
      <c r="O962" s="26" t="str">
        <f>IF(B962="","",IF(B962&lt;TIME(12,0,0),"Manhã",IF(B962&lt;TIME(18,0,0),"Tarde","Noite")))</f>
        <v>Manhã</v>
      </c>
      <c r="P962" s="32">
        <f>IF(G962="","",IFERROR(INDEX(Config!$I$5:$I$16,MATCH(G962,Config!$H$5:$H$16,0)),0))</f>
        <v>30</v>
      </c>
      <c r="Q962" s="30">
        <f>IF(OR(H962&lt;&gt;"Realizado",P962="",P962=0),"",A962+P962)</f>
        <v>46299.0</v>
      </c>
      <c r="R962" s="26" t="str">
        <f>IF(Q962="","",IF(COUNTIFS($E$5:$E$3004,E962,$A$5:$A$3004,"&gt;"&amp;A962,$H$5:$H$3004,"&lt;&gt;Falta",$H$5:$H$3004,"&lt;&gt;Cancelado",$H$5:$H$3004,"&lt;&gt;Remarcado")&gt;0,"Sim","Não"))</f>
        <v>Sim</v>
      </c>
      <c r="S962" s="32">
        <f>IF(R962&lt;&gt;"Não","",IF(Q962+Config!$B$9&lt;=Config!$B$8,Config!$B$8-Q962,""))</f>
        <v/>
      </c>
      <c r="T962" s="26">
        <f>IF(S962="","","Sim")</f>
        <v/>
      </c>
      <c r="U962" s="41">
        <f>IF(T962="Sim",S962+ROW()/100000,0)</f>
        <v>0</v>
      </c>
      <c r="V962" s="41">
        <f>IF(AND(H962="Falta",L962=Config!$B$7,M962=Config!$B$5,COUNTIFS($E$5:E962,E962,$H$5:H962,"Falta",$L$5:L962,Config!$B$7,$M$5:M962,Config!$B$5)=1),COUNTIFS($E$5:$E$3004,E962,$H$5:$H$3004,"Falta",$L$5:$L$3004,Config!$B$7,$M$5:$M$3004,Config!$B$5)*1000-ROW()/100000,0)</f>
        <v>0</v>
      </c>
    </row>
    <row r="963">
      <c r="A963" s="39" t="n">
        <v>46269</v>
      </c>
      <c r="B963" s="40" t="n">
        <v>0.4236111111111111</v>
      </c>
      <c r="C963" s="35" t="inlineStr">
        <is>
          <t>Dr. Paulo Andrade</t>
        </is>
      </c>
      <c r="D963" s="35" t="inlineStr">
        <is>
          <t>Sala 2</t>
        </is>
      </c>
      <c r="E963" s="34" t="inlineStr">
        <is>
          <t>Gabriel Oliveira</t>
        </is>
      </c>
      <c r="F963" s="35" t="inlineStr">
        <is>
          <t>Particular</t>
        </is>
      </c>
      <c r="G963" s="35" t="inlineStr">
        <is>
          <t>Consulta</t>
        </is>
      </c>
      <c r="H963" s="35" t="inlineStr">
        <is>
          <t>Falta</t>
        </is>
      </c>
      <c r="I963" s="35" t="n"/>
      <c r="J963" s="35" t="n"/>
      <c r="K963" s="34" t="n"/>
      <c r="L963" s="26">
        <f>IF(A963="","",MONTH(A963))</f>
        <v>9</v>
      </c>
      <c r="M963" s="26">
        <f>IF(A963="","",YEAR(A963))</f>
        <v>2026</v>
      </c>
      <c r="N963" s="26" t="str">
        <f>IF(A963="","",CHOOSE(WEEKDAY(A963,2),"Segunda","Terça","Quarta","Quinta","Sexta","Sábado","Domingo"))</f>
        <v>Sexta</v>
      </c>
      <c r="O963" s="26" t="str">
        <f>IF(B963="","",IF(B963&lt;TIME(12,0,0),"Manhã",IF(B963&lt;TIME(18,0,0),"Tarde","Noite")))</f>
        <v>Manhã</v>
      </c>
      <c r="P963" s="32">
        <f>IF(G963="","",IFERROR(INDEX(Config!$I$5:$I$16,MATCH(G963,Config!$H$5:$H$16,0)),0))</f>
        <v>30</v>
      </c>
      <c r="Q963" s="30">
        <f>IF(OR(H963&lt;&gt;"Realizado",P963="",P963=0),"",A963+P963)</f>
        <v/>
      </c>
      <c r="R963" s="26">
        <f>IF(Q963="","",IF(COUNTIFS($E$5:$E$3004,E963,$A$5:$A$3004,"&gt;"&amp;A963,$H$5:$H$3004,"&lt;&gt;Falta",$H$5:$H$3004,"&lt;&gt;Cancelado",$H$5:$H$3004,"&lt;&gt;Remarcado")&gt;0,"Sim","Não"))</f>
        <v/>
      </c>
      <c r="S963" s="32">
        <f>IF(R963&lt;&gt;"Não","",IF(Q963+Config!$B$9&lt;=Config!$B$8,Config!$B$8-Q963,""))</f>
        <v/>
      </c>
      <c r="T963" s="26">
        <f>IF(S963="","","Sim")</f>
        <v/>
      </c>
      <c r="U963" s="41">
        <f>IF(T963="Sim",S963+ROW()/100000,0)</f>
        <v>0</v>
      </c>
      <c r="V963" s="41">
        <f>IF(AND(H963="Falta",L963=Config!$B$7,M963=Config!$B$5,COUNTIFS($E$5:E963,E963,$H$5:H963,"Falta",$L$5:L963,Config!$B$7,$M$5:M963,Config!$B$5)=1),COUNTIFS($E$5:$E$3004,E963,$H$5:$H$3004,"Falta",$L$5:$L$3004,Config!$B$7,$M$5:$M$3004,Config!$B$5)*1000-ROW()/100000,0)</f>
        <v>999.99037</v>
      </c>
    </row>
    <row r="964">
      <c r="A964" s="39" t="n">
        <v>46269</v>
      </c>
      <c r="B964" s="40" t="n">
        <v>0.4444444444444444</v>
      </c>
      <c r="C964" s="35" t="inlineStr">
        <is>
          <t>Dr. Paulo Andrade</t>
        </is>
      </c>
      <c r="D964" s="35" t="inlineStr">
        <is>
          <t>Sala 2</t>
        </is>
      </c>
      <c r="E964" s="34" t="inlineStr">
        <is>
          <t>Fernanda Freitas</t>
        </is>
      </c>
      <c r="F964" s="35" t="inlineStr">
        <is>
          <t>Particular</t>
        </is>
      </c>
      <c r="G964" s="35" t="inlineStr">
        <is>
          <t>Teste ergométrico</t>
        </is>
      </c>
      <c r="H964" s="35" t="inlineStr">
        <is>
          <t>Realizado</t>
        </is>
      </c>
      <c r="I964" s="35" t="inlineStr">
        <is>
          <t>A prazo</t>
        </is>
      </c>
      <c r="J964" s="35" t="n"/>
      <c r="K964" s="34" t="n"/>
      <c r="L964" s="26">
        <f>IF(A964="","",MONTH(A964))</f>
        <v>9</v>
      </c>
      <c r="M964" s="26">
        <f>IF(A964="","",YEAR(A964))</f>
        <v>2026</v>
      </c>
      <c r="N964" s="26" t="str">
        <f>IF(A964="","",CHOOSE(WEEKDAY(A964,2),"Segunda","Terça","Quarta","Quinta","Sexta","Sábado","Domingo"))</f>
        <v>Sexta</v>
      </c>
      <c r="O964" s="26" t="str">
        <f>IF(B964="","",IF(B964&lt;TIME(12,0,0),"Manhã",IF(B964&lt;TIME(18,0,0),"Tarde","Noite")))</f>
        <v>Manhã</v>
      </c>
      <c r="P964" s="32">
        <f>IF(G964="","",IFERROR(INDEX(Config!$I$5:$I$16,MATCH(G964,Config!$H$5:$H$16,0)),0))</f>
        <v>0</v>
      </c>
      <c r="Q964" s="30">
        <f>IF(OR(H964&lt;&gt;"Realizado",P964="",P964=0),"",A964+P964)</f>
        <v/>
      </c>
      <c r="R964" s="26">
        <f>IF(Q964="","",IF(COUNTIFS($E$5:$E$3004,E964,$A$5:$A$3004,"&gt;"&amp;A964,$H$5:$H$3004,"&lt;&gt;Falta",$H$5:$H$3004,"&lt;&gt;Cancelado",$H$5:$H$3004,"&lt;&gt;Remarcado")&gt;0,"Sim","Não"))</f>
        <v/>
      </c>
      <c r="S964" s="32">
        <f>IF(R964&lt;&gt;"Não","",IF(Q964+Config!$B$9&lt;=Config!$B$8,Config!$B$8-Q964,""))</f>
        <v/>
      </c>
      <c r="T964" s="26">
        <f>IF(S964="","","Sim")</f>
        <v/>
      </c>
      <c r="U964" s="41">
        <f>IF(T964="Sim",S964+ROW()/100000,0)</f>
        <v>0</v>
      </c>
      <c r="V964" s="41">
        <f>IF(AND(H964="Falta",L964=Config!$B$7,M964=Config!$B$5,COUNTIFS($E$5:E964,E964,$H$5:H964,"Falta",$L$5:L964,Config!$B$7,$M$5:M964,Config!$B$5)=1),COUNTIFS($E$5:$E$3004,E964,$H$5:$H$3004,"Falta",$L$5:$L$3004,Config!$B$7,$M$5:$M$3004,Config!$B$5)*1000-ROW()/100000,0)</f>
        <v>0</v>
      </c>
    </row>
    <row r="965">
      <c r="A965" s="39" t="n">
        <v>46269</v>
      </c>
      <c r="B965" s="40" t="n">
        <v>0.4722222222222222</v>
      </c>
      <c r="C965" s="35" t="inlineStr">
        <is>
          <t>Dr. Paulo Andrade</t>
        </is>
      </c>
      <c r="D965" s="35" t="inlineStr">
        <is>
          <t>Sala 2</t>
        </is>
      </c>
      <c r="E965" s="34" t="inlineStr">
        <is>
          <t>Rafael Dias</t>
        </is>
      </c>
      <c r="F965" s="35" t="inlineStr">
        <is>
          <t>Particular</t>
        </is>
      </c>
      <c r="G965" s="35" t="inlineStr">
        <is>
          <t>MAPA</t>
        </is>
      </c>
      <c r="H965" s="35" t="inlineStr">
        <is>
          <t>Realizado</t>
        </is>
      </c>
      <c r="I965" s="35" t="inlineStr">
        <is>
          <t>Dinheiro</t>
        </is>
      </c>
      <c r="J965" s="35" t="n"/>
      <c r="K965" s="34" t="n"/>
      <c r="L965" s="26">
        <f>IF(A965="","",MONTH(A965))</f>
        <v>9</v>
      </c>
      <c r="M965" s="26">
        <f>IF(A965="","",YEAR(A965))</f>
        <v>2026</v>
      </c>
      <c r="N965" s="26" t="str">
        <f>IF(A965="","",CHOOSE(WEEKDAY(A965,2),"Segunda","Terça","Quarta","Quinta","Sexta","Sábado","Domingo"))</f>
        <v>Sexta</v>
      </c>
      <c r="O965" s="26" t="str">
        <f>IF(B965="","",IF(B965&lt;TIME(12,0,0),"Manhã",IF(B965&lt;TIME(18,0,0),"Tarde","Noite")))</f>
        <v>Manhã</v>
      </c>
      <c r="P965" s="32">
        <f>IF(G965="","",IFERROR(INDEX(Config!$I$5:$I$16,MATCH(G965,Config!$H$5:$H$16,0)),0))</f>
        <v>0</v>
      </c>
      <c r="Q965" s="30">
        <f>IF(OR(H965&lt;&gt;"Realizado",P965="",P965=0),"",A965+P965)</f>
        <v/>
      </c>
      <c r="R965" s="26">
        <f>IF(Q965="","",IF(COUNTIFS($E$5:$E$3004,E965,$A$5:$A$3004,"&gt;"&amp;A965,$H$5:$H$3004,"&lt;&gt;Falta",$H$5:$H$3004,"&lt;&gt;Cancelado",$H$5:$H$3004,"&lt;&gt;Remarcado")&gt;0,"Sim","Não"))</f>
        <v/>
      </c>
      <c r="S965" s="32">
        <f>IF(R965&lt;&gt;"Não","",IF(Q965+Config!$B$9&lt;=Config!$B$8,Config!$B$8-Q965,""))</f>
        <v/>
      </c>
      <c r="T965" s="26">
        <f>IF(S965="","","Sim")</f>
        <v/>
      </c>
      <c r="U965" s="41">
        <f>IF(T965="Sim",S965+ROW()/100000,0)</f>
        <v>0</v>
      </c>
      <c r="V965" s="41">
        <f>IF(AND(H965="Falta",L965=Config!$B$7,M965=Config!$B$5,COUNTIFS($E$5:E965,E965,$H$5:H965,"Falta",$L$5:L965,Config!$B$7,$M$5:M965,Config!$B$5)=1),COUNTIFS($E$5:$E$3004,E965,$H$5:$H$3004,"Falta",$L$5:$L$3004,Config!$B$7,$M$5:$M$3004,Config!$B$5)*1000-ROW()/100000,0)</f>
        <v>0</v>
      </c>
    </row>
    <row r="966">
      <c r="A966" s="39" t="n">
        <v>46269</v>
      </c>
      <c r="B966" s="40" t="n">
        <v>0.4861111111111111</v>
      </c>
      <c r="C966" s="35" t="inlineStr">
        <is>
          <t>Dr. Paulo Andrade</t>
        </is>
      </c>
      <c r="D966" s="35" t="inlineStr">
        <is>
          <t>Sala 2</t>
        </is>
      </c>
      <c r="E966" s="34" t="inlineStr">
        <is>
          <t>Camila Martins</t>
        </is>
      </c>
      <c r="F966" s="35" t="inlineStr">
        <is>
          <t>Vida Care</t>
        </is>
      </c>
      <c r="G966" s="35" t="inlineStr">
        <is>
          <t>Consulta</t>
        </is>
      </c>
      <c r="H966" s="35" t="inlineStr">
        <is>
          <t>Realizado</t>
        </is>
      </c>
      <c r="I966" s="35" t="inlineStr">
        <is>
          <t>Convênio</t>
        </is>
      </c>
      <c r="J966" s="35" t="n"/>
      <c r="K966" s="34" t="n"/>
      <c r="L966" s="26">
        <f>IF(A966="","",MONTH(A966))</f>
        <v>9</v>
      </c>
      <c r="M966" s="26">
        <f>IF(A966="","",YEAR(A966))</f>
        <v>2026</v>
      </c>
      <c r="N966" s="26" t="str">
        <f>IF(A966="","",CHOOSE(WEEKDAY(A966,2),"Segunda","Terça","Quarta","Quinta","Sexta","Sábado","Domingo"))</f>
        <v>Sexta</v>
      </c>
      <c r="O966" s="26" t="str">
        <f>IF(B966="","",IF(B966&lt;TIME(12,0,0),"Manhã",IF(B966&lt;TIME(18,0,0),"Tarde","Noite")))</f>
        <v>Manhã</v>
      </c>
      <c r="P966" s="32">
        <f>IF(G966="","",IFERROR(INDEX(Config!$I$5:$I$16,MATCH(G966,Config!$H$5:$H$16,0)),0))</f>
        <v>30</v>
      </c>
      <c r="Q966" s="30">
        <f>IF(OR(H966&lt;&gt;"Realizado",P966="",P966=0),"",A966+P966)</f>
        <v>46299.0</v>
      </c>
      <c r="R966" s="26" t="str">
        <f>IF(Q966="","",IF(COUNTIFS($E$5:$E$3004,E966,$A$5:$A$3004,"&gt;"&amp;A966,$H$5:$H$3004,"&lt;&gt;Falta",$H$5:$H$3004,"&lt;&gt;Cancelado",$H$5:$H$3004,"&lt;&gt;Remarcado")&gt;0,"Sim","Não"))</f>
        <v>Sim</v>
      </c>
      <c r="S966" s="32">
        <f>IF(R966&lt;&gt;"Não","",IF(Q966+Config!$B$9&lt;=Config!$B$8,Config!$B$8-Q966,""))</f>
        <v/>
      </c>
      <c r="T966" s="26">
        <f>IF(S966="","","Sim")</f>
        <v/>
      </c>
      <c r="U966" s="41">
        <f>IF(T966="Sim",S966+ROW()/100000,0)</f>
        <v>0</v>
      </c>
      <c r="V966" s="41">
        <f>IF(AND(H966="Falta",L966=Config!$B$7,M966=Config!$B$5,COUNTIFS($E$5:E966,E966,$H$5:H966,"Falta",$L$5:L966,Config!$B$7,$M$5:M966,Config!$B$5)=1),COUNTIFS($E$5:$E$3004,E966,$H$5:$H$3004,"Falta",$L$5:$L$3004,Config!$B$7,$M$5:$M$3004,Config!$B$5)*1000-ROW()/100000,0)</f>
        <v>0</v>
      </c>
    </row>
    <row r="967">
      <c r="A967" s="39" t="n">
        <v>46273</v>
      </c>
      <c r="B967" s="40" t="n">
        <v>0.3333333333333333</v>
      </c>
      <c r="C967" s="35" t="inlineStr">
        <is>
          <t>Dra. Carolina Mendes</t>
        </is>
      </c>
      <c r="D967" s="35" t="inlineStr">
        <is>
          <t>Sala 1</t>
        </is>
      </c>
      <c r="E967" s="34" t="inlineStr">
        <is>
          <t>Gustavo Barbosa</t>
        </is>
      </c>
      <c r="F967" s="35" t="inlineStr">
        <is>
          <t>Saúde Total</t>
        </is>
      </c>
      <c r="G967" s="35" t="inlineStr">
        <is>
          <t>Consulta</t>
        </is>
      </c>
      <c r="H967" s="35" t="inlineStr">
        <is>
          <t>Realizado</t>
        </is>
      </c>
      <c r="I967" s="35" t="inlineStr">
        <is>
          <t>Convênio</t>
        </is>
      </c>
      <c r="J967" s="35" t="n"/>
      <c r="K967" s="34" t="n"/>
      <c r="L967" s="26">
        <f>IF(A967="","",MONTH(A967))</f>
        <v>9</v>
      </c>
      <c r="M967" s="26">
        <f>IF(A967="","",YEAR(A967))</f>
        <v>2026</v>
      </c>
      <c r="N967" s="26" t="str">
        <f>IF(A967="","",CHOOSE(WEEKDAY(A967,2),"Segunda","Terça","Quarta","Quinta","Sexta","Sábado","Domingo"))</f>
        <v>Terça</v>
      </c>
      <c r="O967" s="26" t="str">
        <f>IF(B967="","",IF(B967&lt;TIME(12,0,0),"Manhã",IF(B967&lt;TIME(18,0,0),"Tarde","Noite")))</f>
        <v>Manhã</v>
      </c>
      <c r="P967" s="32">
        <f>IF(G967="","",IFERROR(INDEX(Config!$I$5:$I$16,MATCH(G967,Config!$H$5:$H$16,0)),0))</f>
        <v>30</v>
      </c>
      <c r="Q967" s="30">
        <f>IF(OR(H967&lt;&gt;"Realizado",P967="",P967=0),"",A967+P967)</f>
        <v>46303.0</v>
      </c>
      <c r="R967" s="26" t="str">
        <f>IF(Q967="","",IF(COUNTIFS($E$5:$E$3004,E967,$A$5:$A$3004,"&gt;"&amp;A967,$H$5:$H$3004,"&lt;&gt;Falta",$H$5:$H$3004,"&lt;&gt;Cancelado",$H$5:$H$3004,"&lt;&gt;Remarcado")&gt;0,"Sim","Não"))</f>
        <v>Sim</v>
      </c>
      <c r="S967" s="32">
        <f>IF(R967&lt;&gt;"Não","",IF(Q967+Config!$B$9&lt;=Config!$B$8,Config!$B$8-Q967,""))</f>
        <v/>
      </c>
      <c r="T967" s="26">
        <f>IF(S967="","","Sim")</f>
        <v/>
      </c>
      <c r="U967" s="41">
        <f>IF(T967="Sim",S967+ROW()/100000,0)</f>
        <v>0</v>
      </c>
      <c r="V967" s="41">
        <f>IF(AND(H967="Falta",L967=Config!$B$7,M967=Config!$B$5,COUNTIFS($E$5:E967,E967,$H$5:H967,"Falta",$L$5:L967,Config!$B$7,$M$5:M967,Config!$B$5)=1),COUNTIFS($E$5:$E$3004,E967,$H$5:$H$3004,"Falta",$L$5:$L$3004,Config!$B$7,$M$5:$M$3004,Config!$B$5)*1000-ROW()/100000,0)</f>
        <v>0</v>
      </c>
    </row>
    <row r="968">
      <c r="A968" s="39" t="n">
        <v>46273</v>
      </c>
      <c r="B968" s="40" t="n">
        <v>0.3541666666666667</v>
      </c>
      <c r="C968" s="35" t="inlineStr">
        <is>
          <t>Dra. Carolina Mendes</t>
        </is>
      </c>
      <c r="D968" s="35" t="inlineStr">
        <is>
          <t>Sala 1</t>
        </is>
      </c>
      <c r="E968" s="34" t="inlineStr">
        <is>
          <t>Wagner Lima</t>
        </is>
      </c>
      <c r="F968" s="35" t="inlineStr">
        <is>
          <t>Particular</t>
        </is>
      </c>
      <c r="G968" s="35" t="inlineStr">
        <is>
          <t>Retorno</t>
        </is>
      </c>
      <c r="H968" s="35" t="inlineStr">
        <is>
          <t>Realizado</t>
        </is>
      </c>
      <c r="I968" s="35" t="inlineStr">
        <is>
          <t>Sem cobrança</t>
        </is>
      </c>
      <c r="J968" s="35" t="n"/>
      <c r="K968" s="34" t="n"/>
      <c r="L968" s="26">
        <f>IF(A968="","",MONTH(A968))</f>
        <v>9</v>
      </c>
      <c r="M968" s="26">
        <f>IF(A968="","",YEAR(A968))</f>
        <v>2026</v>
      </c>
      <c r="N968" s="26" t="str">
        <f>IF(A968="","",CHOOSE(WEEKDAY(A968,2),"Segunda","Terça","Quarta","Quinta","Sexta","Sábado","Domingo"))</f>
        <v>Terça</v>
      </c>
      <c r="O968" s="26" t="str">
        <f>IF(B968="","",IF(B968&lt;TIME(12,0,0),"Manhã",IF(B968&lt;TIME(18,0,0),"Tarde","Noite")))</f>
        <v>Manhã</v>
      </c>
      <c r="P968" s="32">
        <f>IF(G968="","",IFERROR(INDEX(Config!$I$5:$I$16,MATCH(G968,Config!$H$5:$H$16,0)),0))</f>
        <v>0</v>
      </c>
      <c r="Q968" s="30">
        <f>IF(OR(H968&lt;&gt;"Realizado",P968="",P968=0),"",A968+P968)</f>
        <v/>
      </c>
      <c r="R968" s="26">
        <f>IF(Q968="","",IF(COUNTIFS($E$5:$E$3004,E968,$A$5:$A$3004,"&gt;"&amp;A968,$H$5:$H$3004,"&lt;&gt;Falta",$H$5:$H$3004,"&lt;&gt;Cancelado",$H$5:$H$3004,"&lt;&gt;Remarcado")&gt;0,"Sim","Não"))</f>
        <v/>
      </c>
      <c r="S968" s="32">
        <f>IF(R968&lt;&gt;"Não","",IF(Q968+Config!$B$9&lt;=Config!$B$8,Config!$B$8-Q968,""))</f>
        <v/>
      </c>
      <c r="T968" s="26">
        <f>IF(S968="","","Sim")</f>
        <v/>
      </c>
      <c r="U968" s="41">
        <f>IF(T968="Sim",S968+ROW()/100000,0)</f>
        <v>0</v>
      </c>
      <c r="V968" s="41">
        <f>IF(AND(H968="Falta",L968=Config!$B$7,M968=Config!$B$5,COUNTIFS($E$5:E968,E968,$H$5:H968,"Falta",$L$5:L968,Config!$B$7,$M$5:M968,Config!$B$5)=1),COUNTIFS($E$5:$E$3004,E968,$H$5:$H$3004,"Falta",$L$5:$L$3004,Config!$B$7,$M$5:$M$3004,Config!$B$5)*1000-ROW()/100000,0)</f>
        <v>0</v>
      </c>
    </row>
    <row r="969">
      <c r="A969" s="39" t="n">
        <v>46273</v>
      </c>
      <c r="B969" s="40" t="n">
        <v>0.3680555555555556</v>
      </c>
      <c r="C969" s="35" t="inlineStr">
        <is>
          <t>Dra. Carolina Mendes</t>
        </is>
      </c>
      <c r="D969" s="35" t="inlineStr">
        <is>
          <t>Sala 1</t>
        </is>
      </c>
      <c r="E969" s="34" t="inlineStr">
        <is>
          <t>Otávio Cardoso</t>
        </is>
      </c>
      <c r="F969" s="35" t="inlineStr">
        <is>
          <t>Particular</t>
        </is>
      </c>
      <c r="G969" s="35" t="inlineStr">
        <is>
          <t>Consulta</t>
        </is>
      </c>
      <c r="H969" s="35" t="inlineStr">
        <is>
          <t>Realizado</t>
        </is>
      </c>
      <c r="I969" s="35" t="inlineStr">
        <is>
          <t>Cartão de crédito</t>
        </is>
      </c>
      <c r="J969" s="35" t="n">
        <v>2</v>
      </c>
      <c r="K969" s="34" t="n"/>
      <c r="L969" s="26">
        <f>IF(A969="","",MONTH(A969))</f>
        <v>9</v>
      </c>
      <c r="M969" s="26">
        <f>IF(A969="","",YEAR(A969))</f>
        <v>2026</v>
      </c>
      <c r="N969" s="26" t="str">
        <f>IF(A969="","",CHOOSE(WEEKDAY(A969,2),"Segunda","Terça","Quarta","Quinta","Sexta","Sábado","Domingo"))</f>
        <v>Terça</v>
      </c>
      <c r="O969" s="26" t="str">
        <f>IF(B969="","",IF(B969&lt;TIME(12,0,0),"Manhã",IF(B969&lt;TIME(18,0,0),"Tarde","Noite")))</f>
        <v>Manhã</v>
      </c>
      <c r="P969" s="32">
        <f>IF(G969="","",IFERROR(INDEX(Config!$I$5:$I$16,MATCH(G969,Config!$H$5:$H$16,0)),0))</f>
        <v>30</v>
      </c>
      <c r="Q969" s="30">
        <f>IF(OR(H969&lt;&gt;"Realizado",P969="",P969=0),"",A969+P969)</f>
        <v>46303.0</v>
      </c>
      <c r="R969" s="26" t="str">
        <f>IF(Q969="","",IF(COUNTIFS($E$5:$E$3004,E969,$A$5:$A$3004,"&gt;"&amp;A969,$H$5:$H$3004,"&lt;&gt;Falta",$H$5:$H$3004,"&lt;&gt;Cancelado",$H$5:$H$3004,"&lt;&gt;Remarcado")&gt;0,"Sim","Não"))</f>
        <v>Sim</v>
      </c>
      <c r="S969" s="32">
        <f>IF(R969&lt;&gt;"Não","",IF(Q969+Config!$B$9&lt;=Config!$B$8,Config!$B$8-Q969,""))</f>
        <v/>
      </c>
      <c r="T969" s="26">
        <f>IF(S969="","","Sim")</f>
        <v/>
      </c>
      <c r="U969" s="41">
        <f>IF(T969="Sim",S969+ROW()/100000,0)</f>
        <v>0</v>
      </c>
      <c r="V969" s="41">
        <f>IF(AND(H969="Falta",L969=Config!$B$7,M969=Config!$B$5,COUNTIFS($E$5:E969,E969,$H$5:H969,"Falta",$L$5:L969,Config!$B$7,$M$5:M969,Config!$B$5)=1),COUNTIFS($E$5:$E$3004,E969,$H$5:$H$3004,"Falta",$L$5:$L$3004,Config!$B$7,$M$5:$M$3004,Config!$B$5)*1000-ROW()/100000,0)</f>
        <v>0</v>
      </c>
    </row>
    <row r="970">
      <c r="A970" s="39" t="n">
        <v>46273</v>
      </c>
      <c r="B970" s="40" t="n">
        <v>0.3888888888888889</v>
      </c>
      <c r="C970" s="35" t="inlineStr">
        <is>
          <t>Dra. Carolina Mendes</t>
        </is>
      </c>
      <c r="D970" s="35" t="inlineStr">
        <is>
          <t>Sala 1</t>
        </is>
      </c>
      <c r="E970" s="34" t="inlineStr">
        <is>
          <t>Priscila Castro</t>
        </is>
      </c>
      <c r="F970" s="35" t="inlineStr">
        <is>
          <t>Saúde Total</t>
        </is>
      </c>
      <c r="G970" s="35" t="inlineStr">
        <is>
          <t>Retorno</t>
        </is>
      </c>
      <c r="H970" s="35" t="inlineStr">
        <is>
          <t>Realizado</t>
        </is>
      </c>
      <c r="I970" s="35" t="inlineStr">
        <is>
          <t>Sem cobrança</t>
        </is>
      </c>
      <c r="J970" s="35" t="n"/>
      <c r="K970" s="34" t="n"/>
      <c r="L970" s="26">
        <f>IF(A970="","",MONTH(A970))</f>
        <v>9</v>
      </c>
      <c r="M970" s="26">
        <f>IF(A970="","",YEAR(A970))</f>
        <v>2026</v>
      </c>
      <c r="N970" s="26" t="str">
        <f>IF(A970="","",CHOOSE(WEEKDAY(A970,2),"Segunda","Terça","Quarta","Quinta","Sexta","Sábado","Domingo"))</f>
        <v>Terça</v>
      </c>
      <c r="O970" s="26" t="str">
        <f>IF(B970="","",IF(B970&lt;TIME(12,0,0),"Manhã",IF(B970&lt;TIME(18,0,0),"Tarde","Noite")))</f>
        <v>Manhã</v>
      </c>
      <c r="P970" s="32">
        <f>IF(G970="","",IFERROR(INDEX(Config!$I$5:$I$16,MATCH(G970,Config!$H$5:$H$16,0)),0))</f>
        <v>0</v>
      </c>
      <c r="Q970" s="30">
        <f>IF(OR(H970&lt;&gt;"Realizado",P970="",P970=0),"",A970+P970)</f>
        <v/>
      </c>
      <c r="R970" s="26">
        <f>IF(Q970="","",IF(COUNTIFS($E$5:$E$3004,E970,$A$5:$A$3004,"&gt;"&amp;A970,$H$5:$H$3004,"&lt;&gt;Falta",$H$5:$H$3004,"&lt;&gt;Cancelado",$H$5:$H$3004,"&lt;&gt;Remarcado")&gt;0,"Sim","Não"))</f>
        <v/>
      </c>
      <c r="S970" s="32">
        <f>IF(R970&lt;&gt;"Não","",IF(Q970+Config!$B$9&lt;=Config!$B$8,Config!$B$8-Q970,""))</f>
        <v/>
      </c>
      <c r="T970" s="26">
        <f>IF(S970="","","Sim")</f>
        <v/>
      </c>
      <c r="U970" s="41">
        <f>IF(T970="Sim",S970+ROW()/100000,0)</f>
        <v>0</v>
      </c>
      <c r="V970" s="41">
        <f>IF(AND(H970="Falta",L970=Config!$B$7,M970=Config!$B$5,COUNTIFS($E$5:E970,E970,$H$5:H970,"Falta",$L$5:L970,Config!$B$7,$M$5:M970,Config!$B$5)=1),COUNTIFS($E$5:$E$3004,E970,$H$5:$H$3004,"Falta",$L$5:$L$3004,Config!$B$7,$M$5:$M$3004,Config!$B$5)*1000-ROW()/100000,0)</f>
        <v>0</v>
      </c>
    </row>
    <row r="971">
      <c r="A971" s="39" t="n">
        <v>46273</v>
      </c>
      <c r="B971" s="40" t="n">
        <v>0.4027777777777778</v>
      </c>
      <c r="C971" s="35" t="inlineStr">
        <is>
          <t>Dra. Carolina Mendes</t>
        </is>
      </c>
      <c r="D971" s="35" t="inlineStr">
        <is>
          <t>Sala 1</t>
        </is>
      </c>
      <c r="E971" s="34" t="inlineStr">
        <is>
          <t>Daniel Melo</t>
        </is>
      </c>
      <c r="F971" s="35" t="inlineStr">
        <is>
          <t>Saúde Total</t>
        </is>
      </c>
      <c r="G971" s="35" t="inlineStr">
        <is>
          <t>Retorno</t>
        </is>
      </c>
      <c r="H971" s="35" t="inlineStr">
        <is>
          <t>Falta</t>
        </is>
      </c>
      <c r="I971" s="35" t="n"/>
      <c r="J971" s="35" t="n"/>
      <c r="K971" s="34" t="n"/>
      <c r="L971" s="26">
        <f>IF(A971="","",MONTH(A971))</f>
        <v>9</v>
      </c>
      <c r="M971" s="26">
        <f>IF(A971="","",YEAR(A971))</f>
        <v>2026</v>
      </c>
      <c r="N971" s="26" t="str">
        <f>IF(A971="","",CHOOSE(WEEKDAY(A971,2),"Segunda","Terça","Quarta","Quinta","Sexta","Sábado","Domingo"))</f>
        <v>Terça</v>
      </c>
      <c r="O971" s="26" t="str">
        <f>IF(B971="","",IF(B971&lt;TIME(12,0,0),"Manhã",IF(B971&lt;TIME(18,0,0),"Tarde","Noite")))</f>
        <v>Manhã</v>
      </c>
      <c r="P971" s="32">
        <f>IF(G971="","",IFERROR(INDEX(Config!$I$5:$I$16,MATCH(G971,Config!$H$5:$H$16,0)),0))</f>
        <v>0</v>
      </c>
      <c r="Q971" s="30">
        <f>IF(OR(H971&lt;&gt;"Realizado",P971="",P971=0),"",A971+P971)</f>
        <v/>
      </c>
      <c r="R971" s="26">
        <f>IF(Q971="","",IF(COUNTIFS($E$5:$E$3004,E971,$A$5:$A$3004,"&gt;"&amp;A971,$H$5:$H$3004,"&lt;&gt;Falta",$H$5:$H$3004,"&lt;&gt;Cancelado",$H$5:$H$3004,"&lt;&gt;Remarcado")&gt;0,"Sim","Não"))</f>
        <v/>
      </c>
      <c r="S971" s="32">
        <f>IF(R971&lt;&gt;"Não","",IF(Q971+Config!$B$9&lt;=Config!$B$8,Config!$B$8-Q971,""))</f>
        <v/>
      </c>
      <c r="T971" s="26">
        <f>IF(S971="","","Sim")</f>
        <v/>
      </c>
      <c r="U971" s="41">
        <f>IF(T971="Sim",S971+ROW()/100000,0)</f>
        <v>0</v>
      </c>
      <c r="V971" s="41">
        <f>IF(AND(H971="Falta",L971=Config!$B$7,M971=Config!$B$5,COUNTIFS($E$5:E971,E971,$H$5:H971,"Falta",$L$5:L971,Config!$B$7,$M$5:M971,Config!$B$5)=1),COUNTIFS($E$5:$E$3004,E971,$H$5:$H$3004,"Falta",$L$5:$L$3004,Config!$B$7,$M$5:$M$3004,Config!$B$5)*1000-ROW()/100000,0)</f>
        <v>999.99029</v>
      </c>
    </row>
    <row r="972">
      <c r="A972" s="39" t="n">
        <v>46273</v>
      </c>
      <c r="B972" s="40" t="n">
        <v>0.4166666666666667</v>
      </c>
      <c r="C972" s="35" t="inlineStr">
        <is>
          <t>Dra. Carolina Mendes</t>
        </is>
      </c>
      <c r="D972" s="35" t="inlineStr">
        <is>
          <t>Sala 1</t>
        </is>
      </c>
      <c r="E972" s="34" t="inlineStr">
        <is>
          <t>Isabela Nascimento</t>
        </is>
      </c>
      <c r="F972" s="35" t="inlineStr">
        <is>
          <t>Vida Care</t>
        </is>
      </c>
      <c r="G972" s="35" t="inlineStr">
        <is>
          <t>Consulta</t>
        </is>
      </c>
      <c r="H972" s="35" t="inlineStr">
        <is>
          <t>Cancelado</t>
        </is>
      </c>
      <c r="I972" s="35" t="n"/>
      <c r="J972" s="35" t="n"/>
      <c r="K972" s="34" t="n"/>
      <c r="L972" s="26">
        <f>IF(A972="","",MONTH(A972))</f>
        <v>9</v>
      </c>
      <c r="M972" s="26">
        <f>IF(A972="","",YEAR(A972))</f>
        <v>2026</v>
      </c>
      <c r="N972" s="26" t="str">
        <f>IF(A972="","",CHOOSE(WEEKDAY(A972,2),"Segunda","Terça","Quarta","Quinta","Sexta","Sábado","Domingo"))</f>
        <v>Terça</v>
      </c>
      <c r="O972" s="26" t="str">
        <f>IF(B972="","",IF(B972&lt;TIME(12,0,0),"Manhã",IF(B972&lt;TIME(18,0,0),"Tarde","Noite")))</f>
        <v>Manhã</v>
      </c>
      <c r="P972" s="32">
        <f>IF(G972="","",IFERROR(INDEX(Config!$I$5:$I$16,MATCH(G972,Config!$H$5:$H$16,0)),0))</f>
        <v>30</v>
      </c>
      <c r="Q972" s="30">
        <f>IF(OR(H972&lt;&gt;"Realizado",P972="",P972=0),"",A972+P972)</f>
        <v/>
      </c>
      <c r="R972" s="26">
        <f>IF(Q972="","",IF(COUNTIFS($E$5:$E$3004,E972,$A$5:$A$3004,"&gt;"&amp;A972,$H$5:$H$3004,"&lt;&gt;Falta",$H$5:$H$3004,"&lt;&gt;Cancelado",$H$5:$H$3004,"&lt;&gt;Remarcado")&gt;0,"Sim","Não"))</f>
        <v/>
      </c>
      <c r="S972" s="32">
        <f>IF(R972&lt;&gt;"Não","",IF(Q972+Config!$B$9&lt;=Config!$B$8,Config!$B$8-Q972,""))</f>
        <v/>
      </c>
      <c r="T972" s="26">
        <f>IF(S972="","","Sim")</f>
        <v/>
      </c>
      <c r="U972" s="41">
        <f>IF(T972="Sim",S972+ROW()/100000,0)</f>
        <v>0</v>
      </c>
      <c r="V972" s="41">
        <f>IF(AND(H972="Falta",L972=Config!$B$7,M972=Config!$B$5,COUNTIFS($E$5:E972,E972,$H$5:H972,"Falta",$L$5:L972,Config!$B$7,$M$5:M972,Config!$B$5)=1),COUNTIFS($E$5:$E$3004,E972,$H$5:$H$3004,"Falta",$L$5:$L$3004,Config!$B$7,$M$5:$M$3004,Config!$B$5)*1000-ROW()/100000,0)</f>
        <v>0</v>
      </c>
    </row>
    <row r="973">
      <c r="A973" s="39" t="n">
        <v>46273</v>
      </c>
      <c r="B973" s="40" t="n">
        <v>0.4375</v>
      </c>
      <c r="C973" s="35" t="inlineStr">
        <is>
          <t>Dra. Carolina Mendes</t>
        </is>
      </c>
      <c r="D973" s="35" t="inlineStr">
        <is>
          <t>Sala 1</t>
        </is>
      </c>
      <c r="E973" s="34" t="inlineStr">
        <is>
          <t>Carlos Barros</t>
        </is>
      </c>
      <c r="F973" s="35" t="inlineStr">
        <is>
          <t>MediPlan</t>
        </is>
      </c>
      <c r="G973" s="35" t="inlineStr">
        <is>
          <t>Consulta</t>
        </is>
      </c>
      <c r="H973" s="35" t="inlineStr">
        <is>
          <t>Realizado</t>
        </is>
      </c>
      <c r="I973" s="35" t="inlineStr">
        <is>
          <t>Convênio</t>
        </is>
      </c>
      <c r="J973" s="35" t="n"/>
      <c r="K973" s="34" t="n"/>
      <c r="L973" s="26">
        <f>IF(A973="","",MONTH(A973))</f>
        <v>9</v>
      </c>
      <c r="M973" s="26">
        <f>IF(A973="","",YEAR(A973))</f>
        <v>2026</v>
      </c>
      <c r="N973" s="26" t="str">
        <f>IF(A973="","",CHOOSE(WEEKDAY(A973,2),"Segunda","Terça","Quarta","Quinta","Sexta","Sábado","Domingo"))</f>
        <v>Terça</v>
      </c>
      <c r="O973" s="26" t="str">
        <f>IF(B973="","",IF(B973&lt;TIME(12,0,0),"Manhã",IF(B973&lt;TIME(18,0,0),"Tarde","Noite")))</f>
        <v>Manhã</v>
      </c>
      <c r="P973" s="32">
        <f>IF(G973="","",IFERROR(INDEX(Config!$I$5:$I$16,MATCH(G973,Config!$H$5:$H$16,0)),0))</f>
        <v>30</v>
      </c>
      <c r="Q973" s="30">
        <f>IF(OR(H973&lt;&gt;"Realizado",P973="",P973=0),"",A973+P973)</f>
        <v>46303.0</v>
      </c>
      <c r="R973" s="26" t="str">
        <f>IF(Q973="","",IF(COUNTIFS($E$5:$E$3004,E973,$A$5:$A$3004,"&gt;"&amp;A973,$H$5:$H$3004,"&lt;&gt;Falta",$H$5:$H$3004,"&lt;&gt;Cancelado",$H$5:$H$3004,"&lt;&gt;Remarcado")&gt;0,"Sim","Não"))</f>
        <v>Sim</v>
      </c>
      <c r="S973" s="32">
        <f>IF(R973&lt;&gt;"Não","",IF(Q973+Config!$B$9&lt;=Config!$B$8,Config!$B$8-Q973,""))</f>
        <v/>
      </c>
      <c r="T973" s="26">
        <f>IF(S973="","","Sim")</f>
        <v/>
      </c>
      <c r="U973" s="41">
        <f>IF(T973="Sim",S973+ROW()/100000,0)</f>
        <v>0</v>
      </c>
      <c r="V973" s="41">
        <f>IF(AND(H973="Falta",L973=Config!$B$7,M973=Config!$B$5,COUNTIFS($E$5:E973,E973,$H$5:H973,"Falta",$L$5:L973,Config!$B$7,$M$5:M973,Config!$B$5)=1),COUNTIFS($E$5:$E$3004,E973,$H$5:$H$3004,"Falta",$L$5:$L$3004,Config!$B$7,$M$5:$M$3004,Config!$B$5)*1000-ROW()/100000,0)</f>
        <v>0</v>
      </c>
    </row>
    <row r="974">
      <c r="A974" s="39" t="n">
        <v>46273</v>
      </c>
      <c r="B974" s="40" t="n">
        <v>0.4583333333333333</v>
      </c>
      <c r="C974" s="35" t="inlineStr">
        <is>
          <t>Dra. Carolina Mendes</t>
        </is>
      </c>
      <c r="D974" s="35" t="inlineStr">
        <is>
          <t>Sala 1</t>
        </is>
      </c>
      <c r="E974" s="34" t="inlineStr">
        <is>
          <t>Otávio Nascimento</t>
        </is>
      </c>
      <c r="F974" s="35" t="inlineStr">
        <is>
          <t>Particular</t>
        </is>
      </c>
      <c r="G974" s="35" t="inlineStr">
        <is>
          <t>Consulta</t>
        </is>
      </c>
      <c r="H974" s="35" t="inlineStr">
        <is>
          <t>Realizado</t>
        </is>
      </c>
      <c r="I974" s="35" t="inlineStr">
        <is>
          <t>Cartão de crédito</t>
        </is>
      </c>
      <c r="J974" s="35" t="n">
        <v>2</v>
      </c>
      <c r="K974" s="34" t="n"/>
      <c r="L974" s="26">
        <f>IF(A974="","",MONTH(A974))</f>
        <v>9</v>
      </c>
      <c r="M974" s="26">
        <f>IF(A974="","",YEAR(A974))</f>
        <v>2026</v>
      </c>
      <c r="N974" s="26" t="str">
        <f>IF(A974="","",CHOOSE(WEEKDAY(A974,2),"Segunda","Terça","Quarta","Quinta","Sexta","Sábado","Domingo"))</f>
        <v>Terça</v>
      </c>
      <c r="O974" s="26" t="str">
        <f>IF(B974="","",IF(B974&lt;TIME(12,0,0),"Manhã",IF(B974&lt;TIME(18,0,0),"Tarde","Noite")))</f>
        <v>Manhã</v>
      </c>
      <c r="P974" s="32">
        <f>IF(G974="","",IFERROR(INDEX(Config!$I$5:$I$16,MATCH(G974,Config!$H$5:$H$16,0)),0))</f>
        <v>30</v>
      </c>
      <c r="Q974" s="30">
        <f>IF(OR(H974&lt;&gt;"Realizado",P974="",P974=0),"",A974+P974)</f>
        <v>46303.0</v>
      </c>
      <c r="R974" s="26" t="str">
        <f>IF(Q974="","",IF(COUNTIFS($E$5:$E$3004,E974,$A$5:$A$3004,"&gt;"&amp;A974,$H$5:$H$3004,"&lt;&gt;Falta",$H$5:$H$3004,"&lt;&gt;Cancelado",$H$5:$H$3004,"&lt;&gt;Remarcado")&gt;0,"Sim","Não"))</f>
        <v>Sim</v>
      </c>
      <c r="S974" s="32">
        <f>IF(R974&lt;&gt;"Não","",IF(Q974+Config!$B$9&lt;=Config!$B$8,Config!$B$8-Q974,""))</f>
        <v/>
      </c>
      <c r="T974" s="26">
        <f>IF(S974="","","Sim")</f>
        <v/>
      </c>
      <c r="U974" s="41">
        <f>IF(T974="Sim",S974+ROW()/100000,0)</f>
        <v>0</v>
      </c>
      <c r="V974" s="41">
        <f>IF(AND(H974="Falta",L974=Config!$B$7,M974=Config!$B$5,COUNTIFS($E$5:E974,E974,$H$5:H974,"Falta",$L$5:L974,Config!$B$7,$M$5:M974,Config!$B$5)=1),COUNTIFS($E$5:$E$3004,E974,$H$5:$H$3004,"Falta",$L$5:$L$3004,Config!$B$7,$M$5:$M$3004,Config!$B$5)*1000-ROW()/100000,0)</f>
        <v>0</v>
      </c>
    </row>
    <row r="975">
      <c r="A975" s="39" t="n">
        <v>46273</v>
      </c>
      <c r="B975" s="40" t="n">
        <v>0.4791666666666667</v>
      </c>
      <c r="C975" s="35" t="inlineStr">
        <is>
          <t>Dra. Carolina Mendes</t>
        </is>
      </c>
      <c r="D975" s="35" t="inlineStr">
        <is>
          <t>Sala 1</t>
        </is>
      </c>
      <c r="E975" s="34" t="inlineStr">
        <is>
          <t>Mariana Nascimento</t>
        </is>
      </c>
      <c r="F975" s="35" t="inlineStr">
        <is>
          <t>Particular</t>
        </is>
      </c>
      <c r="G975" s="35" t="inlineStr">
        <is>
          <t>Consulta</t>
        </is>
      </c>
      <c r="H975" s="35" t="inlineStr">
        <is>
          <t>Realizado</t>
        </is>
      </c>
      <c r="I975" s="35" t="inlineStr">
        <is>
          <t>Cartão de crédito</t>
        </is>
      </c>
      <c r="J975" s="35" t="n"/>
      <c r="K975" s="34" t="n"/>
      <c r="L975" s="26">
        <f>IF(A975="","",MONTH(A975))</f>
        <v>9</v>
      </c>
      <c r="M975" s="26">
        <f>IF(A975="","",YEAR(A975))</f>
        <v>2026</v>
      </c>
      <c r="N975" s="26" t="str">
        <f>IF(A975="","",CHOOSE(WEEKDAY(A975,2),"Segunda","Terça","Quarta","Quinta","Sexta","Sábado","Domingo"))</f>
        <v>Terça</v>
      </c>
      <c r="O975" s="26" t="str">
        <f>IF(B975="","",IF(B975&lt;TIME(12,0,0),"Manhã",IF(B975&lt;TIME(18,0,0),"Tarde","Noite")))</f>
        <v>Manhã</v>
      </c>
      <c r="P975" s="32">
        <f>IF(G975="","",IFERROR(INDEX(Config!$I$5:$I$16,MATCH(G975,Config!$H$5:$H$16,0)),0))</f>
        <v>30</v>
      </c>
      <c r="Q975" s="30">
        <f>IF(OR(H975&lt;&gt;"Realizado",P975="",P975=0),"",A975+P975)</f>
        <v>46303.0</v>
      </c>
      <c r="R975" s="26" t="str">
        <f>IF(Q975="","",IF(COUNTIFS($E$5:$E$3004,E975,$A$5:$A$3004,"&gt;"&amp;A975,$H$5:$H$3004,"&lt;&gt;Falta",$H$5:$H$3004,"&lt;&gt;Cancelado",$H$5:$H$3004,"&lt;&gt;Remarcado")&gt;0,"Sim","Não"))</f>
        <v>Sim</v>
      </c>
      <c r="S975" s="32">
        <f>IF(R975&lt;&gt;"Não","",IF(Q975+Config!$B$9&lt;=Config!$B$8,Config!$B$8-Q975,""))</f>
        <v/>
      </c>
      <c r="T975" s="26">
        <f>IF(S975="","","Sim")</f>
        <v/>
      </c>
      <c r="U975" s="41">
        <f>IF(T975="Sim",S975+ROW()/100000,0)</f>
        <v>0</v>
      </c>
      <c r="V975" s="41">
        <f>IF(AND(H975="Falta",L975=Config!$B$7,M975=Config!$B$5,COUNTIFS($E$5:E975,E975,$H$5:H975,"Falta",$L$5:L975,Config!$B$7,$M$5:M975,Config!$B$5)=1),COUNTIFS($E$5:$E$3004,E975,$H$5:$H$3004,"Falta",$L$5:$L$3004,Config!$B$7,$M$5:$M$3004,Config!$B$5)*1000-ROW()/100000,0)</f>
        <v>0</v>
      </c>
    </row>
    <row r="976">
      <c r="A976" s="39" t="n">
        <v>46273</v>
      </c>
      <c r="B976" s="40" t="n">
        <v>0.5833333333333334</v>
      </c>
      <c r="C976" s="35" t="inlineStr">
        <is>
          <t>Dra. Renata Sousa</t>
        </is>
      </c>
      <c r="D976" s="35" t="inlineStr">
        <is>
          <t>Sala 1</t>
        </is>
      </c>
      <c r="E976" s="34" t="inlineStr">
        <is>
          <t>Beatriz Gomes</t>
        </is>
      </c>
      <c r="F976" s="35" t="inlineStr">
        <is>
          <t>Particular</t>
        </is>
      </c>
      <c r="G976" s="35" t="inlineStr">
        <is>
          <t>Avaliação endócrina</t>
        </is>
      </c>
      <c r="H976" s="35" t="inlineStr">
        <is>
          <t>Realizado</t>
        </is>
      </c>
      <c r="I976" s="35" t="inlineStr">
        <is>
          <t>Cartão de crédito</t>
        </is>
      </c>
      <c r="J976" s="35" t="n"/>
      <c r="K976" s="34" t="n"/>
      <c r="L976" s="26">
        <f>IF(A976="","",MONTH(A976))</f>
        <v>9</v>
      </c>
      <c r="M976" s="26">
        <f>IF(A976="","",YEAR(A976))</f>
        <v>2026</v>
      </c>
      <c r="N976" s="26" t="str">
        <f>IF(A976="","",CHOOSE(WEEKDAY(A976,2),"Segunda","Terça","Quarta","Quinta","Sexta","Sábado","Domingo"))</f>
        <v>Terça</v>
      </c>
      <c r="O976" s="26" t="str">
        <f>IF(B976="","",IF(B976&lt;TIME(12,0,0),"Manhã",IF(B976&lt;TIME(18,0,0),"Tarde","Noite")))</f>
        <v>Tarde</v>
      </c>
      <c r="P976" s="32">
        <f>IF(G976="","",IFERROR(INDEX(Config!$I$5:$I$16,MATCH(G976,Config!$H$5:$H$16,0)),0))</f>
        <v>45</v>
      </c>
      <c r="Q976" s="30">
        <f>IF(OR(H976&lt;&gt;"Realizado",P976="",P976=0),"",A976+P976)</f>
        <v>46318.0</v>
      </c>
      <c r="R976" s="26" t="str">
        <f>IF(Q976="","",IF(COUNTIFS($E$5:$E$3004,E976,$A$5:$A$3004,"&gt;"&amp;A976,$H$5:$H$3004,"&lt;&gt;Falta",$H$5:$H$3004,"&lt;&gt;Cancelado",$H$5:$H$3004,"&lt;&gt;Remarcado")&gt;0,"Sim","Não"))</f>
        <v>Sim</v>
      </c>
      <c r="S976" s="32">
        <f>IF(R976&lt;&gt;"Não","",IF(Q976+Config!$B$9&lt;=Config!$B$8,Config!$B$8-Q976,""))</f>
        <v/>
      </c>
      <c r="T976" s="26">
        <f>IF(S976="","","Sim")</f>
        <v/>
      </c>
      <c r="U976" s="41">
        <f>IF(T976="Sim",S976+ROW()/100000,0)</f>
        <v>0</v>
      </c>
      <c r="V976" s="41">
        <f>IF(AND(H976="Falta",L976=Config!$B$7,M976=Config!$B$5,COUNTIFS($E$5:E976,E976,$H$5:H976,"Falta",$L$5:L976,Config!$B$7,$M$5:M976,Config!$B$5)=1),COUNTIFS($E$5:$E$3004,E976,$H$5:$H$3004,"Falta",$L$5:$L$3004,Config!$B$7,$M$5:$M$3004,Config!$B$5)*1000-ROW()/100000,0)</f>
        <v>0</v>
      </c>
    </row>
    <row r="977">
      <c r="A977" s="39" t="n">
        <v>46273</v>
      </c>
      <c r="B977" s="40" t="n">
        <v>0.5833333333333334</v>
      </c>
      <c r="C977" s="35" t="inlineStr">
        <is>
          <t>Dr. Paulo Andrade</t>
        </is>
      </c>
      <c r="D977" s="35" t="inlineStr">
        <is>
          <t>Sala 2</t>
        </is>
      </c>
      <c r="E977" s="34" t="inlineStr">
        <is>
          <t>Gisele Xavier</t>
        </is>
      </c>
      <c r="F977" s="35" t="inlineStr">
        <is>
          <t>Particular</t>
        </is>
      </c>
      <c r="G977" s="35" t="inlineStr">
        <is>
          <t>MAPA</t>
        </is>
      </c>
      <c r="H977" s="35" t="inlineStr">
        <is>
          <t>Realizado</t>
        </is>
      </c>
      <c r="I977" s="35" t="inlineStr">
        <is>
          <t>Pix</t>
        </is>
      </c>
      <c r="J977" s="35" t="n"/>
      <c r="K977" s="34" t="n"/>
      <c r="L977" s="26">
        <f>IF(A977="","",MONTH(A977))</f>
        <v>9</v>
      </c>
      <c r="M977" s="26">
        <f>IF(A977="","",YEAR(A977))</f>
        <v>2026</v>
      </c>
      <c r="N977" s="26" t="str">
        <f>IF(A977="","",CHOOSE(WEEKDAY(A977,2),"Segunda","Terça","Quarta","Quinta","Sexta","Sábado","Domingo"))</f>
        <v>Terça</v>
      </c>
      <c r="O977" s="26" t="str">
        <f>IF(B977="","",IF(B977&lt;TIME(12,0,0),"Manhã",IF(B977&lt;TIME(18,0,0),"Tarde","Noite")))</f>
        <v>Tarde</v>
      </c>
      <c r="P977" s="32">
        <f>IF(G977="","",IFERROR(INDEX(Config!$I$5:$I$16,MATCH(G977,Config!$H$5:$H$16,0)),0))</f>
        <v>0</v>
      </c>
      <c r="Q977" s="30">
        <f>IF(OR(H977&lt;&gt;"Realizado",P977="",P977=0),"",A977+P977)</f>
        <v/>
      </c>
      <c r="R977" s="26">
        <f>IF(Q977="","",IF(COUNTIFS($E$5:$E$3004,E977,$A$5:$A$3004,"&gt;"&amp;A977,$H$5:$H$3004,"&lt;&gt;Falta",$H$5:$H$3004,"&lt;&gt;Cancelado",$H$5:$H$3004,"&lt;&gt;Remarcado")&gt;0,"Sim","Não"))</f>
        <v/>
      </c>
      <c r="S977" s="32">
        <f>IF(R977&lt;&gt;"Não","",IF(Q977+Config!$B$9&lt;=Config!$B$8,Config!$B$8-Q977,""))</f>
        <v/>
      </c>
      <c r="T977" s="26">
        <f>IF(S977="","","Sim")</f>
        <v/>
      </c>
      <c r="U977" s="41">
        <f>IF(T977="Sim",S977+ROW()/100000,0)</f>
        <v>0</v>
      </c>
      <c r="V977" s="41">
        <f>IF(AND(H977="Falta",L977=Config!$B$7,M977=Config!$B$5,COUNTIFS($E$5:E977,E977,$H$5:H977,"Falta",$L$5:L977,Config!$B$7,$M$5:M977,Config!$B$5)=1),COUNTIFS($E$5:$E$3004,E977,$H$5:$H$3004,"Falta",$L$5:$L$3004,Config!$B$7,$M$5:$M$3004,Config!$B$5)*1000-ROW()/100000,0)</f>
        <v>0</v>
      </c>
    </row>
    <row r="978">
      <c r="A978" s="39" t="n">
        <v>46273</v>
      </c>
      <c r="B978" s="40" t="n">
        <v>0.5972222222222222</v>
      </c>
      <c r="C978" s="35" t="inlineStr">
        <is>
          <t>Dr. Paulo Andrade</t>
        </is>
      </c>
      <c r="D978" s="35" t="inlineStr">
        <is>
          <t>Sala 2</t>
        </is>
      </c>
      <c r="E978" s="34" t="inlineStr">
        <is>
          <t>Regina Duarte</t>
        </is>
      </c>
      <c r="F978" s="35" t="inlineStr">
        <is>
          <t>Particular</t>
        </is>
      </c>
      <c r="G978" s="35" t="inlineStr">
        <is>
          <t>ECG</t>
        </is>
      </c>
      <c r="H978" s="35" t="inlineStr">
        <is>
          <t>Cancelado</t>
        </is>
      </c>
      <c r="I978" s="35" t="n"/>
      <c r="J978" s="35" t="n"/>
      <c r="K978" s="34" t="n"/>
      <c r="L978" s="26">
        <f>IF(A978="","",MONTH(A978))</f>
        <v>9</v>
      </c>
      <c r="M978" s="26">
        <f>IF(A978="","",YEAR(A978))</f>
        <v>2026</v>
      </c>
      <c r="N978" s="26" t="str">
        <f>IF(A978="","",CHOOSE(WEEKDAY(A978,2),"Segunda","Terça","Quarta","Quinta","Sexta","Sábado","Domingo"))</f>
        <v>Terça</v>
      </c>
      <c r="O978" s="26" t="str">
        <f>IF(B978="","",IF(B978&lt;TIME(12,0,0),"Manhã",IF(B978&lt;TIME(18,0,0),"Tarde","Noite")))</f>
        <v>Tarde</v>
      </c>
      <c r="P978" s="32">
        <f>IF(G978="","",IFERROR(INDEX(Config!$I$5:$I$16,MATCH(G978,Config!$H$5:$H$16,0)),0))</f>
        <v>0</v>
      </c>
      <c r="Q978" s="30">
        <f>IF(OR(H978&lt;&gt;"Realizado",P978="",P978=0),"",A978+P978)</f>
        <v/>
      </c>
      <c r="R978" s="26">
        <f>IF(Q978="","",IF(COUNTIFS($E$5:$E$3004,E978,$A$5:$A$3004,"&gt;"&amp;A978,$H$5:$H$3004,"&lt;&gt;Falta",$H$5:$H$3004,"&lt;&gt;Cancelado",$H$5:$H$3004,"&lt;&gt;Remarcado")&gt;0,"Sim","Não"))</f>
        <v/>
      </c>
      <c r="S978" s="32">
        <f>IF(R978&lt;&gt;"Não","",IF(Q978+Config!$B$9&lt;=Config!$B$8,Config!$B$8-Q978,""))</f>
        <v/>
      </c>
      <c r="T978" s="26">
        <f>IF(S978="","","Sim")</f>
        <v/>
      </c>
      <c r="U978" s="41">
        <f>IF(T978="Sim",S978+ROW()/100000,0)</f>
        <v>0</v>
      </c>
      <c r="V978" s="41">
        <f>IF(AND(H978="Falta",L978=Config!$B$7,M978=Config!$B$5,COUNTIFS($E$5:E978,E978,$H$5:H978,"Falta",$L$5:L978,Config!$B$7,$M$5:M978,Config!$B$5)=1),COUNTIFS($E$5:$E$3004,E978,$H$5:$H$3004,"Falta",$L$5:$L$3004,Config!$B$7,$M$5:$M$3004,Config!$B$5)*1000-ROW()/100000,0)</f>
        <v>0</v>
      </c>
    </row>
    <row r="979">
      <c r="A979" s="39" t="n">
        <v>46273</v>
      </c>
      <c r="B979" s="40" t="n">
        <v>0.6111111111111112</v>
      </c>
      <c r="C979" s="35" t="inlineStr">
        <is>
          <t>Dra. Renata Sousa</t>
        </is>
      </c>
      <c r="D979" s="35" t="inlineStr">
        <is>
          <t>Sala 1</t>
        </is>
      </c>
      <c r="E979" s="34" t="inlineStr">
        <is>
          <t>Rafael Pereira</t>
        </is>
      </c>
      <c r="F979" s="35" t="inlineStr">
        <is>
          <t>Particular</t>
        </is>
      </c>
      <c r="G979" s="35" t="inlineStr">
        <is>
          <t>Retorno</t>
        </is>
      </c>
      <c r="H979" s="35" t="inlineStr">
        <is>
          <t>Falta</t>
        </is>
      </c>
      <c r="I979" s="35" t="n"/>
      <c r="J979" s="35" t="n"/>
      <c r="K979" s="34" t="n"/>
      <c r="L979" s="26">
        <f>IF(A979="","",MONTH(A979))</f>
        <v>9</v>
      </c>
      <c r="M979" s="26">
        <f>IF(A979="","",YEAR(A979))</f>
        <v>2026</v>
      </c>
      <c r="N979" s="26" t="str">
        <f>IF(A979="","",CHOOSE(WEEKDAY(A979,2),"Segunda","Terça","Quarta","Quinta","Sexta","Sábado","Domingo"))</f>
        <v>Terça</v>
      </c>
      <c r="O979" s="26" t="str">
        <f>IF(B979="","",IF(B979&lt;TIME(12,0,0),"Manhã",IF(B979&lt;TIME(18,0,0),"Tarde","Noite")))</f>
        <v>Tarde</v>
      </c>
      <c r="P979" s="32">
        <f>IF(G979="","",IFERROR(INDEX(Config!$I$5:$I$16,MATCH(G979,Config!$H$5:$H$16,0)),0))</f>
        <v>0</v>
      </c>
      <c r="Q979" s="30">
        <f>IF(OR(H979&lt;&gt;"Realizado",P979="",P979=0),"",A979+P979)</f>
        <v/>
      </c>
      <c r="R979" s="26">
        <f>IF(Q979="","",IF(COUNTIFS($E$5:$E$3004,E979,$A$5:$A$3004,"&gt;"&amp;A979,$H$5:$H$3004,"&lt;&gt;Falta",$H$5:$H$3004,"&lt;&gt;Cancelado",$H$5:$H$3004,"&lt;&gt;Remarcado")&gt;0,"Sim","Não"))</f>
        <v/>
      </c>
      <c r="S979" s="32">
        <f>IF(R979&lt;&gt;"Não","",IF(Q979+Config!$B$9&lt;=Config!$B$8,Config!$B$8-Q979,""))</f>
        <v/>
      </c>
      <c r="T979" s="26">
        <f>IF(S979="","","Sim")</f>
        <v/>
      </c>
      <c r="U979" s="41">
        <f>IF(T979="Sim",S979+ROW()/100000,0)</f>
        <v>0</v>
      </c>
      <c r="V979" s="41">
        <f>IF(AND(H979="Falta",L979=Config!$B$7,M979=Config!$B$5,COUNTIFS($E$5:E979,E979,$H$5:H979,"Falta",$L$5:L979,Config!$B$7,$M$5:M979,Config!$B$5)=1),COUNTIFS($E$5:$E$3004,E979,$H$5:$H$3004,"Falta",$L$5:$L$3004,Config!$B$7,$M$5:$M$3004,Config!$B$5)*1000-ROW()/100000,0)</f>
        <v>999.99021</v>
      </c>
    </row>
    <row r="980">
      <c r="A980" s="39" t="n">
        <v>46273</v>
      </c>
      <c r="B980" s="40" t="n">
        <v>0.6111111111111112</v>
      </c>
      <c r="C980" s="35" t="inlineStr">
        <is>
          <t>Dr. Paulo Andrade</t>
        </is>
      </c>
      <c r="D980" s="35" t="inlineStr">
        <is>
          <t>Sala 2</t>
        </is>
      </c>
      <c r="E980" s="34" t="inlineStr">
        <is>
          <t>Rafael Barros</t>
        </is>
      </c>
      <c r="F980" s="35" t="inlineStr">
        <is>
          <t>Particular</t>
        </is>
      </c>
      <c r="G980" s="35" t="inlineStr">
        <is>
          <t>Retorno</t>
        </is>
      </c>
      <c r="H980" s="35" t="inlineStr">
        <is>
          <t>Realizado</t>
        </is>
      </c>
      <c r="I980" s="35" t="inlineStr">
        <is>
          <t>Sem cobrança</t>
        </is>
      </c>
      <c r="J980" s="35" t="n"/>
      <c r="K980" s="34" t="n"/>
      <c r="L980" s="26">
        <f>IF(A980="","",MONTH(A980))</f>
        <v>9</v>
      </c>
      <c r="M980" s="26">
        <f>IF(A980="","",YEAR(A980))</f>
        <v>2026</v>
      </c>
      <c r="N980" s="26" t="str">
        <f>IF(A980="","",CHOOSE(WEEKDAY(A980,2),"Segunda","Terça","Quarta","Quinta","Sexta","Sábado","Domingo"))</f>
        <v>Terça</v>
      </c>
      <c r="O980" s="26" t="str">
        <f>IF(B980="","",IF(B980&lt;TIME(12,0,0),"Manhã",IF(B980&lt;TIME(18,0,0),"Tarde","Noite")))</f>
        <v>Tarde</v>
      </c>
      <c r="P980" s="32">
        <f>IF(G980="","",IFERROR(INDEX(Config!$I$5:$I$16,MATCH(G980,Config!$H$5:$H$16,0)),0))</f>
        <v>0</v>
      </c>
      <c r="Q980" s="30">
        <f>IF(OR(H980&lt;&gt;"Realizado",P980="",P980=0),"",A980+P980)</f>
        <v/>
      </c>
      <c r="R980" s="26">
        <f>IF(Q980="","",IF(COUNTIFS($E$5:$E$3004,E980,$A$5:$A$3004,"&gt;"&amp;A980,$H$5:$H$3004,"&lt;&gt;Falta",$H$5:$H$3004,"&lt;&gt;Cancelado",$H$5:$H$3004,"&lt;&gt;Remarcado")&gt;0,"Sim","Não"))</f>
        <v/>
      </c>
      <c r="S980" s="32">
        <f>IF(R980&lt;&gt;"Não","",IF(Q980+Config!$B$9&lt;=Config!$B$8,Config!$B$8-Q980,""))</f>
        <v/>
      </c>
      <c r="T980" s="26">
        <f>IF(S980="","","Sim")</f>
        <v/>
      </c>
      <c r="U980" s="41">
        <f>IF(T980="Sim",S980+ROW()/100000,0)</f>
        <v>0</v>
      </c>
      <c r="V980" s="41">
        <f>IF(AND(H980="Falta",L980=Config!$B$7,M980=Config!$B$5,COUNTIFS($E$5:E980,E980,$H$5:H980,"Falta",$L$5:L980,Config!$B$7,$M$5:M980,Config!$B$5)=1),COUNTIFS($E$5:$E$3004,E980,$H$5:$H$3004,"Falta",$L$5:$L$3004,Config!$B$7,$M$5:$M$3004,Config!$B$5)*1000-ROW()/100000,0)</f>
        <v>0</v>
      </c>
    </row>
    <row r="981">
      <c r="A981" s="39" t="n">
        <v>46273</v>
      </c>
      <c r="B981" s="40" t="n">
        <v>0.625</v>
      </c>
      <c r="C981" s="35" t="inlineStr">
        <is>
          <t>Dra. Renata Sousa</t>
        </is>
      </c>
      <c r="D981" s="35" t="inlineStr">
        <is>
          <t>Sala 1</t>
        </is>
      </c>
      <c r="E981" s="34" t="inlineStr">
        <is>
          <t>Carlos Gomes</t>
        </is>
      </c>
      <c r="F981" s="35" t="inlineStr">
        <is>
          <t>Saúde Total</t>
        </is>
      </c>
      <c r="G981" s="35" t="inlineStr">
        <is>
          <t>Retorno</t>
        </is>
      </c>
      <c r="H981" s="35" t="inlineStr">
        <is>
          <t>Realizado</t>
        </is>
      </c>
      <c r="I981" s="35" t="inlineStr">
        <is>
          <t>Sem cobrança</t>
        </is>
      </c>
      <c r="J981" s="35" t="n"/>
      <c r="K981" s="34" t="n"/>
      <c r="L981" s="26">
        <f>IF(A981="","",MONTH(A981))</f>
        <v>9</v>
      </c>
      <c r="M981" s="26">
        <f>IF(A981="","",YEAR(A981))</f>
        <v>2026</v>
      </c>
      <c r="N981" s="26" t="str">
        <f>IF(A981="","",CHOOSE(WEEKDAY(A981,2),"Segunda","Terça","Quarta","Quinta","Sexta","Sábado","Domingo"))</f>
        <v>Terça</v>
      </c>
      <c r="O981" s="26" t="str">
        <f>IF(B981="","",IF(B981&lt;TIME(12,0,0),"Manhã",IF(B981&lt;TIME(18,0,0),"Tarde","Noite")))</f>
        <v>Tarde</v>
      </c>
      <c r="P981" s="32">
        <f>IF(G981="","",IFERROR(INDEX(Config!$I$5:$I$16,MATCH(G981,Config!$H$5:$H$16,0)),0))</f>
        <v>0</v>
      </c>
      <c r="Q981" s="30">
        <f>IF(OR(H981&lt;&gt;"Realizado",P981="",P981=0),"",A981+P981)</f>
        <v/>
      </c>
      <c r="R981" s="26">
        <f>IF(Q981="","",IF(COUNTIFS($E$5:$E$3004,E981,$A$5:$A$3004,"&gt;"&amp;A981,$H$5:$H$3004,"&lt;&gt;Falta",$H$5:$H$3004,"&lt;&gt;Cancelado",$H$5:$H$3004,"&lt;&gt;Remarcado")&gt;0,"Sim","Não"))</f>
        <v/>
      </c>
      <c r="S981" s="32">
        <f>IF(R981&lt;&gt;"Não","",IF(Q981+Config!$B$9&lt;=Config!$B$8,Config!$B$8-Q981,""))</f>
        <v/>
      </c>
      <c r="T981" s="26">
        <f>IF(S981="","","Sim")</f>
        <v/>
      </c>
      <c r="U981" s="41">
        <f>IF(T981="Sim",S981+ROW()/100000,0)</f>
        <v>0</v>
      </c>
      <c r="V981" s="41">
        <f>IF(AND(H981="Falta",L981=Config!$B$7,M981=Config!$B$5,COUNTIFS($E$5:E981,E981,$H$5:H981,"Falta",$L$5:L981,Config!$B$7,$M$5:M981,Config!$B$5)=1),COUNTIFS($E$5:$E$3004,E981,$H$5:$H$3004,"Falta",$L$5:$L$3004,Config!$B$7,$M$5:$M$3004,Config!$B$5)*1000-ROW()/100000,0)</f>
        <v>0</v>
      </c>
    </row>
    <row r="982">
      <c r="A982" s="39" t="n">
        <v>46273</v>
      </c>
      <c r="B982" s="40" t="n">
        <v>0.625</v>
      </c>
      <c r="C982" s="35" t="inlineStr">
        <is>
          <t>Dr. Paulo Andrade</t>
        </is>
      </c>
      <c r="D982" s="35" t="inlineStr">
        <is>
          <t>Sala 2</t>
        </is>
      </c>
      <c r="E982" s="34" t="inlineStr">
        <is>
          <t>Gabriel Oliveira</t>
        </is>
      </c>
      <c r="F982" s="35" t="inlineStr">
        <is>
          <t>Particular</t>
        </is>
      </c>
      <c r="G982" s="35" t="inlineStr">
        <is>
          <t>Retorno</t>
        </is>
      </c>
      <c r="H982" s="35" t="inlineStr">
        <is>
          <t>Realizado</t>
        </is>
      </c>
      <c r="I982" s="35" t="inlineStr">
        <is>
          <t>Sem cobrança</t>
        </is>
      </c>
      <c r="J982" s="35" t="n"/>
      <c r="K982" s="34" t="n"/>
      <c r="L982" s="26">
        <f>IF(A982="","",MONTH(A982))</f>
        <v>9</v>
      </c>
      <c r="M982" s="26">
        <f>IF(A982="","",YEAR(A982))</f>
        <v>2026</v>
      </c>
      <c r="N982" s="26" t="str">
        <f>IF(A982="","",CHOOSE(WEEKDAY(A982,2),"Segunda","Terça","Quarta","Quinta","Sexta","Sábado","Domingo"))</f>
        <v>Terça</v>
      </c>
      <c r="O982" s="26" t="str">
        <f>IF(B982="","",IF(B982&lt;TIME(12,0,0),"Manhã",IF(B982&lt;TIME(18,0,0),"Tarde","Noite")))</f>
        <v>Tarde</v>
      </c>
      <c r="P982" s="32">
        <f>IF(G982="","",IFERROR(INDEX(Config!$I$5:$I$16,MATCH(G982,Config!$H$5:$H$16,0)),0))</f>
        <v>0</v>
      </c>
      <c r="Q982" s="30">
        <f>IF(OR(H982&lt;&gt;"Realizado",P982="",P982=0),"",A982+P982)</f>
        <v/>
      </c>
      <c r="R982" s="26">
        <f>IF(Q982="","",IF(COUNTIFS($E$5:$E$3004,E982,$A$5:$A$3004,"&gt;"&amp;A982,$H$5:$H$3004,"&lt;&gt;Falta",$H$5:$H$3004,"&lt;&gt;Cancelado",$H$5:$H$3004,"&lt;&gt;Remarcado")&gt;0,"Sim","Não"))</f>
        <v/>
      </c>
      <c r="S982" s="32">
        <f>IF(R982&lt;&gt;"Não","",IF(Q982+Config!$B$9&lt;=Config!$B$8,Config!$B$8-Q982,""))</f>
        <v/>
      </c>
      <c r="T982" s="26">
        <f>IF(S982="","","Sim")</f>
        <v/>
      </c>
      <c r="U982" s="41">
        <f>IF(T982="Sim",S982+ROW()/100000,0)</f>
        <v>0</v>
      </c>
      <c r="V982" s="41">
        <f>IF(AND(H982="Falta",L982=Config!$B$7,M982=Config!$B$5,COUNTIFS($E$5:E982,E982,$H$5:H982,"Falta",$L$5:L982,Config!$B$7,$M$5:M982,Config!$B$5)=1),COUNTIFS($E$5:$E$3004,E982,$H$5:$H$3004,"Falta",$L$5:$L$3004,Config!$B$7,$M$5:$M$3004,Config!$B$5)*1000-ROW()/100000,0)</f>
        <v>0</v>
      </c>
    </row>
    <row r="983">
      <c r="A983" s="39" t="n">
        <v>46273</v>
      </c>
      <c r="B983" s="40" t="n">
        <v>0.6388888888888888</v>
      </c>
      <c r="C983" s="35" t="inlineStr">
        <is>
          <t>Dra. Renata Sousa</t>
        </is>
      </c>
      <c r="D983" s="35" t="inlineStr">
        <is>
          <t>Sala 1</t>
        </is>
      </c>
      <c r="E983" s="34" t="inlineStr">
        <is>
          <t>Gabriel Lopes</t>
        </is>
      </c>
      <c r="F983" s="35" t="inlineStr">
        <is>
          <t>Saúde Total</t>
        </is>
      </c>
      <c r="G983" s="35" t="inlineStr">
        <is>
          <t>Avaliação endócrina</t>
        </is>
      </c>
      <c r="H983" s="35" t="inlineStr">
        <is>
          <t>Realizado</t>
        </is>
      </c>
      <c r="I983" s="35" t="inlineStr">
        <is>
          <t>Convênio</t>
        </is>
      </c>
      <c r="J983" s="35" t="n"/>
      <c r="K983" s="34" t="n"/>
      <c r="L983" s="26">
        <f>IF(A983="","",MONTH(A983))</f>
        <v>9</v>
      </c>
      <c r="M983" s="26">
        <f>IF(A983="","",YEAR(A983))</f>
        <v>2026</v>
      </c>
      <c r="N983" s="26" t="str">
        <f>IF(A983="","",CHOOSE(WEEKDAY(A983,2),"Segunda","Terça","Quarta","Quinta","Sexta","Sábado","Domingo"))</f>
        <v>Terça</v>
      </c>
      <c r="O983" s="26" t="str">
        <f>IF(B983="","",IF(B983&lt;TIME(12,0,0),"Manhã",IF(B983&lt;TIME(18,0,0),"Tarde","Noite")))</f>
        <v>Tarde</v>
      </c>
      <c r="P983" s="32">
        <f>IF(G983="","",IFERROR(INDEX(Config!$I$5:$I$16,MATCH(G983,Config!$H$5:$H$16,0)),0))</f>
        <v>45</v>
      </c>
      <c r="Q983" s="30">
        <f>IF(OR(H983&lt;&gt;"Realizado",P983="",P983=0),"",A983+P983)</f>
        <v>46318.0</v>
      </c>
      <c r="R983" s="26" t="str">
        <f>IF(Q983="","",IF(COUNTIFS($E$5:$E$3004,E983,$A$5:$A$3004,"&gt;"&amp;A983,$H$5:$H$3004,"&lt;&gt;Falta",$H$5:$H$3004,"&lt;&gt;Cancelado",$H$5:$H$3004,"&lt;&gt;Remarcado")&gt;0,"Sim","Não"))</f>
        <v>Sim</v>
      </c>
      <c r="S983" s="32">
        <f>IF(R983&lt;&gt;"Não","",IF(Q983+Config!$B$9&lt;=Config!$B$8,Config!$B$8-Q983,""))</f>
        <v/>
      </c>
      <c r="T983" s="26">
        <f>IF(S983="","","Sim")</f>
        <v/>
      </c>
      <c r="U983" s="41">
        <f>IF(T983="Sim",S983+ROW()/100000,0)</f>
        <v>0</v>
      </c>
      <c r="V983" s="41">
        <f>IF(AND(H983="Falta",L983=Config!$B$7,M983=Config!$B$5,COUNTIFS($E$5:E983,E983,$H$5:H983,"Falta",$L$5:L983,Config!$B$7,$M$5:M983,Config!$B$5)=1),COUNTIFS($E$5:$E$3004,E983,$H$5:$H$3004,"Falta",$L$5:$L$3004,Config!$B$7,$M$5:$M$3004,Config!$B$5)*1000-ROW()/100000,0)</f>
        <v>0</v>
      </c>
    </row>
    <row r="984">
      <c r="A984" s="39" t="n">
        <v>46273</v>
      </c>
      <c r="B984" s="40" t="n">
        <v>0.6388888888888888</v>
      </c>
      <c r="C984" s="35" t="inlineStr">
        <is>
          <t>Dr. Paulo Andrade</t>
        </is>
      </c>
      <c r="D984" s="35" t="inlineStr">
        <is>
          <t>Sala 2</t>
        </is>
      </c>
      <c r="E984" s="34" t="inlineStr">
        <is>
          <t>Débora Machado</t>
        </is>
      </c>
      <c r="F984" s="35" t="inlineStr">
        <is>
          <t>Saúde Total</t>
        </is>
      </c>
      <c r="G984" s="35" t="inlineStr">
        <is>
          <t>ECG</t>
        </is>
      </c>
      <c r="H984" s="35" t="inlineStr">
        <is>
          <t>Realizado</t>
        </is>
      </c>
      <c r="I984" s="35" t="inlineStr">
        <is>
          <t>Convênio</t>
        </is>
      </c>
      <c r="J984" s="35" t="n"/>
      <c r="K984" s="34" t="n"/>
      <c r="L984" s="26">
        <f>IF(A984="","",MONTH(A984))</f>
        <v>9</v>
      </c>
      <c r="M984" s="26">
        <f>IF(A984="","",YEAR(A984))</f>
        <v>2026</v>
      </c>
      <c r="N984" s="26" t="str">
        <f>IF(A984="","",CHOOSE(WEEKDAY(A984,2),"Segunda","Terça","Quarta","Quinta","Sexta","Sábado","Domingo"))</f>
        <v>Terça</v>
      </c>
      <c r="O984" s="26" t="str">
        <f>IF(B984="","",IF(B984&lt;TIME(12,0,0),"Manhã",IF(B984&lt;TIME(18,0,0),"Tarde","Noite")))</f>
        <v>Tarde</v>
      </c>
      <c r="P984" s="32">
        <f>IF(G984="","",IFERROR(INDEX(Config!$I$5:$I$16,MATCH(G984,Config!$H$5:$H$16,0)),0))</f>
        <v>0</v>
      </c>
      <c r="Q984" s="30">
        <f>IF(OR(H984&lt;&gt;"Realizado",P984="",P984=0),"",A984+P984)</f>
        <v/>
      </c>
      <c r="R984" s="26">
        <f>IF(Q984="","",IF(COUNTIFS($E$5:$E$3004,E984,$A$5:$A$3004,"&gt;"&amp;A984,$H$5:$H$3004,"&lt;&gt;Falta",$H$5:$H$3004,"&lt;&gt;Cancelado",$H$5:$H$3004,"&lt;&gt;Remarcado")&gt;0,"Sim","Não"))</f>
        <v/>
      </c>
      <c r="S984" s="32">
        <f>IF(R984&lt;&gt;"Não","",IF(Q984+Config!$B$9&lt;=Config!$B$8,Config!$B$8-Q984,""))</f>
        <v/>
      </c>
      <c r="T984" s="26">
        <f>IF(S984="","","Sim")</f>
        <v/>
      </c>
      <c r="U984" s="41">
        <f>IF(T984="Sim",S984+ROW()/100000,0)</f>
        <v>0</v>
      </c>
      <c r="V984" s="41">
        <f>IF(AND(H984="Falta",L984=Config!$B$7,M984=Config!$B$5,COUNTIFS($E$5:E984,E984,$H$5:H984,"Falta",$L$5:L984,Config!$B$7,$M$5:M984,Config!$B$5)=1),COUNTIFS($E$5:$E$3004,E984,$H$5:$H$3004,"Falta",$L$5:$L$3004,Config!$B$7,$M$5:$M$3004,Config!$B$5)*1000-ROW()/100000,0)</f>
        <v>0</v>
      </c>
    </row>
    <row r="985">
      <c r="A985" s="39" t="n">
        <v>46273</v>
      </c>
      <c r="B985" s="40" t="n">
        <v>0.6666666666666666</v>
      </c>
      <c r="C985" s="35" t="inlineStr">
        <is>
          <t>Dra. Renata Sousa</t>
        </is>
      </c>
      <c r="D985" s="35" t="inlineStr">
        <is>
          <t>Sala 1</t>
        </is>
      </c>
      <c r="E985" s="34" t="inlineStr">
        <is>
          <t>Gabriel Reis</t>
        </is>
      </c>
      <c r="F985" s="35" t="inlineStr">
        <is>
          <t>Particular</t>
        </is>
      </c>
      <c r="G985" s="35" t="inlineStr">
        <is>
          <t>Avaliação endócrina</t>
        </is>
      </c>
      <c r="H985" s="35" t="inlineStr">
        <is>
          <t>Realizado</t>
        </is>
      </c>
      <c r="I985" s="35" t="inlineStr">
        <is>
          <t>Pix</t>
        </is>
      </c>
      <c r="J985" s="35" t="n"/>
      <c r="K985" s="34" t="n"/>
      <c r="L985" s="26">
        <f>IF(A985="","",MONTH(A985))</f>
        <v>9</v>
      </c>
      <c r="M985" s="26">
        <f>IF(A985="","",YEAR(A985))</f>
        <v>2026</v>
      </c>
      <c r="N985" s="26" t="str">
        <f>IF(A985="","",CHOOSE(WEEKDAY(A985,2),"Segunda","Terça","Quarta","Quinta","Sexta","Sábado","Domingo"))</f>
        <v>Terça</v>
      </c>
      <c r="O985" s="26" t="str">
        <f>IF(B985="","",IF(B985&lt;TIME(12,0,0),"Manhã",IF(B985&lt;TIME(18,0,0),"Tarde","Noite")))</f>
        <v>Tarde</v>
      </c>
      <c r="P985" s="32">
        <f>IF(G985="","",IFERROR(INDEX(Config!$I$5:$I$16,MATCH(G985,Config!$H$5:$H$16,0)),0))</f>
        <v>45</v>
      </c>
      <c r="Q985" s="30">
        <f>IF(OR(H985&lt;&gt;"Realizado",P985="",P985=0),"",A985+P985)</f>
        <v>46318.0</v>
      </c>
      <c r="R985" s="26" t="str">
        <f>IF(Q985="","",IF(COUNTIFS($E$5:$E$3004,E985,$A$5:$A$3004,"&gt;"&amp;A985,$H$5:$H$3004,"&lt;&gt;Falta",$H$5:$H$3004,"&lt;&gt;Cancelado",$H$5:$H$3004,"&lt;&gt;Remarcado")&gt;0,"Sim","Não"))</f>
        <v>Sim</v>
      </c>
      <c r="S985" s="32">
        <f>IF(R985&lt;&gt;"Não","",IF(Q985+Config!$B$9&lt;=Config!$B$8,Config!$B$8-Q985,""))</f>
        <v/>
      </c>
      <c r="T985" s="26">
        <f>IF(S985="","","Sim")</f>
        <v/>
      </c>
      <c r="U985" s="41">
        <f>IF(T985="Sim",S985+ROW()/100000,0)</f>
        <v>0</v>
      </c>
      <c r="V985" s="41">
        <f>IF(AND(H985="Falta",L985=Config!$B$7,M985=Config!$B$5,COUNTIFS($E$5:E985,E985,$H$5:H985,"Falta",$L$5:L985,Config!$B$7,$M$5:M985,Config!$B$5)=1),COUNTIFS($E$5:$E$3004,E985,$H$5:$H$3004,"Falta",$L$5:$L$3004,Config!$B$7,$M$5:$M$3004,Config!$B$5)*1000-ROW()/100000,0)</f>
        <v>0</v>
      </c>
    </row>
    <row r="986">
      <c r="A986" s="39" t="n">
        <v>46273</v>
      </c>
      <c r="B986" s="40" t="n">
        <v>0.6736111111111112</v>
      </c>
      <c r="C986" s="35" t="inlineStr">
        <is>
          <t>Dr. Paulo Andrade</t>
        </is>
      </c>
      <c r="D986" s="35" t="inlineStr">
        <is>
          <t>Sala 2</t>
        </is>
      </c>
      <c r="E986" s="34" t="inlineStr">
        <is>
          <t>Priscila Nascimento</t>
        </is>
      </c>
      <c r="F986" s="35" t="inlineStr">
        <is>
          <t>MediPlan</t>
        </is>
      </c>
      <c r="G986" s="35" t="inlineStr">
        <is>
          <t>ECG</t>
        </is>
      </c>
      <c r="H986" s="35" t="inlineStr">
        <is>
          <t>Realizado</t>
        </is>
      </c>
      <c r="I986" s="35" t="inlineStr">
        <is>
          <t>Convênio</t>
        </is>
      </c>
      <c r="J986" s="35" t="n"/>
      <c r="K986" s="34" t="n"/>
      <c r="L986" s="26">
        <f>IF(A986="","",MONTH(A986))</f>
        <v>9</v>
      </c>
      <c r="M986" s="26">
        <f>IF(A986="","",YEAR(A986))</f>
        <v>2026</v>
      </c>
      <c r="N986" s="26" t="str">
        <f>IF(A986="","",CHOOSE(WEEKDAY(A986,2),"Segunda","Terça","Quarta","Quinta","Sexta","Sábado","Domingo"))</f>
        <v>Terça</v>
      </c>
      <c r="O986" s="26" t="str">
        <f>IF(B986="","",IF(B986&lt;TIME(12,0,0),"Manhã",IF(B986&lt;TIME(18,0,0),"Tarde","Noite")))</f>
        <v>Tarde</v>
      </c>
      <c r="P986" s="32">
        <f>IF(G986="","",IFERROR(INDEX(Config!$I$5:$I$16,MATCH(G986,Config!$H$5:$H$16,0)),0))</f>
        <v>0</v>
      </c>
      <c r="Q986" s="30">
        <f>IF(OR(H986&lt;&gt;"Realizado",P986="",P986=0),"",A986+P986)</f>
        <v/>
      </c>
      <c r="R986" s="26">
        <f>IF(Q986="","",IF(COUNTIFS($E$5:$E$3004,E986,$A$5:$A$3004,"&gt;"&amp;A986,$H$5:$H$3004,"&lt;&gt;Falta",$H$5:$H$3004,"&lt;&gt;Cancelado",$H$5:$H$3004,"&lt;&gt;Remarcado")&gt;0,"Sim","Não"))</f>
        <v/>
      </c>
      <c r="S986" s="32">
        <f>IF(R986&lt;&gt;"Não","",IF(Q986+Config!$B$9&lt;=Config!$B$8,Config!$B$8-Q986,""))</f>
        <v/>
      </c>
      <c r="T986" s="26">
        <f>IF(S986="","","Sim")</f>
        <v/>
      </c>
      <c r="U986" s="41">
        <f>IF(T986="Sim",S986+ROW()/100000,0)</f>
        <v>0</v>
      </c>
      <c r="V986" s="41">
        <f>IF(AND(H986="Falta",L986=Config!$B$7,M986=Config!$B$5,COUNTIFS($E$5:E986,E986,$H$5:H986,"Falta",$L$5:L986,Config!$B$7,$M$5:M986,Config!$B$5)=1),COUNTIFS($E$5:$E$3004,E986,$H$5:$H$3004,"Falta",$L$5:$L$3004,Config!$B$7,$M$5:$M$3004,Config!$B$5)*1000-ROW()/100000,0)</f>
        <v>0</v>
      </c>
    </row>
    <row r="987">
      <c r="A987" s="39" t="n">
        <v>46273</v>
      </c>
      <c r="B987" s="40" t="n">
        <v>0.6875</v>
      </c>
      <c r="C987" s="35" t="inlineStr">
        <is>
          <t>Dr. Paulo Andrade</t>
        </is>
      </c>
      <c r="D987" s="35" t="inlineStr">
        <is>
          <t>Sala 2</t>
        </is>
      </c>
      <c r="E987" s="34" t="inlineStr">
        <is>
          <t>Beatriz Gonçalves</t>
        </is>
      </c>
      <c r="F987" s="35" t="inlineStr">
        <is>
          <t>Saúde Total</t>
        </is>
      </c>
      <c r="G987" s="35" t="inlineStr">
        <is>
          <t>Consulta</t>
        </is>
      </c>
      <c r="H987" s="35" t="inlineStr">
        <is>
          <t>Realizado</t>
        </is>
      </c>
      <c r="I987" s="35" t="inlineStr">
        <is>
          <t>Convênio</t>
        </is>
      </c>
      <c r="J987" s="35" t="n"/>
      <c r="K987" s="34" t="n"/>
      <c r="L987" s="26">
        <f>IF(A987="","",MONTH(A987))</f>
        <v>9</v>
      </c>
      <c r="M987" s="26">
        <f>IF(A987="","",YEAR(A987))</f>
        <v>2026</v>
      </c>
      <c r="N987" s="26" t="str">
        <f>IF(A987="","",CHOOSE(WEEKDAY(A987,2),"Segunda","Terça","Quarta","Quinta","Sexta","Sábado","Domingo"))</f>
        <v>Terça</v>
      </c>
      <c r="O987" s="26" t="str">
        <f>IF(B987="","",IF(B987&lt;TIME(12,0,0),"Manhã",IF(B987&lt;TIME(18,0,0),"Tarde","Noite")))</f>
        <v>Tarde</v>
      </c>
      <c r="P987" s="32">
        <f>IF(G987="","",IFERROR(INDEX(Config!$I$5:$I$16,MATCH(G987,Config!$H$5:$H$16,0)),0))</f>
        <v>30</v>
      </c>
      <c r="Q987" s="30">
        <f>IF(OR(H987&lt;&gt;"Realizado",P987="",P987=0),"",A987+P987)</f>
        <v>46303.0</v>
      </c>
      <c r="R987" s="26" t="str">
        <f>IF(Q987="","",IF(COUNTIFS($E$5:$E$3004,E987,$A$5:$A$3004,"&gt;"&amp;A987,$H$5:$H$3004,"&lt;&gt;Falta",$H$5:$H$3004,"&lt;&gt;Cancelado",$H$5:$H$3004,"&lt;&gt;Remarcado")&gt;0,"Sim","Não"))</f>
        <v>Sim</v>
      </c>
      <c r="S987" s="32">
        <f>IF(R987&lt;&gt;"Não","",IF(Q987+Config!$B$9&lt;=Config!$B$8,Config!$B$8-Q987,""))</f>
        <v/>
      </c>
      <c r="T987" s="26">
        <f>IF(S987="","","Sim")</f>
        <v/>
      </c>
      <c r="U987" s="41">
        <f>IF(T987="Sim",S987+ROW()/100000,0)</f>
        <v>0</v>
      </c>
      <c r="V987" s="41">
        <f>IF(AND(H987="Falta",L987=Config!$B$7,M987=Config!$B$5,COUNTIFS($E$5:E987,E987,$H$5:H987,"Falta",$L$5:L987,Config!$B$7,$M$5:M987,Config!$B$5)=1),COUNTIFS($E$5:$E$3004,E987,$H$5:$H$3004,"Falta",$L$5:$L$3004,Config!$B$7,$M$5:$M$3004,Config!$B$5)*1000-ROW()/100000,0)</f>
        <v>0</v>
      </c>
    </row>
    <row r="988">
      <c r="A988" s="39" t="n">
        <v>46273</v>
      </c>
      <c r="B988" s="40" t="n">
        <v>0.7083333333333334</v>
      </c>
      <c r="C988" s="35" t="inlineStr">
        <is>
          <t>Dr. Paulo Andrade</t>
        </is>
      </c>
      <c r="D988" s="35" t="inlineStr">
        <is>
          <t>Sala 2</t>
        </is>
      </c>
      <c r="E988" s="34" t="inlineStr">
        <is>
          <t>Paulo Nascimento</t>
        </is>
      </c>
      <c r="F988" s="35" t="inlineStr">
        <is>
          <t>MediPlan</t>
        </is>
      </c>
      <c r="G988" s="35" t="inlineStr">
        <is>
          <t>Consulta</t>
        </is>
      </c>
      <c r="H988" s="35" t="inlineStr">
        <is>
          <t>Realizado</t>
        </is>
      </c>
      <c r="I988" s="35" t="inlineStr">
        <is>
          <t>Convênio</t>
        </is>
      </c>
      <c r="J988" s="35" t="n"/>
      <c r="K988" s="34" t="n"/>
      <c r="L988" s="26">
        <f>IF(A988="","",MONTH(A988))</f>
        <v>9</v>
      </c>
      <c r="M988" s="26">
        <f>IF(A988="","",YEAR(A988))</f>
        <v>2026</v>
      </c>
      <c r="N988" s="26" t="str">
        <f>IF(A988="","",CHOOSE(WEEKDAY(A988,2),"Segunda","Terça","Quarta","Quinta","Sexta","Sábado","Domingo"))</f>
        <v>Terça</v>
      </c>
      <c r="O988" s="26" t="str">
        <f>IF(B988="","",IF(B988&lt;TIME(12,0,0),"Manhã",IF(B988&lt;TIME(18,0,0),"Tarde","Noite")))</f>
        <v>Tarde</v>
      </c>
      <c r="P988" s="32">
        <f>IF(G988="","",IFERROR(INDEX(Config!$I$5:$I$16,MATCH(G988,Config!$H$5:$H$16,0)),0))</f>
        <v>30</v>
      </c>
      <c r="Q988" s="30">
        <f>IF(OR(H988&lt;&gt;"Realizado",P988="",P988=0),"",A988+P988)</f>
        <v>46303.0</v>
      </c>
      <c r="R988" s="26" t="str">
        <f>IF(Q988="","",IF(COUNTIFS($E$5:$E$3004,E988,$A$5:$A$3004,"&gt;"&amp;A988,$H$5:$H$3004,"&lt;&gt;Falta",$H$5:$H$3004,"&lt;&gt;Cancelado",$H$5:$H$3004,"&lt;&gt;Remarcado")&gt;0,"Sim","Não"))</f>
        <v>Sim</v>
      </c>
      <c r="S988" s="32">
        <f>IF(R988&lt;&gt;"Não","",IF(Q988+Config!$B$9&lt;=Config!$B$8,Config!$B$8-Q988,""))</f>
        <v/>
      </c>
      <c r="T988" s="26">
        <f>IF(S988="","","Sim")</f>
        <v/>
      </c>
      <c r="U988" s="41">
        <f>IF(T988="Sim",S988+ROW()/100000,0)</f>
        <v>0</v>
      </c>
      <c r="V988" s="41">
        <f>IF(AND(H988="Falta",L988=Config!$B$7,M988=Config!$B$5,COUNTIFS($E$5:E988,E988,$H$5:H988,"Falta",$L$5:L988,Config!$B$7,$M$5:M988,Config!$B$5)=1),COUNTIFS($E$5:$E$3004,E988,$H$5:$H$3004,"Falta",$L$5:$L$3004,Config!$B$7,$M$5:$M$3004,Config!$B$5)*1000-ROW()/100000,0)</f>
        <v>0</v>
      </c>
    </row>
    <row r="989">
      <c r="A989" s="39" t="n">
        <v>46273</v>
      </c>
      <c r="B989" s="40" t="n">
        <v>0.7152777777777778</v>
      </c>
      <c r="C989" s="35" t="inlineStr">
        <is>
          <t>Dra. Renata Sousa</t>
        </is>
      </c>
      <c r="D989" s="35" t="inlineStr">
        <is>
          <t>Sala 1</t>
        </is>
      </c>
      <c r="E989" s="34" t="inlineStr">
        <is>
          <t>Fábio Gomes</t>
        </is>
      </c>
      <c r="F989" s="35" t="inlineStr">
        <is>
          <t>Particular</t>
        </is>
      </c>
      <c r="G989" s="35" t="inlineStr">
        <is>
          <t>Avaliação endócrina</t>
        </is>
      </c>
      <c r="H989" s="35" t="inlineStr">
        <is>
          <t>Realizado</t>
        </is>
      </c>
      <c r="I989" s="35" t="inlineStr">
        <is>
          <t>Cartão de crédito</t>
        </is>
      </c>
      <c r="J989" s="35" t="n">
        <v>2</v>
      </c>
      <c r="K989" s="34" t="n"/>
      <c r="L989" s="26">
        <f>IF(A989="","",MONTH(A989))</f>
        <v>9</v>
      </c>
      <c r="M989" s="26">
        <f>IF(A989="","",YEAR(A989))</f>
        <v>2026</v>
      </c>
      <c r="N989" s="26" t="str">
        <f>IF(A989="","",CHOOSE(WEEKDAY(A989,2),"Segunda","Terça","Quarta","Quinta","Sexta","Sábado","Domingo"))</f>
        <v>Terça</v>
      </c>
      <c r="O989" s="26" t="str">
        <f>IF(B989="","",IF(B989&lt;TIME(12,0,0),"Manhã",IF(B989&lt;TIME(18,0,0),"Tarde","Noite")))</f>
        <v>Tarde</v>
      </c>
      <c r="P989" s="32">
        <f>IF(G989="","",IFERROR(INDEX(Config!$I$5:$I$16,MATCH(G989,Config!$H$5:$H$16,0)),0))</f>
        <v>45</v>
      </c>
      <c r="Q989" s="30">
        <f>IF(OR(H989&lt;&gt;"Realizado",P989="",P989=0),"",A989+P989)</f>
        <v>46318.0</v>
      </c>
      <c r="R989" s="26" t="str">
        <f>IF(Q989="","",IF(COUNTIFS($E$5:$E$3004,E989,$A$5:$A$3004,"&gt;"&amp;A989,$H$5:$H$3004,"&lt;&gt;Falta",$H$5:$H$3004,"&lt;&gt;Cancelado",$H$5:$H$3004,"&lt;&gt;Remarcado")&gt;0,"Sim","Não"))</f>
        <v>Sim</v>
      </c>
      <c r="S989" s="32">
        <f>IF(R989&lt;&gt;"Não","",IF(Q989+Config!$B$9&lt;=Config!$B$8,Config!$B$8-Q989,""))</f>
        <v/>
      </c>
      <c r="T989" s="26">
        <f>IF(S989="","","Sim")</f>
        <v/>
      </c>
      <c r="U989" s="41">
        <f>IF(T989="Sim",S989+ROW()/100000,0)</f>
        <v>0</v>
      </c>
      <c r="V989" s="41">
        <f>IF(AND(H989="Falta",L989=Config!$B$7,M989=Config!$B$5,COUNTIFS($E$5:E989,E989,$H$5:H989,"Falta",$L$5:L989,Config!$B$7,$M$5:M989,Config!$B$5)=1),COUNTIFS($E$5:$E$3004,E989,$H$5:$H$3004,"Falta",$L$5:$L$3004,Config!$B$7,$M$5:$M$3004,Config!$B$5)*1000-ROW()/100000,0)</f>
        <v>0</v>
      </c>
    </row>
    <row r="990">
      <c r="A990" s="39" t="n">
        <v>46273</v>
      </c>
      <c r="B990" s="40" t="n">
        <v>0.7291666666666666</v>
      </c>
      <c r="C990" s="35" t="inlineStr">
        <is>
          <t>Dr. Paulo Andrade</t>
        </is>
      </c>
      <c r="D990" s="35" t="inlineStr">
        <is>
          <t>Sala 2</t>
        </is>
      </c>
      <c r="E990" s="34" t="inlineStr">
        <is>
          <t>Gisele Pinto</t>
        </is>
      </c>
      <c r="F990" s="35" t="inlineStr">
        <is>
          <t>Saúde Total</t>
        </is>
      </c>
      <c r="G990" s="35" t="inlineStr">
        <is>
          <t>Consulta</t>
        </is>
      </c>
      <c r="H990" s="35" t="inlineStr">
        <is>
          <t>Realizado</t>
        </is>
      </c>
      <c r="I990" s="35" t="inlineStr">
        <is>
          <t>Convênio</t>
        </is>
      </c>
      <c r="J990" s="35" t="n"/>
      <c r="K990" s="34" t="n"/>
      <c r="L990" s="26">
        <f>IF(A990="","",MONTH(A990))</f>
        <v>9</v>
      </c>
      <c r="M990" s="26">
        <f>IF(A990="","",YEAR(A990))</f>
        <v>2026</v>
      </c>
      <c r="N990" s="26" t="str">
        <f>IF(A990="","",CHOOSE(WEEKDAY(A990,2),"Segunda","Terça","Quarta","Quinta","Sexta","Sábado","Domingo"))</f>
        <v>Terça</v>
      </c>
      <c r="O990" s="26" t="str">
        <f>IF(B990="","",IF(B990&lt;TIME(12,0,0),"Manhã",IF(B990&lt;TIME(18,0,0),"Tarde","Noite")))</f>
        <v>Tarde</v>
      </c>
      <c r="P990" s="32">
        <f>IF(G990="","",IFERROR(INDEX(Config!$I$5:$I$16,MATCH(G990,Config!$H$5:$H$16,0)),0))</f>
        <v>30</v>
      </c>
      <c r="Q990" s="30">
        <f>IF(OR(H990&lt;&gt;"Realizado",P990="",P990=0),"",A990+P990)</f>
        <v>46303.0</v>
      </c>
      <c r="R990" s="26" t="str">
        <f>IF(Q990="","",IF(COUNTIFS($E$5:$E$3004,E990,$A$5:$A$3004,"&gt;"&amp;A990,$H$5:$H$3004,"&lt;&gt;Falta",$H$5:$H$3004,"&lt;&gt;Cancelado",$H$5:$H$3004,"&lt;&gt;Remarcado")&gt;0,"Sim","Não"))</f>
        <v>Sim</v>
      </c>
      <c r="S990" s="32">
        <f>IF(R990&lt;&gt;"Não","",IF(Q990+Config!$B$9&lt;=Config!$B$8,Config!$B$8-Q990,""))</f>
        <v/>
      </c>
      <c r="T990" s="26">
        <f>IF(S990="","","Sim")</f>
        <v/>
      </c>
      <c r="U990" s="41">
        <f>IF(T990="Sim",S990+ROW()/100000,0)</f>
        <v>0</v>
      </c>
      <c r="V990" s="41">
        <f>IF(AND(H990="Falta",L990=Config!$B$7,M990=Config!$B$5,COUNTIFS($E$5:E990,E990,$H$5:H990,"Falta",$L$5:L990,Config!$B$7,$M$5:M990,Config!$B$5)=1),COUNTIFS($E$5:$E$3004,E990,$H$5:$H$3004,"Falta",$L$5:$L$3004,Config!$B$7,$M$5:$M$3004,Config!$B$5)*1000-ROW()/100000,0)</f>
        <v>0</v>
      </c>
    </row>
    <row r="991">
      <c r="A991" s="39" t="n">
        <v>46274</v>
      </c>
      <c r="B991" s="40" t="n">
        <v>0.5833333333333334</v>
      </c>
      <c r="C991" s="35" t="inlineStr">
        <is>
          <t>Dra. Carolina Mendes</t>
        </is>
      </c>
      <c r="D991" s="35" t="inlineStr">
        <is>
          <t>Sala 1</t>
        </is>
      </c>
      <c r="E991" s="34" t="inlineStr">
        <is>
          <t>Ana Costa</t>
        </is>
      </c>
      <c r="F991" s="35" t="inlineStr">
        <is>
          <t>Particular</t>
        </is>
      </c>
      <c r="G991" s="35" t="inlineStr">
        <is>
          <t>Consulta</t>
        </is>
      </c>
      <c r="H991" s="35" t="inlineStr">
        <is>
          <t>Realizado</t>
        </is>
      </c>
      <c r="I991" s="35" t="inlineStr">
        <is>
          <t>A prazo</t>
        </is>
      </c>
      <c r="J991" s="35" t="n"/>
      <c r="K991" s="34" t="n"/>
      <c r="L991" s="26">
        <f>IF(A991="","",MONTH(A991))</f>
        <v>9</v>
      </c>
      <c r="M991" s="26">
        <f>IF(A991="","",YEAR(A991))</f>
        <v>2026</v>
      </c>
      <c r="N991" s="26" t="str">
        <f>IF(A991="","",CHOOSE(WEEKDAY(A991,2),"Segunda","Terça","Quarta","Quinta","Sexta","Sábado","Domingo"))</f>
        <v>Quarta</v>
      </c>
      <c r="O991" s="26" t="str">
        <f>IF(B991="","",IF(B991&lt;TIME(12,0,0),"Manhã",IF(B991&lt;TIME(18,0,0),"Tarde","Noite")))</f>
        <v>Tarde</v>
      </c>
      <c r="P991" s="32">
        <f>IF(G991="","",IFERROR(INDEX(Config!$I$5:$I$16,MATCH(G991,Config!$H$5:$H$16,0)),0))</f>
        <v>30</v>
      </c>
      <c r="Q991" s="30">
        <f>IF(OR(H991&lt;&gt;"Realizado",P991="",P991=0),"",A991+P991)</f>
        <v>46304.0</v>
      </c>
      <c r="R991" s="26" t="str">
        <f>IF(Q991="","",IF(COUNTIFS($E$5:$E$3004,E991,$A$5:$A$3004,"&gt;"&amp;A991,$H$5:$H$3004,"&lt;&gt;Falta",$H$5:$H$3004,"&lt;&gt;Cancelado",$H$5:$H$3004,"&lt;&gt;Remarcado")&gt;0,"Sim","Não"))</f>
        <v>Sim</v>
      </c>
      <c r="S991" s="32">
        <f>IF(R991&lt;&gt;"Não","",IF(Q991+Config!$B$9&lt;=Config!$B$8,Config!$B$8-Q991,""))</f>
        <v/>
      </c>
      <c r="T991" s="26">
        <f>IF(S991="","","Sim")</f>
        <v/>
      </c>
      <c r="U991" s="41">
        <f>IF(T991="Sim",S991+ROW()/100000,0)</f>
        <v>0</v>
      </c>
      <c r="V991" s="41">
        <f>IF(AND(H991="Falta",L991=Config!$B$7,M991=Config!$B$5,COUNTIFS($E$5:E991,E991,$H$5:H991,"Falta",$L$5:L991,Config!$B$7,$M$5:M991,Config!$B$5)=1),COUNTIFS($E$5:$E$3004,E991,$H$5:$H$3004,"Falta",$L$5:$L$3004,Config!$B$7,$M$5:$M$3004,Config!$B$5)*1000-ROW()/100000,0)</f>
        <v>0</v>
      </c>
    </row>
    <row r="992">
      <c r="A992" s="39" t="n">
        <v>46274</v>
      </c>
      <c r="B992" s="40" t="n">
        <v>0.6041666666666666</v>
      </c>
      <c r="C992" s="35" t="inlineStr">
        <is>
          <t>Dra. Carolina Mendes</t>
        </is>
      </c>
      <c r="D992" s="35" t="inlineStr">
        <is>
          <t>Sala 1</t>
        </is>
      </c>
      <c r="E992" s="34" t="inlineStr">
        <is>
          <t>Carlos Castro</t>
        </is>
      </c>
      <c r="F992" s="35" t="inlineStr">
        <is>
          <t>Saúde Total</t>
        </is>
      </c>
      <c r="G992" s="35" t="inlineStr">
        <is>
          <t>Retorno</t>
        </is>
      </c>
      <c r="H992" s="35" t="inlineStr">
        <is>
          <t>Realizado</t>
        </is>
      </c>
      <c r="I992" s="35" t="inlineStr">
        <is>
          <t>Sem cobrança</t>
        </is>
      </c>
      <c r="J992" s="35" t="n"/>
      <c r="K992" s="34" t="n"/>
      <c r="L992" s="26">
        <f>IF(A992="","",MONTH(A992))</f>
        <v>9</v>
      </c>
      <c r="M992" s="26">
        <f>IF(A992="","",YEAR(A992))</f>
        <v>2026</v>
      </c>
      <c r="N992" s="26" t="str">
        <f>IF(A992="","",CHOOSE(WEEKDAY(A992,2),"Segunda","Terça","Quarta","Quinta","Sexta","Sábado","Domingo"))</f>
        <v>Quarta</v>
      </c>
      <c r="O992" s="26" t="str">
        <f>IF(B992="","",IF(B992&lt;TIME(12,0,0),"Manhã",IF(B992&lt;TIME(18,0,0),"Tarde","Noite")))</f>
        <v>Tarde</v>
      </c>
      <c r="P992" s="32">
        <f>IF(G992="","",IFERROR(INDEX(Config!$I$5:$I$16,MATCH(G992,Config!$H$5:$H$16,0)),0))</f>
        <v>0</v>
      </c>
      <c r="Q992" s="30">
        <f>IF(OR(H992&lt;&gt;"Realizado",P992="",P992=0),"",A992+P992)</f>
        <v/>
      </c>
      <c r="R992" s="26">
        <f>IF(Q992="","",IF(COUNTIFS($E$5:$E$3004,E992,$A$5:$A$3004,"&gt;"&amp;A992,$H$5:$H$3004,"&lt;&gt;Falta",$H$5:$H$3004,"&lt;&gt;Cancelado",$H$5:$H$3004,"&lt;&gt;Remarcado")&gt;0,"Sim","Não"))</f>
        <v/>
      </c>
      <c r="S992" s="32">
        <f>IF(R992&lt;&gt;"Não","",IF(Q992+Config!$B$9&lt;=Config!$B$8,Config!$B$8-Q992,""))</f>
        <v/>
      </c>
      <c r="T992" s="26">
        <f>IF(S992="","","Sim")</f>
        <v/>
      </c>
      <c r="U992" s="41">
        <f>IF(T992="Sim",S992+ROW()/100000,0)</f>
        <v>0</v>
      </c>
      <c r="V992" s="41">
        <f>IF(AND(H992="Falta",L992=Config!$B$7,M992=Config!$B$5,COUNTIFS($E$5:E992,E992,$H$5:H992,"Falta",$L$5:L992,Config!$B$7,$M$5:M992,Config!$B$5)=1),COUNTIFS($E$5:$E$3004,E992,$H$5:$H$3004,"Falta",$L$5:$L$3004,Config!$B$7,$M$5:$M$3004,Config!$B$5)*1000-ROW()/100000,0)</f>
        <v>0</v>
      </c>
    </row>
    <row r="993">
      <c r="A993" s="39" t="n">
        <v>46274</v>
      </c>
      <c r="B993" s="40" t="n">
        <v>0.6180555555555556</v>
      </c>
      <c r="C993" s="35" t="inlineStr">
        <is>
          <t>Dra. Carolina Mendes</t>
        </is>
      </c>
      <c r="D993" s="35" t="inlineStr">
        <is>
          <t>Sala 1</t>
        </is>
      </c>
      <c r="E993" s="34" t="inlineStr">
        <is>
          <t>Sérgio Martins</t>
        </is>
      </c>
      <c r="F993" s="35" t="inlineStr">
        <is>
          <t>Particular</t>
        </is>
      </c>
      <c r="G993" s="35" t="inlineStr">
        <is>
          <t>Retorno</t>
        </is>
      </c>
      <c r="H993" s="35" t="inlineStr">
        <is>
          <t>Realizado</t>
        </is>
      </c>
      <c r="I993" s="35" t="inlineStr">
        <is>
          <t>Sem cobrança</t>
        </is>
      </c>
      <c r="J993" s="35" t="n"/>
      <c r="K993" s="34" t="n"/>
      <c r="L993" s="26">
        <f>IF(A993="","",MONTH(A993))</f>
        <v>9</v>
      </c>
      <c r="M993" s="26">
        <f>IF(A993="","",YEAR(A993))</f>
        <v>2026</v>
      </c>
      <c r="N993" s="26" t="str">
        <f>IF(A993="","",CHOOSE(WEEKDAY(A993,2),"Segunda","Terça","Quarta","Quinta","Sexta","Sábado","Domingo"))</f>
        <v>Quarta</v>
      </c>
      <c r="O993" s="26" t="str">
        <f>IF(B993="","",IF(B993&lt;TIME(12,0,0),"Manhã",IF(B993&lt;TIME(18,0,0),"Tarde","Noite")))</f>
        <v>Tarde</v>
      </c>
      <c r="P993" s="32">
        <f>IF(G993="","",IFERROR(INDEX(Config!$I$5:$I$16,MATCH(G993,Config!$H$5:$H$16,0)),0))</f>
        <v>0</v>
      </c>
      <c r="Q993" s="30">
        <f>IF(OR(H993&lt;&gt;"Realizado",P993="",P993=0),"",A993+P993)</f>
        <v/>
      </c>
      <c r="R993" s="26">
        <f>IF(Q993="","",IF(COUNTIFS($E$5:$E$3004,E993,$A$5:$A$3004,"&gt;"&amp;A993,$H$5:$H$3004,"&lt;&gt;Falta",$H$5:$H$3004,"&lt;&gt;Cancelado",$H$5:$H$3004,"&lt;&gt;Remarcado")&gt;0,"Sim","Não"))</f>
        <v/>
      </c>
      <c r="S993" s="32">
        <f>IF(R993&lt;&gt;"Não","",IF(Q993+Config!$B$9&lt;=Config!$B$8,Config!$B$8-Q993,""))</f>
        <v/>
      </c>
      <c r="T993" s="26">
        <f>IF(S993="","","Sim")</f>
        <v/>
      </c>
      <c r="U993" s="41">
        <f>IF(T993="Sim",S993+ROW()/100000,0)</f>
        <v>0</v>
      </c>
      <c r="V993" s="41">
        <f>IF(AND(H993="Falta",L993=Config!$B$7,M993=Config!$B$5,COUNTIFS($E$5:E993,E993,$H$5:H993,"Falta",$L$5:L993,Config!$B$7,$M$5:M993,Config!$B$5)=1),COUNTIFS($E$5:$E$3004,E993,$H$5:$H$3004,"Falta",$L$5:$L$3004,Config!$B$7,$M$5:$M$3004,Config!$B$5)*1000-ROW()/100000,0)</f>
        <v>0</v>
      </c>
    </row>
    <row r="994">
      <c r="A994" s="39" t="n">
        <v>46274</v>
      </c>
      <c r="B994" s="40" t="n">
        <v>0.6319444444444444</v>
      </c>
      <c r="C994" s="35" t="inlineStr">
        <is>
          <t>Dra. Carolina Mendes</t>
        </is>
      </c>
      <c r="D994" s="35" t="inlineStr">
        <is>
          <t>Sala 1</t>
        </is>
      </c>
      <c r="E994" s="34" t="inlineStr">
        <is>
          <t>Simone Monteiro</t>
        </is>
      </c>
      <c r="F994" s="35" t="inlineStr">
        <is>
          <t>Vida Care</t>
        </is>
      </c>
      <c r="G994" s="35" t="inlineStr">
        <is>
          <t>Consulta</t>
        </is>
      </c>
      <c r="H994" s="35" t="inlineStr">
        <is>
          <t>Realizado</t>
        </is>
      </c>
      <c r="I994" s="35" t="inlineStr">
        <is>
          <t>Convênio</t>
        </is>
      </c>
      <c r="J994" s="35" t="n"/>
      <c r="K994" s="34" t="n"/>
      <c r="L994" s="26">
        <f>IF(A994="","",MONTH(A994))</f>
        <v>9</v>
      </c>
      <c r="M994" s="26">
        <f>IF(A994="","",YEAR(A994))</f>
        <v>2026</v>
      </c>
      <c r="N994" s="26" t="str">
        <f>IF(A994="","",CHOOSE(WEEKDAY(A994,2),"Segunda","Terça","Quarta","Quinta","Sexta","Sábado","Domingo"))</f>
        <v>Quarta</v>
      </c>
      <c r="O994" s="26" t="str">
        <f>IF(B994="","",IF(B994&lt;TIME(12,0,0),"Manhã",IF(B994&lt;TIME(18,0,0),"Tarde","Noite")))</f>
        <v>Tarde</v>
      </c>
      <c r="P994" s="32">
        <f>IF(G994="","",IFERROR(INDEX(Config!$I$5:$I$16,MATCH(G994,Config!$H$5:$H$16,0)),0))</f>
        <v>30</v>
      </c>
      <c r="Q994" s="30">
        <f>IF(OR(H994&lt;&gt;"Realizado",P994="",P994=0),"",A994+P994)</f>
        <v>46304.0</v>
      </c>
      <c r="R994" s="26" t="str">
        <f>IF(Q994="","",IF(COUNTIFS($E$5:$E$3004,E994,$A$5:$A$3004,"&gt;"&amp;A994,$H$5:$H$3004,"&lt;&gt;Falta",$H$5:$H$3004,"&lt;&gt;Cancelado",$H$5:$H$3004,"&lt;&gt;Remarcado")&gt;0,"Sim","Não"))</f>
        <v>Sim</v>
      </c>
      <c r="S994" s="32">
        <f>IF(R994&lt;&gt;"Não","",IF(Q994+Config!$B$9&lt;=Config!$B$8,Config!$B$8-Q994,""))</f>
        <v/>
      </c>
      <c r="T994" s="26">
        <f>IF(S994="","","Sim")</f>
        <v/>
      </c>
      <c r="U994" s="41">
        <f>IF(T994="Sim",S994+ROW()/100000,0)</f>
        <v>0</v>
      </c>
      <c r="V994" s="41">
        <f>IF(AND(H994="Falta",L994=Config!$B$7,M994=Config!$B$5,COUNTIFS($E$5:E994,E994,$H$5:H994,"Falta",$L$5:L994,Config!$B$7,$M$5:M994,Config!$B$5)=1),COUNTIFS($E$5:$E$3004,E994,$H$5:$H$3004,"Falta",$L$5:$L$3004,Config!$B$7,$M$5:$M$3004,Config!$B$5)*1000-ROW()/100000,0)</f>
        <v>0</v>
      </c>
    </row>
    <row r="995">
      <c r="A995" s="39" t="n">
        <v>46274</v>
      </c>
      <c r="B995" s="40" t="n">
        <v>0.6527777777777778</v>
      </c>
      <c r="C995" s="35" t="inlineStr">
        <is>
          <t>Dra. Carolina Mendes</t>
        </is>
      </c>
      <c r="D995" s="35" t="inlineStr">
        <is>
          <t>Sala 1</t>
        </is>
      </c>
      <c r="E995" s="34" t="inlineStr">
        <is>
          <t>Gisele Ribeiro</t>
        </is>
      </c>
      <c r="F995" s="35" t="inlineStr">
        <is>
          <t>Particular</t>
        </is>
      </c>
      <c r="G995" s="35" t="inlineStr">
        <is>
          <t>Consulta</t>
        </is>
      </c>
      <c r="H995" s="35" t="inlineStr">
        <is>
          <t>Realizado</t>
        </is>
      </c>
      <c r="I995" s="35" t="inlineStr">
        <is>
          <t>Cartão de crédito</t>
        </is>
      </c>
      <c r="J995" s="35" t="n">
        <v>2</v>
      </c>
      <c r="K995" s="34" t="n"/>
      <c r="L995" s="26">
        <f>IF(A995="","",MONTH(A995))</f>
        <v>9</v>
      </c>
      <c r="M995" s="26">
        <f>IF(A995="","",YEAR(A995))</f>
        <v>2026</v>
      </c>
      <c r="N995" s="26" t="str">
        <f>IF(A995="","",CHOOSE(WEEKDAY(A995,2),"Segunda","Terça","Quarta","Quinta","Sexta","Sábado","Domingo"))</f>
        <v>Quarta</v>
      </c>
      <c r="O995" s="26" t="str">
        <f>IF(B995="","",IF(B995&lt;TIME(12,0,0),"Manhã",IF(B995&lt;TIME(18,0,0),"Tarde","Noite")))</f>
        <v>Tarde</v>
      </c>
      <c r="P995" s="32">
        <f>IF(G995="","",IFERROR(INDEX(Config!$I$5:$I$16,MATCH(G995,Config!$H$5:$H$16,0)),0))</f>
        <v>30</v>
      </c>
      <c r="Q995" s="30">
        <f>IF(OR(H995&lt;&gt;"Realizado",P995="",P995=0),"",A995+P995)</f>
        <v>46304.0</v>
      </c>
      <c r="R995" s="26" t="str">
        <f>IF(Q995="","",IF(COUNTIFS($E$5:$E$3004,E995,$A$5:$A$3004,"&gt;"&amp;A995,$H$5:$H$3004,"&lt;&gt;Falta",$H$5:$H$3004,"&lt;&gt;Cancelado",$H$5:$H$3004,"&lt;&gt;Remarcado")&gt;0,"Sim","Não"))</f>
        <v>Sim</v>
      </c>
      <c r="S995" s="32">
        <f>IF(R995&lt;&gt;"Não","",IF(Q995+Config!$B$9&lt;=Config!$B$8,Config!$B$8-Q995,""))</f>
        <v/>
      </c>
      <c r="T995" s="26">
        <f>IF(S995="","","Sim")</f>
        <v/>
      </c>
      <c r="U995" s="41">
        <f>IF(T995="Sim",S995+ROW()/100000,0)</f>
        <v>0</v>
      </c>
      <c r="V995" s="41">
        <f>IF(AND(H995="Falta",L995=Config!$B$7,M995=Config!$B$5,COUNTIFS($E$5:E995,E995,$H$5:H995,"Falta",$L$5:L995,Config!$B$7,$M$5:M995,Config!$B$5)=1),COUNTIFS($E$5:$E$3004,E995,$H$5:$H$3004,"Falta",$L$5:$L$3004,Config!$B$7,$M$5:$M$3004,Config!$B$5)*1000-ROW()/100000,0)</f>
        <v>0</v>
      </c>
    </row>
    <row r="996">
      <c r="A996" s="39" t="n">
        <v>46274</v>
      </c>
      <c r="B996" s="40" t="n">
        <v>0.6736111111111112</v>
      </c>
      <c r="C996" s="35" t="inlineStr">
        <is>
          <t>Dra. Carolina Mendes</t>
        </is>
      </c>
      <c r="D996" s="35" t="inlineStr">
        <is>
          <t>Sala 1</t>
        </is>
      </c>
      <c r="E996" s="34" t="inlineStr">
        <is>
          <t>Roberta Fernandes</t>
        </is>
      </c>
      <c r="F996" s="35" t="inlineStr">
        <is>
          <t>Saúde Total</t>
        </is>
      </c>
      <c r="G996" s="35" t="inlineStr">
        <is>
          <t>Consulta</t>
        </is>
      </c>
      <c r="H996" s="35" t="inlineStr">
        <is>
          <t>Realizado</t>
        </is>
      </c>
      <c r="I996" s="35" t="inlineStr">
        <is>
          <t>Convênio</t>
        </is>
      </c>
      <c r="J996" s="35" t="n"/>
      <c r="K996" s="34" t="n"/>
      <c r="L996" s="26">
        <f>IF(A996="","",MONTH(A996))</f>
        <v>9</v>
      </c>
      <c r="M996" s="26">
        <f>IF(A996="","",YEAR(A996))</f>
        <v>2026</v>
      </c>
      <c r="N996" s="26" t="str">
        <f>IF(A996="","",CHOOSE(WEEKDAY(A996,2),"Segunda","Terça","Quarta","Quinta","Sexta","Sábado","Domingo"))</f>
        <v>Quarta</v>
      </c>
      <c r="O996" s="26" t="str">
        <f>IF(B996="","",IF(B996&lt;TIME(12,0,0),"Manhã",IF(B996&lt;TIME(18,0,0),"Tarde","Noite")))</f>
        <v>Tarde</v>
      </c>
      <c r="P996" s="32">
        <f>IF(G996="","",IFERROR(INDEX(Config!$I$5:$I$16,MATCH(G996,Config!$H$5:$H$16,0)),0))</f>
        <v>30</v>
      </c>
      <c r="Q996" s="30">
        <f>IF(OR(H996&lt;&gt;"Realizado",P996="",P996=0),"",A996+P996)</f>
        <v>46304.0</v>
      </c>
      <c r="R996" s="26" t="str">
        <f>IF(Q996="","",IF(COUNTIFS($E$5:$E$3004,E996,$A$5:$A$3004,"&gt;"&amp;A996,$H$5:$H$3004,"&lt;&gt;Falta",$H$5:$H$3004,"&lt;&gt;Cancelado",$H$5:$H$3004,"&lt;&gt;Remarcado")&gt;0,"Sim","Não"))</f>
        <v>Sim</v>
      </c>
      <c r="S996" s="32">
        <f>IF(R996&lt;&gt;"Não","",IF(Q996+Config!$B$9&lt;=Config!$B$8,Config!$B$8-Q996,""))</f>
        <v/>
      </c>
      <c r="T996" s="26">
        <f>IF(S996="","","Sim")</f>
        <v/>
      </c>
      <c r="U996" s="41">
        <f>IF(T996="Sim",S996+ROW()/100000,0)</f>
        <v>0</v>
      </c>
      <c r="V996" s="41">
        <f>IF(AND(H996="Falta",L996=Config!$B$7,M996=Config!$B$5,COUNTIFS($E$5:E996,E996,$H$5:H996,"Falta",$L$5:L996,Config!$B$7,$M$5:M996,Config!$B$5)=1),COUNTIFS($E$5:$E$3004,E996,$H$5:$H$3004,"Falta",$L$5:$L$3004,Config!$B$7,$M$5:$M$3004,Config!$B$5)*1000-ROW()/100000,0)</f>
        <v>0</v>
      </c>
    </row>
    <row r="997">
      <c r="A997" s="39" t="n">
        <v>46274</v>
      </c>
      <c r="B997" s="40" t="n">
        <v>0.6944444444444444</v>
      </c>
      <c r="C997" s="35" t="inlineStr">
        <is>
          <t>Dra. Carolina Mendes</t>
        </is>
      </c>
      <c r="D997" s="35" t="inlineStr">
        <is>
          <t>Sala 1</t>
        </is>
      </c>
      <c r="E997" s="34" t="inlineStr">
        <is>
          <t>Gustavo Ferreira</t>
        </is>
      </c>
      <c r="F997" s="35" t="inlineStr">
        <is>
          <t>Particular</t>
        </is>
      </c>
      <c r="G997" s="35" t="inlineStr">
        <is>
          <t>Consulta</t>
        </is>
      </c>
      <c r="H997" s="35" t="inlineStr">
        <is>
          <t>Realizado</t>
        </is>
      </c>
      <c r="I997" s="35" t="inlineStr">
        <is>
          <t>Pix</t>
        </is>
      </c>
      <c r="J997" s="35" t="n"/>
      <c r="K997" s="34" t="n"/>
      <c r="L997" s="26">
        <f>IF(A997="","",MONTH(A997))</f>
        <v>9</v>
      </c>
      <c r="M997" s="26">
        <f>IF(A997="","",YEAR(A997))</f>
        <v>2026</v>
      </c>
      <c r="N997" s="26" t="str">
        <f>IF(A997="","",CHOOSE(WEEKDAY(A997,2),"Segunda","Terça","Quarta","Quinta","Sexta","Sábado","Domingo"))</f>
        <v>Quarta</v>
      </c>
      <c r="O997" s="26" t="str">
        <f>IF(B997="","",IF(B997&lt;TIME(12,0,0),"Manhã",IF(B997&lt;TIME(18,0,0),"Tarde","Noite")))</f>
        <v>Tarde</v>
      </c>
      <c r="P997" s="32">
        <f>IF(G997="","",IFERROR(INDEX(Config!$I$5:$I$16,MATCH(G997,Config!$H$5:$H$16,0)),0))</f>
        <v>30</v>
      </c>
      <c r="Q997" s="30">
        <f>IF(OR(H997&lt;&gt;"Realizado",P997="",P997=0),"",A997+P997)</f>
        <v>46304.0</v>
      </c>
      <c r="R997" s="26" t="str">
        <f>IF(Q997="","",IF(COUNTIFS($E$5:$E$3004,E997,$A$5:$A$3004,"&gt;"&amp;A997,$H$5:$H$3004,"&lt;&gt;Falta",$H$5:$H$3004,"&lt;&gt;Cancelado",$H$5:$H$3004,"&lt;&gt;Remarcado")&gt;0,"Sim","Não"))</f>
        <v>Sim</v>
      </c>
      <c r="S997" s="32">
        <f>IF(R997&lt;&gt;"Não","",IF(Q997+Config!$B$9&lt;=Config!$B$8,Config!$B$8-Q997,""))</f>
        <v/>
      </c>
      <c r="T997" s="26">
        <f>IF(S997="","","Sim")</f>
        <v/>
      </c>
      <c r="U997" s="41">
        <f>IF(T997="Sim",S997+ROW()/100000,0)</f>
        <v>0</v>
      </c>
      <c r="V997" s="41">
        <f>IF(AND(H997="Falta",L997=Config!$B$7,M997=Config!$B$5,COUNTIFS($E$5:E997,E997,$H$5:H997,"Falta",$L$5:L997,Config!$B$7,$M$5:M997,Config!$B$5)=1),COUNTIFS($E$5:$E$3004,E997,$H$5:$H$3004,"Falta",$L$5:$L$3004,Config!$B$7,$M$5:$M$3004,Config!$B$5)*1000-ROW()/100000,0)</f>
        <v>0</v>
      </c>
    </row>
    <row r="998">
      <c r="A998" s="39" t="n">
        <v>46274</v>
      </c>
      <c r="B998" s="40" t="n">
        <v>0.7152777777777778</v>
      </c>
      <c r="C998" s="35" t="inlineStr">
        <is>
          <t>Dra. Carolina Mendes</t>
        </is>
      </c>
      <c r="D998" s="35" t="inlineStr">
        <is>
          <t>Sala 1</t>
        </is>
      </c>
      <c r="E998" s="34" t="inlineStr">
        <is>
          <t>Cláudia Santos</t>
        </is>
      </c>
      <c r="F998" s="35" t="inlineStr">
        <is>
          <t>Particular</t>
        </is>
      </c>
      <c r="G998" s="35" t="inlineStr">
        <is>
          <t>Consulta</t>
        </is>
      </c>
      <c r="H998" s="35" t="inlineStr">
        <is>
          <t>Realizado</t>
        </is>
      </c>
      <c r="I998" s="35" t="inlineStr">
        <is>
          <t>Cartão de débito</t>
        </is>
      </c>
      <c r="J998" s="35" t="n"/>
      <c r="K998" s="34" t="n"/>
      <c r="L998" s="26">
        <f>IF(A998="","",MONTH(A998))</f>
        <v>9</v>
      </c>
      <c r="M998" s="26">
        <f>IF(A998="","",YEAR(A998))</f>
        <v>2026</v>
      </c>
      <c r="N998" s="26" t="str">
        <f>IF(A998="","",CHOOSE(WEEKDAY(A998,2),"Segunda","Terça","Quarta","Quinta","Sexta","Sábado","Domingo"))</f>
        <v>Quarta</v>
      </c>
      <c r="O998" s="26" t="str">
        <f>IF(B998="","",IF(B998&lt;TIME(12,0,0),"Manhã",IF(B998&lt;TIME(18,0,0),"Tarde","Noite")))</f>
        <v>Tarde</v>
      </c>
      <c r="P998" s="32">
        <f>IF(G998="","",IFERROR(INDEX(Config!$I$5:$I$16,MATCH(G998,Config!$H$5:$H$16,0)),0))</f>
        <v>30</v>
      </c>
      <c r="Q998" s="30">
        <f>IF(OR(H998&lt;&gt;"Realizado",P998="",P998=0),"",A998+P998)</f>
        <v>46304.0</v>
      </c>
      <c r="R998" s="26" t="str">
        <f>IF(Q998="","",IF(COUNTIFS($E$5:$E$3004,E998,$A$5:$A$3004,"&gt;"&amp;A998,$H$5:$H$3004,"&lt;&gt;Falta",$H$5:$H$3004,"&lt;&gt;Cancelado",$H$5:$H$3004,"&lt;&gt;Remarcado")&gt;0,"Sim","Não"))</f>
        <v>Sim</v>
      </c>
      <c r="S998" s="32">
        <f>IF(R998&lt;&gt;"Não","",IF(Q998+Config!$B$9&lt;=Config!$B$8,Config!$B$8-Q998,""))</f>
        <v/>
      </c>
      <c r="T998" s="26">
        <f>IF(S998="","","Sim")</f>
        <v/>
      </c>
      <c r="U998" s="41">
        <f>IF(T998="Sim",S998+ROW()/100000,0)</f>
        <v>0</v>
      </c>
      <c r="V998" s="41">
        <f>IF(AND(H998="Falta",L998=Config!$B$7,M998=Config!$B$5,COUNTIFS($E$5:E998,E998,$H$5:H998,"Falta",$L$5:L998,Config!$B$7,$M$5:M998,Config!$B$5)=1),COUNTIFS($E$5:$E$3004,E998,$H$5:$H$3004,"Falta",$L$5:$L$3004,Config!$B$7,$M$5:$M$3004,Config!$B$5)*1000-ROW()/100000,0)</f>
        <v>0</v>
      </c>
    </row>
    <row r="999">
      <c r="A999" s="39" t="n">
        <v>46275</v>
      </c>
      <c r="B999" s="40" t="n">
        <v>0.3333333333333333</v>
      </c>
      <c r="C999" s="35" t="inlineStr">
        <is>
          <t>Dra. Carolina Mendes</t>
        </is>
      </c>
      <c r="D999" s="35" t="inlineStr">
        <is>
          <t>Sala 1</t>
        </is>
      </c>
      <c r="E999" s="34" t="inlineStr">
        <is>
          <t>Helena Moreira</t>
        </is>
      </c>
      <c r="F999" s="35" t="inlineStr">
        <is>
          <t>Particular</t>
        </is>
      </c>
      <c r="G999" s="35" t="inlineStr">
        <is>
          <t>Consulta</t>
        </is>
      </c>
      <c r="H999" s="35" t="inlineStr">
        <is>
          <t>Realizado</t>
        </is>
      </c>
      <c r="I999" s="35" t="inlineStr">
        <is>
          <t>Cartão de crédito</t>
        </is>
      </c>
      <c r="J999" s="35" t="n"/>
      <c r="K999" s="34" t="n"/>
      <c r="L999" s="26">
        <f>IF(A999="","",MONTH(A999))</f>
        <v>9</v>
      </c>
      <c r="M999" s="26">
        <f>IF(A999="","",YEAR(A999))</f>
        <v>2026</v>
      </c>
      <c r="N999" s="26" t="str">
        <f>IF(A999="","",CHOOSE(WEEKDAY(A999,2),"Segunda","Terça","Quarta","Quinta","Sexta","Sábado","Domingo"))</f>
        <v>Quinta</v>
      </c>
      <c r="O999" s="26" t="str">
        <f>IF(B999="","",IF(B999&lt;TIME(12,0,0),"Manhã",IF(B999&lt;TIME(18,0,0),"Tarde","Noite")))</f>
        <v>Manhã</v>
      </c>
      <c r="P999" s="32">
        <f>IF(G999="","",IFERROR(INDEX(Config!$I$5:$I$16,MATCH(G999,Config!$H$5:$H$16,0)),0))</f>
        <v>30</v>
      </c>
      <c r="Q999" s="30">
        <f>IF(OR(H999&lt;&gt;"Realizado",P999="",P999=0),"",A999+P999)</f>
        <v>46305.0</v>
      </c>
      <c r="R999" s="26" t="str">
        <f>IF(Q999="","",IF(COUNTIFS($E$5:$E$3004,E999,$A$5:$A$3004,"&gt;"&amp;A999,$H$5:$H$3004,"&lt;&gt;Falta",$H$5:$H$3004,"&lt;&gt;Cancelado",$H$5:$H$3004,"&lt;&gt;Remarcado")&gt;0,"Sim","Não"))</f>
        <v>Sim</v>
      </c>
      <c r="S999" s="32">
        <f>IF(R999&lt;&gt;"Não","",IF(Q999+Config!$B$9&lt;=Config!$B$8,Config!$B$8-Q999,""))</f>
        <v/>
      </c>
      <c r="T999" s="26">
        <f>IF(S999="","","Sim")</f>
        <v/>
      </c>
      <c r="U999" s="41">
        <f>IF(T999="Sim",S999+ROW()/100000,0)</f>
        <v>0</v>
      </c>
      <c r="V999" s="41">
        <f>IF(AND(H999="Falta",L999=Config!$B$7,M999=Config!$B$5,COUNTIFS($E$5:E999,E999,$H$5:H999,"Falta",$L$5:L999,Config!$B$7,$M$5:M999,Config!$B$5)=1),COUNTIFS($E$5:$E$3004,E999,$H$5:$H$3004,"Falta",$L$5:$L$3004,Config!$B$7,$M$5:$M$3004,Config!$B$5)*1000-ROW()/100000,0)</f>
        <v>0</v>
      </c>
    </row>
    <row r="1000">
      <c r="A1000" s="39" t="n">
        <v>46275</v>
      </c>
      <c r="B1000" s="40" t="n">
        <v>0.3541666666666667</v>
      </c>
      <c r="C1000" s="35" t="inlineStr">
        <is>
          <t>Dra. Carolina Mendes</t>
        </is>
      </c>
      <c r="D1000" s="35" t="inlineStr">
        <is>
          <t>Sala 1</t>
        </is>
      </c>
      <c r="E1000" s="34" t="inlineStr">
        <is>
          <t>Regina Macedo</t>
        </is>
      </c>
      <c r="F1000" s="35" t="inlineStr">
        <is>
          <t>Particular</t>
        </is>
      </c>
      <c r="G1000" s="35" t="inlineStr">
        <is>
          <t>Consulta</t>
        </is>
      </c>
      <c r="H1000" s="35" t="inlineStr">
        <is>
          <t>Realizado</t>
        </is>
      </c>
      <c r="I1000" s="35" t="inlineStr">
        <is>
          <t>Pix</t>
        </is>
      </c>
      <c r="J1000" s="35" t="n"/>
      <c r="K1000" s="34" t="n"/>
      <c r="L1000" s="26">
        <f>IF(A1000="","",MONTH(A1000))</f>
        <v>9</v>
      </c>
      <c r="M1000" s="26">
        <f>IF(A1000="","",YEAR(A1000))</f>
        <v>2026</v>
      </c>
      <c r="N1000" s="26" t="str">
        <f>IF(A1000="","",CHOOSE(WEEKDAY(A1000,2),"Segunda","Terça","Quarta","Quinta","Sexta","Sábado","Domingo"))</f>
        <v>Quinta</v>
      </c>
      <c r="O1000" s="26" t="str">
        <f>IF(B1000="","",IF(B1000&lt;TIME(12,0,0),"Manhã",IF(B1000&lt;TIME(18,0,0),"Tarde","Noite")))</f>
        <v>Manhã</v>
      </c>
      <c r="P1000" s="32">
        <f>IF(G1000="","",IFERROR(INDEX(Config!$I$5:$I$16,MATCH(G1000,Config!$H$5:$H$16,0)),0))</f>
        <v>30</v>
      </c>
      <c r="Q1000" s="30">
        <f>IF(OR(H1000&lt;&gt;"Realizado",P1000="",P1000=0),"",A1000+P1000)</f>
        <v>46305.0</v>
      </c>
      <c r="R1000" s="26" t="str">
        <f>IF(Q1000="","",IF(COUNTIFS($E$5:$E$3004,E1000,$A$5:$A$3004,"&gt;"&amp;A1000,$H$5:$H$3004,"&lt;&gt;Falta",$H$5:$H$3004,"&lt;&gt;Cancelado",$H$5:$H$3004,"&lt;&gt;Remarcado")&gt;0,"Sim","Não"))</f>
        <v>Sim</v>
      </c>
      <c r="S1000" s="32">
        <f>IF(R1000&lt;&gt;"Não","",IF(Q1000+Config!$B$9&lt;=Config!$B$8,Config!$B$8-Q1000,""))</f>
        <v/>
      </c>
      <c r="T1000" s="26">
        <f>IF(S1000="","","Sim")</f>
        <v/>
      </c>
      <c r="U1000" s="41">
        <f>IF(T1000="Sim",S1000+ROW()/100000,0)</f>
        <v>0</v>
      </c>
      <c r="V1000" s="41">
        <f>IF(AND(H1000="Falta",L1000=Config!$B$7,M1000=Config!$B$5,COUNTIFS($E$5:E1000,E1000,$H$5:H1000,"Falta",$L$5:L1000,Config!$B$7,$M$5:M1000,Config!$B$5)=1),COUNTIFS($E$5:$E$3004,E1000,$H$5:$H$3004,"Falta",$L$5:$L$3004,Config!$B$7,$M$5:$M$3004,Config!$B$5)*1000-ROW()/100000,0)</f>
        <v>0</v>
      </c>
    </row>
    <row r="1001">
      <c r="A1001" s="39" t="n">
        <v>46275</v>
      </c>
      <c r="B1001" s="40" t="n">
        <v>0.375</v>
      </c>
      <c r="C1001" s="35" t="inlineStr">
        <is>
          <t>Dra. Carolina Mendes</t>
        </is>
      </c>
      <c r="D1001" s="35" t="inlineStr">
        <is>
          <t>Sala 1</t>
        </is>
      </c>
      <c r="E1001" s="34" t="inlineStr">
        <is>
          <t>Rafael Dias</t>
        </is>
      </c>
      <c r="F1001" s="35" t="inlineStr">
        <is>
          <t>Particular</t>
        </is>
      </c>
      <c r="G1001" s="35" t="inlineStr">
        <is>
          <t>Consulta</t>
        </is>
      </c>
      <c r="H1001" s="35" t="inlineStr">
        <is>
          <t>Realizado</t>
        </is>
      </c>
      <c r="I1001" s="35" t="inlineStr">
        <is>
          <t>Cartão de débito</t>
        </is>
      </c>
      <c r="J1001" s="35" t="n"/>
      <c r="K1001" s="34" t="n"/>
      <c r="L1001" s="26">
        <f>IF(A1001="","",MONTH(A1001))</f>
        <v>9</v>
      </c>
      <c r="M1001" s="26">
        <f>IF(A1001="","",YEAR(A1001))</f>
        <v>2026</v>
      </c>
      <c r="N1001" s="26" t="str">
        <f>IF(A1001="","",CHOOSE(WEEKDAY(A1001,2),"Segunda","Terça","Quarta","Quinta","Sexta","Sábado","Domingo"))</f>
        <v>Quinta</v>
      </c>
      <c r="O1001" s="26" t="str">
        <f>IF(B1001="","",IF(B1001&lt;TIME(12,0,0),"Manhã",IF(B1001&lt;TIME(18,0,0),"Tarde","Noite")))</f>
        <v>Manhã</v>
      </c>
      <c r="P1001" s="32">
        <f>IF(G1001="","",IFERROR(INDEX(Config!$I$5:$I$16,MATCH(G1001,Config!$H$5:$H$16,0)),0))</f>
        <v>30</v>
      </c>
      <c r="Q1001" s="30">
        <f>IF(OR(H1001&lt;&gt;"Realizado",P1001="",P1001=0),"",A1001+P1001)</f>
        <v>46305.0</v>
      </c>
      <c r="R1001" s="26" t="str">
        <f>IF(Q1001="","",IF(COUNTIFS($E$5:$E$3004,E1001,$A$5:$A$3004,"&gt;"&amp;A1001,$H$5:$H$3004,"&lt;&gt;Falta",$H$5:$H$3004,"&lt;&gt;Cancelado",$H$5:$H$3004,"&lt;&gt;Remarcado")&gt;0,"Sim","Não"))</f>
        <v>Sim</v>
      </c>
      <c r="S1001" s="32">
        <f>IF(R1001&lt;&gt;"Não","",IF(Q1001+Config!$B$9&lt;=Config!$B$8,Config!$B$8-Q1001,""))</f>
        <v/>
      </c>
      <c r="T1001" s="26">
        <f>IF(S1001="","","Sim")</f>
        <v/>
      </c>
      <c r="U1001" s="41">
        <f>IF(T1001="Sim",S1001+ROW()/100000,0)</f>
        <v>0</v>
      </c>
      <c r="V1001" s="41">
        <f>IF(AND(H1001="Falta",L1001=Config!$B$7,M1001=Config!$B$5,COUNTIFS($E$5:E1001,E1001,$H$5:H1001,"Falta",$L$5:L1001,Config!$B$7,$M$5:M1001,Config!$B$5)=1),COUNTIFS($E$5:$E$3004,E1001,$H$5:$H$3004,"Falta",$L$5:$L$3004,Config!$B$7,$M$5:$M$3004,Config!$B$5)*1000-ROW()/100000,0)</f>
        <v>0</v>
      </c>
    </row>
    <row r="1002">
      <c r="A1002" s="39" t="n">
        <v>46275</v>
      </c>
      <c r="B1002" s="40" t="n">
        <v>0.3958333333333333</v>
      </c>
      <c r="C1002" s="35" t="inlineStr">
        <is>
          <t>Dra. Carolina Mendes</t>
        </is>
      </c>
      <c r="D1002" s="35" t="inlineStr">
        <is>
          <t>Sala 1</t>
        </is>
      </c>
      <c r="E1002" s="34" t="inlineStr">
        <is>
          <t>Isabela Nascimento</t>
        </is>
      </c>
      <c r="F1002" s="35" t="inlineStr">
        <is>
          <t>Vida Care</t>
        </is>
      </c>
      <c r="G1002" s="35" t="inlineStr">
        <is>
          <t>Consulta</t>
        </is>
      </c>
      <c r="H1002" s="35" t="inlineStr">
        <is>
          <t>Realizado</t>
        </is>
      </c>
      <c r="I1002" s="35" t="inlineStr">
        <is>
          <t>Convênio</t>
        </is>
      </c>
      <c r="J1002" s="35" t="n"/>
      <c r="K1002" s="34" t="n"/>
      <c r="L1002" s="26">
        <f>IF(A1002="","",MONTH(A1002))</f>
        <v>9</v>
      </c>
      <c r="M1002" s="26">
        <f>IF(A1002="","",YEAR(A1002))</f>
        <v>2026</v>
      </c>
      <c r="N1002" s="26" t="str">
        <f>IF(A1002="","",CHOOSE(WEEKDAY(A1002,2),"Segunda","Terça","Quarta","Quinta","Sexta","Sábado","Domingo"))</f>
        <v>Quinta</v>
      </c>
      <c r="O1002" s="26" t="str">
        <f>IF(B1002="","",IF(B1002&lt;TIME(12,0,0),"Manhã",IF(B1002&lt;TIME(18,0,0),"Tarde","Noite")))</f>
        <v>Manhã</v>
      </c>
      <c r="P1002" s="32">
        <f>IF(G1002="","",IFERROR(INDEX(Config!$I$5:$I$16,MATCH(G1002,Config!$H$5:$H$16,0)),0))</f>
        <v>30</v>
      </c>
      <c r="Q1002" s="30">
        <f>IF(OR(H1002&lt;&gt;"Realizado",P1002="",P1002=0),"",A1002+P1002)</f>
        <v>46305.0</v>
      </c>
      <c r="R1002" s="26" t="str">
        <f>IF(Q1002="","",IF(COUNTIFS($E$5:$E$3004,E1002,$A$5:$A$3004,"&gt;"&amp;A1002,$H$5:$H$3004,"&lt;&gt;Falta",$H$5:$H$3004,"&lt;&gt;Cancelado",$H$5:$H$3004,"&lt;&gt;Remarcado")&gt;0,"Sim","Não"))</f>
        <v>Sim</v>
      </c>
      <c r="S1002" s="32">
        <f>IF(R1002&lt;&gt;"Não","",IF(Q1002+Config!$B$9&lt;=Config!$B$8,Config!$B$8-Q1002,""))</f>
        <v/>
      </c>
      <c r="T1002" s="26">
        <f>IF(S1002="","","Sim")</f>
        <v/>
      </c>
      <c r="U1002" s="41">
        <f>IF(T1002="Sim",S1002+ROW()/100000,0)</f>
        <v>0</v>
      </c>
      <c r="V1002" s="41">
        <f>IF(AND(H1002="Falta",L1002=Config!$B$7,M1002=Config!$B$5,COUNTIFS($E$5:E1002,E1002,$H$5:H1002,"Falta",$L$5:L1002,Config!$B$7,$M$5:M1002,Config!$B$5)=1),COUNTIFS($E$5:$E$3004,E1002,$H$5:$H$3004,"Falta",$L$5:$L$3004,Config!$B$7,$M$5:$M$3004,Config!$B$5)*1000-ROW()/100000,0)</f>
        <v>0</v>
      </c>
    </row>
    <row r="1003">
      <c r="A1003" s="39" t="n">
        <v>46275</v>
      </c>
      <c r="B1003" s="40" t="n">
        <v>0.4166666666666667</v>
      </c>
      <c r="C1003" s="35" t="inlineStr">
        <is>
          <t>Dra. Carolina Mendes</t>
        </is>
      </c>
      <c r="D1003" s="35" t="inlineStr">
        <is>
          <t>Sala 1</t>
        </is>
      </c>
      <c r="E1003" s="34" t="inlineStr">
        <is>
          <t>Larissa Costa</t>
        </is>
      </c>
      <c r="F1003" s="35" t="inlineStr">
        <is>
          <t>Particular</t>
        </is>
      </c>
      <c r="G1003" s="35" t="inlineStr">
        <is>
          <t>Consulta</t>
        </is>
      </c>
      <c r="H1003" s="35" t="inlineStr">
        <is>
          <t>Realizado</t>
        </is>
      </c>
      <c r="I1003" s="35" t="inlineStr">
        <is>
          <t>A prazo</t>
        </is>
      </c>
      <c r="J1003" s="35" t="n"/>
      <c r="K1003" s="34" t="n"/>
      <c r="L1003" s="26">
        <f>IF(A1003="","",MONTH(A1003))</f>
        <v>9</v>
      </c>
      <c r="M1003" s="26">
        <f>IF(A1003="","",YEAR(A1003))</f>
        <v>2026</v>
      </c>
      <c r="N1003" s="26" t="str">
        <f>IF(A1003="","",CHOOSE(WEEKDAY(A1003,2),"Segunda","Terça","Quarta","Quinta","Sexta","Sábado","Domingo"))</f>
        <v>Quinta</v>
      </c>
      <c r="O1003" s="26" t="str">
        <f>IF(B1003="","",IF(B1003&lt;TIME(12,0,0),"Manhã",IF(B1003&lt;TIME(18,0,0),"Tarde","Noite")))</f>
        <v>Manhã</v>
      </c>
      <c r="P1003" s="32">
        <f>IF(G1003="","",IFERROR(INDEX(Config!$I$5:$I$16,MATCH(G1003,Config!$H$5:$H$16,0)),0))</f>
        <v>30</v>
      </c>
      <c r="Q1003" s="30">
        <f>IF(OR(H1003&lt;&gt;"Realizado",P1003="",P1003=0),"",A1003+P1003)</f>
        <v>46305.0</v>
      </c>
      <c r="R1003" s="26" t="str">
        <f>IF(Q1003="","",IF(COUNTIFS($E$5:$E$3004,E1003,$A$5:$A$3004,"&gt;"&amp;A1003,$H$5:$H$3004,"&lt;&gt;Falta",$H$5:$H$3004,"&lt;&gt;Cancelado",$H$5:$H$3004,"&lt;&gt;Remarcado")&gt;0,"Sim","Não"))</f>
        <v>Sim</v>
      </c>
      <c r="S1003" s="32">
        <f>IF(R1003&lt;&gt;"Não","",IF(Q1003+Config!$B$9&lt;=Config!$B$8,Config!$B$8-Q1003,""))</f>
        <v/>
      </c>
      <c r="T1003" s="26">
        <f>IF(S1003="","","Sim")</f>
        <v/>
      </c>
      <c r="U1003" s="41">
        <f>IF(T1003="Sim",S1003+ROW()/100000,0)</f>
        <v>0</v>
      </c>
      <c r="V1003" s="41">
        <f>IF(AND(H1003="Falta",L1003=Config!$B$7,M1003=Config!$B$5,COUNTIFS($E$5:E1003,E1003,$H$5:H1003,"Falta",$L$5:L1003,Config!$B$7,$M$5:M1003,Config!$B$5)=1),COUNTIFS($E$5:$E$3004,E1003,$H$5:$H$3004,"Falta",$L$5:$L$3004,Config!$B$7,$M$5:$M$3004,Config!$B$5)*1000-ROW()/100000,0)</f>
        <v>0</v>
      </c>
    </row>
    <row r="1004">
      <c r="A1004" s="39" t="n">
        <v>46275</v>
      </c>
      <c r="B1004" s="40" t="n">
        <v>0.4375</v>
      </c>
      <c r="C1004" s="35" t="inlineStr">
        <is>
          <t>Dra. Carolina Mendes</t>
        </is>
      </c>
      <c r="D1004" s="35" t="inlineStr">
        <is>
          <t>Sala 1</t>
        </is>
      </c>
      <c r="E1004" s="34" t="inlineStr">
        <is>
          <t>Sérgio Batista</t>
        </is>
      </c>
      <c r="F1004" s="35" t="inlineStr">
        <is>
          <t>MediPlan</t>
        </is>
      </c>
      <c r="G1004" s="35" t="inlineStr">
        <is>
          <t>Consulta</t>
        </is>
      </c>
      <c r="H1004" s="35" t="inlineStr">
        <is>
          <t>Realizado</t>
        </is>
      </c>
      <c r="I1004" s="35" t="inlineStr">
        <is>
          <t>Convênio</t>
        </is>
      </c>
      <c r="J1004" s="35" t="n"/>
      <c r="K1004" s="34" t="n"/>
      <c r="L1004" s="26">
        <f>IF(A1004="","",MONTH(A1004))</f>
        <v>9</v>
      </c>
      <c r="M1004" s="26">
        <f>IF(A1004="","",YEAR(A1004))</f>
        <v>2026</v>
      </c>
      <c r="N1004" s="26" t="str">
        <f>IF(A1004="","",CHOOSE(WEEKDAY(A1004,2),"Segunda","Terça","Quarta","Quinta","Sexta","Sábado","Domingo"))</f>
        <v>Quinta</v>
      </c>
      <c r="O1004" s="26" t="str">
        <f>IF(B1004="","",IF(B1004&lt;TIME(12,0,0),"Manhã",IF(B1004&lt;TIME(18,0,0),"Tarde","Noite")))</f>
        <v>Manhã</v>
      </c>
      <c r="P1004" s="32">
        <f>IF(G1004="","",IFERROR(INDEX(Config!$I$5:$I$16,MATCH(G1004,Config!$H$5:$H$16,0)),0))</f>
        <v>30</v>
      </c>
      <c r="Q1004" s="30">
        <f>IF(OR(H1004&lt;&gt;"Realizado",P1004="",P1004=0),"",A1004+P1004)</f>
        <v>46305.0</v>
      </c>
      <c r="R1004" s="26" t="str">
        <f>IF(Q1004="","",IF(COUNTIFS($E$5:$E$3004,E1004,$A$5:$A$3004,"&gt;"&amp;A1004,$H$5:$H$3004,"&lt;&gt;Falta",$H$5:$H$3004,"&lt;&gt;Cancelado",$H$5:$H$3004,"&lt;&gt;Remarcado")&gt;0,"Sim","Não"))</f>
        <v>Sim</v>
      </c>
      <c r="S1004" s="32">
        <f>IF(R1004&lt;&gt;"Não","",IF(Q1004+Config!$B$9&lt;=Config!$B$8,Config!$B$8-Q1004,""))</f>
        <v/>
      </c>
      <c r="T1004" s="26">
        <f>IF(S1004="","","Sim")</f>
        <v/>
      </c>
      <c r="U1004" s="41">
        <f>IF(T1004="Sim",S1004+ROW()/100000,0)</f>
        <v>0</v>
      </c>
      <c r="V1004" s="41">
        <f>IF(AND(H1004="Falta",L1004=Config!$B$7,M1004=Config!$B$5,COUNTIFS($E$5:E1004,E1004,$H$5:H1004,"Falta",$L$5:L1004,Config!$B$7,$M$5:M1004,Config!$B$5)=1),COUNTIFS($E$5:$E$3004,E1004,$H$5:$H$3004,"Falta",$L$5:$L$3004,Config!$B$7,$M$5:$M$3004,Config!$B$5)*1000-ROW()/100000,0)</f>
        <v>0</v>
      </c>
    </row>
    <row r="1005">
      <c r="A1005" s="39" t="n">
        <v>46275</v>
      </c>
      <c r="B1005" s="40" t="n">
        <v>0.4583333333333333</v>
      </c>
      <c r="C1005" s="35" t="inlineStr">
        <is>
          <t>Dra. Carolina Mendes</t>
        </is>
      </c>
      <c r="D1005" s="35" t="inlineStr">
        <is>
          <t>Sala 1</t>
        </is>
      </c>
      <c r="E1005" s="34" t="inlineStr">
        <is>
          <t>Mateus Lima</t>
        </is>
      </c>
      <c r="F1005" s="35" t="inlineStr">
        <is>
          <t>MediPlan</t>
        </is>
      </c>
      <c r="G1005" s="35" t="inlineStr">
        <is>
          <t>Consulta</t>
        </is>
      </c>
      <c r="H1005" s="35" t="inlineStr">
        <is>
          <t>Realizado</t>
        </is>
      </c>
      <c r="I1005" s="35" t="inlineStr">
        <is>
          <t>Convênio</t>
        </is>
      </c>
      <c r="J1005" s="35" t="n"/>
      <c r="K1005" s="34" t="n"/>
      <c r="L1005" s="26">
        <f>IF(A1005="","",MONTH(A1005))</f>
        <v>9</v>
      </c>
      <c r="M1005" s="26">
        <f>IF(A1005="","",YEAR(A1005))</f>
        <v>2026</v>
      </c>
      <c r="N1005" s="26" t="str">
        <f>IF(A1005="","",CHOOSE(WEEKDAY(A1005,2),"Segunda","Terça","Quarta","Quinta","Sexta","Sábado","Domingo"))</f>
        <v>Quinta</v>
      </c>
      <c r="O1005" s="26" t="str">
        <f>IF(B1005="","",IF(B1005&lt;TIME(12,0,0),"Manhã",IF(B1005&lt;TIME(18,0,0),"Tarde","Noite")))</f>
        <v>Manhã</v>
      </c>
      <c r="P1005" s="32">
        <f>IF(G1005="","",IFERROR(INDEX(Config!$I$5:$I$16,MATCH(G1005,Config!$H$5:$H$16,0)),0))</f>
        <v>30</v>
      </c>
      <c r="Q1005" s="30">
        <f>IF(OR(H1005&lt;&gt;"Realizado",P1005="",P1005=0),"",A1005+P1005)</f>
        <v>46305.0</v>
      </c>
      <c r="R1005" s="26" t="str">
        <f>IF(Q1005="","",IF(COUNTIFS($E$5:$E$3004,E1005,$A$5:$A$3004,"&gt;"&amp;A1005,$H$5:$H$3004,"&lt;&gt;Falta",$H$5:$H$3004,"&lt;&gt;Cancelado",$H$5:$H$3004,"&lt;&gt;Remarcado")&gt;0,"Sim","Não"))</f>
        <v>Sim</v>
      </c>
      <c r="S1005" s="32">
        <f>IF(R1005&lt;&gt;"Não","",IF(Q1005+Config!$B$9&lt;=Config!$B$8,Config!$B$8-Q1005,""))</f>
        <v/>
      </c>
      <c r="T1005" s="26">
        <f>IF(S1005="","","Sim")</f>
        <v/>
      </c>
      <c r="U1005" s="41">
        <f>IF(T1005="Sim",S1005+ROW()/100000,0)</f>
        <v>0</v>
      </c>
      <c r="V1005" s="41">
        <f>IF(AND(H1005="Falta",L1005=Config!$B$7,M1005=Config!$B$5,COUNTIFS($E$5:E1005,E1005,$H$5:H1005,"Falta",$L$5:L1005,Config!$B$7,$M$5:M1005,Config!$B$5)=1),COUNTIFS($E$5:$E$3004,E1005,$H$5:$H$3004,"Falta",$L$5:$L$3004,Config!$B$7,$M$5:$M$3004,Config!$B$5)*1000-ROW()/100000,0)</f>
        <v>0</v>
      </c>
    </row>
    <row r="1006">
      <c r="A1006" s="39" t="n">
        <v>46275</v>
      </c>
      <c r="B1006" s="40" t="n">
        <v>0.4791666666666667</v>
      </c>
      <c r="C1006" s="35" t="inlineStr">
        <is>
          <t>Dra. Carolina Mendes</t>
        </is>
      </c>
      <c r="D1006" s="35" t="inlineStr">
        <is>
          <t>Sala 1</t>
        </is>
      </c>
      <c r="E1006" s="34" t="inlineStr">
        <is>
          <t>Mônica Batista</t>
        </is>
      </c>
      <c r="F1006" s="35" t="inlineStr">
        <is>
          <t>MediPlan</t>
        </is>
      </c>
      <c r="G1006" s="35" t="inlineStr">
        <is>
          <t>Consulta</t>
        </is>
      </c>
      <c r="H1006" s="35" t="inlineStr">
        <is>
          <t>Realizado</t>
        </is>
      </c>
      <c r="I1006" s="35" t="inlineStr">
        <is>
          <t>Convênio</t>
        </is>
      </c>
      <c r="J1006" s="35" t="n"/>
      <c r="K1006" s="34" t="n"/>
      <c r="L1006" s="26">
        <f>IF(A1006="","",MONTH(A1006))</f>
        <v>9</v>
      </c>
      <c r="M1006" s="26">
        <f>IF(A1006="","",YEAR(A1006))</f>
        <v>2026</v>
      </c>
      <c r="N1006" s="26" t="str">
        <f>IF(A1006="","",CHOOSE(WEEKDAY(A1006,2),"Segunda","Terça","Quarta","Quinta","Sexta","Sábado","Domingo"))</f>
        <v>Quinta</v>
      </c>
      <c r="O1006" s="26" t="str">
        <f>IF(B1006="","",IF(B1006&lt;TIME(12,0,0),"Manhã",IF(B1006&lt;TIME(18,0,0),"Tarde","Noite")))</f>
        <v>Manhã</v>
      </c>
      <c r="P1006" s="32">
        <f>IF(G1006="","",IFERROR(INDEX(Config!$I$5:$I$16,MATCH(G1006,Config!$H$5:$H$16,0)),0))</f>
        <v>30</v>
      </c>
      <c r="Q1006" s="30">
        <f>IF(OR(H1006&lt;&gt;"Realizado",P1006="",P1006=0),"",A1006+P1006)</f>
        <v>46305.0</v>
      </c>
      <c r="R1006" s="26" t="str">
        <f>IF(Q1006="","",IF(COUNTIFS($E$5:$E$3004,E1006,$A$5:$A$3004,"&gt;"&amp;A1006,$H$5:$H$3004,"&lt;&gt;Falta",$H$5:$H$3004,"&lt;&gt;Cancelado",$H$5:$H$3004,"&lt;&gt;Remarcado")&gt;0,"Sim","Não"))</f>
        <v>Sim</v>
      </c>
      <c r="S1006" s="32">
        <f>IF(R1006&lt;&gt;"Não","",IF(Q1006+Config!$B$9&lt;=Config!$B$8,Config!$B$8-Q1006,""))</f>
        <v/>
      </c>
      <c r="T1006" s="26">
        <f>IF(S1006="","","Sim")</f>
        <v/>
      </c>
      <c r="U1006" s="41">
        <f>IF(T1006="Sim",S1006+ROW()/100000,0)</f>
        <v>0</v>
      </c>
      <c r="V1006" s="41">
        <f>IF(AND(H1006="Falta",L1006=Config!$B$7,M1006=Config!$B$5,COUNTIFS($E$5:E1006,E1006,$H$5:H1006,"Falta",$L$5:L1006,Config!$B$7,$M$5:M1006,Config!$B$5)=1),COUNTIFS($E$5:$E$3004,E1006,$H$5:$H$3004,"Falta",$L$5:$L$3004,Config!$B$7,$M$5:$M$3004,Config!$B$5)*1000-ROW()/100000,0)</f>
        <v>0</v>
      </c>
    </row>
    <row r="1007">
      <c r="A1007" s="39" t="n">
        <v>46275</v>
      </c>
      <c r="B1007" s="40" t="n">
        <v>0.5833333333333334</v>
      </c>
      <c r="C1007" s="35" t="inlineStr">
        <is>
          <t>Dra. Renata Sousa</t>
        </is>
      </c>
      <c r="D1007" s="35" t="inlineStr">
        <is>
          <t>Sala 1</t>
        </is>
      </c>
      <c r="E1007" s="34" t="inlineStr">
        <is>
          <t>Priscila Reis</t>
        </is>
      </c>
      <c r="F1007" s="35" t="inlineStr">
        <is>
          <t>Particular</t>
        </is>
      </c>
      <c r="G1007" s="35" t="inlineStr">
        <is>
          <t>Retorno</t>
        </is>
      </c>
      <c r="H1007" s="35" t="inlineStr">
        <is>
          <t>Realizado</t>
        </is>
      </c>
      <c r="I1007" s="35" t="inlineStr">
        <is>
          <t>Sem cobrança</t>
        </is>
      </c>
      <c r="J1007" s="35" t="n"/>
      <c r="K1007" s="34" t="n"/>
      <c r="L1007" s="26">
        <f>IF(A1007="","",MONTH(A1007))</f>
        <v>9</v>
      </c>
      <c r="M1007" s="26">
        <f>IF(A1007="","",YEAR(A1007))</f>
        <v>2026</v>
      </c>
      <c r="N1007" s="26" t="str">
        <f>IF(A1007="","",CHOOSE(WEEKDAY(A1007,2),"Segunda","Terça","Quarta","Quinta","Sexta","Sábado","Domingo"))</f>
        <v>Quinta</v>
      </c>
      <c r="O1007" s="26" t="str">
        <f>IF(B1007="","",IF(B1007&lt;TIME(12,0,0),"Manhã",IF(B1007&lt;TIME(18,0,0),"Tarde","Noite")))</f>
        <v>Tarde</v>
      </c>
      <c r="P1007" s="32">
        <f>IF(G1007="","",IFERROR(INDEX(Config!$I$5:$I$16,MATCH(G1007,Config!$H$5:$H$16,0)),0))</f>
        <v>0</v>
      </c>
      <c r="Q1007" s="30">
        <f>IF(OR(H1007&lt;&gt;"Realizado",P1007="",P1007=0),"",A1007+P1007)</f>
        <v/>
      </c>
      <c r="R1007" s="26">
        <f>IF(Q1007="","",IF(COUNTIFS($E$5:$E$3004,E1007,$A$5:$A$3004,"&gt;"&amp;A1007,$H$5:$H$3004,"&lt;&gt;Falta",$H$5:$H$3004,"&lt;&gt;Cancelado",$H$5:$H$3004,"&lt;&gt;Remarcado")&gt;0,"Sim","Não"))</f>
        <v/>
      </c>
      <c r="S1007" s="32">
        <f>IF(R1007&lt;&gt;"Não","",IF(Q1007+Config!$B$9&lt;=Config!$B$8,Config!$B$8-Q1007,""))</f>
        <v/>
      </c>
      <c r="T1007" s="26">
        <f>IF(S1007="","","Sim")</f>
        <v/>
      </c>
      <c r="U1007" s="41">
        <f>IF(T1007="Sim",S1007+ROW()/100000,0)</f>
        <v>0</v>
      </c>
      <c r="V1007" s="41">
        <f>IF(AND(H1007="Falta",L1007=Config!$B$7,M1007=Config!$B$5,COUNTIFS($E$5:E1007,E1007,$H$5:H1007,"Falta",$L$5:L1007,Config!$B$7,$M$5:M1007,Config!$B$5)=1),COUNTIFS($E$5:$E$3004,E1007,$H$5:$H$3004,"Falta",$L$5:$L$3004,Config!$B$7,$M$5:$M$3004,Config!$B$5)*1000-ROW()/100000,0)</f>
        <v>0</v>
      </c>
    </row>
    <row r="1008">
      <c r="A1008" s="39" t="n">
        <v>46275</v>
      </c>
      <c r="B1008" s="40" t="n">
        <v>0.5833333333333334</v>
      </c>
      <c r="C1008" s="35" t="inlineStr">
        <is>
          <t>Dr. Paulo Andrade</t>
        </is>
      </c>
      <c r="D1008" s="35" t="inlineStr">
        <is>
          <t>Sala 2</t>
        </is>
      </c>
      <c r="E1008" s="34" t="inlineStr">
        <is>
          <t>Gabriel Vieira</t>
        </is>
      </c>
      <c r="F1008" s="35" t="inlineStr">
        <is>
          <t>Vida Care</t>
        </is>
      </c>
      <c r="G1008" s="35" t="inlineStr">
        <is>
          <t>Retorno</t>
        </is>
      </c>
      <c r="H1008" s="35" t="inlineStr">
        <is>
          <t>Realizado</t>
        </is>
      </c>
      <c r="I1008" s="35" t="inlineStr">
        <is>
          <t>Sem cobrança</t>
        </is>
      </c>
      <c r="J1008" s="35" t="n"/>
      <c r="K1008" s="34" t="n"/>
      <c r="L1008" s="26">
        <f>IF(A1008="","",MONTH(A1008))</f>
        <v>9</v>
      </c>
      <c r="M1008" s="26">
        <f>IF(A1008="","",YEAR(A1008))</f>
        <v>2026</v>
      </c>
      <c r="N1008" s="26" t="str">
        <f>IF(A1008="","",CHOOSE(WEEKDAY(A1008,2),"Segunda","Terça","Quarta","Quinta","Sexta","Sábado","Domingo"))</f>
        <v>Quinta</v>
      </c>
      <c r="O1008" s="26" t="str">
        <f>IF(B1008="","",IF(B1008&lt;TIME(12,0,0),"Manhã",IF(B1008&lt;TIME(18,0,0),"Tarde","Noite")))</f>
        <v>Tarde</v>
      </c>
      <c r="P1008" s="32">
        <f>IF(G1008="","",IFERROR(INDEX(Config!$I$5:$I$16,MATCH(G1008,Config!$H$5:$H$16,0)),0))</f>
        <v>0</v>
      </c>
      <c r="Q1008" s="30">
        <f>IF(OR(H1008&lt;&gt;"Realizado",P1008="",P1008=0),"",A1008+P1008)</f>
        <v/>
      </c>
      <c r="R1008" s="26">
        <f>IF(Q1008="","",IF(COUNTIFS($E$5:$E$3004,E1008,$A$5:$A$3004,"&gt;"&amp;A1008,$H$5:$H$3004,"&lt;&gt;Falta",$H$5:$H$3004,"&lt;&gt;Cancelado",$H$5:$H$3004,"&lt;&gt;Remarcado")&gt;0,"Sim","Não"))</f>
        <v/>
      </c>
      <c r="S1008" s="32">
        <f>IF(R1008&lt;&gt;"Não","",IF(Q1008+Config!$B$9&lt;=Config!$B$8,Config!$B$8-Q1008,""))</f>
        <v/>
      </c>
      <c r="T1008" s="26">
        <f>IF(S1008="","","Sim")</f>
        <v/>
      </c>
      <c r="U1008" s="41">
        <f>IF(T1008="Sim",S1008+ROW()/100000,0)</f>
        <v>0</v>
      </c>
      <c r="V1008" s="41">
        <f>IF(AND(H1008="Falta",L1008=Config!$B$7,M1008=Config!$B$5,COUNTIFS($E$5:E1008,E1008,$H$5:H1008,"Falta",$L$5:L1008,Config!$B$7,$M$5:M1008,Config!$B$5)=1),COUNTIFS($E$5:$E$3004,E1008,$H$5:$H$3004,"Falta",$L$5:$L$3004,Config!$B$7,$M$5:$M$3004,Config!$B$5)*1000-ROW()/100000,0)</f>
        <v>0</v>
      </c>
    </row>
    <row r="1009">
      <c r="A1009" s="39" t="n">
        <v>46275</v>
      </c>
      <c r="B1009" s="40" t="n">
        <v>0.5972222222222222</v>
      </c>
      <c r="C1009" s="35" t="inlineStr">
        <is>
          <t>Dra. Renata Sousa</t>
        </is>
      </c>
      <c r="D1009" s="35" t="inlineStr">
        <is>
          <t>Sala 1</t>
        </is>
      </c>
      <c r="E1009" s="34" t="inlineStr">
        <is>
          <t>Rodrigo Cardoso</t>
        </is>
      </c>
      <c r="F1009" s="35" t="inlineStr">
        <is>
          <t>Saúde Total</t>
        </is>
      </c>
      <c r="G1009" s="35" t="inlineStr">
        <is>
          <t>Avaliação endócrina</t>
        </is>
      </c>
      <c r="H1009" s="35" t="inlineStr">
        <is>
          <t>Realizado</t>
        </is>
      </c>
      <c r="I1009" s="35" t="inlineStr">
        <is>
          <t>Convênio</t>
        </is>
      </c>
      <c r="J1009" s="35" t="n"/>
      <c r="K1009" s="34" t="n"/>
      <c r="L1009" s="26">
        <f>IF(A1009="","",MONTH(A1009))</f>
        <v>9</v>
      </c>
      <c r="M1009" s="26">
        <f>IF(A1009="","",YEAR(A1009))</f>
        <v>2026</v>
      </c>
      <c r="N1009" s="26" t="str">
        <f>IF(A1009="","",CHOOSE(WEEKDAY(A1009,2),"Segunda","Terça","Quarta","Quinta","Sexta","Sábado","Domingo"))</f>
        <v>Quinta</v>
      </c>
      <c r="O1009" s="26" t="str">
        <f>IF(B1009="","",IF(B1009&lt;TIME(12,0,0),"Manhã",IF(B1009&lt;TIME(18,0,0),"Tarde","Noite")))</f>
        <v>Tarde</v>
      </c>
      <c r="P1009" s="32">
        <f>IF(G1009="","",IFERROR(INDEX(Config!$I$5:$I$16,MATCH(G1009,Config!$H$5:$H$16,0)),0))</f>
        <v>45</v>
      </c>
      <c r="Q1009" s="30">
        <f>IF(OR(H1009&lt;&gt;"Realizado",P1009="",P1009=0),"",A1009+P1009)</f>
        <v>46320.0</v>
      </c>
      <c r="R1009" s="26" t="str">
        <f>IF(Q1009="","",IF(COUNTIFS($E$5:$E$3004,E1009,$A$5:$A$3004,"&gt;"&amp;A1009,$H$5:$H$3004,"&lt;&gt;Falta",$H$5:$H$3004,"&lt;&gt;Cancelado",$H$5:$H$3004,"&lt;&gt;Remarcado")&gt;0,"Sim","Não"))</f>
        <v>Sim</v>
      </c>
      <c r="S1009" s="32">
        <f>IF(R1009&lt;&gt;"Não","",IF(Q1009+Config!$B$9&lt;=Config!$B$8,Config!$B$8-Q1009,""))</f>
        <v/>
      </c>
      <c r="T1009" s="26">
        <f>IF(S1009="","","Sim")</f>
        <v/>
      </c>
      <c r="U1009" s="41">
        <f>IF(T1009="Sim",S1009+ROW()/100000,0)</f>
        <v>0</v>
      </c>
      <c r="V1009" s="41">
        <f>IF(AND(H1009="Falta",L1009=Config!$B$7,M1009=Config!$B$5,COUNTIFS($E$5:E1009,E1009,$H$5:H1009,"Falta",$L$5:L1009,Config!$B$7,$M$5:M1009,Config!$B$5)=1),COUNTIFS($E$5:$E$3004,E1009,$H$5:$H$3004,"Falta",$L$5:$L$3004,Config!$B$7,$M$5:$M$3004,Config!$B$5)*1000-ROW()/100000,0)</f>
        <v>0</v>
      </c>
    </row>
    <row r="1010">
      <c r="A1010" s="39" t="n">
        <v>46275</v>
      </c>
      <c r="B1010" s="40" t="n">
        <v>0.625</v>
      </c>
      <c r="C1010" s="35" t="inlineStr">
        <is>
          <t>Dra. Renata Sousa</t>
        </is>
      </c>
      <c r="D1010" s="35" t="inlineStr">
        <is>
          <t>Sala 1</t>
        </is>
      </c>
      <c r="E1010" s="34" t="inlineStr">
        <is>
          <t>Mônica Almeida</t>
        </is>
      </c>
      <c r="F1010" s="35" t="inlineStr">
        <is>
          <t>Particular</t>
        </is>
      </c>
      <c r="G1010" s="35" t="inlineStr">
        <is>
          <t>Avaliação endócrina</t>
        </is>
      </c>
      <c r="H1010" s="35" t="inlineStr">
        <is>
          <t>Realizado</t>
        </is>
      </c>
      <c r="I1010" s="35" t="inlineStr">
        <is>
          <t>Pix</t>
        </is>
      </c>
      <c r="J1010" s="35" t="n"/>
      <c r="K1010" s="34" t="n"/>
      <c r="L1010" s="26">
        <f>IF(A1010="","",MONTH(A1010))</f>
        <v>9</v>
      </c>
      <c r="M1010" s="26">
        <f>IF(A1010="","",YEAR(A1010))</f>
        <v>2026</v>
      </c>
      <c r="N1010" s="26" t="str">
        <f>IF(A1010="","",CHOOSE(WEEKDAY(A1010,2),"Segunda","Terça","Quarta","Quinta","Sexta","Sábado","Domingo"))</f>
        <v>Quinta</v>
      </c>
      <c r="O1010" s="26" t="str">
        <f>IF(B1010="","",IF(B1010&lt;TIME(12,0,0),"Manhã",IF(B1010&lt;TIME(18,0,0),"Tarde","Noite")))</f>
        <v>Tarde</v>
      </c>
      <c r="P1010" s="32">
        <f>IF(G1010="","",IFERROR(INDEX(Config!$I$5:$I$16,MATCH(G1010,Config!$H$5:$H$16,0)),0))</f>
        <v>45</v>
      </c>
      <c r="Q1010" s="30">
        <f>IF(OR(H1010&lt;&gt;"Realizado",P1010="",P1010=0),"",A1010+P1010)</f>
        <v>46320.0</v>
      </c>
      <c r="R1010" s="26" t="str">
        <f>IF(Q1010="","",IF(COUNTIFS($E$5:$E$3004,E1010,$A$5:$A$3004,"&gt;"&amp;A1010,$H$5:$H$3004,"&lt;&gt;Falta",$H$5:$H$3004,"&lt;&gt;Cancelado",$H$5:$H$3004,"&lt;&gt;Remarcado")&gt;0,"Sim","Não"))</f>
        <v>Sim</v>
      </c>
      <c r="S1010" s="32">
        <f>IF(R1010&lt;&gt;"Não","",IF(Q1010+Config!$B$9&lt;=Config!$B$8,Config!$B$8-Q1010,""))</f>
        <v/>
      </c>
      <c r="T1010" s="26">
        <f>IF(S1010="","","Sim")</f>
        <v/>
      </c>
      <c r="U1010" s="41">
        <f>IF(T1010="Sim",S1010+ROW()/100000,0)</f>
        <v>0</v>
      </c>
      <c r="V1010" s="41">
        <f>IF(AND(H1010="Falta",L1010=Config!$B$7,M1010=Config!$B$5,COUNTIFS($E$5:E1010,E1010,$H$5:H1010,"Falta",$L$5:L1010,Config!$B$7,$M$5:M1010,Config!$B$5)=1),COUNTIFS($E$5:$E$3004,E1010,$H$5:$H$3004,"Falta",$L$5:$L$3004,Config!$B$7,$M$5:$M$3004,Config!$B$5)*1000-ROW()/100000,0)</f>
        <v>0</v>
      </c>
    </row>
    <row r="1011">
      <c r="A1011" s="39" t="n">
        <v>46275</v>
      </c>
      <c r="B1011" s="40" t="n">
        <v>0.6527777777777778</v>
      </c>
      <c r="C1011" s="35" t="inlineStr">
        <is>
          <t>Dra. Renata Sousa</t>
        </is>
      </c>
      <c r="D1011" s="35" t="inlineStr">
        <is>
          <t>Sala 1</t>
        </is>
      </c>
      <c r="E1011" s="34" t="inlineStr">
        <is>
          <t>Tatiana Macedo</t>
        </is>
      </c>
      <c r="F1011" s="35" t="inlineStr">
        <is>
          <t>Particular</t>
        </is>
      </c>
      <c r="G1011" s="35" t="inlineStr">
        <is>
          <t>Avaliação endócrina</t>
        </is>
      </c>
      <c r="H1011" s="35" t="inlineStr">
        <is>
          <t>Realizado</t>
        </is>
      </c>
      <c r="I1011" s="35" t="inlineStr">
        <is>
          <t>A prazo</t>
        </is>
      </c>
      <c r="J1011" s="35" t="n"/>
      <c r="K1011" s="34" t="n"/>
      <c r="L1011" s="26">
        <f>IF(A1011="","",MONTH(A1011))</f>
        <v>9</v>
      </c>
      <c r="M1011" s="26">
        <f>IF(A1011="","",YEAR(A1011))</f>
        <v>2026</v>
      </c>
      <c r="N1011" s="26" t="str">
        <f>IF(A1011="","",CHOOSE(WEEKDAY(A1011,2),"Segunda","Terça","Quarta","Quinta","Sexta","Sábado","Domingo"))</f>
        <v>Quinta</v>
      </c>
      <c r="O1011" s="26" t="str">
        <f>IF(B1011="","",IF(B1011&lt;TIME(12,0,0),"Manhã",IF(B1011&lt;TIME(18,0,0),"Tarde","Noite")))</f>
        <v>Tarde</v>
      </c>
      <c r="P1011" s="32">
        <f>IF(G1011="","",IFERROR(INDEX(Config!$I$5:$I$16,MATCH(G1011,Config!$H$5:$H$16,0)),0))</f>
        <v>45</v>
      </c>
      <c r="Q1011" s="30">
        <f>IF(OR(H1011&lt;&gt;"Realizado",P1011="",P1011=0),"",A1011+P1011)</f>
        <v>46320.0</v>
      </c>
      <c r="R1011" s="26" t="str">
        <f>IF(Q1011="","",IF(COUNTIFS($E$5:$E$3004,E1011,$A$5:$A$3004,"&gt;"&amp;A1011,$H$5:$H$3004,"&lt;&gt;Falta",$H$5:$H$3004,"&lt;&gt;Cancelado",$H$5:$H$3004,"&lt;&gt;Remarcado")&gt;0,"Sim","Não"))</f>
        <v>Sim</v>
      </c>
      <c r="S1011" s="32">
        <f>IF(R1011&lt;&gt;"Não","",IF(Q1011+Config!$B$9&lt;=Config!$B$8,Config!$B$8-Q1011,""))</f>
        <v/>
      </c>
      <c r="T1011" s="26">
        <f>IF(S1011="","","Sim")</f>
        <v/>
      </c>
      <c r="U1011" s="41">
        <f>IF(T1011="Sim",S1011+ROW()/100000,0)</f>
        <v>0</v>
      </c>
      <c r="V1011" s="41">
        <f>IF(AND(H1011="Falta",L1011=Config!$B$7,M1011=Config!$B$5,COUNTIFS($E$5:E1011,E1011,$H$5:H1011,"Falta",$L$5:L1011,Config!$B$7,$M$5:M1011,Config!$B$5)=1),COUNTIFS($E$5:$E$3004,E1011,$H$5:$H$3004,"Falta",$L$5:$L$3004,Config!$B$7,$M$5:$M$3004,Config!$B$5)*1000-ROW()/100000,0)</f>
        <v>0</v>
      </c>
    </row>
    <row r="1012">
      <c r="A1012" s="39" t="n">
        <v>46275</v>
      </c>
      <c r="B1012" s="40" t="n">
        <v>0.6805555555555556</v>
      </c>
      <c r="C1012" s="35" t="inlineStr">
        <is>
          <t>Dra. Renata Sousa</t>
        </is>
      </c>
      <c r="D1012" s="35" t="inlineStr">
        <is>
          <t>Sala 1</t>
        </is>
      </c>
      <c r="E1012" s="34" t="inlineStr">
        <is>
          <t>Cláudia Melo</t>
        </is>
      </c>
      <c r="F1012" s="35" t="inlineStr">
        <is>
          <t>Particular</t>
        </is>
      </c>
      <c r="G1012" s="35" t="inlineStr">
        <is>
          <t>Avaliação endócrina</t>
        </is>
      </c>
      <c r="H1012" s="35" t="inlineStr">
        <is>
          <t>Realizado</t>
        </is>
      </c>
      <c r="I1012" s="35" t="inlineStr">
        <is>
          <t>Cartão de crédito</t>
        </is>
      </c>
      <c r="J1012" s="35" t="n"/>
      <c r="K1012" s="34" t="n"/>
      <c r="L1012" s="26">
        <f>IF(A1012="","",MONTH(A1012))</f>
        <v>9</v>
      </c>
      <c r="M1012" s="26">
        <f>IF(A1012="","",YEAR(A1012))</f>
        <v>2026</v>
      </c>
      <c r="N1012" s="26" t="str">
        <f>IF(A1012="","",CHOOSE(WEEKDAY(A1012,2),"Segunda","Terça","Quarta","Quinta","Sexta","Sábado","Domingo"))</f>
        <v>Quinta</v>
      </c>
      <c r="O1012" s="26" t="str">
        <f>IF(B1012="","",IF(B1012&lt;TIME(12,0,0),"Manhã",IF(B1012&lt;TIME(18,0,0),"Tarde","Noite")))</f>
        <v>Tarde</v>
      </c>
      <c r="P1012" s="32">
        <f>IF(G1012="","",IFERROR(INDEX(Config!$I$5:$I$16,MATCH(G1012,Config!$H$5:$H$16,0)),0))</f>
        <v>45</v>
      </c>
      <c r="Q1012" s="30">
        <f>IF(OR(H1012&lt;&gt;"Realizado",P1012="",P1012=0),"",A1012+P1012)</f>
        <v>46320.0</v>
      </c>
      <c r="R1012" s="26" t="str">
        <f>IF(Q1012="","",IF(COUNTIFS($E$5:$E$3004,E1012,$A$5:$A$3004,"&gt;"&amp;A1012,$H$5:$H$3004,"&lt;&gt;Falta",$H$5:$H$3004,"&lt;&gt;Cancelado",$H$5:$H$3004,"&lt;&gt;Remarcado")&gt;0,"Sim","Não"))</f>
        <v>Sim</v>
      </c>
      <c r="S1012" s="32">
        <f>IF(R1012&lt;&gt;"Não","",IF(Q1012+Config!$B$9&lt;=Config!$B$8,Config!$B$8-Q1012,""))</f>
        <v/>
      </c>
      <c r="T1012" s="26">
        <f>IF(S1012="","","Sim")</f>
        <v/>
      </c>
      <c r="U1012" s="41">
        <f>IF(T1012="Sim",S1012+ROW()/100000,0)</f>
        <v>0</v>
      </c>
      <c r="V1012" s="41">
        <f>IF(AND(H1012="Falta",L1012=Config!$B$7,M1012=Config!$B$5,COUNTIFS($E$5:E1012,E1012,$H$5:H1012,"Falta",$L$5:L1012,Config!$B$7,$M$5:M1012,Config!$B$5)=1),COUNTIFS($E$5:$E$3004,E1012,$H$5:$H$3004,"Falta",$L$5:$L$3004,Config!$B$7,$M$5:$M$3004,Config!$B$5)*1000-ROW()/100000,0)</f>
        <v>0</v>
      </c>
    </row>
    <row r="1013">
      <c r="A1013" s="39" t="n">
        <v>46275</v>
      </c>
      <c r="B1013" s="40" t="n">
        <v>0.7013888888888888</v>
      </c>
      <c r="C1013" s="35" t="inlineStr">
        <is>
          <t>Dr. Paulo Andrade</t>
        </is>
      </c>
      <c r="D1013" s="35" t="inlineStr">
        <is>
          <t>Sala 2</t>
        </is>
      </c>
      <c r="E1013" s="34" t="inlineStr">
        <is>
          <t>Wagner Carvalho</t>
        </is>
      </c>
      <c r="F1013" s="35" t="inlineStr">
        <is>
          <t>Vida Care</t>
        </is>
      </c>
      <c r="G1013" s="35" t="inlineStr">
        <is>
          <t>Consulta</t>
        </is>
      </c>
      <c r="H1013" s="35" t="inlineStr">
        <is>
          <t>Falta</t>
        </is>
      </c>
      <c r="I1013" s="35" t="n"/>
      <c r="J1013" s="35" t="n"/>
      <c r="K1013" s="34" t="n"/>
      <c r="L1013" s="26">
        <f>IF(A1013="","",MONTH(A1013))</f>
        <v>9</v>
      </c>
      <c r="M1013" s="26">
        <f>IF(A1013="","",YEAR(A1013))</f>
        <v>2026</v>
      </c>
      <c r="N1013" s="26" t="str">
        <f>IF(A1013="","",CHOOSE(WEEKDAY(A1013,2),"Segunda","Terça","Quarta","Quinta","Sexta","Sábado","Domingo"))</f>
        <v>Quinta</v>
      </c>
      <c r="O1013" s="26" t="str">
        <f>IF(B1013="","",IF(B1013&lt;TIME(12,0,0),"Manhã",IF(B1013&lt;TIME(18,0,0),"Tarde","Noite")))</f>
        <v>Tarde</v>
      </c>
      <c r="P1013" s="32">
        <f>IF(G1013="","",IFERROR(INDEX(Config!$I$5:$I$16,MATCH(G1013,Config!$H$5:$H$16,0)),0))</f>
        <v>30</v>
      </c>
      <c r="Q1013" s="30">
        <f>IF(OR(H1013&lt;&gt;"Realizado",P1013="",P1013=0),"",A1013+P1013)</f>
        <v/>
      </c>
      <c r="R1013" s="26">
        <f>IF(Q1013="","",IF(COUNTIFS($E$5:$E$3004,E1013,$A$5:$A$3004,"&gt;"&amp;A1013,$H$5:$H$3004,"&lt;&gt;Falta",$H$5:$H$3004,"&lt;&gt;Cancelado",$H$5:$H$3004,"&lt;&gt;Remarcado")&gt;0,"Sim","Não"))</f>
        <v/>
      </c>
      <c r="S1013" s="32">
        <f>IF(R1013&lt;&gt;"Não","",IF(Q1013+Config!$B$9&lt;=Config!$B$8,Config!$B$8-Q1013,""))</f>
        <v/>
      </c>
      <c r="T1013" s="26">
        <f>IF(S1013="","","Sim")</f>
        <v/>
      </c>
      <c r="U1013" s="41">
        <f>IF(T1013="Sim",S1013+ROW()/100000,0)</f>
        <v>0</v>
      </c>
      <c r="V1013" s="41">
        <f>IF(AND(H1013="Falta",L1013=Config!$B$7,M1013=Config!$B$5,COUNTIFS($E$5:E1013,E1013,$H$5:H1013,"Falta",$L$5:L1013,Config!$B$7,$M$5:M1013,Config!$B$5)=1),COUNTIFS($E$5:$E$3004,E1013,$H$5:$H$3004,"Falta",$L$5:$L$3004,Config!$B$7,$M$5:$M$3004,Config!$B$5)*1000-ROW()/100000,0)</f>
        <v>999.98987</v>
      </c>
    </row>
    <row r="1014">
      <c r="A1014" s="39" t="n">
        <v>46275</v>
      </c>
      <c r="B1014" s="40" t="n">
        <v>0.7222222222222222</v>
      </c>
      <c r="C1014" s="35" t="inlineStr">
        <is>
          <t>Dr. Paulo Andrade</t>
        </is>
      </c>
      <c r="D1014" s="35" t="inlineStr">
        <is>
          <t>Sala 2</t>
        </is>
      </c>
      <c r="E1014" s="34" t="inlineStr">
        <is>
          <t>Eduardo Lima</t>
        </is>
      </c>
      <c r="F1014" s="35" t="inlineStr">
        <is>
          <t>Particular</t>
        </is>
      </c>
      <c r="G1014" s="35" t="inlineStr">
        <is>
          <t>MAPA</t>
        </is>
      </c>
      <c r="H1014" s="35" t="inlineStr">
        <is>
          <t>Realizado</t>
        </is>
      </c>
      <c r="I1014" s="35" t="inlineStr">
        <is>
          <t>Cartão de débito</t>
        </is>
      </c>
      <c r="J1014" s="35" t="n"/>
      <c r="K1014" s="34" t="n"/>
      <c r="L1014" s="26">
        <f>IF(A1014="","",MONTH(A1014))</f>
        <v>9</v>
      </c>
      <c r="M1014" s="26">
        <f>IF(A1014="","",YEAR(A1014))</f>
        <v>2026</v>
      </c>
      <c r="N1014" s="26" t="str">
        <f>IF(A1014="","",CHOOSE(WEEKDAY(A1014,2),"Segunda","Terça","Quarta","Quinta","Sexta","Sábado","Domingo"))</f>
        <v>Quinta</v>
      </c>
      <c r="O1014" s="26" t="str">
        <f>IF(B1014="","",IF(B1014&lt;TIME(12,0,0),"Manhã",IF(B1014&lt;TIME(18,0,0),"Tarde","Noite")))</f>
        <v>Tarde</v>
      </c>
      <c r="P1014" s="32">
        <f>IF(G1014="","",IFERROR(INDEX(Config!$I$5:$I$16,MATCH(G1014,Config!$H$5:$H$16,0)),0))</f>
        <v>0</v>
      </c>
      <c r="Q1014" s="30">
        <f>IF(OR(H1014&lt;&gt;"Realizado",P1014="",P1014=0),"",A1014+P1014)</f>
        <v/>
      </c>
      <c r="R1014" s="26">
        <f>IF(Q1014="","",IF(COUNTIFS($E$5:$E$3004,E1014,$A$5:$A$3004,"&gt;"&amp;A1014,$H$5:$H$3004,"&lt;&gt;Falta",$H$5:$H$3004,"&lt;&gt;Cancelado",$H$5:$H$3004,"&lt;&gt;Remarcado")&gt;0,"Sim","Não"))</f>
        <v/>
      </c>
      <c r="S1014" s="32">
        <f>IF(R1014&lt;&gt;"Não","",IF(Q1014+Config!$B$9&lt;=Config!$B$8,Config!$B$8-Q1014,""))</f>
        <v/>
      </c>
      <c r="T1014" s="26">
        <f>IF(S1014="","","Sim")</f>
        <v/>
      </c>
      <c r="U1014" s="41">
        <f>IF(T1014="Sim",S1014+ROW()/100000,0)</f>
        <v>0</v>
      </c>
      <c r="V1014" s="41">
        <f>IF(AND(H1014="Falta",L1014=Config!$B$7,M1014=Config!$B$5,COUNTIFS($E$5:E1014,E1014,$H$5:H1014,"Falta",$L$5:L1014,Config!$B$7,$M$5:M1014,Config!$B$5)=1),COUNTIFS($E$5:$E$3004,E1014,$H$5:$H$3004,"Falta",$L$5:$L$3004,Config!$B$7,$M$5:$M$3004,Config!$B$5)*1000-ROW()/100000,0)</f>
        <v>0</v>
      </c>
    </row>
    <row r="1015">
      <c r="A1015" s="39" t="n">
        <v>46275</v>
      </c>
      <c r="B1015" s="40" t="n">
        <v>0.7291666666666666</v>
      </c>
      <c r="C1015" s="35" t="inlineStr">
        <is>
          <t>Dra. Renata Sousa</t>
        </is>
      </c>
      <c r="D1015" s="35" t="inlineStr">
        <is>
          <t>Sala 1</t>
        </is>
      </c>
      <c r="E1015" s="34" t="inlineStr">
        <is>
          <t>Carlos Gonçalves</t>
        </is>
      </c>
      <c r="F1015" s="35" t="inlineStr">
        <is>
          <t>Saúde Total</t>
        </is>
      </c>
      <c r="G1015" s="35" t="inlineStr">
        <is>
          <t>Avaliação endócrina</t>
        </is>
      </c>
      <c r="H1015" s="35" t="inlineStr">
        <is>
          <t>Realizado</t>
        </is>
      </c>
      <c r="I1015" s="35" t="inlineStr">
        <is>
          <t>Convênio</t>
        </is>
      </c>
      <c r="J1015" s="35" t="n"/>
      <c r="K1015" s="34" t="n"/>
      <c r="L1015" s="26">
        <f>IF(A1015="","",MONTH(A1015))</f>
        <v>9</v>
      </c>
      <c r="M1015" s="26">
        <f>IF(A1015="","",YEAR(A1015))</f>
        <v>2026</v>
      </c>
      <c r="N1015" s="26" t="str">
        <f>IF(A1015="","",CHOOSE(WEEKDAY(A1015,2),"Segunda","Terça","Quarta","Quinta","Sexta","Sábado","Domingo"))</f>
        <v>Quinta</v>
      </c>
      <c r="O1015" s="26" t="str">
        <f>IF(B1015="","",IF(B1015&lt;TIME(12,0,0),"Manhã",IF(B1015&lt;TIME(18,0,0),"Tarde","Noite")))</f>
        <v>Tarde</v>
      </c>
      <c r="P1015" s="32">
        <f>IF(G1015="","",IFERROR(INDEX(Config!$I$5:$I$16,MATCH(G1015,Config!$H$5:$H$16,0)),0))</f>
        <v>45</v>
      </c>
      <c r="Q1015" s="30">
        <f>IF(OR(H1015&lt;&gt;"Realizado",P1015="",P1015=0),"",A1015+P1015)</f>
        <v>46320.0</v>
      </c>
      <c r="R1015" s="26" t="str">
        <f>IF(Q1015="","",IF(COUNTIFS($E$5:$E$3004,E1015,$A$5:$A$3004,"&gt;"&amp;A1015,$H$5:$H$3004,"&lt;&gt;Falta",$H$5:$H$3004,"&lt;&gt;Cancelado",$H$5:$H$3004,"&lt;&gt;Remarcado")&gt;0,"Sim","Não"))</f>
        <v>Sim</v>
      </c>
      <c r="S1015" s="32">
        <f>IF(R1015&lt;&gt;"Não","",IF(Q1015+Config!$B$9&lt;=Config!$B$8,Config!$B$8-Q1015,""))</f>
        <v/>
      </c>
      <c r="T1015" s="26">
        <f>IF(S1015="","","Sim")</f>
        <v/>
      </c>
      <c r="U1015" s="41">
        <f>IF(T1015="Sim",S1015+ROW()/100000,0)</f>
        <v>0</v>
      </c>
      <c r="V1015" s="41">
        <f>IF(AND(H1015="Falta",L1015=Config!$B$7,M1015=Config!$B$5,COUNTIFS($E$5:E1015,E1015,$H$5:H1015,"Falta",$L$5:L1015,Config!$B$7,$M$5:M1015,Config!$B$5)=1),COUNTIFS($E$5:$E$3004,E1015,$H$5:$H$3004,"Falta",$L$5:$L$3004,Config!$B$7,$M$5:$M$3004,Config!$B$5)*1000-ROW()/100000,0)</f>
        <v>0</v>
      </c>
    </row>
    <row r="1016">
      <c r="A1016" s="39" t="n">
        <v>46275</v>
      </c>
      <c r="B1016" s="40" t="n">
        <v>0.7361111111111112</v>
      </c>
      <c r="C1016" s="35" t="inlineStr">
        <is>
          <t>Dr. Paulo Andrade</t>
        </is>
      </c>
      <c r="D1016" s="35" t="inlineStr">
        <is>
          <t>Sala 2</t>
        </is>
      </c>
      <c r="E1016" s="34" t="inlineStr">
        <is>
          <t>Juliana Silva</t>
        </is>
      </c>
      <c r="F1016" s="35" t="inlineStr">
        <is>
          <t>Vida Care</t>
        </is>
      </c>
      <c r="G1016" s="35" t="inlineStr">
        <is>
          <t>MAPA</t>
        </is>
      </c>
      <c r="H1016" s="35" t="inlineStr">
        <is>
          <t>Realizado</t>
        </is>
      </c>
      <c r="I1016" s="35" t="inlineStr">
        <is>
          <t>Convênio</t>
        </is>
      </c>
      <c r="J1016" s="35" t="n"/>
      <c r="K1016" s="34" t="n"/>
      <c r="L1016" s="26">
        <f>IF(A1016="","",MONTH(A1016))</f>
        <v>9</v>
      </c>
      <c r="M1016" s="26">
        <f>IF(A1016="","",YEAR(A1016))</f>
        <v>2026</v>
      </c>
      <c r="N1016" s="26" t="str">
        <f>IF(A1016="","",CHOOSE(WEEKDAY(A1016,2),"Segunda","Terça","Quarta","Quinta","Sexta","Sábado","Domingo"))</f>
        <v>Quinta</v>
      </c>
      <c r="O1016" s="26" t="str">
        <f>IF(B1016="","",IF(B1016&lt;TIME(12,0,0),"Manhã",IF(B1016&lt;TIME(18,0,0),"Tarde","Noite")))</f>
        <v>Tarde</v>
      </c>
      <c r="P1016" s="32">
        <f>IF(G1016="","",IFERROR(INDEX(Config!$I$5:$I$16,MATCH(G1016,Config!$H$5:$H$16,0)),0))</f>
        <v>0</v>
      </c>
      <c r="Q1016" s="30">
        <f>IF(OR(H1016&lt;&gt;"Realizado",P1016="",P1016=0),"",A1016+P1016)</f>
        <v/>
      </c>
      <c r="R1016" s="26">
        <f>IF(Q1016="","",IF(COUNTIFS($E$5:$E$3004,E1016,$A$5:$A$3004,"&gt;"&amp;A1016,$H$5:$H$3004,"&lt;&gt;Falta",$H$5:$H$3004,"&lt;&gt;Cancelado",$H$5:$H$3004,"&lt;&gt;Remarcado")&gt;0,"Sim","Não"))</f>
        <v/>
      </c>
      <c r="S1016" s="32">
        <f>IF(R1016&lt;&gt;"Não","",IF(Q1016+Config!$B$9&lt;=Config!$B$8,Config!$B$8-Q1016,""))</f>
        <v/>
      </c>
      <c r="T1016" s="26">
        <f>IF(S1016="","","Sim")</f>
        <v/>
      </c>
      <c r="U1016" s="41">
        <f>IF(T1016="Sim",S1016+ROW()/100000,0)</f>
        <v>0</v>
      </c>
      <c r="V1016" s="41">
        <f>IF(AND(H1016="Falta",L1016=Config!$B$7,M1016=Config!$B$5,COUNTIFS($E$5:E1016,E1016,$H$5:H1016,"Falta",$L$5:L1016,Config!$B$7,$M$5:M1016,Config!$B$5)=1),COUNTIFS($E$5:$E$3004,E1016,$H$5:$H$3004,"Falta",$L$5:$L$3004,Config!$B$7,$M$5:$M$3004,Config!$B$5)*1000-ROW()/100000,0)</f>
        <v>0</v>
      </c>
    </row>
    <row r="1017">
      <c r="A1017" s="39" t="n">
        <v>46276</v>
      </c>
      <c r="B1017" s="40" t="n">
        <v>0.3333333333333333</v>
      </c>
      <c r="C1017" s="35" t="inlineStr">
        <is>
          <t>Dr. Paulo Andrade</t>
        </is>
      </c>
      <c r="D1017" s="35" t="inlineStr">
        <is>
          <t>Sala 2</t>
        </is>
      </c>
      <c r="E1017" s="34" t="inlineStr">
        <is>
          <t>Fernanda Nunes</t>
        </is>
      </c>
      <c r="F1017" s="35" t="inlineStr">
        <is>
          <t>MediPlan</t>
        </is>
      </c>
      <c r="G1017" s="35" t="inlineStr">
        <is>
          <t>Consulta</t>
        </is>
      </c>
      <c r="H1017" s="35" t="inlineStr">
        <is>
          <t>Realizado</t>
        </is>
      </c>
      <c r="I1017" s="35" t="inlineStr">
        <is>
          <t>Convênio</t>
        </is>
      </c>
      <c r="J1017" s="35" t="n"/>
      <c r="K1017" s="34" t="n"/>
      <c r="L1017" s="26">
        <f>IF(A1017="","",MONTH(A1017))</f>
        <v>9</v>
      </c>
      <c r="M1017" s="26">
        <f>IF(A1017="","",YEAR(A1017))</f>
        <v>2026</v>
      </c>
      <c r="N1017" s="26" t="str">
        <f>IF(A1017="","",CHOOSE(WEEKDAY(A1017,2),"Segunda","Terça","Quarta","Quinta","Sexta","Sábado","Domingo"))</f>
        <v>Sexta</v>
      </c>
      <c r="O1017" s="26" t="str">
        <f>IF(B1017="","",IF(B1017&lt;TIME(12,0,0),"Manhã",IF(B1017&lt;TIME(18,0,0),"Tarde","Noite")))</f>
        <v>Manhã</v>
      </c>
      <c r="P1017" s="32">
        <f>IF(G1017="","",IFERROR(INDEX(Config!$I$5:$I$16,MATCH(G1017,Config!$H$5:$H$16,0)),0))</f>
        <v>30</v>
      </c>
      <c r="Q1017" s="30">
        <f>IF(OR(H1017&lt;&gt;"Realizado",P1017="",P1017=0),"",A1017+P1017)</f>
        <v>46306.0</v>
      </c>
      <c r="R1017" s="26" t="str">
        <f>IF(Q1017="","",IF(COUNTIFS($E$5:$E$3004,E1017,$A$5:$A$3004,"&gt;"&amp;A1017,$H$5:$H$3004,"&lt;&gt;Falta",$H$5:$H$3004,"&lt;&gt;Cancelado",$H$5:$H$3004,"&lt;&gt;Remarcado")&gt;0,"Sim","Não"))</f>
        <v>Sim</v>
      </c>
      <c r="S1017" s="32">
        <f>IF(R1017&lt;&gt;"Não","",IF(Q1017+Config!$B$9&lt;=Config!$B$8,Config!$B$8-Q1017,""))</f>
        <v/>
      </c>
      <c r="T1017" s="26">
        <f>IF(S1017="","","Sim")</f>
        <v/>
      </c>
      <c r="U1017" s="41">
        <f>IF(T1017="Sim",S1017+ROW()/100000,0)</f>
        <v>0</v>
      </c>
      <c r="V1017" s="41">
        <f>IF(AND(H1017="Falta",L1017=Config!$B$7,M1017=Config!$B$5,COUNTIFS($E$5:E1017,E1017,$H$5:H1017,"Falta",$L$5:L1017,Config!$B$7,$M$5:M1017,Config!$B$5)=1),COUNTIFS($E$5:$E$3004,E1017,$H$5:$H$3004,"Falta",$L$5:$L$3004,Config!$B$7,$M$5:$M$3004,Config!$B$5)*1000-ROW()/100000,0)</f>
        <v>0</v>
      </c>
    </row>
    <row r="1018">
      <c r="A1018" s="39" t="n">
        <v>46276</v>
      </c>
      <c r="B1018" s="40" t="n">
        <v>0.375</v>
      </c>
      <c r="C1018" s="35" t="inlineStr">
        <is>
          <t>Dr. Paulo Andrade</t>
        </is>
      </c>
      <c r="D1018" s="35" t="inlineStr">
        <is>
          <t>Sala 2</t>
        </is>
      </c>
      <c r="E1018" s="34" t="inlineStr">
        <is>
          <t>Mônica Pinto</t>
        </is>
      </c>
      <c r="F1018" s="35" t="inlineStr">
        <is>
          <t>Saúde Total</t>
        </is>
      </c>
      <c r="G1018" s="35" t="inlineStr">
        <is>
          <t>Holter</t>
        </is>
      </c>
      <c r="H1018" s="35" t="inlineStr">
        <is>
          <t>Realizado</t>
        </is>
      </c>
      <c r="I1018" s="35" t="inlineStr">
        <is>
          <t>Convênio</t>
        </is>
      </c>
      <c r="J1018" s="35" t="n"/>
      <c r="K1018" s="34" t="n"/>
      <c r="L1018" s="26">
        <f>IF(A1018="","",MONTH(A1018))</f>
        <v>9</v>
      </c>
      <c r="M1018" s="26">
        <f>IF(A1018="","",YEAR(A1018))</f>
        <v>2026</v>
      </c>
      <c r="N1018" s="26" t="str">
        <f>IF(A1018="","",CHOOSE(WEEKDAY(A1018,2),"Segunda","Terça","Quarta","Quinta","Sexta","Sábado","Domingo"))</f>
        <v>Sexta</v>
      </c>
      <c r="O1018" s="26" t="str">
        <f>IF(B1018="","",IF(B1018&lt;TIME(12,0,0),"Manhã",IF(B1018&lt;TIME(18,0,0),"Tarde","Noite")))</f>
        <v>Manhã</v>
      </c>
      <c r="P1018" s="32">
        <f>IF(G1018="","",IFERROR(INDEX(Config!$I$5:$I$16,MATCH(G1018,Config!$H$5:$H$16,0)),0))</f>
        <v>0</v>
      </c>
      <c r="Q1018" s="30">
        <f>IF(OR(H1018&lt;&gt;"Realizado",P1018="",P1018=0),"",A1018+P1018)</f>
        <v/>
      </c>
      <c r="R1018" s="26">
        <f>IF(Q1018="","",IF(COUNTIFS($E$5:$E$3004,E1018,$A$5:$A$3004,"&gt;"&amp;A1018,$H$5:$H$3004,"&lt;&gt;Falta",$H$5:$H$3004,"&lt;&gt;Cancelado",$H$5:$H$3004,"&lt;&gt;Remarcado")&gt;0,"Sim","Não"))</f>
        <v/>
      </c>
      <c r="S1018" s="32">
        <f>IF(R1018&lt;&gt;"Não","",IF(Q1018+Config!$B$9&lt;=Config!$B$8,Config!$B$8-Q1018,""))</f>
        <v/>
      </c>
      <c r="T1018" s="26">
        <f>IF(S1018="","","Sim")</f>
        <v/>
      </c>
      <c r="U1018" s="41">
        <f>IF(T1018="Sim",S1018+ROW()/100000,0)</f>
        <v>0</v>
      </c>
      <c r="V1018" s="41">
        <f>IF(AND(H1018="Falta",L1018=Config!$B$7,M1018=Config!$B$5,COUNTIFS($E$5:E1018,E1018,$H$5:H1018,"Falta",$L$5:L1018,Config!$B$7,$M$5:M1018,Config!$B$5)=1),COUNTIFS($E$5:$E$3004,E1018,$H$5:$H$3004,"Falta",$L$5:$L$3004,Config!$B$7,$M$5:$M$3004,Config!$B$5)*1000-ROW()/100000,0)</f>
        <v>0</v>
      </c>
    </row>
    <row r="1019">
      <c r="A1019" s="39" t="n">
        <v>46276</v>
      </c>
      <c r="B1019" s="40" t="n">
        <v>0.3888888888888889</v>
      </c>
      <c r="C1019" s="35" t="inlineStr">
        <is>
          <t>Dr. Paulo Andrade</t>
        </is>
      </c>
      <c r="D1019" s="35" t="inlineStr">
        <is>
          <t>Sala 2</t>
        </is>
      </c>
      <c r="E1019" s="34" t="inlineStr">
        <is>
          <t>Regina Duarte</t>
        </is>
      </c>
      <c r="F1019" s="35" t="inlineStr">
        <is>
          <t>Particular</t>
        </is>
      </c>
      <c r="G1019" s="35" t="inlineStr">
        <is>
          <t>ECG</t>
        </is>
      </c>
      <c r="H1019" s="35" t="inlineStr">
        <is>
          <t>Realizado</t>
        </is>
      </c>
      <c r="I1019" s="35" t="inlineStr">
        <is>
          <t>Cartão de crédito</t>
        </is>
      </c>
      <c r="J1019" s="35" t="n"/>
      <c r="K1019" s="34" t="n"/>
      <c r="L1019" s="26">
        <f>IF(A1019="","",MONTH(A1019))</f>
        <v>9</v>
      </c>
      <c r="M1019" s="26">
        <f>IF(A1019="","",YEAR(A1019))</f>
        <v>2026</v>
      </c>
      <c r="N1019" s="26" t="str">
        <f>IF(A1019="","",CHOOSE(WEEKDAY(A1019,2),"Segunda","Terça","Quarta","Quinta","Sexta","Sábado","Domingo"))</f>
        <v>Sexta</v>
      </c>
      <c r="O1019" s="26" t="str">
        <f>IF(B1019="","",IF(B1019&lt;TIME(12,0,0),"Manhã",IF(B1019&lt;TIME(18,0,0),"Tarde","Noite")))</f>
        <v>Manhã</v>
      </c>
      <c r="P1019" s="32">
        <f>IF(G1019="","",IFERROR(INDEX(Config!$I$5:$I$16,MATCH(G1019,Config!$H$5:$H$16,0)),0))</f>
        <v>0</v>
      </c>
      <c r="Q1019" s="30">
        <f>IF(OR(H1019&lt;&gt;"Realizado",P1019="",P1019=0),"",A1019+P1019)</f>
        <v/>
      </c>
      <c r="R1019" s="26">
        <f>IF(Q1019="","",IF(COUNTIFS($E$5:$E$3004,E1019,$A$5:$A$3004,"&gt;"&amp;A1019,$H$5:$H$3004,"&lt;&gt;Falta",$H$5:$H$3004,"&lt;&gt;Cancelado",$H$5:$H$3004,"&lt;&gt;Remarcado")&gt;0,"Sim","Não"))</f>
        <v/>
      </c>
      <c r="S1019" s="32">
        <f>IF(R1019&lt;&gt;"Não","",IF(Q1019+Config!$B$9&lt;=Config!$B$8,Config!$B$8-Q1019,""))</f>
        <v/>
      </c>
      <c r="T1019" s="26">
        <f>IF(S1019="","","Sim")</f>
        <v/>
      </c>
      <c r="U1019" s="41">
        <f>IF(T1019="Sim",S1019+ROW()/100000,0)</f>
        <v>0</v>
      </c>
      <c r="V1019" s="41">
        <f>IF(AND(H1019="Falta",L1019=Config!$B$7,M1019=Config!$B$5,COUNTIFS($E$5:E1019,E1019,$H$5:H1019,"Falta",$L$5:L1019,Config!$B$7,$M$5:M1019,Config!$B$5)=1),COUNTIFS($E$5:$E$3004,E1019,$H$5:$H$3004,"Falta",$L$5:$L$3004,Config!$B$7,$M$5:$M$3004,Config!$B$5)*1000-ROW()/100000,0)</f>
        <v>0</v>
      </c>
    </row>
    <row r="1020">
      <c r="A1020" s="39" t="n">
        <v>46276</v>
      </c>
      <c r="B1020" s="40" t="n">
        <v>0.4027777777777778</v>
      </c>
      <c r="C1020" s="35" t="inlineStr">
        <is>
          <t>Dr. Paulo Andrade</t>
        </is>
      </c>
      <c r="D1020" s="35" t="inlineStr">
        <is>
          <t>Sala 2</t>
        </is>
      </c>
      <c r="E1020" s="34" t="inlineStr">
        <is>
          <t>Mônica Teixeira</t>
        </is>
      </c>
      <c r="F1020" s="35" t="inlineStr">
        <is>
          <t>Vida Care</t>
        </is>
      </c>
      <c r="G1020" s="35" t="inlineStr">
        <is>
          <t>Teste ergométrico</t>
        </is>
      </c>
      <c r="H1020" s="35" t="inlineStr">
        <is>
          <t>Realizado</t>
        </is>
      </c>
      <c r="I1020" s="35" t="inlineStr">
        <is>
          <t>Convênio</t>
        </is>
      </c>
      <c r="J1020" s="35" t="n"/>
      <c r="K1020" s="34" t="n"/>
      <c r="L1020" s="26">
        <f>IF(A1020="","",MONTH(A1020))</f>
        <v>9</v>
      </c>
      <c r="M1020" s="26">
        <f>IF(A1020="","",YEAR(A1020))</f>
        <v>2026</v>
      </c>
      <c r="N1020" s="26" t="str">
        <f>IF(A1020="","",CHOOSE(WEEKDAY(A1020,2),"Segunda","Terça","Quarta","Quinta","Sexta","Sábado","Domingo"))</f>
        <v>Sexta</v>
      </c>
      <c r="O1020" s="26" t="str">
        <f>IF(B1020="","",IF(B1020&lt;TIME(12,0,0),"Manhã",IF(B1020&lt;TIME(18,0,0),"Tarde","Noite")))</f>
        <v>Manhã</v>
      </c>
      <c r="P1020" s="32">
        <f>IF(G1020="","",IFERROR(INDEX(Config!$I$5:$I$16,MATCH(G1020,Config!$H$5:$H$16,0)),0))</f>
        <v>0</v>
      </c>
      <c r="Q1020" s="30">
        <f>IF(OR(H1020&lt;&gt;"Realizado",P1020="",P1020=0),"",A1020+P1020)</f>
        <v/>
      </c>
      <c r="R1020" s="26">
        <f>IF(Q1020="","",IF(COUNTIFS($E$5:$E$3004,E1020,$A$5:$A$3004,"&gt;"&amp;A1020,$H$5:$H$3004,"&lt;&gt;Falta",$H$5:$H$3004,"&lt;&gt;Cancelado",$H$5:$H$3004,"&lt;&gt;Remarcado")&gt;0,"Sim","Não"))</f>
        <v/>
      </c>
      <c r="S1020" s="32">
        <f>IF(R1020&lt;&gt;"Não","",IF(Q1020+Config!$B$9&lt;=Config!$B$8,Config!$B$8-Q1020,""))</f>
        <v/>
      </c>
      <c r="T1020" s="26">
        <f>IF(S1020="","","Sim")</f>
        <v/>
      </c>
      <c r="U1020" s="41">
        <f>IF(T1020="Sim",S1020+ROW()/100000,0)</f>
        <v>0</v>
      </c>
      <c r="V1020" s="41">
        <f>IF(AND(H1020="Falta",L1020=Config!$B$7,M1020=Config!$B$5,COUNTIFS($E$5:E1020,E1020,$H$5:H1020,"Falta",$L$5:L1020,Config!$B$7,$M$5:M1020,Config!$B$5)=1),COUNTIFS($E$5:$E$3004,E1020,$H$5:$H$3004,"Falta",$L$5:$L$3004,Config!$B$7,$M$5:$M$3004,Config!$B$5)*1000-ROW()/100000,0)</f>
        <v>0</v>
      </c>
    </row>
    <row r="1021">
      <c r="A1021" s="39" t="n">
        <v>46276</v>
      </c>
      <c r="B1021" s="40" t="n">
        <v>0.4513888888888889</v>
      </c>
      <c r="C1021" s="35" t="inlineStr">
        <is>
          <t>Dr. Paulo Andrade</t>
        </is>
      </c>
      <c r="D1021" s="35" t="inlineStr">
        <is>
          <t>Sala 2</t>
        </is>
      </c>
      <c r="E1021" s="34" t="inlineStr">
        <is>
          <t>Leandro Cardoso</t>
        </is>
      </c>
      <c r="F1021" s="35" t="inlineStr">
        <is>
          <t>MediPlan</t>
        </is>
      </c>
      <c r="G1021" s="35" t="inlineStr">
        <is>
          <t>Consulta</t>
        </is>
      </c>
      <c r="H1021" s="35" t="inlineStr">
        <is>
          <t>Cancelado</t>
        </is>
      </c>
      <c r="I1021" s="35" t="n"/>
      <c r="J1021" s="35" t="n"/>
      <c r="K1021" s="34" t="n"/>
      <c r="L1021" s="26">
        <f>IF(A1021="","",MONTH(A1021))</f>
        <v>9</v>
      </c>
      <c r="M1021" s="26">
        <f>IF(A1021="","",YEAR(A1021))</f>
        <v>2026</v>
      </c>
      <c r="N1021" s="26" t="str">
        <f>IF(A1021="","",CHOOSE(WEEKDAY(A1021,2),"Segunda","Terça","Quarta","Quinta","Sexta","Sábado","Domingo"))</f>
        <v>Sexta</v>
      </c>
      <c r="O1021" s="26" t="str">
        <f>IF(B1021="","",IF(B1021&lt;TIME(12,0,0),"Manhã",IF(B1021&lt;TIME(18,0,0),"Tarde","Noite")))</f>
        <v>Manhã</v>
      </c>
      <c r="P1021" s="32">
        <f>IF(G1021="","",IFERROR(INDEX(Config!$I$5:$I$16,MATCH(G1021,Config!$H$5:$H$16,0)),0))</f>
        <v>30</v>
      </c>
      <c r="Q1021" s="30">
        <f>IF(OR(H1021&lt;&gt;"Realizado",P1021="",P1021=0),"",A1021+P1021)</f>
        <v/>
      </c>
      <c r="R1021" s="26">
        <f>IF(Q1021="","",IF(COUNTIFS($E$5:$E$3004,E1021,$A$5:$A$3004,"&gt;"&amp;A1021,$H$5:$H$3004,"&lt;&gt;Falta",$H$5:$H$3004,"&lt;&gt;Cancelado",$H$5:$H$3004,"&lt;&gt;Remarcado")&gt;0,"Sim","Não"))</f>
        <v/>
      </c>
      <c r="S1021" s="32">
        <f>IF(R1021&lt;&gt;"Não","",IF(Q1021+Config!$B$9&lt;=Config!$B$8,Config!$B$8-Q1021,""))</f>
        <v/>
      </c>
      <c r="T1021" s="26">
        <f>IF(S1021="","","Sim")</f>
        <v/>
      </c>
      <c r="U1021" s="41">
        <f>IF(T1021="Sim",S1021+ROW()/100000,0)</f>
        <v>0</v>
      </c>
      <c r="V1021" s="41">
        <f>IF(AND(H1021="Falta",L1021=Config!$B$7,M1021=Config!$B$5,COUNTIFS($E$5:E1021,E1021,$H$5:H1021,"Falta",$L$5:L1021,Config!$B$7,$M$5:M1021,Config!$B$5)=1),COUNTIFS($E$5:$E$3004,E1021,$H$5:$H$3004,"Falta",$L$5:$L$3004,Config!$B$7,$M$5:$M$3004,Config!$B$5)*1000-ROW()/100000,0)</f>
        <v>0</v>
      </c>
    </row>
    <row r="1022">
      <c r="A1022" s="39" t="n">
        <v>46279</v>
      </c>
      <c r="B1022" s="40" t="n">
        <v>0.3333333333333333</v>
      </c>
      <c r="C1022" s="35" t="inlineStr">
        <is>
          <t>Dra. Carolina Mendes</t>
        </is>
      </c>
      <c r="D1022" s="35" t="inlineStr">
        <is>
          <t>Sala 1</t>
        </is>
      </c>
      <c r="E1022" s="34" t="inlineStr">
        <is>
          <t>Juliana Silva</t>
        </is>
      </c>
      <c r="F1022" s="35" t="inlineStr">
        <is>
          <t>Vida Care</t>
        </is>
      </c>
      <c r="G1022" s="35" t="inlineStr">
        <is>
          <t>Consulta</t>
        </is>
      </c>
      <c r="H1022" s="35" t="inlineStr">
        <is>
          <t>Agendado</t>
        </is>
      </c>
      <c r="I1022" s="35" t="n"/>
      <c r="J1022" s="35" t="n"/>
      <c r="K1022" s="34" t="n"/>
      <c r="L1022" s="26">
        <f>IF(A1022="","",MONTH(A1022))</f>
        <v>9</v>
      </c>
      <c r="M1022" s="26">
        <f>IF(A1022="","",YEAR(A1022))</f>
        <v>2026</v>
      </c>
      <c r="N1022" s="26" t="str">
        <f>IF(A1022="","",CHOOSE(WEEKDAY(A1022,2),"Segunda","Terça","Quarta","Quinta","Sexta","Sábado","Domingo"))</f>
        <v>Segunda</v>
      </c>
      <c r="O1022" s="26" t="str">
        <f>IF(B1022="","",IF(B1022&lt;TIME(12,0,0),"Manhã",IF(B1022&lt;TIME(18,0,0),"Tarde","Noite")))</f>
        <v>Manhã</v>
      </c>
      <c r="P1022" s="32">
        <f>IF(G1022="","",IFERROR(INDEX(Config!$I$5:$I$16,MATCH(G1022,Config!$H$5:$H$16,0)),0))</f>
        <v>30</v>
      </c>
      <c r="Q1022" s="30">
        <f>IF(OR(H1022&lt;&gt;"Realizado",P1022="",P1022=0),"",A1022+P1022)</f>
        <v/>
      </c>
      <c r="R1022" s="26">
        <f>IF(Q1022="","",IF(COUNTIFS($E$5:$E$3004,E1022,$A$5:$A$3004,"&gt;"&amp;A1022,$H$5:$H$3004,"&lt;&gt;Falta",$H$5:$H$3004,"&lt;&gt;Cancelado",$H$5:$H$3004,"&lt;&gt;Remarcado")&gt;0,"Sim","Não"))</f>
        <v/>
      </c>
      <c r="S1022" s="32">
        <f>IF(R1022&lt;&gt;"Não","",IF(Q1022+Config!$B$9&lt;=Config!$B$8,Config!$B$8-Q1022,""))</f>
        <v/>
      </c>
      <c r="T1022" s="26">
        <f>IF(S1022="","","Sim")</f>
        <v/>
      </c>
      <c r="U1022" s="41">
        <f>IF(T1022="Sim",S1022+ROW()/100000,0)</f>
        <v>0</v>
      </c>
      <c r="V1022" s="41">
        <f>IF(AND(H1022="Falta",L1022=Config!$B$7,M1022=Config!$B$5,COUNTIFS($E$5:E1022,E1022,$H$5:H1022,"Falta",$L$5:L1022,Config!$B$7,$M$5:M1022,Config!$B$5)=1),COUNTIFS($E$5:$E$3004,E1022,$H$5:$H$3004,"Falta",$L$5:$L$3004,Config!$B$7,$M$5:$M$3004,Config!$B$5)*1000-ROW()/100000,0)</f>
        <v>0</v>
      </c>
    </row>
    <row r="1023">
      <c r="A1023" s="39" t="n">
        <v>46279</v>
      </c>
      <c r="B1023" s="40" t="n">
        <v>0.3541666666666667</v>
      </c>
      <c r="C1023" s="35" t="inlineStr">
        <is>
          <t>Dra. Carolina Mendes</t>
        </is>
      </c>
      <c r="D1023" s="35" t="inlineStr">
        <is>
          <t>Sala 1</t>
        </is>
      </c>
      <c r="E1023" s="34" t="inlineStr">
        <is>
          <t>Rodrigo Gomes</t>
        </is>
      </c>
      <c r="F1023" s="35" t="inlineStr">
        <is>
          <t>Vida Care</t>
        </is>
      </c>
      <c r="G1023" s="35" t="inlineStr">
        <is>
          <t>Consulta</t>
        </is>
      </c>
      <c r="H1023" s="35" t="inlineStr">
        <is>
          <t>Confirmado</t>
        </is>
      </c>
      <c r="I1023" s="35" t="n"/>
      <c r="J1023" s="35" t="n"/>
      <c r="K1023" s="34" t="n"/>
      <c r="L1023" s="26">
        <f>IF(A1023="","",MONTH(A1023))</f>
        <v>9</v>
      </c>
      <c r="M1023" s="26">
        <f>IF(A1023="","",YEAR(A1023))</f>
        <v>2026</v>
      </c>
      <c r="N1023" s="26" t="str">
        <f>IF(A1023="","",CHOOSE(WEEKDAY(A1023,2),"Segunda","Terça","Quarta","Quinta","Sexta","Sábado","Domingo"))</f>
        <v>Segunda</v>
      </c>
      <c r="O1023" s="26" t="str">
        <f>IF(B1023="","",IF(B1023&lt;TIME(12,0,0),"Manhã",IF(B1023&lt;TIME(18,0,0),"Tarde","Noite")))</f>
        <v>Manhã</v>
      </c>
      <c r="P1023" s="32">
        <f>IF(G1023="","",IFERROR(INDEX(Config!$I$5:$I$16,MATCH(G1023,Config!$H$5:$H$16,0)),0))</f>
        <v>30</v>
      </c>
      <c r="Q1023" s="30">
        <f>IF(OR(H1023&lt;&gt;"Realizado",P1023="",P1023=0),"",A1023+P1023)</f>
        <v/>
      </c>
      <c r="R1023" s="26">
        <f>IF(Q1023="","",IF(COUNTIFS($E$5:$E$3004,E1023,$A$5:$A$3004,"&gt;"&amp;A1023,$H$5:$H$3004,"&lt;&gt;Falta",$H$5:$H$3004,"&lt;&gt;Cancelado",$H$5:$H$3004,"&lt;&gt;Remarcado")&gt;0,"Sim","Não"))</f>
        <v/>
      </c>
      <c r="S1023" s="32">
        <f>IF(R1023&lt;&gt;"Não","",IF(Q1023+Config!$B$9&lt;=Config!$B$8,Config!$B$8-Q1023,""))</f>
        <v/>
      </c>
      <c r="T1023" s="26">
        <f>IF(S1023="","","Sim")</f>
        <v/>
      </c>
      <c r="U1023" s="41">
        <f>IF(T1023="Sim",S1023+ROW()/100000,0)</f>
        <v>0</v>
      </c>
      <c r="V1023" s="41">
        <f>IF(AND(H1023="Falta",L1023=Config!$B$7,M1023=Config!$B$5,COUNTIFS($E$5:E1023,E1023,$H$5:H1023,"Falta",$L$5:L1023,Config!$B$7,$M$5:M1023,Config!$B$5)=1),COUNTIFS($E$5:$E$3004,E1023,$H$5:$H$3004,"Falta",$L$5:$L$3004,Config!$B$7,$M$5:$M$3004,Config!$B$5)*1000-ROW()/100000,0)</f>
        <v>0</v>
      </c>
    </row>
    <row r="1024">
      <c r="A1024" s="39" t="n">
        <v>46279</v>
      </c>
      <c r="B1024" s="40" t="n">
        <v>0.375</v>
      </c>
      <c r="C1024" s="35" t="inlineStr">
        <is>
          <t>Dra. Carolina Mendes</t>
        </is>
      </c>
      <c r="D1024" s="35" t="inlineStr">
        <is>
          <t>Sala 1</t>
        </is>
      </c>
      <c r="E1024" s="34" t="inlineStr">
        <is>
          <t>Camila Batista</t>
        </is>
      </c>
      <c r="F1024" s="35" t="inlineStr">
        <is>
          <t>MediPlan</t>
        </is>
      </c>
      <c r="G1024" s="35" t="inlineStr">
        <is>
          <t>Consulta</t>
        </is>
      </c>
      <c r="H1024" s="35" t="inlineStr">
        <is>
          <t>Confirmado</t>
        </is>
      </c>
      <c r="I1024" s="35" t="n"/>
      <c r="J1024" s="35" t="n"/>
      <c r="K1024" s="34" t="n"/>
      <c r="L1024" s="26">
        <f>IF(A1024="","",MONTH(A1024))</f>
        <v>9</v>
      </c>
      <c r="M1024" s="26">
        <f>IF(A1024="","",YEAR(A1024))</f>
        <v>2026</v>
      </c>
      <c r="N1024" s="26" t="str">
        <f>IF(A1024="","",CHOOSE(WEEKDAY(A1024,2),"Segunda","Terça","Quarta","Quinta","Sexta","Sábado","Domingo"))</f>
        <v>Segunda</v>
      </c>
      <c r="O1024" s="26" t="str">
        <f>IF(B1024="","",IF(B1024&lt;TIME(12,0,0),"Manhã",IF(B1024&lt;TIME(18,0,0),"Tarde","Noite")))</f>
        <v>Manhã</v>
      </c>
      <c r="P1024" s="32">
        <f>IF(G1024="","",IFERROR(INDEX(Config!$I$5:$I$16,MATCH(G1024,Config!$H$5:$H$16,0)),0))</f>
        <v>30</v>
      </c>
      <c r="Q1024" s="30">
        <f>IF(OR(H1024&lt;&gt;"Realizado",P1024="",P1024=0),"",A1024+P1024)</f>
        <v/>
      </c>
      <c r="R1024" s="26">
        <f>IF(Q1024="","",IF(COUNTIFS($E$5:$E$3004,E1024,$A$5:$A$3004,"&gt;"&amp;A1024,$H$5:$H$3004,"&lt;&gt;Falta",$H$5:$H$3004,"&lt;&gt;Cancelado",$H$5:$H$3004,"&lt;&gt;Remarcado")&gt;0,"Sim","Não"))</f>
        <v/>
      </c>
      <c r="S1024" s="32">
        <f>IF(R1024&lt;&gt;"Não","",IF(Q1024+Config!$B$9&lt;=Config!$B$8,Config!$B$8-Q1024,""))</f>
        <v/>
      </c>
      <c r="T1024" s="26">
        <f>IF(S1024="","","Sim")</f>
        <v/>
      </c>
      <c r="U1024" s="41">
        <f>IF(T1024="Sim",S1024+ROW()/100000,0)</f>
        <v>0</v>
      </c>
      <c r="V1024" s="41">
        <f>IF(AND(H1024="Falta",L1024=Config!$B$7,M1024=Config!$B$5,COUNTIFS($E$5:E1024,E1024,$H$5:H1024,"Falta",$L$5:L1024,Config!$B$7,$M$5:M1024,Config!$B$5)=1),COUNTIFS($E$5:$E$3004,E1024,$H$5:$H$3004,"Falta",$L$5:$L$3004,Config!$B$7,$M$5:$M$3004,Config!$B$5)*1000-ROW()/100000,0)</f>
        <v>0</v>
      </c>
    </row>
    <row r="1025">
      <c r="A1025" s="39" t="n">
        <v>46279</v>
      </c>
      <c r="B1025" s="40" t="n">
        <v>0.3958333333333333</v>
      </c>
      <c r="C1025" s="35" t="inlineStr">
        <is>
          <t>Dra. Carolina Mendes</t>
        </is>
      </c>
      <c r="D1025" s="35" t="inlineStr">
        <is>
          <t>Sala 1</t>
        </is>
      </c>
      <c r="E1025" s="34" t="inlineStr">
        <is>
          <t>Gisele Xavier</t>
        </is>
      </c>
      <c r="F1025" s="35" t="inlineStr">
        <is>
          <t>Particular</t>
        </is>
      </c>
      <c r="G1025" s="35" t="inlineStr">
        <is>
          <t>Consulta</t>
        </is>
      </c>
      <c r="H1025" s="35" t="inlineStr">
        <is>
          <t>Confirmado</t>
        </is>
      </c>
      <c r="I1025" s="35" t="n"/>
      <c r="J1025" s="35" t="n"/>
      <c r="K1025" s="34" t="n"/>
      <c r="L1025" s="26">
        <f>IF(A1025="","",MONTH(A1025))</f>
        <v>9</v>
      </c>
      <c r="M1025" s="26">
        <f>IF(A1025="","",YEAR(A1025))</f>
        <v>2026</v>
      </c>
      <c r="N1025" s="26" t="str">
        <f>IF(A1025="","",CHOOSE(WEEKDAY(A1025,2),"Segunda","Terça","Quarta","Quinta","Sexta","Sábado","Domingo"))</f>
        <v>Segunda</v>
      </c>
      <c r="O1025" s="26" t="str">
        <f>IF(B1025="","",IF(B1025&lt;TIME(12,0,0),"Manhã",IF(B1025&lt;TIME(18,0,0),"Tarde","Noite")))</f>
        <v>Manhã</v>
      </c>
      <c r="P1025" s="32">
        <f>IF(G1025="","",IFERROR(INDEX(Config!$I$5:$I$16,MATCH(G1025,Config!$H$5:$H$16,0)),0))</f>
        <v>30</v>
      </c>
      <c r="Q1025" s="30">
        <f>IF(OR(H1025&lt;&gt;"Realizado",P1025="",P1025=0),"",A1025+P1025)</f>
        <v/>
      </c>
      <c r="R1025" s="26">
        <f>IF(Q1025="","",IF(COUNTIFS($E$5:$E$3004,E1025,$A$5:$A$3004,"&gt;"&amp;A1025,$H$5:$H$3004,"&lt;&gt;Falta",$H$5:$H$3004,"&lt;&gt;Cancelado",$H$5:$H$3004,"&lt;&gt;Remarcado")&gt;0,"Sim","Não"))</f>
        <v/>
      </c>
      <c r="S1025" s="32">
        <f>IF(R1025&lt;&gt;"Não","",IF(Q1025+Config!$B$9&lt;=Config!$B$8,Config!$B$8-Q1025,""))</f>
        <v/>
      </c>
      <c r="T1025" s="26">
        <f>IF(S1025="","","Sim")</f>
        <v/>
      </c>
      <c r="U1025" s="41">
        <f>IF(T1025="Sim",S1025+ROW()/100000,0)</f>
        <v>0</v>
      </c>
      <c r="V1025" s="41">
        <f>IF(AND(H1025="Falta",L1025=Config!$B$7,M1025=Config!$B$5,COUNTIFS($E$5:E1025,E1025,$H$5:H1025,"Falta",$L$5:L1025,Config!$B$7,$M$5:M1025,Config!$B$5)=1),COUNTIFS($E$5:$E$3004,E1025,$H$5:$H$3004,"Falta",$L$5:$L$3004,Config!$B$7,$M$5:$M$3004,Config!$B$5)*1000-ROW()/100000,0)</f>
        <v>0</v>
      </c>
    </row>
    <row r="1026">
      <c r="A1026" s="39" t="n">
        <v>46279</v>
      </c>
      <c r="B1026" s="40" t="n">
        <v>0.4166666666666667</v>
      </c>
      <c r="C1026" s="35" t="inlineStr">
        <is>
          <t>Dra. Carolina Mendes</t>
        </is>
      </c>
      <c r="D1026" s="35" t="inlineStr">
        <is>
          <t>Sala 1</t>
        </is>
      </c>
      <c r="E1026" s="34" t="inlineStr">
        <is>
          <t>Renato Dias</t>
        </is>
      </c>
      <c r="F1026" s="35" t="inlineStr">
        <is>
          <t>Particular</t>
        </is>
      </c>
      <c r="G1026" s="35" t="inlineStr">
        <is>
          <t>Retorno</t>
        </is>
      </c>
      <c r="H1026" s="35" t="inlineStr">
        <is>
          <t>Confirmado</t>
        </is>
      </c>
      <c r="I1026" s="35" t="n"/>
      <c r="J1026" s="35" t="n"/>
      <c r="K1026" s="34" t="n"/>
      <c r="L1026" s="26">
        <f>IF(A1026="","",MONTH(A1026))</f>
        <v>9</v>
      </c>
      <c r="M1026" s="26">
        <f>IF(A1026="","",YEAR(A1026))</f>
        <v>2026</v>
      </c>
      <c r="N1026" s="26" t="str">
        <f>IF(A1026="","",CHOOSE(WEEKDAY(A1026,2),"Segunda","Terça","Quarta","Quinta","Sexta","Sábado","Domingo"))</f>
        <v>Segunda</v>
      </c>
      <c r="O1026" s="26" t="str">
        <f>IF(B1026="","",IF(B1026&lt;TIME(12,0,0),"Manhã",IF(B1026&lt;TIME(18,0,0),"Tarde","Noite")))</f>
        <v>Manhã</v>
      </c>
      <c r="P1026" s="32">
        <f>IF(G1026="","",IFERROR(INDEX(Config!$I$5:$I$16,MATCH(G1026,Config!$H$5:$H$16,0)),0))</f>
        <v>0</v>
      </c>
      <c r="Q1026" s="30">
        <f>IF(OR(H1026&lt;&gt;"Realizado",P1026="",P1026=0),"",A1026+P1026)</f>
        <v/>
      </c>
      <c r="R1026" s="26">
        <f>IF(Q1026="","",IF(COUNTIFS($E$5:$E$3004,E1026,$A$5:$A$3004,"&gt;"&amp;A1026,$H$5:$H$3004,"&lt;&gt;Falta",$H$5:$H$3004,"&lt;&gt;Cancelado",$H$5:$H$3004,"&lt;&gt;Remarcado")&gt;0,"Sim","Não"))</f>
        <v/>
      </c>
      <c r="S1026" s="32">
        <f>IF(R1026&lt;&gt;"Não","",IF(Q1026+Config!$B$9&lt;=Config!$B$8,Config!$B$8-Q1026,""))</f>
        <v/>
      </c>
      <c r="T1026" s="26">
        <f>IF(S1026="","","Sim")</f>
        <v/>
      </c>
      <c r="U1026" s="41">
        <f>IF(T1026="Sim",S1026+ROW()/100000,0)</f>
        <v>0</v>
      </c>
      <c r="V1026" s="41">
        <f>IF(AND(H1026="Falta",L1026=Config!$B$7,M1026=Config!$B$5,COUNTIFS($E$5:E1026,E1026,$H$5:H1026,"Falta",$L$5:L1026,Config!$B$7,$M$5:M1026,Config!$B$5)=1),COUNTIFS($E$5:$E$3004,E1026,$H$5:$H$3004,"Falta",$L$5:$L$3004,Config!$B$7,$M$5:$M$3004,Config!$B$5)*1000-ROW()/100000,0)</f>
        <v>0</v>
      </c>
    </row>
    <row r="1027">
      <c r="A1027" s="39" t="n">
        <v>46279</v>
      </c>
      <c r="B1027" s="40" t="n">
        <v>0.4305555555555556</v>
      </c>
      <c r="C1027" s="35" t="inlineStr">
        <is>
          <t>Dra. Carolina Mendes</t>
        </is>
      </c>
      <c r="D1027" s="35" t="inlineStr">
        <is>
          <t>Sala 1</t>
        </is>
      </c>
      <c r="E1027" s="34" t="inlineStr">
        <is>
          <t>Marcelo Santos</t>
        </is>
      </c>
      <c r="F1027" s="35" t="inlineStr">
        <is>
          <t>Particular</t>
        </is>
      </c>
      <c r="G1027" s="35" t="inlineStr">
        <is>
          <t>Consulta</t>
        </is>
      </c>
      <c r="H1027" s="35" t="inlineStr">
        <is>
          <t>Confirmado</t>
        </is>
      </c>
      <c r="I1027" s="35" t="n"/>
      <c r="J1027" s="35" t="n"/>
      <c r="K1027" s="34" t="n"/>
      <c r="L1027" s="26">
        <f>IF(A1027="","",MONTH(A1027))</f>
        <v>9</v>
      </c>
      <c r="M1027" s="26">
        <f>IF(A1027="","",YEAR(A1027))</f>
        <v>2026</v>
      </c>
      <c r="N1027" s="26" t="str">
        <f>IF(A1027="","",CHOOSE(WEEKDAY(A1027,2),"Segunda","Terça","Quarta","Quinta","Sexta","Sábado","Domingo"))</f>
        <v>Segunda</v>
      </c>
      <c r="O1027" s="26" t="str">
        <f>IF(B1027="","",IF(B1027&lt;TIME(12,0,0),"Manhã",IF(B1027&lt;TIME(18,0,0),"Tarde","Noite")))</f>
        <v>Manhã</v>
      </c>
      <c r="P1027" s="32">
        <f>IF(G1027="","",IFERROR(INDEX(Config!$I$5:$I$16,MATCH(G1027,Config!$H$5:$H$16,0)),0))</f>
        <v>30</v>
      </c>
      <c r="Q1027" s="30">
        <f>IF(OR(H1027&lt;&gt;"Realizado",P1027="",P1027=0),"",A1027+P1027)</f>
        <v/>
      </c>
      <c r="R1027" s="26">
        <f>IF(Q1027="","",IF(COUNTIFS($E$5:$E$3004,E1027,$A$5:$A$3004,"&gt;"&amp;A1027,$H$5:$H$3004,"&lt;&gt;Falta",$H$5:$H$3004,"&lt;&gt;Cancelado",$H$5:$H$3004,"&lt;&gt;Remarcado")&gt;0,"Sim","Não"))</f>
        <v/>
      </c>
      <c r="S1027" s="32">
        <f>IF(R1027&lt;&gt;"Não","",IF(Q1027+Config!$B$9&lt;=Config!$B$8,Config!$B$8-Q1027,""))</f>
        <v/>
      </c>
      <c r="T1027" s="26">
        <f>IF(S1027="","","Sim")</f>
        <v/>
      </c>
      <c r="U1027" s="41">
        <f>IF(T1027="Sim",S1027+ROW()/100000,0)</f>
        <v>0</v>
      </c>
      <c r="V1027" s="41">
        <f>IF(AND(H1027="Falta",L1027=Config!$B$7,M1027=Config!$B$5,COUNTIFS($E$5:E1027,E1027,$H$5:H1027,"Falta",$L$5:L1027,Config!$B$7,$M$5:M1027,Config!$B$5)=1),COUNTIFS($E$5:$E$3004,E1027,$H$5:$H$3004,"Falta",$L$5:$L$3004,Config!$B$7,$M$5:$M$3004,Config!$B$5)*1000-ROW()/100000,0)</f>
        <v>0</v>
      </c>
    </row>
    <row r="1028">
      <c r="A1028" s="39" t="n">
        <v>46279</v>
      </c>
      <c r="B1028" s="40" t="n">
        <v>0.4513888888888889</v>
      </c>
      <c r="C1028" s="35" t="inlineStr">
        <is>
          <t>Dra. Carolina Mendes</t>
        </is>
      </c>
      <c r="D1028" s="35" t="inlineStr">
        <is>
          <t>Sala 1</t>
        </is>
      </c>
      <c r="E1028" s="34" t="inlineStr">
        <is>
          <t>Eduardo Nunes</t>
        </is>
      </c>
      <c r="F1028" s="35" t="inlineStr">
        <is>
          <t>MediPlan</t>
        </is>
      </c>
      <c r="G1028" s="35" t="inlineStr">
        <is>
          <t>Consulta</t>
        </is>
      </c>
      <c r="H1028" s="35" t="inlineStr">
        <is>
          <t>Agendado</t>
        </is>
      </c>
      <c r="I1028" s="35" t="n"/>
      <c r="J1028" s="35" t="n"/>
      <c r="K1028" s="34" t="n"/>
      <c r="L1028" s="26">
        <f>IF(A1028="","",MONTH(A1028))</f>
        <v>9</v>
      </c>
      <c r="M1028" s="26">
        <f>IF(A1028="","",YEAR(A1028))</f>
        <v>2026</v>
      </c>
      <c r="N1028" s="26" t="str">
        <f>IF(A1028="","",CHOOSE(WEEKDAY(A1028,2),"Segunda","Terça","Quarta","Quinta","Sexta","Sábado","Domingo"))</f>
        <v>Segunda</v>
      </c>
      <c r="O1028" s="26" t="str">
        <f>IF(B1028="","",IF(B1028&lt;TIME(12,0,0),"Manhã",IF(B1028&lt;TIME(18,0,0),"Tarde","Noite")))</f>
        <v>Manhã</v>
      </c>
      <c r="P1028" s="32">
        <f>IF(G1028="","",IFERROR(INDEX(Config!$I$5:$I$16,MATCH(G1028,Config!$H$5:$H$16,0)),0))</f>
        <v>30</v>
      </c>
      <c r="Q1028" s="30">
        <f>IF(OR(H1028&lt;&gt;"Realizado",P1028="",P1028=0),"",A1028+P1028)</f>
        <v/>
      </c>
      <c r="R1028" s="26">
        <f>IF(Q1028="","",IF(COUNTIFS($E$5:$E$3004,E1028,$A$5:$A$3004,"&gt;"&amp;A1028,$H$5:$H$3004,"&lt;&gt;Falta",$H$5:$H$3004,"&lt;&gt;Cancelado",$H$5:$H$3004,"&lt;&gt;Remarcado")&gt;0,"Sim","Não"))</f>
        <v/>
      </c>
      <c r="S1028" s="32">
        <f>IF(R1028&lt;&gt;"Não","",IF(Q1028+Config!$B$9&lt;=Config!$B$8,Config!$B$8-Q1028,""))</f>
        <v/>
      </c>
      <c r="T1028" s="26">
        <f>IF(S1028="","","Sim")</f>
        <v/>
      </c>
      <c r="U1028" s="41">
        <f>IF(T1028="Sim",S1028+ROW()/100000,0)</f>
        <v>0</v>
      </c>
      <c r="V1028" s="41">
        <f>IF(AND(H1028="Falta",L1028=Config!$B$7,M1028=Config!$B$5,COUNTIFS($E$5:E1028,E1028,$H$5:H1028,"Falta",$L$5:L1028,Config!$B$7,$M$5:M1028,Config!$B$5)=1),COUNTIFS($E$5:$E$3004,E1028,$H$5:$H$3004,"Falta",$L$5:$L$3004,Config!$B$7,$M$5:$M$3004,Config!$B$5)*1000-ROW()/100000,0)</f>
        <v>0</v>
      </c>
    </row>
    <row r="1029">
      <c r="A1029" s="39" t="n">
        <v>46279</v>
      </c>
      <c r="B1029" s="40" t="n">
        <v>0.4722222222222222</v>
      </c>
      <c r="C1029" s="35" t="inlineStr">
        <is>
          <t>Dra. Carolina Mendes</t>
        </is>
      </c>
      <c r="D1029" s="35" t="inlineStr">
        <is>
          <t>Sala 1</t>
        </is>
      </c>
      <c r="E1029" s="34" t="inlineStr">
        <is>
          <t>Regina Duarte</t>
        </is>
      </c>
      <c r="F1029" s="35" t="inlineStr">
        <is>
          <t>Particular</t>
        </is>
      </c>
      <c r="G1029" s="35" t="inlineStr">
        <is>
          <t>Consulta</t>
        </is>
      </c>
      <c r="H1029" s="35" t="inlineStr">
        <is>
          <t>Confirmado</t>
        </is>
      </c>
      <c r="I1029" s="35" t="n"/>
      <c r="J1029" s="35" t="n"/>
      <c r="K1029" s="34" t="n"/>
      <c r="L1029" s="26">
        <f>IF(A1029="","",MONTH(A1029))</f>
        <v>9</v>
      </c>
      <c r="M1029" s="26">
        <f>IF(A1029="","",YEAR(A1029))</f>
        <v>2026</v>
      </c>
      <c r="N1029" s="26" t="str">
        <f>IF(A1029="","",CHOOSE(WEEKDAY(A1029,2),"Segunda","Terça","Quarta","Quinta","Sexta","Sábado","Domingo"))</f>
        <v>Segunda</v>
      </c>
      <c r="O1029" s="26" t="str">
        <f>IF(B1029="","",IF(B1029&lt;TIME(12,0,0),"Manhã",IF(B1029&lt;TIME(18,0,0),"Tarde","Noite")))</f>
        <v>Manhã</v>
      </c>
      <c r="P1029" s="32">
        <f>IF(G1029="","",IFERROR(INDEX(Config!$I$5:$I$16,MATCH(G1029,Config!$H$5:$H$16,0)),0))</f>
        <v>30</v>
      </c>
      <c r="Q1029" s="30">
        <f>IF(OR(H1029&lt;&gt;"Realizado",P1029="",P1029=0),"",A1029+P1029)</f>
        <v/>
      </c>
      <c r="R1029" s="26">
        <f>IF(Q1029="","",IF(COUNTIFS($E$5:$E$3004,E1029,$A$5:$A$3004,"&gt;"&amp;A1029,$H$5:$H$3004,"&lt;&gt;Falta",$H$5:$H$3004,"&lt;&gt;Cancelado",$H$5:$H$3004,"&lt;&gt;Remarcado")&gt;0,"Sim","Não"))</f>
        <v/>
      </c>
      <c r="S1029" s="32">
        <f>IF(R1029&lt;&gt;"Não","",IF(Q1029+Config!$B$9&lt;=Config!$B$8,Config!$B$8-Q1029,""))</f>
        <v/>
      </c>
      <c r="T1029" s="26">
        <f>IF(S1029="","","Sim")</f>
        <v/>
      </c>
      <c r="U1029" s="41">
        <f>IF(T1029="Sim",S1029+ROW()/100000,0)</f>
        <v>0</v>
      </c>
      <c r="V1029" s="41">
        <f>IF(AND(H1029="Falta",L1029=Config!$B$7,M1029=Config!$B$5,COUNTIFS($E$5:E1029,E1029,$H$5:H1029,"Falta",$L$5:L1029,Config!$B$7,$M$5:M1029,Config!$B$5)=1),COUNTIFS($E$5:$E$3004,E1029,$H$5:$H$3004,"Falta",$L$5:$L$3004,Config!$B$7,$M$5:$M$3004,Config!$B$5)*1000-ROW()/100000,0)</f>
        <v>0</v>
      </c>
    </row>
    <row r="1030">
      <c r="A1030" s="39" t="n">
        <v>46279</v>
      </c>
      <c r="B1030" s="40" t="n">
        <v>0.5833333333333334</v>
      </c>
      <c r="C1030" s="35" t="inlineStr">
        <is>
          <t>Dr. Paulo Andrade</t>
        </is>
      </c>
      <c r="D1030" s="35" t="inlineStr">
        <is>
          <t>Sala 2</t>
        </is>
      </c>
      <c r="E1030" s="34" t="inlineStr">
        <is>
          <t>Bruno Carvalho</t>
        </is>
      </c>
      <c r="F1030" s="35" t="inlineStr">
        <is>
          <t>Saúde Total</t>
        </is>
      </c>
      <c r="G1030" s="35" t="inlineStr">
        <is>
          <t>Retorno</t>
        </is>
      </c>
      <c r="H1030" s="35" t="inlineStr">
        <is>
          <t>Confirmado</t>
        </is>
      </c>
      <c r="I1030" s="35" t="n"/>
      <c r="J1030" s="35" t="n"/>
      <c r="K1030" s="34" t="n"/>
      <c r="L1030" s="26">
        <f>IF(A1030="","",MONTH(A1030))</f>
        <v>9</v>
      </c>
      <c r="M1030" s="26">
        <f>IF(A1030="","",YEAR(A1030))</f>
        <v>2026</v>
      </c>
      <c r="N1030" s="26" t="str">
        <f>IF(A1030="","",CHOOSE(WEEKDAY(A1030,2),"Segunda","Terça","Quarta","Quinta","Sexta","Sábado","Domingo"))</f>
        <v>Segunda</v>
      </c>
      <c r="O1030" s="26" t="str">
        <f>IF(B1030="","",IF(B1030&lt;TIME(12,0,0),"Manhã",IF(B1030&lt;TIME(18,0,0),"Tarde","Noite")))</f>
        <v>Tarde</v>
      </c>
      <c r="P1030" s="32">
        <f>IF(G1030="","",IFERROR(INDEX(Config!$I$5:$I$16,MATCH(G1030,Config!$H$5:$H$16,0)),0))</f>
        <v>0</v>
      </c>
      <c r="Q1030" s="30">
        <f>IF(OR(H1030&lt;&gt;"Realizado",P1030="",P1030=0),"",A1030+P1030)</f>
        <v/>
      </c>
      <c r="R1030" s="26">
        <f>IF(Q1030="","",IF(COUNTIFS($E$5:$E$3004,E1030,$A$5:$A$3004,"&gt;"&amp;A1030,$H$5:$H$3004,"&lt;&gt;Falta",$H$5:$H$3004,"&lt;&gt;Cancelado",$H$5:$H$3004,"&lt;&gt;Remarcado")&gt;0,"Sim","Não"))</f>
        <v/>
      </c>
      <c r="S1030" s="32">
        <f>IF(R1030&lt;&gt;"Não","",IF(Q1030+Config!$B$9&lt;=Config!$B$8,Config!$B$8-Q1030,""))</f>
        <v/>
      </c>
      <c r="T1030" s="26">
        <f>IF(S1030="","","Sim")</f>
        <v/>
      </c>
      <c r="U1030" s="41">
        <f>IF(T1030="Sim",S1030+ROW()/100000,0)</f>
        <v>0</v>
      </c>
      <c r="V1030" s="41">
        <f>IF(AND(H1030="Falta",L1030=Config!$B$7,M1030=Config!$B$5,COUNTIFS($E$5:E1030,E1030,$H$5:H1030,"Falta",$L$5:L1030,Config!$B$7,$M$5:M1030,Config!$B$5)=1),COUNTIFS($E$5:$E$3004,E1030,$H$5:$H$3004,"Falta",$L$5:$L$3004,Config!$B$7,$M$5:$M$3004,Config!$B$5)*1000-ROW()/100000,0)</f>
        <v>0</v>
      </c>
    </row>
    <row r="1031">
      <c r="A1031" s="39" t="n">
        <v>46279</v>
      </c>
      <c r="B1031" s="40" t="n">
        <v>0.6180555555555556</v>
      </c>
      <c r="C1031" s="35" t="inlineStr">
        <is>
          <t>Dr. Paulo Andrade</t>
        </is>
      </c>
      <c r="D1031" s="35" t="inlineStr">
        <is>
          <t>Sala 2</t>
        </is>
      </c>
      <c r="E1031" s="34" t="inlineStr">
        <is>
          <t>Henrique Ribeiro</t>
        </is>
      </c>
      <c r="F1031" s="35" t="inlineStr">
        <is>
          <t>Particular</t>
        </is>
      </c>
      <c r="G1031" s="35" t="inlineStr">
        <is>
          <t>Retorno</t>
        </is>
      </c>
      <c r="H1031" s="35" t="inlineStr">
        <is>
          <t>Agendado</t>
        </is>
      </c>
      <c r="I1031" s="35" t="n"/>
      <c r="J1031" s="35" t="n"/>
      <c r="K1031" s="34" t="n"/>
      <c r="L1031" s="26">
        <f>IF(A1031="","",MONTH(A1031))</f>
        <v>9</v>
      </c>
      <c r="M1031" s="26">
        <f>IF(A1031="","",YEAR(A1031))</f>
        <v>2026</v>
      </c>
      <c r="N1031" s="26" t="str">
        <f>IF(A1031="","",CHOOSE(WEEKDAY(A1031,2),"Segunda","Terça","Quarta","Quinta","Sexta","Sábado","Domingo"))</f>
        <v>Segunda</v>
      </c>
      <c r="O1031" s="26" t="str">
        <f>IF(B1031="","",IF(B1031&lt;TIME(12,0,0),"Manhã",IF(B1031&lt;TIME(18,0,0),"Tarde","Noite")))</f>
        <v>Tarde</v>
      </c>
      <c r="P1031" s="32">
        <f>IF(G1031="","",IFERROR(INDEX(Config!$I$5:$I$16,MATCH(G1031,Config!$H$5:$H$16,0)),0))</f>
        <v>0</v>
      </c>
      <c r="Q1031" s="30">
        <f>IF(OR(H1031&lt;&gt;"Realizado",P1031="",P1031=0),"",A1031+P1031)</f>
        <v/>
      </c>
      <c r="R1031" s="26">
        <f>IF(Q1031="","",IF(COUNTIFS($E$5:$E$3004,E1031,$A$5:$A$3004,"&gt;"&amp;A1031,$H$5:$H$3004,"&lt;&gt;Falta",$H$5:$H$3004,"&lt;&gt;Cancelado",$H$5:$H$3004,"&lt;&gt;Remarcado")&gt;0,"Sim","Não"))</f>
        <v/>
      </c>
      <c r="S1031" s="32">
        <f>IF(R1031&lt;&gt;"Não","",IF(Q1031+Config!$B$9&lt;=Config!$B$8,Config!$B$8-Q1031,""))</f>
        <v/>
      </c>
      <c r="T1031" s="26">
        <f>IF(S1031="","","Sim")</f>
        <v/>
      </c>
      <c r="U1031" s="41">
        <f>IF(T1031="Sim",S1031+ROW()/100000,0)</f>
        <v>0</v>
      </c>
      <c r="V1031" s="41">
        <f>IF(AND(H1031="Falta",L1031=Config!$B$7,M1031=Config!$B$5,COUNTIFS($E$5:E1031,E1031,$H$5:H1031,"Falta",$L$5:L1031,Config!$B$7,$M$5:M1031,Config!$B$5)=1),COUNTIFS($E$5:$E$3004,E1031,$H$5:$H$3004,"Falta",$L$5:$L$3004,Config!$B$7,$M$5:$M$3004,Config!$B$5)*1000-ROW()/100000,0)</f>
        <v>0</v>
      </c>
    </row>
    <row r="1032">
      <c r="A1032" s="39" t="n">
        <v>46279</v>
      </c>
      <c r="B1032" s="40" t="n">
        <v>0.6319444444444444</v>
      </c>
      <c r="C1032" s="35" t="inlineStr">
        <is>
          <t>Dr. Paulo Andrade</t>
        </is>
      </c>
      <c r="D1032" s="35" t="inlineStr">
        <is>
          <t>Sala 2</t>
        </is>
      </c>
      <c r="E1032" s="34" t="inlineStr">
        <is>
          <t>Regina Castro</t>
        </is>
      </c>
      <c r="F1032" s="35" t="inlineStr">
        <is>
          <t>Vida Care</t>
        </is>
      </c>
      <c r="G1032" s="35" t="inlineStr">
        <is>
          <t>Teste ergométrico</t>
        </is>
      </c>
      <c r="H1032" s="35" t="inlineStr">
        <is>
          <t>Confirmado</t>
        </is>
      </c>
      <c r="I1032" s="35" t="n"/>
      <c r="J1032" s="35" t="n"/>
      <c r="K1032" s="34" t="n"/>
      <c r="L1032" s="26">
        <f>IF(A1032="","",MONTH(A1032))</f>
        <v>9</v>
      </c>
      <c r="M1032" s="26">
        <f>IF(A1032="","",YEAR(A1032))</f>
        <v>2026</v>
      </c>
      <c r="N1032" s="26" t="str">
        <f>IF(A1032="","",CHOOSE(WEEKDAY(A1032,2),"Segunda","Terça","Quarta","Quinta","Sexta","Sábado","Domingo"))</f>
        <v>Segunda</v>
      </c>
      <c r="O1032" s="26" t="str">
        <f>IF(B1032="","",IF(B1032&lt;TIME(12,0,0),"Manhã",IF(B1032&lt;TIME(18,0,0),"Tarde","Noite")))</f>
        <v>Tarde</v>
      </c>
      <c r="P1032" s="32">
        <f>IF(G1032="","",IFERROR(INDEX(Config!$I$5:$I$16,MATCH(G1032,Config!$H$5:$H$16,0)),0))</f>
        <v>0</v>
      </c>
      <c r="Q1032" s="30">
        <f>IF(OR(H1032&lt;&gt;"Realizado",P1032="",P1032=0),"",A1032+P1032)</f>
        <v/>
      </c>
      <c r="R1032" s="26">
        <f>IF(Q1032="","",IF(COUNTIFS($E$5:$E$3004,E1032,$A$5:$A$3004,"&gt;"&amp;A1032,$H$5:$H$3004,"&lt;&gt;Falta",$H$5:$H$3004,"&lt;&gt;Cancelado",$H$5:$H$3004,"&lt;&gt;Remarcado")&gt;0,"Sim","Não"))</f>
        <v/>
      </c>
      <c r="S1032" s="32">
        <f>IF(R1032&lt;&gt;"Não","",IF(Q1032+Config!$B$9&lt;=Config!$B$8,Config!$B$8-Q1032,""))</f>
        <v/>
      </c>
      <c r="T1032" s="26">
        <f>IF(S1032="","","Sim")</f>
        <v/>
      </c>
      <c r="U1032" s="41">
        <f>IF(T1032="Sim",S1032+ROW()/100000,0)</f>
        <v>0</v>
      </c>
      <c r="V1032" s="41">
        <f>IF(AND(H1032="Falta",L1032=Config!$B$7,M1032=Config!$B$5,COUNTIFS($E$5:E1032,E1032,$H$5:H1032,"Falta",$L$5:L1032,Config!$B$7,$M$5:M1032,Config!$B$5)=1),COUNTIFS($E$5:$E$3004,E1032,$H$5:$H$3004,"Falta",$L$5:$L$3004,Config!$B$7,$M$5:$M$3004,Config!$B$5)*1000-ROW()/100000,0)</f>
        <v>0</v>
      </c>
    </row>
    <row r="1033">
      <c r="A1033" s="39" t="n">
        <v>46279</v>
      </c>
      <c r="B1033" s="40" t="n">
        <v>0.6805555555555556</v>
      </c>
      <c r="C1033" s="35" t="inlineStr">
        <is>
          <t>Dr. Paulo Andrade</t>
        </is>
      </c>
      <c r="D1033" s="35" t="inlineStr">
        <is>
          <t>Sala 2</t>
        </is>
      </c>
      <c r="E1033" s="34" t="inlineStr">
        <is>
          <t>Mariana Nascimento</t>
        </is>
      </c>
      <c r="F1033" s="35" t="inlineStr">
        <is>
          <t>Particular</t>
        </is>
      </c>
      <c r="G1033" s="35" t="inlineStr">
        <is>
          <t>ECG</t>
        </is>
      </c>
      <c r="H1033" s="35" t="inlineStr">
        <is>
          <t>Agendado</t>
        </is>
      </c>
      <c r="I1033" s="35" t="n"/>
      <c r="J1033" s="35" t="n"/>
      <c r="K1033" s="34" t="n"/>
      <c r="L1033" s="26">
        <f>IF(A1033="","",MONTH(A1033))</f>
        <v>9</v>
      </c>
      <c r="M1033" s="26">
        <f>IF(A1033="","",YEAR(A1033))</f>
        <v>2026</v>
      </c>
      <c r="N1033" s="26" t="str">
        <f>IF(A1033="","",CHOOSE(WEEKDAY(A1033,2),"Segunda","Terça","Quarta","Quinta","Sexta","Sábado","Domingo"))</f>
        <v>Segunda</v>
      </c>
      <c r="O1033" s="26" t="str">
        <f>IF(B1033="","",IF(B1033&lt;TIME(12,0,0),"Manhã",IF(B1033&lt;TIME(18,0,0),"Tarde","Noite")))</f>
        <v>Tarde</v>
      </c>
      <c r="P1033" s="32">
        <f>IF(G1033="","",IFERROR(INDEX(Config!$I$5:$I$16,MATCH(G1033,Config!$H$5:$H$16,0)),0))</f>
        <v>0</v>
      </c>
      <c r="Q1033" s="30">
        <f>IF(OR(H1033&lt;&gt;"Realizado",P1033="",P1033=0),"",A1033+P1033)</f>
        <v/>
      </c>
      <c r="R1033" s="26">
        <f>IF(Q1033="","",IF(COUNTIFS($E$5:$E$3004,E1033,$A$5:$A$3004,"&gt;"&amp;A1033,$H$5:$H$3004,"&lt;&gt;Falta",$H$5:$H$3004,"&lt;&gt;Cancelado",$H$5:$H$3004,"&lt;&gt;Remarcado")&gt;0,"Sim","Não"))</f>
        <v/>
      </c>
      <c r="S1033" s="32">
        <f>IF(R1033&lt;&gt;"Não","",IF(Q1033+Config!$B$9&lt;=Config!$B$8,Config!$B$8-Q1033,""))</f>
        <v/>
      </c>
      <c r="T1033" s="26">
        <f>IF(S1033="","","Sim")</f>
        <v/>
      </c>
      <c r="U1033" s="41">
        <f>IF(T1033="Sim",S1033+ROW()/100000,0)</f>
        <v>0</v>
      </c>
      <c r="V1033" s="41">
        <f>IF(AND(H1033="Falta",L1033=Config!$B$7,M1033=Config!$B$5,COUNTIFS($E$5:E1033,E1033,$H$5:H1033,"Falta",$L$5:L1033,Config!$B$7,$M$5:M1033,Config!$B$5)=1),COUNTIFS($E$5:$E$3004,E1033,$H$5:$H$3004,"Falta",$L$5:$L$3004,Config!$B$7,$M$5:$M$3004,Config!$B$5)*1000-ROW()/100000,0)</f>
        <v>0</v>
      </c>
    </row>
    <row r="1034">
      <c r="A1034" s="39" t="n">
        <v>46279</v>
      </c>
      <c r="B1034" s="40" t="n">
        <v>0.6944444444444444</v>
      </c>
      <c r="C1034" s="35" t="inlineStr">
        <is>
          <t>Dr. Paulo Andrade</t>
        </is>
      </c>
      <c r="D1034" s="35" t="inlineStr">
        <is>
          <t>Sala 2</t>
        </is>
      </c>
      <c r="E1034" s="34" t="inlineStr">
        <is>
          <t>Mateus Martins</t>
        </is>
      </c>
      <c r="F1034" s="35" t="inlineStr">
        <is>
          <t>Vida Care</t>
        </is>
      </c>
      <c r="G1034" s="35" t="inlineStr">
        <is>
          <t>Retorno</t>
        </is>
      </c>
      <c r="H1034" s="35" t="inlineStr">
        <is>
          <t>Confirmado</t>
        </is>
      </c>
      <c r="I1034" s="35" t="n"/>
      <c r="J1034" s="35" t="n"/>
      <c r="K1034" s="34" t="n"/>
      <c r="L1034" s="26">
        <f>IF(A1034="","",MONTH(A1034))</f>
        <v>9</v>
      </c>
      <c r="M1034" s="26">
        <f>IF(A1034="","",YEAR(A1034))</f>
        <v>2026</v>
      </c>
      <c r="N1034" s="26" t="str">
        <f>IF(A1034="","",CHOOSE(WEEKDAY(A1034,2),"Segunda","Terça","Quarta","Quinta","Sexta","Sábado","Domingo"))</f>
        <v>Segunda</v>
      </c>
      <c r="O1034" s="26" t="str">
        <f>IF(B1034="","",IF(B1034&lt;TIME(12,0,0),"Manhã",IF(B1034&lt;TIME(18,0,0),"Tarde","Noite")))</f>
        <v>Tarde</v>
      </c>
      <c r="P1034" s="32">
        <f>IF(G1034="","",IFERROR(INDEX(Config!$I$5:$I$16,MATCH(G1034,Config!$H$5:$H$16,0)),0))</f>
        <v>0</v>
      </c>
      <c r="Q1034" s="30">
        <f>IF(OR(H1034&lt;&gt;"Realizado",P1034="",P1034=0),"",A1034+P1034)</f>
        <v/>
      </c>
      <c r="R1034" s="26">
        <f>IF(Q1034="","",IF(COUNTIFS($E$5:$E$3004,E1034,$A$5:$A$3004,"&gt;"&amp;A1034,$H$5:$H$3004,"&lt;&gt;Falta",$H$5:$H$3004,"&lt;&gt;Cancelado",$H$5:$H$3004,"&lt;&gt;Remarcado")&gt;0,"Sim","Não"))</f>
        <v/>
      </c>
      <c r="S1034" s="32">
        <f>IF(R1034&lt;&gt;"Não","",IF(Q1034+Config!$B$9&lt;=Config!$B$8,Config!$B$8-Q1034,""))</f>
        <v/>
      </c>
      <c r="T1034" s="26">
        <f>IF(S1034="","","Sim")</f>
        <v/>
      </c>
      <c r="U1034" s="41">
        <f>IF(T1034="Sim",S1034+ROW()/100000,0)</f>
        <v>0</v>
      </c>
      <c r="V1034" s="41">
        <f>IF(AND(H1034="Falta",L1034=Config!$B$7,M1034=Config!$B$5,COUNTIFS($E$5:E1034,E1034,$H$5:H1034,"Falta",$L$5:L1034,Config!$B$7,$M$5:M1034,Config!$B$5)=1),COUNTIFS($E$5:$E$3004,E1034,$H$5:$H$3004,"Falta",$L$5:$L$3004,Config!$B$7,$M$5:$M$3004,Config!$B$5)*1000-ROW()/100000,0)</f>
        <v>0</v>
      </c>
    </row>
    <row r="1035">
      <c r="A1035" s="39" t="n">
        <v>46279</v>
      </c>
      <c r="B1035" s="40" t="n">
        <v>0.7083333333333334</v>
      </c>
      <c r="C1035" s="35" t="inlineStr">
        <is>
          <t>Dr. Paulo Andrade</t>
        </is>
      </c>
      <c r="D1035" s="35" t="inlineStr">
        <is>
          <t>Sala 2</t>
        </is>
      </c>
      <c r="E1035" s="34" t="inlineStr">
        <is>
          <t>Priscila Carvalho</t>
        </is>
      </c>
      <c r="F1035" s="35" t="inlineStr">
        <is>
          <t>Vida Care</t>
        </is>
      </c>
      <c r="G1035" s="35" t="inlineStr">
        <is>
          <t>ECG</t>
        </is>
      </c>
      <c r="H1035" s="35" t="inlineStr">
        <is>
          <t>Confirmado</t>
        </is>
      </c>
      <c r="I1035" s="35" t="n"/>
      <c r="J1035" s="35" t="n"/>
      <c r="K1035" s="34" t="n"/>
      <c r="L1035" s="26">
        <f>IF(A1035="","",MONTH(A1035))</f>
        <v>9</v>
      </c>
      <c r="M1035" s="26">
        <f>IF(A1035="","",YEAR(A1035))</f>
        <v>2026</v>
      </c>
      <c r="N1035" s="26" t="str">
        <f>IF(A1035="","",CHOOSE(WEEKDAY(A1035,2),"Segunda","Terça","Quarta","Quinta","Sexta","Sábado","Domingo"))</f>
        <v>Segunda</v>
      </c>
      <c r="O1035" s="26" t="str">
        <f>IF(B1035="","",IF(B1035&lt;TIME(12,0,0),"Manhã",IF(B1035&lt;TIME(18,0,0),"Tarde","Noite")))</f>
        <v>Tarde</v>
      </c>
      <c r="P1035" s="32">
        <f>IF(G1035="","",IFERROR(INDEX(Config!$I$5:$I$16,MATCH(G1035,Config!$H$5:$H$16,0)),0))</f>
        <v>0</v>
      </c>
      <c r="Q1035" s="30">
        <f>IF(OR(H1035&lt;&gt;"Realizado",P1035="",P1035=0),"",A1035+P1035)</f>
        <v/>
      </c>
      <c r="R1035" s="26">
        <f>IF(Q1035="","",IF(COUNTIFS($E$5:$E$3004,E1035,$A$5:$A$3004,"&gt;"&amp;A1035,$H$5:$H$3004,"&lt;&gt;Falta",$H$5:$H$3004,"&lt;&gt;Cancelado",$H$5:$H$3004,"&lt;&gt;Remarcado")&gt;0,"Sim","Não"))</f>
        <v/>
      </c>
      <c r="S1035" s="32">
        <f>IF(R1035&lt;&gt;"Não","",IF(Q1035+Config!$B$9&lt;=Config!$B$8,Config!$B$8-Q1035,""))</f>
        <v/>
      </c>
      <c r="T1035" s="26">
        <f>IF(S1035="","","Sim")</f>
        <v/>
      </c>
      <c r="U1035" s="41">
        <f>IF(T1035="Sim",S1035+ROW()/100000,0)</f>
        <v>0</v>
      </c>
      <c r="V1035" s="41">
        <f>IF(AND(H1035="Falta",L1035=Config!$B$7,M1035=Config!$B$5,COUNTIFS($E$5:E1035,E1035,$H$5:H1035,"Falta",$L$5:L1035,Config!$B$7,$M$5:M1035,Config!$B$5)=1),COUNTIFS($E$5:$E$3004,E1035,$H$5:$H$3004,"Falta",$L$5:$L$3004,Config!$B$7,$M$5:$M$3004,Config!$B$5)*1000-ROW()/100000,0)</f>
        <v>0</v>
      </c>
    </row>
    <row r="1036">
      <c r="A1036" s="39" t="n">
        <v>46279</v>
      </c>
      <c r="B1036" s="40" t="n">
        <v>0.7222222222222222</v>
      </c>
      <c r="C1036" s="35" t="inlineStr">
        <is>
          <t>Dr. Paulo Andrade</t>
        </is>
      </c>
      <c r="D1036" s="35" t="inlineStr">
        <is>
          <t>Sala 2</t>
        </is>
      </c>
      <c r="E1036" s="34" t="inlineStr">
        <is>
          <t>Priscila Rocha</t>
        </is>
      </c>
      <c r="F1036" s="35" t="inlineStr">
        <is>
          <t>MediPlan</t>
        </is>
      </c>
      <c r="G1036" s="35" t="inlineStr">
        <is>
          <t>Consulta</t>
        </is>
      </c>
      <c r="H1036" s="35" t="inlineStr">
        <is>
          <t>Confirmado</t>
        </is>
      </c>
      <c r="I1036" s="35" t="n"/>
      <c r="J1036" s="35" t="n"/>
      <c r="K1036" s="34" t="n"/>
      <c r="L1036" s="26">
        <f>IF(A1036="","",MONTH(A1036))</f>
        <v>9</v>
      </c>
      <c r="M1036" s="26">
        <f>IF(A1036="","",YEAR(A1036))</f>
        <v>2026</v>
      </c>
      <c r="N1036" s="26" t="str">
        <f>IF(A1036="","",CHOOSE(WEEKDAY(A1036,2),"Segunda","Terça","Quarta","Quinta","Sexta","Sábado","Domingo"))</f>
        <v>Segunda</v>
      </c>
      <c r="O1036" s="26" t="str">
        <f>IF(B1036="","",IF(B1036&lt;TIME(12,0,0),"Manhã",IF(B1036&lt;TIME(18,0,0),"Tarde","Noite")))</f>
        <v>Tarde</v>
      </c>
      <c r="P1036" s="32">
        <f>IF(G1036="","",IFERROR(INDEX(Config!$I$5:$I$16,MATCH(G1036,Config!$H$5:$H$16,0)),0))</f>
        <v>30</v>
      </c>
      <c r="Q1036" s="30">
        <f>IF(OR(H1036&lt;&gt;"Realizado",P1036="",P1036=0),"",A1036+P1036)</f>
        <v/>
      </c>
      <c r="R1036" s="26">
        <f>IF(Q1036="","",IF(COUNTIFS($E$5:$E$3004,E1036,$A$5:$A$3004,"&gt;"&amp;A1036,$H$5:$H$3004,"&lt;&gt;Falta",$H$5:$H$3004,"&lt;&gt;Cancelado",$H$5:$H$3004,"&lt;&gt;Remarcado")&gt;0,"Sim","Não"))</f>
        <v/>
      </c>
      <c r="S1036" s="32">
        <f>IF(R1036&lt;&gt;"Não","",IF(Q1036+Config!$B$9&lt;=Config!$B$8,Config!$B$8-Q1036,""))</f>
        <v/>
      </c>
      <c r="T1036" s="26">
        <f>IF(S1036="","","Sim")</f>
        <v/>
      </c>
      <c r="U1036" s="41">
        <f>IF(T1036="Sim",S1036+ROW()/100000,0)</f>
        <v>0</v>
      </c>
      <c r="V1036" s="41">
        <f>IF(AND(H1036="Falta",L1036=Config!$B$7,M1036=Config!$B$5,COUNTIFS($E$5:E1036,E1036,$H$5:H1036,"Falta",$L$5:L1036,Config!$B$7,$M$5:M1036,Config!$B$5)=1),COUNTIFS($E$5:$E$3004,E1036,$H$5:$H$3004,"Falta",$L$5:$L$3004,Config!$B$7,$M$5:$M$3004,Config!$B$5)*1000-ROW()/100000,0)</f>
        <v>0</v>
      </c>
    </row>
    <row r="1037">
      <c r="A1037" s="39" t="n">
        <v>46280</v>
      </c>
      <c r="B1037" s="40" t="n">
        <v>0.3333333333333333</v>
      </c>
      <c r="C1037" s="35" t="inlineStr">
        <is>
          <t>Dra. Carolina Mendes</t>
        </is>
      </c>
      <c r="D1037" s="35" t="inlineStr">
        <is>
          <t>Sala 1</t>
        </is>
      </c>
      <c r="E1037" s="34" t="inlineStr">
        <is>
          <t>Gustavo Ferreira</t>
        </is>
      </c>
      <c r="F1037" s="35" t="inlineStr">
        <is>
          <t>Particular</t>
        </is>
      </c>
      <c r="G1037" s="35" t="inlineStr">
        <is>
          <t>Retorno</t>
        </is>
      </c>
      <c r="H1037" s="35" t="inlineStr">
        <is>
          <t>Confirmado</t>
        </is>
      </c>
      <c r="I1037" s="35" t="n"/>
      <c r="J1037" s="35" t="n"/>
      <c r="K1037" s="34" t="n"/>
      <c r="L1037" s="26">
        <f>IF(A1037="","",MONTH(A1037))</f>
        <v>9</v>
      </c>
      <c r="M1037" s="26">
        <f>IF(A1037="","",YEAR(A1037))</f>
        <v>2026</v>
      </c>
      <c r="N1037" s="26" t="str">
        <f>IF(A1037="","",CHOOSE(WEEKDAY(A1037,2),"Segunda","Terça","Quarta","Quinta","Sexta","Sábado","Domingo"))</f>
        <v>Terça</v>
      </c>
      <c r="O1037" s="26" t="str">
        <f>IF(B1037="","",IF(B1037&lt;TIME(12,0,0),"Manhã",IF(B1037&lt;TIME(18,0,0),"Tarde","Noite")))</f>
        <v>Manhã</v>
      </c>
      <c r="P1037" s="32">
        <f>IF(G1037="","",IFERROR(INDEX(Config!$I$5:$I$16,MATCH(G1037,Config!$H$5:$H$16,0)),0))</f>
        <v>0</v>
      </c>
      <c r="Q1037" s="30">
        <f>IF(OR(H1037&lt;&gt;"Realizado",P1037="",P1037=0),"",A1037+P1037)</f>
        <v/>
      </c>
      <c r="R1037" s="26">
        <f>IF(Q1037="","",IF(COUNTIFS($E$5:$E$3004,E1037,$A$5:$A$3004,"&gt;"&amp;A1037,$H$5:$H$3004,"&lt;&gt;Falta",$H$5:$H$3004,"&lt;&gt;Cancelado",$H$5:$H$3004,"&lt;&gt;Remarcado")&gt;0,"Sim","Não"))</f>
        <v/>
      </c>
      <c r="S1037" s="32">
        <f>IF(R1037&lt;&gt;"Não","",IF(Q1037+Config!$B$9&lt;=Config!$B$8,Config!$B$8-Q1037,""))</f>
        <v/>
      </c>
      <c r="T1037" s="26">
        <f>IF(S1037="","","Sim")</f>
        <v/>
      </c>
      <c r="U1037" s="41">
        <f>IF(T1037="Sim",S1037+ROW()/100000,0)</f>
        <v>0</v>
      </c>
      <c r="V1037" s="41">
        <f>IF(AND(H1037="Falta",L1037=Config!$B$7,M1037=Config!$B$5,COUNTIFS($E$5:E1037,E1037,$H$5:H1037,"Falta",$L$5:L1037,Config!$B$7,$M$5:M1037,Config!$B$5)=1),COUNTIFS($E$5:$E$3004,E1037,$H$5:$H$3004,"Falta",$L$5:$L$3004,Config!$B$7,$M$5:$M$3004,Config!$B$5)*1000-ROW()/100000,0)</f>
        <v>0</v>
      </c>
    </row>
    <row r="1038">
      <c r="A1038" s="39" t="n">
        <v>46280</v>
      </c>
      <c r="B1038" s="40" t="n">
        <v>0.3472222222222222</v>
      </c>
      <c r="C1038" s="35" t="inlineStr">
        <is>
          <t>Dra. Carolina Mendes</t>
        </is>
      </c>
      <c r="D1038" s="35" t="inlineStr">
        <is>
          <t>Sala 1</t>
        </is>
      </c>
      <c r="E1038" s="34" t="inlineStr">
        <is>
          <t>Mônica Teixeira</t>
        </is>
      </c>
      <c r="F1038" s="35" t="inlineStr">
        <is>
          <t>Vida Care</t>
        </is>
      </c>
      <c r="G1038" s="35" t="inlineStr">
        <is>
          <t>Consulta</t>
        </is>
      </c>
      <c r="H1038" s="35" t="inlineStr">
        <is>
          <t>Agendado</t>
        </is>
      </c>
      <c r="I1038" s="35" t="n"/>
      <c r="J1038" s="35" t="n"/>
      <c r="K1038" s="34" t="n"/>
      <c r="L1038" s="26">
        <f>IF(A1038="","",MONTH(A1038))</f>
        <v>9</v>
      </c>
      <c r="M1038" s="26">
        <f>IF(A1038="","",YEAR(A1038))</f>
        <v>2026</v>
      </c>
      <c r="N1038" s="26" t="str">
        <f>IF(A1038="","",CHOOSE(WEEKDAY(A1038,2),"Segunda","Terça","Quarta","Quinta","Sexta","Sábado","Domingo"))</f>
        <v>Terça</v>
      </c>
      <c r="O1038" s="26" t="str">
        <f>IF(B1038="","",IF(B1038&lt;TIME(12,0,0),"Manhã",IF(B1038&lt;TIME(18,0,0),"Tarde","Noite")))</f>
        <v>Manhã</v>
      </c>
      <c r="P1038" s="32">
        <f>IF(G1038="","",IFERROR(INDEX(Config!$I$5:$I$16,MATCH(G1038,Config!$H$5:$H$16,0)),0))</f>
        <v>30</v>
      </c>
      <c r="Q1038" s="30">
        <f>IF(OR(H1038&lt;&gt;"Realizado",P1038="",P1038=0),"",A1038+P1038)</f>
        <v/>
      </c>
      <c r="R1038" s="26">
        <f>IF(Q1038="","",IF(COUNTIFS($E$5:$E$3004,E1038,$A$5:$A$3004,"&gt;"&amp;A1038,$H$5:$H$3004,"&lt;&gt;Falta",$H$5:$H$3004,"&lt;&gt;Cancelado",$H$5:$H$3004,"&lt;&gt;Remarcado")&gt;0,"Sim","Não"))</f>
        <v/>
      </c>
      <c r="S1038" s="32">
        <f>IF(R1038&lt;&gt;"Não","",IF(Q1038+Config!$B$9&lt;=Config!$B$8,Config!$B$8-Q1038,""))</f>
        <v/>
      </c>
      <c r="T1038" s="26">
        <f>IF(S1038="","","Sim")</f>
        <v/>
      </c>
      <c r="U1038" s="41">
        <f>IF(T1038="Sim",S1038+ROW()/100000,0)</f>
        <v>0</v>
      </c>
      <c r="V1038" s="41">
        <f>IF(AND(H1038="Falta",L1038=Config!$B$7,M1038=Config!$B$5,COUNTIFS($E$5:E1038,E1038,$H$5:H1038,"Falta",$L$5:L1038,Config!$B$7,$M$5:M1038,Config!$B$5)=1),COUNTIFS($E$5:$E$3004,E1038,$H$5:$H$3004,"Falta",$L$5:$L$3004,Config!$B$7,$M$5:$M$3004,Config!$B$5)*1000-ROW()/100000,0)</f>
        <v>0</v>
      </c>
    </row>
    <row r="1039">
      <c r="A1039" s="39" t="n">
        <v>46280</v>
      </c>
      <c r="B1039" s="40" t="n">
        <v>0.3680555555555556</v>
      </c>
      <c r="C1039" s="35" t="inlineStr">
        <is>
          <t>Dra. Carolina Mendes</t>
        </is>
      </c>
      <c r="D1039" s="35" t="inlineStr">
        <is>
          <t>Sala 1</t>
        </is>
      </c>
      <c r="E1039" s="34" t="inlineStr">
        <is>
          <t>Gustavo Barbosa</t>
        </is>
      </c>
      <c r="F1039" s="35" t="inlineStr">
        <is>
          <t>Saúde Total</t>
        </is>
      </c>
      <c r="G1039" s="35" t="inlineStr">
        <is>
          <t>Consulta</t>
        </is>
      </c>
      <c r="H1039" s="35" t="inlineStr">
        <is>
          <t>Agendado</t>
        </is>
      </c>
      <c r="I1039" s="35" t="n"/>
      <c r="J1039" s="35" t="n"/>
      <c r="K1039" s="34" t="n"/>
      <c r="L1039" s="26">
        <f>IF(A1039="","",MONTH(A1039))</f>
        <v>9</v>
      </c>
      <c r="M1039" s="26">
        <f>IF(A1039="","",YEAR(A1039))</f>
        <v>2026</v>
      </c>
      <c r="N1039" s="26" t="str">
        <f>IF(A1039="","",CHOOSE(WEEKDAY(A1039,2),"Segunda","Terça","Quarta","Quinta","Sexta","Sábado","Domingo"))</f>
        <v>Terça</v>
      </c>
      <c r="O1039" s="26" t="str">
        <f>IF(B1039="","",IF(B1039&lt;TIME(12,0,0),"Manhã",IF(B1039&lt;TIME(18,0,0),"Tarde","Noite")))</f>
        <v>Manhã</v>
      </c>
      <c r="P1039" s="32">
        <f>IF(G1039="","",IFERROR(INDEX(Config!$I$5:$I$16,MATCH(G1039,Config!$H$5:$H$16,0)),0))</f>
        <v>30</v>
      </c>
      <c r="Q1039" s="30">
        <f>IF(OR(H1039&lt;&gt;"Realizado",P1039="",P1039=0),"",A1039+P1039)</f>
        <v/>
      </c>
      <c r="R1039" s="26">
        <f>IF(Q1039="","",IF(COUNTIFS($E$5:$E$3004,E1039,$A$5:$A$3004,"&gt;"&amp;A1039,$H$5:$H$3004,"&lt;&gt;Falta",$H$5:$H$3004,"&lt;&gt;Cancelado",$H$5:$H$3004,"&lt;&gt;Remarcado")&gt;0,"Sim","Não"))</f>
        <v/>
      </c>
      <c r="S1039" s="32">
        <f>IF(R1039&lt;&gt;"Não","",IF(Q1039+Config!$B$9&lt;=Config!$B$8,Config!$B$8-Q1039,""))</f>
        <v/>
      </c>
      <c r="T1039" s="26">
        <f>IF(S1039="","","Sim")</f>
        <v/>
      </c>
      <c r="U1039" s="41">
        <f>IF(T1039="Sim",S1039+ROW()/100000,0)</f>
        <v>0</v>
      </c>
      <c r="V1039" s="41">
        <f>IF(AND(H1039="Falta",L1039=Config!$B$7,M1039=Config!$B$5,COUNTIFS($E$5:E1039,E1039,$H$5:H1039,"Falta",$L$5:L1039,Config!$B$7,$M$5:M1039,Config!$B$5)=1),COUNTIFS($E$5:$E$3004,E1039,$H$5:$H$3004,"Falta",$L$5:$L$3004,Config!$B$7,$M$5:$M$3004,Config!$B$5)*1000-ROW()/100000,0)</f>
        <v>0</v>
      </c>
    </row>
    <row r="1040">
      <c r="A1040" s="39" t="n">
        <v>46280</v>
      </c>
      <c r="B1040" s="40" t="n">
        <v>0.3888888888888889</v>
      </c>
      <c r="C1040" s="35" t="inlineStr">
        <is>
          <t>Dra. Carolina Mendes</t>
        </is>
      </c>
      <c r="D1040" s="35" t="inlineStr">
        <is>
          <t>Sala 1</t>
        </is>
      </c>
      <c r="E1040" s="34" t="inlineStr">
        <is>
          <t>Otávio Nascimento</t>
        </is>
      </c>
      <c r="F1040" s="35" t="inlineStr">
        <is>
          <t>Particular</t>
        </is>
      </c>
      <c r="G1040" s="35" t="inlineStr">
        <is>
          <t>Retorno</t>
        </is>
      </c>
      <c r="H1040" s="35" t="inlineStr">
        <is>
          <t>Agendado</t>
        </is>
      </c>
      <c r="I1040" s="35" t="n"/>
      <c r="J1040" s="35" t="n"/>
      <c r="K1040" s="34" t="n"/>
      <c r="L1040" s="26">
        <f>IF(A1040="","",MONTH(A1040))</f>
        <v>9</v>
      </c>
      <c r="M1040" s="26">
        <f>IF(A1040="","",YEAR(A1040))</f>
        <v>2026</v>
      </c>
      <c r="N1040" s="26" t="str">
        <f>IF(A1040="","",CHOOSE(WEEKDAY(A1040,2),"Segunda","Terça","Quarta","Quinta","Sexta","Sábado","Domingo"))</f>
        <v>Terça</v>
      </c>
      <c r="O1040" s="26" t="str">
        <f>IF(B1040="","",IF(B1040&lt;TIME(12,0,0),"Manhã",IF(B1040&lt;TIME(18,0,0),"Tarde","Noite")))</f>
        <v>Manhã</v>
      </c>
      <c r="P1040" s="32">
        <f>IF(G1040="","",IFERROR(INDEX(Config!$I$5:$I$16,MATCH(G1040,Config!$H$5:$H$16,0)),0))</f>
        <v>0</v>
      </c>
      <c r="Q1040" s="30">
        <f>IF(OR(H1040&lt;&gt;"Realizado",P1040="",P1040=0),"",A1040+P1040)</f>
        <v/>
      </c>
      <c r="R1040" s="26">
        <f>IF(Q1040="","",IF(COUNTIFS($E$5:$E$3004,E1040,$A$5:$A$3004,"&gt;"&amp;A1040,$H$5:$H$3004,"&lt;&gt;Falta",$H$5:$H$3004,"&lt;&gt;Cancelado",$H$5:$H$3004,"&lt;&gt;Remarcado")&gt;0,"Sim","Não"))</f>
        <v/>
      </c>
      <c r="S1040" s="32">
        <f>IF(R1040&lt;&gt;"Não","",IF(Q1040+Config!$B$9&lt;=Config!$B$8,Config!$B$8-Q1040,""))</f>
        <v/>
      </c>
      <c r="T1040" s="26">
        <f>IF(S1040="","","Sim")</f>
        <v/>
      </c>
      <c r="U1040" s="41">
        <f>IF(T1040="Sim",S1040+ROW()/100000,0)</f>
        <v>0</v>
      </c>
      <c r="V1040" s="41">
        <f>IF(AND(H1040="Falta",L1040=Config!$B$7,M1040=Config!$B$5,COUNTIFS($E$5:E1040,E1040,$H$5:H1040,"Falta",$L$5:L1040,Config!$B$7,$M$5:M1040,Config!$B$5)=1),COUNTIFS($E$5:$E$3004,E1040,$H$5:$H$3004,"Falta",$L$5:$L$3004,Config!$B$7,$M$5:$M$3004,Config!$B$5)*1000-ROW()/100000,0)</f>
        <v>0</v>
      </c>
    </row>
    <row r="1041">
      <c r="A1041" s="39" t="n">
        <v>46280</v>
      </c>
      <c r="B1041" s="40" t="n">
        <v>0.4027777777777778</v>
      </c>
      <c r="C1041" s="35" t="inlineStr">
        <is>
          <t>Dra. Carolina Mendes</t>
        </is>
      </c>
      <c r="D1041" s="35" t="inlineStr">
        <is>
          <t>Sala 1</t>
        </is>
      </c>
      <c r="E1041" s="34" t="inlineStr">
        <is>
          <t>Eduardo Nunes</t>
        </is>
      </c>
      <c r="F1041" s="35" t="inlineStr">
        <is>
          <t>MediPlan</t>
        </is>
      </c>
      <c r="G1041" s="35" t="inlineStr">
        <is>
          <t>Retorno</t>
        </is>
      </c>
      <c r="H1041" s="35" t="inlineStr">
        <is>
          <t>Confirmado</t>
        </is>
      </c>
      <c r="I1041" s="35" t="n"/>
      <c r="J1041" s="35" t="n"/>
      <c r="K1041" s="34" t="n"/>
      <c r="L1041" s="26">
        <f>IF(A1041="","",MONTH(A1041))</f>
        <v>9</v>
      </c>
      <c r="M1041" s="26">
        <f>IF(A1041="","",YEAR(A1041))</f>
        <v>2026</v>
      </c>
      <c r="N1041" s="26" t="str">
        <f>IF(A1041="","",CHOOSE(WEEKDAY(A1041,2),"Segunda","Terça","Quarta","Quinta","Sexta","Sábado","Domingo"))</f>
        <v>Terça</v>
      </c>
      <c r="O1041" s="26" t="str">
        <f>IF(B1041="","",IF(B1041&lt;TIME(12,0,0),"Manhã",IF(B1041&lt;TIME(18,0,0),"Tarde","Noite")))</f>
        <v>Manhã</v>
      </c>
      <c r="P1041" s="32">
        <f>IF(G1041="","",IFERROR(INDEX(Config!$I$5:$I$16,MATCH(G1041,Config!$H$5:$H$16,0)),0))</f>
        <v>0</v>
      </c>
      <c r="Q1041" s="30">
        <f>IF(OR(H1041&lt;&gt;"Realizado",P1041="",P1041=0),"",A1041+P1041)</f>
        <v/>
      </c>
      <c r="R1041" s="26">
        <f>IF(Q1041="","",IF(COUNTIFS($E$5:$E$3004,E1041,$A$5:$A$3004,"&gt;"&amp;A1041,$H$5:$H$3004,"&lt;&gt;Falta",$H$5:$H$3004,"&lt;&gt;Cancelado",$H$5:$H$3004,"&lt;&gt;Remarcado")&gt;0,"Sim","Não"))</f>
        <v/>
      </c>
      <c r="S1041" s="32">
        <f>IF(R1041&lt;&gt;"Não","",IF(Q1041+Config!$B$9&lt;=Config!$B$8,Config!$B$8-Q1041,""))</f>
        <v/>
      </c>
      <c r="T1041" s="26">
        <f>IF(S1041="","","Sim")</f>
        <v/>
      </c>
      <c r="U1041" s="41">
        <f>IF(T1041="Sim",S1041+ROW()/100000,0)</f>
        <v>0</v>
      </c>
      <c r="V1041" s="41">
        <f>IF(AND(H1041="Falta",L1041=Config!$B$7,M1041=Config!$B$5,COUNTIFS($E$5:E1041,E1041,$H$5:H1041,"Falta",$L$5:L1041,Config!$B$7,$M$5:M1041,Config!$B$5)=1),COUNTIFS($E$5:$E$3004,E1041,$H$5:$H$3004,"Falta",$L$5:$L$3004,Config!$B$7,$M$5:$M$3004,Config!$B$5)*1000-ROW()/100000,0)</f>
        <v>0</v>
      </c>
    </row>
    <row r="1042">
      <c r="A1042" s="39" t="n">
        <v>46280</v>
      </c>
      <c r="B1042" s="40" t="n">
        <v>0.4166666666666667</v>
      </c>
      <c r="C1042" s="35" t="inlineStr">
        <is>
          <t>Dra. Carolina Mendes</t>
        </is>
      </c>
      <c r="D1042" s="35" t="inlineStr">
        <is>
          <t>Sala 1</t>
        </is>
      </c>
      <c r="E1042" s="34" t="inlineStr">
        <is>
          <t>Mariana Nascimento</t>
        </is>
      </c>
      <c r="F1042" s="35" t="inlineStr">
        <is>
          <t>Particular</t>
        </is>
      </c>
      <c r="G1042" s="35" t="inlineStr">
        <is>
          <t>Consulta</t>
        </is>
      </c>
      <c r="H1042" s="35" t="inlineStr">
        <is>
          <t>Confirmado</t>
        </is>
      </c>
      <c r="I1042" s="35" t="n"/>
      <c r="J1042" s="35" t="n"/>
      <c r="K1042" s="34" t="n"/>
      <c r="L1042" s="26">
        <f>IF(A1042="","",MONTH(A1042))</f>
        <v>9</v>
      </c>
      <c r="M1042" s="26">
        <f>IF(A1042="","",YEAR(A1042))</f>
        <v>2026</v>
      </c>
      <c r="N1042" s="26" t="str">
        <f>IF(A1042="","",CHOOSE(WEEKDAY(A1042,2),"Segunda","Terça","Quarta","Quinta","Sexta","Sábado","Domingo"))</f>
        <v>Terça</v>
      </c>
      <c r="O1042" s="26" t="str">
        <f>IF(B1042="","",IF(B1042&lt;TIME(12,0,0),"Manhã",IF(B1042&lt;TIME(18,0,0),"Tarde","Noite")))</f>
        <v>Manhã</v>
      </c>
      <c r="P1042" s="32">
        <f>IF(G1042="","",IFERROR(INDEX(Config!$I$5:$I$16,MATCH(G1042,Config!$H$5:$H$16,0)),0))</f>
        <v>30</v>
      </c>
      <c r="Q1042" s="30">
        <f>IF(OR(H1042&lt;&gt;"Realizado",P1042="",P1042=0),"",A1042+P1042)</f>
        <v/>
      </c>
      <c r="R1042" s="26">
        <f>IF(Q1042="","",IF(COUNTIFS($E$5:$E$3004,E1042,$A$5:$A$3004,"&gt;"&amp;A1042,$H$5:$H$3004,"&lt;&gt;Falta",$H$5:$H$3004,"&lt;&gt;Cancelado",$H$5:$H$3004,"&lt;&gt;Remarcado")&gt;0,"Sim","Não"))</f>
        <v/>
      </c>
      <c r="S1042" s="32">
        <f>IF(R1042&lt;&gt;"Não","",IF(Q1042+Config!$B$9&lt;=Config!$B$8,Config!$B$8-Q1042,""))</f>
        <v/>
      </c>
      <c r="T1042" s="26">
        <f>IF(S1042="","","Sim")</f>
        <v/>
      </c>
      <c r="U1042" s="41">
        <f>IF(T1042="Sim",S1042+ROW()/100000,0)</f>
        <v>0</v>
      </c>
      <c r="V1042" s="41">
        <f>IF(AND(H1042="Falta",L1042=Config!$B$7,M1042=Config!$B$5,COUNTIFS($E$5:E1042,E1042,$H$5:H1042,"Falta",$L$5:L1042,Config!$B$7,$M$5:M1042,Config!$B$5)=1),COUNTIFS($E$5:$E$3004,E1042,$H$5:$H$3004,"Falta",$L$5:$L$3004,Config!$B$7,$M$5:$M$3004,Config!$B$5)*1000-ROW()/100000,0)</f>
        <v>0</v>
      </c>
    </row>
    <row r="1043">
      <c r="A1043" s="39" t="n">
        <v>46280</v>
      </c>
      <c r="B1043" s="40" t="n">
        <v>0.4375</v>
      </c>
      <c r="C1043" s="35" t="inlineStr">
        <is>
          <t>Dra. Carolina Mendes</t>
        </is>
      </c>
      <c r="D1043" s="35" t="inlineStr">
        <is>
          <t>Sala 1</t>
        </is>
      </c>
      <c r="E1043" s="34" t="inlineStr">
        <is>
          <t>Wagner Lima</t>
        </is>
      </c>
      <c r="F1043" s="35" t="inlineStr">
        <is>
          <t>Particular</t>
        </is>
      </c>
      <c r="G1043" s="35" t="inlineStr">
        <is>
          <t>Consulta</t>
        </is>
      </c>
      <c r="H1043" s="35" t="inlineStr">
        <is>
          <t>Confirmado</t>
        </is>
      </c>
      <c r="I1043" s="35" t="n"/>
      <c r="J1043" s="35" t="n"/>
      <c r="K1043" s="34" t="n"/>
      <c r="L1043" s="26">
        <f>IF(A1043="","",MONTH(A1043))</f>
        <v>9</v>
      </c>
      <c r="M1043" s="26">
        <f>IF(A1043="","",YEAR(A1043))</f>
        <v>2026</v>
      </c>
      <c r="N1043" s="26" t="str">
        <f>IF(A1043="","",CHOOSE(WEEKDAY(A1043,2),"Segunda","Terça","Quarta","Quinta","Sexta","Sábado","Domingo"))</f>
        <v>Terça</v>
      </c>
      <c r="O1043" s="26" t="str">
        <f>IF(B1043="","",IF(B1043&lt;TIME(12,0,0),"Manhã",IF(B1043&lt;TIME(18,0,0),"Tarde","Noite")))</f>
        <v>Manhã</v>
      </c>
      <c r="P1043" s="32">
        <f>IF(G1043="","",IFERROR(INDEX(Config!$I$5:$I$16,MATCH(G1043,Config!$H$5:$H$16,0)),0))</f>
        <v>30</v>
      </c>
      <c r="Q1043" s="30">
        <f>IF(OR(H1043&lt;&gt;"Realizado",P1043="",P1043=0),"",A1043+P1043)</f>
        <v/>
      </c>
      <c r="R1043" s="26">
        <f>IF(Q1043="","",IF(COUNTIFS($E$5:$E$3004,E1043,$A$5:$A$3004,"&gt;"&amp;A1043,$H$5:$H$3004,"&lt;&gt;Falta",$H$5:$H$3004,"&lt;&gt;Cancelado",$H$5:$H$3004,"&lt;&gt;Remarcado")&gt;0,"Sim","Não"))</f>
        <v/>
      </c>
      <c r="S1043" s="32">
        <f>IF(R1043&lt;&gt;"Não","",IF(Q1043+Config!$B$9&lt;=Config!$B$8,Config!$B$8-Q1043,""))</f>
        <v/>
      </c>
      <c r="T1043" s="26">
        <f>IF(S1043="","","Sim")</f>
        <v/>
      </c>
      <c r="U1043" s="41">
        <f>IF(T1043="Sim",S1043+ROW()/100000,0)</f>
        <v>0</v>
      </c>
      <c r="V1043" s="41">
        <f>IF(AND(H1043="Falta",L1043=Config!$B$7,M1043=Config!$B$5,COUNTIFS($E$5:E1043,E1043,$H$5:H1043,"Falta",$L$5:L1043,Config!$B$7,$M$5:M1043,Config!$B$5)=1),COUNTIFS($E$5:$E$3004,E1043,$H$5:$H$3004,"Falta",$L$5:$L$3004,Config!$B$7,$M$5:$M$3004,Config!$B$5)*1000-ROW()/100000,0)</f>
        <v>0</v>
      </c>
    </row>
    <row r="1044">
      <c r="A1044" s="39" t="n">
        <v>46280</v>
      </c>
      <c r="B1044" s="40" t="n">
        <v>0.4583333333333333</v>
      </c>
      <c r="C1044" s="35" t="inlineStr">
        <is>
          <t>Dra. Carolina Mendes</t>
        </is>
      </c>
      <c r="D1044" s="35" t="inlineStr">
        <is>
          <t>Sala 1</t>
        </is>
      </c>
      <c r="E1044" s="34" t="inlineStr">
        <is>
          <t>Carlos Barros</t>
        </is>
      </c>
      <c r="F1044" s="35" t="inlineStr">
        <is>
          <t>MediPlan</t>
        </is>
      </c>
      <c r="G1044" s="35" t="inlineStr">
        <is>
          <t>Consulta</t>
        </is>
      </c>
      <c r="H1044" s="35" t="inlineStr">
        <is>
          <t>Confirmado</t>
        </is>
      </c>
      <c r="I1044" s="35" t="n"/>
      <c r="J1044" s="35" t="n"/>
      <c r="K1044" s="34" t="n"/>
      <c r="L1044" s="26">
        <f>IF(A1044="","",MONTH(A1044))</f>
        <v>9</v>
      </c>
      <c r="M1044" s="26">
        <f>IF(A1044="","",YEAR(A1044))</f>
        <v>2026</v>
      </c>
      <c r="N1044" s="26" t="str">
        <f>IF(A1044="","",CHOOSE(WEEKDAY(A1044,2),"Segunda","Terça","Quarta","Quinta","Sexta","Sábado","Domingo"))</f>
        <v>Terça</v>
      </c>
      <c r="O1044" s="26" t="str">
        <f>IF(B1044="","",IF(B1044&lt;TIME(12,0,0),"Manhã",IF(B1044&lt;TIME(18,0,0),"Tarde","Noite")))</f>
        <v>Manhã</v>
      </c>
      <c r="P1044" s="32">
        <f>IF(G1044="","",IFERROR(INDEX(Config!$I$5:$I$16,MATCH(G1044,Config!$H$5:$H$16,0)),0))</f>
        <v>30</v>
      </c>
      <c r="Q1044" s="30">
        <f>IF(OR(H1044&lt;&gt;"Realizado",P1044="",P1044=0),"",A1044+P1044)</f>
        <v/>
      </c>
      <c r="R1044" s="26">
        <f>IF(Q1044="","",IF(COUNTIFS($E$5:$E$3004,E1044,$A$5:$A$3004,"&gt;"&amp;A1044,$H$5:$H$3004,"&lt;&gt;Falta",$H$5:$H$3004,"&lt;&gt;Cancelado",$H$5:$H$3004,"&lt;&gt;Remarcado")&gt;0,"Sim","Não"))</f>
        <v/>
      </c>
      <c r="S1044" s="32">
        <f>IF(R1044&lt;&gt;"Não","",IF(Q1044+Config!$B$9&lt;=Config!$B$8,Config!$B$8-Q1044,""))</f>
        <v/>
      </c>
      <c r="T1044" s="26">
        <f>IF(S1044="","","Sim")</f>
        <v/>
      </c>
      <c r="U1044" s="41">
        <f>IF(T1044="Sim",S1044+ROW()/100000,0)</f>
        <v>0</v>
      </c>
      <c r="V1044" s="41">
        <f>IF(AND(H1044="Falta",L1044=Config!$B$7,M1044=Config!$B$5,COUNTIFS($E$5:E1044,E1044,$H$5:H1044,"Falta",$L$5:L1044,Config!$B$7,$M$5:M1044,Config!$B$5)=1),COUNTIFS($E$5:$E$3004,E1044,$H$5:$H$3004,"Falta",$L$5:$L$3004,Config!$B$7,$M$5:$M$3004,Config!$B$5)*1000-ROW()/100000,0)</f>
        <v>0</v>
      </c>
    </row>
    <row r="1045">
      <c r="A1045" s="39" t="n">
        <v>46280</v>
      </c>
      <c r="B1045" s="40" t="n">
        <v>0.4791666666666667</v>
      </c>
      <c r="C1045" s="35" t="inlineStr">
        <is>
          <t>Dra. Carolina Mendes</t>
        </is>
      </c>
      <c r="D1045" s="35" t="inlineStr">
        <is>
          <t>Sala 1</t>
        </is>
      </c>
      <c r="E1045" s="34" t="inlineStr">
        <is>
          <t>Otávio Cardoso</t>
        </is>
      </c>
      <c r="F1045" s="35" t="inlineStr">
        <is>
          <t>Particular</t>
        </is>
      </c>
      <c r="G1045" s="35" t="inlineStr">
        <is>
          <t>Consulta</t>
        </is>
      </c>
      <c r="H1045" s="35" t="inlineStr">
        <is>
          <t>Confirmado</t>
        </is>
      </c>
      <c r="I1045" s="35" t="n"/>
      <c r="J1045" s="35" t="n"/>
      <c r="K1045" s="34" t="n"/>
      <c r="L1045" s="26">
        <f>IF(A1045="","",MONTH(A1045))</f>
        <v>9</v>
      </c>
      <c r="M1045" s="26">
        <f>IF(A1045="","",YEAR(A1045))</f>
        <v>2026</v>
      </c>
      <c r="N1045" s="26" t="str">
        <f>IF(A1045="","",CHOOSE(WEEKDAY(A1045,2),"Segunda","Terça","Quarta","Quinta","Sexta","Sábado","Domingo"))</f>
        <v>Terça</v>
      </c>
      <c r="O1045" s="26" t="str">
        <f>IF(B1045="","",IF(B1045&lt;TIME(12,0,0),"Manhã",IF(B1045&lt;TIME(18,0,0),"Tarde","Noite")))</f>
        <v>Manhã</v>
      </c>
      <c r="P1045" s="32">
        <f>IF(G1045="","",IFERROR(INDEX(Config!$I$5:$I$16,MATCH(G1045,Config!$H$5:$H$16,0)),0))</f>
        <v>30</v>
      </c>
      <c r="Q1045" s="30">
        <f>IF(OR(H1045&lt;&gt;"Realizado",P1045="",P1045=0),"",A1045+P1045)</f>
        <v/>
      </c>
      <c r="R1045" s="26">
        <f>IF(Q1045="","",IF(COUNTIFS($E$5:$E$3004,E1045,$A$5:$A$3004,"&gt;"&amp;A1045,$H$5:$H$3004,"&lt;&gt;Falta",$H$5:$H$3004,"&lt;&gt;Cancelado",$H$5:$H$3004,"&lt;&gt;Remarcado")&gt;0,"Sim","Não"))</f>
        <v/>
      </c>
      <c r="S1045" s="32">
        <f>IF(R1045&lt;&gt;"Não","",IF(Q1045+Config!$B$9&lt;=Config!$B$8,Config!$B$8-Q1045,""))</f>
        <v/>
      </c>
      <c r="T1045" s="26">
        <f>IF(S1045="","","Sim")</f>
        <v/>
      </c>
      <c r="U1045" s="41">
        <f>IF(T1045="Sim",S1045+ROW()/100000,0)</f>
        <v>0</v>
      </c>
      <c r="V1045" s="41">
        <f>IF(AND(H1045="Falta",L1045=Config!$B$7,M1045=Config!$B$5,COUNTIFS($E$5:E1045,E1045,$H$5:H1045,"Falta",$L$5:L1045,Config!$B$7,$M$5:M1045,Config!$B$5)=1),COUNTIFS($E$5:$E$3004,E1045,$H$5:$H$3004,"Falta",$L$5:$L$3004,Config!$B$7,$M$5:$M$3004,Config!$B$5)*1000-ROW()/100000,0)</f>
        <v>0</v>
      </c>
    </row>
    <row r="1046">
      <c r="A1046" s="39" t="n">
        <v>46280</v>
      </c>
      <c r="B1046" s="40" t="n">
        <v>0.5833333333333334</v>
      </c>
      <c r="C1046" s="35" t="inlineStr">
        <is>
          <t>Dra. Renata Sousa</t>
        </is>
      </c>
      <c r="D1046" s="35" t="inlineStr">
        <is>
          <t>Sala 1</t>
        </is>
      </c>
      <c r="E1046" s="34" t="inlineStr">
        <is>
          <t>Thiago Melo</t>
        </is>
      </c>
      <c r="F1046" s="35" t="inlineStr">
        <is>
          <t>Particular</t>
        </is>
      </c>
      <c r="G1046" s="35" t="inlineStr">
        <is>
          <t>Avaliação endócrina</t>
        </is>
      </c>
      <c r="H1046" s="35" t="inlineStr">
        <is>
          <t>Confirmado</t>
        </is>
      </c>
      <c r="I1046" s="35" t="n"/>
      <c r="J1046" s="35" t="n"/>
      <c r="K1046" s="34" t="n"/>
      <c r="L1046" s="26">
        <f>IF(A1046="","",MONTH(A1046))</f>
        <v>9</v>
      </c>
      <c r="M1046" s="26">
        <f>IF(A1046="","",YEAR(A1046))</f>
        <v>2026</v>
      </c>
      <c r="N1046" s="26" t="str">
        <f>IF(A1046="","",CHOOSE(WEEKDAY(A1046,2),"Segunda","Terça","Quarta","Quinta","Sexta","Sábado","Domingo"))</f>
        <v>Terça</v>
      </c>
      <c r="O1046" s="26" t="str">
        <f>IF(B1046="","",IF(B1046&lt;TIME(12,0,0),"Manhã",IF(B1046&lt;TIME(18,0,0),"Tarde","Noite")))</f>
        <v>Tarde</v>
      </c>
      <c r="P1046" s="32">
        <f>IF(G1046="","",IFERROR(INDEX(Config!$I$5:$I$16,MATCH(G1046,Config!$H$5:$H$16,0)),0))</f>
        <v>45</v>
      </c>
      <c r="Q1046" s="30">
        <f>IF(OR(H1046&lt;&gt;"Realizado",P1046="",P1046=0),"",A1046+P1046)</f>
        <v/>
      </c>
      <c r="R1046" s="26">
        <f>IF(Q1046="","",IF(COUNTIFS($E$5:$E$3004,E1046,$A$5:$A$3004,"&gt;"&amp;A1046,$H$5:$H$3004,"&lt;&gt;Falta",$H$5:$H$3004,"&lt;&gt;Cancelado",$H$5:$H$3004,"&lt;&gt;Remarcado")&gt;0,"Sim","Não"))</f>
        <v/>
      </c>
      <c r="S1046" s="32">
        <f>IF(R1046&lt;&gt;"Não","",IF(Q1046+Config!$B$9&lt;=Config!$B$8,Config!$B$8-Q1046,""))</f>
        <v/>
      </c>
      <c r="T1046" s="26">
        <f>IF(S1046="","","Sim")</f>
        <v/>
      </c>
      <c r="U1046" s="41">
        <f>IF(T1046="Sim",S1046+ROW()/100000,0)</f>
        <v>0</v>
      </c>
      <c r="V1046" s="41">
        <f>IF(AND(H1046="Falta",L1046=Config!$B$7,M1046=Config!$B$5,COUNTIFS($E$5:E1046,E1046,$H$5:H1046,"Falta",$L$5:L1046,Config!$B$7,$M$5:M1046,Config!$B$5)=1),COUNTIFS($E$5:$E$3004,E1046,$H$5:$H$3004,"Falta",$L$5:$L$3004,Config!$B$7,$M$5:$M$3004,Config!$B$5)*1000-ROW()/100000,0)</f>
        <v>0</v>
      </c>
    </row>
    <row r="1047">
      <c r="A1047" s="39" t="n">
        <v>46280</v>
      </c>
      <c r="B1047" s="40" t="n">
        <v>0.5833333333333334</v>
      </c>
      <c r="C1047" s="35" t="inlineStr">
        <is>
          <t>Dr. Paulo Andrade</t>
        </is>
      </c>
      <c r="D1047" s="35" t="inlineStr">
        <is>
          <t>Sala 2</t>
        </is>
      </c>
      <c r="E1047" s="34" t="inlineStr">
        <is>
          <t>Letícia Vieira</t>
        </is>
      </c>
      <c r="F1047" s="35" t="inlineStr">
        <is>
          <t>Saúde Total</t>
        </is>
      </c>
      <c r="G1047" s="35" t="inlineStr">
        <is>
          <t>ECG</t>
        </is>
      </c>
      <c r="H1047" s="35" t="inlineStr">
        <is>
          <t>Confirmado</t>
        </is>
      </c>
      <c r="I1047" s="35" t="n"/>
      <c r="J1047" s="35" t="n"/>
      <c r="K1047" s="34" t="n"/>
      <c r="L1047" s="26">
        <f>IF(A1047="","",MONTH(A1047))</f>
        <v>9</v>
      </c>
      <c r="M1047" s="26">
        <f>IF(A1047="","",YEAR(A1047))</f>
        <v>2026</v>
      </c>
      <c r="N1047" s="26" t="str">
        <f>IF(A1047="","",CHOOSE(WEEKDAY(A1047,2),"Segunda","Terça","Quarta","Quinta","Sexta","Sábado","Domingo"))</f>
        <v>Terça</v>
      </c>
      <c r="O1047" s="26" t="str">
        <f>IF(B1047="","",IF(B1047&lt;TIME(12,0,0),"Manhã",IF(B1047&lt;TIME(18,0,0),"Tarde","Noite")))</f>
        <v>Tarde</v>
      </c>
      <c r="P1047" s="32">
        <f>IF(G1047="","",IFERROR(INDEX(Config!$I$5:$I$16,MATCH(G1047,Config!$H$5:$H$16,0)),0))</f>
        <v>0</v>
      </c>
      <c r="Q1047" s="30">
        <f>IF(OR(H1047&lt;&gt;"Realizado",P1047="",P1047=0),"",A1047+P1047)</f>
        <v/>
      </c>
      <c r="R1047" s="26">
        <f>IF(Q1047="","",IF(COUNTIFS($E$5:$E$3004,E1047,$A$5:$A$3004,"&gt;"&amp;A1047,$H$5:$H$3004,"&lt;&gt;Falta",$H$5:$H$3004,"&lt;&gt;Cancelado",$H$5:$H$3004,"&lt;&gt;Remarcado")&gt;0,"Sim","Não"))</f>
        <v/>
      </c>
      <c r="S1047" s="32">
        <f>IF(R1047&lt;&gt;"Não","",IF(Q1047+Config!$B$9&lt;=Config!$B$8,Config!$B$8-Q1047,""))</f>
        <v/>
      </c>
      <c r="T1047" s="26">
        <f>IF(S1047="","","Sim")</f>
        <v/>
      </c>
      <c r="U1047" s="41">
        <f>IF(T1047="Sim",S1047+ROW()/100000,0)</f>
        <v>0</v>
      </c>
      <c r="V1047" s="41">
        <f>IF(AND(H1047="Falta",L1047=Config!$B$7,M1047=Config!$B$5,COUNTIFS($E$5:E1047,E1047,$H$5:H1047,"Falta",$L$5:L1047,Config!$B$7,$M$5:M1047,Config!$B$5)=1),COUNTIFS($E$5:$E$3004,E1047,$H$5:$H$3004,"Falta",$L$5:$L$3004,Config!$B$7,$M$5:$M$3004,Config!$B$5)*1000-ROW()/100000,0)</f>
        <v>0</v>
      </c>
    </row>
    <row r="1048">
      <c r="A1048" s="39" t="n">
        <v>46280</v>
      </c>
      <c r="B1048" s="40" t="n">
        <v>0.5972222222222222</v>
      </c>
      <c r="C1048" s="35" t="inlineStr">
        <is>
          <t>Dr. Paulo Andrade</t>
        </is>
      </c>
      <c r="D1048" s="35" t="inlineStr">
        <is>
          <t>Sala 2</t>
        </is>
      </c>
      <c r="E1048" s="34" t="inlineStr">
        <is>
          <t>Sérgio Batista</t>
        </is>
      </c>
      <c r="F1048" s="35" t="inlineStr">
        <is>
          <t>MediPlan</t>
        </is>
      </c>
      <c r="G1048" s="35" t="inlineStr">
        <is>
          <t>ECG</t>
        </is>
      </c>
      <c r="H1048" s="35" t="inlineStr">
        <is>
          <t>Confirmado</t>
        </is>
      </c>
      <c r="I1048" s="35" t="n"/>
      <c r="J1048" s="35" t="n"/>
      <c r="K1048" s="34" t="n"/>
      <c r="L1048" s="26">
        <f>IF(A1048="","",MONTH(A1048))</f>
        <v>9</v>
      </c>
      <c r="M1048" s="26">
        <f>IF(A1048="","",YEAR(A1048))</f>
        <v>2026</v>
      </c>
      <c r="N1048" s="26" t="str">
        <f>IF(A1048="","",CHOOSE(WEEKDAY(A1048,2),"Segunda","Terça","Quarta","Quinta","Sexta","Sábado","Domingo"))</f>
        <v>Terça</v>
      </c>
      <c r="O1048" s="26" t="str">
        <f>IF(B1048="","",IF(B1048&lt;TIME(12,0,0),"Manhã",IF(B1048&lt;TIME(18,0,0),"Tarde","Noite")))</f>
        <v>Tarde</v>
      </c>
      <c r="P1048" s="32">
        <f>IF(G1048="","",IFERROR(INDEX(Config!$I$5:$I$16,MATCH(G1048,Config!$H$5:$H$16,0)),0))</f>
        <v>0</v>
      </c>
      <c r="Q1048" s="30">
        <f>IF(OR(H1048&lt;&gt;"Realizado",P1048="",P1048=0),"",A1048+P1048)</f>
        <v/>
      </c>
      <c r="R1048" s="26">
        <f>IF(Q1048="","",IF(COUNTIFS($E$5:$E$3004,E1048,$A$5:$A$3004,"&gt;"&amp;A1048,$H$5:$H$3004,"&lt;&gt;Falta",$H$5:$H$3004,"&lt;&gt;Cancelado",$H$5:$H$3004,"&lt;&gt;Remarcado")&gt;0,"Sim","Não"))</f>
        <v/>
      </c>
      <c r="S1048" s="32">
        <f>IF(R1048&lt;&gt;"Não","",IF(Q1048+Config!$B$9&lt;=Config!$B$8,Config!$B$8-Q1048,""))</f>
        <v/>
      </c>
      <c r="T1048" s="26">
        <f>IF(S1048="","","Sim")</f>
        <v/>
      </c>
      <c r="U1048" s="41">
        <f>IF(T1048="Sim",S1048+ROW()/100000,0)</f>
        <v>0</v>
      </c>
      <c r="V1048" s="41">
        <f>IF(AND(H1048="Falta",L1048=Config!$B$7,M1048=Config!$B$5,COUNTIFS($E$5:E1048,E1048,$H$5:H1048,"Falta",$L$5:L1048,Config!$B$7,$M$5:M1048,Config!$B$5)=1),COUNTIFS($E$5:$E$3004,E1048,$H$5:$H$3004,"Falta",$L$5:$L$3004,Config!$B$7,$M$5:$M$3004,Config!$B$5)*1000-ROW()/100000,0)</f>
        <v>0</v>
      </c>
    </row>
    <row r="1049">
      <c r="A1049" s="39" t="n">
        <v>46280</v>
      </c>
      <c r="B1049" s="40" t="n">
        <v>0.6111111111111112</v>
      </c>
      <c r="C1049" s="35" t="inlineStr">
        <is>
          <t>Dra. Renata Sousa</t>
        </is>
      </c>
      <c r="D1049" s="35" t="inlineStr">
        <is>
          <t>Sala 1</t>
        </is>
      </c>
      <c r="E1049" s="34" t="inlineStr">
        <is>
          <t>Isabela Xavier</t>
        </is>
      </c>
      <c r="F1049" s="35" t="inlineStr">
        <is>
          <t>Particular</t>
        </is>
      </c>
      <c r="G1049" s="35" t="inlineStr">
        <is>
          <t>Retorno</t>
        </is>
      </c>
      <c r="H1049" s="35" t="inlineStr">
        <is>
          <t>Agendado</t>
        </is>
      </c>
      <c r="I1049" s="35" t="n"/>
      <c r="J1049" s="35" t="n"/>
      <c r="K1049" s="34" t="n"/>
      <c r="L1049" s="26">
        <f>IF(A1049="","",MONTH(A1049))</f>
        <v>9</v>
      </c>
      <c r="M1049" s="26">
        <f>IF(A1049="","",YEAR(A1049))</f>
        <v>2026</v>
      </c>
      <c r="N1049" s="26" t="str">
        <f>IF(A1049="","",CHOOSE(WEEKDAY(A1049,2),"Segunda","Terça","Quarta","Quinta","Sexta","Sábado","Domingo"))</f>
        <v>Terça</v>
      </c>
      <c r="O1049" s="26" t="str">
        <f>IF(B1049="","",IF(B1049&lt;TIME(12,0,0),"Manhã",IF(B1049&lt;TIME(18,0,0),"Tarde","Noite")))</f>
        <v>Tarde</v>
      </c>
      <c r="P1049" s="32">
        <f>IF(G1049="","",IFERROR(INDEX(Config!$I$5:$I$16,MATCH(G1049,Config!$H$5:$H$16,0)),0))</f>
        <v>0</v>
      </c>
      <c r="Q1049" s="30">
        <f>IF(OR(H1049&lt;&gt;"Realizado",P1049="",P1049=0),"",A1049+P1049)</f>
        <v/>
      </c>
      <c r="R1049" s="26">
        <f>IF(Q1049="","",IF(COUNTIFS($E$5:$E$3004,E1049,$A$5:$A$3004,"&gt;"&amp;A1049,$H$5:$H$3004,"&lt;&gt;Falta",$H$5:$H$3004,"&lt;&gt;Cancelado",$H$5:$H$3004,"&lt;&gt;Remarcado")&gt;0,"Sim","Não"))</f>
        <v/>
      </c>
      <c r="S1049" s="32">
        <f>IF(R1049&lt;&gt;"Não","",IF(Q1049+Config!$B$9&lt;=Config!$B$8,Config!$B$8-Q1049,""))</f>
        <v/>
      </c>
      <c r="T1049" s="26">
        <f>IF(S1049="","","Sim")</f>
        <v/>
      </c>
      <c r="U1049" s="41">
        <f>IF(T1049="Sim",S1049+ROW()/100000,0)</f>
        <v>0</v>
      </c>
      <c r="V1049" s="41">
        <f>IF(AND(H1049="Falta",L1049=Config!$B$7,M1049=Config!$B$5,COUNTIFS($E$5:E1049,E1049,$H$5:H1049,"Falta",$L$5:L1049,Config!$B$7,$M$5:M1049,Config!$B$5)=1),COUNTIFS($E$5:$E$3004,E1049,$H$5:$H$3004,"Falta",$L$5:$L$3004,Config!$B$7,$M$5:$M$3004,Config!$B$5)*1000-ROW()/100000,0)</f>
        <v>0</v>
      </c>
    </row>
    <row r="1050">
      <c r="A1050" s="39" t="n">
        <v>46280</v>
      </c>
      <c r="B1050" s="40" t="n">
        <v>0.6111111111111112</v>
      </c>
      <c r="C1050" s="35" t="inlineStr">
        <is>
          <t>Dr. Paulo Andrade</t>
        </is>
      </c>
      <c r="D1050" s="35" t="inlineStr">
        <is>
          <t>Sala 2</t>
        </is>
      </c>
      <c r="E1050" s="34" t="inlineStr">
        <is>
          <t>Lucas Cardoso</t>
        </is>
      </c>
      <c r="F1050" s="35" t="inlineStr">
        <is>
          <t>Particular</t>
        </is>
      </c>
      <c r="G1050" s="35" t="inlineStr">
        <is>
          <t>Retorno</t>
        </is>
      </c>
      <c r="H1050" s="35" t="inlineStr">
        <is>
          <t>Confirmado</t>
        </is>
      </c>
      <c r="I1050" s="35" t="n"/>
      <c r="J1050" s="35" t="n"/>
      <c r="K1050" s="34" t="n"/>
      <c r="L1050" s="26">
        <f>IF(A1050="","",MONTH(A1050))</f>
        <v>9</v>
      </c>
      <c r="M1050" s="26">
        <f>IF(A1050="","",YEAR(A1050))</f>
        <v>2026</v>
      </c>
      <c r="N1050" s="26" t="str">
        <f>IF(A1050="","",CHOOSE(WEEKDAY(A1050,2),"Segunda","Terça","Quarta","Quinta","Sexta","Sábado","Domingo"))</f>
        <v>Terça</v>
      </c>
      <c r="O1050" s="26" t="str">
        <f>IF(B1050="","",IF(B1050&lt;TIME(12,0,0),"Manhã",IF(B1050&lt;TIME(18,0,0),"Tarde","Noite")))</f>
        <v>Tarde</v>
      </c>
      <c r="P1050" s="32">
        <f>IF(G1050="","",IFERROR(INDEX(Config!$I$5:$I$16,MATCH(G1050,Config!$H$5:$H$16,0)),0))</f>
        <v>0</v>
      </c>
      <c r="Q1050" s="30">
        <f>IF(OR(H1050&lt;&gt;"Realizado",P1050="",P1050=0),"",A1050+P1050)</f>
        <v/>
      </c>
      <c r="R1050" s="26">
        <f>IF(Q1050="","",IF(COUNTIFS($E$5:$E$3004,E1050,$A$5:$A$3004,"&gt;"&amp;A1050,$H$5:$H$3004,"&lt;&gt;Falta",$H$5:$H$3004,"&lt;&gt;Cancelado",$H$5:$H$3004,"&lt;&gt;Remarcado")&gt;0,"Sim","Não"))</f>
        <v/>
      </c>
      <c r="S1050" s="32">
        <f>IF(R1050&lt;&gt;"Não","",IF(Q1050+Config!$B$9&lt;=Config!$B$8,Config!$B$8-Q1050,""))</f>
        <v/>
      </c>
      <c r="T1050" s="26">
        <f>IF(S1050="","","Sim")</f>
        <v/>
      </c>
      <c r="U1050" s="41">
        <f>IF(T1050="Sim",S1050+ROW()/100000,0)</f>
        <v>0</v>
      </c>
      <c r="V1050" s="41">
        <f>IF(AND(H1050="Falta",L1050=Config!$B$7,M1050=Config!$B$5,COUNTIFS($E$5:E1050,E1050,$H$5:H1050,"Falta",$L$5:L1050,Config!$B$7,$M$5:M1050,Config!$B$5)=1),COUNTIFS($E$5:$E$3004,E1050,$H$5:$H$3004,"Falta",$L$5:$L$3004,Config!$B$7,$M$5:$M$3004,Config!$B$5)*1000-ROW()/100000,0)</f>
        <v>0</v>
      </c>
    </row>
    <row r="1051">
      <c r="A1051" s="39" t="n">
        <v>46280</v>
      </c>
      <c r="B1051" s="40" t="n">
        <v>0.625</v>
      </c>
      <c r="C1051" s="35" t="inlineStr">
        <is>
          <t>Dra. Renata Sousa</t>
        </is>
      </c>
      <c r="D1051" s="35" t="inlineStr">
        <is>
          <t>Sala 1</t>
        </is>
      </c>
      <c r="E1051" s="34" t="inlineStr">
        <is>
          <t>Beatriz Gomes</t>
        </is>
      </c>
      <c r="F1051" s="35" t="inlineStr">
        <is>
          <t>Particular</t>
        </is>
      </c>
      <c r="G1051" s="35" t="inlineStr">
        <is>
          <t>Avaliação endócrina</t>
        </is>
      </c>
      <c r="H1051" s="35" t="inlineStr">
        <is>
          <t>Confirmado</t>
        </is>
      </c>
      <c r="I1051" s="35" t="n"/>
      <c r="J1051" s="35" t="n"/>
      <c r="K1051" s="34" t="n"/>
      <c r="L1051" s="26">
        <f>IF(A1051="","",MONTH(A1051))</f>
        <v>9</v>
      </c>
      <c r="M1051" s="26">
        <f>IF(A1051="","",YEAR(A1051))</f>
        <v>2026</v>
      </c>
      <c r="N1051" s="26" t="str">
        <f>IF(A1051="","",CHOOSE(WEEKDAY(A1051,2),"Segunda","Terça","Quarta","Quinta","Sexta","Sábado","Domingo"))</f>
        <v>Terça</v>
      </c>
      <c r="O1051" s="26" t="str">
        <f>IF(B1051="","",IF(B1051&lt;TIME(12,0,0),"Manhã",IF(B1051&lt;TIME(18,0,0),"Tarde","Noite")))</f>
        <v>Tarde</v>
      </c>
      <c r="P1051" s="32">
        <f>IF(G1051="","",IFERROR(INDEX(Config!$I$5:$I$16,MATCH(G1051,Config!$H$5:$H$16,0)),0))</f>
        <v>45</v>
      </c>
      <c r="Q1051" s="30">
        <f>IF(OR(H1051&lt;&gt;"Realizado",P1051="",P1051=0),"",A1051+P1051)</f>
        <v/>
      </c>
      <c r="R1051" s="26">
        <f>IF(Q1051="","",IF(COUNTIFS($E$5:$E$3004,E1051,$A$5:$A$3004,"&gt;"&amp;A1051,$H$5:$H$3004,"&lt;&gt;Falta",$H$5:$H$3004,"&lt;&gt;Cancelado",$H$5:$H$3004,"&lt;&gt;Remarcado")&gt;0,"Sim","Não"))</f>
        <v/>
      </c>
      <c r="S1051" s="32">
        <f>IF(R1051&lt;&gt;"Não","",IF(Q1051+Config!$B$9&lt;=Config!$B$8,Config!$B$8-Q1051,""))</f>
        <v/>
      </c>
      <c r="T1051" s="26">
        <f>IF(S1051="","","Sim")</f>
        <v/>
      </c>
      <c r="U1051" s="41">
        <f>IF(T1051="Sim",S1051+ROW()/100000,0)</f>
        <v>0</v>
      </c>
      <c r="V1051" s="41">
        <f>IF(AND(H1051="Falta",L1051=Config!$B$7,M1051=Config!$B$5,COUNTIFS($E$5:E1051,E1051,$H$5:H1051,"Falta",$L$5:L1051,Config!$B$7,$M$5:M1051,Config!$B$5)=1),COUNTIFS($E$5:$E$3004,E1051,$H$5:$H$3004,"Falta",$L$5:$L$3004,Config!$B$7,$M$5:$M$3004,Config!$B$5)*1000-ROW()/100000,0)</f>
        <v>0</v>
      </c>
    </row>
    <row r="1052">
      <c r="A1052" s="39" t="n">
        <v>46280</v>
      </c>
      <c r="B1052" s="40" t="n">
        <v>0.625</v>
      </c>
      <c r="C1052" s="35" t="inlineStr">
        <is>
          <t>Dr. Paulo Andrade</t>
        </is>
      </c>
      <c r="D1052" s="35" t="inlineStr">
        <is>
          <t>Sala 2</t>
        </is>
      </c>
      <c r="E1052" s="34" t="inlineStr">
        <is>
          <t>Carlos Oliveira</t>
        </is>
      </c>
      <c r="F1052" s="35" t="inlineStr">
        <is>
          <t>Particular</t>
        </is>
      </c>
      <c r="G1052" s="35" t="inlineStr">
        <is>
          <t>Consulta</t>
        </is>
      </c>
      <c r="H1052" s="35" t="inlineStr">
        <is>
          <t>Confirmado</t>
        </is>
      </c>
      <c r="I1052" s="35" t="n"/>
      <c r="J1052" s="35" t="n"/>
      <c r="K1052" s="34" t="n"/>
      <c r="L1052" s="26">
        <f>IF(A1052="","",MONTH(A1052))</f>
        <v>9</v>
      </c>
      <c r="M1052" s="26">
        <f>IF(A1052="","",YEAR(A1052))</f>
        <v>2026</v>
      </c>
      <c r="N1052" s="26" t="str">
        <f>IF(A1052="","",CHOOSE(WEEKDAY(A1052,2),"Segunda","Terça","Quarta","Quinta","Sexta","Sábado","Domingo"))</f>
        <v>Terça</v>
      </c>
      <c r="O1052" s="26" t="str">
        <f>IF(B1052="","",IF(B1052&lt;TIME(12,0,0),"Manhã",IF(B1052&lt;TIME(18,0,0),"Tarde","Noite")))</f>
        <v>Tarde</v>
      </c>
      <c r="P1052" s="32">
        <f>IF(G1052="","",IFERROR(INDEX(Config!$I$5:$I$16,MATCH(G1052,Config!$H$5:$H$16,0)),0))</f>
        <v>30</v>
      </c>
      <c r="Q1052" s="30">
        <f>IF(OR(H1052&lt;&gt;"Realizado",P1052="",P1052=0),"",A1052+P1052)</f>
        <v/>
      </c>
      <c r="R1052" s="26">
        <f>IF(Q1052="","",IF(COUNTIFS($E$5:$E$3004,E1052,$A$5:$A$3004,"&gt;"&amp;A1052,$H$5:$H$3004,"&lt;&gt;Falta",$H$5:$H$3004,"&lt;&gt;Cancelado",$H$5:$H$3004,"&lt;&gt;Remarcado")&gt;0,"Sim","Não"))</f>
        <v/>
      </c>
      <c r="S1052" s="32">
        <f>IF(R1052&lt;&gt;"Não","",IF(Q1052+Config!$B$9&lt;=Config!$B$8,Config!$B$8-Q1052,""))</f>
        <v/>
      </c>
      <c r="T1052" s="26">
        <f>IF(S1052="","","Sim")</f>
        <v/>
      </c>
      <c r="U1052" s="41">
        <f>IF(T1052="Sim",S1052+ROW()/100000,0)</f>
        <v>0</v>
      </c>
      <c r="V1052" s="41">
        <f>IF(AND(H1052="Falta",L1052=Config!$B$7,M1052=Config!$B$5,COUNTIFS($E$5:E1052,E1052,$H$5:H1052,"Falta",$L$5:L1052,Config!$B$7,$M$5:M1052,Config!$B$5)=1),COUNTIFS($E$5:$E$3004,E1052,$H$5:$H$3004,"Falta",$L$5:$L$3004,Config!$B$7,$M$5:$M$3004,Config!$B$5)*1000-ROW()/100000,0)</f>
        <v>0</v>
      </c>
    </row>
    <row r="1053">
      <c r="A1053" s="39" t="n">
        <v>46280</v>
      </c>
      <c r="B1053" s="40" t="n">
        <v>0.6458333333333334</v>
      </c>
      <c r="C1053" s="35" t="inlineStr">
        <is>
          <t>Dr. Paulo Andrade</t>
        </is>
      </c>
      <c r="D1053" s="35" t="inlineStr">
        <is>
          <t>Sala 2</t>
        </is>
      </c>
      <c r="E1053" s="34" t="inlineStr">
        <is>
          <t>Rafael Correia</t>
        </is>
      </c>
      <c r="F1053" s="35" t="inlineStr">
        <is>
          <t>Particular</t>
        </is>
      </c>
      <c r="G1053" s="35" t="inlineStr">
        <is>
          <t>Consulta</t>
        </is>
      </c>
      <c r="H1053" s="35" t="inlineStr">
        <is>
          <t>Confirmado</t>
        </is>
      </c>
      <c r="I1053" s="35" t="n"/>
      <c r="J1053" s="35" t="n"/>
      <c r="K1053" s="34" t="n"/>
      <c r="L1053" s="26">
        <f>IF(A1053="","",MONTH(A1053))</f>
        <v>9</v>
      </c>
      <c r="M1053" s="26">
        <f>IF(A1053="","",YEAR(A1053))</f>
        <v>2026</v>
      </c>
      <c r="N1053" s="26" t="str">
        <f>IF(A1053="","",CHOOSE(WEEKDAY(A1053,2),"Segunda","Terça","Quarta","Quinta","Sexta","Sábado","Domingo"))</f>
        <v>Terça</v>
      </c>
      <c r="O1053" s="26" t="str">
        <f>IF(B1053="","",IF(B1053&lt;TIME(12,0,0),"Manhã",IF(B1053&lt;TIME(18,0,0),"Tarde","Noite")))</f>
        <v>Tarde</v>
      </c>
      <c r="P1053" s="32">
        <f>IF(G1053="","",IFERROR(INDEX(Config!$I$5:$I$16,MATCH(G1053,Config!$H$5:$H$16,0)),0))</f>
        <v>30</v>
      </c>
      <c r="Q1053" s="30">
        <f>IF(OR(H1053&lt;&gt;"Realizado",P1053="",P1053=0),"",A1053+P1053)</f>
        <v/>
      </c>
      <c r="R1053" s="26">
        <f>IF(Q1053="","",IF(COUNTIFS($E$5:$E$3004,E1053,$A$5:$A$3004,"&gt;"&amp;A1053,$H$5:$H$3004,"&lt;&gt;Falta",$H$5:$H$3004,"&lt;&gt;Cancelado",$H$5:$H$3004,"&lt;&gt;Remarcado")&gt;0,"Sim","Não"))</f>
        <v/>
      </c>
      <c r="S1053" s="32">
        <f>IF(R1053&lt;&gt;"Não","",IF(Q1053+Config!$B$9&lt;=Config!$B$8,Config!$B$8-Q1053,""))</f>
        <v/>
      </c>
      <c r="T1053" s="26">
        <f>IF(S1053="","","Sim")</f>
        <v/>
      </c>
      <c r="U1053" s="41">
        <f>IF(T1053="Sim",S1053+ROW()/100000,0)</f>
        <v>0</v>
      </c>
      <c r="V1053" s="41">
        <f>IF(AND(H1053="Falta",L1053=Config!$B$7,M1053=Config!$B$5,COUNTIFS($E$5:E1053,E1053,$H$5:H1053,"Falta",$L$5:L1053,Config!$B$7,$M$5:M1053,Config!$B$5)=1),COUNTIFS($E$5:$E$3004,E1053,$H$5:$H$3004,"Falta",$L$5:$L$3004,Config!$B$7,$M$5:$M$3004,Config!$B$5)*1000-ROW()/100000,0)</f>
        <v>0</v>
      </c>
    </row>
    <row r="1054">
      <c r="A1054" s="39" t="n">
        <v>46280</v>
      </c>
      <c r="B1054" s="40" t="n">
        <v>0.6527777777777778</v>
      </c>
      <c r="C1054" s="35" t="inlineStr">
        <is>
          <t>Dra. Renata Sousa</t>
        </is>
      </c>
      <c r="D1054" s="35" t="inlineStr">
        <is>
          <t>Sala 1</t>
        </is>
      </c>
      <c r="E1054" s="34" t="inlineStr">
        <is>
          <t>Fábio Gomes</t>
        </is>
      </c>
      <c r="F1054" s="35" t="inlineStr">
        <is>
          <t>Particular</t>
        </is>
      </c>
      <c r="G1054" s="35" t="inlineStr">
        <is>
          <t>Avaliação endócrina</t>
        </is>
      </c>
      <c r="H1054" s="35" t="inlineStr">
        <is>
          <t>Agendado</t>
        </is>
      </c>
      <c r="I1054" s="35" t="n"/>
      <c r="J1054" s="35" t="n"/>
      <c r="K1054" s="34" t="n"/>
      <c r="L1054" s="26">
        <f>IF(A1054="","",MONTH(A1054))</f>
        <v>9</v>
      </c>
      <c r="M1054" s="26">
        <f>IF(A1054="","",YEAR(A1054))</f>
        <v>2026</v>
      </c>
      <c r="N1054" s="26" t="str">
        <f>IF(A1054="","",CHOOSE(WEEKDAY(A1054,2),"Segunda","Terça","Quarta","Quinta","Sexta","Sábado","Domingo"))</f>
        <v>Terça</v>
      </c>
      <c r="O1054" s="26" t="str">
        <f>IF(B1054="","",IF(B1054&lt;TIME(12,0,0),"Manhã",IF(B1054&lt;TIME(18,0,0),"Tarde","Noite")))</f>
        <v>Tarde</v>
      </c>
      <c r="P1054" s="32">
        <f>IF(G1054="","",IFERROR(INDEX(Config!$I$5:$I$16,MATCH(G1054,Config!$H$5:$H$16,0)),0))</f>
        <v>45</v>
      </c>
      <c r="Q1054" s="30">
        <f>IF(OR(H1054&lt;&gt;"Realizado",P1054="",P1054=0),"",A1054+P1054)</f>
        <v/>
      </c>
      <c r="R1054" s="26">
        <f>IF(Q1054="","",IF(COUNTIFS($E$5:$E$3004,E1054,$A$5:$A$3004,"&gt;"&amp;A1054,$H$5:$H$3004,"&lt;&gt;Falta",$H$5:$H$3004,"&lt;&gt;Cancelado",$H$5:$H$3004,"&lt;&gt;Remarcado")&gt;0,"Sim","Não"))</f>
        <v/>
      </c>
      <c r="S1054" s="32">
        <f>IF(R1054&lt;&gt;"Não","",IF(Q1054+Config!$B$9&lt;=Config!$B$8,Config!$B$8-Q1054,""))</f>
        <v/>
      </c>
      <c r="T1054" s="26">
        <f>IF(S1054="","","Sim")</f>
        <v/>
      </c>
      <c r="U1054" s="41">
        <f>IF(T1054="Sim",S1054+ROW()/100000,0)</f>
        <v>0</v>
      </c>
      <c r="V1054" s="41">
        <f>IF(AND(H1054="Falta",L1054=Config!$B$7,M1054=Config!$B$5,COUNTIFS($E$5:E1054,E1054,$H$5:H1054,"Falta",$L$5:L1054,Config!$B$7,$M$5:M1054,Config!$B$5)=1),COUNTIFS($E$5:$E$3004,E1054,$H$5:$H$3004,"Falta",$L$5:$L$3004,Config!$B$7,$M$5:$M$3004,Config!$B$5)*1000-ROW()/100000,0)</f>
        <v>0</v>
      </c>
    </row>
    <row r="1055">
      <c r="A1055" s="39" t="n">
        <v>46280</v>
      </c>
      <c r="B1055" s="40" t="n">
        <v>0.6666666666666666</v>
      </c>
      <c r="C1055" s="35" t="inlineStr">
        <is>
          <t>Dr. Paulo Andrade</t>
        </is>
      </c>
      <c r="D1055" s="35" t="inlineStr">
        <is>
          <t>Sala 2</t>
        </is>
      </c>
      <c r="E1055" s="34" t="inlineStr">
        <is>
          <t>Carlos Barros</t>
        </is>
      </c>
      <c r="F1055" s="35" t="inlineStr">
        <is>
          <t>MediPlan</t>
        </is>
      </c>
      <c r="G1055" s="35" t="inlineStr">
        <is>
          <t>ECG</t>
        </is>
      </c>
      <c r="H1055" s="35" t="inlineStr">
        <is>
          <t>Confirmado</t>
        </is>
      </c>
      <c r="I1055" s="35" t="n"/>
      <c r="J1055" s="35" t="n"/>
      <c r="K1055" s="34" t="n"/>
      <c r="L1055" s="26">
        <f>IF(A1055="","",MONTH(A1055))</f>
        <v>9</v>
      </c>
      <c r="M1055" s="26">
        <f>IF(A1055="","",YEAR(A1055))</f>
        <v>2026</v>
      </c>
      <c r="N1055" s="26" t="str">
        <f>IF(A1055="","",CHOOSE(WEEKDAY(A1055,2),"Segunda","Terça","Quarta","Quinta","Sexta","Sábado","Domingo"))</f>
        <v>Terça</v>
      </c>
      <c r="O1055" s="26" t="str">
        <f>IF(B1055="","",IF(B1055&lt;TIME(12,0,0),"Manhã",IF(B1055&lt;TIME(18,0,0),"Tarde","Noite")))</f>
        <v>Tarde</v>
      </c>
      <c r="P1055" s="32">
        <f>IF(G1055="","",IFERROR(INDEX(Config!$I$5:$I$16,MATCH(G1055,Config!$H$5:$H$16,0)),0))</f>
        <v>0</v>
      </c>
      <c r="Q1055" s="30">
        <f>IF(OR(H1055&lt;&gt;"Realizado",P1055="",P1055=0),"",A1055+P1055)</f>
        <v/>
      </c>
      <c r="R1055" s="26">
        <f>IF(Q1055="","",IF(COUNTIFS($E$5:$E$3004,E1055,$A$5:$A$3004,"&gt;"&amp;A1055,$H$5:$H$3004,"&lt;&gt;Falta",$H$5:$H$3004,"&lt;&gt;Cancelado",$H$5:$H$3004,"&lt;&gt;Remarcado")&gt;0,"Sim","Não"))</f>
        <v/>
      </c>
      <c r="S1055" s="32">
        <f>IF(R1055&lt;&gt;"Não","",IF(Q1055+Config!$B$9&lt;=Config!$B$8,Config!$B$8-Q1055,""))</f>
        <v/>
      </c>
      <c r="T1055" s="26">
        <f>IF(S1055="","","Sim")</f>
        <v/>
      </c>
      <c r="U1055" s="41">
        <f>IF(T1055="Sim",S1055+ROW()/100000,0)</f>
        <v>0</v>
      </c>
      <c r="V1055" s="41">
        <f>IF(AND(H1055="Falta",L1055=Config!$B$7,M1055=Config!$B$5,COUNTIFS($E$5:E1055,E1055,$H$5:H1055,"Falta",$L$5:L1055,Config!$B$7,$M$5:M1055,Config!$B$5)=1),COUNTIFS($E$5:$E$3004,E1055,$H$5:$H$3004,"Falta",$L$5:$L$3004,Config!$B$7,$M$5:$M$3004,Config!$B$5)*1000-ROW()/100000,0)</f>
        <v>0</v>
      </c>
    </row>
    <row r="1056">
      <c r="A1056" s="39" t="n">
        <v>46280</v>
      </c>
      <c r="B1056" s="40" t="n">
        <v>0.6805555555555556</v>
      </c>
      <c r="C1056" s="35" t="inlineStr">
        <is>
          <t>Dr. Paulo Andrade</t>
        </is>
      </c>
      <c r="D1056" s="35" t="inlineStr">
        <is>
          <t>Sala 2</t>
        </is>
      </c>
      <c r="E1056" s="34" t="inlineStr">
        <is>
          <t>Priscila Castro</t>
        </is>
      </c>
      <c r="F1056" s="35" t="inlineStr">
        <is>
          <t>Saúde Total</t>
        </is>
      </c>
      <c r="G1056" s="35" t="inlineStr">
        <is>
          <t>Teste ergométrico</t>
        </is>
      </c>
      <c r="H1056" s="35" t="inlineStr">
        <is>
          <t>Confirmado</t>
        </is>
      </c>
      <c r="I1056" s="35" t="n"/>
      <c r="J1056" s="35" t="n"/>
      <c r="K1056" s="34" t="n"/>
      <c r="L1056" s="26">
        <f>IF(A1056="","",MONTH(A1056))</f>
        <v>9</v>
      </c>
      <c r="M1056" s="26">
        <f>IF(A1056="","",YEAR(A1056))</f>
        <v>2026</v>
      </c>
      <c r="N1056" s="26" t="str">
        <f>IF(A1056="","",CHOOSE(WEEKDAY(A1056,2),"Segunda","Terça","Quarta","Quinta","Sexta","Sábado","Domingo"))</f>
        <v>Terça</v>
      </c>
      <c r="O1056" s="26" t="str">
        <f>IF(B1056="","",IF(B1056&lt;TIME(12,0,0),"Manhã",IF(B1056&lt;TIME(18,0,0),"Tarde","Noite")))</f>
        <v>Tarde</v>
      </c>
      <c r="P1056" s="32">
        <f>IF(G1056="","",IFERROR(INDEX(Config!$I$5:$I$16,MATCH(G1056,Config!$H$5:$H$16,0)),0))</f>
        <v>0</v>
      </c>
      <c r="Q1056" s="30">
        <f>IF(OR(H1056&lt;&gt;"Realizado",P1056="",P1056=0),"",A1056+P1056)</f>
        <v/>
      </c>
      <c r="R1056" s="26">
        <f>IF(Q1056="","",IF(COUNTIFS($E$5:$E$3004,E1056,$A$5:$A$3004,"&gt;"&amp;A1056,$H$5:$H$3004,"&lt;&gt;Falta",$H$5:$H$3004,"&lt;&gt;Cancelado",$H$5:$H$3004,"&lt;&gt;Remarcado")&gt;0,"Sim","Não"))</f>
        <v/>
      </c>
      <c r="S1056" s="32">
        <f>IF(R1056&lt;&gt;"Não","",IF(Q1056+Config!$B$9&lt;=Config!$B$8,Config!$B$8-Q1056,""))</f>
        <v/>
      </c>
      <c r="T1056" s="26">
        <f>IF(S1056="","","Sim")</f>
        <v/>
      </c>
      <c r="U1056" s="41">
        <f>IF(T1056="Sim",S1056+ROW()/100000,0)</f>
        <v>0</v>
      </c>
      <c r="V1056" s="41">
        <f>IF(AND(H1056="Falta",L1056=Config!$B$7,M1056=Config!$B$5,COUNTIFS($E$5:E1056,E1056,$H$5:H1056,"Falta",$L$5:L1056,Config!$B$7,$M$5:M1056,Config!$B$5)=1),COUNTIFS($E$5:$E$3004,E1056,$H$5:$H$3004,"Falta",$L$5:$L$3004,Config!$B$7,$M$5:$M$3004,Config!$B$5)*1000-ROW()/100000,0)</f>
        <v>0</v>
      </c>
    </row>
    <row r="1057">
      <c r="A1057" s="39" t="n">
        <v>46280</v>
      </c>
      <c r="B1057" s="40" t="n">
        <v>0.7013888888888888</v>
      </c>
      <c r="C1057" s="35" t="inlineStr">
        <is>
          <t>Dra. Renata Sousa</t>
        </is>
      </c>
      <c r="D1057" s="35" t="inlineStr">
        <is>
          <t>Sala 1</t>
        </is>
      </c>
      <c r="E1057" s="34" t="inlineStr">
        <is>
          <t>Gabriel Reis</t>
        </is>
      </c>
      <c r="F1057" s="35" t="inlineStr">
        <is>
          <t>Particular</t>
        </is>
      </c>
      <c r="G1057" s="35" t="inlineStr">
        <is>
          <t>Avaliação endócrina</t>
        </is>
      </c>
      <c r="H1057" s="35" t="inlineStr">
        <is>
          <t>Confirmado</t>
        </is>
      </c>
      <c r="I1057" s="35" t="n"/>
      <c r="J1057" s="35" t="n"/>
      <c r="K1057" s="34" t="n"/>
      <c r="L1057" s="26">
        <f>IF(A1057="","",MONTH(A1057))</f>
        <v>9</v>
      </c>
      <c r="M1057" s="26">
        <f>IF(A1057="","",YEAR(A1057))</f>
        <v>2026</v>
      </c>
      <c r="N1057" s="26" t="str">
        <f>IF(A1057="","",CHOOSE(WEEKDAY(A1057,2),"Segunda","Terça","Quarta","Quinta","Sexta","Sábado","Domingo"))</f>
        <v>Terça</v>
      </c>
      <c r="O1057" s="26" t="str">
        <f>IF(B1057="","",IF(B1057&lt;TIME(12,0,0),"Manhã",IF(B1057&lt;TIME(18,0,0),"Tarde","Noite")))</f>
        <v>Tarde</v>
      </c>
      <c r="P1057" s="32">
        <f>IF(G1057="","",IFERROR(INDEX(Config!$I$5:$I$16,MATCH(G1057,Config!$H$5:$H$16,0)),0))</f>
        <v>45</v>
      </c>
      <c r="Q1057" s="30">
        <f>IF(OR(H1057&lt;&gt;"Realizado",P1057="",P1057=0),"",A1057+P1057)</f>
        <v/>
      </c>
      <c r="R1057" s="26">
        <f>IF(Q1057="","",IF(COUNTIFS($E$5:$E$3004,E1057,$A$5:$A$3004,"&gt;"&amp;A1057,$H$5:$H$3004,"&lt;&gt;Falta",$H$5:$H$3004,"&lt;&gt;Cancelado",$H$5:$H$3004,"&lt;&gt;Remarcado")&gt;0,"Sim","Não"))</f>
        <v/>
      </c>
      <c r="S1057" s="32">
        <f>IF(R1057&lt;&gt;"Não","",IF(Q1057+Config!$B$9&lt;=Config!$B$8,Config!$B$8-Q1057,""))</f>
        <v/>
      </c>
      <c r="T1057" s="26">
        <f>IF(S1057="","","Sim")</f>
        <v/>
      </c>
      <c r="U1057" s="41">
        <f>IF(T1057="Sim",S1057+ROW()/100000,0)</f>
        <v>0</v>
      </c>
      <c r="V1057" s="41">
        <f>IF(AND(H1057="Falta",L1057=Config!$B$7,M1057=Config!$B$5,COUNTIFS($E$5:E1057,E1057,$H$5:H1057,"Falta",$L$5:L1057,Config!$B$7,$M$5:M1057,Config!$B$5)=1),COUNTIFS($E$5:$E$3004,E1057,$H$5:$H$3004,"Falta",$L$5:$L$3004,Config!$B$7,$M$5:$M$3004,Config!$B$5)*1000-ROW()/100000,0)</f>
        <v>0</v>
      </c>
    </row>
    <row r="1058">
      <c r="A1058" s="39" t="n">
        <v>46280</v>
      </c>
      <c r="B1058" s="40" t="n">
        <v>0.7291666666666666</v>
      </c>
      <c r="C1058" s="35" t="inlineStr">
        <is>
          <t>Dra. Renata Sousa</t>
        </is>
      </c>
      <c r="D1058" s="35" t="inlineStr">
        <is>
          <t>Sala 1</t>
        </is>
      </c>
      <c r="E1058" s="34" t="inlineStr">
        <is>
          <t>Gabriel Lopes</t>
        </is>
      </c>
      <c r="F1058" s="35" t="inlineStr">
        <is>
          <t>Saúde Total</t>
        </is>
      </c>
      <c r="G1058" s="35" t="inlineStr">
        <is>
          <t>Avaliação endócrina</t>
        </is>
      </c>
      <c r="H1058" s="35" t="inlineStr">
        <is>
          <t>Confirmado</t>
        </is>
      </c>
      <c r="I1058" s="35" t="n"/>
      <c r="J1058" s="35" t="n"/>
      <c r="K1058" s="34" t="n"/>
      <c r="L1058" s="26">
        <f>IF(A1058="","",MONTH(A1058))</f>
        <v>9</v>
      </c>
      <c r="M1058" s="26">
        <f>IF(A1058="","",YEAR(A1058))</f>
        <v>2026</v>
      </c>
      <c r="N1058" s="26" t="str">
        <f>IF(A1058="","",CHOOSE(WEEKDAY(A1058,2),"Segunda","Terça","Quarta","Quinta","Sexta","Sábado","Domingo"))</f>
        <v>Terça</v>
      </c>
      <c r="O1058" s="26" t="str">
        <f>IF(B1058="","",IF(B1058&lt;TIME(12,0,0),"Manhã",IF(B1058&lt;TIME(18,0,0),"Tarde","Noite")))</f>
        <v>Tarde</v>
      </c>
      <c r="P1058" s="32">
        <f>IF(G1058="","",IFERROR(INDEX(Config!$I$5:$I$16,MATCH(G1058,Config!$H$5:$H$16,0)),0))</f>
        <v>45</v>
      </c>
      <c r="Q1058" s="30">
        <f>IF(OR(H1058&lt;&gt;"Realizado",P1058="",P1058=0),"",A1058+P1058)</f>
        <v/>
      </c>
      <c r="R1058" s="26">
        <f>IF(Q1058="","",IF(COUNTIFS($E$5:$E$3004,E1058,$A$5:$A$3004,"&gt;"&amp;A1058,$H$5:$H$3004,"&lt;&gt;Falta",$H$5:$H$3004,"&lt;&gt;Cancelado",$H$5:$H$3004,"&lt;&gt;Remarcado")&gt;0,"Sim","Não"))</f>
        <v/>
      </c>
      <c r="S1058" s="32">
        <f>IF(R1058&lt;&gt;"Não","",IF(Q1058+Config!$B$9&lt;=Config!$B$8,Config!$B$8-Q1058,""))</f>
        <v/>
      </c>
      <c r="T1058" s="26">
        <f>IF(S1058="","","Sim")</f>
        <v/>
      </c>
      <c r="U1058" s="41">
        <f>IF(T1058="Sim",S1058+ROW()/100000,0)</f>
        <v>0</v>
      </c>
      <c r="V1058" s="41">
        <f>IF(AND(H1058="Falta",L1058=Config!$B$7,M1058=Config!$B$5,COUNTIFS($E$5:E1058,E1058,$H$5:H1058,"Falta",$L$5:L1058,Config!$B$7,$M$5:M1058,Config!$B$5)=1),COUNTIFS($E$5:$E$3004,E1058,$H$5:$H$3004,"Falta",$L$5:$L$3004,Config!$B$7,$M$5:$M$3004,Config!$B$5)*1000-ROW()/100000,0)</f>
        <v>0</v>
      </c>
    </row>
    <row r="1059">
      <c r="A1059" s="39" t="n">
        <v>46281</v>
      </c>
      <c r="B1059" s="40" t="n">
        <v>0.5833333333333334</v>
      </c>
      <c r="C1059" s="35" t="inlineStr">
        <is>
          <t>Dra. Carolina Mendes</t>
        </is>
      </c>
      <c r="D1059" s="35" t="inlineStr">
        <is>
          <t>Sala 1</t>
        </is>
      </c>
      <c r="E1059" s="34" t="inlineStr">
        <is>
          <t>Rafael Dias</t>
        </is>
      </c>
      <c r="F1059" s="35" t="inlineStr">
        <is>
          <t>Particular</t>
        </is>
      </c>
      <c r="G1059" s="35" t="inlineStr">
        <is>
          <t>Retorno</t>
        </is>
      </c>
      <c r="H1059" s="35" t="inlineStr">
        <is>
          <t>Confirmado</t>
        </is>
      </c>
      <c r="I1059" s="35" t="n"/>
      <c r="J1059" s="35" t="n"/>
      <c r="K1059" s="34" t="n"/>
      <c r="L1059" s="26">
        <f>IF(A1059="","",MONTH(A1059))</f>
        <v>9</v>
      </c>
      <c r="M1059" s="26">
        <f>IF(A1059="","",YEAR(A1059))</f>
        <v>2026</v>
      </c>
      <c r="N1059" s="26" t="str">
        <f>IF(A1059="","",CHOOSE(WEEKDAY(A1059,2),"Segunda","Terça","Quarta","Quinta","Sexta","Sábado","Domingo"))</f>
        <v>Quarta</v>
      </c>
      <c r="O1059" s="26" t="str">
        <f>IF(B1059="","",IF(B1059&lt;TIME(12,0,0),"Manhã",IF(B1059&lt;TIME(18,0,0),"Tarde","Noite")))</f>
        <v>Tarde</v>
      </c>
      <c r="P1059" s="32">
        <f>IF(G1059="","",IFERROR(INDEX(Config!$I$5:$I$16,MATCH(G1059,Config!$H$5:$H$16,0)),0))</f>
        <v>0</v>
      </c>
      <c r="Q1059" s="30">
        <f>IF(OR(H1059&lt;&gt;"Realizado",P1059="",P1059=0),"",A1059+P1059)</f>
        <v/>
      </c>
      <c r="R1059" s="26">
        <f>IF(Q1059="","",IF(COUNTIFS($E$5:$E$3004,E1059,$A$5:$A$3004,"&gt;"&amp;A1059,$H$5:$H$3004,"&lt;&gt;Falta",$H$5:$H$3004,"&lt;&gt;Cancelado",$H$5:$H$3004,"&lt;&gt;Remarcado")&gt;0,"Sim","Não"))</f>
        <v/>
      </c>
      <c r="S1059" s="32">
        <f>IF(R1059&lt;&gt;"Não","",IF(Q1059+Config!$B$9&lt;=Config!$B$8,Config!$B$8-Q1059,""))</f>
        <v/>
      </c>
      <c r="T1059" s="26">
        <f>IF(S1059="","","Sim")</f>
        <v/>
      </c>
      <c r="U1059" s="41">
        <f>IF(T1059="Sim",S1059+ROW()/100000,0)</f>
        <v>0</v>
      </c>
      <c r="V1059" s="41">
        <f>IF(AND(H1059="Falta",L1059=Config!$B$7,M1059=Config!$B$5,COUNTIFS($E$5:E1059,E1059,$H$5:H1059,"Falta",$L$5:L1059,Config!$B$7,$M$5:M1059,Config!$B$5)=1),COUNTIFS($E$5:$E$3004,E1059,$H$5:$H$3004,"Falta",$L$5:$L$3004,Config!$B$7,$M$5:$M$3004,Config!$B$5)*1000-ROW()/100000,0)</f>
        <v>0</v>
      </c>
    </row>
    <row r="1060">
      <c r="A1060" s="39" t="n">
        <v>46281</v>
      </c>
      <c r="B1060" s="40" t="n">
        <v>0.6180555555555556</v>
      </c>
      <c r="C1060" s="35" t="inlineStr">
        <is>
          <t>Dra. Carolina Mendes</t>
        </is>
      </c>
      <c r="D1060" s="35" t="inlineStr">
        <is>
          <t>Sala 1</t>
        </is>
      </c>
      <c r="E1060" s="34" t="inlineStr">
        <is>
          <t>Sandra Barros</t>
        </is>
      </c>
      <c r="F1060" s="35" t="inlineStr">
        <is>
          <t>Saúde Total</t>
        </is>
      </c>
      <c r="G1060" s="35" t="inlineStr">
        <is>
          <t>Consulta</t>
        </is>
      </c>
      <c r="H1060" s="35" t="inlineStr">
        <is>
          <t>Confirmado</t>
        </is>
      </c>
      <c r="I1060" s="35" t="n"/>
      <c r="J1060" s="35" t="n"/>
      <c r="K1060" s="34" t="n"/>
      <c r="L1060" s="26">
        <f>IF(A1060="","",MONTH(A1060))</f>
        <v>9</v>
      </c>
      <c r="M1060" s="26">
        <f>IF(A1060="","",YEAR(A1060))</f>
        <v>2026</v>
      </c>
      <c r="N1060" s="26" t="str">
        <f>IF(A1060="","",CHOOSE(WEEKDAY(A1060,2),"Segunda","Terça","Quarta","Quinta","Sexta","Sábado","Domingo"))</f>
        <v>Quarta</v>
      </c>
      <c r="O1060" s="26" t="str">
        <f>IF(B1060="","",IF(B1060&lt;TIME(12,0,0),"Manhã",IF(B1060&lt;TIME(18,0,0),"Tarde","Noite")))</f>
        <v>Tarde</v>
      </c>
      <c r="P1060" s="32">
        <f>IF(G1060="","",IFERROR(INDEX(Config!$I$5:$I$16,MATCH(G1060,Config!$H$5:$H$16,0)),0))</f>
        <v>30</v>
      </c>
      <c r="Q1060" s="30">
        <f>IF(OR(H1060&lt;&gt;"Realizado",P1060="",P1060=0),"",A1060+P1060)</f>
        <v/>
      </c>
      <c r="R1060" s="26">
        <f>IF(Q1060="","",IF(COUNTIFS($E$5:$E$3004,E1060,$A$5:$A$3004,"&gt;"&amp;A1060,$H$5:$H$3004,"&lt;&gt;Falta",$H$5:$H$3004,"&lt;&gt;Cancelado",$H$5:$H$3004,"&lt;&gt;Remarcado")&gt;0,"Sim","Não"))</f>
        <v/>
      </c>
      <c r="S1060" s="32">
        <f>IF(R1060&lt;&gt;"Não","",IF(Q1060+Config!$B$9&lt;=Config!$B$8,Config!$B$8-Q1060,""))</f>
        <v/>
      </c>
      <c r="T1060" s="26">
        <f>IF(S1060="","","Sim")</f>
        <v/>
      </c>
      <c r="U1060" s="41">
        <f>IF(T1060="Sim",S1060+ROW()/100000,0)</f>
        <v>0</v>
      </c>
      <c r="V1060" s="41">
        <f>IF(AND(H1060="Falta",L1060=Config!$B$7,M1060=Config!$B$5,COUNTIFS($E$5:E1060,E1060,$H$5:H1060,"Falta",$L$5:L1060,Config!$B$7,$M$5:M1060,Config!$B$5)=1),COUNTIFS($E$5:$E$3004,E1060,$H$5:$H$3004,"Falta",$L$5:$L$3004,Config!$B$7,$M$5:$M$3004,Config!$B$5)*1000-ROW()/100000,0)</f>
        <v>0</v>
      </c>
    </row>
    <row r="1061">
      <c r="A1061" s="39" t="n">
        <v>46281</v>
      </c>
      <c r="B1061" s="40" t="n">
        <v>0.6388888888888888</v>
      </c>
      <c r="C1061" s="35" t="inlineStr">
        <is>
          <t>Dra. Carolina Mendes</t>
        </is>
      </c>
      <c r="D1061" s="35" t="inlineStr">
        <is>
          <t>Sala 1</t>
        </is>
      </c>
      <c r="E1061" s="34" t="inlineStr">
        <is>
          <t>Cláudia Santos</t>
        </is>
      </c>
      <c r="F1061" s="35" t="inlineStr">
        <is>
          <t>Particular</t>
        </is>
      </c>
      <c r="G1061" s="35" t="inlineStr">
        <is>
          <t>Consulta</t>
        </is>
      </c>
      <c r="H1061" s="35" t="inlineStr">
        <is>
          <t>Agendado</t>
        </is>
      </c>
      <c r="I1061" s="35" t="n"/>
      <c r="J1061" s="35" t="n"/>
      <c r="K1061" s="34" t="n"/>
      <c r="L1061" s="26">
        <f>IF(A1061="","",MONTH(A1061))</f>
        <v>9</v>
      </c>
      <c r="M1061" s="26">
        <f>IF(A1061="","",YEAR(A1061))</f>
        <v>2026</v>
      </c>
      <c r="N1061" s="26" t="str">
        <f>IF(A1061="","",CHOOSE(WEEKDAY(A1061,2),"Segunda","Terça","Quarta","Quinta","Sexta","Sábado","Domingo"))</f>
        <v>Quarta</v>
      </c>
      <c r="O1061" s="26" t="str">
        <f>IF(B1061="","",IF(B1061&lt;TIME(12,0,0),"Manhã",IF(B1061&lt;TIME(18,0,0),"Tarde","Noite")))</f>
        <v>Tarde</v>
      </c>
      <c r="P1061" s="32">
        <f>IF(G1061="","",IFERROR(INDEX(Config!$I$5:$I$16,MATCH(G1061,Config!$H$5:$H$16,0)),0))</f>
        <v>30</v>
      </c>
      <c r="Q1061" s="30">
        <f>IF(OR(H1061&lt;&gt;"Realizado",P1061="",P1061=0),"",A1061+P1061)</f>
        <v/>
      </c>
      <c r="R1061" s="26">
        <f>IF(Q1061="","",IF(COUNTIFS($E$5:$E$3004,E1061,$A$5:$A$3004,"&gt;"&amp;A1061,$H$5:$H$3004,"&lt;&gt;Falta",$H$5:$H$3004,"&lt;&gt;Cancelado",$H$5:$H$3004,"&lt;&gt;Remarcado")&gt;0,"Sim","Não"))</f>
        <v/>
      </c>
      <c r="S1061" s="32">
        <f>IF(R1061&lt;&gt;"Não","",IF(Q1061+Config!$B$9&lt;=Config!$B$8,Config!$B$8-Q1061,""))</f>
        <v/>
      </c>
      <c r="T1061" s="26">
        <f>IF(S1061="","","Sim")</f>
        <v/>
      </c>
      <c r="U1061" s="41">
        <f>IF(T1061="Sim",S1061+ROW()/100000,0)</f>
        <v>0</v>
      </c>
      <c r="V1061" s="41">
        <f>IF(AND(H1061="Falta",L1061=Config!$B$7,M1061=Config!$B$5,COUNTIFS($E$5:E1061,E1061,$H$5:H1061,"Falta",$L$5:L1061,Config!$B$7,$M$5:M1061,Config!$B$5)=1),COUNTIFS($E$5:$E$3004,E1061,$H$5:$H$3004,"Falta",$L$5:$L$3004,Config!$B$7,$M$5:$M$3004,Config!$B$5)*1000-ROW()/100000,0)</f>
        <v>0</v>
      </c>
    </row>
    <row r="1062">
      <c r="A1062" s="39" t="n">
        <v>46281</v>
      </c>
      <c r="B1062" s="40" t="n">
        <v>0.6597222222222222</v>
      </c>
      <c r="C1062" s="35" t="inlineStr">
        <is>
          <t>Dra. Carolina Mendes</t>
        </is>
      </c>
      <c r="D1062" s="35" t="inlineStr">
        <is>
          <t>Sala 1</t>
        </is>
      </c>
      <c r="E1062" s="34" t="inlineStr">
        <is>
          <t>Simone Monteiro</t>
        </is>
      </c>
      <c r="F1062" s="35" t="inlineStr">
        <is>
          <t>Vida Care</t>
        </is>
      </c>
      <c r="G1062" s="35" t="inlineStr">
        <is>
          <t>Consulta</t>
        </is>
      </c>
      <c r="H1062" s="35" t="inlineStr">
        <is>
          <t>Agendado</t>
        </is>
      </c>
      <c r="I1062" s="35" t="n"/>
      <c r="J1062" s="35" t="n"/>
      <c r="K1062" s="34" t="n"/>
      <c r="L1062" s="26">
        <f>IF(A1062="","",MONTH(A1062))</f>
        <v>9</v>
      </c>
      <c r="M1062" s="26">
        <f>IF(A1062="","",YEAR(A1062))</f>
        <v>2026</v>
      </c>
      <c r="N1062" s="26" t="str">
        <f>IF(A1062="","",CHOOSE(WEEKDAY(A1062,2),"Segunda","Terça","Quarta","Quinta","Sexta","Sábado","Domingo"))</f>
        <v>Quarta</v>
      </c>
      <c r="O1062" s="26" t="str">
        <f>IF(B1062="","",IF(B1062&lt;TIME(12,0,0),"Manhã",IF(B1062&lt;TIME(18,0,0),"Tarde","Noite")))</f>
        <v>Tarde</v>
      </c>
      <c r="P1062" s="32">
        <f>IF(G1062="","",IFERROR(INDEX(Config!$I$5:$I$16,MATCH(G1062,Config!$H$5:$H$16,0)),0))</f>
        <v>30</v>
      </c>
      <c r="Q1062" s="30">
        <f>IF(OR(H1062&lt;&gt;"Realizado",P1062="",P1062=0),"",A1062+P1062)</f>
        <v/>
      </c>
      <c r="R1062" s="26">
        <f>IF(Q1062="","",IF(COUNTIFS($E$5:$E$3004,E1062,$A$5:$A$3004,"&gt;"&amp;A1062,$H$5:$H$3004,"&lt;&gt;Falta",$H$5:$H$3004,"&lt;&gt;Cancelado",$H$5:$H$3004,"&lt;&gt;Remarcado")&gt;0,"Sim","Não"))</f>
        <v/>
      </c>
      <c r="S1062" s="32">
        <f>IF(R1062&lt;&gt;"Não","",IF(Q1062+Config!$B$9&lt;=Config!$B$8,Config!$B$8-Q1062,""))</f>
        <v/>
      </c>
      <c r="T1062" s="26">
        <f>IF(S1062="","","Sim")</f>
        <v/>
      </c>
      <c r="U1062" s="41">
        <f>IF(T1062="Sim",S1062+ROW()/100000,0)</f>
        <v>0</v>
      </c>
      <c r="V1062" s="41">
        <f>IF(AND(H1062="Falta",L1062=Config!$B$7,M1062=Config!$B$5,COUNTIFS($E$5:E1062,E1062,$H$5:H1062,"Falta",$L$5:L1062,Config!$B$7,$M$5:M1062,Config!$B$5)=1),COUNTIFS($E$5:$E$3004,E1062,$H$5:$H$3004,"Falta",$L$5:$L$3004,Config!$B$7,$M$5:$M$3004,Config!$B$5)*1000-ROW()/100000,0)</f>
        <v>0</v>
      </c>
    </row>
    <row r="1063">
      <c r="A1063" s="39" t="n">
        <v>46281</v>
      </c>
      <c r="B1063" s="40" t="n">
        <v>0.6805555555555556</v>
      </c>
      <c r="C1063" s="35" t="inlineStr">
        <is>
          <t>Dra. Carolina Mendes</t>
        </is>
      </c>
      <c r="D1063" s="35" t="inlineStr">
        <is>
          <t>Sala 1</t>
        </is>
      </c>
      <c r="E1063" s="34" t="inlineStr">
        <is>
          <t>Mônica Teixeira</t>
        </is>
      </c>
      <c r="F1063" s="35" t="inlineStr">
        <is>
          <t>Vida Care</t>
        </is>
      </c>
      <c r="G1063" s="35" t="inlineStr">
        <is>
          <t>Retorno</t>
        </is>
      </c>
      <c r="H1063" s="35" t="inlineStr">
        <is>
          <t>Confirmado</t>
        </is>
      </c>
      <c r="I1063" s="35" t="n"/>
      <c r="J1063" s="35" t="n"/>
      <c r="K1063" s="34" t="n"/>
      <c r="L1063" s="26">
        <f>IF(A1063="","",MONTH(A1063))</f>
        <v>9</v>
      </c>
      <c r="M1063" s="26">
        <f>IF(A1063="","",YEAR(A1063))</f>
        <v>2026</v>
      </c>
      <c r="N1063" s="26" t="str">
        <f>IF(A1063="","",CHOOSE(WEEKDAY(A1063,2),"Segunda","Terça","Quarta","Quinta","Sexta","Sábado","Domingo"))</f>
        <v>Quarta</v>
      </c>
      <c r="O1063" s="26" t="str">
        <f>IF(B1063="","",IF(B1063&lt;TIME(12,0,0),"Manhã",IF(B1063&lt;TIME(18,0,0),"Tarde","Noite")))</f>
        <v>Tarde</v>
      </c>
      <c r="P1063" s="32">
        <f>IF(G1063="","",IFERROR(INDEX(Config!$I$5:$I$16,MATCH(G1063,Config!$H$5:$H$16,0)),0))</f>
        <v>0</v>
      </c>
      <c r="Q1063" s="30">
        <f>IF(OR(H1063&lt;&gt;"Realizado",P1063="",P1063=0),"",A1063+P1063)</f>
        <v/>
      </c>
      <c r="R1063" s="26">
        <f>IF(Q1063="","",IF(COUNTIFS($E$5:$E$3004,E1063,$A$5:$A$3004,"&gt;"&amp;A1063,$H$5:$H$3004,"&lt;&gt;Falta",$H$5:$H$3004,"&lt;&gt;Cancelado",$H$5:$H$3004,"&lt;&gt;Remarcado")&gt;0,"Sim","Não"))</f>
        <v/>
      </c>
      <c r="S1063" s="32">
        <f>IF(R1063&lt;&gt;"Não","",IF(Q1063+Config!$B$9&lt;=Config!$B$8,Config!$B$8-Q1063,""))</f>
        <v/>
      </c>
      <c r="T1063" s="26">
        <f>IF(S1063="","","Sim")</f>
        <v/>
      </c>
      <c r="U1063" s="41">
        <f>IF(T1063="Sim",S1063+ROW()/100000,0)</f>
        <v>0</v>
      </c>
      <c r="V1063" s="41">
        <f>IF(AND(H1063="Falta",L1063=Config!$B$7,M1063=Config!$B$5,COUNTIFS($E$5:E1063,E1063,$H$5:H1063,"Falta",$L$5:L1063,Config!$B$7,$M$5:M1063,Config!$B$5)=1),COUNTIFS($E$5:$E$3004,E1063,$H$5:$H$3004,"Falta",$L$5:$L$3004,Config!$B$7,$M$5:$M$3004,Config!$B$5)*1000-ROW()/100000,0)</f>
        <v>0</v>
      </c>
    </row>
    <row r="1064">
      <c r="A1064" s="39" t="n">
        <v>46281</v>
      </c>
      <c r="B1064" s="40" t="n">
        <v>0.7152777777777778</v>
      </c>
      <c r="C1064" s="35" t="inlineStr">
        <is>
          <t>Dra. Carolina Mendes</t>
        </is>
      </c>
      <c r="D1064" s="35" t="inlineStr">
        <is>
          <t>Sala 1</t>
        </is>
      </c>
      <c r="E1064" s="34" t="inlineStr">
        <is>
          <t>Camila Batista</t>
        </is>
      </c>
      <c r="F1064" s="35" t="inlineStr">
        <is>
          <t>MediPlan</t>
        </is>
      </c>
      <c r="G1064" s="35" t="inlineStr">
        <is>
          <t>Retorno</t>
        </is>
      </c>
      <c r="H1064" s="35" t="inlineStr">
        <is>
          <t>Confirmado</t>
        </is>
      </c>
      <c r="I1064" s="35" t="n"/>
      <c r="J1064" s="35" t="n"/>
      <c r="K1064" s="34" t="n"/>
      <c r="L1064" s="26">
        <f>IF(A1064="","",MONTH(A1064))</f>
        <v>9</v>
      </c>
      <c r="M1064" s="26">
        <f>IF(A1064="","",YEAR(A1064))</f>
        <v>2026</v>
      </c>
      <c r="N1064" s="26" t="str">
        <f>IF(A1064="","",CHOOSE(WEEKDAY(A1064,2),"Segunda","Terça","Quarta","Quinta","Sexta","Sábado","Domingo"))</f>
        <v>Quarta</v>
      </c>
      <c r="O1064" s="26" t="str">
        <f>IF(B1064="","",IF(B1064&lt;TIME(12,0,0),"Manhã",IF(B1064&lt;TIME(18,0,0),"Tarde","Noite")))</f>
        <v>Tarde</v>
      </c>
      <c r="P1064" s="32">
        <f>IF(G1064="","",IFERROR(INDEX(Config!$I$5:$I$16,MATCH(G1064,Config!$H$5:$H$16,0)),0))</f>
        <v>0</v>
      </c>
      <c r="Q1064" s="30">
        <f>IF(OR(H1064&lt;&gt;"Realizado",P1064="",P1064=0),"",A1064+P1064)</f>
        <v/>
      </c>
      <c r="R1064" s="26">
        <f>IF(Q1064="","",IF(COUNTIFS($E$5:$E$3004,E1064,$A$5:$A$3004,"&gt;"&amp;A1064,$H$5:$H$3004,"&lt;&gt;Falta",$H$5:$H$3004,"&lt;&gt;Cancelado",$H$5:$H$3004,"&lt;&gt;Remarcado")&gt;0,"Sim","Não"))</f>
        <v/>
      </c>
      <c r="S1064" s="32">
        <f>IF(R1064&lt;&gt;"Não","",IF(Q1064+Config!$B$9&lt;=Config!$B$8,Config!$B$8-Q1064,""))</f>
        <v/>
      </c>
      <c r="T1064" s="26">
        <f>IF(S1064="","","Sim")</f>
        <v/>
      </c>
      <c r="U1064" s="41">
        <f>IF(T1064="Sim",S1064+ROW()/100000,0)</f>
        <v>0</v>
      </c>
      <c r="V1064" s="41">
        <f>IF(AND(H1064="Falta",L1064=Config!$B$7,M1064=Config!$B$5,COUNTIFS($E$5:E1064,E1064,$H$5:H1064,"Falta",$L$5:L1064,Config!$B$7,$M$5:M1064,Config!$B$5)=1),COUNTIFS($E$5:$E$3004,E1064,$H$5:$H$3004,"Falta",$L$5:$L$3004,Config!$B$7,$M$5:$M$3004,Config!$B$5)*1000-ROW()/100000,0)</f>
        <v>0</v>
      </c>
    </row>
    <row r="1065">
      <c r="A1065" s="39" t="n">
        <v>46281</v>
      </c>
      <c r="B1065" s="40" t="n">
        <v>0.7291666666666666</v>
      </c>
      <c r="C1065" s="35" t="inlineStr">
        <is>
          <t>Dra. Carolina Mendes</t>
        </is>
      </c>
      <c r="D1065" s="35" t="inlineStr">
        <is>
          <t>Sala 1</t>
        </is>
      </c>
      <c r="E1065" s="34" t="inlineStr">
        <is>
          <t>Ana Costa</t>
        </is>
      </c>
      <c r="F1065" s="35" t="inlineStr">
        <is>
          <t>Particular</t>
        </is>
      </c>
      <c r="G1065" s="35" t="inlineStr">
        <is>
          <t>Consulta</t>
        </is>
      </c>
      <c r="H1065" s="35" t="inlineStr">
        <is>
          <t>Confirmado</t>
        </is>
      </c>
      <c r="I1065" s="35" t="n"/>
      <c r="J1065" s="35" t="n"/>
      <c r="K1065" s="34" t="n"/>
      <c r="L1065" s="26">
        <f>IF(A1065="","",MONTH(A1065))</f>
        <v>9</v>
      </c>
      <c r="M1065" s="26">
        <f>IF(A1065="","",YEAR(A1065))</f>
        <v>2026</v>
      </c>
      <c r="N1065" s="26" t="str">
        <f>IF(A1065="","",CHOOSE(WEEKDAY(A1065,2),"Segunda","Terça","Quarta","Quinta","Sexta","Sábado","Domingo"))</f>
        <v>Quarta</v>
      </c>
      <c r="O1065" s="26" t="str">
        <f>IF(B1065="","",IF(B1065&lt;TIME(12,0,0),"Manhã",IF(B1065&lt;TIME(18,0,0),"Tarde","Noite")))</f>
        <v>Tarde</v>
      </c>
      <c r="P1065" s="32">
        <f>IF(G1065="","",IFERROR(INDEX(Config!$I$5:$I$16,MATCH(G1065,Config!$H$5:$H$16,0)),0))</f>
        <v>30</v>
      </c>
      <c r="Q1065" s="30">
        <f>IF(OR(H1065&lt;&gt;"Realizado",P1065="",P1065=0),"",A1065+P1065)</f>
        <v/>
      </c>
      <c r="R1065" s="26">
        <f>IF(Q1065="","",IF(COUNTIFS($E$5:$E$3004,E1065,$A$5:$A$3004,"&gt;"&amp;A1065,$H$5:$H$3004,"&lt;&gt;Falta",$H$5:$H$3004,"&lt;&gt;Cancelado",$H$5:$H$3004,"&lt;&gt;Remarcado")&gt;0,"Sim","Não"))</f>
        <v/>
      </c>
      <c r="S1065" s="32">
        <f>IF(R1065&lt;&gt;"Não","",IF(Q1065+Config!$B$9&lt;=Config!$B$8,Config!$B$8-Q1065,""))</f>
        <v/>
      </c>
      <c r="T1065" s="26">
        <f>IF(S1065="","","Sim")</f>
        <v/>
      </c>
      <c r="U1065" s="41">
        <f>IF(T1065="Sim",S1065+ROW()/100000,0)</f>
        <v>0</v>
      </c>
      <c r="V1065" s="41">
        <f>IF(AND(H1065="Falta",L1065=Config!$B$7,M1065=Config!$B$5,COUNTIFS($E$5:E1065,E1065,$H$5:H1065,"Falta",$L$5:L1065,Config!$B$7,$M$5:M1065,Config!$B$5)=1),COUNTIFS($E$5:$E$3004,E1065,$H$5:$H$3004,"Falta",$L$5:$L$3004,Config!$B$7,$M$5:$M$3004,Config!$B$5)*1000-ROW()/100000,0)</f>
        <v>0</v>
      </c>
    </row>
    <row r="1066">
      <c r="A1066" s="39" t="n">
        <v>46282</v>
      </c>
      <c r="B1066" s="40" t="n">
        <v>0.3333333333333333</v>
      </c>
      <c r="C1066" s="35" t="inlineStr">
        <is>
          <t>Dra. Carolina Mendes</t>
        </is>
      </c>
      <c r="D1066" s="35" t="inlineStr">
        <is>
          <t>Sala 1</t>
        </is>
      </c>
      <c r="E1066" s="34" t="inlineStr">
        <is>
          <t>Larissa Costa</t>
        </is>
      </c>
      <c r="F1066" s="35" t="inlineStr">
        <is>
          <t>Particular</t>
        </is>
      </c>
      <c r="G1066" s="35" t="inlineStr">
        <is>
          <t>Retorno</t>
        </is>
      </c>
      <c r="H1066" s="35" t="inlineStr">
        <is>
          <t>Agendado</t>
        </is>
      </c>
      <c r="I1066" s="35" t="n"/>
      <c r="J1066" s="35" t="n"/>
      <c r="K1066" s="34" t="n"/>
      <c r="L1066" s="26">
        <f>IF(A1066="","",MONTH(A1066))</f>
        <v>9</v>
      </c>
      <c r="M1066" s="26">
        <f>IF(A1066="","",YEAR(A1066))</f>
        <v>2026</v>
      </c>
      <c r="N1066" s="26" t="str">
        <f>IF(A1066="","",CHOOSE(WEEKDAY(A1066,2),"Segunda","Terça","Quarta","Quinta","Sexta","Sábado","Domingo"))</f>
        <v>Quinta</v>
      </c>
      <c r="O1066" s="26" t="str">
        <f>IF(B1066="","",IF(B1066&lt;TIME(12,0,0),"Manhã",IF(B1066&lt;TIME(18,0,0),"Tarde","Noite")))</f>
        <v>Manhã</v>
      </c>
      <c r="P1066" s="32">
        <f>IF(G1066="","",IFERROR(INDEX(Config!$I$5:$I$16,MATCH(G1066,Config!$H$5:$H$16,0)),0))</f>
        <v>0</v>
      </c>
      <c r="Q1066" s="30">
        <f>IF(OR(H1066&lt;&gt;"Realizado",P1066="",P1066=0),"",A1066+P1066)</f>
        <v/>
      </c>
      <c r="R1066" s="26">
        <f>IF(Q1066="","",IF(COUNTIFS($E$5:$E$3004,E1066,$A$5:$A$3004,"&gt;"&amp;A1066,$H$5:$H$3004,"&lt;&gt;Falta",$H$5:$H$3004,"&lt;&gt;Cancelado",$H$5:$H$3004,"&lt;&gt;Remarcado")&gt;0,"Sim","Não"))</f>
        <v/>
      </c>
      <c r="S1066" s="32">
        <f>IF(R1066&lt;&gt;"Não","",IF(Q1066+Config!$B$9&lt;=Config!$B$8,Config!$B$8-Q1066,""))</f>
        <v/>
      </c>
      <c r="T1066" s="26">
        <f>IF(S1066="","","Sim")</f>
        <v/>
      </c>
      <c r="U1066" s="41">
        <f>IF(T1066="Sim",S1066+ROW()/100000,0)</f>
        <v>0</v>
      </c>
      <c r="V1066" s="41">
        <f>IF(AND(H1066="Falta",L1066=Config!$B$7,M1066=Config!$B$5,COUNTIFS($E$5:E1066,E1066,$H$5:H1066,"Falta",$L$5:L1066,Config!$B$7,$M$5:M1066,Config!$B$5)=1),COUNTIFS($E$5:$E$3004,E1066,$H$5:$H$3004,"Falta",$L$5:$L$3004,Config!$B$7,$M$5:$M$3004,Config!$B$5)*1000-ROW()/100000,0)</f>
        <v>0</v>
      </c>
    </row>
    <row r="1067">
      <c r="A1067" s="39" t="n">
        <v>46282</v>
      </c>
      <c r="B1067" s="40" t="n">
        <v>0.3680555555555556</v>
      </c>
      <c r="C1067" s="35" t="inlineStr">
        <is>
          <t>Dra. Carolina Mendes</t>
        </is>
      </c>
      <c r="D1067" s="35" t="inlineStr">
        <is>
          <t>Sala 1</t>
        </is>
      </c>
      <c r="E1067" s="34" t="inlineStr">
        <is>
          <t>Regina Duarte</t>
        </is>
      </c>
      <c r="F1067" s="35" t="inlineStr">
        <is>
          <t>Particular</t>
        </is>
      </c>
      <c r="G1067" s="35" t="inlineStr">
        <is>
          <t>Retorno</t>
        </is>
      </c>
      <c r="H1067" s="35" t="inlineStr">
        <is>
          <t>Agendado</t>
        </is>
      </c>
      <c r="I1067" s="35" t="n"/>
      <c r="J1067" s="35" t="n"/>
      <c r="K1067" s="34" t="n"/>
      <c r="L1067" s="26">
        <f>IF(A1067="","",MONTH(A1067))</f>
        <v>9</v>
      </c>
      <c r="M1067" s="26">
        <f>IF(A1067="","",YEAR(A1067))</f>
        <v>2026</v>
      </c>
      <c r="N1067" s="26" t="str">
        <f>IF(A1067="","",CHOOSE(WEEKDAY(A1067,2),"Segunda","Terça","Quarta","Quinta","Sexta","Sábado","Domingo"))</f>
        <v>Quinta</v>
      </c>
      <c r="O1067" s="26" t="str">
        <f>IF(B1067="","",IF(B1067&lt;TIME(12,0,0),"Manhã",IF(B1067&lt;TIME(18,0,0),"Tarde","Noite")))</f>
        <v>Manhã</v>
      </c>
      <c r="P1067" s="32">
        <f>IF(G1067="","",IFERROR(INDEX(Config!$I$5:$I$16,MATCH(G1067,Config!$H$5:$H$16,0)),0))</f>
        <v>0</v>
      </c>
      <c r="Q1067" s="30">
        <f>IF(OR(H1067&lt;&gt;"Realizado",P1067="",P1067=0),"",A1067+P1067)</f>
        <v/>
      </c>
      <c r="R1067" s="26">
        <f>IF(Q1067="","",IF(COUNTIFS($E$5:$E$3004,E1067,$A$5:$A$3004,"&gt;"&amp;A1067,$H$5:$H$3004,"&lt;&gt;Falta",$H$5:$H$3004,"&lt;&gt;Cancelado",$H$5:$H$3004,"&lt;&gt;Remarcado")&gt;0,"Sim","Não"))</f>
        <v/>
      </c>
      <c r="S1067" s="32">
        <f>IF(R1067&lt;&gt;"Não","",IF(Q1067+Config!$B$9&lt;=Config!$B$8,Config!$B$8-Q1067,""))</f>
        <v/>
      </c>
      <c r="T1067" s="26">
        <f>IF(S1067="","","Sim")</f>
        <v/>
      </c>
      <c r="U1067" s="41">
        <f>IF(T1067="Sim",S1067+ROW()/100000,0)</f>
        <v>0</v>
      </c>
      <c r="V1067" s="41">
        <f>IF(AND(H1067="Falta",L1067=Config!$B$7,M1067=Config!$B$5,COUNTIFS($E$5:E1067,E1067,$H$5:H1067,"Falta",$L$5:L1067,Config!$B$7,$M$5:M1067,Config!$B$5)=1),COUNTIFS($E$5:$E$3004,E1067,$H$5:$H$3004,"Falta",$L$5:$L$3004,Config!$B$7,$M$5:$M$3004,Config!$B$5)*1000-ROW()/100000,0)</f>
        <v>0</v>
      </c>
    </row>
    <row r="1068">
      <c r="A1068" s="39" t="n">
        <v>46282</v>
      </c>
      <c r="B1068" s="40" t="n">
        <v>0.3819444444444444</v>
      </c>
      <c r="C1068" s="35" t="inlineStr">
        <is>
          <t>Dra. Carolina Mendes</t>
        </is>
      </c>
      <c r="D1068" s="35" t="inlineStr">
        <is>
          <t>Sala 1</t>
        </is>
      </c>
      <c r="E1068" s="34" t="inlineStr">
        <is>
          <t>Mônica Batista</t>
        </is>
      </c>
      <c r="F1068" s="35" t="inlineStr">
        <is>
          <t>MediPlan</t>
        </is>
      </c>
      <c r="G1068" s="35" t="inlineStr">
        <is>
          <t>Consulta</t>
        </is>
      </c>
      <c r="H1068" s="35" t="inlineStr">
        <is>
          <t>Agendado</t>
        </is>
      </c>
      <c r="I1068" s="35" t="n"/>
      <c r="J1068" s="35" t="n"/>
      <c r="K1068" s="34" t="n"/>
      <c r="L1068" s="26">
        <f>IF(A1068="","",MONTH(A1068))</f>
        <v>9</v>
      </c>
      <c r="M1068" s="26">
        <f>IF(A1068="","",YEAR(A1068))</f>
        <v>2026</v>
      </c>
      <c r="N1068" s="26" t="str">
        <f>IF(A1068="","",CHOOSE(WEEKDAY(A1068,2),"Segunda","Terça","Quarta","Quinta","Sexta","Sábado","Domingo"))</f>
        <v>Quinta</v>
      </c>
      <c r="O1068" s="26" t="str">
        <f>IF(B1068="","",IF(B1068&lt;TIME(12,0,0),"Manhã",IF(B1068&lt;TIME(18,0,0),"Tarde","Noite")))</f>
        <v>Manhã</v>
      </c>
      <c r="P1068" s="32">
        <f>IF(G1068="","",IFERROR(INDEX(Config!$I$5:$I$16,MATCH(G1068,Config!$H$5:$H$16,0)),0))</f>
        <v>30</v>
      </c>
      <c r="Q1068" s="30">
        <f>IF(OR(H1068&lt;&gt;"Realizado",P1068="",P1068=0),"",A1068+P1068)</f>
        <v/>
      </c>
      <c r="R1068" s="26">
        <f>IF(Q1068="","",IF(COUNTIFS($E$5:$E$3004,E1068,$A$5:$A$3004,"&gt;"&amp;A1068,$H$5:$H$3004,"&lt;&gt;Falta",$H$5:$H$3004,"&lt;&gt;Cancelado",$H$5:$H$3004,"&lt;&gt;Remarcado")&gt;0,"Sim","Não"))</f>
        <v/>
      </c>
      <c r="S1068" s="32">
        <f>IF(R1068&lt;&gt;"Não","",IF(Q1068+Config!$B$9&lt;=Config!$B$8,Config!$B$8-Q1068,""))</f>
        <v/>
      </c>
      <c r="T1068" s="26">
        <f>IF(S1068="","","Sim")</f>
        <v/>
      </c>
      <c r="U1068" s="41">
        <f>IF(T1068="Sim",S1068+ROW()/100000,0)</f>
        <v>0</v>
      </c>
      <c r="V1068" s="41">
        <f>IF(AND(H1068="Falta",L1068=Config!$B$7,M1068=Config!$B$5,COUNTIFS($E$5:E1068,E1068,$H$5:H1068,"Falta",$L$5:L1068,Config!$B$7,$M$5:M1068,Config!$B$5)=1),COUNTIFS($E$5:$E$3004,E1068,$H$5:$H$3004,"Falta",$L$5:$L$3004,Config!$B$7,$M$5:$M$3004,Config!$B$5)*1000-ROW()/100000,0)</f>
        <v>0</v>
      </c>
    </row>
    <row r="1069">
      <c r="A1069" s="39" t="n">
        <v>46282</v>
      </c>
      <c r="B1069" s="40" t="n">
        <v>0.4027777777777778</v>
      </c>
      <c r="C1069" s="35" t="inlineStr">
        <is>
          <t>Dra. Carolina Mendes</t>
        </is>
      </c>
      <c r="D1069" s="35" t="inlineStr">
        <is>
          <t>Sala 1</t>
        </is>
      </c>
      <c r="E1069" s="34" t="inlineStr">
        <is>
          <t>Marcelo Santos</t>
        </is>
      </c>
      <c r="F1069" s="35" t="inlineStr">
        <is>
          <t>Particular</t>
        </is>
      </c>
      <c r="G1069" s="35" t="inlineStr">
        <is>
          <t>Retorno</t>
        </is>
      </c>
      <c r="H1069" s="35" t="inlineStr">
        <is>
          <t>Agendado</t>
        </is>
      </c>
      <c r="I1069" s="35" t="n"/>
      <c r="J1069" s="35" t="n"/>
      <c r="K1069" s="34" t="n"/>
      <c r="L1069" s="26">
        <f>IF(A1069="","",MONTH(A1069))</f>
        <v>9</v>
      </c>
      <c r="M1069" s="26">
        <f>IF(A1069="","",YEAR(A1069))</f>
        <v>2026</v>
      </c>
      <c r="N1069" s="26" t="str">
        <f>IF(A1069="","",CHOOSE(WEEKDAY(A1069,2),"Segunda","Terça","Quarta","Quinta","Sexta","Sábado","Domingo"))</f>
        <v>Quinta</v>
      </c>
      <c r="O1069" s="26" t="str">
        <f>IF(B1069="","",IF(B1069&lt;TIME(12,0,0),"Manhã",IF(B1069&lt;TIME(18,0,0),"Tarde","Noite")))</f>
        <v>Manhã</v>
      </c>
      <c r="P1069" s="32">
        <f>IF(G1069="","",IFERROR(INDEX(Config!$I$5:$I$16,MATCH(G1069,Config!$H$5:$H$16,0)),0))</f>
        <v>0</v>
      </c>
      <c r="Q1069" s="30">
        <f>IF(OR(H1069&lt;&gt;"Realizado",P1069="",P1069=0),"",A1069+P1069)</f>
        <v/>
      </c>
      <c r="R1069" s="26">
        <f>IF(Q1069="","",IF(COUNTIFS($E$5:$E$3004,E1069,$A$5:$A$3004,"&gt;"&amp;A1069,$H$5:$H$3004,"&lt;&gt;Falta",$H$5:$H$3004,"&lt;&gt;Cancelado",$H$5:$H$3004,"&lt;&gt;Remarcado")&gt;0,"Sim","Não"))</f>
        <v/>
      </c>
      <c r="S1069" s="32">
        <f>IF(R1069&lt;&gt;"Não","",IF(Q1069+Config!$B$9&lt;=Config!$B$8,Config!$B$8-Q1069,""))</f>
        <v/>
      </c>
      <c r="T1069" s="26">
        <f>IF(S1069="","","Sim")</f>
        <v/>
      </c>
      <c r="U1069" s="41">
        <f>IF(T1069="Sim",S1069+ROW()/100000,0)</f>
        <v>0</v>
      </c>
      <c r="V1069" s="41">
        <f>IF(AND(H1069="Falta",L1069=Config!$B$7,M1069=Config!$B$5,COUNTIFS($E$5:E1069,E1069,$H$5:H1069,"Falta",$L$5:L1069,Config!$B$7,$M$5:M1069,Config!$B$5)=1),COUNTIFS($E$5:$E$3004,E1069,$H$5:$H$3004,"Falta",$L$5:$L$3004,Config!$B$7,$M$5:$M$3004,Config!$B$5)*1000-ROW()/100000,0)</f>
        <v>0</v>
      </c>
    </row>
    <row r="1070">
      <c r="A1070" s="39" t="n">
        <v>46282</v>
      </c>
      <c r="B1070" s="40" t="n">
        <v>0.4166666666666667</v>
      </c>
      <c r="C1070" s="35" t="inlineStr">
        <is>
          <t>Dra. Carolina Mendes</t>
        </is>
      </c>
      <c r="D1070" s="35" t="inlineStr">
        <is>
          <t>Sala 1</t>
        </is>
      </c>
      <c r="E1070" s="34" t="inlineStr">
        <is>
          <t>Gisele Xavier</t>
        </is>
      </c>
      <c r="F1070" s="35" t="inlineStr">
        <is>
          <t>Particular</t>
        </is>
      </c>
      <c r="G1070" s="35" t="inlineStr">
        <is>
          <t>Retorno</t>
        </is>
      </c>
      <c r="H1070" s="35" t="inlineStr">
        <is>
          <t>Agendado</t>
        </is>
      </c>
      <c r="I1070" s="35" t="n"/>
      <c r="J1070" s="35" t="n"/>
      <c r="K1070" s="34" t="n"/>
      <c r="L1070" s="26">
        <f>IF(A1070="","",MONTH(A1070))</f>
        <v>9</v>
      </c>
      <c r="M1070" s="26">
        <f>IF(A1070="","",YEAR(A1070))</f>
        <v>2026</v>
      </c>
      <c r="N1070" s="26" t="str">
        <f>IF(A1070="","",CHOOSE(WEEKDAY(A1070,2),"Segunda","Terça","Quarta","Quinta","Sexta","Sábado","Domingo"))</f>
        <v>Quinta</v>
      </c>
      <c r="O1070" s="26" t="str">
        <f>IF(B1070="","",IF(B1070&lt;TIME(12,0,0),"Manhã",IF(B1070&lt;TIME(18,0,0),"Tarde","Noite")))</f>
        <v>Manhã</v>
      </c>
      <c r="P1070" s="32">
        <f>IF(G1070="","",IFERROR(INDEX(Config!$I$5:$I$16,MATCH(G1070,Config!$H$5:$H$16,0)),0))</f>
        <v>0</v>
      </c>
      <c r="Q1070" s="30">
        <f>IF(OR(H1070&lt;&gt;"Realizado",P1070="",P1070=0),"",A1070+P1070)</f>
        <v/>
      </c>
      <c r="R1070" s="26">
        <f>IF(Q1070="","",IF(COUNTIFS($E$5:$E$3004,E1070,$A$5:$A$3004,"&gt;"&amp;A1070,$H$5:$H$3004,"&lt;&gt;Falta",$H$5:$H$3004,"&lt;&gt;Cancelado",$H$5:$H$3004,"&lt;&gt;Remarcado")&gt;0,"Sim","Não"))</f>
        <v/>
      </c>
      <c r="S1070" s="32">
        <f>IF(R1070&lt;&gt;"Não","",IF(Q1070+Config!$B$9&lt;=Config!$B$8,Config!$B$8-Q1070,""))</f>
        <v/>
      </c>
      <c r="T1070" s="26">
        <f>IF(S1070="","","Sim")</f>
        <v/>
      </c>
      <c r="U1070" s="41">
        <f>IF(T1070="Sim",S1070+ROW()/100000,0)</f>
        <v>0</v>
      </c>
      <c r="V1070" s="41">
        <f>IF(AND(H1070="Falta",L1070=Config!$B$7,M1070=Config!$B$5,COUNTIFS($E$5:E1070,E1070,$H$5:H1070,"Falta",$L$5:L1070,Config!$B$7,$M$5:M1070,Config!$B$5)=1),COUNTIFS($E$5:$E$3004,E1070,$H$5:$H$3004,"Falta",$L$5:$L$3004,Config!$B$7,$M$5:$M$3004,Config!$B$5)*1000-ROW()/100000,0)</f>
        <v>0</v>
      </c>
    </row>
    <row r="1071">
      <c r="A1071" s="39" t="n">
        <v>46282</v>
      </c>
      <c r="B1071" s="40" t="n">
        <v>0.4305555555555556</v>
      </c>
      <c r="C1071" s="35" t="inlineStr">
        <is>
          <t>Dra. Carolina Mendes</t>
        </is>
      </c>
      <c r="D1071" s="35" t="inlineStr">
        <is>
          <t>Sala 1</t>
        </is>
      </c>
      <c r="E1071" s="34" t="inlineStr">
        <is>
          <t>Sérgio Batista</t>
        </is>
      </c>
      <c r="F1071" s="35" t="inlineStr">
        <is>
          <t>MediPlan</t>
        </is>
      </c>
      <c r="G1071" s="35" t="inlineStr">
        <is>
          <t>Consulta</t>
        </is>
      </c>
      <c r="H1071" s="35" t="inlineStr">
        <is>
          <t>Agendado</t>
        </is>
      </c>
      <c r="I1071" s="35" t="n"/>
      <c r="J1071" s="35" t="n"/>
      <c r="K1071" s="34" t="n"/>
      <c r="L1071" s="26">
        <f>IF(A1071="","",MONTH(A1071))</f>
        <v>9</v>
      </c>
      <c r="M1071" s="26">
        <f>IF(A1071="","",YEAR(A1071))</f>
        <v>2026</v>
      </c>
      <c r="N1071" s="26" t="str">
        <f>IF(A1071="","",CHOOSE(WEEKDAY(A1071,2),"Segunda","Terça","Quarta","Quinta","Sexta","Sábado","Domingo"))</f>
        <v>Quinta</v>
      </c>
      <c r="O1071" s="26" t="str">
        <f>IF(B1071="","",IF(B1071&lt;TIME(12,0,0),"Manhã",IF(B1071&lt;TIME(18,0,0),"Tarde","Noite")))</f>
        <v>Manhã</v>
      </c>
      <c r="P1071" s="32">
        <f>IF(G1071="","",IFERROR(INDEX(Config!$I$5:$I$16,MATCH(G1071,Config!$H$5:$H$16,0)),0))</f>
        <v>30</v>
      </c>
      <c r="Q1071" s="30">
        <f>IF(OR(H1071&lt;&gt;"Realizado",P1071="",P1071=0),"",A1071+P1071)</f>
        <v/>
      </c>
      <c r="R1071" s="26">
        <f>IF(Q1071="","",IF(COUNTIFS($E$5:$E$3004,E1071,$A$5:$A$3004,"&gt;"&amp;A1071,$H$5:$H$3004,"&lt;&gt;Falta",$H$5:$H$3004,"&lt;&gt;Cancelado",$H$5:$H$3004,"&lt;&gt;Remarcado")&gt;0,"Sim","Não"))</f>
        <v/>
      </c>
      <c r="S1071" s="32">
        <f>IF(R1071&lt;&gt;"Não","",IF(Q1071+Config!$B$9&lt;=Config!$B$8,Config!$B$8-Q1071,""))</f>
        <v/>
      </c>
      <c r="T1071" s="26">
        <f>IF(S1071="","","Sim")</f>
        <v/>
      </c>
      <c r="U1071" s="41">
        <f>IF(T1071="Sim",S1071+ROW()/100000,0)</f>
        <v>0</v>
      </c>
      <c r="V1071" s="41">
        <f>IF(AND(H1071="Falta",L1071=Config!$B$7,M1071=Config!$B$5,COUNTIFS($E$5:E1071,E1071,$H$5:H1071,"Falta",$L$5:L1071,Config!$B$7,$M$5:M1071,Config!$B$5)=1),COUNTIFS($E$5:$E$3004,E1071,$H$5:$H$3004,"Falta",$L$5:$L$3004,Config!$B$7,$M$5:$M$3004,Config!$B$5)*1000-ROW()/100000,0)</f>
        <v>0</v>
      </c>
    </row>
    <row r="1072">
      <c r="A1072" s="39" t="n">
        <v>46282</v>
      </c>
      <c r="B1072" s="40" t="n">
        <v>0.4513888888888889</v>
      </c>
      <c r="C1072" s="35" t="inlineStr">
        <is>
          <t>Dra. Carolina Mendes</t>
        </is>
      </c>
      <c r="D1072" s="35" t="inlineStr">
        <is>
          <t>Sala 1</t>
        </is>
      </c>
      <c r="E1072" s="34" t="inlineStr">
        <is>
          <t>Roberta Fernandes</t>
        </is>
      </c>
      <c r="F1072" s="35" t="inlineStr">
        <is>
          <t>Saúde Total</t>
        </is>
      </c>
      <c r="G1072" s="35" t="inlineStr">
        <is>
          <t>Consulta</t>
        </is>
      </c>
      <c r="H1072" s="35" t="inlineStr">
        <is>
          <t>Agendado</t>
        </is>
      </c>
      <c r="I1072" s="35" t="n"/>
      <c r="J1072" s="35" t="n"/>
      <c r="K1072" s="34" t="n"/>
      <c r="L1072" s="26">
        <f>IF(A1072="","",MONTH(A1072))</f>
        <v>9</v>
      </c>
      <c r="M1072" s="26">
        <f>IF(A1072="","",YEAR(A1072))</f>
        <v>2026</v>
      </c>
      <c r="N1072" s="26" t="str">
        <f>IF(A1072="","",CHOOSE(WEEKDAY(A1072,2),"Segunda","Terça","Quarta","Quinta","Sexta","Sábado","Domingo"))</f>
        <v>Quinta</v>
      </c>
      <c r="O1072" s="26" t="str">
        <f>IF(B1072="","",IF(B1072&lt;TIME(12,0,0),"Manhã",IF(B1072&lt;TIME(18,0,0),"Tarde","Noite")))</f>
        <v>Manhã</v>
      </c>
      <c r="P1072" s="32">
        <f>IF(G1072="","",IFERROR(INDEX(Config!$I$5:$I$16,MATCH(G1072,Config!$H$5:$H$16,0)),0))</f>
        <v>30</v>
      </c>
      <c r="Q1072" s="30">
        <f>IF(OR(H1072&lt;&gt;"Realizado",P1072="",P1072=0),"",A1072+P1072)</f>
        <v/>
      </c>
      <c r="R1072" s="26">
        <f>IF(Q1072="","",IF(COUNTIFS($E$5:$E$3004,E1072,$A$5:$A$3004,"&gt;"&amp;A1072,$H$5:$H$3004,"&lt;&gt;Falta",$H$5:$H$3004,"&lt;&gt;Cancelado",$H$5:$H$3004,"&lt;&gt;Remarcado")&gt;0,"Sim","Não"))</f>
        <v/>
      </c>
      <c r="S1072" s="32">
        <f>IF(R1072&lt;&gt;"Não","",IF(Q1072+Config!$B$9&lt;=Config!$B$8,Config!$B$8-Q1072,""))</f>
        <v/>
      </c>
      <c r="T1072" s="26">
        <f>IF(S1072="","","Sim")</f>
        <v/>
      </c>
      <c r="U1072" s="41">
        <f>IF(T1072="Sim",S1072+ROW()/100000,0)</f>
        <v>0</v>
      </c>
      <c r="V1072" s="41">
        <f>IF(AND(H1072="Falta",L1072=Config!$B$7,M1072=Config!$B$5,COUNTIFS($E$5:E1072,E1072,$H$5:H1072,"Falta",$L$5:L1072,Config!$B$7,$M$5:M1072,Config!$B$5)=1),COUNTIFS($E$5:$E$3004,E1072,$H$5:$H$3004,"Falta",$L$5:$L$3004,Config!$B$7,$M$5:$M$3004,Config!$B$5)*1000-ROW()/100000,0)</f>
        <v>0</v>
      </c>
    </row>
    <row r="1073">
      <c r="A1073" s="39" t="n">
        <v>46282</v>
      </c>
      <c r="B1073" s="40" t="n">
        <v>0.4722222222222222</v>
      </c>
      <c r="C1073" s="35" t="inlineStr">
        <is>
          <t>Dra. Carolina Mendes</t>
        </is>
      </c>
      <c r="D1073" s="35" t="inlineStr">
        <is>
          <t>Sala 1</t>
        </is>
      </c>
      <c r="E1073" s="34" t="inlineStr">
        <is>
          <t>Helena Moreira</t>
        </is>
      </c>
      <c r="F1073" s="35" t="inlineStr">
        <is>
          <t>Particular</t>
        </is>
      </c>
      <c r="G1073" s="35" t="inlineStr">
        <is>
          <t>Consulta</t>
        </is>
      </c>
      <c r="H1073" s="35" t="inlineStr">
        <is>
          <t>Agendado</t>
        </is>
      </c>
      <c r="I1073" s="35" t="n"/>
      <c r="J1073" s="35" t="n"/>
      <c r="K1073" s="34" t="n"/>
      <c r="L1073" s="26">
        <f>IF(A1073="","",MONTH(A1073))</f>
        <v>9</v>
      </c>
      <c r="M1073" s="26">
        <f>IF(A1073="","",YEAR(A1073))</f>
        <v>2026</v>
      </c>
      <c r="N1073" s="26" t="str">
        <f>IF(A1073="","",CHOOSE(WEEKDAY(A1073,2),"Segunda","Terça","Quarta","Quinta","Sexta","Sábado","Domingo"))</f>
        <v>Quinta</v>
      </c>
      <c r="O1073" s="26" t="str">
        <f>IF(B1073="","",IF(B1073&lt;TIME(12,0,0),"Manhã",IF(B1073&lt;TIME(18,0,0),"Tarde","Noite")))</f>
        <v>Manhã</v>
      </c>
      <c r="P1073" s="32">
        <f>IF(G1073="","",IFERROR(INDEX(Config!$I$5:$I$16,MATCH(G1073,Config!$H$5:$H$16,0)),0))</f>
        <v>30</v>
      </c>
      <c r="Q1073" s="30">
        <f>IF(OR(H1073&lt;&gt;"Realizado",P1073="",P1073=0),"",A1073+P1073)</f>
        <v/>
      </c>
      <c r="R1073" s="26">
        <f>IF(Q1073="","",IF(COUNTIFS($E$5:$E$3004,E1073,$A$5:$A$3004,"&gt;"&amp;A1073,$H$5:$H$3004,"&lt;&gt;Falta",$H$5:$H$3004,"&lt;&gt;Cancelado",$H$5:$H$3004,"&lt;&gt;Remarcado")&gt;0,"Sim","Não"))</f>
        <v/>
      </c>
      <c r="S1073" s="32">
        <f>IF(R1073&lt;&gt;"Não","",IF(Q1073+Config!$B$9&lt;=Config!$B$8,Config!$B$8-Q1073,""))</f>
        <v/>
      </c>
      <c r="T1073" s="26">
        <f>IF(S1073="","","Sim")</f>
        <v/>
      </c>
      <c r="U1073" s="41">
        <f>IF(T1073="Sim",S1073+ROW()/100000,0)</f>
        <v>0</v>
      </c>
      <c r="V1073" s="41">
        <f>IF(AND(H1073="Falta",L1073=Config!$B$7,M1073=Config!$B$5,COUNTIFS($E$5:E1073,E1073,$H$5:H1073,"Falta",$L$5:L1073,Config!$B$7,$M$5:M1073,Config!$B$5)=1),COUNTIFS($E$5:$E$3004,E1073,$H$5:$H$3004,"Falta",$L$5:$L$3004,Config!$B$7,$M$5:$M$3004,Config!$B$5)*1000-ROW()/100000,0)</f>
        <v>0</v>
      </c>
    </row>
    <row r="1074">
      <c r="A1074" s="39" t="n">
        <v>46282</v>
      </c>
      <c r="B1074" s="40" t="n">
        <v>0.5833333333333334</v>
      </c>
      <c r="C1074" s="35" t="inlineStr">
        <is>
          <t>Dra. Renata Sousa</t>
        </is>
      </c>
      <c r="D1074" s="35" t="inlineStr">
        <is>
          <t>Sala 1</t>
        </is>
      </c>
      <c r="E1074" s="34" t="inlineStr">
        <is>
          <t>Rodrigo Cardoso</t>
        </is>
      </c>
      <c r="F1074" s="35" t="inlineStr">
        <is>
          <t>Saúde Total</t>
        </is>
      </c>
      <c r="G1074" s="35" t="inlineStr">
        <is>
          <t>Avaliação endócrina</t>
        </is>
      </c>
      <c r="H1074" s="35" t="inlineStr">
        <is>
          <t>Agendado</t>
        </is>
      </c>
      <c r="I1074" s="35" t="n"/>
      <c r="J1074" s="35" t="n"/>
      <c r="K1074" s="34" t="n"/>
      <c r="L1074" s="26">
        <f>IF(A1074="","",MONTH(A1074))</f>
        <v>9</v>
      </c>
      <c r="M1074" s="26">
        <f>IF(A1074="","",YEAR(A1074))</f>
        <v>2026</v>
      </c>
      <c r="N1074" s="26" t="str">
        <f>IF(A1074="","",CHOOSE(WEEKDAY(A1074,2),"Segunda","Terça","Quarta","Quinta","Sexta","Sábado","Domingo"))</f>
        <v>Quinta</v>
      </c>
      <c r="O1074" s="26" t="str">
        <f>IF(B1074="","",IF(B1074&lt;TIME(12,0,0),"Manhã",IF(B1074&lt;TIME(18,0,0),"Tarde","Noite")))</f>
        <v>Tarde</v>
      </c>
      <c r="P1074" s="32">
        <f>IF(G1074="","",IFERROR(INDEX(Config!$I$5:$I$16,MATCH(G1074,Config!$H$5:$H$16,0)),0))</f>
        <v>45</v>
      </c>
      <c r="Q1074" s="30">
        <f>IF(OR(H1074&lt;&gt;"Realizado",P1074="",P1074=0),"",A1074+P1074)</f>
        <v/>
      </c>
      <c r="R1074" s="26">
        <f>IF(Q1074="","",IF(COUNTIFS($E$5:$E$3004,E1074,$A$5:$A$3004,"&gt;"&amp;A1074,$H$5:$H$3004,"&lt;&gt;Falta",$H$5:$H$3004,"&lt;&gt;Cancelado",$H$5:$H$3004,"&lt;&gt;Remarcado")&gt;0,"Sim","Não"))</f>
        <v/>
      </c>
      <c r="S1074" s="32">
        <f>IF(R1074&lt;&gt;"Não","",IF(Q1074+Config!$B$9&lt;=Config!$B$8,Config!$B$8-Q1074,""))</f>
        <v/>
      </c>
      <c r="T1074" s="26">
        <f>IF(S1074="","","Sim")</f>
        <v/>
      </c>
      <c r="U1074" s="41">
        <f>IF(T1074="Sim",S1074+ROW()/100000,0)</f>
        <v>0</v>
      </c>
      <c r="V1074" s="41">
        <f>IF(AND(H1074="Falta",L1074=Config!$B$7,M1074=Config!$B$5,COUNTIFS($E$5:E1074,E1074,$H$5:H1074,"Falta",$L$5:L1074,Config!$B$7,$M$5:M1074,Config!$B$5)=1),COUNTIFS($E$5:$E$3004,E1074,$H$5:$H$3004,"Falta",$L$5:$L$3004,Config!$B$7,$M$5:$M$3004,Config!$B$5)*1000-ROW()/100000,0)</f>
        <v>0</v>
      </c>
    </row>
    <row r="1075">
      <c r="A1075" s="39" t="n">
        <v>46282</v>
      </c>
      <c r="B1075" s="40" t="n">
        <v>0.6111111111111112</v>
      </c>
      <c r="C1075" s="35" t="inlineStr">
        <is>
          <t>Dra. Renata Sousa</t>
        </is>
      </c>
      <c r="D1075" s="35" t="inlineStr">
        <is>
          <t>Sala 1</t>
        </is>
      </c>
      <c r="E1075" s="34" t="inlineStr">
        <is>
          <t>Carlos Gonçalves</t>
        </is>
      </c>
      <c r="F1075" s="35" t="inlineStr">
        <is>
          <t>Saúde Total</t>
        </is>
      </c>
      <c r="G1075" s="35" t="inlineStr">
        <is>
          <t>Avaliação endócrina</t>
        </is>
      </c>
      <c r="H1075" s="35" t="inlineStr">
        <is>
          <t>Agendado</t>
        </is>
      </c>
      <c r="I1075" s="35" t="n"/>
      <c r="J1075" s="35" t="n"/>
      <c r="K1075" s="34" t="n"/>
      <c r="L1075" s="26">
        <f>IF(A1075="","",MONTH(A1075))</f>
        <v>9</v>
      </c>
      <c r="M1075" s="26">
        <f>IF(A1075="","",YEAR(A1075))</f>
        <v>2026</v>
      </c>
      <c r="N1075" s="26" t="str">
        <f>IF(A1075="","",CHOOSE(WEEKDAY(A1075,2),"Segunda","Terça","Quarta","Quinta","Sexta","Sábado","Domingo"))</f>
        <v>Quinta</v>
      </c>
      <c r="O1075" s="26" t="str">
        <f>IF(B1075="","",IF(B1075&lt;TIME(12,0,0),"Manhã",IF(B1075&lt;TIME(18,0,0),"Tarde","Noite")))</f>
        <v>Tarde</v>
      </c>
      <c r="P1075" s="32">
        <f>IF(G1075="","",IFERROR(INDEX(Config!$I$5:$I$16,MATCH(G1075,Config!$H$5:$H$16,0)),0))</f>
        <v>45</v>
      </c>
      <c r="Q1075" s="30">
        <f>IF(OR(H1075&lt;&gt;"Realizado",P1075="",P1075=0),"",A1075+P1075)</f>
        <v/>
      </c>
      <c r="R1075" s="26">
        <f>IF(Q1075="","",IF(COUNTIFS($E$5:$E$3004,E1075,$A$5:$A$3004,"&gt;"&amp;A1075,$H$5:$H$3004,"&lt;&gt;Falta",$H$5:$H$3004,"&lt;&gt;Cancelado",$H$5:$H$3004,"&lt;&gt;Remarcado")&gt;0,"Sim","Não"))</f>
        <v/>
      </c>
      <c r="S1075" s="32">
        <f>IF(R1075&lt;&gt;"Não","",IF(Q1075+Config!$B$9&lt;=Config!$B$8,Config!$B$8-Q1075,""))</f>
        <v/>
      </c>
      <c r="T1075" s="26">
        <f>IF(S1075="","","Sim")</f>
        <v/>
      </c>
      <c r="U1075" s="41">
        <f>IF(T1075="Sim",S1075+ROW()/100000,0)</f>
        <v>0</v>
      </c>
      <c r="V1075" s="41">
        <f>IF(AND(H1075="Falta",L1075=Config!$B$7,M1075=Config!$B$5,COUNTIFS($E$5:E1075,E1075,$H$5:H1075,"Falta",$L$5:L1075,Config!$B$7,$M$5:M1075,Config!$B$5)=1),COUNTIFS($E$5:$E$3004,E1075,$H$5:$H$3004,"Falta",$L$5:$L$3004,Config!$B$7,$M$5:$M$3004,Config!$B$5)*1000-ROW()/100000,0)</f>
        <v>0</v>
      </c>
    </row>
    <row r="1076">
      <c r="A1076" s="39" t="n">
        <v>46282</v>
      </c>
      <c r="B1076" s="40" t="n">
        <v>0.625</v>
      </c>
      <c r="C1076" s="35" t="inlineStr">
        <is>
          <t>Dr. Paulo Andrade</t>
        </is>
      </c>
      <c r="D1076" s="35" t="inlineStr">
        <is>
          <t>Sala 2</t>
        </is>
      </c>
      <c r="E1076" s="34" t="inlineStr">
        <is>
          <t>Sérgio Teixeira</t>
        </is>
      </c>
      <c r="F1076" s="35" t="inlineStr">
        <is>
          <t>MediPlan</t>
        </is>
      </c>
      <c r="G1076" s="35" t="inlineStr">
        <is>
          <t>Retorno</t>
        </is>
      </c>
      <c r="H1076" s="35" t="inlineStr">
        <is>
          <t>Agendado</t>
        </is>
      </c>
      <c r="I1076" s="35" t="n"/>
      <c r="J1076" s="35" t="n"/>
      <c r="K1076" s="34" t="n"/>
      <c r="L1076" s="26">
        <f>IF(A1076="","",MONTH(A1076))</f>
        <v>9</v>
      </c>
      <c r="M1076" s="26">
        <f>IF(A1076="","",YEAR(A1076))</f>
        <v>2026</v>
      </c>
      <c r="N1076" s="26" t="str">
        <f>IF(A1076="","",CHOOSE(WEEKDAY(A1076,2),"Segunda","Terça","Quarta","Quinta","Sexta","Sábado","Domingo"))</f>
        <v>Quinta</v>
      </c>
      <c r="O1076" s="26" t="str">
        <f>IF(B1076="","",IF(B1076&lt;TIME(12,0,0),"Manhã",IF(B1076&lt;TIME(18,0,0),"Tarde","Noite")))</f>
        <v>Tarde</v>
      </c>
      <c r="P1076" s="32">
        <f>IF(G1076="","",IFERROR(INDEX(Config!$I$5:$I$16,MATCH(G1076,Config!$H$5:$H$16,0)),0))</f>
        <v>0</v>
      </c>
      <c r="Q1076" s="30">
        <f>IF(OR(H1076&lt;&gt;"Realizado",P1076="",P1076=0),"",A1076+P1076)</f>
        <v/>
      </c>
      <c r="R1076" s="26">
        <f>IF(Q1076="","",IF(COUNTIFS($E$5:$E$3004,E1076,$A$5:$A$3004,"&gt;"&amp;A1076,$H$5:$H$3004,"&lt;&gt;Falta",$H$5:$H$3004,"&lt;&gt;Cancelado",$H$5:$H$3004,"&lt;&gt;Remarcado")&gt;0,"Sim","Não"))</f>
        <v/>
      </c>
      <c r="S1076" s="32">
        <f>IF(R1076&lt;&gt;"Não","",IF(Q1076+Config!$B$9&lt;=Config!$B$8,Config!$B$8-Q1076,""))</f>
        <v/>
      </c>
      <c r="T1076" s="26">
        <f>IF(S1076="","","Sim")</f>
        <v/>
      </c>
      <c r="U1076" s="41">
        <f>IF(T1076="Sim",S1076+ROW()/100000,0)</f>
        <v>0</v>
      </c>
      <c r="V1076" s="41">
        <f>IF(AND(H1076="Falta",L1076=Config!$B$7,M1076=Config!$B$5,COUNTIFS($E$5:E1076,E1076,$H$5:H1076,"Falta",$L$5:L1076,Config!$B$7,$M$5:M1076,Config!$B$5)=1),COUNTIFS($E$5:$E$3004,E1076,$H$5:$H$3004,"Falta",$L$5:$L$3004,Config!$B$7,$M$5:$M$3004,Config!$B$5)*1000-ROW()/100000,0)</f>
        <v>0</v>
      </c>
    </row>
    <row r="1077">
      <c r="A1077" s="39" t="n">
        <v>46282</v>
      </c>
      <c r="B1077" s="40" t="n">
        <v>0.6388888888888888</v>
      </c>
      <c r="C1077" s="35" t="inlineStr">
        <is>
          <t>Dr. Paulo Andrade</t>
        </is>
      </c>
      <c r="D1077" s="35" t="inlineStr">
        <is>
          <t>Sala 2</t>
        </is>
      </c>
      <c r="E1077" s="34" t="inlineStr">
        <is>
          <t>Renato Pereira</t>
        </is>
      </c>
      <c r="F1077" s="35" t="inlineStr">
        <is>
          <t>MediPlan</t>
        </is>
      </c>
      <c r="G1077" s="35" t="inlineStr">
        <is>
          <t>Consulta</t>
        </is>
      </c>
      <c r="H1077" s="35" t="inlineStr">
        <is>
          <t>Agendado</t>
        </is>
      </c>
      <c r="I1077" s="35" t="n"/>
      <c r="J1077" s="35" t="n"/>
      <c r="K1077" s="34" t="n"/>
      <c r="L1077" s="26">
        <f>IF(A1077="","",MONTH(A1077))</f>
        <v>9</v>
      </c>
      <c r="M1077" s="26">
        <f>IF(A1077="","",YEAR(A1077))</f>
        <v>2026</v>
      </c>
      <c r="N1077" s="26" t="str">
        <f>IF(A1077="","",CHOOSE(WEEKDAY(A1077,2),"Segunda","Terça","Quarta","Quinta","Sexta","Sábado","Domingo"))</f>
        <v>Quinta</v>
      </c>
      <c r="O1077" s="26" t="str">
        <f>IF(B1077="","",IF(B1077&lt;TIME(12,0,0),"Manhã",IF(B1077&lt;TIME(18,0,0),"Tarde","Noite")))</f>
        <v>Tarde</v>
      </c>
      <c r="P1077" s="32">
        <f>IF(G1077="","",IFERROR(INDEX(Config!$I$5:$I$16,MATCH(G1077,Config!$H$5:$H$16,0)),0))</f>
        <v>30</v>
      </c>
      <c r="Q1077" s="30">
        <f>IF(OR(H1077&lt;&gt;"Realizado",P1077="",P1077=0),"",A1077+P1077)</f>
        <v/>
      </c>
      <c r="R1077" s="26">
        <f>IF(Q1077="","",IF(COUNTIFS($E$5:$E$3004,E1077,$A$5:$A$3004,"&gt;"&amp;A1077,$H$5:$H$3004,"&lt;&gt;Falta",$H$5:$H$3004,"&lt;&gt;Cancelado",$H$5:$H$3004,"&lt;&gt;Remarcado")&gt;0,"Sim","Não"))</f>
        <v/>
      </c>
      <c r="S1077" s="32">
        <f>IF(R1077&lt;&gt;"Não","",IF(Q1077+Config!$B$9&lt;=Config!$B$8,Config!$B$8-Q1077,""))</f>
        <v/>
      </c>
      <c r="T1077" s="26">
        <f>IF(S1077="","","Sim")</f>
        <v/>
      </c>
      <c r="U1077" s="41">
        <f>IF(T1077="Sim",S1077+ROW()/100000,0)</f>
        <v>0</v>
      </c>
      <c r="V1077" s="41">
        <f>IF(AND(H1077="Falta",L1077=Config!$B$7,M1077=Config!$B$5,COUNTIFS($E$5:E1077,E1077,$H$5:H1077,"Falta",$L$5:L1077,Config!$B$7,$M$5:M1077,Config!$B$5)=1),COUNTIFS($E$5:$E$3004,E1077,$H$5:$H$3004,"Falta",$L$5:$L$3004,Config!$B$7,$M$5:$M$3004,Config!$B$5)*1000-ROW()/100000,0)</f>
        <v>0</v>
      </c>
    </row>
    <row r="1078">
      <c r="A1078" s="39" t="n">
        <v>46282</v>
      </c>
      <c r="B1078" s="40" t="n">
        <v>0.6597222222222222</v>
      </c>
      <c r="C1078" s="35" t="inlineStr">
        <is>
          <t>Dra. Renata Sousa</t>
        </is>
      </c>
      <c r="D1078" s="35" t="inlineStr">
        <is>
          <t>Sala 1</t>
        </is>
      </c>
      <c r="E1078" s="34" t="inlineStr">
        <is>
          <t>Mônica Almeida</t>
        </is>
      </c>
      <c r="F1078" s="35" t="inlineStr">
        <is>
          <t>Particular</t>
        </is>
      </c>
      <c r="G1078" s="35" t="inlineStr">
        <is>
          <t>Avaliação endócrina</t>
        </is>
      </c>
      <c r="H1078" s="35" t="inlineStr">
        <is>
          <t>Agendado</t>
        </is>
      </c>
      <c r="I1078" s="35" t="n"/>
      <c r="J1078" s="35" t="n"/>
      <c r="K1078" s="34" t="n"/>
      <c r="L1078" s="26">
        <f>IF(A1078="","",MONTH(A1078))</f>
        <v>9</v>
      </c>
      <c r="M1078" s="26">
        <f>IF(A1078="","",YEAR(A1078))</f>
        <v>2026</v>
      </c>
      <c r="N1078" s="26" t="str">
        <f>IF(A1078="","",CHOOSE(WEEKDAY(A1078,2),"Segunda","Terça","Quarta","Quinta","Sexta","Sábado","Domingo"))</f>
        <v>Quinta</v>
      </c>
      <c r="O1078" s="26" t="str">
        <f>IF(B1078="","",IF(B1078&lt;TIME(12,0,0),"Manhã",IF(B1078&lt;TIME(18,0,0),"Tarde","Noite")))</f>
        <v>Tarde</v>
      </c>
      <c r="P1078" s="32">
        <f>IF(G1078="","",IFERROR(INDEX(Config!$I$5:$I$16,MATCH(G1078,Config!$H$5:$H$16,0)),0))</f>
        <v>45</v>
      </c>
      <c r="Q1078" s="30">
        <f>IF(OR(H1078&lt;&gt;"Realizado",P1078="",P1078=0),"",A1078+P1078)</f>
        <v/>
      </c>
      <c r="R1078" s="26">
        <f>IF(Q1078="","",IF(COUNTIFS($E$5:$E$3004,E1078,$A$5:$A$3004,"&gt;"&amp;A1078,$H$5:$H$3004,"&lt;&gt;Falta",$H$5:$H$3004,"&lt;&gt;Cancelado",$H$5:$H$3004,"&lt;&gt;Remarcado")&gt;0,"Sim","Não"))</f>
        <v/>
      </c>
      <c r="S1078" s="32">
        <f>IF(R1078&lt;&gt;"Não","",IF(Q1078+Config!$B$9&lt;=Config!$B$8,Config!$B$8-Q1078,""))</f>
        <v/>
      </c>
      <c r="T1078" s="26">
        <f>IF(S1078="","","Sim")</f>
        <v/>
      </c>
      <c r="U1078" s="41">
        <f>IF(T1078="Sim",S1078+ROW()/100000,0)</f>
        <v>0</v>
      </c>
      <c r="V1078" s="41">
        <f>IF(AND(H1078="Falta",L1078=Config!$B$7,M1078=Config!$B$5,COUNTIFS($E$5:E1078,E1078,$H$5:H1078,"Falta",$L$5:L1078,Config!$B$7,$M$5:M1078,Config!$B$5)=1),COUNTIFS($E$5:$E$3004,E1078,$H$5:$H$3004,"Falta",$L$5:$L$3004,Config!$B$7,$M$5:$M$3004,Config!$B$5)*1000-ROW()/100000,0)</f>
        <v>0</v>
      </c>
    </row>
    <row r="1079">
      <c r="A1079" s="39" t="n">
        <v>46282</v>
      </c>
      <c r="B1079" s="40" t="n">
        <v>0.6597222222222222</v>
      </c>
      <c r="C1079" s="35" t="inlineStr">
        <is>
          <t>Dr. Paulo Andrade</t>
        </is>
      </c>
      <c r="D1079" s="35" t="inlineStr">
        <is>
          <t>Sala 2</t>
        </is>
      </c>
      <c r="E1079" s="34" t="inlineStr">
        <is>
          <t>Viviane Duarte</t>
        </is>
      </c>
      <c r="F1079" s="35" t="inlineStr">
        <is>
          <t>MediPlan</t>
        </is>
      </c>
      <c r="G1079" s="35" t="inlineStr">
        <is>
          <t>Retorno</t>
        </is>
      </c>
      <c r="H1079" s="35" t="inlineStr">
        <is>
          <t>Agendado</t>
        </is>
      </c>
      <c r="I1079" s="35" t="n"/>
      <c r="J1079" s="35" t="n"/>
      <c r="K1079" s="34" t="n"/>
      <c r="L1079" s="26">
        <f>IF(A1079="","",MONTH(A1079))</f>
        <v>9</v>
      </c>
      <c r="M1079" s="26">
        <f>IF(A1079="","",YEAR(A1079))</f>
        <v>2026</v>
      </c>
      <c r="N1079" s="26" t="str">
        <f>IF(A1079="","",CHOOSE(WEEKDAY(A1079,2),"Segunda","Terça","Quarta","Quinta","Sexta","Sábado","Domingo"))</f>
        <v>Quinta</v>
      </c>
      <c r="O1079" s="26" t="str">
        <f>IF(B1079="","",IF(B1079&lt;TIME(12,0,0),"Manhã",IF(B1079&lt;TIME(18,0,0),"Tarde","Noite")))</f>
        <v>Tarde</v>
      </c>
      <c r="P1079" s="32">
        <f>IF(G1079="","",IFERROR(INDEX(Config!$I$5:$I$16,MATCH(G1079,Config!$H$5:$H$16,0)),0))</f>
        <v>0</v>
      </c>
      <c r="Q1079" s="30">
        <f>IF(OR(H1079&lt;&gt;"Realizado",P1079="",P1079=0),"",A1079+P1079)</f>
        <v/>
      </c>
      <c r="R1079" s="26">
        <f>IF(Q1079="","",IF(COUNTIFS($E$5:$E$3004,E1079,$A$5:$A$3004,"&gt;"&amp;A1079,$H$5:$H$3004,"&lt;&gt;Falta",$H$5:$H$3004,"&lt;&gt;Cancelado",$H$5:$H$3004,"&lt;&gt;Remarcado")&gt;0,"Sim","Não"))</f>
        <v/>
      </c>
      <c r="S1079" s="32">
        <f>IF(R1079&lt;&gt;"Não","",IF(Q1079+Config!$B$9&lt;=Config!$B$8,Config!$B$8-Q1079,""))</f>
        <v/>
      </c>
      <c r="T1079" s="26">
        <f>IF(S1079="","","Sim")</f>
        <v/>
      </c>
      <c r="U1079" s="41">
        <f>IF(T1079="Sim",S1079+ROW()/100000,0)</f>
        <v>0</v>
      </c>
      <c r="V1079" s="41">
        <f>IF(AND(H1079="Falta",L1079=Config!$B$7,M1079=Config!$B$5,COUNTIFS($E$5:E1079,E1079,$H$5:H1079,"Falta",$L$5:L1079,Config!$B$7,$M$5:M1079,Config!$B$5)=1),COUNTIFS($E$5:$E$3004,E1079,$H$5:$H$3004,"Falta",$L$5:$L$3004,Config!$B$7,$M$5:$M$3004,Config!$B$5)*1000-ROW()/100000,0)</f>
        <v>0</v>
      </c>
    </row>
    <row r="1080">
      <c r="A1080" s="39" t="n">
        <v>46282</v>
      </c>
      <c r="B1080" s="40" t="n">
        <v>0.6736111111111112</v>
      </c>
      <c r="C1080" s="35" t="inlineStr">
        <is>
          <t>Dr. Paulo Andrade</t>
        </is>
      </c>
      <c r="D1080" s="35" t="inlineStr">
        <is>
          <t>Sala 2</t>
        </is>
      </c>
      <c r="E1080" s="34" t="inlineStr">
        <is>
          <t>Natália Martins</t>
        </is>
      </c>
      <c r="F1080" s="35" t="inlineStr">
        <is>
          <t>Particular</t>
        </is>
      </c>
      <c r="G1080" s="35" t="inlineStr">
        <is>
          <t>Consulta</t>
        </is>
      </c>
      <c r="H1080" s="35" t="inlineStr">
        <is>
          <t>Agendado</t>
        </is>
      </c>
      <c r="I1080" s="35" t="n"/>
      <c r="J1080" s="35" t="n"/>
      <c r="K1080" s="34" t="n"/>
      <c r="L1080" s="26">
        <f>IF(A1080="","",MONTH(A1080))</f>
        <v>9</v>
      </c>
      <c r="M1080" s="26">
        <f>IF(A1080="","",YEAR(A1080))</f>
        <v>2026</v>
      </c>
      <c r="N1080" s="26" t="str">
        <f>IF(A1080="","",CHOOSE(WEEKDAY(A1080,2),"Segunda","Terça","Quarta","Quinta","Sexta","Sábado","Domingo"))</f>
        <v>Quinta</v>
      </c>
      <c r="O1080" s="26" t="str">
        <f>IF(B1080="","",IF(B1080&lt;TIME(12,0,0),"Manhã",IF(B1080&lt;TIME(18,0,0),"Tarde","Noite")))</f>
        <v>Tarde</v>
      </c>
      <c r="P1080" s="32">
        <f>IF(G1080="","",IFERROR(INDEX(Config!$I$5:$I$16,MATCH(G1080,Config!$H$5:$H$16,0)),0))</f>
        <v>30</v>
      </c>
      <c r="Q1080" s="30">
        <f>IF(OR(H1080&lt;&gt;"Realizado",P1080="",P1080=0),"",A1080+P1080)</f>
        <v/>
      </c>
      <c r="R1080" s="26">
        <f>IF(Q1080="","",IF(COUNTIFS($E$5:$E$3004,E1080,$A$5:$A$3004,"&gt;"&amp;A1080,$H$5:$H$3004,"&lt;&gt;Falta",$H$5:$H$3004,"&lt;&gt;Cancelado",$H$5:$H$3004,"&lt;&gt;Remarcado")&gt;0,"Sim","Não"))</f>
        <v/>
      </c>
      <c r="S1080" s="32">
        <f>IF(R1080&lt;&gt;"Não","",IF(Q1080+Config!$B$9&lt;=Config!$B$8,Config!$B$8-Q1080,""))</f>
        <v/>
      </c>
      <c r="T1080" s="26">
        <f>IF(S1080="","","Sim")</f>
        <v/>
      </c>
      <c r="U1080" s="41">
        <f>IF(T1080="Sim",S1080+ROW()/100000,0)</f>
        <v>0</v>
      </c>
      <c r="V1080" s="41">
        <f>IF(AND(H1080="Falta",L1080=Config!$B$7,M1080=Config!$B$5,COUNTIFS($E$5:E1080,E1080,$H$5:H1080,"Falta",$L$5:L1080,Config!$B$7,$M$5:M1080,Config!$B$5)=1),COUNTIFS($E$5:$E$3004,E1080,$H$5:$H$3004,"Falta",$L$5:$L$3004,Config!$B$7,$M$5:$M$3004,Config!$B$5)*1000-ROW()/100000,0)</f>
        <v>0</v>
      </c>
    </row>
    <row r="1081">
      <c r="A1081" s="39" t="n">
        <v>46282</v>
      </c>
      <c r="B1081" s="40" t="n">
        <v>0.6875</v>
      </c>
      <c r="C1081" s="35" t="inlineStr">
        <is>
          <t>Dra. Renata Sousa</t>
        </is>
      </c>
      <c r="D1081" s="35" t="inlineStr">
        <is>
          <t>Sala 1</t>
        </is>
      </c>
      <c r="E1081" s="34" t="inlineStr">
        <is>
          <t>Tatiana Macedo</t>
        </is>
      </c>
      <c r="F1081" s="35" t="inlineStr">
        <is>
          <t>Particular</t>
        </is>
      </c>
      <c r="G1081" s="35" t="inlineStr">
        <is>
          <t>Avaliação endócrina</t>
        </is>
      </c>
      <c r="H1081" s="35" t="inlineStr">
        <is>
          <t>Agendado</t>
        </is>
      </c>
      <c r="I1081" s="35" t="n"/>
      <c r="J1081" s="35" t="n"/>
      <c r="K1081" s="34" t="n"/>
      <c r="L1081" s="26">
        <f>IF(A1081="","",MONTH(A1081))</f>
        <v>9</v>
      </c>
      <c r="M1081" s="26">
        <f>IF(A1081="","",YEAR(A1081))</f>
        <v>2026</v>
      </c>
      <c r="N1081" s="26" t="str">
        <f>IF(A1081="","",CHOOSE(WEEKDAY(A1081,2),"Segunda","Terça","Quarta","Quinta","Sexta","Sábado","Domingo"))</f>
        <v>Quinta</v>
      </c>
      <c r="O1081" s="26" t="str">
        <f>IF(B1081="","",IF(B1081&lt;TIME(12,0,0),"Manhã",IF(B1081&lt;TIME(18,0,0),"Tarde","Noite")))</f>
        <v>Tarde</v>
      </c>
      <c r="P1081" s="32">
        <f>IF(G1081="","",IFERROR(INDEX(Config!$I$5:$I$16,MATCH(G1081,Config!$H$5:$H$16,0)),0))</f>
        <v>45</v>
      </c>
      <c r="Q1081" s="30">
        <f>IF(OR(H1081&lt;&gt;"Realizado",P1081="",P1081=0),"",A1081+P1081)</f>
        <v/>
      </c>
      <c r="R1081" s="26">
        <f>IF(Q1081="","",IF(COUNTIFS($E$5:$E$3004,E1081,$A$5:$A$3004,"&gt;"&amp;A1081,$H$5:$H$3004,"&lt;&gt;Falta",$H$5:$H$3004,"&lt;&gt;Cancelado",$H$5:$H$3004,"&lt;&gt;Remarcado")&gt;0,"Sim","Não"))</f>
        <v/>
      </c>
      <c r="S1081" s="32">
        <f>IF(R1081&lt;&gt;"Não","",IF(Q1081+Config!$B$9&lt;=Config!$B$8,Config!$B$8-Q1081,""))</f>
        <v/>
      </c>
      <c r="T1081" s="26">
        <f>IF(S1081="","","Sim")</f>
        <v/>
      </c>
      <c r="U1081" s="41">
        <f>IF(T1081="Sim",S1081+ROW()/100000,0)</f>
        <v>0</v>
      </c>
      <c r="V1081" s="41">
        <f>IF(AND(H1081="Falta",L1081=Config!$B$7,M1081=Config!$B$5,COUNTIFS($E$5:E1081,E1081,$H$5:H1081,"Falta",$L$5:L1081,Config!$B$7,$M$5:M1081,Config!$B$5)=1),COUNTIFS($E$5:$E$3004,E1081,$H$5:$H$3004,"Falta",$L$5:$L$3004,Config!$B$7,$M$5:$M$3004,Config!$B$5)*1000-ROW()/100000,0)</f>
        <v>0</v>
      </c>
    </row>
    <row r="1082">
      <c r="A1082" s="39" t="n">
        <v>46282</v>
      </c>
      <c r="B1082" s="40" t="n">
        <v>0.7152777777777778</v>
      </c>
      <c r="C1082" s="35" t="inlineStr">
        <is>
          <t>Dra. Renata Sousa</t>
        </is>
      </c>
      <c r="D1082" s="35" t="inlineStr">
        <is>
          <t>Sala 1</t>
        </is>
      </c>
      <c r="E1082" s="34" t="inlineStr">
        <is>
          <t>Cláudia Melo</t>
        </is>
      </c>
      <c r="F1082" s="35" t="inlineStr">
        <is>
          <t>Particular</t>
        </is>
      </c>
      <c r="G1082" s="35" t="inlineStr">
        <is>
          <t>Avaliação endócrina</t>
        </is>
      </c>
      <c r="H1082" s="35" t="inlineStr">
        <is>
          <t>Agendado</t>
        </is>
      </c>
      <c r="I1082" s="35" t="n"/>
      <c r="J1082" s="35" t="n"/>
      <c r="K1082" s="34" t="n"/>
      <c r="L1082" s="26">
        <f>IF(A1082="","",MONTH(A1082))</f>
        <v>9</v>
      </c>
      <c r="M1082" s="26">
        <f>IF(A1082="","",YEAR(A1082))</f>
        <v>2026</v>
      </c>
      <c r="N1082" s="26" t="str">
        <f>IF(A1082="","",CHOOSE(WEEKDAY(A1082,2),"Segunda","Terça","Quarta","Quinta","Sexta","Sábado","Domingo"))</f>
        <v>Quinta</v>
      </c>
      <c r="O1082" s="26" t="str">
        <f>IF(B1082="","",IF(B1082&lt;TIME(12,0,0),"Manhã",IF(B1082&lt;TIME(18,0,0),"Tarde","Noite")))</f>
        <v>Tarde</v>
      </c>
      <c r="P1082" s="32">
        <f>IF(G1082="","",IFERROR(INDEX(Config!$I$5:$I$16,MATCH(G1082,Config!$H$5:$H$16,0)),0))</f>
        <v>45</v>
      </c>
      <c r="Q1082" s="30">
        <f>IF(OR(H1082&lt;&gt;"Realizado",P1082="",P1082=0),"",A1082+P1082)</f>
        <v/>
      </c>
      <c r="R1082" s="26">
        <f>IF(Q1082="","",IF(COUNTIFS($E$5:$E$3004,E1082,$A$5:$A$3004,"&gt;"&amp;A1082,$H$5:$H$3004,"&lt;&gt;Falta",$H$5:$H$3004,"&lt;&gt;Cancelado",$H$5:$H$3004,"&lt;&gt;Remarcado")&gt;0,"Sim","Não"))</f>
        <v/>
      </c>
      <c r="S1082" s="32">
        <f>IF(R1082&lt;&gt;"Não","",IF(Q1082+Config!$B$9&lt;=Config!$B$8,Config!$B$8-Q1082,""))</f>
        <v/>
      </c>
      <c r="T1082" s="26">
        <f>IF(S1082="","","Sim")</f>
        <v/>
      </c>
      <c r="U1082" s="41">
        <f>IF(T1082="Sim",S1082+ROW()/100000,0)</f>
        <v>0</v>
      </c>
      <c r="V1082" s="41">
        <f>IF(AND(H1082="Falta",L1082=Config!$B$7,M1082=Config!$B$5,COUNTIFS($E$5:E1082,E1082,$H$5:H1082,"Falta",$L$5:L1082,Config!$B$7,$M$5:M1082,Config!$B$5)=1),COUNTIFS($E$5:$E$3004,E1082,$H$5:$H$3004,"Falta",$L$5:$L$3004,Config!$B$7,$M$5:$M$3004,Config!$B$5)*1000-ROW()/100000,0)</f>
        <v>0</v>
      </c>
    </row>
    <row r="1083">
      <c r="A1083" s="39" t="n">
        <v>46282</v>
      </c>
      <c r="B1083" s="40" t="n">
        <v>0.7152777777777778</v>
      </c>
      <c r="C1083" s="35" t="inlineStr">
        <is>
          <t>Dr. Paulo Andrade</t>
        </is>
      </c>
      <c r="D1083" s="35" t="inlineStr">
        <is>
          <t>Sala 2</t>
        </is>
      </c>
      <c r="E1083" s="34" t="inlineStr">
        <is>
          <t>Vinícius Cardoso</t>
        </is>
      </c>
      <c r="F1083" s="35" t="inlineStr">
        <is>
          <t>MediPlan</t>
        </is>
      </c>
      <c r="G1083" s="35" t="inlineStr">
        <is>
          <t>Consulta</t>
        </is>
      </c>
      <c r="H1083" s="35" t="inlineStr">
        <is>
          <t>Agendado</t>
        </is>
      </c>
      <c r="I1083" s="35" t="n"/>
      <c r="J1083" s="35" t="n"/>
      <c r="K1083" s="34" t="n"/>
      <c r="L1083" s="26">
        <f>IF(A1083="","",MONTH(A1083))</f>
        <v>9</v>
      </c>
      <c r="M1083" s="26">
        <f>IF(A1083="","",YEAR(A1083))</f>
        <v>2026</v>
      </c>
      <c r="N1083" s="26" t="str">
        <f>IF(A1083="","",CHOOSE(WEEKDAY(A1083,2),"Segunda","Terça","Quarta","Quinta","Sexta","Sábado","Domingo"))</f>
        <v>Quinta</v>
      </c>
      <c r="O1083" s="26" t="str">
        <f>IF(B1083="","",IF(B1083&lt;TIME(12,0,0),"Manhã",IF(B1083&lt;TIME(18,0,0),"Tarde","Noite")))</f>
        <v>Tarde</v>
      </c>
      <c r="P1083" s="32">
        <f>IF(G1083="","",IFERROR(INDEX(Config!$I$5:$I$16,MATCH(G1083,Config!$H$5:$H$16,0)),0))</f>
        <v>30</v>
      </c>
      <c r="Q1083" s="30">
        <f>IF(OR(H1083&lt;&gt;"Realizado",P1083="",P1083=0),"",A1083+P1083)</f>
        <v/>
      </c>
      <c r="R1083" s="26">
        <f>IF(Q1083="","",IF(COUNTIFS($E$5:$E$3004,E1083,$A$5:$A$3004,"&gt;"&amp;A1083,$H$5:$H$3004,"&lt;&gt;Falta",$H$5:$H$3004,"&lt;&gt;Cancelado",$H$5:$H$3004,"&lt;&gt;Remarcado")&gt;0,"Sim","Não"))</f>
        <v/>
      </c>
      <c r="S1083" s="32">
        <f>IF(R1083&lt;&gt;"Não","",IF(Q1083+Config!$B$9&lt;=Config!$B$8,Config!$B$8-Q1083,""))</f>
        <v/>
      </c>
      <c r="T1083" s="26">
        <f>IF(S1083="","","Sim")</f>
        <v/>
      </c>
      <c r="U1083" s="41">
        <f>IF(T1083="Sim",S1083+ROW()/100000,0)</f>
        <v>0</v>
      </c>
      <c r="V1083" s="41">
        <f>IF(AND(H1083="Falta",L1083=Config!$B$7,M1083=Config!$B$5,COUNTIFS($E$5:E1083,E1083,$H$5:H1083,"Falta",$L$5:L1083,Config!$B$7,$M$5:M1083,Config!$B$5)=1),COUNTIFS($E$5:$E$3004,E1083,$H$5:$H$3004,"Falta",$L$5:$L$3004,Config!$B$7,$M$5:$M$3004,Config!$B$5)*1000-ROW()/100000,0)</f>
        <v>0</v>
      </c>
    </row>
    <row r="1084">
      <c r="A1084" s="39" t="n">
        <v>46282</v>
      </c>
      <c r="B1084" s="40" t="n">
        <v>0.7361111111111112</v>
      </c>
      <c r="C1084" s="35" t="inlineStr">
        <is>
          <t>Dr. Paulo Andrade</t>
        </is>
      </c>
      <c r="D1084" s="35" t="inlineStr">
        <is>
          <t>Sala 2</t>
        </is>
      </c>
      <c r="E1084" s="34" t="inlineStr">
        <is>
          <t>Paulo Reis</t>
        </is>
      </c>
      <c r="F1084" s="35" t="inlineStr">
        <is>
          <t>Particular</t>
        </is>
      </c>
      <c r="G1084" s="35" t="inlineStr">
        <is>
          <t>Holter</t>
        </is>
      </c>
      <c r="H1084" s="35" t="inlineStr">
        <is>
          <t>Agendado</t>
        </is>
      </c>
      <c r="I1084" s="35" t="n"/>
      <c r="J1084" s="35" t="n"/>
      <c r="K1084" s="34" t="n"/>
      <c r="L1084" s="26">
        <f>IF(A1084="","",MONTH(A1084))</f>
        <v>9</v>
      </c>
      <c r="M1084" s="26">
        <f>IF(A1084="","",YEAR(A1084))</f>
        <v>2026</v>
      </c>
      <c r="N1084" s="26" t="str">
        <f>IF(A1084="","",CHOOSE(WEEKDAY(A1084,2),"Segunda","Terça","Quarta","Quinta","Sexta","Sábado","Domingo"))</f>
        <v>Quinta</v>
      </c>
      <c r="O1084" s="26" t="str">
        <f>IF(B1084="","",IF(B1084&lt;TIME(12,0,0),"Manhã",IF(B1084&lt;TIME(18,0,0),"Tarde","Noite")))</f>
        <v>Tarde</v>
      </c>
      <c r="P1084" s="32">
        <f>IF(G1084="","",IFERROR(INDEX(Config!$I$5:$I$16,MATCH(G1084,Config!$H$5:$H$16,0)),0))</f>
        <v>0</v>
      </c>
      <c r="Q1084" s="30">
        <f>IF(OR(H1084&lt;&gt;"Realizado",P1084="",P1084=0),"",A1084+P1084)</f>
        <v/>
      </c>
      <c r="R1084" s="26">
        <f>IF(Q1084="","",IF(COUNTIFS($E$5:$E$3004,E1084,$A$5:$A$3004,"&gt;"&amp;A1084,$H$5:$H$3004,"&lt;&gt;Falta",$H$5:$H$3004,"&lt;&gt;Cancelado",$H$5:$H$3004,"&lt;&gt;Remarcado")&gt;0,"Sim","Não"))</f>
        <v/>
      </c>
      <c r="S1084" s="32">
        <f>IF(R1084&lt;&gt;"Não","",IF(Q1084+Config!$B$9&lt;=Config!$B$8,Config!$B$8-Q1084,""))</f>
        <v/>
      </c>
      <c r="T1084" s="26">
        <f>IF(S1084="","","Sim")</f>
        <v/>
      </c>
      <c r="U1084" s="41">
        <f>IF(T1084="Sim",S1084+ROW()/100000,0)</f>
        <v>0</v>
      </c>
      <c r="V1084" s="41">
        <f>IF(AND(H1084="Falta",L1084=Config!$B$7,M1084=Config!$B$5,COUNTIFS($E$5:E1084,E1084,$H$5:H1084,"Falta",$L$5:L1084,Config!$B$7,$M$5:M1084,Config!$B$5)=1),COUNTIFS($E$5:$E$3004,E1084,$H$5:$H$3004,"Falta",$L$5:$L$3004,Config!$B$7,$M$5:$M$3004,Config!$B$5)*1000-ROW()/100000,0)</f>
        <v>0</v>
      </c>
    </row>
    <row r="1085">
      <c r="A1085" s="39" t="n">
        <v>46283</v>
      </c>
      <c r="B1085" s="40" t="n">
        <v>0.3333333333333333</v>
      </c>
      <c r="C1085" s="35" t="inlineStr">
        <is>
          <t>Dr. Paulo Andrade</t>
        </is>
      </c>
      <c r="D1085" s="35" t="inlineStr">
        <is>
          <t>Sala 2</t>
        </is>
      </c>
      <c r="E1085" s="34" t="inlineStr">
        <is>
          <t>Vanessa Carvalho</t>
        </is>
      </c>
      <c r="F1085" s="35" t="inlineStr">
        <is>
          <t>Saúde Total</t>
        </is>
      </c>
      <c r="G1085" s="35" t="inlineStr">
        <is>
          <t>Retorno</t>
        </is>
      </c>
      <c r="H1085" s="35" t="inlineStr">
        <is>
          <t>Agendado</t>
        </is>
      </c>
      <c r="I1085" s="35" t="n"/>
      <c r="J1085" s="35" t="n"/>
      <c r="K1085" s="34" t="n"/>
      <c r="L1085" s="26">
        <f>IF(A1085="","",MONTH(A1085))</f>
        <v>9</v>
      </c>
      <c r="M1085" s="26">
        <f>IF(A1085="","",YEAR(A1085))</f>
        <v>2026</v>
      </c>
      <c r="N1085" s="26" t="str">
        <f>IF(A1085="","",CHOOSE(WEEKDAY(A1085,2),"Segunda","Terça","Quarta","Quinta","Sexta","Sábado","Domingo"))</f>
        <v>Sexta</v>
      </c>
      <c r="O1085" s="26" t="str">
        <f>IF(B1085="","",IF(B1085&lt;TIME(12,0,0),"Manhã",IF(B1085&lt;TIME(18,0,0),"Tarde","Noite")))</f>
        <v>Manhã</v>
      </c>
      <c r="P1085" s="32">
        <f>IF(G1085="","",IFERROR(INDEX(Config!$I$5:$I$16,MATCH(G1085,Config!$H$5:$H$16,0)),0))</f>
        <v>0</v>
      </c>
      <c r="Q1085" s="30">
        <f>IF(OR(H1085&lt;&gt;"Realizado",P1085="",P1085=0),"",A1085+P1085)</f>
        <v/>
      </c>
      <c r="R1085" s="26">
        <f>IF(Q1085="","",IF(COUNTIFS($E$5:$E$3004,E1085,$A$5:$A$3004,"&gt;"&amp;A1085,$H$5:$H$3004,"&lt;&gt;Falta",$H$5:$H$3004,"&lt;&gt;Cancelado",$H$5:$H$3004,"&lt;&gt;Remarcado")&gt;0,"Sim","Não"))</f>
        <v/>
      </c>
      <c r="S1085" s="32">
        <f>IF(R1085&lt;&gt;"Não","",IF(Q1085+Config!$B$9&lt;=Config!$B$8,Config!$B$8-Q1085,""))</f>
        <v/>
      </c>
      <c r="T1085" s="26">
        <f>IF(S1085="","","Sim")</f>
        <v/>
      </c>
      <c r="U1085" s="41">
        <f>IF(T1085="Sim",S1085+ROW()/100000,0)</f>
        <v>0</v>
      </c>
      <c r="V1085" s="41">
        <f>IF(AND(H1085="Falta",L1085=Config!$B$7,M1085=Config!$B$5,COUNTIFS($E$5:E1085,E1085,$H$5:H1085,"Falta",$L$5:L1085,Config!$B$7,$M$5:M1085,Config!$B$5)=1),COUNTIFS($E$5:$E$3004,E1085,$H$5:$H$3004,"Falta",$L$5:$L$3004,Config!$B$7,$M$5:$M$3004,Config!$B$5)*1000-ROW()/100000,0)</f>
        <v>0</v>
      </c>
    </row>
    <row r="1086">
      <c r="A1086" s="39" t="n">
        <v>46283</v>
      </c>
      <c r="B1086" s="40" t="n">
        <v>0.3472222222222222</v>
      </c>
      <c r="C1086" s="35" t="inlineStr">
        <is>
          <t>Dr. Paulo Andrade</t>
        </is>
      </c>
      <c r="D1086" s="35" t="inlineStr">
        <is>
          <t>Sala 2</t>
        </is>
      </c>
      <c r="E1086" s="34" t="inlineStr">
        <is>
          <t>Helena Ribeiro</t>
        </is>
      </c>
      <c r="F1086" s="35" t="inlineStr">
        <is>
          <t>MediPlan</t>
        </is>
      </c>
      <c r="G1086" s="35" t="inlineStr">
        <is>
          <t>ECG</t>
        </is>
      </c>
      <c r="H1086" s="35" t="inlineStr">
        <is>
          <t>Agendado</t>
        </is>
      </c>
      <c r="I1086" s="35" t="n"/>
      <c r="J1086" s="35" t="n"/>
      <c r="K1086" s="34" t="n"/>
      <c r="L1086" s="26">
        <f>IF(A1086="","",MONTH(A1086))</f>
        <v>9</v>
      </c>
      <c r="M1086" s="26">
        <f>IF(A1086="","",YEAR(A1086))</f>
        <v>2026</v>
      </c>
      <c r="N1086" s="26" t="str">
        <f>IF(A1086="","",CHOOSE(WEEKDAY(A1086,2),"Segunda","Terça","Quarta","Quinta","Sexta","Sábado","Domingo"))</f>
        <v>Sexta</v>
      </c>
      <c r="O1086" s="26" t="str">
        <f>IF(B1086="","",IF(B1086&lt;TIME(12,0,0),"Manhã",IF(B1086&lt;TIME(18,0,0),"Tarde","Noite")))</f>
        <v>Manhã</v>
      </c>
      <c r="P1086" s="32">
        <f>IF(G1086="","",IFERROR(INDEX(Config!$I$5:$I$16,MATCH(G1086,Config!$H$5:$H$16,0)),0))</f>
        <v>0</v>
      </c>
      <c r="Q1086" s="30">
        <f>IF(OR(H1086&lt;&gt;"Realizado",P1086="",P1086=0),"",A1086+P1086)</f>
        <v/>
      </c>
      <c r="R1086" s="26">
        <f>IF(Q1086="","",IF(COUNTIFS($E$5:$E$3004,E1086,$A$5:$A$3004,"&gt;"&amp;A1086,$H$5:$H$3004,"&lt;&gt;Falta",$H$5:$H$3004,"&lt;&gt;Cancelado",$H$5:$H$3004,"&lt;&gt;Remarcado")&gt;0,"Sim","Não"))</f>
        <v/>
      </c>
      <c r="S1086" s="32">
        <f>IF(R1086&lt;&gt;"Não","",IF(Q1086+Config!$B$9&lt;=Config!$B$8,Config!$B$8-Q1086,""))</f>
        <v/>
      </c>
      <c r="T1086" s="26">
        <f>IF(S1086="","","Sim")</f>
        <v/>
      </c>
      <c r="U1086" s="41">
        <f>IF(T1086="Sim",S1086+ROW()/100000,0)</f>
        <v>0</v>
      </c>
      <c r="V1086" s="41">
        <f>IF(AND(H1086="Falta",L1086=Config!$B$7,M1086=Config!$B$5,COUNTIFS($E$5:E1086,E1086,$H$5:H1086,"Falta",$L$5:L1086,Config!$B$7,$M$5:M1086,Config!$B$5)=1),COUNTIFS($E$5:$E$3004,E1086,$H$5:$H$3004,"Falta",$L$5:$L$3004,Config!$B$7,$M$5:$M$3004,Config!$B$5)*1000-ROW()/100000,0)</f>
        <v>0</v>
      </c>
    </row>
    <row r="1087">
      <c r="A1087" s="39" t="n">
        <v>46283</v>
      </c>
      <c r="B1087" s="40" t="n">
        <v>0.3611111111111111</v>
      </c>
      <c r="C1087" s="35" t="inlineStr">
        <is>
          <t>Dr. Paulo Andrade</t>
        </is>
      </c>
      <c r="D1087" s="35" t="inlineStr">
        <is>
          <t>Sala 2</t>
        </is>
      </c>
      <c r="E1087" s="34" t="inlineStr">
        <is>
          <t>Daniel Almeida</t>
        </is>
      </c>
      <c r="F1087" s="35" t="inlineStr">
        <is>
          <t>Saúde Total</t>
        </is>
      </c>
      <c r="G1087" s="35" t="inlineStr">
        <is>
          <t>ECG</t>
        </is>
      </c>
      <c r="H1087" s="35" t="inlineStr">
        <is>
          <t>Agendado</t>
        </is>
      </c>
      <c r="I1087" s="35" t="n"/>
      <c r="J1087" s="35" t="n"/>
      <c r="K1087" s="34" t="n"/>
      <c r="L1087" s="26">
        <f>IF(A1087="","",MONTH(A1087))</f>
        <v>9</v>
      </c>
      <c r="M1087" s="26">
        <f>IF(A1087="","",YEAR(A1087))</f>
        <v>2026</v>
      </c>
      <c r="N1087" s="26" t="str">
        <f>IF(A1087="","",CHOOSE(WEEKDAY(A1087,2),"Segunda","Terça","Quarta","Quinta","Sexta","Sábado","Domingo"))</f>
        <v>Sexta</v>
      </c>
      <c r="O1087" s="26" t="str">
        <f>IF(B1087="","",IF(B1087&lt;TIME(12,0,0),"Manhã",IF(B1087&lt;TIME(18,0,0),"Tarde","Noite")))</f>
        <v>Manhã</v>
      </c>
      <c r="P1087" s="32">
        <f>IF(G1087="","",IFERROR(INDEX(Config!$I$5:$I$16,MATCH(G1087,Config!$H$5:$H$16,0)),0))</f>
        <v>0</v>
      </c>
      <c r="Q1087" s="30">
        <f>IF(OR(H1087&lt;&gt;"Realizado",P1087="",P1087=0),"",A1087+P1087)</f>
        <v/>
      </c>
      <c r="R1087" s="26">
        <f>IF(Q1087="","",IF(COUNTIFS($E$5:$E$3004,E1087,$A$5:$A$3004,"&gt;"&amp;A1087,$H$5:$H$3004,"&lt;&gt;Falta",$H$5:$H$3004,"&lt;&gt;Cancelado",$H$5:$H$3004,"&lt;&gt;Remarcado")&gt;0,"Sim","Não"))</f>
        <v/>
      </c>
      <c r="S1087" s="32">
        <f>IF(R1087&lt;&gt;"Não","",IF(Q1087+Config!$B$9&lt;=Config!$B$8,Config!$B$8-Q1087,""))</f>
        <v/>
      </c>
      <c r="T1087" s="26">
        <f>IF(S1087="","","Sim")</f>
        <v/>
      </c>
      <c r="U1087" s="41">
        <f>IF(T1087="Sim",S1087+ROW()/100000,0)</f>
        <v>0</v>
      </c>
      <c r="V1087" s="41">
        <f>IF(AND(H1087="Falta",L1087=Config!$B$7,M1087=Config!$B$5,COUNTIFS($E$5:E1087,E1087,$H$5:H1087,"Falta",$L$5:L1087,Config!$B$7,$M$5:M1087,Config!$B$5)=1),COUNTIFS($E$5:$E$3004,E1087,$H$5:$H$3004,"Falta",$L$5:$L$3004,Config!$B$7,$M$5:$M$3004,Config!$B$5)*1000-ROW()/100000,0)</f>
        <v>0</v>
      </c>
    </row>
    <row r="1088">
      <c r="A1088" s="39" t="n">
        <v>46283</v>
      </c>
      <c r="B1088" s="40" t="n">
        <v>0.3958333333333333</v>
      </c>
      <c r="C1088" s="35" t="inlineStr">
        <is>
          <t>Dr. Paulo Andrade</t>
        </is>
      </c>
      <c r="D1088" s="35" t="inlineStr">
        <is>
          <t>Sala 2</t>
        </is>
      </c>
      <c r="E1088" s="34" t="inlineStr">
        <is>
          <t>Leandro Cardoso</t>
        </is>
      </c>
      <c r="F1088" s="35" t="inlineStr">
        <is>
          <t>MediPlan</t>
        </is>
      </c>
      <c r="G1088" s="35" t="inlineStr">
        <is>
          <t>Retorno</t>
        </is>
      </c>
      <c r="H1088" s="35" t="inlineStr">
        <is>
          <t>Agendado</t>
        </is>
      </c>
      <c r="I1088" s="35" t="n"/>
      <c r="J1088" s="35" t="n"/>
      <c r="K1088" s="34" t="n"/>
      <c r="L1088" s="26">
        <f>IF(A1088="","",MONTH(A1088))</f>
        <v>9</v>
      </c>
      <c r="M1088" s="26">
        <f>IF(A1088="","",YEAR(A1088))</f>
        <v>2026</v>
      </c>
      <c r="N1088" s="26" t="str">
        <f>IF(A1088="","",CHOOSE(WEEKDAY(A1088,2),"Segunda","Terça","Quarta","Quinta","Sexta","Sábado","Domingo"))</f>
        <v>Sexta</v>
      </c>
      <c r="O1088" s="26" t="str">
        <f>IF(B1088="","",IF(B1088&lt;TIME(12,0,0),"Manhã",IF(B1088&lt;TIME(18,0,0),"Tarde","Noite")))</f>
        <v>Manhã</v>
      </c>
      <c r="P1088" s="32">
        <f>IF(G1088="","",IFERROR(INDEX(Config!$I$5:$I$16,MATCH(G1088,Config!$H$5:$H$16,0)),0))</f>
        <v>0</v>
      </c>
      <c r="Q1088" s="30">
        <f>IF(OR(H1088&lt;&gt;"Realizado",P1088="",P1088=0),"",A1088+P1088)</f>
        <v/>
      </c>
      <c r="R1088" s="26">
        <f>IF(Q1088="","",IF(COUNTIFS($E$5:$E$3004,E1088,$A$5:$A$3004,"&gt;"&amp;A1088,$H$5:$H$3004,"&lt;&gt;Falta",$H$5:$H$3004,"&lt;&gt;Cancelado",$H$5:$H$3004,"&lt;&gt;Remarcado")&gt;0,"Sim","Não"))</f>
        <v/>
      </c>
      <c r="S1088" s="32">
        <f>IF(R1088&lt;&gt;"Não","",IF(Q1088+Config!$B$9&lt;=Config!$B$8,Config!$B$8-Q1088,""))</f>
        <v/>
      </c>
      <c r="T1088" s="26">
        <f>IF(S1088="","","Sim")</f>
        <v/>
      </c>
      <c r="U1088" s="41">
        <f>IF(T1088="Sim",S1088+ROW()/100000,0)</f>
        <v>0</v>
      </c>
      <c r="V1088" s="41">
        <f>IF(AND(H1088="Falta",L1088=Config!$B$7,M1088=Config!$B$5,COUNTIFS($E$5:E1088,E1088,$H$5:H1088,"Falta",$L$5:L1088,Config!$B$7,$M$5:M1088,Config!$B$5)=1),COUNTIFS($E$5:$E$3004,E1088,$H$5:$H$3004,"Falta",$L$5:$L$3004,Config!$B$7,$M$5:$M$3004,Config!$B$5)*1000-ROW()/100000,0)</f>
        <v>0</v>
      </c>
    </row>
    <row r="1089">
      <c r="A1089" s="39" t="n">
        <v>46283</v>
      </c>
      <c r="B1089" s="40" t="n">
        <v>0.4097222222222222</v>
      </c>
      <c r="C1089" s="35" t="inlineStr">
        <is>
          <t>Dr. Paulo Andrade</t>
        </is>
      </c>
      <c r="D1089" s="35" t="inlineStr">
        <is>
          <t>Sala 2</t>
        </is>
      </c>
      <c r="E1089" s="34" t="inlineStr">
        <is>
          <t>Patrícia Fernandes</t>
        </is>
      </c>
      <c r="F1089" s="35" t="inlineStr">
        <is>
          <t>Particular</t>
        </is>
      </c>
      <c r="G1089" s="35" t="inlineStr">
        <is>
          <t>ECG</t>
        </is>
      </c>
      <c r="H1089" s="35" t="inlineStr">
        <is>
          <t>Agendado</t>
        </is>
      </c>
      <c r="I1089" s="35" t="n"/>
      <c r="J1089" s="35" t="n"/>
      <c r="K1089" s="34" t="n"/>
      <c r="L1089" s="26">
        <f>IF(A1089="","",MONTH(A1089))</f>
        <v>9</v>
      </c>
      <c r="M1089" s="26">
        <f>IF(A1089="","",YEAR(A1089))</f>
        <v>2026</v>
      </c>
      <c r="N1089" s="26" t="str">
        <f>IF(A1089="","",CHOOSE(WEEKDAY(A1089,2),"Segunda","Terça","Quarta","Quinta","Sexta","Sábado","Domingo"))</f>
        <v>Sexta</v>
      </c>
      <c r="O1089" s="26" t="str">
        <f>IF(B1089="","",IF(B1089&lt;TIME(12,0,0),"Manhã",IF(B1089&lt;TIME(18,0,0),"Tarde","Noite")))</f>
        <v>Manhã</v>
      </c>
      <c r="P1089" s="32">
        <f>IF(G1089="","",IFERROR(INDEX(Config!$I$5:$I$16,MATCH(G1089,Config!$H$5:$H$16,0)),0))</f>
        <v>0</v>
      </c>
      <c r="Q1089" s="30">
        <f>IF(OR(H1089&lt;&gt;"Realizado",P1089="",P1089=0),"",A1089+P1089)</f>
        <v/>
      </c>
      <c r="R1089" s="26">
        <f>IF(Q1089="","",IF(COUNTIFS($E$5:$E$3004,E1089,$A$5:$A$3004,"&gt;"&amp;A1089,$H$5:$H$3004,"&lt;&gt;Falta",$H$5:$H$3004,"&lt;&gt;Cancelado",$H$5:$H$3004,"&lt;&gt;Remarcado")&gt;0,"Sim","Não"))</f>
        <v/>
      </c>
      <c r="S1089" s="32">
        <f>IF(R1089&lt;&gt;"Não","",IF(Q1089+Config!$B$9&lt;=Config!$B$8,Config!$B$8-Q1089,""))</f>
        <v/>
      </c>
      <c r="T1089" s="26">
        <f>IF(S1089="","","Sim")</f>
        <v/>
      </c>
      <c r="U1089" s="41">
        <f>IF(T1089="Sim",S1089+ROW()/100000,0)</f>
        <v>0</v>
      </c>
      <c r="V1089" s="41">
        <f>IF(AND(H1089="Falta",L1089=Config!$B$7,M1089=Config!$B$5,COUNTIFS($E$5:E1089,E1089,$H$5:H1089,"Falta",$L$5:L1089,Config!$B$7,$M$5:M1089,Config!$B$5)=1),COUNTIFS($E$5:$E$3004,E1089,$H$5:$H$3004,"Falta",$L$5:$L$3004,Config!$B$7,$M$5:$M$3004,Config!$B$5)*1000-ROW()/100000,0)</f>
        <v>0</v>
      </c>
    </row>
    <row r="1090">
      <c r="A1090" s="39" t="n">
        <v>46283</v>
      </c>
      <c r="B1090" s="40" t="n">
        <v>0.4236111111111111</v>
      </c>
      <c r="C1090" s="35" t="inlineStr">
        <is>
          <t>Dr. Paulo Andrade</t>
        </is>
      </c>
      <c r="D1090" s="35" t="inlineStr">
        <is>
          <t>Sala 2</t>
        </is>
      </c>
      <c r="E1090" s="34" t="inlineStr">
        <is>
          <t>Regina Macedo</t>
        </is>
      </c>
      <c r="F1090" s="35" t="inlineStr">
        <is>
          <t>Particular</t>
        </is>
      </c>
      <c r="G1090" s="35" t="inlineStr">
        <is>
          <t>ECG</t>
        </is>
      </c>
      <c r="H1090" s="35" t="inlineStr">
        <is>
          <t>Agendado</t>
        </is>
      </c>
      <c r="I1090" s="35" t="n"/>
      <c r="J1090" s="35" t="n"/>
      <c r="K1090" s="34" t="n"/>
      <c r="L1090" s="26">
        <f>IF(A1090="","",MONTH(A1090))</f>
        <v>9</v>
      </c>
      <c r="M1090" s="26">
        <f>IF(A1090="","",YEAR(A1090))</f>
        <v>2026</v>
      </c>
      <c r="N1090" s="26" t="str">
        <f>IF(A1090="","",CHOOSE(WEEKDAY(A1090,2),"Segunda","Terça","Quarta","Quinta","Sexta","Sábado","Domingo"))</f>
        <v>Sexta</v>
      </c>
      <c r="O1090" s="26" t="str">
        <f>IF(B1090="","",IF(B1090&lt;TIME(12,0,0),"Manhã",IF(B1090&lt;TIME(18,0,0),"Tarde","Noite")))</f>
        <v>Manhã</v>
      </c>
      <c r="P1090" s="32">
        <f>IF(G1090="","",IFERROR(INDEX(Config!$I$5:$I$16,MATCH(G1090,Config!$H$5:$H$16,0)),0))</f>
        <v>0</v>
      </c>
      <c r="Q1090" s="30">
        <f>IF(OR(H1090&lt;&gt;"Realizado",P1090="",P1090=0),"",A1090+P1090)</f>
        <v/>
      </c>
      <c r="R1090" s="26">
        <f>IF(Q1090="","",IF(COUNTIFS($E$5:$E$3004,E1090,$A$5:$A$3004,"&gt;"&amp;A1090,$H$5:$H$3004,"&lt;&gt;Falta",$H$5:$H$3004,"&lt;&gt;Cancelado",$H$5:$H$3004,"&lt;&gt;Remarcado")&gt;0,"Sim","Não"))</f>
        <v/>
      </c>
      <c r="S1090" s="32">
        <f>IF(R1090&lt;&gt;"Não","",IF(Q1090+Config!$B$9&lt;=Config!$B$8,Config!$B$8-Q1090,""))</f>
        <v/>
      </c>
      <c r="T1090" s="26">
        <f>IF(S1090="","","Sim")</f>
        <v/>
      </c>
      <c r="U1090" s="41">
        <f>IF(T1090="Sim",S1090+ROW()/100000,0)</f>
        <v>0</v>
      </c>
      <c r="V1090" s="41">
        <f>IF(AND(H1090="Falta",L1090=Config!$B$7,M1090=Config!$B$5,COUNTIFS($E$5:E1090,E1090,$H$5:H1090,"Falta",$L$5:L1090,Config!$B$7,$M$5:M1090,Config!$B$5)=1),COUNTIFS($E$5:$E$3004,E1090,$H$5:$H$3004,"Falta",$L$5:$L$3004,Config!$B$7,$M$5:$M$3004,Config!$B$5)*1000-ROW()/100000,0)</f>
        <v>0</v>
      </c>
    </row>
    <row r="1091">
      <c r="A1091" s="39" t="n">
        <v>46283</v>
      </c>
      <c r="B1091" s="40" t="n">
        <v>0.4375</v>
      </c>
      <c r="C1091" s="35" t="inlineStr">
        <is>
          <t>Dr. Paulo Andrade</t>
        </is>
      </c>
      <c r="D1091" s="35" t="inlineStr">
        <is>
          <t>Sala 2</t>
        </is>
      </c>
      <c r="E1091" s="34" t="inlineStr">
        <is>
          <t>Marcelo Ferreira</t>
        </is>
      </c>
      <c r="F1091" s="35" t="inlineStr">
        <is>
          <t>Particular</t>
        </is>
      </c>
      <c r="G1091" s="35" t="inlineStr">
        <is>
          <t>Consulta</t>
        </is>
      </c>
      <c r="H1091" s="35" t="inlineStr">
        <is>
          <t>Agendado</t>
        </is>
      </c>
      <c r="I1091" s="35" t="n"/>
      <c r="J1091" s="35" t="n"/>
      <c r="K1091" s="34" t="n"/>
      <c r="L1091" s="26">
        <f>IF(A1091="","",MONTH(A1091))</f>
        <v>9</v>
      </c>
      <c r="M1091" s="26">
        <f>IF(A1091="","",YEAR(A1091))</f>
        <v>2026</v>
      </c>
      <c r="N1091" s="26" t="str">
        <f>IF(A1091="","",CHOOSE(WEEKDAY(A1091,2),"Segunda","Terça","Quarta","Quinta","Sexta","Sábado","Domingo"))</f>
        <v>Sexta</v>
      </c>
      <c r="O1091" s="26" t="str">
        <f>IF(B1091="","",IF(B1091&lt;TIME(12,0,0),"Manhã",IF(B1091&lt;TIME(18,0,0),"Tarde","Noite")))</f>
        <v>Manhã</v>
      </c>
      <c r="P1091" s="32">
        <f>IF(G1091="","",IFERROR(INDEX(Config!$I$5:$I$16,MATCH(G1091,Config!$H$5:$H$16,0)),0))</f>
        <v>30</v>
      </c>
      <c r="Q1091" s="30">
        <f>IF(OR(H1091&lt;&gt;"Realizado",P1091="",P1091=0),"",A1091+P1091)</f>
        <v/>
      </c>
      <c r="R1091" s="26">
        <f>IF(Q1091="","",IF(COUNTIFS($E$5:$E$3004,E1091,$A$5:$A$3004,"&gt;"&amp;A1091,$H$5:$H$3004,"&lt;&gt;Falta",$H$5:$H$3004,"&lt;&gt;Cancelado",$H$5:$H$3004,"&lt;&gt;Remarcado")&gt;0,"Sim","Não"))</f>
        <v/>
      </c>
      <c r="S1091" s="32">
        <f>IF(R1091&lt;&gt;"Não","",IF(Q1091+Config!$B$9&lt;=Config!$B$8,Config!$B$8-Q1091,""))</f>
        <v/>
      </c>
      <c r="T1091" s="26">
        <f>IF(S1091="","","Sim")</f>
        <v/>
      </c>
      <c r="U1091" s="41">
        <f>IF(T1091="Sim",S1091+ROW()/100000,0)</f>
        <v>0</v>
      </c>
      <c r="V1091" s="41">
        <f>IF(AND(H1091="Falta",L1091=Config!$B$7,M1091=Config!$B$5,COUNTIFS($E$5:E1091,E1091,$H$5:H1091,"Falta",$L$5:L1091,Config!$B$7,$M$5:M1091,Config!$B$5)=1),COUNTIFS($E$5:$E$3004,E1091,$H$5:$H$3004,"Falta",$L$5:$L$3004,Config!$B$7,$M$5:$M$3004,Config!$B$5)*1000-ROW()/100000,0)</f>
        <v>0</v>
      </c>
    </row>
    <row r="1092">
      <c r="A1092" s="39" t="n">
        <v>46283</v>
      </c>
      <c r="B1092" s="40" t="n">
        <v>0.4583333333333333</v>
      </c>
      <c r="C1092" s="35" t="inlineStr">
        <is>
          <t>Dr. Paulo Andrade</t>
        </is>
      </c>
      <c r="D1092" s="35" t="inlineStr">
        <is>
          <t>Sala 2</t>
        </is>
      </c>
      <c r="E1092" s="34" t="inlineStr">
        <is>
          <t>Thiago Duarte</t>
        </is>
      </c>
      <c r="F1092" s="35" t="inlineStr">
        <is>
          <t>Saúde Total</t>
        </is>
      </c>
      <c r="G1092" s="35" t="inlineStr">
        <is>
          <t>Teste ergométrico</t>
        </is>
      </c>
      <c r="H1092" s="35" t="inlineStr">
        <is>
          <t>Agendado</t>
        </is>
      </c>
      <c r="I1092" s="35" t="n"/>
      <c r="J1092" s="35" t="n"/>
      <c r="K1092" s="34" t="n"/>
      <c r="L1092" s="26">
        <f>IF(A1092="","",MONTH(A1092))</f>
        <v>9</v>
      </c>
      <c r="M1092" s="26">
        <f>IF(A1092="","",YEAR(A1092))</f>
        <v>2026</v>
      </c>
      <c r="N1092" s="26" t="str">
        <f>IF(A1092="","",CHOOSE(WEEKDAY(A1092,2),"Segunda","Terça","Quarta","Quinta","Sexta","Sábado","Domingo"))</f>
        <v>Sexta</v>
      </c>
      <c r="O1092" s="26" t="str">
        <f>IF(B1092="","",IF(B1092&lt;TIME(12,0,0),"Manhã",IF(B1092&lt;TIME(18,0,0),"Tarde","Noite")))</f>
        <v>Manhã</v>
      </c>
      <c r="P1092" s="32">
        <f>IF(G1092="","",IFERROR(INDEX(Config!$I$5:$I$16,MATCH(G1092,Config!$H$5:$H$16,0)),0))</f>
        <v>0</v>
      </c>
      <c r="Q1092" s="30">
        <f>IF(OR(H1092&lt;&gt;"Realizado",P1092="",P1092=0),"",A1092+P1092)</f>
        <v/>
      </c>
      <c r="R1092" s="26">
        <f>IF(Q1092="","",IF(COUNTIFS($E$5:$E$3004,E1092,$A$5:$A$3004,"&gt;"&amp;A1092,$H$5:$H$3004,"&lt;&gt;Falta",$H$5:$H$3004,"&lt;&gt;Cancelado",$H$5:$H$3004,"&lt;&gt;Remarcado")&gt;0,"Sim","Não"))</f>
        <v/>
      </c>
      <c r="S1092" s="32">
        <f>IF(R1092&lt;&gt;"Não","",IF(Q1092+Config!$B$9&lt;=Config!$B$8,Config!$B$8-Q1092,""))</f>
        <v/>
      </c>
      <c r="T1092" s="26">
        <f>IF(S1092="","","Sim")</f>
        <v/>
      </c>
      <c r="U1092" s="41">
        <f>IF(T1092="Sim",S1092+ROW()/100000,0)</f>
        <v>0</v>
      </c>
      <c r="V1092" s="41">
        <f>IF(AND(H1092="Falta",L1092=Config!$B$7,M1092=Config!$B$5,COUNTIFS($E$5:E1092,E1092,$H$5:H1092,"Falta",$L$5:L1092,Config!$B$7,$M$5:M1092,Config!$B$5)=1),COUNTIFS($E$5:$E$3004,E1092,$H$5:$H$3004,"Falta",$L$5:$L$3004,Config!$B$7,$M$5:$M$3004,Config!$B$5)*1000-ROW()/100000,0)</f>
        <v>0</v>
      </c>
    </row>
    <row r="1093">
      <c r="A1093" s="39" t="n">
        <v>46283</v>
      </c>
      <c r="B1093" s="40" t="n">
        <v>0.4861111111111111</v>
      </c>
      <c r="C1093" s="35" t="inlineStr">
        <is>
          <t>Dr. Paulo Andrade</t>
        </is>
      </c>
      <c r="D1093" s="35" t="inlineStr">
        <is>
          <t>Sala 2</t>
        </is>
      </c>
      <c r="E1093" s="34" t="inlineStr">
        <is>
          <t>Vinícius Cardoso</t>
        </is>
      </c>
      <c r="F1093" s="35" t="inlineStr">
        <is>
          <t>MediPlan</t>
        </is>
      </c>
      <c r="G1093" s="35" t="inlineStr">
        <is>
          <t>Retorno</t>
        </is>
      </c>
      <c r="H1093" s="35" t="inlineStr">
        <is>
          <t>Agendado</t>
        </is>
      </c>
      <c r="I1093" s="35" t="n"/>
      <c r="J1093" s="35" t="n"/>
      <c r="K1093" s="34" t="n"/>
      <c r="L1093" s="26">
        <f>IF(A1093="","",MONTH(A1093))</f>
        <v>9</v>
      </c>
      <c r="M1093" s="26">
        <f>IF(A1093="","",YEAR(A1093))</f>
        <v>2026</v>
      </c>
      <c r="N1093" s="26" t="str">
        <f>IF(A1093="","",CHOOSE(WEEKDAY(A1093,2),"Segunda","Terça","Quarta","Quinta","Sexta","Sábado","Domingo"))</f>
        <v>Sexta</v>
      </c>
      <c r="O1093" s="26" t="str">
        <f>IF(B1093="","",IF(B1093&lt;TIME(12,0,0),"Manhã",IF(B1093&lt;TIME(18,0,0),"Tarde","Noite")))</f>
        <v>Manhã</v>
      </c>
      <c r="P1093" s="32">
        <f>IF(G1093="","",IFERROR(INDEX(Config!$I$5:$I$16,MATCH(G1093,Config!$H$5:$H$16,0)),0))</f>
        <v>0</v>
      </c>
      <c r="Q1093" s="30">
        <f>IF(OR(H1093&lt;&gt;"Realizado",P1093="",P1093=0),"",A1093+P1093)</f>
        <v/>
      </c>
      <c r="R1093" s="26">
        <f>IF(Q1093="","",IF(COUNTIFS($E$5:$E$3004,E1093,$A$5:$A$3004,"&gt;"&amp;A1093,$H$5:$H$3004,"&lt;&gt;Falta",$H$5:$H$3004,"&lt;&gt;Cancelado",$H$5:$H$3004,"&lt;&gt;Remarcado")&gt;0,"Sim","Não"))</f>
        <v/>
      </c>
      <c r="S1093" s="32">
        <f>IF(R1093&lt;&gt;"Não","",IF(Q1093+Config!$B$9&lt;=Config!$B$8,Config!$B$8-Q1093,""))</f>
        <v/>
      </c>
      <c r="T1093" s="26">
        <f>IF(S1093="","","Sim")</f>
        <v/>
      </c>
      <c r="U1093" s="41">
        <f>IF(T1093="Sim",S1093+ROW()/100000,0)</f>
        <v>0</v>
      </c>
      <c r="V1093" s="41">
        <f>IF(AND(H1093="Falta",L1093=Config!$B$7,M1093=Config!$B$5,COUNTIFS($E$5:E1093,E1093,$H$5:H1093,"Falta",$L$5:L1093,Config!$B$7,$M$5:M1093,Config!$B$5)=1),COUNTIFS($E$5:$E$3004,E1093,$H$5:$H$3004,"Falta",$L$5:$L$3004,Config!$B$7,$M$5:$M$3004,Config!$B$5)*1000-ROW()/100000,0)</f>
        <v>0</v>
      </c>
    </row>
    <row r="1094">
      <c r="A1094" s="39" t="n">
        <v>46286</v>
      </c>
      <c r="B1094" s="40" t="n">
        <v>0.3333333333333333</v>
      </c>
      <c r="C1094" s="35" t="inlineStr">
        <is>
          <t>Dra. Carolina Mendes</t>
        </is>
      </c>
      <c r="D1094" s="35" t="inlineStr">
        <is>
          <t>Sala 1</t>
        </is>
      </c>
      <c r="E1094" s="34" t="inlineStr">
        <is>
          <t>Sérgio Martins</t>
        </is>
      </c>
      <c r="F1094" s="35" t="inlineStr">
        <is>
          <t>Particular</t>
        </is>
      </c>
      <c r="G1094" s="35" t="inlineStr">
        <is>
          <t>Consulta</t>
        </is>
      </c>
      <c r="H1094" s="35" t="inlineStr">
        <is>
          <t>Agendado</t>
        </is>
      </c>
      <c r="I1094" s="35" t="n"/>
      <c r="J1094" s="35" t="n"/>
      <c r="K1094" s="34" t="n"/>
      <c r="L1094" s="26">
        <f>IF(A1094="","",MONTH(A1094))</f>
        <v>9</v>
      </c>
      <c r="M1094" s="26">
        <f>IF(A1094="","",YEAR(A1094))</f>
        <v>2026</v>
      </c>
      <c r="N1094" s="26" t="str">
        <f>IF(A1094="","",CHOOSE(WEEKDAY(A1094,2),"Segunda","Terça","Quarta","Quinta","Sexta","Sábado","Domingo"))</f>
        <v>Segunda</v>
      </c>
      <c r="O1094" s="26" t="str">
        <f>IF(B1094="","",IF(B1094&lt;TIME(12,0,0),"Manhã",IF(B1094&lt;TIME(18,0,0),"Tarde","Noite")))</f>
        <v>Manhã</v>
      </c>
      <c r="P1094" s="32">
        <f>IF(G1094="","",IFERROR(INDEX(Config!$I$5:$I$16,MATCH(G1094,Config!$H$5:$H$16,0)),0))</f>
        <v>30</v>
      </c>
      <c r="Q1094" s="30">
        <f>IF(OR(H1094&lt;&gt;"Realizado",P1094="",P1094=0),"",A1094+P1094)</f>
        <v/>
      </c>
      <c r="R1094" s="26">
        <f>IF(Q1094="","",IF(COUNTIFS($E$5:$E$3004,E1094,$A$5:$A$3004,"&gt;"&amp;A1094,$H$5:$H$3004,"&lt;&gt;Falta",$H$5:$H$3004,"&lt;&gt;Cancelado",$H$5:$H$3004,"&lt;&gt;Remarcado")&gt;0,"Sim","Não"))</f>
        <v/>
      </c>
      <c r="S1094" s="32">
        <f>IF(R1094&lt;&gt;"Não","",IF(Q1094+Config!$B$9&lt;=Config!$B$8,Config!$B$8-Q1094,""))</f>
        <v/>
      </c>
      <c r="T1094" s="26">
        <f>IF(S1094="","","Sim")</f>
        <v/>
      </c>
      <c r="U1094" s="41">
        <f>IF(T1094="Sim",S1094+ROW()/100000,0)</f>
        <v>0</v>
      </c>
      <c r="V1094" s="41">
        <f>IF(AND(H1094="Falta",L1094=Config!$B$7,M1094=Config!$B$5,COUNTIFS($E$5:E1094,E1094,$H$5:H1094,"Falta",$L$5:L1094,Config!$B$7,$M$5:M1094,Config!$B$5)=1),COUNTIFS($E$5:$E$3004,E1094,$H$5:$H$3004,"Falta",$L$5:$L$3004,Config!$B$7,$M$5:$M$3004,Config!$B$5)*1000-ROW()/100000,0)</f>
        <v>0</v>
      </c>
    </row>
    <row r="1095">
      <c r="A1095" s="39" t="n">
        <v>46286</v>
      </c>
      <c r="B1095" s="40" t="n">
        <v>0.3541666666666667</v>
      </c>
      <c r="C1095" s="35" t="inlineStr">
        <is>
          <t>Dra. Carolina Mendes</t>
        </is>
      </c>
      <c r="D1095" s="35" t="inlineStr">
        <is>
          <t>Sala 1</t>
        </is>
      </c>
      <c r="E1095" s="34" t="inlineStr">
        <is>
          <t>Gisele Ribeiro</t>
        </is>
      </c>
      <c r="F1095" s="35" t="inlineStr">
        <is>
          <t>Particular</t>
        </is>
      </c>
      <c r="G1095" s="35" t="inlineStr">
        <is>
          <t>Consulta</t>
        </is>
      </c>
      <c r="H1095" s="35" t="inlineStr">
        <is>
          <t>Agendado</t>
        </is>
      </c>
      <c r="I1095" s="35" t="n"/>
      <c r="J1095" s="35" t="n"/>
      <c r="K1095" s="34" t="n"/>
      <c r="L1095" s="26">
        <f>IF(A1095="","",MONTH(A1095))</f>
        <v>9</v>
      </c>
      <c r="M1095" s="26">
        <f>IF(A1095="","",YEAR(A1095))</f>
        <v>2026</v>
      </c>
      <c r="N1095" s="26" t="str">
        <f>IF(A1095="","",CHOOSE(WEEKDAY(A1095,2),"Segunda","Terça","Quarta","Quinta","Sexta","Sábado","Domingo"))</f>
        <v>Segunda</v>
      </c>
      <c r="O1095" s="26" t="str">
        <f>IF(B1095="","",IF(B1095&lt;TIME(12,0,0),"Manhã",IF(B1095&lt;TIME(18,0,0),"Tarde","Noite")))</f>
        <v>Manhã</v>
      </c>
      <c r="P1095" s="32">
        <f>IF(G1095="","",IFERROR(INDEX(Config!$I$5:$I$16,MATCH(G1095,Config!$H$5:$H$16,0)),0))</f>
        <v>30</v>
      </c>
      <c r="Q1095" s="30">
        <f>IF(OR(H1095&lt;&gt;"Realizado",P1095="",P1095=0),"",A1095+P1095)</f>
        <v/>
      </c>
      <c r="R1095" s="26">
        <f>IF(Q1095="","",IF(COUNTIFS($E$5:$E$3004,E1095,$A$5:$A$3004,"&gt;"&amp;A1095,$H$5:$H$3004,"&lt;&gt;Falta",$H$5:$H$3004,"&lt;&gt;Cancelado",$H$5:$H$3004,"&lt;&gt;Remarcado")&gt;0,"Sim","Não"))</f>
        <v/>
      </c>
      <c r="S1095" s="32">
        <f>IF(R1095&lt;&gt;"Não","",IF(Q1095+Config!$B$9&lt;=Config!$B$8,Config!$B$8-Q1095,""))</f>
        <v/>
      </c>
      <c r="T1095" s="26">
        <f>IF(S1095="","","Sim")</f>
        <v/>
      </c>
      <c r="U1095" s="41">
        <f>IF(T1095="Sim",S1095+ROW()/100000,0)</f>
        <v>0</v>
      </c>
      <c r="V1095" s="41">
        <f>IF(AND(H1095="Falta",L1095=Config!$B$7,M1095=Config!$B$5,COUNTIFS($E$5:E1095,E1095,$H$5:H1095,"Falta",$L$5:L1095,Config!$B$7,$M$5:M1095,Config!$B$5)=1),COUNTIFS($E$5:$E$3004,E1095,$H$5:$H$3004,"Falta",$L$5:$L$3004,Config!$B$7,$M$5:$M$3004,Config!$B$5)*1000-ROW()/100000,0)</f>
        <v>0</v>
      </c>
    </row>
    <row r="1096">
      <c r="A1096" s="39" t="n">
        <v>46286</v>
      </c>
      <c r="B1096" s="40" t="n">
        <v>0.3958333333333333</v>
      </c>
      <c r="C1096" s="35" t="inlineStr">
        <is>
          <t>Dra. Carolina Mendes</t>
        </is>
      </c>
      <c r="D1096" s="35" t="inlineStr">
        <is>
          <t>Sala 1</t>
        </is>
      </c>
      <c r="E1096" s="34" t="inlineStr">
        <is>
          <t>Regina Macedo</t>
        </is>
      </c>
      <c r="F1096" s="35" t="inlineStr">
        <is>
          <t>Particular</t>
        </is>
      </c>
      <c r="G1096" s="35" t="inlineStr">
        <is>
          <t>Consulta</t>
        </is>
      </c>
      <c r="H1096" s="35" t="inlineStr">
        <is>
          <t>Agendado</t>
        </is>
      </c>
      <c r="I1096" s="35" t="n"/>
      <c r="J1096" s="35" t="n"/>
      <c r="K1096" s="34" t="n"/>
      <c r="L1096" s="26">
        <f>IF(A1096="","",MONTH(A1096))</f>
        <v>9</v>
      </c>
      <c r="M1096" s="26">
        <f>IF(A1096="","",YEAR(A1096))</f>
        <v>2026</v>
      </c>
      <c r="N1096" s="26" t="str">
        <f>IF(A1096="","",CHOOSE(WEEKDAY(A1096,2),"Segunda","Terça","Quarta","Quinta","Sexta","Sábado","Domingo"))</f>
        <v>Segunda</v>
      </c>
      <c r="O1096" s="26" t="str">
        <f>IF(B1096="","",IF(B1096&lt;TIME(12,0,0),"Manhã",IF(B1096&lt;TIME(18,0,0),"Tarde","Noite")))</f>
        <v>Manhã</v>
      </c>
      <c r="P1096" s="32">
        <f>IF(G1096="","",IFERROR(INDEX(Config!$I$5:$I$16,MATCH(G1096,Config!$H$5:$H$16,0)),0))</f>
        <v>30</v>
      </c>
      <c r="Q1096" s="30">
        <f>IF(OR(H1096&lt;&gt;"Realizado",P1096="",P1096=0),"",A1096+P1096)</f>
        <v/>
      </c>
      <c r="R1096" s="26">
        <f>IF(Q1096="","",IF(COUNTIFS($E$5:$E$3004,E1096,$A$5:$A$3004,"&gt;"&amp;A1096,$H$5:$H$3004,"&lt;&gt;Falta",$H$5:$H$3004,"&lt;&gt;Cancelado",$H$5:$H$3004,"&lt;&gt;Remarcado")&gt;0,"Sim","Não"))</f>
        <v/>
      </c>
      <c r="S1096" s="32">
        <f>IF(R1096&lt;&gt;"Não","",IF(Q1096+Config!$B$9&lt;=Config!$B$8,Config!$B$8-Q1096,""))</f>
        <v/>
      </c>
      <c r="T1096" s="26">
        <f>IF(S1096="","","Sim")</f>
        <v/>
      </c>
      <c r="U1096" s="41">
        <f>IF(T1096="Sim",S1096+ROW()/100000,0)</f>
        <v>0</v>
      </c>
      <c r="V1096" s="41">
        <f>IF(AND(H1096="Falta",L1096=Config!$B$7,M1096=Config!$B$5,COUNTIFS($E$5:E1096,E1096,$H$5:H1096,"Falta",$L$5:L1096,Config!$B$7,$M$5:M1096,Config!$B$5)=1),COUNTIFS($E$5:$E$3004,E1096,$H$5:$H$3004,"Falta",$L$5:$L$3004,Config!$B$7,$M$5:$M$3004,Config!$B$5)*1000-ROW()/100000,0)</f>
        <v>0</v>
      </c>
    </row>
    <row r="1097">
      <c r="A1097" s="39" t="n">
        <v>46286</v>
      </c>
      <c r="B1097" s="40" t="n">
        <v>0.4166666666666667</v>
      </c>
      <c r="C1097" s="35" t="inlineStr">
        <is>
          <t>Dra. Carolina Mendes</t>
        </is>
      </c>
      <c r="D1097" s="35" t="inlineStr">
        <is>
          <t>Sala 1</t>
        </is>
      </c>
      <c r="E1097" s="34" t="inlineStr">
        <is>
          <t>Mateus Lima</t>
        </is>
      </c>
      <c r="F1097" s="35" t="inlineStr">
        <is>
          <t>MediPlan</t>
        </is>
      </c>
      <c r="G1097" s="35" t="inlineStr">
        <is>
          <t>Consulta</t>
        </is>
      </c>
      <c r="H1097" s="35" t="inlineStr">
        <is>
          <t>Agendado</t>
        </is>
      </c>
      <c r="I1097" s="35" t="n"/>
      <c r="J1097" s="35" t="n"/>
      <c r="K1097" s="34" t="n"/>
      <c r="L1097" s="26">
        <f>IF(A1097="","",MONTH(A1097))</f>
        <v>9</v>
      </c>
      <c r="M1097" s="26">
        <f>IF(A1097="","",YEAR(A1097))</f>
        <v>2026</v>
      </c>
      <c r="N1097" s="26" t="str">
        <f>IF(A1097="","",CHOOSE(WEEKDAY(A1097,2),"Segunda","Terça","Quarta","Quinta","Sexta","Sábado","Domingo"))</f>
        <v>Segunda</v>
      </c>
      <c r="O1097" s="26" t="str">
        <f>IF(B1097="","",IF(B1097&lt;TIME(12,0,0),"Manhã",IF(B1097&lt;TIME(18,0,0),"Tarde","Noite")))</f>
        <v>Manhã</v>
      </c>
      <c r="P1097" s="32">
        <f>IF(G1097="","",IFERROR(INDEX(Config!$I$5:$I$16,MATCH(G1097,Config!$H$5:$H$16,0)),0))</f>
        <v>30</v>
      </c>
      <c r="Q1097" s="30">
        <f>IF(OR(H1097&lt;&gt;"Realizado",P1097="",P1097=0),"",A1097+P1097)</f>
        <v/>
      </c>
      <c r="R1097" s="26">
        <f>IF(Q1097="","",IF(COUNTIFS($E$5:$E$3004,E1097,$A$5:$A$3004,"&gt;"&amp;A1097,$H$5:$H$3004,"&lt;&gt;Falta",$H$5:$H$3004,"&lt;&gt;Cancelado",$H$5:$H$3004,"&lt;&gt;Remarcado")&gt;0,"Sim","Não"))</f>
        <v/>
      </c>
      <c r="S1097" s="32">
        <f>IF(R1097&lt;&gt;"Não","",IF(Q1097+Config!$B$9&lt;=Config!$B$8,Config!$B$8-Q1097,""))</f>
        <v/>
      </c>
      <c r="T1097" s="26">
        <f>IF(S1097="","","Sim")</f>
        <v/>
      </c>
      <c r="U1097" s="41">
        <f>IF(T1097="Sim",S1097+ROW()/100000,0)</f>
        <v>0</v>
      </c>
      <c r="V1097" s="41">
        <f>IF(AND(H1097="Falta",L1097=Config!$B$7,M1097=Config!$B$5,COUNTIFS($E$5:E1097,E1097,$H$5:H1097,"Falta",$L$5:L1097,Config!$B$7,$M$5:M1097,Config!$B$5)=1),COUNTIFS($E$5:$E$3004,E1097,$H$5:$H$3004,"Falta",$L$5:$L$3004,Config!$B$7,$M$5:$M$3004,Config!$B$5)*1000-ROW()/100000,0)</f>
        <v>0</v>
      </c>
    </row>
    <row r="1098">
      <c r="A1098" s="39" t="n">
        <v>46286</v>
      </c>
      <c r="B1098" s="40" t="n">
        <v>0.4375</v>
      </c>
      <c r="C1098" s="35" t="inlineStr">
        <is>
          <t>Dra. Carolina Mendes</t>
        </is>
      </c>
      <c r="D1098" s="35" t="inlineStr">
        <is>
          <t>Sala 1</t>
        </is>
      </c>
      <c r="E1098" s="34" t="inlineStr">
        <is>
          <t>Rodrigo Gomes</t>
        </is>
      </c>
      <c r="F1098" s="35" t="inlineStr">
        <is>
          <t>Vida Care</t>
        </is>
      </c>
      <c r="G1098" s="35" t="inlineStr">
        <is>
          <t>Consulta</t>
        </is>
      </c>
      <c r="H1098" s="35" t="inlineStr">
        <is>
          <t>Agendado</t>
        </is>
      </c>
      <c r="I1098" s="35" t="n"/>
      <c r="J1098" s="35" t="n"/>
      <c r="K1098" s="34" t="n"/>
      <c r="L1098" s="26">
        <f>IF(A1098="","",MONTH(A1098))</f>
        <v>9</v>
      </c>
      <c r="M1098" s="26">
        <f>IF(A1098="","",YEAR(A1098))</f>
        <v>2026</v>
      </c>
      <c r="N1098" s="26" t="str">
        <f>IF(A1098="","",CHOOSE(WEEKDAY(A1098,2),"Segunda","Terça","Quarta","Quinta","Sexta","Sábado","Domingo"))</f>
        <v>Segunda</v>
      </c>
      <c r="O1098" s="26" t="str">
        <f>IF(B1098="","",IF(B1098&lt;TIME(12,0,0),"Manhã",IF(B1098&lt;TIME(18,0,0),"Tarde","Noite")))</f>
        <v>Manhã</v>
      </c>
      <c r="P1098" s="32">
        <f>IF(G1098="","",IFERROR(INDEX(Config!$I$5:$I$16,MATCH(G1098,Config!$H$5:$H$16,0)),0))</f>
        <v>30</v>
      </c>
      <c r="Q1098" s="30">
        <f>IF(OR(H1098&lt;&gt;"Realizado",P1098="",P1098=0),"",A1098+P1098)</f>
        <v/>
      </c>
      <c r="R1098" s="26">
        <f>IF(Q1098="","",IF(COUNTIFS($E$5:$E$3004,E1098,$A$5:$A$3004,"&gt;"&amp;A1098,$H$5:$H$3004,"&lt;&gt;Falta",$H$5:$H$3004,"&lt;&gt;Cancelado",$H$5:$H$3004,"&lt;&gt;Remarcado")&gt;0,"Sim","Não"))</f>
        <v/>
      </c>
      <c r="S1098" s="32">
        <f>IF(R1098&lt;&gt;"Não","",IF(Q1098+Config!$B$9&lt;=Config!$B$8,Config!$B$8-Q1098,""))</f>
        <v/>
      </c>
      <c r="T1098" s="26">
        <f>IF(S1098="","","Sim")</f>
        <v/>
      </c>
      <c r="U1098" s="41">
        <f>IF(T1098="Sim",S1098+ROW()/100000,0)</f>
        <v>0</v>
      </c>
      <c r="V1098" s="41">
        <f>IF(AND(H1098="Falta",L1098=Config!$B$7,M1098=Config!$B$5,COUNTIFS($E$5:E1098,E1098,$H$5:H1098,"Falta",$L$5:L1098,Config!$B$7,$M$5:M1098,Config!$B$5)=1),COUNTIFS($E$5:$E$3004,E1098,$H$5:$H$3004,"Falta",$L$5:$L$3004,Config!$B$7,$M$5:$M$3004,Config!$B$5)*1000-ROW()/100000,0)</f>
        <v>0</v>
      </c>
    </row>
    <row r="1099">
      <c r="A1099" s="39" t="n">
        <v>46286</v>
      </c>
      <c r="B1099" s="40" t="n">
        <v>0.4583333333333333</v>
      </c>
      <c r="C1099" s="35" t="inlineStr">
        <is>
          <t>Dra. Carolina Mendes</t>
        </is>
      </c>
      <c r="D1099" s="35" t="inlineStr">
        <is>
          <t>Sala 1</t>
        </is>
      </c>
      <c r="E1099" s="34" t="inlineStr">
        <is>
          <t>Isabela Nascimento</t>
        </is>
      </c>
      <c r="F1099" s="35" t="inlineStr">
        <is>
          <t>Vida Care</t>
        </is>
      </c>
      <c r="G1099" s="35" t="inlineStr">
        <is>
          <t>Consulta</t>
        </is>
      </c>
      <c r="H1099" s="35" t="inlineStr">
        <is>
          <t>Agendado</t>
        </is>
      </c>
      <c r="I1099" s="35" t="n"/>
      <c r="J1099" s="35" t="n"/>
      <c r="K1099" s="34" t="n"/>
      <c r="L1099" s="26">
        <f>IF(A1099="","",MONTH(A1099))</f>
        <v>9</v>
      </c>
      <c r="M1099" s="26">
        <f>IF(A1099="","",YEAR(A1099))</f>
        <v>2026</v>
      </c>
      <c r="N1099" s="26" t="str">
        <f>IF(A1099="","",CHOOSE(WEEKDAY(A1099,2),"Segunda","Terça","Quarta","Quinta","Sexta","Sábado","Domingo"))</f>
        <v>Segunda</v>
      </c>
      <c r="O1099" s="26" t="str">
        <f>IF(B1099="","",IF(B1099&lt;TIME(12,0,0),"Manhã",IF(B1099&lt;TIME(18,0,0),"Tarde","Noite")))</f>
        <v>Manhã</v>
      </c>
      <c r="P1099" s="32">
        <f>IF(G1099="","",IFERROR(INDEX(Config!$I$5:$I$16,MATCH(G1099,Config!$H$5:$H$16,0)),0))</f>
        <v>30</v>
      </c>
      <c r="Q1099" s="30">
        <f>IF(OR(H1099&lt;&gt;"Realizado",P1099="",P1099=0),"",A1099+P1099)</f>
        <v/>
      </c>
      <c r="R1099" s="26">
        <f>IF(Q1099="","",IF(COUNTIFS($E$5:$E$3004,E1099,$A$5:$A$3004,"&gt;"&amp;A1099,$H$5:$H$3004,"&lt;&gt;Falta",$H$5:$H$3004,"&lt;&gt;Cancelado",$H$5:$H$3004,"&lt;&gt;Remarcado")&gt;0,"Sim","Não"))</f>
        <v/>
      </c>
      <c r="S1099" s="32">
        <f>IF(R1099&lt;&gt;"Não","",IF(Q1099+Config!$B$9&lt;=Config!$B$8,Config!$B$8-Q1099,""))</f>
        <v/>
      </c>
      <c r="T1099" s="26">
        <f>IF(S1099="","","Sim")</f>
        <v/>
      </c>
      <c r="U1099" s="41">
        <f>IF(T1099="Sim",S1099+ROW()/100000,0)</f>
        <v>0</v>
      </c>
      <c r="V1099" s="41">
        <f>IF(AND(H1099="Falta",L1099=Config!$B$7,M1099=Config!$B$5,COUNTIFS($E$5:E1099,E1099,$H$5:H1099,"Falta",$L$5:L1099,Config!$B$7,$M$5:M1099,Config!$B$5)=1),COUNTIFS($E$5:$E$3004,E1099,$H$5:$H$3004,"Falta",$L$5:$L$3004,Config!$B$7,$M$5:$M$3004,Config!$B$5)*1000-ROW()/100000,0)</f>
        <v>0</v>
      </c>
    </row>
    <row r="1100">
      <c r="A1100" s="39" t="n">
        <v>46286</v>
      </c>
      <c r="B1100" s="40" t="n">
        <v>0.4791666666666667</v>
      </c>
      <c r="C1100" s="35" t="inlineStr">
        <is>
          <t>Dra. Carolina Mendes</t>
        </is>
      </c>
      <c r="D1100" s="35" t="inlineStr">
        <is>
          <t>Sala 1</t>
        </is>
      </c>
      <c r="E1100" s="34" t="inlineStr">
        <is>
          <t>Juliana Silva</t>
        </is>
      </c>
      <c r="F1100" s="35" t="inlineStr">
        <is>
          <t>Vida Care</t>
        </is>
      </c>
      <c r="G1100" s="35" t="inlineStr">
        <is>
          <t>Consulta</t>
        </is>
      </c>
      <c r="H1100" s="35" t="inlineStr">
        <is>
          <t>Agendado</t>
        </is>
      </c>
      <c r="I1100" s="35" t="n"/>
      <c r="J1100" s="35" t="n"/>
      <c r="K1100" s="34" t="n"/>
      <c r="L1100" s="26">
        <f>IF(A1100="","",MONTH(A1100))</f>
        <v>9</v>
      </c>
      <c r="M1100" s="26">
        <f>IF(A1100="","",YEAR(A1100))</f>
        <v>2026</v>
      </c>
      <c r="N1100" s="26" t="str">
        <f>IF(A1100="","",CHOOSE(WEEKDAY(A1100,2),"Segunda","Terça","Quarta","Quinta","Sexta","Sábado","Domingo"))</f>
        <v>Segunda</v>
      </c>
      <c r="O1100" s="26" t="str">
        <f>IF(B1100="","",IF(B1100&lt;TIME(12,0,0),"Manhã",IF(B1100&lt;TIME(18,0,0),"Tarde","Noite")))</f>
        <v>Manhã</v>
      </c>
      <c r="P1100" s="32">
        <f>IF(G1100="","",IFERROR(INDEX(Config!$I$5:$I$16,MATCH(G1100,Config!$H$5:$H$16,0)),0))</f>
        <v>30</v>
      </c>
      <c r="Q1100" s="30">
        <f>IF(OR(H1100&lt;&gt;"Realizado",P1100="",P1100=0),"",A1100+P1100)</f>
        <v/>
      </c>
      <c r="R1100" s="26">
        <f>IF(Q1100="","",IF(COUNTIFS($E$5:$E$3004,E1100,$A$5:$A$3004,"&gt;"&amp;A1100,$H$5:$H$3004,"&lt;&gt;Falta",$H$5:$H$3004,"&lt;&gt;Cancelado",$H$5:$H$3004,"&lt;&gt;Remarcado")&gt;0,"Sim","Não"))</f>
        <v/>
      </c>
      <c r="S1100" s="32">
        <f>IF(R1100&lt;&gt;"Não","",IF(Q1100+Config!$B$9&lt;=Config!$B$8,Config!$B$8-Q1100,""))</f>
        <v/>
      </c>
      <c r="T1100" s="26">
        <f>IF(S1100="","","Sim")</f>
        <v/>
      </c>
      <c r="U1100" s="41">
        <f>IF(T1100="Sim",S1100+ROW()/100000,0)</f>
        <v>0</v>
      </c>
      <c r="V1100" s="41">
        <f>IF(AND(H1100="Falta",L1100=Config!$B$7,M1100=Config!$B$5,COUNTIFS($E$5:E1100,E1100,$H$5:H1100,"Falta",$L$5:L1100,Config!$B$7,$M$5:M1100,Config!$B$5)=1),COUNTIFS($E$5:$E$3004,E1100,$H$5:$H$3004,"Falta",$L$5:$L$3004,Config!$B$7,$M$5:$M$3004,Config!$B$5)*1000-ROW()/100000,0)</f>
        <v>0</v>
      </c>
    </row>
    <row r="1101">
      <c r="A1101" s="39" t="n">
        <v>46286</v>
      </c>
      <c r="B1101" s="40" t="n">
        <v>0.5833333333333334</v>
      </c>
      <c r="C1101" s="35" t="inlineStr">
        <is>
          <t>Dr. Paulo Andrade</t>
        </is>
      </c>
      <c r="D1101" s="35" t="inlineStr">
        <is>
          <t>Sala 2</t>
        </is>
      </c>
      <c r="E1101" s="34" t="inlineStr">
        <is>
          <t>Priscila Rocha</t>
        </is>
      </c>
      <c r="F1101" s="35" t="inlineStr">
        <is>
          <t>MediPlan</t>
        </is>
      </c>
      <c r="G1101" s="35" t="inlineStr">
        <is>
          <t>Teste ergométrico</t>
        </is>
      </c>
      <c r="H1101" s="35" t="inlineStr">
        <is>
          <t>Agendado</t>
        </is>
      </c>
      <c r="I1101" s="35" t="n"/>
      <c r="J1101" s="35" t="n"/>
      <c r="K1101" s="34" t="n"/>
      <c r="L1101" s="26">
        <f>IF(A1101="","",MONTH(A1101))</f>
        <v>9</v>
      </c>
      <c r="M1101" s="26">
        <f>IF(A1101="","",YEAR(A1101))</f>
        <v>2026</v>
      </c>
      <c r="N1101" s="26" t="str">
        <f>IF(A1101="","",CHOOSE(WEEKDAY(A1101,2),"Segunda","Terça","Quarta","Quinta","Sexta","Sábado","Domingo"))</f>
        <v>Segunda</v>
      </c>
      <c r="O1101" s="26" t="str">
        <f>IF(B1101="","",IF(B1101&lt;TIME(12,0,0),"Manhã",IF(B1101&lt;TIME(18,0,0),"Tarde","Noite")))</f>
        <v>Tarde</v>
      </c>
      <c r="P1101" s="32">
        <f>IF(G1101="","",IFERROR(INDEX(Config!$I$5:$I$16,MATCH(G1101,Config!$H$5:$H$16,0)),0))</f>
        <v>0</v>
      </c>
      <c r="Q1101" s="30">
        <f>IF(OR(H1101&lt;&gt;"Realizado",P1101="",P1101=0),"",A1101+P1101)</f>
        <v/>
      </c>
      <c r="R1101" s="26">
        <f>IF(Q1101="","",IF(COUNTIFS($E$5:$E$3004,E1101,$A$5:$A$3004,"&gt;"&amp;A1101,$H$5:$H$3004,"&lt;&gt;Falta",$H$5:$H$3004,"&lt;&gt;Cancelado",$H$5:$H$3004,"&lt;&gt;Remarcado")&gt;0,"Sim","Não"))</f>
        <v/>
      </c>
      <c r="S1101" s="32">
        <f>IF(R1101&lt;&gt;"Não","",IF(Q1101+Config!$B$9&lt;=Config!$B$8,Config!$B$8-Q1101,""))</f>
        <v/>
      </c>
      <c r="T1101" s="26">
        <f>IF(S1101="","","Sim")</f>
        <v/>
      </c>
      <c r="U1101" s="41">
        <f>IF(T1101="Sim",S1101+ROW()/100000,0)</f>
        <v>0</v>
      </c>
      <c r="V1101" s="41">
        <f>IF(AND(H1101="Falta",L1101=Config!$B$7,M1101=Config!$B$5,COUNTIFS($E$5:E1101,E1101,$H$5:H1101,"Falta",$L$5:L1101,Config!$B$7,$M$5:M1101,Config!$B$5)=1),COUNTIFS($E$5:$E$3004,E1101,$H$5:$H$3004,"Falta",$L$5:$L$3004,Config!$B$7,$M$5:$M$3004,Config!$B$5)*1000-ROW()/100000,0)</f>
        <v>0</v>
      </c>
    </row>
    <row r="1102">
      <c r="A1102" s="39" t="n">
        <v>46286</v>
      </c>
      <c r="B1102" s="40" t="n">
        <v>0.6111111111111112</v>
      </c>
      <c r="C1102" s="35" t="inlineStr">
        <is>
          <t>Dr. Paulo Andrade</t>
        </is>
      </c>
      <c r="D1102" s="35" t="inlineStr">
        <is>
          <t>Sala 2</t>
        </is>
      </c>
      <c r="E1102" s="34" t="inlineStr">
        <is>
          <t>Otávio Martins</t>
        </is>
      </c>
      <c r="F1102" s="35" t="inlineStr">
        <is>
          <t>MediPlan</t>
        </is>
      </c>
      <c r="G1102" s="35" t="inlineStr">
        <is>
          <t>Consulta</t>
        </is>
      </c>
      <c r="H1102" s="35" t="inlineStr">
        <is>
          <t>Agendado</t>
        </is>
      </c>
      <c r="I1102" s="35" t="n"/>
      <c r="J1102" s="35" t="n"/>
      <c r="K1102" s="34" t="n"/>
      <c r="L1102" s="26">
        <f>IF(A1102="","",MONTH(A1102))</f>
        <v>9</v>
      </c>
      <c r="M1102" s="26">
        <f>IF(A1102="","",YEAR(A1102))</f>
        <v>2026</v>
      </c>
      <c r="N1102" s="26" t="str">
        <f>IF(A1102="","",CHOOSE(WEEKDAY(A1102,2),"Segunda","Terça","Quarta","Quinta","Sexta","Sábado","Domingo"))</f>
        <v>Segunda</v>
      </c>
      <c r="O1102" s="26" t="str">
        <f>IF(B1102="","",IF(B1102&lt;TIME(12,0,0),"Manhã",IF(B1102&lt;TIME(18,0,0),"Tarde","Noite")))</f>
        <v>Tarde</v>
      </c>
      <c r="P1102" s="32">
        <f>IF(G1102="","",IFERROR(INDEX(Config!$I$5:$I$16,MATCH(G1102,Config!$H$5:$H$16,0)),0))</f>
        <v>30</v>
      </c>
      <c r="Q1102" s="30">
        <f>IF(OR(H1102&lt;&gt;"Realizado",P1102="",P1102=0),"",A1102+P1102)</f>
        <v/>
      </c>
      <c r="R1102" s="26">
        <f>IF(Q1102="","",IF(COUNTIFS($E$5:$E$3004,E1102,$A$5:$A$3004,"&gt;"&amp;A1102,$H$5:$H$3004,"&lt;&gt;Falta",$H$5:$H$3004,"&lt;&gt;Cancelado",$H$5:$H$3004,"&lt;&gt;Remarcado")&gt;0,"Sim","Não"))</f>
        <v/>
      </c>
      <c r="S1102" s="32">
        <f>IF(R1102&lt;&gt;"Não","",IF(Q1102+Config!$B$9&lt;=Config!$B$8,Config!$B$8-Q1102,""))</f>
        <v/>
      </c>
      <c r="T1102" s="26">
        <f>IF(S1102="","","Sim")</f>
        <v/>
      </c>
      <c r="U1102" s="41">
        <f>IF(T1102="Sim",S1102+ROW()/100000,0)</f>
        <v>0</v>
      </c>
      <c r="V1102" s="41">
        <f>IF(AND(H1102="Falta",L1102=Config!$B$7,M1102=Config!$B$5,COUNTIFS($E$5:E1102,E1102,$H$5:H1102,"Falta",$L$5:L1102,Config!$B$7,$M$5:M1102,Config!$B$5)=1),COUNTIFS($E$5:$E$3004,E1102,$H$5:$H$3004,"Falta",$L$5:$L$3004,Config!$B$7,$M$5:$M$3004,Config!$B$5)*1000-ROW()/100000,0)</f>
        <v>0</v>
      </c>
    </row>
    <row r="1103">
      <c r="A1103" s="39" t="n">
        <v>46286</v>
      </c>
      <c r="B1103" s="40" t="n">
        <v>0.6319444444444444</v>
      </c>
      <c r="C1103" s="35" t="inlineStr">
        <is>
          <t>Dr. Paulo Andrade</t>
        </is>
      </c>
      <c r="D1103" s="35" t="inlineStr">
        <is>
          <t>Sala 2</t>
        </is>
      </c>
      <c r="E1103" s="34" t="inlineStr">
        <is>
          <t>Débora Moreira</t>
        </is>
      </c>
      <c r="F1103" s="35" t="inlineStr">
        <is>
          <t>Particular</t>
        </is>
      </c>
      <c r="G1103" s="35" t="inlineStr">
        <is>
          <t>Consulta</t>
        </is>
      </c>
      <c r="H1103" s="35" t="inlineStr">
        <is>
          <t>Agendado</t>
        </is>
      </c>
      <c r="I1103" s="35" t="n"/>
      <c r="J1103" s="35" t="n"/>
      <c r="K1103" s="34" t="n"/>
      <c r="L1103" s="26">
        <f>IF(A1103="","",MONTH(A1103))</f>
        <v>9</v>
      </c>
      <c r="M1103" s="26">
        <f>IF(A1103="","",YEAR(A1103))</f>
        <v>2026</v>
      </c>
      <c r="N1103" s="26" t="str">
        <f>IF(A1103="","",CHOOSE(WEEKDAY(A1103,2),"Segunda","Terça","Quarta","Quinta","Sexta","Sábado","Domingo"))</f>
        <v>Segunda</v>
      </c>
      <c r="O1103" s="26" t="str">
        <f>IF(B1103="","",IF(B1103&lt;TIME(12,0,0),"Manhã",IF(B1103&lt;TIME(18,0,0),"Tarde","Noite")))</f>
        <v>Tarde</v>
      </c>
      <c r="P1103" s="32">
        <f>IF(G1103="","",IFERROR(INDEX(Config!$I$5:$I$16,MATCH(G1103,Config!$H$5:$H$16,0)),0))</f>
        <v>30</v>
      </c>
      <c r="Q1103" s="30">
        <f>IF(OR(H1103&lt;&gt;"Realizado",P1103="",P1103=0),"",A1103+P1103)</f>
        <v/>
      </c>
      <c r="R1103" s="26">
        <f>IF(Q1103="","",IF(COUNTIFS($E$5:$E$3004,E1103,$A$5:$A$3004,"&gt;"&amp;A1103,$H$5:$H$3004,"&lt;&gt;Falta",$H$5:$H$3004,"&lt;&gt;Cancelado",$H$5:$H$3004,"&lt;&gt;Remarcado")&gt;0,"Sim","Não"))</f>
        <v/>
      </c>
      <c r="S1103" s="32">
        <f>IF(R1103&lt;&gt;"Não","",IF(Q1103+Config!$B$9&lt;=Config!$B$8,Config!$B$8-Q1103,""))</f>
        <v/>
      </c>
      <c r="T1103" s="26">
        <f>IF(S1103="","","Sim")</f>
        <v/>
      </c>
      <c r="U1103" s="41">
        <f>IF(T1103="Sim",S1103+ROW()/100000,0)</f>
        <v>0</v>
      </c>
      <c r="V1103" s="41">
        <f>IF(AND(H1103="Falta",L1103=Config!$B$7,M1103=Config!$B$5,COUNTIFS($E$5:E1103,E1103,$H$5:H1103,"Falta",$L$5:L1103,Config!$B$7,$M$5:M1103,Config!$B$5)=1),COUNTIFS($E$5:$E$3004,E1103,$H$5:$H$3004,"Falta",$L$5:$L$3004,Config!$B$7,$M$5:$M$3004,Config!$B$5)*1000-ROW()/100000,0)</f>
        <v>0</v>
      </c>
    </row>
    <row r="1104">
      <c r="A1104" s="39" t="n">
        <v>46286</v>
      </c>
      <c r="B1104" s="40" t="n">
        <v>0.6736111111111112</v>
      </c>
      <c r="C1104" s="35" t="inlineStr">
        <is>
          <t>Dr. Paulo Andrade</t>
        </is>
      </c>
      <c r="D1104" s="35" t="inlineStr">
        <is>
          <t>Sala 2</t>
        </is>
      </c>
      <c r="E1104" s="34" t="inlineStr">
        <is>
          <t>Ana Costa</t>
        </is>
      </c>
      <c r="F1104" s="35" t="inlineStr">
        <is>
          <t>Particular</t>
        </is>
      </c>
      <c r="G1104" s="35" t="inlineStr">
        <is>
          <t>Holter</t>
        </is>
      </c>
      <c r="H1104" s="35" t="inlineStr">
        <is>
          <t>Agendado</t>
        </is>
      </c>
      <c r="I1104" s="35" t="n"/>
      <c r="J1104" s="35" t="n"/>
      <c r="K1104" s="34" t="n"/>
      <c r="L1104" s="26">
        <f>IF(A1104="","",MONTH(A1104))</f>
        <v>9</v>
      </c>
      <c r="M1104" s="26">
        <f>IF(A1104="","",YEAR(A1104))</f>
        <v>2026</v>
      </c>
      <c r="N1104" s="26" t="str">
        <f>IF(A1104="","",CHOOSE(WEEKDAY(A1104,2),"Segunda","Terça","Quarta","Quinta","Sexta","Sábado","Domingo"))</f>
        <v>Segunda</v>
      </c>
      <c r="O1104" s="26" t="str">
        <f>IF(B1104="","",IF(B1104&lt;TIME(12,0,0),"Manhã",IF(B1104&lt;TIME(18,0,0),"Tarde","Noite")))</f>
        <v>Tarde</v>
      </c>
      <c r="P1104" s="32">
        <f>IF(G1104="","",IFERROR(INDEX(Config!$I$5:$I$16,MATCH(G1104,Config!$H$5:$H$16,0)),0))</f>
        <v>0</v>
      </c>
      <c r="Q1104" s="30">
        <f>IF(OR(H1104&lt;&gt;"Realizado",P1104="",P1104=0),"",A1104+P1104)</f>
        <v/>
      </c>
      <c r="R1104" s="26">
        <f>IF(Q1104="","",IF(COUNTIFS($E$5:$E$3004,E1104,$A$5:$A$3004,"&gt;"&amp;A1104,$H$5:$H$3004,"&lt;&gt;Falta",$H$5:$H$3004,"&lt;&gt;Cancelado",$H$5:$H$3004,"&lt;&gt;Remarcado")&gt;0,"Sim","Não"))</f>
        <v/>
      </c>
      <c r="S1104" s="32">
        <f>IF(R1104&lt;&gt;"Não","",IF(Q1104+Config!$B$9&lt;=Config!$B$8,Config!$B$8-Q1104,""))</f>
        <v/>
      </c>
      <c r="T1104" s="26">
        <f>IF(S1104="","","Sim")</f>
        <v/>
      </c>
      <c r="U1104" s="41">
        <f>IF(T1104="Sim",S1104+ROW()/100000,0)</f>
        <v>0</v>
      </c>
      <c r="V1104" s="41">
        <f>IF(AND(H1104="Falta",L1104=Config!$B$7,M1104=Config!$B$5,COUNTIFS($E$5:E1104,E1104,$H$5:H1104,"Falta",$L$5:L1104,Config!$B$7,$M$5:M1104,Config!$B$5)=1),COUNTIFS($E$5:$E$3004,E1104,$H$5:$H$3004,"Falta",$L$5:$L$3004,Config!$B$7,$M$5:$M$3004,Config!$B$5)*1000-ROW()/100000,0)</f>
        <v>0</v>
      </c>
    </row>
    <row r="1105">
      <c r="A1105" s="39" t="n">
        <v>46286</v>
      </c>
      <c r="B1105" s="40" t="n">
        <v>0.6875</v>
      </c>
      <c r="C1105" s="35" t="inlineStr">
        <is>
          <t>Dr. Paulo Andrade</t>
        </is>
      </c>
      <c r="D1105" s="35" t="inlineStr">
        <is>
          <t>Sala 2</t>
        </is>
      </c>
      <c r="E1105" s="34" t="inlineStr">
        <is>
          <t>Tatiana Gonçalves</t>
        </is>
      </c>
      <c r="F1105" s="35" t="inlineStr">
        <is>
          <t>Saúde Total</t>
        </is>
      </c>
      <c r="G1105" s="35" t="inlineStr">
        <is>
          <t>Consulta</t>
        </is>
      </c>
      <c r="H1105" s="35" t="inlineStr">
        <is>
          <t>Agendado</t>
        </is>
      </c>
      <c r="I1105" s="35" t="n"/>
      <c r="J1105" s="35" t="n"/>
      <c r="K1105" s="34" t="n"/>
      <c r="L1105" s="26">
        <f>IF(A1105="","",MONTH(A1105))</f>
        <v>9</v>
      </c>
      <c r="M1105" s="26">
        <f>IF(A1105="","",YEAR(A1105))</f>
        <v>2026</v>
      </c>
      <c r="N1105" s="26" t="str">
        <f>IF(A1105="","",CHOOSE(WEEKDAY(A1105,2),"Segunda","Terça","Quarta","Quinta","Sexta","Sábado","Domingo"))</f>
        <v>Segunda</v>
      </c>
      <c r="O1105" s="26" t="str">
        <f>IF(B1105="","",IF(B1105&lt;TIME(12,0,0),"Manhã",IF(B1105&lt;TIME(18,0,0),"Tarde","Noite")))</f>
        <v>Tarde</v>
      </c>
      <c r="P1105" s="32">
        <f>IF(G1105="","",IFERROR(INDEX(Config!$I$5:$I$16,MATCH(G1105,Config!$H$5:$H$16,0)),0))</f>
        <v>30</v>
      </c>
      <c r="Q1105" s="30">
        <f>IF(OR(H1105&lt;&gt;"Realizado",P1105="",P1105=0),"",A1105+P1105)</f>
        <v/>
      </c>
      <c r="R1105" s="26">
        <f>IF(Q1105="","",IF(COUNTIFS($E$5:$E$3004,E1105,$A$5:$A$3004,"&gt;"&amp;A1105,$H$5:$H$3004,"&lt;&gt;Falta",$H$5:$H$3004,"&lt;&gt;Cancelado",$H$5:$H$3004,"&lt;&gt;Remarcado")&gt;0,"Sim","Não"))</f>
        <v/>
      </c>
      <c r="S1105" s="32">
        <f>IF(R1105&lt;&gt;"Não","",IF(Q1105+Config!$B$9&lt;=Config!$B$8,Config!$B$8-Q1105,""))</f>
        <v/>
      </c>
      <c r="T1105" s="26">
        <f>IF(S1105="","","Sim")</f>
        <v/>
      </c>
      <c r="U1105" s="41">
        <f>IF(T1105="Sim",S1105+ROW()/100000,0)</f>
        <v>0</v>
      </c>
      <c r="V1105" s="41">
        <f>IF(AND(H1105="Falta",L1105=Config!$B$7,M1105=Config!$B$5,COUNTIFS($E$5:E1105,E1105,$H$5:H1105,"Falta",$L$5:L1105,Config!$B$7,$M$5:M1105,Config!$B$5)=1),COUNTIFS($E$5:$E$3004,E1105,$H$5:$H$3004,"Falta",$L$5:$L$3004,Config!$B$7,$M$5:$M$3004,Config!$B$5)*1000-ROW()/100000,0)</f>
        <v>0</v>
      </c>
    </row>
    <row r="1106">
      <c r="A1106" s="39" t="n">
        <v>46286</v>
      </c>
      <c r="B1106" s="40" t="n">
        <v>0.7083333333333334</v>
      </c>
      <c r="C1106" s="35" t="inlineStr">
        <is>
          <t>Dr. Paulo Andrade</t>
        </is>
      </c>
      <c r="D1106" s="35" t="inlineStr">
        <is>
          <t>Sala 2</t>
        </is>
      </c>
      <c r="E1106" s="34" t="inlineStr">
        <is>
          <t>Paulo Nascimento</t>
        </is>
      </c>
      <c r="F1106" s="35" t="inlineStr">
        <is>
          <t>MediPlan</t>
        </is>
      </c>
      <c r="G1106" s="35" t="inlineStr">
        <is>
          <t>Consulta</t>
        </is>
      </c>
      <c r="H1106" s="35" t="inlineStr">
        <is>
          <t>Agendado</t>
        </is>
      </c>
      <c r="I1106" s="35" t="n"/>
      <c r="J1106" s="35" t="n"/>
      <c r="K1106" s="34" t="n"/>
      <c r="L1106" s="26">
        <f>IF(A1106="","",MONTH(A1106))</f>
        <v>9</v>
      </c>
      <c r="M1106" s="26">
        <f>IF(A1106="","",YEAR(A1106))</f>
        <v>2026</v>
      </c>
      <c r="N1106" s="26" t="str">
        <f>IF(A1106="","",CHOOSE(WEEKDAY(A1106,2),"Segunda","Terça","Quarta","Quinta","Sexta","Sábado","Domingo"))</f>
        <v>Segunda</v>
      </c>
      <c r="O1106" s="26" t="str">
        <f>IF(B1106="","",IF(B1106&lt;TIME(12,0,0),"Manhã",IF(B1106&lt;TIME(18,0,0),"Tarde","Noite")))</f>
        <v>Tarde</v>
      </c>
      <c r="P1106" s="32">
        <f>IF(G1106="","",IFERROR(INDEX(Config!$I$5:$I$16,MATCH(G1106,Config!$H$5:$H$16,0)),0))</f>
        <v>30</v>
      </c>
      <c r="Q1106" s="30">
        <f>IF(OR(H1106&lt;&gt;"Realizado",P1106="",P1106=0),"",A1106+P1106)</f>
        <v/>
      </c>
      <c r="R1106" s="26">
        <f>IF(Q1106="","",IF(COUNTIFS($E$5:$E$3004,E1106,$A$5:$A$3004,"&gt;"&amp;A1106,$H$5:$H$3004,"&lt;&gt;Falta",$H$5:$H$3004,"&lt;&gt;Cancelado",$H$5:$H$3004,"&lt;&gt;Remarcado")&gt;0,"Sim","Não"))</f>
        <v/>
      </c>
      <c r="S1106" s="32">
        <f>IF(R1106&lt;&gt;"Não","",IF(Q1106+Config!$B$9&lt;=Config!$B$8,Config!$B$8-Q1106,""))</f>
        <v/>
      </c>
      <c r="T1106" s="26">
        <f>IF(S1106="","","Sim")</f>
        <v/>
      </c>
      <c r="U1106" s="41">
        <f>IF(T1106="Sim",S1106+ROW()/100000,0)</f>
        <v>0</v>
      </c>
      <c r="V1106" s="41">
        <f>IF(AND(H1106="Falta",L1106=Config!$B$7,M1106=Config!$B$5,COUNTIFS($E$5:E1106,E1106,$H$5:H1106,"Falta",$L$5:L1106,Config!$B$7,$M$5:M1106,Config!$B$5)=1),COUNTIFS($E$5:$E$3004,E1106,$H$5:$H$3004,"Falta",$L$5:$L$3004,Config!$B$7,$M$5:$M$3004,Config!$B$5)*1000-ROW()/100000,0)</f>
        <v>0</v>
      </c>
    </row>
    <row r="1107">
      <c r="A1107" s="39" t="n">
        <v>46286</v>
      </c>
      <c r="B1107" s="40" t="n">
        <v>0.7291666666666666</v>
      </c>
      <c r="C1107" s="35" t="inlineStr">
        <is>
          <t>Dr. Paulo Andrade</t>
        </is>
      </c>
      <c r="D1107" s="35" t="inlineStr">
        <is>
          <t>Sala 2</t>
        </is>
      </c>
      <c r="E1107" s="34" t="inlineStr">
        <is>
          <t>Wagner Santos</t>
        </is>
      </c>
      <c r="F1107" s="35" t="inlineStr">
        <is>
          <t>Particular</t>
        </is>
      </c>
      <c r="G1107" s="35" t="inlineStr">
        <is>
          <t>ECG</t>
        </is>
      </c>
      <c r="H1107" s="35" t="inlineStr">
        <is>
          <t>Agendado</t>
        </is>
      </c>
      <c r="I1107" s="35" t="n"/>
      <c r="J1107" s="35" t="n"/>
      <c r="K1107" s="34" t="n"/>
      <c r="L1107" s="26">
        <f>IF(A1107="","",MONTH(A1107))</f>
        <v>9</v>
      </c>
      <c r="M1107" s="26">
        <f>IF(A1107="","",YEAR(A1107))</f>
        <v>2026</v>
      </c>
      <c r="N1107" s="26" t="str">
        <f>IF(A1107="","",CHOOSE(WEEKDAY(A1107,2),"Segunda","Terça","Quarta","Quinta","Sexta","Sábado","Domingo"))</f>
        <v>Segunda</v>
      </c>
      <c r="O1107" s="26" t="str">
        <f>IF(B1107="","",IF(B1107&lt;TIME(12,0,0),"Manhã",IF(B1107&lt;TIME(18,0,0),"Tarde","Noite")))</f>
        <v>Tarde</v>
      </c>
      <c r="P1107" s="32">
        <f>IF(G1107="","",IFERROR(INDEX(Config!$I$5:$I$16,MATCH(G1107,Config!$H$5:$H$16,0)),0))</f>
        <v>0</v>
      </c>
      <c r="Q1107" s="30">
        <f>IF(OR(H1107&lt;&gt;"Realizado",P1107="",P1107=0),"",A1107+P1107)</f>
        <v/>
      </c>
      <c r="R1107" s="26">
        <f>IF(Q1107="","",IF(COUNTIFS($E$5:$E$3004,E1107,$A$5:$A$3004,"&gt;"&amp;A1107,$H$5:$H$3004,"&lt;&gt;Falta",$H$5:$H$3004,"&lt;&gt;Cancelado",$H$5:$H$3004,"&lt;&gt;Remarcado")&gt;0,"Sim","Não"))</f>
        <v/>
      </c>
      <c r="S1107" s="32">
        <f>IF(R1107&lt;&gt;"Não","",IF(Q1107+Config!$B$9&lt;=Config!$B$8,Config!$B$8-Q1107,""))</f>
        <v/>
      </c>
      <c r="T1107" s="26">
        <f>IF(S1107="","","Sim")</f>
        <v/>
      </c>
      <c r="U1107" s="41">
        <f>IF(T1107="Sim",S1107+ROW()/100000,0)</f>
        <v>0</v>
      </c>
      <c r="V1107" s="41">
        <f>IF(AND(H1107="Falta",L1107=Config!$B$7,M1107=Config!$B$5,COUNTIFS($E$5:E1107,E1107,$H$5:H1107,"Falta",$L$5:L1107,Config!$B$7,$M$5:M1107,Config!$B$5)=1),COUNTIFS($E$5:$E$3004,E1107,$H$5:$H$3004,"Falta",$L$5:$L$3004,Config!$B$7,$M$5:$M$3004,Config!$B$5)*1000-ROW()/100000,0)</f>
        <v>0</v>
      </c>
    </row>
    <row r="1108">
      <c r="A1108" s="39" t="n">
        <v>46287</v>
      </c>
      <c r="B1108" s="40" t="n">
        <v>0.3541666666666667</v>
      </c>
      <c r="C1108" s="35" t="inlineStr">
        <is>
          <t>Dra. Carolina Mendes</t>
        </is>
      </c>
      <c r="D1108" s="35" t="inlineStr">
        <is>
          <t>Sala 1</t>
        </is>
      </c>
      <c r="E1108" s="34" t="inlineStr">
        <is>
          <t>Fábio Machado</t>
        </is>
      </c>
      <c r="F1108" s="35" t="inlineStr">
        <is>
          <t>Particular</t>
        </is>
      </c>
      <c r="G1108" s="35" t="inlineStr">
        <is>
          <t>Consulta</t>
        </is>
      </c>
      <c r="H1108" s="35" t="inlineStr">
        <is>
          <t>Agendado</t>
        </is>
      </c>
      <c r="I1108" s="35" t="n"/>
      <c r="J1108" s="35" t="n"/>
      <c r="K1108" s="34" t="n"/>
      <c r="L1108" s="26">
        <f>IF(A1108="","",MONTH(A1108))</f>
        <v>9</v>
      </c>
      <c r="M1108" s="26">
        <f>IF(A1108="","",YEAR(A1108))</f>
        <v>2026</v>
      </c>
      <c r="N1108" s="26" t="str">
        <f>IF(A1108="","",CHOOSE(WEEKDAY(A1108,2),"Segunda","Terça","Quarta","Quinta","Sexta","Sábado","Domingo"))</f>
        <v>Terça</v>
      </c>
      <c r="O1108" s="26" t="str">
        <f>IF(B1108="","",IF(B1108&lt;TIME(12,0,0),"Manhã",IF(B1108&lt;TIME(18,0,0),"Tarde","Noite")))</f>
        <v>Manhã</v>
      </c>
      <c r="P1108" s="32">
        <f>IF(G1108="","",IFERROR(INDEX(Config!$I$5:$I$16,MATCH(G1108,Config!$H$5:$H$16,0)),0))</f>
        <v>30</v>
      </c>
      <c r="Q1108" s="30">
        <f>IF(OR(H1108&lt;&gt;"Realizado",P1108="",P1108=0),"",A1108+P1108)</f>
        <v/>
      </c>
      <c r="R1108" s="26">
        <f>IF(Q1108="","",IF(COUNTIFS($E$5:$E$3004,E1108,$A$5:$A$3004,"&gt;"&amp;A1108,$H$5:$H$3004,"&lt;&gt;Falta",$H$5:$H$3004,"&lt;&gt;Cancelado",$H$5:$H$3004,"&lt;&gt;Remarcado")&gt;0,"Sim","Não"))</f>
        <v/>
      </c>
      <c r="S1108" s="32">
        <f>IF(R1108&lt;&gt;"Não","",IF(Q1108+Config!$B$9&lt;=Config!$B$8,Config!$B$8-Q1108,""))</f>
        <v/>
      </c>
      <c r="T1108" s="26">
        <f>IF(S1108="","","Sim")</f>
        <v/>
      </c>
      <c r="U1108" s="41">
        <f>IF(T1108="Sim",S1108+ROW()/100000,0)</f>
        <v>0</v>
      </c>
      <c r="V1108" s="41">
        <f>IF(AND(H1108="Falta",L1108=Config!$B$7,M1108=Config!$B$5,COUNTIFS($E$5:E1108,E1108,$H$5:H1108,"Falta",$L$5:L1108,Config!$B$7,$M$5:M1108,Config!$B$5)=1),COUNTIFS($E$5:$E$3004,E1108,$H$5:$H$3004,"Falta",$L$5:$L$3004,Config!$B$7,$M$5:$M$3004,Config!$B$5)*1000-ROW()/100000,0)</f>
        <v>0</v>
      </c>
    </row>
    <row r="1109">
      <c r="A1109" s="39" t="n">
        <v>46287</v>
      </c>
      <c r="B1109" s="40" t="n">
        <v>0.375</v>
      </c>
      <c r="C1109" s="35" t="inlineStr">
        <is>
          <t>Dra. Carolina Mendes</t>
        </is>
      </c>
      <c r="D1109" s="35" t="inlineStr">
        <is>
          <t>Sala 1</t>
        </is>
      </c>
      <c r="E1109" s="34" t="inlineStr">
        <is>
          <t>Wagner Lima</t>
        </is>
      </c>
      <c r="F1109" s="35" t="inlineStr">
        <is>
          <t>Particular</t>
        </is>
      </c>
      <c r="G1109" s="35" t="inlineStr">
        <is>
          <t>Consulta</t>
        </is>
      </c>
      <c r="H1109" s="35" t="inlineStr">
        <is>
          <t>Agendado</t>
        </is>
      </c>
      <c r="I1109" s="35" t="n"/>
      <c r="J1109" s="35" t="n"/>
      <c r="K1109" s="34" t="n"/>
      <c r="L1109" s="26">
        <f>IF(A1109="","",MONTH(A1109))</f>
        <v>9</v>
      </c>
      <c r="M1109" s="26">
        <f>IF(A1109="","",YEAR(A1109))</f>
        <v>2026</v>
      </c>
      <c r="N1109" s="26" t="str">
        <f>IF(A1109="","",CHOOSE(WEEKDAY(A1109,2),"Segunda","Terça","Quarta","Quinta","Sexta","Sábado","Domingo"))</f>
        <v>Terça</v>
      </c>
      <c r="O1109" s="26" t="str">
        <f>IF(B1109="","",IF(B1109&lt;TIME(12,0,0),"Manhã",IF(B1109&lt;TIME(18,0,0),"Tarde","Noite")))</f>
        <v>Manhã</v>
      </c>
      <c r="P1109" s="32">
        <f>IF(G1109="","",IFERROR(INDEX(Config!$I$5:$I$16,MATCH(G1109,Config!$H$5:$H$16,0)),0))</f>
        <v>30</v>
      </c>
      <c r="Q1109" s="30">
        <f>IF(OR(H1109&lt;&gt;"Realizado",P1109="",P1109=0),"",A1109+P1109)</f>
        <v/>
      </c>
      <c r="R1109" s="26">
        <f>IF(Q1109="","",IF(COUNTIFS($E$5:$E$3004,E1109,$A$5:$A$3004,"&gt;"&amp;A1109,$H$5:$H$3004,"&lt;&gt;Falta",$H$5:$H$3004,"&lt;&gt;Cancelado",$H$5:$H$3004,"&lt;&gt;Remarcado")&gt;0,"Sim","Não"))</f>
        <v/>
      </c>
      <c r="S1109" s="32">
        <f>IF(R1109&lt;&gt;"Não","",IF(Q1109+Config!$B$9&lt;=Config!$B$8,Config!$B$8-Q1109,""))</f>
        <v/>
      </c>
      <c r="T1109" s="26">
        <f>IF(S1109="","","Sim")</f>
        <v/>
      </c>
      <c r="U1109" s="41">
        <f>IF(T1109="Sim",S1109+ROW()/100000,0)</f>
        <v>0</v>
      </c>
      <c r="V1109" s="41">
        <f>IF(AND(H1109="Falta",L1109=Config!$B$7,M1109=Config!$B$5,COUNTIFS($E$5:E1109,E1109,$H$5:H1109,"Falta",$L$5:L1109,Config!$B$7,$M$5:M1109,Config!$B$5)=1),COUNTIFS($E$5:$E$3004,E1109,$H$5:$H$3004,"Falta",$L$5:$L$3004,Config!$B$7,$M$5:$M$3004,Config!$B$5)*1000-ROW()/100000,0)</f>
        <v>0</v>
      </c>
    </row>
    <row r="1110">
      <c r="A1110" s="39" t="n">
        <v>46287</v>
      </c>
      <c r="B1110" s="40" t="n">
        <v>0.3958333333333333</v>
      </c>
      <c r="C1110" s="35" t="inlineStr">
        <is>
          <t>Dra. Carolina Mendes</t>
        </is>
      </c>
      <c r="D1110" s="35" t="inlineStr">
        <is>
          <t>Sala 1</t>
        </is>
      </c>
      <c r="E1110" s="34" t="inlineStr">
        <is>
          <t>Renato Dias</t>
        </is>
      </c>
      <c r="F1110" s="35" t="inlineStr">
        <is>
          <t>Particular</t>
        </is>
      </c>
      <c r="G1110" s="35" t="inlineStr">
        <is>
          <t>Consulta</t>
        </is>
      </c>
      <c r="H1110" s="35" t="inlineStr">
        <is>
          <t>Agendado</t>
        </is>
      </c>
      <c r="I1110" s="35" t="n"/>
      <c r="J1110" s="35" t="n"/>
      <c r="K1110" s="34" t="n"/>
      <c r="L1110" s="26">
        <f>IF(A1110="","",MONTH(A1110))</f>
        <v>9</v>
      </c>
      <c r="M1110" s="26">
        <f>IF(A1110="","",YEAR(A1110))</f>
        <v>2026</v>
      </c>
      <c r="N1110" s="26" t="str">
        <f>IF(A1110="","",CHOOSE(WEEKDAY(A1110,2),"Segunda","Terça","Quarta","Quinta","Sexta","Sábado","Domingo"))</f>
        <v>Terça</v>
      </c>
      <c r="O1110" s="26" t="str">
        <f>IF(B1110="","",IF(B1110&lt;TIME(12,0,0),"Manhã",IF(B1110&lt;TIME(18,0,0),"Tarde","Noite")))</f>
        <v>Manhã</v>
      </c>
      <c r="P1110" s="32">
        <f>IF(G1110="","",IFERROR(INDEX(Config!$I$5:$I$16,MATCH(G1110,Config!$H$5:$H$16,0)),0))</f>
        <v>30</v>
      </c>
      <c r="Q1110" s="30">
        <f>IF(OR(H1110&lt;&gt;"Realizado",P1110="",P1110=0),"",A1110+P1110)</f>
        <v/>
      </c>
      <c r="R1110" s="26">
        <f>IF(Q1110="","",IF(COUNTIFS($E$5:$E$3004,E1110,$A$5:$A$3004,"&gt;"&amp;A1110,$H$5:$H$3004,"&lt;&gt;Falta",$H$5:$H$3004,"&lt;&gt;Cancelado",$H$5:$H$3004,"&lt;&gt;Remarcado")&gt;0,"Sim","Não"))</f>
        <v/>
      </c>
      <c r="S1110" s="32">
        <f>IF(R1110&lt;&gt;"Não","",IF(Q1110+Config!$B$9&lt;=Config!$B$8,Config!$B$8-Q1110,""))</f>
        <v/>
      </c>
      <c r="T1110" s="26">
        <f>IF(S1110="","","Sim")</f>
        <v/>
      </c>
      <c r="U1110" s="41">
        <f>IF(T1110="Sim",S1110+ROW()/100000,0)</f>
        <v>0</v>
      </c>
      <c r="V1110" s="41">
        <f>IF(AND(H1110="Falta",L1110=Config!$B$7,M1110=Config!$B$5,COUNTIFS($E$5:E1110,E1110,$H$5:H1110,"Falta",$L$5:L1110,Config!$B$7,$M$5:M1110,Config!$B$5)=1),COUNTIFS($E$5:$E$3004,E1110,$H$5:$H$3004,"Falta",$L$5:$L$3004,Config!$B$7,$M$5:$M$3004,Config!$B$5)*1000-ROW()/100000,0)</f>
        <v>0</v>
      </c>
    </row>
    <row r="1111">
      <c r="A1111" s="39" t="n">
        <v>46287</v>
      </c>
      <c r="B1111" s="40" t="n">
        <v>0.4166666666666667</v>
      </c>
      <c r="C1111" s="35" t="inlineStr">
        <is>
          <t>Dra. Carolina Mendes</t>
        </is>
      </c>
      <c r="D1111" s="35" t="inlineStr">
        <is>
          <t>Sala 1</t>
        </is>
      </c>
      <c r="E1111" s="34" t="inlineStr">
        <is>
          <t>Otávio Cardoso</t>
        </is>
      </c>
      <c r="F1111" s="35" t="inlineStr">
        <is>
          <t>Particular</t>
        </is>
      </c>
      <c r="G1111" s="35" t="inlineStr">
        <is>
          <t>Retorno</t>
        </is>
      </c>
      <c r="H1111" s="35" t="inlineStr">
        <is>
          <t>Agendado</t>
        </is>
      </c>
      <c r="I1111" s="35" t="n"/>
      <c r="J1111" s="35" t="n"/>
      <c r="K1111" s="34" t="n"/>
      <c r="L1111" s="26">
        <f>IF(A1111="","",MONTH(A1111))</f>
        <v>9</v>
      </c>
      <c r="M1111" s="26">
        <f>IF(A1111="","",YEAR(A1111))</f>
        <v>2026</v>
      </c>
      <c r="N1111" s="26" t="str">
        <f>IF(A1111="","",CHOOSE(WEEKDAY(A1111,2),"Segunda","Terça","Quarta","Quinta","Sexta","Sábado","Domingo"))</f>
        <v>Terça</v>
      </c>
      <c r="O1111" s="26" t="str">
        <f>IF(B1111="","",IF(B1111&lt;TIME(12,0,0),"Manhã",IF(B1111&lt;TIME(18,0,0),"Tarde","Noite")))</f>
        <v>Manhã</v>
      </c>
      <c r="P1111" s="32">
        <f>IF(G1111="","",IFERROR(INDEX(Config!$I$5:$I$16,MATCH(G1111,Config!$H$5:$H$16,0)),0))</f>
        <v>0</v>
      </c>
      <c r="Q1111" s="30">
        <f>IF(OR(H1111&lt;&gt;"Realizado",P1111="",P1111=0),"",A1111+P1111)</f>
        <v/>
      </c>
      <c r="R1111" s="26">
        <f>IF(Q1111="","",IF(COUNTIFS($E$5:$E$3004,E1111,$A$5:$A$3004,"&gt;"&amp;A1111,$H$5:$H$3004,"&lt;&gt;Falta",$H$5:$H$3004,"&lt;&gt;Cancelado",$H$5:$H$3004,"&lt;&gt;Remarcado")&gt;0,"Sim","Não"))</f>
        <v/>
      </c>
      <c r="S1111" s="32">
        <f>IF(R1111&lt;&gt;"Não","",IF(Q1111+Config!$B$9&lt;=Config!$B$8,Config!$B$8-Q1111,""))</f>
        <v/>
      </c>
      <c r="T1111" s="26">
        <f>IF(S1111="","","Sim")</f>
        <v/>
      </c>
      <c r="U1111" s="41">
        <f>IF(T1111="Sim",S1111+ROW()/100000,0)</f>
        <v>0</v>
      </c>
      <c r="V1111" s="41">
        <f>IF(AND(H1111="Falta",L1111=Config!$B$7,M1111=Config!$B$5,COUNTIFS($E$5:E1111,E1111,$H$5:H1111,"Falta",$L$5:L1111,Config!$B$7,$M$5:M1111,Config!$B$5)=1),COUNTIFS($E$5:$E$3004,E1111,$H$5:$H$3004,"Falta",$L$5:$L$3004,Config!$B$7,$M$5:$M$3004,Config!$B$5)*1000-ROW()/100000,0)</f>
        <v>0</v>
      </c>
    </row>
    <row r="1112">
      <c r="A1112" s="39" t="n">
        <v>46287</v>
      </c>
      <c r="B1112" s="40" t="n">
        <v>0.4305555555555556</v>
      </c>
      <c r="C1112" s="35" t="inlineStr">
        <is>
          <t>Dra. Carolina Mendes</t>
        </is>
      </c>
      <c r="D1112" s="35" t="inlineStr">
        <is>
          <t>Sala 1</t>
        </is>
      </c>
      <c r="E1112" s="34" t="inlineStr">
        <is>
          <t>Eduardo Nunes</t>
        </is>
      </c>
      <c r="F1112" s="35" t="inlineStr">
        <is>
          <t>MediPlan</t>
        </is>
      </c>
      <c r="G1112" s="35" t="inlineStr">
        <is>
          <t>Consulta</t>
        </is>
      </c>
      <c r="H1112" s="35" t="inlineStr">
        <is>
          <t>Agendado</t>
        </is>
      </c>
      <c r="I1112" s="35" t="n"/>
      <c r="J1112" s="35" t="n"/>
      <c r="K1112" s="34" t="n"/>
      <c r="L1112" s="26">
        <f>IF(A1112="","",MONTH(A1112))</f>
        <v>9</v>
      </c>
      <c r="M1112" s="26">
        <f>IF(A1112="","",YEAR(A1112))</f>
        <v>2026</v>
      </c>
      <c r="N1112" s="26" t="str">
        <f>IF(A1112="","",CHOOSE(WEEKDAY(A1112,2),"Segunda","Terça","Quarta","Quinta","Sexta","Sábado","Domingo"))</f>
        <v>Terça</v>
      </c>
      <c r="O1112" s="26" t="str">
        <f>IF(B1112="","",IF(B1112&lt;TIME(12,0,0),"Manhã",IF(B1112&lt;TIME(18,0,0),"Tarde","Noite")))</f>
        <v>Manhã</v>
      </c>
      <c r="P1112" s="32">
        <f>IF(G1112="","",IFERROR(INDEX(Config!$I$5:$I$16,MATCH(G1112,Config!$H$5:$H$16,0)),0))</f>
        <v>30</v>
      </c>
      <c r="Q1112" s="30">
        <f>IF(OR(H1112&lt;&gt;"Realizado",P1112="",P1112=0),"",A1112+P1112)</f>
        <v/>
      </c>
      <c r="R1112" s="26">
        <f>IF(Q1112="","",IF(COUNTIFS($E$5:$E$3004,E1112,$A$5:$A$3004,"&gt;"&amp;A1112,$H$5:$H$3004,"&lt;&gt;Falta",$H$5:$H$3004,"&lt;&gt;Cancelado",$H$5:$H$3004,"&lt;&gt;Remarcado")&gt;0,"Sim","Não"))</f>
        <v/>
      </c>
      <c r="S1112" s="32">
        <f>IF(R1112&lt;&gt;"Não","",IF(Q1112+Config!$B$9&lt;=Config!$B$8,Config!$B$8-Q1112,""))</f>
        <v/>
      </c>
      <c r="T1112" s="26">
        <f>IF(S1112="","","Sim")</f>
        <v/>
      </c>
      <c r="U1112" s="41">
        <f>IF(T1112="Sim",S1112+ROW()/100000,0)</f>
        <v>0</v>
      </c>
      <c r="V1112" s="41">
        <f>IF(AND(H1112="Falta",L1112=Config!$B$7,M1112=Config!$B$5,COUNTIFS($E$5:E1112,E1112,$H$5:H1112,"Falta",$L$5:L1112,Config!$B$7,$M$5:M1112,Config!$B$5)=1),COUNTIFS($E$5:$E$3004,E1112,$H$5:$H$3004,"Falta",$L$5:$L$3004,Config!$B$7,$M$5:$M$3004,Config!$B$5)*1000-ROW()/100000,0)</f>
        <v>0</v>
      </c>
    </row>
    <row r="1113">
      <c r="A1113" s="39" t="n">
        <v>46287</v>
      </c>
      <c r="B1113" s="40" t="n">
        <v>0.4513888888888889</v>
      </c>
      <c r="C1113" s="35" t="inlineStr">
        <is>
          <t>Dra. Carolina Mendes</t>
        </is>
      </c>
      <c r="D1113" s="35" t="inlineStr">
        <is>
          <t>Sala 1</t>
        </is>
      </c>
      <c r="E1113" s="34" t="inlineStr">
        <is>
          <t>Mariana Nascimento</t>
        </is>
      </c>
      <c r="F1113" s="35" t="inlineStr">
        <is>
          <t>Particular</t>
        </is>
      </c>
      <c r="G1113" s="35" t="inlineStr">
        <is>
          <t>Consulta</t>
        </is>
      </c>
      <c r="H1113" s="35" t="inlineStr">
        <is>
          <t>Agendado</t>
        </is>
      </c>
      <c r="I1113" s="35" t="n"/>
      <c r="J1113" s="35" t="n"/>
      <c r="K1113" s="34" t="n"/>
      <c r="L1113" s="26">
        <f>IF(A1113="","",MONTH(A1113))</f>
        <v>9</v>
      </c>
      <c r="M1113" s="26">
        <f>IF(A1113="","",YEAR(A1113))</f>
        <v>2026</v>
      </c>
      <c r="N1113" s="26" t="str">
        <f>IF(A1113="","",CHOOSE(WEEKDAY(A1113,2),"Segunda","Terça","Quarta","Quinta","Sexta","Sábado","Domingo"))</f>
        <v>Terça</v>
      </c>
      <c r="O1113" s="26" t="str">
        <f>IF(B1113="","",IF(B1113&lt;TIME(12,0,0),"Manhã",IF(B1113&lt;TIME(18,0,0),"Tarde","Noite")))</f>
        <v>Manhã</v>
      </c>
      <c r="P1113" s="32">
        <f>IF(G1113="","",IFERROR(INDEX(Config!$I$5:$I$16,MATCH(G1113,Config!$H$5:$H$16,0)),0))</f>
        <v>30</v>
      </c>
      <c r="Q1113" s="30">
        <f>IF(OR(H1113&lt;&gt;"Realizado",P1113="",P1113=0),"",A1113+P1113)</f>
        <v/>
      </c>
      <c r="R1113" s="26">
        <f>IF(Q1113="","",IF(COUNTIFS($E$5:$E$3004,E1113,$A$5:$A$3004,"&gt;"&amp;A1113,$H$5:$H$3004,"&lt;&gt;Falta",$H$5:$H$3004,"&lt;&gt;Cancelado",$H$5:$H$3004,"&lt;&gt;Remarcado")&gt;0,"Sim","Não"))</f>
        <v/>
      </c>
      <c r="S1113" s="32">
        <f>IF(R1113&lt;&gt;"Não","",IF(Q1113+Config!$B$9&lt;=Config!$B$8,Config!$B$8-Q1113,""))</f>
        <v/>
      </c>
      <c r="T1113" s="26">
        <f>IF(S1113="","","Sim")</f>
        <v/>
      </c>
      <c r="U1113" s="41">
        <f>IF(T1113="Sim",S1113+ROW()/100000,0)</f>
        <v>0</v>
      </c>
      <c r="V1113" s="41">
        <f>IF(AND(H1113="Falta",L1113=Config!$B$7,M1113=Config!$B$5,COUNTIFS($E$5:E1113,E1113,$H$5:H1113,"Falta",$L$5:L1113,Config!$B$7,$M$5:M1113,Config!$B$5)=1),COUNTIFS($E$5:$E$3004,E1113,$H$5:$H$3004,"Falta",$L$5:$L$3004,Config!$B$7,$M$5:$M$3004,Config!$B$5)*1000-ROW()/100000,0)</f>
        <v>0</v>
      </c>
    </row>
    <row r="1114">
      <c r="A1114" s="39" t="n">
        <v>46287</v>
      </c>
      <c r="B1114" s="40" t="n">
        <v>0.4722222222222222</v>
      </c>
      <c r="C1114" s="35" t="inlineStr">
        <is>
          <t>Dra. Carolina Mendes</t>
        </is>
      </c>
      <c r="D1114" s="35" t="inlineStr">
        <is>
          <t>Sala 1</t>
        </is>
      </c>
      <c r="E1114" s="34" t="inlineStr">
        <is>
          <t>Gustavo Barbosa</t>
        </is>
      </c>
      <c r="F1114" s="35" t="inlineStr">
        <is>
          <t>Saúde Total</t>
        </is>
      </c>
      <c r="G1114" s="35" t="inlineStr">
        <is>
          <t>Retorno</t>
        </is>
      </c>
      <c r="H1114" s="35" t="inlineStr">
        <is>
          <t>Agendado</t>
        </is>
      </c>
      <c r="I1114" s="35" t="n"/>
      <c r="J1114" s="35" t="n"/>
      <c r="K1114" s="34" t="n"/>
      <c r="L1114" s="26">
        <f>IF(A1114="","",MONTH(A1114))</f>
        <v>9</v>
      </c>
      <c r="M1114" s="26">
        <f>IF(A1114="","",YEAR(A1114))</f>
        <v>2026</v>
      </c>
      <c r="N1114" s="26" t="str">
        <f>IF(A1114="","",CHOOSE(WEEKDAY(A1114,2),"Segunda","Terça","Quarta","Quinta","Sexta","Sábado","Domingo"))</f>
        <v>Terça</v>
      </c>
      <c r="O1114" s="26" t="str">
        <f>IF(B1114="","",IF(B1114&lt;TIME(12,0,0),"Manhã",IF(B1114&lt;TIME(18,0,0),"Tarde","Noite")))</f>
        <v>Manhã</v>
      </c>
      <c r="P1114" s="32">
        <f>IF(G1114="","",IFERROR(INDEX(Config!$I$5:$I$16,MATCH(G1114,Config!$H$5:$H$16,0)),0))</f>
        <v>0</v>
      </c>
      <c r="Q1114" s="30">
        <f>IF(OR(H1114&lt;&gt;"Realizado",P1114="",P1114=0),"",A1114+P1114)</f>
        <v/>
      </c>
      <c r="R1114" s="26">
        <f>IF(Q1114="","",IF(COUNTIFS($E$5:$E$3004,E1114,$A$5:$A$3004,"&gt;"&amp;A1114,$H$5:$H$3004,"&lt;&gt;Falta",$H$5:$H$3004,"&lt;&gt;Cancelado",$H$5:$H$3004,"&lt;&gt;Remarcado")&gt;0,"Sim","Não"))</f>
        <v/>
      </c>
      <c r="S1114" s="32">
        <f>IF(R1114&lt;&gt;"Não","",IF(Q1114+Config!$B$9&lt;=Config!$B$8,Config!$B$8-Q1114,""))</f>
        <v/>
      </c>
      <c r="T1114" s="26">
        <f>IF(S1114="","","Sim")</f>
        <v/>
      </c>
      <c r="U1114" s="41">
        <f>IF(T1114="Sim",S1114+ROW()/100000,0)</f>
        <v>0</v>
      </c>
      <c r="V1114" s="41">
        <f>IF(AND(H1114="Falta",L1114=Config!$B$7,M1114=Config!$B$5,COUNTIFS($E$5:E1114,E1114,$H$5:H1114,"Falta",$L$5:L1114,Config!$B$7,$M$5:M1114,Config!$B$5)=1),COUNTIFS($E$5:$E$3004,E1114,$H$5:$H$3004,"Falta",$L$5:$L$3004,Config!$B$7,$M$5:$M$3004,Config!$B$5)*1000-ROW()/100000,0)</f>
        <v>0</v>
      </c>
    </row>
    <row r="1115">
      <c r="A1115" s="39" t="n">
        <v>46287</v>
      </c>
      <c r="B1115" s="40" t="n">
        <v>0.4861111111111111</v>
      </c>
      <c r="C1115" s="35" t="inlineStr">
        <is>
          <t>Dra. Carolina Mendes</t>
        </is>
      </c>
      <c r="D1115" s="35" t="inlineStr">
        <is>
          <t>Sala 1</t>
        </is>
      </c>
      <c r="E1115" s="34" t="inlineStr">
        <is>
          <t>Mariana Nascimento</t>
        </is>
      </c>
      <c r="F1115" s="35" t="inlineStr">
        <is>
          <t>Particular</t>
        </is>
      </c>
      <c r="G1115" s="35" t="inlineStr">
        <is>
          <t>Retorno</t>
        </is>
      </c>
      <c r="H1115" s="35" t="inlineStr">
        <is>
          <t>Agendado</t>
        </is>
      </c>
      <c r="I1115" s="35" t="n"/>
      <c r="J1115" s="35" t="n"/>
      <c r="K1115" s="34" t="n"/>
      <c r="L1115" s="26">
        <f>IF(A1115="","",MONTH(A1115))</f>
        <v>9</v>
      </c>
      <c r="M1115" s="26">
        <f>IF(A1115="","",YEAR(A1115))</f>
        <v>2026</v>
      </c>
      <c r="N1115" s="26" t="str">
        <f>IF(A1115="","",CHOOSE(WEEKDAY(A1115,2),"Segunda","Terça","Quarta","Quinta","Sexta","Sábado","Domingo"))</f>
        <v>Terça</v>
      </c>
      <c r="O1115" s="26" t="str">
        <f>IF(B1115="","",IF(B1115&lt;TIME(12,0,0),"Manhã",IF(B1115&lt;TIME(18,0,0),"Tarde","Noite")))</f>
        <v>Manhã</v>
      </c>
      <c r="P1115" s="32">
        <f>IF(G1115="","",IFERROR(INDEX(Config!$I$5:$I$16,MATCH(G1115,Config!$H$5:$H$16,0)),0))</f>
        <v>0</v>
      </c>
      <c r="Q1115" s="30">
        <f>IF(OR(H1115&lt;&gt;"Realizado",P1115="",P1115=0),"",A1115+P1115)</f>
        <v/>
      </c>
      <c r="R1115" s="26">
        <f>IF(Q1115="","",IF(COUNTIFS($E$5:$E$3004,E1115,$A$5:$A$3004,"&gt;"&amp;A1115,$H$5:$H$3004,"&lt;&gt;Falta",$H$5:$H$3004,"&lt;&gt;Cancelado",$H$5:$H$3004,"&lt;&gt;Remarcado")&gt;0,"Sim","Não"))</f>
        <v/>
      </c>
      <c r="S1115" s="32">
        <f>IF(R1115&lt;&gt;"Não","",IF(Q1115+Config!$B$9&lt;=Config!$B$8,Config!$B$8-Q1115,""))</f>
        <v/>
      </c>
      <c r="T1115" s="26">
        <f>IF(S1115="","","Sim")</f>
        <v/>
      </c>
      <c r="U1115" s="41">
        <f>IF(T1115="Sim",S1115+ROW()/100000,0)</f>
        <v>0</v>
      </c>
      <c r="V1115" s="41">
        <f>IF(AND(H1115="Falta",L1115=Config!$B$7,M1115=Config!$B$5,COUNTIFS($E$5:E1115,E1115,$H$5:H1115,"Falta",$L$5:L1115,Config!$B$7,$M$5:M1115,Config!$B$5)=1),COUNTIFS($E$5:$E$3004,E1115,$H$5:$H$3004,"Falta",$L$5:$L$3004,Config!$B$7,$M$5:$M$3004,Config!$B$5)*1000-ROW()/100000,0)</f>
        <v>0</v>
      </c>
    </row>
    <row r="1116">
      <c r="A1116" s="39" t="n">
        <v>46287</v>
      </c>
      <c r="B1116" s="40" t="n">
        <v>0.5833333333333334</v>
      </c>
      <c r="C1116" s="35" t="inlineStr">
        <is>
          <t>Dra. Renata Sousa</t>
        </is>
      </c>
      <c r="D1116" s="35" t="inlineStr">
        <is>
          <t>Sala 1</t>
        </is>
      </c>
      <c r="E1116" s="34" t="inlineStr">
        <is>
          <t>Fernanda Gonçalves</t>
        </is>
      </c>
      <c r="F1116" s="35" t="inlineStr">
        <is>
          <t>Saúde Total</t>
        </is>
      </c>
      <c r="G1116" s="35" t="inlineStr">
        <is>
          <t>Avaliação endócrina</t>
        </is>
      </c>
      <c r="H1116" s="35" t="inlineStr">
        <is>
          <t>Agendado</t>
        </is>
      </c>
      <c r="I1116" s="35" t="n"/>
      <c r="J1116" s="35" t="n"/>
      <c r="K1116" s="34" t="n"/>
      <c r="L1116" s="26">
        <f>IF(A1116="","",MONTH(A1116))</f>
        <v>9</v>
      </c>
      <c r="M1116" s="26">
        <f>IF(A1116="","",YEAR(A1116))</f>
        <v>2026</v>
      </c>
      <c r="N1116" s="26" t="str">
        <f>IF(A1116="","",CHOOSE(WEEKDAY(A1116,2),"Segunda","Terça","Quarta","Quinta","Sexta","Sábado","Domingo"))</f>
        <v>Terça</v>
      </c>
      <c r="O1116" s="26" t="str">
        <f>IF(B1116="","",IF(B1116&lt;TIME(12,0,0),"Manhã",IF(B1116&lt;TIME(18,0,0),"Tarde","Noite")))</f>
        <v>Tarde</v>
      </c>
      <c r="P1116" s="32">
        <f>IF(G1116="","",IFERROR(INDEX(Config!$I$5:$I$16,MATCH(G1116,Config!$H$5:$H$16,0)),0))</f>
        <v>45</v>
      </c>
      <c r="Q1116" s="30">
        <f>IF(OR(H1116&lt;&gt;"Realizado",P1116="",P1116=0),"",A1116+P1116)</f>
        <v/>
      </c>
      <c r="R1116" s="26">
        <f>IF(Q1116="","",IF(COUNTIFS($E$5:$E$3004,E1116,$A$5:$A$3004,"&gt;"&amp;A1116,$H$5:$H$3004,"&lt;&gt;Falta",$H$5:$H$3004,"&lt;&gt;Cancelado",$H$5:$H$3004,"&lt;&gt;Remarcado")&gt;0,"Sim","Não"))</f>
        <v/>
      </c>
      <c r="S1116" s="32">
        <f>IF(R1116&lt;&gt;"Não","",IF(Q1116+Config!$B$9&lt;=Config!$B$8,Config!$B$8-Q1116,""))</f>
        <v/>
      </c>
      <c r="T1116" s="26">
        <f>IF(S1116="","","Sim")</f>
        <v/>
      </c>
      <c r="U1116" s="41">
        <f>IF(T1116="Sim",S1116+ROW()/100000,0)</f>
        <v>0</v>
      </c>
      <c r="V1116" s="41">
        <f>IF(AND(H1116="Falta",L1116=Config!$B$7,M1116=Config!$B$5,COUNTIFS($E$5:E1116,E1116,$H$5:H1116,"Falta",$L$5:L1116,Config!$B$7,$M$5:M1116,Config!$B$5)=1),COUNTIFS($E$5:$E$3004,E1116,$H$5:$H$3004,"Falta",$L$5:$L$3004,Config!$B$7,$M$5:$M$3004,Config!$B$5)*1000-ROW()/100000,0)</f>
        <v>0</v>
      </c>
    </row>
    <row r="1117">
      <c r="A1117" s="39" t="n">
        <v>46287</v>
      </c>
      <c r="B1117" s="40" t="n">
        <v>0.5833333333333334</v>
      </c>
      <c r="C1117" s="35" t="inlineStr">
        <is>
          <t>Dr. Paulo Andrade</t>
        </is>
      </c>
      <c r="D1117" s="35" t="inlineStr">
        <is>
          <t>Sala 2</t>
        </is>
      </c>
      <c r="E1117" s="34" t="inlineStr">
        <is>
          <t>Beatriz Gonçalves</t>
        </is>
      </c>
      <c r="F1117" s="35" t="inlineStr">
        <is>
          <t>Saúde Total</t>
        </is>
      </c>
      <c r="G1117" s="35" t="inlineStr">
        <is>
          <t>Retorno</t>
        </is>
      </c>
      <c r="H1117" s="35" t="inlineStr">
        <is>
          <t>Agendado</t>
        </is>
      </c>
      <c r="I1117" s="35" t="n"/>
      <c r="J1117" s="35" t="n"/>
      <c r="K1117" s="34" t="n"/>
      <c r="L1117" s="26">
        <f>IF(A1117="","",MONTH(A1117))</f>
        <v>9</v>
      </c>
      <c r="M1117" s="26">
        <f>IF(A1117="","",YEAR(A1117))</f>
        <v>2026</v>
      </c>
      <c r="N1117" s="26" t="str">
        <f>IF(A1117="","",CHOOSE(WEEKDAY(A1117,2),"Segunda","Terça","Quarta","Quinta","Sexta","Sábado","Domingo"))</f>
        <v>Terça</v>
      </c>
      <c r="O1117" s="26" t="str">
        <f>IF(B1117="","",IF(B1117&lt;TIME(12,0,0),"Manhã",IF(B1117&lt;TIME(18,0,0),"Tarde","Noite")))</f>
        <v>Tarde</v>
      </c>
      <c r="P1117" s="32">
        <f>IF(G1117="","",IFERROR(INDEX(Config!$I$5:$I$16,MATCH(G1117,Config!$H$5:$H$16,0)),0))</f>
        <v>0</v>
      </c>
      <c r="Q1117" s="30">
        <f>IF(OR(H1117&lt;&gt;"Realizado",P1117="",P1117=0),"",A1117+P1117)</f>
        <v/>
      </c>
      <c r="R1117" s="26">
        <f>IF(Q1117="","",IF(COUNTIFS($E$5:$E$3004,E1117,$A$5:$A$3004,"&gt;"&amp;A1117,$H$5:$H$3004,"&lt;&gt;Falta",$H$5:$H$3004,"&lt;&gt;Cancelado",$H$5:$H$3004,"&lt;&gt;Remarcado")&gt;0,"Sim","Não"))</f>
        <v/>
      </c>
      <c r="S1117" s="32">
        <f>IF(R1117&lt;&gt;"Não","",IF(Q1117+Config!$B$9&lt;=Config!$B$8,Config!$B$8-Q1117,""))</f>
        <v/>
      </c>
      <c r="T1117" s="26">
        <f>IF(S1117="","","Sim")</f>
        <v/>
      </c>
      <c r="U1117" s="41">
        <f>IF(T1117="Sim",S1117+ROW()/100000,0)</f>
        <v>0</v>
      </c>
      <c r="V1117" s="41">
        <f>IF(AND(H1117="Falta",L1117=Config!$B$7,M1117=Config!$B$5,COUNTIFS($E$5:E1117,E1117,$H$5:H1117,"Falta",$L$5:L1117,Config!$B$7,$M$5:M1117,Config!$B$5)=1),COUNTIFS($E$5:$E$3004,E1117,$H$5:$H$3004,"Falta",$L$5:$L$3004,Config!$B$7,$M$5:$M$3004,Config!$B$5)*1000-ROW()/100000,0)</f>
        <v>0</v>
      </c>
    </row>
    <row r="1118">
      <c r="A1118" s="39" t="n">
        <v>46287</v>
      </c>
      <c r="B1118" s="40" t="n">
        <v>0.6111111111111112</v>
      </c>
      <c r="C1118" s="35" t="inlineStr">
        <is>
          <t>Dra. Renata Sousa</t>
        </is>
      </c>
      <c r="D1118" s="35" t="inlineStr">
        <is>
          <t>Sala 1</t>
        </is>
      </c>
      <c r="E1118" s="34" t="inlineStr">
        <is>
          <t>Beatriz Gomes</t>
        </is>
      </c>
      <c r="F1118" s="35" t="inlineStr">
        <is>
          <t>Particular</t>
        </is>
      </c>
      <c r="G1118" s="35" t="inlineStr">
        <is>
          <t>Avaliação endócrina</t>
        </is>
      </c>
      <c r="H1118" s="35" t="inlineStr">
        <is>
          <t>Agendado</t>
        </is>
      </c>
      <c r="I1118" s="35" t="n"/>
      <c r="J1118" s="35" t="n"/>
      <c r="K1118" s="34" t="n"/>
      <c r="L1118" s="26">
        <f>IF(A1118="","",MONTH(A1118))</f>
        <v>9</v>
      </c>
      <c r="M1118" s="26">
        <f>IF(A1118="","",YEAR(A1118))</f>
        <v>2026</v>
      </c>
      <c r="N1118" s="26" t="str">
        <f>IF(A1118="","",CHOOSE(WEEKDAY(A1118,2),"Segunda","Terça","Quarta","Quinta","Sexta","Sábado","Domingo"))</f>
        <v>Terça</v>
      </c>
      <c r="O1118" s="26" t="str">
        <f>IF(B1118="","",IF(B1118&lt;TIME(12,0,0),"Manhã",IF(B1118&lt;TIME(18,0,0),"Tarde","Noite")))</f>
        <v>Tarde</v>
      </c>
      <c r="P1118" s="32">
        <f>IF(G1118="","",IFERROR(INDEX(Config!$I$5:$I$16,MATCH(G1118,Config!$H$5:$H$16,0)),0))</f>
        <v>45</v>
      </c>
      <c r="Q1118" s="30">
        <f>IF(OR(H1118&lt;&gt;"Realizado",P1118="",P1118=0),"",A1118+P1118)</f>
        <v/>
      </c>
      <c r="R1118" s="26">
        <f>IF(Q1118="","",IF(COUNTIFS($E$5:$E$3004,E1118,$A$5:$A$3004,"&gt;"&amp;A1118,$H$5:$H$3004,"&lt;&gt;Falta",$H$5:$H$3004,"&lt;&gt;Cancelado",$H$5:$H$3004,"&lt;&gt;Remarcado")&gt;0,"Sim","Não"))</f>
        <v/>
      </c>
      <c r="S1118" s="32">
        <f>IF(R1118&lt;&gt;"Não","",IF(Q1118+Config!$B$9&lt;=Config!$B$8,Config!$B$8-Q1118,""))</f>
        <v/>
      </c>
      <c r="T1118" s="26">
        <f>IF(S1118="","","Sim")</f>
        <v/>
      </c>
      <c r="U1118" s="41">
        <f>IF(T1118="Sim",S1118+ROW()/100000,0)</f>
        <v>0</v>
      </c>
      <c r="V1118" s="41">
        <f>IF(AND(H1118="Falta",L1118=Config!$B$7,M1118=Config!$B$5,COUNTIFS($E$5:E1118,E1118,$H$5:H1118,"Falta",$L$5:L1118,Config!$B$7,$M$5:M1118,Config!$B$5)=1),COUNTIFS($E$5:$E$3004,E1118,$H$5:$H$3004,"Falta",$L$5:$L$3004,Config!$B$7,$M$5:$M$3004,Config!$B$5)*1000-ROW()/100000,0)</f>
        <v>0</v>
      </c>
    </row>
    <row r="1119">
      <c r="A1119" s="39" t="n">
        <v>46287</v>
      </c>
      <c r="B1119" s="40" t="n">
        <v>0.6180555555555556</v>
      </c>
      <c r="C1119" s="35" t="inlineStr">
        <is>
          <t>Dr. Paulo Andrade</t>
        </is>
      </c>
      <c r="D1119" s="35" t="inlineStr">
        <is>
          <t>Sala 2</t>
        </is>
      </c>
      <c r="E1119" s="34" t="inlineStr">
        <is>
          <t>Viviane Ribeiro</t>
        </is>
      </c>
      <c r="F1119" s="35" t="inlineStr">
        <is>
          <t>Particular</t>
        </is>
      </c>
      <c r="G1119" s="35" t="inlineStr">
        <is>
          <t>ECG</t>
        </is>
      </c>
      <c r="H1119" s="35" t="inlineStr">
        <is>
          <t>Agendado</t>
        </is>
      </c>
      <c r="I1119" s="35" t="n"/>
      <c r="J1119" s="35" t="n"/>
      <c r="K1119" s="34" t="n"/>
      <c r="L1119" s="26">
        <f>IF(A1119="","",MONTH(A1119))</f>
        <v>9</v>
      </c>
      <c r="M1119" s="26">
        <f>IF(A1119="","",YEAR(A1119))</f>
        <v>2026</v>
      </c>
      <c r="N1119" s="26" t="str">
        <f>IF(A1119="","",CHOOSE(WEEKDAY(A1119,2),"Segunda","Terça","Quarta","Quinta","Sexta","Sábado","Domingo"))</f>
        <v>Terça</v>
      </c>
      <c r="O1119" s="26" t="str">
        <f>IF(B1119="","",IF(B1119&lt;TIME(12,0,0),"Manhã",IF(B1119&lt;TIME(18,0,0),"Tarde","Noite")))</f>
        <v>Tarde</v>
      </c>
      <c r="P1119" s="32">
        <f>IF(G1119="","",IFERROR(INDEX(Config!$I$5:$I$16,MATCH(G1119,Config!$H$5:$H$16,0)),0))</f>
        <v>0</v>
      </c>
      <c r="Q1119" s="30">
        <f>IF(OR(H1119&lt;&gt;"Realizado",P1119="",P1119=0),"",A1119+P1119)</f>
        <v/>
      </c>
      <c r="R1119" s="26">
        <f>IF(Q1119="","",IF(COUNTIFS($E$5:$E$3004,E1119,$A$5:$A$3004,"&gt;"&amp;A1119,$H$5:$H$3004,"&lt;&gt;Falta",$H$5:$H$3004,"&lt;&gt;Cancelado",$H$5:$H$3004,"&lt;&gt;Remarcado")&gt;0,"Sim","Não"))</f>
        <v/>
      </c>
      <c r="S1119" s="32">
        <f>IF(R1119&lt;&gt;"Não","",IF(Q1119+Config!$B$9&lt;=Config!$B$8,Config!$B$8-Q1119,""))</f>
        <v/>
      </c>
      <c r="T1119" s="26">
        <f>IF(S1119="","","Sim")</f>
        <v/>
      </c>
      <c r="U1119" s="41">
        <f>IF(T1119="Sim",S1119+ROW()/100000,0)</f>
        <v>0</v>
      </c>
      <c r="V1119" s="41">
        <f>IF(AND(H1119="Falta",L1119=Config!$B$7,M1119=Config!$B$5,COUNTIFS($E$5:E1119,E1119,$H$5:H1119,"Falta",$L$5:L1119,Config!$B$7,$M$5:M1119,Config!$B$5)=1),COUNTIFS($E$5:$E$3004,E1119,$H$5:$H$3004,"Falta",$L$5:$L$3004,Config!$B$7,$M$5:$M$3004,Config!$B$5)*1000-ROW()/100000,0)</f>
        <v>0</v>
      </c>
    </row>
    <row r="1120">
      <c r="A1120" s="39" t="n">
        <v>46287</v>
      </c>
      <c r="B1120" s="40" t="n">
        <v>0.6319444444444444</v>
      </c>
      <c r="C1120" s="35" t="inlineStr">
        <is>
          <t>Dr. Paulo Andrade</t>
        </is>
      </c>
      <c r="D1120" s="35" t="inlineStr">
        <is>
          <t>Sala 2</t>
        </is>
      </c>
      <c r="E1120" s="34" t="inlineStr">
        <is>
          <t>Leandro Oliveira</t>
        </is>
      </c>
      <c r="F1120" s="35" t="inlineStr">
        <is>
          <t>Particular</t>
        </is>
      </c>
      <c r="G1120" s="35" t="inlineStr">
        <is>
          <t>Teste ergométrico</t>
        </is>
      </c>
      <c r="H1120" s="35" t="inlineStr">
        <is>
          <t>Agendado</t>
        </is>
      </c>
      <c r="I1120" s="35" t="n"/>
      <c r="J1120" s="35" t="n"/>
      <c r="K1120" s="34" t="n"/>
      <c r="L1120" s="26">
        <f>IF(A1120="","",MONTH(A1120))</f>
        <v>9</v>
      </c>
      <c r="M1120" s="26">
        <f>IF(A1120="","",YEAR(A1120))</f>
        <v>2026</v>
      </c>
      <c r="N1120" s="26" t="str">
        <f>IF(A1120="","",CHOOSE(WEEKDAY(A1120,2),"Segunda","Terça","Quarta","Quinta","Sexta","Sábado","Domingo"))</f>
        <v>Terça</v>
      </c>
      <c r="O1120" s="26" t="str">
        <f>IF(B1120="","",IF(B1120&lt;TIME(12,0,0),"Manhã",IF(B1120&lt;TIME(18,0,0),"Tarde","Noite")))</f>
        <v>Tarde</v>
      </c>
      <c r="P1120" s="32">
        <f>IF(G1120="","",IFERROR(INDEX(Config!$I$5:$I$16,MATCH(G1120,Config!$H$5:$H$16,0)),0))</f>
        <v>0</v>
      </c>
      <c r="Q1120" s="30">
        <f>IF(OR(H1120&lt;&gt;"Realizado",P1120="",P1120=0),"",A1120+P1120)</f>
        <v/>
      </c>
      <c r="R1120" s="26">
        <f>IF(Q1120="","",IF(COUNTIFS($E$5:$E$3004,E1120,$A$5:$A$3004,"&gt;"&amp;A1120,$H$5:$H$3004,"&lt;&gt;Falta",$H$5:$H$3004,"&lt;&gt;Cancelado",$H$5:$H$3004,"&lt;&gt;Remarcado")&gt;0,"Sim","Não"))</f>
        <v/>
      </c>
      <c r="S1120" s="32">
        <f>IF(R1120&lt;&gt;"Não","",IF(Q1120+Config!$B$9&lt;=Config!$B$8,Config!$B$8-Q1120,""))</f>
        <v/>
      </c>
      <c r="T1120" s="26">
        <f>IF(S1120="","","Sim")</f>
        <v/>
      </c>
      <c r="U1120" s="41">
        <f>IF(T1120="Sim",S1120+ROW()/100000,0)</f>
        <v>0</v>
      </c>
      <c r="V1120" s="41">
        <f>IF(AND(H1120="Falta",L1120=Config!$B$7,M1120=Config!$B$5,COUNTIFS($E$5:E1120,E1120,$H$5:H1120,"Falta",$L$5:L1120,Config!$B$7,$M$5:M1120,Config!$B$5)=1),COUNTIFS($E$5:$E$3004,E1120,$H$5:$H$3004,"Falta",$L$5:$L$3004,Config!$B$7,$M$5:$M$3004,Config!$B$5)*1000-ROW()/100000,0)</f>
        <v>0</v>
      </c>
    </row>
    <row r="1121">
      <c r="A1121" s="39" t="n">
        <v>46287</v>
      </c>
      <c r="B1121" s="40" t="n">
        <v>0.6388888888888888</v>
      </c>
      <c r="C1121" s="35" t="inlineStr">
        <is>
          <t>Dra. Renata Sousa</t>
        </is>
      </c>
      <c r="D1121" s="35" t="inlineStr">
        <is>
          <t>Sala 1</t>
        </is>
      </c>
      <c r="E1121" s="34" t="inlineStr">
        <is>
          <t>Priscila Reis</t>
        </is>
      </c>
      <c r="F1121" s="35" t="inlineStr">
        <is>
          <t>Particular</t>
        </is>
      </c>
      <c r="G1121" s="35" t="inlineStr">
        <is>
          <t>Avaliação endócrina</t>
        </is>
      </c>
      <c r="H1121" s="35" t="inlineStr">
        <is>
          <t>Agendado</t>
        </is>
      </c>
      <c r="I1121" s="35" t="n"/>
      <c r="J1121" s="35" t="n"/>
      <c r="K1121" s="34" t="n"/>
      <c r="L1121" s="26">
        <f>IF(A1121="","",MONTH(A1121))</f>
        <v>9</v>
      </c>
      <c r="M1121" s="26">
        <f>IF(A1121="","",YEAR(A1121))</f>
        <v>2026</v>
      </c>
      <c r="N1121" s="26" t="str">
        <f>IF(A1121="","",CHOOSE(WEEKDAY(A1121,2),"Segunda","Terça","Quarta","Quinta","Sexta","Sábado","Domingo"))</f>
        <v>Terça</v>
      </c>
      <c r="O1121" s="26" t="str">
        <f>IF(B1121="","",IF(B1121&lt;TIME(12,0,0),"Manhã",IF(B1121&lt;TIME(18,0,0),"Tarde","Noite")))</f>
        <v>Tarde</v>
      </c>
      <c r="P1121" s="32">
        <f>IF(G1121="","",IFERROR(INDEX(Config!$I$5:$I$16,MATCH(G1121,Config!$H$5:$H$16,0)),0))</f>
        <v>45</v>
      </c>
      <c r="Q1121" s="30">
        <f>IF(OR(H1121&lt;&gt;"Realizado",P1121="",P1121=0),"",A1121+P1121)</f>
        <v/>
      </c>
      <c r="R1121" s="26">
        <f>IF(Q1121="","",IF(COUNTIFS($E$5:$E$3004,E1121,$A$5:$A$3004,"&gt;"&amp;A1121,$H$5:$H$3004,"&lt;&gt;Falta",$H$5:$H$3004,"&lt;&gt;Cancelado",$H$5:$H$3004,"&lt;&gt;Remarcado")&gt;0,"Sim","Não"))</f>
        <v/>
      </c>
      <c r="S1121" s="32">
        <f>IF(R1121&lt;&gt;"Não","",IF(Q1121+Config!$B$9&lt;=Config!$B$8,Config!$B$8-Q1121,""))</f>
        <v/>
      </c>
      <c r="T1121" s="26">
        <f>IF(S1121="","","Sim")</f>
        <v/>
      </c>
      <c r="U1121" s="41">
        <f>IF(T1121="Sim",S1121+ROW()/100000,0)</f>
        <v>0</v>
      </c>
      <c r="V1121" s="41">
        <f>IF(AND(H1121="Falta",L1121=Config!$B$7,M1121=Config!$B$5,COUNTIFS($E$5:E1121,E1121,$H$5:H1121,"Falta",$L$5:L1121,Config!$B$7,$M$5:M1121,Config!$B$5)=1),COUNTIFS($E$5:$E$3004,E1121,$H$5:$H$3004,"Falta",$L$5:$L$3004,Config!$B$7,$M$5:$M$3004,Config!$B$5)*1000-ROW()/100000,0)</f>
        <v>0</v>
      </c>
    </row>
    <row r="1122">
      <c r="A1122" s="39" t="n">
        <v>46287</v>
      </c>
      <c r="B1122" s="40" t="n">
        <v>0.6597222222222222</v>
      </c>
      <c r="C1122" s="35" t="inlineStr">
        <is>
          <t>Dr. Paulo Andrade</t>
        </is>
      </c>
      <c r="D1122" s="35" t="inlineStr">
        <is>
          <t>Sala 2</t>
        </is>
      </c>
      <c r="E1122" s="34" t="inlineStr">
        <is>
          <t>Wagner Lima</t>
        </is>
      </c>
      <c r="F1122" s="35" t="inlineStr">
        <is>
          <t>Particular</t>
        </is>
      </c>
      <c r="G1122" s="35" t="inlineStr">
        <is>
          <t>Holter</t>
        </is>
      </c>
      <c r="H1122" s="35" t="inlineStr">
        <is>
          <t>Agendado</t>
        </is>
      </c>
      <c r="I1122" s="35" t="n"/>
      <c r="J1122" s="35" t="n"/>
      <c r="K1122" s="34" t="n"/>
      <c r="L1122" s="26">
        <f>IF(A1122="","",MONTH(A1122))</f>
        <v>9</v>
      </c>
      <c r="M1122" s="26">
        <f>IF(A1122="","",YEAR(A1122))</f>
        <v>2026</v>
      </c>
      <c r="N1122" s="26" t="str">
        <f>IF(A1122="","",CHOOSE(WEEKDAY(A1122,2),"Segunda","Terça","Quarta","Quinta","Sexta","Sábado","Domingo"))</f>
        <v>Terça</v>
      </c>
      <c r="O1122" s="26" t="str">
        <f>IF(B1122="","",IF(B1122&lt;TIME(12,0,0),"Manhã",IF(B1122&lt;TIME(18,0,0),"Tarde","Noite")))</f>
        <v>Tarde</v>
      </c>
      <c r="P1122" s="32">
        <f>IF(G1122="","",IFERROR(INDEX(Config!$I$5:$I$16,MATCH(G1122,Config!$H$5:$H$16,0)),0))</f>
        <v>0</v>
      </c>
      <c r="Q1122" s="30">
        <f>IF(OR(H1122&lt;&gt;"Realizado",P1122="",P1122=0),"",A1122+P1122)</f>
        <v/>
      </c>
      <c r="R1122" s="26">
        <f>IF(Q1122="","",IF(COUNTIFS($E$5:$E$3004,E1122,$A$5:$A$3004,"&gt;"&amp;A1122,$H$5:$H$3004,"&lt;&gt;Falta",$H$5:$H$3004,"&lt;&gt;Cancelado",$H$5:$H$3004,"&lt;&gt;Remarcado")&gt;0,"Sim","Não"))</f>
        <v/>
      </c>
      <c r="S1122" s="32">
        <f>IF(R1122&lt;&gt;"Não","",IF(Q1122+Config!$B$9&lt;=Config!$B$8,Config!$B$8-Q1122,""))</f>
        <v/>
      </c>
      <c r="T1122" s="26">
        <f>IF(S1122="","","Sim")</f>
        <v/>
      </c>
      <c r="U1122" s="41">
        <f>IF(T1122="Sim",S1122+ROW()/100000,0)</f>
        <v>0</v>
      </c>
      <c r="V1122" s="41">
        <f>IF(AND(H1122="Falta",L1122=Config!$B$7,M1122=Config!$B$5,COUNTIFS($E$5:E1122,E1122,$H$5:H1122,"Falta",$L$5:L1122,Config!$B$7,$M$5:M1122,Config!$B$5)=1),COUNTIFS($E$5:$E$3004,E1122,$H$5:$H$3004,"Falta",$L$5:$L$3004,Config!$B$7,$M$5:$M$3004,Config!$B$5)*1000-ROW()/100000,0)</f>
        <v>0</v>
      </c>
    </row>
    <row r="1123">
      <c r="A1123" s="39" t="n">
        <v>46287</v>
      </c>
      <c r="B1123" s="40" t="n">
        <v>0.6666666666666666</v>
      </c>
      <c r="C1123" s="35" t="inlineStr">
        <is>
          <t>Dra. Renata Sousa</t>
        </is>
      </c>
      <c r="D1123" s="35" t="inlineStr">
        <is>
          <t>Sala 1</t>
        </is>
      </c>
      <c r="E1123" s="34" t="inlineStr">
        <is>
          <t>Gabriel Reis</t>
        </is>
      </c>
      <c r="F1123" s="35" t="inlineStr">
        <is>
          <t>Particular</t>
        </is>
      </c>
      <c r="G1123" s="35" t="inlineStr">
        <is>
          <t>Avaliação endócrina</t>
        </is>
      </c>
      <c r="H1123" s="35" t="inlineStr">
        <is>
          <t>Agendado</t>
        </is>
      </c>
      <c r="I1123" s="35" t="n"/>
      <c r="J1123" s="35" t="n"/>
      <c r="K1123" s="34" t="n"/>
      <c r="L1123" s="26">
        <f>IF(A1123="","",MONTH(A1123))</f>
        <v>9</v>
      </c>
      <c r="M1123" s="26">
        <f>IF(A1123="","",YEAR(A1123))</f>
        <v>2026</v>
      </c>
      <c r="N1123" s="26" t="str">
        <f>IF(A1123="","",CHOOSE(WEEKDAY(A1123,2),"Segunda","Terça","Quarta","Quinta","Sexta","Sábado","Domingo"))</f>
        <v>Terça</v>
      </c>
      <c r="O1123" s="26" t="str">
        <f>IF(B1123="","",IF(B1123&lt;TIME(12,0,0),"Manhã",IF(B1123&lt;TIME(18,0,0),"Tarde","Noite")))</f>
        <v>Tarde</v>
      </c>
      <c r="P1123" s="32">
        <f>IF(G1123="","",IFERROR(INDEX(Config!$I$5:$I$16,MATCH(G1123,Config!$H$5:$H$16,0)),0))</f>
        <v>45</v>
      </c>
      <c r="Q1123" s="30">
        <f>IF(OR(H1123&lt;&gt;"Realizado",P1123="",P1123=0),"",A1123+P1123)</f>
        <v/>
      </c>
      <c r="R1123" s="26">
        <f>IF(Q1123="","",IF(COUNTIFS($E$5:$E$3004,E1123,$A$5:$A$3004,"&gt;"&amp;A1123,$H$5:$H$3004,"&lt;&gt;Falta",$H$5:$H$3004,"&lt;&gt;Cancelado",$H$5:$H$3004,"&lt;&gt;Remarcado")&gt;0,"Sim","Não"))</f>
        <v/>
      </c>
      <c r="S1123" s="32">
        <f>IF(R1123&lt;&gt;"Não","",IF(Q1123+Config!$B$9&lt;=Config!$B$8,Config!$B$8-Q1123,""))</f>
        <v/>
      </c>
      <c r="T1123" s="26">
        <f>IF(S1123="","","Sim")</f>
        <v/>
      </c>
      <c r="U1123" s="41">
        <f>IF(T1123="Sim",S1123+ROW()/100000,0)</f>
        <v>0</v>
      </c>
      <c r="V1123" s="41">
        <f>IF(AND(H1123="Falta",L1123=Config!$B$7,M1123=Config!$B$5,COUNTIFS($E$5:E1123,E1123,$H$5:H1123,"Falta",$L$5:L1123,Config!$B$7,$M$5:M1123,Config!$B$5)=1),COUNTIFS($E$5:$E$3004,E1123,$H$5:$H$3004,"Falta",$L$5:$L$3004,Config!$B$7,$M$5:$M$3004,Config!$B$5)*1000-ROW()/100000,0)</f>
        <v>0</v>
      </c>
    </row>
    <row r="1124">
      <c r="A1124" s="39" t="n">
        <v>46287</v>
      </c>
      <c r="B1124" s="40" t="n">
        <v>0.6944444444444444</v>
      </c>
      <c r="C1124" s="35" t="inlineStr">
        <is>
          <t>Dra. Renata Sousa</t>
        </is>
      </c>
      <c r="D1124" s="35" t="inlineStr">
        <is>
          <t>Sala 1</t>
        </is>
      </c>
      <c r="E1124" s="34" t="inlineStr">
        <is>
          <t>Isabela Xavier</t>
        </is>
      </c>
      <c r="F1124" s="35" t="inlineStr">
        <is>
          <t>Particular</t>
        </is>
      </c>
      <c r="G1124" s="35" t="inlineStr">
        <is>
          <t>Avaliação endócrina</t>
        </is>
      </c>
      <c r="H1124" s="35" t="inlineStr">
        <is>
          <t>Agendado</t>
        </is>
      </c>
      <c r="I1124" s="35" t="n"/>
      <c r="J1124" s="35" t="n"/>
      <c r="K1124" s="34" t="n"/>
      <c r="L1124" s="26">
        <f>IF(A1124="","",MONTH(A1124))</f>
        <v>9</v>
      </c>
      <c r="M1124" s="26">
        <f>IF(A1124="","",YEAR(A1124))</f>
        <v>2026</v>
      </c>
      <c r="N1124" s="26" t="str">
        <f>IF(A1124="","",CHOOSE(WEEKDAY(A1124,2),"Segunda","Terça","Quarta","Quinta","Sexta","Sábado","Domingo"))</f>
        <v>Terça</v>
      </c>
      <c r="O1124" s="26" t="str">
        <f>IF(B1124="","",IF(B1124&lt;TIME(12,0,0),"Manhã",IF(B1124&lt;TIME(18,0,0),"Tarde","Noite")))</f>
        <v>Tarde</v>
      </c>
      <c r="P1124" s="32">
        <f>IF(G1124="","",IFERROR(INDEX(Config!$I$5:$I$16,MATCH(G1124,Config!$H$5:$H$16,0)),0))</f>
        <v>45</v>
      </c>
      <c r="Q1124" s="30">
        <f>IF(OR(H1124&lt;&gt;"Realizado",P1124="",P1124=0),"",A1124+P1124)</f>
        <v/>
      </c>
      <c r="R1124" s="26">
        <f>IF(Q1124="","",IF(COUNTIFS($E$5:$E$3004,E1124,$A$5:$A$3004,"&gt;"&amp;A1124,$H$5:$H$3004,"&lt;&gt;Falta",$H$5:$H$3004,"&lt;&gt;Cancelado",$H$5:$H$3004,"&lt;&gt;Remarcado")&gt;0,"Sim","Não"))</f>
        <v/>
      </c>
      <c r="S1124" s="32">
        <f>IF(R1124&lt;&gt;"Não","",IF(Q1124+Config!$B$9&lt;=Config!$B$8,Config!$B$8-Q1124,""))</f>
        <v/>
      </c>
      <c r="T1124" s="26">
        <f>IF(S1124="","","Sim")</f>
        <v/>
      </c>
      <c r="U1124" s="41">
        <f>IF(T1124="Sim",S1124+ROW()/100000,0)</f>
        <v>0</v>
      </c>
      <c r="V1124" s="41">
        <f>IF(AND(H1124="Falta",L1124=Config!$B$7,M1124=Config!$B$5,COUNTIFS($E$5:E1124,E1124,$H$5:H1124,"Falta",$L$5:L1124,Config!$B$7,$M$5:M1124,Config!$B$5)=1),COUNTIFS($E$5:$E$3004,E1124,$H$5:$H$3004,"Falta",$L$5:$L$3004,Config!$B$7,$M$5:$M$3004,Config!$B$5)*1000-ROW()/100000,0)</f>
        <v>0</v>
      </c>
    </row>
    <row r="1125">
      <c r="A1125" s="39" t="n">
        <v>46287</v>
      </c>
      <c r="B1125" s="40" t="n">
        <v>0.6944444444444444</v>
      </c>
      <c r="C1125" s="35" t="inlineStr">
        <is>
          <t>Dr. Paulo Andrade</t>
        </is>
      </c>
      <c r="D1125" s="35" t="inlineStr">
        <is>
          <t>Sala 2</t>
        </is>
      </c>
      <c r="E1125" s="34" t="inlineStr">
        <is>
          <t>Gustavo Pinto</t>
        </is>
      </c>
      <c r="F1125" s="35" t="inlineStr">
        <is>
          <t>Particular</t>
        </is>
      </c>
      <c r="G1125" s="35" t="inlineStr">
        <is>
          <t>Consulta</t>
        </is>
      </c>
      <c r="H1125" s="35" t="inlineStr">
        <is>
          <t>Agendado</t>
        </is>
      </c>
      <c r="I1125" s="35" t="n"/>
      <c r="J1125" s="35" t="n"/>
      <c r="K1125" s="34" t="n"/>
      <c r="L1125" s="26">
        <f>IF(A1125="","",MONTH(A1125))</f>
        <v>9</v>
      </c>
      <c r="M1125" s="26">
        <f>IF(A1125="","",YEAR(A1125))</f>
        <v>2026</v>
      </c>
      <c r="N1125" s="26" t="str">
        <f>IF(A1125="","",CHOOSE(WEEKDAY(A1125,2),"Segunda","Terça","Quarta","Quinta","Sexta","Sábado","Domingo"))</f>
        <v>Terça</v>
      </c>
      <c r="O1125" s="26" t="str">
        <f>IF(B1125="","",IF(B1125&lt;TIME(12,0,0),"Manhã",IF(B1125&lt;TIME(18,0,0),"Tarde","Noite")))</f>
        <v>Tarde</v>
      </c>
      <c r="P1125" s="32">
        <f>IF(G1125="","",IFERROR(INDEX(Config!$I$5:$I$16,MATCH(G1125,Config!$H$5:$H$16,0)),0))</f>
        <v>30</v>
      </c>
      <c r="Q1125" s="30">
        <f>IF(OR(H1125&lt;&gt;"Realizado",P1125="",P1125=0),"",A1125+P1125)</f>
        <v/>
      </c>
      <c r="R1125" s="26">
        <f>IF(Q1125="","",IF(COUNTIFS($E$5:$E$3004,E1125,$A$5:$A$3004,"&gt;"&amp;A1125,$H$5:$H$3004,"&lt;&gt;Falta",$H$5:$H$3004,"&lt;&gt;Cancelado",$H$5:$H$3004,"&lt;&gt;Remarcado")&gt;0,"Sim","Não"))</f>
        <v/>
      </c>
      <c r="S1125" s="32">
        <f>IF(R1125&lt;&gt;"Não","",IF(Q1125+Config!$B$9&lt;=Config!$B$8,Config!$B$8-Q1125,""))</f>
        <v/>
      </c>
      <c r="T1125" s="26">
        <f>IF(S1125="","","Sim")</f>
        <v/>
      </c>
      <c r="U1125" s="41">
        <f>IF(T1125="Sim",S1125+ROW()/100000,0)</f>
        <v>0</v>
      </c>
      <c r="V1125" s="41">
        <f>IF(AND(H1125="Falta",L1125=Config!$B$7,M1125=Config!$B$5,COUNTIFS($E$5:E1125,E1125,$H$5:H1125,"Falta",$L$5:L1125,Config!$B$7,$M$5:M1125,Config!$B$5)=1),COUNTIFS($E$5:$E$3004,E1125,$H$5:$H$3004,"Falta",$L$5:$L$3004,Config!$B$7,$M$5:$M$3004,Config!$B$5)*1000-ROW()/100000,0)</f>
        <v>0</v>
      </c>
    </row>
    <row r="1126">
      <c r="A1126" s="39" t="n">
        <v>46287</v>
      </c>
      <c r="B1126" s="40" t="n">
        <v>0.7152777777777778</v>
      </c>
      <c r="C1126" s="35" t="inlineStr">
        <is>
          <t>Dr. Paulo Andrade</t>
        </is>
      </c>
      <c r="D1126" s="35" t="inlineStr">
        <is>
          <t>Sala 2</t>
        </is>
      </c>
      <c r="E1126" s="34" t="inlineStr">
        <is>
          <t>Paulo Ribeiro</t>
        </is>
      </c>
      <c r="F1126" s="35" t="inlineStr">
        <is>
          <t>Saúde Total</t>
        </is>
      </c>
      <c r="G1126" s="35" t="inlineStr">
        <is>
          <t>Retorno</t>
        </is>
      </c>
      <c r="H1126" s="35" t="inlineStr">
        <is>
          <t>Agendado</t>
        </is>
      </c>
      <c r="I1126" s="35" t="n"/>
      <c r="J1126" s="35" t="n"/>
      <c r="K1126" s="34" t="n"/>
      <c r="L1126" s="26">
        <f>IF(A1126="","",MONTH(A1126))</f>
        <v>9</v>
      </c>
      <c r="M1126" s="26">
        <f>IF(A1126="","",YEAR(A1126))</f>
        <v>2026</v>
      </c>
      <c r="N1126" s="26" t="str">
        <f>IF(A1126="","",CHOOSE(WEEKDAY(A1126,2),"Segunda","Terça","Quarta","Quinta","Sexta","Sábado","Domingo"))</f>
        <v>Terça</v>
      </c>
      <c r="O1126" s="26" t="str">
        <f>IF(B1126="","",IF(B1126&lt;TIME(12,0,0),"Manhã",IF(B1126&lt;TIME(18,0,0),"Tarde","Noite")))</f>
        <v>Tarde</v>
      </c>
      <c r="P1126" s="32">
        <f>IF(G1126="","",IFERROR(INDEX(Config!$I$5:$I$16,MATCH(G1126,Config!$H$5:$H$16,0)),0))</f>
        <v>0</v>
      </c>
      <c r="Q1126" s="30">
        <f>IF(OR(H1126&lt;&gt;"Realizado",P1126="",P1126=0),"",A1126+P1126)</f>
        <v/>
      </c>
      <c r="R1126" s="26">
        <f>IF(Q1126="","",IF(COUNTIFS($E$5:$E$3004,E1126,$A$5:$A$3004,"&gt;"&amp;A1126,$H$5:$H$3004,"&lt;&gt;Falta",$H$5:$H$3004,"&lt;&gt;Cancelado",$H$5:$H$3004,"&lt;&gt;Remarcado")&gt;0,"Sim","Não"))</f>
        <v/>
      </c>
      <c r="S1126" s="32">
        <f>IF(R1126&lt;&gt;"Não","",IF(Q1126+Config!$B$9&lt;=Config!$B$8,Config!$B$8-Q1126,""))</f>
        <v/>
      </c>
      <c r="T1126" s="26">
        <f>IF(S1126="","","Sim")</f>
        <v/>
      </c>
      <c r="U1126" s="41">
        <f>IF(T1126="Sim",S1126+ROW()/100000,0)</f>
        <v>0</v>
      </c>
      <c r="V1126" s="41">
        <f>IF(AND(H1126="Falta",L1126=Config!$B$7,M1126=Config!$B$5,COUNTIFS($E$5:E1126,E1126,$H$5:H1126,"Falta",$L$5:L1126,Config!$B$7,$M$5:M1126,Config!$B$5)=1),COUNTIFS($E$5:$E$3004,E1126,$H$5:$H$3004,"Falta",$L$5:$L$3004,Config!$B$7,$M$5:$M$3004,Config!$B$5)*1000-ROW()/100000,0)</f>
        <v>0</v>
      </c>
    </row>
    <row r="1127">
      <c r="A1127" s="39" t="n">
        <v>46287</v>
      </c>
      <c r="B1127" s="40" t="n">
        <v>0.7291666666666666</v>
      </c>
      <c r="C1127" s="35" t="inlineStr">
        <is>
          <t>Dr. Paulo Andrade</t>
        </is>
      </c>
      <c r="D1127" s="35" t="inlineStr">
        <is>
          <t>Sala 2</t>
        </is>
      </c>
      <c r="E1127" s="34" t="inlineStr">
        <is>
          <t>Patrícia Correia</t>
        </is>
      </c>
      <c r="F1127" s="35" t="inlineStr">
        <is>
          <t>Saúde Total</t>
        </is>
      </c>
      <c r="G1127" s="35" t="inlineStr">
        <is>
          <t>Consulta</t>
        </is>
      </c>
      <c r="H1127" s="35" t="inlineStr">
        <is>
          <t>Agendado</t>
        </is>
      </c>
      <c r="I1127" s="35" t="n"/>
      <c r="J1127" s="35" t="n"/>
      <c r="K1127" s="34" t="n"/>
      <c r="L1127" s="26">
        <f>IF(A1127="","",MONTH(A1127))</f>
        <v>9</v>
      </c>
      <c r="M1127" s="26">
        <f>IF(A1127="","",YEAR(A1127))</f>
        <v>2026</v>
      </c>
      <c r="N1127" s="26" t="str">
        <f>IF(A1127="","",CHOOSE(WEEKDAY(A1127,2),"Segunda","Terça","Quarta","Quinta","Sexta","Sábado","Domingo"))</f>
        <v>Terça</v>
      </c>
      <c r="O1127" s="26" t="str">
        <f>IF(B1127="","",IF(B1127&lt;TIME(12,0,0),"Manhã",IF(B1127&lt;TIME(18,0,0),"Tarde","Noite")))</f>
        <v>Tarde</v>
      </c>
      <c r="P1127" s="32">
        <f>IF(G1127="","",IFERROR(INDEX(Config!$I$5:$I$16,MATCH(G1127,Config!$H$5:$H$16,0)),0))</f>
        <v>30</v>
      </c>
      <c r="Q1127" s="30">
        <f>IF(OR(H1127&lt;&gt;"Realizado",P1127="",P1127=0),"",A1127+P1127)</f>
        <v/>
      </c>
      <c r="R1127" s="26">
        <f>IF(Q1127="","",IF(COUNTIFS($E$5:$E$3004,E1127,$A$5:$A$3004,"&gt;"&amp;A1127,$H$5:$H$3004,"&lt;&gt;Falta",$H$5:$H$3004,"&lt;&gt;Cancelado",$H$5:$H$3004,"&lt;&gt;Remarcado")&gt;0,"Sim","Não"))</f>
        <v/>
      </c>
      <c r="S1127" s="32">
        <f>IF(R1127&lt;&gt;"Não","",IF(Q1127+Config!$B$9&lt;=Config!$B$8,Config!$B$8-Q1127,""))</f>
        <v/>
      </c>
      <c r="T1127" s="26">
        <f>IF(S1127="","","Sim")</f>
        <v/>
      </c>
      <c r="U1127" s="41">
        <f>IF(T1127="Sim",S1127+ROW()/100000,0)</f>
        <v>0</v>
      </c>
      <c r="V1127" s="41">
        <f>IF(AND(H1127="Falta",L1127=Config!$B$7,M1127=Config!$B$5,COUNTIFS($E$5:E1127,E1127,$H$5:H1127,"Falta",$L$5:L1127,Config!$B$7,$M$5:M1127,Config!$B$5)=1),COUNTIFS($E$5:$E$3004,E1127,$H$5:$H$3004,"Falta",$L$5:$L$3004,Config!$B$7,$M$5:$M$3004,Config!$B$5)*1000-ROW()/100000,0)</f>
        <v>0</v>
      </c>
    </row>
    <row r="1128">
      <c r="A1128" s="39" t="n">
        <v>46288</v>
      </c>
      <c r="B1128" s="40" t="n">
        <v>0.5833333333333334</v>
      </c>
      <c r="C1128" s="35" t="inlineStr">
        <is>
          <t>Dra. Carolina Mendes</t>
        </is>
      </c>
      <c r="D1128" s="35" t="inlineStr">
        <is>
          <t>Sala 1</t>
        </is>
      </c>
      <c r="E1128" s="34" t="inlineStr">
        <is>
          <t>Camila Batista</t>
        </is>
      </c>
      <c r="F1128" s="35" t="inlineStr">
        <is>
          <t>MediPlan</t>
        </is>
      </c>
      <c r="G1128" s="35" t="inlineStr">
        <is>
          <t>Consulta</t>
        </is>
      </c>
      <c r="H1128" s="35" t="inlineStr">
        <is>
          <t>Agendado</t>
        </is>
      </c>
      <c r="I1128" s="35" t="n"/>
      <c r="J1128" s="35" t="n"/>
      <c r="K1128" s="34" t="n"/>
      <c r="L1128" s="26">
        <f>IF(A1128="","",MONTH(A1128))</f>
        <v>9</v>
      </c>
      <c r="M1128" s="26">
        <f>IF(A1128="","",YEAR(A1128))</f>
        <v>2026</v>
      </c>
      <c r="N1128" s="26" t="str">
        <f>IF(A1128="","",CHOOSE(WEEKDAY(A1128,2),"Segunda","Terça","Quarta","Quinta","Sexta","Sábado","Domingo"))</f>
        <v>Quarta</v>
      </c>
      <c r="O1128" s="26" t="str">
        <f>IF(B1128="","",IF(B1128&lt;TIME(12,0,0),"Manhã",IF(B1128&lt;TIME(18,0,0),"Tarde","Noite")))</f>
        <v>Tarde</v>
      </c>
      <c r="P1128" s="32">
        <f>IF(G1128="","",IFERROR(INDEX(Config!$I$5:$I$16,MATCH(G1128,Config!$H$5:$H$16,0)),0))</f>
        <v>30</v>
      </c>
      <c r="Q1128" s="30">
        <f>IF(OR(H1128&lt;&gt;"Realizado",P1128="",P1128=0),"",A1128+P1128)</f>
        <v/>
      </c>
      <c r="R1128" s="26">
        <f>IF(Q1128="","",IF(COUNTIFS($E$5:$E$3004,E1128,$A$5:$A$3004,"&gt;"&amp;A1128,$H$5:$H$3004,"&lt;&gt;Falta",$H$5:$H$3004,"&lt;&gt;Cancelado",$H$5:$H$3004,"&lt;&gt;Remarcado")&gt;0,"Sim","Não"))</f>
        <v/>
      </c>
      <c r="S1128" s="32">
        <f>IF(R1128&lt;&gt;"Não","",IF(Q1128+Config!$B$9&lt;=Config!$B$8,Config!$B$8-Q1128,""))</f>
        <v/>
      </c>
      <c r="T1128" s="26">
        <f>IF(S1128="","","Sim")</f>
        <v/>
      </c>
      <c r="U1128" s="41">
        <f>IF(T1128="Sim",S1128+ROW()/100000,0)</f>
        <v>0</v>
      </c>
      <c r="V1128" s="41">
        <f>IF(AND(H1128="Falta",L1128=Config!$B$7,M1128=Config!$B$5,COUNTIFS($E$5:E1128,E1128,$H$5:H1128,"Falta",$L$5:L1128,Config!$B$7,$M$5:M1128,Config!$B$5)=1),COUNTIFS($E$5:$E$3004,E1128,$H$5:$H$3004,"Falta",$L$5:$L$3004,Config!$B$7,$M$5:$M$3004,Config!$B$5)*1000-ROW()/100000,0)</f>
        <v>0</v>
      </c>
    </row>
    <row r="1129">
      <c r="A1129" s="39" t="n">
        <v>46288</v>
      </c>
      <c r="B1129" s="40" t="n">
        <v>0.6041666666666666</v>
      </c>
      <c r="C1129" s="35" t="inlineStr">
        <is>
          <t>Dra. Carolina Mendes</t>
        </is>
      </c>
      <c r="D1129" s="35" t="inlineStr">
        <is>
          <t>Sala 1</t>
        </is>
      </c>
      <c r="E1129" s="34" t="inlineStr">
        <is>
          <t>Gisele Ribeiro</t>
        </is>
      </c>
      <c r="F1129" s="35" t="inlineStr">
        <is>
          <t>Particular</t>
        </is>
      </c>
      <c r="G1129" s="35" t="inlineStr">
        <is>
          <t>Retorno</t>
        </is>
      </c>
      <c r="H1129" s="35" t="inlineStr">
        <is>
          <t>Agendado</t>
        </is>
      </c>
      <c r="I1129" s="35" t="n"/>
      <c r="J1129" s="35" t="n"/>
      <c r="K1129" s="34" t="n"/>
      <c r="L1129" s="26">
        <f>IF(A1129="","",MONTH(A1129))</f>
        <v>9</v>
      </c>
      <c r="M1129" s="26">
        <f>IF(A1129="","",YEAR(A1129))</f>
        <v>2026</v>
      </c>
      <c r="N1129" s="26" t="str">
        <f>IF(A1129="","",CHOOSE(WEEKDAY(A1129,2),"Segunda","Terça","Quarta","Quinta","Sexta","Sábado","Domingo"))</f>
        <v>Quarta</v>
      </c>
      <c r="O1129" s="26" t="str">
        <f>IF(B1129="","",IF(B1129&lt;TIME(12,0,0),"Manhã",IF(B1129&lt;TIME(18,0,0),"Tarde","Noite")))</f>
        <v>Tarde</v>
      </c>
      <c r="P1129" s="32">
        <f>IF(G1129="","",IFERROR(INDEX(Config!$I$5:$I$16,MATCH(G1129,Config!$H$5:$H$16,0)),0))</f>
        <v>0</v>
      </c>
      <c r="Q1129" s="30">
        <f>IF(OR(H1129&lt;&gt;"Realizado",P1129="",P1129=0),"",A1129+P1129)</f>
        <v/>
      </c>
      <c r="R1129" s="26">
        <f>IF(Q1129="","",IF(COUNTIFS($E$5:$E$3004,E1129,$A$5:$A$3004,"&gt;"&amp;A1129,$H$5:$H$3004,"&lt;&gt;Falta",$H$5:$H$3004,"&lt;&gt;Cancelado",$H$5:$H$3004,"&lt;&gt;Remarcado")&gt;0,"Sim","Não"))</f>
        <v/>
      </c>
      <c r="S1129" s="32">
        <f>IF(R1129&lt;&gt;"Não","",IF(Q1129+Config!$B$9&lt;=Config!$B$8,Config!$B$8-Q1129,""))</f>
        <v/>
      </c>
      <c r="T1129" s="26">
        <f>IF(S1129="","","Sim")</f>
        <v/>
      </c>
      <c r="U1129" s="41">
        <f>IF(T1129="Sim",S1129+ROW()/100000,0)</f>
        <v>0</v>
      </c>
      <c r="V1129" s="41">
        <f>IF(AND(H1129="Falta",L1129=Config!$B$7,M1129=Config!$B$5,COUNTIFS($E$5:E1129,E1129,$H$5:H1129,"Falta",$L$5:L1129,Config!$B$7,$M$5:M1129,Config!$B$5)=1),COUNTIFS($E$5:$E$3004,E1129,$H$5:$H$3004,"Falta",$L$5:$L$3004,Config!$B$7,$M$5:$M$3004,Config!$B$5)*1000-ROW()/100000,0)</f>
        <v>0</v>
      </c>
    </row>
    <row r="1130">
      <c r="A1130" s="39" t="n">
        <v>46288</v>
      </c>
      <c r="B1130" s="40" t="n">
        <v>0.6388888888888888</v>
      </c>
      <c r="C1130" s="35" t="inlineStr">
        <is>
          <t>Dra. Carolina Mendes</t>
        </is>
      </c>
      <c r="D1130" s="35" t="inlineStr">
        <is>
          <t>Sala 1</t>
        </is>
      </c>
      <c r="E1130" s="34" t="inlineStr">
        <is>
          <t>Roberta Fernandes</t>
        </is>
      </c>
      <c r="F1130" s="35" t="inlineStr">
        <is>
          <t>Saúde Total</t>
        </is>
      </c>
      <c r="G1130" s="35" t="inlineStr">
        <is>
          <t>Retorno</t>
        </is>
      </c>
      <c r="H1130" s="35" t="inlineStr">
        <is>
          <t>Agendado</t>
        </is>
      </c>
      <c r="I1130" s="35" t="n"/>
      <c r="J1130" s="35" t="n"/>
      <c r="K1130" s="34" t="n"/>
      <c r="L1130" s="26">
        <f>IF(A1130="","",MONTH(A1130))</f>
        <v>9</v>
      </c>
      <c r="M1130" s="26">
        <f>IF(A1130="","",YEAR(A1130))</f>
        <v>2026</v>
      </c>
      <c r="N1130" s="26" t="str">
        <f>IF(A1130="","",CHOOSE(WEEKDAY(A1130,2),"Segunda","Terça","Quarta","Quinta","Sexta","Sábado","Domingo"))</f>
        <v>Quarta</v>
      </c>
      <c r="O1130" s="26" t="str">
        <f>IF(B1130="","",IF(B1130&lt;TIME(12,0,0),"Manhã",IF(B1130&lt;TIME(18,0,0),"Tarde","Noite")))</f>
        <v>Tarde</v>
      </c>
      <c r="P1130" s="32">
        <f>IF(G1130="","",IFERROR(INDEX(Config!$I$5:$I$16,MATCH(G1130,Config!$H$5:$H$16,0)),0))</f>
        <v>0</v>
      </c>
      <c r="Q1130" s="30">
        <f>IF(OR(H1130&lt;&gt;"Realizado",P1130="",P1130=0),"",A1130+P1130)</f>
        <v/>
      </c>
      <c r="R1130" s="26">
        <f>IF(Q1130="","",IF(COUNTIFS($E$5:$E$3004,E1130,$A$5:$A$3004,"&gt;"&amp;A1130,$H$5:$H$3004,"&lt;&gt;Falta",$H$5:$H$3004,"&lt;&gt;Cancelado",$H$5:$H$3004,"&lt;&gt;Remarcado")&gt;0,"Sim","Não"))</f>
        <v/>
      </c>
      <c r="S1130" s="32">
        <f>IF(R1130&lt;&gt;"Não","",IF(Q1130+Config!$B$9&lt;=Config!$B$8,Config!$B$8-Q1130,""))</f>
        <v/>
      </c>
      <c r="T1130" s="26">
        <f>IF(S1130="","","Sim")</f>
        <v/>
      </c>
      <c r="U1130" s="41">
        <f>IF(T1130="Sim",S1130+ROW()/100000,0)</f>
        <v>0</v>
      </c>
      <c r="V1130" s="41">
        <f>IF(AND(H1130="Falta",L1130=Config!$B$7,M1130=Config!$B$5,COUNTIFS($E$5:E1130,E1130,$H$5:H1130,"Falta",$L$5:L1130,Config!$B$7,$M$5:M1130,Config!$B$5)=1),COUNTIFS($E$5:$E$3004,E1130,$H$5:$H$3004,"Falta",$L$5:$L$3004,Config!$B$7,$M$5:$M$3004,Config!$B$5)*1000-ROW()/100000,0)</f>
        <v>0</v>
      </c>
    </row>
    <row r="1131">
      <c r="A1131" s="39" t="n">
        <v>46288</v>
      </c>
      <c r="B1131" s="40" t="n">
        <v>0.6527777777777778</v>
      </c>
      <c r="C1131" s="35" t="inlineStr">
        <is>
          <t>Dra. Carolina Mendes</t>
        </is>
      </c>
      <c r="D1131" s="35" t="inlineStr">
        <is>
          <t>Sala 1</t>
        </is>
      </c>
      <c r="E1131" s="34" t="inlineStr">
        <is>
          <t>Sandra Barros</t>
        </is>
      </c>
      <c r="F1131" s="35" t="inlineStr">
        <is>
          <t>Saúde Total</t>
        </is>
      </c>
      <c r="G1131" s="35" t="inlineStr">
        <is>
          <t>Consulta</t>
        </is>
      </c>
      <c r="H1131" s="35" t="inlineStr">
        <is>
          <t>Agendado</t>
        </is>
      </c>
      <c r="I1131" s="35" t="n"/>
      <c r="J1131" s="35" t="n"/>
      <c r="K1131" s="34" t="n"/>
      <c r="L1131" s="26">
        <f>IF(A1131="","",MONTH(A1131))</f>
        <v>9</v>
      </c>
      <c r="M1131" s="26">
        <f>IF(A1131="","",YEAR(A1131))</f>
        <v>2026</v>
      </c>
      <c r="N1131" s="26" t="str">
        <f>IF(A1131="","",CHOOSE(WEEKDAY(A1131,2),"Segunda","Terça","Quarta","Quinta","Sexta","Sábado","Domingo"))</f>
        <v>Quarta</v>
      </c>
      <c r="O1131" s="26" t="str">
        <f>IF(B1131="","",IF(B1131&lt;TIME(12,0,0),"Manhã",IF(B1131&lt;TIME(18,0,0),"Tarde","Noite")))</f>
        <v>Tarde</v>
      </c>
      <c r="P1131" s="32">
        <f>IF(G1131="","",IFERROR(INDEX(Config!$I$5:$I$16,MATCH(G1131,Config!$H$5:$H$16,0)),0))</f>
        <v>30</v>
      </c>
      <c r="Q1131" s="30">
        <f>IF(OR(H1131&lt;&gt;"Realizado",P1131="",P1131=0),"",A1131+P1131)</f>
        <v/>
      </c>
      <c r="R1131" s="26">
        <f>IF(Q1131="","",IF(COUNTIFS($E$5:$E$3004,E1131,$A$5:$A$3004,"&gt;"&amp;A1131,$H$5:$H$3004,"&lt;&gt;Falta",$H$5:$H$3004,"&lt;&gt;Cancelado",$H$5:$H$3004,"&lt;&gt;Remarcado")&gt;0,"Sim","Não"))</f>
        <v/>
      </c>
      <c r="S1131" s="32">
        <f>IF(R1131&lt;&gt;"Não","",IF(Q1131+Config!$B$9&lt;=Config!$B$8,Config!$B$8-Q1131,""))</f>
        <v/>
      </c>
      <c r="T1131" s="26">
        <f>IF(S1131="","","Sim")</f>
        <v/>
      </c>
      <c r="U1131" s="41">
        <f>IF(T1131="Sim",S1131+ROW()/100000,0)</f>
        <v>0</v>
      </c>
      <c r="V1131" s="41">
        <f>IF(AND(H1131="Falta",L1131=Config!$B$7,M1131=Config!$B$5,COUNTIFS($E$5:E1131,E1131,$H$5:H1131,"Falta",$L$5:L1131,Config!$B$7,$M$5:M1131,Config!$B$5)=1),COUNTIFS($E$5:$E$3004,E1131,$H$5:$H$3004,"Falta",$L$5:$L$3004,Config!$B$7,$M$5:$M$3004,Config!$B$5)*1000-ROW()/100000,0)</f>
        <v>0</v>
      </c>
    </row>
    <row r="1132">
      <c r="A1132" s="39" t="n">
        <v>46288</v>
      </c>
      <c r="B1132" s="40" t="n">
        <v>0.6736111111111112</v>
      </c>
      <c r="C1132" s="35" t="inlineStr">
        <is>
          <t>Dra. Carolina Mendes</t>
        </is>
      </c>
      <c r="D1132" s="35" t="inlineStr">
        <is>
          <t>Sala 1</t>
        </is>
      </c>
      <c r="E1132" s="34" t="inlineStr">
        <is>
          <t>Carlos Barros</t>
        </is>
      </c>
      <c r="F1132" s="35" t="inlineStr">
        <is>
          <t>MediPlan</t>
        </is>
      </c>
      <c r="G1132" s="35" t="inlineStr">
        <is>
          <t>Consulta</t>
        </is>
      </c>
      <c r="H1132" s="35" t="inlineStr">
        <is>
          <t>Agendado</t>
        </is>
      </c>
      <c r="I1132" s="35" t="n"/>
      <c r="J1132" s="35" t="n"/>
      <c r="K1132" s="34" t="n"/>
      <c r="L1132" s="26">
        <f>IF(A1132="","",MONTH(A1132))</f>
        <v>9</v>
      </c>
      <c r="M1132" s="26">
        <f>IF(A1132="","",YEAR(A1132))</f>
        <v>2026</v>
      </c>
      <c r="N1132" s="26" t="str">
        <f>IF(A1132="","",CHOOSE(WEEKDAY(A1132,2),"Segunda","Terça","Quarta","Quinta","Sexta","Sábado","Domingo"))</f>
        <v>Quarta</v>
      </c>
      <c r="O1132" s="26" t="str">
        <f>IF(B1132="","",IF(B1132&lt;TIME(12,0,0),"Manhã",IF(B1132&lt;TIME(18,0,0),"Tarde","Noite")))</f>
        <v>Tarde</v>
      </c>
      <c r="P1132" s="32">
        <f>IF(G1132="","",IFERROR(INDEX(Config!$I$5:$I$16,MATCH(G1132,Config!$H$5:$H$16,0)),0))</f>
        <v>30</v>
      </c>
      <c r="Q1132" s="30">
        <f>IF(OR(H1132&lt;&gt;"Realizado",P1132="",P1132=0),"",A1132+P1132)</f>
        <v/>
      </c>
      <c r="R1132" s="26">
        <f>IF(Q1132="","",IF(COUNTIFS($E$5:$E$3004,E1132,$A$5:$A$3004,"&gt;"&amp;A1132,$H$5:$H$3004,"&lt;&gt;Falta",$H$5:$H$3004,"&lt;&gt;Cancelado",$H$5:$H$3004,"&lt;&gt;Remarcado")&gt;0,"Sim","Não"))</f>
        <v/>
      </c>
      <c r="S1132" s="32">
        <f>IF(R1132&lt;&gt;"Não","",IF(Q1132+Config!$B$9&lt;=Config!$B$8,Config!$B$8-Q1132,""))</f>
        <v/>
      </c>
      <c r="T1132" s="26">
        <f>IF(S1132="","","Sim")</f>
        <v/>
      </c>
      <c r="U1132" s="41">
        <f>IF(T1132="Sim",S1132+ROW()/100000,0)</f>
        <v>0</v>
      </c>
      <c r="V1132" s="41">
        <f>IF(AND(H1132="Falta",L1132=Config!$B$7,M1132=Config!$B$5,COUNTIFS($E$5:E1132,E1132,$H$5:H1132,"Falta",$L$5:L1132,Config!$B$7,$M$5:M1132,Config!$B$5)=1),COUNTIFS($E$5:$E$3004,E1132,$H$5:$H$3004,"Falta",$L$5:$L$3004,Config!$B$7,$M$5:$M$3004,Config!$B$5)*1000-ROW()/100000,0)</f>
        <v>0</v>
      </c>
    </row>
    <row r="1133">
      <c r="A1133" s="39" t="n">
        <v>46288</v>
      </c>
      <c r="B1133" s="40" t="n">
        <v>0.7152777777777778</v>
      </c>
      <c r="C1133" s="35" t="inlineStr">
        <is>
          <t>Dra. Carolina Mendes</t>
        </is>
      </c>
      <c r="D1133" s="35" t="inlineStr">
        <is>
          <t>Sala 1</t>
        </is>
      </c>
      <c r="E1133" s="34" t="inlineStr">
        <is>
          <t>Cláudia Santos</t>
        </is>
      </c>
      <c r="F1133" s="35" t="inlineStr">
        <is>
          <t>Particular</t>
        </is>
      </c>
      <c r="G1133" s="35" t="inlineStr">
        <is>
          <t>Retorno</t>
        </is>
      </c>
      <c r="H1133" s="35" t="inlineStr">
        <is>
          <t>Agendado</t>
        </is>
      </c>
      <c r="I1133" s="35" t="n"/>
      <c r="J1133" s="35" t="n"/>
      <c r="K1133" s="34" t="n"/>
      <c r="L1133" s="26">
        <f>IF(A1133="","",MONTH(A1133))</f>
        <v>9</v>
      </c>
      <c r="M1133" s="26">
        <f>IF(A1133="","",YEAR(A1133))</f>
        <v>2026</v>
      </c>
      <c r="N1133" s="26" t="str">
        <f>IF(A1133="","",CHOOSE(WEEKDAY(A1133,2),"Segunda","Terça","Quarta","Quinta","Sexta","Sábado","Domingo"))</f>
        <v>Quarta</v>
      </c>
      <c r="O1133" s="26" t="str">
        <f>IF(B1133="","",IF(B1133&lt;TIME(12,0,0),"Manhã",IF(B1133&lt;TIME(18,0,0),"Tarde","Noite")))</f>
        <v>Tarde</v>
      </c>
      <c r="P1133" s="32">
        <f>IF(G1133="","",IFERROR(INDEX(Config!$I$5:$I$16,MATCH(G1133,Config!$H$5:$H$16,0)),0))</f>
        <v>0</v>
      </c>
      <c r="Q1133" s="30">
        <f>IF(OR(H1133&lt;&gt;"Realizado",P1133="",P1133=0),"",A1133+P1133)</f>
        <v/>
      </c>
      <c r="R1133" s="26">
        <f>IF(Q1133="","",IF(COUNTIFS($E$5:$E$3004,E1133,$A$5:$A$3004,"&gt;"&amp;A1133,$H$5:$H$3004,"&lt;&gt;Falta",$H$5:$H$3004,"&lt;&gt;Cancelado",$H$5:$H$3004,"&lt;&gt;Remarcado")&gt;0,"Sim","Não"))</f>
        <v/>
      </c>
      <c r="S1133" s="32">
        <f>IF(R1133&lt;&gt;"Não","",IF(Q1133+Config!$B$9&lt;=Config!$B$8,Config!$B$8-Q1133,""))</f>
        <v/>
      </c>
      <c r="T1133" s="26">
        <f>IF(S1133="","","Sim")</f>
        <v/>
      </c>
      <c r="U1133" s="41">
        <f>IF(T1133="Sim",S1133+ROW()/100000,0)</f>
        <v>0</v>
      </c>
      <c r="V1133" s="41">
        <f>IF(AND(H1133="Falta",L1133=Config!$B$7,M1133=Config!$B$5,COUNTIFS($E$5:E1133,E1133,$H$5:H1133,"Falta",$L$5:L1133,Config!$B$7,$M$5:M1133,Config!$B$5)=1),COUNTIFS($E$5:$E$3004,E1133,$H$5:$H$3004,"Falta",$L$5:$L$3004,Config!$B$7,$M$5:$M$3004,Config!$B$5)*1000-ROW()/100000,0)</f>
        <v>0</v>
      </c>
    </row>
    <row r="1134">
      <c r="A1134" s="39" t="n">
        <v>46288</v>
      </c>
      <c r="B1134" s="40" t="n">
        <v>0.7291666666666666</v>
      </c>
      <c r="C1134" s="35" t="inlineStr">
        <is>
          <t>Dra. Carolina Mendes</t>
        </is>
      </c>
      <c r="D1134" s="35" t="inlineStr">
        <is>
          <t>Sala 1</t>
        </is>
      </c>
      <c r="E1134" s="34" t="inlineStr">
        <is>
          <t>Simone Monteiro</t>
        </is>
      </c>
      <c r="F1134" s="35" t="inlineStr">
        <is>
          <t>Vida Care</t>
        </is>
      </c>
      <c r="G1134" s="35" t="inlineStr">
        <is>
          <t>Consulta</t>
        </is>
      </c>
      <c r="H1134" s="35" t="inlineStr">
        <is>
          <t>Agendado</t>
        </is>
      </c>
      <c r="I1134" s="35" t="n"/>
      <c r="J1134" s="35" t="n"/>
      <c r="K1134" s="34" t="n"/>
      <c r="L1134" s="26">
        <f>IF(A1134="","",MONTH(A1134))</f>
        <v>9</v>
      </c>
      <c r="M1134" s="26">
        <f>IF(A1134="","",YEAR(A1134))</f>
        <v>2026</v>
      </c>
      <c r="N1134" s="26" t="str">
        <f>IF(A1134="","",CHOOSE(WEEKDAY(A1134,2),"Segunda","Terça","Quarta","Quinta","Sexta","Sábado","Domingo"))</f>
        <v>Quarta</v>
      </c>
      <c r="O1134" s="26" t="str">
        <f>IF(B1134="","",IF(B1134&lt;TIME(12,0,0),"Manhã",IF(B1134&lt;TIME(18,0,0),"Tarde","Noite")))</f>
        <v>Tarde</v>
      </c>
      <c r="P1134" s="32">
        <f>IF(G1134="","",IFERROR(INDEX(Config!$I$5:$I$16,MATCH(G1134,Config!$H$5:$H$16,0)),0))</f>
        <v>30</v>
      </c>
      <c r="Q1134" s="30">
        <f>IF(OR(H1134&lt;&gt;"Realizado",P1134="",P1134=0),"",A1134+P1134)</f>
        <v/>
      </c>
      <c r="R1134" s="26">
        <f>IF(Q1134="","",IF(COUNTIFS($E$5:$E$3004,E1134,$A$5:$A$3004,"&gt;"&amp;A1134,$H$5:$H$3004,"&lt;&gt;Falta",$H$5:$H$3004,"&lt;&gt;Cancelado",$H$5:$H$3004,"&lt;&gt;Remarcado")&gt;0,"Sim","Não"))</f>
        <v/>
      </c>
      <c r="S1134" s="32">
        <f>IF(R1134&lt;&gt;"Não","",IF(Q1134+Config!$B$9&lt;=Config!$B$8,Config!$B$8-Q1134,""))</f>
        <v/>
      </c>
      <c r="T1134" s="26">
        <f>IF(S1134="","","Sim")</f>
        <v/>
      </c>
      <c r="U1134" s="41">
        <f>IF(T1134="Sim",S1134+ROW()/100000,0)</f>
        <v>0</v>
      </c>
      <c r="V1134" s="41">
        <f>IF(AND(H1134="Falta",L1134=Config!$B$7,M1134=Config!$B$5,COUNTIFS($E$5:E1134,E1134,$H$5:H1134,"Falta",$L$5:L1134,Config!$B$7,$M$5:M1134,Config!$B$5)=1),COUNTIFS($E$5:$E$3004,E1134,$H$5:$H$3004,"Falta",$L$5:$L$3004,Config!$B$7,$M$5:$M$3004,Config!$B$5)*1000-ROW()/100000,0)</f>
        <v>0</v>
      </c>
    </row>
    <row r="1135">
      <c r="A1135" s="39" t="n">
        <v>46289</v>
      </c>
      <c r="B1135" s="40" t="n">
        <v>0.3541666666666667</v>
      </c>
      <c r="C1135" s="35" t="inlineStr">
        <is>
          <t>Dra. Carolina Mendes</t>
        </is>
      </c>
      <c r="D1135" s="35" t="inlineStr">
        <is>
          <t>Sala 1</t>
        </is>
      </c>
      <c r="E1135" s="34" t="inlineStr">
        <is>
          <t>Isabela Nascimento</t>
        </is>
      </c>
      <c r="F1135" s="35" t="inlineStr">
        <is>
          <t>Vida Care</t>
        </is>
      </c>
      <c r="G1135" s="35" t="inlineStr">
        <is>
          <t>Retorno</t>
        </is>
      </c>
      <c r="H1135" s="35" t="inlineStr">
        <is>
          <t>Agendado</t>
        </is>
      </c>
      <c r="I1135" s="35" t="n"/>
      <c r="J1135" s="35" t="n"/>
      <c r="K1135" s="34" t="n"/>
      <c r="L1135" s="26">
        <f>IF(A1135="","",MONTH(A1135))</f>
        <v>9</v>
      </c>
      <c r="M1135" s="26">
        <f>IF(A1135="","",YEAR(A1135))</f>
        <v>2026</v>
      </c>
      <c r="N1135" s="26" t="str">
        <f>IF(A1135="","",CHOOSE(WEEKDAY(A1135,2),"Segunda","Terça","Quarta","Quinta","Sexta","Sábado","Domingo"))</f>
        <v>Quinta</v>
      </c>
      <c r="O1135" s="26" t="str">
        <f>IF(B1135="","",IF(B1135&lt;TIME(12,0,0),"Manhã",IF(B1135&lt;TIME(18,0,0),"Tarde","Noite")))</f>
        <v>Manhã</v>
      </c>
      <c r="P1135" s="32">
        <f>IF(G1135="","",IFERROR(INDEX(Config!$I$5:$I$16,MATCH(G1135,Config!$H$5:$H$16,0)),0))</f>
        <v>0</v>
      </c>
      <c r="Q1135" s="30">
        <f>IF(OR(H1135&lt;&gt;"Realizado",P1135="",P1135=0),"",A1135+P1135)</f>
        <v/>
      </c>
      <c r="R1135" s="26">
        <f>IF(Q1135="","",IF(COUNTIFS($E$5:$E$3004,E1135,$A$5:$A$3004,"&gt;"&amp;A1135,$H$5:$H$3004,"&lt;&gt;Falta",$H$5:$H$3004,"&lt;&gt;Cancelado",$H$5:$H$3004,"&lt;&gt;Remarcado")&gt;0,"Sim","Não"))</f>
        <v/>
      </c>
      <c r="S1135" s="32">
        <f>IF(R1135&lt;&gt;"Não","",IF(Q1135+Config!$B$9&lt;=Config!$B$8,Config!$B$8-Q1135,""))</f>
        <v/>
      </c>
      <c r="T1135" s="26">
        <f>IF(S1135="","","Sim")</f>
        <v/>
      </c>
      <c r="U1135" s="41">
        <f>IF(T1135="Sim",S1135+ROW()/100000,0)</f>
        <v>0</v>
      </c>
      <c r="V1135" s="41">
        <f>IF(AND(H1135="Falta",L1135=Config!$B$7,M1135=Config!$B$5,COUNTIFS($E$5:E1135,E1135,$H$5:H1135,"Falta",$L$5:L1135,Config!$B$7,$M$5:M1135,Config!$B$5)=1),COUNTIFS($E$5:$E$3004,E1135,$H$5:$H$3004,"Falta",$L$5:$L$3004,Config!$B$7,$M$5:$M$3004,Config!$B$5)*1000-ROW()/100000,0)</f>
        <v>0</v>
      </c>
    </row>
    <row r="1136">
      <c r="A1136" s="39" t="n">
        <v>46289</v>
      </c>
      <c r="B1136" s="40" t="n">
        <v>0.3680555555555556</v>
      </c>
      <c r="C1136" s="35" t="inlineStr">
        <is>
          <t>Dra. Carolina Mendes</t>
        </is>
      </c>
      <c r="D1136" s="35" t="inlineStr">
        <is>
          <t>Sala 1</t>
        </is>
      </c>
      <c r="E1136" s="34" t="inlineStr">
        <is>
          <t>Marcelo Santos</t>
        </is>
      </c>
      <c r="F1136" s="35" t="inlineStr">
        <is>
          <t>Particular</t>
        </is>
      </c>
      <c r="G1136" s="35" t="inlineStr">
        <is>
          <t>Consulta</t>
        </is>
      </c>
      <c r="H1136" s="35" t="inlineStr">
        <is>
          <t>Agendado</t>
        </is>
      </c>
      <c r="I1136" s="35" t="n"/>
      <c r="J1136" s="35" t="n"/>
      <c r="K1136" s="34" t="n"/>
      <c r="L1136" s="26">
        <f>IF(A1136="","",MONTH(A1136))</f>
        <v>9</v>
      </c>
      <c r="M1136" s="26">
        <f>IF(A1136="","",YEAR(A1136))</f>
        <v>2026</v>
      </c>
      <c r="N1136" s="26" t="str">
        <f>IF(A1136="","",CHOOSE(WEEKDAY(A1136,2),"Segunda","Terça","Quarta","Quinta","Sexta","Sábado","Domingo"))</f>
        <v>Quinta</v>
      </c>
      <c r="O1136" s="26" t="str">
        <f>IF(B1136="","",IF(B1136&lt;TIME(12,0,0),"Manhã",IF(B1136&lt;TIME(18,0,0),"Tarde","Noite")))</f>
        <v>Manhã</v>
      </c>
      <c r="P1136" s="32">
        <f>IF(G1136="","",IFERROR(INDEX(Config!$I$5:$I$16,MATCH(G1136,Config!$H$5:$H$16,0)),0))</f>
        <v>30</v>
      </c>
      <c r="Q1136" s="30">
        <f>IF(OR(H1136&lt;&gt;"Realizado",P1136="",P1136=0),"",A1136+P1136)</f>
        <v/>
      </c>
      <c r="R1136" s="26">
        <f>IF(Q1136="","",IF(COUNTIFS($E$5:$E$3004,E1136,$A$5:$A$3004,"&gt;"&amp;A1136,$H$5:$H$3004,"&lt;&gt;Falta",$H$5:$H$3004,"&lt;&gt;Cancelado",$H$5:$H$3004,"&lt;&gt;Remarcado")&gt;0,"Sim","Não"))</f>
        <v/>
      </c>
      <c r="S1136" s="32">
        <f>IF(R1136&lt;&gt;"Não","",IF(Q1136+Config!$B$9&lt;=Config!$B$8,Config!$B$8-Q1136,""))</f>
        <v/>
      </c>
      <c r="T1136" s="26">
        <f>IF(S1136="","","Sim")</f>
        <v/>
      </c>
      <c r="U1136" s="41">
        <f>IF(T1136="Sim",S1136+ROW()/100000,0)</f>
        <v>0</v>
      </c>
      <c r="V1136" s="41">
        <f>IF(AND(H1136="Falta",L1136=Config!$B$7,M1136=Config!$B$5,COUNTIFS($E$5:E1136,E1136,$H$5:H1136,"Falta",$L$5:L1136,Config!$B$7,$M$5:M1136,Config!$B$5)=1),COUNTIFS($E$5:$E$3004,E1136,$H$5:$H$3004,"Falta",$L$5:$L$3004,Config!$B$7,$M$5:$M$3004,Config!$B$5)*1000-ROW()/100000,0)</f>
        <v>0</v>
      </c>
    </row>
    <row r="1137">
      <c r="A1137" s="39" t="n">
        <v>46289</v>
      </c>
      <c r="B1137" s="40" t="n">
        <v>0.3888888888888889</v>
      </c>
      <c r="C1137" s="35" t="inlineStr">
        <is>
          <t>Dra. Carolina Mendes</t>
        </is>
      </c>
      <c r="D1137" s="35" t="inlineStr">
        <is>
          <t>Sala 1</t>
        </is>
      </c>
      <c r="E1137" s="34" t="inlineStr">
        <is>
          <t>Sérgio Batista</t>
        </is>
      </c>
      <c r="F1137" s="35" t="inlineStr">
        <is>
          <t>MediPlan</t>
        </is>
      </c>
      <c r="G1137" s="35" t="inlineStr">
        <is>
          <t>Retorno</t>
        </is>
      </c>
      <c r="H1137" s="35" t="inlineStr">
        <is>
          <t>Agendado</t>
        </is>
      </c>
      <c r="I1137" s="35" t="n"/>
      <c r="J1137" s="35" t="n"/>
      <c r="K1137" s="34" t="n"/>
      <c r="L1137" s="26">
        <f>IF(A1137="","",MONTH(A1137))</f>
        <v>9</v>
      </c>
      <c r="M1137" s="26">
        <f>IF(A1137="","",YEAR(A1137))</f>
        <v>2026</v>
      </c>
      <c r="N1137" s="26" t="str">
        <f>IF(A1137="","",CHOOSE(WEEKDAY(A1137,2),"Segunda","Terça","Quarta","Quinta","Sexta","Sábado","Domingo"))</f>
        <v>Quinta</v>
      </c>
      <c r="O1137" s="26" t="str">
        <f>IF(B1137="","",IF(B1137&lt;TIME(12,0,0),"Manhã",IF(B1137&lt;TIME(18,0,0),"Tarde","Noite")))</f>
        <v>Manhã</v>
      </c>
      <c r="P1137" s="32">
        <f>IF(G1137="","",IFERROR(INDEX(Config!$I$5:$I$16,MATCH(G1137,Config!$H$5:$H$16,0)),0))</f>
        <v>0</v>
      </c>
      <c r="Q1137" s="30">
        <f>IF(OR(H1137&lt;&gt;"Realizado",P1137="",P1137=0),"",A1137+P1137)</f>
        <v/>
      </c>
      <c r="R1137" s="26">
        <f>IF(Q1137="","",IF(COUNTIFS($E$5:$E$3004,E1137,$A$5:$A$3004,"&gt;"&amp;A1137,$H$5:$H$3004,"&lt;&gt;Falta",$H$5:$H$3004,"&lt;&gt;Cancelado",$H$5:$H$3004,"&lt;&gt;Remarcado")&gt;0,"Sim","Não"))</f>
        <v/>
      </c>
      <c r="S1137" s="32">
        <f>IF(R1137&lt;&gt;"Não","",IF(Q1137+Config!$B$9&lt;=Config!$B$8,Config!$B$8-Q1137,""))</f>
        <v/>
      </c>
      <c r="T1137" s="26">
        <f>IF(S1137="","","Sim")</f>
        <v/>
      </c>
      <c r="U1137" s="41">
        <f>IF(T1137="Sim",S1137+ROW()/100000,0)</f>
        <v>0</v>
      </c>
      <c r="V1137" s="41">
        <f>IF(AND(H1137="Falta",L1137=Config!$B$7,M1137=Config!$B$5,COUNTIFS($E$5:E1137,E1137,$H$5:H1137,"Falta",$L$5:L1137,Config!$B$7,$M$5:M1137,Config!$B$5)=1),COUNTIFS($E$5:$E$3004,E1137,$H$5:$H$3004,"Falta",$L$5:$L$3004,Config!$B$7,$M$5:$M$3004,Config!$B$5)*1000-ROW()/100000,0)</f>
        <v>0</v>
      </c>
    </row>
    <row r="1138">
      <c r="A1138" s="39" t="n">
        <v>46289</v>
      </c>
      <c r="B1138" s="40" t="n">
        <v>0.4236111111111111</v>
      </c>
      <c r="C1138" s="35" t="inlineStr">
        <is>
          <t>Dra. Carolina Mendes</t>
        </is>
      </c>
      <c r="D1138" s="35" t="inlineStr">
        <is>
          <t>Sala 1</t>
        </is>
      </c>
      <c r="E1138" s="34" t="inlineStr">
        <is>
          <t>Helena Moreira</t>
        </is>
      </c>
      <c r="F1138" s="35" t="inlineStr">
        <is>
          <t>Particular</t>
        </is>
      </c>
      <c r="G1138" s="35" t="inlineStr">
        <is>
          <t>Consulta</t>
        </is>
      </c>
      <c r="H1138" s="35" t="inlineStr">
        <is>
          <t>Agendado</t>
        </is>
      </c>
      <c r="I1138" s="35" t="n"/>
      <c r="J1138" s="35" t="n"/>
      <c r="K1138" s="34" t="n"/>
      <c r="L1138" s="26">
        <f>IF(A1138="","",MONTH(A1138))</f>
        <v>9</v>
      </c>
      <c r="M1138" s="26">
        <f>IF(A1138="","",YEAR(A1138))</f>
        <v>2026</v>
      </c>
      <c r="N1138" s="26" t="str">
        <f>IF(A1138="","",CHOOSE(WEEKDAY(A1138,2),"Segunda","Terça","Quarta","Quinta","Sexta","Sábado","Domingo"))</f>
        <v>Quinta</v>
      </c>
      <c r="O1138" s="26" t="str">
        <f>IF(B1138="","",IF(B1138&lt;TIME(12,0,0),"Manhã",IF(B1138&lt;TIME(18,0,0),"Tarde","Noite")))</f>
        <v>Manhã</v>
      </c>
      <c r="P1138" s="32">
        <f>IF(G1138="","",IFERROR(INDEX(Config!$I$5:$I$16,MATCH(G1138,Config!$H$5:$H$16,0)),0))</f>
        <v>30</v>
      </c>
      <c r="Q1138" s="30">
        <f>IF(OR(H1138&lt;&gt;"Realizado",P1138="",P1138=0),"",A1138+P1138)</f>
        <v/>
      </c>
      <c r="R1138" s="26">
        <f>IF(Q1138="","",IF(COUNTIFS($E$5:$E$3004,E1138,$A$5:$A$3004,"&gt;"&amp;A1138,$H$5:$H$3004,"&lt;&gt;Falta",$H$5:$H$3004,"&lt;&gt;Cancelado",$H$5:$H$3004,"&lt;&gt;Remarcado")&gt;0,"Sim","Não"))</f>
        <v/>
      </c>
      <c r="S1138" s="32">
        <f>IF(R1138&lt;&gt;"Não","",IF(Q1138+Config!$B$9&lt;=Config!$B$8,Config!$B$8-Q1138,""))</f>
        <v/>
      </c>
      <c r="T1138" s="26">
        <f>IF(S1138="","","Sim")</f>
        <v/>
      </c>
      <c r="U1138" s="41">
        <f>IF(T1138="Sim",S1138+ROW()/100000,0)</f>
        <v>0</v>
      </c>
      <c r="V1138" s="41">
        <f>IF(AND(H1138="Falta",L1138=Config!$B$7,M1138=Config!$B$5,COUNTIFS($E$5:E1138,E1138,$H$5:H1138,"Falta",$L$5:L1138,Config!$B$7,$M$5:M1138,Config!$B$5)=1),COUNTIFS($E$5:$E$3004,E1138,$H$5:$H$3004,"Falta",$L$5:$L$3004,Config!$B$7,$M$5:$M$3004,Config!$B$5)*1000-ROW()/100000,0)</f>
        <v>0</v>
      </c>
    </row>
    <row r="1139">
      <c r="A1139" s="39" t="n">
        <v>46289</v>
      </c>
      <c r="B1139" s="40" t="n">
        <v>0.4444444444444444</v>
      </c>
      <c r="C1139" s="35" t="inlineStr">
        <is>
          <t>Dra. Carolina Mendes</t>
        </is>
      </c>
      <c r="D1139" s="35" t="inlineStr">
        <is>
          <t>Sala 1</t>
        </is>
      </c>
      <c r="E1139" s="34" t="inlineStr">
        <is>
          <t>Ana Costa</t>
        </is>
      </c>
      <c r="F1139" s="35" t="inlineStr">
        <is>
          <t>Particular</t>
        </is>
      </c>
      <c r="G1139" s="35" t="inlineStr">
        <is>
          <t>Consulta</t>
        </is>
      </c>
      <c r="H1139" s="35" t="inlineStr">
        <is>
          <t>Agendado</t>
        </is>
      </c>
      <c r="I1139" s="35" t="n"/>
      <c r="J1139" s="35" t="n"/>
      <c r="K1139" s="34" t="n"/>
      <c r="L1139" s="26">
        <f>IF(A1139="","",MONTH(A1139))</f>
        <v>9</v>
      </c>
      <c r="M1139" s="26">
        <f>IF(A1139="","",YEAR(A1139))</f>
        <v>2026</v>
      </c>
      <c r="N1139" s="26" t="str">
        <f>IF(A1139="","",CHOOSE(WEEKDAY(A1139,2),"Segunda","Terça","Quarta","Quinta","Sexta","Sábado","Domingo"))</f>
        <v>Quinta</v>
      </c>
      <c r="O1139" s="26" t="str">
        <f>IF(B1139="","",IF(B1139&lt;TIME(12,0,0),"Manhã",IF(B1139&lt;TIME(18,0,0),"Tarde","Noite")))</f>
        <v>Manhã</v>
      </c>
      <c r="P1139" s="32">
        <f>IF(G1139="","",IFERROR(INDEX(Config!$I$5:$I$16,MATCH(G1139,Config!$H$5:$H$16,0)),0))</f>
        <v>30</v>
      </c>
      <c r="Q1139" s="30">
        <f>IF(OR(H1139&lt;&gt;"Realizado",P1139="",P1139=0),"",A1139+P1139)</f>
        <v/>
      </c>
      <c r="R1139" s="26">
        <f>IF(Q1139="","",IF(COUNTIFS($E$5:$E$3004,E1139,$A$5:$A$3004,"&gt;"&amp;A1139,$H$5:$H$3004,"&lt;&gt;Falta",$H$5:$H$3004,"&lt;&gt;Cancelado",$H$5:$H$3004,"&lt;&gt;Remarcado")&gt;0,"Sim","Não"))</f>
        <v/>
      </c>
      <c r="S1139" s="32">
        <f>IF(R1139&lt;&gt;"Não","",IF(Q1139+Config!$B$9&lt;=Config!$B$8,Config!$B$8-Q1139,""))</f>
        <v/>
      </c>
      <c r="T1139" s="26">
        <f>IF(S1139="","","Sim")</f>
        <v/>
      </c>
      <c r="U1139" s="41">
        <f>IF(T1139="Sim",S1139+ROW()/100000,0)</f>
        <v>0</v>
      </c>
      <c r="V1139" s="41">
        <f>IF(AND(H1139="Falta",L1139=Config!$B$7,M1139=Config!$B$5,COUNTIFS($E$5:E1139,E1139,$H$5:H1139,"Falta",$L$5:L1139,Config!$B$7,$M$5:M1139,Config!$B$5)=1),COUNTIFS($E$5:$E$3004,E1139,$H$5:$H$3004,"Falta",$L$5:$L$3004,Config!$B$7,$M$5:$M$3004,Config!$B$5)*1000-ROW()/100000,0)</f>
        <v>0</v>
      </c>
    </row>
    <row r="1140">
      <c r="A1140" s="39" t="n">
        <v>46289</v>
      </c>
      <c r="B1140" s="40" t="n">
        <v>0.4652777777777778</v>
      </c>
      <c r="C1140" s="35" t="inlineStr">
        <is>
          <t>Dra. Carolina Mendes</t>
        </is>
      </c>
      <c r="D1140" s="35" t="inlineStr">
        <is>
          <t>Sala 1</t>
        </is>
      </c>
      <c r="E1140" s="34" t="inlineStr">
        <is>
          <t>Carlos Barros</t>
        </is>
      </c>
      <c r="F1140" s="35" t="inlineStr">
        <is>
          <t>MediPlan</t>
        </is>
      </c>
      <c r="G1140" s="35" t="inlineStr">
        <is>
          <t>Retorno</t>
        </is>
      </c>
      <c r="H1140" s="35" t="inlineStr">
        <is>
          <t>Agendado</t>
        </is>
      </c>
      <c r="I1140" s="35" t="n"/>
      <c r="J1140" s="35" t="n"/>
      <c r="K1140" s="34" t="n"/>
      <c r="L1140" s="26">
        <f>IF(A1140="","",MONTH(A1140))</f>
        <v>9</v>
      </c>
      <c r="M1140" s="26">
        <f>IF(A1140="","",YEAR(A1140))</f>
        <v>2026</v>
      </c>
      <c r="N1140" s="26" t="str">
        <f>IF(A1140="","",CHOOSE(WEEKDAY(A1140,2),"Segunda","Terça","Quarta","Quinta","Sexta","Sábado","Domingo"))</f>
        <v>Quinta</v>
      </c>
      <c r="O1140" s="26" t="str">
        <f>IF(B1140="","",IF(B1140&lt;TIME(12,0,0),"Manhã",IF(B1140&lt;TIME(18,0,0),"Tarde","Noite")))</f>
        <v>Manhã</v>
      </c>
      <c r="P1140" s="32">
        <f>IF(G1140="","",IFERROR(INDEX(Config!$I$5:$I$16,MATCH(G1140,Config!$H$5:$H$16,0)),0))</f>
        <v>0</v>
      </c>
      <c r="Q1140" s="30">
        <f>IF(OR(H1140&lt;&gt;"Realizado",P1140="",P1140=0),"",A1140+P1140)</f>
        <v/>
      </c>
      <c r="R1140" s="26">
        <f>IF(Q1140="","",IF(COUNTIFS($E$5:$E$3004,E1140,$A$5:$A$3004,"&gt;"&amp;A1140,$H$5:$H$3004,"&lt;&gt;Falta",$H$5:$H$3004,"&lt;&gt;Cancelado",$H$5:$H$3004,"&lt;&gt;Remarcado")&gt;0,"Sim","Não"))</f>
        <v/>
      </c>
      <c r="S1140" s="32">
        <f>IF(R1140&lt;&gt;"Não","",IF(Q1140+Config!$B$9&lt;=Config!$B$8,Config!$B$8-Q1140,""))</f>
        <v/>
      </c>
      <c r="T1140" s="26">
        <f>IF(S1140="","","Sim")</f>
        <v/>
      </c>
      <c r="U1140" s="41">
        <f>IF(T1140="Sim",S1140+ROW()/100000,0)</f>
        <v>0</v>
      </c>
      <c r="V1140" s="41">
        <f>IF(AND(H1140="Falta",L1140=Config!$B$7,M1140=Config!$B$5,COUNTIFS($E$5:E1140,E1140,$H$5:H1140,"Falta",$L$5:L1140,Config!$B$7,$M$5:M1140,Config!$B$5)=1),COUNTIFS($E$5:$E$3004,E1140,$H$5:$H$3004,"Falta",$L$5:$L$3004,Config!$B$7,$M$5:$M$3004,Config!$B$5)*1000-ROW()/100000,0)</f>
        <v>0</v>
      </c>
    </row>
    <row r="1141">
      <c r="A1141" s="39" t="n">
        <v>46289</v>
      </c>
      <c r="B1141" s="40" t="n">
        <v>0.4791666666666667</v>
      </c>
      <c r="C1141" s="35" t="inlineStr">
        <is>
          <t>Dra. Carolina Mendes</t>
        </is>
      </c>
      <c r="D1141" s="35" t="inlineStr">
        <is>
          <t>Sala 1</t>
        </is>
      </c>
      <c r="E1141" s="34" t="inlineStr">
        <is>
          <t>Mônica Batista</t>
        </is>
      </c>
      <c r="F1141" s="35" t="inlineStr">
        <is>
          <t>MediPlan</t>
        </is>
      </c>
      <c r="G1141" s="35" t="inlineStr">
        <is>
          <t>Consulta</t>
        </is>
      </c>
      <c r="H1141" s="35" t="inlineStr">
        <is>
          <t>Agendado</t>
        </is>
      </c>
      <c r="I1141" s="35" t="n"/>
      <c r="J1141" s="35" t="n"/>
      <c r="K1141" s="34" t="n"/>
      <c r="L1141" s="26">
        <f>IF(A1141="","",MONTH(A1141))</f>
        <v>9</v>
      </c>
      <c r="M1141" s="26">
        <f>IF(A1141="","",YEAR(A1141))</f>
        <v>2026</v>
      </c>
      <c r="N1141" s="26" t="str">
        <f>IF(A1141="","",CHOOSE(WEEKDAY(A1141,2),"Segunda","Terça","Quarta","Quinta","Sexta","Sábado","Domingo"))</f>
        <v>Quinta</v>
      </c>
      <c r="O1141" s="26" t="str">
        <f>IF(B1141="","",IF(B1141&lt;TIME(12,0,0),"Manhã",IF(B1141&lt;TIME(18,0,0),"Tarde","Noite")))</f>
        <v>Manhã</v>
      </c>
      <c r="P1141" s="32">
        <f>IF(G1141="","",IFERROR(INDEX(Config!$I$5:$I$16,MATCH(G1141,Config!$H$5:$H$16,0)),0))</f>
        <v>30</v>
      </c>
      <c r="Q1141" s="30">
        <f>IF(OR(H1141&lt;&gt;"Realizado",P1141="",P1141=0),"",A1141+P1141)</f>
        <v/>
      </c>
      <c r="R1141" s="26">
        <f>IF(Q1141="","",IF(COUNTIFS($E$5:$E$3004,E1141,$A$5:$A$3004,"&gt;"&amp;A1141,$H$5:$H$3004,"&lt;&gt;Falta",$H$5:$H$3004,"&lt;&gt;Cancelado",$H$5:$H$3004,"&lt;&gt;Remarcado")&gt;0,"Sim","Não"))</f>
        <v/>
      </c>
      <c r="S1141" s="32">
        <f>IF(R1141&lt;&gt;"Não","",IF(Q1141+Config!$B$9&lt;=Config!$B$8,Config!$B$8-Q1141,""))</f>
        <v/>
      </c>
      <c r="T1141" s="26">
        <f>IF(S1141="","","Sim")</f>
        <v/>
      </c>
      <c r="U1141" s="41">
        <f>IF(T1141="Sim",S1141+ROW()/100000,0)</f>
        <v>0</v>
      </c>
      <c r="V1141" s="41">
        <f>IF(AND(H1141="Falta",L1141=Config!$B$7,M1141=Config!$B$5,COUNTIFS($E$5:E1141,E1141,$H$5:H1141,"Falta",$L$5:L1141,Config!$B$7,$M$5:M1141,Config!$B$5)=1),COUNTIFS($E$5:$E$3004,E1141,$H$5:$H$3004,"Falta",$L$5:$L$3004,Config!$B$7,$M$5:$M$3004,Config!$B$5)*1000-ROW()/100000,0)</f>
        <v>0</v>
      </c>
    </row>
    <row r="1142">
      <c r="A1142" s="39" t="n">
        <v>46289</v>
      </c>
      <c r="B1142" s="40" t="n">
        <v>0.5833333333333334</v>
      </c>
      <c r="C1142" s="35" t="inlineStr">
        <is>
          <t>Dra. Renata Sousa</t>
        </is>
      </c>
      <c r="D1142" s="35" t="inlineStr">
        <is>
          <t>Sala 1</t>
        </is>
      </c>
      <c r="E1142" s="34" t="inlineStr">
        <is>
          <t>Tatiana Macedo</t>
        </is>
      </c>
      <c r="F1142" s="35" t="inlineStr">
        <is>
          <t>Particular</t>
        </is>
      </c>
      <c r="G1142" s="35" t="inlineStr">
        <is>
          <t>Retorno</t>
        </is>
      </c>
      <c r="H1142" s="35" t="inlineStr">
        <is>
          <t>Agendado</t>
        </is>
      </c>
      <c r="I1142" s="35" t="n"/>
      <c r="J1142" s="35" t="n"/>
      <c r="K1142" s="34" t="n"/>
      <c r="L1142" s="26">
        <f>IF(A1142="","",MONTH(A1142))</f>
        <v>9</v>
      </c>
      <c r="M1142" s="26">
        <f>IF(A1142="","",YEAR(A1142))</f>
        <v>2026</v>
      </c>
      <c r="N1142" s="26" t="str">
        <f>IF(A1142="","",CHOOSE(WEEKDAY(A1142,2),"Segunda","Terça","Quarta","Quinta","Sexta","Sábado","Domingo"))</f>
        <v>Quinta</v>
      </c>
      <c r="O1142" s="26" t="str">
        <f>IF(B1142="","",IF(B1142&lt;TIME(12,0,0),"Manhã",IF(B1142&lt;TIME(18,0,0),"Tarde","Noite")))</f>
        <v>Tarde</v>
      </c>
      <c r="P1142" s="32">
        <f>IF(G1142="","",IFERROR(INDEX(Config!$I$5:$I$16,MATCH(G1142,Config!$H$5:$H$16,0)),0))</f>
        <v>0</v>
      </c>
      <c r="Q1142" s="30">
        <f>IF(OR(H1142&lt;&gt;"Realizado",P1142="",P1142=0),"",A1142+P1142)</f>
        <v/>
      </c>
      <c r="R1142" s="26">
        <f>IF(Q1142="","",IF(COUNTIFS($E$5:$E$3004,E1142,$A$5:$A$3004,"&gt;"&amp;A1142,$H$5:$H$3004,"&lt;&gt;Falta",$H$5:$H$3004,"&lt;&gt;Cancelado",$H$5:$H$3004,"&lt;&gt;Remarcado")&gt;0,"Sim","Não"))</f>
        <v/>
      </c>
      <c r="S1142" s="32">
        <f>IF(R1142&lt;&gt;"Não","",IF(Q1142+Config!$B$9&lt;=Config!$B$8,Config!$B$8-Q1142,""))</f>
        <v/>
      </c>
      <c r="T1142" s="26">
        <f>IF(S1142="","","Sim")</f>
        <v/>
      </c>
      <c r="U1142" s="41">
        <f>IF(T1142="Sim",S1142+ROW()/100000,0)</f>
        <v>0</v>
      </c>
      <c r="V1142" s="41">
        <f>IF(AND(H1142="Falta",L1142=Config!$B$7,M1142=Config!$B$5,COUNTIFS($E$5:E1142,E1142,$H$5:H1142,"Falta",$L$5:L1142,Config!$B$7,$M$5:M1142,Config!$B$5)=1),COUNTIFS($E$5:$E$3004,E1142,$H$5:$H$3004,"Falta",$L$5:$L$3004,Config!$B$7,$M$5:$M$3004,Config!$B$5)*1000-ROW()/100000,0)</f>
        <v>0</v>
      </c>
    </row>
    <row r="1143">
      <c r="A1143" s="39" t="n">
        <v>46289</v>
      </c>
      <c r="B1143" s="40" t="n">
        <v>0.6041666666666666</v>
      </c>
      <c r="C1143" s="35" t="inlineStr">
        <is>
          <t>Dr. Paulo Andrade</t>
        </is>
      </c>
      <c r="D1143" s="35" t="inlineStr">
        <is>
          <t>Sala 2</t>
        </is>
      </c>
      <c r="E1143" s="34" t="inlineStr">
        <is>
          <t>Fábio Correia</t>
        </is>
      </c>
      <c r="F1143" s="35" t="inlineStr">
        <is>
          <t>Particular</t>
        </is>
      </c>
      <c r="G1143" s="35" t="inlineStr">
        <is>
          <t>Consulta</t>
        </is>
      </c>
      <c r="H1143" s="35" t="inlineStr">
        <is>
          <t>Agendado</t>
        </is>
      </c>
      <c r="I1143" s="35" t="n"/>
      <c r="J1143" s="35" t="n"/>
      <c r="K1143" s="34" t="n"/>
      <c r="L1143" s="26">
        <f>IF(A1143="","",MONTH(A1143))</f>
        <v>9</v>
      </c>
      <c r="M1143" s="26">
        <f>IF(A1143="","",YEAR(A1143))</f>
        <v>2026</v>
      </c>
      <c r="N1143" s="26" t="str">
        <f>IF(A1143="","",CHOOSE(WEEKDAY(A1143,2),"Segunda","Terça","Quarta","Quinta","Sexta","Sábado","Domingo"))</f>
        <v>Quinta</v>
      </c>
      <c r="O1143" s="26" t="str">
        <f>IF(B1143="","",IF(B1143&lt;TIME(12,0,0),"Manhã",IF(B1143&lt;TIME(18,0,0),"Tarde","Noite")))</f>
        <v>Tarde</v>
      </c>
      <c r="P1143" s="32">
        <f>IF(G1143="","",IFERROR(INDEX(Config!$I$5:$I$16,MATCH(G1143,Config!$H$5:$H$16,0)),0))</f>
        <v>30</v>
      </c>
      <c r="Q1143" s="30">
        <f>IF(OR(H1143&lt;&gt;"Realizado",P1143="",P1143=0),"",A1143+P1143)</f>
        <v/>
      </c>
      <c r="R1143" s="26">
        <f>IF(Q1143="","",IF(COUNTIFS($E$5:$E$3004,E1143,$A$5:$A$3004,"&gt;"&amp;A1143,$H$5:$H$3004,"&lt;&gt;Falta",$H$5:$H$3004,"&lt;&gt;Cancelado",$H$5:$H$3004,"&lt;&gt;Remarcado")&gt;0,"Sim","Não"))</f>
        <v/>
      </c>
      <c r="S1143" s="32">
        <f>IF(R1143&lt;&gt;"Não","",IF(Q1143+Config!$B$9&lt;=Config!$B$8,Config!$B$8-Q1143,""))</f>
        <v/>
      </c>
      <c r="T1143" s="26">
        <f>IF(S1143="","","Sim")</f>
        <v/>
      </c>
      <c r="U1143" s="41">
        <f>IF(T1143="Sim",S1143+ROW()/100000,0)</f>
        <v>0</v>
      </c>
      <c r="V1143" s="41">
        <f>IF(AND(H1143="Falta",L1143=Config!$B$7,M1143=Config!$B$5,COUNTIFS($E$5:E1143,E1143,$H$5:H1143,"Falta",$L$5:L1143,Config!$B$7,$M$5:M1143,Config!$B$5)=1),COUNTIFS($E$5:$E$3004,E1143,$H$5:$H$3004,"Falta",$L$5:$L$3004,Config!$B$7,$M$5:$M$3004,Config!$B$5)*1000-ROW()/100000,0)</f>
        <v>0</v>
      </c>
    </row>
    <row r="1144">
      <c r="A1144" s="39" t="n">
        <v>46289</v>
      </c>
      <c r="B1144" s="40" t="n">
        <v>0.6180555555555556</v>
      </c>
      <c r="C1144" s="35" t="inlineStr">
        <is>
          <t>Dra. Renata Sousa</t>
        </is>
      </c>
      <c r="D1144" s="35" t="inlineStr">
        <is>
          <t>Sala 1</t>
        </is>
      </c>
      <c r="E1144" s="34" t="inlineStr">
        <is>
          <t>Carlos Gonçalves</t>
        </is>
      </c>
      <c r="F1144" s="35" t="inlineStr">
        <is>
          <t>Saúde Total</t>
        </is>
      </c>
      <c r="G1144" s="35" t="inlineStr">
        <is>
          <t>Avaliação endócrina</t>
        </is>
      </c>
      <c r="H1144" s="35" t="inlineStr">
        <is>
          <t>Agendado</t>
        </is>
      </c>
      <c r="I1144" s="35" t="n"/>
      <c r="J1144" s="35" t="n"/>
      <c r="K1144" s="34" t="n"/>
      <c r="L1144" s="26">
        <f>IF(A1144="","",MONTH(A1144))</f>
        <v>9</v>
      </c>
      <c r="M1144" s="26">
        <f>IF(A1144="","",YEAR(A1144))</f>
        <v>2026</v>
      </c>
      <c r="N1144" s="26" t="str">
        <f>IF(A1144="","",CHOOSE(WEEKDAY(A1144,2),"Segunda","Terça","Quarta","Quinta","Sexta","Sábado","Domingo"))</f>
        <v>Quinta</v>
      </c>
      <c r="O1144" s="26" t="str">
        <f>IF(B1144="","",IF(B1144&lt;TIME(12,0,0),"Manhã",IF(B1144&lt;TIME(18,0,0),"Tarde","Noite")))</f>
        <v>Tarde</v>
      </c>
      <c r="P1144" s="32">
        <f>IF(G1144="","",IFERROR(INDEX(Config!$I$5:$I$16,MATCH(G1144,Config!$H$5:$H$16,0)),0))</f>
        <v>45</v>
      </c>
      <c r="Q1144" s="30">
        <f>IF(OR(H1144&lt;&gt;"Realizado",P1144="",P1144=0),"",A1144+P1144)</f>
        <v/>
      </c>
      <c r="R1144" s="26">
        <f>IF(Q1144="","",IF(COUNTIFS($E$5:$E$3004,E1144,$A$5:$A$3004,"&gt;"&amp;A1144,$H$5:$H$3004,"&lt;&gt;Falta",$H$5:$H$3004,"&lt;&gt;Cancelado",$H$5:$H$3004,"&lt;&gt;Remarcado")&gt;0,"Sim","Não"))</f>
        <v/>
      </c>
      <c r="S1144" s="32">
        <f>IF(R1144&lt;&gt;"Não","",IF(Q1144+Config!$B$9&lt;=Config!$B$8,Config!$B$8-Q1144,""))</f>
        <v/>
      </c>
      <c r="T1144" s="26">
        <f>IF(S1144="","","Sim")</f>
        <v/>
      </c>
      <c r="U1144" s="41">
        <f>IF(T1144="Sim",S1144+ROW()/100000,0)</f>
        <v>0</v>
      </c>
      <c r="V1144" s="41">
        <f>IF(AND(H1144="Falta",L1144=Config!$B$7,M1144=Config!$B$5,COUNTIFS($E$5:E1144,E1144,$H$5:H1144,"Falta",$L$5:L1144,Config!$B$7,$M$5:M1144,Config!$B$5)=1),COUNTIFS($E$5:$E$3004,E1144,$H$5:$H$3004,"Falta",$L$5:$L$3004,Config!$B$7,$M$5:$M$3004,Config!$B$5)*1000-ROW()/100000,0)</f>
        <v>0</v>
      </c>
    </row>
    <row r="1145">
      <c r="A1145" s="39" t="n">
        <v>46289</v>
      </c>
      <c r="B1145" s="40" t="n">
        <v>0.625</v>
      </c>
      <c r="C1145" s="35" t="inlineStr">
        <is>
          <t>Dr. Paulo Andrade</t>
        </is>
      </c>
      <c r="D1145" s="35" t="inlineStr">
        <is>
          <t>Sala 2</t>
        </is>
      </c>
      <c r="E1145" s="34" t="inlineStr">
        <is>
          <t>Carlos Castro</t>
        </is>
      </c>
      <c r="F1145" s="35" t="inlineStr">
        <is>
          <t>Saúde Total</t>
        </is>
      </c>
      <c r="G1145" s="35" t="inlineStr">
        <is>
          <t>ECG</t>
        </is>
      </c>
      <c r="H1145" s="35" t="inlineStr">
        <is>
          <t>Agendado</t>
        </is>
      </c>
      <c r="I1145" s="35" t="n"/>
      <c r="J1145" s="35" t="n"/>
      <c r="K1145" s="34" t="n"/>
      <c r="L1145" s="26">
        <f>IF(A1145="","",MONTH(A1145))</f>
        <v>9</v>
      </c>
      <c r="M1145" s="26">
        <f>IF(A1145="","",YEAR(A1145))</f>
        <v>2026</v>
      </c>
      <c r="N1145" s="26" t="str">
        <f>IF(A1145="","",CHOOSE(WEEKDAY(A1145,2),"Segunda","Terça","Quarta","Quinta","Sexta","Sábado","Domingo"))</f>
        <v>Quinta</v>
      </c>
      <c r="O1145" s="26" t="str">
        <f>IF(B1145="","",IF(B1145&lt;TIME(12,0,0),"Manhã",IF(B1145&lt;TIME(18,0,0),"Tarde","Noite")))</f>
        <v>Tarde</v>
      </c>
      <c r="P1145" s="32">
        <f>IF(G1145="","",IFERROR(INDEX(Config!$I$5:$I$16,MATCH(G1145,Config!$H$5:$H$16,0)),0))</f>
        <v>0</v>
      </c>
      <c r="Q1145" s="30">
        <f>IF(OR(H1145&lt;&gt;"Realizado",P1145="",P1145=0),"",A1145+P1145)</f>
        <v/>
      </c>
      <c r="R1145" s="26">
        <f>IF(Q1145="","",IF(COUNTIFS($E$5:$E$3004,E1145,$A$5:$A$3004,"&gt;"&amp;A1145,$H$5:$H$3004,"&lt;&gt;Falta",$H$5:$H$3004,"&lt;&gt;Cancelado",$H$5:$H$3004,"&lt;&gt;Remarcado")&gt;0,"Sim","Não"))</f>
        <v/>
      </c>
      <c r="S1145" s="32">
        <f>IF(R1145&lt;&gt;"Não","",IF(Q1145+Config!$B$9&lt;=Config!$B$8,Config!$B$8-Q1145,""))</f>
        <v/>
      </c>
      <c r="T1145" s="26">
        <f>IF(S1145="","","Sim")</f>
        <v/>
      </c>
      <c r="U1145" s="41">
        <f>IF(T1145="Sim",S1145+ROW()/100000,0)</f>
        <v>0</v>
      </c>
      <c r="V1145" s="41">
        <f>IF(AND(H1145="Falta",L1145=Config!$B$7,M1145=Config!$B$5,COUNTIFS($E$5:E1145,E1145,$H$5:H1145,"Falta",$L$5:L1145,Config!$B$7,$M$5:M1145,Config!$B$5)=1),COUNTIFS($E$5:$E$3004,E1145,$H$5:$H$3004,"Falta",$L$5:$L$3004,Config!$B$7,$M$5:$M$3004,Config!$B$5)*1000-ROW()/100000,0)</f>
        <v>0</v>
      </c>
    </row>
    <row r="1146">
      <c r="A1146" s="39" t="n">
        <v>46289</v>
      </c>
      <c r="B1146" s="40" t="n">
        <v>0.6388888888888888</v>
      </c>
      <c r="C1146" s="35" t="inlineStr">
        <is>
          <t>Dr. Paulo Andrade</t>
        </is>
      </c>
      <c r="D1146" s="35" t="inlineStr">
        <is>
          <t>Sala 2</t>
        </is>
      </c>
      <c r="E1146" s="34" t="inlineStr">
        <is>
          <t>Roberta Fernandes</t>
        </is>
      </c>
      <c r="F1146" s="35" t="inlineStr">
        <is>
          <t>Saúde Total</t>
        </is>
      </c>
      <c r="G1146" s="35" t="inlineStr">
        <is>
          <t>ECG</t>
        </is>
      </c>
      <c r="H1146" s="35" t="inlineStr">
        <is>
          <t>Agendado</t>
        </is>
      </c>
      <c r="I1146" s="35" t="n"/>
      <c r="J1146" s="35" t="n"/>
      <c r="K1146" s="34" t="n"/>
      <c r="L1146" s="26">
        <f>IF(A1146="","",MONTH(A1146))</f>
        <v>9</v>
      </c>
      <c r="M1146" s="26">
        <f>IF(A1146="","",YEAR(A1146))</f>
        <v>2026</v>
      </c>
      <c r="N1146" s="26" t="str">
        <f>IF(A1146="","",CHOOSE(WEEKDAY(A1146,2),"Segunda","Terça","Quarta","Quinta","Sexta","Sábado","Domingo"))</f>
        <v>Quinta</v>
      </c>
      <c r="O1146" s="26" t="str">
        <f>IF(B1146="","",IF(B1146&lt;TIME(12,0,0),"Manhã",IF(B1146&lt;TIME(18,0,0),"Tarde","Noite")))</f>
        <v>Tarde</v>
      </c>
      <c r="P1146" s="32">
        <f>IF(G1146="","",IFERROR(INDEX(Config!$I$5:$I$16,MATCH(G1146,Config!$H$5:$H$16,0)),0))</f>
        <v>0</v>
      </c>
      <c r="Q1146" s="30">
        <f>IF(OR(H1146&lt;&gt;"Realizado",P1146="",P1146=0),"",A1146+P1146)</f>
        <v/>
      </c>
      <c r="R1146" s="26">
        <f>IF(Q1146="","",IF(COUNTIFS($E$5:$E$3004,E1146,$A$5:$A$3004,"&gt;"&amp;A1146,$H$5:$H$3004,"&lt;&gt;Falta",$H$5:$H$3004,"&lt;&gt;Cancelado",$H$5:$H$3004,"&lt;&gt;Remarcado")&gt;0,"Sim","Não"))</f>
        <v/>
      </c>
      <c r="S1146" s="32">
        <f>IF(R1146&lt;&gt;"Não","",IF(Q1146+Config!$B$9&lt;=Config!$B$8,Config!$B$8-Q1146,""))</f>
        <v/>
      </c>
      <c r="T1146" s="26">
        <f>IF(S1146="","","Sim")</f>
        <v/>
      </c>
      <c r="U1146" s="41">
        <f>IF(T1146="Sim",S1146+ROW()/100000,0)</f>
        <v>0</v>
      </c>
      <c r="V1146" s="41">
        <f>IF(AND(H1146="Falta",L1146=Config!$B$7,M1146=Config!$B$5,COUNTIFS($E$5:E1146,E1146,$H$5:H1146,"Falta",$L$5:L1146,Config!$B$7,$M$5:M1146,Config!$B$5)=1),COUNTIFS($E$5:$E$3004,E1146,$H$5:$H$3004,"Falta",$L$5:$L$3004,Config!$B$7,$M$5:$M$3004,Config!$B$5)*1000-ROW()/100000,0)</f>
        <v>0</v>
      </c>
    </row>
    <row r="1147">
      <c r="A1147" s="39" t="n">
        <v>46289</v>
      </c>
      <c r="B1147" s="40" t="n">
        <v>0.6458333333333334</v>
      </c>
      <c r="C1147" s="35" t="inlineStr">
        <is>
          <t>Dra. Renata Sousa</t>
        </is>
      </c>
      <c r="D1147" s="35" t="inlineStr">
        <is>
          <t>Sala 1</t>
        </is>
      </c>
      <c r="E1147" s="34" t="inlineStr">
        <is>
          <t>Gabriel Lopes</t>
        </is>
      </c>
      <c r="F1147" s="35" t="inlineStr">
        <is>
          <t>Saúde Total</t>
        </is>
      </c>
      <c r="G1147" s="35" t="inlineStr">
        <is>
          <t>Avaliação endócrina</t>
        </is>
      </c>
      <c r="H1147" s="35" t="inlineStr">
        <is>
          <t>Agendado</t>
        </is>
      </c>
      <c r="I1147" s="35" t="n"/>
      <c r="J1147" s="35" t="n"/>
      <c r="K1147" s="34" t="n"/>
      <c r="L1147" s="26">
        <f>IF(A1147="","",MONTH(A1147))</f>
        <v>9</v>
      </c>
      <c r="M1147" s="26">
        <f>IF(A1147="","",YEAR(A1147))</f>
        <v>2026</v>
      </c>
      <c r="N1147" s="26" t="str">
        <f>IF(A1147="","",CHOOSE(WEEKDAY(A1147,2),"Segunda","Terça","Quarta","Quinta","Sexta","Sábado","Domingo"))</f>
        <v>Quinta</v>
      </c>
      <c r="O1147" s="26" t="str">
        <f>IF(B1147="","",IF(B1147&lt;TIME(12,0,0),"Manhã",IF(B1147&lt;TIME(18,0,0),"Tarde","Noite")))</f>
        <v>Tarde</v>
      </c>
      <c r="P1147" s="32">
        <f>IF(G1147="","",IFERROR(INDEX(Config!$I$5:$I$16,MATCH(G1147,Config!$H$5:$H$16,0)),0))</f>
        <v>45</v>
      </c>
      <c r="Q1147" s="30">
        <f>IF(OR(H1147&lt;&gt;"Realizado",P1147="",P1147=0),"",A1147+P1147)</f>
        <v/>
      </c>
      <c r="R1147" s="26">
        <f>IF(Q1147="","",IF(COUNTIFS($E$5:$E$3004,E1147,$A$5:$A$3004,"&gt;"&amp;A1147,$H$5:$H$3004,"&lt;&gt;Falta",$H$5:$H$3004,"&lt;&gt;Cancelado",$H$5:$H$3004,"&lt;&gt;Remarcado")&gt;0,"Sim","Não"))</f>
        <v/>
      </c>
      <c r="S1147" s="32">
        <f>IF(R1147&lt;&gt;"Não","",IF(Q1147+Config!$B$9&lt;=Config!$B$8,Config!$B$8-Q1147,""))</f>
        <v/>
      </c>
      <c r="T1147" s="26">
        <f>IF(S1147="","","Sim")</f>
        <v/>
      </c>
      <c r="U1147" s="41">
        <f>IF(T1147="Sim",S1147+ROW()/100000,0)</f>
        <v>0</v>
      </c>
      <c r="V1147" s="41">
        <f>IF(AND(H1147="Falta",L1147=Config!$B$7,M1147=Config!$B$5,COUNTIFS($E$5:E1147,E1147,$H$5:H1147,"Falta",$L$5:L1147,Config!$B$7,$M$5:M1147,Config!$B$5)=1),COUNTIFS($E$5:$E$3004,E1147,$H$5:$H$3004,"Falta",$L$5:$L$3004,Config!$B$7,$M$5:$M$3004,Config!$B$5)*1000-ROW()/100000,0)</f>
        <v>0</v>
      </c>
    </row>
    <row r="1148">
      <c r="A1148" s="39" t="n">
        <v>46289</v>
      </c>
      <c r="B1148" s="40" t="n">
        <v>0.6527777777777778</v>
      </c>
      <c r="C1148" s="35" t="inlineStr">
        <is>
          <t>Dr. Paulo Andrade</t>
        </is>
      </c>
      <c r="D1148" s="35" t="inlineStr">
        <is>
          <t>Sala 2</t>
        </is>
      </c>
      <c r="E1148" s="34" t="inlineStr">
        <is>
          <t>Otávio Cardoso</t>
        </is>
      </c>
      <c r="F1148" s="35" t="inlineStr">
        <is>
          <t>Particular</t>
        </is>
      </c>
      <c r="G1148" s="35" t="inlineStr">
        <is>
          <t>ECG</t>
        </is>
      </c>
      <c r="H1148" s="35" t="inlineStr">
        <is>
          <t>Agendado</t>
        </is>
      </c>
      <c r="I1148" s="35" t="n"/>
      <c r="J1148" s="35" t="n"/>
      <c r="K1148" s="34" t="n"/>
      <c r="L1148" s="26">
        <f>IF(A1148="","",MONTH(A1148))</f>
        <v>9</v>
      </c>
      <c r="M1148" s="26">
        <f>IF(A1148="","",YEAR(A1148))</f>
        <v>2026</v>
      </c>
      <c r="N1148" s="26" t="str">
        <f>IF(A1148="","",CHOOSE(WEEKDAY(A1148,2),"Segunda","Terça","Quarta","Quinta","Sexta","Sábado","Domingo"))</f>
        <v>Quinta</v>
      </c>
      <c r="O1148" s="26" t="str">
        <f>IF(B1148="","",IF(B1148&lt;TIME(12,0,0),"Manhã",IF(B1148&lt;TIME(18,0,0),"Tarde","Noite")))</f>
        <v>Tarde</v>
      </c>
      <c r="P1148" s="32">
        <f>IF(G1148="","",IFERROR(INDEX(Config!$I$5:$I$16,MATCH(G1148,Config!$H$5:$H$16,0)),0))</f>
        <v>0</v>
      </c>
      <c r="Q1148" s="30">
        <f>IF(OR(H1148&lt;&gt;"Realizado",P1148="",P1148=0),"",A1148+P1148)</f>
        <v/>
      </c>
      <c r="R1148" s="26">
        <f>IF(Q1148="","",IF(COUNTIFS($E$5:$E$3004,E1148,$A$5:$A$3004,"&gt;"&amp;A1148,$H$5:$H$3004,"&lt;&gt;Falta",$H$5:$H$3004,"&lt;&gt;Cancelado",$H$5:$H$3004,"&lt;&gt;Remarcado")&gt;0,"Sim","Não"))</f>
        <v/>
      </c>
      <c r="S1148" s="32">
        <f>IF(R1148&lt;&gt;"Não","",IF(Q1148+Config!$B$9&lt;=Config!$B$8,Config!$B$8-Q1148,""))</f>
        <v/>
      </c>
      <c r="T1148" s="26">
        <f>IF(S1148="","","Sim")</f>
        <v/>
      </c>
      <c r="U1148" s="41">
        <f>IF(T1148="Sim",S1148+ROW()/100000,0)</f>
        <v>0</v>
      </c>
      <c r="V1148" s="41">
        <f>IF(AND(H1148="Falta",L1148=Config!$B$7,M1148=Config!$B$5,COUNTIFS($E$5:E1148,E1148,$H$5:H1148,"Falta",$L$5:L1148,Config!$B$7,$M$5:M1148,Config!$B$5)=1),COUNTIFS($E$5:$E$3004,E1148,$H$5:$H$3004,"Falta",$L$5:$L$3004,Config!$B$7,$M$5:$M$3004,Config!$B$5)*1000-ROW()/100000,0)</f>
        <v>0</v>
      </c>
    </row>
    <row r="1149">
      <c r="A1149" s="39" t="n">
        <v>46289</v>
      </c>
      <c r="B1149" s="40" t="n">
        <v>0.6666666666666666</v>
      </c>
      <c r="C1149" s="35" t="inlineStr">
        <is>
          <t>Dr. Paulo Andrade</t>
        </is>
      </c>
      <c r="D1149" s="35" t="inlineStr">
        <is>
          <t>Sala 2</t>
        </is>
      </c>
      <c r="E1149" s="34" t="inlineStr">
        <is>
          <t>Camila Martins</t>
        </is>
      </c>
      <c r="F1149" s="35" t="inlineStr">
        <is>
          <t>Vida Care</t>
        </is>
      </c>
      <c r="G1149" s="35" t="inlineStr">
        <is>
          <t>Retorno</t>
        </is>
      </c>
      <c r="H1149" s="35" t="inlineStr">
        <is>
          <t>Agendado</t>
        </is>
      </c>
      <c r="I1149" s="35" t="n"/>
      <c r="J1149" s="35" t="n"/>
      <c r="K1149" s="34" t="n"/>
      <c r="L1149" s="26">
        <f>IF(A1149="","",MONTH(A1149))</f>
        <v>9</v>
      </c>
      <c r="M1149" s="26">
        <f>IF(A1149="","",YEAR(A1149))</f>
        <v>2026</v>
      </c>
      <c r="N1149" s="26" t="str">
        <f>IF(A1149="","",CHOOSE(WEEKDAY(A1149,2),"Segunda","Terça","Quarta","Quinta","Sexta","Sábado","Domingo"))</f>
        <v>Quinta</v>
      </c>
      <c r="O1149" s="26" t="str">
        <f>IF(B1149="","",IF(B1149&lt;TIME(12,0,0),"Manhã",IF(B1149&lt;TIME(18,0,0),"Tarde","Noite")))</f>
        <v>Tarde</v>
      </c>
      <c r="P1149" s="32">
        <f>IF(G1149="","",IFERROR(INDEX(Config!$I$5:$I$16,MATCH(G1149,Config!$H$5:$H$16,0)),0))</f>
        <v>0</v>
      </c>
      <c r="Q1149" s="30">
        <f>IF(OR(H1149&lt;&gt;"Realizado",P1149="",P1149=0),"",A1149+P1149)</f>
        <v/>
      </c>
      <c r="R1149" s="26">
        <f>IF(Q1149="","",IF(COUNTIFS($E$5:$E$3004,E1149,$A$5:$A$3004,"&gt;"&amp;A1149,$H$5:$H$3004,"&lt;&gt;Falta",$H$5:$H$3004,"&lt;&gt;Cancelado",$H$5:$H$3004,"&lt;&gt;Remarcado")&gt;0,"Sim","Não"))</f>
        <v/>
      </c>
      <c r="S1149" s="32">
        <f>IF(R1149&lt;&gt;"Não","",IF(Q1149+Config!$B$9&lt;=Config!$B$8,Config!$B$8-Q1149,""))</f>
        <v/>
      </c>
      <c r="T1149" s="26">
        <f>IF(S1149="","","Sim")</f>
        <v/>
      </c>
      <c r="U1149" s="41">
        <f>IF(T1149="Sim",S1149+ROW()/100000,0)</f>
        <v>0</v>
      </c>
      <c r="V1149" s="41">
        <f>IF(AND(H1149="Falta",L1149=Config!$B$7,M1149=Config!$B$5,COUNTIFS($E$5:E1149,E1149,$H$5:H1149,"Falta",$L$5:L1149,Config!$B$7,$M$5:M1149,Config!$B$5)=1),COUNTIFS($E$5:$E$3004,E1149,$H$5:$H$3004,"Falta",$L$5:$L$3004,Config!$B$7,$M$5:$M$3004,Config!$B$5)*1000-ROW()/100000,0)</f>
        <v>0</v>
      </c>
    </row>
    <row r="1150">
      <c r="A1150" s="39" t="n">
        <v>46289</v>
      </c>
      <c r="B1150" s="40" t="n">
        <v>0.6736111111111112</v>
      </c>
      <c r="C1150" s="35" t="inlineStr">
        <is>
          <t>Dra. Renata Sousa</t>
        </is>
      </c>
      <c r="D1150" s="35" t="inlineStr">
        <is>
          <t>Sala 1</t>
        </is>
      </c>
      <c r="E1150" s="34" t="inlineStr">
        <is>
          <t>Mônica Almeida</t>
        </is>
      </c>
      <c r="F1150" s="35" t="inlineStr">
        <is>
          <t>Particular</t>
        </is>
      </c>
      <c r="G1150" s="35" t="inlineStr">
        <is>
          <t>Avaliação endócrina</t>
        </is>
      </c>
      <c r="H1150" s="35" t="inlineStr">
        <is>
          <t>Agendado</t>
        </is>
      </c>
      <c r="I1150" s="35" t="n"/>
      <c r="J1150" s="35" t="n"/>
      <c r="K1150" s="34" t="n"/>
      <c r="L1150" s="26">
        <f>IF(A1150="","",MONTH(A1150))</f>
        <v>9</v>
      </c>
      <c r="M1150" s="26">
        <f>IF(A1150="","",YEAR(A1150))</f>
        <v>2026</v>
      </c>
      <c r="N1150" s="26" t="str">
        <f>IF(A1150="","",CHOOSE(WEEKDAY(A1150,2),"Segunda","Terça","Quarta","Quinta","Sexta","Sábado","Domingo"))</f>
        <v>Quinta</v>
      </c>
      <c r="O1150" s="26" t="str">
        <f>IF(B1150="","",IF(B1150&lt;TIME(12,0,0),"Manhã",IF(B1150&lt;TIME(18,0,0),"Tarde","Noite")))</f>
        <v>Tarde</v>
      </c>
      <c r="P1150" s="32">
        <f>IF(G1150="","",IFERROR(INDEX(Config!$I$5:$I$16,MATCH(G1150,Config!$H$5:$H$16,0)),0))</f>
        <v>45</v>
      </c>
      <c r="Q1150" s="30">
        <f>IF(OR(H1150&lt;&gt;"Realizado",P1150="",P1150=0),"",A1150+P1150)</f>
        <v/>
      </c>
      <c r="R1150" s="26">
        <f>IF(Q1150="","",IF(COUNTIFS($E$5:$E$3004,E1150,$A$5:$A$3004,"&gt;"&amp;A1150,$H$5:$H$3004,"&lt;&gt;Falta",$H$5:$H$3004,"&lt;&gt;Cancelado",$H$5:$H$3004,"&lt;&gt;Remarcado")&gt;0,"Sim","Não"))</f>
        <v/>
      </c>
      <c r="S1150" s="32">
        <f>IF(R1150&lt;&gt;"Não","",IF(Q1150+Config!$B$9&lt;=Config!$B$8,Config!$B$8-Q1150,""))</f>
        <v/>
      </c>
      <c r="T1150" s="26">
        <f>IF(S1150="","","Sim")</f>
        <v/>
      </c>
      <c r="U1150" s="41">
        <f>IF(T1150="Sim",S1150+ROW()/100000,0)</f>
        <v>0</v>
      </c>
      <c r="V1150" s="41">
        <f>IF(AND(H1150="Falta",L1150=Config!$B$7,M1150=Config!$B$5,COUNTIFS($E$5:E1150,E1150,$H$5:H1150,"Falta",$L$5:L1150,Config!$B$7,$M$5:M1150,Config!$B$5)=1),COUNTIFS($E$5:$E$3004,E1150,$H$5:$H$3004,"Falta",$L$5:$L$3004,Config!$B$7,$M$5:$M$3004,Config!$B$5)*1000-ROW()/100000,0)</f>
        <v>0</v>
      </c>
    </row>
    <row r="1151">
      <c r="A1151" s="39" t="n">
        <v>46289</v>
      </c>
      <c r="B1151" s="40" t="n">
        <v>0.6805555555555556</v>
      </c>
      <c r="C1151" s="35" t="inlineStr">
        <is>
          <t>Dr. Paulo Andrade</t>
        </is>
      </c>
      <c r="D1151" s="35" t="inlineStr">
        <is>
          <t>Sala 2</t>
        </is>
      </c>
      <c r="E1151" s="34" t="inlineStr">
        <is>
          <t>Mateus Dias</t>
        </is>
      </c>
      <c r="F1151" s="35" t="inlineStr">
        <is>
          <t>Saúde Total</t>
        </is>
      </c>
      <c r="G1151" s="35" t="inlineStr">
        <is>
          <t>Retorno</t>
        </is>
      </c>
      <c r="H1151" s="35" t="inlineStr">
        <is>
          <t>Agendado</t>
        </is>
      </c>
      <c r="I1151" s="35" t="n"/>
      <c r="J1151" s="35" t="n"/>
      <c r="K1151" s="34" t="n"/>
      <c r="L1151" s="26">
        <f>IF(A1151="","",MONTH(A1151))</f>
        <v>9</v>
      </c>
      <c r="M1151" s="26">
        <f>IF(A1151="","",YEAR(A1151))</f>
        <v>2026</v>
      </c>
      <c r="N1151" s="26" t="str">
        <f>IF(A1151="","",CHOOSE(WEEKDAY(A1151,2),"Segunda","Terça","Quarta","Quinta","Sexta","Sábado","Domingo"))</f>
        <v>Quinta</v>
      </c>
      <c r="O1151" s="26" t="str">
        <f>IF(B1151="","",IF(B1151&lt;TIME(12,0,0),"Manhã",IF(B1151&lt;TIME(18,0,0),"Tarde","Noite")))</f>
        <v>Tarde</v>
      </c>
      <c r="P1151" s="32">
        <f>IF(G1151="","",IFERROR(INDEX(Config!$I$5:$I$16,MATCH(G1151,Config!$H$5:$H$16,0)),0))</f>
        <v>0</v>
      </c>
      <c r="Q1151" s="30">
        <f>IF(OR(H1151&lt;&gt;"Realizado",P1151="",P1151=0),"",A1151+P1151)</f>
        <v/>
      </c>
      <c r="R1151" s="26">
        <f>IF(Q1151="","",IF(COUNTIFS($E$5:$E$3004,E1151,$A$5:$A$3004,"&gt;"&amp;A1151,$H$5:$H$3004,"&lt;&gt;Falta",$H$5:$H$3004,"&lt;&gt;Cancelado",$H$5:$H$3004,"&lt;&gt;Remarcado")&gt;0,"Sim","Não"))</f>
        <v/>
      </c>
      <c r="S1151" s="32">
        <f>IF(R1151&lt;&gt;"Não","",IF(Q1151+Config!$B$9&lt;=Config!$B$8,Config!$B$8-Q1151,""))</f>
        <v/>
      </c>
      <c r="T1151" s="26">
        <f>IF(S1151="","","Sim")</f>
        <v/>
      </c>
      <c r="U1151" s="41">
        <f>IF(T1151="Sim",S1151+ROW()/100000,0)</f>
        <v>0</v>
      </c>
      <c r="V1151" s="41">
        <f>IF(AND(H1151="Falta",L1151=Config!$B$7,M1151=Config!$B$5,COUNTIFS($E$5:E1151,E1151,$H$5:H1151,"Falta",$L$5:L1151,Config!$B$7,$M$5:M1151,Config!$B$5)=1),COUNTIFS($E$5:$E$3004,E1151,$H$5:$H$3004,"Falta",$L$5:$L$3004,Config!$B$7,$M$5:$M$3004,Config!$B$5)*1000-ROW()/100000,0)</f>
        <v>0</v>
      </c>
    </row>
    <row r="1152">
      <c r="A1152" s="39" t="n">
        <v>46289</v>
      </c>
      <c r="B1152" s="40" t="n">
        <v>0.6944444444444444</v>
      </c>
      <c r="C1152" s="35" t="inlineStr">
        <is>
          <t>Dr. Paulo Andrade</t>
        </is>
      </c>
      <c r="D1152" s="35" t="inlineStr">
        <is>
          <t>Sala 2</t>
        </is>
      </c>
      <c r="E1152" s="34" t="inlineStr">
        <is>
          <t>Rafael Barros</t>
        </is>
      </c>
      <c r="F1152" s="35" t="inlineStr">
        <is>
          <t>Particular</t>
        </is>
      </c>
      <c r="G1152" s="35" t="inlineStr">
        <is>
          <t>Consulta</t>
        </is>
      </c>
      <c r="H1152" s="35" t="inlineStr">
        <is>
          <t>Agendado</t>
        </is>
      </c>
      <c r="I1152" s="35" t="n"/>
      <c r="J1152" s="35" t="n"/>
      <c r="K1152" s="34" t="n"/>
      <c r="L1152" s="26">
        <f>IF(A1152="","",MONTH(A1152))</f>
        <v>9</v>
      </c>
      <c r="M1152" s="26">
        <f>IF(A1152="","",YEAR(A1152))</f>
        <v>2026</v>
      </c>
      <c r="N1152" s="26" t="str">
        <f>IF(A1152="","",CHOOSE(WEEKDAY(A1152,2),"Segunda","Terça","Quarta","Quinta","Sexta","Sábado","Domingo"))</f>
        <v>Quinta</v>
      </c>
      <c r="O1152" s="26" t="str">
        <f>IF(B1152="","",IF(B1152&lt;TIME(12,0,0),"Manhã",IF(B1152&lt;TIME(18,0,0),"Tarde","Noite")))</f>
        <v>Tarde</v>
      </c>
      <c r="P1152" s="32">
        <f>IF(G1152="","",IFERROR(INDEX(Config!$I$5:$I$16,MATCH(G1152,Config!$H$5:$H$16,0)),0))</f>
        <v>30</v>
      </c>
      <c r="Q1152" s="30">
        <f>IF(OR(H1152&lt;&gt;"Realizado",P1152="",P1152=0),"",A1152+P1152)</f>
        <v/>
      </c>
      <c r="R1152" s="26">
        <f>IF(Q1152="","",IF(COUNTIFS($E$5:$E$3004,E1152,$A$5:$A$3004,"&gt;"&amp;A1152,$H$5:$H$3004,"&lt;&gt;Falta",$H$5:$H$3004,"&lt;&gt;Cancelado",$H$5:$H$3004,"&lt;&gt;Remarcado")&gt;0,"Sim","Não"))</f>
        <v/>
      </c>
      <c r="S1152" s="32">
        <f>IF(R1152&lt;&gt;"Não","",IF(Q1152+Config!$B$9&lt;=Config!$B$8,Config!$B$8-Q1152,""))</f>
        <v/>
      </c>
      <c r="T1152" s="26">
        <f>IF(S1152="","","Sim")</f>
        <v/>
      </c>
      <c r="U1152" s="41">
        <f>IF(T1152="Sim",S1152+ROW()/100000,0)</f>
        <v>0</v>
      </c>
      <c r="V1152" s="41">
        <f>IF(AND(H1152="Falta",L1152=Config!$B$7,M1152=Config!$B$5,COUNTIFS($E$5:E1152,E1152,$H$5:H1152,"Falta",$L$5:L1152,Config!$B$7,$M$5:M1152,Config!$B$5)=1),COUNTIFS($E$5:$E$3004,E1152,$H$5:$H$3004,"Falta",$L$5:$L$3004,Config!$B$7,$M$5:$M$3004,Config!$B$5)*1000-ROW()/100000,0)</f>
        <v>0</v>
      </c>
    </row>
    <row r="1153">
      <c r="A1153" s="39" t="n">
        <v>46289</v>
      </c>
      <c r="B1153" s="40" t="n">
        <v>0.7013888888888888</v>
      </c>
      <c r="C1153" s="35" t="inlineStr">
        <is>
          <t>Dra. Renata Sousa</t>
        </is>
      </c>
      <c r="D1153" s="35" t="inlineStr">
        <is>
          <t>Sala 1</t>
        </is>
      </c>
      <c r="E1153" s="34" t="inlineStr">
        <is>
          <t>Fábio Gomes</t>
        </is>
      </c>
      <c r="F1153" s="35" t="inlineStr">
        <is>
          <t>Particular</t>
        </is>
      </c>
      <c r="G1153" s="35" t="inlineStr">
        <is>
          <t>Avaliação endócrina</t>
        </is>
      </c>
      <c r="H1153" s="35" t="inlineStr">
        <is>
          <t>Agendado</t>
        </is>
      </c>
      <c r="I1153" s="35" t="n"/>
      <c r="J1153" s="35" t="n"/>
      <c r="K1153" s="34" t="n"/>
      <c r="L1153" s="26">
        <f>IF(A1153="","",MONTH(A1153))</f>
        <v>9</v>
      </c>
      <c r="M1153" s="26">
        <f>IF(A1153="","",YEAR(A1153))</f>
        <v>2026</v>
      </c>
      <c r="N1153" s="26" t="str">
        <f>IF(A1153="","",CHOOSE(WEEKDAY(A1153,2),"Segunda","Terça","Quarta","Quinta","Sexta","Sábado","Domingo"))</f>
        <v>Quinta</v>
      </c>
      <c r="O1153" s="26" t="str">
        <f>IF(B1153="","",IF(B1153&lt;TIME(12,0,0),"Manhã",IF(B1153&lt;TIME(18,0,0),"Tarde","Noite")))</f>
        <v>Tarde</v>
      </c>
      <c r="P1153" s="32">
        <f>IF(G1153="","",IFERROR(INDEX(Config!$I$5:$I$16,MATCH(G1153,Config!$H$5:$H$16,0)),0))</f>
        <v>45</v>
      </c>
      <c r="Q1153" s="30">
        <f>IF(OR(H1153&lt;&gt;"Realizado",P1153="",P1153=0),"",A1153+P1153)</f>
        <v/>
      </c>
      <c r="R1153" s="26">
        <f>IF(Q1153="","",IF(COUNTIFS($E$5:$E$3004,E1153,$A$5:$A$3004,"&gt;"&amp;A1153,$H$5:$H$3004,"&lt;&gt;Falta",$H$5:$H$3004,"&lt;&gt;Cancelado",$H$5:$H$3004,"&lt;&gt;Remarcado")&gt;0,"Sim","Não"))</f>
        <v/>
      </c>
      <c r="S1153" s="32">
        <f>IF(R1153&lt;&gt;"Não","",IF(Q1153+Config!$B$9&lt;=Config!$B$8,Config!$B$8-Q1153,""))</f>
        <v/>
      </c>
      <c r="T1153" s="26">
        <f>IF(S1153="","","Sim")</f>
        <v/>
      </c>
      <c r="U1153" s="41">
        <f>IF(T1153="Sim",S1153+ROW()/100000,0)</f>
        <v>0</v>
      </c>
      <c r="V1153" s="41">
        <f>IF(AND(H1153="Falta",L1153=Config!$B$7,M1153=Config!$B$5,COUNTIFS($E$5:E1153,E1153,$H$5:H1153,"Falta",$L$5:L1153,Config!$B$7,$M$5:M1153,Config!$B$5)=1),COUNTIFS($E$5:$E$3004,E1153,$H$5:$H$3004,"Falta",$L$5:$L$3004,Config!$B$7,$M$5:$M$3004,Config!$B$5)*1000-ROW()/100000,0)</f>
        <v>0</v>
      </c>
    </row>
    <row r="1154">
      <c r="A1154" s="39" t="n">
        <v>46289</v>
      </c>
      <c r="B1154" s="40" t="n">
        <v>0.7152777777777778</v>
      </c>
      <c r="C1154" s="35" t="inlineStr">
        <is>
          <t>Dr. Paulo Andrade</t>
        </is>
      </c>
      <c r="D1154" s="35" t="inlineStr">
        <is>
          <t>Sala 2</t>
        </is>
      </c>
      <c r="E1154" s="34" t="inlineStr">
        <is>
          <t>Camila Freitas</t>
        </is>
      </c>
      <c r="F1154" s="35" t="inlineStr">
        <is>
          <t>Particular</t>
        </is>
      </c>
      <c r="G1154" s="35" t="inlineStr">
        <is>
          <t>Retorno</t>
        </is>
      </c>
      <c r="H1154" s="35" t="inlineStr">
        <is>
          <t>Agendado</t>
        </is>
      </c>
      <c r="I1154" s="35" t="n"/>
      <c r="J1154" s="35" t="n"/>
      <c r="K1154" s="34" t="n"/>
      <c r="L1154" s="26">
        <f>IF(A1154="","",MONTH(A1154))</f>
        <v>9</v>
      </c>
      <c r="M1154" s="26">
        <f>IF(A1154="","",YEAR(A1154))</f>
        <v>2026</v>
      </c>
      <c r="N1154" s="26" t="str">
        <f>IF(A1154="","",CHOOSE(WEEKDAY(A1154,2),"Segunda","Terça","Quarta","Quinta","Sexta","Sábado","Domingo"))</f>
        <v>Quinta</v>
      </c>
      <c r="O1154" s="26" t="str">
        <f>IF(B1154="","",IF(B1154&lt;TIME(12,0,0),"Manhã",IF(B1154&lt;TIME(18,0,0),"Tarde","Noite")))</f>
        <v>Tarde</v>
      </c>
      <c r="P1154" s="32">
        <f>IF(G1154="","",IFERROR(INDEX(Config!$I$5:$I$16,MATCH(G1154,Config!$H$5:$H$16,0)),0))</f>
        <v>0</v>
      </c>
      <c r="Q1154" s="30">
        <f>IF(OR(H1154&lt;&gt;"Realizado",P1154="",P1154=0),"",A1154+P1154)</f>
        <v/>
      </c>
      <c r="R1154" s="26">
        <f>IF(Q1154="","",IF(COUNTIFS($E$5:$E$3004,E1154,$A$5:$A$3004,"&gt;"&amp;A1154,$H$5:$H$3004,"&lt;&gt;Falta",$H$5:$H$3004,"&lt;&gt;Cancelado",$H$5:$H$3004,"&lt;&gt;Remarcado")&gt;0,"Sim","Não"))</f>
        <v/>
      </c>
      <c r="S1154" s="32">
        <f>IF(R1154&lt;&gt;"Não","",IF(Q1154+Config!$B$9&lt;=Config!$B$8,Config!$B$8-Q1154,""))</f>
        <v/>
      </c>
      <c r="T1154" s="26">
        <f>IF(S1154="","","Sim")</f>
        <v/>
      </c>
      <c r="U1154" s="41">
        <f>IF(T1154="Sim",S1154+ROW()/100000,0)</f>
        <v>0</v>
      </c>
      <c r="V1154" s="41">
        <f>IF(AND(H1154="Falta",L1154=Config!$B$7,M1154=Config!$B$5,COUNTIFS($E$5:E1154,E1154,$H$5:H1154,"Falta",$L$5:L1154,Config!$B$7,$M$5:M1154,Config!$B$5)=1),COUNTIFS($E$5:$E$3004,E1154,$H$5:$H$3004,"Falta",$L$5:$L$3004,Config!$B$7,$M$5:$M$3004,Config!$B$5)*1000-ROW()/100000,0)</f>
        <v>0</v>
      </c>
    </row>
    <row r="1155">
      <c r="A1155" s="39" t="n">
        <v>46289</v>
      </c>
      <c r="B1155" s="40" t="n">
        <v>0.7291666666666666</v>
      </c>
      <c r="C1155" s="35" t="inlineStr">
        <is>
          <t>Dra. Renata Sousa</t>
        </is>
      </c>
      <c r="D1155" s="35" t="inlineStr">
        <is>
          <t>Sala 1</t>
        </is>
      </c>
      <c r="E1155" s="34" t="inlineStr">
        <is>
          <t>Mônica Almeida</t>
        </is>
      </c>
      <c r="F1155" s="35" t="inlineStr">
        <is>
          <t>Particular</t>
        </is>
      </c>
      <c r="G1155" s="35" t="inlineStr">
        <is>
          <t>Retorno</t>
        </is>
      </c>
      <c r="H1155" s="35" t="inlineStr">
        <is>
          <t>Agendado</t>
        </is>
      </c>
      <c r="I1155" s="35" t="n"/>
      <c r="J1155" s="35" t="n"/>
      <c r="K1155" s="34" t="n"/>
      <c r="L1155" s="26">
        <f>IF(A1155="","",MONTH(A1155))</f>
        <v>9</v>
      </c>
      <c r="M1155" s="26">
        <f>IF(A1155="","",YEAR(A1155))</f>
        <v>2026</v>
      </c>
      <c r="N1155" s="26" t="str">
        <f>IF(A1155="","",CHOOSE(WEEKDAY(A1155,2),"Segunda","Terça","Quarta","Quinta","Sexta","Sábado","Domingo"))</f>
        <v>Quinta</v>
      </c>
      <c r="O1155" s="26" t="str">
        <f>IF(B1155="","",IF(B1155&lt;TIME(12,0,0),"Manhã",IF(B1155&lt;TIME(18,0,0),"Tarde","Noite")))</f>
        <v>Tarde</v>
      </c>
      <c r="P1155" s="32">
        <f>IF(G1155="","",IFERROR(INDEX(Config!$I$5:$I$16,MATCH(G1155,Config!$H$5:$H$16,0)),0))</f>
        <v>0</v>
      </c>
      <c r="Q1155" s="30">
        <f>IF(OR(H1155&lt;&gt;"Realizado",P1155="",P1155=0),"",A1155+P1155)</f>
        <v/>
      </c>
      <c r="R1155" s="26">
        <f>IF(Q1155="","",IF(COUNTIFS($E$5:$E$3004,E1155,$A$5:$A$3004,"&gt;"&amp;A1155,$H$5:$H$3004,"&lt;&gt;Falta",$H$5:$H$3004,"&lt;&gt;Cancelado",$H$5:$H$3004,"&lt;&gt;Remarcado")&gt;0,"Sim","Não"))</f>
        <v/>
      </c>
      <c r="S1155" s="32">
        <f>IF(R1155&lt;&gt;"Não","",IF(Q1155+Config!$B$9&lt;=Config!$B$8,Config!$B$8-Q1155,""))</f>
        <v/>
      </c>
      <c r="T1155" s="26">
        <f>IF(S1155="","","Sim")</f>
        <v/>
      </c>
      <c r="U1155" s="41">
        <f>IF(T1155="Sim",S1155+ROW()/100000,0)</f>
        <v>0</v>
      </c>
      <c r="V1155" s="41">
        <f>IF(AND(H1155="Falta",L1155=Config!$B$7,M1155=Config!$B$5,COUNTIFS($E$5:E1155,E1155,$H$5:H1155,"Falta",$L$5:L1155,Config!$B$7,$M$5:M1155,Config!$B$5)=1),COUNTIFS($E$5:$E$3004,E1155,$H$5:$H$3004,"Falta",$L$5:$L$3004,Config!$B$7,$M$5:$M$3004,Config!$B$5)*1000-ROW()/100000,0)</f>
        <v>0</v>
      </c>
    </row>
    <row r="1156">
      <c r="A1156" s="39" t="n">
        <v>46289</v>
      </c>
      <c r="B1156" s="40" t="n">
        <v>0.7291666666666666</v>
      </c>
      <c r="C1156" s="35" t="inlineStr">
        <is>
          <t>Dr. Paulo Andrade</t>
        </is>
      </c>
      <c r="D1156" s="35" t="inlineStr">
        <is>
          <t>Sala 2</t>
        </is>
      </c>
      <c r="E1156" s="34" t="inlineStr">
        <is>
          <t>Gustavo Barbosa</t>
        </is>
      </c>
      <c r="F1156" s="35" t="inlineStr">
        <is>
          <t>Saúde Total</t>
        </is>
      </c>
      <c r="G1156" s="35" t="inlineStr">
        <is>
          <t>ECG</t>
        </is>
      </c>
      <c r="H1156" s="35" t="inlineStr">
        <is>
          <t>Agendado</t>
        </is>
      </c>
      <c r="I1156" s="35" t="n"/>
      <c r="J1156" s="35" t="n"/>
      <c r="K1156" s="34" t="n"/>
      <c r="L1156" s="26">
        <f>IF(A1156="","",MONTH(A1156))</f>
        <v>9</v>
      </c>
      <c r="M1156" s="26">
        <f>IF(A1156="","",YEAR(A1156))</f>
        <v>2026</v>
      </c>
      <c r="N1156" s="26" t="str">
        <f>IF(A1156="","",CHOOSE(WEEKDAY(A1156,2),"Segunda","Terça","Quarta","Quinta","Sexta","Sábado","Domingo"))</f>
        <v>Quinta</v>
      </c>
      <c r="O1156" s="26" t="str">
        <f>IF(B1156="","",IF(B1156&lt;TIME(12,0,0),"Manhã",IF(B1156&lt;TIME(18,0,0),"Tarde","Noite")))</f>
        <v>Tarde</v>
      </c>
      <c r="P1156" s="32">
        <f>IF(G1156="","",IFERROR(INDEX(Config!$I$5:$I$16,MATCH(G1156,Config!$H$5:$H$16,0)),0))</f>
        <v>0</v>
      </c>
      <c r="Q1156" s="30">
        <f>IF(OR(H1156&lt;&gt;"Realizado",P1156="",P1156=0),"",A1156+P1156)</f>
        <v/>
      </c>
      <c r="R1156" s="26">
        <f>IF(Q1156="","",IF(COUNTIFS($E$5:$E$3004,E1156,$A$5:$A$3004,"&gt;"&amp;A1156,$H$5:$H$3004,"&lt;&gt;Falta",$H$5:$H$3004,"&lt;&gt;Cancelado",$H$5:$H$3004,"&lt;&gt;Remarcado")&gt;0,"Sim","Não"))</f>
        <v/>
      </c>
      <c r="S1156" s="32">
        <f>IF(R1156&lt;&gt;"Não","",IF(Q1156+Config!$B$9&lt;=Config!$B$8,Config!$B$8-Q1156,""))</f>
        <v/>
      </c>
      <c r="T1156" s="26">
        <f>IF(S1156="","","Sim")</f>
        <v/>
      </c>
      <c r="U1156" s="41">
        <f>IF(T1156="Sim",S1156+ROW()/100000,0)</f>
        <v>0</v>
      </c>
      <c r="V1156" s="41">
        <f>IF(AND(H1156="Falta",L1156=Config!$B$7,M1156=Config!$B$5,COUNTIFS($E$5:E1156,E1156,$H$5:H1156,"Falta",$L$5:L1156,Config!$B$7,$M$5:M1156,Config!$B$5)=1),COUNTIFS($E$5:$E$3004,E1156,$H$5:$H$3004,"Falta",$L$5:$L$3004,Config!$B$7,$M$5:$M$3004,Config!$B$5)*1000-ROW()/100000,0)</f>
        <v>0</v>
      </c>
    </row>
    <row r="1157">
      <c r="A1157" s="39" t="n">
        <v>46290</v>
      </c>
      <c r="B1157" s="40" t="n">
        <v>0.3333333333333333</v>
      </c>
      <c r="C1157" s="35" t="inlineStr">
        <is>
          <t>Dr. Paulo Andrade</t>
        </is>
      </c>
      <c r="D1157" s="35" t="inlineStr">
        <is>
          <t>Sala 2</t>
        </is>
      </c>
      <c r="E1157" s="34" t="inlineStr">
        <is>
          <t>Débora Machado</t>
        </is>
      </c>
      <c r="F1157" s="35" t="inlineStr">
        <is>
          <t>Saúde Total</t>
        </is>
      </c>
      <c r="G1157" s="35" t="inlineStr">
        <is>
          <t>ECG</t>
        </is>
      </c>
      <c r="H1157" s="35" t="inlineStr">
        <is>
          <t>Agendado</t>
        </is>
      </c>
      <c r="I1157" s="35" t="n"/>
      <c r="J1157" s="35" t="n"/>
      <c r="K1157" s="34" t="n"/>
      <c r="L1157" s="26">
        <f>IF(A1157="","",MONTH(A1157))</f>
        <v>9</v>
      </c>
      <c r="M1157" s="26">
        <f>IF(A1157="","",YEAR(A1157))</f>
        <v>2026</v>
      </c>
      <c r="N1157" s="26" t="str">
        <f>IF(A1157="","",CHOOSE(WEEKDAY(A1157,2),"Segunda","Terça","Quarta","Quinta","Sexta","Sábado","Domingo"))</f>
        <v>Sexta</v>
      </c>
      <c r="O1157" s="26" t="str">
        <f>IF(B1157="","",IF(B1157&lt;TIME(12,0,0),"Manhã",IF(B1157&lt;TIME(18,0,0),"Tarde","Noite")))</f>
        <v>Manhã</v>
      </c>
      <c r="P1157" s="32">
        <f>IF(G1157="","",IFERROR(INDEX(Config!$I$5:$I$16,MATCH(G1157,Config!$H$5:$H$16,0)),0))</f>
        <v>0</v>
      </c>
      <c r="Q1157" s="30">
        <f>IF(OR(H1157&lt;&gt;"Realizado",P1157="",P1157=0),"",A1157+P1157)</f>
        <v/>
      </c>
      <c r="R1157" s="26">
        <f>IF(Q1157="","",IF(COUNTIFS($E$5:$E$3004,E1157,$A$5:$A$3004,"&gt;"&amp;A1157,$H$5:$H$3004,"&lt;&gt;Falta",$H$5:$H$3004,"&lt;&gt;Cancelado",$H$5:$H$3004,"&lt;&gt;Remarcado")&gt;0,"Sim","Não"))</f>
        <v/>
      </c>
      <c r="S1157" s="32">
        <f>IF(R1157&lt;&gt;"Não","",IF(Q1157+Config!$B$9&lt;=Config!$B$8,Config!$B$8-Q1157,""))</f>
        <v/>
      </c>
      <c r="T1157" s="26">
        <f>IF(S1157="","","Sim")</f>
        <v/>
      </c>
      <c r="U1157" s="41">
        <f>IF(T1157="Sim",S1157+ROW()/100000,0)</f>
        <v>0</v>
      </c>
      <c r="V1157" s="41">
        <f>IF(AND(H1157="Falta",L1157=Config!$B$7,M1157=Config!$B$5,COUNTIFS($E$5:E1157,E1157,$H$5:H1157,"Falta",$L$5:L1157,Config!$B$7,$M$5:M1157,Config!$B$5)=1),COUNTIFS($E$5:$E$3004,E1157,$H$5:$H$3004,"Falta",$L$5:$L$3004,Config!$B$7,$M$5:$M$3004,Config!$B$5)*1000-ROW()/100000,0)</f>
        <v>0</v>
      </c>
    </row>
    <row r="1158">
      <c r="A1158" s="39" t="n">
        <v>46290</v>
      </c>
      <c r="B1158" s="40" t="n">
        <v>0.3680555555555556</v>
      </c>
      <c r="C1158" s="35" t="inlineStr">
        <is>
          <t>Dr. Paulo Andrade</t>
        </is>
      </c>
      <c r="D1158" s="35" t="inlineStr">
        <is>
          <t>Sala 2</t>
        </is>
      </c>
      <c r="E1158" s="34" t="inlineStr">
        <is>
          <t>Rafael Correia</t>
        </is>
      </c>
      <c r="F1158" s="35" t="inlineStr">
        <is>
          <t>Particular</t>
        </is>
      </c>
      <c r="G1158" s="35" t="inlineStr">
        <is>
          <t>Consulta</t>
        </is>
      </c>
      <c r="H1158" s="35" t="inlineStr">
        <is>
          <t>Agendado</t>
        </is>
      </c>
      <c r="I1158" s="35" t="n"/>
      <c r="J1158" s="35" t="n"/>
      <c r="K1158" s="34" t="n"/>
      <c r="L1158" s="26">
        <f>IF(A1158="","",MONTH(A1158))</f>
        <v>9</v>
      </c>
      <c r="M1158" s="26">
        <f>IF(A1158="","",YEAR(A1158))</f>
        <v>2026</v>
      </c>
      <c r="N1158" s="26" t="str">
        <f>IF(A1158="","",CHOOSE(WEEKDAY(A1158,2),"Segunda","Terça","Quarta","Quinta","Sexta","Sábado","Domingo"))</f>
        <v>Sexta</v>
      </c>
      <c r="O1158" s="26" t="str">
        <f>IF(B1158="","",IF(B1158&lt;TIME(12,0,0),"Manhã",IF(B1158&lt;TIME(18,0,0),"Tarde","Noite")))</f>
        <v>Manhã</v>
      </c>
      <c r="P1158" s="32">
        <f>IF(G1158="","",IFERROR(INDEX(Config!$I$5:$I$16,MATCH(G1158,Config!$H$5:$H$16,0)),0))</f>
        <v>30</v>
      </c>
      <c r="Q1158" s="30">
        <f>IF(OR(H1158&lt;&gt;"Realizado",P1158="",P1158=0),"",A1158+P1158)</f>
        <v/>
      </c>
      <c r="R1158" s="26">
        <f>IF(Q1158="","",IF(COUNTIFS($E$5:$E$3004,E1158,$A$5:$A$3004,"&gt;"&amp;A1158,$H$5:$H$3004,"&lt;&gt;Falta",$H$5:$H$3004,"&lt;&gt;Cancelado",$H$5:$H$3004,"&lt;&gt;Remarcado")&gt;0,"Sim","Não"))</f>
        <v/>
      </c>
      <c r="S1158" s="32">
        <f>IF(R1158&lt;&gt;"Não","",IF(Q1158+Config!$B$9&lt;=Config!$B$8,Config!$B$8-Q1158,""))</f>
        <v/>
      </c>
      <c r="T1158" s="26">
        <f>IF(S1158="","","Sim")</f>
        <v/>
      </c>
      <c r="U1158" s="41">
        <f>IF(T1158="Sim",S1158+ROW()/100000,0)</f>
        <v>0</v>
      </c>
      <c r="V1158" s="41">
        <f>IF(AND(H1158="Falta",L1158=Config!$B$7,M1158=Config!$B$5,COUNTIFS($E$5:E1158,E1158,$H$5:H1158,"Falta",$L$5:L1158,Config!$B$7,$M$5:M1158,Config!$B$5)=1),COUNTIFS($E$5:$E$3004,E1158,$H$5:$H$3004,"Falta",$L$5:$L$3004,Config!$B$7,$M$5:$M$3004,Config!$B$5)*1000-ROW()/100000,0)</f>
        <v>0</v>
      </c>
    </row>
    <row r="1159">
      <c r="A1159" s="39" t="n">
        <v>46290</v>
      </c>
      <c r="B1159" s="40" t="n">
        <v>0.3888888888888889</v>
      </c>
      <c r="C1159" s="35" t="inlineStr">
        <is>
          <t>Dr. Paulo Andrade</t>
        </is>
      </c>
      <c r="D1159" s="35" t="inlineStr">
        <is>
          <t>Sala 2</t>
        </is>
      </c>
      <c r="E1159" s="34" t="inlineStr">
        <is>
          <t>Paulo Nascimento</t>
        </is>
      </c>
      <c r="F1159" s="35" t="inlineStr">
        <is>
          <t>MediPlan</t>
        </is>
      </c>
      <c r="G1159" s="35" t="inlineStr">
        <is>
          <t>Retorno</t>
        </is>
      </c>
      <c r="H1159" s="35" t="inlineStr">
        <is>
          <t>Agendado</t>
        </is>
      </c>
      <c r="I1159" s="35" t="n"/>
      <c r="J1159" s="35" t="n"/>
      <c r="K1159" s="34" t="n"/>
      <c r="L1159" s="26">
        <f>IF(A1159="","",MONTH(A1159))</f>
        <v>9</v>
      </c>
      <c r="M1159" s="26">
        <f>IF(A1159="","",YEAR(A1159))</f>
        <v>2026</v>
      </c>
      <c r="N1159" s="26" t="str">
        <f>IF(A1159="","",CHOOSE(WEEKDAY(A1159,2),"Segunda","Terça","Quarta","Quinta","Sexta","Sábado","Domingo"))</f>
        <v>Sexta</v>
      </c>
      <c r="O1159" s="26" t="str">
        <f>IF(B1159="","",IF(B1159&lt;TIME(12,0,0),"Manhã",IF(B1159&lt;TIME(18,0,0),"Tarde","Noite")))</f>
        <v>Manhã</v>
      </c>
      <c r="P1159" s="32">
        <f>IF(G1159="","",IFERROR(INDEX(Config!$I$5:$I$16,MATCH(G1159,Config!$H$5:$H$16,0)),0))</f>
        <v>0</v>
      </c>
      <c r="Q1159" s="30">
        <f>IF(OR(H1159&lt;&gt;"Realizado",P1159="",P1159=0),"",A1159+P1159)</f>
        <v/>
      </c>
      <c r="R1159" s="26">
        <f>IF(Q1159="","",IF(COUNTIFS($E$5:$E$3004,E1159,$A$5:$A$3004,"&gt;"&amp;A1159,$H$5:$H$3004,"&lt;&gt;Falta",$H$5:$H$3004,"&lt;&gt;Cancelado",$H$5:$H$3004,"&lt;&gt;Remarcado")&gt;0,"Sim","Não"))</f>
        <v/>
      </c>
      <c r="S1159" s="32">
        <f>IF(R1159&lt;&gt;"Não","",IF(Q1159+Config!$B$9&lt;=Config!$B$8,Config!$B$8-Q1159,""))</f>
        <v/>
      </c>
      <c r="T1159" s="26">
        <f>IF(S1159="","","Sim")</f>
        <v/>
      </c>
      <c r="U1159" s="41">
        <f>IF(T1159="Sim",S1159+ROW()/100000,0)</f>
        <v>0</v>
      </c>
      <c r="V1159" s="41">
        <f>IF(AND(H1159="Falta",L1159=Config!$B$7,M1159=Config!$B$5,COUNTIFS($E$5:E1159,E1159,$H$5:H1159,"Falta",$L$5:L1159,Config!$B$7,$M$5:M1159,Config!$B$5)=1),COUNTIFS($E$5:$E$3004,E1159,$H$5:$H$3004,"Falta",$L$5:$L$3004,Config!$B$7,$M$5:$M$3004,Config!$B$5)*1000-ROW()/100000,0)</f>
        <v>0</v>
      </c>
    </row>
    <row r="1160">
      <c r="A1160" s="39" t="n">
        <v>46290</v>
      </c>
      <c r="B1160" s="40" t="n">
        <v>0.4027777777777778</v>
      </c>
      <c r="C1160" s="35" t="inlineStr">
        <is>
          <t>Dr. Paulo Andrade</t>
        </is>
      </c>
      <c r="D1160" s="35" t="inlineStr">
        <is>
          <t>Sala 2</t>
        </is>
      </c>
      <c r="E1160" s="34" t="inlineStr">
        <is>
          <t>Sandra Cardoso</t>
        </is>
      </c>
      <c r="F1160" s="35" t="inlineStr">
        <is>
          <t>Saúde Total</t>
        </is>
      </c>
      <c r="G1160" s="35" t="inlineStr">
        <is>
          <t>Consulta</t>
        </is>
      </c>
      <c r="H1160" s="35" t="inlineStr">
        <is>
          <t>Agendado</t>
        </is>
      </c>
      <c r="I1160" s="35" t="n"/>
      <c r="J1160" s="35" t="n"/>
      <c r="K1160" s="34" t="n"/>
      <c r="L1160" s="26">
        <f>IF(A1160="","",MONTH(A1160))</f>
        <v>9</v>
      </c>
      <c r="M1160" s="26">
        <f>IF(A1160="","",YEAR(A1160))</f>
        <v>2026</v>
      </c>
      <c r="N1160" s="26" t="str">
        <f>IF(A1160="","",CHOOSE(WEEKDAY(A1160,2),"Segunda","Terça","Quarta","Quinta","Sexta","Sábado","Domingo"))</f>
        <v>Sexta</v>
      </c>
      <c r="O1160" s="26" t="str">
        <f>IF(B1160="","",IF(B1160&lt;TIME(12,0,0),"Manhã",IF(B1160&lt;TIME(18,0,0),"Tarde","Noite")))</f>
        <v>Manhã</v>
      </c>
      <c r="P1160" s="32">
        <f>IF(G1160="","",IFERROR(INDEX(Config!$I$5:$I$16,MATCH(G1160,Config!$H$5:$H$16,0)),0))</f>
        <v>30</v>
      </c>
      <c r="Q1160" s="30">
        <f>IF(OR(H1160&lt;&gt;"Realizado",P1160="",P1160=0),"",A1160+P1160)</f>
        <v/>
      </c>
      <c r="R1160" s="26">
        <f>IF(Q1160="","",IF(COUNTIFS($E$5:$E$3004,E1160,$A$5:$A$3004,"&gt;"&amp;A1160,$H$5:$H$3004,"&lt;&gt;Falta",$H$5:$H$3004,"&lt;&gt;Cancelado",$H$5:$H$3004,"&lt;&gt;Remarcado")&gt;0,"Sim","Não"))</f>
        <v/>
      </c>
      <c r="S1160" s="32">
        <f>IF(R1160&lt;&gt;"Não","",IF(Q1160+Config!$B$9&lt;=Config!$B$8,Config!$B$8-Q1160,""))</f>
        <v/>
      </c>
      <c r="T1160" s="26">
        <f>IF(S1160="","","Sim")</f>
        <v/>
      </c>
      <c r="U1160" s="41">
        <f>IF(T1160="Sim",S1160+ROW()/100000,0)</f>
        <v>0</v>
      </c>
      <c r="V1160" s="41">
        <f>IF(AND(H1160="Falta",L1160=Config!$B$7,M1160=Config!$B$5,COUNTIFS($E$5:E1160,E1160,$H$5:H1160,"Falta",$L$5:L1160,Config!$B$7,$M$5:M1160,Config!$B$5)=1),COUNTIFS($E$5:$E$3004,E1160,$H$5:$H$3004,"Falta",$L$5:$L$3004,Config!$B$7,$M$5:$M$3004,Config!$B$5)*1000-ROW()/100000,0)</f>
        <v>0</v>
      </c>
    </row>
    <row r="1161">
      <c r="A1161" s="39" t="n">
        <v>46290</v>
      </c>
      <c r="B1161" s="40" t="n">
        <v>0.4236111111111111</v>
      </c>
      <c r="C1161" s="35" t="inlineStr">
        <is>
          <t>Dr. Paulo Andrade</t>
        </is>
      </c>
      <c r="D1161" s="35" t="inlineStr">
        <is>
          <t>Sala 2</t>
        </is>
      </c>
      <c r="E1161" s="34" t="inlineStr">
        <is>
          <t>Paulo Reis</t>
        </is>
      </c>
      <c r="F1161" s="35" t="inlineStr">
        <is>
          <t>Particular</t>
        </is>
      </c>
      <c r="G1161" s="35" t="inlineStr">
        <is>
          <t>Consulta</t>
        </is>
      </c>
      <c r="H1161" s="35" t="inlineStr">
        <is>
          <t>Agendado</t>
        </is>
      </c>
      <c r="I1161" s="35" t="n"/>
      <c r="J1161" s="35" t="n"/>
      <c r="K1161" s="34" t="n"/>
      <c r="L1161" s="26">
        <f>IF(A1161="","",MONTH(A1161))</f>
        <v>9</v>
      </c>
      <c r="M1161" s="26">
        <f>IF(A1161="","",YEAR(A1161))</f>
        <v>2026</v>
      </c>
      <c r="N1161" s="26" t="str">
        <f>IF(A1161="","",CHOOSE(WEEKDAY(A1161,2),"Segunda","Terça","Quarta","Quinta","Sexta","Sábado","Domingo"))</f>
        <v>Sexta</v>
      </c>
      <c r="O1161" s="26" t="str">
        <f>IF(B1161="","",IF(B1161&lt;TIME(12,0,0),"Manhã",IF(B1161&lt;TIME(18,0,0),"Tarde","Noite")))</f>
        <v>Manhã</v>
      </c>
      <c r="P1161" s="32">
        <f>IF(G1161="","",IFERROR(INDEX(Config!$I$5:$I$16,MATCH(G1161,Config!$H$5:$H$16,0)),0))</f>
        <v>30</v>
      </c>
      <c r="Q1161" s="30">
        <f>IF(OR(H1161&lt;&gt;"Realizado",P1161="",P1161=0),"",A1161+P1161)</f>
        <v/>
      </c>
      <c r="R1161" s="26">
        <f>IF(Q1161="","",IF(COUNTIFS($E$5:$E$3004,E1161,$A$5:$A$3004,"&gt;"&amp;A1161,$H$5:$H$3004,"&lt;&gt;Falta",$H$5:$H$3004,"&lt;&gt;Cancelado",$H$5:$H$3004,"&lt;&gt;Remarcado")&gt;0,"Sim","Não"))</f>
        <v/>
      </c>
      <c r="S1161" s="32">
        <f>IF(R1161&lt;&gt;"Não","",IF(Q1161+Config!$B$9&lt;=Config!$B$8,Config!$B$8-Q1161,""))</f>
        <v/>
      </c>
      <c r="T1161" s="26">
        <f>IF(S1161="","","Sim")</f>
        <v/>
      </c>
      <c r="U1161" s="41">
        <f>IF(T1161="Sim",S1161+ROW()/100000,0)</f>
        <v>0</v>
      </c>
      <c r="V1161" s="41">
        <f>IF(AND(H1161="Falta",L1161=Config!$B$7,M1161=Config!$B$5,COUNTIFS($E$5:E1161,E1161,$H$5:H1161,"Falta",$L$5:L1161,Config!$B$7,$M$5:M1161,Config!$B$5)=1),COUNTIFS($E$5:$E$3004,E1161,$H$5:$H$3004,"Falta",$L$5:$L$3004,Config!$B$7,$M$5:$M$3004,Config!$B$5)*1000-ROW()/100000,0)</f>
        <v>0</v>
      </c>
    </row>
    <row r="1162">
      <c r="A1162" s="39" t="n">
        <v>46290</v>
      </c>
      <c r="B1162" s="40" t="n">
        <v>0.4444444444444444</v>
      </c>
      <c r="C1162" s="35" t="inlineStr">
        <is>
          <t>Dr. Paulo Andrade</t>
        </is>
      </c>
      <c r="D1162" s="35" t="inlineStr">
        <is>
          <t>Sala 2</t>
        </is>
      </c>
      <c r="E1162" s="34" t="inlineStr">
        <is>
          <t>Natália Martins</t>
        </is>
      </c>
      <c r="F1162" s="35" t="inlineStr">
        <is>
          <t>Particular</t>
        </is>
      </c>
      <c r="G1162" s="35" t="inlineStr">
        <is>
          <t>ECG</t>
        </is>
      </c>
      <c r="H1162" s="35" t="inlineStr">
        <is>
          <t>Agendado</t>
        </is>
      </c>
      <c r="I1162" s="35" t="n"/>
      <c r="J1162" s="35" t="n"/>
      <c r="K1162" s="34" t="n"/>
      <c r="L1162" s="26">
        <f>IF(A1162="","",MONTH(A1162))</f>
        <v>9</v>
      </c>
      <c r="M1162" s="26">
        <f>IF(A1162="","",YEAR(A1162))</f>
        <v>2026</v>
      </c>
      <c r="N1162" s="26" t="str">
        <f>IF(A1162="","",CHOOSE(WEEKDAY(A1162,2),"Segunda","Terça","Quarta","Quinta","Sexta","Sábado","Domingo"))</f>
        <v>Sexta</v>
      </c>
      <c r="O1162" s="26" t="str">
        <f>IF(B1162="","",IF(B1162&lt;TIME(12,0,0),"Manhã",IF(B1162&lt;TIME(18,0,0),"Tarde","Noite")))</f>
        <v>Manhã</v>
      </c>
      <c r="P1162" s="32">
        <f>IF(G1162="","",IFERROR(INDEX(Config!$I$5:$I$16,MATCH(G1162,Config!$H$5:$H$16,0)),0))</f>
        <v>0</v>
      </c>
      <c r="Q1162" s="30">
        <f>IF(OR(H1162&lt;&gt;"Realizado",P1162="",P1162=0),"",A1162+P1162)</f>
        <v/>
      </c>
      <c r="R1162" s="26">
        <f>IF(Q1162="","",IF(COUNTIFS($E$5:$E$3004,E1162,$A$5:$A$3004,"&gt;"&amp;A1162,$H$5:$H$3004,"&lt;&gt;Falta",$H$5:$H$3004,"&lt;&gt;Cancelado",$H$5:$H$3004,"&lt;&gt;Remarcado")&gt;0,"Sim","Não"))</f>
        <v/>
      </c>
      <c r="S1162" s="32">
        <f>IF(R1162&lt;&gt;"Não","",IF(Q1162+Config!$B$9&lt;=Config!$B$8,Config!$B$8-Q1162,""))</f>
        <v/>
      </c>
      <c r="T1162" s="26">
        <f>IF(S1162="","","Sim")</f>
        <v/>
      </c>
      <c r="U1162" s="41">
        <f>IF(T1162="Sim",S1162+ROW()/100000,0)</f>
        <v>0</v>
      </c>
      <c r="V1162" s="41">
        <f>IF(AND(H1162="Falta",L1162=Config!$B$7,M1162=Config!$B$5,COUNTIFS($E$5:E1162,E1162,$H$5:H1162,"Falta",$L$5:L1162,Config!$B$7,$M$5:M1162,Config!$B$5)=1),COUNTIFS($E$5:$E$3004,E1162,$H$5:$H$3004,"Falta",$L$5:$L$3004,Config!$B$7,$M$5:$M$3004,Config!$B$5)*1000-ROW()/100000,0)</f>
        <v>0</v>
      </c>
    </row>
    <row r="1163">
      <c r="A1163" s="39" t="n">
        <v>46290</v>
      </c>
      <c r="B1163" s="40" t="n">
        <v>0.4583333333333333</v>
      </c>
      <c r="C1163" s="35" t="inlineStr">
        <is>
          <t>Dr. Paulo Andrade</t>
        </is>
      </c>
      <c r="D1163" s="35" t="inlineStr">
        <is>
          <t>Sala 2</t>
        </is>
      </c>
      <c r="E1163" s="34" t="inlineStr">
        <is>
          <t>Fernanda Nunes</t>
        </is>
      </c>
      <c r="F1163" s="35" t="inlineStr">
        <is>
          <t>MediPlan</t>
        </is>
      </c>
      <c r="G1163" s="35" t="inlineStr">
        <is>
          <t>Retorno</t>
        </is>
      </c>
      <c r="H1163" s="35" t="inlineStr">
        <is>
          <t>Agendado</t>
        </is>
      </c>
      <c r="I1163" s="35" t="n"/>
      <c r="J1163" s="35" t="n"/>
      <c r="K1163" s="34" t="n"/>
      <c r="L1163" s="26">
        <f>IF(A1163="","",MONTH(A1163))</f>
        <v>9</v>
      </c>
      <c r="M1163" s="26">
        <f>IF(A1163="","",YEAR(A1163))</f>
        <v>2026</v>
      </c>
      <c r="N1163" s="26" t="str">
        <f>IF(A1163="","",CHOOSE(WEEKDAY(A1163,2),"Segunda","Terça","Quarta","Quinta","Sexta","Sábado","Domingo"))</f>
        <v>Sexta</v>
      </c>
      <c r="O1163" s="26" t="str">
        <f>IF(B1163="","",IF(B1163&lt;TIME(12,0,0),"Manhã",IF(B1163&lt;TIME(18,0,0),"Tarde","Noite")))</f>
        <v>Manhã</v>
      </c>
      <c r="P1163" s="32">
        <f>IF(G1163="","",IFERROR(INDEX(Config!$I$5:$I$16,MATCH(G1163,Config!$H$5:$H$16,0)),0))</f>
        <v>0</v>
      </c>
      <c r="Q1163" s="30">
        <f>IF(OR(H1163&lt;&gt;"Realizado",P1163="",P1163=0),"",A1163+P1163)</f>
        <v/>
      </c>
      <c r="R1163" s="26">
        <f>IF(Q1163="","",IF(COUNTIFS($E$5:$E$3004,E1163,$A$5:$A$3004,"&gt;"&amp;A1163,$H$5:$H$3004,"&lt;&gt;Falta",$H$5:$H$3004,"&lt;&gt;Cancelado",$H$5:$H$3004,"&lt;&gt;Remarcado")&gt;0,"Sim","Não"))</f>
        <v/>
      </c>
      <c r="S1163" s="32">
        <f>IF(R1163&lt;&gt;"Não","",IF(Q1163+Config!$B$9&lt;=Config!$B$8,Config!$B$8-Q1163,""))</f>
        <v/>
      </c>
      <c r="T1163" s="26">
        <f>IF(S1163="","","Sim")</f>
        <v/>
      </c>
      <c r="U1163" s="41">
        <f>IF(T1163="Sim",S1163+ROW()/100000,0)</f>
        <v>0</v>
      </c>
      <c r="V1163" s="41">
        <f>IF(AND(H1163="Falta",L1163=Config!$B$7,M1163=Config!$B$5,COUNTIFS($E$5:E1163,E1163,$H$5:H1163,"Falta",$L$5:L1163,Config!$B$7,$M$5:M1163,Config!$B$5)=1),COUNTIFS($E$5:$E$3004,E1163,$H$5:$H$3004,"Falta",$L$5:$L$3004,Config!$B$7,$M$5:$M$3004,Config!$B$5)*1000-ROW()/100000,0)</f>
        <v>0</v>
      </c>
    </row>
    <row r="1164">
      <c r="A1164" s="39" t="n">
        <v>46290</v>
      </c>
      <c r="B1164" s="40" t="n">
        <v>0.4722222222222222</v>
      </c>
      <c r="C1164" s="35" t="inlineStr">
        <is>
          <t>Dr. Paulo Andrade</t>
        </is>
      </c>
      <c r="D1164" s="35" t="inlineStr">
        <is>
          <t>Sala 2</t>
        </is>
      </c>
      <c r="E1164" s="34" t="inlineStr">
        <is>
          <t>Rafael Batista</t>
        </is>
      </c>
      <c r="F1164" s="35" t="inlineStr">
        <is>
          <t>Saúde Total</t>
        </is>
      </c>
      <c r="G1164" s="35" t="inlineStr">
        <is>
          <t>Teste ergométrico</t>
        </is>
      </c>
      <c r="H1164" s="35" t="inlineStr">
        <is>
          <t>Agendado</t>
        </is>
      </c>
      <c r="I1164" s="35" t="n"/>
      <c r="J1164" s="35" t="n"/>
      <c r="K1164" s="34" t="n"/>
      <c r="L1164" s="26">
        <f>IF(A1164="","",MONTH(A1164))</f>
        <v>9</v>
      </c>
      <c r="M1164" s="26">
        <f>IF(A1164="","",YEAR(A1164))</f>
        <v>2026</v>
      </c>
      <c r="N1164" s="26" t="str">
        <f>IF(A1164="","",CHOOSE(WEEKDAY(A1164,2),"Segunda","Terça","Quarta","Quinta","Sexta","Sábado","Domingo"))</f>
        <v>Sexta</v>
      </c>
      <c r="O1164" s="26" t="str">
        <f>IF(B1164="","",IF(B1164&lt;TIME(12,0,0),"Manhã",IF(B1164&lt;TIME(18,0,0),"Tarde","Noite")))</f>
        <v>Manhã</v>
      </c>
      <c r="P1164" s="32">
        <f>IF(G1164="","",IFERROR(INDEX(Config!$I$5:$I$16,MATCH(G1164,Config!$H$5:$H$16,0)),0))</f>
        <v>0</v>
      </c>
      <c r="Q1164" s="30">
        <f>IF(OR(H1164&lt;&gt;"Realizado",P1164="",P1164=0),"",A1164+P1164)</f>
        <v/>
      </c>
      <c r="R1164" s="26">
        <f>IF(Q1164="","",IF(COUNTIFS($E$5:$E$3004,E1164,$A$5:$A$3004,"&gt;"&amp;A1164,$H$5:$H$3004,"&lt;&gt;Falta",$H$5:$H$3004,"&lt;&gt;Cancelado",$H$5:$H$3004,"&lt;&gt;Remarcado")&gt;0,"Sim","Não"))</f>
        <v/>
      </c>
      <c r="S1164" s="32">
        <f>IF(R1164&lt;&gt;"Não","",IF(Q1164+Config!$B$9&lt;=Config!$B$8,Config!$B$8-Q1164,""))</f>
        <v/>
      </c>
      <c r="T1164" s="26">
        <f>IF(S1164="","","Sim")</f>
        <v/>
      </c>
      <c r="U1164" s="41">
        <f>IF(T1164="Sim",S1164+ROW()/100000,0)</f>
        <v>0</v>
      </c>
      <c r="V1164" s="41">
        <f>IF(AND(H1164="Falta",L1164=Config!$B$7,M1164=Config!$B$5,COUNTIFS($E$5:E1164,E1164,$H$5:H1164,"Falta",$L$5:L1164,Config!$B$7,$M$5:M1164,Config!$B$5)=1),COUNTIFS($E$5:$E$3004,E1164,$H$5:$H$3004,"Falta",$L$5:$L$3004,Config!$B$7,$M$5:$M$3004,Config!$B$5)*1000-ROW()/100000,0)</f>
        <v>0</v>
      </c>
    </row>
    <row r="1165">
      <c r="A1165" s="39" t="n">
        <v>46293</v>
      </c>
      <c r="B1165" s="40" t="n">
        <v>0.3333333333333333</v>
      </c>
      <c r="C1165" s="35" t="inlineStr">
        <is>
          <t>Dra. Carolina Mendes</t>
        </is>
      </c>
      <c r="D1165" s="35" t="inlineStr">
        <is>
          <t>Sala 1</t>
        </is>
      </c>
      <c r="E1165" s="34" t="inlineStr">
        <is>
          <t>Cláudia Costa</t>
        </is>
      </c>
      <c r="F1165" s="35" t="inlineStr">
        <is>
          <t>Particular</t>
        </is>
      </c>
      <c r="G1165" s="35" t="inlineStr">
        <is>
          <t>Consulta</t>
        </is>
      </c>
      <c r="H1165" s="35" t="inlineStr">
        <is>
          <t>Agendado</t>
        </is>
      </c>
      <c r="I1165" s="35" t="n"/>
      <c r="J1165" s="35" t="n"/>
      <c r="K1165" s="34" t="n"/>
      <c r="L1165" s="26">
        <f>IF(A1165="","",MONTH(A1165))</f>
        <v>9</v>
      </c>
      <c r="M1165" s="26">
        <f>IF(A1165="","",YEAR(A1165))</f>
        <v>2026</v>
      </c>
      <c r="N1165" s="26" t="str">
        <f>IF(A1165="","",CHOOSE(WEEKDAY(A1165,2),"Segunda","Terça","Quarta","Quinta","Sexta","Sábado","Domingo"))</f>
        <v>Segunda</v>
      </c>
      <c r="O1165" s="26" t="str">
        <f>IF(B1165="","",IF(B1165&lt;TIME(12,0,0),"Manhã",IF(B1165&lt;TIME(18,0,0),"Tarde","Noite")))</f>
        <v>Manhã</v>
      </c>
      <c r="P1165" s="32">
        <f>IF(G1165="","",IFERROR(INDEX(Config!$I$5:$I$16,MATCH(G1165,Config!$H$5:$H$16,0)),0))</f>
        <v>30</v>
      </c>
      <c r="Q1165" s="30">
        <f>IF(OR(H1165&lt;&gt;"Realizado",P1165="",P1165=0),"",A1165+P1165)</f>
        <v/>
      </c>
      <c r="R1165" s="26">
        <f>IF(Q1165="","",IF(COUNTIFS($E$5:$E$3004,E1165,$A$5:$A$3004,"&gt;"&amp;A1165,$H$5:$H$3004,"&lt;&gt;Falta",$H$5:$H$3004,"&lt;&gt;Cancelado",$H$5:$H$3004,"&lt;&gt;Remarcado")&gt;0,"Sim","Não"))</f>
        <v/>
      </c>
      <c r="S1165" s="32">
        <f>IF(R1165&lt;&gt;"Não","",IF(Q1165+Config!$B$9&lt;=Config!$B$8,Config!$B$8-Q1165,""))</f>
        <v/>
      </c>
      <c r="T1165" s="26">
        <f>IF(S1165="","","Sim")</f>
        <v/>
      </c>
      <c r="U1165" s="41">
        <f>IF(T1165="Sim",S1165+ROW()/100000,0)</f>
        <v>0</v>
      </c>
      <c r="V1165" s="41">
        <f>IF(AND(H1165="Falta",L1165=Config!$B$7,M1165=Config!$B$5,COUNTIFS($E$5:E1165,E1165,$H$5:H1165,"Falta",$L$5:L1165,Config!$B$7,$M$5:M1165,Config!$B$5)=1),COUNTIFS($E$5:$E$3004,E1165,$H$5:$H$3004,"Falta",$L$5:$L$3004,Config!$B$7,$M$5:$M$3004,Config!$B$5)*1000-ROW()/100000,0)</f>
        <v>0</v>
      </c>
    </row>
    <row r="1166">
      <c r="A1166" s="39" t="n">
        <v>46293</v>
      </c>
      <c r="B1166" s="40" t="n">
        <v>0.3541666666666667</v>
      </c>
      <c r="C1166" s="35" t="inlineStr">
        <is>
          <t>Dra. Carolina Mendes</t>
        </is>
      </c>
      <c r="D1166" s="35" t="inlineStr">
        <is>
          <t>Sala 1</t>
        </is>
      </c>
      <c r="E1166" s="34" t="inlineStr">
        <is>
          <t>Roberta Araújo</t>
        </is>
      </c>
      <c r="F1166" s="35" t="inlineStr">
        <is>
          <t>Particular</t>
        </is>
      </c>
      <c r="G1166" s="35" t="inlineStr">
        <is>
          <t>Consulta</t>
        </is>
      </c>
      <c r="H1166" s="35" t="inlineStr">
        <is>
          <t>Agendado</t>
        </is>
      </c>
      <c r="I1166" s="35" t="n"/>
      <c r="J1166" s="35" t="n"/>
      <c r="K1166" s="34" t="n"/>
      <c r="L1166" s="26">
        <f>IF(A1166="","",MONTH(A1166))</f>
        <v>9</v>
      </c>
      <c r="M1166" s="26">
        <f>IF(A1166="","",YEAR(A1166))</f>
        <v>2026</v>
      </c>
      <c r="N1166" s="26" t="str">
        <f>IF(A1166="","",CHOOSE(WEEKDAY(A1166,2),"Segunda","Terça","Quarta","Quinta","Sexta","Sábado","Domingo"))</f>
        <v>Segunda</v>
      </c>
      <c r="O1166" s="26" t="str">
        <f>IF(B1166="","",IF(B1166&lt;TIME(12,0,0),"Manhã",IF(B1166&lt;TIME(18,0,0),"Tarde","Noite")))</f>
        <v>Manhã</v>
      </c>
      <c r="P1166" s="32">
        <f>IF(G1166="","",IFERROR(INDEX(Config!$I$5:$I$16,MATCH(G1166,Config!$H$5:$H$16,0)),0))</f>
        <v>30</v>
      </c>
      <c r="Q1166" s="30">
        <f>IF(OR(H1166&lt;&gt;"Realizado",P1166="",P1166=0),"",A1166+P1166)</f>
        <v/>
      </c>
      <c r="R1166" s="26">
        <f>IF(Q1166="","",IF(COUNTIFS($E$5:$E$3004,E1166,$A$5:$A$3004,"&gt;"&amp;A1166,$H$5:$H$3004,"&lt;&gt;Falta",$H$5:$H$3004,"&lt;&gt;Cancelado",$H$5:$H$3004,"&lt;&gt;Remarcado")&gt;0,"Sim","Não"))</f>
        <v/>
      </c>
      <c r="S1166" s="32">
        <f>IF(R1166&lt;&gt;"Não","",IF(Q1166+Config!$B$9&lt;=Config!$B$8,Config!$B$8-Q1166,""))</f>
        <v/>
      </c>
      <c r="T1166" s="26">
        <f>IF(S1166="","","Sim")</f>
        <v/>
      </c>
      <c r="U1166" s="41">
        <f>IF(T1166="Sim",S1166+ROW()/100000,0)</f>
        <v>0</v>
      </c>
      <c r="V1166" s="41">
        <f>IF(AND(H1166="Falta",L1166=Config!$B$7,M1166=Config!$B$5,COUNTIFS($E$5:E1166,E1166,$H$5:H1166,"Falta",$L$5:L1166,Config!$B$7,$M$5:M1166,Config!$B$5)=1),COUNTIFS($E$5:$E$3004,E1166,$H$5:$H$3004,"Falta",$L$5:$L$3004,Config!$B$7,$M$5:$M$3004,Config!$B$5)*1000-ROW()/100000,0)</f>
        <v>0</v>
      </c>
    </row>
    <row r="1167">
      <c r="A1167" s="39" t="n">
        <v>46293</v>
      </c>
      <c r="B1167" s="40" t="n">
        <v>0.375</v>
      </c>
      <c r="C1167" s="35" t="inlineStr">
        <is>
          <t>Dra. Carolina Mendes</t>
        </is>
      </c>
      <c r="D1167" s="35" t="inlineStr">
        <is>
          <t>Sala 1</t>
        </is>
      </c>
      <c r="E1167" s="34" t="inlineStr">
        <is>
          <t>Regina Macedo</t>
        </is>
      </c>
      <c r="F1167" s="35" t="inlineStr">
        <is>
          <t>Particular</t>
        </is>
      </c>
      <c r="G1167" s="35" t="inlineStr">
        <is>
          <t>Consulta</t>
        </is>
      </c>
      <c r="H1167" s="35" t="inlineStr">
        <is>
          <t>Agendado</t>
        </is>
      </c>
      <c r="I1167" s="35" t="n"/>
      <c r="J1167" s="35" t="n"/>
      <c r="K1167" s="34" t="n"/>
      <c r="L1167" s="26">
        <f>IF(A1167="","",MONTH(A1167))</f>
        <v>9</v>
      </c>
      <c r="M1167" s="26">
        <f>IF(A1167="","",YEAR(A1167))</f>
        <v>2026</v>
      </c>
      <c r="N1167" s="26" t="str">
        <f>IF(A1167="","",CHOOSE(WEEKDAY(A1167,2),"Segunda","Terça","Quarta","Quinta","Sexta","Sábado","Domingo"))</f>
        <v>Segunda</v>
      </c>
      <c r="O1167" s="26" t="str">
        <f>IF(B1167="","",IF(B1167&lt;TIME(12,0,0),"Manhã",IF(B1167&lt;TIME(18,0,0),"Tarde","Noite")))</f>
        <v>Manhã</v>
      </c>
      <c r="P1167" s="32">
        <f>IF(G1167="","",IFERROR(INDEX(Config!$I$5:$I$16,MATCH(G1167,Config!$H$5:$H$16,0)),0))</f>
        <v>30</v>
      </c>
      <c r="Q1167" s="30">
        <f>IF(OR(H1167&lt;&gt;"Realizado",P1167="",P1167=0),"",A1167+P1167)</f>
        <v/>
      </c>
      <c r="R1167" s="26">
        <f>IF(Q1167="","",IF(COUNTIFS($E$5:$E$3004,E1167,$A$5:$A$3004,"&gt;"&amp;A1167,$H$5:$H$3004,"&lt;&gt;Falta",$H$5:$H$3004,"&lt;&gt;Cancelado",$H$5:$H$3004,"&lt;&gt;Remarcado")&gt;0,"Sim","Não"))</f>
        <v/>
      </c>
      <c r="S1167" s="32">
        <f>IF(R1167&lt;&gt;"Não","",IF(Q1167+Config!$B$9&lt;=Config!$B$8,Config!$B$8-Q1167,""))</f>
        <v/>
      </c>
      <c r="T1167" s="26">
        <f>IF(S1167="","","Sim")</f>
        <v/>
      </c>
      <c r="U1167" s="41">
        <f>IF(T1167="Sim",S1167+ROW()/100000,0)</f>
        <v>0</v>
      </c>
      <c r="V1167" s="41">
        <f>IF(AND(H1167="Falta",L1167=Config!$B$7,M1167=Config!$B$5,COUNTIFS($E$5:E1167,E1167,$H$5:H1167,"Falta",$L$5:L1167,Config!$B$7,$M$5:M1167,Config!$B$5)=1),COUNTIFS($E$5:$E$3004,E1167,$H$5:$H$3004,"Falta",$L$5:$L$3004,Config!$B$7,$M$5:$M$3004,Config!$B$5)*1000-ROW()/100000,0)</f>
        <v>0</v>
      </c>
    </row>
    <row r="1168">
      <c r="A1168" s="39" t="n">
        <v>46293</v>
      </c>
      <c r="B1168" s="40" t="n">
        <v>0.3958333333333333</v>
      </c>
      <c r="C1168" s="35" t="inlineStr">
        <is>
          <t>Dra. Carolina Mendes</t>
        </is>
      </c>
      <c r="D1168" s="35" t="inlineStr">
        <is>
          <t>Sala 1</t>
        </is>
      </c>
      <c r="E1168" s="34" t="inlineStr">
        <is>
          <t>Rodrigo Gomes</t>
        </is>
      </c>
      <c r="F1168" s="35" t="inlineStr">
        <is>
          <t>Vida Care</t>
        </is>
      </c>
      <c r="G1168" s="35" t="inlineStr">
        <is>
          <t>Consulta</t>
        </is>
      </c>
      <c r="H1168" s="35" t="inlineStr">
        <is>
          <t>Agendado</t>
        </is>
      </c>
      <c r="I1168" s="35" t="n"/>
      <c r="J1168" s="35" t="n"/>
      <c r="K1168" s="34" t="n"/>
      <c r="L1168" s="26">
        <f>IF(A1168="","",MONTH(A1168))</f>
        <v>9</v>
      </c>
      <c r="M1168" s="26">
        <f>IF(A1168="","",YEAR(A1168))</f>
        <v>2026</v>
      </c>
      <c r="N1168" s="26" t="str">
        <f>IF(A1168="","",CHOOSE(WEEKDAY(A1168,2),"Segunda","Terça","Quarta","Quinta","Sexta","Sábado","Domingo"))</f>
        <v>Segunda</v>
      </c>
      <c r="O1168" s="26" t="str">
        <f>IF(B1168="","",IF(B1168&lt;TIME(12,0,0),"Manhã",IF(B1168&lt;TIME(18,0,0),"Tarde","Noite")))</f>
        <v>Manhã</v>
      </c>
      <c r="P1168" s="32">
        <f>IF(G1168="","",IFERROR(INDEX(Config!$I$5:$I$16,MATCH(G1168,Config!$H$5:$H$16,0)),0))</f>
        <v>30</v>
      </c>
      <c r="Q1168" s="30">
        <f>IF(OR(H1168&lt;&gt;"Realizado",P1168="",P1168=0),"",A1168+P1168)</f>
        <v/>
      </c>
      <c r="R1168" s="26">
        <f>IF(Q1168="","",IF(COUNTIFS($E$5:$E$3004,E1168,$A$5:$A$3004,"&gt;"&amp;A1168,$H$5:$H$3004,"&lt;&gt;Falta",$H$5:$H$3004,"&lt;&gt;Cancelado",$H$5:$H$3004,"&lt;&gt;Remarcado")&gt;0,"Sim","Não"))</f>
        <v/>
      </c>
      <c r="S1168" s="32">
        <f>IF(R1168&lt;&gt;"Não","",IF(Q1168+Config!$B$9&lt;=Config!$B$8,Config!$B$8-Q1168,""))</f>
        <v/>
      </c>
      <c r="T1168" s="26">
        <f>IF(S1168="","","Sim")</f>
        <v/>
      </c>
      <c r="U1168" s="41">
        <f>IF(T1168="Sim",S1168+ROW()/100000,0)</f>
        <v>0</v>
      </c>
      <c r="V1168" s="41">
        <f>IF(AND(H1168="Falta",L1168=Config!$B$7,M1168=Config!$B$5,COUNTIFS($E$5:E1168,E1168,$H$5:H1168,"Falta",$L$5:L1168,Config!$B$7,$M$5:M1168,Config!$B$5)=1),COUNTIFS($E$5:$E$3004,E1168,$H$5:$H$3004,"Falta",$L$5:$L$3004,Config!$B$7,$M$5:$M$3004,Config!$B$5)*1000-ROW()/100000,0)</f>
        <v>0</v>
      </c>
    </row>
    <row r="1169">
      <c r="A1169" s="39" t="n">
        <v>46293</v>
      </c>
      <c r="B1169" s="40" t="n">
        <v>0.4166666666666667</v>
      </c>
      <c r="C1169" s="35" t="inlineStr">
        <is>
          <t>Dra. Carolina Mendes</t>
        </is>
      </c>
      <c r="D1169" s="35" t="inlineStr">
        <is>
          <t>Sala 1</t>
        </is>
      </c>
      <c r="E1169" s="34" t="inlineStr">
        <is>
          <t>Gisele Xavier</t>
        </is>
      </c>
      <c r="F1169" s="35" t="inlineStr">
        <is>
          <t>Particular</t>
        </is>
      </c>
      <c r="G1169" s="35" t="inlineStr">
        <is>
          <t>Consulta</t>
        </is>
      </c>
      <c r="H1169" s="35" t="inlineStr">
        <is>
          <t>Agendado</t>
        </is>
      </c>
      <c r="I1169" s="35" t="n"/>
      <c r="J1169" s="35" t="n"/>
      <c r="K1169" s="34" t="n"/>
      <c r="L1169" s="26">
        <f>IF(A1169="","",MONTH(A1169))</f>
        <v>9</v>
      </c>
      <c r="M1169" s="26">
        <f>IF(A1169="","",YEAR(A1169))</f>
        <v>2026</v>
      </c>
      <c r="N1169" s="26" t="str">
        <f>IF(A1169="","",CHOOSE(WEEKDAY(A1169,2),"Segunda","Terça","Quarta","Quinta","Sexta","Sábado","Domingo"))</f>
        <v>Segunda</v>
      </c>
      <c r="O1169" s="26" t="str">
        <f>IF(B1169="","",IF(B1169&lt;TIME(12,0,0),"Manhã",IF(B1169&lt;TIME(18,0,0),"Tarde","Noite")))</f>
        <v>Manhã</v>
      </c>
      <c r="P1169" s="32">
        <f>IF(G1169="","",IFERROR(INDEX(Config!$I$5:$I$16,MATCH(G1169,Config!$H$5:$H$16,0)),0))</f>
        <v>30</v>
      </c>
      <c r="Q1169" s="30">
        <f>IF(OR(H1169&lt;&gt;"Realizado",P1169="",P1169=0),"",A1169+P1169)</f>
        <v/>
      </c>
      <c r="R1169" s="26">
        <f>IF(Q1169="","",IF(COUNTIFS($E$5:$E$3004,E1169,$A$5:$A$3004,"&gt;"&amp;A1169,$H$5:$H$3004,"&lt;&gt;Falta",$H$5:$H$3004,"&lt;&gt;Cancelado",$H$5:$H$3004,"&lt;&gt;Remarcado")&gt;0,"Sim","Não"))</f>
        <v/>
      </c>
      <c r="S1169" s="32">
        <f>IF(R1169&lt;&gt;"Não","",IF(Q1169+Config!$B$9&lt;=Config!$B$8,Config!$B$8-Q1169,""))</f>
        <v/>
      </c>
      <c r="T1169" s="26">
        <f>IF(S1169="","","Sim")</f>
        <v/>
      </c>
      <c r="U1169" s="41">
        <f>IF(T1169="Sim",S1169+ROW()/100000,0)</f>
        <v>0</v>
      </c>
      <c r="V1169" s="41">
        <f>IF(AND(H1169="Falta",L1169=Config!$B$7,M1169=Config!$B$5,COUNTIFS($E$5:E1169,E1169,$H$5:H1169,"Falta",$L$5:L1169,Config!$B$7,$M$5:M1169,Config!$B$5)=1),COUNTIFS($E$5:$E$3004,E1169,$H$5:$H$3004,"Falta",$L$5:$L$3004,Config!$B$7,$M$5:$M$3004,Config!$B$5)*1000-ROW()/100000,0)</f>
        <v>0</v>
      </c>
    </row>
    <row r="1170">
      <c r="A1170" s="39" t="n">
        <v>46293</v>
      </c>
      <c r="B1170" s="40" t="n">
        <v>0.4791666666666667</v>
      </c>
      <c r="C1170" s="35" t="inlineStr">
        <is>
          <t>Dra. Carolina Mendes</t>
        </is>
      </c>
      <c r="D1170" s="35" t="inlineStr">
        <is>
          <t>Sala 1</t>
        </is>
      </c>
      <c r="E1170" s="34" t="inlineStr">
        <is>
          <t>Juliana Silva</t>
        </is>
      </c>
      <c r="F1170" s="35" t="inlineStr">
        <is>
          <t>Vida Care</t>
        </is>
      </c>
      <c r="G1170" s="35" t="inlineStr">
        <is>
          <t>Consulta</t>
        </is>
      </c>
      <c r="H1170" s="35" t="inlineStr">
        <is>
          <t>Agendado</t>
        </is>
      </c>
      <c r="I1170" s="35" t="n"/>
      <c r="J1170" s="35" t="n"/>
      <c r="K1170" s="34" t="n"/>
      <c r="L1170" s="26">
        <f>IF(A1170="","",MONTH(A1170))</f>
        <v>9</v>
      </c>
      <c r="M1170" s="26">
        <f>IF(A1170="","",YEAR(A1170))</f>
        <v>2026</v>
      </c>
      <c r="N1170" s="26" t="str">
        <f>IF(A1170="","",CHOOSE(WEEKDAY(A1170,2),"Segunda","Terça","Quarta","Quinta","Sexta","Sábado","Domingo"))</f>
        <v>Segunda</v>
      </c>
      <c r="O1170" s="26" t="str">
        <f>IF(B1170="","",IF(B1170&lt;TIME(12,0,0),"Manhã",IF(B1170&lt;TIME(18,0,0),"Tarde","Noite")))</f>
        <v>Manhã</v>
      </c>
      <c r="P1170" s="32">
        <f>IF(G1170="","",IFERROR(INDEX(Config!$I$5:$I$16,MATCH(G1170,Config!$H$5:$H$16,0)),0))</f>
        <v>30</v>
      </c>
      <c r="Q1170" s="30">
        <f>IF(OR(H1170&lt;&gt;"Realizado",P1170="",P1170=0),"",A1170+P1170)</f>
        <v/>
      </c>
      <c r="R1170" s="26">
        <f>IF(Q1170="","",IF(COUNTIFS($E$5:$E$3004,E1170,$A$5:$A$3004,"&gt;"&amp;A1170,$H$5:$H$3004,"&lt;&gt;Falta",$H$5:$H$3004,"&lt;&gt;Cancelado",$H$5:$H$3004,"&lt;&gt;Remarcado")&gt;0,"Sim","Não"))</f>
        <v/>
      </c>
      <c r="S1170" s="32">
        <f>IF(R1170&lt;&gt;"Não","",IF(Q1170+Config!$B$9&lt;=Config!$B$8,Config!$B$8-Q1170,""))</f>
        <v/>
      </c>
      <c r="T1170" s="26">
        <f>IF(S1170="","","Sim")</f>
        <v/>
      </c>
      <c r="U1170" s="41">
        <f>IF(T1170="Sim",S1170+ROW()/100000,0)</f>
        <v>0</v>
      </c>
      <c r="V1170" s="41">
        <f>IF(AND(H1170="Falta",L1170=Config!$B$7,M1170=Config!$B$5,COUNTIFS($E$5:E1170,E1170,$H$5:H1170,"Falta",$L$5:L1170,Config!$B$7,$M$5:M1170,Config!$B$5)=1),COUNTIFS($E$5:$E$3004,E1170,$H$5:$H$3004,"Falta",$L$5:$L$3004,Config!$B$7,$M$5:$M$3004,Config!$B$5)*1000-ROW()/100000,0)</f>
        <v>0</v>
      </c>
    </row>
    <row r="1171">
      <c r="A1171" s="39" t="n">
        <v>46293</v>
      </c>
      <c r="B1171" s="40" t="n">
        <v>0.5833333333333334</v>
      </c>
      <c r="C1171" s="35" t="inlineStr">
        <is>
          <t>Dr. Paulo Andrade</t>
        </is>
      </c>
      <c r="D1171" s="35" t="inlineStr">
        <is>
          <t>Sala 2</t>
        </is>
      </c>
      <c r="E1171" s="34" t="inlineStr">
        <is>
          <t>Fábio Martins</t>
        </is>
      </c>
      <c r="F1171" s="35" t="inlineStr">
        <is>
          <t>MediPlan</t>
        </is>
      </c>
      <c r="G1171" s="35" t="inlineStr">
        <is>
          <t>Consulta</t>
        </is>
      </c>
      <c r="H1171" s="35" t="inlineStr">
        <is>
          <t>Agendado</t>
        </is>
      </c>
      <c r="I1171" s="35" t="n"/>
      <c r="J1171" s="35" t="n"/>
      <c r="K1171" s="34" t="n"/>
      <c r="L1171" s="26">
        <f>IF(A1171="","",MONTH(A1171))</f>
        <v>9</v>
      </c>
      <c r="M1171" s="26">
        <f>IF(A1171="","",YEAR(A1171))</f>
        <v>2026</v>
      </c>
      <c r="N1171" s="26" t="str">
        <f>IF(A1171="","",CHOOSE(WEEKDAY(A1171,2),"Segunda","Terça","Quarta","Quinta","Sexta","Sábado","Domingo"))</f>
        <v>Segunda</v>
      </c>
      <c r="O1171" s="26" t="str">
        <f>IF(B1171="","",IF(B1171&lt;TIME(12,0,0),"Manhã",IF(B1171&lt;TIME(18,0,0),"Tarde","Noite")))</f>
        <v>Tarde</v>
      </c>
      <c r="P1171" s="32">
        <f>IF(G1171="","",IFERROR(INDEX(Config!$I$5:$I$16,MATCH(G1171,Config!$H$5:$H$16,0)),0))</f>
        <v>30</v>
      </c>
      <c r="Q1171" s="30">
        <f>IF(OR(H1171&lt;&gt;"Realizado",P1171="",P1171=0),"",A1171+P1171)</f>
        <v/>
      </c>
      <c r="R1171" s="26">
        <f>IF(Q1171="","",IF(COUNTIFS($E$5:$E$3004,E1171,$A$5:$A$3004,"&gt;"&amp;A1171,$H$5:$H$3004,"&lt;&gt;Falta",$H$5:$H$3004,"&lt;&gt;Cancelado",$H$5:$H$3004,"&lt;&gt;Remarcado")&gt;0,"Sim","Não"))</f>
        <v/>
      </c>
      <c r="S1171" s="32">
        <f>IF(R1171&lt;&gt;"Não","",IF(Q1171+Config!$B$9&lt;=Config!$B$8,Config!$B$8-Q1171,""))</f>
        <v/>
      </c>
      <c r="T1171" s="26">
        <f>IF(S1171="","","Sim")</f>
        <v/>
      </c>
      <c r="U1171" s="41">
        <f>IF(T1171="Sim",S1171+ROW()/100000,0)</f>
        <v>0</v>
      </c>
      <c r="V1171" s="41">
        <f>IF(AND(H1171="Falta",L1171=Config!$B$7,M1171=Config!$B$5,COUNTIFS($E$5:E1171,E1171,$H$5:H1171,"Falta",$L$5:L1171,Config!$B$7,$M$5:M1171,Config!$B$5)=1),COUNTIFS($E$5:$E$3004,E1171,$H$5:$H$3004,"Falta",$L$5:$L$3004,Config!$B$7,$M$5:$M$3004,Config!$B$5)*1000-ROW()/100000,0)</f>
        <v>0</v>
      </c>
    </row>
    <row r="1172">
      <c r="A1172" s="39" t="n">
        <v>46293</v>
      </c>
      <c r="B1172" s="40" t="n">
        <v>0.6041666666666666</v>
      </c>
      <c r="C1172" s="35" t="inlineStr">
        <is>
          <t>Dr. Paulo Andrade</t>
        </is>
      </c>
      <c r="D1172" s="35" t="inlineStr">
        <is>
          <t>Sala 2</t>
        </is>
      </c>
      <c r="E1172" s="34" t="inlineStr">
        <is>
          <t>Wagner Carvalho</t>
        </is>
      </c>
      <c r="F1172" s="35" t="inlineStr">
        <is>
          <t>Vida Care</t>
        </is>
      </c>
      <c r="G1172" s="35" t="inlineStr">
        <is>
          <t>Consulta</t>
        </is>
      </c>
      <c r="H1172" s="35" t="inlineStr">
        <is>
          <t>Agendado</t>
        </is>
      </c>
      <c r="I1172" s="35" t="n"/>
      <c r="J1172" s="35" t="n"/>
      <c r="K1172" s="34" t="n"/>
      <c r="L1172" s="26">
        <f>IF(A1172="","",MONTH(A1172))</f>
        <v>9</v>
      </c>
      <c r="M1172" s="26">
        <f>IF(A1172="","",YEAR(A1172))</f>
        <v>2026</v>
      </c>
      <c r="N1172" s="26" t="str">
        <f>IF(A1172="","",CHOOSE(WEEKDAY(A1172,2),"Segunda","Terça","Quarta","Quinta","Sexta","Sábado","Domingo"))</f>
        <v>Segunda</v>
      </c>
      <c r="O1172" s="26" t="str">
        <f>IF(B1172="","",IF(B1172&lt;TIME(12,0,0),"Manhã",IF(B1172&lt;TIME(18,0,0),"Tarde","Noite")))</f>
        <v>Tarde</v>
      </c>
      <c r="P1172" s="32">
        <f>IF(G1172="","",IFERROR(INDEX(Config!$I$5:$I$16,MATCH(G1172,Config!$H$5:$H$16,0)),0))</f>
        <v>30</v>
      </c>
      <c r="Q1172" s="30">
        <f>IF(OR(H1172&lt;&gt;"Realizado",P1172="",P1172=0),"",A1172+P1172)</f>
        <v/>
      </c>
      <c r="R1172" s="26">
        <f>IF(Q1172="","",IF(COUNTIFS($E$5:$E$3004,E1172,$A$5:$A$3004,"&gt;"&amp;A1172,$H$5:$H$3004,"&lt;&gt;Falta",$H$5:$H$3004,"&lt;&gt;Cancelado",$H$5:$H$3004,"&lt;&gt;Remarcado")&gt;0,"Sim","Não"))</f>
        <v/>
      </c>
      <c r="S1172" s="32">
        <f>IF(R1172&lt;&gt;"Não","",IF(Q1172+Config!$B$9&lt;=Config!$B$8,Config!$B$8-Q1172,""))</f>
        <v/>
      </c>
      <c r="T1172" s="26">
        <f>IF(S1172="","","Sim")</f>
        <v/>
      </c>
      <c r="U1172" s="41">
        <f>IF(T1172="Sim",S1172+ROW()/100000,0)</f>
        <v>0</v>
      </c>
      <c r="V1172" s="41">
        <f>IF(AND(H1172="Falta",L1172=Config!$B$7,M1172=Config!$B$5,COUNTIFS($E$5:E1172,E1172,$H$5:H1172,"Falta",$L$5:L1172,Config!$B$7,$M$5:M1172,Config!$B$5)=1),COUNTIFS($E$5:$E$3004,E1172,$H$5:$H$3004,"Falta",$L$5:$L$3004,Config!$B$7,$M$5:$M$3004,Config!$B$5)*1000-ROW()/100000,0)</f>
        <v>0</v>
      </c>
    </row>
    <row r="1173">
      <c r="A1173" s="39" t="n">
        <v>46293</v>
      </c>
      <c r="B1173" s="40" t="n">
        <v>0.625</v>
      </c>
      <c r="C1173" s="35" t="inlineStr">
        <is>
          <t>Dr. Paulo Andrade</t>
        </is>
      </c>
      <c r="D1173" s="35" t="inlineStr">
        <is>
          <t>Sala 2</t>
        </is>
      </c>
      <c r="E1173" s="34" t="inlineStr">
        <is>
          <t>Gustavo Ferreira</t>
        </is>
      </c>
      <c r="F1173" s="35" t="inlineStr">
        <is>
          <t>Particular</t>
        </is>
      </c>
      <c r="G1173" s="35" t="inlineStr">
        <is>
          <t>Teste ergométrico</t>
        </is>
      </c>
      <c r="H1173" s="35" t="inlineStr">
        <is>
          <t>Agendado</t>
        </is>
      </c>
      <c r="I1173" s="35" t="n"/>
      <c r="J1173" s="35" t="n"/>
      <c r="K1173" s="34" t="n"/>
      <c r="L1173" s="26">
        <f>IF(A1173="","",MONTH(A1173))</f>
        <v>9</v>
      </c>
      <c r="M1173" s="26">
        <f>IF(A1173="","",YEAR(A1173))</f>
        <v>2026</v>
      </c>
      <c r="N1173" s="26" t="str">
        <f>IF(A1173="","",CHOOSE(WEEKDAY(A1173,2),"Segunda","Terça","Quarta","Quinta","Sexta","Sábado","Domingo"))</f>
        <v>Segunda</v>
      </c>
      <c r="O1173" s="26" t="str">
        <f>IF(B1173="","",IF(B1173&lt;TIME(12,0,0),"Manhã",IF(B1173&lt;TIME(18,0,0),"Tarde","Noite")))</f>
        <v>Tarde</v>
      </c>
      <c r="P1173" s="32">
        <f>IF(G1173="","",IFERROR(INDEX(Config!$I$5:$I$16,MATCH(G1173,Config!$H$5:$H$16,0)),0))</f>
        <v>0</v>
      </c>
      <c r="Q1173" s="30">
        <f>IF(OR(H1173&lt;&gt;"Realizado",P1173="",P1173=0),"",A1173+P1173)</f>
        <v/>
      </c>
      <c r="R1173" s="26">
        <f>IF(Q1173="","",IF(COUNTIFS($E$5:$E$3004,E1173,$A$5:$A$3004,"&gt;"&amp;A1173,$H$5:$H$3004,"&lt;&gt;Falta",$H$5:$H$3004,"&lt;&gt;Cancelado",$H$5:$H$3004,"&lt;&gt;Remarcado")&gt;0,"Sim","Não"))</f>
        <v/>
      </c>
      <c r="S1173" s="32">
        <f>IF(R1173&lt;&gt;"Não","",IF(Q1173+Config!$B$9&lt;=Config!$B$8,Config!$B$8-Q1173,""))</f>
        <v/>
      </c>
      <c r="T1173" s="26">
        <f>IF(S1173="","","Sim")</f>
        <v/>
      </c>
      <c r="U1173" s="41">
        <f>IF(T1173="Sim",S1173+ROW()/100000,0)</f>
        <v>0</v>
      </c>
      <c r="V1173" s="41">
        <f>IF(AND(H1173="Falta",L1173=Config!$B$7,M1173=Config!$B$5,COUNTIFS($E$5:E1173,E1173,$H$5:H1173,"Falta",$L$5:L1173,Config!$B$7,$M$5:M1173,Config!$B$5)=1),COUNTIFS($E$5:$E$3004,E1173,$H$5:$H$3004,"Falta",$L$5:$L$3004,Config!$B$7,$M$5:$M$3004,Config!$B$5)*1000-ROW()/100000,0)</f>
        <v>0</v>
      </c>
    </row>
    <row r="1174">
      <c r="A1174" s="39" t="n">
        <v>46293</v>
      </c>
      <c r="B1174" s="40" t="n">
        <v>0.6944444444444444</v>
      </c>
      <c r="C1174" s="35" t="inlineStr">
        <is>
          <t>Dr. Paulo Andrade</t>
        </is>
      </c>
      <c r="D1174" s="35" t="inlineStr">
        <is>
          <t>Sala 2</t>
        </is>
      </c>
      <c r="E1174" s="34" t="inlineStr">
        <is>
          <t>Thiago Duarte</t>
        </is>
      </c>
      <c r="F1174" s="35" t="inlineStr">
        <is>
          <t>Saúde Total</t>
        </is>
      </c>
      <c r="G1174" s="35" t="inlineStr">
        <is>
          <t>Consulta</t>
        </is>
      </c>
      <c r="H1174" s="35" t="inlineStr">
        <is>
          <t>Agendado</t>
        </is>
      </c>
      <c r="I1174" s="35" t="n"/>
      <c r="J1174" s="35" t="n"/>
      <c r="K1174" s="34" t="n"/>
      <c r="L1174" s="26">
        <f>IF(A1174="","",MONTH(A1174))</f>
        <v>9</v>
      </c>
      <c r="M1174" s="26">
        <f>IF(A1174="","",YEAR(A1174))</f>
        <v>2026</v>
      </c>
      <c r="N1174" s="26" t="str">
        <f>IF(A1174="","",CHOOSE(WEEKDAY(A1174,2),"Segunda","Terça","Quarta","Quinta","Sexta","Sábado","Domingo"))</f>
        <v>Segunda</v>
      </c>
      <c r="O1174" s="26" t="str">
        <f>IF(B1174="","",IF(B1174&lt;TIME(12,0,0),"Manhã",IF(B1174&lt;TIME(18,0,0),"Tarde","Noite")))</f>
        <v>Tarde</v>
      </c>
      <c r="P1174" s="32">
        <f>IF(G1174="","",IFERROR(INDEX(Config!$I$5:$I$16,MATCH(G1174,Config!$H$5:$H$16,0)),0))</f>
        <v>30</v>
      </c>
      <c r="Q1174" s="30">
        <f>IF(OR(H1174&lt;&gt;"Realizado",P1174="",P1174=0),"",A1174+P1174)</f>
        <v/>
      </c>
      <c r="R1174" s="26">
        <f>IF(Q1174="","",IF(COUNTIFS($E$5:$E$3004,E1174,$A$5:$A$3004,"&gt;"&amp;A1174,$H$5:$H$3004,"&lt;&gt;Falta",$H$5:$H$3004,"&lt;&gt;Cancelado",$H$5:$H$3004,"&lt;&gt;Remarcado")&gt;0,"Sim","Não"))</f>
        <v/>
      </c>
      <c r="S1174" s="32">
        <f>IF(R1174&lt;&gt;"Não","",IF(Q1174+Config!$B$9&lt;=Config!$B$8,Config!$B$8-Q1174,""))</f>
        <v/>
      </c>
      <c r="T1174" s="26">
        <f>IF(S1174="","","Sim")</f>
        <v/>
      </c>
      <c r="U1174" s="41">
        <f>IF(T1174="Sim",S1174+ROW()/100000,0)</f>
        <v>0</v>
      </c>
      <c r="V1174" s="41">
        <f>IF(AND(H1174="Falta",L1174=Config!$B$7,M1174=Config!$B$5,COUNTIFS($E$5:E1174,E1174,$H$5:H1174,"Falta",$L$5:L1174,Config!$B$7,$M$5:M1174,Config!$B$5)=1),COUNTIFS($E$5:$E$3004,E1174,$H$5:$H$3004,"Falta",$L$5:$L$3004,Config!$B$7,$M$5:$M$3004,Config!$B$5)*1000-ROW()/100000,0)</f>
        <v>0</v>
      </c>
    </row>
    <row r="1175">
      <c r="A1175" s="39" t="n">
        <v>46293</v>
      </c>
      <c r="B1175" s="40" t="n">
        <v>0.7152777777777778</v>
      </c>
      <c r="C1175" s="35" t="inlineStr">
        <is>
          <t>Dr. Paulo Andrade</t>
        </is>
      </c>
      <c r="D1175" s="35" t="inlineStr">
        <is>
          <t>Sala 2</t>
        </is>
      </c>
      <c r="E1175" s="34" t="inlineStr">
        <is>
          <t>Gisele Pinto</t>
        </is>
      </c>
      <c r="F1175" s="35" t="inlineStr">
        <is>
          <t>Saúde Total</t>
        </is>
      </c>
      <c r="G1175" s="35" t="inlineStr">
        <is>
          <t>Consulta</t>
        </is>
      </c>
      <c r="H1175" s="35" t="inlineStr">
        <is>
          <t>Agendado</t>
        </is>
      </c>
      <c r="I1175" s="35" t="n"/>
      <c r="J1175" s="35" t="n"/>
      <c r="K1175" s="34" t="n"/>
      <c r="L1175" s="26">
        <f>IF(A1175="","",MONTH(A1175))</f>
        <v>9</v>
      </c>
      <c r="M1175" s="26">
        <f>IF(A1175="","",YEAR(A1175))</f>
        <v>2026</v>
      </c>
      <c r="N1175" s="26" t="str">
        <f>IF(A1175="","",CHOOSE(WEEKDAY(A1175,2),"Segunda","Terça","Quarta","Quinta","Sexta","Sábado","Domingo"))</f>
        <v>Segunda</v>
      </c>
      <c r="O1175" s="26" t="str">
        <f>IF(B1175="","",IF(B1175&lt;TIME(12,0,0),"Manhã",IF(B1175&lt;TIME(18,0,0),"Tarde","Noite")))</f>
        <v>Tarde</v>
      </c>
      <c r="P1175" s="32">
        <f>IF(G1175="","",IFERROR(INDEX(Config!$I$5:$I$16,MATCH(G1175,Config!$H$5:$H$16,0)),0))</f>
        <v>30</v>
      </c>
      <c r="Q1175" s="30">
        <f>IF(OR(H1175&lt;&gt;"Realizado",P1175="",P1175=0),"",A1175+P1175)</f>
        <v/>
      </c>
      <c r="R1175" s="26">
        <f>IF(Q1175="","",IF(COUNTIFS($E$5:$E$3004,E1175,$A$5:$A$3004,"&gt;"&amp;A1175,$H$5:$H$3004,"&lt;&gt;Falta",$H$5:$H$3004,"&lt;&gt;Cancelado",$H$5:$H$3004,"&lt;&gt;Remarcado")&gt;0,"Sim","Não"))</f>
        <v/>
      </c>
      <c r="S1175" s="32">
        <f>IF(R1175&lt;&gt;"Não","",IF(Q1175+Config!$B$9&lt;=Config!$B$8,Config!$B$8-Q1175,""))</f>
        <v/>
      </c>
      <c r="T1175" s="26">
        <f>IF(S1175="","","Sim")</f>
        <v/>
      </c>
      <c r="U1175" s="41">
        <f>IF(T1175="Sim",S1175+ROW()/100000,0)</f>
        <v>0</v>
      </c>
      <c r="V1175" s="41">
        <f>IF(AND(H1175="Falta",L1175=Config!$B$7,M1175=Config!$B$5,COUNTIFS($E$5:E1175,E1175,$H$5:H1175,"Falta",$L$5:L1175,Config!$B$7,$M$5:M1175,Config!$B$5)=1),COUNTIFS($E$5:$E$3004,E1175,$H$5:$H$3004,"Falta",$L$5:$L$3004,Config!$B$7,$M$5:$M$3004,Config!$B$5)*1000-ROW()/100000,0)</f>
        <v>0</v>
      </c>
    </row>
    <row r="1176">
      <c r="A1176" s="39" t="n">
        <v>46293</v>
      </c>
      <c r="B1176" s="40" t="n">
        <v>0.7361111111111112</v>
      </c>
      <c r="C1176" s="35" t="inlineStr">
        <is>
          <t>Dr. Paulo Andrade</t>
        </is>
      </c>
      <c r="D1176" s="35" t="inlineStr">
        <is>
          <t>Sala 2</t>
        </is>
      </c>
      <c r="E1176" s="34" t="inlineStr">
        <is>
          <t>Mônica Batista</t>
        </is>
      </c>
      <c r="F1176" s="35" t="inlineStr">
        <is>
          <t>MediPlan</t>
        </is>
      </c>
      <c r="G1176" s="35" t="inlineStr">
        <is>
          <t>MAPA</t>
        </is>
      </c>
      <c r="H1176" s="35" t="inlineStr">
        <is>
          <t>Agendado</t>
        </is>
      </c>
      <c r="I1176" s="35" t="n"/>
      <c r="J1176" s="35" t="n"/>
      <c r="K1176" s="34" t="n"/>
      <c r="L1176" s="26">
        <f>IF(A1176="","",MONTH(A1176))</f>
        <v>9</v>
      </c>
      <c r="M1176" s="26">
        <f>IF(A1176="","",YEAR(A1176))</f>
        <v>2026</v>
      </c>
      <c r="N1176" s="26" t="str">
        <f>IF(A1176="","",CHOOSE(WEEKDAY(A1176,2),"Segunda","Terça","Quarta","Quinta","Sexta","Sábado","Domingo"))</f>
        <v>Segunda</v>
      </c>
      <c r="O1176" s="26" t="str">
        <f>IF(B1176="","",IF(B1176&lt;TIME(12,0,0),"Manhã",IF(B1176&lt;TIME(18,0,0),"Tarde","Noite")))</f>
        <v>Tarde</v>
      </c>
      <c r="P1176" s="32">
        <f>IF(G1176="","",IFERROR(INDEX(Config!$I$5:$I$16,MATCH(G1176,Config!$H$5:$H$16,0)),0))</f>
        <v>0</v>
      </c>
      <c r="Q1176" s="30">
        <f>IF(OR(H1176&lt;&gt;"Realizado",P1176="",P1176=0),"",A1176+P1176)</f>
        <v/>
      </c>
      <c r="R1176" s="26">
        <f>IF(Q1176="","",IF(COUNTIFS($E$5:$E$3004,E1176,$A$5:$A$3004,"&gt;"&amp;A1176,$H$5:$H$3004,"&lt;&gt;Falta",$H$5:$H$3004,"&lt;&gt;Cancelado",$H$5:$H$3004,"&lt;&gt;Remarcado")&gt;0,"Sim","Não"))</f>
        <v/>
      </c>
      <c r="S1176" s="32">
        <f>IF(R1176&lt;&gt;"Não","",IF(Q1176+Config!$B$9&lt;=Config!$B$8,Config!$B$8-Q1176,""))</f>
        <v/>
      </c>
      <c r="T1176" s="26">
        <f>IF(S1176="","","Sim")</f>
        <v/>
      </c>
      <c r="U1176" s="41">
        <f>IF(T1176="Sim",S1176+ROW()/100000,0)</f>
        <v>0</v>
      </c>
      <c r="V1176" s="41">
        <f>IF(AND(H1176="Falta",L1176=Config!$B$7,M1176=Config!$B$5,COUNTIFS($E$5:E1176,E1176,$H$5:H1176,"Falta",$L$5:L1176,Config!$B$7,$M$5:M1176,Config!$B$5)=1),COUNTIFS($E$5:$E$3004,E1176,$H$5:$H$3004,"Falta",$L$5:$L$3004,Config!$B$7,$M$5:$M$3004,Config!$B$5)*1000-ROW()/100000,0)</f>
        <v>0</v>
      </c>
    </row>
    <row r="1177">
      <c r="A1177" s="39" t="n">
        <v>46294</v>
      </c>
      <c r="B1177" s="40" t="n">
        <v>0.3541666666666667</v>
      </c>
      <c r="C1177" s="35" t="inlineStr">
        <is>
          <t>Dra. Carolina Mendes</t>
        </is>
      </c>
      <c r="D1177" s="35" t="inlineStr">
        <is>
          <t>Sala 1</t>
        </is>
      </c>
      <c r="E1177" s="34" t="inlineStr">
        <is>
          <t>Mônica Batista</t>
        </is>
      </c>
      <c r="F1177" s="35" t="inlineStr">
        <is>
          <t>MediPlan</t>
        </is>
      </c>
      <c r="G1177" s="35" t="inlineStr">
        <is>
          <t>Retorno</t>
        </is>
      </c>
      <c r="H1177" s="35" t="inlineStr">
        <is>
          <t>Agendado</t>
        </is>
      </c>
      <c r="I1177" s="35" t="n"/>
      <c r="J1177" s="35" t="n"/>
      <c r="K1177" s="34" t="n"/>
      <c r="L1177" s="26">
        <f>IF(A1177="","",MONTH(A1177))</f>
        <v>9</v>
      </c>
      <c r="M1177" s="26">
        <f>IF(A1177="","",YEAR(A1177))</f>
        <v>2026</v>
      </c>
      <c r="N1177" s="26" t="str">
        <f>IF(A1177="","",CHOOSE(WEEKDAY(A1177,2),"Segunda","Terça","Quarta","Quinta","Sexta","Sábado","Domingo"))</f>
        <v>Terça</v>
      </c>
      <c r="O1177" s="26" t="str">
        <f>IF(B1177="","",IF(B1177&lt;TIME(12,0,0),"Manhã",IF(B1177&lt;TIME(18,0,0),"Tarde","Noite")))</f>
        <v>Manhã</v>
      </c>
      <c r="P1177" s="32">
        <f>IF(G1177="","",IFERROR(INDEX(Config!$I$5:$I$16,MATCH(G1177,Config!$H$5:$H$16,0)),0))</f>
        <v>0</v>
      </c>
      <c r="Q1177" s="30">
        <f>IF(OR(H1177&lt;&gt;"Realizado",P1177="",P1177=0),"",A1177+P1177)</f>
        <v/>
      </c>
      <c r="R1177" s="26">
        <f>IF(Q1177="","",IF(COUNTIFS($E$5:$E$3004,E1177,$A$5:$A$3004,"&gt;"&amp;A1177,$H$5:$H$3004,"&lt;&gt;Falta",$H$5:$H$3004,"&lt;&gt;Cancelado",$H$5:$H$3004,"&lt;&gt;Remarcado")&gt;0,"Sim","Não"))</f>
        <v/>
      </c>
      <c r="S1177" s="32">
        <f>IF(R1177&lt;&gt;"Não","",IF(Q1177+Config!$B$9&lt;=Config!$B$8,Config!$B$8-Q1177,""))</f>
        <v/>
      </c>
      <c r="T1177" s="26">
        <f>IF(S1177="","","Sim")</f>
        <v/>
      </c>
      <c r="U1177" s="41">
        <f>IF(T1177="Sim",S1177+ROW()/100000,0)</f>
        <v>0</v>
      </c>
      <c r="V1177" s="41">
        <f>IF(AND(H1177="Falta",L1177=Config!$B$7,M1177=Config!$B$5,COUNTIFS($E$5:E1177,E1177,$H$5:H1177,"Falta",$L$5:L1177,Config!$B$7,$M$5:M1177,Config!$B$5)=1),COUNTIFS($E$5:$E$3004,E1177,$H$5:$H$3004,"Falta",$L$5:$L$3004,Config!$B$7,$M$5:$M$3004,Config!$B$5)*1000-ROW()/100000,0)</f>
        <v>0</v>
      </c>
    </row>
    <row r="1178">
      <c r="A1178" s="39" t="n">
        <v>46294</v>
      </c>
      <c r="B1178" s="40" t="n">
        <v>0.3680555555555556</v>
      </c>
      <c r="C1178" s="35" t="inlineStr">
        <is>
          <t>Dra. Carolina Mendes</t>
        </is>
      </c>
      <c r="D1178" s="35" t="inlineStr">
        <is>
          <t>Sala 1</t>
        </is>
      </c>
      <c r="E1178" s="34" t="inlineStr">
        <is>
          <t>Fábio Machado</t>
        </is>
      </c>
      <c r="F1178" s="35" t="inlineStr">
        <is>
          <t>Particular</t>
        </is>
      </c>
      <c r="G1178" s="35" t="inlineStr">
        <is>
          <t>Consulta</t>
        </is>
      </c>
      <c r="H1178" s="35" t="inlineStr">
        <is>
          <t>Agendado</t>
        </is>
      </c>
      <c r="I1178" s="35" t="n"/>
      <c r="J1178" s="35" t="n"/>
      <c r="K1178" s="34" t="n"/>
      <c r="L1178" s="26">
        <f>IF(A1178="","",MONTH(A1178))</f>
        <v>9</v>
      </c>
      <c r="M1178" s="26">
        <f>IF(A1178="","",YEAR(A1178))</f>
        <v>2026</v>
      </c>
      <c r="N1178" s="26" t="str">
        <f>IF(A1178="","",CHOOSE(WEEKDAY(A1178,2),"Segunda","Terça","Quarta","Quinta","Sexta","Sábado","Domingo"))</f>
        <v>Terça</v>
      </c>
      <c r="O1178" s="26" t="str">
        <f>IF(B1178="","",IF(B1178&lt;TIME(12,0,0),"Manhã",IF(B1178&lt;TIME(18,0,0),"Tarde","Noite")))</f>
        <v>Manhã</v>
      </c>
      <c r="P1178" s="32">
        <f>IF(G1178="","",IFERROR(INDEX(Config!$I$5:$I$16,MATCH(G1178,Config!$H$5:$H$16,0)),0))</f>
        <v>30</v>
      </c>
      <c r="Q1178" s="30">
        <f>IF(OR(H1178&lt;&gt;"Realizado",P1178="",P1178=0),"",A1178+P1178)</f>
        <v/>
      </c>
      <c r="R1178" s="26">
        <f>IF(Q1178="","",IF(COUNTIFS($E$5:$E$3004,E1178,$A$5:$A$3004,"&gt;"&amp;A1178,$H$5:$H$3004,"&lt;&gt;Falta",$H$5:$H$3004,"&lt;&gt;Cancelado",$H$5:$H$3004,"&lt;&gt;Remarcado")&gt;0,"Sim","Não"))</f>
        <v/>
      </c>
      <c r="S1178" s="32">
        <f>IF(R1178&lt;&gt;"Não","",IF(Q1178+Config!$B$9&lt;=Config!$B$8,Config!$B$8-Q1178,""))</f>
        <v/>
      </c>
      <c r="T1178" s="26">
        <f>IF(S1178="","","Sim")</f>
        <v/>
      </c>
      <c r="U1178" s="41">
        <f>IF(T1178="Sim",S1178+ROW()/100000,0)</f>
        <v>0</v>
      </c>
      <c r="V1178" s="41">
        <f>IF(AND(H1178="Falta",L1178=Config!$B$7,M1178=Config!$B$5,COUNTIFS($E$5:E1178,E1178,$H$5:H1178,"Falta",$L$5:L1178,Config!$B$7,$M$5:M1178,Config!$B$5)=1),COUNTIFS($E$5:$E$3004,E1178,$H$5:$H$3004,"Falta",$L$5:$L$3004,Config!$B$7,$M$5:$M$3004,Config!$B$5)*1000-ROW()/100000,0)</f>
        <v>0</v>
      </c>
    </row>
    <row r="1179">
      <c r="A1179" s="39" t="n">
        <v>46294</v>
      </c>
      <c r="B1179" s="40" t="n">
        <v>0.3888888888888889</v>
      </c>
      <c r="C1179" s="35" t="inlineStr">
        <is>
          <t>Dra. Carolina Mendes</t>
        </is>
      </c>
      <c r="D1179" s="35" t="inlineStr">
        <is>
          <t>Sala 1</t>
        </is>
      </c>
      <c r="E1179" s="34" t="inlineStr">
        <is>
          <t>Mateus Lima</t>
        </is>
      </c>
      <c r="F1179" s="35" t="inlineStr">
        <is>
          <t>MediPlan</t>
        </is>
      </c>
      <c r="G1179" s="35" t="inlineStr">
        <is>
          <t>Consulta</t>
        </is>
      </c>
      <c r="H1179" s="35" t="inlineStr">
        <is>
          <t>Agendado</t>
        </is>
      </c>
      <c r="I1179" s="35" t="n"/>
      <c r="J1179" s="35" t="n"/>
      <c r="K1179" s="34" t="n"/>
      <c r="L1179" s="26">
        <f>IF(A1179="","",MONTH(A1179))</f>
        <v>9</v>
      </c>
      <c r="M1179" s="26">
        <f>IF(A1179="","",YEAR(A1179))</f>
        <v>2026</v>
      </c>
      <c r="N1179" s="26" t="str">
        <f>IF(A1179="","",CHOOSE(WEEKDAY(A1179,2),"Segunda","Terça","Quarta","Quinta","Sexta","Sábado","Domingo"))</f>
        <v>Terça</v>
      </c>
      <c r="O1179" s="26" t="str">
        <f>IF(B1179="","",IF(B1179&lt;TIME(12,0,0),"Manhã",IF(B1179&lt;TIME(18,0,0),"Tarde","Noite")))</f>
        <v>Manhã</v>
      </c>
      <c r="P1179" s="32">
        <f>IF(G1179="","",IFERROR(INDEX(Config!$I$5:$I$16,MATCH(G1179,Config!$H$5:$H$16,0)),0))</f>
        <v>30</v>
      </c>
      <c r="Q1179" s="30">
        <f>IF(OR(H1179&lt;&gt;"Realizado",P1179="",P1179=0),"",A1179+P1179)</f>
        <v/>
      </c>
      <c r="R1179" s="26">
        <f>IF(Q1179="","",IF(COUNTIFS($E$5:$E$3004,E1179,$A$5:$A$3004,"&gt;"&amp;A1179,$H$5:$H$3004,"&lt;&gt;Falta",$H$5:$H$3004,"&lt;&gt;Cancelado",$H$5:$H$3004,"&lt;&gt;Remarcado")&gt;0,"Sim","Não"))</f>
        <v/>
      </c>
      <c r="S1179" s="32">
        <f>IF(R1179&lt;&gt;"Não","",IF(Q1179+Config!$B$9&lt;=Config!$B$8,Config!$B$8-Q1179,""))</f>
        <v/>
      </c>
      <c r="T1179" s="26">
        <f>IF(S1179="","","Sim")</f>
        <v/>
      </c>
      <c r="U1179" s="41">
        <f>IF(T1179="Sim",S1179+ROW()/100000,0)</f>
        <v>0</v>
      </c>
      <c r="V1179" s="41">
        <f>IF(AND(H1179="Falta",L1179=Config!$B$7,M1179=Config!$B$5,COUNTIFS($E$5:E1179,E1179,$H$5:H1179,"Falta",$L$5:L1179,Config!$B$7,$M$5:M1179,Config!$B$5)=1),COUNTIFS($E$5:$E$3004,E1179,$H$5:$H$3004,"Falta",$L$5:$L$3004,Config!$B$7,$M$5:$M$3004,Config!$B$5)*1000-ROW()/100000,0)</f>
        <v>0</v>
      </c>
    </row>
    <row r="1180">
      <c r="A1180" s="39" t="n">
        <v>46294</v>
      </c>
      <c r="B1180" s="40" t="n">
        <v>0.4097222222222222</v>
      </c>
      <c r="C1180" s="35" t="inlineStr">
        <is>
          <t>Dra. Carolina Mendes</t>
        </is>
      </c>
      <c r="D1180" s="35" t="inlineStr">
        <is>
          <t>Sala 1</t>
        </is>
      </c>
      <c r="E1180" s="34" t="inlineStr">
        <is>
          <t>Simone Monteiro</t>
        </is>
      </c>
      <c r="F1180" s="35" t="inlineStr">
        <is>
          <t>Vida Care</t>
        </is>
      </c>
      <c r="G1180" s="35" t="inlineStr">
        <is>
          <t>Retorno</t>
        </is>
      </c>
      <c r="H1180" s="35" t="inlineStr">
        <is>
          <t>Agendado</t>
        </is>
      </c>
      <c r="I1180" s="35" t="n"/>
      <c r="J1180" s="35" t="n"/>
      <c r="K1180" s="34" t="n"/>
      <c r="L1180" s="26">
        <f>IF(A1180="","",MONTH(A1180))</f>
        <v>9</v>
      </c>
      <c r="M1180" s="26">
        <f>IF(A1180="","",YEAR(A1180))</f>
        <v>2026</v>
      </c>
      <c r="N1180" s="26" t="str">
        <f>IF(A1180="","",CHOOSE(WEEKDAY(A1180,2),"Segunda","Terça","Quarta","Quinta","Sexta","Sábado","Domingo"))</f>
        <v>Terça</v>
      </c>
      <c r="O1180" s="26" t="str">
        <f>IF(B1180="","",IF(B1180&lt;TIME(12,0,0),"Manhã",IF(B1180&lt;TIME(18,0,0),"Tarde","Noite")))</f>
        <v>Manhã</v>
      </c>
      <c r="P1180" s="32">
        <f>IF(G1180="","",IFERROR(INDEX(Config!$I$5:$I$16,MATCH(G1180,Config!$H$5:$H$16,0)),0))</f>
        <v>0</v>
      </c>
      <c r="Q1180" s="30">
        <f>IF(OR(H1180&lt;&gt;"Realizado",P1180="",P1180=0),"",A1180+P1180)</f>
        <v/>
      </c>
      <c r="R1180" s="26">
        <f>IF(Q1180="","",IF(COUNTIFS($E$5:$E$3004,E1180,$A$5:$A$3004,"&gt;"&amp;A1180,$H$5:$H$3004,"&lt;&gt;Falta",$H$5:$H$3004,"&lt;&gt;Cancelado",$H$5:$H$3004,"&lt;&gt;Remarcado")&gt;0,"Sim","Não"))</f>
        <v/>
      </c>
      <c r="S1180" s="32">
        <f>IF(R1180&lt;&gt;"Não","",IF(Q1180+Config!$B$9&lt;=Config!$B$8,Config!$B$8-Q1180,""))</f>
        <v/>
      </c>
      <c r="T1180" s="26">
        <f>IF(S1180="","","Sim")</f>
        <v/>
      </c>
      <c r="U1180" s="41">
        <f>IF(T1180="Sim",S1180+ROW()/100000,0)</f>
        <v>0</v>
      </c>
      <c r="V1180" s="41">
        <f>IF(AND(H1180="Falta",L1180=Config!$B$7,M1180=Config!$B$5,COUNTIFS($E$5:E1180,E1180,$H$5:H1180,"Falta",$L$5:L1180,Config!$B$7,$M$5:M1180,Config!$B$5)=1),COUNTIFS($E$5:$E$3004,E1180,$H$5:$H$3004,"Falta",$L$5:$L$3004,Config!$B$7,$M$5:$M$3004,Config!$B$5)*1000-ROW()/100000,0)</f>
        <v>0</v>
      </c>
    </row>
    <row r="1181">
      <c r="A1181" s="39" t="n">
        <v>46294</v>
      </c>
      <c r="B1181" s="40" t="n">
        <v>0.4236111111111111</v>
      </c>
      <c r="C1181" s="35" t="inlineStr">
        <is>
          <t>Dra. Carolina Mendes</t>
        </is>
      </c>
      <c r="D1181" s="35" t="inlineStr">
        <is>
          <t>Sala 1</t>
        </is>
      </c>
      <c r="E1181" s="34" t="inlineStr">
        <is>
          <t>Ana Costa</t>
        </is>
      </c>
      <c r="F1181" s="35" t="inlineStr">
        <is>
          <t>Particular</t>
        </is>
      </c>
      <c r="G1181" s="35" t="inlineStr">
        <is>
          <t>Retorno</t>
        </is>
      </c>
      <c r="H1181" s="35" t="inlineStr">
        <is>
          <t>Agendado</t>
        </is>
      </c>
      <c r="I1181" s="35" t="n"/>
      <c r="J1181" s="35" t="n"/>
      <c r="K1181" s="34" t="n"/>
      <c r="L1181" s="26">
        <f>IF(A1181="","",MONTH(A1181))</f>
        <v>9</v>
      </c>
      <c r="M1181" s="26">
        <f>IF(A1181="","",YEAR(A1181))</f>
        <v>2026</v>
      </c>
      <c r="N1181" s="26" t="str">
        <f>IF(A1181="","",CHOOSE(WEEKDAY(A1181,2),"Segunda","Terça","Quarta","Quinta","Sexta","Sábado","Domingo"))</f>
        <v>Terça</v>
      </c>
      <c r="O1181" s="26" t="str">
        <f>IF(B1181="","",IF(B1181&lt;TIME(12,0,0),"Manhã",IF(B1181&lt;TIME(18,0,0),"Tarde","Noite")))</f>
        <v>Manhã</v>
      </c>
      <c r="P1181" s="32">
        <f>IF(G1181="","",IFERROR(INDEX(Config!$I$5:$I$16,MATCH(G1181,Config!$H$5:$H$16,0)),0))</f>
        <v>0</v>
      </c>
      <c r="Q1181" s="30">
        <f>IF(OR(H1181&lt;&gt;"Realizado",P1181="",P1181=0),"",A1181+P1181)</f>
        <v/>
      </c>
      <c r="R1181" s="26">
        <f>IF(Q1181="","",IF(COUNTIFS($E$5:$E$3004,E1181,$A$5:$A$3004,"&gt;"&amp;A1181,$H$5:$H$3004,"&lt;&gt;Falta",$H$5:$H$3004,"&lt;&gt;Cancelado",$H$5:$H$3004,"&lt;&gt;Remarcado")&gt;0,"Sim","Não"))</f>
        <v/>
      </c>
      <c r="S1181" s="32">
        <f>IF(R1181&lt;&gt;"Não","",IF(Q1181+Config!$B$9&lt;=Config!$B$8,Config!$B$8-Q1181,""))</f>
        <v/>
      </c>
      <c r="T1181" s="26">
        <f>IF(S1181="","","Sim")</f>
        <v/>
      </c>
      <c r="U1181" s="41">
        <f>IF(T1181="Sim",S1181+ROW()/100000,0)</f>
        <v>0</v>
      </c>
      <c r="V1181" s="41">
        <f>IF(AND(H1181="Falta",L1181=Config!$B$7,M1181=Config!$B$5,COUNTIFS($E$5:E1181,E1181,$H$5:H1181,"Falta",$L$5:L1181,Config!$B$7,$M$5:M1181,Config!$B$5)=1),COUNTIFS($E$5:$E$3004,E1181,$H$5:$H$3004,"Falta",$L$5:$L$3004,Config!$B$7,$M$5:$M$3004,Config!$B$5)*1000-ROW()/100000,0)</f>
        <v>0</v>
      </c>
    </row>
    <row r="1182">
      <c r="A1182" s="39" t="n">
        <v>46294</v>
      </c>
      <c r="B1182" s="40" t="n">
        <v>0.4375</v>
      </c>
      <c r="C1182" s="35" t="inlineStr">
        <is>
          <t>Dra. Carolina Mendes</t>
        </is>
      </c>
      <c r="D1182" s="35" t="inlineStr">
        <is>
          <t>Sala 1</t>
        </is>
      </c>
      <c r="E1182" s="34" t="inlineStr">
        <is>
          <t>Renato Dias</t>
        </is>
      </c>
      <c r="F1182" s="35" t="inlineStr">
        <is>
          <t>Particular</t>
        </is>
      </c>
      <c r="G1182" s="35" t="inlineStr">
        <is>
          <t>Consulta</t>
        </is>
      </c>
      <c r="H1182" s="35" t="inlineStr">
        <is>
          <t>Agendado</t>
        </is>
      </c>
      <c r="I1182" s="35" t="n"/>
      <c r="J1182" s="35" t="n"/>
      <c r="K1182" s="34" t="n"/>
      <c r="L1182" s="26">
        <f>IF(A1182="","",MONTH(A1182))</f>
        <v>9</v>
      </c>
      <c r="M1182" s="26">
        <f>IF(A1182="","",YEAR(A1182))</f>
        <v>2026</v>
      </c>
      <c r="N1182" s="26" t="str">
        <f>IF(A1182="","",CHOOSE(WEEKDAY(A1182,2),"Segunda","Terça","Quarta","Quinta","Sexta","Sábado","Domingo"))</f>
        <v>Terça</v>
      </c>
      <c r="O1182" s="26" t="str">
        <f>IF(B1182="","",IF(B1182&lt;TIME(12,0,0),"Manhã",IF(B1182&lt;TIME(18,0,0),"Tarde","Noite")))</f>
        <v>Manhã</v>
      </c>
      <c r="P1182" s="32">
        <f>IF(G1182="","",IFERROR(INDEX(Config!$I$5:$I$16,MATCH(G1182,Config!$H$5:$H$16,0)),0))</f>
        <v>30</v>
      </c>
      <c r="Q1182" s="30">
        <f>IF(OR(H1182&lt;&gt;"Realizado",P1182="",P1182=0),"",A1182+P1182)</f>
        <v/>
      </c>
      <c r="R1182" s="26">
        <f>IF(Q1182="","",IF(COUNTIFS($E$5:$E$3004,E1182,$A$5:$A$3004,"&gt;"&amp;A1182,$H$5:$H$3004,"&lt;&gt;Falta",$H$5:$H$3004,"&lt;&gt;Cancelado",$H$5:$H$3004,"&lt;&gt;Remarcado")&gt;0,"Sim","Não"))</f>
        <v/>
      </c>
      <c r="S1182" s="32">
        <f>IF(R1182&lt;&gt;"Não","",IF(Q1182+Config!$B$9&lt;=Config!$B$8,Config!$B$8-Q1182,""))</f>
        <v/>
      </c>
      <c r="T1182" s="26">
        <f>IF(S1182="","","Sim")</f>
        <v/>
      </c>
      <c r="U1182" s="41">
        <f>IF(T1182="Sim",S1182+ROW()/100000,0)</f>
        <v>0</v>
      </c>
      <c r="V1182" s="41">
        <f>IF(AND(H1182="Falta",L1182=Config!$B$7,M1182=Config!$B$5,COUNTIFS($E$5:E1182,E1182,$H$5:H1182,"Falta",$L$5:L1182,Config!$B$7,$M$5:M1182,Config!$B$5)=1),COUNTIFS($E$5:$E$3004,E1182,$H$5:$H$3004,"Falta",$L$5:$L$3004,Config!$B$7,$M$5:$M$3004,Config!$B$5)*1000-ROW()/100000,0)</f>
        <v>0</v>
      </c>
    </row>
    <row r="1183">
      <c r="A1183" s="39" t="n">
        <v>46294</v>
      </c>
      <c r="B1183" s="40" t="n">
        <v>0.4583333333333333</v>
      </c>
      <c r="C1183" s="35" t="inlineStr">
        <is>
          <t>Dra. Carolina Mendes</t>
        </is>
      </c>
      <c r="D1183" s="35" t="inlineStr">
        <is>
          <t>Sala 1</t>
        </is>
      </c>
      <c r="E1183" s="34" t="inlineStr">
        <is>
          <t>Otávio Cardoso</t>
        </is>
      </c>
      <c r="F1183" s="35" t="inlineStr">
        <is>
          <t>Particular</t>
        </is>
      </c>
      <c r="G1183" s="35" t="inlineStr">
        <is>
          <t>Consulta</t>
        </is>
      </c>
      <c r="H1183" s="35" t="inlineStr">
        <is>
          <t>Agendado</t>
        </is>
      </c>
      <c r="I1183" s="35" t="n"/>
      <c r="J1183" s="35" t="n"/>
      <c r="K1183" s="34" t="n"/>
      <c r="L1183" s="26">
        <f>IF(A1183="","",MONTH(A1183))</f>
        <v>9</v>
      </c>
      <c r="M1183" s="26">
        <f>IF(A1183="","",YEAR(A1183))</f>
        <v>2026</v>
      </c>
      <c r="N1183" s="26" t="str">
        <f>IF(A1183="","",CHOOSE(WEEKDAY(A1183,2),"Segunda","Terça","Quarta","Quinta","Sexta","Sábado","Domingo"))</f>
        <v>Terça</v>
      </c>
      <c r="O1183" s="26" t="str">
        <f>IF(B1183="","",IF(B1183&lt;TIME(12,0,0),"Manhã",IF(B1183&lt;TIME(18,0,0),"Tarde","Noite")))</f>
        <v>Manhã</v>
      </c>
      <c r="P1183" s="32">
        <f>IF(G1183="","",IFERROR(INDEX(Config!$I$5:$I$16,MATCH(G1183,Config!$H$5:$H$16,0)),0))</f>
        <v>30</v>
      </c>
      <c r="Q1183" s="30">
        <f>IF(OR(H1183&lt;&gt;"Realizado",P1183="",P1183=0),"",A1183+P1183)</f>
        <v/>
      </c>
      <c r="R1183" s="26">
        <f>IF(Q1183="","",IF(COUNTIFS($E$5:$E$3004,E1183,$A$5:$A$3004,"&gt;"&amp;A1183,$H$5:$H$3004,"&lt;&gt;Falta",$H$5:$H$3004,"&lt;&gt;Cancelado",$H$5:$H$3004,"&lt;&gt;Remarcado")&gt;0,"Sim","Não"))</f>
        <v/>
      </c>
      <c r="S1183" s="32">
        <f>IF(R1183&lt;&gt;"Não","",IF(Q1183+Config!$B$9&lt;=Config!$B$8,Config!$B$8-Q1183,""))</f>
        <v/>
      </c>
      <c r="T1183" s="26">
        <f>IF(S1183="","","Sim")</f>
        <v/>
      </c>
      <c r="U1183" s="41">
        <f>IF(T1183="Sim",S1183+ROW()/100000,0)</f>
        <v>0</v>
      </c>
      <c r="V1183" s="41">
        <f>IF(AND(H1183="Falta",L1183=Config!$B$7,M1183=Config!$B$5,COUNTIFS($E$5:E1183,E1183,$H$5:H1183,"Falta",$L$5:L1183,Config!$B$7,$M$5:M1183,Config!$B$5)=1),COUNTIFS($E$5:$E$3004,E1183,$H$5:$H$3004,"Falta",$L$5:$L$3004,Config!$B$7,$M$5:$M$3004,Config!$B$5)*1000-ROW()/100000,0)</f>
        <v>0</v>
      </c>
    </row>
    <row r="1184">
      <c r="A1184" s="39" t="n">
        <v>46294</v>
      </c>
      <c r="B1184" s="40" t="n">
        <v>0.4791666666666667</v>
      </c>
      <c r="C1184" s="35" t="inlineStr">
        <is>
          <t>Dra. Carolina Mendes</t>
        </is>
      </c>
      <c r="D1184" s="35" t="inlineStr">
        <is>
          <t>Sala 1</t>
        </is>
      </c>
      <c r="E1184" s="34" t="inlineStr">
        <is>
          <t>Mateus Lima</t>
        </is>
      </c>
      <c r="F1184" s="35" t="inlineStr">
        <is>
          <t>MediPlan</t>
        </is>
      </c>
      <c r="G1184" s="35" t="inlineStr">
        <is>
          <t>Retorno</t>
        </is>
      </c>
      <c r="H1184" s="35" t="inlineStr">
        <is>
          <t>Agendado</t>
        </is>
      </c>
      <c r="I1184" s="35" t="n"/>
      <c r="J1184" s="35" t="n"/>
      <c r="K1184" s="34" t="n"/>
      <c r="L1184" s="26">
        <f>IF(A1184="","",MONTH(A1184))</f>
        <v>9</v>
      </c>
      <c r="M1184" s="26">
        <f>IF(A1184="","",YEAR(A1184))</f>
        <v>2026</v>
      </c>
      <c r="N1184" s="26" t="str">
        <f>IF(A1184="","",CHOOSE(WEEKDAY(A1184,2),"Segunda","Terça","Quarta","Quinta","Sexta","Sábado","Domingo"))</f>
        <v>Terça</v>
      </c>
      <c r="O1184" s="26" t="str">
        <f>IF(B1184="","",IF(B1184&lt;TIME(12,0,0),"Manhã",IF(B1184&lt;TIME(18,0,0),"Tarde","Noite")))</f>
        <v>Manhã</v>
      </c>
      <c r="P1184" s="32">
        <f>IF(G1184="","",IFERROR(INDEX(Config!$I$5:$I$16,MATCH(G1184,Config!$H$5:$H$16,0)),0))</f>
        <v>0</v>
      </c>
      <c r="Q1184" s="30">
        <f>IF(OR(H1184&lt;&gt;"Realizado",P1184="",P1184=0),"",A1184+P1184)</f>
        <v/>
      </c>
      <c r="R1184" s="26">
        <f>IF(Q1184="","",IF(COUNTIFS($E$5:$E$3004,E1184,$A$5:$A$3004,"&gt;"&amp;A1184,$H$5:$H$3004,"&lt;&gt;Falta",$H$5:$H$3004,"&lt;&gt;Cancelado",$H$5:$H$3004,"&lt;&gt;Remarcado")&gt;0,"Sim","Não"))</f>
        <v/>
      </c>
      <c r="S1184" s="32">
        <f>IF(R1184&lt;&gt;"Não","",IF(Q1184+Config!$B$9&lt;=Config!$B$8,Config!$B$8-Q1184,""))</f>
        <v/>
      </c>
      <c r="T1184" s="26">
        <f>IF(S1184="","","Sim")</f>
        <v/>
      </c>
      <c r="U1184" s="41">
        <f>IF(T1184="Sim",S1184+ROW()/100000,0)</f>
        <v>0</v>
      </c>
      <c r="V1184" s="41">
        <f>IF(AND(H1184="Falta",L1184=Config!$B$7,M1184=Config!$B$5,COUNTIFS($E$5:E1184,E1184,$H$5:H1184,"Falta",$L$5:L1184,Config!$B$7,$M$5:M1184,Config!$B$5)=1),COUNTIFS($E$5:$E$3004,E1184,$H$5:$H$3004,"Falta",$L$5:$L$3004,Config!$B$7,$M$5:$M$3004,Config!$B$5)*1000-ROW()/100000,0)</f>
        <v>0</v>
      </c>
    </row>
    <row r="1185">
      <c r="A1185" s="39" t="n">
        <v>46294</v>
      </c>
      <c r="B1185" s="40" t="n">
        <v>0.6041666666666666</v>
      </c>
      <c r="C1185" s="35" t="inlineStr">
        <is>
          <t>Dr. Paulo Andrade</t>
        </is>
      </c>
      <c r="D1185" s="35" t="inlineStr">
        <is>
          <t>Sala 2</t>
        </is>
      </c>
      <c r="E1185" s="34" t="inlineStr">
        <is>
          <t>Gabriel Vieira</t>
        </is>
      </c>
      <c r="F1185" s="35" t="inlineStr">
        <is>
          <t>Vida Care</t>
        </is>
      </c>
      <c r="G1185" s="35" t="inlineStr">
        <is>
          <t>Consulta</t>
        </is>
      </c>
      <c r="H1185" s="35" t="inlineStr">
        <is>
          <t>Agendado</t>
        </is>
      </c>
      <c r="I1185" s="35" t="n"/>
      <c r="J1185" s="35" t="n"/>
      <c r="K1185" s="34" t="n"/>
      <c r="L1185" s="26">
        <f>IF(A1185="","",MONTH(A1185))</f>
        <v>9</v>
      </c>
      <c r="M1185" s="26">
        <f>IF(A1185="","",YEAR(A1185))</f>
        <v>2026</v>
      </c>
      <c r="N1185" s="26" t="str">
        <f>IF(A1185="","",CHOOSE(WEEKDAY(A1185,2),"Segunda","Terça","Quarta","Quinta","Sexta","Sábado","Domingo"))</f>
        <v>Terça</v>
      </c>
      <c r="O1185" s="26" t="str">
        <f>IF(B1185="","",IF(B1185&lt;TIME(12,0,0),"Manhã",IF(B1185&lt;TIME(18,0,0),"Tarde","Noite")))</f>
        <v>Tarde</v>
      </c>
      <c r="P1185" s="32">
        <f>IF(G1185="","",IFERROR(INDEX(Config!$I$5:$I$16,MATCH(G1185,Config!$H$5:$H$16,0)),0))</f>
        <v>30</v>
      </c>
      <c r="Q1185" s="30">
        <f>IF(OR(H1185&lt;&gt;"Realizado",P1185="",P1185=0),"",A1185+P1185)</f>
        <v/>
      </c>
      <c r="R1185" s="26">
        <f>IF(Q1185="","",IF(COUNTIFS($E$5:$E$3004,E1185,$A$5:$A$3004,"&gt;"&amp;A1185,$H$5:$H$3004,"&lt;&gt;Falta",$H$5:$H$3004,"&lt;&gt;Cancelado",$H$5:$H$3004,"&lt;&gt;Remarcado")&gt;0,"Sim","Não"))</f>
        <v/>
      </c>
      <c r="S1185" s="32">
        <f>IF(R1185&lt;&gt;"Não","",IF(Q1185+Config!$B$9&lt;=Config!$B$8,Config!$B$8-Q1185,""))</f>
        <v/>
      </c>
      <c r="T1185" s="26">
        <f>IF(S1185="","","Sim")</f>
        <v/>
      </c>
      <c r="U1185" s="41">
        <f>IF(T1185="Sim",S1185+ROW()/100000,0)</f>
        <v>0</v>
      </c>
      <c r="V1185" s="41">
        <f>IF(AND(H1185="Falta",L1185=Config!$B$7,M1185=Config!$B$5,COUNTIFS($E$5:E1185,E1185,$H$5:H1185,"Falta",$L$5:L1185,Config!$B$7,$M$5:M1185,Config!$B$5)=1),COUNTIFS($E$5:$E$3004,E1185,$H$5:$H$3004,"Falta",$L$5:$L$3004,Config!$B$7,$M$5:$M$3004,Config!$B$5)*1000-ROW()/100000,0)</f>
        <v>0</v>
      </c>
    </row>
    <row r="1186">
      <c r="A1186" s="39" t="n">
        <v>46294</v>
      </c>
      <c r="B1186" s="40" t="n">
        <v>0.6458333333333334</v>
      </c>
      <c r="C1186" s="35" t="inlineStr">
        <is>
          <t>Dr. Paulo Andrade</t>
        </is>
      </c>
      <c r="D1186" s="35" t="inlineStr">
        <is>
          <t>Sala 2</t>
        </is>
      </c>
      <c r="E1186" s="34" t="inlineStr">
        <is>
          <t>Gisele Pinto</t>
        </is>
      </c>
      <c r="F1186" s="35" t="inlineStr">
        <is>
          <t>Saúde Total</t>
        </is>
      </c>
      <c r="G1186" s="35" t="inlineStr">
        <is>
          <t>Retorno</t>
        </is>
      </c>
      <c r="H1186" s="35" t="inlineStr">
        <is>
          <t>Agendado</t>
        </is>
      </c>
      <c r="I1186" s="35" t="n"/>
      <c r="J1186" s="35" t="n"/>
      <c r="K1186" s="34" t="n"/>
      <c r="L1186" s="26">
        <f>IF(A1186="","",MONTH(A1186))</f>
        <v>9</v>
      </c>
      <c r="M1186" s="26">
        <f>IF(A1186="","",YEAR(A1186))</f>
        <v>2026</v>
      </c>
      <c r="N1186" s="26" t="str">
        <f>IF(A1186="","",CHOOSE(WEEKDAY(A1186,2),"Segunda","Terça","Quarta","Quinta","Sexta","Sábado","Domingo"))</f>
        <v>Terça</v>
      </c>
      <c r="O1186" s="26" t="str">
        <f>IF(B1186="","",IF(B1186&lt;TIME(12,0,0),"Manhã",IF(B1186&lt;TIME(18,0,0),"Tarde","Noite")))</f>
        <v>Tarde</v>
      </c>
      <c r="P1186" s="32">
        <f>IF(G1186="","",IFERROR(INDEX(Config!$I$5:$I$16,MATCH(G1186,Config!$H$5:$H$16,0)),0))</f>
        <v>0</v>
      </c>
      <c r="Q1186" s="30">
        <f>IF(OR(H1186&lt;&gt;"Realizado",P1186="",P1186=0),"",A1186+P1186)</f>
        <v/>
      </c>
      <c r="R1186" s="26">
        <f>IF(Q1186="","",IF(COUNTIFS($E$5:$E$3004,E1186,$A$5:$A$3004,"&gt;"&amp;A1186,$H$5:$H$3004,"&lt;&gt;Falta",$H$5:$H$3004,"&lt;&gt;Cancelado",$H$5:$H$3004,"&lt;&gt;Remarcado")&gt;0,"Sim","Não"))</f>
        <v/>
      </c>
      <c r="S1186" s="32">
        <f>IF(R1186&lt;&gt;"Não","",IF(Q1186+Config!$B$9&lt;=Config!$B$8,Config!$B$8-Q1186,""))</f>
        <v/>
      </c>
      <c r="T1186" s="26">
        <f>IF(S1186="","","Sim")</f>
        <v/>
      </c>
      <c r="U1186" s="41">
        <f>IF(T1186="Sim",S1186+ROW()/100000,0)</f>
        <v>0</v>
      </c>
      <c r="V1186" s="41">
        <f>IF(AND(H1186="Falta",L1186=Config!$B$7,M1186=Config!$B$5,COUNTIFS($E$5:E1186,E1186,$H$5:H1186,"Falta",$L$5:L1186,Config!$B$7,$M$5:M1186,Config!$B$5)=1),COUNTIFS($E$5:$E$3004,E1186,$H$5:$H$3004,"Falta",$L$5:$L$3004,Config!$B$7,$M$5:$M$3004,Config!$B$5)*1000-ROW()/100000,0)</f>
        <v>0</v>
      </c>
    </row>
    <row r="1187">
      <c r="A1187" s="39" t="n">
        <v>46294</v>
      </c>
      <c r="B1187" s="40" t="n">
        <v>0.6597222222222222</v>
      </c>
      <c r="C1187" s="35" t="inlineStr">
        <is>
          <t>Dr. Paulo Andrade</t>
        </is>
      </c>
      <c r="D1187" s="35" t="inlineStr">
        <is>
          <t>Sala 2</t>
        </is>
      </c>
      <c r="E1187" s="34" t="inlineStr">
        <is>
          <t>Helena Ribeiro</t>
        </is>
      </c>
      <c r="F1187" s="35" t="inlineStr">
        <is>
          <t>MediPlan</t>
        </is>
      </c>
      <c r="G1187" s="35" t="inlineStr">
        <is>
          <t>Consulta</t>
        </is>
      </c>
      <c r="H1187" s="35" t="inlineStr">
        <is>
          <t>Agendado</t>
        </is>
      </c>
      <c r="I1187" s="35" t="n"/>
      <c r="J1187" s="35" t="n"/>
      <c r="K1187" s="34" t="n"/>
      <c r="L1187" s="26">
        <f>IF(A1187="","",MONTH(A1187))</f>
        <v>9</v>
      </c>
      <c r="M1187" s="26">
        <f>IF(A1187="","",YEAR(A1187))</f>
        <v>2026</v>
      </c>
      <c r="N1187" s="26" t="str">
        <f>IF(A1187="","",CHOOSE(WEEKDAY(A1187,2),"Segunda","Terça","Quarta","Quinta","Sexta","Sábado","Domingo"))</f>
        <v>Terça</v>
      </c>
      <c r="O1187" s="26" t="str">
        <f>IF(B1187="","",IF(B1187&lt;TIME(12,0,0),"Manhã",IF(B1187&lt;TIME(18,0,0),"Tarde","Noite")))</f>
        <v>Tarde</v>
      </c>
      <c r="P1187" s="32">
        <f>IF(G1187="","",IFERROR(INDEX(Config!$I$5:$I$16,MATCH(G1187,Config!$H$5:$H$16,0)),0))</f>
        <v>30</v>
      </c>
      <c r="Q1187" s="30">
        <f>IF(OR(H1187&lt;&gt;"Realizado",P1187="",P1187=0),"",A1187+P1187)</f>
        <v/>
      </c>
      <c r="R1187" s="26">
        <f>IF(Q1187="","",IF(COUNTIFS($E$5:$E$3004,E1187,$A$5:$A$3004,"&gt;"&amp;A1187,$H$5:$H$3004,"&lt;&gt;Falta",$H$5:$H$3004,"&lt;&gt;Cancelado",$H$5:$H$3004,"&lt;&gt;Remarcado")&gt;0,"Sim","Não"))</f>
        <v/>
      </c>
      <c r="S1187" s="32">
        <f>IF(R1187&lt;&gt;"Não","",IF(Q1187+Config!$B$9&lt;=Config!$B$8,Config!$B$8-Q1187,""))</f>
        <v/>
      </c>
      <c r="T1187" s="26">
        <f>IF(S1187="","","Sim")</f>
        <v/>
      </c>
      <c r="U1187" s="41">
        <f>IF(T1187="Sim",S1187+ROW()/100000,0)</f>
        <v>0</v>
      </c>
      <c r="V1187" s="41">
        <f>IF(AND(H1187="Falta",L1187=Config!$B$7,M1187=Config!$B$5,COUNTIFS($E$5:E1187,E1187,$H$5:H1187,"Falta",$L$5:L1187,Config!$B$7,$M$5:M1187,Config!$B$5)=1),COUNTIFS($E$5:$E$3004,E1187,$H$5:$H$3004,"Falta",$L$5:$L$3004,Config!$B$7,$M$5:$M$3004,Config!$B$5)*1000-ROW()/100000,0)</f>
        <v>0</v>
      </c>
    </row>
    <row r="1188">
      <c r="A1188" s="39" t="n">
        <v>46294</v>
      </c>
      <c r="B1188" s="40" t="n">
        <v>0.6805555555555556</v>
      </c>
      <c r="C1188" s="35" t="inlineStr">
        <is>
          <t>Dr. Paulo Andrade</t>
        </is>
      </c>
      <c r="D1188" s="35" t="inlineStr">
        <is>
          <t>Sala 2</t>
        </is>
      </c>
      <c r="E1188" s="34" t="inlineStr">
        <is>
          <t>Gisele Lima</t>
        </is>
      </c>
      <c r="F1188" s="35" t="inlineStr">
        <is>
          <t>Saúde Total</t>
        </is>
      </c>
      <c r="G1188" s="35" t="inlineStr">
        <is>
          <t>Consulta</t>
        </is>
      </c>
      <c r="H1188" s="35" t="inlineStr">
        <is>
          <t>Agendado</t>
        </is>
      </c>
      <c r="I1188" s="35" t="n"/>
      <c r="J1188" s="35" t="n"/>
      <c r="K1188" s="34" t="n"/>
      <c r="L1188" s="26">
        <f>IF(A1188="","",MONTH(A1188))</f>
        <v>9</v>
      </c>
      <c r="M1188" s="26">
        <f>IF(A1188="","",YEAR(A1188))</f>
        <v>2026</v>
      </c>
      <c r="N1188" s="26" t="str">
        <f>IF(A1188="","",CHOOSE(WEEKDAY(A1188,2),"Segunda","Terça","Quarta","Quinta","Sexta","Sábado","Domingo"))</f>
        <v>Terça</v>
      </c>
      <c r="O1188" s="26" t="str">
        <f>IF(B1188="","",IF(B1188&lt;TIME(12,0,0),"Manhã",IF(B1188&lt;TIME(18,0,0),"Tarde","Noite")))</f>
        <v>Tarde</v>
      </c>
      <c r="P1188" s="32">
        <f>IF(G1188="","",IFERROR(INDEX(Config!$I$5:$I$16,MATCH(G1188,Config!$H$5:$H$16,0)),0))</f>
        <v>30</v>
      </c>
      <c r="Q1188" s="30">
        <f>IF(OR(H1188&lt;&gt;"Realizado",P1188="",P1188=0),"",A1188+P1188)</f>
        <v/>
      </c>
      <c r="R1188" s="26">
        <f>IF(Q1188="","",IF(COUNTIFS($E$5:$E$3004,E1188,$A$5:$A$3004,"&gt;"&amp;A1188,$H$5:$H$3004,"&lt;&gt;Falta",$H$5:$H$3004,"&lt;&gt;Cancelado",$H$5:$H$3004,"&lt;&gt;Remarcado")&gt;0,"Sim","Não"))</f>
        <v/>
      </c>
      <c r="S1188" s="32">
        <f>IF(R1188&lt;&gt;"Não","",IF(Q1188+Config!$B$9&lt;=Config!$B$8,Config!$B$8-Q1188,""))</f>
        <v/>
      </c>
      <c r="T1188" s="26">
        <f>IF(S1188="","","Sim")</f>
        <v/>
      </c>
      <c r="U1188" s="41">
        <f>IF(T1188="Sim",S1188+ROW()/100000,0)</f>
        <v>0</v>
      </c>
      <c r="V1188" s="41">
        <f>IF(AND(H1188="Falta",L1188=Config!$B$7,M1188=Config!$B$5,COUNTIFS($E$5:E1188,E1188,$H$5:H1188,"Falta",$L$5:L1188,Config!$B$7,$M$5:M1188,Config!$B$5)=1),COUNTIFS($E$5:$E$3004,E1188,$H$5:$H$3004,"Falta",$L$5:$L$3004,Config!$B$7,$M$5:$M$3004,Config!$B$5)*1000-ROW()/100000,0)</f>
        <v>0</v>
      </c>
    </row>
    <row r="1189">
      <c r="A1189" s="39" t="n">
        <v>46294</v>
      </c>
      <c r="B1189" s="40" t="n">
        <v>0.6875</v>
      </c>
      <c r="C1189" s="35" t="inlineStr">
        <is>
          <t>Dra. Renata Sousa</t>
        </is>
      </c>
      <c r="D1189" s="35" t="inlineStr">
        <is>
          <t>Sala 1</t>
        </is>
      </c>
      <c r="E1189" s="34" t="inlineStr">
        <is>
          <t>Daniel Moreira</t>
        </is>
      </c>
      <c r="F1189" s="35" t="inlineStr">
        <is>
          <t>Saúde Total</t>
        </is>
      </c>
      <c r="G1189" s="35" t="inlineStr">
        <is>
          <t>Avaliação endócrina</t>
        </is>
      </c>
      <c r="H1189" s="35" t="inlineStr">
        <is>
          <t>Agendado</t>
        </is>
      </c>
      <c r="I1189" s="35" t="n"/>
      <c r="J1189" s="35" t="n"/>
      <c r="K1189" s="34" t="n"/>
      <c r="L1189" s="26">
        <f>IF(A1189="","",MONTH(A1189))</f>
        <v>9</v>
      </c>
      <c r="M1189" s="26">
        <f>IF(A1189="","",YEAR(A1189))</f>
        <v>2026</v>
      </c>
      <c r="N1189" s="26" t="str">
        <f>IF(A1189="","",CHOOSE(WEEKDAY(A1189,2),"Segunda","Terça","Quarta","Quinta","Sexta","Sábado","Domingo"))</f>
        <v>Terça</v>
      </c>
      <c r="O1189" s="26" t="str">
        <f>IF(B1189="","",IF(B1189&lt;TIME(12,0,0),"Manhã",IF(B1189&lt;TIME(18,0,0),"Tarde","Noite")))</f>
        <v>Tarde</v>
      </c>
      <c r="P1189" s="32">
        <f>IF(G1189="","",IFERROR(INDEX(Config!$I$5:$I$16,MATCH(G1189,Config!$H$5:$H$16,0)),0))</f>
        <v>45</v>
      </c>
      <c r="Q1189" s="30">
        <f>IF(OR(H1189&lt;&gt;"Realizado",P1189="",P1189=0),"",A1189+P1189)</f>
        <v/>
      </c>
      <c r="R1189" s="26">
        <f>IF(Q1189="","",IF(COUNTIFS($E$5:$E$3004,E1189,$A$5:$A$3004,"&gt;"&amp;A1189,$H$5:$H$3004,"&lt;&gt;Falta",$H$5:$H$3004,"&lt;&gt;Cancelado",$H$5:$H$3004,"&lt;&gt;Remarcado")&gt;0,"Sim","Não"))</f>
        <v/>
      </c>
      <c r="S1189" s="32">
        <f>IF(R1189&lt;&gt;"Não","",IF(Q1189+Config!$B$9&lt;=Config!$B$8,Config!$B$8-Q1189,""))</f>
        <v/>
      </c>
      <c r="T1189" s="26">
        <f>IF(S1189="","","Sim")</f>
        <v/>
      </c>
      <c r="U1189" s="41">
        <f>IF(T1189="Sim",S1189+ROW()/100000,0)</f>
        <v>0</v>
      </c>
      <c r="V1189" s="41">
        <f>IF(AND(H1189="Falta",L1189=Config!$B$7,M1189=Config!$B$5,COUNTIFS($E$5:E1189,E1189,$H$5:H1189,"Falta",$L$5:L1189,Config!$B$7,$M$5:M1189,Config!$B$5)=1),COUNTIFS($E$5:$E$3004,E1189,$H$5:$H$3004,"Falta",$L$5:$L$3004,Config!$B$7,$M$5:$M$3004,Config!$B$5)*1000-ROW()/100000,0)</f>
        <v>0</v>
      </c>
    </row>
    <row r="1190">
      <c r="A1190" s="39" t="n">
        <v>46294</v>
      </c>
      <c r="B1190" s="40" t="n">
        <v>0.7013888888888888</v>
      </c>
      <c r="C1190" s="35" t="inlineStr">
        <is>
          <t>Dr. Paulo Andrade</t>
        </is>
      </c>
      <c r="D1190" s="35" t="inlineStr">
        <is>
          <t>Sala 2</t>
        </is>
      </c>
      <c r="E1190" s="34" t="inlineStr">
        <is>
          <t>Priscila Rocha</t>
        </is>
      </c>
      <c r="F1190" s="35" t="inlineStr">
        <is>
          <t>MediPlan</t>
        </is>
      </c>
      <c r="G1190" s="35" t="inlineStr">
        <is>
          <t>Consulta</t>
        </is>
      </c>
      <c r="H1190" s="35" t="inlineStr">
        <is>
          <t>Agendado</t>
        </is>
      </c>
      <c r="I1190" s="35" t="n"/>
      <c r="J1190" s="35" t="n"/>
      <c r="K1190" s="34" t="n"/>
      <c r="L1190" s="26">
        <f>IF(A1190="","",MONTH(A1190))</f>
        <v>9</v>
      </c>
      <c r="M1190" s="26">
        <f>IF(A1190="","",YEAR(A1190))</f>
        <v>2026</v>
      </c>
      <c r="N1190" s="26" t="str">
        <f>IF(A1190="","",CHOOSE(WEEKDAY(A1190,2),"Segunda","Terça","Quarta","Quinta","Sexta","Sábado","Domingo"))</f>
        <v>Terça</v>
      </c>
      <c r="O1190" s="26" t="str">
        <f>IF(B1190="","",IF(B1190&lt;TIME(12,0,0),"Manhã",IF(B1190&lt;TIME(18,0,0),"Tarde","Noite")))</f>
        <v>Tarde</v>
      </c>
      <c r="P1190" s="32">
        <f>IF(G1190="","",IFERROR(INDEX(Config!$I$5:$I$16,MATCH(G1190,Config!$H$5:$H$16,0)),0))</f>
        <v>30</v>
      </c>
      <c r="Q1190" s="30">
        <f>IF(OR(H1190&lt;&gt;"Realizado",P1190="",P1190=0),"",A1190+P1190)</f>
        <v/>
      </c>
      <c r="R1190" s="26">
        <f>IF(Q1190="","",IF(COUNTIFS($E$5:$E$3004,E1190,$A$5:$A$3004,"&gt;"&amp;A1190,$H$5:$H$3004,"&lt;&gt;Falta",$H$5:$H$3004,"&lt;&gt;Cancelado",$H$5:$H$3004,"&lt;&gt;Remarcado")&gt;0,"Sim","Não"))</f>
        <v/>
      </c>
      <c r="S1190" s="32">
        <f>IF(R1190&lt;&gt;"Não","",IF(Q1190+Config!$B$9&lt;=Config!$B$8,Config!$B$8-Q1190,""))</f>
        <v/>
      </c>
      <c r="T1190" s="26">
        <f>IF(S1190="","","Sim")</f>
        <v/>
      </c>
      <c r="U1190" s="41">
        <f>IF(T1190="Sim",S1190+ROW()/100000,0)</f>
        <v>0</v>
      </c>
      <c r="V1190" s="41">
        <f>IF(AND(H1190="Falta",L1190=Config!$B$7,M1190=Config!$B$5,COUNTIFS($E$5:E1190,E1190,$H$5:H1190,"Falta",$L$5:L1190,Config!$B$7,$M$5:M1190,Config!$B$5)=1),COUNTIFS($E$5:$E$3004,E1190,$H$5:$H$3004,"Falta",$L$5:$L$3004,Config!$B$7,$M$5:$M$3004,Config!$B$5)*1000-ROW()/100000,0)</f>
        <v>0</v>
      </c>
    </row>
    <row r="1191">
      <c r="A1191" s="39" t="n">
        <v>46294</v>
      </c>
      <c r="B1191" s="40" t="n">
        <v>0.7152777777777778</v>
      </c>
      <c r="C1191" s="35" t="inlineStr">
        <is>
          <t>Dra. Renata Sousa</t>
        </is>
      </c>
      <c r="D1191" s="35" t="inlineStr">
        <is>
          <t>Sala 1</t>
        </is>
      </c>
      <c r="E1191" s="34" t="inlineStr">
        <is>
          <t>Beatriz Gomes</t>
        </is>
      </c>
      <c r="F1191" s="35" t="inlineStr">
        <is>
          <t>Particular</t>
        </is>
      </c>
      <c r="G1191" s="35" t="inlineStr">
        <is>
          <t>Avaliação endócrina</t>
        </is>
      </c>
      <c r="H1191" s="35" t="inlineStr">
        <is>
          <t>Agendado</t>
        </is>
      </c>
      <c r="I1191" s="35" t="n"/>
      <c r="J1191" s="35" t="n"/>
      <c r="K1191" s="34" t="n"/>
      <c r="L1191" s="26">
        <f>IF(A1191="","",MONTH(A1191))</f>
        <v>9</v>
      </c>
      <c r="M1191" s="26">
        <f>IF(A1191="","",YEAR(A1191))</f>
        <v>2026</v>
      </c>
      <c r="N1191" s="26" t="str">
        <f>IF(A1191="","",CHOOSE(WEEKDAY(A1191,2),"Segunda","Terça","Quarta","Quinta","Sexta","Sábado","Domingo"))</f>
        <v>Terça</v>
      </c>
      <c r="O1191" s="26" t="str">
        <f>IF(B1191="","",IF(B1191&lt;TIME(12,0,0),"Manhã",IF(B1191&lt;TIME(18,0,0),"Tarde","Noite")))</f>
        <v>Tarde</v>
      </c>
      <c r="P1191" s="32">
        <f>IF(G1191="","",IFERROR(INDEX(Config!$I$5:$I$16,MATCH(G1191,Config!$H$5:$H$16,0)),0))</f>
        <v>45</v>
      </c>
      <c r="Q1191" s="30">
        <f>IF(OR(H1191&lt;&gt;"Realizado",P1191="",P1191=0),"",A1191+P1191)</f>
        <v/>
      </c>
      <c r="R1191" s="26">
        <f>IF(Q1191="","",IF(COUNTIFS($E$5:$E$3004,E1191,$A$5:$A$3004,"&gt;"&amp;A1191,$H$5:$H$3004,"&lt;&gt;Falta",$H$5:$H$3004,"&lt;&gt;Cancelado",$H$5:$H$3004,"&lt;&gt;Remarcado")&gt;0,"Sim","Não"))</f>
        <v/>
      </c>
      <c r="S1191" s="32">
        <f>IF(R1191&lt;&gt;"Não","",IF(Q1191+Config!$B$9&lt;=Config!$B$8,Config!$B$8-Q1191,""))</f>
        <v/>
      </c>
      <c r="T1191" s="26">
        <f>IF(S1191="","","Sim")</f>
        <v/>
      </c>
      <c r="U1191" s="41">
        <f>IF(T1191="Sim",S1191+ROW()/100000,0)</f>
        <v>0</v>
      </c>
      <c r="V1191" s="41">
        <f>IF(AND(H1191="Falta",L1191=Config!$B$7,M1191=Config!$B$5,COUNTIFS($E$5:E1191,E1191,$H$5:H1191,"Falta",$L$5:L1191,Config!$B$7,$M$5:M1191,Config!$B$5)=1),COUNTIFS($E$5:$E$3004,E1191,$H$5:$H$3004,"Falta",$L$5:$L$3004,Config!$B$7,$M$5:$M$3004,Config!$B$5)*1000-ROW()/100000,0)</f>
        <v>0</v>
      </c>
    </row>
    <row r="1192">
      <c r="A1192" s="39" t="n">
        <v>46294</v>
      </c>
      <c r="B1192" s="40" t="n">
        <v>0.7222222222222222</v>
      </c>
      <c r="C1192" s="35" t="inlineStr">
        <is>
          <t>Dr. Paulo Andrade</t>
        </is>
      </c>
      <c r="D1192" s="35" t="inlineStr">
        <is>
          <t>Sala 2</t>
        </is>
      </c>
      <c r="E1192" s="34" t="inlineStr">
        <is>
          <t>Lucas Cardoso</t>
        </is>
      </c>
      <c r="F1192" s="35" t="inlineStr">
        <is>
          <t>Particular</t>
        </is>
      </c>
      <c r="G1192" s="35" t="inlineStr">
        <is>
          <t>Consulta</t>
        </is>
      </c>
      <c r="H1192" s="35" t="inlineStr">
        <is>
          <t>Agendado</t>
        </is>
      </c>
      <c r="I1192" s="35" t="n"/>
      <c r="J1192" s="35" t="n"/>
      <c r="K1192" s="34" t="n"/>
      <c r="L1192" s="26">
        <f>IF(A1192="","",MONTH(A1192))</f>
        <v>9</v>
      </c>
      <c r="M1192" s="26">
        <f>IF(A1192="","",YEAR(A1192))</f>
        <v>2026</v>
      </c>
      <c r="N1192" s="26" t="str">
        <f>IF(A1192="","",CHOOSE(WEEKDAY(A1192,2),"Segunda","Terça","Quarta","Quinta","Sexta","Sábado","Domingo"))</f>
        <v>Terça</v>
      </c>
      <c r="O1192" s="26" t="str">
        <f>IF(B1192="","",IF(B1192&lt;TIME(12,0,0),"Manhã",IF(B1192&lt;TIME(18,0,0),"Tarde","Noite")))</f>
        <v>Tarde</v>
      </c>
      <c r="P1192" s="32">
        <f>IF(G1192="","",IFERROR(INDEX(Config!$I$5:$I$16,MATCH(G1192,Config!$H$5:$H$16,0)),0))</f>
        <v>30</v>
      </c>
      <c r="Q1192" s="30">
        <f>IF(OR(H1192&lt;&gt;"Realizado",P1192="",P1192=0),"",A1192+P1192)</f>
        <v/>
      </c>
      <c r="R1192" s="26">
        <f>IF(Q1192="","",IF(COUNTIFS($E$5:$E$3004,E1192,$A$5:$A$3004,"&gt;"&amp;A1192,$H$5:$H$3004,"&lt;&gt;Falta",$H$5:$H$3004,"&lt;&gt;Cancelado",$H$5:$H$3004,"&lt;&gt;Remarcado")&gt;0,"Sim","Não"))</f>
        <v/>
      </c>
      <c r="S1192" s="32">
        <f>IF(R1192&lt;&gt;"Não","",IF(Q1192+Config!$B$9&lt;=Config!$B$8,Config!$B$8-Q1192,""))</f>
        <v/>
      </c>
      <c r="T1192" s="26">
        <f>IF(S1192="","","Sim")</f>
        <v/>
      </c>
      <c r="U1192" s="41">
        <f>IF(T1192="Sim",S1192+ROW()/100000,0)</f>
        <v>0</v>
      </c>
      <c r="V1192" s="41">
        <f>IF(AND(H1192="Falta",L1192=Config!$B$7,M1192=Config!$B$5,COUNTIFS($E$5:E1192,E1192,$H$5:H1192,"Falta",$L$5:L1192,Config!$B$7,$M$5:M1192,Config!$B$5)=1),COUNTIFS($E$5:$E$3004,E1192,$H$5:$H$3004,"Falta",$L$5:$L$3004,Config!$B$7,$M$5:$M$3004,Config!$B$5)*1000-ROW()/100000,0)</f>
        <v>0</v>
      </c>
    </row>
    <row r="1193">
      <c r="A1193" s="39" t="n">
        <v>46295</v>
      </c>
      <c r="B1193" s="40" t="n">
        <v>0.5833333333333334</v>
      </c>
      <c r="C1193" s="35" t="inlineStr">
        <is>
          <t>Dra. Carolina Mendes</t>
        </is>
      </c>
      <c r="D1193" s="35" t="inlineStr">
        <is>
          <t>Sala 1</t>
        </is>
      </c>
      <c r="E1193" s="34" t="inlineStr">
        <is>
          <t>Gisele Ribeiro</t>
        </is>
      </c>
      <c r="F1193" s="35" t="inlineStr">
        <is>
          <t>Particular</t>
        </is>
      </c>
      <c r="G1193" s="35" t="inlineStr">
        <is>
          <t>Consulta</t>
        </is>
      </c>
      <c r="H1193" s="35" t="inlineStr">
        <is>
          <t>Agendado</t>
        </is>
      </c>
      <c r="I1193" s="35" t="n"/>
      <c r="J1193" s="35" t="n"/>
      <c r="K1193" s="34" t="n"/>
      <c r="L1193" s="26">
        <f>IF(A1193="","",MONTH(A1193))</f>
        <v>9</v>
      </c>
      <c r="M1193" s="26">
        <f>IF(A1193="","",YEAR(A1193))</f>
        <v>2026</v>
      </c>
      <c r="N1193" s="26" t="str">
        <f>IF(A1193="","",CHOOSE(WEEKDAY(A1193,2),"Segunda","Terça","Quarta","Quinta","Sexta","Sábado","Domingo"))</f>
        <v>Quarta</v>
      </c>
      <c r="O1193" s="26" t="str">
        <f>IF(B1193="","",IF(B1193&lt;TIME(12,0,0),"Manhã",IF(B1193&lt;TIME(18,0,0),"Tarde","Noite")))</f>
        <v>Tarde</v>
      </c>
      <c r="P1193" s="32">
        <f>IF(G1193="","",IFERROR(INDEX(Config!$I$5:$I$16,MATCH(G1193,Config!$H$5:$H$16,0)),0))</f>
        <v>30</v>
      </c>
      <c r="Q1193" s="30">
        <f>IF(OR(H1193&lt;&gt;"Realizado",P1193="",P1193=0),"",A1193+P1193)</f>
        <v/>
      </c>
      <c r="R1193" s="26">
        <f>IF(Q1193="","",IF(COUNTIFS($E$5:$E$3004,E1193,$A$5:$A$3004,"&gt;"&amp;A1193,$H$5:$H$3004,"&lt;&gt;Falta",$H$5:$H$3004,"&lt;&gt;Cancelado",$H$5:$H$3004,"&lt;&gt;Remarcado")&gt;0,"Sim","Não"))</f>
        <v/>
      </c>
      <c r="S1193" s="32">
        <f>IF(R1193&lt;&gt;"Não","",IF(Q1193+Config!$B$9&lt;=Config!$B$8,Config!$B$8-Q1193,""))</f>
        <v/>
      </c>
      <c r="T1193" s="26">
        <f>IF(S1193="","","Sim")</f>
        <v/>
      </c>
      <c r="U1193" s="41">
        <f>IF(T1193="Sim",S1193+ROW()/100000,0)</f>
        <v>0</v>
      </c>
      <c r="V1193" s="41">
        <f>IF(AND(H1193="Falta",L1193=Config!$B$7,M1193=Config!$B$5,COUNTIFS($E$5:E1193,E1193,$H$5:H1193,"Falta",$L$5:L1193,Config!$B$7,$M$5:M1193,Config!$B$5)=1),COUNTIFS($E$5:$E$3004,E1193,$H$5:$H$3004,"Falta",$L$5:$L$3004,Config!$B$7,$M$5:$M$3004,Config!$B$5)*1000-ROW()/100000,0)</f>
        <v>0</v>
      </c>
    </row>
    <row r="1194">
      <c r="A1194" s="39" t="n">
        <v>46295</v>
      </c>
      <c r="B1194" s="40" t="n">
        <v>0.6041666666666666</v>
      </c>
      <c r="C1194" s="35" t="inlineStr">
        <is>
          <t>Dra. Carolina Mendes</t>
        </is>
      </c>
      <c r="D1194" s="35" t="inlineStr">
        <is>
          <t>Sala 1</t>
        </is>
      </c>
      <c r="E1194" s="34" t="inlineStr">
        <is>
          <t>Helena Moreira</t>
        </is>
      </c>
      <c r="F1194" s="35" t="inlineStr">
        <is>
          <t>Particular</t>
        </is>
      </c>
      <c r="G1194" s="35" t="inlineStr">
        <is>
          <t>Retorno</t>
        </is>
      </c>
      <c r="H1194" s="35" t="inlineStr">
        <is>
          <t>Agendado</t>
        </is>
      </c>
      <c r="I1194" s="35" t="n"/>
      <c r="J1194" s="35" t="n"/>
      <c r="K1194" s="34" t="n"/>
      <c r="L1194" s="26">
        <f>IF(A1194="","",MONTH(A1194))</f>
        <v>9</v>
      </c>
      <c r="M1194" s="26">
        <f>IF(A1194="","",YEAR(A1194))</f>
        <v>2026</v>
      </c>
      <c r="N1194" s="26" t="str">
        <f>IF(A1194="","",CHOOSE(WEEKDAY(A1194,2),"Segunda","Terça","Quarta","Quinta","Sexta","Sábado","Domingo"))</f>
        <v>Quarta</v>
      </c>
      <c r="O1194" s="26" t="str">
        <f>IF(B1194="","",IF(B1194&lt;TIME(12,0,0),"Manhã",IF(B1194&lt;TIME(18,0,0),"Tarde","Noite")))</f>
        <v>Tarde</v>
      </c>
      <c r="P1194" s="32">
        <f>IF(G1194="","",IFERROR(INDEX(Config!$I$5:$I$16,MATCH(G1194,Config!$H$5:$H$16,0)),0))</f>
        <v>0</v>
      </c>
      <c r="Q1194" s="30">
        <f>IF(OR(H1194&lt;&gt;"Realizado",P1194="",P1194=0),"",A1194+P1194)</f>
        <v/>
      </c>
      <c r="R1194" s="26">
        <f>IF(Q1194="","",IF(COUNTIFS($E$5:$E$3004,E1194,$A$5:$A$3004,"&gt;"&amp;A1194,$H$5:$H$3004,"&lt;&gt;Falta",$H$5:$H$3004,"&lt;&gt;Cancelado",$H$5:$H$3004,"&lt;&gt;Remarcado")&gt;0,"Sim","Não"))</f>
        <v/>
      </c>
      <c r="S1194" s="32">
        <f>IF(R1194&lt;&gt;"Não","",IF(Q1194+Config!$B$9&lt;=Config!$B$8,Config!$B$8-Q1194,""))</f>
        <v/>
      </c>
      <c r="T1194" s="26">
        <f>IF(S1194="","","Sim")</f>
        <v/>
      </c>
      <c r="U1194" s="41">
        <f>IF(T1194="Sim",S1194+ROW()/100000,0)</f>
        <v>0</v>
      </c>
      <c r="V1194" s="41">
        <f>IF(AND(H1194="Falta",L1194=Config!$B$7,M1194=Config!$B$5,COUNTIFS($E$5:E1194,E1194,$H$5:H1194,"Falta",$L$5:L1194,Config!$B$7,$M$5:M1194,Config!$B$5)=1),COUNTIFS($E$5:$E$3004,E1194,$H$5:$H$3004,"Falta",$L$5:$L$3004,Config!$B$7,$M$5:$M$3004,Config!$B$5)*1000-ROW()/100000,0)</f>
        <v>0</v>
      </c>
    </row>
    <row r="1195">
      <c r="A1195" s="39" t="n">
        <v>46295</v>
      </c>
      <c r="B1195" s="40" t="n">
        <v>0.6180555555555556</v>
      </c>
      <c r="C1195" s="35" t="inlineStr">
        <is>
          <t>Dra. Carolina Mendes</t>
        </is>
      </c>
      <c r="D1195" s="35" t="inlineStr">
        <is>
          <t>Sala 1</t>
        </is>
      </c>
      <c r="E1195" s="34" t="inlineStr">
        <is>
          <t>Regina Macedo</t>
        </is>
      </c>
      <c r="F1195" s="35" t="inlineStr">
        <is>
          <t>Particular</t>
        </is>
      </c>
      <c r="G1195" s="35" t="inlineStr">
        <is>
          <t>Retorno</t>
        </is>
      </c>
      <c r="H1195" s="35" t="inlineStr">
        <is>
          <t>Agendado</t>
        </is>
      </c>
      <c r="I1195" s="35" t="n"/>
      <c r="J1195" s="35" t="n"/>
      <c r="K1195" s="34" t="n"/>
      <c r="L1195" s="26">
        <f>IF(A1195="","",MONTH(A1195))</f>
        <v>9</v>
      </c>
      <c r="M1195" s="26">
        <f>IF(A1195="","",YEAR(A1195))</f>
        <v>2026</v>
      </c>
      <c r="N1195" s="26" t="str">
        <f>IF(A1195="","",CHOOSE(WEEKDAY(A1195,2),"Segunda","Terça","Quarta","Quinta","Sexta","Sábado","Domingo"))</f>
        <v>Quarta</v>
      </c>
      <c r="O1195" s="26" t="str">
        <f>IF(B1195="","",IF(B1195&lt;TIME(12,0,0),"Manhã",IF(B1195&lt;TIME(18,0,0),"Tarde","Noite")))</f>
        <v>Tarde</v>
      </c>
      <c r="P1195" s="32">
        <f>IF(G1195="","",IFERROR(INDEX(Config!$I$5:$I$16,MATCH(G1195,Config!$H$5:$H$16,0)),0))</f>
        <v>0</v>
      </c>
      <c r="Q1195" s="30">
        <f>IF(OR(H1195&lt;&gt;"Realizado",P1195="",P1195=0),"",A1195+P1195)</f>
        <v/>
      </c>
      <c r="R1195" s="26">
        <f>IF(Q1195="","",IF(COUNTIFS($E$5:$E$3004,E1195,$A$5:$A$3004,"&gt;"&amp;A1195,$H$5:$H$3004,"&lt;&gt;Falta",$H$5:$H$3004,"&lt;&gt;Cancelado",$H$5:$H$3004,"&lt;&gt;Remarcado")&gt;0,"Sim","Não"))</f>
        <v/>
      </c>
      <c r="S1195" s="32">
        <f>IF(R1195&lt;&gt;"Não","",IF(Q1195+Config!$B$9&lt;=Config!$B$8,Config!$B$8-Q1195,""))</f>
        <v/>
      </c>
      <c r="T1195" s="26">
        <f>IF(S1195="","","Sim")</f>
        <v/>
      </c>
      <c r="U1195" s="41">
        <f>IF(T1195="Sim",S1195+ROW()/100000,0)</f>
        <v>0</v>
      </c>
      <c r="V1195" s="41">
        <f>IF(AND(H1195="Falta",L1195=Config!$B$7,M1195=Config!$B$5,COUNTIFS($E$5:E1195,E1195,$H$5:H1195,"Falta",$L$5:L1195,Config!$B$7,$M$5:M1195,Config!$B$5)=1),COUNTIFS($E$5:$E$3004,E1195,$H$5:$H$3004,"Falta",$L$5:$L$3004,Config!$B$7,$M$5:$M$3004,Config!$B$5)*1000-ROW()/100000,0)</f>
        <v>0</v>
      </c>
    </row>
    <row r="1196">
      <c r="A1196" s="39" t="n">
        <v>46295</v>
      </c>
      <c r="B1196" s="40" t="n">
        <v>0.6319444444444444</v>
      </c>
      <c r="C1196" s="35" t="inlineStr">
        <is>
          <t>Dra. Carolina Mendes</t>
        </is>
      </c>
      <c r="D1196" s="35" t="inlineStr">
        <is>
          <t>Sala 1</t>
        </is>
      </c>
      <c r="E1196" s="34" t="inlineStr">
        <is>
          <t>Camila Batista</t>
        </is>
      </c>
      <c r="F1196" s="35" t="inlineStr">
        <is>
          <t>MediPlan</t>
        </is>
      </c>
      <c r="G1196" s="35" t="inlineStr">
        <is>
          <t>Consulta</t>
        </is>
      </c>
      <c r="H1196" s="35" t="inlineStr">
        <is>
          <t>Agendado</t>
        </is>
      </c>
      <c r="I1196" s="35" t="n"/>
      <c r="J1196" s="35" t="n"/>
      <c r="K1196" s="34" t="n"/>
      <c r="L1196" s="26">
        <f>IF(A1196="","",MONTH(A1196))</f>
        <v>9</v>
      </c>
      <c r="M1196" s="26">
        <f>IF(A1196="","",YEAR(A1196))</f>
        <v>2026</v>
      </c>
      <c r="N1196" s="26" t="str">
        <f>IF(A1196="","",CHOOSE(WEEKDAY(A1196,2),"Segunda","Terça","Quarta","Quinta","Sexta","Sábado","Domingo"))</f>
        <v>Quarta</v>
      </c>
      <c r="O1196" s="26" t="str">
        <f>IF(B1196="","",IF(B1196&lt;TIME(12,0,0),"Manhã",IF(B1196&lt;TIME(18,0,0),"Tarde","Noite")))</f>
        <v>Tarde</v>
      </c>
      <c r="P1196" s="32">
        <f>IF(G1196="","",IFERROR(INDEX(Config!$I$5:$I$16,MATCH(G1196,Config!$H$5:$H$16,0)),0))</f>
        <v>30</v>
      </c>
      <c r="Q1196" s="30">
        <f>IF(OR(H1196&lt;&gt;"Realizado",P1196="",P1196=0),"",A1196+P1196)</f>
        <v/>
      </c>
      <c r="R1196" s="26">
        <f>IF(Q1196="","",IF(COUNTIFS($E$5:$E$3004,E1196,$A$5:$A$3004,"&gt;"&amp;A1196,$H$5:$H$3004,"&lt;&gt;Falta",$H$5:$H$3004,"&lt;&gt;Cancelado",$H$5:$H$3004,"&lt;&gt;Remarcado")&gt;0,"Sim","Não"))</f>
        <v/>
      </c>
      <c r="S1196" s="32">
        <f>IF(R1196&lt;&gt;"Não","",IF(Q1196+Config!$B$9&lt;=Config!$B$8,Config!$B$8-Q1196,""))</f>
        <v/>
      </c>
      <c r="T1196" s="26">
        <f>IF(S1196="","","Sim")</f>
        <v/>
      </c>
      <c r="U1196" s="41">
        <f>IF(T1196="Sim",S1196+ROW()/100000,0)</f>
        <v>0</v>
      </c>
      <c r="V1196" s="41">
        <f>IF(AND(H1196="Falta",L1196=Config!$B$7,M1196=Config!$B$5,COUNTIFS($E$5:E1196,E1196,$H$5:H1196,"Falta",$L$5:L1196,Config!$B$7,$M$5:M1196,Config!$B$5)=1),COUNTIFS($E$5:$E$3004,E1196,$H$5:$H$3004,"Falta",$L$5:$L$3004,Config!$B$7,$M$5:$M$3004,Config!$B$5)*1000-ROW()/100000,0)</f>
        <v>0</v>
      </c>
    </row>
    <row r="1197">
      <c r="A1197" s="39" t="n">
        <v>46295</v>
      </c>
      <c r="B1197" s="40" t="n">
        <v>0.6527777777777778</v>
      </c>
      <c r="C1197" s="35" t="inlineStr">
        <is>
          <t>Dra. Carolina Mendes</t>
        </is>
      </c>
      <c r="D1197" s="35" t="inlineStr">
        <is>
          <t>Sala 1</t>
        </is>
      </c>
      <c r="E1197" s="34" t="inlineStr">
        <is>
          <t>Wagner Lima</t>
        </is>
      </c>
      <c r="F1197" s="35" t="inlineStr">
        <is>
          <t>Particular</t>
        </is>
      </c>
      <c r="G1197" s="35" t="inlineStr">
        <is>
          <t>Consulta</t>
        </is>
      </c>
      <c r="H1197" s="35" t="inlineStr">
        <is>
          <t>Agendado</t>
        </is>
      </c>
      <c r="I1197" s="35" t="n"/>
      <c r="J1197" s="35" t="n"/>
      <c r="K1197" s="34" t="n"/>
      <c r="L1197" s="26">
        <f>IF(A1197="","",MONTH(A1197))</f>
        <v>9</v>
      </c>
      <c r="M1197" s="26">
        <f>IF(A1197="","",YEAR(A1197))</f>
        <v>2026</v>
      </c>
      <c r="N1197" s="26" t="str">
        <f>IF(A1197="","",CHOOSE(WEEKDAY(A1197,2),"Segunda","Terça","Quarta","Quinta","Sexta","Sábado","Domingo"))</f>
        <v>Quarta</v>
      </c>
      <c r="O1197" s="26" t="str">
        <f>IF(B1197="","",IF(B1197&lt;TIME(12,0,0),"Manhã",IF(B1197&lt;TIME(18,0,0),"Tarde","Noite")))</f>
        <v>Tarde</v>
      </c>
      <c r="P1197" s="32">
        <f>IF(G1197="","",IFERROR(INDEX(Config!$I$5:$I$16,MATCH(G1197,Config!$H$5:$H$16,0)),0))</f>
        <v>30</v>
      </c>
      <c r="Q1197" s="30">
        <f>IF(OR(H1197&lt;&gt;"Realizado",P1197="",P1197=0),"",A1197+P1197)</f>
        <v/>
      </c>
      <c r="R1197" s="26">
        <f>IF(Q1197="","",IF(COUNTIFS($E$5:$E$3004,E1197,$A$5:$A$3004,"&gt;"&amp;A1197,$H$5:$H$3004,"&lt;&gt;Falta",$H$5:$H$3004,"&lt;&gt;Cancelado",$H$5:$H$3004,"&lt;&gt;Remarcado")&gt;0,"Sim","Não"))</f>
        <v/>
      </c>
      <c r="S1197" s="32">
        <f>IF(R1197&lt;&gt;"Não","",IF(Q1197+Config!$B$9&lt;=Config!$B$8,Config!$B$8-Q1197,""))</f>
        <v/>
      </c>
      <c r="T1197" s="26">
        <f>IF(S1197="","","Sim")</f>
        <v/>
      </c>
      <c r="U1197" s="41">
        <f>IF(T1197="Sim",S1197+ROW()/100000,0)</f>
        <v>0</v>
      </c>
      <c r="V1197" s="41">
        <f>IF(AND(H1197="Falta",L1197=Config!$B$7,M1197=Config!$B$5,COUNTIFS($E$5:E1197,E1197,$H$5:H1197,"Falta",$L$5:L1197,Config!$B$7,$M$5:M1197,Config!$B$5)=1),COUNTIFS($E$5:$E$3004,E1197,$H$5:$H$3004,"Falta",$L$5:$L$3004,Config!$B$7,$M$5:$M$3004,Config!$B$5)*1000-ROW()/100000,0)</f>
        <v>0</v>
      </c>
    </row>
    <row r="1198">
      <c r="A1198" s="39" t="n">
        <v>46295</v>
      </c>
      <c r="B1198" s="40" t="n">
        <v>0.6736111111111112</v>
      </c>
      <c r="C1198" s="35" t="inlineStr">
        <is>
          <t>Dra. Carolina Mendes</t>
        </is>
      </c>
      <c r="D1198" s="35" t="inlineStr">
        <is>
          <t>Sala 1</t>
        </is>
      </c>
      <c r="E1198" s="34" t="inlineStr">
        <is>
          <t>Sandra Barros</t>
        </is>
      </c>
      <c r="F1198" s="35" t="inlineStr">
        <is>
          <t>Saúde Total</t>
        </is>
      </c>
      <c r="G1198" s="35" t="inlineStr">
        <is>
          <t>Consulta</t>
        </is>
      </c>
      <c r="H1198" s="35" t="inlineStr">
        <is>
          <t>Agendado</t>
        </is>
      </c>
      <c r="I1198" s="35" t="n"/>
      <c r="J1198" s="35" t="n"/>
      <c r="K1198" s="34" t="n"/>
      <c r="L1198" s="26">
        <f>IF(A1198="","",MONTH(A1198))</f>
        <v>9</v>
      </c>
      <c r="M1198" s="26">
        <f>IF(A1198="","",YEAR(A1198))</f>
        <v>2026</v>
      </c>
      <c r="N1198" s="26" t="str">
        <f>IF(A1198="","",CHOOSE(WEEKDAY(A1198,2),"Segunda","Terça","Quarta","Quinta","Sexta","Sábado","Domingo"))</f>
        <v>Quarta</v>
      </c>
      <c r="O1198" s="26" t="str">
        <f>IF(B1198="","",IF(B1198&lt;TIME(12,0,0),"Manhã",IF(B1198&lt;TIME(18,0,0),"Tarde","Noite")))</f>
        <v>Tarde</v>
      </c>
      <c r="P1198" s="32">
        <f>IF(G1198="","",IFERROR(INDEX(Config!$I$5:$I$16,MATCH(G1198,Config!$H$5:$H$16,0)),0))</f>
        <v>30</v>
      </c>
      <c r="Q1198" s="30">
        <f>IF(OR(H1198&lt;&gt;"Realizado",P1198="",P1198=0),"",A1198+P1198)</f>
        <v/>
      </c>
      <c r="R1198" s="26">
        <f>IF(Q1198="","",IF(COUNTIFS($E$5:$E$3004,E1198,$A$5:$A$3004,"&gt;"&amp;A1198,$H$5:$H$3004,"&lt;&gt;Falta",$H$5:$H$3004,"&lt;&gt;Cancelado",$H$5:$H$3004,"&lt;&gt;Remarcado")&gt;0,"Sim","Não"))</f>
        <v/>
      </c>
      <c r="S1198" s="32">
        <f>IF(R1198&lt;&gt;"Não","",IF(Q1198+Config!$B$9&lt;=Config!$B$8,Config!$B$8-Q1198,""))</f>
        <v/>
      </c>
      <c r="T1198" s="26">
        <f>IF(S1198="","","Sim")</f>
        <v/>
      </c>
      <c r="U1198" s="41">
        <f>IF(T1198="Sim",S1198+ROW()/100000,0)</f>
        <v>0</v>
      </c>
      <c r="V1198" s="41">
        <f>IF(AND(H1198="Falta",L1198=Config!$B$7,M1198=Config!$B$5,COUNTIFS($E$5:E1198,E1198,$H$5:H1198,"Falta",$L$5:L1198,Config!$B$7,$M$5:M1198,Config!$B$5)=1),COUNTIFS($E$5:$E$3004,E1198,$H$5:$H$3004,"Falta",$L$5:$L$3004,Config!$B$7,$M$5:$M$3004,Config!$B$5)*1000-ROW()/100000,0)</f>
        <v>0</v>
      </c>
    </row>
    <row r="1199">
      <c r="A1199" s="39" t="n">
        <v>46295</v>
      </c>
      <c r="B1199" s="40" t="n">
        <v>0.6944444444444444</v>
      </c>
      <c r="C1199" s="35" t="inlineStr">
        <is>
          <t>Dra. Carolina Mendes</t>
        </is>
      </c>
      <c r="D1199" s="35" t="inlineStr">
        <is>
          <t>Sala 1</t>
        </is>
      </c>
      <c r="E1199" s="34" t="inlineStr">
        <is>
          <t>Cláudia Santos</t>
        </is>
      </c>
      <c r="F1199" s="35" t="inlineStr">
        <is>
          <t>Particular</t>
        </is>
      </c>
      <c r="G1199" s="35" t="inlineStr">
        <is>
          <t>Consulta</t>
        </is>
      </c>
      <c r="H1199" s="35" t="inlineStr">
        <is>
          <t>Agendado</t>
        </is>
      </c>
      <c r="I1199" s="35" t="n"/>
      <c r="J1199" s="35" t="n"/>
      <c r="K1199" s="34" t="n"/>
      <c r="L1199" s="26">
        <f>IF(A1199="","",MONTH(A1199))</f>
        <v>9</v>
      </c>
      <c r="M1199" s="26">
        <f>IF(A1199="","",YEAR(A1199))</f>
        <v>2026</v>
      </c>
      <c r="N1199" s="26" t="str">
        <f>IF(A1199="","",CHOOSE(WEEKDAY(A1199,2),"Segunda","Terça","Quarta","Quinta","Sexta","Sábado","Domingo"))</f>
        <v>Quarta</v>
      </c>
      <c r="O1199" s="26" t="str">
        <f>IF(B1199="","",IF(B1199&lt;TIME(12,0,0),"Manhã",IF(B1199&lt;TIME(18,0,0),"Tarde","Noite")))</f>
        <v>Tarde</v>
      </c>
      <c r="P1199" s="32">
        <f>IF(G1199="","",IFERROR(INDEX(Config!$I$5:$I$16,MATCH(G1199,Config!$H$5:$H$16,0)),0))</f>
        <v>30</v>
      </c>
      <c r="Q1199" s="30">
        <f>IF(OR(H1199&lt;&gt;"Realizado",P1199="",P1199=0),"",A1199+P1199)</f>
        <v/>
      </c>
      <c r="R1199" s="26">
        <f>IF(Q1199="","",IF(COUNTIFS($E$5:$E$3004,E1199,$A$5:$A$3004,"&gt;"&amp;A1199,$H$5:$H$3004,"&lt;&gt;Falta",$H$5:$H$3004,"&lt;&gt;Cancelado",$H$5:$H$3004,"&lt;&gt;Remarcado")&gt;0,"Sim","Não"))</f>
        <v/>
      </c>
      <c r="S1199" s="32">
        <f>IF(R1199&lt;&gt;"Não","",IF(Q1199+Config!$B$9&lt;=Config!$B$8,Config!$B$8-Q1199,""))</f>
        <v/>
      </c>
      <c r="T1199" s="26">
        <f>IF(S1199="","","Sim")</f>
        <v/>
      </c>
      <c r="U1199" s="41">
        <f>IF(T1199="Sim",S1199+ROW()/100000,0)</f>
        <v>0</v>
      </c>
      <c r="V1199" s="41">
        <f>IF(AND(H1199="Falta",L1199=Config!$B$7,M1199=Config!$B$5,COUNTIFS($E$5:E1199,E1199,$H$5:H1199,"Falta",$L$5:L1199,Config!$B$7,$M$5:M1199,Config!$B$5)=1),COUNTIFS($E$5:$E$3004,E1199,$H$5:$H$3004,"Falta",$L$5:$L$3004,Config!$B$7,$M$5:$M$3004,Config!$B$5)*1000-ROW()/100000,0)</f>
        <v>0</v>
      </c>
    </row>
    <row r="1200">
      <c r="A1200" s="39" t="n">
        <v>46295</v>
      </c>
      <c r="B1200" s="40" t="n">
        <v>0.7152777777777778</v>
      </c>
      <c r="C1200" s="35" t="inlineStr">
        <is>
          <t>Dra. Carolina Mendes</t>
        </is>
      </c>
      <c r="D1200" s="35" t="inlineStr">
        <is>
          <t>Sala 1</t>
        </is>
      </c>
      <c r="E1200" s="34" t="inlineStr">
        <is>
          <t>Mônica Teixeira</t>
        </is>
      </c>
      <c r="F1200" s="35" t="inlineStr">
        <is>
          <t>Vida Care</t>
        </is>
      </c>
      <c r="G1200" s="35" t="inlineStr">
        <is>
          <t>Consulta</t>
        </is>
      </c>
      <c r="H1200" s="35" t="inlineStr">
        <is>
          <t>Agendado</t>
        </is>
      </c>
      <c r="I1200" s="35" t="n"/>
      <c r="J1200" s="35" t="n"/>
      <c r="K1200" s="34" t="n"/>
      <c r="L1200" s="26">
        <f>IF(A1200="","",MONTH(A1200))</f>
        <v>9</v>
      </c>
      <c r="M1200" s="26">
        <f>IF(A1200="","",YEAR(A1200))</f>
        <v>2026</v>
      </c>
      <c r="N1200" s="26" t="str">
        <f>IF(A1200="","",CHOOSE(WEEKDAY(A1200,2),"Segunda","Terça","Quarta","Quinta","Sexta","Sábado","Domingo"))</f>
        <v>Quarta</v>
      </c>
      <c r="O1200" s="26" t="str">
        <f>IF(B1200="","",IF(B1200&lt;TIME(12,0,0),"Manhã",IF(B1200&lt;TIME(18,0,0),"Tarde","Noite")))</f>
        <v>Tarde</v>
      </c>
      <c r="P1200" s="32">
        <f>IF(G1200="","",IFERROR(INDEX(Config!$I$5:$I$16,MATCH(G1200,Config!$H$5:$H$16,0)),0))</f>
        <v>30</v>
      </c>
      <c r="Q1200" s="30">
        <f>IF(OR(H1200&lt;&gt;"Realizado",P1200="",P1200=0),"",A1200+P1200)</f>
        <v/>
      </c>
      <c r="R1200" s="26">
        <f>IF(Q1200="","",IF(COUNTIFS($E$5:$E$3004,E1200,$A$5:$A$3004,"&gt;"&amp;A1200,$H$5:$H$3004,"&lt;&gt;Falta",$H$5:$H$3004,"&lt;&gt;Cancelado",$H$5:$H$3004,"&lt;&gt;Remarcado")&gt;0,"Sim","Não"))</f>
        <v/>
      </c>
      <c r="S1200" s="32">
        <f>IF(R1200&lt;&gt;"Não","",IF(Q1200+Config!$B$9&lt;=Config!$B$8,Config!$B$8-Q1200,""))</f>
        <v/>
      </c>
      <c r="T1200" s="26">
        <f>IF(S1200="","","Sim")</f>
        <v/>
      </c>
      <c r="U1200" s="41">
        <f>IF(T1200="Sim",S1200+ROW()/100000,0)</f>
        <v>0</v>
      </c>
      <c r="V1200" s="41">
        <f>IF(AND(H1200="Falta",L1200=Config!$B$7,M1200=Config!$B$5,COUNTIFS($E$5:E1200,E1200,$H$5:H1200,"Falta",$L$5:L1200,Config!$B$7,$M$5:M1200,Config!$B$5)=1),COUNTIFS($E$5:$E$3004,E1200,$H$5:$H$3004,"Falta",$L$5:$L$3004,Config!$B$7,$M$5:$M$3004,Config!$B$5)*1000-ROW()/100000,0)</f>
        <v>0</v>
      </c>
    </row>
    <row r="1201">
      <c r="A1201" s="39" t="n">
        <v>46295</v>
      </c>
      <c r="B1201" s="40" t="n">
        <v>0.7361111111111112</v>
      </c>
      <c r="C1201" s="35" t="inlineStr">
        <is>
          <t>Dra. Carolina Mendes</t>
        </is>
      </c>
      <c r="D1201" s="35" t="inlineStr">
        <is>
          <t>Sala 1</t>
        </is>
      </c>
      <c r="E1201" s="34" t="inlineStr">
        <is>
          <t>Gustavo Barbosa</t>
        </is>
      </c>
      <c r="F1201" s="35" t="inlineStr">
        <is>
          <t>Saúde Total</t>
        </is>
      </c>
      <c r="G1201" s="35" t="inlineStr">
        <is>
          <t>Consulta</t>
        </is>
      </c>
      <c r="H1201" s="35" t="inlineStr">
        <is>
          <t>Agendado</t>
        </is>
      </c>
      <c r="I1201" s="35" t="n"/>
      <c r="J1201" s="35" t="n"/>
      <c r="K1201" s="34" t="n"/>
      <c r="L1201" s="26">
        <f>IF(A1201="","",MONTH(A1201))</f>
        <v>9</v>
      </c>
      <c r="M1201" s="26">
        <f>IF(A1201="","",YEAR(A1201))</f>
        <v>2026</v>
      </c>
      <c r="N1201" s="26" t="str">
        <f>IF(A1201="","",CHOOSE(WEEKDAY(A1201,2),"Segunda","Terça","Quarta","Quinta","Sexta","Sábado","Domingo"))</f>
        <v>Quarta</v>
      </c>
      <c r="O1201" s="26" t="str">
        <f>IF(B1201="","",IF(B1201&lt;TIME(12,0,0),"Manhã",IF(B1201&lt;TIME(18,0,0),"Tarde","Noite")))</f>
        <v>Tarde</v>
      </c>
      <c r="P1201" s="32">
        <f>IF(G1201="","",IFERROR(INDEX(Config!$I$5:$I$16,MATCH(G1201,Config!$H$5:$H$16,0)),0))</f>
        <v>30</v>
      </c>
      <c r="Q1201" s="30">
        <f>IF(OR(H1201&lt;&gt;"Realizado",P1201="",P1201=0),"",A1201+P1201)</f>
        <v/>
      </c>
      <c r="R1201" s="26">
        <f>IF(Q1201="","",IF(COUNTIFS($E$5:$E$3004,E1201,$A$5:$A$3004,"&gt;"&amp;A1201,$H$5:$H$3004,"&lt;&gt;Falta",$H$5:$H$3004,"&lt;&gt;Cancelado",$H$5:$H$3004,"&lt;&gt;Remarcado")&gt;0,"Sim","Não"))</f>
        <v/>
      </c>
      <c r="S1201" s="32">
        <f>IF(R1201&lt;&gt;"Não","",IF(Q1201+Config!$B$9&lt;=Config!$B$8,Config!$B$8-Q1201,""))</f>
        <v/>
      </c>
      <c r="T1201" s="26">
        <f>IF(S1201="","","Sim")</f>
        <v/>
      </c>
      <c r="U1201" s="41">
        <f>IF(T1201="Sim",S1201+ROW()/100000,0)</f>
        <v>0</v>
      </c>
      <c r="V1201" s="41">
        <f>IF(AND(H1201="Falta",L1201=Config!$B$7,M1201=Config!$B$5,COUNTIFS($E$5:E1201,E1201,$H$5:H1201,"Falta",$L$5:L1201,Config!$B$7,$M$5:M1201,Config!$B$5)=1),COUNTIFS($E$5:$E$3004,E1201,$H$5:$H$3004,"Falta",$L$5:$L$3004,Config!$B$7,$M$5:$M$3004,Config!$B$5)*1000-ROW()/100000,0)</f>
        <v>0</v>
      </c>
    </row>
    <row r="1202">
      <c r="A1202" s="39" t="n">
        <v>46296</v>
      </c>
      <c r="B1202" s="40" t="n">
        <v>0.3333333333333333</v>
      </c>
      <c r="C1202" s="35" t="inlineStr">
        <is>
          <t>Dra. Carolina Mendes</t>
        </is>
      </c>
      <c r="D1202" s="35" t="inlineStr">
        <is>
          <t>Sala 1</t>
        </is>
      </c>
      <c r="E1202" s="34" t="inlineStr">
        <is>
          <t>Marcelo Santos</t>
        </is>
      </c>
      <c r="F1202" s="35" t="inlineStr">
        <is>
          <t>Particular</t>
        </is>
      </c>
      <c r="G1202" s="35" t="inlineStr">
        <is>
          <t>Consulta</t>
        </is>
      </c>
      <c r="H1202" s="35" t="inlineStr">
        <is>
          <t>Agendado</t>
        </is>
      </c>
      <c r="I1202" s="35" t="n"/>
      <c r="J1202" s="35" t="n"/>
      <c r="K1202" s="34" t="n"/>
      <c r="L1202" s="26">
        <f>IF(A1202="","",MONTH(A1202))</f>
        <v>10</v>
      </c>
      <c r="M1202" s="26">
        <f>IF(A1202="","",YEAR(A1202))</f>
        <v>2026</v>
      </c>
      <c r="N1202" s="26" t="str">
        <f>IF(A1202="","",CHOOSE(WEEKDAY(A1202,2),"Segunda","Terça","Quarta","Quinta","Sexta","Sábado","Domingo"))</f>
        <v>Quinta</v>
      </c>
      <c r="O1202" s="26" t="str">
        <f>IF(B1202="","",IF(B1202&lt;TIME(12,0,0),"Manhã",IF(B1202&lt;TIME(18,0,0),"Tarde","Noite")))</f>
        <v>Manhã</v>
      </c>
      <c r="P1202" s="32">
        <f>IF(G1202="","",IFERROR(INDEX(Config!$I$5:$I$16,MATCH(G1202,Config!$H$5:$H$16,0)),0))</f>
        <v>30</v>
      </c>
      <c r="Q1202" s="30">
        <f>IF(OR(H1202&lt;&gt;"Realizado",P1202="",P1202=0),"",A1202+P1202)</f>
        <v/>
      </c>
      <c r="R1202" s="26">
        <f>IF(Q1202="","",IF(COUNTIFS($E$5:$E$3004,E1202,$A$5:$A$3004,"&gt;"&amp;A1202,$H$5:$H$3004,"&lt;&gt;Falta",$H$5:$H$3004,"&lt;&gt;Cancelado",$H$5:$H$3004,"&lt;&gt;Remarcado")&gt;0,"Sim","Não"))</f>
        <v/>
      </c>
      <c r="S1202" s="32">
        <f>IF(R1202&lt;&gt;"Não","",IF(Q1202+Config!$B$9&lt;=Config!$B$8,Config!$B$8-Q1202,""))</f>
        <v/>
      </c>
      <c r="T1202" s="26">
        <f>IF(S1202="","","Sim")</f>
        <v/>
      </c>
      <c r="U1202" s="41">
        <f>IF(T1202="Sim",S1202+ROW()/100000,0)</f>
        <v>0</v>
      </c>
      <c r="V1202" s="41">
        <f>IF(AND(H1202="Falta",L1202=Config!$B$7,M1202=Config!$B$5,COUNTIFS($E$5:E1202,E1202,$H$5:H1202,"Falta",$L$5:L1202,Config!$B$7,$M$5:M1202,Config!$B$5)=1),COUNTIFS($E$5:$E$3004,E1202,$H$5:$H$3004,"Falta",$L$5:$L$3004,Config!$B$7,$M$5:$M$3004,Config!$B$5)*1000-ROW()/100000,0)</f>
        <v>0</v>
      </c>
    </row>
    <row r="1203">
      <c r="A1203" s="39" t="n">
        <v>46296</v>
      </c>
      <c r="B1203" s="40" t="n">
        <v>0.375</v>
      </c>
      <c r="C1203" s="35" t="inlineStr">
        <is>
          <t>Dra. Carolina Mendes</t>
        </is>
      </c>
      <c r="D1203" s="35" t="inlineStr">
        <is>
          <t>Sala 1</t>
        </is>
      </c>
      <c r="E1203" s="34" t="inlineStr">
        <is>
          <t>Sérgio Martins</t>
        </is>
      </c>
      <c r="F1203" s="35" t="inlineStr">
        <is>
          <t>Particular</t>
        </is>
      </c>
      <c r="G1203" s="35" t="inlineStr">
        <is>
          <t>Consulta</t>
        </is>
      </c>
      <c r="H1203" s="35" t="inlineStr">
        <is>
          <t>Agendado</t>
        </is>
      </c>
      <c r="I1203" s="35" t="n"/>
      <c r="J1203" s="35" t="n"/>
      <c r="K1203" s="34" t="n"/>
      <c r="L1203" s="26">
        <f>IF(A1203="","",MONTH(A1203))</f>
        <v>10</v>
      </c>
      <c r="M1203" s="26">
        <f>IF(A1203="","",YEAR(A1203))</f>
        <v>2026</v>
      </c>
      <c r="N1203" s="26" t="str">
        <f>IF(A1203="","",CHOOSE(WEEKDAY(A1203,2),"Segunda","Terça","Quarta","Quinta","Sexta","Sábado","Domingo"))</f>
        <v>Quinta</v>
      </c>
      <c r="O1203" s="26" t="str">
        <f>IF(B1203="","",IF(B1203&lt;TIME(12,0,0),"Manhã",IF(B1203&lt;TIME(18,0,0),"Tarde","Noite")))</f>
        <v>Manhã</v>
      </c>
      <c r="P1203" s="32">
        <f>IF(G1203="","",IFERROR(INDEX(Config!$I$5:$I$16,MATCH(G1203,Config!$H$5:$H$16,0)),0))</f>
        <v>30</v>
      </c>
      <c r="Q1203" s="30">
        <f>IF(OR(H1203&lt;&gt;"Realizado",P1203="",P1203=0),"",A1203+P1203)</f>
        <v/>
      </c>
      <c r="R1203" s="26">
        <f>IF(Q1203="","",IF(COUNTIFS($E$5:$E$3004,E1203,$A$5:$A$3004,"&gt;"&amp;A1203,$H$5:$H$3004,"&lt;&gt;Falta",$H$5:$H$3004,"&lt;&gt;Cancelado",$H$5:$H$3004,"&lt;&gt;Remarcado")&gt;0,"Sim","Não"))</f>
        <v/>
      </c>
      <c r="S1203" s="32">
        <f>IF(R1203&lt;&gt;"Não","",IF(Q1203+Config!$B$9&lt;=Config!$B$8,Config!$B$8-Q1203,""))</f>
        <v/>
      </c>
      <c r="T1203" s="26">
        <f>IF(S1203="","","Sim")</f>
        <v/>
      </c>
      <c r="U1203" s="41">
        <f>IF(T1203="Sim",S1203+ROW()/100000,0)</f>
        <v>0</v>
      </c>
      <c r="V1203" s="41">
        <f>IF(AND(H1203="Falta",L1203=Config!$B$7,M1203=Config!$B$5,COUNTIFS($E$5:E1203,E1203,$H$5:H1203,"Falta",$L$5:L1203,Config!$B$7,$M$5:M1203,Config!$B$5)=1),COUNTIFS($E$5:$E$3004,E1203,$H$5:$H$3004,"Falta",$L$5:$L$3004,Config!$B$7,$M$5:$M$3004,Config!$B$5)*1000-ROW()/100000,0)</f>
        <v>0</v>
      </c>
    </row>
    <row r="1204">
      <c r="A1204" s="39" t="n">
        <v>46296</v>
      </c>
      <c r="B1204" s="40" t="n">
        <v>0.3958333333333333</v>
      </c>
      <c r="C1204" s="35" t="inlineStr">
        <is>
          <t>Dra. Carolina Mendes</t>
        </is>
      </c>
      <c r="D1204" s="35" t="inlineStr">
        <is>
          <t>Sala 1</t>
        </is>
      </c>
      <c r="E1204" s="34" t="inlineStr">
        <is>
          <t>Isabela Nascimento</t>
        </is>
      </c>
      <c r="F1204" s="35" t="inlineStr">
        <is>
          <t>Vida Care</t>
        </is>
      </c>
      <c r="G1204" s="35" t="inlineStr">
        <is>
          <t>Consulta</t>
        </is>
      </c>
      <c r="H1204" s="35" t="inlineStr">
        <is>
          <t>Agendado</t>
        </is>
      </c>
      <c r="I1204" s="35" t="n"/>
      <c r="J1204" s="35" t="n"/>
      <c r="K1204" s="34" t="n"/>
      <c r="L1204" s="26">
        <f>IF(A1204="","",MONTH(A1204))</f>
        <v>10</v>
      </c>
      <c r="M1204" s="26">
        <f>IF(A1204="","",YEAR(A1204))</f>
        <v>2026</v>
      </c>
      <c r="N1204" s="26" t="str">
        <f>IF(A1204="","",CHOOSE(WEEKDAY(A1204,2),"Segunda","Terça","Quarta","Quinta","Sexta","Sábado","Domingo"))</f>
        <v>Quinta</v>
      </c>
      <c r="O1204" s="26" t="str">
        <f>IF(B1204="","",IF(B1204&lt;TIME(12,0,0),"Manhã",IF(B1204&lt;TIME(18,0,0),"Tarde","Noite")))</f>
        <v>Manhã</v>
      </c>
      <c r="P1204" s="32">
        <f>IF(G1204="","",IFERROR(INDEX(Config!$I$5:$I$16,MATCH(G1204,Config!$H$5:$H$16,0)),0))</f>
        <v>30</v>
      </c>
      <c r="Q1204" s="30">
        <f>IF(OR(H1204&lt;&gt;"Realizado",P1204="",P1204=0),"",A1204+P1204)</f>
        <v/>
      </c>
      <c r="R1204" s="26">
        <f>IF(Q1204="","",IF(COUNTIFS($E$5:$E$3004,E1204,$A$5:$A$3004,"&gt;"&amp;A1204,$H$5:$H$3004,"&lt;&gt;Falta",$H$5:$H$3004,"&lt;&gt;Cancelado",$H$5:$H$3004,"&lt;&gt;Remarcado")&gt;0,"Sim","Não"))</f>
        <v/>
      </c>
      <c r="S1204" s="32">
        <f>IF(R1204&lt;&gt;"Não","",IF(Q1204+Config!$B$9&lt;=Config!$B$8,Config!$B$8-Q1204,""))</f>
        <v/>
      </c>
      <c r="T1204" s="26">
        <f>IF(S1204="","","Sim")</f>
        <v/>
      </c>
      <c r="U1204" s="41">
        <f>IF(T1204="Sim",S1204+ROW()/100000,0)</f>
        <v>0</v>
      </c>
      <c r="V1204" s="41">
        <f>IF(AND(H1204="Falta",L1204=Config!$B$7,M1204=Config!$B$5,COUNTIFS($E$5:E1204,E1204,$H$5:H1204,"Falta",$L$5:L1204,Config!$B$7,$M$5:M1204,Config!$B$5)=1),COUNTIFS($E$5:$E$3004,E1204,$H$5:$H$3004,"Falta",$L$5:$L$3004,Config!$B$7,$M$5:$M$3004,Config!$B$5)*1000-ROW()/100000,0)</f>
        <v>0</v>
      </c>
    </row>
    <row r="1205">
      <c r="A1205" s="39" t="n">
        <v>46296</v>
      </c>
      <c r="B1205" s="40" t="n">
        <v>0.4166666666666667</v>
      </c>
      <c r="C1205" s="35" t="inlineStr">
        <is>
          <t>Dra. Carolina Mendes</t>
        </is>
      </c>
      <c r="D1205" s="35" t="inlineStr">
        <is>
          <t>Sala 1</t>
        </is>
      </c>
      <c r="E1205" s="34" t="inlineStr">
        <is>
          <t>Eduardo Nunes</t>
        </is>
      </c>
      <c r="F1205" s="35" t="inlineStr">
        <is>
          <t>MediPlan</t>
        </is>
      </c>
      <c r="G1205" s="35" t="inlineStr">
        <is>
          <t>Consulta</t>
        </is>
      </c>
      <c r="H1205" s="35" t="inlineStr">
        <is>
          <t>Agendado</t>
        </is>
      </c>
      <c r="I1205" s="35" t="n"/>
      <c r="J1205" s="35" t="n"/>
      <c r="K1205" s="34" t="n"/>
      <c r="L1205" s="26">
        <f>IF(A1205="","",MONTH(A1205))</f>
        <v>10</v>
      </c>
      <c r="M1205" s="26">
        <f>IF(A1205="","",YEAR(A1205))</f>
        <v>2026</v>
      </c>
      <c r="N1205" s="26" t="str">
        <f>IF(A1205="","",CHOOSE(WEEKDAY(A1205,2),"Segunda","Terça","Quarta","Quinta","Sexta","Sábado","Domingo"))</f>
        <v>Quinta</v>
      </c>
      <c r="O1205" s="26" t="str">
        <f>IF(B1205="","",IF(B1205&lt;TIME(12,0,0),"Manhã",IF(B1205&lt;TIME(18,0,0),"Tarde","Noite")))</f>
        <v>Manhã</v>
      </c>
      <c r="P1205" s="32">
        <f>IF(G1205="","",IFERROR(INDEX(Config!$I$5:$I$16,MATCH(G1205,Config!$H$5:$H$16,0)),0))</f>
        <v>30</v>
      </c>
      <c r="Q1205" s="30">
        <f>IF(OR(H1205&lt;&gt;"Realizado",P1205="",P1205=0),"",A1205+P1205)</f>
        <v/>
      </c>
      <c r="R1205" s="26">
        <f>IF(Q1205="","",IF(COUNTIFS($E$5:$E$3004,E1205,$A$5:$A$3004,"&gt;"&amp;A1205,$H$5:$H$3004,"&lt;&gt;Falta",$H$5:$H$3004,"&lt;&gt;Cancelado",$H$5:$H$3004,"&lt;&gt;Remarcado")&gt;0,"Sim","Não"))</f>
        <v/>
      </c>
      <c r="S1205" s="32">
        <f>IF(R1205&lt;&gt;"Não","",IF(Q1205+Config!$B$9&lt;=Config!$B$8,Config!$B$8-Q1205,""))</f>
        <v/>
      </c>
      <c r="T1205" s="26">
        <f>IF(S1205="","","Sim")</f>
        <v/>
      </c>
      <c r="U1205" s="41">
        <f>IF(T1205="Sim",S1205+ROW()/100000,0)</f>
        <v>0</v>
      </c>
      <c r="V1205" s="41">
        <f>IF(AND(H1205="Falta",L1205=Config!$B$7,M1205=Config!$B$5,COUNTIFS($E$5:E1205,E1205,$H$5:H1205,"Falta",$L$5:L1205,Config!$B$7,$M$5:M1205,Config!$B$5)=1),COUNTIFS($E$5:$E$3004,E1205,$H$5:$H$3004,"Falta",$L$5:$L$3004,Config!$B$7,$M$5:$M$3004,Config!$B$5)*1000-ROW()/100000,0)</f>
        <v>0</v>
      </c>
    </row>
    <row r="1206">
      <c r="A1206" s="39" t="n">
        <v>46296</v>
      </c>
      <c r="B1206" s="40" t="n">
        <v>0.4583333333333333</v>
      </c>
      <c r="C1206" s="35" t="inlineStr">
        <is>
          <t>Dra. Carolina Mendes</t>
        </is>
      </c>
      <c r="D1206" s="35" t="inlineStr">
        <is>
          <t>Sala 1</t>
        </is>
      </c>
      <c r="E1206" s="34" t="inlineStr">
        <is>
          <t>Sérgio Batista</t>
        </is>
      </c>
      <c r="F1206" s="35" t="inlineStr">
        <is>
          <t>MediPlan</t>
        </is>
      </c>
      <c r="G1206" s="35" t="inlineStr">
        <is>
          <t>Consulta</t>
        </is>
      </c>
      <c r="H1206" s="35" t="inlineStr">
        <is>
          <t>Agendado</t>
        </is>
      </c>
      <c r="I1206" s="35" t="n"/>
      <c r="J1206" s="35" t="n"/>
      <c r="K1206" s="34" t="n"/>
      <c r="L1206" s="26">
        <f>IF(A1206="","",MONTH(A1206))</f>
        <v>10</v>
      </c>
      <c r="M1206" s="26">
        <f>IF(A1206="","",YEAR(A1206))</f>
        <v>2026</v>
      </c>
      <c r="N1206" s="26" t="str">
        <f>IF(A1206="","",CHOOSE(WEEKDAY(A1206,2),"Segunda","Terça","Quarta","Quinta","Sexta","Sábado","Domingo"))</f>
        <v>Quinta</v>
      </c>
      <c r="O1206" s="26" t="str">
        <f>IF(B1206="","",IF(B1206&lt;TIME(12,0,0),"Manhã",IF(B1206&lt;TIME(18,0,0),"Tarde","Noite")))</f>
        <v>Manhã</v>
      </c>
      <c r="P1206" s="32">
        <f>IF(G1206="","",IFERROR(INDEX(Config!$I$5:$I$16,MATCH(G1206,Config!$H$5:$H$16,0)),0))</f>
        <v>30</v>
      </c>
      <c r="Q1206" s="30">
        <f>IF(OR(H1206&lt;&gt;"Realizado",P1206="",P1206=0),"",A1206+P1206)</f>
        <v/>
      </c>
      <c r="R1206" s="26">
        <f>IF(Q1206="","",IF(COUNTIFS($E$5:$E$3004,E1206,$A$5:$A$3004,"&gt;"&amp;A1206,$H$5:$H$3004,"&lt;&gt;Falta",$H$5:$H$3004,"&lt;&gt;Cancelado",$H$5:$H$3004,"&lt;&gt;Remarcado")&gt;0,"Sim","Não"))</f>
        <v/>
      </c>
      <c r="S1206" s="32">
        <f>IF(R1206&lt;&gt;"Não","",IF(Q1206+Config!$B$9&lt;=Config!$B$8,Config!$B$8-Q1206,""))</f>
        <v/>
      </c>
      <c r="T1206" s="26">
        <f>IF(S1206="","","Sim")</f>
        <v/>
      </c>
      <c r="U1206" s="41">
        <f>IF(T1206="Sim",S1206+ROW()/100000,0)</f>
        <v>0</v>
      </c>
      <c r="V1206" s="41">
        <f>IF(AND(H1206="Falta",L1206=Config!$B$7,M1206=Config!$B$5,COUNTIFS($E$5:E1206,E1206,$H$5:H1206,"Falta",$L$5:L1206,Config!$B$7,$M$5:M1206,Config!$B$5)=1),COUNTIFS($E$5:$E$3004,E1206,$H$5:$H$3004,"Falta",$L$5:$L$3004,Config!$B$7,$M$5:$M$3004,Config!$B$5)*1000-ROW()/100000,0)</f>
        <v>0</v>
      </c>
    </row>
    <row r="1207">
      <c r="A1207" s="39" t="n">
        <v>46296</v>
      </c>
      <c r="B1207" s="40" t="n">
        <v>0.4791666666666667</v>
      </c>
      <c r="C1207" s="35" t="inlineStr">
        <is>
          <t>Dra. Carolina Mendes</t>
        </is>
      </c>
      <c r="D1207" s="35" t="inlineStr">
        <is>
          <t>Sala 1</t>
        </is>
      </c>
      <c r="E1207" s="34" t="inlineStr">
        <is>
          <t>Tatiana Cunha</t>
        </is>
      </c>
      <c r="F1207" s="35" t="inlineStr">
        <is>
          <t>Saúde Total</t>
        </is>
      </c>
      <c r="G1207" s="35" t="inlineStr">
        <is>
          <t>Consulta</t>
        </is>
      </c>
      <c r="H1207" s="35" t="inlineStr">
        <is>
          <t>Agendado</t>
        </is>
      </c>
      <c r="I1207" s="35" t="n"/>
      <c r="J1207" s="35" t="n"/>
      <c r="K1207" s="34" t="n"/>
      <c r="L1207" s="26">
        <f>IF(A1207="","",MONTH(A1207))</f>
        <v>10</v>
      </c>
      <c r="M1207" s="26">
        <f>IF(A1207="","",YEAR(A1207))</f>
        <v>2026</v>
      </c>
      <c r="N1207" s="26" t="str">
        <f>IF(A1207="","",CHOOSE(WEEKDAY(A1207,2),"Segunda","Terça","Quarta","Quinta","Sexta","Sábado","Domingo"))</f>
        <v>Quinta</v>
      </c>
      <c r="O1207" s="26" t="str">
        <f>IF(B1207="","",IF(B1207&lt;TIME(12,0,0),"Manhã",IF(B1207&lt;TIME(18,0,0),"Tarde","Noite")))</f>
        <v>Manhã</v>
      </c>
      <c r="P1207" s="32">
        <f>IF(G1207="","",IFERROR(INDEX(Config!$I$5:$I$16,MATCH(G1207,Config!$H$5:$H$16,0)),0))</f>
        <v>30</v>
      </c>
      <c r="Q1207" s="30">
        <f>IF(OR(H1207&lt;&gt;"Realizado",P1207="",P1207=0),"",A1207+P1207)</f>
        <v/>
      </c>
      <c r="R1207" s="26">
        <f>IF(Q1207="","",IF(COUNTIFS($E$5:$E$3004,E1207,$A$5:$A$3004,"&gt;"&amp;A1207,$H$5:$H$3004,"&lt;&gt;Falta",$H$5:$H$3004,"&lt;&gt;Cancelado",$H$5:$H$3004,"&lt;&gt;Remarcado")&gt;0,"Sim","Não"))</f>
        <v/>
      </c>
      <c r="S1207" s="32">
        <f>IF(R1207&lt;&gt;"Não","",IF(Q1207+Config!$B$9&lt;=Config!$B$8,Config!$B$8-Q1207,""))</f>
        <v/>
      </c>
      <c r="T1207" s="26">
        <f>IF(S1207="","","Sim")</f>
        <v/>
      </c>
      <c r="U1207" s="41">
        <f>IF(T1207="Sim",S1207+ROW()/100000,0)</f>
        <v>0</v>
      </c>
      <c r="V1207" s="41">
        <f>IF(AND(H1207="Falta",L1207=Config!$B$7,M1207=Config!$B$5,COUNTIFS($E$5:E1207,E1207,$H$5:H1207,"Falta",$L$5:L1207,Config!$B$7,$M$5:M1207,Config!$B$5)=1),COUNTIFS($E$5:$E$3004,E1207,$H$5:$H$3004,"Falta",$L$5:$L$3004,Config!$B$7,$M$5:$M$3004,Config!$B$5)*1000-ROW()/100000,0)</f>
        <v>0</v>
      </c>
    </row>
    <row r="1208">
      <c r="A1208" s="39" t="n">
        <v>46296</v>
      </c>
      <c r="B1208" s="40" t="n">
        <v>0.5833333333333334</v>
      </c>
      <c r="C1208" s="35" t="inlineStr">
        <is>
          <t>Dra. Renata Sousa</t>
        </is>
      </c>
      <c r="D1208" s="35" t="inlineStr">
        <is>
          <t>Sala 1</t>
        </is>
      </c>
      <c r="E1208" s="34" t="inlineStr">
        <is>
          <t>Priscila Reis</t>
        </is>
      </c>
      <c r="F1208" s="35" t="inlineStr">
        <is>
          <t>Particular</t>
        </is>
      </c>
      <c r="G1208" s="35" t="inlineStr">
        <is>
          <t>Avaliação endócrina</t>
        </is>
      </c>
      <c r="H1208" s="35" t="inlineStr">
        <is>
          <t>Agendado</t>
        </is>
      </c>
      <c r="I1208" s="35" t="n"/>
      <c r="J1208" s="35" t="n"/>
      <c r="K1208" s="34" t="n"/>
      <c r="L1208" s="26">
        <f>IF(A1208="","",MONTH(A1208))</f>
        <v>10</v>
      </c>
      <c r="M1208" s="26">
        <f>IF(A1208="","",YEAR(A1208))</f>
        <v>2026</v>
      </c>
      <c r="N1208" s="26" t="str">
        <f>IF(A1208="","",CHOOSE(WEEKDAY(A1208,2),"Segunda","Terça","Quarta","Quinta","Sexta","Sábado","Domingo"))</f>
        <v>Quinta</v>
      </c>
      <c r="O1208" s="26" t="str">
        <f>IF(B1208="","",IF(B1208&lt;TIME(12,0,0),"Manhã",IF(B1208&lt;TIME(18,0,0),"Tarde","Noite")))</f>
        <v>Tarde</v>
      </c>
      <c r="P1208" s="32">
        <f>IF(G1208="","",IFERROR(INDEX(Config!$I$5:$I$16,MATCH(G1208,Config!$H$5:$H$16,0)),0))</f>
        <v>45</v>
      </c>
      <c r="Q1208" s="30">
        <f>IF(OR(H1208&lt;&gt;"Realizado",P1208="",P1208=0),"",A1208+P1208)</f>
        <v/>
      </c>
      <c r="R1208" s="26">
        <f>IF(Q1208="","",IF(COUNTIFS($E$5:$E$3004,E1208,$A$5:$A$3004,"&gt;"&amp;A1208,$H$5:$H$3004,"&lt;&gt;Falta",$H$5:$H$3004,"&lt;&gt;Cancelado",$H$5:$H$3004,"&lt;&gt;Remarcado")&gt;0,"Sim","Não"))</f>
        <v/>
      </c>
      <c r="S1208" s="32">
        <f>IF(R1208&lt;&gt;"Não","",IF(Q1208+Config!$B$9&lt;=Config!$B$8,Config!$B$8-Q1208,""))</f>
        <v/>
      </c>
      <c r="T1208" s="26">
        <f>IF(S1208="","","Sim")</f>
        <v/>
      </c>
      <c r="U1208" s="41">
        <f>IF(T1208="Sim",S1208+ROW()/100000,0)</f>
        <v>0</v>
      </c>
      <c r="V1208" s="41">
        <f>IF(AND(H1208="Falta",L1208=Config!$B$7,M1208=Config!$B$5,COUNTIFS($E$5:E1208,E1208,$H$5:H1208,"Falta",$L$5:L1208,Config!$B$7,$M$5:M1208,Config!$B$5)=1),COUNTIFS($E$5:$E$3004,E1208,$H$5:$H$3004,"Falta",$L$5:$L$3004,Config!$B$7,$M$5:$M$3004,Config!$B$5)*1000-ROW()/100000,0)</f>
        <v>0</v>
      </c>
    </row>
    <row r="1209">
      <c r="A1209" s="39" t="n">
        <v>46296</v>
      </c>
      <c r="B1209" s="40" t="n">
        <v>0.5833333333333334</v>
      </c>
      <c r="C1209" s="35" t="inlineStr">
        <is>
          <t>Dr. Paulo Andrade</t>
        </is>
      </c>
      <c r="D1209" s="35" t="inlineStr">
        <is>
          <t>Sala 2</t>
        </is>
      </c>
      <c r="E1209" s="34" t="inlineStr">
        <is>
          <t>Wagner Costa</t>
        </is>
      </c>
      <c r="F1209" s="35" t="inlineStr">
        <is>
          <t>Particular</t>
        </is>
      </c>
      <c r="G1209" s="35" t="inlineStr">
        <is>
          <t>MAPA</t>
        </is>
      </c>
      <c r="H1209" s="35" t="inlineStr">
        <is>
          <t>Agendado</t>
        </is>
      </c>
      <c r="I1209" s="35" t="n"/>
      <c r="J1209" s="35" t="n"/>
      <c r="K1209" s="34" t="n"/>
      <c r="L1209" s="26">
        <f>IF(A1209="","",MONTH(A1209))</f>
        <v>10</v>
      </c>
      <c r="M1209" s="26">
        <f>IF(A1209="","",YEAR(A1209))</f>
        <v>2026</v>
      </c>
      <c r="N1209" s="26" t="str">
        <f>IF(A1209="","",CHOOSE(WEEKDAY(A1209,2),"Segunda","Terça","Quarta","Quinta","Sexta","Sábado","Domingo"))</f>
        <v>Quinta</v>
      </c>
      <c r="O1209" s="26" t="str">
        <f>IF(B1209="","",IF(B1209&lt;TIME(12,0,0),"Manhã",IF(B1209&lt;TIME(18,0,0),"Tarde","Noite")))</f>
        <v>Tarde</v>
      </c>
      <c r="P1209" s="32">
        <f>IF(G1209="","",IFERROR(INDEX(Config!$I$5:$I$16,MATCH(G1209,Config!$H$5:$H$16,0)),0))</f>
        <v>0</v>
      </c>
      <c r="Q1209" s="30">
        <f>IF(OR(H1209&lt;&gt;"Realizado",P1209="",P1209=0),"",A1209+P1209)</f>
        <v/>
      </c>
      <c r="R1209" s="26">
        <f>IF(Q1209="","",IF(COUNTIFS($E$5:$E$3004,E1209,$A$5:$A$3004,"&gt;"&amp;A1209,$H$5:$H$3004,"&lt;&gt;Falta",$H$5:$H$3004,"&lt;&gt;Cancelado",$H$5:$H$3004,"&lt;&gt;Remarcado")&gt;0,"Sim","Não"))</f>
        <v/>
      </c>
      <c r="S1209" s="32">
        <f>IF(R1209&lt;&gt;"Não","",IF(Q1209+Config!$B$9&lt;=Config!$B$8,Config!$B$8-Q1209,""))</f>
        <v/>
      </c>
      <c r="T1209" s="26">
        <f>IF(S1209="","","Sim")</f>
        <v/>
      </c>
      <c r="U1209" s="41">
        <f>IF(T1209="Sim",S1209+ROW()/100000,0)</f>
        <v>0</v>
      </c>
      <c r="V1209" s="41">
        <f>IF(AND(H1209="Falta",L1209=Config!$B$7,M1209=Config!$B$5,COUNTIFS($E$5:E1209,E1209,$H$5:H1209,"Falta",$L$5:L1209,Config!$B$7,$M$5:M1209,Config!$B$5)=1),COUNTIFS($E$5:$E$3004,E1209,$H$5:$H$3004,"Falta",$L$5:$L$3004,Config!$B$7,$M$5:$M$3004,Config!$B$5)*1000-ROW()/100000,0)</f>
        <v>0</v>
      </c>
    </row>
    <row r="1210">
      <c r="A1210" s="39" t="n">
        <v>46296</v>
      </c>
      <c r="B1210" s="40" t="n">
        <v>0.5972222222222222</v>
      </c>
      <c r="C1210" s="35" t="inlineStr">
        <is>
          <t>Dr. Paulo Andrade</t>
        </is>
      </c>
      <c r="D1210" s="35" t="inlineStr">
        <is>
          <t>Sala 2</t>
        </is>
      </c>
      <c r="E1210" s="34" t="inlineStr">
        <is>
          <t>Lucas Lopes</t>
        </is>
      </c>
      <c r="F1210" s="35" t="inlineStr">
        <is>
          <t>Particular</t>
        </is>
      </c>
      <c r="G1210" s="35" t="inlineStr">
        <is>
          <t>MAPA</t>
        </is>
      </c>
      <c r="H1210" s="35" t="inlineStr">
        <is>
          <t>Agendado</t>
        </is>
      </c>
      <c r="I1210" s="35" t="n"/>
      <c r="J1210" s="35" t="n"/>
      <c r="K1210" s="34" t="n"/>
      <c r="L1210" s="26">
        <f>IF(A1210="","",MONTH(A1210))</f>
        <v>10</v>
      </c>
      <c r="M1210" s="26">
        <f>IF(A1210="","",YEAR(A1210))</f>
        <v>2026</v>
      </c>
      <c r="N1210" s="26" t="str">
        <f>IF(A1210="","",CHOOSE(WEEKDAY(A1210,2),"Segunda","Terça","Quarta","Quinta","Sexta","Sábado","Domingo"))</f>
        <v>Quinta</v>
      </c>
      <c r="O1210" s="26" t="str">
        <f>IF(B1210="","",IF(B1210&lt;TIME(12,0,0),"Manhã",IF(B1210&lt;TIME(18,0,0),"Tarde","Noite")))</f>
        <v>Tarde</v>
      </c>
      <c r="P1210" s="32">
        <f>IF(G1210="","",IFERROR(INDEX(Config!$I$5:$I$16,MATCH(G1210,Config!$H$5:$H$16,0)),0))</f>
        <v>0</v>
      </c>
      <c r="Q1210" s="30">
        <f>IF(OR(H1210&lt;&gt;"Realizado",P1210="",P1210=0),"",A1210+P1210)</f>
        <v/>
      </c>
      <c r="R1210" s="26">
        <f>IF(Q1210="","",IF(COUNTIFS($E$5:$E$3004,E1210,$A$5:$A$3004,"&gt;"&amp;A1210,$H$5:$H$3004,"&lt;&gt;Falta",$H$5:$H$3004,"&lt;&gt;Cancelado",$H$5:$H$3004,"&lt;&gt;Remarcado")&gt;0,"Sim","Não"))</f>
        <v/>
      </c>
      <c r="S1210" s="32">
        <f>IF(R1210&lt;&gt;"Não","",IF(Q1210+Config!$B$9&lt;=Config!$B$8,Config!$B$8-Q1210,""))</f>
        <v/>
      </c>
      <c r="T1210" s="26">
        <f>IF(S1210="","","Sim")</f>
        <v/>
      </c>
      <c r="U1210" s="41">
        <f>IF(T1210="Sim",S1210+ROW()/100000,0)</f>
        <v>0</v>
      </c>
      <c r="V1210" s="41">
        <f>IF(AND(H1210="Falta",L1210=Config!$B$7,M1210=Config!$B$5,COUNTIFS($E$5:E1210,E1210,$H$5:H1210,"Falta",$L$5:L1210,Config!$B$7,$M$5:M1210,Config!$B$5)=1),COUNTIFS($E$5:$E$3004,E1210,$H$5:$H$3004,"Falta",$L$5:$L$3004,Config!$B$7,$M$5:$M$3004,Config!$B$5)*1000-ROW()/100000,0)</f>
        <v>0</v>
      </c>
    </row>
    <row r="1211">
      <c r="A1211" s="39" t="n">
        <v>46296</v>
      </c>
      <c r="B1211" s="40" t="n">
        <v>0.6111111111111112</v>
      </c>
      <c r="C1211" s="35" t="inlineStr">
        <is>
          <t>Dr. Paulo Andrade</t>
        </is>
      </c>
      <c r="D1211" s="35" t="inlineStr">
        <is>
          <t>Sala 2</t>
        </is>
      </c>
      <c r="E1211" s="34" t="inlineStr">
        <is>
          <t>Débora Moreira</t>
        </is>
      </c>
      <c r="F1211" s="35" t="inlineStr">
        <is>
          <t>Particular</t>
        </is>
      </c>
      <c r="G1211" s="35" t="inlineStr">
        <is>
          <t>Consulta</t>
        </is>
      </c>
      <c r="H1211" s="35" t="inlineStr">
        <is>
          <t>Agendado</t>
        </is>
      </c>
      <c r="I1211" s="35" t="n"/>
      <c r="J1211" s="35" t="n"/>
      <c r="K1211" s="34" t="n"/>
      <c r="L1211" s="26">
        <f>IF(A1211="","",MONTH(A1211))</f>
        <v>10</v>
      </c>
      <c r="M1211" s="26">
        <f>IF(A1211="","",YEAR(A1211))</f>
        <v>2026</v>
      </c>
      <c r="N1211" s="26" t="str">
        <f>IF(A1211="","",CHOOSE(WEEKDAY(A1211,2),"Segunda","Terça","Quarta","Quinta","Sexta","Sábado","Domingo"))</f>
        <v>Quinta</v>
      </c>
      <c r="O1211" s="26" t="str">
        <f>IF(B1211="","",IF(B1211&lt;TIME(12,0,0),"Manhã",IF(B1211&lt;TIME(18,0,0),"Tarde","Noite")))</f>
        <v>Tarde</v>
      </c>
      <c r="P1211" s="32">
        <f>IF(G1211="","",IFERROR(INDEX(Config!$I$5:$I$16,MATCH(G1211,Config!$H$5:$H$16,0)),0))</f>
        <v>30</v>
      </c>
      <c r="Q1211" s="30">
        <f>IF(OR(H1211&lt;&gt;"Realizado",P1211="",P1211=0),"",A1211+P1211)</f>
        <v/>
      </c>
      <c r="R1211" s="26">
        <f>IF(Q1211="","",IF(COUNTIFS($E$5:$E$3004,E1211,$A$5:$A$3004,"&gt;"&amp;A1211,$H$5:$H$3004,"&lt;&gt;Falta",$H$5:$H$3004,"&lt;&gt;Cancelado",$H$5:$H$3004,"&lt;&gt;Remarcado")&gt;0,"Sim","Não"))</f>
        <v/>
      </c>
      <c r="S1211" s="32">
        <f>IF(R1211&lt;&gt;"Não","",IF(Q1211+Config!$B$9&lt;=Config!$B$8,Config!$B$8-Q1211,""))</f>
        <v/>
      </c>
      <c r="T1211" s="26">
        <f>IF(S1211="","","Sim")</f>
        <v/>
      </c>
      <c r="U1211" s="41">
        <f>IF(T1211="Sim",S1211+ROW()/100000,0)</f>
        <v>0</v>
      </c>
      <c r="V1211" s="41">
        <f>IF(AND(H1211="Falta",L1211=Config!$B$7,M1211=Config!$B$5,COUNTIFS($E$5:E1211,E1211,$H$5:H1211,"Falta",$L$5:L1211,Config!$B$7,$M$5:M1211,Config!$B$5)=1),COUNTIFS($E$5:$E$3004,E1211,$H$5:$H$3004,"Falta",$L$5:$L$3004,Config!$B$7,$M$5:$M$3004,Config!$B$5)*1000-ROW()/100000,0)</f>
        <v>0</v>
      </c>
    </row>
    <row r="1212">
      <c r="A1212" s="39" t="n">
        <v>46296</v>
      </c>
      <c r="B1212" s="40" t="n">
        <v>0.6319444444444444</v>
      </c>
      <c r="C1212" s="35" t="inlineStr">
        <is>
          <t>Dra. Renata Sousa</t>
        </is>
      </c>
      <c r="D1212" s="35" t="inlineStr">
        <is>
          <t>Sala 1</t>
        </is>
      </c>
      <c r="E1212" s="34" t="inlineStr">
        <is>
          <t>Mariana Gomes</t>
        </is>
      </c>
      <c r="F1212" s="35" t="inlineStr">
        <is>
          <t>Particular</t>
        </is>
      </c>
      <c r="G1212" s="35" t="inlineStr">
        <is>
          <t>Avaliação endócrina</t>
        </is>
      </c>
      <c r="H1212" s="35" t="inlineStr">
        <is>
          <t>Agendado</t>
        </is>
      </c>
      <c r="I1212" s="35" t="n"/>
      <c r="J1212" s="35" t="n"/>
      <c r="K1212" s="34" t="n"/>
      <c r="L1212" s="26">
        <f>IF(A1212="","",MONTH(A1212))</f>
        <v>10</v>
      </c>
      <c r="M1212" s="26">
        <f>IF(A1212="","",YEAR(A1212))</f>
        <v>2026</v>
      </c>
      <c r="N1212" s="26" t="str">
        <f>IF(A1212="","",CHOOSE(WEEKDAY(A1212,2),"Segunda","Terça","Quarta","Quinta","Sexta","Sábado","Domingo"))</f>
        <v>Quinta</v>
      </c>
      <c r="O1212" s="26" t="str">
        <f>IF(B1212="","",IF(B1212&lt;TIME(12,0,0),"Manhã",IF(B1212&lt;TIME(18,0,0),"Tarde","Noite")))</f>
        <v>Tarde</v>
      </c>
      <c r="P1212" s="32">
        <f>IF(G1212="","",IFERROR(INDEX(Config!$I$5:$I$16,MATCH(G1212,Config!$H$5:$H$16,0)),0))</f>
        <v>45</v>
      </c>
      <c r="Q1212" s="30">
        <f>IF(OR(H1212&lt;&gt;"Realizado",P1212="",P1212=0),"",A1212+P1212)</f>
        <v/>
      </c>
      <c r="R1212" s="26">
        <f>IF(Q1212="","",IF(COUNTIFS($E$5:$E$3004,E1212,$A$5:$A$3004,"&gt;"&amp;A1212,$H$5:$H$3004,"&lt;&gt;Falta",$H$5:$H$3004,"&lt;&gt;Cancelado",$H$5:$H$3004,"&lt;&gt;Remarcado")&gt;0,"Sim","Não"))</f>
        <v/>
      </c>
      <c r="S1212" s="32">
        <f>IF(R1212&lt;&gt;"Não","",IF(Q1212+Config!$B$9&lt;=Config!$B$8,Config!$B$8-Q1212,""))</f>
        <v/>
      </c>
      <c r="T1212" s="26">
        <f>IF(S1212="","","Sim")</f>
        <v/>
      </c>
      <c r="U1212" s="41">
        <f>IF(T1212="Sim",S1212+ROW()/100000,0)</f>
        <v>0</v>
      </c>
      <c r="V1212" s="41">
        <f>IF(AND(H1212="Falta",L1212=Config!$B$7,M1212=Config!$B$5,COUNTIFS($E$5:E1212,E1212,$H$5:H1212,"Falta",$L$5:L1212,Config!$B$7,$M$5:M1212,Config!$B$5)=1),COUNTIFS($E$5:$E$3004,E1212,$H$5:$H$3004,"Falta",$L$5:$L$3004,Config!$B$7,$M$5:$M$3004,Config!$B$5)*1000-ROW()/100000,0)</f>
        <v>0</v>
      </c>
    </row>
    <row r="1213">
      <c r="A1213" s="39" t="n">
        <v>46296</v>
      </c>
      <c r="B1213" s="40" t="n">
        <v>0.6319444444444444</v>
      </c>
      <c r="C1213" s="35" t="inlineStr">
        <is>
          <t>Dr. Paulo Andrade</t>
        </is>
      </c>
      <c r="D1213" s="35" t="inlineStr">
        <is>
          <t>Sala 2</t>
        </is>
      </c>
      <c r="E1213" s="34" t="inlineStr">
        <is>
          <t>Cláudia Castro</t>
        </is>
      </c>
      <c r="F1213" s="35" t="inlineStr">
        <is>
          <t>Vida Care</t>
        </is>
      </c>
      <c r="G1213" s="35" t="inlineStr">
        <is>
          <t>Consulta</t>
        </is>
      </c>
      <c r="H1213" s="35" t="inlineStr">
        <is>
          <t>Agendado</t>
        </is>
      </c>
      <c r="I1213" s="35" t="n"/>
      <c r="J1213" s="35" t="n"/>
      <c r="K1213" s="34" t="n"/>
      <c r="L1213" s="26">
        <f>IF(A1213="","",MONTH(A1213))</f>
        <v>10</v>
      </c>
      <c r="M1213" s="26">
        <f>IF(A1213="","",YEAR(A1213))</f>
        <v>2026</v>
      </c>
      <c r="N1213" s="26" t="str">
        <f>IF(A1213="","",CHOOSE(WEEKDAY(A1213,2),"Segunda","Terça","Quarta","Quinta","Sexta","Sábado","Domingo"))</f>
        <v>Quinta</v>
      </c>
      <c r="O1213" s="26" t="str">
        <f>IF(B1213="","",IF(B1213&lt;TIME(12,0,0),"Manhã",IF(B1213&lt;TIME(18,0,0),"Tarde","Noite")))</f>
        <v>Tarde</v>
      </c>
      <c r="P1213" s="32">
        <f>IF(G1213="","",IFERROR(INDEX(Config!$I$5:$I$16,MATCH(G1213,Config!$H$5:$H$16,0)),0))</f>
        <v>30</v>
      </c>
      <c r="Q1213" s="30">
        <f>IF(OR(H1213&lt;&gt;"Realizado",P1213="",P1213=0),"",A1213+P1213)</f>
        <v/>
      </c>
      <c r="R1213" s="26">
        <f>IF(Q1213="","",IF(COUNTIFS($E$5:$E$3004,E1213,$A$5:$A$3004,"&gt;"&amp;A1213,$H$5:$H$3004,"&lt;&gt;Falta",$H$5:$H$3004,"&lt;&gt;Cancelado",$H$5:$H$3004,"&lt;&gt;Remarcado")&gt;0,"Sim","Não"))</f>
        <v/>
      </c>
      <c r="S1213" s="32">
        <f>IF(R1213&lt;&gt;"Não","",IF(Q1213+Config!$B$9&lt;=Config!$B$8,Config!$B$8-Q1213,""))</f>
        <v/>
      </c>
      <c r="T1213" s="26">
        <f>IF(S1213="","","Sim")</f>
        <v/>
      </c>
      <c r="U1213" s="41">
        <f>IF(T1213="Sim",S1213+ROW()/100000,0)</f>
        <v>0</v>
      </c>
      <c r="V1213" s="41">
        <f>IF(AND(H1213="Falta",L1213=Config!$B$7,M1213=Config!$B$5,COUNTIFS($E$5:E1213,E1213,$H$5:H1213,"Falta",$L$5:L1213,Config!$B$7,$M$5:M1213,Config!$B$5)=1),COUNTIFS($E$5:$E$3004,E1213,$H$5:$H$3004,"Falta",$L$5:$L$3004,Config!$B$7,$M$5:$M$3004,Config!$B$5)*1000-ROW()/100000,0)</f>
        <v>0</v>
      </c>
    </row>
    <row r="1214">
      <c r="A1214" s="39" t="n">
        <v>46296</v>
      </c>
      <c r="B1214" s="40" t="n">
        <v>0.6527777777777778</v>
      </c>
      <c r="C1214" s="35" t="inlineStr">
        <is>
          <t>Dr. Paulo Andrade</t>
        </is>
      </c>
      <c r="D1214" s="35" t="inlineStr">
        <is>
          <t>Sala 2</t>
        </is>
      </c>
      <c r="E1214" s="34" t="inlineStr">
        <is>
          <t>Priscila Nascimento</t>
        </is>
      </c>
      <c r="F1214" s="35" t="inlineStr">
        <is>
          <t>MediPlan</t>
        </is>
      </c>
      <c r="G1214" s="35" t="inlineStr">
        <is>
          <t>Consulta</t>
        </is>
      </c>
      <c r="H1214" s="35" t="inlineStr">
        <is>
          <t>Agendado</t>
        </is>
      </c>
      <c r="I1214" s="35" t="n"/>
      <c r="J1214" s="35" t="n"/>
      <c r="K1214" s="34" t="n"/>
      <c r="L1214" s="26">
        <f>IF(A1214="","",MONTH(A1214))</f>
        <v>10</v>
      </c>
      <c r="M1214" s="26">
        <f>IF(A1214="","",YEAR(A1214))</f>
        <v>2026</v>
      </c>
      <c r="N1214" s="26" t="str">
        <f>IF(A1214="","",CHOOSE(WEEKDAY(A1214,2),"Segunda","Terça","Quarta","Quinta","Sexta","Sábado","Domingo"))</f>
        <v>Quinta</v>
      </c>
      <c r="O1214" s="26" t="str">
        <f>IF(B1214="","",IF(B1214&lt;TIME(12,0,0),"Manhã",IF(B1214&lt;TIME(18,0,0),"Tarde","Noite")))</f>
        <v>Tarde</v>
      </c>
      <c r="P1214" s="32">
        <f>IF(G1214="","",IFERROR(INDEX(Config!$I$5:$I$16,MATCH(G1214,Config!$H$5:$H$16,0)),0))</f>
        <v>30</v>
      </c>
      <c r="Q1214" s="30">
        <f>IF(OR(H1214&lt;&gt;"Realizado",P1214="",P1214=0),"",A1214+P1214)</f>
        <v/>
      </c>
      <c r="R1214" s="26">
        <f>IF(Q1214="","",IF(COUNTIFS($E$5:$E$3004,E1214,$A$5:$A$3004,"&gt;"&amp;A1214,$H$5:$H$3004,"&lt;&gt;Falta",$H$5:$H$3004,"&lt;&gt;Cancelado",$H$5:$H$3004,"&lt;&gt;Remarcado")&gt;0,"Sim","Não"))</f>
        <v/>
      </c>
      <c r="S1214" s="32">
        <f>IF(R1214&lt;&gt;"Não","",IF(Q1214+Config!$B$9&lt;=Config!$B$8,Config!$B$8-Q1214,""))</f>
        <v/>
      </c>
      <c r="T1214" s="26">
        <f>IF(S1214="","","Sim")</f>
        <v/>
      </c>
      <c r="U1214" s="41">
        <f>IF(T1214="Sim",S1214+ROW()/100000,0)</f>
        <v>0</v>
      </c>
      <c r="V1214" s="41">
        <f>IF(AND(H1214="Falta",L1214=Config!$B$7,M1214=Config!$B$5,COUNTIFS($E$5:E1214,E1214,$H$5:H1214,"Falta",$L$5:L1214,Config!$B$7,$M$5:M1214,Config!$B$5)=1),COUNTIFS($E$5:$E$3004,E1214,$H$5:$H$3004,"Falta",$L$5:$L$3004,Config!$B$7,$M$5:$M$3004,Config!$B$5)*1000-ROW()/100000,0)</f>
        <v>0</v>
      </c>
    </row>
    <row r="1215">
      <c r="A1215" s="39" t="n">
        <v>46296</v>
      </c>
      <c r="B1215" s="40" t="n">
        <v>0.6597222222222222</v>
      </c>
      <c r="C1215" s="35" t="inlineStr">
        <is>
          <t>Dra. Renata Sousa</t>
        </is>
      </c>
      <c r="D1215" s="35" t="inlineStr">
        <is>
          <t>Sala 1</t>
        </is>
      </c>
      <c r="E1215" s="34" t="inlineStr">
        <is>
          <t>Fábio Gomes</t>
        </is>
      </c>
      <c r="F1215" s="35" t="inlineStr">
        <is>
          <t>Particular</t>
        </is>
      </c>
      <c r="G1215" s="35" t="inlineStr">
        <is>
          <t>Retorno</t>
        </is>
      </c>
      <c r="H1215" s="35" t="inlineStr">
        <is>
          <t>Agendado</t>
        </is>
      </c>
      <c r="I1215" s="35" t="n"/>
      <c r="J1215" s="35" t="n"/>
      <c r="K1215" s="34" t="n"/>
      <c r="L1215" s="26">
        <f>IF(A1215="","",MONTH(A1215))</f>
        <v>10</v>
      </c>
      <c r="M1215" s="26">
        <f>IF(A1215="","",YEAR(A1215))</f>
        <v>2026</v>
      </c>
      <c r="N1215" s="26" t="str">
        <f>IF(A1215="","",CHOOSE(WEEKDAY(A1215,2),"Segunda","Terça","Quarta","Quinta","Sexta","Sábado","Domingo"))</f>
        <v>Quinta</v>
      </c>
      <c r="O1215" s="26" t="str">
        <f>IF(B1215="","",IF(B1215&lt;TIME(12,0,0),"Manhã",IF(B1215&lt;TIME(18,0,0),"Tarde","Noite")))</f>
        <v>Tarde</v>
      </c>
      <c r="P1215" s="32">
        <f>IF(G1215="","",IFERROR(INDEX(Config!$I$5:$I$16,MATCH(G1215,Config!$H$5:$H$16,0)),0))</f>
        <v>0</v>
      </c>
      <c r="Q1215" s="30">
        <f>IF(OR(H1215&lt;&gt;"Realizado",P1215="",P1215=0),"",A1215+P1215)</f>
        <v/>
      </c>
      <c r="R1215" s="26">
        <f>IF(Q1215="","",IF(COUNTIFS($E$5:$E$3004,E1215,$A$5:$A$3004,"&gt;"&amp;A1215,$H$5:$H$3004,"&lt;&gt;Falta",$H$5:$H$3004,"&lt;&gt;Cancelado",$H$5:$H$3004,"&lt;&gt;Remarcado")&gt;0,"Sim","Não"))</f>
        <v/>
      </c>
      <c r="S1215" s="32">
        <f>IF(R1215&lt;&gt;"Não","",IF(Q1215+Config!$B$9&lt;=Config!$B$8,Config!$B$8-Q1215,""))</f>
        <v/>
      </c>
      <c r="T1215" s="26">
        <f>IF(S1215="","","Sim")</f>
        <v/>
      </c>
      <c r="U1215" s="41">
        <f>IF(T1215="Sim",S1215+ROW()/100000,0)</f>
        <v>0</v>
      </c>
      <c r="V1215" s="41">
        <f>IF(AND(H1215="Falta",L1215=Config!$B$7,M1215=Config!$B$5,COUNTIFS($E$5:E1215,E1215,$H$5:H1215,"Falta",$L$5:L1215,Config!$B$7,$M$5:M1215,Config!$B$5)=1),COUNTIFS($E$5:$E$3004,E1215,$H$5:$H$3004,"Falta",$L$5:$L$3004,Config!$B$7,$M$5:$M$3004,Config!$B$5)*1000-ROW()/100000,0)</f>
        <v>0</v>
      </c>
    </row>
    <row r="1216">
      <c r="A1216" s="39" t="n">
        <v>46296</v>
      </c>
      <c r="B1216" s="40" t="n">
        <v>0.6736111111111112</v>
      </c>
      <c r="C1216" s="35" t="inlineStr">
        <is>
          <t>Dr. Paulo Andrade</t>
        </is>
      </c>
      <c r="D1216" s="35" t="inlineStr">
        <is>
          <t>Sala 2</t>
        </is>
      </c>
      <c r="E1216" s="34" t="inlineStr">
        <is>
          <t>Rodrigo Teixeira</t>
        </is>
      </c>
      <c r="F1216" s="35" t="inlineStr">
        <is>
          <t>Vida Care</t>
        </is>
      </c>
      <c r="G1216" s="35" t="inlineStr">
        <is>
          <t>ECG</t>
        </is>
      </c>
      <c r="H1216" s="35" t="inlineStr">
        <is>
          <t>Agendado</t>
        </is>
      </c>
      <c r="I1216" s="35" t="n"/>
      <c r="J1216" s="35" t="n"/>
      <c r="K1216" s="34" t="n"/>
      <c r="L1216" s="26">
        <f>IF(A1216="","",MONTH(A1216))</f>
        <v>10</v>
      </c>
      <c r="M1216" s="26">
        <f>IF(A1216="","",YEAR(A1216))</f>
        <v>2026</v>
      </c>
      <c r="N1216" s="26" t="str">
        <f>IF(A1216="","",CHOOSE(WEEKDAY(A1216,2),"Segunda","Terça","Quarta","Quinta","Sexta","Sábado","Domingo"))</f>
        <v>Quinta</v>
      </c>
      <c r="O1216" s="26" t="str">
        <f>IF(B1216="","",IF(B1216&lt;TIME(12,0,0),"Manhã",IF(B1216&lt;TIME(18,0,0),"Tarde","Noite")))</f>
        <v>Tarde</v>
      </c>
      <c r="P1216" s="32">
        <f>IF(G1216="","",IFERROR(INDEX(Config!$I$5:$I$16,MATCH(G1216,Config!$H$5:$H$16,0)),0))</f>
        <v>0</v>
      </c>
      <c r="Q1216" s="30">
        <f>IF(OR(H1216&lt;&gt;"Realizado",P1216="",P1216=0),"",A1216+P1216)</f>
        <v/>
      </c>
      <c r="R1216" s="26">
        <f>IF(Q1216="","",IF(COUNTIFS($E$5:$E$3004,E1216,$A$5:$A$3004,"&gt;"&amp;A1216,$H$5:$H$3004,"&lt;&gt;Falta",$H$5:$H$3004,"&lt;&gt;Cancelado",$H$5:$H$3004,"&lt;&gt;Remarcado")&gt;0,"Sim","Não"))</f>
        <v/>
      </c>
      <c r="S1216" s="32">
        <f>IF(R1216&lt;&gt;"Não","",IF(Q1216+Config!$B$9&lt;=Config!$B$8,Config!$B$8-Q1216,""))</f>
        <v/>
      </c>
      <c r="T1216" s="26">
        <f>IF(S1216="","","Sim")</f>
        <v/>
      </c>
      <c r="U1216" s="41">
        <f>IF(T1216="Sim",S1216+ROW()/100000,0)</f>
        <v>0</v>
      </c>
      <c r="V1216" s="41">
        <f>IF(AND(H1216="Falta",L1216=Config!$B$7,M1216=Config!$B$5,COUNTIFS($E$5:E1216,E1216,$H$5:H1216,"Falta",$L$5:L1216,Config!$B$7,$M$5:M1216,Config!$B$5)=1),COUNTIFS($E$5:$E$3004,E1216,$H$5:$H$3004,"Falta",$L$5:$L$3004,Config!$B$7,$M$5:$M$3004,Config!$B$5)*1000-ROW()/100000,0)</f>
        <v>0</v>
      </c>
    </row>
    <row r="1217">
      <c r="A1217" s="39" t="n">
        <v>46296</v>
      </c>
      <c r="B1217" s="40" t="n">
        <v>0.6875</v>
      </c>
      <c r="C1217" s="35" t="inlineStr">
        <is>
          <t>Dr. Paulo Andrade</t>
        </is>
      </c>
      <c r="D1217" s="35" t="inlineStr">
        <is>
          <t>Sala 2</t>
        </is>
      </c>
      <c r="E1217" s="34" t="inlineStr">
        <is>
          <t>Paulo Ribeiro</t>
        </is>
      </c>
      <c r="F1217" s="35" t="inlineStr">
        <is>
          <t>Saúde Total</t>
        </is>
      </c>
      <c r="G1217" s="35" t="inlineStr">
        <is>
          <t>Consulta</t>
        </is>
      </c>
      <c r="H1217" s="35" t="inlineStr">
        <is>
          <t>Agendado</t>
        </is>
      </c>
      <c r="I1217" s="35" t="n"/>
      <c r="J1217" s="35" t="n"/>
      <c r="K1217" s="34" t="n"/>
      <c r="L1217" s="26">
        <f>IF(A1217="","",MONTH(A1217))</f>
        <v>10</v>
      </c>
      <c r="M1217" s="26">
        <f>IF(A1217="","",YEAR(A1217))</f>
        <v>2026</v>
      </c>
      <c r="N1217" s="26" t="str">
        <f>IF(A1217="","",CHOOSE(WEEKDAY(A1217,2),"Segunda","Terça","Quarta","Quinta","Sexta","Sábado","Domingo"))</f>
        <v>Quinta</v>
      </c>
      <c r="O1217" s="26" t="str">
        <f>IF(B1217="","",IF(B1217&lt;TIME(12,0,0),"Manhã",IF(B1217&lt;TIME(18,0,0),"Tarde","Noite")))</f>
        <v>Tarde</v>
      </c>
      <c r="P1217" s="32">
        <f>IF(G1217="","",IFERROR(INDEX(Config!$I$5:$I$16,MATCH(G1217,Config!$H$5:$H$16,0)),0))</f>
        <v>30</v>
      </c>
      <c r="Q1217" s="30">
        <f>IF(OR(H1217&lt;&gt;"Realizado",P1217="",P1217=0),"",A1217+P1217)</f>
        <v/>
      </c>
      <c r="R1217" s="26">
        <f>IF(Q1217="","",IF(COUNTIFS($E$5:$E$3004,E1217,$A$5:$A$3004,"&gt;"&amp;A1217,$H$5:$H$3004,"&lt;&gt;Falta",$H$5:$H$3004,"&lt;&gt;Cancelado",$H$5:$H$3004,"&lt;&gt;Remarcado")&gt;0,"Sim","Não"))</f>
        <v/>
      </c>
      <c r="S1217" s="32">
        <f>IF(R1217&lt;&gt;"Não","",IF(Q1217+Config!$B$9&lt;=Config!$B$8,Config!$B$8-Q1217,""))</f>
        <v/>
      </c>
      <c r="T1217" s="26">
        <f>IF(S1217="","","Sim")</f>
        <v/>
      </c>
      <c r="U1217" s="41">
        <f>IF(T1217="Sim",S1217+ROW()/100000,0)</f>
        <v>0</v>
      </c>
      <c r="V1217" s="41">
        <f>IF(AND(H1217="Falta",L1217=Config!$B$7,M1217=Config!$B$5,COUNTIFS($E$5:E1217,E1217,$H$5:H1217,"Falta",$L$5:L1217,Config!$B$7,$M$5:M1217,Config!$B$5)=1),COUNTIFS($E$5:$E$3004,E1217,$H$5:$H$3004,"Falta",$L$5:$L$3004,Config!$B$7,$M$5:$M$3004,Config!$B$5)*1000-ROW()/100000,0)</f>
        <v>0</v>
      </c>
    </row>
    <row r="1218">
      <c r="A1218" s="39" t="n">
        <v>46296</v>
      </c>
      <c r="B1218" s="40" t="n">
        <v>0.6944444444444444</v>
      </c>
      <c r="C1218" s="35" t="inlineStr">
        <is>
          <t>Dra. Renata Sousa</t>
        </is>
      </c>
      <c r="D1218" s="35" t="inlineStr">
        <is>
          <t>Sala 1</t>
        </is>
      </c>
      <c r="E1218" s="34" t="inlineStr">
        <is>
          <t>Cláudia Melo</t>
        </is>
      </c>
      <c r="F1218" s="35" t="inlineStr">
        <is>
          <t>Particular</t>
        </is>
      </c>
      <c r="G1218" s="35" t="inlineStr">
        <is>
          <t>Avaliação endócrina</t>
        </is>
      </c>
      <c r="H1218" s="35" t="inlineStr">
        <is>
          <t>Agendado</t>
        </is>
      </c>
      <c r="I1218" s="35" t="n"/>
      <c r="J1218" s="35" t="n"/>
      <c r="K1218" s="34" t="n"/>
      <c r="L1218" s="26">
        <f>IF(A1218="","",MONTH(A1218))</f>
        <v>10</v>
      </c>
      <c r="M1218" s="26">
        <f>IF(A1218="","",YEAR(A1218))</f>
        <v>2026</v>
      </c>
      <c r="N1218" s="26" t="str">
        <f>IF(A1218="","",CHOOSE(WEEKDAY(A1218,2),"Segunda","Terça","Quarta","Quinta","Sexta","Sábado","Domingo"))</f>
        <v>Quinta</v>
      </c>
      <c r="O1218" s="26" t="str">
        <f>IF(B1218="","",IF(B1218&lt;TIME(12,0,0),"Manhã",IF(B1218&lt;TIME(18,0,0),"Tarde","Noite")))</f>
        <v>Tarde</v>
      </c>
      <c r="P1218" s="32">
        <f>IF(G1218="","",IFERROR(INDEX(Config!$I$5:$I$16,MATCH(G1218,Config!$H$5:$H$16,0)),0))</f>
        <v>45</v>
      </c>
      <c r="Q1218" s="30">
        <f>IF(OR(H1218&lt;&gt;"Realizado",P1218="",P1218=0),"",A1218+P1218)</f>
        <v/>
      </c>
      <c r="R1218" s="26">
        <f>IF(Q1218="","",IF(COUNTIFS($E$5:$E$3004,E1218,$A$5:$A$3004,"&gt;"&amp;A1218,$H$5:$H$3004,"&lt;&gt;Falta",$H$5:$H$3004,"&lt;&gt;Cancelado",$H$5:$H$3004,"&lt;&gt;Remarcado")&gt;0,"Sim","Não"))</f>
        <v/>
      </c>
      <c r="S1218" s="32">
        <f>IF(R1218&lt;&gt;"Não","",IF(Q1218+Config!$B$9&lt;=Config!$B$8,Config!$B$8-Q1218,""))</f>
        <v/>
      </c>
      <c r="T1218" s="26">
        <f>IF(S1218="","","Sim")</f>
        <v/>
      </c>
      <c r="U1218" s="41">
        <f>IF(T1218="Sim",S1218+ROW()/100000,0)</f>
        <v>0</v>
      </c>
      <c r="V1218" s="41">
        <f>IF(AND(H1218="Falta",L1218=Config!$B$7,M1218=Config!$B$5,COUNTIFS($E$5:E1218,E1218,$H$5:H1218,"Falta",$L$5:L1218,Config!$B$7,$M$5:M1218,Config!$B$5)=1),COUNTIFS($E$5:$E$3004,E1218,$H$5:$H$3004,"Falta",$L$5:$L$3004,Config!$B$7,$M$5:$M$3004,Config!$B$5)*1000-ROW()/100000,0)</f>
        <v>0</v>
      </c>
    </row>
    <row r="1219">
      <c r="A1219" s="39" t="n">
        <v>46296</v>
      </c>
      <c r="B1219" s="40" t="n">
        <v>0.7083333333333334</v>
      </c>
      <c r="C1219" s="35" t="inlineStr">
        <is>
          <t>Dr. Paulo Andrade</t>
        </is>
      </c>
      <c r="D1219" s="35" t="inlineStr">
        <is>
          <t>Sala 2</t>
        </is>
      </c>
      <c r="E1219" s="34" t="inlineStr">
        <is>
          <t>Mateus Martins</t>
        </is>
      </c>
      <c r="F1219" s="35" t="inlineStr">
        <is>
          <t>Vida Care</t>
        </is>
      </c>
      <c r="G1219" s="35" t="inlineStr">
        <is>
          <t>Consulta</t>
        </is>
      </c>
      <c r="H1219" s="35" t="inlineStr">
        <is>
          <t>Agendado</t>
        </is>
      </c>
      <c r="I1219" s="35" t="n"/>
      <c r="J1219" s="35" t="n"/>
      <c r="K1219" s="34" t="n"/>
      <c r="L1219" s="26">
        <f>IF(A1219="","",MONTH(A1219))</f>
        <v>10</v>
      </c>
      <c r="M1219" s="26">
        <f>IF(A1219="","",YEAR(A1219))</f>
        <v>2026</v>
      </c>
      <c r="N1219" s="26" t="str">
        <f>IF(A1219="","",CHOOSE(WEEKDAY(A1219,2),"Segunda","Terça","Quarta","Quinta","Sexta","Sábado","Domingo"))</f>
        <v>Quinta</v>
      </c>
      <c r="O1219" s="26" t="str">
        <f>IF(B1219="","",IF(B1219&lt;TIME(12,0,0),"Manhã",IF(B1219&lt;TIME(18,0,0),"Tarde","Noite")))</f>
        <v>Tarde</v>
      </c>
      <c r="P1219" s="32">
        <f>IF(G1219="","",IFERROR(INDEX(Config!$I$5:$I$16,MATCH(G1219,Config!$H$5:$H$16,0)),0))</f>
        <v>30</v>
      </c>
      <c r="Q1219" s="30">
        <f>IF(OR(H1219&lt;&gt;"Realizado",P1219="",P1219=0),"",A1219+P1219)</f>
        <v/>
      </c>
      <c r="R1219" s="26">
        <f>IF(Q1219="","",IF(COUNTIFS($E$5:$E$3004,E1219,$A$5:$A$3004,"&gt;"&amp;A1219,$H$5:$H$3004,"&lt;&gt;Falta",$H$5:$H$3004,"&lt;&gt;Cancelado",$H$5:$H$3004,"&lt;&gt;Remarcado")&gt;0,"Sim","Não"))</f>
        <v/>
      </c>
      <c r="S1219" s="32">
        <f>IF(R1219&lt;&gt;"Não","",IF(Q1219+Config!$B$9&lt;=Config!$B$8,Config!$B$8-Q1219,""))</f>
        <v/>
      </c>
      <c r="T1219" s="26">
        <f>IF(S1219="","","Sim")</f>
        <v/>
      </c>
      <c r="U1219" s="41">
        <f>IF(T1219="Sim",S1219+ROW()/100000,0)</f>
        <v>0</v>
      </c>
      <c r="V1219" s="41">
        <f>IF(AND(H1219="Falta",L1219=Config!$B$7,M1219=Config!$B$5,COUNTIFS($E$5:E1219,E1219,$H$5:H1219,"Falta",$L$5:L1219,Config!$B$7,$M$5:M1219,Config!$B$5)=1),COUNTIFS($E$5:$E$3004,E1219,$H$5:$H$3004,"Falta",$L$5:$L$3004,Config!$B$7,$M$5:$M$3004,Config!$B$5)*1000-ROW()/100000,0)</f>
        <v>0</v>
      </c>
    </row>
    <row r="1220">
      <c r="A1220" s="39" t="n">
        <v>46296</v>
      </c>
      <c r="B1220" s="40" t="n">
        <v>0.7222222222222222</v>
      </c>
      <c r="C1220" s="35" t="inlineStr">
        <is>
          <t>Dra. Renata Sousa</t>
        </is>
      </c>
      <c r="D1220" s="35" t="inlineStr">
        <is>
          <t>Sala 1</t>
        </is>
      </c>
      <c r="E1220" s="34" t="inlineStr">
        <is>
          <t>Rodrigo Cardoso</t>
        </is>
      </c>
      <c r="F1220" s="35" t="inlineStr">
        <is>
          <t>Saúde Total</t>
        </is>
      </c>
      <c r="G1220" s="35" t="inlineStr">
        <is>
          <t>Avaliação endócrina</t>
        </is>
      </c>
      <c r="H1220" s="35" t="inlineStr">
        <is>
          <t>Agendado</t>
        </is>
      </c>
      <c r="I1220" s="35" t="n"/>
      <c r="J1220" s="35" t="n"/>
      <c r="K1220" s="34" t="n"/>
      <c r="L1220" s="26">
        <f>IF(A1220="","",MONTH(A1220))</f>
        <v>10</v>
      </c>
      <c r="M1220" s="26">
        <f>IF(A1220="","",YEAR(A1220))</f>
        <v>2026</v>
      </c>
      <c r="N1220" s="26" t="str">
        <f>IF(A1220="","",CHOOSE(WEEKDAY(A1220,2),"Segunda","Terça","Quarta","Quinta","Sexta","Sábado","Domingo"))</f>
        <v>Quinta</v>
      </c>
      <c r="O1220" s="26" t="str">
        <f>IF(B1220="","",IF(B1220&lt;TIME(12,0,0),"Manhã",IF(B1220&lt;TIME(18,0,0),"Tarde","Noite")))</f>
        <v>Tarde</v>
      </c>
      <c r="P1220" s="32">
        <f>IF(G1220="","",IFERROR(INDEX(Config!$I$5:$I$16,MATCH(G1220,Config!$H$5:$H$16,0)),0))</f>
        <v>45</v>
      </c>
      <c r="Q1220" s="30">
        <f>IF(OR(H1220&lt;&gt;"Realizado",P1220="",P1220=0),"",A1220+P1220)</f>
        <v/>
      </c>
      <c r="R1220" s="26">
        <f>IF(Q1220="","",IF(COUNTIFS($E$5:$E$3004,E1220,$A$5:$A$3004,"&gt;"&amp;A1220,$H$5:$H$3004,"&lt;&gt;Falta",$H$5:$H$3004,"&lt;&gt;Cancelado",$H$5:$H$3004,"&lt;&gt;Remarcado")&gt;0,"Sim","Não"))</f>
        <v/>
      </c>
      <c r="S1220" s="32">
        <f>IF(R1220&lt;&gt;"Não","",IF(Q1220+Config!$B$9&lt;=Config!$B$8,Config!$B$8-Q1220,""))</f>
        <v/>
      </c>
      <c r="T1220" s="26">
        <f>IF(S1220="","","Sim")</f>
        <v/>
      </c>
      <c r="U1220" s="41">
        <f>IF(T1220="Sim",S1220+ROW()/100000,0)</f>
        <v>0</v>
      </c>
      <c r="V1220" s="41">
        <f>IF(AND(H1220="Falta",L1220=Config!$B$7,M1220=Config!$B$5,COUNTIFS($E$5:E1220,E1220,$H$5:H1220,"Falta",$L$5:L1220,Config!$B$7,$M$5:M1220,Config!$B$5)=1),COUNTIFS($E$5:$E$3004,E1220,$H$5:$H$3004,"Falta",$L$5:$L$3004,Config!$B$7,$M$5:$M$3004,Config!$B$5)*1000-ROW()/100000,0)</f>
        <v>0</v>
      </c>
    </row>
    <row r="1221">
      <c r="A1221" s="39" t="n">
        <v>46296</v>
      </c>
      <c r="B1221" s="40" t="n">
        <v>0.7291666666666666</v>
      </c>
      <c r="C1221" s="35" t="inlineStr">
        <is>
          <t>Dr. Paulo Andrade</t>
        </is>
      </c>
      <c r="D1221" s="35" t="inlineStr">
        <is>
          <t>Sala 2</t>
        </is>
      </c>
      <c r="E1221" s="34" t="inlineStr">
        <is>
          <t>Leandro Ferreira</t>
        </is>
      </c>
      <c r="F1221" s="35" t="inlineStr">
        <is>
          <t>Saúde Total</t>
        </is>
      </c>
      <c r="G1221" s="35" t="inlineStr">
        <is>
          <t>Consulta</t>
        </is>
      </c>
      <c r="H1221" s="35" t="inlineStr">
        <is>
          <t>Agendado</t>
        </is>
      </c>
      <c r="I1221" s="35" t="n"/>
      <c r="J1221" s="35" t="n"/>
      <c r="K1221" s="34" t="n"/>
      <c r="L1221" s="26">
        <f>IF(A1221="","",MONTH(A1221))</f>
        <v>10</v>
      </c>
      <c r="M1221" s="26">
        <f>IF(A1221="","",YEAR(A1221))</f>
        <v>2026</v>
      </c>
      <c r="N1221" s="26" t="str">
        <f>IF(A1221="","",CHOOSE(WEEKDAY(A1221,2),"Segunda","Terça","Quarta","Quinta","Sexta","Sábado","Domingo"))</f>
        <v>Quinta</v>
      </c>
      <c r="O1221" s="26" t="str">
        <f>IF(B1221="","",IF(B1221&lt;TIME(12,0,0),"Manhã",IF(B1221&lt;TIME(18,0,0),"Tarde","Noite")))</f>
        <v>Tarde</v>
      </c>
      <c r="P1221" s="32">
        <f>IF(G1221="","",IFERROR(INDEX(Config!$I$5:$I$16,MATCH(G1221,Config!$H$5:$H$16,0)),0))</f>
        <v>30</v>
      </c>
      <c r="Q1221" s="30">
        <f>IF(OR(H1221&lt;&gt;"Realizado",P1221="",P1221=0),"",A1221+P1221)</f>
        <v/>
      </c>
      <c r="R1221" s="26">
        <f>IF(Q1221="","",IF(COUNTIFS($E$5:$E$3004,E1221,$A$5:$A$3004,"&gt;"&amp;A1221,$H$5:$H$3004,"&lt;&gt;Falta",$H$5:$H$3004,"&lt;&gt;Cancelado",$H$5:$H$3004,"&lt;&gt;Remarcado")&gt;0,"Sim","Não"))</f>
        <v/>
      </c>
      <c r="S1221" s="32">
        <f>IF(R1221&lt;&gt;"Não","",IF(Q1221+Config!$B$9&lt;=Config!$B$8,Config!$B$8-Q1221,""))</f>
        <v/>
      </c>
      <c r="T1221" s="26">
        <f>IF(S1221="","","Sim")</f>
        <v/>
      </c>
      <c r="U1221" s="41">
        <f>IF(T1221="Sim",S1221+ROW()/100000,0)</f>
        <v>0</v>
      </c>
      <c r="V1221" s="41">
        <f>IF(AND(H1221="Falta",L1221=Config!$B$7,M1221=Config!$B$5,COUNTIFS($E$5:E1221,E1221,$H$5:H1221,"Falta",$L$5:L1221,Config!$B$7,$M$5:M1221,Config!$B$5)=1),COUNTIFS($E$5:$E$3004,E1221,$H$5:$H$3004,"Falta",$L$5:$L$3004,Config!$B$7,$M$5:$M$3004,Config!$B$5)*1000-ROW()/100000,0)</f>
        <v>0</v>
      </c>
    </row>
    <row r="1222">
      <c r="A1222" s="39" t="n">
        <v>46297</v>
      </c>
      <c r="B1222" s="40" t="n">
        <v>0.3333333333333333</v>
      </c>
      <c r="C1222" s="35" t="inlineStr">
        <is>
          <t>Dr. Paulo Andrade</t>
        </is>
      </c>
      <c r="D1222" s="35" t="inlineStr">
        <is>
          <t>Sala 2</t>
        </is>
      </c>
      <c r="E1222" s="34" t="inlineStr">
        <is>
          <t>Viviane Duarte</t>
        </is>
      </c>
      <c r="F1222" s="35" t="inlineStr">
        <is>
          <t>MediPlan</t>
        </is>
      </c>
      <c r="G1222" s="35" t="inlineStr">
        <is>
          <t>Consulta</t>
        </is>
      </c>
      <c r="H1222" s="35" t="inlineStr">
        <is>
          <t>Agendado</t>
        </is>
      </c>
      <c r="I1222" s="35" t="n"/>
      <c r="J1222" s="35" t="n"/>
      <c r="K1222" s="34" t="n"/>
      <c r="L1222" s="26">
        <f>IF(A1222="","",MONTH(A1222))</f>
        <v>10</v>
      </c>
      <c r="M1222" s="26">
        <f>IF(A1222="","",YEAR(A1222))</f>
        <v>2026</v>
      </c>
      <c r="N1222" s="26" t="str">
        <f>IF(A1222="","",CHOOSE(WEEKDAY(A1222,2),"Segunda","Terça","Quarta","Quinta","Sexta","Sábado","Domingo"))</f>
        <v>Sexta</v>
      </c>
      <c r="O1222" s="26" t="str">
        <f>IF(B1222="","",IF(B1222&lt;TIME(12,0,0),"Manhã",IF(B1222&lt;TIME(18,0,0),"Tarde","Noite")))</f>
        <v>Manhã</v>
      </c>
      <c r="P1222" s="32">
        <f>IF(G1222="","",IFERROR(INDEX(Config!$I$5:$I$16,MATCH(G1222,Config!$H$5:$H$16,0)),0))</f>
        <v>30</v>
      </c>
      <c r="Q1222" s="30">
        <f>IF(OR(H1222&lt;&gt;"Realizado",P1222="",P1222=0),"",A1222+P1222)</f>
        <v/>
      </c>
      <c r="R1222" s="26">
        <f>IF(Q1222="","",IF(COUNTIFS($E$5:$E$3004,E1222,$A$5:$A$3004,"&gt;"&amp;A1222,$H$5:$H$3004,"&lt;&gt;Falta",$H$5:$H$3004,"&lt;&gt;Cancelado",$H$5:$H$3004,"&lt;&gt;Remarcado")&gt;0,"Sim","Não"))</f>
        <v/>
      </c>
      <c r="S1222" s="32">
        <f>IF(R1222&lt;&gt;"Não","",IF(Q1222+Config!$B$9&lt;=Config!$B$8,Config!$B$8-Q1222,""))</f>
        <v/>
      </c>
      <c r="T1222" s="26">
        <f>IF(S1222="","","Sim")</f>
        <v/>
      </c>
      <c r="U1222" s="41">
        <f>IF(T1222="Sim",S1222+ROW()/100000,0)</f>
        <v>0</v>
      </c>
      <c r="V1222" s="41">
        <f>IF(AND(H1222="Falta",L1222=Config!$B$7,M1222=Config!$B$5,COUNTIFS($E$5:E1222,E1222,$H$5:H1222,"Falta",$L$5:L1222,Config!$B$7,$M$5:M1222,Config!$B$5)=1),COUNTIFS($E$5:$E$3004,E1222,$H$5:$H$3004,"Falta",$L$5:$L$3004,Config!$B$7,$M$5:$M$3004,Config!$B$5)*1000-ROW()/100000,0)</f>
        <v>0</v>
      </c>
    </row>
    <row r="1223">
      <c r="A1223" s="39" t="n">
        <v>46297</v>
      </c>
      <c r="B1223" s="40" t="n">
        <v>0.3541666666666667</v>
      </c>
      <c r="C1223" s="35" t="inlineStr">
        <is>
          <t>Dr. Paulo Andrade</t>
        </is>
      </c>
      <c r="D1223" s="35" t="inlineStr">
        <is>
          <t>Sala 2</t>
        </is>
      </c>
      <c r="E1223" s="34" t="inlineStr">
        <is>
          <t>Carlos Oliveira</t>
        </is>
      </c>
      <c r="F1223" s="35" t="inlineStr">
        <is>
          <t>Particular</t>
        </is>
      </c>
      <c r="G1223" s="35" t="inlineStr">
        <is>
          <t>Consulta</t>
        </is>
      </c>
      <c r="H1223" s="35" t="inlineStr">
        <is>
          <t>Agendado</t>
        </is>
      </c>
      <c r="I1223" s="35" t="n"/>
      <c r="J1223" s="35" t="n"/>
      <c r="K1223" s="34" t="n"/>
      <c r="L1223" s="26">
        <f>IF(A1223="","",MONTH(A1223))</f>
        <v>10</v>
      </c>
      <c r="M1223" s="26">
        <f>IF(A1223="","",YEAR(A1223))</f>
        <v>2026</v>
      </c>
      <c r="N1223" s="26" t="str">
        <f>IF(A1223="","",CHOOSE(WEEKDAY(A1223,2),"Segunda","Terça","Quarta","Quinta","Sexta","Sábado","Domingo"))</f>
        <v>Sexta</v>
      </c>
      <c r="O1223" s="26" t="str">
        <f>IF(B1223="","",IF(B1223&lt;TIME(12,0,0),"Manhã",IF(B1223&lt;TIME(18,0,0),"Tarde","Noite")))</f>
        <v>Manhã</v>
      </c>
      <c r="P1223" s="32">
        <f>IF(G1223="","",IFERROR(INDEX(Config!$I$5:$I$16,MATCH(G1223,Config!$H$5:$H$16,0)),0))</f>
        <v>30</v>
      </c>
      <c r="Q1223" s="30">
        <f>IF(OR(H1223&lt;&gt;"Realizado",P1223="",P1223=0),"",A1223+P1223)</f>
        <v/>
      </c>
      <c r="R1223" s="26">
        <f>IF(Q1223="","",IF(COUNTIFS($E$5:$E$3004,E1223,$A$5:$A$3004,"&gt;"&amp;A1223,$H$5:$H$3004,"&lt;&gt;Falta",$H$5:$H$3004,"&lt;&gt;Cancelado",$H$5:$H$3004,"&lt;&gt;Remarcado")&gt;0,"Sim","Não"))</f>
        <v/>
      </c>
      <c r="S1223" s="32">
        <f>IF(R1223&lt;&gt;"Não","",IF(Q1223+Config!$B$9&lt;=Config!$B$8,Config!$B$8-Q1223,""))</f>
        <v/>
      </c>
      <c r="T1223" s="26">
        <f>IF(S1223="","","Sim")</f>
        <v/>
      </c>
      <c r="U1223" s="41">
        <f>IF(T1223="Sim",S1223+ROW()/100000,0)</f>
        <v>0</v>
      </c>
      <c r="V1223" s="41">
        <f>IF(AND(H1223="Falta",L1223=Config!$B$7,M1223=Config!$B$5,COUNTIFS($E$5:E1223,E1223,$H$5:H1223,"Falta",$L$5:L1223,Config!$B$7,$M$5:M1223,Config!$B$5)=1),COUNTIFS($E$5:$E$3004,E1223,$H$5:$H$3004,"Falta",$L$5:$L$3004,Config!$B$7,$M$5:$M$3004,Config!$B$5)*1000-ROW()/100000,0)</f>
        <v>0</v>
      </c>
    </row>
    <row r="1224">
      <c r="A1224" s="39" t="n">
        <v>46297</v>
      </c>
      <c r="B1224" s="40" t="n">
        <v>0.3958333333333333</v>
      </c>
      <c r="C1224" s="35" t="inlineStr">
        <is>
          <t>Dr. Paulo Andrade</t>
        </is>
      </c>
      <c r="D1224" s="35" t="inlineStr">
        <is>
          <t>Sala 2</t>
        </is>
      </c>
      <c r="E1224" s="34" t="inlineStr">
        <is>
          <t>Mateus Lima</t>
        </is>
      </c>
      <c r="F1224" s="35" t="inlineStr">
        <is>
          <t>MediPlan</t>
        </is>
      </c>
      <c r="G1224" s="35" t="inlineStr">
        <is>
          <t>MAPA</t>
        </is>
      </c>
      <c r="H1224" s="35" t="inlineStr">
        <is>
          <t>Agendado</t>
        </is>
      </c>
      <c r="I1224" s="35" t="n"/>
      <c r="J1224" s="35" t="n"/>
      <c r="K1224" s="34" t="n"/>
      <c r="L1224" s="26">
        <f>IF(A1224="","",MONTH(A1224))</f>
        <v>10</v>
      </c>
      <c r="M1224" s="26">
        <f>IF(A1224="","",YEAR(A1224))</f>
        <v>2026</v>
      </c>
      <c r="N1224" s="26" t="str">
        <f>IF(A1224="","",CHOOSE(WEEKDAY(A1224,2),"Segunda","Terça","Quarta","Quinta","Sexta","Sábado","Domingo"))</f>
        <v>Sexta</v>
      </c>
      <c r="O1224" s="26" t="str">
        <f>IF(B1224="","",IF(B1224&lt;TIME(12,0,0),"Manhã",IF(B1224&lt;TIME(18,0,0),"Tarde","Noite")))</f>
        <v>Manhã</v>
      </c>
      <c r="P1224" s="32">
        <f>IF(G1224="","",IFERROR(INDEX(Config!$I$5:$I$16,MATCH(G1224,Config!$H$5:$H$16,0)),0))</f>
        <v>0</v>
      </c>
      <c r="Q1224" s="30">
        <f>IF(OR(H1224&lt;&gt;"Realizado",P1224="",P1224=0),"",A1224+P1224)</f>
        <v/>
      </c>
      <c r="R1224" s="26">
        <f>IF(Q1224="","",IF(COUNTIFS($E$5:$E$3004,E1224,$A$5:$A$3004,"&gt;"&amp;A1224,$H$5:$H$3004,"&lt;&gt;Falta",$H$5:$H$3004,"&lt;&gt;Cancelado",$H$5:$H$3004,"&lt;&gt;Remarcado")&gt;0,"Sim","Não"))</f>
        <v/>
      </c>
      <c r="S1224" s="32">
        <f>IF(R1224&lt;&gt;"Não","",IF(Q1224+Config!$B$9&lt;=Config!$B$8,Config!$B$8-Q1224,""))</f>
        <v/>
      </c>
      <c r="T1224" s="26">
        <f>IF(S1224="","","Sim")</f>
        <v/>
      </c>
      <c r="U1224" s="41">
        <f>IF(T1224="Sim",S1224+ROW()/100000,0)</f>
        <v>0</v>
      </c>
      <c r="V1224" s="41">
        <f>IF(AND(H1224="Falta",L1224=Config!$B$7,M1224=Config!$B$5,COUNTIFS($E$5:E1224,E1224,$H$5:H1224,"Falta",$L$5:L1224,Config!$B$7,$M$5:M1224,Config!$B$5)=1),COUNTIFS($E$5:$E$3004,E1224,$H$5:$H$3004,"Falta",$L$5:$L$3004,Config!$B$7,$M$5:$M$3004,Config!$B$5)*1000-ROW()/100000,0)</f>
        <v>0</v>
      </c>
    </row>
    <row r="1225">
      <c r="A1225" s="39" t="n">
        <v>46297</v>
      </c>
      <c r="B1225" s="40" t="n">
        <v>0.4097222222222222</v>
      </c>
      <c r="C1225" s="35" t="inlineStr">
        <is>
          <t>Dr. Paulo Andrade</t>
        </is>
      </c>
      <c r="D1225" s="35" t="inlineStr">
        <is>
          <t>Sala 2</t>
        </is>
      </c>
      <c r="E1225" s="34" t="inlineStr">
        <is>
          <t>Sandra Cardoso</t>
        </is>
      </c>
      <c r="F1225" s="35" t="inlineStr">
        <is>
          <t>Saúde Total</t>
        </is>
      </c>
      <c r="G1225" s="35" t="inlineStr">
        <is>
          <t>Consulta</t>
        </is>
      </c>
      <c r="H1225" s="35" t="inlineStr">
        <is>
          <t>Agendado</t>
        </is>
      </c>
      <c r="I1225" s="35" t="n"/>
      <c r="J1225" s="35" t="n"/>
      <c r="K1225" s="34" t="n"/>
      <c r="L1225" s="26">
        <f>IF(A1225="","",MONTH(A1225))</f>
        <v>10</v>
      </c>
      <c r="M1225" s="26">
        <f>IF(A1225="","",YEAR(A1225))</f>
        <v>2026</v>
      </c>
      <c r="N1225" s="26" t="str">
        <f>IF(A1225="","",CHOOSE(WEEKDAY(A1225,2),"Segunda","Terça","Quarta","Quinta","Sexta","Sábado","Domingo"))</f>
        <v>Sexta</v>
      </c>
      <c r="O1225" s="26" t="str">
        <f>IF(B1225="","",IF(B1225&lt;TIME(12,0,0),"Manhã",IF(B1225&lt;TIME(18,0,0),"Tarde","Noite")))</f>
        <v>Manhã</v>
      </c>
      <c r="P1225" s="32">
        <f>IF(G1225="","",IFERROR(INDEX(Config!$I$5:$I$16,MATCH(G1225,Config!$H$5:$H$16,0)),0))</f>
        <v>30</v>
      </c>
      <c r="Q1225" s="30">
        <f>IF(OR(H1225&lt;&gt;"Realizado",P1225="",P1225=0),"",A1225+P1225)</f>
        <v/>
      </c>
      <c r="R1225" s="26">
        <f>IF(Q1225="","",IF(COUNTIFS($E$5:$E$3004,E1225,$A$5:$A$3004,"&gt;"&amp;A1225,$H$5:$H$3004,"&lt;&gt;Falta",$H$5:$H$3004,"&lt;&gt;Cancelado",$H$5:$H$3004,"&lt;&gt;Remarcado")&gt;0,"Sim","Não"))</f>
        <v/>
      </c>
      <c r="S1225" s="32">
        <f>IF(R1225&lt;&gt;"Não","",IF(Q1225+Config!$B$9&lt;=Config!$B$8,Config!$B$8-Q1225,""))</f>
        <v/>
      </c>
      <c r="T1225" s="26">
        <f>IF(S1225="","","Sim")</f>
        <v/>
      </c>
      <c r="U1225" s="41">
        <f>IF(T1225="Sim",S1225+ROW()/100000,0)</f>
        <v>0</v>
      </c>
      <c r="V1225" s="41">
        <f>IF(AND(H1225="Falta",L1225=Config!$B$7,M1225=Config!$B$5,COUNTIFS($E$5:E1225,E1225,$H$5:H1225,"Falta",$L$5:L1225,Config!$B$7,$M$5:M1225,Config!$B$5)=1),COUNTIFS($E$5:$E$3004,E1225,$H$5:$H$3004,"Falta",$L$5:$L$3004,Config!$B$7,$M$5:$M$3004,Config!$B$5)*1000-ROW()/100000,0)</f>
        <v>0</v>
      </c>
    </row>
    <row r="1226">
      <c r="A1226" s="39" t="n">
        <v>46297</v>
      </c>
      <c r="B1226" s="40" t="n">
        <v>0.4305555555555556</v>
      </c>
      <c r="C1226" s="35" t="inlineStr">
        <is>
          <t>Dr. Paulo Andrade</t>
        </is>
      </c>
      <c r="D1226" s="35" t="inlineStr">
        <is>
          <t>Sala 2</t>
        </is>
      </c>
      <c r="E1226" s="34" t="inlineStr">
        <is>
          <t>Rodrigo Moreira</t>
        </is>
      </c>
      <c r="F1226" s="35" t="inlineStr">
        <is>
          <t>Particular</t>
        </is>
      </c>
      <c r="G1226" s="35" t="inlineStr">
        <is>
          <t>Teste ergométrico</t>
        </is>
      </c>
      <c r="H1226" s="35" t="inlineStr">
        <is>
          <t>Agendado</t>
        </is>
      </c>
      <c r="I1226" s="35" t="n"/>
      <c r="J1226" s="35" t="n"/>
      <c r="K1226" s="34" t="n"/>
      <c r="L1226" s="26">
        <f>IF(A1226="","",MONTH(A1226))</f>
        <v>10</v>
      </c>
      <c r="M1226" s="26">
        <f>IF(A1226="","",YEAR(A1226))</f>
        <v>2026</v>
      </c>
      <c r="N1226" s="26" t="str">
        <f>IF(A1226="","",CHOOSE(WEEKDAY(A1226,2),"Segunda","Terça","Quarta","Quinta","Sexta","Sábado","Domingo"))</f>
        <v>Sexta</v>
      </c>
      <c r="O1226" s="26" t="str">
        <f>IF(B1226="","",IF(B1226&lt;TIME(12,0,0),"Manhã",IF(B1226&lt;TIME(18,0,0),"Tarde","Noite")))</f>
        <v>Manhã</v>
      </c>
      <c r="P1226" s="32">
        <f>IF(G1226="","",IFERROR(INDEX(Config!$I$5:$I$16,MATCH(G1226,Config!$H$5:$H$16,0)),0))</f>
        <v>0</v>
      </c>
      <c r="Q1226" s="30">
        <f>IF(OR(H1226&lt;&gt;"Realizado",P1226="",P1226=0),"",A1226+P1226)</f>
        <v/>
      </c>
      <c r="R1226" s="26">
        <f>IF(Q1226="","",IF(COUNTIFS($E$5:$E$3004,E1226,$A$5:$A$3004,"&gt;"&amp;A1226,$H$5:$H$3004,"&lt;&gt;Falta",$H$5:$H$3004,"&lt;&gt;Cancelado",$H$5:$H$3004,"&lt;&gt;Remarcado")&gt;0,"Sim","Não"))</f>
        <v/>
      </c>
      <c r="S1226" s="32">
        <f>IF(R1226&lt;&gt;"Não","",IF(Q1226+Config!$B$9&lt;=Config!$B$8,Config!$B$8-Q1226,""))</f>
        <v/>
      </c>
      <c r="T1226" s="26">
        <f>IF(S1226="","","Sim")</f>
        <v/>
      </c>
      <c r="U1226" s="41">
        <f>IF(T1226="Sim",S1226+ROW()/100000,0)</f>
        <v>0</v>
      </c>
      <c r="V1226" s="41">
        <f>IF(AND(H1226="Falta",L1226=Config!$B$7,M1226=Config!$B$5,COUNTIFS($E$5:E1226,E1226,$H$5:H1226,"Falta",$L$5:L1226,Config!$B$7,$M$5:M1226,Config!$B$5)=1),COUNTIFS($E$5:$E$3004,E1226,$H$5:$H$3004,"Falta",$L$5:$L$3004,Config!$B$7,$M$5:$M$3004,Config!$B$5)*1000-ROW()/100000,0)</f>
        <v>0</v>
      </c>
    </row>
    <row r="1227">
      <c r="A1227" s="39" t="n">
        <v>46297</v>
      </c>
      <c r="B1227" s="40" t="n">
        <v>0.4583333333333333</v>
      </c>
      <c r="C1227" s="35" t="inlineStr">
        <is>
          <t>Dr. Paulo Andrade</t>
        </is>
      </c>
      <c r="D1227" s="35" t="inlineStr">
        <is>
          <t>Sala 2</t>
        </is>
      </c>
      <c r="E1227" s="34" t="inlineStr">
        <is>
          <t>Tatiana Cunha</t>
        </is>
      </c>
      <c r="F1227" s="35" t="inlineStr">
        <is>
          <t>Saúde Total</t>
        </is>
      </c>
      <c r="G1227" s="35" t="inlineStr">
        <is>
          <t>ECG</t>
        </is>
      </c>
      <c r="H1227" s="35" t="inlineStr">
        <is>
          <t>Agendado</t>
        </is>
      </c>
      <c r="I1227" s="35" t="n"/>
      <c r="J1227" s="35" t="n"/>
      <c r="K1227" s="34" t="n"/>
      <c r="L1227" s="26">
        <f>IF(A1227="","",MONTH(A1227))</f>
        <v>10</v>
      </c>
      <c r="M1227" s="26">
        <f>IF(A1227="","",YEAR(A1227))</f>
        <v>2026</v>
      </c>
      <c r="N1227" s="26" t="str">
        <f>IF(A1227="","",CHOOSE(WEEKDAY(A1227,2),"Segunda","Terça","Quarta","Quinta","Sexta","Sábado","Domingo"))</f>
        <v>Sexta</v>
      </c>
      <c r="O1227" s="26" t="str">
        <f>IF(B1227="","",IF(B1227&lt;TIME(12,0,0),"Manhã",IF(B1227&lt;TIME(18,0,0),"Tarde","Noite")))</f>
        <v>Manhã</v>
      </c>
      <c r="P1227" s="32">
        <f>IF(G1227="","",IFERROR(INDEX(Config!$I$5:$I$16,MATCH(G1227,Config!$H$5:$H$16,0)),0))</f>
        <v>0</v>
      </c>
      <c r="Q1227" s="30">
        <f>IF(OR(H1227&lt;&gt;"Realizado",P1227="",P1227=0),"",A1227+P1227)</f>
        <v/>
      </c>
      <c r="R1227" s="26">
        <f>IF(Q1227="","",IF(COUNTIFS($E$5:$E$3004,E1227,$A$5:$A$3004,"&gt;"&amp;A1227,$H$5:$H$3004,"&lt;&gt;Falta",$H$5:$H$3004,"&lt;&gt;Cancelado",$H$5:$H$3004,"&lt;&gt;Remarcado")&gt;0,"Sim","Não"))</f>
        <v/>
      </c>
      <c r="S1227" s="32">
        <f>IF(R1227&lt;&gt;"Não","",IF(Q1227+Config!$B$9&lt;=Config!$B$8,Config!$B$8-Q1227,""))</f>
        <v/>
      </c>
      <c r="T1227" s="26">
        <f>IF(S1227="","","Sim")</f>
        <v/>
      </c>
      <c r="U1227" s="41">
        <f>IF(T1227="Sim",S1227+ROW()/100000,0)</f>
        <v>0</v>
      </c>
      <c r="V1227" s="41">
        <f>IF(AND(H1227="Falta",L1227=Config!$B$7,M1227=Config!$B$5,COUNTIFS($E$5:E1227,E1227,$H$5:H1227,"Falta",$L$5:L1227,Config!$B$7,$M$5:M1227,Config!$B$5)=1),COUNTIFS($E$5:$E$3004,E1227,$H$5:$H$3004,"Falta",$L$5:$L$3004,Config!$B$7,$M$5:$M$3004,Config!$B$5)*1000-ROW()/100000,0)</f>
        <v>0</v>
      </c>
    </row>
    <row r="1228">
      <c r="A1228" s="39" t="n">
        <v>46300</v>
      </c>
      <c r="B1228" s="40" t="n">
        <v>0.3333333333333333</v>
      </c>
      <c r="C1228" s="35" t="inlineStr">
        <is>
          <t>Dra. Carolina Mendes</t>
        </is>
      </c>
      <c r="D1228" s="35" t="inlineStr">
        <is>
          <t>Sala 1</t>
        </is>
      </c>
      <c r="E1228" s="34" t="inlineStr">
        <is>
          <t>Débora Machado</t>
        </is>
      </c>
      <c r="F1228" s="35" t="inlineStr">
        <is>
          <t>Saúde Total</t>
        </is>
      </c>
      <c r="G1228" s="35" t="inlineStr">
        <is>
          <t>Consulta</t>
        </is>
      </c>
      <c r="H1228" s="35" t="inlineStr">
        <is>
          <t>Agendado</t>
        </is>
      </c>
      <c r="I1228" s="35" t="n"/>
      <c r="J1228" s="35" t="n"/>
      <c r="K1228" s="34" t="n"/>
      <c r="L1228" s="26">
        <f>IF(A1228="","",MONTH(A1228))</f>
        <v>10</v>
      </c>
      <c r="M1228" s="26">
        <f>IF(A1228="","",YEAR(A1228))</f>
        <v>2026</v>
      </c>
      <c r="N1228" s="26" t="str">
        <f>IF(A1228="","",CHOOSE(WEEKDAY(A1228,2),"Segunda","Terça","Quarta","Quinta","Sexta","Sábado","Domingo"))</f>
        <v>Segunda</v>
      </c>
      <c r="O1228" s="26" t="str">
        <f>IF(B1228="","",IF(B1228&lt;TIME(12,0,0),"Manhã",IF(B1228&lt;TIME(18,0,0),"Tarde","Noite")))</f>
        <v>Manhã</v>
      </c>
      <c r="P1228" s="32">
        <f>IF(G1228="","",IFERROR(INDEX(Config!$I$5:$I$16,MATCH(G1228,Config!$H$5:$H$16,0)),0))</f>
        <v>30</v>
      </c>
      <c r="Q1228" s="30">
        <f>IF(OR(H1228&lt;&gt;"Realizado",P1228="",P1228=0),"",A1228+P1228)</f>
        <v/>
      </c>
      <c r="R1228" s="26">
        <f>IF(Q1228="","",IF(COUNTIFS($E$5:$E$3004,E1228,$A$5:$A$3004,"&gt;"&amp;A1228,$H$5:$H$3004,"&lt;&gt;Falta",$H$5:$H$3004,"&lt;&gt;Cancelado",$H$5:$H$3004,"&lt;&gt;Remarcado")&gt;0,"Sim","Não"))</f>
        <v/>
      </c>
      <c r="S1228" s="32">
        <f>IF(R1228&lt;&gt;"Não","",IF(Q1228+Config!$B$9&lt;=Config!$B$8,Config!$B$8-Q1228,""))</f>
        <v/>
      </c>
      <c r="T1228" s="26">
        <f>IF(S1228="","","Sim")</f>
        <v/>
      </c>
      <c r="U1228" s="41">
        <f>IF(T1228="Sim",S1228+ROW()/100000,0)</f>
        <v>0</v>
      </c>
      <c r="V1228" s="41">
        <f>IF(AND(H1228="Falta",L1228=Config!$B$7,M1228=Config!$B$5,COUNTIFS($E$5:E1228,E1228,$H$5:H1228,"Falta",$L$5:L1228,Config!$B$7,$M$5:M1228,Config!$B$5)=1),COUNTIFS($E$5:$E$3004,E1228,$H$5:$H$3004,"Falta",$L$5:$L$3004,Config!$B$7,$M$5:$M$3004,Config!$B$5)*1000-ROW()/100000,0)</f>
        <v>0</v>
      </c>
    </row>
    <row r="1229">
      <c r="A1229" s="39" t="n">
        <v>46300</v>
      </c>
      <c r="B1229" s="40" t="n">
        <v>0.3541666666666667</v>
      </c>
      <c r="C1229" s="35" t="inlineStr">
        <is>
          <t>Dra. Carolina Mendes</t>
        </is>
      </c>
      <c r="D1229" s="35" t="inlineStr">
        <is>
          <t>Sala 1</t>
        </is>
      </c>
      <c r="E1229" s="34" t="inlineStr">
        <is>
          <t>Juliana Silva</t>
        </is>
      </c>
      <c r="F1229" s="35" t="inlineStr">
        <is>
          <t>Vida Care</t>
        </is>
      </c>
      <c r="G1229" s="35" t="inlineStr">
        <is>
          <t>Consulta</t>
        </is>
      </c>
      <c r="H1229" s="35" t="inlineStr">
        <is>
          <t>Agendado</t>
        </is>
      </c>
      <c r="I1229" s="35" t="n"/>
      <c r="J1229" s="35" t="n"/>
      <c r="K1229" s="34" t="n"/>
      <c r="L1229" s="26">
        <f>IF(A1229="","",MONTH(A1229))</f>
        <v>10</v>
      </c>
      <c r="M1229" s="26">
        <f>IF(A1229="","",YEAR(A1229))</f>
        <v>2026</v>
      </c>
      <c r="N1229" s="26" t="str">
        <f>IF(A1229="","",CHOOSE(WEEKDAY(A1229,2),"Segunda","Terça","Quarta","Quinta","Sexta","Sábado","Domingo"))</f>
        <v>Segunda</v>
      </c>
      <c r="O1229" s="26" t="str">
        <f>IF(B1229="","",IF(B1229&lt;TIME(12,0,0),"Manhã",IF(B1229&lt;TIME(18,0,0),"Tarde","Noite")))</f>
        <v>Manhã</v>
      </c>
      <c r="P1229" s="32">
        <f>IF(G1229="","",IFERROR(INDEX(Config!$I$5:$I$16,MATCH(G1229,Config!$H$5:$H$16,0)),0))</f>
        <v>30</v>
      </c>
      <c r="Q1229" s="30">
        <f>IF(OR(H1229&lt;&gt;"Realizado",P1229="",P1229=0),"",A1229+P1229)</f>
        <v/>
      </c>
      <c r="R1229" s="26">
        <f>IF(Q1229="","",IF(COUNTIFS($E$5:$E$3004,E1229,$A$5:$A$3004,"&gt;"&amp;A1229,$H$5:$H$3004,"&lt;&gt;Falta",$H$5:$H$3004,"&lt;&gt;Cancelado",$H$5:$H$3004,"&lt;&gt;Remarcado")&gt;0,"Sim","Não"))</f>
        <v/>
      </c>
      <c r="S1229" s="32">
        <f>IF(R1229&lt;&gt;"Não","",IF(Q1229+Config!$B$9&lt;=Config!$B$8,Config!$B$8-Q1229,""))</f>
        <v/>
      </c>
      <c r="T1229" s="26">
        <f>IF(S1229="","","Sim")</f>
        <v/>
      </c>
      <c r="U1229" s="41">
        <f>IF(T1229="Sim",S1229+ROW()/100000,0)</f>
        <v>0</v>
      </c>
      <c r="V1229" s="41">
        <f>IF(AND(H1229="Falta",L1229=Config!$B$7,M1229=Config!$B$5,COUNTIFS($E$5:E1229,E1229,$H$5:H1229,"Falta",$L$5:L1229,Config!$B$7,$M$5:M1229,Config!$B$5)=1),COUNTIFS($E$5:$E$3004,E1229,$H$5:$H$3004,"Falta",$L$5:$L$3004,Config!$B$7,$M$5:$M$3004,Config!$B$5)*1000-ROW()/100000,0)</f>
        <v>0</v>
      </c>
    </row>
    <row r="1230">
      <c r="A1230" s="39" t="n">
        <v>46300</v>
      </c>
      <c r="B1230" s="40" t="n">
        <v>0.375</v>
      </c>
      <c r="C1230" s="35" t="inlineStr">
        <is>
          <t>Dra. Carolina Mendes</t>
        </is>
      </c>
      <c r="D1230" s="35" t="inlineStr">
        <is>
          <t>Sala 1</t>
        </is>
      </c>
      <c r="E1230" s="34" t="inlineStr">
        <is>
          <t>Ricardo Melo</t>
        </is>
      </c>
      <c r="F1230" s="35" t="inlineStr">
        <is>
          <t>Saúde Total</t>
        </is>
      </c>
      <c r="G1230" s="35" t="inlineStr">
        <is>
          <t>Consulta</t>
        </is>
      </c>
      <c r="H1230" s="35" t="inlineStr">
        <is>
          <t>Agendado</t>
        </is>
      </c>
      <c r="I1230" s="35" t="n"/>
      <c r="J1230" s="35" t="n"/>
      <c r="K1230" s="34" t="n"/>
      <c r="L1230" s="26">
        <f>IF(A1230="","",MONTH(A1230))</f>
        <v>10</v>
      </c>
      <c r="M1230" s="26">
        <f>IF(A1230="","",YEAR(A1230))</f>
        <v>2026</v>
      </c>
      <c r="N1230" s="26" t="str">
        <f>IF(A1230="","",CHOOSE(WEEKDAY(A1230,2),"Segunda","Terça","Quarta","Quinta","Sexta","Sábado","Domingo"))</f>
        <v>Segunda</v>
      </c>
      <c r="O1230" s="26" t="str">
        <f>IF(B1230="","",IF(B1230&lt;TIME(12,0,0),"Manhã",IF(B1230&lt;TIME(18,0,0),"Tarde","Noite")))</f>
        <v>Manhã</v>
      </c>
      <c r="P1230" s="32">
        <f>IF(G1230="","",IFERROR(INDEX(Config!$I$5:$I$16,MATCH(G1230,Config!$H$5:$H$16,0)),0))</f>
        <v>30</v>
      </c>
      <c r="Q1230" s="30">
        <f>IF(OR(H1230&lt;&gt;"Realizado",P1230="",P1230=0),"",A1230+P1230)</f>
        <v/>
      </c>
      <c r="R1230" s="26">
        <f>IF(Q1230="","",IF(COUNTIFS($E$5:$E$3004,E1230,$A$5:$A$3004,"&gt;"&amp;A1230,$H$5:$H$3004,"&lt;&gt;Falta",$H$5:$H$3004,"&lt;&gt;Cancelado",$H$5:$H$3004,"&lt;&gt;Remarcado")&gt;0,"Sim","Não"))</f>
        <v/>
      </c>
      <c r="S1230" s="32">
        <f>IF(R1230&lt;&gt;"Não","",IF(Q1230+Config!$B$9&lt;=Config!$B$8,Config!$B$8-Q1230,""))</f>
        <v/>
      </c>
      <c r="T1230" s="26">
        <f>IF(S1230="","","Sim")</f>
        <v/>
      </c>
      <c r="U1230" s="41">
        <f>IF(T1230="Sim",S1230+ROW()/100000,0)</f>
        <v>0</v>
      </c>
      <c r="V1230" s="41">
        <f>IF(AND(H1230="Falta",L1230=Config!$B$7,M1230=Config!$B$5,COUNTIFS($E$5:E1230,E1230,$H$5:H1230,"Falta",$L$5:L1230,Config!$B$7,$M$5:M1230,Config!$B$5)=1),COUNTIFS($E$5:$E$3004,E1230,$H$5:$H$3004,"Falta",$L$5:$L$3004,Config!$B$7,$M$5:$M$3004,Config!$B$5)*1000-ROW()/100000,0)</f>
        <v>0</v>
      </c>
    </row>
    <row r="1231">
      <c r="A1231" s="39" t="n">
        <v>46300</v>
      </c>
      <c r="B1231" s="40" t="n">
        <v>0.4166666666666667</v>
      </c>
      <c r="C1231" s="35" t="inlineStr">
        <is>
          <t>Dra. Carolina Mendes</t>
        </is>
      </c>
      <c r="D1231" s="35" t="inlineStr">
        <is>
          <t>Sala 1</t>
        </is>
      </c>
      <c r="E1231" s="34" t="inlineStr">
        <is>
          <t>Leandro Oliveira</t>
        </is>
      </c>
      <c r="F1231" s="35" t="inlineStr">
        <is>
          <t>Particular</t>
        </is>
      </c>
      <c r="G1231" s="35" t="inlineStr">
        <is>
          <t>Consulta</t>
        </is>
      </c>
      <c r="H1231" s="35" t="inlineStr">
        <is>
          <t>Agendado</t>
        </is>
      </c>
      <c r="I1231" s="35" t="n"/>
      <c r="J1231" s="35" t="n"/>
      <c r="K1231" s="34" t="n"/>
      <c r="L1231" s="26">
        <f>IF(A1231="","",MONTH(A1231))</f>
        <v>10</v>
      </c>
      <c r="M1231" s="26">
        <f>IF(A1231="","",YEAR(A1231))</f>
        <v>2026</v>
      </c>
      <c r="N1231" s="26" t="str">
        <f>IF(A1231="","",CHOOSE(WEEKDAY(A1231,2),"Segunda","Terça","Quarta","Quinta","Sexta","Sábado","Domingo"))</f>
        <v>Segunda</v>
      </c>
      <c r="O1231" s="26" t="str">
        <f>IF(B1231="","",IF(B1231&lt;TIME(12,0,0),"Manhã",IF(B1231&lt;TIME(18,0,0),"Tarde","Noite")))</f>
        <v>Manhã</v>
      </c>
      <c r="P1231" s="32">
        <f>IF(G1231="","",IFERROR(INDEX(Config!$I$5:$I$16,MATCH(G1231,Config!$H$5:$H$16,0)),0))</f>
        <v>30</v>
      </c>
      <c r="Q1231" s="30">
        <f>IF(OR(H1231&lt;&gt;"Realizado",P1231="",P1231=0),"",A1231+P1231)</f>
        <v/>
      </c>
      <c r="R1231" s="26">
        <f>IF(Q1231="","",IF(COUNTIFS($E$5:$E$3004,E1231,$A$5:$A$3004,"&gt;"&amp;A1231,$H$5:$H$3004,"&lt;&gt;Falta",$H$5:$H$3004,"&lt;&gt;Cancelado",$H$5:$H$3004,"&lt;&gt;Remarcado")&gt;0,"Sim","Não"))</f>
        <v/>
      </c>
      <c r="S1231" s="32">
        <f>IF(R1231&lt;&gt;"Não","",IF(Q1231+Config!$B$9&lt;=Config!$B$8,Config!$B$8-Q1231,""))</f>
        <v/>
      </c>
      <c r="T1231" s="26">
        <f>IF(S1231="","","Sim")</f>
        <v/>
      </c>
      <c r="U1231" s="41">
        <f>IF(T1231="Sim",S1231+ROW()/100000,0)</f>
        <v>0</v>
      </c>
      <c r="V1231" s="41">
        <f>IF(AND(H1231="Falta",L1231=Config!$B$7,M1231=Config!$B$5,COUNTIFS($E$5:E1231,E1231,$H$5:H1231,"Falta",$L$5:L1231,Config!$B$7,$M$5:M1231,Config!$B$5)=1),COUNTIFS($E$5:$E$3004,E1231,$H$5:$H$3004,"Falta",$L$5:$L$3004,Config!$B$7,$M$5:$M$3004,Config!$B$5)*1000-ROW()/100000,0)</f>
        <v>0</v>
      </c>
    </row>
    <row r="1232">
      <c r="A1232" s="39" t="n">
        <v>46300</v>
      </c>
      <c r="B1232" s="40" t="n">
        <v>0.4375</v>
      </c>
      <c r="C1232" s="35" t="inlineStr">
        <is>
          <t>Dra. Carolina Mendes</t>
        </is>
      </c>
      <c r="D1232" s="35" t="inlineStr">
        <is>
          <t>Sala 1</t>
        </is>
      </c>
      <c r="E1232" s="34" t="inlineStr">
        <is>
          <t>Leandro Gomes</t>
        </is>
      </c>
      <c r="F1232" s="35" t="inlineStr">
        <is>
          <t>Saúde Total</t>
        </is>
      </c>
      <c r="G1232" s="35" t="inlineStr">
        <is>
          <t>Consulta</t>
        </is>
      </c>
      <c r="H1232" s="35" t="inlineStr">
        <is>
          <t>Agendado</t>
        </is>
      </c>
      <c r="I1232" s="35" t="n"/>
      <c r="J1232" s="35" t="n"/>
      <c r="K1232" s="34" t="n"/>
      <c r="L1232" s="26">
        <f>IF(A1232="","",MONTH(A1232))</f>
        <v>10</v>
      </c>
      <c r="M1232" s="26">
        <f>IF(A1232="","",YEAR(A1232))</f>
        <v>2026</v>
      </c>
      <c r="N1232" s="26" t="str">
        <f>IF(A1232="","",CHOOSE(WEEKDAY(A1232,2),"Segunda","Terça","Quarta","Quinta","Sexta","Sábado","Domingo"))</f>
        <v>Segunda</v>
      </c>
      <c r="O1232" s="26" t="str">
        <f>IF(B1232="","",IF(B1232&lt;TIME(12,0,0),"Manhã",IF(B1232&lt;TIME(18,0,0),"Tarde","Noite")))</f>
        <v>Manhã</v>
      </c>
      <c r="P1232" s="32">
        <f>IF(G1232="","",IFERROR(INDEX(Config!$I$5:$I$16,MATCH(G1232,Config!$H$5:$H$16,0)),0))</f>
        <v>30</v>
      </c>
      <c r="Q1232" s="30">
        <f>IF(OR(H1232&lt;&gt;"Realizado",P1232="",P1232=0),"",A1232+P1232)</f>
        <v/>
      </c>
      <c r="R1232" s="26">
        <f>IF(Q1232="","",IF(COUNTIFS($E$5:$E$3004,E1232,$A$5:$A$3004,"&gt;"&amp;A1232,$H$5:$H$3004,"&lt;&gt;Falta",$H$5:$H$3004,"&lt;&gt;Cancelado",$H$5:$H$3004,"&lt;&gt;Remarcado")&gt;0,"Sim","Não"))</f>
        <v/>
      </c>
      <c r="S1232" s="32">
        <f>IF(R1232&lt;&gt;"Não","",IF(Q1232+Config!$B$9&lt;=Config!$B$8,Config!$B$8-Q1232,""))</f>
        <v/>
      </c>
      <c r="T1232" s="26">
        <f>IF(S1232="","","Sim")</f>
        <v/>
      </c>
      <c r="U1232" s="41">
        <f>IF(T1232="Sim",S1232+ROW()/100000,0)</f>
        <v>0</v>
      </c>
      <c r="V1232" s="41">
        <f>IF(AND(H1232="Falta",L1232=Config!$B$7,M1232=Config!$B$5,COUNTIFS($E$5:E1232,E1232,$H$5:H1232,"Falta",$L$5:L1232,Config!$B$7,$M$5:M1232,Config!$B$5)=1),COUNTIFS($E$5:$E$3004,E1232,$H$5:$H$3004,"Falta",$L$5:$L$3004,Config!$B$7,$M$5:$M$3004,Config!$B$5)*1000-ROW()/100000,0)</f>
        <v>0</v>
      </c>
    </row>
    <row r="1233">
      <c r="A1233" s="39" t="n">
        <v>46300</v>
      </c>
      <c r="B1233" s="40" t="n">
        <v>0.4583333333333333</v>
      </c>
      <c r="C1233" s="35" t="inlineStr">
        <is>
          <t>Dra. Carolina Mendes</t>
        </is>
      </c>
      <c r="D1233" s="35" t="inlineStr">
        <is>
          <t>Sala 1</t>
        </is>
      </c>
      <c r="E1233" s="34" t="inlineStr">
        <is>
          <t>Rodrigo Gomes</t>
        </is>
      </c>
      <c r="F1233" s="35" t="inlineStr">
        <is>
          <t>Vida Care</t>
        </is>
      </c>
      <c r="G1233" s="35" t="inlineStr">
        <is>
          <t>Consulta</t>
        </is>
      </c>
      <c r="H1233" s="35" t="inlineStr">
        <is>
          <t>Agendado</t>
        </is>
      </c>
      <c r="I1233" s="35" t="n"/>
      <c r="J1233" s="35" t="n"/>
      <c r="K1233" s="34" t="n"/>
      <c r="L1233" s="26">
        <f>IF(A1233="","",MONTH(A1233))</f>
        <v>10</v>
      </c>
      <c r="M1233" s="26">
        <f>IF(A1233="","",YEAR(A1233))</f>
        <v>2026</v>
      </c>
      <c r="N1233" s="26" t="str">
        <f>IF(A1233="","",CHOOSE(WEEKDAY(A1233,2),"Segunda","Terça","Quarta","Quinta","Sexta","Sábado","Domingo"))</f>
        <v>Segunda</v>
      </c>
      <c r="O1233" s="26" t="str">
        <f>IF(B1233="","",IF(B1233&lt;TIME(12,0,0),"Manhã",IF(B1233&lt;TIME(18,0,0),"Tarde","Noite")))</f>
        <v>Manhã</v>
      </c>
      <c r="P1233" s="32">
        <f>IF(G1233="","",IFERROR(INDEX(Config!$I$5:$I$16,MATCH(G1233,Config!$H$5:$H$16,0)),0))</f>
        <v>30</v>
      </c>
      <c r="Q1233" s="30">
        <f>IF(OR(H1233&lt;&gt;"Realizado",P1233="",P1233=0),"",A1233+P1233)</f>
        <v/>
      </c>
      <c r="R1233" s="26">
        <f>IF(Q1233="","",IF(COUNTIFS($E$5:$E$3004,E1233,$A$5:$A$3004,"&gt;"&amp;A1233,$H$5:$H$3004,"&lt;&gt;Falta",$H$5:$H$3004,"&lt;&gt;Cancelado",$H$5:$H$3004,"&lt;&gt;Remarcado")&gt;0,"Sim","Não"))</f>
        <v/>
      </c>
      <c r="S1233" s="32">
        <f>IF(R1233&lt;&gt;"Não","",IF(Q1233+Config!$B$9&lt;=Config!$B$8,Config!$B$8-Q1233,""))</f>
        <v/>
      </c>
      <c r="T1233" s="26">
        <f>IF(S1233="","","Sim")</f>
        <v/>
      </c>
      <c r="U1233" s="41">
        <f>IF(T1233="Sim",S1233+ROW()/100000,0)</f>
        <v>0</v>
      </c>
      <c r="V1233" s="41">
        <f>IF(AND(H1233="Falta",L1233=Config!$B$7,M1233=Config!$B$5,COUNTIFS($E$5:E1233,E1233,$H$5:H1233,"Falta",$L$5:L1233,Config!$B$7,$M$5:M1233,Config!$B$5)=1),COUNTIFS($E$5:$E$3004,E1233,$H$5:$H$3004,"Falta",$L$5:$L$3004,Config!$B$7,$M$5:$M$3004,Config!$B$5)*1000-ROW()/100000,0)</f>
        <v>0</v>
      </c>
    </row>
    <row r="1234">
      <c r="A1234" s="39" t="n">
        <v>46300</v>
      </c>
      <c r="B1234" s="40" t="n">
        <v>0.4791666666666667</v>
      </c>
      <c r="C1234" s="35" t="inlineStr">
        <is>
          <t>Dra. Carolina Mendes</t>
        </is>
      </c>
      <c r="D1234" s="35" t="inlineStr">
        <is>
          <t>Sala 1</t>
        </is>
      </c>
      <c r="E1234" s="34" t="inlineStr">
        <is>
          <t>Roberta Araújo</t>
        </is>
      </c>
      <c r="F1234" s="35" t="inlineStr">
        <is>
          <t>Particular</t>
        </is>
      </c>
      <c r="G1234" s="35" t="inlineStr">
        <is>
          <t>Consulta</t>
        </is>
      </c>
      <c r="H1234" s="35" t="inlineStr">
        <is>
          <t>Agendado</t>
        </is>
      </c>
      <c r="I1234" s="35" t="n"/>
      <c r="J1234" s="35" t="n"/>
      <c r="K1234" s="34" t="n"/>
      <c r="L1234" s="26">
        <f>IF(A1234="","",MONTH(A1234))</f>
        <v>10</v>
      </c>
      <c r="M1234" s="26">
        <f>IF(A1234="","",YEAR(A1234))</f>
        <v>2026</v>
      </c>
      <c r="N1234" s="26" t="str">
        <f>IF(A1234="","",CHOOSE(WEEKDAY(A1234,2),"Segunda","Terça","Quarta","Quinta","Sexta","Sábado","Domingo"))</f>
        <v>Segunda</v>
      </c>
      <c r="O1234" s="26" t="str">
        <f>IF(B1234="","",IF(B1234&lt;TIME(12,0,0),"Manhã",IF(B1234&lt;TIME(18,0,0),"Tarde","Noite")))</f>
        <v>Manhã</v>
      </c>
      <c r="P1234" s="32">
        <f>IF(G1234="","",IFERROR(INDEX(Config!$I$5:$I$16,MATCH(G1234,Config!$H$5:$H$16,0)),0))</f>
        <v>30</v>
      </c>
      <c r="Q1234" s="30">
        <f>IF(OR(H1234&lt;&gt;"Realizado",P1234="",P1234=0),"",A1234+P1234)</f>
        <v/>
      </c>
      <c r="R1234" s="26">
        <f>IF(Q1234="","",IF(COUNTIFS($E$5:$E$3004,E1234,$A$5:$A$3004,"&gt;"&amp;A1234,$H$5:$H$3004,"&lt;&gt;Falta",$H$5:$H$3004,"&lt;&gt;Cancelado",$H$5:$H$3004,"&lt;&gt;Remarcado")&gt;0,"Sim","Não"))</f>
        <v/>
      </c>
      <c r="S1234" s="32">
        <f>IF(R1234&lt;&gt;"Não","",IF(Q1234+Config!$B$9&lt;=Config!$B$8,Config!$B$8-Q1234,""))</f>
        <v/>
      </c>
      <c r="T1234" s="26">
        <f>IF(S1234="","","Sim")</f>
        <v/>
      </c>
      <c r="U1234" s="41">
        <f>IF(T1234="Sim",S1234+ROW()/100000,0)</f>
        <v>0</v>
      </c>
      <c r="V1234" s="41">
        <f>IF(AND(H1234="Falta",L1234=Config!$B$7,M1234=Config!$B$5,COUNTIFS($E$5:E1234,E1234,$H$5:H1234,"Falta",$L$5:L1234,Config!$B$7,$M$5:M1234,Config!$B$5)=1),COUNTIFS($E$5:$E$3004,E1234,$H$5:$H$3004,"Falta",$L$5:$L$3004,Config!$B$7,$M$5:$M$3004,Config!$B$5)*1000-ROW()/100000,0)</f>
        <v>0</v>
      </c>
    </row>
    <row r="1235">
      <c r="A1235" s="39" t="n">
        <v>46300</v>
      </c>
      <c r="B1235" s="40" t="n">
        <v>0.5833333333333334</v>
      </c>
      <c r="C1235" s="35" t="inlineStr">
        <is>
          <t>Dr. Paulo Andrade</t>
        </is>
      </c>
      <c r="D1235" s="35" t="inlineStr">
        <is>
          <t>Sala 2</t>
        </is>
      </c>
      <c r="E1235" s="34" t="inlineStr">
        <is>
          <t>Elaine Cardoso</t>
        </is>
      </c>
      <c r="F1235" s="35" t="inlineStr">
        <is>
          <t>Particular</t>
        </is>
      </c>
      <c r="G1235" s="35" t="inlineStr">
        <is>
          <t>MAPA</t>
        </is>
      </c>
      <c r="H1235" s="35" t="inlineStr">
        <is>
          <t>Agendado</t>
        </is>
      </c>
      <c r="I1235" s="35" t="n"/>
      <c r="J1235" s="35" t="n"/>
      <c r="K1235" s="34" t="n"/>
      <c r="L1235" s="26">
        <f>IF(A1235="","",MONTH(A1235))</f>
        <v>10</v>
      </c>
      <c r="M1235" s="26">
        <f>IF(A1235="","",YEAR(A1235))</f>
        <v>2026</v>
      </c>
      <c r="N1235" s="26" t="str">
        <f>IF(A1235="","",CHOOSE(WEEKDAY(A1235,2),"Segunda","Terça","Quarta","Quinta","Sexta","Sábado","Domingo"))</f>
        <v>Segunda</v>
      </c>
      <c r="O1235" s="26" t="str">
        <f>IF(B1235="","",IF(B1235&lt;TIME(12,0,0),"Manhã",IF(B1235&lt;TIME(18,0,0),"Tarde","Noite")))</f>
        <v>Tarde</v>
      </c>
      <c r="P1235" s="32">
        <f>IF(G1235="","",IFERROR(INDEX(Config!$I$5:$I$16,MATCH(G1235,Config!$H$5:$H$16,0)),0))</f>
        <v>0</v>
      </c>
      <c r="Q1235" s="30">
        <f>IF(OR(H1235&lt;&gt;"Realizado",P1235="",P1235=0),"",A1235+P1235)</f>
        <v/>
      </c>
      <c r="R1235" s="26">
        <f>IF(Q1235="","",IF(COUNTIFS($E$5:$E$3004,E1235,$A$5:$A$3004,"&gt;"&amp;A1235,$H$5:$H$3004,"&lt;&gt;Falta",$H$5:$H$3004,"&lt;&gt;Cancelado",$H$5:$H$3004,"&lt;&gt;Remarcado")&gt;0,"Sim","Não"))</f>
        <v/>
      </c>
      <c r="S1235" s="32">
        <f>IF(R1235&lt;&gt;"Não","",IF(Q1235+Config!$B$9&lt;=Config!$B$8,Config!$B$8-Q1235,""))</f>
        <v/>
      </c>
      <c r="T1235" s="26">
        <f>IF(S1235="","","Sim")</f>
        <v/>
      </c>
      <c r="U1235" s="41">
        <f>IF(T1235="Sim",S1235+ROW()/100000,0)</f>
        <v>0</v>
      </c>
      <c r="V1235" s="41">
        <f>IF(AND(H1235="Falta",L1235=Config!$B$7,M1235=Config!$B$5,COUNTIFS($E$5:E1235,E1235,$H$5:H1235,"Falta",$L$5:L1235,Config!$B$7,$M$5:M1235,Config!$B$5)=1),COUNTIFS($E$5:$E$3004,E1235,$H$5:$H$3004,"Falta",$L$5:$L$3004,Config!$B$7,$M$5:$M$3004,Config!$B$5)*1000-ROW()/100000,0)</f>
        <v>0</v>
      </c>
    </row>
    <row r="1236">
      <c r="A1236" s="39" t="n">
        <v>46300</v>
      </c>
      <c r="B1236" s="40" t="n">
        <v>0.5972222222222222</v>
      </c>
      <c r="C1236" s="35" t="inlineStr">
        <is>
          <t>Dr. Paulo Andrade</t>
        </is>
      </c>
      <c r="D1236" s="35" t="inlineStr">
        <is>
          <t>Sala 2</t>
        </is>
      </c>
      <c r="E1236" s="34" t="inlineStr">
        <is>
          <t>Marcelo Ferreira</t>
        </is>
      </c>
      <c r="F1236" s="35" t="inlineStr">
        <is>
          <t>Particular</t>
        </is>
      </c>
      <c r="G1236" s="35" t="inlineStr">
        <is>
          <t>Consulta</t>
        </is>
      </c>
      <c r="H1236" s="35" t="inlineStr">
        <is>
          <t>Agendado</t>
        </is>
      </c>
      <c r="I1236" s="35" t="n"/>
      <c r="J1236" s="35" t="n"/>
      <c r="K1236" s="34" t="n"/>
      <c r="L1236" s="26">
        <f>IF(A1236="","",MONTH(A1236))</f>
        <v>10</v>
      </c>
      <c r="M1236" s="26">
        <f>IF(A1236="","",YEAR(A1236))</f>
        <v>2026</v>
      </c>
      <c r="N1236" s="26" t="str">
        <f>IF(A1236="","",CHOOSE(WEEKDAY(A1236,2),"Segunda","Terça","Quarta","Quinta","Sexta","Sábado","Domingo"))</f>
        <v>Segunda</v>
      </c>
      <c r="O1236" s="26" t="str">
        <f>IF(B1236="","",IF(B1236&lt;TIME(12,0,0),"Manhã",IF(B1236&lt;TIME(18,0,0),"Tarde","Noite")))</f>
        <v>Tarde</v>
      </c>
      <c r="P1236" s="32">
        <f>IF(G1236="","",IFERROR(INDEX(Config!$I$5:$I$16,MATCH(G1236,Config!$H$5:$H$16,0)),0))</f>
        <v>30</v>
      </c>
      <c r="Q1236" s="30">
        <f>IF(OR(H1236&lt;&gt;"Realizado",P1236="",P1236=0),"",A1236+P1236)</f>
        <v/>
      </c>
      <c r="R1236" s="26">
        <f>IF(Q1236="","",IF(COUNTIFS($E$5:$E$3004,E1236,$A$5:$A$3004,"&gt;"&amp;A1236,$H$5:$H$3004,"&lt;&gt;Falta",$H$5:$H$3004,"&lt;&gt;Cancelado",$H$5:$H$3004,"&lt;&gt;Remarcado")&gt;0,"Sim","Não"))</f>
        <v/>
      </c>
      <c r="S1236" s="32">
        <f>IF(R1236&lt;&gt;"Não","",IF(Q1236+Config!$B$9&lt;=Config!$B$8,Config!$B$8-Q1236,""))</f>
        <v/>
      </c>
      <c r="T1236" s="26">
        <f>IF(S1236="","","Sim")</f>
        <v/>
      </c>
      <c r="U1236" s="41">
        <f>IF(T1236="Sim",S1236+ROW()/100000,0)</f>
        <v>0</v>
      </c>
      <c r="V1236" s="41">
        <f>IF(AND(H1236="Falta",L1236=Config!$B$7,M1236=Config!$B$5,COUNTIFS($E$5:E1236,E1236,$H$5:H1236,"Falta",$L$5:L1236,Config!$B$7,$M$5:M1236,Config!$B$5)=1),COUNTIFS($E$5:$E$3004,E1236,$H$5:$H$3004,"Falta",$L$5:$L$3004,Config!$B$7,$M$5:$M$3004,Config!$B$5)*1000-ROW()/100000,0)</f>
        <v>0</v>
      </c>
    </row>
    <row r="1237">
      <c r="A1237" s="39" t="n">
        <v>46300</v>
      </c>
      <c r="B1237" s="40" t="n">
        <v>0.6180555555555556</v>
      </c>
      <c r="C1237" s="35" t="inlineStr">
        <is>
          <t>Dr. Paulo Andrade</t>
        </is>
      </c>
      <c r="D1237" s="35" t="inlineStr">
        <is>
          <t>Sala 2</t>
        </is>
      </c>
      <c r="E1237" s="34" t="inlineStr">
        <is>
          <t>Priscila Nunes</t>
        </is>
      </c>
      <c r="F1237" s="35" t="inlineStr">
        <is>
          <t>MediPlan</t>
        </is>
      </c>
      <c r="G1237" s="35" t="inlineStr">
        <is>
          <t>Teste ergométrico</t>
        </is>
      </c>
      <c r="H1237" s="35" t="inlineStr">
        <is>
          <t>Agendado</t>
        </is>
      </c>
      <c r="I1237" s="35" t="n"/>
      <c r="J1237" s="35" t="n"/>
      <c r="K1237" s="34" t="n"/>
      <c r="L1237" s="26">
        <f>IF(A1237="","",MONTH(A1237))</f>
        <v>10</v>
      </c>
      <c r="M1237" s="26">
        <f>IF(A1237="","",YEAR(A1237))</f>
        <v>2026</v>
      </c>
      <c r="N1237" s="26" t="str">
        <f>IF(A1237="","",CHOOSE(WEEKDAY(A1237,2),"Segunda","Terça","Quarta","Quinta","Sexta","Sábado","Domingo"))</f>
        <v>Segunda</v>
      </c>
      <c r="O1237" s="26" t="str">
        <f>IF(B1237="","",IF(B1237&lt;TIME(12,0,0),"Manhã",IF(B1237&lt;TIME(18,0,0),"Tarde","Noite")))</f>
        <v>Tarde</v>
      </c>
      <c r="P1237" s="32">
        <f>IF(G1237="","",IFERROR(INDEX(Config!$I$5:$I$16,MATCH(G1237,Config!$H$5:$H$16,0)),0))</f>
        <v>0</v>
      </c>
      <c r="Q1237" s="30">
        <f>IF(OR(H1237&lt;&gt;"Realizado",P1237="",P1237=0),"",A1237+P1237)</f>
        <v/>
      </c>
      <c r="R1237" s="26">
        <f>IF(Q1237="","",IF(COUNTIFS($E$5:$E$3004,E1237,$A$5:$A$3004,"&gt;"&amp;A1237,$H$5:$H$3004,"&lt;&gt;Falta",$H$5:$H$3004,"&lt;&gt;Cancelado",$H$5:$H$3004,"&lt;&gt;Remarcado")&gt;0,"Sim","Não"))</f>
        <v/>
      </c>
      <c r="S1237" s="32">
        <f>IF(R1237&lt;&gt;"Não","",IF(Q1237+Config!$B$9&lt;=Config!$B$8,Config!$B$8-Q1237,""))</f>
        <v/>
      </c>
      <c r="T1237" s="26">
        <f>IF(S1237="","","Sim")</f>
        <v/>
      </c>
      <c r="U1237" s="41">
        <f>IF(T1237="Sim",S1237+ROW()/100000,0)</f>
        <v>0</v>
      </c>
      <c r="V1237" s="41">
        <f>IF(AND(H1237="Falta",L1237=Config!$B$7,M1237=Config!$B$5,COUNTIFS($E$5:E1237,E1237,$H$5:H1237,"Falta",$L$5:L1237,Config!$B$7,$M$5:M1237,Config!$B$5)=1),COUNTIFS($E$5:$E$3004,E1237,$H$5:$H$3004,"Falta",$L$5:$L$3004,Config!$B$7,$M$5:$M$3004,Config!$B$5)*1000-ROW()/100000,0)</f>
        <v>0</v>
      </c>
    </row>
    <row r="1238">
      <c r="A1238" s="39" t="n">
        <v>46300</v>
      </c>
      <c r="B1238" s="40" t="n">
        <v>0.6458333333333334</v>
      </c>
      <c r="C1238" s="35" t="inlineStr">
        <is>
          <t>Dr. Paulo Andrade</t>
        </is>
      </c>
      <c r="D1238" s="35" t="inlineStr">
        <is>
          <t>Sala 2</t>
        </is>
      </c>
      <c r="E1238" s="34" t="inlineStr">
        <is>
          <t>Mateus Dias</t>
        </is>
      </c>
      <c r="F1238" s="35" t="inlineStr">
        <is>
          <t>Saúde Total</t>
        </is>
      </c>
      <c r="G1238" s="35" t="inlineStr">
        <is>
          <t>Consulta</t>
        </is>
      </c>
      <c r="H1238" s="35" t="inlineStr">
        <is>
          <t>Agendado</t>
        </is>
      </c>
      <c r="I1238" s="35" t="n"/>
      <c r="J1238" s="35" t="n"/>
      <c r="K1238" s="34" t="n"/>
      <c r="L1238" s="26">
        <f>IF(A1238="","",MONTH(A1238))</f>
        <v>10</v>
      </c>
      <c r="M1238" s="26">
        <f>IF(A1238="","",YEAR(A1238))</f>
        <v>2026</v>
      </c>
      <c r="N1238" s="26" t="str">
        <f>IF(A1238="","",CHOOSE(WEEKDAY(A1238,2),"Segunda","Terça","Quarta","Quinta","Sexta","Sábado","Domingo"))</f>
        <v>Segunda</v>
      </c>
      <c r="O1238" s="26" t="str">
        <f>IF(B1238="","",IF(B1238&lt;TIME(12,0,0),"Manhã",IF(B1238&lt;TIME(18,0,0),"Tarde","Noite")))</f>
        <v>Tarde</v>
      </c>
      <c r="P1238" s="32">
        <f>IF(G1238="","",IFERROR(INDEX(Config!$I$5:$I$16,MATCH(G1238,Config!$H$5:$H$16,0)),0))</f>
        <v>30</v>
      </c>
      <c r="Q1238" s="30">
        <f>IF(OR(H1238&lt;&gt;"Realizado",P1238="",P1238=0),"",A1238+P1238)</f>
        <v/>
      </c>
      <c r="R1238" s="26">
        <f>IF(Q1238="","",IF(COUNTIFS($E$5:$E$3004,E1238,$A$5:$A$3004,"&gt;"&amp;A1238,$H$5:$H$3004,"&lt;&gt;Falta",$H$5:$H$3004,"&lt;&gt;Cancelado",$H$5:$H$3004,"&lt;&gt;Remarcado")&gt;0,"Sim","Não"))</f>
        <v/>
      </c>
      <c r="S1238" s="32">
        <f>IF(R1238&lt;&gt;"Não","",IF(Q1238+Config!$B$9&lt;=Config!$B$8,Config!$B$8-Q1238,""))</f>
        <v/>
      </c>
      <c r="T1238" s="26">
        <f>IF(S1238="","","Sim")</f>
        <v/>
      </c>
      <c r="U1238" s="41">
        <f>IF(T1238="Sim",S1238+ROW()/100000,0)</f>
        <v>0</v>
      </c>
      <c r="V1238" s="41">
        <f>IF(AND(H1238="Falta",L1238=Config!$B$7,M1238=Config!$B$5,COUNTIFS($E$5:E1238,E1238,$H$5:H1238,"Falta",$L$5:L1238,Config!$B$7,$M$5:M1238,Config!$B$5)=1),COUNTIFS($E$5:$E$3004,E1238,$H$5:$H$3004,"Falta",$L$5:$L$3004,Config!$B$7,$M$5:$M$3004,Config!$B$5)*1000-ROW()/100000,0)</f>
        <v>0</v>
      </c>
    </row>
    <row r="1239">
      <c r="A1239" s="39" t="n">
        <v>46300</v>
      </c>
      <c r="B1239" s="40" t="n">
        <v>0.6666666666666666</v>
      </c>
      <c r="C1239" s="35" t="inlineStr">
        <is>
          <t>Dr. Paulo Andrade</t>
        </is>
      </c>
      <c r="D1239" s="35" t="inlineStr">
        <is>
          <t>Sala 2</t>
        </is>
      </c>
      <c r="E1239" s="34" t="inlineStr">
        <is>
          <t>Viviane Ribeiro</t>
        </is>
      </c>
      <c r="F1239" s="35" t="inlineStr">
        <is>
          <t>Particular</t>
        </is>
      </c>
      <c r="G1239" s="35" t="inlineStr">
        <is>
          <t>MAPA</t>
        </is>
      </c>
      <c r="H1239" s="35" t="inlineStr">
        <is>
          <t>Agendado</t>
        </is>
      </c>
      <c r="I1239" s="35" t="n"/>
      <c r="J1239" s="35" t="n"/>
      <c r="K1239" s="34" t="n"/>
      <c r="L1239" s="26">
        <f>IF(A1239="","",MONTH(A1239))</f>
        <v>10</v>
      </c>
      <c r="M1239" s="26">
        <f>IF(A1239="","",YEAR(A1239))</f>
        <v>2026</v>
      </c>
      <c r="N1239" s="26" t="str">
        <f>IF(A1239="","",CHOOSE(WEEKDAY(A1239,2),"Segunda","Terça","Quarta","Quinta","Sexta","Sábado","Domingo"))</f>
        <v>Segunda</v>
      </c>
      <c r="O1239" s="26" t="str">
        <f>IF(B1239="","",IF(B1239&lt;TIME(12,0,0),"Manhã",IF(B1239&lt;TIME(18,0,0),"Tarde","Noite")))</f>
        <v>Tarde</v>
      </c>
      <c r="P1239" s="32">
        <f>IF(G1239="","",IFERROR(INDEX(Config!$I$5:$I$16,MATCH(G1239,Config!$H$5:$H$16,0)),0))</f>
        <v>0</v>
      </c>
      <c r="Q1239" s="30">
        <f>IF(OR(H1239&lt;&gt;"Realizado",P1239="",P1239=0),"",A1239+P1239)</f>
        <v/>
      </c>
      <c r="R1239" s="26">
        <f>IF(Q1239="","",IF(COUNTIFS($E$5:$E$3004,E1239,$A$5:$A$3004,"&gt;"&amp;A1239,$H$5:$H$3004,"&lt;&gt;Falta",$H$5:$H$3004,"&lt;&gt;Cancelado",$H$5:$H$3004,"&lt;&gt;Remarcado")&gt;0,"Sim","Não"))</f>
        <v/>
      </c>
      <c r="S1239" s="32">
        <f>IF(R1239&lt;&gt;"Não","",IF(Q1239+Config!$B$9&lt;=Config!$B$8,Config!$B$8-Q1239,""))</f>
        <v/>
      </c>
      <c r="T1239" s="26">
        <f>IF(S1239="","","Sim")</f>
        <v/>
      </c>
      <c r="U1239" s="41">
        <f>IF(T1239="Sim",S1239+ROW()/100000,0)</f>
        <v>0</v>
      </c>
      <c r="V1239" s="41">
        <f>IF(AND(H1239="Falta",L1239=Config!$B$7,M1239=Config!$B$5,COUNTIFS($E$5:E1239,E1239,$H$5:H1239,"Falta",$L$5:L1239,Config!$B$7,$M$5:M1239,Config!$B$5)=1),COUNTIFS($E$5:$E$3004,E1239,$H$5:$H$3004,"Falta",$L$5:$L$3004,Config!$B$7,$M$5:$M$3004,Config!$B$5)*1000-ROW()/100000,0)</f>
        <v>0</v>
      </c>
    </row>
    <row r="1240">
      <c r="A1240" s="39" t="n">
        <v>46300</v>
      </c>
      <c r="B1240" s="40" t="n">
        <v>0.6805555555555556</v>
      </c>
      <c r="C1240" s="35" t="inlineStr">
        <is>
          <t>Dr. Paulo Andrade</t>
        </is>
      </c>
      <c r="D1240" s="35" t="inlineStr">
        <is>
          <t>Sala 2</t>
        </is>
      </c>
      <c r="E1240" s="34" t="inlineStr">
        <is>
          <t>Gisele Ribeiro</t>
        </is>
      </c>
      <c r="F1240" s="35" t="inlineStr">
        <is>
          <t>Particular</t>
        </is>
      </c>
      <c r="G1240" s="35" t="inlineStr">
        <is>
          <t>Teste ergométrico</t>
        </is>
      </c>
      <c r="H1240" s="35" t="inlineStr">
        <is>
          <t>Agendado</t>
        </is>
      </c>
      <c r="I1240" s="35" t="n"/>
      <c r="J1240" s="35" t="n"/>
      <c r="K1240" s="34" t="n"/>
      <c r="L1240" s="26">
        <f>IF(A1240="","",MONTH(A1240))</f>
        <v>10</v>
      </c>
      <c r="M1240" s="26">
        <f>IF(A1240="","",YEAR(A1240))</f>
        <v>2026</v>
      </c>
      <c r="N1240" s="26" t="str">
        <f>IF(A1240="","",CHOOSE(WEEKDAY(A1240,2),"Segunda","Terça","Quarta","Quinta","Sexta","Sábado","Domingo"))</f>
        <v>Segunda</v>
      </c>
      <c r="O1240" s="26" t="str">
        <f>IF(B1240="","",IF(B1240&lt;TIME(12,0,0),"Manhã",IF(B1240&lt;TIME(18,0,0),"Tarde","Noite")))</f>
        <v>Tarde</v>
      </c>
      <c r="P1240" s="32">
        <f>IF(G1240="","",IFERROR(INDEX(Config!$I$5:$I$16,MATCH(G1240,Config!$H$5:$H$16,0)),0))</f>
        <v>0</v>
      </c>
      <c r="Q1240" s="30">
        <f>IF(OR(H1240&lt;&gt;"Realizado",P1240="",P1240=0),"",A1240+P1240)</f>
        <v/>
      </c>
      <c r="R1240" s="26">
        <f>IF(Q1240="","",IF(COUNTIFS($E$5:$E$3004,E1240,$A$5:$A$3004,"&gt;"&amp;A1240,$H$5:$H$3004,"&lt;&gt;Falta",$H$5:$H$3004,"&lt;&gt;Cancelado",$H$5:$H$3004,"&lt;&gt;Remarcado")&gt;0,"Sim","Não"))</f>
        <v/>
      </c>
      <c r="S1240" s="32">
        <f>IF(R1240&lt;&gt;"Não","",IF(Q1240+Config!$B$9&lt;=Config!$B$8,Config!$B$8-Q1240,""))</f>
        <v/>
      </c>
      <c r="T1240" s="26">
        <f>IF(S1240="","","Sim")</f>
        <v/>
      </c>
      <c r="U1240" s="41">
        <f>IF(T1240="Sim",S1240+ROW()/100000,0)</f>
        <v>0</v>
      </c>
      <c r="V1240" s="41">
        <f>IF(AND(H1240="Falta",L1240=Config!$B$7,M1240=Config!$B$5,COUNTIFS($E$5:E1240,E1240,$H$5:H1240,"Falta",$L$5:L1240,Config!$B$7,$M$5:M1240,Config!$B$5)=1),COUNTIFS($E$5:$E$3004,E1240,$H$5:$H$3004,"Falta",$L$5:$L$3004,Config!$B$7,$M$5:$M$3004,Config!$B$5)*1000-ROW()/100000,0)</f>
        <v>0</v>
      </c>
    </row>
    <row r="1241">
      <c r="A1241" s="39" t="n">
        <v>46300</v>
      </c>
      <c r="B1241" s="40" t="n">
        <v>0.7083333333333334</v>
      </c>
      <c r="C1241" s="35" t="inlineStr">
        <is>
          <t>Dr. Paulo Andrade</t>
        </is>
      </c>
      <c r="D1241" s="35" t="inlineStr">
        <is>
          <t>Sala 2</t>
        </is>
      </c>
      <c r="E1241" s="34" t="inlineStr">
        <is>
          <t>Sandra Barros</t>
        </is>
      </c>
      <c r="F1241" s="35" t="inlineStr">
        <is>
          <t>Saúde Total</t>
        </is>
      </c>
      <c r="G1241" s="35" t="inlineStr">
        <is>
          <t>ECG</t>
        </is>
      </c>
      <c r="H1241" s="35" t="inlineStr">
        <is>
          <t>Agendado</t>
        </is>
      </c>
      <c r="I1241" s="35" t="n"/>
      <c r="J1241" s="35" t="n"/>
      <c r="K1241" s="34" t="n"/>
      <c r="L1241" s="26">
        <f>IF(A1241="","",MONTH(A1241))</f>
        <v>10</v>
      </c>
      <c r="M1241" s="26">
        <f>IF(A1241="","",YEAR(A1241))</f>
        <v>2026</v>
      </c>
      <c r="N1241" s="26" t="str">
        <f>IF(A1241="","",CHOOSE(WEEKDAY(A1241,2),"Segunda","Terça","Quarta","Quinta","Sexta","Sábado","Domingo"))</f>
        <v>Segunda</v>
      </c>
      <c r="O1241" s="26" t="str">
        <f>IF(B1241="","",IF(B1241&lt;TIME(12,0,0),"Manhã",IF(B1241&lt;TIME(18,0,0),"Tarde","Noite")))</f>
        <v>Tarde</v>
      </c>
      <c r="P1241" s="32">
        <f>IF(G1241="","",IFERROR(INDEX(Config!$I$5:$I$16,MATCH(G1241,Config!$H$5:$H$16,0)),0))</f>
        <v>0</v>
      </c>
      <c r="Q1241" s="30">
        <f>IF(OR(H1241&lt;&gt;"Realizado",P1241="",P1241=0),"",A1241+P1241)</f>
        <v/>
      </c>
      <c r="R1241" s="26">
        <f>IF(Q1241="","",IF(COUNTIFS($E$5:$E$3004,E1241,$A$5:$A$3004,"&gt;"&amp;A1241,$H$5:$H$3004,"&lt;&gt;Falta",$H$5:$H$3004,"&lt;&gt;Cancelado",$H$5:$H$3004,"&lt;&gt;Remarcado")&gt;0,"Sim","Não"))</f>
        <v/>
      </c>
      <c r="S1241" s="32">
        <f>IF(R1241&lt;&gt;"Não","",IF(Q1241+Config!$B$9&lt;=Config!$B$8,Config!$B$8-Q1241,""))</f>
        <v/>
      </c>
      <c r="T1241" s="26">
        <f>IF(S1241="","","Sim")</f>
        <v/>
      </c>
      <c r="U1241" s="41">
        <f>IF(T1241="Sim",S1241+ROW()/100000,0)</f>
        <v>0</v>
      </c>
      <c r="V1241" s="41">
        <f>IF(AND(H1241="Falta",L1241=Config!$B$7,M1241=Config!$B$5,COUNTIFS($E$5:E1241,E1241,$H$5:H1241,"Falta",$L$5:L1241,Config!$B$7,$M$5:M1241,Config!$B$5)=1),COUNTIFS($E$5:$E$3004,E1241,$H$5:$H$3004,"Falta",$L$5:$L$3004,Config!$B$7,$M$5:$M$3004,Config!$B$5)*1000-ROW()/100000,0)</f>
        <v>0</v>
      </c>
    </row>
    <row r="1242">
      <c r="A1242" s="39" t="n">
        <v>46300</v>
      </c>
      <c r="B1242" s="40" t="n">
        <v>0.7222222222222222</v>
      </c>
      <c r="C1242" s="35" t="inlineStr">
        <is>
          <t>Dr. Paulo Andrade</t>
        </is>
      </c>
      <c r="D1242" s="35" t="inlineStr">
        <is>
          <t>Sala 2</t>
        </is>
      </c>
      <c r="E1242" s="34" t="inlineStr">
        <is>
          <t>Rodrigo Gomes</t>
        </is>
      </c>
      <c r="F1242" s="35" t="inlineStr">
        <is>
          <t>Vida Care</t>
        </is>
      </c>
      <c r="G1242" s="35" t="inlineStr">
        <is>
          <t>MAPA</t>
        </is>
      </c>
      <c r="H1242" s="35" t="inlineStr">
        <is>
          <t>Agendado</t>
        </is>
      </c>
      <c r="I1242" s="35" t="n"/>
      <c r="J1242" s="35" t="n"/>
      <c r="K1242" s="34" t="n"/>
      <c r="L1242" s="26">
        <f>IF(A1242="","",MONTH(A1242))</f>
        <v>10</v>
      </c>
      <c r="M1242" s="26">
        <f>IF(A1242="","",YEAR(A1242))</f>
        <v>2026</v>
      </c>
      <c r="N1242" s="26" t="str">
        <f>IF(A1242="","",CHOOSE(WEEKDAY(A1242,2),"Segunda","Terça","Quarta","Quinta","Sexta","Sábado","Domingo"))</f>
        <v>Segunda</v>
      </c>
      <c r="O1242" s="26" t="str">
        <f>IF(B1242="","",IF(B1242&lt;TIME(12,0,0),"Manhã",IF(B1242&lt;TIME(18,0,0),"Tarde","Noite")))</f>
        <v>Tarde</v>
      </c>
      <c r="P1242" s="32">
        <f>IF(G1242="","",IFERROR(INDEX(Config!$I$5:$I$16,MATCH(G1242,Config!$H$5:$H$16,0)),0))</f>
        <v>0</v>
      </c>
      <c r="Q1242" s="30">
        <f>IF(OR(H1242&lt;&gt;"Realizado",P1242="",P1242=0),"",A1242+P1242)</f>
        <v/>
      </c>
      <c r="R1242" s="26">
        <f>IF(Q1242="","",IF(COUNTIFS($E$5:$E$3004,E1242,$A$5:$A$3004,"&gt;"&amp;A1242,$H$5:$H$3004,"&lt;&gt;Falta",$H$5:$H$3004,"&lt;&gt;Cancelado",$H$5:$H$3004,"&lt;&gt;Remarcado")&gt;0,"Sim","Não"))</f>
        <v/>
      </c>
      <c r="S1242" s="32">
        <f>IF(R1242&lt;&gt;"Não","",IF(Q1242+Config!$B$9&lt;=Config!$B$8,Config!$B$8-Q1242,""))</f>
        <v/>
      </c>
      <c r="T1242" s="26">
        <f>IF(S1242="","","Sim")</f>
        <v/>
      </c>
      <c r="U1242" s="41">
        <f>IF(T1242="Sim",S1242+ROW()/100000,0)</f>
        <v>0</v>
      </c>
      <c r="V1242" s="41">
        <f>IF(AND(H1242="Falta",L1242=Config!$B$7,M1242=Config!$B$5,COUNTIFS($E$5:E1242,E1242,$H$5:H1242,"Falta",$L$5:L1242,Config!$B$7,$M$5:M1242,Config!$B$5)=1),COUNTIFS($E$5:$E$3004,E1242,$H$5:$H$3004,"Falta",$L$5:$L$3004,Config!$B$7,$M$5:$M$3004,Config!$B$5)*1000-ROW()/100000,0)</f>
        <v>0</v>
      </c>
    </row>
    <row r="1243">
      <c r="A1243" s="39" t="n">
        <v>46300</v>
      </c>
      <c r="B1243" s="40" t="n">
        <v>0.7361111111111112</v>
      </c>
      <c r="C1243" s="35" t="inlineStr">
        <is>
          <t>Dr. Paulo Andrade</t>
        </is>
      </c>
      <c r="D1243" s="35" t="inlineStr">
        <is>
          <t>Sala 2</t>
        </is>
      </c>
      <c r="E1243" s="34" t="inlineStr">
        <is>
          <t>Isabela Pinto</t>
        </is>
      </c>
      <c r="F1243" s="35" t="inlineStr">
        <is>
          <t>Saúde Total</t>
        </is>
      </c>
      <c r="G1243" s="35" t="inlineStr">
        <is>
          <t>ECG</t>
        </is>
      </c>
      <c r="H1243" s="35" t="inlineStr">
        <is>
          <t>Agendado</t>
        </is>
      </c>
      <c r="I1243" s="35" t="n"/>
      <c r="J1243" s="35" t="n"/>
      <c r="K1243" s="34" t="n"/>
      <c r="L1243" s="26">
        <f>IF(A1243="","",MONTH(A1243))</f>
        <v>10</v>
      </c>
      <c r="M1243" s="26">
        <f>IF(A1243="","",YEAR(A1243))</f>
        <v>2026</v>
      </c>
      <c r="N1243" s="26" t="str">
        <f>IF(A1243="","",CHOOSE(WEEKDAY(A1243,2),"Segunda","Terça","Quarta","Quinta","Sexta","Sábado","Domingo"))</f>
        <v>Segunda</v>
      </c>
      <c r="O1243" s="26" t="str">
        <f>IF(B1243="","",IF(B1243&lt;TIME(12,0,0),"Manhã",IF(B1243&lt;TIME(18,0,0),"Tarde","Noite")))</f>
        <v>Tarde</v>
      </c>
      <c r="P1243" s="32">
        <f>IF(G1243="","",IFERROR(INDEX(Config!$I$5:$I$16,MATCH(G1243,Config!$H$5:$H$16,0)),0))</f>
        <v>0</v>
      </c>
      <c r="Q1243" s="30">
        <f>IF(OR(H1243&lt;&gt;"Realizado",P1243="",P1243=0),"",A1243+P1243)</f>
        <v/>
      </c>
      <c r="R1243" s="26">
        <f>IF(Q1243="","",IF(COUNTIFS($E$5:$E$3004,E1243,$A$5:$A$3004,"&gt;"&amp;A1243,$H$5:$H$3004,"&lt;&gt;Falta",$H$5:$H$3004,"&lt;&gt;Cancelado",$H$5:$H$3004,"&lt;&gt;Remarcado")&gt;0,"Sim","Não"))</f>
        <v/>
      </c>
      <c r="S1243" s="32">
        <f>IF(R1243&lt;&gt;"Não","",IF(Q1243+Config!$B$9&lt;=Config!$B$8,Config!$B$8-Q1243,""))</f>
        <v/>
      </c>
      <c r="T1243" s="26">
        <f>IF(S1243="","","Sim")</f>
        <v/>
      </c>
      <c r="U1243" s="41">
        <f>IF(T1243="Sim",S1243+ROW()/100000,0)</f>
        <v>0</v>
      </c>
      <c r="V1243" s="41">
        <f>IF(AND(H1243="Falta",L1243=Config!$B$7,M1243=Config!$B$5,COUNTIFS($E$5:E1243,E1243,$H$5:H1243,"Falta",$L$5:L1243,Config!$B$7,$M$5:M1243,Config!$B$5)=1),COUNTIFS($E$5:$E$3004,E1243,$H$5:$H$3004,"Falta",$L$5:$L$3004,Config!$B$7,$M$5:$M$3004,Config!$B$5)*1000-ROW()/100000,0)</f>
        <v>0</v>
      </c>
    </row>
    <row r="1244">
      <c r="A1244" s="39" t="n"/>
      <c r="B1244" s="40" t="n"/>
      <c r="C1244" s="35" t="n"/>
      <c r="D1244" s="35" t="n"/>
      <c r="E1244" s="34" t="n"/>
      <c r="F1244" s="35" t="n"/>
      <c r="G1244" s="35" t="n"/>
      <c r="H1244" s="35" t="n"/>
      <c r="I1244" s="35" t="n"/>
      <c r="J1244" s="35" t="n"/>
      <c r="K1244" s="34" t="n"/>
      <c r="L1244" s="26">
        <f>IF(A1244="","",MONTH(A1244))</f>
        <v/>
      </c>
      <c r="M1244" s="26">
        <f>IF(A1244="","",YEAR(A1244))</f>
        <v/>
      </c>
      <c r="N1244" s="26">
        <f>IF(A1244="","",CHOOSE(WEEKDAY(A1244,2),"Segunda","Terça","Quarta","Quinta","Sexta","Sábado","Domingo"))</f>
        <v/>
      </c>
      <c r="O1244" s="26">
        <f>IF(B1244="","",IF(B1244&lt;TIME(12,0,0),"Manhã",IF(B1244&lt;TIME(18,0,0),"Tarde","Noite")))</f>
        <v/>
      </c>
      <c r="P1244" s="32">
        <f>IF(G1244="","",IFERROR(INDEX(Config!$I$5:$I$16,MATCH(G1244,Config!$H$5:$H$16,0)),0))</f>
        <v/>
      </c>
      <c r="Q1244" s="30">
        <f>IF(OR(H1244&lt;&gt;"Realizado",P1244="",P1244=0),"",A1244+P1244)</f>
        <v/>
      </c>
      <c r="R1244" s="26">
        <f>IF(Q1244="","",IF(COUNTIFS($E$5:$E$3004,E1244,$A$5:$A$3004,"&gt;"&amp;A1244,$H$5:$H$3004,"&lt;&gt;Falta",$H$5:$H$3004,"&lt;&gt;Cancelado",$H$5:$H$3004,"&lt;&gt;Remarcado")&gt;0,"Sim","Não"))</f>
        <v/>
      </c>
      <c r="S1244" s="32">
        <f>IF(R1244&lt;&gt;"Não","",IF(Q1244+Config!$B$9&lt;=Config!$B$8,Config!$B$8-Q1244,""))</f>
        <v/>
      </c>
      <c r="T1244" s="26">
        <f>IF(S1244="","","Sim")</f>
        <v/>
      </c>
      <c r="U1244" s="41">
        <f>IF(T1244="Sim",S1244+ROW()/100000,0)</f>
        <v>0</v>
      </c>
      <c r="V1244" s="41">
        <f>IF(AND(H1244="Falta",L1244=Config!$B$7,M1244=Config!$B$5,COUNTIFS($E$5:E1244,E1244,$H$5:H1244,"Falta",$L$5:L1244,Config!$B$7,$M$5:M1244,Config!$B$5)=1),COUNTIFS($E$5:$E$3004,E1244,$H$5:$H$3004,"Falta",$L$5:$L$3004,Config!$B$7,$M$5:$M$3004,Config!$B$5)*1000-ROW()/100000,0)</f>
        <v>0</v>
      </c>
    </row>
    <row r="1245">
      <c r="A1245" s="39" t="n"/>
      <c r="B1245" s="40" t="n"/>
      <c r="C1245" s="35" t="n"/>
      <c r="D1245" s="35" t="n"/>
      <c r="E1245" s="34" t="n"/>
      <c r="F1245" s="35" t="n"/>
      <c r="G1245" s="35" t="n"/>
      <c r="H1245" s="35" t="n"/>
      <c r="I1245" s="35" t="n"/>
      <c r="J1245" s="35" t="n"/>
      <c r="K1245" s="34" t="n"/>
      <c r="L1245" s="26">
        <f>IF(A1245="","",MONTH(A1245))</f>
        <v/>
      </c>
      <c r="M1245" s="26">
        <f>IF(A1245="","",YEAR(A1245))</f>
        <v/>
      </c>
      <c r="N1245" s="26">
        <f>IF(A1245="","",CHOOSE(WEEKDAY(A1245,2),"Segunda","Terça","Quarta","Quinta","Sexta","Sábado","Domingo"))</f>
        <v/>
      </c>
      <c r="O1245" s="26">
        <f>IF(B1245="","",IF(B1245&lt;TIME(12,0,0),"Manhã",IF(B1245&lt;TIME(18,0,0),"Tarde","Noite")))</f>
        <v/>
      </c>
      <c r="P1245" s="32">
        <f>IF(G1245="","",IFERROR(INDEX(Config!$I$5:$I$16,MATCH(G1245,Config!$H$5:$H$16,0)),0))</f>
        <v/>
      </c>
      <c r="Q1245" s="30">
        <f>IF(OR(H1245&lt;&gt;"Realizado",P1245="",P1245=0),"",A1245+P1245)</f>
        <v/>
      </c>
      <c r="R1245" s="26">
        <f>IF(Q1245="","",IF(COUNTIFS($E$5:$E$3004,E1245,$A$5:$A$3004,"&gt;"&amp;A1245,$H$5:$H$3004,"&lt;&gt;Falta",$H$5:$H$3004,"&lt;&gt;Cancelado",$H$5:$H$3004,"&lt;&gt;Remarcado")&gt;0,"Sim","Não"))</f>
        <v/>
      </c>
      <c r="S1245" s="32">
        <f>IF(R1245&lt;&gt;"Não","",IF(Q1245+Config!$B$9&lt;=Config!$B$8,Config!$B$8-Q1245,""))</f>
        <v/>
      </c>
      <c r="T1245" s="26">
        <f>IF(S1245="","","Sim")</f>
        <v/>
      </c>
      <c r="U1245" s="41">
        <f>IF(T1245="Sim",S1245+ROW()/100000,0)</f>
        <v>0</v>
      </c>
      <c r="V1245" s="41">
        <f>IF(AND(H1245="Falta",L1245=Config!$B$7,M1245=Config!$B$5,COUNTIFS($E$5:E1245,E1245,$H$5:H1245,"Falta",$L$5:L1245,Config!$B$7,$M$5:M1245,Config!$B$5)=1),COUNTIFS($E$5:$E$3004,E1245,$H$5:$H$3004,"Falta",$L$5:$L$3004,Config!$B$7,$M$5:$M$3004,Config!$B$5)*1000-ROW()/100000,0)</f>
        <v>0</v>
      </c>
    </row>
    <row r="1246">
      <c r="A1246" s="39" t="n"/>
      <c r="B1246" s="40" t="n"/>
      <c r="C1246" s="35" t="n"/>
      <c r="D1246" s="35" t="n"/>
      <c r="E1246" s="34" t="n"/>
      <c r="F1246" s="35" t="n"/>
      <c r="G1246" s="35" t="n"/>
      <c r="H1246" s="35" t="n"/>
      <c r="I1246" s="35" t="n"/>
      <c r="J1246" s="35" t="n"/>
      <c r="K1246" s="34" t="n"/>
      <c r="L1246" s="26">
        <f>IF(A1246="","",MONTH(A1246))</f>
        <v/>
      </c>
      <c r="M1246" s="26">
        <f>IF(A1246="","",YEAR(A1246))</f>
        <v/>
      </c>
      <c r="N1246" s="26">
        <f>IF(A1246="","",CHOOSE(WEEKDAY(A1246,2),"Segunda","Terça","Quarta","Quinta","Sexta","Sábado","Domingo"))</f>
        <v/>
      </c>
      <c r="O1246" s="26">
        <f>IF(B1246="","",IF(B1246&lt;TIME(12,0,0),"Manhã",IF(B1246&lt;TIME(18,0,0),"Tarde","Noite")))</f>
        <v/>
      </c>
      <c r="P1246" s="32">
        <f>IF(G1246="","",IFERROR(INDEX(Config!$I$5:$I$16,MATCH(G1246,Config!$H$5:$H$16,0)),0))</f>
        <v/>
      </c>
      <c r="Q1246" s="30">
        <f>IF(OR(H1246&lt;&gt;"Realizado",P1246="",P1246=0),"",A1246+P1246)</f>
        <v/>
      </c>
      <c r="R1246" s="26">
        <f>IF(Q1246="","",IF(COUNTIFS($E$5:$E$3004,E1246,$A$5:$A$3004,"&gt;"&amp;A1246,$H$5:$H$3004,"&lt;&gt;Falta",$H$5:$H$3004,"&lt;&gt;Cancelado",$H$5:$H$3004,"&lt;&gt;Remarcado")&gt;0,"Sim","Não"))</f>
        <v/>
      </c>
      <c r="S1246" s="32">
        <f>IF(R1246&lt;&gt;"Não","",IF(Q1246+Config!$B$9&lt;=Config!$B$8,Config!$B$8-Q1246,""))</f>
        <v/>
      </c>
      <c r="T1246" s="26">
        <f>IF(S1246="","","Sim")</f>
        <v/>
      </c>
      <c r="U1246" s="41">
        <f>IF(T1246="Sim",S1246+ROW()/100000,0)</f>
        <v>0</v>
      </c>
      <c r="V1246" s="41">
        <f>IF(AND(H1246="Falta",L1246=Config!$B$7,M1246=Config!$B$5,COUNTIFS($E$5:E1246,E1246,$H$5:H1246,"Falta",$L$5:L1246,Config!$B$7,$M$5:M1246,Config!$B$5)=1),COUNTIFS($E$5:$E$3004,E1246,$H$5:$H$3004,"Falta",$L$5:$L$3004,Config!$B$7,$M$5:$M$3004,Config!$B$5)*1000-ROW()/100000,0)</f>
        <v>0</v>
      </c>
    </row>
    <row r="1247">
      <c r="A1247" s="39" t="n"/>
      <c r="B1247" s="40" t="n"/>
      <c r="C1247" s="35" t="n"/>
      <c r="D1247" s="35" t="n"/>
      <c r="E1247" s="34" t="n"/>
      <c r="F1247" s="35" t="n"/>
      <c r="G1247" s="35" t="n"/>
      <c r="H1247" s="35" t="n"/>
      <c r="I1247" s="35" t="n"/>
      <c r="J1247" s="35" t="n"/>
      <c r="K1247" s="34" t="n"/>
      <c r="L1247" s="26">
        <f>IF(A1247="","",MONTH(A1247))</f>
        <v/>
      </c>
      <c r="M1247" s="26">
        <f>IF(A1247="","",YEAR(A1247))</f>
        <v/>
      </c>
      <c r="N1247" s="26">
        <f>IF(A1247="","",CHOOSE(WEEKDAY(A1247,2),"Segunda","Terça","Quarta","Quinta","Sexta","Sábado","Domingo"))</f>
        <v/>
      </c>
      <c r="O1247" s="26">
        <f>IF(B1247="","",IF(B1247&lt;TIME(12,0,0),"Manhã",IF(B1247&lt;TIME(18,0,0),"Tarde","Noite")))</f>
        <v/>
      </c>
      <c r="P1247" s="32">
        <f>IF(G1247="","",IFERROR(INDEX(Config!$I$5:$I$16,MATCH(G1247,Config!$H$5:$H$16,0)),0))</f>
        <v/>
      </c>
      <c r="Q1247" s="30">
        <f>IF(OR(H1247&lt;&gt;"Realizado",P1247="",P1247=0),"",A1247+P1247)</f>
        <v/>
      </c>
      <c r="R1247" s="26">
        <f>IF(Q1247="","",IF(COUNTIFS($E$5:$E$3004,E1247,$A$5:$A$3004,"&gt;"&amp;A1247,$H$5:$H$3004,"&lt;&gt;Falta",$H$5:$H$3004,"&lt;&gt;Cancelado",$H$5:$H$3004,"&lt;&gt;Remarcado")&gt;0,"Sim","Não"))</f>
        <v/>
      </c>
      <c r="S1247" s="32">
        <f>IF(R1247&lt;&gt;"Não","",IF(Q1247+Config!$B$9&lt;=Config!$B$8,Config!$B$8-Q1247,""))</f>
        <v/>
      </c>
      <c r="T1247" s="26">
        <f>IF(S1247="","","Sim")</f>
        <v/>
      </c>
      <c r="U1247" s="41">
        <f>IF(T1247="Sim",S1247+ROW()/100000,0)</f>
        <v>0</v>
      </c>
      <c r="V1247" s="41">
        <f>IF(AND(H1247="Falta",L1247=Config!$B$7,M1247=Config!$B$5,COUNTIFS($E$5:E1247,E1247,$H$5:H1247,"Falta",$L$5:L1247,Config!$B$7,$M$5:M1247,Config!$B$5)=1),COUNTIFS($E$5:$E$3004,E1247,$H$5:$H$3004,"Falta",$L$5:$L$3004,Config!$B$7,$M$5:$M$3004,Config!$B$5)*1000-ROW()/100000,0)</f>
        <v>0</v>
      </c>
    </row>
    <row r="1248">
      <c r="A1248" s="39" t="n"/>
      <c r="B1248" s="40" t="n"/>
      <c r="C1248" s="35" t="n"/>
      <c r="D1248" s="35" t="n"/>
      <c r="E1248" s="34" t="n"/>
      <c r="F1248" s="35" t="n"/>
      <c r="G1248" s="35" t="n"/>
      <c r="H1248" s="35" t="n"/>
      <c r="I1248" s="35" t="n"/>
      <c r="J1248" s="35" t="n"/>
      <c r="K1248" s="34" t="n"/>
      <c r="L1248" s="26">
        <f>IF(A1248="","",MONTH(A1248))</f>
        <v/>
      </c>
      <c r="M1248" s="26">
        <f>IF(A1248="","",YEAR(A1248))</f>
        <v/>
      </c>
      <c r="N1248" s="26">
        <f>IF(A1248="","",CHOOSE(WEEKDAY(A1248,2),"Segunda","Terça","Quarta","Quinta","Sexta","Sábado","Domingo"))</f>
        <v/>
      </c>
      <c r="O1248" s="26">
        <f>IF(B1248="","",IF(B1248&lt;TIME(12,0,0),"Manhã",IF(B1248&lt;TIME(18,0,0),"Tarde","Noite")))</f>
        <v/>
      </c>
      <c r="P1248" s="32">
        <f>IF(G1248="","",IFERROR(INDEX(Config!$I$5:$I$16,MATCH(G1248,Config!$H$5:$H$16,0)),0))</f>
        <v/>
      </c>
      <c r="Q1248" s="30">
        <f>IF(OR(H1248&lt;&gt;"Realizado",P1248="",P1248=0),"",A1248+P1248)</f>
        <v/>
      </c>
      <c r="R1248" s="26">
        <f>IF(Q1248="","",IF(COUNTIFS($E$5:$E$3004,E1248,$A$5:$A$3004,"&gt;"&amp;A1248,$H$5:$H$3004,"&lt;&gt;Falta",$H$5:$H$3004,"&lt;&gt;Cancelado",$H$5:$H$3004,"&lt;&gt;Remarcado")&gt;0,"Sim","Não"))</f>
        <v/>
      </c>
      <c r="S1248" s="32">
        <f>IF(R1248&lt;&gt;"Não","",IF(Q1248+Config!$B$9&lt;=Config!$B$8,Config!$B$8-Q1248,""))</f>
        <v/>
      </c>
      <c r="T1248" s="26">
        <f>IF(S1248="","","Sim")</f>
        <v/>
      </c>
      <c r="U1248" s="41">
        <f>IF(T1248="Sim",S1248+ROW()/100000,0)</f>
        <v>0</v>
      </c>
      <c r="V1248" s="41">
        <f>IF(AND(H1248="Falta",L1248=Config!$B$7,M1248=Config!$B$5,COUNTIFS($E$5:E1248,E1248,$H$5:H1248,"Falta",$L$5:L1248,Config!$B$7,$M$5:M1248,Config!$B$5)=1),COUNTIFS($E$5:$E$3004,E1248,$H$5:$H$3004,"Falta",$L$5:$L$3004,Config!$B$7,$M$5:$M$3004,Config!$B$5)*1000-ROW()/100000,0)</f>
        <v>0</v>
      </c>
    </row>
    <row r="1249">
      <c r="A1249" s="39" t="n"/>
      <c r="B1249" s="40" t="n"/>
      <c r="C1249" s="35" t="n"/>
      <c r="D1249" s="35" t="n"/>
      <c r="E1249" s="34" t="n"/>
      <c r="F1249" s="35" t="n"/>
      <c r="G1249" s="35" t="n"/>
      <c r="H1249" s="35" t="n"/>
      <c r="I1249" s="35" t="n"/>
      <c r="J1249" s="35" t="n"/>
      <c r="K1249" s="34" t="n"/>
      <c r="L1249" s="26">
        <f>IF(A1249="","",MONTH(A1249))</f>
        <v/>
      </c>
      <c r="M1249" s="26">
        <f>IF(A1249="","",YEAR(A1249))</f>
        <v/>
      </c>
      <c r="N1249" s="26">
        <f>IF(A1249="","",CHOOSE(WEEKDAY(A1249,2),"Segunda","Terça","Quarta","Quinta","Sexta","Sábado","Domingo"))</f>
        <v/>
      </c>
      <c r="O1249" s="26">
        <f>IF(B1249="","",IF(B1249&lt;TIME(12,0,0),"Manhã",IF(B1249&lt;TIME(18,0,0),"Tarde","Noite")))</f>
        <v/>
      </c>
      <c r="P1249" s="32">
        <f>IF(G1249="","",IFERROR(INDEX(Config!$I$5:$I$16,MATCH(G1249,Config!$H$5:$H$16,0)),0))</f>
        <v/>
      </c>
      <c r="Q1249" s="30">
        <f>IF(OR(H1249&lt;&gt;"Realizado",P1249="",P1249=0),"",A1249+P1249)</f>
        <v/>
      </c>
      <c r="R1249" s="26">
        <f>IF(Q1249="","",IF(COUNTIFS($E$5:$E$3004,E1249,$A$5:$A$3004,"&gt;"&amp;A1249,$H$5:$H$3004,"&lt;&gt;Falta",$H$5:$H$3004,"&lt;&gt;Cancelado",$H$5:$H$3004,"&lt;&gt;Remarcado")&gt;0,"Sim","Não"))</f>
        <v/>
      </c>
      <c r="S1249" s="32">
        <f>IF(R1249&lt;&gt;"Não","",IF(Q1249+Config!$B$9&lt;=Config!$B$8,Config!$B$8-Q1249,""))</f>
        <v/>
      </c>
      <c r="T1249" s="26">
        <f>IF(S1249="","","Sim")</f>
        <v/>
      </c>
      <c r="U1249" s="41">
        <f>IF(T1249="Sim",S1249+ROW()/100000,0)</f>
        <v>0</v>
      </c>
      <c r="V1249" s="41">
        <f>IF(AND(H1249="Falta",L1249=Config!$B$7,M1249=Config!$B$5,COUNTIFS($E$5:E1249,E1249,$H$5:H1249,"Falta",$L$5:L1249,Config!$B$7,$M$5:M1249,Config!$B$5)=1),COUNTIFS($E$5:$E$3004,E1249,$H$5:$H$3004,"Falta",$L$5:$L$3004,Config!$B$7,$M$5:$M$3004,Config!$B$5)*1000-ROW()/100000,0)</f>
        <v>0</v>
      </c>
    </row>
    <row r="1250">
      <c r="A1250" s="39" t="n"/>
      <c r="B1250" s="40" t="n"/>
      <c r="C1250" s="35" t="n"/>
      <c r="D1250" s="35" t="n"/>
      <c r="E1250" s="34" t="n"/>
      <c r="F1250" s="35" t="n"/>
      <c r="G1250" s="35" t="n"/>
      <c r="H1250" s="35" t="n"/>
      <c r="I1250" s="35" t="n"/>
      <c r="J1250" s="35" t="n"/>
      <c r="K1250" s="34" t="n"/>
      <c r="L1250" s="26">
        <f>IF(A1250="","",MONTH(A1250))</f>
        <v/>
      </c>
      <c r="M1250" s="26">
        <f>IF(A1250="","",YEAR(A1250))</f>
        <v/>
      </c>
      <c r="N1250" s="26">
        <f>IF(A1250="","",CHOOSE(WEEKDAY(A1250,2),"Segunda","Terça","Quarta","Quinta","Sexta","Sábado","Domingo"))</f>
        <v/>
      </c>
      <c r="O1250" s="26">
        <f>IF(B1250="","",IF(B1250&lt;TIME(12,0,0),"Manhã",IF(B1250&lt;TIME(18,0,0),"Tarde","Noite")))</f>
        <v/>
      </c>
      <c r="P1250" s="32">
        <f>IF(G1250="","",IFERROR(INDEX(Config!$I$5:$I$16,MATCH(G1250,Config!$H$5:$H$16,0)),0))</f>
        <v/>
      </c>
      <c r="Q1250" s="30">
        <f>IF(OR(H1250&lt;&gt;"Realizado",P1250="",P1250=0),"",A1250+P1250)</f>
        <v/>
      </c>
      <c r="R1250" s="26">
        <f>IF(Q1250="","",IF(COUNTIFS($E$5:$E$3004,E1250,$A$5:$A$3004,"&gt;"&amp;A1250,$H$5:$H$3004,"&lt;&gt;Falta",$H$5:$H$3004,"&lt;&gt;Cancelado",$H$5:$H$3004,"&lt;&gt;Remarcado")&gt;0,"Sim","Não"))</f>
        <v/>
      </c>
      <c r="S1250" s="32">
        <f>IF(R1250&lt;&gt;"Não","",IF(Q1250+Config!$B$9&lt;=Config!$B$8,Config!$B$8-Q1250,""))</f>
        <v/>
      </c>
      <c r="T1250" s="26">
        <f>IF(S1250="","","Sim")</f>
        <v/>
      </c>
      <c r="U1250" s="41">
        <f>IF(T1250="Sim",S1250+ROW()/100000,0)</f>
        <v>0</v>
      </c>
      <c r="V1250" s="41">
        <f>IF(AND(H1250="Falta",L1250=Config!$B$7,M1250=Config!$B$5,COUNTIFS($E$5:E1250,E1250,$H$5:H1250,"Falta",$L$5:L1250,Config!$B$7,$M$5:M1250,Config!$B$5)=1),COUNTIFS($E$5:$E$3004,E1250,$H$5:$H$3004,"Falta",$L$5:$L$3004,Config!$B$7,$M$5:$M$3004,Config!$B$5)*1000-ROW()/100000,0)</f>
        <v>0</v>
      </c>
    </row>
    <row r="1251">
      <c r="A1251" s="39" t="n"/>
      <c r="B1251" s="40" t="n"/>
      <c r="C1251" s="35" t="n"/>
      <c r="D1251" s="35" t="n"/>
      <c r="E1251" s="34" t="n"/>
      <c r="F1251" s="35" t="n"/>
      <c r="G1251" s="35" t="n"/>
      <c r="H1251" s="35" t="n"/>
      <c r="I1251" s="35" t="n"/>
      <c r="J1251" s="35" t="n"/>
      <c r="K1251" s="34" t="n"/>
      <c r="L1251" s="26">
        <f>IF(A1251="","",MONTH(A1251))</f>
        <v/>
      </c>
      <c r="M1251" s="26">
        <f>IF(A1251="","",YEAR(A1251))</f>
        <v/>
      </c>
      <c r="N1251" s="26">
        <f>IF(A1251="","",CHOOSE(WEEKDAY(A1251,2),"Segunda","Terça","Quarta","Quinta","Sexta","Sábado","Domingo"))</f>
        <v/>
      </c>
      <c r="O1251" s="26">
        <f>IF(B1251="","",IF(B1251&lt;TIME(12,0,0),"Manhã",IF(B1251&lt;TIME(18,0,0),"Tarde","Noite")))</f>
        <v/>
      </c>
      <c r="P1251" s="32">
        <f>IF(G1251="","",IFERROR(INDEX(Config!$I$5:$I$16,MATCH(G1251,Config!$H$5:$H$16,0)),0))</f>
        <v/>
      </c>
      <c r="Q1251" s="30">
        <f>IF(OR(H1251&lt;&gt;"Realizado",P1251="",P1251=0),"",A1251+P1251)</f>
        <v/>
      </c>
      <c r="R1251" s="26">
        <f>IF(Q1251="","",IF(COUNTIFS($E$5:$E$3004,E1251,$A$5:$A$3004,"&gt;"&amp;A1251,$H$5:$H$3004,"&lt;&gt;Falta",$H$5:$H$3004,"&lt;&gt;Cancelado",$H$5:$H$3004,"&lt;&gt;Remarcado")&gt;0,"Sim","Não"))</f>
        <v/>
      </c>
      <c r="S1251" s="32">
        <f>IF(R1251&lt;&gt;"Não","",IF(Q1251+Config!$B$9&lt;=Config!$B$8,Config!$B$8-Q1251,""))</f>
        <v/>
      </c>
      <c r="T1251" s="26">
        <f>IF(S1251="","","Sim")</f>
        <v/>
      </c>
      <c r="U1251" s="41">
        <f>IF(T1251="Sim",S1251+ROW()/100000,0)</f>
        <v>0</v>
      </c>
      <c r="V1251" s="41">
        <f>IF(AND(H1251="Falta",L1251=Config!$B$7,M1251=Config!$B$5,COUNTIFS($E$5:E1251,E1251,$H$5:H1251,"Falta",$L$5:L1251,Config!$B$7,$M$5:M1251,Config!$B$5)=1),COUNTIFS($E$5:$E$3004,E1251,$H$5:$H$3004,"Falta",$L$5:$L$3004,Config!$B$7,$M$5:$M$3004,Config!$B$5)*1000-ROW()/100000,0)</f>
        <v>0</v>
      </c>
    </row>
    <row r="1252">
      <c r="A1252" s="39" t="n"/>
      <c r="B1252" s="40" t="n"/>
      <c r="C1252" s="35" t="n"/>
      <c r="D1252" s="35" t="n"/>
      <c r="E1252" s="34" t="n"/>
      <c r="F1252" s="35" t="n"/>
      <c r="G1252" s="35" t="n"/>
      <c r="H1252" s="35" t="n"/>
      <c r="I1252" s="35" t="n"/>
      <c r="J1252" s="35" t="n"/>
      <c r="K1252" s="34" t="n"/>
      <c r="L1252" s="26">
        <f>IF(A1252="","",MONTH(A1252))</f>
        <v/>
      </c>
      <c r="M1252" s="26">
        <f>IF(A1252="","",YEAR(A1252))</f>
        <v/>
      </c>
      <c r="N1252" s="26">
        <f>IF(A1252="","",CHOOSE(WEEKDAY(A1252,2),"Segunda","Terça","Quarta","Quinta","Sexta","Sábado","Domingo"))</f>
        <v/>
      </c>
      <c r="O1252" s="26">
        <f>IF(B1252="","",IF(B1252&lt;TIME(12,0,0),"Manhã",IF(B1252&lt;TIME(18,0,0),"Tarde","Noite")))</f>
        <v/>
      </c>
      <c r="P1252" s="32">
        <f>IF(G1252="","",IFERROR(INDEX(Config!$I$5:$I$16,MATCH(G1252,Config!$H$5:$H$16,0)),0))</f>
        <v/>
      </c>
      <c r="Q1252" s="30">
        <f>IF(OR(H1252&lt;&gt;"Realizado",P1252="",P1252=0),"",A1252+P1252)</f>
        <v/>
      </c>
      <c r="R1252" s="26">
        <f>IF(Q1252="","",IF(COUNTIFS($E$5:$E$3004,E1252,$A$5:$A$3004,"&gt;"&amp;A1252,$H$5:$H$3004,"&lt;&gt;Falta",$H$5:$H$3004,"&lt;&gt;Cancelado",$H$5:$H$3004,"&lt;&gt;Remarcado")&gt;0,"Sim","Não"))</f>
        <v/>
      </c>
      <c r="S1252" s="32">
        <f>IF(R1252&lt;&gt;"Não","",IF(Q1252+Config!$B$9&lt;=Config!$B$8,Config!$B$8-Q1252,""))</f>
        <v/>
      </c>
      <c r="T1252" s="26">
        <f>IF(S1252="","","Sim")</f>
        <v/>
      </c>
      <c r="U1252" s="41">
        <f>IF(T1252="Sim",S1252+ROW()/100000,0)</f>
        <v>0</v>
      </c>
      <c r="V1252" s="41">
        <f>IF(AND(H1252="Falta",L1252=Config!$B$7,M1252=Config!$B$5,COUNTIFS($E$5:E1252,E1252,$H$5:H1252,"Falta",$L$5:L1252,Config!$B$7,$M$5:M1252,Config!$B$5)=1),COUNTIFS($E$5:$E$3004,E1252,$H$5:$H$3004,"Falta",$L$5:$L$3004,Config!$B$7,$M$5:$M$3004,Config!$B$5)*1000-ROW()/100000,0)</f>
        <v>0</v>
      </c>
    </row>
    <row r="1253">
      <c r="A1253" s="39" t="n"/>
      <c r="B1253" s="40" t="n"/>
      <c r="C1253" s="35" t="n"/>
      <c r="D1253" s="35" t="n"/>
      <c r="E1253" s="34" t="n"/>
      <c r="F1253" s="35" t="n"/>
      <c r="G1253" s="35" t="n"/>
      <c r="H1253" s="35" t="n"/>
      <c r="I1253" s="35" t="n"/>
      <c r="J1253" s="35" t="n"/>
      <c r="K1253" s="34" t="n"/>
      <c r="L1253" s="26">
        <f>IF(A1253="","",MONTH(A1253))</f>
        <v/>
      </c>
      <c r="M1253" s="26">
        <f>IF(A1253="","",YEAR(A1253))</f>
        <v/>
      </c>
      <c r="N1253" s="26">
        <f>IF(A1253="","",CHOOSE(WEEKDAY(A1253,2),"Segunda","Terça","Quarta","Quinta","Sexta","Sábado","Domingo"))</f>
        <v/>
      </c>
      <c r="O1253" s="26">
        <f>IF(B1253="","",IF(B1253&lt;TIME(12,0,0),"Manhã",IF(B1253&lt;TIME(18,0,0),"Tarde","Noite")))</f>
        <v/>
      </c>
      <c r="P1253" s="32">
        <f>IF(G1253="","",IFERROR(INDEX(Config!$I$5:$I$16,MATCH(G1253,Config!$H$5:$H$16,0)),0))</f>
        <v/>
      </c>
      <c r="Q1253" s="30">
        <f>IF(OR(H1253&lt;&gt;"Realizado",P1253="",P1253=0),"",A1253+P1253)</f>
        <v/>
      </c>
      <c r="R1253" s="26">
        <f>IF(Q1253="","",IF(COUNTIFS($E$5:$E$3004,E1253,$A$5:$A$3004,"&gt;"&amp;A1253,$H$5:$H$3004,"&lt;&gt;Falta",$H$5:$H$3004,"&lt;&gt;Cancelado",$H$5:$H$3004,"&lt;&gt;Remarcado")&gt;0,"Sim","Não"))</f>
        <v/>
      </c>
      <c r="S1253" s="32">
        <f>IF(R1253&lt;&gt;"Não","",IF(Q1253+Config!$B$9&lt;=Config!$B$8,Config!$B$8-Q1253,""))</f>
        <v/>
      </c>
      <c r="T1253" s="26">
        <f>IF(S1253="","","Sim")</f>
        <v/>
      </c>
      <c r="U1253" s="41">
        <f>IF(T1253="Sim",S1253+ROW()/100000,0)</f>
        <v>0</v>
      </c>
      <c r="V1253" s="41">
        <f>IF(AND(H1253="Falta",L1253=Config!$B$7,M1253=Config!$B$5,COUNTIFS($E$5:E1253,E1253,$H$5:H1253,"Falta",$L$5:L1253,Config!$B$7,$M$5:M1253,Config!$B$5)=1),COUNTIFS($E$5:$E$3004,E1253,$H$5:$H$3004,"Falta",$L$5:$L$3004,Config!$B$7,$M$5:$M$3004,Config!$B$5)*1000-ROW()/100000,0)</f>
        <v>0</v>
      </c>
    </row>
    <row r="1254">
      <c r="A1254" s="39" t="n"/>
      <c r="B1254" s="40" t="n"/>
      <c r="C1254" s="35" t="n"/>
      <c r="D1254" s="35" t="n"/>
      <c r="E1254" s="34" t="n"/>
      <c r="F1254" s="35" t="n"/>
      <c r="G1254" s="35" t="n"/>
      <c r="H1254" s="35" t="n"/>
      <c r="I1254" s="35" t="n"/>
      <c r="J1254" s="35" t="n"/>
      <c r="K1254" s="34" t="n"/>
      <c r="L1254" s="26">
        <f>IF(A1254="","",MONTH(A1254))</f>
        <v/>
      </c>
      <c r="M1254" s="26">
        <f>IF(A1254="","",YEAR(A1254))</f>
        <v/>
      </c>
      <c r="N1254" s="26">
        <f>IF(A1254="","",CHOOSE(WEEKDAY(A1254,2),"Segunda","Terça","Quarta","Quinta","Sexta","Sábado","Domingo"))</f>
        <v/>
      </c>
      <c r="O1254" s="26">
        <f>IF(B1254="","",IF(B1254&lt;TIME(12,0,0),"Manhã",IF(B1254&lt;TIME(18,0,0),"Tarde","Noite")))</f>
        <v/>
      </c>
      <c r="P1254" s="32">
        <f>IF(G1254="","",IFERROR(INDEX(Config!$I$5:$I$16,MATCH(G1254,Config!$H$5:$H$16,0)),0))</f>
        <v/>
      </c>
      <c r="Q1254" s="30">
        <f>IF(OR(H1254&lt;&gt;"Realizado",P1254="",P1254=0),"",A1254+P1254)</f>
        <v/>
      </c>
      <c r="R1254" s="26">
        <f>IF(Q1254="","",IF(COUNTIFS($E$5:$E$3004,E1254,$A$5:$A$3004,"&gt;"&amp;A1254,$H$5:$H$3004,"&lt;&gt;Falta",$H$5:$H$3004,"&lt;&gt;Cancelado",$H$5:$H$3004,"&lt;&gt;Remarcado")&gt;0,"Sim","Não"))</f>
        <v/>
      </c>
      <c r="S1254" s="32">
        <f>IF(R1254&lt;&gt;"Não","",IF(Q1254+Config!$B$9&lt;=Config!$B$8,Config!$B$8-Q1254,""))</f>
        <v/>
      </c>
      <c r="T1254" s="26">
        <f>IF(S1254="","","Sim")</f>
        <v/>
      </c>
      <c r="U1254" s="41">
        <f>IF(T1254="Sim",S1254+ROW()/100000,0)</f>
        <v>0</v>
      </c>
      <c r="V1254" s="41">
        <f>IF(AND(H1254="Falta",L1254=Config!$B$7,M1254=Config!$B$5,COUNTIFS($E$5:E1254,E1254,$H$5:H1254,"Falta",$L$5:L1254,Config!$B$7,$M$5:M1254,Config!$B$5)=1),COUNTIFS($E$5:$E$3004,E1254,$H$5:$H$3004,"Falta",$L$5:$L$3004,Config!$B$7,$M$5:$M$3004,Config!$B$5)*1000-ROW()/100000,0)</f>
        <v>0</v>
      </c>
    </row>
    <row r="1255">
      <c r="A1255" s="39" t="n"/>
      <c r="B1255" s="40" t="n"/>
      <c r="C1255" s="35" t="n"/>
      <c r="D1255" s="35" t="n"/>
      <c r="E1255" s="34" t="n"/>
      <c r="F1255" s="35" t="n"/>
      <c r="G1255" s="35" t="n"/>
      <c r="H1255" s="35" t="n"/>
      <c r="I1255" s="35" t="n"/>
      <c r="J1255" s="35" t="n"/>
      <c r="K1255" s="34" t="n"/>
      <c r="L1255" s="26">
        <f>IF(A1255="","",MONTH(A1255))</f>
        <v/>
      </c>
      <c r="M1255" s="26">
        <f>IF(A1255="","",YEAR(A1255))</f>
        <v/>
      </c>
      <c r="N1255" s="26">
        <f>IF(A1255="","",CHOOSE(WEEKDAY(A1255,2),"Segunda","Terça","Quarta","Quinta","Sexta","Sábado","Domingo"))</f>
        <v/>
      </c>
      <c r="O1255" s="26">
        <f>IF(B1255="","",IF(B1255&lt;TIME(12,0,0),"Manhã",IF(B1255&lt;TIME(18,0,0),"Tarde","Noite")))</f>
        <v/>
      </c>
      <c r="P1255" s="32">
        <f>IF(G1255="","",IFERROR(INDEX(Config!$I$5:$I$16,MATCH(G1255,Config!$H$5:$H$16,0)),0))</f>
        <v/>
      </c>
      <c r="Q1255" s="30">
        <f>IF(OR(H1255&lt;&gt;"Realizado",P1255="",P1255=0),"",A1255+P1255)</f>
        <v/>
      </c>
      <c r="R1255" s="26">
        <f>IF(Q1255="","",IF(COUNTIFS($E$5:$E$3004,E1255,$A$5:$A$3004,"&gt;"&amp;A1255,$H$5:$H$3004,"&lt;&gt;Falta",$H$5:$H$3004,"&lt;&gt;Cancelado",$H$5:$H$3004,"&lt;&gt;Remarcado")&gt;0,"Sim","Não"))</f>
        <v/>
      </c>
      <c r="S1255" s="32">
        <f>IF(R1255&lt;&gt;"Não","",IF(Q1255+Config!$B$9&lt;=Config!$B$8,Config!$B$8-Q1255,""))</f>
        <v/>
      </c>
      <c r="T1255" s="26">
        <f>IF(S1255="","","Sim")</f>
        <v/>
      </c>
      <c r="U1255" s="41">
        <f>IF(T1255="Sim",S1255+ROW()/100000,0)</f>
        <v>0</v>
      </c>
      <c r="V1255" s="41">
        <f>IF(AND(H1255="Falta",L1255=Config!$B$7,M1255=Config!$B$5,COUNTIFS($E$5:E1255,E1255,$H$5:H1255,"Falta",$L$5:L1255,Config!$B$7,$M$5:M1255,Config!$B$5)=1),COUNTIFS($E$5:$E$3004,E1255,$H$5:$H$3004,"Falta",$L$5:$L$3004,Config!$B$7,$M$5:$M$3004,Config!$B$5)*1000-ROW()/100000,0)</f>
        <v>0</v>
      </c>
    </row>
    <row r="1256">
      <c r="A1256" s="39" t="n"/>
      <c r="B1256" s="40" t="n"/>
      <c r="C1256" s="35" t="n"/>
      <c r="D1256" s="35" t="n"/>
      <c r="E1256" s="34" t="n"/>
      <c r="F1256" s="35" t="n"/>
      <c r="G1256" s="35" t="n"/>
      <c r="H1256" s="35" t="n"/>
      <c r="I1256" s="35" t="n"/>
      <c r="J1256" s="35" t="n"/>
      <c r="K1256" s="34" t="n"/>
      <c r="L1256" s="26">
        <f>IF(A1256="","",MONTH(A1256))</f>
        <v/>
      </c>
      <c r="M1256" s="26">
        <f>IF(A1256="","",YEAR(A1256))</f>
        <v/>
      </c>
      <c r="N1256" s="26">
        <f>IF(A1256="","",CHOOSE(WEEKDAY(A1256,2),"Segunda","Terça","Quarta","Quinta","Sexta","Sábado","Domingo"))</f>
        <v/>
      </c>
      <c r="O1256" s="26">
        <f>IF(B1256="","",IF(B1256&lt;TIME(12,0,0),"Manhã",IF(B1256&lt;TIME(18,0,0),"Tarde","Noite")))</f>
        <v/>
      </c>
      <c r="P1256" s="32">
        <f>IF(G1256="","",IFERROR(INDEX(Config!$I$5:$I$16,MATCH(G1256,Config!$H$5:$H$16,0)),0))</f>
        <v/>
      </c>
      <c r="Q1256" s="30">
        <f>IF(OR(H1256&lt;&gt;"Realizado",P1256="",P1256=0),"",A1256+P1256)</f>
        <v/>
      </c>
      <c r="R1256" s="26">
        <f>IF(Q1256="","",IF(COUNTIFS($E$5:$E$3004,E1256,$A$5:$A$3004,"&gt;"&amp;A1256,$H$5:$H$3004,"&lt;&gt;Falta",$H$5:$H$3004,"&lt;&gt;Cancelado",$H$5:$H$3004,"&lt;&gt;Remarcado")&gt;0,"Sim","Não"))</f>
        <v/>
      </c>
      <c r="S1256" s="32">
        <f>IF(R1256&lt;&gt;"Não","",IF(Q1256+Config!$B$9&lt;=Config!$B$8,Config!$B$8-Q1256,""))</f>
        <v/>
      </c>
      <c r="T1256" s="26">
        <f>IF(S1256="","","Sim")</f>
        <v/>
      </c>
      <c r="U1256" s="41">
        <f>IF(T1256="Sim",S1256+ROW()/100000,0)</f>
        <v>0</v>
      </c>
      <c r="V1256" s="41">
        <f>IF(AND(H1256="Falta",L1256=Config!$B$7,M1256=Config!$B$5,COUNTIFS($E$5:E1256,E1256,$H$5:H1256,"Falta",$L$5:L1256,Config!$B$7,$M$5:M1256,Config!$B$5)=1),COUNTIFS($E$5:$E$3004,E1256,$H$5:$H$3004,"Falta",$L$5:$L$3004,Config!$B$7,$M$5:$M$3004,Config!$B$5)*1000-ROW()/100000,0)</f>
        <v>0</v>
      </c>
    </row>
    <row r="1257">
      <c r="A1257" s="39" t="n"/>
      <c r="B1257" s="40" t="n"/>
      <c r="C1257" s="35" t="n"/>
      <c r="D1257" s="35" t="n"/>
      <c r="E1257" s="34" t="n"/>
      <c r="F1257" s="35" t="n"/>
      <c r="G1257" s="35" t="n"/>
      <c r="H1257" s="35" t="n"/>
      <c r="I1257" s="35" t="n"/>
      <c r="J1257" s="35" t="n"/>
      <c r="K1257" s="34" t="n"/>
      <c r="L1257" s="26">
        <f>IF(A1257="","",MONTH(A1257))</f>
        <v/>
      </c>
      <c r="M1257" s="26">
        <f>IF(A1257="","",YEAR(A1257))</f>
        <v/>
      </c>
      <c r="N1257" s="26">
        <f>IF(A1257="","",CHOOSE(WEEKDAY(A1257,2),"Segunda","Terça","Quarta","Quinta","Sexta","Sábado","Domingo"))</f>
        <v/>
      </c>
      <c r="O1257" s="26">
        <f>IF(B1257="","",IF(B1257&lt;TIME(12,0,0),"Manhã",IF(B1257&lt;TIME(18,0,0),"Tarde","Noite")))</f>
        <v/>
      </c>
      <c r="P1257" s="32">
        <f>IF(G1257="","",IFERROR(INDEX(Config!$I$5:$I$16,MATCH(G1257,Config!$H$5:$H$16,0)),0))</f>
        <v/>
      </c>
      <c r="Q1257" s="30">
        <f>IF(OR(H1257&lt;&gt;"Realizado",P1257="",P1257=0),"",A1257+P1257)</f>
        <v/>
      </c>
      <c r="R1257" s="26">
        <f>IF(Q1257="","",IF(COUNTIFS($E$5:$E$3004,E1257,$A$5:$A$3004,"&gt;"&amp;A1257,$H$5:$H$3004,"&lt;&gt;Falta",$H$5:$H$3004,"&lt;&gt;Cancelado",$H$5:$H$3004,"&lt;&gt;Remarcado")&gt;0,"Sim","Não"))</f>
        <v/>
      </c>
      <c r="S1257" s="32">
        <f>IF(R1257&lt;&gt;"Não","",IF(Q1257+Config!$B$9&lt;=Config!$B$8,Config!$B$8-Q1257,""))</f>
        <v/>
      </c>
      <c r="T1257" s="26">
        <f>IF(S1257="","","Sim")</f>
        <v/>
      </c>
      <c r="U1257" s="41">
        <f>IF(T1257="Sim",S1257+ROW()/100000,0)</f>
        <v>0</v>
      </c>
      <c r="V1257" s="41">
        <f>IF(AND(H1257="Falta",L1257=Config!$B$7,M1257=Config!$B$5,COUNTIFS($E$5:E1257,E1257,$H$5:H1257,"Falta",$L$5:L1257,Config!$B$7,$M$5:M1257,Config!$B$5)=1),COUNTIFS($E$5:$E$3004,E1257,$H$5:$H$3004,"Falta",$L$5:$L$3004,Config!$B$7,$M$5:$M$3004,Config!$B$5)*1000-ROW()/100000,0)</f>
        <v>0</v>
      </c>
    </row>
    <row r="1258">
      <c r="A1258" s="39" t="n"/>
      <c r="B1258" s="40" t="n"/>
      <c r="C1258" s="35" t="n"/>
      <c r="D1258" s="35" t="n"/>
      <c r="E1258" s="34" t="n"/>
      <c r="F1258" s="35" t="n"/>
      <c r="G1258" s="35" t="n"/>
      <c r="H1258" s="35" t="n"/>
      <c r="I1258" s="35" t="n"/>
      <c r="J1258" s="35" t="n"/>
      <c r="K1258" s="34" t="n"/>
      <c r="L1258" s="26">
        <f>IF(A1258="","",MONTH(A1258))</f>
        <v/>
      </c>
      <c r="M1258" s="26">
        <f>IF(A1258="","",YEAR(A1258))</f>
        <v/>
      </c>
      <c r="N1258" s="26">
        <f>IF(A1258="","",CHOOSE(WEEKDAY(A1258,2),"Segunda","Terça","Quarta","Quinta","Sexta","Sábado","Domingo"))</f>
        <v/>
      </c>
      <c r="O1258" s="26">
        <f>IF(B1258="","",IF(B1258&lt;TIME(12,0,0),"Manhã",IF(B1258&lt;TIME(18,0,0),"Tarde","Noite")))</f>
        <v/>
      </c>
      <c r="P1258" s="32">
        <f>IF(G1258="","",IFERROR(INDEX(Config!$I$5:$I$16,MATCH(G1258,Config!$H$5:$H$16,0)),0))</f>
        <v/>
      </c>
      <c r="Q1258" s="30">
        <f>IF(OR(H1258&lt;&gt;"Realizado",P1258="",P1258=0),"",A1258+P1258)</f>
        <v/>
      </c>
      <c r="R1258" s="26">
        <f>IF(Q1258="","",IF(COUNTIFS($E$5:$E$3004,E1258,$A$5:$A$3004,"&gt;"&amp;A1258,$H$5:$H$3004,"&lt;&gt;Falta",$H$5:$H$3004,"&lt;&gt;Cancelado",$H$5:$H$3004,"&lt;&gt;Remarcado")&gt;0,"Sim","Não"))</f>
        <v/>
      </c>
      <c r="S1258" s="32">
        <f>IF(R1258&lt;&gt;"Não","",IF(Q1258+Config!$B$9&lt;=Config!$B$8,Config!$B$8-Q1258,""))</f>
        <v/>
      </c>
      <c r="T1258" s="26">
        <f>IF(S1258="","","Sim")</f>
        <v/>
      </c>
      <c r="U1258" s="41">
        <f>IF(T1258="Sim",S1258+ROW()/100000,0)</f>
        <v>0</v>
      </c>
      <c r="V1258" s="41">
        <f>IF(AND(H1258="Falta",L1258=Config!$B$7,M1258=Config!$B$5,COUNTIFS($E$5:E1258,E1258,$H$5:H1258,"Falta",$L$5:L1258,Config!$B$7,$M$5:M1258,Config!$B$5)=1),COUNTIFS($E$5:$E$3004,E1258,$H$5:$H$3004,"Falta",$L$5:$L$3004,Config!$B$7,$M$5:$M$3004,Config!$B$5)*1000-ROW()/100000,0)</f>
        <v>0</v>
      </c>
    </row>
    <row r="1259">
      <c r="A1259" s="39" t="n"/>
      <c r="B1259" s="40" t="n"/>
      <c r="C1259" s="35" t="n"/>
      <c r="D1259" s="35" t="n"/>
      <c r="E1259" s="34" t="n"/>
      <c r="F1259" s="35" t="n"/>
      <c r="G1259" s="35" t="n"/>
      <c r="H1259" s="35" t="n"/>
      <c r="I1259" s="35" t="n"/>
      <c r="J1259" s="35" t="n"/>
      <c r="K1259" s="34" t="n"/>
      <c r="L1259" s="26">
        <f>IF(A1259="","",MONTH(A1259))</f>
        <v/>
      </c>
      <c r="M1259" s="26">
        <f>IF(A1259="","",YEAR(A1259))</f>
        <v/>
      </c>
      <c r="N1259" s="26">
        <f>IF(A1259="","",CHOOSE(WEEKDAY(A1259,2),"Segunda","Terça","Quarta","Quinta","Sexta","Sábado","Domingo"))</f>
        <v/>
      </c>
      <c r="O1259" s="26">
        <f>IF(B1259="","",IF(B1259&lt;TIME(12,0,0),"Manhã",IF(B1259&lt;TIME(18,0,0),"Tarde","Noite")))</f>
        <v/>
      </c>
      <c r="P1259" s="32">
        <f>IF(G1259="","",IFERROR(INDEX(Config!$I$5:$I$16,MATCH(G1259,Config!$H$5:$H$16,0)),0))</f>
        <v/>
      </c>
      <c r="Q1259" s="30">
        <f>IF(OR(H1259&lt;&gt;"Realizado",P1259="",P1259=0),"",A1259+P1259)</f>
        <v/>
      </c>
      <c r="R1259" s="26">
        <f>IF(Q1259="","",IF(COUNTIFS($E$5:$E$3004,E1259,$A$5:$A$3004,"&gt;"&amp;A1259,$H$5:$H$3004,"&lt;&gt;Falta",$H$5:$H$3004,"&lt;&gt;Cancelado",$H$5:$H$3004,"&lt;&gt;Remarcado")&gt;0,"Sim","Não"))</f>
        <v/>
      </c>
      <c r="S1259" s="32">
        <f>IF(R1259&lt;&gt;"Não","",IF(Q1259+Config!$B$9&lt;=Config!$B$8,Config!$B$8-Q1259,""))</f>
        <v/>
      </c>
      <c r="T1259" s="26">
        <f>IF(S1259="","","Sim")</f>
        <v/>
      </c>
      <c r="U1259" s="41">
        <f>IF(T1259="Sim",S1259+ROW()/100000,0)</f>
        <v>0</v>
      </c>
      <c r="V1259" s="41">
        <f>IF(AND(H1259="Falta",L1259=Config!$B$7,M1259=Config!$B$5,COUNTIFS($E$5:E1259,E1259,$H$5:H1259,"Falta",$L$5:L1259,Config!$B$7,$M$5:M1259,Config!$B$5)=1),COUNTIFS($E$5:$E$3004,E1259,$H$5:$H$3004,"Falta",$L$5:$L$3004,Config!$B$7,$M$5:$M$3004,Config!$B$5)*1000-ROW()/100000,0)</f>
        <v>0</v>
      </c>
    </row>
    <row r="1260">
      <c r="A1260" s="39" t="n"/>
      <c r="B1260" s="40" t="n"/>
      <c r="C1260" s="35" t="n"/>
      <c r="D1260" s="35" t="n"/>
      <c r="E1260" s="34" t="n"/>
      <c r="F1260" s="35" t="n"/>
      <c r="G1260" s="35" t="n"/>
      <c r="H1260" s="35" t="n"/>
      <c r="I1260" s="35" t="n"/>
      <c r="J1260" s="35" t="n"/>
      <c r="K1260" s="34" t="n"/>
      <c r="L1260" s="26">
        <f>IF(A1260="","",MONTH(A1260))</f>
        <v/>
      </c>
      <c r="M1260" s="26">
        <f>IF(A1260="","",YEAR(A1260))</f>
        <v/>
      </c>
      <c r="N1260" s="26">
        <f>IF(A1260="","",CHOOSE(WEEKDAY(A1260,2),"Segunda","Terça","Quarta","Quinta","Sexta","Sábado","Domingo"))</f>
        <v/>
      </c>
      <c r="O1260" s="26">
        <f>IF(B1260="","",IF(B1260&lt;TIME(12,0,0),"Manhã",IF(B1260&lt;TIME(18,0,0),"Tarde","Noite")))</f>
        <v/>
      </c>
      <c r="P1260" s="32">
        <f>IF(G1260="","",IFERROR(INDEX(Config!$I$5:$I$16,MATCH(G1260,Config!$H$5:$H$16,0)),0))</f>
        <v/>
      </c>
      <c r="Q1260" s="30">
        <f>IF(OR(H1260&lt;&gt;"Realizado",P1260="",P1260=0),"",A1260+P1260)</f>
        <v/>
      </c>
      <c r="R1260" s="26">
        <f>IF(Q1260="","",IF(COUNTIFS($E$5:$E$3004,E1260,$A$5:$A$3004,"&gt;"&amp;A1260,$H$5:$H$3004,"&lt;&gt;Falta",$H$5:$H$3004,"&lt;&gt;Cancelado",$H$5:$H$3004,"&lt;&gt;Remarcado")&gt;0,"Sim","Não"))</f>
        <v/>
      </c>
      <c r="S1260" s="32">
        <f>IF(R1260&lt;&gt;"Não","",IF(Q1260+Config!$B$9&lt;=Config!$B$8,Config!$B$8-Q1260,""))</f>
        <v/>
      </c>
      <c r="T1260" s="26">
        <f>IF(S1260="","","Sim")</f>
        <v/>
      </c>
      <c r="U1260" s="41">
        <f>IF(T1260="Sim",S1260+ROW()/100000,0)</f>
        <v>0</v>
      </c>
      <c r="V1260" s="41">
        <f>IF(AND(H1260="Falta",L1260=Config!$B$7,M1260=Config!$B$5,COUNTIFS($E$5:E1260,E1260,$H$5:H1260,"Falta",$L$5:L1260,Config!$B$7,$M$5:M1260,Config!$B$5)=1),COUNTIFS($E$5:$E$3004,E1260,$H$5:$H$3004,"Falta",$L$5:$L$3004,Config!$B$7,$M$5:$M$3004,Config!$B$5)*1000-ROW()/100000,0)</f>
        <v>0</v>
      </c>
    </row>
    <row r="1261">
      <c r="A1261" s="39" t="n"/>
      <c r="B1261" s="40" t="n"/>
      <c r="C1261" s="35" t="n"/>
      <c r="D1261" s="35" t="n"/>
      <c r="E1261" s="34" t="n"/>
      <c r="F1261" s="35" t="n"/>
      <c r="G1261" s="35" t="n"/>
      <c r="H1261" s="35" t="n"/>
      <c r="I1261" s="35" t="n"/>
      <c r="J1261" s="35" t="n"/>
      <c r="K1261" s="34" t="n"/>
      <c r="L1261" s="26">
        <f>IF(A1261="","",MONTH(A1261))</f>
        <v/>
      </c>
      <c r="M1261" s="26">
        <f>IF(A1261="","",YEAR(A1261))</f>
        <v/>
      </c>
      <c r="N1261" s="26">
        <f>IF(A1261="","",CHOOSE(WEEKDAY(A1261,2),"Segunda","Terça","Quarta","Quinta","Sexta","Sábado","Domingo"))</f>
        <v/>
      </c>
      <c r="O1261" s="26">
        <f>IF(B1261="","",IF(B1261&lt;TIME(12,0,0),"Manhã",IF(B1261&lt;TIME(18,0,0),"Tarde","Noite")))</f>
        <v/>
      </c>
      <c r="P1261" s="32">
        <f>IF(G1261="","",IFERROR(INDEX(Config!$I$5:$I$16,MATCH(G1261,Config!$H$5:$H$16,0)),0))</f>
        <v/>
      </c>
      <c r="Q1261" s="30">
        <f>IF(OR(H1261&lt;&gt;"Realizado",P1261="",P1261=0),"",A1261+P1261)</f>
        <v/>
      </c>
      <c r="R1261" s="26">
        <f>IF(Q1261="","",IF(COUNTIFS($E$5:$E$3004,E1261,$A$5:$A$3004,"&gt;"&amp;A1261,$H$5:$H$3004,"&lt;&gt;Falta",$H$5:$H$3004,"&lt;&gt;Cancelado",$H$5:$H$3004,"&lt;&gt;Remarcado")&gt;0,"Sim","Não"))</f>
        <v/>
      </c>
      <c r="S1261" s="32">
        <f>IF(R1261&lt;&gt;"Não","",IF(Q1261+Config!$B$9&lt;=Config!$B$8,Config!$B$8-Q1261,""))</f>
        <v/>
      </c>
      <c r="T1261" s="26">
        <f>IF(S1261="","","Sim")</f>
        <v/>
      </c>
      <c r="U1261" s="41">
        <f>IF(T1261="Sim",S1261+ROW()/100000,0)</f>
        <v>0</v>
      </c>
      <c r="V1261" s="41">
        <f>IF(AND(H1261="Falta",L1261=Config!$B$7,M1261=Config!$B$5,COUNTIFS($E$5:E1261,E1261,$H$5:H1261,"Falta",$L$5:L1261,Config!$B$7,$M$5:M1261,Config!$B$5)=1),COUNTIFS($E$5:$E$3004,E1261,$H$5:$H$3004,"Falta",$L$5:$L$3004,Config!$B$7,$M$5:$M$3004,Config!$B$5)*1000-ROW()/100000,0)</f>
        <v>0</v>
      </c>
    </row>
    <row r="1262">
      <c r="A1262" s="39" t="n"/>
      <c r="B1262" s="40" t="n"/>
      <c r="C1262" s="35" t="n"/>
      <c r="D1262" s="35" t="n"/>
      <c r="E1262" s="34" t="n"/>
      <c r="F1262" s="35" t="n"/>
      <c r="G1262" s="35" t="n"/>
      <c r="H1262" s="35" t="n"/>
      <c r="I1262" s="35" t="n"/>
      <c r="J1262" s="35" t="n"/>
      <c r="K1262" s="34" t="n"/>
      <c r="L1262" s="26">
        <f>IF(A1262="","",MONTH(A1262))</f>
        <v/>
      </c>
      <c r="M1262" s="26">
        <f>IF(A1262="","",YEAR(A1262))</f>
        <v/>
      </c>
      <c r="N1262" s="26">
        <f>IF(A1262="","",CHOOSE(WEEKDAY(A1262,2),"Segunda","Terça","Quarta","Quinta","Sexta","Sábado","Domingo"))</f>
        <v/>
      </c>
      <c r="O1262" s="26">
        <f>IF(B1262="","",IF(B1262&lt;TIME(12,0,0),"Manhã",IF(B1262&lt;TIME(18,0,0),"Tarde","Noite")))</f>
        <v/>
      </c>
      <c r="P1262" s="32">
        <f>IF(G1262="","",IFERROR(INDEX(Config!$I$5:$I$16,MATCH(G1262,Config!$H$5:$H$16,0)),0))</f>
        <v/>
      </c>
      <c r="Q1262" s="30">
        <f>IF(OR(H1262&lt;&gt;"Realizado",P1262="",P1262=0),"",A1262+P1262)</f>
        <v/>
      </c>
      <c r="R1262" s="26">
        <f>IF(Q1262="","",IF(COUNTIFS($E$5:$E$3004,E1262,$A$5:$A$3004,"&gt;"&amp;A1262,$H$5:$H$3004,"&lt;&gt;Falta",$H$5:$H$3004,"&lt;&gt;Cancelado",$H$5:$H$3004,"&lt;&gt;Remarcado")&gt;0,"Sim","Não"))</f>
        <v/>
      </c>
      <c r="S1262" s="32">
        <f>IF(R1262&lt;&gt;"Não","",IF(Q1262+Config!$B$9&lt;=Config!$B$8,Config!$B$8-Q1262,""))</f>
        <v/>
      </c>
      <c r="T1262" s="26">
        <f>IF(S1262="","","Sim")</f>
        <v/>
      </c>
      <c r="U1262" s="41">
        <f>IF(T1262="Sim",S1262+ROW()/100000,0)</f>
        <v>0</v>
      </c>
      <c r="V1262" s="41">
        <f>IF(AND(H1262="Falta",L1262=Config!$B$7,M1262=Config!$B$5,COUNTIFS($E$5:E1262,E1262,$H$5:H1262,"Falta",$L$5:L1262,Config!$B$7,$M$5:M1262,Config!$B$5)=1),COUNTIFS($E$5:$E$3004,E1262,$H$5:$H$3004,"Falta",$L$5:$L$3004,Config!$B$7,$M$5:$M$3004,Config!$B$5)*1000-ROW()/100000,0)</f>
        <v>0</v>
      </c>
    </row>
    <row r="1263">
      <c r="A1263" s="39" t="n"/>
      <c r="B1263" s="40" t="n"/>
      <c r="C1263" s="35" t="n"/>
      <c r="D1263" s="35" t="n"/>
      <c r="E1263" s="34" t="n"/>
      <c r="F1263" s="35" t="n"/>
      <c r="G1263" s="35" t="n"/>
      <c r="H1263" s="35" t="n"/>
      <c r="I1263" s="35" t="n"/>
      <c r="J1263" s="35" t="n"/>
      <c r="K1263" s="34" t="n"/>
      <c r="L1263" s="26">
        <f>IF(A1263="","",MONTH(A1263))</f>
        <v/>
      </c>
      <c r="M1263" s="26">
        <f>IF(A1263="","",YEAR(A1263))</f>
        <v/>
      </c>
      <c r="N1263" s="26">
        <f>IF(A1263="","",CHOOSE(WEEKDAY(A1263,2),"Segunda","Terça","Quarta","Quinta","Sexta","Sábado","Domingo"))</f>
        <v/>
      </c>
      <c r="O1263" s="26">
        <f>IF(B1263="","",IF(B1263&lt;TIME(12,0,0),"Manhã",IF(B1263&lt;TIME(18,0,0),"Tarde","Noite")))</f>
        <v/>
      </c>
      <c r="P1263" s="32">
        <f>IF(G1263="","",IFERROR(INDEX(Config!$I$5:$I$16,MATCH(G1263,Config!$H$5:$H$16,0)),0))</f>
        <v/>
      </c>
      <c r="Q1263" s="30">
        <f>IF(OR(H1263&lt;&gt;"Realizado",P1263="",P1263=0),"",A1263+P1263)</f>
        <v/>
      </c>
      <c r="R1263" s="26">
        <f>IF(Q1263="","",IF(COUNTIFS($E$5:$E$3004,E1263,$A$5:$A$3004,"&gt;"&amp;A1263,$H$5:$H$3004,"&lt;&gt;Falta",$H$5:$H$3004,"&lt;&gt;Cancelado",$H$5:$H$3004,"&lt;&gt;Remarcado")&gt;0,"Sim","Não"))</f>
        <v/>
      </c>
      <c r="S1263" s="32">
        <f>IF(R1263&lt;&gt;"Não","",IF(Q1263+Config!$B$9&lt;=Config!$B$8,Config!$B$8-Q1263,""))</f>
        <v/>
      </c>
      <c r="T1263" s="26">
        <f>IF(S1263="","","Sim")</f>
        <v/>
      </c>
      <c r="U1263" s="41">
        <f>IF(T1263="Sim",S1263+ROW()/100000,0)</f>
        <v>0</v>
      </c>
      <c r="V1263" s="41">
        <f>IF(AND(H1263="Falta",L1263=Config!$B$7,M1263=Config!$B$5,COUNTIFS($E$5:E1263,E1263,$H$5:H1263,"Falta",$L$5:L1263,Config!$B$7,$M$5:M1263,Config!$B$5)=1),COUNTIFS($E$5:$E$3004,E1263,$H$5:$H$3004,"Falta",$L$5:$L$3004,Config!$B$7,$M$5:$M$3004,Config!$B$5)*1000-ROW()/100000,0)</f>
        <v>0</v>
      </c>
    </row>
    <row r="1264">
      <c r="A1264" s="39" t="n"/>
      <c r="B1264" s="40" t="n"/>
      <c r="C1264" s="35" t="n"/>
      <c r="D1264" s="35" t="n"/>
      <c r="E1264" s="34" t="n"/>
      <c r="F1264" s="35" t="n"/>
      <c r="G1264" s="35" t="n"/>
      <c r="H1264" s="35" t="n"/>
      <c r="I1264" s="35" t="n"/>
      <c r="J1264" s="35" t="n"/>
      <c r="K1264" s="34" t="n"/>
      <c r="L1264" s="26">
        <f>IF(A1264="","",MONTH(A1264))</f>
        <v/>
      </c>
      <c r="M1264" s="26">
        <f>IF(A1264="","",YEAR(A1264))</f>
        <v/>
      </c>
      <c r="N1264" s="26">
        <f>IF(A1264="","",CHOOSE(WEEKDAY(A1264,2),"Segunda","Terça","Quarta","Quinta","Sexta","Sábado","Domingo"))</f>
        <v/>
      </c>
      <c r="O1264" s="26">
        <f>IF(B1264="","",IF(B1264&lt;TIME(12,0,0),"Manhã",IF(B1264&lt;TIME(18,0,0),"Tarde","Noite")))</f>
        <v/>
      </c>
      <c r="P1264" s="32">
        <f>IF(G1264="","",IFERROR(INDEX(Config!$I$5:$I$16,MATCH(G1264,Config!$H$5:$H$16,0)),0))</f>
        <v/>
      </c>
      <c r="Q1264" s="30">
        <f>IF(OR(H1264&lt;&gt;"Realizado",P1264="",P1264=0),"",A1264+P1264)</f>
        <v/>
      </c>
      <c r="R1264" s="26">
        <f>IF(Q1264="","",IF(COUNTIFS($E$5:$E$3004,E1264,$A$5:$A$3004,"&gt;"&amp;A1264,$H$5:$H$3004,"&lt;&gt;Falta",$H$5:$H$3004,"&lt;&gt;Cancelado",$H$5:$H$3004,"&lt;&gt;Remarcado")&gt;0,"Sim","Não"))</f>
        <v/>
      </c>
      <c r="S1264" s="32">
        <f>IF(R1264&lt;&gt;"Não","",IF(Q1264+Config!$B$9&lt;=Config!$B$8,Config!$B$8-Q1264,""))</f>
        <v/>
      </c>
      <c r="T1264" s="26">
        <f>IF(S1264="","","Sim")</f>
        <v/>
      </c>
      <c r="U1264" s="41">
        <f>IF(T1264="Sim",S1264+ROW()/100000,0)</f>
        <v>0</v>
      </c>
      <c r="V1264" s="41">
        <f>IF(AND(H1264="Falta",L1264=Config!$B$7,M1264=Config!$B$5,COUNTIFS($E$5:E1264,E1264,$H$5:H1264,"Falta",$L$5:L1264,Config!$B$7,$M$5:M1264,Config!$B$5)=1),COUNTIFS($E$5:$E$3004,E1264,$H$5:$H$3004,"Falta",$L$5:$L$3004,Config!$B$7,$M$5:$M$3004,Config!$B$5)*1000-ROW()/100000,0)</f>
        <v>0</v>
      </c>
    </row>
    <row r="1265">
      <c r="A1265" s="39" t="n"/>
      <c r="B1265" s="40" t="n"/>
      <c r="C1265" s="35" t="n"/>
      <c r="D1265" s="35" t="n"/>
      <c r="E1265" s="34" t="n"/>
      <c r="F1265" s="35" t="n"/>
      <c r="G1265" s="35" t="n"/>
      <c r="H1265" s="35" t="n"/>
      <c r="I1265" s="35" t="n"/>
      <c r="J1265" s="35" t="n"/>
      <c r="K1265" s="34" t="n"/>
      <c r="L1265" s="26">
        <f>IF(A1265="","",MONTH(A1265))</f>
        <v/>
      </c>
      <c r="M1265" s="26">
        <f>IF(A1265="","",YEAR(A1265))</f>
        <v/>
      </c>
      <c r="N1265" s="26">
        <f>IF(A1265="","",CHOOSE(WEEKDAY(A1265,2),"Segunda","Terça","Quarta","Quinta","Sexta","Sábado","Domingo"))</f>
        <v/>
      </c>
      <c r="O1265" s="26">
        <f>IF(B1265="","",IF(B1265&lt;TIME(12,0,0),"Manhã",IF(B1265&lt;TIME(18,0,0),"Tarde","Noite")))</f>
        <v/>
      </c>
      <c r="P1265" s="32">
        <f>IF(G1265="","",IFERROR(INDEX(Config!$I$5:$I$16,MATCH(G1265,Config!$H$5:$H$16,0)),0))</f>
        <v/>
      </c>
      <c r="Q1265" s="30">
        <f>IF(OR(H1265&lt;&gt;"Realizado",P1265="",P1265=0),"",A1265+P1265)</f>
        <v/>
      </c>
      <c r="R1265" s="26">
        <f>IF(Q1265="","",IF(COUNTIFS($E$5:$E$3004,E1265,$A$5:$A$3004,"&gt;"&amp;A1265,$H$5:$H$3004,"&lt;&gt;Falta",$H$5:$H$3004,"&lt;&gt;Cancelado",$H$5:$H$3004,"&lt;&gt;Remarcado")&gt;0,"Sim","Não"))</f>
        <v/>
      </c>
      <c r="S1265" s="32">
        <f>IF(R1265&lt;&gt;"Não","",IF(Q1265+Config!$B$9&lt;=Config!$B$8,Config!$B$8-Q1265,""))</f>
        <v/>
      </c>
      <c r="T1265" s="26">
        <f>IF(S1265="","","Sim")</f>
        <v/>
      </c>
      <c r="U1265" s="41">
        <f>IF(T1265="Sim",S1265+ROW()/100000,0)</f>
        <v>0</v>
      </c>
      <c r="V1265" s="41">
        <f>IF(AND(H1265="Falta",L1265=Config!$B$7,M1265=Config!$B$5,COUNTIFS($E$5:E1265,E1265,$H$5:H1265,"Falta",$L$5:L1265,Config!$B$7,$M$5:M1265,Config!$B$5)=1),COUNTIFS($E$5:$E$3004,E1265,$H$5:$H$3004,"Falta",$L$5:$L$3004,Config!$B$7,$M$5:$M$3004,Config!$B$5)*1000-ROW()/100000,0)</f>
        <v>0</v>
      </c>
    </row>
    <row r="1266">
      <c r="A1266" s="39" t="n"/>
      <c r="B1266" s="40" t="n"/>
      <c r="C1266" s="35" t="n"/>
      <c r="D1266" s="35" t="n"/>
      <c r="E1266" s="34" t="n"/>
      <c r="F1266" s="35" t="n"/>
      <c r="G1266" s="35" t="n"/>
      <c r="H1266" s="35" t="n"/>
      <c r="I1266" s="35" t="n"/>
      <c r="J1266" s="35" t="n"/>
      <c r="K1266" s="34" t="n"/>
      <c r="L1266" s="26">
        <f>IF(A1266="","",MONTH(A1266))</f>
        <v/>
      </c>
      <c r="M1266" s="26">
        <f>IF(A1266="","",YEAR(A1266))</f>
        <v/>
      </c>
      <c r="N1266" s="26">
        <f>IF(A1266="","",CHOOSE(WEEKDAY(A1266,2),"Segunda","Terça","Quarta","Quinta","Sexta","Sábado","Domingo"))</f>
        <v/>
      </c>
      <c r="O1266" s="26">
        <f>IF(B1266="","",IF(B1266&lt;TIME(12,0,0),"Manhã",IF(B1266&lt;TIME(18,0,0),"Tarde","Noite")))</f>
        <v/>
      </c>
      <c r="P1266" s="32">
        <f>IF(G1266="","",IFERROR(INDEX(Config!$I$5:$I$16,MATCH(G1266,Config!$H$5:$H$16,0)),0))</f>
        <v/>
      </c>
      <c r="Q1266" s="30">
        <f>IF(OR(H1266&lt;&gt;"Realizado",P1266="",P1266=0),"",A1266+P1266)</f>
        <v/>
      </c>
      <c r="R1266" s="26">
        <f>IF(Q1266="","",IF(COUNTIFS($E$5:$E$3004,E1266,$A$5:$A$3004,"&gt;"&amp;A1266,$H$5:$H$3004,"&lt;&gt;Falta",$H$5:$H$3004,"&lt;&gt;Cancelado",$H$5:$H$3004,"&lt;&gt;Remarcado")&gt;0,"Sim","Não"))</f>
        <v/>
      </c>
      <c r="S1266" s="32">
        <f>IF(R1266&lt;&gt;"Não","",IF(Q1266+Config!$B$9&lt;=Config!$B$8,Config!$B$8-Q1266,""))</f>
        <v/>
      </c>
      <c r="T1266" s="26">
        <f>IF(S1266="","","Sim")</f>
        <v/>
      </c>
      <c r="U1266" s="41">
        <f>IF(T1266="Sim",S1266+ROW()/100000,0)</f>
        <v>0</v>
      </c>
      <c r="V1266" s="41">
        <f>IF(AND(H1266="Falta",L1266=Config!$B$7,M1266=Config!$B$5,COUNTIFS($E$5:E1266,E1266,$H$5:H1266,"Falta",$L$5:L1266,Config!$B$7,$M$5:M1266,Config!$B$5)=1),COUNTIFS($E$5:$E$3004,E1266,$H$5:$H$3004,"Falta",$L$5:$L$3004,Config!$B$7,$M$5:$M$3004,Config!$B$5)*1000-ROW()/100000,0)</f>
        <v>0</v>
      </c>
    </row>
    <row r="1267">
      <c r="A1267" s="39" t="n"/>
      <c r="B1267" s="40" t="n"/>
      <c r="C1267" s="35" t="n"/>
      <c r="D1267" s="35" t="n"/>
      <c r="E1267" s="34" t="n"/>
      <c r="F1267" s="35" t="n"/>
      <c r="G1267" s="35" t="n"/>
      <c r="H1267" s="35" t="n"/>
      <c r="I1267" s="35" t="n"/>
      <c r="J1267" s="35" t="n"/>
      <c r="K1267" s="34" t="n"/>
      <c r="L1267" s="26">
        <f>IF(A1267="","",MONTH(A1267))</f>
        <v/>
      </c>
      <c r="M1267" s="26">
        <f>IF(A1267="","",YEAR(A1267))</f>
        <v/>
      </c>
      <c r="N1267" s="26">
        <f>IF(A1267="","",CHOOSE(WEEKDAY(A1267,2),"Segunda","Terça","Quarta","Quinta","Sexta","Sábado","Domingo"))</f>
        <v/>
      </c>
      <c r="O1267" s="26">
        <f>IF(B1267="","",IF(B1267&lt;TIME(12,0,0),"Manhã",IF(B1267&lt;TIME(18,0,0),"Tarde","Noite")))</f>
        <v/>
      </c>
      <c r="P1267" s="32">
        <f>IF(G1267="","",IFERROR(INDEX(Config!$I$5:$I$16,MATCH(G1267,Config!$H$5:$H$16,0)),0))</f>
        <v/>
      </c>
      <c r="Q1267" s="30">
        <f>IF(OR(H1267&lt;&gt;"Realizado",P1267="",P1267=0),"",A1267+P1267)</f>
        <v/>
      </c>
      <c r="R1267" s="26">
        <f>IF(Q1267="","",IF(COUNTIFS($E$5:$E$3004,E1267,$A$5:$A$3004,"&gt;"&amp;A1267,$H$5:$H$3004,"&lt;&gt;Falta",$H$5:$H$3004,"&lt;&gt;Cancelado",$H$5:$H$3004,"&lt;&gt;Remarcado")&gt;0,"Sim","Não"))</f>
        <v/>
      </c>
      <c r="S1267" s="32">
        <f>IF(R1267&lt;&gt;"Não","",IF(Q1267+Config!$B$9&lt;=Config!$B$8,Config!$B$8-Q1267,""))</f>
        <v/>
      </c>
      <c r="T1267" s="26">
        <f>IF(S1267="","","Sim")</f>
        <v/>
      </c>
      <c r="U1267" s="41">
        <f>IF(T1267="Sim",S1267+ROW()/100000,0)</f>
        <v>0</v>
      </c>
      <c r="V1267" s="41">
        <f>IF(AND(H1267="Falta",L1267=Config!$B$7,M1267=Config!$B$5,COUNTIFS($E$5:E1267,E1267,$H$5:H1267,"Falta",$L$5:L1267,Config!$B$7,$M$5:M1267,Config!$B$5)=1),COUNTIFS($E$5:$E$3004,E1267,$H$5:$H$3004,"Falta",$L$5:$L$3004,Config!$B$7,$M$5:$M$3004,Config!$B$5)*1000-ROW()/100000,0)</f>
        <v>0</v>
      </c>
    </row>
    <row r="1268">
      <c r="A1268" s="39" t="n"/>
      <c r="B1268" s="40" t="n"/>
      <c r="C1268" s="35" t="n"/>
      <c r="D1268" s="35" t="n"/>
      <c r="E1268" s="34" t="n"/>
      <c r="F1268" s="35" t="n"/>
      <c r="G1268" s="35" t="n"/>
      <c r="H1268" s="35" t="n"/>
      <c r="I1268" s="35" t="n"/>
      <c r="J1268" s="35" t="n"/>
      <c r="K1268" s="34" t="n"/>
      <c r="L1268" s="26">
        <f>IF(A1268="","",MONTH(A1268))</f>
        <v/>
      </c>
      <c r="M1268" s="26">
        <f>IF(A1268="","",YEAR(A1268))</f>
        <v/>
      </c>
      <c r="N1268" s="26">
        <f>IF(A1268="","",CHOOSE(WEEKDAY(A1268,2),"Segunda","Terça","Quarta","Quinta","Sexta","Sábado","Domingo"))</f>
        <v/>
      </c>
      <c r="O1268" s="26">
        <f>IF(B1268="","",IF(B1268&lt;TIME(12,0,0),"Manhã",IF(B1268&lt;TIME(18,0,0),"Tarde","Noite")))</f>
        <v/>
      </c>
      <c r="P1268" s="32">
        <f>IF(G1268="","",IFERROR(INDEX(Config!$I$5:$I$16,MATCH(G1268,Config!$H$5:$H$16,0)),0))</f>
        <v/>
      </c>
      <c r="Q1268" s="30">
        <f>IF(OR(H1268&lt;&gt;"Realizado",P1268="",P1268=0),"",A1268+P1268)</f>
        <v/>
      </c>
      <c r="R1268" s="26">
        <f>IF(Q1268="","",IF(COUNTIFS($E$5:$E$3004,E1268,$A$5:$A$3004,"&gt;"&amp;A1268,$H$5:$H$3004,"&lt;&gt;Falta",$H$5:$H$3004,"&lt;&gt;Cancelado",$H$5:$H$3004,"&lt;&gt;Remarcado")&gt;0,"Sim","Não"))</f>
        <v/>
      </c>
      <c r="S1268" s="32">
        <f>IF(R1268&lt;&gt;"Não","",IF(Q1268+Config!$B$9&lt;=Config!$B$8,Config!$B$8-Q1268,""))</f>
        <v/>
      </c>
      <c r="T1268" s="26">
        <f>IF(S1268="","","Sim")</f>
        <v/>
      </c>
      <c r="U1268" s="41">
        <f>IF(T1268="Sim",S1268+ROW()/100000,0)</f>
        <v>0</v>
      </c>
      <c r="V1268" s="41">
        <f>IF(AND(H1268="Falta",L1268=Config!$B$7,M1268=Config!$B$5,COUNTIFS($E$5:E1268,E1268,$H$5:H1268,"Falta",$L$5:L1268,Config!$B$7,$M$5:M1268,Config!$B$5)=1),COUNTIFS($E$5:$E$3004,E1268,$H$5:$H$3004,"Falta",$L$5:$L$3004,Config!$B$7,$M$5:$M$3004,Config!$B$5)*1000-ROW()/100000,0)</f>
        <v>0</v>
      </c>
    </row>
    <row r="1269">
      <c r="A1269" s="39" t="n"/>
      <c r="B1269" s="40" t="n"/>
      <c r="C1269" s="35" t="n"/>
      <c r="D1269" s="35" t="n"/>
      <c r="E1269" s="34" t="n"/>
      <c r="F1269" s="35" t="n"/>
      <c r="G1269" s="35" t="n"/>
      <c r="H1269" s="35" t="n"/>
      <c r="I1269" s="35" t="n"/>
      <c r="J1269" s="35" t="n"/>
      <c r="K1269" s="34" t="n"/>
      <c r="L1269" s="26">
        <f>IF(A1269="","",MONTH(A1269))</f>
        <v/>
      </c>
      <c r="M1269" s="26">
        <f>IF(A1269="","",YEAR(A1269))</f>
        <v/>
      </c>
      <c r="N1269" s="26">
        <f>IF(A1269="","",CHOOSE(WEEKDAY(A1269,2),"Segunda","Terça","Quarta","Quinta","Sexta","Sábado","Domingo"))</f>
        <v/>
      </c>
      <c r="O1269" s="26">
        <f>IF(B1269="","",IF(B1269&lt;TIME(12,0,0),"Manhã",IF(B1269&lt;TIME(18,0,0),"Tarde","Noite")))</f>
        <v/>
      </c>
      <c r="P1269" s="32">
        <f>IF(G1269="","",IFERROR(INDEX(Config!$I$5:$I$16,MATCH(G1269,Config!$H$5:$H$16,0)),0))</f>
        <v/>
      </c>
      <c r="Q1269" s="30">
        <f>IF(OR(H1269&lt;&gt;"Realizado",P1269="",P1269=0),"",A1269+P1269)</f>
        <v/>
      </c>
      <c r="R1269" s="26">
        <f>IF(Q1269="","",IF(COUNTIFS($E$5:$E$3004,E1269,$A$5:$A$3004,"&gt;"&amp;A1269,$H$5:$H$3004,"&lt;&gt;Falta",$H$5:$H$3004,"&lt;&gt;Cancelado",$H$5:$H$3004,"&lt;&gt;Remarcado")&gt;0,"Sim","Não"))</f>
        <v/>
      </c>
      <c r="S1269" s="32">
        <f>IF(R1269&lt;&gt;"Não","",IF(Q1269+Config!$B$9&lt;=Config!$B$8,Config!$B$8-Q1269,""))</f>
        <v/>
      </c>
      <c r="T1269" s="26">
        <f>IF(S1269="","","Sim")</f>
        <v/>
      </c>
      <c r="U1269" s="41">
        <f>IF(T1269="Sim",S1269+ROW()/100000,0)</f>
        <v>0</v>
      </c>
      <c r="V1269" s="41">
        <f>IF(AND(H1269="Falta",L1269=Config!$B$7,M1269=Config!$B$5,COUNTIFS($E$5:E1269,E1269,$H$5:H1269,"Falta",$L$5:L1269,Config!$B$7,$M$5:M1269,Config!$B$5)=1),COUNTIFS($E$5:$E$3004,E1269,$H$5:$H$3004,"Falta",$L$5:$L$3004,Config!$B$7,$M$5:$M$3004,Config!$B$5)*1000-ROW()/100000,0)</f>
        <v>0</v>
      </c>
    </row>
    <row r="1270">
      <c r="A1270" s="39" t="n"/>
      <c r="B1270" s="40" t="n"/>
      <c r="C1270" s="35" t="n"/>
      <c r="D1270" s="35" t="n"/>
      <c r="E1270" s="34" t="n"/>
      <c r="F1270" s="35" t="n"/>
      <c r="G1270" s="35" t="n"/>
      <c r="H1270" s="35" t="n"/>
      <c r="I1270" s="35" t="n"/>
      <c r="J1270" s="35" t="n"/>
      <c r="K1270" s="34" t="n"/>
      <c r="L1270" s="26">
        <f>IF(A1270="","",MONTH(A1270))</f>
        <v/>
      </c>
      <c r="M1270" s="26">
        <f>IF(A1270="","",YEAR(A1270))</f>
        <v/>
      </c>
      <c r="N1270" s="26">
        <f>IF(A1270="","",CHOOSE(WEEKDAY(A1270,2),"Segunda","Terça","Quarta","Quinta","Sexta","Sábado","Domingo"))</f>
        <v/>
      </c>
      <c r="O1270" s="26">
        <f>IF(B1270="","",IF(B1270&lt;TIME(12,0,0),"Manhã",IF(B1270&lt;TIME(18,0,0),"Tarde","Noite")))</f>
        <v/>
      </c>
      <c r="P1270" s="32">
        <f>IF(G1270="","",IFERROR(INDEX(Config!$I$5:$I$16,MATCH(G1270,Config!$H$5:$H$16,0)),0))</f>
        <v/>
      </c>
      <c r="Q1270" s="30">
        <f>IF(OR(H1270&lt;&gt;"Realizado",P1270="",P1270=0),"",A1270+P1270)</f>
        <v/>
      </c>
      <c r="R1270" s="26">
        <f>IF(Q1270="","",IF(COUNTIFS($E$5:$E$3004,E1270,$A$5:$A$3004,"&gt;"&amp;A1270,$H$5:$H$3004,"&lt;&gt;Falta",$H$5:$H$3004,"&lt;&gt;Cancelado",$H$5:$H$3004,"&lt;&gt;Remarcado")&gt;0,"Sim","Não"))</f>
        <v/>
      </c>
      <c r="S1270" s="32">
        <f>IF(R1270&lt;&gt;"Não","",IF(Q1270+Config!$B$9&lt;=Config!$B$8,Config!$B$8-Q1270,""))</f>
        <v/>
      </c>
      <c r="T1270" s="26">
        <f>IF(S1270="","","Sim")</f>
        <v/>
      </c>
      <c r="U1270" s="41">
        <f>IF(T1270="Sim",S1270+ROW()/100000,0)</f>
        <v>0</v>
      </c>
      <c r="V1270" s="41">
        <f>IF(AND(H1270="Falta",L1270=Config!$B$7,M1270=Config!$B$5,COUNTIFS($E$5:E1270,E1270,$H$5:H1270,"Falta",$L$5:L1270,Config!$B$7,$M$5:M1270,Config!$B$5)=1),COUNTIFS($E$5:$E$3004,E1270,$H$5:$H$3004,"Falta",$L$5:$L$3004,Config!$B$7,$M$5:$M$3004,Config!$B$5)*1000-ROW()/100000,0)</f>
        <v>0</v>
      </c>
    </row>
    <row r="1271">
      <c r="A1271" s="39" t="n"/>
      <c r="B1271" s="40" t="n"/>
      <c r="C1271" s="35" t="n"/>
      <c r="D1271" s="35" t="n"/>
      <c r="E1271" s="34" t="n"/>
      <c r="F1271" s="35" t="n"/>
      <c r="G1271" s="35" t="n"/>
      <c r="H1271" s="35" t="n"/>
      <c r="I1271" s="35" t="n"/>
      <c r="J1271" s="35" t="n"/>
      <c r="K1271" s="34" t="n"/>
      <c r="L1271" s="26">
        <f>IF(A1271="","",MONTH(A1271))</f>
        <v/>
      </c>
      <c r="M1271" s="26">
        <f>IF(A1271="","",YEAR(A1271))</f>
        <v/>
      </c>
      <c r="N1271" s="26">
        <f>IF(A1271="","",CHOOSE(WEEKDAY(A1271,2),"Segunda","Terça","Quarta","Quinta","Sexta","Sábado","Domingo"))</f>
        <v/>
      </c>
      <c r="O1271" s="26">
        <f>IF(B1271="","",IF(B1271&lt;TIME(12,0,0),"Manhã",IF(B1271&lt;TIME(18,0,0),"Tarde","Noite")))</f>
        <v/>
      </c>
      <c r="P1271" s="32">
        <f>IF(G1271="","",IFERROR(INDEX(Config!$I$5:$I$16,MATCH(G1271,Config!$H$5:$H$16,0)),0))</f>
        <v/>
      </c>
      <c r="Q1271" s="30">
        <f>IF(OR(H1271&lt;&gt;"Realizado",P1271="",P1271=0),"",A1271+P1271)</f>
        <v/>
      </c>
      <c r="R1271" s="26">
        <f>IF(Q1271="","",IF(COUNTIFS($E$5:$E$3004,E1271,$A$5:$A$3004,"&gt;"&amp;A1271,$H$5:$H$3004,"&lt;&gt;Falta",$H$5:$H$3004,"&lt;&gt;Cancelado",$H$5:$H$3004,"&lt;&gt;Remarcado")&gt;0,"Sim","Não"))</f>
        <v/>
      </c>
      <c r="S1271" s="32">
        <f>IF(R1271&lt;&gt;"Não","",IF(Q1271+Config!$B$9&lt;=Config!$B$8,Config!$B$8-Q1271,""))</f>
        <v/>
      </c>
      <c r="T1271" s="26">
        <f>IF(S1271="","","Sim")</f>
        <v/>
      </c>
      <c r="U1271" s="41">
        <f>IF(T1271="Sim",S1271+ROW()/100000,0)</f>
        <v>0</v>
      </c>
      <c r="V1271" s="41">
        <f>IF(AND(H1271="Falta",L1271=Config!$B$7,M1271=Config!$B$5,COUNTIFS($E$5:E1271,E1271,$H$5:H1271,"Falta",$L$5:L1271,Config!$B$7,$M$5:M1271,Config!$B$5)=1),COUNTIFS($E$5:$E$3004,E1271,$H$5:$H$3004,"Falta",$L$5:$L$3004,Config!$B$7,$M$5:$M$3004,Config!$B$5)*1000-ROW()/100000,0)</f>
        <v>0</v>
      </c>
    </row>
    <row r="1272">
      <c r="A1272" s="39" t="n"/>
      <c r="B1272" s="40" t="n"/>
      <c r="C1272" s="35" t="n"/>
      <c r="D1272" s="35" t="n"/>
      <c r="E1272" s="34" t="n"/>
      <c r="F1272" s="35" t="n"/>
      <c r="G1272" s="35" t="n"/>
      <c r="H1272" s="35" t="n"/>
      <c r="I1272" s="35" t="n"/>
      <c r="J1272" s="35" t="n"/>
      <c r="K1272" s="34" t="n"/>
      <c r="L1272" s="26">
        <f>IF(A1272="","",MONTH(A1272))</f>
        <v/>
      </c>
      <c r="M1272" s="26">
        <f>IF(A1272="","",YEAR(A1272))</f>
        <v/>
      </c>
      <c r="N1272" s="26">
        <f>IF(A1272="","",CHOOSE(WEEKDAY(A1272,2),"Segunda","Terça","Quarta","Quinta","Sexta","Sábado","Domingo"))</f>
        <v/>
      </c>
      <c r="O1272" s="26">
        <f>IF(B1272="","",IF(B1272&lt;TIME(12,0,0),"Manhã",IF(B1272&lt;TIME(18,0,0),"Tarde","Noite")))</f>
        <v/>
      </c>
      <c r="P1272" s="32">
        <f>IF(G1272="","",IFERROR(INDEX(Config!$I$5:$I$16,MATCH(G1272,Config!$H$5:$H$16,0)),0))</f>
        <v/>
      </c>
      <c r="Q1272" s="30">
        <f>IF(OR(H1272&lt;&gt;"Realizado",P1272="",P1272=0),"",A1272+P1272)</f>
        <v/>
      </c>
      <c r="R1272" s="26">
        <f>IF(Q1272="","",IF(COUNTIFS($E$5:$E$3004,E1272,$A$5:$A$3004,"&gt;"&amp;A1272,$H$5:$H$3004,"&lt;&gt;Falta",$H$5:$H$3004,"&lt;&gt;Cancelado",$H$5:$H$3004,"&lt;&gt;Remarcado")&gt;0,"Sim","Não"))</f>
        <v/>
      </c>
      <c r="S1272" s="32">
        <f>IF(R1272&lt;&gt;"Não","",IF(Q1272+Config!$B$9&lt;=Config!$B$8,Config!$B$8-Q1272,""))</f>
        <v/>
      </c>
      <c r="T1272" s="26">
        <f>IF(S1272="","","Sim")</f>
        <v/>
      </c>
      <c r="U1272" s="41">
        <f>IF(T1272="Sim",S1272+ROW()/100000,0)</f>
        <v>0</v>
      </c>
      <c r="V1272" s="41">
        <f>IF(AND(H1272="Falta",L1272=Config!$B$7,M1272=Config!$B$5,COUNTIFS($E$5:E1272,E1272,$H$5:H1272,"Falta",$L$5:L1272,Config!$B$7,$M$5:M1272,Config!$B$5)=1),COUNTIFS($E$5:$E$3004,E1272,$H$5:$H$3004,"Falta",$L$5:$L$3004,Config!$B$7,$M$5:$M$3004,Config!$B$5)*1000-ROW()/100000,0)</f>
        <v>0</v>
      </c>
    </row>
    <row r="1273">
      <c r="A1273" s="39" t="n"/>
      <c r="B1273" s="40" t="n"/>
      <c r="C1273" s="35" t="n"/>
      <c r="D1273" s="35" t="n"/>
      <c r="E1273" s="34" t="n"/>
      <c r="F1273" s="35" t="n"/>
      <c r="G1273" s="35" t="n"/>
      <c r="H1273" s="35" t="n"/>
      <c r="I1273" s="35" t="n"/>
      <c r="J1273" s="35" t="n"/>
      <c r="K1273" s="34" t="n"/>
      <c r="L1273" s="26">
        <f>IF(A1273="","",MONTH(A1273))</f>
        <v/>
      </c>
      <c r="M1273" s="26">
        <f>IF(A1273="","",YEAR(A1273))</f>
        <v/>
      </c>
      <c r="N1273" s="26">
        <f>IF(A1273="","",CHOOSE(WEEKDAY(A1273,2),"Segunda","Terça","Quarta","Quinta","Sexta","Sábado","Domingo"))</f>
        <v/>
      </c>
      <c r="O1273" s="26">
        <f>IF(B1273="","",IF(B1273&lt;TIME(12,0,0),"Manhã",IF(B1273&lt;TIME(18,0,0),"Tarde","Noite")))</f>
        <v/>
      </c>
      <c r="P1273" s="32">
        <f>IF(G1273="","",IFERROR(INDEX(Config!$I$5:$I$16,MATCH(G1273,Config!$H$5:$H$16,0)),0))</f>
        <v/>
      </c>
      <c r="Q1273" s="30">
        <f>IF(OR(H1273&lt;&gt;"Realizado",P1273="",P1273=0),"",A1273+P1273)</f>
        <v/>
      </c>
      <c r="R1273" s="26">
        <f>IF(Q1273="","",IF(COUNTIFS($E$5:$E$3004,E1273,$A$5:$A$3004,"&gt;"&amp;A1273,$H$5:$H$3004,"&lt;&gt;Falta",$H$5:$H$3004,"&lt;&gt;Cancelado",$H$5:$H$3004,"&lt;&gt;Remarcado")&gt;0,"Sim","Não"))</f>
        <v/>
      </c>
      <c r="S1273" s="32">
        <f>IF(R1273&lt;&gt;"Não","",IF(Q1273+Config!$B$9&lt;=Config!$B$8,Config!$B$8-Q1273,""))</f>
        <v/>
      </c>
      <c r="T1273" s="26">
        <f>IF(S1273="","","Sim")</f>
        <v/>
      </c>
      <c r="U1273" s="41">
        <f>IF(T1273="Sim",S1273+ROW()/100000,0)</f>
        <v>0</v>
      </c>
      <c r="V1273" s="41">
        <f>IF(AND(H1273="Falta",L1273=Config!$B$7,M1273=Config!$B$5,COUNTIFS($E$5:E1273,E1273,$H$5:H1273,"Falta",$L$5:L1273,Config!$B$7,$M$5:M1273,Config!$B$5)=1),COUNTIFS($E$5:$E$3004,E1273,$H$5:$H$3004,"Falta",$L$5:$L$3004,Config!$B$7,$M$5:$M$3004,Config!$B$5)*1000-ROW()/100000,0)</f>
        <v>0</v>
      </c>
    </row>
    <row r="1274">
      <c r="A1274" s="39" t="n"/>
      <c r="B1274" s="40" t="n"/>
      <c r="C1274" s="35" t="n"/>
      <c r="D1274" s="35" t="n"/>
      <c r="E1274" s="34" t="n"/>
      <c r="F1274" s="35" t="n"/>
      <c r="G1274" s="35" t="n"/>
      <c r="H1274" s="35" t="n"/>
      <c r="I1274" s="35" t="n"/>
      <c r="J1274" s="35" t="n"/>
      <c r="K1274" s="34" t="n"/>
      <c r="L1274" s="26">
        <f>IF(A1274="","",MONTH(A1274))</f>
        <v/>
      </c>
      <c r="M1274" s="26">
        <f>IF(A1274="","",YEAR(A1274))</f>
        <v/>
      </c>
      <c r="N1274" s="26">
        <f>IF(A1274="","",CHOOSE(WEEKDAY(A1274,2),"Segunda","Terça","Quarta","Quinta","Sexta","Sábado","Domingo"))</f>
        <v/>
      </c>
      <c r="O1274" s="26">
        <f>IF(B1274="","",IF(B1274&lt;TIME(12,0,0),"Manhã",IF(B1274&lt;TIME(18,0,0),"Tarde","Noite")))</f>
        <v/>
      </c>
      <c r="P1274" s="32">
        <f>IF(G1274="","",IFERROR(INDEX(Config!$I$5:$I$16,MATCH(G1274,Config!$H$5:$H$16,0)),0))</f>
        <v/>
      </c>
      <c r="Q1274" s="30">
        <f>IF(OR(H1274&lt;&gt;"Realizado",P1274="",P1274=0),"",A1274+P1274)</f>
        <v/>
      </c>
      <c r="R1274" s="26">
        <f>IF(Q1274="","",IF(COUNTIFS($E$5:$E$3004,E1274,$A$5:$A$3004,"&gt;"&amp;A1274,$H$5:$H$3004,"&lt;&gt;Falta",$H$5:$H$3004,"&lt;&gt;Cancelado",$H$5:$H$3004,"&lt;&gt;Remarcado")&gt;0,"Sim","Não"))</f>
        <v/>
      </c>
      <c r="S1274" s="32">
        <f>IF(R1274&lt;&gt;"Não","",IF(Q1274+Config!$B$9&lt;=Config!$B$8,Config!$B$8-Q1274,""))</f>
        <v/>
      </c>
      <c r="T1274" s="26">
        <f>IF(S1274="","","Sim")</f>
        <v/>
      </c>
      <c r="U1274" s="41">
        <f>IF(T1274="Sim",S1274+ROW()/100000,0)</f>
        <v>0</v>
      </c>
      <c r="V1274" s="41">
        <f>IF(AND(H1274="Falta",L1274=Config!$B$7,M1274=Config!$B$5,COUNTIFS($E$5:E1274,E1274,$H$5:H1274,"Falta",$L$5:L1274,Config!$B$7,$M$5:M1274,Config!$B$5)=1),COUNTIFS($E$5:$E$3004,E1274,$H$5:$H$3004,"Falta",$L$5:$L$3004,Config!$B$7,$M$5:$M$3004,Config!$B$5)*1000-ROW()/100000,0)</f>
        <v>0</v>
      </c>
    </row>
    <row r="1275">
      <c r="A1275" s="39" t="n"/>
      <c r="B1275" s="40" t="n"/>
      <c r="C1275" s="35" t="n"/>
      <c r="D1275" s="35" t="n"/>
      <c r="E1275" s="34" t="n"/>
      <c r="F1275" s="35" t="n"/>
      <c r="G1275" s="35" t="n"/>
      <c r="H1275" s="35" t="n"/>
      <c r="I1275" s="35" t="n"/>
      <c r="J1275" s="35" t="n"/>
      <c r="K1275" s="34" t="n"/>
      <c r="L1275" s="26">
        <f>IF(A1275="","",MONTH(A1275))</f>
        <v/>
      </c>
      <c r="M1275" s="26">
        <f>IF(A1275="","",YEAR(A1275))</f>
        <v/>
      </c>
      <c r="N1275" s="26">
        <f>IF(A1275="","",CHOOSE(WEEKDAY(A1275,2),"Segunda","Terça","Quarta","Quinta","Sexta","Sábado","Domingo"))</f>
        <v/>
      </c>
      <c r="O1275" s="26">
        <f>IF(B1275="","",IF(B1275&lt;TIME(12,0,0),"Manhã",IF(B1275&lt;TIME(18,0,0),"Tarde","Noite")))</f>
        <v/>
      </c>
      <c r="P1275" s="32">
        <f>IF(G1275="","",IFERROR(INDEX(Config!$I$5:$I$16,MATCH(G1275,Config!$H$5:$H$16,0)),0))</f>
        <v/>
      </c>
      <c r="Q1275" s="30">
        <f>IF(OR(H1275&lt;&gt;"Realizado",P1275="",P1275=0),"",A1275+P1275)</f>
        <v/>
      </c>
      <c r="R1275" s="26">
        <f>IF(Q1275="","",IF(COUNTIFS($E$5:$E$3004,E1275,$A$5:$A$3004,"&gt;"&amp;A1275,$H$5:$H$3004,"&lt;&gt;Falta",$H$5:$H$3004,"&lt;&gt;Cancelado",$H$5:$H$3004,"&lt;&gt;Remarcado")&gt;0,"Sim","Não"))</f>
        <v/>
      </c>
      <c r="S1275" s="32">
        <f>IF(R1275&lt;&gt;"Não","",IF(Q1275+Config!$B$9&lt;=Config!$B$8,Config!$B$8-Q1275,""))</f>
        <v/>
      </c>
      <c r="T1275" s="26">
        <f>IF(S1275="","","Sim")</f>
        <v/>
      </c>
      <c r="U1275" s="41">
        <f>IF(T1275="Sim",S1275+ROW()/100000,0)</f>
        <v>0</v>
      </c>
      <c r="V1275" s="41">
        <f>IF(AND(H1275="Falta",L1275=Config!$B$7,M1275=Config!$B$5,COUNTIFS($E$5:E1275,E1275,$H$5:H1275,"Falta",$L$5:L1275,Config!$B$7,$M$5:M1275,Config!$B$5)=1),COUNTIFS($E$5:$E$3004,E1275,$H$5:$H$3004,"Falta",$L$5:$L$3004,Config!$B$7,$M$5:$M$3004,Config!$B$5)*1000-ROW()/100000,0)</f>
        <v>0</v>
      </c>
    </row>
    <row r="1276">
      <c r="A1276" s="39" t="n"/>
      <c r="B1276" s="40" t="n"/>
      <c r="C1276" s="35" t="n"/>
      <c r="D1276" s="35" t="n"/>
      <c r="E1276" s="34" t="n"/>
      <c r="F1276" s="35" t="n"/>
      <c r="G1276" s="35" t="n"/>
      <c r="H1276" s="35" t="n"/>
      <c r="I1276" s="35" t="n"/>
      <c r="J1276" s="35" t="n"/>
      <c r="K1276" s="34" t="n"/>
      <c r="L1276" s="26">
        <f>IF(A1276="","",MONTH(A1276))</f>
        <v/>
      </c>
      <c r="M1276" s="26">
        <f>IF(A1276="","",YEAR(A1276))</f>
        <v/>
      </c>
      <c r="N1276" s="26">
        <f>IF(A1276="","",CHOOSE(WEEKDAY(A1276,2),"Segunda","Terça","Quarta","Quinta","Sexta","Sábado","Domingo"))</f>
        <v/>
      </c>
      <c r="O1276" s="26">
        <f>IF(B1276="","",IF(B1276&lt;TIME(12,0,0),"Manhã",IF(B1276&lt;TIME(18,0,0),"Tarde","Noite")))</f>
        <v/>
      </c>
      <c r="P1276" s="32">
        <f>IF(G1276="","",IFERROR(INDEX(Config!$I$5:$I$16,MATCH(G1276,Config!$H$5:$H$16,0)),0))</f>
        <v/>
      </c>
      <c r="Q1276" s="30">
        <f>IF(OR(H1276&lt;&gt;"Realizado",P1276="",P1276=0),"",A1276+P1276)</f>
        <v/>
      </c>
      <c r="R1276" s="26">
        <f>IF(Q1276="","",IF(COUNTIFS($E$5:$E$3004,E1276,$A$5:$A$3004,"&gt;"&amp;A1276,$H$5:$H$3004,"&lt;&gt;Falta",$H$5:$H$3004,"&lt;&gt;Cancelado",$H$5:$H$3004,"&lt;&gt;Remarcado")&gt;0,"Sim","Não"))</f>
        <v/>
      </c>
      <c r="S1276" s="32">
        <f>IF(R1276&lt;&gt;"Não","",IF(Q1276+Config!$B$9&lt;=Config!$B$8,Config!$B$8-Q1276,""))</f>
        <v/>
      </c>
      <c r="T1276" s="26">
        <f>IF(S1276="","","Sim")</f>
        <v/>
      </c>
      <c r="U1276" s="41">
        <f>IF(T1276="Sim",S1276+ROW()/100000,0)</f>
        <v>0</v>
      </c>
      <c r="V1276" s="41">
        <f>IF(AND(H1276="Falta",L1276=Config!$B$7,M1276=Config!$B$5,COUNTIFS($E$5:E1276,E1276,$H$5:H1276,"Falta",$L$5:L1276,Config!$B$7,$M$5:M1276,Config!$B$5)=1),COUNTIFS($E$5:$E$3004,E1276,$H$5:$H$3004,"Falta",$L$5:$L$3004,Config!$B$7,$M$5:$M$3004,Config!$B$5)*1000-ROW()/100000,0)</f>
        <v>0</v>
      </c>
    </row>
    <row r="1277">
      <c r="A1277" s="39" t="n"/>
      <c r="B1277" s="40" t="n"/>
      <c r="C1277" s="35" t="n"/>
      <c r="D1277" s="35" t="n"/>
      <c r="E1277" s="34" t="n"/>
      <c r="F1277" s="35" t="n"/>
      <c r="G1277" s="35" t="n"/>
      <c r="H1277" s="35" t="n"/>
      <c r="I1277" s="35" t="n"/>
      <c r="J1277" s="35" t="n"/>
      <c r="K1277" s="34" t="n"/>
      <c r="L1277" s="26">
        <f>IF(A1277="","",MONTH(A1277))</f>
        <v/>
      </c>
      <c r="M1277" s="26">
        <f>IF(A1277="","",YEAR(A1277))</f>
        <v/>
      </c>
      <c r="N1277" s="26">
        <f>IF(A1277="","",CHOOSE(WEEKDAY(A1277,2),"Segunda","Terça","Quarta","Quinta","Sexta","Sábado","Domingo"))</f>
        <v/>
      </c>
      <c r="O1277" s="26">
        <f>IF(B1277="","",IF(B1277&lt;TIME(12,0,0),"Manhã",IF(B1277&lt;TIME(18,0,0),"Tarde","Noite")))</f>
        <v/>
      </c>
      <c r="P1277" s="32">
        <f>IF(G1277="","",IFERROR(INDEX(Config!$I$5:$I$16,MATCH(G1277,Config!$H$5:$H$16,0)),0))</f>
        <v/>
      </c>
      <c r="Q1277" s="30">
        <f>IF(OR(H1277&lt;&gt;"Realizado",P1277="",P1277=0),"",A1277+P1277)</f>
        <v/>
      </c>
      <c r="R1277" s="26">
        <f>IF(Q1277="","",IF(COUNTIFS($E$5:$E$3004,E1277,$A$5:$A$3004,"&gt;"&amp;A1277,$H$5:$H$3004,"&lt;&gt;Falta",$H$5:$H$3004,"&lt;&gt;Cancelado",$H$5:$H$3004,"&lt;&gt;Remarcado")&gt;0,"Sim","Não"))</f>
        <v/>
      </c>
      <c r="S1277" s="32">
        <f>IF(R1277&lt;&gt;"Não","",IF(Q1277+Config!$B$9&lt;=Config!$B$8,Config!$B$8-Q1277,""))</f>
        <v/>
      </c>
      <c r="T1277" s="26">
        <f>IF(S1277="","","Sim")</f>
        <v/>
      </c>
      <c r="U1277" s="41">
        <f>IF(T1277="Sim",S1277+ROW()/100000,0)</f>
        <v>0</v>
      </c>
      <c r="V1277" s="41">
        <f>IF(AND(H1277="Falta",L1277=Config!$B$7,M1277=Config!$B$5,COUNTIFS($E$5:E1277,E1277,$H$5:H1277,"Falta",$L$5:L1277,Config!$B$7,$M$5:M1277,Config!$B$5)=1),COUNTIFS($E$5:$E$3004,E1277,$H$5:$H$3004,"Falta",$L$5:$L$3004,Config!$B$7,$M$5:$M$3004,Config!$B$5)*1000-ROW()/100000,0)</f>
        <v>0</v>
      </c>
    </row>
    <row r="1278">
      <c r="A1278" s="39" t="n"/>
      <c r="B1278" s="40" t="n"/>
      <c r="C1278" s="35" t="n"/>
      <c r="D1278" s="35" t="n"/>
      <c r="E1278" s="34" t="n"/>
      <c r="F1278" s="35" t="n"/>
      <c r="G1278" s="35" t="n"/>
      <c r="H1278" s="35" t="n"/>
      <c r="I1278" s="35" t="n"/>
      <c r="J1278" s="35" t="n"/>
      <c r="K1278" s="34" t="n"/>
      <c r="L1278" s="26">
        <f>IF(A1278="","",MONTH(A1278))</f>
        <v/>
      </c>
      <c r="M1278" s="26">
        <f>IF(A1278="","",YEAR(A1278))</f>
        <v/>
      </c>
      <c r="N1278" s="26">
        <f>IF(A1278="","",CHOOSE(WEEKDAY(A1278,2),"Segunda","Terça","Quarta","Quinta","Sexta","Sábado","Domingo"))</f>
        <v/>
      </c>
      <c r="O1278" s="26">
        <f>IF(B1278="","",IF(B1278&lt;TIME(12,0,0),"Manhã",IF(B1278&lt;TIME(18,0,0),"Tarde","Noite")))</f>
        <v/>
      </c>
      <c r="P1278" s="32">
        <f>IF(G1278="","",IFERROR(INDEX(Config!$I$5:$I$16,MATCH(G1278,Config!$H$5:$H$16,0)),0))</f>
        <v/>
      </c>
      <c r="Q1278" s="30">
        <f>IF(OR(H1278&lt;&gt;"Realizado",P1278="",P1278=0),"",A1278+P1278)</f>
        <v/>
      </c>
      <c r="R1278" s="26">
        <f>IF(Q1278="","",IF(COUNTIFS($E$5:$E$3004,E1278,$A$5:$A$3004,"&gt;"&amp;A1278,$H$5:$H$3004,"&lt;&gt;Falta",$H$5:$H$3004,"&lt;&gt;Cancelado",$H$5:$H$3004,"&lt;&gt;Remarcado")&gt;0,"Sim","Não"))</f>
        <v/>
      </c>
      <c r="S1278" s="32">
        <f>IF(R1278&lt;&gt;"Não","",IF(Q1278+Config!$B$9&lt;=Config!$B$8,Config!$B$8-Q1278,""))</f>
        <v/>
      </c>
      <c r="T1278" s="26">
        <f>IF(S1278="","","Sim")</f>
        <v/>
      </c>
      <c r="U1278" s="41">
        <f>IF(T1278="Sim",S1278+ROW()/100000,0)</f>
        <v>0</v>
      </c>
      <c r="V1278" s="41">
        <f>IF(AND(H1278="Falta",L1278=Config!$B$7,M1278=Config!$B$5,COUNTIFS($E$5:E1278,E1278,$H$5:H1278,"Falta",$L$5:L1278,Config!$B$7,$M$5:M1278,Config!$B$5)=1),COUNTIFS($E$5:$E$3004,E1278,$H$5:$H$3004,"Falta",$L$5:$L$3004,Config!$B$7,$M$5:$M$3004,Config!$B$5)*1000-ROW()/100000,0)</f>
        <v>0</v>
      </c>
    </row>
    <row r="1279">
      <c r="A1279" s="39" t="n"/>
      <c r="B1279" s="40" t="n"/>
      <c r="C1279" s="35" t="n"/>
      <c r="D1279" s="35" t="n"/>
      <c r="E1279" s="34" t="n"/>
      <c r="F1279" s="35" t="n"/>
      <c r="G1279" s="35" t="n"/>
      <c r="H1279" s="35" t="n"/>
      <c r="I1279" s="35" t="n"/>
      <c r="J1279" s="35" t="n"/>
      <c r="K1279" s="34" t="n"/>
      <c r="L1279" s="26">
        <f>IF(A1279="","",MONTH(A1279))</f>
        <v/>
      </c>
      <c r="M1279" s="26">
        <f>IF(A1279="","",YEAR(A1279))</f>
        <v/>
      </c>
      <c r="N1279" s="26">
        <f>IF(A1279="","",CHOOSE(WEEKDAY(A1279,2),"Segunda","Terça","Quarta","Quinta","Sexta","Sábado","Domingo"))</f>
        <v/>
      </c>
      <c r="O1279" s="26">
        <f>IF(B1279="","",IF(B1279&lt;TIME(12,0,0),"Manhã",IF(B1279&lt;TIME(18,0,0),"Tarde","Noite")))</f>
        <v/>
      </c>
      <c r="P1279" s="32">
        <f>IF(G1279="","",IFERROR(INDEX(Config!$I$5:$I$16,MATCH(G1279,Config!$H$5:$H$16,0)),0))</f>
        <v/>
      </c>
      <c r="Q1279" s="30">
        <f>IF(OR(H1279&lt;&gt;"Realizado",P1279="",P1279=0),"",A1279+P1279)</f>
        <v/>
      </c>
      <c r="R1279" s="26">
        <f>IF(Q1279="","",IF(COUNTIFS($E$5:$E$3004,E1279,$A$5:$A$3004,"&gt;"&amp;A1279,$H$5:$H$3004,"&lt;&gt;Falta",$H$5:$H$3004,"&lt;&gt;Cancelado",$H$5:$H$3004,"&lt;&gt;Remarcado")&gt;0,"Sim","Não"))</f>
        <v/>
      </c>
      <c r="S1279" s="32">
        <f>IF(R1279&lt;&gt;"Não","",IF(Q1279+Config!$B$9&lt;=Config!$B$8,Config!$B$8-Q1279,""))</f>
        <v/>
      </c>
      <c r="T1279" s="26">
        <f>IF(S1279="","","Sim")</f>
        <v/>
      </c>
      <c r="U1279" s="41">
        <f>IF(T1279="Sim",S1279+ROW()/100000,0)</f>
        <v>0</v>
      </c>
      <c r="V1279" s="41">
        <f>IF(AND(H1279="Falta",L1279=Config!$B$7,M1279=Config!$B$5,COUNTIFS($E$5:E1279,E1279,$H$5:H1279,"Falta",$L$5:L1279,Config!$B$7,$M$5:M1279,Config!$B$5)=1),COUNTIFS($E$5:$E$3004,E1279,$H$5:$H$3004,"Falta",$L$5:$L$3004,Config!$B$7,$M$5:$M$3004,Config!$B$5)*1000-ROW()/100000,0)</f>
        <v>0</v>
      </c>
    </row>
    <row r="1280">
      <c r="A1280" s="39" t="n"/>
      <c r="B1280" s="40" t="n"/>
      <c r="C1280" s="35" t="n"/>
      <c r="D1280" s="35" t="n"/>
      <c r="E1280" s="34" t="n"/>
      <c r="F1280" s="35" t="n"/>
      <c r="G1280" s="35" t="n"/>
      <c r="H1280" s="35" t="n"/>
      <c r="I1280" s="35" t="n"/>
      <c r="J1280" s="35" t="n"/>
      <c r="K1280" s="34" t="n"/>
      <c r="L1280" s="26">
        <f>IF(A1280="","",MONTH(A1280))</f>
        <v/>
      </c>
      <c r="M1280" s="26">
        <f>IF(A1280="","",YEAR(A1280))</f>
        <v/>
      </c>
      <c r="N1280" s="26">
        <f>IF(A1280="","",CHOOSE(WEEKDAY(A1280,2),"Segunda","Terça","Quarta","Quinta","Sexta","Sábado","Domingo"))</f>
        <v/>
      </c>
      <c r="O1280" s="26">
        <f>IF(B1280="","",IF(B1280&lt;TIME(12,0,0),"Manhã",IF(B1280&lt;TIME(18,0,0),"Tarde","Noite")))</f>
        <v/>
      </c>
      <c r="P1280" s="32">
        <f>IF(G1280="","",IFERROR(INDEX(Config!$I$5:$I$16,MATCH(G1280,Config!$H$5:$H$16,0)),0))</f>
        <v/>
      </c>
      <c r="Q1280" s="30">
        <f>IF(OR(H1280&lt;&gt;"Realizado",P1280="",P1280=0),"",A1280+P1280)</f>
        <v/>
      </c>
      <c r="R1280" s="26">
        <f>IF(Q1280="","",IF(COUNTIFS($E$5:$E$3004,E1280,$A$5:$A$3004,"&gt;"&amp;A1280,$H$5:$H$3004,"&lt;&gt;Falta",$H$5:$H$3004,"&lt;&gt;Cancelado",$H$5:$H$3004,"&lt;&gt;Remarcado")&gt;0,"Sim","Não"))</f>
        <v/>
      </c>
      <c r="S1280" s="32">
        <f>IF(R1280&lt;&gt;"Não","",IF(Q1280+Config!$B$9&lt;=Config!$B$8,Config!$B$8-Q1280,""))</f>
        <v/>
      </c>
      <c r="T1280" s="26">
        <f>IF(S1280="","","Sim")</f>
        <v/>
      </c>
      <c r="U1280" s="41">
        <f>IF(T1280="Sim",S1280+ROW()/100000,0)</f>
        <v>0</v>
      </c>
      <c r="V1280" s="41">
        <f>IF(AND(H1280="Falta",L1280=Config!$B$7,M1280=Config!$B$5,COUNTIFS($E$5:E1280,E1280,$H$5:H1280,"Falta",$L$5:L1280,Config!$B$7,$M$5:M1280,Config!$B$5)=1),COUNTIFS($E$5:$E$3004,E1280,$H$5:$H$3004,"Falta",$L$5:$L$3004,Config!$B$7,$M$5:$M$3004,Config!$B$5)*1000-ROW()/100000,0)</f>
        <v>0</v>
      </c>
    </row>
    <row r="1281">
      <c r="A1281" s="39" t="n"/>
      <c r="B1281" s="40" t="n"/>
      <c r="C1281" s="35" t="n"/>
      <c r="D1281" s="35" t="n"/>
      <c r="E1281" s="34" t="n"/>
      <c r="F1281" s="35" t="n"/>
      <c r="G1281" s="35" t="n"/>
      <c r="H1281" s="35" t="n"/>
      <c r="I1281" s="35" t="n"/>
      <c r="J1281" s="35" t="n"/>
      <c r="K1281" s="34" t="n"/>
      <c r="L1281" s="26">
        <f>IF(A1281="","",MONTH(A1281))</f>
        <v/>
      </c>
      <c r="M1281" s="26">
        <f>IF(A1281="","",YEAR(A1281))</f>
        <v/>
      </c>
      <c r="N1281" s="26">
        <f>IF(A1281="","",CHOOSE(WEEKDAY(A1281,2),"Segunda","Terça","Quarta","Quinta","Sexta","Sábado","Domingo"))</f>
        <v/>
      </c>
      <c r="O1281" s="26">
        <f>IF(B1281="","",IF(B1281&lt;TIME(12,0,0),"Manhã",IF(B1281&lt;TIME(18,0,0),"Tarde","Noite")))</f>
        <v/>
      </c>
      <c r="P1281" s="32">
        <f>IF(G1281="","",IFERROR(INDEX(Config!$I$5:$I$16,MATCH(G1281,Config!$H$5:$H$16,0)),0))</f>
        <v/>
      </c>
      <c r="Q1281" s="30">
        <f>IF(OR(H1281&lt;&gt;"Realizado",P1281="",P1281=0),"",A1281+P1281)</f>
        <v/>
      </c>
      <c r="R1281" s="26">
        <f>IF(Q1281="","",IF(COUNTIFS($E$5:$E$3004,E1281,$A$5:$A$3004,"&gt;"&amp;A1281,$H$5:$H$3004,"&lt;&gt;Falta",$H$5:$H$3004,"&lt;&gt;Cancelado",$H$5:$H$3004,"&lt;&gt;Remarcado")&gt;0,"Sim","Não"))</f>
        <v/>
      </c>
      <c r="S1281" s="32">
        <f>IF(R1281&lt;&gt;"Não","",IF(Q1281+Config!$B$9&lt;=Config!$B$8,Config!$B$8-Q1281,""))</f>
        <v/>
      </c>
      <c r="T1281" s="26">
        <f>IF(S1281="","","Sim")</f>
        <v/>
      </c>
      <c r="U1281" s="41">
        <f>IF(T1281="Sim",S1281+ROW()/100000,0)</f>
        <v>0</v>
      </c>
      <c r="V1281" s="41">
        <f>IF(AND(H1281="Falta",L1281=Config!$B$7,M1281=Config!$B$5,COUNTIFS($E$5:E1281,E1281,$H$5:H1281,"Falta",$L$5:L1281,Config!$B$7,$M$5:M1281,Config!$B$5)=1),COUNTIFS($E$5:$E$3004,E1281,$H$5:$H$3004,"Falta",$L$5:$L$3004,Config!$B$7,$M$5:$M$3004,Config!$B$5)*1000-ROW()/100000,0)</f>
        <v>0</v>
      </c>
    </row>
    <row r="1282">
      <c r="A1282" s="39" t="n"/>
      <c r="B1282" s="40" t="n"/>
      <c r="C1282" s="35" t="n"/>
      <c r="D1282" s="35" t="n"/>
      <c r="E1282" s="34" t="n"/>
      <c r="F1282" s="35" t="n"/>
      <c r="G1282" s="35" t="n"/>
      <c r="H1282" s="35" t="n"/>
      <c r="I1282" s="35" t="n"/>
      <c r="J1282" s="35" t="n"/>
      <c r="K1282" s="34" t="n"/>
      <c r="L1282" s="26">
        <f>IF(A1282="","",MONTH(A1282))</f>
        <v/>
      </c>
      <c r="M1282" s="26">
        <f>IF(A1282="","",YEAR(A1282))</f>
        <v/>
      </c>
      <c r="N1282" s="26">
        <f>IF(A1282="","",CHOOSE(WEEKDAY(A1282,2),"Segunda","Terça","Quarta","Quinta","Sexta","Sábado","Domingo"))</f>
        <v/>
      </c>
      <c r="O1282" s="26">
        <f>IF(B1282="","",IF(B1282&lt;TIME(12,0,0),"Manhã",IF(B1282&lt;TIME(18,0,0),"Tarde","Noite")))</f>
        <v/>
      </c>
      <c r="P1282" s="32">
        <f>IF(G1282="","",IFERROR(INDEX(Config!$I$5:$I$16,MATCH(G1282,Config!$H$5:$H$16,0)),0))</f>
        <v/>
      </c>
      <c r="Q1282" s="30">
        <f>IF(OR(H1282&lt;&gt;"Realizado",P1282="",P1282=0),"",A1282+P1282)</f>
        <v/>
      </c>
      <c r="R1282" s="26">
        <f>IF(Q1282="","",IF(COUNTIFS($E$5:$E$3004,E1282,$A$5:$A$3004,"&gt;"&amp;A1282,$H$5:$H$3004,"&lt;&gt;Falta",$H$5:$H$3004,"&lt;&gt;Cancelado",$H$5:$H$3004,"&lt;&gt;Remarcado")&gt;0,"Sim","Não"))</f>
        <v/>
      </c>
      <c r="S1282" s="32">
        <f>IF(R1282&lt;&gt;"Não","",IF(Q1282+Config!$B$9&lt;=Config!$B$8,Config!$B$8-Q1282,""))</f>
        <v/>
      </c>
      <c r="T1282" s="26">
        <f>IF(S1282="","","Sim")</f>
        <v/>
      </c>
      <c r="U1282" s="41">
        <f>IF(T1282="Sim",S1282+ROW()/100000,0)</f>
        <v>0</v>
      </c>
      <c r="V1282" s="41">
        <f>IF(AND(H1282="Falta",L1282=Config!$B$7,M1282=Config!$B$5,COUNTIFS($E$5:E1282,E1282,$H$5:H1282,"Falta",$L$5:L1282,Config!$B$7,$M$5:M1282,Config!$B$5)=1),COUNTIFS($E$5:$E$3004,E1282,$H$5:$H$3004,"Falta",$L$5:$L$3004,Config!$B$7,$M$5:$M$3004,Config!$B$5)*1000-ROW()/100000,0)</f>
        <v>0</v>
      </c>
    </row>
    <row r="1283">
      <c r="A1283" s="39" t="n"/>
      <c r="B1283" s="40" t="n"/>
      <c r="C1283" s="35" t="n"/>
      <c r="D1283" s="35" t="n"/>
      <c r="E1283" s="34" t="n"/>
      <c r="F1283" s="35" t="n"/>
      <c r="G1283" s="35" t="n"/>
      <c r="H1283" s="35" t="n"/>
      <c r="I1283" s="35" t="n"/>
      <c r="J1283" s="35" t="n"/>
      <c r="K1283" s="34" t="n"/>
      <c r="L1283" s="26">
        <f>IF(A1283="","",MONTH(A1283))</f>
        <v/>
      </c>
      <c r="M1283" s="26">
        <f>IF(A1283="","",YEAR(A1283))</f>
        <v/>
      </c>
      <c r="N1283" s="26">
        <f>IF(A1283="","",CHOOSE(WEEKDAY(A1283,2),"Segunda","Terça","Quarta","Quinta","Sexta","Sábado","Domingo"))</f>
        <v/>
      </c>
      <c r="O1283" s="26">
        <f>IF(B1283="","",IF(B1283&lt;TIME(12,0,0),"Manhã",IF(B1283&lt;TIME(18,0,0),"Tarde","Noite")))</f>
        <v/>
      </c>
      <c r="P1283" s="32">
        <f>IF(G1283="","",IFERROR(INDEX(Config!$I$5:$I$16,MATCH(G1283,Config!$H$5:$H$16,0)),0))</f>
        <v/>
      </c>
      <c r="Q1283" s="30">
        <f>IF(OR(H1283&lt;&gt;"Realizado",P1283="",P1283=0),"",A1283+P1283)</f>
        <v/>
      </c>
      <c r="R1283" s="26">
        <f>IF(Q1283="","",IF(COUNTIFS($E$5:$E$3004,E1283,$A$5:$A$3004,"&gt;"&amp;A1283,$H$5:$H$3004,"&lt;&gt;Falta",$H$5:$H$3004,"&lt;&gt;Cancelado",$H$5:$H$3004,"&lt;&gt;Remarcado")&gt;0,"Sim","Não"))</f>
        <v/>
      </c>
      <c r="S1283" s="32">
        <f>IF(R1283&lt;&gt;"Não","",IF(Q1283+Config!$B$9&lt;=Config!$B$8,Config!$B$8-Q1283,""))</f>
        <v/>
      </c>
      <c r="T1283" s="26">
        <f>IF(S1283="","","Sim")</f>
        <v/>
      </c>
      <c r="U1283" s="41">
        <f>IF(T1283="Sim",S1283+ROW()/100000,0)</f>
        <v>0</v>
      </c>
      <c r="V1283" s="41">
        <f>IF(AND(H1283="Falta",L1283=Config!$B$7,M1283=Config!$B$5,COUNTIFS($E$5:E1283,E1283,$H$5:H1283,"Falta",$L$5:L1283,Config!$B$7,$M$5:M1283,Config!$B$5)=1),COUNTIFS($E$5:$E$3004,E1283,$H$5:$H$3004,"Falta",$L$5:$L$3004,Config!$B$7,$M$5:$M$3004,Config!$B$5)*1000-ROW()/100000,0)</f>
        <v>0</v>
      </c>
    </row>
    <row r="1284">
      <c r="A1284" s="39" t="n"/>
      <c r="B1284" s="40" t="n"/>
      <c r="C1284" s="35" t="n"/>
      <c r="D1284" s="35" t="n"/>
      <c r="E1284" s="34" t="n"/>
      <c r="F1284" s="35" t="n"/>
      <c r="G1284" s="35" t="n"/>
      <c r="H1284" s="35" t="n"/>
      <c r="I1284" s="35" t="n"/>
      <c r="J1284" s="35" t="n"/>
      <c r="K1284" s="34" t="n"/>
      <c r="L1284" s="26">
        <f>IF(A1284="","",MONTH(A1284))</f>
        <v/>
      </c>
      <c r="M1284" s="26">
        <f>IF(A1284="","",YEAR(A1284))</f>
        <v/>
      </c>
      <c r="N1284" s="26">
        <f>IF(A1284="","",CHOOSE(WEEKDAY(A1284,2),"Segunda","Terça","Quarta","Quinta","Sexta","Sábado","Domingo"))</f>
        <v/>
      </c>
      <c r="O1284" s="26">
        <f>IF(B1284="","",IF(B1284&lt;TIME(12,0,0),"Manhã",IF(B1284&lt;TIME(18,0,0),"Tarde","Noite")))</f>
        <v/>
      </c>
      <c r="P1284" s="32">
        <f>IF(G1284="","",IFERROR(INDEX(Config!$I$5:$I$16,MATCH(G1284,Config!$H$5:$H$16,0)),0))</f>
        <v/>
      </c>
      <c r="Q1284" s="30">
        <f>IF(OR(H1284&lt;&gt;"Realizado",P1284="",P1284=0),"",A1284+P1284)</f>
        <v/>
      </c>
      <c r="R1284" s="26">
        <f>IF(Q1284="","",IF(COUNTIFS($E$5:$E$3004,E1284,$A$5:$A$3004,"&gt;"&amp;A1284,$H$5:$H$3004,"&lt;&gt;Falta",$H$5:$H$3004,"&lt;&gt;Cancelado",$H$5:$H$3004,"&lt;&gt;Remarcado")&gt;0,"Sim","Não"))</f>
        <v/>
      </c>
      <c r="S1284" s="32">
        <f>IF(R1284&lt;&gt;"Não","",IF(Q1284+Config!$B$9&lt;=Config!$B$8,Config!$B$8-Q1284,""))</f>
        <v/>
      </c>
      <c r="T1284" s="26">
        <f>IF(S1284="","","Sim")</f>
        <v/>
      </c>
      <c r="U1284" s="41">
        <f>IF(T1284="Sim",S1284+ROW()/100000,0)</f>
        <v>0</v>
      </c>
      <c r="V1284" s="41">
        <f>IF(AND(H1284="Falta",L1284=Config!$B$7,M1284=Config!$B$5,COUNTIFS($E$5:E1284,E1284,$H$5:H1284,"Falta",$L$5:L1284,Config!$B$7,$M$5:M1284,Config!$B$5)=1),COUNTIFS($E$5:$E$3004,E1284,$H$5:$H$3004,"Falta",$L$5:$L$3004,Config!$B$7,$M$5:$M$3004,Config!$B$5)*1000-ROW()/100000,0)</f>
        <v>0</v>
      </c>
    </row>
    <row r="1285">
      <c r="A1285" s="39" t="n"/>
      <c r="B1285" s="40" t="n"/>
      <c r="C1285" s="35" t="n"/>
      <c r="D1285" s="35" t="n"/>
      <c r="E1285" s="34" t="n"/>
      <c r="F1285" s="35" t="n"/>
      <c r="G1285" s="35" t="n"/>
      <c r="H1285" s="35" t="n"/>
      <c r="I1285" s="35" t="n"/>
      <c r="J1285" s="35" t="n"/>
      <c r="K1285" s="34" t="n"/>
      <c r="L1285" s="26">
        <f>IF(A1285="","",MONTH(A1285))</f>
        <v/>
      </c>
      <c r="M1285" s="26">
        <f>IF(A1285="","",YEAR(A1285))</f>
        <v/>
      </c>
      <c r="N1285" s="26">
        <f>IF(A1285="","",CHOOSE(WEEKDAY(A1285,2),"Segunda","Terça","Quarta","Quinta","Sexta","Sábado","Domingo"))</f>
        <v/>
      </c>
      <c r="O1285" s="26">
        <f>IF(B1285="","",IF(B1285&lt;TIME(12,0,0),"Manhã",IF(B1285&lt;TIME(18,0,0),"Tarde","Noite")))</f>
        <v/>
      </c>
      <c r="P1285" s="32">
        <f>IF(G1285="","",IFERROR(INDEX(Config!$I$5:$I$16,MATCH(G1285,Config!$H$5:$H$16,0)),0))</f>
        <v/>
      </c>
      <c r="Q1285" s="30">
        <f>IF(OR(H1285&lt;&gt;"Realizado",P1285="",P1285=0),"",A1285+P1285)</f>
        <v/>
      </c>
      <c r="R1285" s="26">
        <f>IF(Q1285="","",IF(COUNTIFS($E$5:$E$3004,E1285,$A$5:$A$3004,"&gt;"&amp;A1285,$H$5:$H$3004,"&lt;&gt;Falta",$H$5:$H$3004,"&lt;&gt;Cancelado",$H$5:$H$3004,"&lt;&gt;Remarcado")&gt;0,"Sim","Não"))</f>
        <v/>
      </c>
      <c r="S1285" s="32">
        <f>IF(R1285&lt;&gt;"Não","",IF(Q1285+Config!$B$9&lt;=Config!$B$8,Config!$B$8-Q1285,""))</f>
        <v/>
      </c>
      <c r="T1285" s="26">
        <f>IF(S1285="","","Sim")</f>
        <v/>
      </c>
      <c r="U1285" s="41">
        <f>IF(T1285="Sim",S1285+ROW()/100000,0)</f>
        <v>0</v>
      </c>
      <c r="V1285" s="41">
        <f>IF(AND(H1285="Falta",L1285=Config!$B$7,M1285=Config!$B$5,COUNTIFS($E$5:E1285,E1285,$H$5:H1285,"Falta",$L$5:L1285,Config!$B$7,$M$5:M1285,Config!$B$5)=1),COUNTIFS($E$5:$E$3004,E1285,$H$5:$H$3004,"Falta",$L$5:$L$3004,Config!$B$7,$M$5:$M$3004,Config!$B$5)*1000-ROW()/100000,0)</f>
        <v>0</v>
      </c>
    </row>
    <row r="1286">
      <c r="A1286" s="39" t="n"/>
      <c r="B1286" s="40" t="n"/>
      <c r="C1286" s="35" t="n"/>
      <c r="D1286" s="35" t="n"/>
      <c r="E1286" s="34" t="n"/>
      <c r="F1286" s="35" t="n"/>
      <c r="G1286" s="35" t="n"/>
      <c r="H1286" s="35" t="n"/>
      <c r="I1286" s="35" t="n"/>
      <c r="J1286" s="35" t="n"/>
      <c r="K1286" s="34" t="n"/>
      <c r="L1286" s="26">
        <f>IF(A1286="","",MONTH(A1286))</f>
        <v/>
      </c>
      <c r="M1286" s="26">
        <f>IF(A1286="","",YEAR(A1286))</f>
        <v/>
      </c>
      <c r="N1286" s="26">
        <f>IF(A1286="","",CHOOSE(WEEKDAY(A1286,2),"Segunda","Terça","Quarta","Quinta","Sexta","Sábado","Domingo"))</f>
        <v/>
      </c>
      <c r="O1286" s="26">
        <f>IF(B1286="","",IF(B1286&lt;TIME(12,0,0),"Manhã",IF(B1286&lt;TIME(18,0,0),"Tarde","Noite")))</f>
        <v/>
      </c>
      <c r="P1286" s="32">
        <f>IF(G1286="","",IFERROR(INDEX(Config!$I$5:$I$16,MATCH(G1286,Config!$H$5:$H$16,0)),0))</f>
        <v/>
      </c>
      <c r="Q1286" s="30">
        <f>IF(OR(H1286&lt;&gt;"Realizado",P1286="",P1286=0),"",A1286+P1286)</f>
        <v/>
      </c>
      <c r="R1286" s="26">
        <f>IF(Q1286="","",IF(COUNTIFS($E$5:$E$3004,E1286,$A$5:$A$3004,"&gt;"&amp;A1286,$H$5:$H$3004,"&lt;&gt;Falta",$H$5:$H$3004,"&lt;&gt;Cancelado",$H$5:$H$3004,"&lt;&gt;Remarcado")&gt;0,"Sim","Não"))</f>
        <v/>
      </c>
      <c r="S1286" s="32">
        <f>IF(R1286&lt;&gt;"Não","",IF(Q1286+Config!$B$9&lt;=Config!$B$8,Config!$B$8-Q1286,""))</f>
        <v/>
      </c>
      <c r="T1286" s="26">
        <f>IF(S1286="","","Sim")</f>
        <v/>
      </c>
      <c r="U1286" s="41">
        <f>IF(T1286="Sim",S1286+ROW()/100000,0)</f>
        <v>0</v>
      </c>
      <c r="V1286" s="41">
        <f>IF(AND(H1286="Falta",L1286=Config!$B$7,M1286=Config!$B$5,COUNTIFS($E$5:E1286,E1286,$H$5:H1286,"Falta",$L$5:L1286,Config!$B$7,$M$5:M1286,Config!$B$5)=1),COUNTIFS($E$5:$E$3004,E1286,$H$5:$H$3004,"Falta",$L$5:$L$3004,Config!$B$7,$M$5:$M$3004,Config!$B$5)*1000-ROW()/100000,0)</f>
        <v>0</v>
      </c>
    </row>
    <row r="1287">
      <c r="A1287" s="39" t="n"/>
      <c r="B1287" s="40" t="n"/>
      <c r="C1287" s="35" t="n"/>
      <c r="D1287" s="35" t="n"/>
      <c r="E1287" s="34" t="n"/>
      <c r="F1287" s="35" t="n"/>
      <c r="G1287" s="35" t="n"/>
      <c r="H1287" s="35" t="n"/>
      <c r="I1287" s="35" t="n"/>
      <c r="J1287" s="35" t="n"/>
      <c r="K1287" s="34" t="n"/>
      <c r="L1287" s="26">
        <f>IF(A1287="","",MONTH(A1287))</f>
        <v/>
      </c>
      <c r="M1287" s="26">
        <f>IF(A1287="","",YEAR(A1287))</f>
        <v/>
      </c>
      <c r="N1287" s="26">
        <f>IF(A1287="","",CHOOSE(WEEKDAY(A1287,2),"Segunda","Terça","Quarta","Quinta","Sexta","Sábado","Domingo"))</f>
        <v/>
      </c>
      <c r="O1287" s="26">
        <f>IF(B1287="","",IF(B1287&lt;TIME(12,0,0),"Manhã",IF(B1287&lt;TIME(18,0,0),"Tarde","Noite")))</f>
        <v/>
      </c>
      <c r="P1287" s="32">
        <f>IF(G1287="","",IFERROR(INDEX(Config!$I$5:$I$16,MATCH(G1287,Config!$H$5:$H$16,0)),0))</f>
        <v/>
      </c>
      <c r="Q1287" s="30">
        <f>IF(OR(H1287&lt;&gt;"Realizado",P1287="",P1287=0),"",A1287+P1287)</f>
        <v/>
      </c>
      <c r="R1287" s="26">
        <f>IF(Q1287="","",IF(COUNTIFS($E$5:$E$3004,E1287,$A$5:$A$3004,"&gt;"&amp;A1287,$H$5:$H$3004,"&lt;&gt;Falta",$H$5:$H$3004,"&lt;&gt;Cancelado",$H$5:$H$3004,"&lt;&gt;Remarcado")&gt;0,"Sim","Não"))</f>
        <v/>
      </c>
      <c r="S1287" s="32">
        <f>IF(R1287&lt;&gt;"Não","",IF(Q1287+Config!$B$9&lt;=Config!$B$8,Config!$B$8-Q1287,""))</f>
        <v/>
      </c>
      <c r="T1287" s="26">
        <f>IF(S1287="","","Sim")</f>
        <v/>
      </c>
      <c r="U1287" s="41">
        <f>IF(T1287="Sim",S1287+ROW()/100000,0)</f>
        <v>0</v>
      </c>
      <c r="V1287" s="41">
        <f>IF(AND(H1287="Falta",L1287=Config!$B$7,M1287=Config!$B$5,COUNTIFS($E$5:E1287,E1287,$H$5:H1287,"Falta",$L$5:L1287,Config!$B$7,$M$5:M1287,Config!$B$5)=1),COUNTIFS($E$5:$E$3004,E1287,$H$5:$H$3004,"Falta",$L$5:$L$3004,Config!$B$7,$M$5:$M$3004,Config!$B$5)*1000-ROW()/100000,0)</f>
        <v>0</v>
      </c>
    </row>
    <row r="1288">
      <c r="A1288" s="39" t="n"/>
      <c r="B1288" s="40" t="n"/>
      <c r="C1288" s="35" t="n"/>
      <c r="D1288" s="35" t="n"/>
      <c r="E1288" s="34" t="n"/>
      <c r="F1288" s="35" t="n"/>
      <c r="G1288" s="35" t="n"/>
      <c r="H1288" s="35" t="n"/>
      <c r="I1288" s="35" t="n"/>
      <c r="J1288" s="35" t="n"/>
      <c r="K1288" s="34" t="n"/>
      <c r="L1288" s="26">
        <f>IF(A1288="","",MONTH(A1288))</f>
        <v/>
      </c>
      <c r="M1288" s="26">
        <f>IF(A1288="","",YEAR(A1288))</f>
        <v/>
      </c>
      <c r="N1288" s="26">
        <f>IF(A1288="","",CHOOSE(WEEKDAY(A1288,2),"Segunda","Terça","Quarta","Quinta","Sexta","Sábado","Domingo"))</f>
        <v/>
      </c>
      <c r="O1288" s="26">
        <f>IF(B1288="","",IF(B1288&lt;TIME(12,0,0),"Manhã",IF(B1288&lt;TIME(18,0,0),"Tarde","Noite")))</f>
        <v/>
      </c>
      <c r="P1288" s="32">
        <f>IF(G1288="","",IFERROR(INDEX(Config!$I$5:$I$16,MATCH(G1288,Config!$H$5:$H$16,0)),0))</f>
        <v/>
      </c>
      <c r="Q1288" s="30">
        <f>IF(OR(H1288&lt;&gt;"Realizado",P1288="",P1288=0),"",A1288+P1288)</f>
        <v/>
      </c>
      <c r="R1288" s="26">
        <f>IF(Q1288="","",IF(COUNTIFS($E$5:$E$3004,E1288,$A$5:$A$3004,"&gt;"&amp;A1288,$H$5:$H$3004,"&lt;&gt;Falta",$H$5:$H$3004,"&lt;&gt;Cancelado",$H$5:$H$3004,"&lt;&gt;Remarcado")&gt;0,"Sim","Não"))</f>
        <v/>
      </c>
      <c r="S1288" s="32">
        <f>IF(R1288&lt;&gt;"Não","",IF(Q1288+Config!$B$9&lt;=Config!$B$8,Config!$B$8-Q1288,""))</f>
        <v/>
      </c>
      <c r="T1288" s="26">
        <f>IF(S1288="","","Sim")</f>
        <v/>
      </c>
      <c r="U1288" s="41">
        <f>IF(T1288="Sim",S1288+ROW()/100000,0)</f>
        <v>0</v>
      </c>
      <c r="V1288" s="41">
        <f>IF(AND(H1288="Falta",L1288=Config!$B$7,M1288=Config!$B$5,COUNTIFS($E$5:E1288,E1288,$H$5:H1288,"Falta",$L$5:L1288,Config!$B$7,$M$5:M1288,Config!$B$5)=1),COUNTIFS($E$5:$E$3004,E1288,$H$5:$H$3004,"Falta",$L$5:$L$3004,Config!$B$7,$M$5:$M$3004,Config!$B$5)*1000-ROW()/100000,0)</f>
        <v>0</v>
      </c>
    </row>
    <row r="1289">
      <c r="A1289" s="39" t="n"/>
      <c r="B1289" s="40" t="n"/>
      <c r="C1289" s="35" t="n"/>
      <c r="D1289" s="35" t="n"/>
      <c r="E1289" s="34" t="n"/>
      <c r="F1289" s="35" t="n"/>
      <c r="G1289" s="35" t="n"/>
      <c r="H1289" s="35" t="n"/>
      <c r="I1289" s="35" t="n"/>
      <c r="J1289" s="35" t="n"/>
      <c r="K1289" s="34" t="n"/>
      <c r="L1289" s="26">
        <f>IF(A1289="","",MONTH(A1289))</f>
        <v/>
      </c>
      <c r="M1289" s="26">
        <f>IF(A1289="","",YEAR(A1289))</f>
        <v/>
      </c>
      <c r="N1289" s="26">
        <f>IF(A1289="","",CHOOSE(WEEKDAY(A1289,2),"Segunda","Terça","Quarta","Quinta","Sexta","Sábado","Domingo"))</f>
        <v/>
      </c>
      <c r="O1289" s="26">
        <f>IF(B1289="","",IF(B1289&lt;TIME(12,0,0),"Manhã",IF(B1289&lt;TIME(18,0,0),"Tarde","Noite")))</f>
        <v/>
      </c>
      <c r="P1289" s="32">
        <f>IF(G1289="","",IFERROR(INDEX(Config!$I$5:$I$16,MATCH(G1289,Config!$H$5:$H$16,0)),0))</f>
        <v/>
      </c>
      <c r="Q1289" s="30">
        <f>IF(OR(H1289&lt;&gt;"Realizado",P1289="",P1289=0),"",A1289+P1289)</f>
        <v/>
      </c>
      <c r="R1289" s="26">
        <f>IF(Q1289="","",IF(COUNTIFS($E$5:$E$3004,E1289,$A$5:$A$3004,"&gt;"&amp;A1289,$H$5:$H$3004,"&lt;&gt;Falta",$H$5:$H$3004,"&lt;&gt;Cancelado",$H$5:$H$3004,"&lt;&gt;Remarcado")&gt;0,"Sim","Não"))</f>
        <v/>
      </c>
      <c r="S1289" s="32">
        <f>IF(R1289&lt;&gt;"Não","",IF(Q1289+Config!$B$9&lt;=Config!$B$8,Config!$B$8-Q1289,""))</f>
        <v/>
      </c>
      <c r="T1289" s="26">
        <f>IF(S1289="","","Sim")</f>
        <v/>
      </c>
      <c r="U1289" s="41">
        <f>IF(T1289="Sim",S1289+ROW()/100000,0)</f>
        <v>0</v>
      </c>
      <c r="V1289" s="41">
        <f>IF(AND(H1289="Falta",L1289=Config!$B$7,M1289=Config!$B$5,COUNTIFS($E$5:E1289,E1289,$H$5:H1289,"Falta",$L$5:L1289,Config!$B$7,$M$5:M1289,Config!$B$5)=1),COUNTIFS($E$5:$E$3004,E1289,$H$5:$H$3004,"Falta",$L$5:$L$3004,Config!$B$7,$M$5:$M$3004,Config!$B$5)*1000-ROW()/100000,0)</f>
        <v>0</v>
      </c>
    </row>
    <row r="1290">
      <c r="A1290" s="39" t="n"/>
      <c r="B1290" s="40" t="n"/>
      <c r="C1290" s="35" t="n"/>
      <c r="D1290" s="35" t="n"/>
      <c r="E1290" s="34" t="n"/>
      <c r="F1290" s="35" t="n"/>
      <c r="G1290" s="35" t="n"/>
      <c r="H1290" s="35" t="n"/>
      <c r="I1290" s="35" t="n"/>
      <c r="J1290" s="35" t="n"/>
      <c r="K1290" s="34" t="n"/>
      <c r="L1290" s="26">
        <f>IF(A1290="","",MONTH(A1290))</f>
        <v/>
      </c>
      <c r="M1290" s="26">
        <f>IF(A1290="","",YEAR(A1290))</f>
        <v/>
      </c>
      <c r="N1290" s="26">
        <f>IF(A1290="","",CHOOSE(WEEKDAY(A1290,2),"Segunda","Terça","Quarta","Quinta","Sexta","Sábado","Domingo"))</f>
        <v/>
      </c>
      <c r="O1290" s="26">
        <f>IF(B1290="","",IF(B1290&lt;TIME(12,0,0),"Manhã",IF(B1290&lt;TIME(18,0,0),"Tarde","Noite")))</f>
        <v/>
      </c>
      <c r="P1290" s="32">
        <f>IF(G1290="","",IFERROR(INDEX(Config!$I$5:$I$16,MATCH(G1290,Config!$H$5:$H$16,0)),0))</f>
        <v/>
      </c>
      <c r="Q1290" s="30">
        <f>IF(OR(H1290&lt;&gt;"Realizado",P1290="",P1290=0),"",A1290+P1290)</f>
        <v/>
      </c>
      <c r="R1290" s="26">
        <f>IF(Q1290="","",IF(COUNTIFS($E$5:$E$3004,E1290,$A$5:$A$3004,"&gt;"&amp;A1290,$H$5:$H$3004,"&lt;&gt;Falta",$H$5:$H$3004,"&lt;&gt;Cancelado",$H$5:$H$3004,"&lt;&gt;Remarcado")&gt;0,"Sim","Não"))</f>
        <v/>
      </c>
      <c r="S1290" s="32">
        <f>IF(R1290&lt;&gt;"Não","",IF(Q1290+Config!$B$9&lt;=Config!$B$8,Config!$B$8-Q1290,""))</f>
        <v/>
      </c>
      <c r="T1290" s="26">
        <f>IF(S1290="","","Sim")</f>
        <v/>
      </c>
      <c r="U1290" s="41">
        <f>IF(T1290="Sim",S1290+ROW()/100000,0)</f>
        <v>0</v>
      </c>
      <c r="V1290" s="41">
        <f>IF(AND(H1290="Falta",L1290=Config!$B$7,M1290=Config!$B$5,COUNTIFS($E$5:E1290,E1290,$H$5:H1290,"Falta",$L$5:L1290,Config!$B$7,$M$5:M1290,Config!$B$5)=1),COUNTIFS($E$5:$E$3004,E1290,$H$5:$H$3004,"Falta",$L$5:$L$3004,Config!$B$7,$M$5:$M$3004,Config!$B$5)*1000-ROW()/100000,0)</f>
        <v>0</v>
      </c>
    </row>
    <row r="1291">
      <c r="A1291" s="39" t="n"/>
      <c r="B1291" s="40" t="n"/>
      <c r="C1291" s="35" t="n"/>
      <c r="D1291" s="35" t="n"/>
      <c r="E1291" s="34" t="n"/>
      <c r="F1291" s="35" t="n"/>
      <c r="G1291" s="35" t="n"/>
      <c r="H1291" s="35" t="n"/>
      <c r="I1291" s="35" t="n"/>
      <c r="J1291" s="35" t="n"/>
      <c r="K1291" s="34" t="n"/>
      <c r="L1291" s="26">
        <f>IF(A1291="","",MONTH(A1291))</f>
        <v/>
      </c>
      <c r="M1291" s="26">
        <f>IF(A1291="","",YEAR(A1291))</f>
        <v/>
      </c>
      <c r="N1291" s="26">
        <f>IF(A1291="","",CHOOSE(WEEKDAY(A1291,2),"Segunda","Terça","Quarta","Quinta","Sexta","Sábado","Domingo"))</f>
        <v/>
      </c>
      <c r="O1291" s="26">
        <f>IF(B1291="","",IF(B1291&lt;TIME(12,0,0),"Manhã",IF(B1291&lt;TIME(18,0,0),"Tarde","Noite")))</f>
        <v/>
      </c>
      <c r="P1291" s="32">
        <f>IF(G1291="","",IFERROR(INDEX(Config!$I$5:$I$16,MATCH(G1291,Config!$H$5:$H$16,0)),0))</f>
        <v/>
      </c>
      <c r="Q1291" s="30">
        <f>IF(OR(H1291&lt;&gt;"Realizado",P1291="",P1291=0),"",A1291+P1291)</f>
        <v/>
      </c>
      <c r="R1291" s="26">
        <f>IF(Q1291="","",IF(COUNTIFS($E$5:$E$3004,E1291,$A$5:$A$3004,"&gt;"&amp;A1291,$H$5:$H$3004,"&lt;&gt;Falta",$H$5:$H$3004,"&lt;&gt;Cancelado",$H$5:$H$3004,"&lt;&gt;Remarcado")&gt;0,"Sim","Não"))</f>
        <v/>
      </c>
      <c r="S1291" s="32">
        <f>IF(R1291&lt;&gt;"Não","",IF(Q1291+Config!$B$9&lt;=Config!$B$8,Config!$B$8-Q1291,""))</f>
        <v/>
      </c>
      <c r="T1291" s="26">
        <f>IF(S1291="","","Sim")</f>
        <v/>
      </c>
      <c r="U1291" s="41">
        <f>IF(T1291="Sim",S1291+ROW()/100000,0)</f>
        <v>0</v>
      </c>
      <c r="V1291" s="41">
        <f>IF(AND(H1291="Falta",L1291=Config!$B$7,M1291=Config!$B$5,COUNTIFS($E$5:E1291,E1291,$H$5:H1291,"Falta",$L$5:L1291,Config!$B$7,$M$5:M1291,Config!$B$5)=1),COUNTIFS($E$5:$E$3004,E1291,$H$5:$H$3004,"Falta",$L$5:$L$3004,Config!$B$7,$M$5:$M$3004,Config!$B$5)*1000-ROW()/100000,0)</f>
        <v>0</v>
      </c>
    </row>
    <row r="1292">
      <c r="A1292" s="39" t="n"/>
      <c r="B1292" s="40" t="n"/>
      <c r="C1292" s="35" t="n"/>
      <c r="D1292" s="35" t="n"/>
      <c r="E1292" s="34" t="n"/>
      <c r="F1292" s="35" t="n"/>
      <c r="G1292" s="35" t="n"/>
      <c r="H1292" s="35" t="n"/>
      <c r="I1292" s="35" t="n"/>
      <c r="J1292" s="35" t="n"/>
      <c r="K1292" s="34" t="n"/>
      <c r="L1292" s="26">
        <f>IF(A1292="","",MONTH(A1292))</f>
        <v/>
      </c>
      <c r="M1292" s="26">
        <f>IF(A1292="","",YEAR(A1292))</f>
        <v/>
      </c>
      <c r="N1292" s="26">
        <f>IF(A1292="","",CHOOSE(WEEKDAY(A1292,2),"Segunda","Terça","Quarta","Quinta","Sexta","Sábado","Domingo"))</f>
        <v/>
      </c>
      <c r="O1292" s="26">
        <f>IF(B1292="","",IF(B1292&lt;TIME(12,0,0),"Manhã",IF(B1292&lt;TIME(18,0,0),"Tarde","Noite")))</f>
        <v/>
      </c>
      <c r="P1292" s="32">
        <f>IF(G1292="","",IFERROR(INDEX(Config!$I$5:$I$16,MATCH(G1292,Config!$H$5:$H$16,0)),0))</f>
        <v/>
      </c>
      <c r="Q1292" s="30">
        <f>IF(OR(H1292&lt;&gt;"Realizado",P1292="",P1292=0),"",A1292+P1292)</f>
        <v/>
      </c>
      <c r="R1292" s="26">
        <f>IF(Q1292="","",IF(COUNTIFS($E$5:$E$3004,E1292,$A$5:$A$3004,"&gt;"&amp;A1292,$H$5:$H$3004,"&lt;&gt;Falta",$H$5:$H$3004,"&lt;&gt;Cancelado",$H$5:$H$3004,"&lt;&gt;Remarcado")&gt;0,"Sim","Não"))</f>
        <v/>
      </c>
      <c r="S1292" s="32">
        <f>IF(R1292&lt;&gt;"Não","",IF(Q1292+Config!$B$9&lt;=Config!$B$8,Config!$B$8-Q1292,""))</f>
        <v/>
      </c>
      <c r="T1292" s="26">
        <f>IF(S1292="","","Sim")</f>
        <v/>
      </c>
      <c r="U1292" s="41">
        <f>IF(T1292="Sim",S1292+ROW()/100000,0)</f>
        <v>0</v>
      </c>
      <c r="V1292" s="41">
        <f>IF(AND(H1292="Falta",L1292=Config!$B$7,M1292=Config!$B$5,COUNTIFS($E$5:E1292,E1292,$H$5:H1292,"Falta",$L$5:L1292,Config!$B$7,$M$5:M1292,Config!$B$5)=1),COUNTIFS($E$5:$E$3004,E1292,$H$5:$H$3004,"Falta",$L$5:$L$3004,Config!$B$7,$M$5:$M$3004,Config!$B$5)*1000-ROW()/100000,0)</f>
        <v>0</v>
      </c>
    </row>
    <row r="1293">
      <c r="A1293" s="39" t="n"/>
      <c r="B1293" s="40" t="n"/>
      <c r="C1293" s="35" t="n"/>
      <c r="D1293" s="35" t="n"/>
      <c r="E1293" s="34" t="n"/>
      <c r="F1293" s="35" t="n"/>
      <c r="G1293" s="35" t="n"/>
      <c r="H1293" s="35" t="n"/>
      <c r="I1293" s="35" t="n"/>
      <c r="J1293" s="35" t="n"/>
      <c r="K1293" s="34" t="n"/>
      <c r="L1293" s="26">
        <f>IF(A1293="","",MONTH(A1293))</f>
        <v/>
      </c>
      <c r="M1293" s="26">
        <f>IF(A1293="","",YEAR(A1293))</f>
        <v/>
      </c>
      <c r="N1293" s="26">
        <f>IF(A1293="","",CHOOSE(WEEKDAY(A1293,2),"Segunda","Terça","Quarta","Quinta","Sexta","Sábado","Domingo"))</f>
        <v/>
      </c>
      <c r="O1293" s="26">
        <f>IF(B1293="","",IF(B1293&lt;TIME(12,0,0),"Manhã",IF(B1293&lt;TIME(18,0,0),"Tarde","Noite")))</f>
        <v/>
      </c>
      <c r="P1293" s="32">
        <f>IF(G1293="","",IFERROR(INDEX(Config!$I$5:$I$16,MATCH(G1293,Config!$H$5:$H$16,0)),0))</f>
        <v/>
      </c>
      <c r="Q1293" s="30">
        <f>IF(OR(H1293&lt;&gt;"Realizado",P1293="",P1293=0),"",A1293+P1293)</f>
        <v/>
      </c>
      <c r="R1293" s="26">
        <f>IF(Q1293="","",IF(COUNTIFS($E$5:$E$3004,E1293,$A$5:$A$3004,"&gt;"&amp;A1293,$H$5:$H$3004,"&lt;&gt;Falta",$H$5:$H$3004,"&lt;&gt;Cancelado",$H$5:$H$3004,"&lt;&gt;Remarcado")&gt;0,"Sim","Não"))</f>
        <v/>
      </c>
      <c r="S1293" s="32">
        <f>IF(R1293&lt;&gt;"Não","",IF(Q1293+Config!$B$9&lt;=Config!$B$8,Config!$B$8-Q1293,""))</f>
        <v/>
      </c>
      <c r="T1293" s="26">
        <f>IF(S1293="","","Sim")</f>
        <v/>
      </c>
      <c r="U1293" s="41">
        <f>IF(T1293="Sim",S1293+ROW()/100000,0)</f>
        <v>0</v>
      </c>
      <c r="V1293" s="41">
        <f>IF(AND(H1293="Falta",L1293=Config!$B$7,M1293=Config!$B$5,COUNTIFS($E$5:E1293,E1293,$H$5:H1293,"Falta",$L$5:L1293,Config!$B$7,$M$5:M1293,Config!$B$5)=1),COUNTIFS($E$5:$E$3004,E1293,$H$5:$H$3004,"Falta",$L$5:$L$3004,Config!$B$7,$M$5:$M$3004,Config!$B$5)*1000-ROW()/100000,0)</f>
        <v>0</v>
      </c>
    </row>
    <row r="1294">
      <c r="A1294" s="39" t="n"/>
      <c r="B1294" s="40" t="n"/>
      <c r="C1294" s="35" t="n"/>
      <c r="D1294" s="35" t="n"/>
      <c r="E1294" s="34" t="n"/>
      <c r="F1294" s="35" t="n"/>
      <c r="G1294" s="35" t="n"/>
      <c r="H1294" s="35" t="n"/>
      <c r="I1294" s="35" t="n"/>
      <c r="J1294" s="35" t="n"/>
      <c r="K1294" s="34" t="n"/>
      <c r="L1294" s="26">
        <f>IF(A1294="","",MONTH(A1294))</f>
        <v/>
      </c>
      <c r="M1294" s="26">
        <f>IF(A1294="","",YEAR(A1294))</f>
        <v/>
      </c>
      <c r="N1294" s="26">
        <f>IF(A1294="","",CHOOSE(WEEKDAY(A1294,2),"Segunda","Terça","Quarta","Quinta","Sexta","Sábado","Domingo"))</f>
        <v/>
      </c>
      <c r="O1294" s="26">
        <f>IF(B1294="","",IF(B1294&lt;TIME(12,0,0),"Manhã",IF(B1294&lt;TIME(18,0,0),"Tarde","Noite")))</f>
        <v/>
      </c>
      <c r="P1294" s="32">
        <f>IF(G1294="","",IFERROR(INDEX(Config!$I$5:$I$16,MATCH(G1294,Config!$H$5:$H$16,0)),0))</f>
        <v/>
      </c>
      <c r="Q1294" s="30">
        <f>IF(OR(H1294&lt;&gt;"Realizado",P1294="",P1294=0),"",A1294+P1294)</f>
        <v/>
      </c>
      <c r="R1294" s="26">
        <f>IF(Q1294="","",IF(COUNTIFS($E$5:$E$3004,E1294,$A$5:$A$3004,"&gt;"&amp;A1294,$H$5:$H$3004,"&lt;&gt;Falta",$H$5:$H$3004,"&lt;&gt;Cancelado",$H$5:$H$3004,"&lt;&gt;Remarcado")&gt;0,"Sim","Não"))</f>
        <v/>
      </c>
      <c r="S1294" s="32">
        <f>IF(R1294&lt;&gt;"Não","",IF(Q1294+Config!$B$9&lt;=Config!$B$8,Config!$B$8-Q1294,""))</f>
        <v/>
      </c>
      <c r="T1294" s="26">
        <f>IF(S1294="","","Sim")</f>
        <v/>
      </c>
      <c r="U1294" s="41">
        <f>IF(T1294="Sim",S1294+ROW()/100000,0)</f>
        <v>0</v>
      </c>
      <c r="V1294" s="41">
        <f>IF(AND(H1294="Falta",L1294=Config!$B$7,M1294=Config!$B$5,COUNTIFS($E$5:E1294,E1294,$H$5:H1294,"Falta",$L$5:L1294,Config!$B$7,$M$5:M1294,Config!$B$5)=1),COUNTIFS($E$5:$E$3004,E1294,$H$5:$H$3004,"Falta",$L$5:$L$3004,Config!$B$7,$M$5:$M$3004,Config!$B$5)*1000-ROW()/100000,0)</f>
        <v>0</v>
      </c>
    </row>
    <row r="1295">
      <c r="A1295" s="39" t="n"/>
      <c r="B1295" s="40" t="n"/>
      <c r="C1295" s="35" t="n"/>
      <c r="D1295" s="35" t="n"/>
      <c r="E1295" s="34" t="n"/>
      <c r="F1295" s="35" t="n"/>
      <c r="G1295" s="35" t="n"/>
      <c r="H1295" s="35" t="n"/>
      <c r="I1295" s="35" t="n"/>
      <c r="J1295" s="35" t="n"/>
      <c r="K1295" s="34" t="n"/>
      <c r="L1295" s="26">
        <f>IF(A1295="","",MONTH(A1295))</f>
        <v/>
      </c>
      <c r="M1295" s="26">
        <f>IF(A1295="","",YEAR(A1295))</f>
        <v/>
      </c>
      <c r="N1295" s="26">
        <f>IF(A1295="","",CHOOSE(WEEKDAY(A1295,2),"Segunda","Terça","Quarta","Quinta","Sexta","Sábado","Domingo"))</f>
        <v/>
      </c>
      <c r="O1295" s="26">
        <f>IF(B1295="","",IF(B1295&lt;TIME(12,0,0),"Manhã",IF(B1295&lt;TIME(18,0,0),"Tarde","Noite")))</f>
        <v/>
      </c>
      <c r="P1295" s="32">
        <f>IF(G1295="","",IFERROR(INDEX(Config!$I$5:$I$16,MATCH(G1295,Config!$H$5:$H$16,0)),0))</f>
        <v/>
      </c>
      <c r="Q1295" s="30">
        <f>IF(OR(H1295&lt;&gt;"Realizado",P1295="",P1295=0),"",A1295+P1295)</f>
        <v/>
      </c>
      <c r="R1295" s="26">
        <f>IF(Q1295="","",IF(COUNTIFS($E$5:$E$3004,E1295,$A$5:$A$3004,"&gt;"&amp;A1295,$H$5:$H$3004,"&lt;&gt;Falta",$H$5:$H$3004,"&lt;&gt;Cancelado",$H$5:$H$3004,"&lt;&gt;Remarcado")&gt;0,"Sim","Não"))</f>
        <v/>
      </c>
      <c r="S1295" s="32">
        <f>IF(R1295&lt;&gt;"Não","",IF(Q1295+Config!$B$9&lt;=Config!$B$8,Config!$B$8-Q1295,""))</f>
        <v/>
      </c>
      <c r="T1295" s="26">
        <f>IF(S1295="","","Sim")</f>
        <v/>
      </c>
      <c r="U1295" s="41">
        <f>IF(T1295="Sim",S1295+ROW()/100000,0)</f>
        <v>0</v>
      </c>
      <c r="V1295" s="41">
        <f>IF(AND(H1295="Falta",L1295=Config!$B$7,M1295=Config!$B$5,COUNTIFS($E$5:E1295,E1295,$H$5:H1295,"Falta",$L$5:L1295,Config!$B$7,$M$5:M1295,Config!$B$5)=1),COUNTIFS($E$5:$E$3004,E1295,$H$5:$H$3004,"Falta",$L$5:$L$3004,Config!$B$7,$M$5:$M$3004,Config!$B$5)*1000-ROW()/100000,0)</f>
        <v>0</v>
      </c>
    </row>
    <row r="1296">
      <c r="A1296" s="39" t="n"/>
      <c r="B1296" s="40" t="n"/>
      <c r="C1296" s="35" t="n"/>
      <c r="D1296" s="35" t="n"/>
      <c r="E1296" s="34" t="n"/>
      <c r="F1296" s="35" t="n"/>
      <c r="G1296" s="35" t="n"/>
      <c r="H1296" s="35" t="n"/>
      <c r="I1296" s="35" t="n"/>
      <c r="J1296" s="35" t="n"/>
      <c r="K1296" s="34" t="n"/>
      <c r="L1296" s="26">
        <f>IF(A1296="","",MONTH(A1296))</f>
        <v/>
      </c>
      <c r="M1296" s="26">
        <f>IF(A1296="","",YEAR(A1296))</f>
        <v/>
      </c>
      <c r="N1296" s="26">
        <f>IF(A1296="","",CHOOSE(WEEKDAY(A1296,2),"Segunda","Terça","Quarta","Quinta","Sexta","Sábado","Domingo"))</f>
        <v/>
      </c>
      <c r="O1296" s="26">
        <f>IF(B1296="","",IF(B1296&lt;TIME(12,0,0),"Manhã",IF(B1296&lt;TIME(18,0,0),"Tarde","Noite")))</f>
        <v/>
      </c>
      <c r="P1296" s="32">
        <f>IF(G1296="","",IFERROR(INDEX(Config!$I$5:$I$16,MATCH(G1296,Config!$H$5:$H$16,0)),0))</f>
        <v/>
      </c>
      <c r="Q1296" s="30">
        <f>IF(OR(H1296&lt;&gt;"Realizado",P1296="",P1296=0),"",A1296+P1296)</f>
        <v/>
      </c>
      <c r="R1296" s="26">
        <f>IF(Q1296="","",IF(COUNTIFS($E$5:$E$3004,E1296,$A$5:$A$3004,"&gt;"&amp;A1296,$H$5:$H$3004,"&lt;&gt;Falta",$H$5:$H$3004,"&lt;&gt;Cancelado",$H$5:$H$3004,"&lt;&gt;Remarcado")&gt;0,"Sim","Não"))</f>
        <v/>
      </c>
      <c r="S1296" s="32">
        <f>IF(R1296&lt;&gt;"Não","",IF(Q1296+Config!$B$9&lt;=Config!$B$8,Config!$B$8-Q1296,""))</f>
        <v/>
      </c>
      <c r="T1296" s="26">
        <f>IF(S1296="","","Sim")</f>
        <v/>
      </c>
      <c r="U1296" s="41">
        <f>IF(T1296="Sim",S1296+ROW()/100000,0)</f>
        <v>0</v>
      </c>
      <c r="V1296" s="41">
        <f>IF(AND(H1296="Falta",L1296=Config!$B$7,M1296=Config!$B$5,COUNTIFS($E$5:E1296,E1296,$H$5:H1296,"Falta",$L$5:L1296,Config!$B$7,$M$5:M1296,Config!$B$5)=1),COUNTIFS($E$5:$E$3004,E1296,$H$5:$H$3004,"Falta",$L$5:$L$3004,Config!$B$7,$M$5:$M$3004,Config!$B$5)*1000-ROW()/100000,0)</f>
        <v>0</v>
      </c>
    </row>
    <row r="1297">
      <c r="A1297" s="39" t="n"/>
      <c r="B1297" s="40" t="n"/>
      <c r="C1297" s="35" t="n"/>
      <c r="D1297" s="35" t="n"/>
      <c r="E1297" s="34" t="n"/>
      <c r="F1297" s="35" t="n"/>
      <c r="G1297" s="35" t="n"/>
      <c r="H1297" s="35" t="n"/>
      <c r="I1297" s="35" t="n"/>
      <c r="J1297" s="35" t="n"/>
      <c r="K1297" s="34" t="n"/>
      <c r="L1297" s="26">
        <f>IF(A1297="","",MONTH(A1297))</f>
        <v/>
      </c>
      <c r="M1297" s="26">
        <f>IF(A1297="","",YEAR(A1297))</f>
        <v/>
      </c>
      <c r="N1297" s="26">
        <f>IF(A1297="","",CHOOSE(WEEKDAY(A1297,2),"Segunda","Terça","Quarta","Quinta","Sexta","Sábado","Domingo"))</f>
        <v/>
      </c>
      <c r="O1297" s="26">
        <f>IF(B1297="","",IF(B1297&lt;TIME(12,0,0),"Manhã",IF(B1297&lt;TIME(18,0,0),"Tarde","Noite")))</f>
        <v/>
      </c>
      <c r="P1297" s="32">
        <f>IF(G1297="","",IFERROR(INDEX(Config!$I$5:$I$16,MATCH(G1297,Config!$H$5:$H$16,0)),0))</f>
        <v/>
      </c>
      <c r="Q1297" s="30">
        <f>IF(OR(H1297&lt;&gt;"Realizado",P1297="",P1297=0),"",A1297+P1297)</f>
        <v/>
      </c>
      <c r="R1297" s="26">
        <f>IF(Q1297="","",IF(COUNTIFS($E$5:$E$3004,E1297,$A$5:$A$3004,"&gt;"&amp;A1297,$H$5:$H$3004,"&lt;&gt;Falta",$H$5:$H$3004,"&lt;&gt;Cancelado",$H$5:$H$3004,"&lt;&gt;Remarcado")&gt;0,"Sim","Não"))</f>
        <v/>
      </c>
      <c r="S1297" s="32">
        <f>IF(R1297&lt;&gt;"Não","",IF(Q1297+Config!$B$9&lt;=Config!$B$8,Config!$B$8-Q1297,""))</f>
        <v/>
      </c>
      <c r="T1297" s="26">
        <f>IF(S1297="","","Sim")</f>
        <v/>
      </c>
      <c r="U1297" s="41">
        <f>IF(T1297="Sim",S1297+ROW()/100000,0)</f>
        <v>0</v>
      </c>
      <c r="V1297" s="41">
        <f>IF(AND(H1297="Falta",L1297=Config!$B$7,M1297=Config!$B$5,COUNTIFS($E$5:E1297,E1297,$H$5:H1297,"Falta",$L$5:L1297,Config!$B$7,$M$5:M1297,Config!$B$5)=1),COUNTIFS($E$5:$E$3004,E1297,$H$5:$H$3004,"Falta",$L$5:$L$3004,Config!$B$7,$M$5:$M$3004,Config!$B$5)*1000-ROW()/100000,0)</f>
        <v>0</v>
      </c>
    </row>
    <row r="1298">
      <c r="A1298" s="39" t="n"/>
      <c r="B1298" s="40" t="n"/>
      <c r="C1298" s="35" t="n"/>
      <c r="D1298" s="35" t="n"/>
      <c r="E1298" s="34" t="n"/>
      <c r="F1298" s="35" t="n"/>
      <c r="G1298" s="35" t="n"/>
      <c r="H1298" s="35" t="n"/>
      <c r="I1298" s="35" t="n"/>
      <c r="J1298" s="35" t="n"/>
      <c r="K1298" s="34" t="n"/>
      <c r="L1298" s="26">
        <f>IF(A1298="","",MONTH(A1298))</f>
        <v/>
      </c>
      <c r="M1298" s="26">
        <f>IF(A1298="","",YEAR(A1298))</f>
        <v/>
      </c>
      <c r="N1298" s="26">
        <f>IF(A1298="","",CHOOSE(WEEKDAY(A1298,2),"Segunda","Terça","Quarta","Quinta","Sexta","Sábado","Domingo"))</f>
        <v/>
      </c>
      <c r="O1298" s="26">
        <f>IF(B1298="","",IF(B1298&lt;TIME(12,0,0),"Manhã",IF(B1298&lt;TIME(18,0,0),"Tarde","Noite")))</f>
        <v/>
      </c>
      <c r="P1298" s="32">
        <f>IF(G1298="","",IFERROR(INDEX(Config!$I$5:$I$16,MATCH(G1298,Config!$H$5:$H$16,0)),0))</f>
        <v/>
      </c>
      <c r="Q1298" s="30">
        <f>IF(OR(H1298&lt;&gt;"Realizado",P1298="",P1298=0),"",A1298+P1298)</f>
        <v/>
      </c>
      <c r="R1298" s="26">
        <f>IF(Q1298="","",IF(COUNTIFS($E$5:$E$3004,E1298,$A$5:$A$3004,"&gt;"&amp;A1298,$H$5:$H$3004,"&lt;&gt;Falta",$H$5:$H$3004,"&lt;&gt;Cancelado",$H$5:$H$3004,"&lt;&gt;Remarcado")&gt;0,"Sim","Não"))</f>
        <v/>
      </c>
      <c r="S1298" s="32">
        <f>IF(R1298&lt;&gt;"Não","",IF(Q1298+Config!$B$9&lt;=Config!$B$8,Config!$B$8-Q1298,""))</f>
        <v/>
      </c>
      <c r="T1298" s="26">
        <f>IF(S1298="","","Sim")</f>
        <v/>
      </c>
      <c r="U1298" s="41">
        <f>IF(T1298="Sim",S1298+ROW()/100000,0)</f>
        <v>0</v>
      </c>
      <c r="V1298" s="41">
        <f>IF(AND(H1298="Falta",L1298=Config!$B$7,M1298=Config!$B$5,COUNTIFS($E$5:E1298,E1298,$H$5:H1298,"Falta",$L$5:L1298,Config!$B$7,$M$5:M1298,Config!$B$5)=1),COUNTIFS($E$5:$E$3004,E1298,$H$5:$H$3004,"Falta",$L$5:$L$3004,Config!$B$7,$M$5:$M$3004,Config!$B$5)*1000-ROW()/100000,0)</f>
        <v>0</v>
      </c>
    </row>
    <row r="1299">
      <c r="A1299" s="39" t="n"/>
      <c r="B1299" s="40" t="n"/>
      <c r="C1299" s="35" t="n"/>
      <c r="D1299" s="35" t="n"/>
      <c r="E1299" s="34" t="n"/>
      <c r="F1299" s="35" t="n"/>
      <c r="G1299" s="35" t="n"/>
      <c r="H1299" s="35" t="n"/>
      <c r="I1299" s="35" t="n"/>
      <c r="J1299" s="35" t="n"/>
      <c r="K1299" s="34" t="n"/>
      <c r="L1299" s="26">
        <f>IF(A1299="","",MONTH(A1299))</f>
        <v/>
      </c>
      <c r="M1299" s="26">
        <f>IF(A1299="","",YEAR(A1299))</f>
        <v/>
      </c>
      <c r="N1299" s="26">
        <f>IF(A1299="","",CHOOSE(WEEKDAY(A1299,2),"Segunda","Terça","Quarta","Quinta","Sexta","Sábado","Domingo"))</f>
        <v/>
      </c>
      <c r="O1299" s="26">
        <f>IF(B1299="","",IF(B1299&lt;TIME(12,0,0),"Manhã",IF(B1299&lt;TIME(18,0,0),"Tarde","Noite")))</f>
        <v/>
      </c>
      <c r="P1299" s="32">
        <f>IF(G1299="","",IFERROR(INDEX(Config!$I$5:$I$16,MATCH(G1299,Config!$H$5:$H$16,0)),0))</f>
        <v/>
      </c>
      <c r="Q1299" s="30">
        <f>IF(OR(H1299&lt;&gt;"Realizado",P1299="",P1299=0),"",A1299+P1299)</f>
        <v/>
      </c>
      <c r="R1299" s="26">
        <f>IF(Q1299="","",IF(COUNTIFS($E$5:$E$3004,E1299,$A$5:$A$3004,"&gt;"&amp;A1299,$H$5:$H$3004,"&lt;&gt;Falta",$H$5:$H$3004,"&lt;&gt;Cancelado",$H$5:$H$3004,"&lt;&gt;Remarcado")&gt;0,"Sim","Não"))</f>
        <v/>
      </c>
      <c r="S1299" s="32">
        <f>IF(R1299&lt;&gt;"Não","",IF(Q1299+Config!$B$9&lt;=Config!$B$8,Config!$B$8-Q1299,""))</f>
        <v/>
      </c>
      <c r="T1299" s="26">
        <f>IF(S1299="","","Sim")</f>
        <v/>
      </c>
      <c r="U1299" s="41">
        <f>IF(T1299="Sim",S1299+ROW()/100000,0)</f>
        <v>0</v>
      </c>
      <c r="V1299" s="41">
        <f>IF(AND(H1299="Falta",L1299=Config!$B$7,M1299=Config!$B$5,COUNTIFS($E$5:E1299,E1299,$H$5:H1299,"Falta",$L$5:L1299,Config!$B$7,$M$5:M1299,Config!$B$5)=1),COUNTIFS($E$5:$E$3004,E1299,$H$5:$H$3004,"Falta",$L$5:$L$3004,Config!$B$7,$M$5:$M$3004,Config!$B$5)*1000-ROW()/100000,0)</f>
        <v>0</v>
      </c>
    </row>
    <row r="1300">
      <c r="A1300" s="39" t="n"/>
      <c r="B1300" s="40" t="n"/>
      <c r="C1300" s="35" t="n"/>
      <c r="D1300" s="35" t="n"/>
      <c r="E1300" s="34" t="n"/>
      <c r="F1300" s="35" t="n"/>
      <c r="G1300" s="35" t="n"/>
      <c r="H1300" s="35" t="n"/>
      <c r="I1300" s="35" t="n"/>
      <c r="J1300" s="35" t="n"/>
      <c r="K1300" s="34" t="n"/>
      <c r="L1300" s="26">
        <f>IF(A1300="","",MONTH(A1300))</f>
        <v/>
      </c>
      <c r="M1300" s="26">
        <f>IF(A1300="","",YEAR(A1300))</f>
        <v/>
      </c>
      <c r="N1300" s="26">
        <f>IF(A1300="","",CHOOSE(WEEKDAY(A1300,2),"Segunda","Terça","Quarta","Quinta","Sexta","Sábado","Domingo"))</f>
        <v/>
      </c>
      <c r="O1300" s="26">
        <f>IF(B1300="","",IF(B1300&lt;TIME(12,0,0),"Manhã",IF(B1300&lt;TIME(18,0,0),"Tarde","Noite")))</f>
        <v/>
      </c>
      <c r="P1300" s="32">
        <f>IF(G1300="","",IFERROR(INDEX(Config!$I$5:$I$16,MATCH(G1300,Config!$H$5:$H$16,0)),0))</f>
        <v/>
      </c>
      <c r="Q1300" s="30">
        <f>IF(OR(H1300&lt;&gt;"Realizado",P1300="",P1300=0),"",A1300+P1300)</f>
        <v/>
      </c>
      <c r="R1300" s="26">
        <f>IF(Q1300="","",IF(COUNTIFS($E$5:$E$3004,E1300,$A$5:$A$3004,"&gt;"&amp;A1300,$H$5:$H$3004,"&lt;&gt;Falta",$H$5:$H$3004,"&lt;&gt;Cancelado",$H$5:$H$3004,"&lt;&gt;Remarcado")&gt;0,"Sim","Não"))</f>
        <v/>
      </c>
      <c r="S1300" s="32">
        <f>IF(R1300&lt;&gt;"Não","",IF(Q1300+Config!$B$9&lt;=Config!$B$8,Config!$B$8-Q1300,""))</f>
        <v/>
      </c>
      <c r="T1300" s="26">
        <f>IF(S1300="","","Sim")</f>
        <v/>
      </c>
      <c r="U1300" s="41">
        <f>IF(T1300="Sim",S1300+ROW()/100000,0)</f>
        <v>0</v>
      </c>
      <c r="V1300" s="41">
        <f>IF(AND(H1300="Falta",L1300=Config!$B$7,M1300=Config!$B$5,COUNTIFS($E$5:E1300,E1300,$H$5:H1300,"Falta",$L$5:L1300,Config!$B$7,$M$5:M1300,Config!$B$5)=1),COUNTIFS($E$5:$E$3004,E1300,$H$5:$H$3004,"Falta",$L$5:$L$3004,Config!$B$7,$M$5:$M$3004,Config!$B$5)*1000-ROW()/100000,0)</f>
        <v>0</v>
      </c>
    </row>
    <row r="1301">
      <c r="A1301" s="39" t="n"/>
      <c r="B1301" s="40" t="n"/>
      <c r="C1301" s="35" t="n"/>
      <c r="D1301" s="35" t="n"/>
      <c r="E1301" s="34" t="n"/>
      <c r="F1301" s="35" t="n"/>
      <c r="G1301" s="35" t="n"/>
      <c r="H1301" s="35" t="n"/>
      <c r="I1301" s="35" t="n"/>
      <c r="J1301" s="35" t="n"/>
      <c r="K1301" s="34" t="n"/>
      <c r="L1301" s="26">
        <f>IF(A1301="","",MONTH(A1301))</f>
        <v/>
      </c>
      <c r="M1301" s="26">
        <f>IF(A1301="","",YEAR(A1301))</f>
        <v/>
      </c>
      <c r="N1301" s="26">
        <f>IF(A1301="","",CHOOSE(WEEKDAY(A1301,2),"Segunda","Terça","Quarta","Quinta","Sexta","Sábado","Domingo"))</f>
        <v/>
      </c>
      <c r="O1301" s="26">
        <f>IF(B1301="","",IF(B1301&lt;TIME(12,0,0),"Manhã",IF(B1301&lt;TIME(18,0,0),"Tarde","Noite")))</f>
        <v/>
      </c>
      <c r="P1301" s="32">
        <f>IF(G1301="","",IFERROR(INDEX(Config!$I$5:$I$16,MATCH(G1301,Config!$H$5:$H$16,0)),0))</f>
        <v/>
      </c>
      <c r="Q1301" s="30">
        <f>IF(OR(H1301&lt;&gt;"Realizado",P1301="",P1301=0),"",A1301+P1301)</f>
        <v/>
      </c>
      <c r="R1301" s="26">
        <f>IF(Q1301="","",IF(COUNTIFS($E$5:$E$3004,E1301,$A$5:$A$3004,"&gt;"&amp;A1301,$H$5:$H$3004,"&lt;&gt;Falta",$H$5:$H$3004,"&lt;&gt;Cancelado",$H$5:$H$3004,"&lt;&gt;Remarcado")&gt;0,"Sim","Não"))</f>
        <v/>
      </c>
      <c r="S1301" s="32">
        <f>IF(R1301&lt;&gt;"Não","",IF(Q1301+Config!$B$9&lt;=Config!$B$8,Config!$B$8-Q1301,""))</f>
        <v/>
      </c>
      <c r="T1301" s="26">
        <f>IF(S1301="","","Sim")</f>
        <v/>
      </c>
      <c r="U1301" s="41">
        <f>IF(T1301="Sim",S1301+ROW()/100000,0)</f>
        <v>0</v>
      </c>
      <c r="V1301" s="41">
        <f>IF(AND(H1301="Falta",L1301=Config!$B$7,M1301=Config!$B$5,COUNTIFS($E$5:E1301,E1301,$H$5:H1301,"Falta",$L$5:L1301,Config!$B$7,$M$5:M1301,Config!$B$5)=1),COUNTIFS($E$5:$E$3004,E1301,$H$5:$H$3004,"Falta",$L$5:$L$3004,Config!$B$7,$M$5:$M$3004,Config!$B$5)*1000-ROW()/100000,0)</f>
        <v>0</v>
      </c>
    </row>
    <row r="1302">
      <c r="A1302" s="39" t="n"/>
      <c r="B1302" s="40" t="n"/>
      <c r="C1302" s="35" t="n"/>
      <c r="D1302" s="35" t="n"/>
      <c r="E1302" s="34" t="n"/>
      <c r="F1302" s="35" t="n"/>
      <c r="G1302" s="35" t="n"/>
      <c r="H1302" s="35" t="n"/>
      <c r="I1302" s="35" t="n"/>
      <c r="J1302" s="35" t="n"/>
      <c r="K1302" s="34" t="n"/>
      <c r="L1302" s="26">
        <f>IF(A1302="","",MONTH(A1302))</f>
        <v/>
      </c>
      <c r="M1302" s="26">
        <f>IF(A1302="","",YEAR(A1302))</f>
        <v/>
      </c>
      <c r="N1302" s="26">
        <f>IF(A1302="","",CHOOSE(WEEKDAY(A1302,2),"Segunda","Terça","Quarta","Quinta","Sexta","Sábado","Domingo"))</f>
        <v/>
      </c>
      <c r="O1302" s="26">
        <f>IF(B1302="","",IF(B1302&lt;TIME(12,0,0),"Manhã",IF(B1302&lt;TIME(18,0,0),"Tarde","Noite")))</f>
        <v/>
      </c>
      <c r="P1302" s="32">
        <f>IF(G1302="","",IFERROR(INDEX(Config!$I$5:$I$16,MATCH(G1302,Config!$H$5:$H$16,0)),0))</f>
        <v/>
      </c>
      <c r="Q1302" s="30">
        <f>IF(OR(H1302&lt;&gt;"Realizado",P1302="",P1302=0),"",A1302+P1302)</f>
        <v/>
      </c>
      <c r="R1302" s="26">
        <f>IF(Q1302="","",IF(COUNTIFS($E$5:$E$3004,E1302,$A$5:$A$3004,"&gt;"&amp;A1302,$H$5:$H$3004,"&lt;&gt;Falta",$H$5:$H$3004,"&lt;&gt;Cancelado",$H$5:$H$3004,"&lt;&gt;Remarcado")&gt;0,"Sim","Não"))</f>
        <v/>
      </c>
      <c r="S1302" s="32">
        <f>IF(R1302&lt;&gt;"Não","",IF(Q1302+Config!$B$9&lt;=Config!$B$8,Config!$B$8-Q1302,""))</f>
        <v/>
      </c>
      <c r="T1302" s="26">
        <f>IF(S1302="","","Sim")</f>
        <v/>
      </c>
      <c r="U1302" s="41">
        <f>IF(T1302="Sim",S1302+ROW()/100000,0)</f>
        <v>0</v>
      </c>
      <c r="V1302" s="41">
        <f>IF(AND(H1302="Falta",L1302=Config!$B$7,M1302=Config!$B$5,COUNTIFS($E$5:E1302,E1302,$H$5:H1302,"Falta",$L$5:L1302,Config!$B$7,$M$5:M1302,Config!$B$5)=1),COUNTIFS($E$5:$E$3004,E1302,$H$5:$H$3004,"Falta",$L$5:$L$3004,Config!$B$7,$M$5:$M$3004,Config!$B$5)*1000-ROW()/100000,0)</f>
        <v>0</v>
      </c>
    </row>
    <row r="1303">
      <c r="A1303" s="39" t="n"/>
      <c r="B1303" s="40" t="n"/>
      <c r="C1303" s="35" t="n"/>
      <c r="D1303" s="35" t="n"/>
      <c r="E1303" s="34" t="n"/>
      <c r="F1303" s="35" t="n"/>
      <c r="G1303" s="35" t="n"/>
      <c r="H1303" s="35" t="n"/>
      <c r="I1303" s="35" t="n"/>
      <c r="J1303" s="35" t="n"/>
      <c r="K1303" s="34" t="n"/>
      <c r="L1303" s="26">
        <f>IF(A1303="","",MONTH(A1303))</f>
        <v/>
      </c>
      <c r="M1303" s="26">
        <f>IF(A1303="","",YEAR(A1303))</f>
        <v/>
      </c>
      <c r="N1303" s="26">
        <f>IF(A1303="","",CHOOSE(WEEKDAY(A1303,2),"Segunda","Terça","Quarta","Quinta","Sexta","Sábado","Domingo"))</f>
        <v/>
      </c>
      <c r="O1303" s="26">
        <f>IF(B1303="","",IF(B1303&lt;TIME(12,0,0),"Manhã",IF(B1303&lt;TIME(18,0,0),"Tarde","Noite")))</f>
        <v/>
      </c>
      <c r="P1303" s="32">
        <f>IF(G1303="","",IFERROR(INDEX(Config!$I$5:$I$16,MATCH(G1303,Config!$H$5:$H$16,0)),0))</f>
        <v/>
      </c>
      <c r="Q1303" s="30">
        <f>IF(OR(H1303&lt;&gt;"Realizado",P1303="",P1303=0),"",A1303+P1303)</f>
        <v/>
      </c>
      <c r="R1303" s="26">
        <f>IF(Q1303="","",IF(COUNTIFS($E$5:$E$3004,E1303,$A$5:$A$3004,"&gt;"&amp;A1303,$H$5:$H$3004,"&lt;&gt;Falta",$H$5:$H$3004,"&lt;&gt;Cancelado",$H$5:$H$3004,"&lt;&gt;Remarcado")&gt;0,"Sim","Não"))</f>
        <v/>
      </c>
      <c r="S1303" s="32">
        <f>IF(R1303&lt;&gt;"Não","",IF(Q1303+Config!$B$9&lt;=Config!$B$8,Config!$B$8-Q1303,""))</f>
        <v/>
      </c>
      <c r="T1303" s="26">
        <f>IF(S1303="","","Sim")</f>
        <v/>
      </c>
      <c r="U1303" s="41">
        <f>IF(T1303="Sim",S1303+ROW()/100000,0)</f>
        <v>0</v>
      </c>
      <c r="V1303" s="41">
        <f>IF(AND(H1303="Falta",L1303=Config!$B$7,M1303=Config!$B$5,COUNTIFS($E$5:E1303,E1303,$H$5:H1303,"Falta",$L$5:L1303,Config!$B$7,$M$5:M1303,Config!$B$5)=1),COUNTIFS($E$5:$E$3004,E1303,$H$5:$H$3004,"Falta",$L$5:$L$3004,Config!$B$7,$M$5:$M$3004,Config!$B$5)*1000-ROW()/100000,0)</f>
        <v>0</v>
      </c>
    </row>
    <row r="1304">
      <c r="A1304" s="39" t="n"/>
      <c r="B1304" s="40" t="n"/>
      <c r="C1304" s="35" t="n"/>
      <c r="D1304" s="35" t="n"/>
      <c r="E1304" s="34" t="n"/>
      <c r="F1304" s="35" t="n"/>
      <c r="G1304" s="35" t="n"/>
      <c r="H1304" s="35" t="n"/>
      <c r="I1304" s="35" t="n"/>
      <c r="J1304" s="35" t="n"/>
      <c r="K1304" s="34" t="n"/>
      <c r="L1304" s="26">
        <f>IF(A1304="","",MONTH(A1304))</f>
        <v/>
      </c>
      <c r="M1304" s="26">
        <f>IF(A1304="","",YEAR(A1304))</f>
        <v/>
      </c>
      <c r="N1304" s="26">
        <f>IF(A1304="","",CHOOSE(WEEKDAY(A1304,2),"Segunda","Terça","Quarta","Quinta","Sexta","Sábado","Domingo"))</f>
        <v/>
      </c>
      <c r="O1304" s="26">
        <f>IF(B1304="","",IF(B1304&lt;TIME(12,0,0),"Manhã",IF(B1304&lt;TIME(18,0,0),"Tarde","Noite")))</f>
        <v/>
      </c>
      <c r="P1304" s="32">
        <f>IF(G1304="","",IFERROR(INDEX(Config!$I$5:$I$16,MATCH(G1304,Config!$H$5:$H$16,0)),0))</f>
        <v/>
      </c>
      <c r="Q1304" s="30">
        <f>IF(OR(H1304&lt;&gt;"Realizado",P1304="",P1304=0),"",A1304+P1304)</f>
        <v/>
      </c>
      <c r="R1304" s="26">
        <f>IF(Q1304="","",IF(COUNTIFS($E$5:$E$3004,E1304,$A$5:$A$3004,"&gt;"&amp;A1304,$H$5:$H$3004,"&lt;&gt;Falta",$H$5:$H$3004,"&lt;&gt;Cancelado",$H$5:$H$3004,"&lt;&gt;Remarcado")&gt;0,"Sim","Não"))</f>
        <v/>
      </c>
      <c r="S1304" s="32">
        <f>IF(R1304&lt;&gt;"Não","",IF(Q1304+Config!$B$9&lt;=Config!$B$8,Config!$B$8-Q1304,""))</f>
        <v/>
      </c>
      <c r="T1304" s="26">
        <f>IF(S1304="","","Sim")</f>
        <v/>
      </c>
      <c r="U1304" s="41">
        <f>IF(T1304="Sim",S1304+ROW()/100000,0)</f>
        <v>0</v>
      </c>
      <c r="V1304" s="41">
        <f>IF(AND(H1304="Falta",L1304=Config!$B$7,M1304=Config!$B$5,COUNTIFS($E$5:E1304,E1304,$H$5:H1304,"Falta",$L$5:L1304,Config!$B$7,$M$5:M1304,Config!$B$5)=1),COUNTIFS($E$5:$E$3004,E1304,$H$5:$H$3004,"Falta",$L$5:$L$3004,Config!$B$7,$M$5:$M$3004,Config!$B$5)*1000-ROW()/100000,0)</f>
        <v>0</v>
      </c>
    </row>
    <row r="1305">
      <c r="A1305" s="39" t="n"/>
      <c r="B1305" s="40" t="n"/>
      <c r="C1305" s="35" t="n"/>
      <c r="D1305" s="35" t="n"/>
      <c r="E1305" s="34" t="n"/>
      <c r="F1305" s="35" t="n"/>
      <c r="G1305" s="35" t="n"/>
      <c r="H1305" s="35" t="n"/>
      <c r="I1305" s="35" t="n"/>
      <c r="J1305" s="35" t="n"/>
      <c r="K1305" s="34" t="n"/>
      <c r="L1305" s="26">
        <f>IF(A1305="","",MONTH(A1305))</f>
        <v/>
      </c>
      <c r="M1305" s="26">
        <f>IF(A1305="","",YEAR(A1305))</f>
        <v/>
      </c>
      <c r="N1305" s="26">
        <f>IF(A1305="","",CHOOSE(WEEKDAY(A1305,2),"Segunda","Terça","Quarta","Quinta","Sexta","Sábado","Domingo"))</f>
        <v/>
      </c>
      <c r="O1305" s="26">
        <f>IF(B1305="","",IF(B1305&lt;TIME(12,0,0),"Manhã",IF(B1305&lt;TIME(18,0,0),"Tarde","Noite")))</f>
        <v/>
      </c>
      <c r="P1305" s="32">
        <f>IF(G1305="","",IFERROR(INDEX(Config!$I$5:$I$16,MATCH(G1305,Config!$H$5:$H$16,0)),0))</f>
        <v/>
      </c>
      <c r="Q1305" s="30">
        <f>IF(OR(H1305&lt;&gt;"Realizado",P1305="",P1305=0),"",A1305+P1305)</f>
        <v/>
      </c>
      <c r="R1305" s="26">
        <f>IF(Q1305="","",IF(COUNTIFS($E$5:$E$3004,E1305,$A$5:$A$3004,"&gt;"&amp;A1305,$H$5:$H$3004,"&lt;&gt;Falta",$H$5:$H$3004,"&lt;&gt;Cancelado",$H$5:$H$3004,"&lt;&gt;Remarcado")&gt;0,"Sim","Não"))</f>
        <v/>
      </c>
      <c r="S1305" s="32">
        <f>IF(R1305&lt;&gt;"Não","",IF(Q1305+Config!$B$9&lt;=Config!$B$8,Config!$B$8-Q1305,""))</f>
        <v/>
      </c>
      <c r="T1305" s="26">
        <f>IF(S1305="","","Sim")</f>
        <v/>
      </c>
      <c r="U1305" s="41">
        <f>IF(T1305="Sim",S1305+ROW()/100000,0)</f>
        <v>0</v>
      </c>
      <c r="V1305" s="41">
        <f>IF(AND(H1305="Falta",L1305=Config!$B$7,M1305=Config!$B$5,COUNTIFS($E$5:E1305,E1305,$H$5:H1305,"Falta",$L$5:L1305,Config!$B$7,$M$5:M1305,Config!$B$5)=1),COUNTIFS($E$5:$E$3004,E1305,$H$5:$H$3004,"Falta",$L$5:$L$3004,Config!$B$7,$M$5:$M$3004,Config!$B$5)*1000-ROW()/100000,0)</f>
        <v>0</v>
      </c>
    </row>
    <row r="1306">
      <c r="A1306" s="39" t="n"/>
      <c r="B1306" s="40" t="n"/>
      <c r="C1306" s="35" t="n"/>
      <c r="D1306" s="35" t="n"/>
      <c r="E1306" s="34" t="n"/>
      <c r="F1306" s="35" t="n"/>
      <c r="G1306" s="35" t="n"/>
      <c r="H1306" s="35" t="n"/>
      <c r="I1306" s="35" t="n"/>
      <c r="J1306" s="35" t="n"/>
      <c r="K1306" s="34" t="n"/>
      <c r="L1306" s="26">
        <f>IF(A1306="","",MONTH(A1306))</f>
        <v/>
      </c>
      <c r="M1306" s="26">
        <f>IF(A1306="","",YEAR(A1306))</f>
        <v/>
      </c>
      <c r="N1306" s="26">
        <f>IF(A1306="","",CHOOSE(WEEKDAY(A1306,2),"Segunda","Terça","Quarta","Quinta","Sexta","Sábado","Domingo"))</f>
        <v/>
      </c>
      <c r="O1306" s="26">
        <f>IF(B1306="","",IF(B1306&lt;TIME(12,0,0),"Manhã",IF(B1306&lt;TIME(18,0,0),"Tarde","Noite")))</f>
        <v/>
      </c>
      <c r="P1306" s="32">
        <f>IF(G1306="","",IFERROR(INDEX(Config!$I$5:$I$16,MATCH(G1306,Config!$H$5:$H$16,0)),0))</f>
        <v/>
      </c>
      <c r="Q1306" s="30">
        <f>IF(OR(H1306&lt;&gt;"Realizado",P1306="",P1306=0),"",A1306+P1306)</f>
        <v/>
      </c>
      <c r="R1306" s="26">
        <f>IF(Q1306="","",IF(COUNTIFS($E$5:$E$3004,E1306,$A$5:$A$3004,"&gt;"&amp;A1306,$H$5:$H$3004,"&lt;&gt;Falta",$H$5:$H$3004,"&lt;&gt;Cancelado",$H$5:$H$3004,"&lt;&gt;Remarcado")&gt;0,"Sim","Não"))</f>
        <v/>
      </c>
      <c r="S1306" s="32">
        <f>IF(R1306&lt;&gt;"Não","",IF(Q1306+Config!$B$9&lt;=Config!$B$8,Config!$B$8-Q1306,""))</f>
        <v/>
      </c>
      <c r="T1306" s="26">
        <f>IF(S1306="","","Sim")</f>
        <v/>
      </c>
      <c r="U1306" s="41">
        <f>IF(T1306="Sim",S1306+ROW()/100000,0)</f>
        <v>0</v>
      </c>
      <c r="V1306" s="41">
        <f>IF(AND(H1306="Falta",L1306=Config!$B$7,M1306=Config!$B$5,COUNTIFS($E$5:E1306,E1306,$H$5:H1306,"Falta",$L$5:L1306,Config!$B$7,$M$5:M1306,Config!$B$5)=1),COUNTIFS($E$5:$E$3004,E1306,$H$5:$H$3004,"Falta",$L$5:$L$3004,Config!$B$7,$M$5:$M$3004,Config!$B$5)*1000-ROW()/100000,0)</f>
        <v>0</v>
      </c>
    </row>
    <row r="1307">
      <c r="A1307" s="39" t="n"/>
      <c r="B1307" s="40" t="n"/>
      <c r="C1307" s="35" t="n"/>
      <c r="D1307" s="35" t="n"/>
      <c r="E1307" s="34" t="n"/>
      <c r="F1307" s="35" t="n"/>
      <c r="G1307" s="35" t="n"/>
      <c r="H1307" s="35" t="n"/>
      <c r="I1307" s="35" t="n"/>
      <c r="J1307" s="35" t="n"/>
      <c r="K1307" s="34" t="n"/>
      <c r="L1307" s="26">
        <f>IF(A1307="","",MONTH(A1307))</f>
        <v/>
      </c>
      <c r="M1307" s="26">
        <f>IF(A1307="","",YEAR(A1307))</f>
        <v/>
      </c>
      <c r="N1307" s="26">
        <f>IF(A1307="","",CHOOSE(WEEKDAY(A1307,2),"Segunda","Terça","Quarta","Quinta","Sexta","Sábado","Domingo"))</f>
        <v/>
      </c>
      <c r="O1307" s="26">
        <f>IF(B1307="","",IF(B1307&lt;TIME(12,0,0),"Manhã",IF(B1307&lt;TIME(18,0,0),"Tarde","Noite")))</f>
        <v/>
      </c>
      <c r="P1307" s="32">
        <f>IF(G1307="","",IFERROR(INDEX(Config!$I$5:$I$16,MATCH(G1307,Config!$H$5:$H$16,0)),0))</f>
        <v/>
      </c>
      <c r="Q1307" s="30">
        <f>IF(OR(H1307&lt;&gt;"Realizado",P1307="",P1307=0),"",A1307+P1307)</f>
        <v/>
      </c>
      <c r="R1307" s="26">
        <f>IF(Q1307="","",IF(COUNTIFS($E$5:$E$3004,E1307,$A$5:$A$3004,"&gt;"&amp;A1307,$H$5:$H$3004,"&lt;&gt;Falta",$H$5:$H$3004,"&lt;&gt;Cancelado",$H$5:$H$3004,"&lt;&gt;Remarcado")&gt;0,"Sim","Não"))</f>
        <v/>
      </c>
      <c r="S1307" s="32">
        <f>IF(R1307&lt;&gt;"Não","",IF(Q1307+Config!$B$9&lt;=Config!$B$8,Config!$B$8-Q1307,""))</f>
        <v/>
      </c>
      <c r="T1307" s="26">
        <f>IF(S1307="","","Sim")</f>
        <v/>
      </c>
      <c r="U1307" s="41">
        <f>IF(T1307="Sim",S1307+ROW()/100000,0)</f>
        <v>0</v>
      </c>
      <c r="V1307" s="41">
        <f>IF(AND(H1307="Falta",L1307=Config!$B$7,M1307=Config!$B$5,COUNTIFS($E$5:E1307,E1307,$H$5:H1307,"Falta",$L$5:L1307,Config!$B$7,$M$5:M1307,Config!$B$5)=1),COUNTIFS($E$5:$E$3004,E1307,$H$5:$H$3004,"Falta",$L$5:$L$3004,Config!$B$7,$M$5:$M$3004,Config!$B$5)*1000-ROW()/100000,0)</f>
        <v>0</v>
      </c>
    </row>
    <row r="1308">
      <c r="A1308" s="39" t="n"/>
      <c r="B1308" s="40" t="n"/>
      <c r="C1308" s="35" t="n"/>
      <c r="D1308" s="35" t="n"/>
      <c r="E1308" s="34" t="n"/>
      <c r="F1308" s="35" t="n"/>
      <c r="G1308" s="35" t="n"/>
      <c r="H1308" s="35" t="n"/>
      <c r="I1308" s="35" t="n"/>
      <c r="J1308" s="35" t="n"/>
      <c r="K1308" s="34" t="n"/>
      <c r="L1308" s="26">
        <f>IF(A1308="","",MONTH(A1308))</f>
        <v/>
      </c>
      <c r="M1308" s="26">
        <f>IF(A1308="","",YEAR(A1308))</f>
        <v/>
      </c>
      <c r="N1308" s="26">
        <f>IF(A1308="","",CHOOSE(WEEKDAY(A1308,2),"Segunda","Terça","Quarta","Quinta","Sexta","Sábado","Domingo"))</f>
        <v/>
      </c>
      <c r="O1308" s="26">
        <f>IF(B1308="","",IF(B1308&lt;TIME(12,0,0),"Manhã",IF(B1308&lt;TIME(18,0,0),"Tarde","Noite")))</f>
        <v/>
      </c>
      <c r="P1308" s="32">
        <f>IF(G1308="","",IFERROR(INDEX(Config!$I$5:$I$16,MATCH(G1308,Config!$H$5:$H$16,0)),0))</f>
        <v/>
      </c>
      <c r="Q1308" s="30">
        <f>IF(OR(H1308&lt;&gt;"Realizado",P1308="",P1308=0),"",A1308+P1308)</f>
        <v/>
      </c>
      <c r="R1308" s="26">
        <f>IF(Q1308="","",IF(COUNTIFS($E$5:$E$3004,E1308,$A$5:$A$3004,"&gt;"&amp;A1308,$H$5:$H$3004,"&lt;&gt;Falta",$H$5:$H$3004,"&lt;&gt;Cancelado",$H$5:$H$3004,"&lt;&gt;Remarcado")&gt;0,"Sim","Não"))</f>
        <v/>
      </c>
      <c r="S1308" s="32">
        <f>IF(R1308&lt;&gt;"Não","",IF(Q1308+Config!$B$9&lt;=Config!$B$8,Config!$B$8-Q1308,""))</f>
        <v/>
      </c>
      <c r="T1308" s="26">
        <f>IF(S1308="","","Sim")</f>
        <v/>
      </c>
      <c r="U1308" s="41">
        <f>IF(T1308="Sim",S1308+ROW()/100000,0)</f>
        <v>0</v>
      </c>
      <c r="V1308" s="41">
        <f>IF(AND(H1308="Falta",L1308=Config!$B$7,M1308=Config!$B$5,COUNTIFS($E$5:E1308,E1308,$H$5:H1308,"Falta",$L$5:L1308,Config!$B$7,$M$5:M1308,Config!$B$5)=1),COUNTIFS($E$5:$E$3004,E1308,$H$5:$H$3004,"Falta",$L$5:$L$3004,Config!$B$7,$M$5:$M$3004,Config!$B$5)*1000-ROW()/100000,0)</f>
        <v>0</v>
      </c>
    </row>
    <row r="1309">
      <c r="A1309" s="39" t="n"/>
      <c r="B1309" s="40" t="n"/>
      <c r="C1309" s="35" t="n"/>
      <c r="D1309" s="35" t="n"/>
      <c r="E1309" s="34" t="n"/>
      <c r="F1309" s="35" t="n"/>
      <c r="G1309" s="35" t="n"/>
      <c r="H1309" s="35" t="n"/>
      <c r="I1309" s="35" t="n"/>
      <c r="J1309" s="35" t="n"/>
      <c r="K1309" s="34" t="n"/>
      <c r="L1309" s="26">
        <f>IF(A1309="","",MONTH(A1309))</f>
        <v/>
      </c>
      <c r="M1309" s="26">
        <f>IF(A1309="","",YEAR(A1309))</f>
        <v/>
      </c>
      <c r="N1309" s="26">
        <f>IF(A1309="","",CHOOSE(WEEKDAY(A1309,2),"Segunda","Terça","Quarta","Quinta","Sexta","Sábado","Domingo"))</f>
        <v/>
      </c>
      <c r="O1309" s="26">
        <f>IF(B1309="","",IF(B1309&lt;TIME(12,0,0),"Manhã",IF(B1309&lt;TIME(18,0,0),"Tarde","Noite")))</f>
        <v/>
      </c>
      <c r="P1309" s="32">
        <f>IF(G1309="","",IFERROR(INDEX(Config!$I$5:$I$16,MATCH(G1309,Config!$H$5:$H$16,0)),0))</f>
        <v/>
      </c>
      <c r="Q1309" s="30">
        <f>IF(OR(H1309&lt;&gt;"Realizado",P1309="",P1309=0),"",A1309+P1309)</f>
        <v/>
      </c>
      <c r="R1309" s="26">
        <f>IF(Q1309="","",IF(COUNTIFS($E$5:$E$3004,E1309,$A$5:$A$3004,"&gt;"&amp;A1309,$H$5:$H$3004,"&lt;&gt;Falta",$H$5:$H$3004,"&lt;&gt;Cancelado",$H$5:$H$3004,"&lt;&gt;Remarcado")&gt;0,"Sim","Não"))</f>
        <v/>
      </c>
      <c r="S1309" s="32">
        <f>IF(R1309&lt;&gt;"Não","",IF(Q1309+Config!$B$9&lt;=Config!$B$8,Config!$B$8-Q1309,""))</f>
        <v/>
      </c>
      <c r="T1309" s="26">
        <f>IF(S1309="","","Sim")</f>
        <v/>
      </c>
      <c r="U1309" s="41">
        <f>IF(T1309="Sim",S1309+ROW()/100000,0)</f>
        <v>0</v>
      </c>
      <c r="V1309" s="41">
        <f>IF(AND(H1309="Falta",L1309=Config!$B$7,M1309=Config!$B$5,COUNTIFS($E$5:E1309,E1309,$H$5:H1309,"Falta",$L$5:L1309,Config!$B$7,$M$5:M1309,Config!$B$5)=1),COUNTIFS($E$5:$E$3004,E1309,$H$5:$H$3004,"Falta",$L$5:$L$3004,Config!$B$7,$M$5:$M$3004,Config!$B$5)*1000-ROW()/100000,0)</f>
        <v>0</v>
      </c>
    </row>
    <row r="1310">
      <c r="A1310" s="39" t="n"/>
      <c r="B1310" s="40" t="n"/>
      <c r="C1310" s="35" t="n"/>
      <c r="D1310" s="35" t="n"/>
      <c r="E1310" s="34" t="n"/>
      <c r="F1310" s="35" t="n"/>
      <c r="G1310" s="35" t="n"/>
      <c r="H1310" s="35" t="n"/>
      <c r="I1310" s="35" t="n"/>
      <c r="J1310" s="35" t="n"/>
      <c r="K1310" s="34" t="n"/>
      <c r="L1310" s="26">
        <f>IF(A1310="","",MONTH(A1310))</f>
        <v/>
      </c>
      <c r="M1310" s="26">
        <f>IF(A1310="","",YEAR(A1310))</f>
        <v/>
      </c>
      <c r="N1310" s="26">
        <f>IF(A1310="","",CHOOSE(WEEKDAY(A1310,2),"Segunda","Terça","Quarta","Quinta","Sexta","Sábado","Domingo"))</f>
        <v/>
      </c>
      <c r="O1310" s="26">
        <f>IF(B1310="","",IF(B1310&lt;TIME(12,0,0),"Manhã",IF(B1310&lt;TIME(18,0,0),"Tarde","Noite")))</f>
        <v/>
      </c>
      <c r="P1310" s="32">
        <f>IF(G1310="","",IFERROR(INDEX(Config!$I$5:$I$16,MATCH(G1310,Config!$H$5:$H$16,0)),0))</f>
        <v/>
      </c>
      <c r="Q1310" s="30">
        <f>IF(OR(H1310&lt;&gt;"Realizado",P1310="",P1310=0),"",A1310+P1310)</f>
        <v/>
      </c>
      <c r="R1310" s="26">
        <f>IF(Q1310="","",IF(COUNTIFS($E$5:$E$3004,E1310,$A$5:$A$3004,"&gt;"&amp;A1310,$H$5:$H$3004,"&lt;&gt;Falta",$H$5:$H$3004,"&lt;&gt;Cancelado",$H$5:$H$3004,"&lt;&gt;Remarcado")&gt;0,"Sim","Não"))</f>
        <v/>
      </c>
      <c r="S1310" s="32">
        <f>IF(R1310&lt;&gt;"Não","",IF(Q1310+Config!$B$9&lt;=Config!$B$8,Config!$B$8-Q1310,""))</f>
        <v/>
      </c>
      <c r="T1310" s="26">
        <f>IF(S1310="","","Sim")</f>
        <v/>
      </c>
      <c r="U1310" s="41">
        <f>IF(T1310="Sim",S1310+ROW()/100000,0)</f>
        <v>0</v>
      </c>
      <c r="V1310" s="41">
        <f>IF(AND(H1310="Falta",L1310=Config!$B$7,M1310=Config!$B$5,COUNTIFS($E$5:E1310,E1310,$H$5:H1310,"Falta",$L$5:L1310,Config!$B$7,$M$5:M1310,Config!$B$5)=1),COUNTIFS($E$5:$E$3004,E1310,$H$5:$H$3004,"Falta",$L$5:$L$3004,Config!$B$7,$M$5:$M$3004,Config!$B$5)*1000-ROW()/100000,0)</f>
        <v>0</v>
      </c>
    </row>
    <row r="1311">
      <c r="A1311" s="39" t="n"/>
      <c r="B1311" s="40" t="n"/>
      <c r="C1311" s="35" t="n"/>
      <c r="D1311" s="35" t="n"/>
      <c r="E1311" s="34" t="n"/>
      <c r="F1311" s="35" t="n"/>
      <c r="G1311" s="35" t="n"/>
      <c r="H1311" s="35" t="n"/>
      <c r="I1311" s="35" t="n"/>
      <c r="J1311" s="35" t="n"/>
      <c r="K1311" s="34" t="n"/>
      <c r="L1311" s="26">
        <f>IF(A1311="","",MONTH(A1311))</f>
        <v/>
      </c>
      <c r="M1311" s="26">
        <f>IF(A1311="","",YEAR(A1311))</f>
        <v/>
      </c>
      <c r="N1311" s="26">
        <f>IF(A1311="","",CHOOSE(WEEKDAY(A1311,2),"Segunda","Terça","Quarta","Quinta","Sexta","Sábado","Domingo"))</f>
        <v/>
      </c>
      <c r="O1311" s="26">
        <f>IF(B1311="","",IF(B1311&lt;TIME(12,0,0),"Manhã",IF(B1311&lt;TIME(18,0,0),"Tarde","Noite")))</f>
        <v/>
      </c>
      <c r="P1311" s="32">
        <f>IF(G1311="","",IFERROR(INDEX(Config!$I$5:$I$16,MATCH(G1311,Config!$H$5:$H$16,0)),0))</f>
        <v/>
      </c>
      <c r="Q1311" s="30">
        <f>IF(OR(H1311&lt;&gt;"Realizado",P1311="",P1311=0),"",A1311+P1311)</f>
        <v/>
      </c>
      <c r="R1311" s="26">
        <f>IF(Q1311="","",IF(COUNTIFS($E$5:$E$3004,E1311,$A$5:$A$3004,"&gt;"&amp;A1311,$H$5:$H$3004,"&lt;&gt;Falta",$H$5:$H$3004,"&lt;&gt;Cancelado",$H$5:$H$3004,"&lt;&gt;Remarcado")&gt;0,"Sim","Não"))</f>
        <v/>
      </c>
      <c r="S1311" s="32">
        <f>IF(R1311&lt;&gt;"Não","",IF(Q1311+Config!$B$9&lt;=Config!$B$8,Config!$B$8-Q1311,""))</f>
        <v/>
      </c>
      <c r="T1311" s="26">
        <f>IF(S1311="","","Sim")</f>
        <v/>
      </c>
      <c r="U1311" s="41">
        <f>IF(T1311="Sim",S1311+ROW()/100000,0)</f>
        <v>0</v>
      </c>
      <c r="V1311" s="41">
        <f>IF(AND(H1311="Falta",L1311=Config!$B$7,M1311=Config!$B$5,COUNTIFS($E$5:E1311,E1311,$H$5:H1311,"Falta",$L$5:L1311,Config!$B$7,$M$5:M1311,Config!$B$5)=1),COUNTIFS($E$5:$E$3004,E1311,$H$5:$H$3004,"Falta",$L$5:$L$3004,Config!$B$7,$M$5:$M$3004,Config!$B$5)*1000-ROW()/100000,0)</f>
        <v>0</v>
      </c>
    </row>
    <row r="1312">
      <c r="A1312" s="39" t="n"/>
      <c r="B1312" s="40" t="n"/>
      <c r="C1312" s="35" t="n"/>
      <c r="D1312" s="35" t="n"/>
      <c r="E1312" s="34" t="n"/>
      <c r="F1312" s="35" t="n"/>
      <c r="G1312" s="35" t="n"/>
      <c r="H1312" s="35" t="n"/>
      <c r="I1312" s="35" t="n"/>
      <c r="J1312" s="35" t="n"/>
      <c r="K1312" s="34" t="n"/>
      <c r="L1312" s="26">
        <f>IF(A1312="","",MONTH(A1312))</f>
        <v/>
      </c>
      <c r="M1312" s="26">
        <f>IF(A1312="","",YEAR(A1312))</f>
        <v/>
      </c>
      <c r="N1312" s="26">
        <f>IF(A1312="","",CHOOSE(WEEKDAY(A1312,2),"Segunda","Terça","Quarta","Quinta","Sexta","Sábado","Domingo"))</f>
        <v/>
      </c>
      <c r="O1312" s="26">
        <f>IF(B1312="","",IF(B1312&lt;TIME(12,0,0),"Manhã",IF(B1312&lt;TIME(18,0,0),"Tarde","Noite")))</f>
        <v/>
      </c>
      <c r="P1312" s="32">
        <f>IF(G1312="","",IFERROR(INDEX(Config!$I$5:$I$16,MATCH(G1312,Config!$H$5:$H$16,0)),0))</f>
        <v/>
      </c>
      <c r="Q1312" s="30">
        <f>IF(OR(H1312&lt;&gt;"Realizado",P1312="",P1312=0),"",A1312+P1312)</f>
        <v/>
      </c>
      <c r="R1312" s="26">
        <f>IF(Q1312="","",IF(COUNTIFS($E$5:$E$3004,E1312,$A$5:$A$3004,"&gt;"&amp;A1312,$H$5:$H$3004,"&lt;&gt;Falta",$H$5:$H$3004,"&lt;&gt;Cancelado",$H$5:$H$3004,"&lt;&gt;Remarcado")&gt;0,"Sim","Não"))</f>
        <v/>
      </c>
      <c r="S1312" s="32">
        <f>IF(R1312&lt;&gt;"Não","",IF(Q1312+Config!$B$9&lt;=Config!$B$8,Config!$B$8-Q1312,""))</f>
        <v/>
      </c>
      <c r="T1312" s="26">
        <f>IF(S1312="","","Sim")</f>
        <v/>
      </c>
      <c r="U1312" s="41">
        <f>IF(T1312="Sim",S1312+ROW()/100000,0)</f>
        <v>0</v>
      </c>
      <c r="V1312" s="41">
        <f>IF(AND(H1312="Falta",L1312=Config!$B$7,M1312=Config!$B$5,COUNTIFS($E$5:E1312,E1312,$H$5:H1312,"Falta",$L$5:L1312,Config!$B$7,$M$5:M1312,Config!$B$5)=1),COUNTIFS($E$5:$E$3004,E1312,$H$5:$H$3004,"Falta",$L$5:$L$3004,Config!$B$7,$M$5:$M$3004,Config!$B$5)*1000-ROW()/100000,0)</f>
        <v>0</v>
      </c>
    </row>
    <row r="1313">
      <c r="A1313" s="39" t="n"/>
      <c r="B1313" s="40" t="n"/>
      <c r="C1313" s="35" t="n"/>
      <c r="D1313" s="35" t="n"/>
      <c r="E1313" s="34" t="n"/>
      <c r="F1313" s="35" t="n"/>
      <c r="G1313" s="35" t="n"/>
      <c r="H1313" s="35" t="n"/>
      <c r="I1313" s="35" t="n"/>
      <c r="J1313" s="35" t="n"/>
      <c r="K1313" s="34" t="n"/>
      <c r="L1313" s="26">
        <f>IF(A1313="","",MONTH(A1313))</f>
        <v/>
      </c>
      <c r="M1313" s="26">
        <f>IF(A1313="","",YEAR(A1313))</f>
        <v/>
      </c>
      <c r="N1313" s="26">
        <f>IF(A1313="","",CHOOSE(WEEKDAY(A1313,2),"Segunda","Terça","Quarta","Quinta","Sexta","Sábado","Domingo"))</f>
        <v/>
      </c>
      <c r="O1313" s="26">
        <f>IF(B1313="","",IF(B1313&lt;TIME(12,0,0),"Manhã",IF(B1313&lt;TIME(18,0,0),"Tarde","Noite")))</f>
        <v/>
      </c>
      <c r="P1313" s="32">
        <f>IF(G1313="","",IFERROR(INDEX(Config!$I$5:$I$16,MATCH(G1313,Config!$H$5:$H$16,0)),0))</f>
        <v/>
      </c>
      <c r="Q1313" s="30">
        <f>IF(OR(H1313&lt;&gt;"Realizado",P1313="",P1313=0),"",A1313+P1313)</f>
        <v/>
      </c>
      <c r="R1313" s="26">
        <f>IF(Q1313="","",IF(COUNTIFS($E$5:$E$3004,E1313,$A$5:$A$3004,"&gt;"&amp;A1313,$H$5:$H$3004,"&lt;&gt;Falta",$H$5:$H$3004,"&lt;&gt;Cancelado",$H$5:$H$3004,"&lt;&gt;Remarcado")&gt;0,"Sim","Não"))</f>
        <v/>
      </c>
      <c r="S1313" s="32">
        <f>IF(R1313&lt;&gt;"Não","",IF(Q1313+Config!$B$9&lt;=Config!$B$8,Config!$B$8-Q1313,""))</f>
        <v/>
      </c>
      <c r="T1313" s="26">
        <f>IF(S1313="","","Sim")</f>
        <v/>
      </c>
      <c r="U1313" s="41">
        <f>IF(T1313="Sim",S1313+ROW()/100000,0)</f>
        <v>0</v>
      </c>
      <c r="V1313" s="41">
        <f>IF(AND(H1313="Falta",L1313=Config!$B$7,M1313=Config!$B$5,COUNTIFS($E$5:E1313,E1313,$H$5:H1313,"Falta",$L$5:L1313,Config!$B$7,$M$5:M1313,Config!$B$5)=1),COUNTIFS($E$5:$E$3004,E1313,$H$5:$H$3004,"Falta",$L$5:$L$3004,Config!$B$7,$M$5:$M$3004,Config!$B$5)*1000-ROW()/100000,0)</f>
        <v>0</v>
      </c>
    </row>
    <row r="1314">
      <c r="A1314" s="39" t="n"/>
      <c r="B1314" s="40" t="n"/>
      <c r="C1314" s="35" t="n"/>
      <c r="D1314" s="35" t="n"/>
      <c r="E1314" s="34" t="n"/>
      <c r="F1314" s="35" t="n"/>
      <c r="G1314" s="35" t="n"/>
      <c r="H1314" s="35" t="n"/>
      <c r="I1314" s="35" t="n"/>
      <c r="J1314" s="35" t="n"/>
      <c r="K1314" s="34" t="n"/>
      <c r="L1314" s="26">
        <f>IF(A1314="","",MONTH(A1314))</f>
        <v/>
      </c>
      <c r="M1314" s="26">
        <f>IF(A1314="","",YEAR(A1314))</f>
        <v/>
      </c>
      <c r="N1314" s="26">
        <f>IF(A1314="","",CHOOSE(WEEKDAY(A1314,2),"Segunda","Terça","Quarta","Quinta","Sexta","Sábado","Domingo"))</f>
        <v/>
      </c>
      <c r="O1314" s="26">
        <f>IF(B1314="","",IF(B1314&lt;TIME(12,0,0),"Manhã",IF(B1314&lt;TIME(18,0,0),"Tarde","Noite")))</f>
        <v/>
      </c>
      <c r="P1314" s="32">
        <f>IF(G1314="","",IFERROR(INDEX(Config!$I$5:$I$16,MATCH(G1314,Config!$H$5:$H$16,0)),0))</f>
        <v/>
      </c>
      <c r="Q1314" s="30">
        <f>IF(OR(H1314&lt;&gt;"Realizado",P1314="",P1314=0),"",A1314+P1314)</f>
        <v/>
      </c>
      <c r="R1314" s="26">
        <f>IF(Q1314="","",IF(COUNTIFS($E$5:$E$3004,E1314,$A$5:$A$3004,"&gt;"&amp;A1314,$H$5:$H$3004,"&lt;&gt;Falta",$H$5:$H$3004,"&lt;&gt;Cancelado",$H$5:$H$3004,"&lt;&gt;Remarcado")&gt;0,"Sim","Não"))</f>
        <v/>
      </c>
      <c r="S1314" s="32">
        <f>IF(R1314&lt;&gt;"Não","",IF(Q1314+Config!$B$9&lt;=Config!$B$8,Config!$B$8-Q1314,""))</f>
        <v/>
      </c>
      <c r="T1314" s="26">
        <f>IF(S1314="","","Sim")</f>
        <v/>
      </c>
      <c r="U1314" s="41">
        <f>IF(T1314="Sim",S1314+ROW()/100000,0)</f>
        <v>0</v>
      </c>
      <c r="V1314" s="41">
        <f>IF(AND(H1314="Falta",L1314=Config!$B$7,M1314=Config!$B$5,COUNTIFS($E$5:E1314,E1314,$H$5:H1314,"Falta",$L$5:L1314,Config!$B$7,$M$5:M1314,Config!$B$5)=1),COUNTIFS($E$5:$E$3004,E1314,$H$5:$H$3004,"Falta",$L$5:$L$3004,Config!$B$7,$M$5:$M$3004,Config!$B$5)*1000-ROW()/100000,0)</f>
        <v>0</v>
      </c>
    </row>
    <row r="1315">
      <c r="A1315" s="39" t="n"/>
      <c r="B1315" s="40" t="n"/>
      <c r="C1315" s="35" t="n"/>
      <c r="D1315" s="35" t="n"/>
      <c r="E1315" s="34" t="n"/>
      <c r="F1315" s="35" t="n"/>
      <c r="G1315" s="35" t="n"/>
      <c r="H1315" s="35" t="n"/>
      <c r="I1315" s="35" t="n"/>
      <c r="J1315" s="35" t="n"/>
      <c r="K1315" s="34" t="n"/>
      <c r="L1315" s="26">
        <f>IF(A1315="","",MONTH(A1315))</f>
        <v/>
      </c>
      <c r="M1315" s="26">
        <f>IF(A1315="","",YEAR(A1315))</f>
        <v/>
      </c>
      <c r="N1315" s="26">
        <f>IF(A1315="","",CHOOSE(WEEKDAY(A1315,2),"Segunda","Terça","Quarta","Quinta","Sexta","Sábado","Domingo"))</f>
        <v/>
      </c>
      <c r="O1315" s="26">
        <f>IF(B1315="","",IF(B1315&lt;TIME(12,0,0),"Manhã",IF(B1315&lt;TIME(18,0,0),"Tarde","Noite")))</f>
        <v/>
      </c>
      <c r="P1315" s="32">
        <f>IF(G1315="","",IFERROR(INDEX(Config!$I$5:$I$16,MATCH(G1315,Config!$H$5:$H$16,0)),0))</f>
        <v/>
      </c>
      <c r="Q1315" s="30">
        <f>IF(OR(H1315&lt;&gt;"Realizado",P1315="",P1315=0),"",A1315+P1315)</f>
        <v/>
      </c>
      <c r="R1315" s="26">
        <f>IF(Q1315="","",IF(COUNTIFS($E$5:$E$3004,E1315,$A$5:$A$3004,"&gt;"&amp;A1315,$H$5:$H$3004,"&lt;&gt;Falta",$H$5:$H$3004,"&lt;&gt;Cancelado",$H$5:$H$3004,"&lt;&gt;Remarcado")&gt;0,"Sim","Não"))</f>
        <v/>
      </c>
      <c r="S1315" s="32">
        <f>IF(R1315&lt;&gt;"Não","",IF(Q1315+Config!$B$9&lt;=Config!$B$8,Config!$B$8-Q1315,""))</f>
        <v/>
      </c>
      <c r="T1315" s="26">
        <f>IF(S1315="","","Sim")</f>
        <v/>
      </c>
      <c r="U1315" s="41">
        <f>IF(T1315="Sim",S1315+ROW()/100000,0)</f>
        <v>0</v>
      </c>
      <c r="V1315" s="41">
        <f>IF(AND(H1315="Falta",L1315=Config!$B$7,M1315=Config!$B$5,COUNTIFS($E$5:E1315,E1315,$H$5:H1315,"Falta",$L$5:L1315,Config!$B$7,$M$5:M1315,Config!$B$5)=1),COUNTIFS($E$5:$E$3004,E1315,$H$5:$H$3004,"Falta",$L$5:$L$3004,Config!$B$7,$M$5:$M$3004,Config!$B$5)*1000-ROW()/100000,0)</f>
        <v>0</v>
      </c>
    </row>
    <row r="1316">
      <c r="A1316" s="39" t="n"/>
      <c r="B1316" s="40" t="n"/>
      <c r="C1316" s="35" t="n"/>
      <c r="D1316" s="35" t="n"/>
      <c r="E1316" s="34" t="n"/>
      <c r="F1316" s="35" t="n"/>
      <c r="G1316" s="35" t="n"/>
      <c r="H1316" s="35" t="n"/>
      <c r="I1316" s="35" t="n"/>
      <c r="J1316" s="35" t="n"/>
      <c r="K1316" s="34" t="n"/>
      <c r="L1316" s="26">
        <f>IF(A1316="","",MONTH(A1316))</f>
        <v/>
      </c>
      <c r="M1316" s="26">
        <f>IF(A1316="","",YEAR(A1316))</f>
        <v/>
      </c>
      <c r="N1316" s="26">
        <f>IF(A1316="","",CHOOSE(WEEKDAY(A1316,2),"Segunda","Terça","Quarta","Quinta","Sexta","Sábado","Domingo"))</f>
        <v/>
      </c>
      <c r="O1316" s="26">
        <f>IF(B1316="","",IF(B1316&lt;TIME(12,0,0),"Manhã",IF(B1316&lt;TIME(18,0,0),"Tarde","Noite")))</f>
        <v/>
      </c>
      <c r="P1316" s="32">
        <f>IF(G1316="","",IFERROR(INDEX(Config!$I$5:$I$16,MATCH(G1316,Config!$H$5:$H$16,0)),0))</f>
        <v/>
      </c>
      <c r="Q1316" s="30">
        <f>IF(OR(H1316&lt;&gt;"Realizado",P1316="",P1316=0),"",A1316+P1316)</f>
        <v/>
      </c>
      <c r="R1316" s="26">
        <f>IF(Q1316="","",IF(COUNTIFS($E$5:$E$3004,E1316,$A$5:$A$3004,"&gt;"&amp;A1316,$H$5:$H$3004,"&lt;&gt;Falta",$H$5:$H$3004,"&lt;&gt;Cancelado",$H$5:$H$3004,"&lt;&gt;Remarcado")&gt;0,"Sim","Não"))</f>
        <v/>
      </c>
      <c r="S1316" s="32">
        <f>IF(R1316&lt;&gt;"Não","",IF(Q1316+Config!$B$9&lt;=Config!$B$8,Config!$B$8-Q1316,""))</f>
        <v/>
      </c>
      <c r="T1316" s="26">
        <f>IF(S1316="","","Sim")</f>
        <v/>
      </c>
      <c r="U1316" s="41">
        <f>IF(T1316="Sim",S1316+ROW()/100000,0)</f>
        <v>0</v>
      </c>
      <c r="V1316" s="41">
        <f>IF(AND(H1316="Falta",L1316=Config!$B$7,M1316=Config!$B$5,COUNTIFS($E$5:E1316,E1316,$H$5:H1316,"Falta",$L$5:L1316,Config!$B$7,$M$5:M1316,Config!$B$5)=1),COUNTIFS($E$5:$E$3004,E1316,$H$5:$H$3004,"Falta",$L$5:$L$3004,Config!$B$7,$M$5:$M$3004,Config!$B$5)*1000-ROW()/100000,0)</f>
        <v>0</v>
      </c>
    </row>
    <row r="1317">
      <c r="A1317" s="39" t="n"/>
      <c r="B1317" s="40" t="n"/>
      <c r="C1317" s="35" t="n"/>
      <c r="D1317" s="35" t="n"/>
      <c r="E1317" s="34" t="n"/>
      <c r="F1317" s="35" t="n"/>
      <c r="G1317" s="35" t="n"/>
      <c r="H1317" s="35" t="n"/>
      <c r="I1317" s="35" t="n"/>
      <c r="J1317" s="35" t="n"/>
      <c r="K1317" s="34" t="n"/>
      <c r="L1317" s="26">
        <f>IF(A1317="","",MONTH(A1317))</f>
        <v/>
      </c>
      <c r="M1317" s="26">
        <f>IF(A1317="","",YEAR(A1317))</f>
        <v/>
      </c>
      <c r="N1317" s="26">
        <f>IF(A1317="","",CHOOSE(WEEKDAY(A1317,2),"Segunda","Terça","Quarta","Quinta","Sexta","Sábado","Domingo"))</f>
        <v/>
      </c>
      <c r="O1317" s="26">
        <f>IF(B1317="","",IF(B1317&lt;TIME(12,0,0),"Manhã",IF(B1317&lt;TIME(18,0,0),"Tarde","Noite")))</f>
        <v/>
      </c>
      <c r="P1317" s="32">
        <f>IF(G1317="","",IFERROR(INDEX(Config!$I$5:$I$16,MATCH(G1317,Config!$H$5:$H$16,0)),0))</f>
        <v/>
      </c>
      <c r="Q1317" s="30">
        <f>IF(OR(H1317&lt;&gt;"Realizado",P1317="",P1317=0),"",A1317+P1317)</f>
        <v/>
      </c>
      <c r="R1317" s="26">
        <f>IF(Q1317="","",IF(COUNTIFS($E$5:$E$3004,E1317,$A$5:$A$3004,"&gt;"&amp;A1317,$H$5:$H$3004,"&lt;&gt;Falta",$H$5:$H$3004,"&lt;&gt;Cancelado",$H$5:$H$3004,"&lt;&gt;Remarcado")&gt;0,"Sim","Não"))</f>
        <v/>
      </c>
      <c r="S1317" s="32">
        <f>IF(R1317&lt;&gt;"Não","",IF(Q1317+Config!$B$9&lt;=Config!$B$8,Config!$B$8-Q1317,""))</f>
        <v/>
      </c>
      <c r="T1317" s="26">
        <f>IF(S1317="","","Sim")</f>
        <v/>
      </c>
      <c r="U1317" s="41">
        <f>IF(T1317="Sim",S1317+ROW()/100000,0)</f>
        <v>0</v>
      </c>
      <c r="V1317" s="41">
        <f>IF(AND(H1317="Falta",L1317=Config!$B$7,M1317=Config!$B$5,COUNTIFS($E$5:E1317,E1317,$H$5:H1317,"Falta",$L$5:L1317,Config!$B$7,$M$5:M1317,Config!$B$5)=1),COUNTIFS($E$5:$E$3004,E1317,$H$5:$H$3004,"Falta",$L$5:$L$3004,Config!$B$7,$M$5:$M$3004,Config!$B$5)*1000-ROW()/100000,0)</f>
        <v>0</v>
      </c>
    </row>
    <row r="1318">
      <c r="A1318" s="39" t="n"/>
      <c r="B1318" s="40" t="n"/>
      <c r="C1318" s="35" t="n"/>
      <c r="D1318" s="35" t="n"/>
      <c r="E1318" s="34" t="n"/>
      <c r="F1318" s="35" t="n"/>
      <c r="G1318" s="35" t="n"/>
      <c r="H1318" s="35" t="n"/>
      <c r="I1318" s="35" t="n"/>
      <c r="J1318" s="35" t="n"/>
      <c r="K1318" s="34" t="n"/>
      <c r="L1318" s="26">
        <f>IF(A1318="","",MONTH(A1318))</f>
        <v/>
      </c>
      <c r="M1318" s="26">
        <f>IF(A1318="","",YEAR(A1318))</f>
        <v/>
      </c>
      <c r="N1318" s="26">
        <f>IF(A1318="","",CHOOSE(WEEKDAY(A1318,2),"Segunda","Terça","Quarta","Quinta","Sexta","Sábado","Domingo"))</f>
        <v/>
      </c>
      <c r="O1318" s="26">
        <f>IF(B1318="","",IF(B1318&lt;TIME(12,0,0),"Manhã",IF(B1318&lt;TIME(18,0,0),"Tarde","Noite")))</f>
        <v/>
      </c>
      <c r="P1318" s="32">
        <f>IF(G1318="","",IFERROR(INDEX(Config!$I$5:$I$16,MATCH(G1318,Config!$H$5:$H$16,0)),0))</f>
        <v/>
      </c>
      <c r="Q1318" s="30">
        <f>IF(OR(H1318&lt;&gt;"Realizado",P1318="",P1318=0),"",A1318+P1318)</f>
        <v/>
      </c>
      <c r="R1318" s="26">
        <f>IF(Q1318="","",IF(COUNTIFS($E$5:$E$3004,E1318,$A$5:$A$3004,"&gt;"&amp;A1318,$H$5:$H$3004,"&lt;&gt;Falta",$H$5:$H$3004,"&lt;&gt;Cancelado",$H$5:$H$3004,"&lt;&gt;Remarcado")&gt;0,"Sim","Não"))</f>
        <v/>
      </c>
      <c r="S1318" s="32">
        <f>IF(R1318&lt;&gt;"Não","",IF(Q1318+Config!$B$9&lt;=Config!$B$8,Config!$B$8-Q1318,""))</f>
        <v/>
      </c>
      <c r="T1318" s="26">
        <f>IF(S1318="","","Sim")</f>
        <v/>
      </c>
      <c r="U1318" s="41">
        <f>IF(T1318="Sim",S1318+ROW()/100000,0)</f>
        <v>0</v>
      </c>
      <c r="V1318" s="41">
        <f>IF(AND(H1318="Falta",L1318=Config!$B$7,M1318=Config!$B$5,COUNTIFS($E$5:E1318,E1318,$H$5:H1318,"Falta",$L$5:L1318,Config!$B$7,$M$5:M1318,Config!$B$5)=1),COUNTIFS($E$5:$E$3004,E1318,$H$5:$H$3004,"Falta",$L$5:$L$3004,Config!$B$7,$M$5:$M$3004,Config!$B$5)*1000-ROW()/100000,0)</f>
        <v>0</v>
      </c>
    </row>
    <row r="1319">
      <c r="A1319" s="39" t="n"/>
      <c r="B1319" s="40" t="n"/>
      <c r="C1319" s="35" t="n"/>
      <c r="D1319" s="35" t="n"/>
      <c r="E1319" s="34" t="n"/>
      <c r="F1319" s="35" t="n"/>
      <c r="G1319" s="35" t="n"/>
      <c r="H1319" s="35" t="n"/>
      <c r="I1319" s="35" t="n"/>
      <c r="J1319" s="35" t="n"/>
      <c r="K1319" s="34" t="n"/>
      <c r="L1319" s="26">
        <f>IF(A1319="","",MONTH(A1319))</f>
        <v/>
      </c>
      <c r="M1319" s="26">
        <f>IF(A1319="","",YEAR(A1319))</f>
        <v/>
      </c>
      <c r="N1319" s="26">
        <f>IF(A1319="","",CHOOSE(WEEKDAY(A1319,2),"Segunda","Terça","Quarta","Quinta","Sexta","Sábado","Domingo"))</f>
        <v/>
      </c>
      <c r="O1319" s="26">
        <f>IF(B1319="","",IF(B1319&lt;TIME(12,0,0),"Manhã",IF(B1319&lt;TIME(18,0,0),"Tarde","Noite")))</f>
        <v/>
      </c>
      <c r="P1319" s="32">
        <f>IF(G1319="","",IFERROR(INDEX(Config!$I$5:$I$16,MATCH(G1319,Config!$H$5:$H$16,0)),0))</f>
        <v/>
      </c>
      <c r="Q1319" s="30">
        <f>IF(OR(H1319&lt;&gt;"Realizado",P1319="",P1319=0),"",A1319+P1319)</f>
        <v/>
      </c>
      <c r="R1319" s="26">
        <f>IF(Q1319="","",IF(COUNTIFS($E$5:$E$3004,E1319,$A$5:$A$3004,"&gt;"&amp;A1319,$H$5:$H$3004,"&lt;&gt;Falta",$H$5:$H$3004,"&lt;&gt;Cancelado",$H$5:$H$3004,"&lt;&gt;Remarcado")&gt;0,"Sim","Não"))</f>
        <v/>
      </c>
      <c r="S1319" s="32">
        <f>IF(R1319&lt;&gt;"Não","",IF(Q1319+Config!$B$9&lt;=Config!$B$8,Config!$B$8-Q1319,""))</f>
        <v/>
      </c>
      <c r="T1319" s="26">
        <f>IF(S1319="","","Sim")</f>
        <v/>
      </c>
      <c r="U1319" s="41">
        <f>IF(T1319="Sim",S1319+ROW()/100000,0)</f>
        <v>0</v>
      </c>
      <c r="V1319" s="41">
        <f>IF(AND(H1319="Falta",L1319=Config!$B$7,M1319=Config!$B$5,COUNTIFS($E$5:E1319,E1319,$H$5:H1319,"Falta",$L$5:L1319,Config!$B$7,$M$5:M1319,Config!$B$5)=1),COUNTIFS($E$5:$E$3004,E1319,$H$5:$H$3004,"Falta",$L$5:$L$3004,Config!$B$7,$M$5:$M$3004,Config!$B$5)*1000-ROW()/100000,0)</f>
        <v>0</v>
      </c>
    </row>
    <row r="1320">
      <c r="A1320" s="39" t="n"/>
      <c r="B1320" s="40" t="n"/>
      <c r="C1320" s="35" t="n"/>
      <c r="D1320" s="35" t="n"/>
      <c r="E1320" s="34" t="n"/>
      <c r="F1320" s="35" t="n"/>
      <c r="G1320" s="35" t="n"/>
      <c r="H1320" s="35" t="n"/>
      <c r="I1320" s="35" t="n"/>
      <c r="J1320" s="35" t="n"/>
      <c r="K1320" s="34" t="n"/>
      <c r="L1320" s="26">
        <f>IF(A1320="","",MONTH(A1320))</f>
        <v/>
      </c>
      <c r="M1320" s="26">
        <f>IF(A1320="","",YEAR(A1320))</f>
        <v/>
      </c>
      <c r="N1320" s="26">
        <f>IF(A1320="","",CHOOSE(WEEKDAY(A1320,2),"Segunda","Terça","Quarta","Quinta","Sexta","Sábado","Domingo"))</f>
        <v/>
      </c>
      <c r="O1320" s="26">
        <f>IF(B1320="","",IF(B1320&lt;TIME(12,0,0),"Manhã",IF(B1320&lt;TIME(18,0,0),"Tarde","Noite")))</f>
        <v/>
      </c>
      <c r="P1320" s="32">
        <f>IF(G1320="","",IFERROR(INDEX(Config!$I$5:$I$16,MATCH(G1320,Config!$H$5:$H$16,0)),0))</f>
        <v/>
      </c>
      <c r="Q1320" s="30">
        <f>IF(OR(H1320&lt;&gt;"Realizado",P1320="",P1320=0),"",A1320+P1320)</f>
        <v/>
      </c>
      <c r="R1320" s="26">
        <f>IF(Q1320="","",IF(COUNTIFS($E$5:$E$3004,E1320,$A$5:$A$3004,"&gt;"&amp;A1320,$H$5:$H$3004,"&lt;&gt;Falta",$H$5:$H$3004,"&lt;&gt;Cancelado",$H$5:$H$3004,"&lt;&gt;Remarcado")&gt;0,"Sim","Não"))</f>
        <v/>
      </c>
      <c r="S1320" s="32">
        <f>IF(R1320&lt;&gt;"Não","",IF(Q1320+Config!$B$9&lt;=Config!$B$8,Config!$B$8-Q1320,""))</f>
        <v/>
      </c>
      <c r="T1320" s="26">
        <f>IF(S1320="","","Sim")</f>
        <v/>
      </c>
      <c r="U1320" s="41">
        <f>IF(T1320="Sim",S1320+ROW()/100000,0)</f>
        <v>0</v>
      </c>
      <c r="V1320" s="41">
        <f>IF(AND(H1320="Falta",L1320=Config!$B$7,M1320=Config!$B$5,COUNTIFS($E$5:E1320,E1320,$H$5:H1320,"Falta",$L$5:L1320,Config!$B$7,$M$5:M1320,Config!$B$5)=1),COUNTIFS($E$5:$E$3004,E1320,$H$5:$H$3004,"Falta",$L$5:$L$3004,Config!$B$7,$M$5:$M$3004,Config!$B$5)*1000-ROW()/100000,0)</f>
        <v>0</v>
      </c>
    </row>
    <row r="1321">
      <c r="A1321" s="39" t="n"/>
      <c r="B1321" s="40" t="n"/>
      <c r="C1321" s="35" t="n"/>
      <c r="D1321" s="35" t="n"/>
      <c r="E1321" s="34" t="n"/>
      <c r="F1321" s="35" t="n"/>
      <c r="G1321" s="35" t="n"/>
      <c r="H1321" s="35" t="n"/>
      <c r="I1321" s="35" t="n"/>
      <c r="J1321" s="35" t="n"/>
      <c r="K1321" s="34" t="n"/>
      <c r="L1321" s="26">
        <f>IF(A1321="","",MONTH(A1321))</f>
        <v/>
      </c>
      <c r="M1321" s="26">
        <f>IF(A1321="","",YEAR(A1321))</f>
        <v/>
      </c>
      <c r="N1321" s="26">
        <f>IF(A1321="","",CHOOSE(WEEKDAY(A1321,2),"Segunda","Terça","Quarta","Quinta","Sexta","Sábado","Domingo"))</f>
        <v/>
      </c>
      <c r="O1321" s="26">
        <f>IF(B1321="","",IF(B1321&lt;TIME(12,0,0),"Manhã",IF(B1321&lt;TIME(18,0,0),"Tarde","Noite")))</f>
        <v/>
      </c>
      <c r="P1321" s="32">
        <f>IF(G1321="","",IFERROR(INDEX(Config!$I$5:$I$16,MATCH(G1321,Config!$H$5:$H$16,0)),0))</f>
        <v/>
      </c>
      <c r="Q1321" s="30">
        <f>IF(OR(H1321&lt;&gt;"Realizado",P1321="",P1321=0),"",A1321+P1321)</f>
        <v/>
      </c>
      <c r="R1321" s="26">
        <f>IF(Q1321="","",IF(COUNTIFS($E$5:$E$3004,E1321,$A$5:$A$3004,"&gt;"&amp;A1321,$H$5:$H$3004,"&lt;&gt;Falta",$H$5:$H$3004,"&lt;&gt;Cancelado",$H$5:$H$3004,"&lt;&gt;Remarcado")&gt;0,"Sim","Não"))</f>
        <v/>
      </c>
      <c r="S1321" s="32">
        <f>IF(R1321&lt;&gt;"Não","",IF(Q1321+Config!$B$9&lt;=Config!$B$8,Config!$B$8-Q1321,""))</f>
        <v/>
      </c>
      <c r="T1321" s="26">
        <f>IF(S1321="","","Sim")</f>
        <v/>
      </c>
      <c r="U1321" s="41">
        <f>IF(T1321="Sim",S1321+ROW()/100000,0)</f>
        <v>0</v>
      </c>
      <c r="V1321" s="41">
        <f>IF(AND(H1321="Falta",L1321=Config!$B$7,M1321=Config!$B$5,COUNTIFS($E$5:E1321,E1321,$H$5:H1321,"Falta",$L$5:L1321,Config!$B$7,$M$5:M1321,Config!$B$5)=1),COUNTIFS($E$5:$E$3004,E1321,$H$5:$H$3004,"Falta",$L$5:$L$3004,Config!$B$7,$M$5:$M$3004,Config!$B$5)*1000-ROW()/100000,0)</f>
        <v>0</v>
      </c>
    </row>
    <row r="1322">
      <c r="A1322" s="39" t="n"/>
      <c r="B1322" s="40" t="n"/>
      <c r="C1322" s="35" t="n"/>
      <c r="D1322" s="35" t="n"/>
      <c r="E1322" s="34" t="n"/>
      <c r="F1322" s="35" t="n"/>
      <c r="G1322" s="35" t="n"/>
      <c r="H1322" s="35" t="n"/>
      <c r="I1322" s="35" t="n"/>
      <c r="J1322" s="35" t="n"/>
      <c r="K1322" s="34" t="n"/>
      <c r="L1322" s="26">
        <f>IF(A1322="","",MONTH(A1322))</f>
        <v/>
      </c>
      <c r="M1322" s="26">
        <f>IF(A1322="","",YEAR(A1322))</f>
        <v/>
      </c>
      <c r="N1322" s="26">
        <f>IF(A1322="","",CHOOSE(WEEKDAY(A1322,2),"Segunda","Terça","Quarta","Quinta","Sexta","Sábado","Domingo"))</f>
        <v/>
      </c>
      <c r="O1322" s="26">
        <f>IF(B1322="","",IF(B1322&lt;TIME(12,0,0),"Manhã",IF(B1322&lt;TIME(18,0,0),"Tarde","Noite")))</f>
        <v/>
      </c>
      <c r="P1322" s="32">
        <f>IF(G1322="","",IFERROR(INDEX(Config!$I$5:$I$16,MATCH(G1322,Config!$H$5:$H$16,0)),0))</f>
        <v/>
      </c>
      <c r="Q1322" s="30">
        <f>IF(OR(H1322&lt;&gt;"Realizado",P1322="",P1322=0),"",A1322+P1322)</f>
        <v/>
      </c>
      <c r="R1322" s="26">
        <f>IF(Q1322="","",IF(COUNTIFS($E$5:$E$3004,E1322,$A$5:$A$3004,"&gt;"&amp;A1322,$H$5:$H$3004,"&lt;&gt;Falta",$H$5:$H$3004,"&lt;&gt;Cancelado",$H$5:$H$3004,"&lt;&gt;Remarcado")&gt;0,"Sim","Não"))</f>
        <v/>
      </c>
      <c r="S1322" s="32">
        <f>IF(R1322&lt;&gt;"Não","",IF(Q1322+Config!$B$9&lt;=Config!$B$8,Config!$B$8-Q1322,""))</f>
        <v/>
      </c>
      <c r="T1322" s="26">
        <f>IF(S1322="","","Sim")</f>
        <v/>
      </c>
      <c r="U1322" s="41">
        <f>IF(T1322="Sim",S1322+ROW()/100000,0)</f>
        <v>0</v>
      </c>
      <c r="V1322" s="41">
        <f>IF(AND(H1322="Falta",L1322=Config!$B$7,M1322=Config!$B$5,COUNTIFS($E$5:E1322,E1322,$H$5:H1322,"Falta",$L$5:L1322,Config!$B$7,$M$5:M1322,Config!$B$5)=1),COUNTIFS($E$5:$E$3004,E1322,$H$5:$H$3004,"Falta",$L$5:$L$3004,Config!$B$7,$M$5:$M$3004,Config!$B$5)*1000-ROW()/100000,0)</f>
        <v>0</v>
      </c>
    </row>
    <row r="1323">
      <c r="A1323" s="39" t="n"/>
      <c r="B1323" s="40" t="n"/>
      <c r="C1323" s="35" t="n"/>
      <c r="D1323" s="35" t="n"/>
      <c r="E1323" s="34" t="n"/>
      <c r="F1323" s="35" t="n"/>
      <c r="G1323" s="35" t="n"/>
      <c r="H1323" s="35" t="n"/>
      <c r="I1323" s="35" t="n"/>
      <c r="J1323" s="35" t="n"/>
      <c r="K1323" s="34" t="n"/>
      <c r="L1323" s="26">
        <f>IF(A1323="","",MONTH(A1323))</f>
        <v/>
      </c>
      <c r="M1323" s="26">
        <f>IF(A1323="","",YEAR(A1323))</f>
        <v/>
      </c>
      <c r="N1323" s="26">
        <f>IF(A1323="","",CHOOSE(WEEKDAY(A1323,2),"Segunda","Terça","Quarta","Quinta","Sexta","Sábado","Domingo"))</f>
        <v/>
      </c>
      <c r="O1323" s="26">
        <f>IF(B1323="","",IF(B1323&lt;TIME(12,0,0),"Manhã",IF(B1323&lt;TIME(18,0,0),"Tarde","Noite")))</f>
        <v/>
      </c>
      <c r="P1323" s="32">
        <f>IF(G1323="","",IFERROR(INDEX(Config!$I$5:$I$16,MATCH(G1323,Config!$H$5:$H$16,0)),0))</f>
        <v/>
      </c>
      <c r="Q1323" s="30">
        <f>IF(OR(H1323&lt;&gt;"Realizado",P1323="",P1323=0),"",A1323+P1323)</f>
        <v/>
      </c>
      <c r="R1323" s="26">
        <f>IF(Q1323="","",IF(COUNTIFS($E$5:$E$3004,E1323,$A$5:$A$3004,"&gt;"&amp;A1323,$H$5:$H$3004,"&lt;&gt;Falta",$H$5:$H$3004,"&lt;&gt;Cancelado",$H$5:$H$3004,"&lt;&gt;Remarcado")&gt;0,"Sim","Não"))</f>
        <v/>
      </c>
      <c r="S1323" s="32">
        <f>IF(R1323&lt;&gt;"Não","",IF(Q1323+Config!$B$9&lt;=Config!$B$8,Config!$B$8-Q1323,""))</f>
        <v/>
      </c>
      <c r="T1323" s="26">
        <f>IF(S1323="","","Sim")</f>
        <v/>
      </c>
      <c r="U1323" s="41">
        <f>IF(T1323="Sim",S1323+ROW()/100000,0)</f>
        <v>0</v>
      </c>
      <c r="V1323" s="41">
        <f>IF(AND(H1323="Falta",L1323=Config!$B$7,M1323=Config!$B$5,COUNTIFS($E$5:E1323,E1323,$H$5:H1323,"Falta",$L$5:L1323,Config!$B$7,$M$5:M1323,Config!$B$5)=1),COUNTIFS($E$5:$E$3004,E1323,$H$5:$H$3004,"Falta",$L$5:$L$3004,Config!$B$7,$M$5:$M$3004,Config!$B$5)*1000-ROW()/100000,0)</f>
        <v>0</v>
      </c>
    </row>
    <row r="1324">
      <c r="A1324" s="39" t="n"/>
      <c r="B1324" s="40" t="n"/>
      <c r="C1324" s="35" t="n"/>
      <c r="D1324" s="35" t="n"/>
      <c r="E1324" s="34" t="n"/>
      <c r="F1324" s="35" t="n"/>
      <c r="G1324" s="35" t="n"/>
      <c r="H1324" s="35" t="n"/>
      <c r="I1324" s="35" t="n"/>
      <c r="J1324" s="35" t="n"/>
      <c r="K1324" s="34" t="n"/>
      <c r="L1324" s="26">
        <f>IF(A1324="","",MONTH(A1324))</f>
        <v/>
      </c>
      <c r="M1324" s="26">
        <f>IF(A1324="","",YEAR(A1324))</f>
        <v/>
      </c>
      <c r="N1324" s="26">
        <f>IF(A1324="","",CHOOSE(WEEKDAY(A1324,2),"Segunda","Terça","Quarta","Quinta","Sexta","Sábado","Domingo"))</f>
        <v/>
      </c>
      <c r="O1324" s="26">
        <f>IF(B1324="","",IF(B1324&lt;TIME(12,0,0),"Manhã",IF(B1324&lt;TIME(18,0,0),"Tarde","Noite")))</f>
        <v/>
      </c>
      <c r="P1324" s="32">
        <f>IF(G1324="","",IFERROR(INDEX(Config!$I$5:$I$16,MATCH(G1324,Config!$H$5:$H$16,0)),0))</f>
        <v/>
      </c>
      <c r="Q1324" s="30">
        <f>IF(OR(H1324&lt;&gt;"Realizado",P1324="",P1324=0),"",A1324+P1324)</f>
        <v/>
      </c>
      <c r="R1324" s="26">
        <f>IF(Q1324="","",IF(COUNTIFS($E$5:$E$3004,E1324,$A$5:$A$3004,"&gt;"&amp;A1324,$H$5:$H$3004,"&lt;&gt;Falta",$H$5:$H$3004,"&lt;&gt;Cancelado",$H$5:$H$3004,"&lt;&gt;Remarcado")&gt;0,"Sim","Não"))</f>
        <v/>
      </c>
      <c r="S1324" s="32">
        <f>IF(R1324&lt;&gt;"Não","",IF(Q1324+Config!$B$9&lt;=Config!$B$8,Config!$B$8-Q1324,""))</f>
        <v/>
      </c>
      <c r="T1324" s="26">
        <f>IF(S1324="","","Sim")</f>
        <v/>
      </c>
      <c r="U1324" s="41">
        <f>IF(T1324="Sim",S1324+ROW()/100000,0)</f>
        <v>0</v>
      </c>
      <c r="V1324" s="41">
        <f>IF(AND(H1324="Falta",L1324=Config!$B$7,M1324=Config!$B$5,COUNTIFS($E$5:E1324,E1324,$H$5:H1324,"Falta",$L$5:L1324,Config!$B$7,$M$5:M1324,Config!$B$5)=1),COUNTIFS($E$5:$E$3004,E1324,$H$5:$H$3004,"Falta",$L$5:$L$3004,Config!$B$7,$M$5:$M$3004,Config!$B$5)*1000-ROW()/100000,0)</f>
        <v>0</v>
      </c>
    </row>
    <row r="1325">
      <c r="A1325" s="39" t="n"/>
      <c r="B1325" s="40" t="n"/>
      <c r="C1325" s="35" t="n"/>
      <c r="D1325" s="35" t="n"/>
      <c r="E1325" s="34" t="n"/>
      <c r="F1325" s="35" t="n"/>
      <c r="G1325" s="35" t="n"/>
      <c r="H1325" s="35" t="n"/>
      <c r="I1325" s="35" t="n"/>
      <c r="J1325" s="35" t="n"/>
      <c r="K1325" s="34" t="n"/>
      <c r="L1325" s="26">
        <f>IF(A1325="","",MONTH(A1325))</f>
        <v/>
      </c>
      <c r="M1325" s="26">
        <f>IF(A1325="","",YEAR(A1325))</f>
        <v/>
      </c>
      <c r="N1325" s="26">
        <f>IF(A1325="","",CHOOSE(WEEKDAY(A1325,2),"Segunda","Terça","Quarta","Quinta","Sexta","Sábado","Domingo"))</f>
        <v/>
      </c>
      <c r="O1325" s="26">
        <f>IF(B1325="","",IF(B1325&lt;TIME(12,0,0),"Manhã",IF(B1325&lt;TIME(18,0,0),"Tarde","Noite")))</f>
        <v/>
      </c>
      <c r="P1325" s="32">
        <f>IF(G1325="","",IFERROR(INDEX(Config!$I$5:$I$16,MATCH(G1325,Config!$H$5:$H$16,0)),0))</f>
        <v/>
      </c>
      <c r="Q1325" s="30">
        <f>IF(OR(H1325&lt;&gt;"Realizado",P1325="",P1325=0),"",A1325+P1325)</f>
        <v/>
      </c>
      <c r="R1325" s="26">
        <f>IF(Q1325="","",IF(COUNTIFS($E$5:$E$3004,E1325,$A$5:$A$3004,"&gt;"&amp;A1325,$H$5:$H$3004,"&lt;&gt;Falta",$H$5:$H$3004,"&lt;&gt;Cancelado",$H$5:$H$3004,"&lt;&gt;Remarcado")&gt;0,"Sim","Não"))</f>
        <v/>
      </c>
      <c r="S1325" s="32">
        <f>IF(R1325&lt;&gt;"Não","",IF(Q1325+Config!$B$9&lt;=Config!$B$8,Config!$B$8-Q1325,""))</f>
        <v/>
      </c>
      <c r="T1325" s="26">
        <f>IF(S1325="","","Sim")</f>
        <v/>
      </c>
      <c r="U1325" s="41">
        <f>IF(T1325="Sim",S1325+ROW()/100000,0)</f>
        <v>0</v>
      </c>
      <c r="V1325" s="41">
        <f>IF(AND(H1325="Falta",L1325=Config!$B$7,M1325=Config!$B$5,COUNTIFS($E$5:E1325,E1325,$H$5:H1325,"Falta",$L$5:L1325,Config!$B$7,$M$5:M1325,Config!$B$5)=1),COUNTIFS($E$5:$E$3004,E1325,$H$5:$H$3004,"Falta",$L$5:$L$3004,Config!$B$7,$M$5:$M$3004,Config!$B$5)*1000-ROW()/100000,0)</f>
        <v>0</v>
      </c>
    </row>
    <row r="1326">
      <c r="A1326" s="39" t="n"/>
      <c r="B1326" s="40" t="n"/>
      <c r="C1326" s="35" t="n"/>
      <c r="D1326" s="35" t="n"/>
      <c r="E1326" s="34" t="n"/>
      <c r="F1326" s="35" t="n"/>
      <c r="G1326" s="35" t="n"/>
      <c r="H1326" s="35" t="n"/>
      <c r="I1326" s="35" t="n"/>
      <c r="J1326" s="35" t="n"/>
      <c r="K1326" s="34" t="n"/>
      <c r="L1326" s="26">
        <f>IF(A1326="","",MONTH(A1326))</f>
        <v/>
      </c>
      <c r="M1326" s="26">
        <f>IF(A1326="","",YEAR(A1326))</f>
        <v/>
      </c>
      <c r="N1326" s="26">
        <f>IF(A1326="","",CHOOSE(WEEKDAY(A1326,2),"Segunda","Terça","Quarta","Quinta","Sexta","Sábado","Domingo"))</f>
        <v/>
      </c>
      <c r="O1326" s="26">
        <f>IF(B1326="","",IF(B1326&lt;TIME(12,0,0),"Manhã",IF(B1326&lt;TIME(18,0,0),"Tarde","Noite")))</f>
        <v/>
      </c>
      <c r="P1326" s="32">
        <f>IF(G1326="","",IFERROR(INDEX(Config!$I$5:$I$16,MATCH(G1326,Config!$H$5:$H$16,0)),0))</f>
        <v/>
      </c>
      <c r="Q1326" s="30">
        <f>IF(OR(H1326&lt;&gt;"Realizado",P1326="",P1326=0),"",A1326+P1326)</f>
        <v/>
      </c>
      <c r="R1326" s="26">
        <f>IF(Q1326="","",IF(COUNTIFS($E$5:$E$3004,E1326,$A$5:$A$3004,"&gt;"&amp;A1326,$H$5:$H$3004,"&lt;&gt;Falta",$H$5:$H$3004,"&lt;&gt;Cancelado",$H$5:$H$3004,"&lt;&gt;Remarcado")&gt;0,"Sim","Não"))</f>
        <v/>
      </c>
      <c r="S1326" s="32">
        <f>IF(R1326&lt;&gt;"Não","",IF(Q1326+Config!$B$9&lt;=Config!$B$8,Config!$B$8-Q1326,""))</f>
        <v/>
      </c>
      <c r="T1326" s="26">
        <f>IF(S1326="","","Sim")</f>
        <v/>
      </c>
      <c r="U1326" s="41">
        <f>IF(T1326="Sim",S1326+ROW()/100000,0)</f>
        <v>0</v>
      </c>
      <c r="V1326" s="41">
        <f>IF(AND(H1326="Falta",L1326=Config!$B$7,M1326=Config!$B$5,COUNTIFS($E$5:E1326,E1326,$H$5:H1326,"Falta",$L$5:L1326,Config!$B$7,$M$5:M1326,Config!$B$5)=1),COUNTIFS($E$5:$E$3004,E1326,$H$5:$H$3004,"Falta",$L$5:$L$3004,Config!$B$7,$M$5:$M$3004,Config!$B$5)*1000-ROW()/100000,0)</f>
        <v>0</v>
      </c>
    </row>
    <row r="1327">
      <c r="A1327" s="39" t="n"/>
      <c r="B1327" s="40" t="n"/>
      <c r="C1327" s="35" t="n"/>
      <c r="D1327" s="35" t="n"/>
      <c r="E1327" s="34" t="n"/>
      <c r="F1327" s="35" t="n"/>
      <c r="G1327" s="35" t="n"/>
      <c r="H1327" s="35" t="n"/>
      <c r="I1327" s="35" t="n"/>
      <c r="J1327" s="35" t="n"/>
      <c r="K1327" s="34" t="n"/>
      <c r="L1327" s="26">
        <f>IF(A1327="","",MONTH(A1327))</f>
        <v/>
      </c>
      <c r="M1327" s="26">
        <f>IF(A1327="","",YEAR(A1327))</f>
        <v/>
      </c>
      <c r="N1327" s="26">
        <f>IF(A1327="","",CHOOSE(WEEKDAY(A1327,2),"Segunda","Terça","Quarta","Quinta","Sexta","Sábado","Domingo"))</f>
        <v/>
      </c>
      <c r="O1327" s="26">
        <f>IF(B1327="","",IF(B1327&lt;TIME(12,0,0),"Manhã",IF(B1327&lt;TIME(18,0,0),"Tarde","Noite")))</f>
        <v/>
      </c>
      <c r="P1327" s="32">
        <f>IF(G1327="","",IFERROR(INDEX(Config!$I$5:$I$16,MATCH(G1327,Config!$H$5:$H$16,0)),0))</f>
        <v/>
      </c>
      <c r="Q1327" s="30">
        <f>IF(OR(H1327&lt;&gt;"Realizado",P1327="",P1327=0),"",A1327+P1327)</f>
        <v/>
      </c>
      <c r="R1327" s="26">
        <f>IF(Q1327="","",IF(COUNTIFS($E$5:$E$3004,E1327,$A$5:$A$3004,"&gt;"&amp;A1327,$H$5:$H$3004,"&lt;&gt;Falta",$H$5:$H$3004,"&lt;&gt;Cancelado",$H$5:$H$3004,"&lt;&gt;Remarcado")&gt;0,"Sim","Não"))</f>
        <v/>
      </c>
      <c r="S1327" s="32">
        <f>IF(R1327&lt;&gt;"Não","",IF(Q1327+Config!$B$9&lt;=Config!$B$8,Config!$B$8-Q1327,""))</f>
        <v/>
      </c>
      <c r="T1327" s="26">
        <f>IF(S1327="","","Sim")</f>
        <v/>
      </c>
      <c r="U1327" s="41">
        <f>IF(T1327="Sim",S1327+ROW()/100000,0)</f>
        <v>0</v>
      </c>
      <c r="V1327" s="41">
        <f>IF(AND(H1327="Falta",L1327=Config!$B$7,M1327=Config!$B$5,COUNTIFS($E$5:E1327,E1327,$H$5:H1327,"Falta",$L$5:L1327,Config!$B$7,$M$5:M1327,Config!$B$5)=1),COUNTIFS($E$5:$E$3004,E1327,$H$5:$H$3004,"Falta",$L$5:$L$3004,Config!$B$7,$M$5:$M$3004,Config!$B$5)*1000-ROW()/100000,0)</f>
        <v>0</v>
      </c>
    </row>
    <row r="1328">
      <c r="A1328" s="39" t="n"/>
      <c r="B1328" s="40" t="n"/>
      <c r="C1328" s="35" t="n"/>
      <c r="D1328" s="35" t="n"/>
      <c r="E1328" s="34" t="n"/>
      <c r="F1328" s="35" t="n"/>
      <c r="G1328" s="35" t="n"/>
      <c r="H1328" s="35" t="n"/>
      <c r="I1328" s="35" t="n"/>
      <c r="J1328" s="35" t="n"/>
      <c r="K1328" s="34" t="n"/>
      <c r="L1328" s="26">
        <f>IF(A1328="","",MONTH(A1328))</f>
        <v/>
      </c>
      <c r="M1328" s="26">
        <f>IF(A1328="","",YEAR(A1328))</f>
        <v/>
      </c>
      <c r="N1328" s="26">
        <f>IF(A1328="","",CHOOSE(WEEKDAY(A1328,2),"Segunda","Terça","Quarta","Quinta","Sexta","Sábado","Domingo"))</f>
        <v/>
      </c>
      <c r="O1328" s="26">
        <f>IF(B1328="","",IF(B1328&lt;TIME(12,0,0),"Manhã",IF(B1328&lt;TIME(18,0,0),"Tarde","Noite")))</f>
        <v/>
      </c>
      <c r="P1328" s="32">
        <f>IF(G1328="","",IFERROR(INDEX(Config!$I$5:$I$16,MATCH(G1328,Config!$H$5:$H$16,0)),0))</f>
        <v/>
      </c>
      <c r="Q1328" s="30">
        <f>IF(OR(H1328&lt;&gt;"Realizado",P1328="",P1328=0),"",A1328+P1328)</f>
        <v/>
      </c>
      <c r="R1328" s="26">
        <f>IF(Q1328="","",IF(COUNTIFS($E$5:$E$3004,E1328,$A$5:$A$3004,"&gt;"&amp;A1328,$H$5:$H$3004,"&lt;&gt;Falta",$H$5:$H$3004,"&lt;&gt;Cancelado",$H$5:$H$3004,"&lt;&gt;Remarcado")&gt;0,"Sim","Não"))</f>
        <v/>
      </c>
      <c r="S1328" s="32">
        <f>IF(R1328&lt;&gt;"Não","",IF(Q1328+Config!$B$9&lt;=Config!$B$8,Config!$B$8-Q1328,""))</f>
        <v/>
      </c>
      <c r="T1328" s="26">
        <f>IF(S1328="","","Sim")</f>
        <v/>
      </c>
      <c r="U1328" s="41">
        <f>IF(T1328="Sim",S1328+ROW()/100000,0)</f>
        <v>0</v>
      </c>
      <c r="V1328" s="41">
        <f>IF(AND(H1328="Falta",L1328=Config!$B$7,M1328=Config!$B$5,COUNTIFS($E$5:E1328,E1328,$H$5:H1328,"Falta",$L$5:L1328,Config!$B$7,$M$5:M1328,Config!$B$5)=1),COUNTIFS($E$5:$E$3004,E1328,$H$5:$H$3004,"Falta",$L$5:$L$3004,Config!$B$7,$M$5:$M$3004,Config!$B$5)*1000-ROW()/100000,0)</f>
        <v>0</v>
      </c>
    </row>
    <row r="1329">
      <c r="A1329" s="39" t="n"/>
      <c r="B1329" s="40" t="n"/>
      <c r="C1329" s="35" t="n"/>
      <c r="D1329" s="35" t="n"/>
      <c r="E1329" s="34" t="n"/>
      <c r="F1329" s="35" t="n"/>
      <c r="G1329" s="35" t="n"/>
      <c r="H1329" s="35" t="n"/>
      <c r="I1329" s="35" t="n"/>
      <c r="J1329" s="35" t="n"/>
      <c r="K1329" s="34" t="n"/>
      <c r="L1329" s="26">
        <f>IF(A1329="","",MONTH(A1329))</f>
        <v/>
      </c>
      <c r="M1329" s="26">
        <f>IF(A1329="","",YEAR(A1329))</f>
        <v/>
      </c>
      <c r="N1329" s="26">
        <f>IF(A1329="","",CHOOSE(WEEKDAY(A1329,2),"Segunda","Terça","Quarta","Quinta","Sexta","Sábado","Domingo"))</f>
        <v/>
      </c>
      <c r="O1329" s="26">
        <f>IF(B1329="","",IF(B1329&lt;TIME(12,0,0),"Manhã",IF(B1329&lt;TIME(18,0,0),"Tarde","Noite")))</f>
        <v/>
      </c>
      <c r="P1329" s="32">
        <f>IF(G1329="","",IFERROR(INDEX(Config!$I$5:$I$16,MATCH(G1329,Config!$H$5:$H$16,0)),0))</f>
        <v/>
      </c>
      <c r="Q1329" s="30">
        <f>IF(OR(H1329&lt;&gt;"Realizado",P1329="",P1329=0),"",A1329+P1329)</f>
        <v/>
      </c>
      <c r="R1329" s="26">
        <f>IF(Q1329="","",IF(COUNTIFS($E$5:$E$3004,E1329,$A$5:$A$3004,"&gt;"&amp;A1329,$H$5:$H$3004,"&lt;&gt;Falta",$H$5:$H$3004,"&lt;&gt;Cancelado",$H$5:$H$3004,"&lt;&gt;Remarcado")&gt;0,"Sim","Não"))</f>
        <v/>
      </c>
      <c r="S1329" s="32">
        <f>IF(R1329&lt;&gt;"Não","",IF(Q1329+Config!$B$9&lt;=Config!$B$8,Config!$B$8-Q1329,""))</f>
        <v/>
      </c>
      <c r="T1329" s="26">
        <f>IF(S1329="","","Sim")</f>
        <v/>
      </c>
      <c r="U1329" s="41">
        <f>IF(T1329="Sim",S1329+ROW()/100000,0)</f>
        <v>0</v>
      </c>
      <c r="V1329" s="41">
        <f>IF(AND(H1329="Falta",L1329=Config!$B$7,M1329=Config!$B$5,COUNTIFS($E$5:E1329,E1329,$H$5:H1329,"Falta",$L$5:L1329,Config!$B$7,$M$5:M1329,Config!$B$5)=1),COUNTIFS($E$5:$E$3004,E1329,$H$5:$H$3004,"Falta",$L$5:$L$3004,Config!$B$7,$M$5:$M$3004,Config!$B$5)*1000-ROW()/100000,0)</f>
        <v>0</v>
      </c>
    </row>
    <row r="1330">
      <c r="A1330" s="39" t="n"/>
      <c r="B1330" s="40" t="n"/>
      <c r="C1330" s="35" t="n"/>
      <c r="D1330" s="35" t="n"/>
      <c r="E1330" s="34" t="n"/>
      <c r="F1330" s="35" t="n"/>
      <c r="G1330" s="35" t="n"/>
      <c r="H1330" s="35" t="n"/>
      <c r="I1330" s="35" t="n"/>
      <c r="J1330" s="35" t="n"/>
      <c r="K1330" s="34" t="n"/>
      <c r="L1330" s="26">
        <f>IF(A1330="","",MONTH(A1330))</f>
        <v/>
      </c>
      <c r="M1330" s="26">
        <f>IF(A1330="","",YEAR(A1330))</f>
        <v/>
      </c>
      <c r="N1330" s="26">
        <f>IF(A1330="","",CHOOSE(WEEKDAY(A1330,2),"Segunda","Terça","Quarta","Quinta","Sexta","Sábado","Domingo"))</f>
        <v/>
      </c>
      <c r="O1330" s="26">
        <f>IF(B1330="","",IF(B1330&lt;TIME(12,0,0),"Manhã",IF(B1330&lt;TIME(18,0,0),"Tarde","Noite")))</f>
        <v/>
      </c>
      <c r="P1330" s="32">
        <f>IF(G1330="","",IFERROR(INDEX(Config!$I$5:$I$16,MATCH(G1330,Config!$H$5:$H$16,0)),0))</f>
        <v/>
      </c>
      <c r="Q1330" s="30">
        <f>IF(OR(H1330&lt;&gt;"Realizado",P1330="",P1330=0),"",A1330+P1330)</f>
        <v/>
      </c>
      <c r="R1330" s="26">
        <f>IF(Q1330="","",IF(COUNTIFS($E$5:$E$3004,E1330,$A$5:$A$3004,"&gt;"&amp;A1330,$H$5:$H$3004,"&lt;&gt;Falta",$H$5:$H$3004,"&lt;&gt;Cancelado",$H$5:$H$3004,"&lt;&gt;Remarcado")&gt;0,"Sim","Não"))</f>
        <v/>
      </c>
      <c r="S1330" s="32">
        <f>IF(R1330&lt;&gt;"Não","",IF(Q1330+Config!$B$9&lt;=Config!$B$8,Config!$B$8-Q1330,""))</f>
        <v/>
      </c>
      <c r="T1330" s="26">
        <f>IF(S1330="","","Sim")</f>
        <v/>
      </c>
      <c r="U1330" s="41">
        <f>IF(T1330="Sim",S1330+ROW()/100000,0)</f>
        <v>0</v>
      </c>
      <c r="V1330" s="41">
        <f>IF(AND(H1330="Falta",L1330=Config!$B$7,M1330=Config!$B$5,COUNTIFS($E$5:E1330,E1330,$H$5:H1330,"Falta",$L$5:L1330,Config!$B$7,$M$5:M1330,Config!$B$5)=1),COUNTIFS($E$5:$E$3004,E1330,$H$5:$H$3004,"Falta",$L$5:$L$3004,Config!$B$7,$M$5:$M$3004,Config!$B$5)*1000-ROW()/100000,0)</f>
        <v>0</v>
      </c>
    </row>
    <row r="1331">
      <c r="A1331" s="39" t="n"/>
      <c r="B1331" s="40" t="n"/>
      <c r="C1331" s="35" t="n"/>
      <c r="D1331" s="35" t="n"/>
      <c r="E1331" s="34" t="n"/>
      <c r="F1331" s="35" t="n"/>
      <c r="G1331" s="35" t="n"/>
      <c r="H1331" s="35" t="n"/>
      <c r="I1331" s="35" t="n"/>
      <c r="J1331" s="35" t="n"/>
      <c r="K1331" s="34" t="n"/>
      <c r="L1331" s="26">
        <f>IF(A1331="","",MONTH(A1331))</f>
        <v/>
      </c>
      <c r="M1331" s="26">
        <f>IF(A1331="","",YEAR(A1331))</f>
        <v/>
      </c>
      <c r="N1331" s="26">
        <f>IF(A1331="","",CHOOSE(WEEKDAY(A1331,2),"Segunda","Terça","Quarta","Quinta","Sexta","Sábado","Domingo"))</f>
        <v/>
      </c>
      <c r="O1331" s="26">
        <f>IF(B1331="","",IF(B1331&lt;TIME(12,0,0),"Manhã",IF(B1331&lt;TIME(18,0,0),"Tarde","Noite")))</f>
        <v/>
      </c>
      <c r="P1331" s="32">
        <f>IF(G1331="","",IFERROR(INDEX(Config!$I$5:$I$16,MATCH(G1331,Config!$H$5:$H$16,0)),0))</f>
        <v/>
      </c>
      <c r="Q1331" s="30">
        <f>IF(OR(H1331&lt;&gt;"Realizado",P1331="",P1331=0),"",A1331+P1331)</f>
        <v/>
      </c>
      <c r="R1331" s="26">
        <f>IF(Q1331="","",IF(COUNTIFS($E$5:$E$3004,E1331,$A$5:$A$3004,"&gt;"&amp;A1331,$H$5:$H$3004,"&lt;&gt;Falta",$H$5:$H$3004,"&lt;&gt;Cancelado",$H$5:$H$3004,"&lt;&gt;Remarcado")&gt;0,"Sim","Não"))</f>
        <v/>
      </c>
      <c r="S1331" s="32">
        <f>IF(R1331&lt;&gt;"Não","",IF(Q1331+Config!$B$9&lt;=Config!$B$8,Config!$B$8-Q1331,""))</f>
        <v/>
      </c>
      <c r="T1331" s="26">
        <f>IF(S1331="","","Sim")</f>
        <v/>
      </c>
      <c r="U1331" s="41">
        <f>IF(T1331="Sim",S1331+ROW()/100000,0)</f>
        <v>0</v>
      </c>
      <c r="V1331" s="41">
        <f>IF(AND(H1331="Falta",L1331=Config!$B$7,M1331=Config!$B$5,COUNTIFS($E$5:E1331,E1331,$H$5:H1331,"Falta",$L$5:L1331,Config!$B$7,$M$5:M1331,Config!$B$5)=1),COUNTIFS($E$5:$E$3004,E1331,$H$5:$H$3004,"Falta",$L$5:$L$3004,Config!$B$7,$M$5:$M$3004,Config!$B$5)*1000-ROW()/100000,0)</f>
        <v>0</v>
      </c>
    </row>
    <row r="1332">
      <c r="A1332" s="39" t="n"/>
      <c r="B1332" s="40" t="n"/>
      <c r="C1332" s="35" t="n"/>
      <c r="D1332" s="35" t="n"/>
      <c r="E1332" s="34" t="n"/>
      <c r="F1332" s="35" t="n"/>
      <c r="G1332" s="35" t="n"/>
      <c r="H1332" s="35" t="n"/>
      <c r="I1332" s="35" t="n"/>
      <c r="J1332" s="35" t="n"/>
      <c r="K1332" s="34" t="n"/>
      <c r="L1332" s="26">
        <f>IF(A1332="","",MONTH(A1332))</f>
        <v/>
      </c>
      <c r="M1332" s="26">
        <f>IF(A1332="","",YEAR(A1332))</f>
        <v/>
      </c>
      <c r="N1332" s="26">
        <f>IF(A1332="","",CHOOSE(WEEKDAY(A1332,2),"Segunda","Terça","Quarta","Quinta","Sexta","Sábado","Domingo"))</f>
        <v/>
      </c>
      <c r="O1332" s="26">
        <f>IF(B1332="","",IF(B1332&lt;TIME(12,0,0),"Manhã",IF(B1332&lt;TIME(18,0,0),"Tarde","Noite")))</f>
        <v/>
      </c>
      <c r="P1332" s="32">
        <f>IF(G1332="","",IFERROR(INDEX(Config!$I$5:$I$16,MATCH(G1332,Config!$H$5:$H$16,0)),0))</f>
        <v/>
      </c>
      <c r="Q1332" s="30">
        <f>IF(OR(H1332&lt;&gt;"Realizado",P1332="",P1332=0),"",A1332+P1332)</f>
        <v/>
      </c>
      <c r="R1332" s="26">
        <f>IF(Q1332="","",IF(COUNTIFS($E$5:$E$3004,E1332,$A$5:$A$3004,"&gt;"&amp;A1332,$H$5:$H$3004,"&lt;&gt;Falta",$H$5:$H$3004,"&lt;&gt;Cancelado",$H$5:$H$3004,"&lt;&gt;Remarcado")&gt;0,"Sim","Não"))</f>
        <v/>
      </c>
      <c r="S1332" s="32">
        <f>IF(R1332&lt;&gt;"Não","",IF(Q1332+Config!$B$9&lt;=Config!$B$8,Config!$B$8-Q1332,""))</f>
        <v/>
      </c>
      <c r="T1332" s="26">
        <f>IF(S1332="","","Sim")</f>
        <v/>
      </c>
      <c r="U1332" s="41">
        <f>IF(T1332="Sim",S1332+ROW()/100000,0)</f>
        <v>0</v>
      </c>
      <c r="V1332" s="41">
        <f>IF(AND(H1332="Falta",L1332=Config!$B$7,M1332=Config!$B$5,COUNTIFS($E$5:E1332,E1332,$H$5:H1332,"Falta",$L$5:L1332,Config!$B$7,$M$5:M1332,Config!$B$5)=1),COUNTIFS($E$5:$E$3004,E1332,$H$5:$H$3004,"Falta",$L$5:$L$3004,Config!$B$7,$M$5:$M$3004,Config!$B$5)*1000-ROW()/100000,0)</f>
        <v>0</v>
      </c>
    </row>
    <row r="1333">
      <c r="A1333" s="39" t="n"/>
      <c r="B1333" s="40" t="n"/>
      <c r="C1333" s="35" t="n"/>
      <c r="D1333" s="35" t="n"/>
      <c r="E1333" s="34" t="n"/>
      <c r="F1333" s="35" t="n"/>
      <c r="G1333" s="35" t="n"/>
      <c r="H1333" s="35" t="n"/>
      <c r="I1333" s="35" t="n"/>
      <c r="J1333" s="35" t="n"/>
      <c r="K1333" s="34" t="n"/>
      <c r="L1333" s="26">
        <f>IF(A1333="","",MONTH(A1333))</f>
        <v/>
      </c>
      <c r="M1333" s="26">
        <f>IF(A1333="","",YEAR(A1333))</f>
        <v/>
      </c>
      <c r="N1333" s="26">
        <f>IF(A1333="","",CHOOSE(WEEKDAY(A1333,2),"Segunda","Terça","Quarta","Quinta","Sexta","Sábado","Domingo"))</f>
        <v/>
      </c>
      <c r="O1333" s="26">
        <f>IF(B1333="","",IF(B1333&lt;TIME(12,0,0),"Manhã",IF(B1333&lt;TIME(18,0,0),"Tarde","Noite")))</f>
        <v/>
      </c>
      <c r="P1333" s="32">
        <f>IF(G1333="","",IFERROR(INDEX(Config!$I$5:$I$16,MATCH(G1333,Config!$H$5:$H$16,0)),0))</f>
        <v/>
      </c>
      <c r="Q1333" s="30">
        <f>IF(OR(H1333&lt;&gt;"Realizado",P1333="",P1333=0),"",A1333+P1333)</f>
        <v/>
      </c>
      <c r="R1333" s="26">
        <f>IF(Q1333="","",IF(COUNTIFS($E$5:$E$3004,E1333,$A$5:$A$3004,"&gt;"&amp;A1333,$H$5:$H$3004,"&lt;&gt;Falta",$H$5:$H$3004,"&lt;&gt;Cancelado",$H$5:$H$3004,"&lt;&gt;Remarcado")&gt;0,"Sim","Não"))</f>
        <v/>
      </c>
      <c r="S1333" s="32">
        <f>IF(R1333&lt;&gt;"Não","",IF(Q1333+Config!$B$9&lt;=Config!$B$8,Config!$B$8-Q1333,""))</f>
        <v/>
      </c>
      <c r="T1333" s="26">
        <f>IF(S1333="","","Sim")</f>
        <v/>
      </c>
      <c r="U1333" s="41">
        <f>IF(T1333="Sim",S1333+ROW()/100000,0)</f>
        <v>0</v>
      </c>
      <c r="V1333" s="41">
        <f>IF(AND(H1333="Falta",L1333=Config!$B$7,M1333=Config!$B$5,COUNTIFS($E$5:E1333,E1333,$H$5:H1333,"Falta",$L$5:L1333,Config!$B$7,$M$5:M1333,Config!$B$5)=1),COUNTIFS($E$5:$E$3004,E1333,$H$5:$H$3004,"Falta",$L$5:$L$3004,Config!$B$7,$M$5:$M$3004,Config!$B$5)*1000-ROW()/100000,0)</f>
        <v>0</v>
      </c>
    </row>
    <row r="1334">
      <c r="A1334" s="39" t="n"/>
      <c r="B1334" s="40" t="n"/>
      <c r="C1334" s="35" t="n"/>
      <c r="D1334" s="35" t="n"/>
      <c r="E1334" s="34" t="n"/>
      <c r="F1334" s="35" t="n"/>
      <c r="G1334" s="35" t="n"/>
      <c r="H1334" s="35" t="n"/>
      <c r="I1334" s="35" t="n"/>
      <c r="J1334" s="35" t="n"/>
      <c r="K1334" s="34" t="n"/>
      <c r="L1334" s="26">
        <f>IF(A1334="","",MONTH(A1334))</f>
        <v/>
      </c>
      <c r="M1334" s="26">
        <f>IF(A1334="","",YEAR(A1334))</f>
        <v/>
      </c>
      <c r="N1334" s="26">
        <f>IF(A1334="","",CHOOSE(WEEKDAY(A1334,2),"Segunda","Terça","Quarta","Quinta","Sexta","Sábado","Domingo"))</f>
        <v/>
      </c>
      <c r="O1334" s="26">
        <f>IF(B1334="","",IF(B1334&lt;TIME(12,0,0),"Manhã",IF(B1334&lt;TIME(18,0,0),"Tarde","Noite")))</f>
        <v/>
      </c>
      <c r="P1334" s="32">
        <f>IF(G1334="","",IFERROR(INDEX(Config!$I$5:$I$16,MATCH(G1334,Config!$H$5:$H$16,0)),0))</f>
        <v/>
      </c>
      <c r="Q1334" s="30">
        <f>IF(OR(H1334&lt;&gt;"Realizado",P1334="",P1334=0),"",A1334+P1334)</f>
        <v/>
      </c>
      <c r="R1334" s="26">
        <f>IF(Q1334="","",IF(COUNTIFS($E$5:$E$3004,E1334,$A$5:$A$3004,"&gt;"&amp;A1334,$H$5:$H$3004,"&lt;&gt;Falta",$H$5:$H$3004,"&lt;&gt;Cancelado",$H$5:$H$3004,"&lt;&gt;Remarcado")&gt;0,"Sim","Não"))</f>
        <v/>
      </c>
      <c r="S1334" s="32">
        <f>IF(R1334&lt;&gt;"Não","",IF(Q1334+Config!$B$9&lt;=Config!$B$8,Config!$B$8-Q1334,""))</f>
        <v/>
      </c>
      <c r="T1334" s="26">
        <f>IF(S1334="","","Sim")</f>
        <v/>
      </c>
      <c r="U1334" s="41">
        <f>IF(T1334="Sim",S1334+ROW()/100000,0)</f>
        <v>0</v>
      </c>
      <c r="V1334" s="41">
        <f>IF(AND(H1334="Falta",L1334=Config!$B$7,M1334=Config!$B$5,COUNTIFS($E$5:E1334,E1334,$H$5:H1334,"Falta",$L$5:L1334,Config!$B$7,$M$5:M1334,Config!$B$5)=1),COUNTIFS($E$5:$E$3004,E1334,$H$5:$H$3004,"Falta",$L$5:$L$3004,Config!$B$7,$M$5:$M$3004,Config!$B$5)*1000-ROW()/100000,0)</f>
        <v>0</v>
      </c>
    </row>
    <row r="1335">
      <c r="A1335" s="39" t="n"/>
      <c r="B1335" s="40" t="n"/>
      <c r="C1335" s="35" t="n"/>
      <c r="D1335" s="35" t="n"/>
      <c r="E1335" s="34" t="n"/>
      <c r="F1335" s="35" t="n"/>
      <c r="G1335" s="35" t="n"/>
      <c r="H1335" s="35" t="n"/>
      <c r="I1335" s="35" t="n"/>
      <c r="J1335" s="35" t="n"/>
      <c r="K1335" s="34" t="n"/>
      <c r="L1335" s="26">
        <f>IF(A1335="","",MONTH(A1335))</f>
        <v/>
      </c>
      <c r="M1335" s="26">
        <f>IF(A1335="","",YEAR(A1335))</f>
        <v/>
      </c>
      <c r="N1335" s="26">
        <f>IF(A1335="","",CHOOSE(WEEKDAY(A1335,2),"Segunda","Terça","Quarta","Quinta","Sexta","Sábado","Domingo"))</f>
        <v/>
      </c>
      <c r="O1335" s="26">
        <f>IF(B1335="","",IF(B1335&lt;TIME(12,0,0),"Manhã",IF(B1335&lt;TIME(18,0,0),"Tarde","Noite")))</f>
        <v/>
      </c>
      <c r="P1335" s="32">
        <f>IF(G1335="","",IFERROR(INDEX(Config!$I$5:$I$16,MATCH(G1335,Config!$H$5:$H$16,0)),0))</f>
        <v/>
      </c>
      <c r="Q1335" s="30">
        <f>IF(OR(H1335&lt;&gt;"Realizado",P1335="",P1335=0),"",A1335+P1335)</f>
        <v/>
      </c>
      <c r="R1335" s="26">
        <f>IF(Q1335="","",IF(COUNTIFS($E$5:$E$3004,E1335,$A$5:$A$3004,"&gt;"&amp;A1335,$H$5:$H$3004,"&lt;&gt;Falta",$H$5:$H$3004,"&lt;&gt;Cancelado",$H$5:$H$3004,"&lt;&gt;Remarcado")&gt;0,"Sim","Não"))</f>
        <v/>
      </c>
      <c r="S1335" s="32">
        <f>IF(R1335&lt;&gt;"Não","",IF(Q1335+Config!$B$9&lt;=Config!$B$8,Config!$B$8-Q1335,""))</f>
        <v/>
      </c>
      <c r="T1335" s="26">
        <f>IF(S1335="","","Sim")</f>
        <v/>
      </c>
      <c r="U1335" s="41">
        <f>IF(T1335="Sim",S1335+ROW()/100000,0)</f>
        <v>0</v>
      </c>
      <c r="V1335" s="41">
        <f>IF(AND(H1335="Falta",L1335=Config!$B$7,M1335=Config!$B$5,COUNTIFS($E$5:E1335,E1335,$H$5:H1335,"Falta",$L$5:L1335,Config!$B$7,$M$5:M1335,Config!$B$5)=1),COUNTIFS($E$5:$E$3004,E1335,$H$5:$H$3004,"Falta",$L$5:$L$3004,Config!$B$7,$M$5:$M$3004,Config!$B$5)*1000-ROW()/100000,0)</f>
        <v>0</v>
      </c>
    </row>
    <row r="1336">
      <c r="A1336" s="39" t="n"/>
      <c r="B1336" s="40" t="n"/>
      <c r="C1336" s="35" t="n"/>
      <c r="D1336" s="35" t="n"/>
      <c r="E1336" s="34" t="n"/>
      <c r="F1336" s="35" t="n"/>
      <c r="G1336" s="35" t="n"/>
      <c r="H1336" s="35" t="n"/>
      <c r="I1336" s="35" t="n"/>
      <c r="J1336" s="35" t="n"/>
      <c r="K1336" s="34" t="n"/>
      <c r="L1336" s="26">
        <f>IF(A1336="","",MONTH(A1336))</f>
        <v/>
      </c>
      <c r="M1336" s="26">
        <f>IF(A1336="","",YEAR(A1336))</f>
        <v/>
      </c>
      <c r="N1336" s="26">
        <f>IF(A1336="","",CHOOSE(WEEKDAY(A1336,2),"Segunda","Terça","Quarta","Quinta","Sexta","Sábado","Domingo"))</f>
        <v/>
      </c>
      <c r="O1336" s="26">
        <f>IF(B1336="","",IF(B1336&lt;TIME(12,0,0),"Manhã",IF(B1336&lt;TIME(18,0,0),"Tarde","Noite")))</f>
        <v/>
      </c>
      <c r="P1336" s="32">
        <f>IF(G1336="","",IFERROR(INDEX(Config!$I$5:$I$16,MATCH(G1336,Config!$H$5:$H$16,0)),0))</f>
        <v/>
      </c>
      <c r="Q1336" s="30">
        <f>IF(OR(H1336&lt;&gt;"Realizado",P1336="",P1336=0),"",A1336+P1336)</f>
        <v/>
      </c>
      <c r="R1336" s="26">
        <f>IF(Q1336="","",IF(COUNTIFS($E$5:$E$3004,E1336,$A$5:$A$3004,"&gt;"&amp;A1336,$H$5:$H$3004,"&lt;&gt;Falta",$H$5:$H$3004,"&lt;&gt;Cancelado",$H$5:$H$3004,"&lt;&gt;Remarcado")&gt;0,"Sim","Não"))</f>
        <v/>
      </c>
      <c r="S1336" s="32">
        <f>IF(R1336&lt;&gt;"Não","",IF(Q1336+Config!$B$9&lt;=Config!$B$8,Config!$B$8-Q1336,""))</f>
        <v/>
      </c>
      <c r="T1336" s="26">
        <f>IF(S1336="","","Sim")</f>
        <v/>
      </c>
      <c r="U1336" s="41">
        <f>IF(T1336="Sim",S1336+ROW()/100000,0)</f>
        <v>0</v>
      </c>
      <c r="V1336" s="41">
        <f>IF(AND(H1336="Falta",L1336=Config!$B$7,M1336=Config!$B$5,COUNTIFS($E$5:E1336,E1336,$H$5:H1336,"Falta",$L$5:L1336,Config!$B$7,$M$5:M1336,Config!$B$5)=1),COUNTIFS($E$5:$E$3004,E1336,$H$5:$H$3004,"Falta",$L$5:$L$3004,Config!$B$7,$M$5:$M$3004,Config!$B$5)*1000-ROW()/100000,0)</f>
        <v>0</v>
      </c>
    </row>
    <row r="1337">
      <c r="A1337" s="39" t="n"/>
      <c r="B1337" s="40" t="n"/>
      <c r="C1337" s="35" t="n"/>
      <c r="D1337" s="35" t="n"/>
      <c r="E1337" s="34" t="n"/>
      <c r="F1337" s="35" t="n"/>
      <c r="G1337" s="35" t="n"/>
      <c r="H1337" s="35" t="n"/>
      <c r="I1337" s="35" t="n"/>
      <c r="J1337" s="35" t="n"/>
      <c r="K1337" s="34" t="n"/>
      <c r="L1337" s="26">
        <f>IF(A1337="","",MONTH(A1337))</f>
        <v/>
      </c>
      <c r="M1337" s="26">
        <f>IF(A1337="","",YEAR(A1337))</f>
        <v/>
      </c>
      <c r="N1337" s="26">
        <f>IF(A1337="","",CHOOSE(WEEKDAY(A1337,2),"Segunda","Terça","Quarta","Quinta","Sexta","Sábado","Domingo"))</f>
        <v/>
      </c>
      <c r="O1337" s="26">
        <f>IF(B1337="","",IF(B1337&lt;TIME(12,0,0),"Manhã",IF(B1337&lt;TIME(18,0,0),"Tarde","Noite")))</f>
        <v/>
      </c>
      <c r="P1337" s="32">
        <f>IF(G1337="","",IFERROR(INDEX(Config!$I$5:$I$16,MATCH(G1337,Config!$H$5:$H$16,0)),0))</f>
        <v/>
      </c>
      <c r="Q1337" s="30">
        <f>IF(OR(H1337&lt;&gt;"Realizado",P1337="",P1337=0),"",A1337+P1337)</f>
        <v/>
      </c>
      <c r="R1337" s="26">
        <f>IF(Q1337="","",IF(COUNTIFS($E$5:$E$3004,E1337,$A$5:$A$3004,"&gt;"&amp;A1337,$H$5:$H$3004,"&lt;&gt;Falta",$H$5:$H$3004,"&lt;&gt;Cancelado",$H$5:$H$3004,"&lt;&gt;Remarcado")&gt;0,"Sim","Não"))</f>
        <v/>
      </c>
      <c r="S1337" s="32">
        <f>IF(R1337&lt;&gt;"Não","",IF(Q1337+Config!$B$9&lt;=Config!$B$8,Config!$B$8-Q1337,""))</f>
        <v/>
      </c>
      <c r="T1337" s="26">
        <f>IF(S1337="","","Sim")</f>
        <v/>
      </c>
      <c r="U1337" s="41">
        <f>IF(T1337="Sim",S1337+ROW()/100000,0)</f>
        <v>0</v>
      </c>
      <c r="V1337" s="41">
        <f>IF(AND(H1337="Falta",L1337=Config!$B$7,M1337=Config!$B$5,COUNTIFS($E$5:E1337,E1337,$H$5:H1337,"Falta",$L$5:L1337,Config!$B$7,$M$5:M1337,Config!$B$5)=1),COUNTIFS($E$5:$E$3004,E1337,$H$5:$H$3004,"Falta",$L$5:$L$3004,Config!$B$7,$M$5:$M$3004,Config!$B$5)*1000-ROW()/100000,0)</f>
        <v>0</v>
      </c>
    </row>
    <row r="1338">
      <c r="A1338" s="39" t="n"/>
      <c r="B1338" s="40" t="n"/>
      <c r="C1338" s="35" t="n"/>
      <c r="D1338" s="35" t="n"/>
      <c r="E1338" s="34" t="n"/>
      <c r="F1338" s="35" t="n"/>
      <c r="G1338" s="35" t="n"/>
      <c r="H1338" s="35" t="n"/>
      <c r="I1338" s="35" t="n"/>
      <c r="J1338" s="35" t="n"/>
      <c r="K1338" s="34" t="n"/>
      <c r="L1338" s="26">
        <f>IF(A1338="","",MONTH(A1338))</f>
        <v/>
      </c>
      <c r="M1338" s="26">
        <f>IF(A1338="","",YEAR(A1338))</f>
        <v/>
      </c>
      <c r="N1338" s="26">
        <f>IF(A1338="","",CHOOSE(WEEKDAY(A1338,2),"Segunda","Terça","Quarta","Quinta","Sexta","Sábado","Domingo"))</f>
        <v/>
      </c>
      <c r="O1338" s="26">
        <f>IF(B1338="","",IF(B1338&lt;TIME(12,0,0),"Manhã",IF(B1338&lt;TIME(18,0,0),"Tarde","Noite")))</f>
        <v/>
      </c>
      <c r="P1338" s="32">
        <f>IF(G1338="","",IFERROR(INDEX(Config!$I$5:$I$16,MATCH(G1338,Config!$H$5:$H$16,0)),0))</f>
        <v/>
      </c>
      <c r="Q1338" s="30">
        <f>IF(OR(H1338&lt;&gt;"Realizado",P1338="",P1338=0),"",A1338+P1338)</f>
        <v/>
      </c>
      <c r="R1338" s="26">
        <f>IF(Q1338="","",IF(COUNTIFS($E$5:$E$3004,E1338,$A$5:$A$3004,"&gt;"&amp;A1338,$H$5:$H$3004,"&lt;&gt;Falta",$H$5:$H$3004,"&lt;&gt;Cancelado",$H$5:$H$3004,"&lt;&gt;Remarcado")&gt;0,"Sim","Não"))</f>
        <v/>
      </c>
      <c r="S1338" s="32">
        <f>IF(R1338&lt;&gt;"Não","",IF(Q1338+Config!$B$9&lt;=Config!$B$8,Config!$B$8-Q1338,""))</f>
        <v/>
      </c>
      <c r="T1338" s="26">
        <f>IF(S1338="","","Sim")</f>
        <v/>
      </c>
      <c r="U1338" s="41">
        <f>IF(T1338="Sim",S1338+ROW()/100000,0)</f>
        <v>0</v>
      </c>
      <c r="V1338" s="41">
        <f>IF(AND(H1338="Falta",L1338=Config!$B$7,M1338=Config!$B$5,COUNTIFS($E$5:E1338,E1338,$H$5:H1338,"Falta",$L$5:L1338,Config!$B$7,$M$5:M1338,Config!$B$5)=1),COUNTIFS($E$5:$E$3004,E1338,$H$5:$H$3004,"Falta",$L$5:$L$3004,Config!$B$7,$M$5:$M$3004,Config!$B$5)*1000-ROW()/100000,0)</f>
        <v>0</v>
      </c>
    </row>
    <row r="1339">
      <c r="A1339" s="39" t="n"/>
      <c r="B1339" s="40" t="n"/>
      <c r="C1339" s="35" t="n"/>
      <c r="D1339" s="35" t="n"/>
      <c r="E1339" s="34" t="n"/>
      <c r="F1339" s="35" t="n"/>
      <c r="G1339" s="35" t="n"/>
      <c r="H1339" s="35" t="n"/>
      <c r="I1339" s="35" t="n"/>
      <c r="J1339" s="35" t="n"/>
      <c r="K1339" s="34" t="n"/>
      <c r="L1339" s="26">
        <f>IF(A1339="","",MONTH(A1339))</f>
        <v/>
      </c>
      <c r="M1339" s="26">
        <f>IF(A1339="","",YEAR(A1339))</f>
        <v/>
      </c>
      <c r="N1339" s="26">
        <f>IF(A1339="","",CHOOSE(WEEKDAY(A1339,2),"Segunda","Terça","Quarta","Quinta","Sexta","Sábado","Domingo"))</f>
        <v/>
      </c>
      <c r="O1339" s="26">
        <f>IF(B1339="","",IF(B1339&lt;TIME(12,0,0),"Manhã",IF(B1339&lt;TIME(18,0,0),"Tarde","Noite")))</f>
        <v/>
      </c>
      <c r="P1339" s="32">
        <f>IF(G1339="","",IFERROR(INDEX(Config!$I$5:$I$16,MATCH(G1339,Config!$H$5:$H$16,0)),0))</f>
        <v/>
      </c>
      <c r="Q1339" s="30">
        <f>IF(OR(H1339&lt;&gt;"Realizado",P1339="",P1339=0),"",A1339+P1339)</f>
        <v/>
      </c>
      <c r="R1339" s="26">
        <f>IF(Q1339="","",IF(COUNTIFS($E$5:$E$3004,E1339,$A$5:$A$3004,"&gt;"&amp;A1339,$H$5:$H$3004,"&lt;&gt;Falta",$H$5:$H$3004,"&lt;&gt;Cancelado",$H$5:$H$3004,"&lt;&gt;Remarcado")&gt;0,"Sim","Não"))</f>
        <v/>
      </c>
      <c r="S1339" s="32">
        <f>IF(R1339&lt;&gt;"Não","",IF(Q1339+Config!$B$9&lt;=Config!$B$8,Config!$B$8-Q1339,""))</f>
        <v/>
      </c>
      <c r="T1339" s="26">
        <f>IF(S1339="","","Sim")</f>
        <v/>
      </c>
      <c r="U1339" s="41">
        <f>IF(T1339="Sim",S1339+ROW()/100000,0)</f>
        <v>0</v>
      </c>
      <c r="V1339" s="41">
        <f>IF(AND(H1339="Falta",L1339=Config!$B$7,M1339=Config!$B$5,COUNTIFS($E$5:E1339,E1339,$H$5:H1339,"Falta",$L$5:L1339,Config!$B$7,$M$5:M1339,Config!$B$5)=1),COUNTIFS($E$5:$E$3004,E1339,$H$5:$H$3004,"Falta",$L$5:$L$3004,Config!$B$7,$M$5:$M$3004,Config!$B$5)*1000-ROW()/100000,0)</f>
        <v>0</v>
      </c>
    </row>
    <row r="1340">
      <c r="A1340" s="39" t="n"/>
      <c r="B1340" s="40" t="n"/>
      <c r="C1340" s="35" t="n"/>
      <c r="D1340" s="35" t="n"/>
      <c r="E1340" s="34" t="n"/>
      <c r="F1340" s="35" t="n"/>
      <c r="G1340" s="35" t="n"/>
      <c r="H1340" s="35" t="n"/>
      <c r="I1340" s="35" t="n"/>
      <c r="J1340" s="35" t="n"/>
      <c r="K1340" s="34" t="n"/>
      <c r="L1340" s="26">
        <f>IF(A1340="","",MONTH(A1340))</f>
        <v/>
      </c>
      <c r="M1340" s="26">
        <f>IF(A1340="","",YEAR(A1340))</f>
        <v/>
      </c>
      <c r="N1340" s="26">
        <f>IF(A1340="","",CHOOSE(WEEKDAY(A1340,2),"Segunda","Terça","Quarta","Quinta","Sexta","Sábado","Domingo"))</f>
        <v/>
      </c>
      <c r="O1340" s="26">
        <f>IF(B1340="","",IF(B1340&lt;TIME(12,0,0),"Manhã",IF(B1340&lt;TIME(18,0,0),"Tarde","Noite")))</f>
        <v/>
      </c>
      <c r="P1340" s="32">
        <f>IF(G1340="","",IFERROR(INDEX(Config!$I$5:$I$16,MATCH(G1340,Config!$H$5:$H$16,0)),0))</f>
        <v/>
      </c>
      <c r="Q1340" s="30">
        <f>IF(OR(H1340&lt;&gt;"Realizado",P1340="",P1340=0),"",A1340+P1340)</f>
        <v/>
      </c>
      <c r="R1340" s="26">
        <f>IF(Q1340="","",IF(COUNTIFS($E$5:$E$3004,E1340,$A$5:$A$3004,"&gt;"&amp;A1340,$H$5:$H$3004,"&lt;&gt;Falta",$H$5:$H$3004,"&lt;&gt;Cancelado",$H$5:$H$3004,"&lt;&gt;Remarcado")&gt;0,"Sim","Não"))</f>
        <v/>
      </c>
      <c r="S1340" s="32">
        <f>IF(R1340&lt;&gt;"Não","",IF(Q1340+Config!$B$9&lt;=Config!$B$8,Config!$B$8-Q1340,""))</f>
        <v/>
      </c>
      <c r="T1340" s="26">
        <f>IF(S1340="","","Sim")</f>
        <v/>
      </c>
      <c r="U1340" s="41">
        <f>IF(T1340="Sim",S1340+ROW()/100000,0)</f>
        <v>0</v>
      </c>
      <c r="V1340" s="41">
        <f>IF(AND(H1340="Falta",L1340=Config!$B$7,M1340=Config!$B$5,COUNTIFS($E$5:E1340,E1340,$H$5:H1340,"Falta",$L$5:L1340,Config!$B$7,$M$5:M1340,Config!$B$5)=1),COUNTIFS($E$5:$E$3004,E1340,$H$5:$H$3004,"Falta",$L$5:$L$3004,Config!$B$7,$M$5:$M$3004,Config!$B$5)*1000-ROW()/100000,0)</f>
        <v>0</v>
      </c>
    </row>
    <row r="1341">
      <c r="A1341" s="39" t="n"/>
      <c r="B1341" s="40" t="n"/>
      <c r="C1341" s="35" t="n"/>
      <c r="D1341" s="35" t="n"/>
      <c r="E1341" s="34" t="n"/>
      <c r="F1341" s="35" t="n"/>
      <c r="G1341" s="35" t="n"/>
      <c r="H1341" s="35" t="n"/>
      <c r="I1341" s="35" t="n"/>
      <c r="J1341" s="35" t="n"/>
      <c r="K1341" s="34" t="n"/>
      <c r="L1341" s="26">
        <f>IF(A1341="","",MONTH(A1341))</f>
        <v/>
      </c>
      <c r="M1341" s="26">
        <f>IF(A1341="","",YEAR(A1341))</f>
        <v/>
      </c>
      <c r="N1341" s="26">
        <f>IF(A1341="","",CHOOSE(WEEKDAY(A1341,2),"Segunda","Terça","Quarta","Quinta","Sexta","Sábado","Domingo"))</f>
        <v/>
      </c>
      <c r="O1341" s="26">
        <f>IF(B1341="","",IF(B1341&lt;TIME(12,0,0),"Manhã",IF(B1341&lt;TIME(18,0,0),"Tarde","Noite")))</f>
        <v/>
      </c>
      <c r="P1341" s="32">
        <f>IF(G1341="","",IFERROR(INDEX(Config!$I$5:$I$16,MATCH(G1341,Config!$H$5:$H$16,0)),0))</f>
        <v/>
      </c>
      <c r="Q1341" s="30">
        <f>IF(OR(H1341&lt;&gt;"Realizado",P1341="",P1341=0),"",A1341+P1341)</f>
        <v/>
      </c>
      <c r="R1341" s="26">
        <f>IF(Q1341="","",IF(COUNTIFS($E$5:$E$3004,E1341,$A$5:$A$3004,"&gt;"&amp;A1341,$H$5:$H$3004,"&lt;&gt;Falta",$H$5:$H$3004,"&lt;&gt;Cancelado",$H$5:$H$3004,"&lt;&gt;Remarcado")&gt;0,"Sim","Não"))</f>
        <v/>
      </c>
      <c r="S1341" s="32">
        <f>IF(R1341&lt;&gt;"Não","",IF(Q1341+Config!$B$9&lt;=Config!$B$8,Config!$B$8-Q1341,""))</f>
        <v/>
      </c>
      <c r="T1341" s="26">
        <f>IF(S1341="","","Sim")</f>
        <v/>
      </c>
      <c r="U1341" s="41">
        <f>IF(T1341="Sim",S1341+ROW()/100000,0)</f>
        <v>0</v>
      </c>
      <c r="V1341" s="41">
        <f>IF(AND(H1341="Falta",L1341=Config!$B$7,M1341=Config!$B$5,COUNTIFS($E$5:E1341,E1341,$H$5:H1341,"Falta",$L$5:L1341,Config!$B$7,$M$5:M1341,Config!$B$5)=1),COUNTIFS($E$5:$E$3004,E1341,$H$5:$H$3004,"Falta",$L$5:$L$3004,Config!$B$7,$M$5:$M$3004,Config!$B$5)*1000-ROW()/100000,0)</f>
        <v>0</v>
      </c>
    </row>
    <row r="1342">
      <c r="A1342" s="39" t="n"/>
      <c r="B1342" s="40" t="n"/>
      <c r="C1342" s="35" t="n"/>
      <c r="D1342" s="35" t="n"/>
      <c r="E1342" s="34" t="n"/>
      <c r="F1342" s="35" t="n"/>
      <c r="G1342" s="35" t="n"/>
      <c r="H1342" s="35" t="n"/>
      <c r="I1342" s="35" t="n"/>
      <c r="J1342" s="35" t="n"/>
      <c r="K1342" s="34" t="n"/>
      <c r="L1342" s="26">
        <f>IF(A1342="","",MONTH(A1342))</f>
        <v/>
      </c>
      <c r="M1342" s="26">
        <f>IF(A1342="","",YEAR(A1342))</f>
        <v/>
      </c>
      <c r="N1342" s="26">
        <f>IF(A1342="","",CHOOSE(WEEKDAY(A1342,2),"Segunda","Terça","Quarta","Quinta","Sexta","Sábado","Domingo"))</f>
        <v/>
      </c>
      <c r="O1342" s="26">
        <f>IF(B1342="","",IF(B1342&lt;TIME(12,0,0),"Manhã",IF(B1342&lt;TIME(18,0,0),"Tarde","Noite")))</f>
        <v/>
      </c>
      <c r="P1342" s="32">
        <f>IF(G1342="","",IFERROR(INDEX(Config!$I$5:$I$16,MATCH(G1342,Config!$H$5:$H$16,0)),0))</f>
        <v/>
      </c>
      <c r="Q1342" s="30">
        <f>IF(OR(H1342&lt;&gt;"Realizado",P1342="",P1342=0),"",A1342+P1342)</f>
        <v/>
      </c>
      <c r="R1342" s="26">
        <f>IF(Q1342="","",IF(COUNTIFS($E$5:$E$3004,E1342,$A$5:$A$3004,"&gt;"&amp;A1342,$H$5:$H$3004,"&lt;&gt;Falta",$H$5:$H$3004,"&lt;&gt;Cancelado",$H$5:$H$3004,"&lt;&gt;Remarcado")&gt;0,"Sim","Não"))</f>
        <v/>
      </c>
      <c r="S1342" s="32">
        <f>IF(R1342&lt;&gt;"Não","",IF(Q1342+Config!$B$9&lt;=Config!$B$8,Config!$B$8-Q1342,""))</f>
        <v/>
      </c>
      <c r="T1342" s="26">
        <f>IF(S1342="","","Sim")</f>
        <v/>
      </c>
      <c r="U1342" s="41">
        <f>IF(T1342="Sim",S1342+ROW()/100000,0)</f>
        <v>0</v>
      </c>
      <c r="V1342" s="41">
        <f>IF(AND(H1342="Falta",L1342=Config!$B$7,M1342=Config!$B$5,COUNTIFS($E$5:E1342,E1342,$H$5:H1342,"Falta",$L$5:L1342,Config!$B$7,$M$5:M1342,Config!$B$5)=1),COUNTIFS($E$5:$E$3004,E1342,$H$5:$H$3004,"Falta",$L$5:$L$3004,Config!$B$7,$M$5:$M$3004,Config!$B$5)*1000-ROW()/100000,0)</f>
        <v>0</v>
      </c>
    </row>
    <row r="1343">
      <c r="A1343" s="39" t="n"/>
      <c r="B1343" s="40" t="n"/>
      <c r="C1343" s="35" t="n"/>
      <c r="D1343" s="35" t="n"/>
      <c r="E1343" s="34" t="n"/>
      <c r="F1343" s="35" t="n"/>
      <c r="G1343" s="35" t="n"/>
      <c r="H1343" s="35" t="n"/>
      <c r="I1343" s="35" t="n"/>
      <c r="J1343" s="35" t="n"/>
      <c r="K1343" s="34" t="n"/>
      <c r="L1343" s="26">
        <f>IF(A1343="","",MONTH(A1343))</f>
        <v/>
      </c>
      <c r="M1343" s="26">
        <f>IF(A1343="","",YEAR(A1343))</f>
        <v/>
      </c>
      <c r="N1343" s="26">
        <f>IF(A1343="","",CHOOSE(WEEKDAY(A1343,2),"Segunda","Terça","Quarta","Quinta","Sexta","Sábado","Domingo"))</f>
        <v/>
      </c>
      <c r="O1343" s="26">
        <f>IF(B1343="","",IF(B1343&lt;TIME(12,0,0),"Manhã",IF(B1343&lt;TIME(18,0,0),"Tarde","Noite")))</f>
        <v/>
      </c>
      <c r="P1343" s="32">
        <f>IF(G1343="","",IFERROR(INDEX(Config!$I$5:$I$16,MATCH(G1343,Config!$H$5:$H$16,0)),0))</f>
        <v/>
      </c>
      <c r="Q1343" s="30">
        <f>IF(OR(H1343&lt;&gt;"Realizado",P1343="",P1343=0),"",A1343+P1343)</f>
        <v/>
      </c>
      <c r="R1343" s="26">
        <f>IF(Q1343="","",IF(COUNTIFS($E$5:$E$3004,E1343,$A$5:$A$3004,"&gt;"&amp;A1343,$H$5:$H$3004,"&lt;&gt;Falta",$H$5:$H$3004,"&lt;&gt;Cancelado",$H$5:$H$3004,"&lt;&gt;Remarcado")&gt;0,"Sim","Não"))</f>
        <v/>
      </c>
      <c r="S1343" s="32">
        <f>IF(R1343&lt;&gt;"Não","",IF(Q1343+Config!$B$9&lt;=Config!$B$8,Config!$B$8-Q1343,""))</f>
        <v/>
      </c>
      <c r="T1343" s="26">
        <f>IF(S1343="","","Sim")</f>
        <v/>
      </c>
      <c r="U1343" s="41">
        <f>IF(T1343="Sim",S1343+ROW()/100000,0)</f>
        <v>0</v>
      </c>
      <c r="V1343" s="41">
        <f>IF(AND(H1343="Falta",L1343=Config!$B$7,M1343=Config!$B$5,COUNTIFS($E$5:E1343,E1343,$H$5:H1343,"Falta",$L$5:L1343,Config!$B$7,$M$5:M1343,Config!$B$5)=1),COUNTIFS($E$5:$E$3004,E1343,$H$5:$H$3004,"Falta",$L$5:$L$3004,Config!$B$7,$M$5:$M$3004,Config!$B$5)*1000-ROW()/100000,0)</f>
        <v>0</v>
      </c>
    </row>
    <row r="1344">
      <c r="A1344" s="39" t="n"/>
      <c r="B1344" s="40" t="n"/>
      <c r="C1344" s="35" t="n"/>
      <c r="D1344" s="35" t="n"/>
      <c r="E1344" s="34" t="n"/>
      <c r="F1344" s="35" t="n"/>
      <c r="G1344" s="35" t="n"/>
      <c r="H1344" s="35" t="n"/>
      <c r="I1344" s="35" t="n"/>
      <c r="J1344" s="35" t="n"/>
      <c r="K1344" s="34" t="n"/>
      <c r="L1344" s="26">
        <f>IF(A1344="","",MONTH(A1344))</f>
        <v/>
      </c>
      <c r="M1344" s="26">
        <f>IF(A1344="","",YEAR(A1344))</f>
        <v/>
      </c>
      <c r="N1344" s="26">
        <f>IF(A1344="","",CHOOSE(WEEKDAY(A1344,2),"Segunda","Terça","Quarta","Quinta","Sexta","Sábado","Domingo"))</f>
        <v/>
      </c>
      <c r="O1344" s="26">
        <f>IF(B1344="","",IF(B1344&lt;TIME(12,0,0),"Manhã",IF(B1344&lt;TIME(18,0,0),"Tarde","Noite")))</f>
        <v/>
      </c>
      <c r="P1344" s="32">
        <f>IF(G1344="","",IFERROR(INDEX(Config!$I$5:$I$16,MATCH(G1344,Config!$H$5:$H$16,0)),0))</f>
        <v/>
      </c>
      <c r="Q1344" s="30">
        <f>IF(OR(H1344&lt;&gt;"Realizado",P1344="",P1344=0),"",A1344+P1344)</f>
        <v/>
      </c>
      <c r="R1344" s="26">
        <f>IF(Q1344="","",IF(COUNTIFS($E$5:$E$3004,E1344,$A$5:$A$3004,"&gt;"&amp;A1344,$H$5:$H$3004,"&lt;&gt;Falta",$H$5:$H$3004,"&lt;&gt;Cancelado",$H$5:$H$3004,"&lt;&gt;Remarcado")&gt;0,"Sim","Não"))</f>
        <v/>
      </c>
      <c r="S1344" s="32">
        <f>IF(R1344&lt;&gt;"Não","",IF(Q1344+Config!$B$9&lt;=Config!$B$8,Config!$B$8-Q1344,""))</f>
        <v/>
      </c>
      <c r="T1344" s="26">
        <f>IF(S1344="","","Sim")</f>
        <v/>
      </c>
      <c r="U1344" s="41">
        <f>IF(T1344="Sim",S1344+ROW()/100000,0)</f>
        <v>0</v>
      </c>
      <c r="V1344" s="41">
        <f>IF(AND(H1344="Falta",L1344=Config!$B$7,M1344=Config!$B$5,COUNTIFS($E$5:E1344,E1344,$H$5:H1344,"Falta",$L$5:L1344,Config!$B$7,$M$5:M1344,Config!$B$5)=1),COUNTIFS($E$5:$E$3004,E1344,$H$5:$H$3004,"Falta",$L$5:$L$3004,Config!$B$7,$M$5:$M$3004,Config!$B$5)*1000-ROW()/100000,0)</f>
        <v>0</v>
      </c>
    </row>
    <row r="1345">
      <c r="A1345" s="39" t="n"/>
      <c r="B1345" s="40" t="n"/>
      <c r="C1345" s="35" t="n"/>
      <c r="D1345" s="35" t="n"/>
      <c r="E1345" s="34" t="n"/>
      <c r="F1345" s="35" t="n"/>
      <c r="G1345" s="35" t="n"/>
      <c r="H1345" s="35" t="n"/>
      <c r="I1345" s="35" t="n"/>
      <c r="J1345" s="35" t="n"/>
      <c r="K1345" s="34" t="n"/>
      <c r="L1345" s="26">
        <f>IF(A1345="","",MONTH(A1345))</f>
        <v/>
      </c>
      <c r="M1345" s="26">
        <f>IF(A1345="","",YEAR(A1345))</f>
        <v/>
      </c>
      <c r="N1345" s="26">
        <f>IF(A1345="","",CHOOSE(WEEKDAY(A1345,2),"Segunda","Terça","Quarta","Quinta","Sexta","Sábado","Domingo"))</f>
        <v/>
      </c>
      <c r="O1345" s="26">
        <f>IF(B1345="","",IF(B1345&lt;TIME(12,0,0),"Manhã",IF(B1345&lt;TIME(18,0,0),"Tarde","Noite")))</f>
        <v/>
      </c>
      <c r="P1345" s="32">
        <f>IF(G1345="","",IFERROR(INDEX(Config!$I$5:$I$16,MATCH(G1345,Config!$H$5:$H$16,0)),0))</f>
        <v/>
      </c>
      <c r="Q1345" s="30">
        <f>IF(OR(H1345&lt;&gt;"Realizado",P1345="",P1345=0),"",A1345+P1345)</f>
        <v/>
      </c>
      <c r="R1345" s="26">
        <f>IF(Q1345="","",IF(COUNTIFS($E$5:$E$3004,E1345,$A$5:$A$3004,"&gt;"&amp;A1345,$H$5:$H$3004,"&lt;&gt;Falta",$H$5:$H$3004,"&lt;&gt;Cancelado",$H$5:$H$3004,"&lt;&gt;Remarcado")&gt;0,"Sim","Não"))</f>
        <v/>
      </c>
      <c r="S1345" s="32">
        <f>IF(R1345&lt;&gt;"Não","",IF(Q1345+Config!$B$9&lt;=Config!$B$8,Config!$B$8-Q1345,""))</f>
        <v/>
      </c>
      <c r="T1345" s="26">
        <f>IF(S1345="","","Sim")</f>
        <v/>
      </c>
      <c r="U1345" s="41">
        <f>IF(T1345="Sim",S1345+ROW()/100000,0)</f>
        <v>0</v>
      </c>
      <c r="V1345" s="41">
        <f>IF(AND(H1345="Falta",L1345=Config!$B$7,M1345=Config!$B$5,COUNTIFS($E$5:E1345,E1345,$H$5:H1345,"Falta",$L$5:L1345,Config!$B$7,$M$5:M1345,Config!$B$5)=1),COUNTIFS($E$5:$E$3004,E1345,$H$5:$H$3004,"Falta",$L$5:$L$3004,Config!$B$7,$M$5:$M$3004,Config!$B$5)*1000-ROW()/100000,0)</f>
        <v>0</v>
      </c>
    </row>
    <row r="1346">
      <c r="A1346" s="39" t="n"/>
      <c r="B1346" s="40" t="n"/>
      <c r="C1346" s="35" t="n"/>
      <c r="D1346" s="35" t="n"/>
      <c r="E1346" s="34" t="n"/>
      <c r="F1346" s="35" t="n"/>
      <c r="G1346" s="35" t="n"/>
      <c r="H1346" s="35" t="n"/>
      <c r="I1346" s="35" t="n"/>
      <c r="J1346" s="35" t="n"/>
      <c r="K1346" s="34" t="n"/>
      <c r="L1346" s="26">
        <f>IF(A1346="","",MONTH(A1346))</f>
        <v/>
      </c>
      <c r="M1346" s="26">
        <f>IF(A1346="","",YEAR(A1346))</f>
        <v/>
      </c>
      <c r="N1346" s="26">
        <f>IF(A1346="","",CHOOSE(WEEKDAY(A1346,2),"Segunda","Terça","Quarta","Quinta","Sexta","Sábado","Domingo"))</f>
        <v/>
      </c>
      <c r="O1346" s="26">
        <f>IF(B1346="","",IF(B1346&lt;TIME(12,0,0),"Manhã",IF(B1346&lt;TIME(18,0,0),"Tarde","Noite")))</f>
        <v/>
      </c>
      <c r="P1346" s="32">
        <f>IF(G1346="","",IFERROR(INDEX(Config!$I$5:$I$16,MATCH(G1346,Config!$H$5:$H$16,0)),0))</f>
        <v/>
      </c>
      <c r="Q1346" s="30">
        <f>IF(OR(H1346&lt;&gt;"Realizado",P1346="",P1346=0),"",A1346+P1346)</f>
        <v/>
      </c>
      <c r="R1346" s="26">
        <f>IF(Q1346="","",IF(COUNTIFS($E$5:$E$3004,E1346,$A$5:$A$3004,"&gt;"&amp;A1346,$H$5:$H$3004,"&lt;&gt;Falta",$H$5:$H$3004,"&lt;&gt;Cancelado",$H$5:$H$3004,"&lt;&gt;Remarcado")&gt;0,"Sim","Não"))</f>
        <v/>
      </c>
      <c r="S1346" s="32">
        <f>IF(R1346&lt;&gt;"Não","",IF(Q1346+Config!$B$9&lt;=Config!$B$8,Config!$B$8-Q1346,""))</f>
        <v/>
      </c>
      <c r="T1346" s="26">
        <f>IF(S1346="","","Sim")</f>
        <v/>
      </c>
      <c r="U1346" s="41">
        <f>IF(T1346="Sim",S1346+ROW()/100000,0)</f>
        <v>0</v>
      </c>
      <c r="V1346" s="41">
        <f>IF(AND(H1346="Falta",L1346=Config!$B$7,M1346=Config!$B$5,COUNTIFS($E$5:E1346,E1346,$H$5:H1346,"Falta",$L$5:L1346,Config!$B$7,$M$5:M1346,Config!$B$5)=1),COUNTIFS($E$5:$E$3004,E1346,$H$5:$H$3004,"Falta",$L$5:$L$3004,Config!$B$7,$M$5:$M$3004,Config!$B$5)*1000-ROW()/100000,0)</f>
        <v>0</v>
      </c>
    </row>
    <row r="1347">
      <c r="A1347" s="39" t="n"/>
      <c r="B1347" s="40" t="n"/>
      <c r="C1347" s="35" t="n"/>
      <c r="D1347" s="35" t="n"/>
      <c r="E1347" s="34" t="n"/>
      <c r="F1347" s="35" t="n"/>
      <c r="G1347" s="35" t="n"/>
      <c r="H1347" s="35" t="n"/>
      <c r="I1347" s="35" t="n"/>
      <c r="J1347" s="35" t="n"/>
      <c r="K1347" s="34" t="n"/>
      <c r="L1347" s="26">
        <f>IF(A1347="","",MONTH(A1347))</f>
        <v/>
      </c>
      <c r="M1347" s="26">
        <f>IF(A1347="","",YEAR(A1347))</f>
        <v/>
      </c>
      <c r="N1347" s="26">
        <f>IF(A1347="","",CHOOSE(WEEKDAY(A1347,2),"Segunda","Terça","Quarta","Quinta","Sexta","Sábado","Domingo"))</f>
        <v/>
      </c>
      <c r="O1347" s="26">
        <f>IF(B1347="","",IF(B1347&lt;TIME(12,0,0),"Manhã",IF(B1347&lt;TIME(18,0,0),"Tarde","Noite")))</f>
        <v/>
      </c>
      <c r="P1347" s="32">
        <f>IF(G1347="","",IFERROR(INDEX(Config!$I$5:$I$16,MATCH(G1347,Config!$H$5:$H$16,0)),0))</f>
        <v/>
      </c>
      <c r="Q1347" s="30">
        <f>IF(OR(H1347&lt;&gt;"Realizado",P1347="",P1347=0),"",A1347+P1347)</f>
        <v/>
      </c>
      <c r="R1347" s="26">
        <f>IF(Q1347="","",IF(COUNTIFS($E$5:$E$3004,E1347,$A$5:$A$3004,"&gt;"&amp;A1347,$H$5:$H$3004,"&lt;&gt;Falta",$H$5:$H$3004,"&lt;&gt;Cancelado",$H$5:$H$3004,"&lt;&gt;Remarcado")&gt;0,"Sim","Não"))</f>
        <v/>
      </c>
      <c r="S1347" s="32">
        <f>IF(R1347&lt;&gt;"Não","",IF(Q1347+Config!$B$9&lt;=Config!$B$8,Config!$B$8-Q1347,""))</f>
        <v/>
      </c>
      <c r="T1347" s="26">
        <f>IF(S1347="","","Sim")</f>
        <v/>
      </c>
      <c r="U1347" s="41">
        <f>IF(T1347="Sim",S1347+ROW()/100000,0)</f>
        <v>0</v>
      </c>
      <c r="V1347" s="41">
        <f>IF(AND(H1347="Falta",L1347=Config!$B$7,M1347=Config!$B$5,COUNTIFS($E$5:E1347,E1347,$H$5:H1347,"Falta",$L$5:L1347,Config!$B$7,$M$5:M1347,Config!$B$5)=1),COUNTIFS($E$5:$E$3004,E1347,$H$5:$H$3004,"Falta",$L$5:$L$3004,Config!$B$7,$M$5:$M$3004,Config!$B$5)*1000-ROW()/100000,0)</f>
        <v>0</v>
      </c>
    </row>
    <row r="1348">
      <c r="A1348" s="39" t="n"/>
      <c r="B1348" s="40" t="n"/>
      <c r="C1348" s="35" t="n"/>
      <c r="D1348" s="35" t="n"/>
      <c r="E1348" s="34" t="n"/>
      <c r="F1348" s="35" t="n"/>
      <c r="G1348" s="35" t="n"/>
      <c r="H1348" s="35" t="n"/>
      <c r="I1348" s="35" t="n"/>
      <c r="J1348" s="35" t="n"/>
      <c r="K1348" s="34" t="n"/>
      <c r="L1348" s="26">
        <f>IF(A1348="","",MONTH(A1348))</f>
        <v/>
      </c>
      <c r="M1348" s="26">
        <f>IF(A1348="","",YEAR(A1348))</f>
        <v/>
      </c>
      <c r="N1348" s="26">
        <f>IF(A1348="","",CHOOSE(WEEKDAY(A1348,2),"Segunda","Terça","Quarta","Quinta","Sexta","Sábado","Domingo"))</f>
        <v/>
      </c>
      <c r="O1348" s="26">
        <f>IF(B1348="","",IF(B1348&lt;TIME(12,0,0),"Manhã",IF(B1348&lt;TIME(18,0,0),"Tarde","Noite")))</f>
        <v/>
      </c>
      <c r="P1348" s="32">
        <f>IF(G1348="","",IFERROR(INDEX(Config!$I$5:$I$16,MATCH(G1348,Config!$H$5:$H$16,0)),0))</f>
        <v/>
      </c>
      <c r="Q1348" s="30">
        <f>IF(OR(H1348&lt;&gt;"Realizado",P1348="",P1348=0),"",A1348+P1348)</f>
        <v/>
      </c>
      <c r="R1348" s="26">
        <f>IF(Q1348="","",IF(COUNTIFS($E$5:$E$3004,E1348,$A$5:$A$3004,"&gt;"&amp;A1348,$H$5:$H$3004,"&lt;&gt;Falta",$H$5:$H$3004,"&lt;&gt;Cancelado",$H$5:$H$3004,"&lt;&gt;Remarcado")&gt;0,"Sim","Não"))</f>
        <v/>
      </c>
      <c r="S1348" s="32">
        <f>IF(R1348&lt;&gt;"Não","",IF(Q1348+Config!$B$9&lt;=Config!$B$8,Config!$B$8-Q1348,""))</f>
        <v/>
      </c>
      <c r="T1348" s="26">
        <f>IF(S1348="","","Sim")</f>
        <v/>
      </c>
      <c r="U1348" s="41">
        <f>IF(T1348="Sim",S1348+ROW()/100000,0)</f>
        <v>0</v>
      </c>
      <c r="V1348" s="41">
        <f>IF(AND(H1348="Falta",L1348=Config!$B$7,M1348=Config!$B$5,COUNTIFS($E$5:E1348,E1348,$H$5:H1348,"Falta",$L$5:L1348,Config!$B$7,$M$5:M1348,Config!$B$5)=1),COUNTIFS($E$5:$E$3004,E1348,$H$5:$H$3004,"Falta",$L$5:$L$3004,Config!$B$7,$M$5:$M$3004,Config!$B$5)*1000-ROW()/100000,0)</f>
        <v>0</v>
      </c>
    </row>
    <row r="1349">
      <c r="A1349" s="39" t="n"/>
      <c r="B1349" s="40" t="n"/>
      <c r="C1349" s="35" t="n"/>
      <c r="D1349" s="35" t="n"/>
      <c r="E1349" s="34" t="n"/>
      <c r="F1349" s="35" t="n"/>
      <c r="G1349" s="35" t="n"/>
      <c r="H1349" s="35" t="n"/>
      <c r="I1349" s="35" t="n"/>
      <c r="J1349" s="35" t="n"/>
      <c r="K1349" s="34" t="n"/>
      <c r="L1349" s="26">
        <f>IF(A1349="","",MONTH(A1349))</f>
        <v/>
      </c>
      <c r="M1349" s="26">
        <f>IF(A1349="","",YEAR(A1349))</f>
        <v/>
      </c>
      <c r="N1349" s="26">
        <f>IF(A1349="","",CHOOSE(WEEKDAY(A1349,2),"Segunda","Terça","Quarta","Quinta","Sexta","Sábado","Domingo"))</f>
        <v/>
      </c>
      <c r="O1349" s="26">
        <f>IF(B1349="","",IF(B1349&lt;TIME(12,0,0),"Manhã",IF(B1349&lt;TIME(18,0,0),"Tarde","Noite")))</f>
        <v/>
      </c>
      <c r="P1349" s="32">
        <f>IF(G1349="","",IFERROR(INDEX(Config!$I$5:$I$16,MATCH(G1349,Config!$H$5:$H$16,0)),0))</f>
        <v/>
      </c>
      <c r="Q1349" s="30">
        <f>IF(OR(H1349&lt;&gt;"Realizado",P1349="",P1349=0),"",A1349+P1349)</f>
        <v/>
      </c>
      <c r="R1349" s="26">
        <f>IF(Q1349="","",IF(COUNTIFS($E$5:$E$3004,E1349,$A$5:$A$3004,"&gt;"&amp;A1349,$H$5:$H$3004,"&lt;&gt;Falta",$H$5:$H$3004,"&lt;&gt;Cancelado",$H$5:$H$3004,"&lt;&gt;Remarcado")&gt;0,"Sim","Não"))</f>
        <v/>
      </c>
      <c r="S1349" s="32">
        <f>IF(R1349&lt;&gt;"Não","",IF(Q1349+Config!$B$9&lt;=Config!$B$8,Config!$B$8-Q1349,""))</f>
        <v/>
      </c>
      <c r="T1349" s="26">
        <f>IF(S1349="","","Sim")</f>
        <v/>
      </c>
      <c r="U1349" s="41">
        <f>IF(T1349="Sim",S1349+ROW()/100000,0)</f>
        <v>0</v>
      </c>
      <c r="V1349" s="41">
        <f>IF(AND(H1349="Falta",L1349=Config!$B$7,M1349=Config!$B$5,COUNTIFS($E$5:E1349,E1349,$H$5:H1349,"Falta",$L$5:L1349,Config!$B$7,$M$5:M1349,Config!$B$5)=1),COUNTIFS($E$5:$E$3004,E1349,$H$5:$H$3004,"Falta",$L$5:$L$3004,Config!$B$7,$M$5:$M$3004,Config!$B$5)*1000-ROW()/100000,0)</f>
        <v>0</v>
      </c>
    </row>
    <row r="1350">
      <c r="A1350" s="39" t="n"/>
      <c r="B1350" s="40" t="n"/>
      <c r="C1350" s="35" t="n"/>
      <c r="D1350" s="35" t="n"/>
      <c r="E1350" s="34" t="n"/>
      <c r="F1350" s="35" t="n"/>
      <c r="G1350" s="35" t="n"/>
      <c r="H1350" s="35" t="n"/>
      <c r="I1350" s="35" t="n"/>
      <c r="J1350" s="35" t="n"/>
      <c r="K1350" s="34" t="n"/>
      <c r="L1350" s="26">
        <f>IF(A1350="","",MONTH(A1350))</f>
        <v/>
      </c>
      <c r="M1350" s="26">
        <f>IF(A1350="","",YEAR(A1350))</f>
        <v/>
      </c>
      <c r="N1350" s="26">
        <f>IF(A1350="","",CHOOSE(WEEKDAY(A1350,2),"Segunda","Terça","Quarta","Quinta","Sexta","Sábado","Domingo"))</f>
        <v/>
      </c>
      <c r="O1350" s="26">
        <f>IF(B1350="","",IF(B1350&lt;TIME(12,0,0),"Manhã",IF(B1350&lt;TIME(18,0,0),"Tarde","Noite")))</f>
        <v/>
      </c>
      <c r="P1350" s="32">
        <f>IF(G1350="","",IFERROR(INDEX(Config!$I$5:$I$16,MATCH(G1350,Config!$H$5:$H$16,0)),0))</f>
        <v/>
      </c>
      <c r="Q1350" s="30">
        <f>IF(OR(H1350&lt;&gt;"Realizado",P1350="",P1350=0),"",A1350+P1350)</f>
        <v/>
      </c>
      <c r="R1350" s="26">
        <f>IF(Q1350="","",IF(COUNTIFS($E$5:$E$3004,E1350,$A$5:$A$3004,"&gt;"&amp;A1350,$H$5:$H$3004,"&lt;&gt;Falta",$H$5:$H$3004,"&lt;&gt;Cancelado",$H$5:$H$3004,"&lt;&gt;Remarcado")&gt;0,"Sim","Não"))</f>
        <v/>
      </c>
      <c r="S1350" s="32">
        <f>IF(R1350&lt;&gt;"Não","",IF(Q1350+Config!$B$9&lt;=Config!$B$8,Config!$B$8-Q1350,""))</f>
        <v/>
      </c>
      <c r="T1350" s="26">
        <f>IF(S1350="","","Sim")</f>
        <v/>
      </c>
      <c r="U1350" s="41">
        <f>IF(T1350="Sim",S1350+ROW()/100000,0)</f>
        <v>0</v>
      </c>
      <c r="V1350" s="41">
        <f>IF(AND(H1350="Falta",L1350=Config!$B$7,M1350=Config!$B$5,COUNTIFS($E$5:E1350,E1350,$H$5:H1350,"Falta",$L$5:L1350,Config!$B$7,$M$5:M1350,Config!$B$5)=1),COUNTIFS($E$5:$E$3004,E1350,$H$5:$H$3004,"Falta",$L$5:$L$3004,Config!$B$7,$M$5:$M$3004,Config!$B$5)*1000-ROW()/100000,0)</f>
        <v>0</v>
      </c>
    </row>
    <row r="1351">
      <c r="A1351" s="39" t="n"/>
      <c r="B1351" s="40" t="n"/>
      <c r="C1351" s="35" t="n"/>
      <c r="D1351" s="35" t="n"/>
      <c r="E1351" s="34" t="n"/>
      <c r="F1351" s="35" t="n"/>
      <c r="G1351" s="35" t="n"/>
      <c r="H1351" s="35" t="n"/>
      <c r="I1351" s="35" t="n"/>
      <c r="J1351" s="35" t="n"/>
      <c r="K1351" s="34" t="n"/>
      <c r="L1351" s="26">
        <f>IF(A1351="","",MONTH(A1351))</f>
        <v/>
      </c>
      <c r="M1351" s="26">
        <f>IF(A1351="","",YEAR(A1351))</f>
        <v/>
      </c>
      <c r="N1351" s="26">
        <f>IF(A1351="","",CHOOSE(WEEKDAY(A1351,2),"Segunda","Terça","Quarta","Quinta","Sexta","Sábado","Domingo"))</f>
        <v/>
      </c>
      <c r="O1351" s="26">
        <f>IF(B1351="","",IF(B1351&lt;TIME(12,0,0),"Manhã",IF(B1351&lt;TIME(18,0,0),"Tarde","Noite")))</f>
        <v/>
      </c>
      <c r="P1351" s="32">
        <f>IF(G1351="","",IFERROR(INDEX(Config!$I$5:$I$16,MATCH(G1351,Config!$H$5:$H$16,0)),0))</f>
        <v/>
      </c>
      <c r="Q1351" s="30">
        <f>IF(OR(H1351&lt;&gt;"Realizado",P1351="",P1351=0),"",A1351+P1351)</f>
        <v/>
      </c>
      <c r="R1351" s="26">
        <f>IF(Q1351="","",IF(COUNTIFS($E$5:$E$3004,E1351,$A$5:$A$3004,"&gt;"&amp;A1351,$H$5:$H$3004,"&lt;&gt;Falta",$H$5:$H$3004,"&lt;&gt;Cancelado",$H$5:$H$3004,"&lt;&gt;Remarcado")&gt;0,"Sim","Não"))</f>
        <v/>
      </c>
      <c r="S1351" s="32">
        <f>IF(R1351&lt;&gt;"Não","",IF(Q1351+Config!$B$9&lt;=Config!$B$8,Config!$B$8-Q1351,""))</f>
        <v/>
      </c>
      <c r="T1351" s="26">
        <f>IF(S1351="","","Sim")</f>
        <v/>
      </c>
      <c r="U1351" s="41">
        <f>IF(T1351="Sim",S1351+ROW()/100000,0)</f>
        <v>0</v>
      </c>
      <c r="V1351" s="41">
        <f>IF(AND(H1351="Falta",L1351=Config!$B$7,M1351=Config!$B$5,COUNTIFS($E$5:E1351,E1351,$H$5:H1351,"Falta",$L$5:L1351,Config!$B$7,$M$5:M1351,Config!$B$5)=1),COUNTIFS($E$5:$E$3004,E1351,$H$5:$H$3004,"Falta",$L$5:$L$3004,Config!$B$7,$M$5:$M$3004,Config!$B$5)*1000-ROW()/100000,0)</f>
        <v>0</v>
      </c>
    </row>
    <row r="1352">
      <c r="A1352" s="39" t="n"/>
      <c r="B1352" s="40" t="n"/>
      <c r="C1352" s="35" t="n"/>
      <c r="D1352" s="35" t="n"/>
      <c r="E1352" s="34" t="n"/>
      <c r="F1352" s="35" t="n"/>
      <c r="G1352" s="35" t="n"/>
      <c r="H1352" s="35" t="n"/>
      <c r="I1352" s="35" t="n"/>
      <c r="J1352" s="35" t="n"/>
      <c r="K1352" s="34" t="n"/>
      <c r="L1352" s="26">
        <f>IF(A1352="","",MONTH(A1352))</f>
        <v/>
      </c>
      <c r="M1352" s="26">
        <f>IF(A1352="","",YEAR(A1352))</f>
        <v/>
      </c>
      <c r="N1352" s="26">
        <f>IF(A1352="","",CHOOSE(WEEKDAY(A1352,2),"Segunda","Terça","Quarta","Quinta","Sexta","Sábado","Domingo"))</f>
        <v/>
      </c>
      <c r="O1352" s="26">
        <f>IF(B1352="","",IF(B1352&lt;TIME(12,0,0),"Manhã",IF(B1352&lt;TIME(18,0,0),"Tarde","Noite")))</f>
        <v/>
      </c>
      <c r="P1352" s="32">
        <f>IF(G1352="","",IFERROR(INDEX(Config!$I$5:$I$16,MATCH(G1352,Config!$H$5:$H$16,0)),0))</f>
        <v/>
      </c>
      <c r="Q1352" s="30">
        <f>IF(OR(H1352&lt;&gt;"Realizado",P1352="",P1352=0),"",A1352+P1352)</f>
        <v/>
      </c>
      <c r="R1352" s="26">
        <f>IF(Q1352="","",IF(COUNTIFS($E$5:$E$3004,E1352,$A$5:$A$3004,"&gt;"&amp;A1352,$H$5:$H$3004,"&lt;&gt;Falta",$H$5:$H$3004,"&lt;&gt;Cancelado",$H$5:$H$3004,"&lt;&gt;Remarcado")&gt;0,"Sim","Não"))</f>
        <v/>
      </c>
      <c r="S1352" s="32">
        <f>IF(R1352&lt;&gt;"Não","",IF(Q1352+Config!$B$9&lt;=Config!$B$8,Config!$B$8-Q1352,""))</f>
        <v/>
      </c>
      <c r="T1352" s="26">
        <f>IF(S1352="","","Sim")</f>
        <v/>
      </c>
      <c r="U1352" s="41">
        <f>IF(T1352="Sim",S1352+ROW()/100000,0)</f>
        <v>0</v>
      </c>
      <c r="V1352" s="41">
        <f>IF(AND(H1352="Falta",L1352=Config!$B$7,M1352=Config!$B$5,COUNTIFS($E$5:E1352,E1352,$H$5:H1352,"Falta",$L$5:L1352,Config!$B$7,$M$5:M1352,Config!$B$5)=1),COUNTIFS($E$5:$E$3004,E1352,$H$5:$H$3004,"Falta",$L$5:$L$3004,Config!$B$7,$M$5:$M$3004,Config!$B$5)*1000-ROW()/100000,0)</f>
        <v>0</v>
      </c>
    </row>
    <row r="1353">
      <c r="A1353" s="39" t="n"/>
      <c r="B1353" s="40" t="n"/>
      <c r="C1353" s="35" t="n"/>
      <c r="D1353" s="35" t="n"/>
      <c r="E1353" s="34" t="n"/>
      <c r="F1353" s="35" t="n"/>
      <c r="G1353" s="35" t="n"/>
      <c r="H1353" s="35" t="n"/>
      <c r="I1353" s="35" t="n"/>
      <c r="J1353" s="35" t="n"/>
      <c r="K1353" s="34" t="n"/>
      <c r="L1353" s="26">
        <f>IF(A1353="","",MONTH(A1353))</f>
        <v/>
      </c>
      <c r="M1353" s="26">
        <f>IF(A1353="","",YEAR(A1353))</f>
        <v/>
      </c>
      <c r="N1353" s="26">
        <f>IF(A1353="","",CHOOSE(WEEKDAY(A1353,2),"Segunda","Terça","Quarta","Quinta","Sexta","Sábado","Domingo"))</f>
        <v/>
      </c>
      <c r="O1353" s="26">
        <f>IF(B1353="","",IF(B1353&lt;TIME(12,0,0),"Manhã",IF(B1353&lt;TIME(18,0,0),"Tarde","Noite")))</f>
        <v/>
      </c>
      <c r="P1353" s="32">
        <f>IF(G1353="","",IFERROR(INDEX(Config!$I$5:$I$16,MATCH(G1353,Config!$H$5:$H$16,0)),0))</f>
        <v/>
      </c>
      <c r="Q1353" s="30">
        <f>IF(OR(H1353&lt;&gt;"Realizado",P1353="",P1353=0),"",A1353+P1353)</f>
        <v/>
      </c>
      <c r="R1353" s="26">
        <f>IF(Q1353="","",IF(COUNTIFS($E$5:$E$3004,E1353,$A$5:$A$3004,"&gt;"&amp;A1353,$H$5:$H$3004,"&lt;&gt;Falta",$H$5:$H$3004,"&lt;&gt;Cancelado",$H$5:$H$3004,"&lt;&gt;Remarcado")&gt;0,"Sim","Não"))</f>
        <v/>
      </c>
      <c r="S1353" s="32">
        <f>IF(R1353&lt;&gt;"Não","",IF(Q1353+Config!$B$9&lt;=Config!$B$8,Config!$B$8-Q1353,""))</f>
        <v/>
      </c>
      <c r="T1353" s="26">
        <f>IF(S1353="","","Sim")</f>
        <v/>
      </c>
      <c r="U1353" s="41">
        <f>IF(T1353="Sim",S1353+ROW()/100000,0)</f>
        <v>0</v>
      </c>
      <c r="V1353" s="41">
        <f>IF(AND(H1353="Falta",L1353=Config!$B$7,M1353=Config!$B$5,COUNTIFS($E$5:E1353,E1353,$H$5:H1353,"Falta",$L$5:L1353,Config!$B$7,$M$5:M1353,Config!$B$5)=1),COUNTIFS($E$5:$E$3004,E1353,$H$5:$H$3004,"Falta",$L$5:$L$3004,Config!$B$7,$M$5:$M$3004,Config!$B$5)*1000-ROW()/100000,0)</f>
        <v>0</v>
      </c>
    </row>
    <row r="1354">
      <c r="A1354" s="39" t="n"/>
      <c r="B1354" s="40" t="n"/>
      <c r="C1354" s="35" t="n"/>
      <c r="D1354" s="35" t="n"/>
      <c r="E1354" s="34" t="n"/>
      <c r="F1354" s="35" t="n"/>
      <c r="G1354" s="35" t="n"/>
      <c r="H1354" s="35" t="n"/>
      <c r="I1354" s="35" t="n"/>
      <c r="J1354" s="35" t="n"/>
      <c r="K1354" s="34" t="n"/>
      <c r="L1354" s="26">
        <f>IF(A1354="","",MONTH(A1354))</f>
        <v/>
      </c>
      <c r="M1354" s="26">
        <f>IF(A1354="","",YEAR(A1354))</f>
        <v/>
      </c>
      <c r="N1354" s="26">
        <f>IF(A1354="","",CHOOSE(WEEKDAY(A1354,2),"Segunda","Terça","Quarta","Quinta","Sexta","Sábado","Domingo"))</f>
        <v/>
      </c>
      <c r="O1354" s="26">
        <f>IF(B1354="","",IF(B1354&lt;TIME(12,0,0),"Manhã",IF(B1354&lt;TIME(18,0,0),"Tarde","Noite")))</f>
        <v/>
      </c>
      <c r="P1354" s="32">
        <f>IF(G1354="","",IFERROR(INDEX(Config!$I$5:$I$16,MATCH(G1354,Config!$H$5:$H$16,0)),0))</f>
        <v/>
      </c>
      <c r="Q1354" s="30">
        <f>IF(OR(H1354&lt;&gt;"Realizado",P1354="",P1354=0),"",A1354+P1354)</f>
        <v/>
      </c>
      <c r="R1354" s="26">
        <f>IF(Q1354="","",IF(COUNTIFS($E$5:$E$3004,E1354,$A$5:$A$3004,"&gt;"&amp;A1354,$H$5:$H$3004,"&lt;&gt;Falta",$H$5:$H$3004,"&lt;&gt;Cancelado",$H$5:$H$3004,"&lt;&gt;Remarcado")&gt;0,"Sim","Não"))</f>
        <v/>
      </c>
      <c r="S1354" s="32">
        <f>IF(R1354&lt;&gt;"Não","",IF(Q1354+Config!$B$9&lt;=Config!$B$8,Config!$B$8-Q1354,""))</f>
        <v/>
      </c>
      <c r="T1354" s="26">
        <f>IF(S1354="","","Sim")</f>
        <v/>
      </c>
      <c r="U1354" s="41">
        <f>IF(T1354="Sim",S1354+ROW()/100000,0)</f>
        <v>0</v>
      </c>
      <c r="V1354" s="41">
        <f>IF(AND(H1354="Falta",L1354=Config!$B$7,M1354=Config!$B$5,COUNTIFS($E$5:E1354,E1354,$H$5:H1354,"Falta",$L$5:L1354,Config!$B$7,$M$5:M1354,Config!$B$5)=1),COUNTIFS($E$5:$E$3004,E1354,$H$5:$H$3004,"Falta",$L$5:$L$3004,Config!$B$7,$M$5:$M$3004,Config!$B$5)*1000-ROW()/100000,0)</f>
        <v>0</v>
      </c>
    </row>
    <row r="1355">
      <c r="A1355" s="39" t="n"/>
      <c r="B1355" s="40" t="n"/>
      <c r="C1355" s="35" t="n"/>
      <c r="D1355" s="35" t="n"/>
      <c r="E1355" s="34" t="n"/>
      <c r="F1355" s="35" t="n"/>
      <c r="G1355" s="35" t="n"/>
      <c r="H1355" s="35" t="n"/>
      <c r="I1355" s="35" t="n"/>
      <c r="J1355" s="35" t="n"/>
      <c r="K1355" s="34" t="n"/>
      <c r="L1355" s="26">
        <f>IF(A1355="","",MONTH(A1355))</f>
        <v/>
      </c>
      <c r="M1355" s="26">
        <f>IF(A1355="","",YEAR(A1355))</f>
        <v/>
      </c>
      <c r="N1355" s="26">
        <f>IF(A1355="","",CHOOSE(WEEKDAY(A1355,2),"Segunda","Terça","Quarta","Quinta","Sexta","Sábado","Domingo"))</f>
        <v/>
      </c>
      <c r="O1355" s="26">
        <f>IF(B1355="","",IF(B1355&lt;TIME(12,0,0),"Manhã",IF(B1355&lt;TIME(18,0,0),"Tarde","Noite")))</f>
        <v/>
      </c>
      <c r="P1355" s="32">
        <f>IF(G1355="","",IFERROR(INDEX(Config!$I$5:$I$16,MATCH(G1355,Config!$H$5:$H$16,0)),0))</f>
        <v/>
      </c>
      <c r="Q1355" s="30">
        <f>IF(OR(H1355&lt;&gt;"Realizado",P1355="",P1355=0),"",A1355+P1355)</f>
        <v/>
      </c>
      <c r="R1355" s="26">
        <f>IF(Q1355="","",IF(COUNTIFS($E$5:$E$3004,E1355,$A$5:$A$3004,"&gt;"&amp;A1355,$H$5:$H$3004,"&lt;&gt;Falta",$H$5:$H$3004,"&lt;&gt;Cancelado",$H$5:$H$3004,"&lt;&gt;Remarcado")&gt;0,"Sim","Não"))</f>
        <v/>
      </c>
      <c r="S1355" s="32">
        <f>IF(R1355&lt;&gt;"Não","",IF(Q1355+Config!$B$9&lt;=Config!$B$8,Config!$B$8-Q1355,""))</f>
        <v/>
      </c>
      <c r="T1355" s="26">
        <f>IF(S1355="","","Sim")</f>
        <v/>
      </c>
      <c r="U1355" s="41">
        <f>IF(T1355="Sim",S1355+ROW()/100000,0)</f>
        <v>0</v>
      </c>
      <c r="V1355" s="41">
        <f>IF(AND(H1355="Falta",L1355=Config!$B$7,M1355=Config!$B$5,COUNTIFS($E$5:E1355,E1355,$H$5:H1355,"Falta",$L$5:L1355,Config!$B$7,$M$5:M1355,Config!$B$5)=1),COUNTIFS($E$5:$E$3004,E1355,$H$5:$H$3004,"Falta",$L$5:$L$3004,Config!$B$7,$M$5:$M$3004,Config!$B$5)*1000-ROW()/100000,0)</f>
        <v>0</v>
      </c>
    </row>
    <row r="1356">
      <c r="A1356" s="39" t="n"/>
      <c r="B1356" s="40" t="n"/>
      <c r="C1356" s="35" t="n"/>
      <c r="D1356" s="35" t="n"/>
      <c r="E1356" s="34" t="n"/>
      <c r="F1356" s="35" t="n"/>
      <c r="G1356" s="35" t="n"/>
      <c r="H1356" s="35" t="n"/>
      <c r="I1356" s="35" t="n"/>
      <c r="J1356" s="35" t="n"/>
      <c r="K1356" s="34" t="n"/>
      <c r="L1356" s="26">
        <f>IF(A1356="","",MONTH(A1356))</f>
        <v/>
      </c>
      <c r="M1356" s="26">
        <f>IF(A1356="","",YEAR(A1356))</f>
        <v/>
      </c>
      <c r="N1356" s="26">
        <f>IF(A1356="","",CHOOSE(WEEKDAY(A1356,2),"Segunda","Terça","Quarta","Quinta","Sexta","Sábado","Domingo"))</f>
        <v/>
      </c>
      <c r="O1356" s="26">
        <f>IF(B1356="","",IF(B1356&lt;TIME(12,0,0),"Manhã",IF(B1356&lt;TIME(18,0,0),"Tarde","Noite")))</f>
        <v/>
      </c>
      <c r="P1356" s="32">
        <f>IF(G1356="","",IFERROR(INDEX(Config!$I$5:$I$16,MATCH(G1356,Config!$H$5:$H$16,0)),0))</f>
        <v/>
      </c>
      <c r="Q1356" s="30">
        <f>IF(OR(H1356&lt;&gt;"Realizado",P1356="",P1356=0),"",A1356+P1356)</f>
        <v/>
      </c>
      <c r="R1356" s="26">
        <f>IF(Q1356="","",IF(COUNTIFS($E$5:$E$3004,E1356,$A$5:$A$3004,"&gt;"&amp;A1356,$H$5:$H$3004,"&lt;&gt;Falta",$H$5:$H$3004,"&lt;&gt;Cancelado",$H$5:$H$3004,"&lt;&gt;Remarcado")&gt;0,"Sim","Não"))</f>
        <v/>
      </c>
      <c r="S1356" s="32">
        <f>IF(R1356&lt;&gt;"Não","",IF(Q1356+Config!$B$9&lt;=Config!$B$8,Config!$B$8-Q1356,""))</f>
        <v/>
      </c>
      <c r="T1356" s="26">
        <f>IF(S1356="","","Sim")</f>
        <v/>
      </c>
      <c r="U1356" s="41">
        <f>IF(T1356="Sim",S1356+ROW()/100000,0)</f>
        <v>0</v>
      </c>
      <c r="V1356" s="41">
        <f>IF(AND(H1356="Falta",L1356=Config!$B$7,M1356=Config!$B$5,COUNTIFS($E$5:E1356,E1356,$H$5:H1356,"Falta",$L$5:L1356,Config!$B$7,$M$5:M1356,Config!$B$5)=1),COUNTIFS($E$5:$E$3004,E1356,$H$5:$H$3004,"Falta",$L$5:$L$3004,Config!$B$7,$M$5:$M$3004,Config!$B$5)*1000-ROW()/100000,0)</f>
        <v>0</v>
      </c>
    </row>
    <row r="1357">
      <c r="A1357" s="39" t="n"/>
      <c r="B1357" s="40" t="n"/>
      <c r="C1357" s="35" t="n"/>
      <c r="D1357" s="35" t="n"/>
      <c r="E1357" s="34" t="n"/>
      <c r="F1357" s="35" t="n"/>
      <c r="G1357" s="35" t="n"/>
      <c r="H1357" s="35" t="n"/>
      <c r="I1357" s="35" t="n"/>
      <c r="J1357" s="35" t="n"/>
      <c r="K1357" s="34" t="n"/>
      <c r="L1357" s="26">
        <f>IF(A1357="","",MONTH(A1357))</f>
        <v/>
      </c>
      <c r="M1357" s="26">
        <f>IF(A1357="","",YEAR(A1357))</f>
        <v/>
      </c>
      <c r="N1357" s="26">
        <f>IF(A1357="","",CHOOSE(WEEKDAY(A1357,2),"Segunda","Terça","Quarta","Quinta","Sexta","Sábado","Domingo"))</f>
        <v/>
      </c>
      <c r="O1357" s="26">
        <f>IF(B1357="","",IF(B1357&lt;TIME(12,0,0),"Manhã",IF(B1357&lt;TIME(18,0,0),"Tarde","Noite")))</f>
        <v/>
      </c>
      <c r="P1357" s="32">
        <f>IF(G1357="","",IFERROR(INDEX(Config!$I$5:$I$16,MATCH(G1357,Config!$H$5:$H$16,0)),0))</f>
        <v/>
      </c>
      <c r="Q1357" s="30">
        <f>IF(OR(H1357&lt;&gt;"Realizado",P1357="",P1357=0),"",A1357+P1357)</f>
        <v/>
      </c>
      <c r="R1357" s="26">
        <f>IF(Q1357="","",IF(COUNTIFS($E$5:$E$3004,E1357,$A$5:$A$3004,"&gt;"&amp;A1357,$H$5:$H$3004,"&lt;&gt;Falta",$H$5:$H$3004,"&lt;&gt;Cancelado",$H$5:$H$3004,"&lt;&gt;Remarcado")&gt;0,"Sim","Não"))</f>
        <v/>
      </c>
      <c r="S1357" s="32">
        <f>IF(R1357&lt;&gt;"Não","",IF(Q1357+Config!$B$9&lt;=Config!$B$8,Config!$B$8-Q1357,""))</f>
        <v/>
      </c>
      <c r="T1357" s="26">
        <f>IF(S1357="","","Sim")</f>
        <v/>
      </c>
      <c r="U1357" s="41">
        <f>IF(T1357="Sim",S1357+ROW()/100000,0)</f>
        <v>0</v>
      </c>
      <c r="V1357" s="41">
        <f>IF(AND(H1357="Falta",L1357=Config!$B$7,M1357=Config!$B$5,COUNTIFS($E$5:E1357,E1357,$H$5:H1357,"Falta",$L$5:L1357,Config!$B$7,$M$5:M1357,Config!$B$5)=1),COUNTIFS($E$5:$E$3004,E1357,$H$5:$H$3004,"Falta",$L$5:$L$3004,Config!$B$7,$M$5:$M$3004,Config!$B$5)*1000-ROW()/100000,0)</f>
        <v>0</v>
      </c>
    </row>
    <row r="1358">
      <c r="A1358" s="39" t="n"/>
      <c r="B1358" s="40" t="n"/>
      <c r="C1358" s="35" t="n"/>
      <c r="D1358" s="35" t="n"/>
      <c r="E1358" s="34" t="n"/>
      <c r="F1358" s="35" t="n"/>
      <c r="G1358" s="35" t="n"/>
      <c r="H1358" s="35" t="n"/>
      <c r="I1358" s="35" t="n"/>
      <c r="J1358" s="35" t="n"/>
      <c r="K1358" s="34" t="n"/>
      <c r="L1358" s="26">
        <f>IF(A1358="","",MONTH(A1358))</f>
        <v/>
      </c>
      <c r="M1358" s="26">
        <f>IF(A1358="","",YEAR(A1358))</f>
        <v/>
      </c>
      <c r="N1358" s="26">
        <f>IF(A1358="","",CHOOSE(WEEKDAY(A1358,2),"Segunda","Terça","Quarta","Quinta","Sexta","Sábado","Domingo"))</f>
        <v/>
      </c>
      <c r="O1358" s="26">
        <f>IF(B1358="","",IF(B1358&lt;TIME(12,0,0),"Manhã",IF(B1358&lt;TIME(18,0,0),"Tarde","Noite")))</f>
        <v/>
      </c>
      <c r="P1358" s="32">
        <f>IF(G1358="","",IFERROR(INDEX(Config!$I$5:$I$16,MATCH(G1358,Config!$H$5:$H$16,0)),0))</f>
        <v/>
      </c>
      <c r="Q1358" s="30">
        <f>IF(OR(H1358&lt;&gt;"Realizado",P1358="",P1358=0),"",A1358+P1358)</f>
        <v/>
      </c>
      <c r="R1358" s="26">
        <f>IF(Q1358="","",IF(COUNTIFS($E$5:$E$3004,E1358,$A$5:$A$3004,"&gt;"&amp;A1358,$H$5:$H$3004,"&lt;&gt;Falta",$H$5:$H$3004,"&lt;&gt;Cancelado",$H$5:$H$3004,"&lt;&gt;Remarcado")&gt;0,"Sim","Não"))</f>
        <v/>
      </c>
      <c r="S1358" s="32">
        <f>IF(R1358&lt;&gt;"Não","",IF(Q1358+Config!$B$9&lt;=Config!$B$8,Config!$B$8-Q1358,""))</f>
        <v/>
      </c>
      <c r="T1358" s="26">
        <f>IF(S1358="","","Sim")</f>
        <v/>
      </c>
      <c r="U1358" s="41">
        <f>IF(T1358="Sim",S1358+ROW()/100000,0)</f>
        <v>0</v>
      </c>
      <c r="V1358" s="41">
        <f>IF(AND(H1358="Falta",L1358=Config!$B$7,M1358=Config!$B$5,COUNTIFS($E$5:E1358,E1358,$H$5:H1358,"Falta",$L$5:L1358,Config!$B$7,$M$5:M1358,Config!$B$5)=1),COUNTIFS($E$5:$E$3004,E1358,$H$5:$H$3004,"Falta",$L$5:$L$3004,Config!$B$7,$M$5:$M$3004,Config!$B$5)*1000-ROW()/100000,0)</f>
        <v>0</v>
      </c>
    </row>
    <row r="1359">
      <c r="A1359" s="39" t="n"/>
      <c r="B1359" s="40" t="n"/>
      <c r="C1359" s="35" t="n"/>
      <c r="D1359" s="35" t="n"/>
      <c r="E1359" s="34" t="n"/>
      <c r="F1359" s="35" t="n"/>
      <c r="G1359" s="35" t="n"/>
      <c r="H1359" s="35" t="n"/>
      <c r="I1359" s="35" t="n"/>
      <c r="J1359" s="35" t="n"/>
      <c r="K1359" s="34" t="n"/>
      <c r="L1359" s="26">
        <f>IF(A1359="","",MONTH(A1359))</f>
        <v/>
      </c>
      <c r="M1359" s="26">
        <f>IF(A1359="","",YEAR(A1359))</f>
        <v/>
      </c>
      <c r="N1359" s="26">
        <f>IF(A1359="","",CHOOSE(WEEKDAY(A1359,2),"Segunda","Terça","Quarta","Quinta","Sexta","Sábado","Domingo"))</f>
        <v/>
      </c>
      <c r="O1359" s="26">
        <f>IF(B1359="","",IF(B1359&lt;TIME(12,0,0),"Manhã",IF(B1359&lt;TIME(18,0,0),"Tarde","Noite")))</f>
        <v/>
      </c>
      <c r="P1359" s="32">
        <f>IF(G1359="","",IFERROR(INDEX(Config!$I$5:$I$16,MATCH(G1359,Config!$H$5:$H$16,0)),0))</f>
        <v/>
      </c>
      <c r="Q1359" s="30">
        <f>IF(OR(H1359&lt;&gt;"Realizado",P1359="",P1359=0),"",A1359+P1359)</f>
        <v/>
      </c>
      <c r="R1359" s="26">
        <f>IF(Q1359="","",IF(COUNTIFS($E$5:$E$3004,E1359,$A$5:$A$3004,"&gt;"&amp;A1359,$H$5:$H$3004,"&lt;&gt;Falta",$H$5:$H$3004,"&lt;&gt;Cancelado",$H$5:$H$3004,"&lt;&gt;Remarcado")&gt;0,"Sim","Não"))</f>
        <v/>
      </c>
      <c r="S1359" s="32">
        <f>IF(R1359&lt;&gt;"Não","",IF(Q1359+Config!$B$9&lt;=Config!$B$8,Config!$B$8-Q1359,""))</f>
        <v/>
      </c>
      <c r="T1359" s="26">
        <f>IF(S1359="","","Sim")</f>
        <v/>
      </c>
      <c r="U1359" s="41">
        <f>IF(T1359="Sim",S1359+ROW()/100000,0)</f>
        <v>0</v>
      </c>
      <c r="V1359" s="41">
        <f>IF(AND(H1359="Falta",L1359=Config!$B$7,M1359=Config!$B$5,COUNTIFS($E$5:E1359,E1359,$H$5:H1359,"Falta",$L$5:L1359,Config!$B$7,$M$5:M1359,Config!$B$5)=1),COUNTIFS($E$5:$E$3004,E1359,$H$5:$H$3004,"Falta",$L$5:$L$3004,Config!$B$7,$M$5:$M$3004,Config!$B$5)*1000-ROW()/100000,0)</f>
        <v>0</v>
      </c>
    </row>
    <row r="1360">
      <c r="A1360" s="39" t="n"/>
      <c r="B1360" s="40" t="n"/>
      <c r="C1360" s="35" t="n"/>
      <c r="D1360" s="35" t="n"/>
      <c r="E1360" s="34" t="n"/>
      <c r="F1360" s="35" t="n"/>
      <c r="G1360" s="35" t="n"/>
      <c r="H1360" s="35" t="n"/>
      <c r="I1360" s="35" t="n"/>
      <c r="J1360" s="35" t="n"/>
      <c r="K1360" s="34" t="n"/>
      <c r="L1360" s="26">
        <f>IF(A1360="","",MONTH(A1360))</f>
        <v/>
      </c>
      <c r="M1360" s="26">
        <f>IF(A1360="","",YEAR(A1360))</f>
        <v/>
      </c>
      <c r="N1360" s="26">
        <f>IF(A1360="","",CHOOSE(WEEKDAY(A1360,2),"Segunda","Terça","Quarta","Quinta","Sexta","Sábado","Domingo"))</f>
        <v/>
      </c>
      <c r="O1360" s="26">
        <f>IF(B1360="","",IF(B1360&lt;TIME(12,0,0),"Manhã",IF(B1360&lt;TIME(18,0,0),"Tarde","Noite")))</f>
        <v/>
      </c>
      <c r="P1360" s="32">
        <f>IF(G1360="","",IFERROR(INDEX(Config!$I$5:$I$16,MATCH(G1360,Config!$H$5:$H$16,0)),0))</f>
        <v/>
      </c>
      <c r="Q1360" s="30">
        <f>IF(OR(H1360&lt;&gt;"Realizado",P1360="",P1360=0),"",A1360+P1360)</f>
        <v/>
      </c>
      <c r="R1360" s="26">
        <f>IF(Q1360="","",IF(COUNTIFS($E$5:$E$3004,E1360,$A$5:$A$3004,"&gt;"&amp;A1360,$H$5:$H$3004,"&lt;&gt;Falta",$H$5:$H$3004,"&lt;&gt;Cancelado",$H$5:$H$3004,"&lt;&gt;Remarcado")&gt;0,"Sim","Não"))</f>
        <v/>
      </c>
      <c r="S1360" s="32">
        <f>IF(R1360&lt;&gt;"Não","",IF(Q1360+Config!$B$9&lt;=Config!$B$8,Config!$B$8-Q1360,""))</f>
        <v/>
      </c>
      <c r="T1360" s="26">
        <f>IF(S1360="","","Sim")</f>
        <v/>
      </c>
      <c r="U1360" s="41">
        <f>IF(T1360="Sim",S1360+ROW()/100000,0)</f>
        <v>0</v>
      </c>
      <c r="V1360" s="41">
        <f>IF(AND(H1360="Falta",L1360=Config!$B$7,M1360=Config!$B$5,COUNTIFS($E$5:E1360,E1360,$H$5:H1360,"Falta",$L$5:L1360,Config!$B$7,$M$5:M1360,Config!$B$5)=1),COUNTIFS($E$5:$E$3004,E1360,$H$5:$H$3004,"Falta",$L$5:$L$3004,Config!$B$7,$M$5:$M$3004,Config!$B$5)*1000-ROW()/100000,0)</f>
        <v>0</v>
      </c>
    </row>
    <row r="1361">
      <c r="A1361" s="39" t="n"/>
      <c r="B1361" s="40" t="n"/>
      <c r="C1361" s="35" t="n"/>
      <c r="D1361" s="35" t="n"/>
      <c r="E1361" s="34" t="n"/>
      <c r="F1361" s="35" t="n"/>
      <c r="G1361" s="35" t="n"/>
      <c r="H1361" s="35" t="n"/>
      <c r="I1361" s="35" t="n"/>
      <c r="J1361" s="35" t="n"/>
      <c r="K1361" s="34" t="n"/>
      <c r="L1361" s="26">
        <f>IF(A1361="","",MONTH(A1361))</f>
        <v/>
      </c>
      <c r="M1361" s="26">
        <f>IF(A1361="","",YEAR(A1361))</f>
        <v/>
      </c>
      <c r="N1361" s="26">
        <f>IF(A1361="","",CHOOSE(WEEKDAY(A1361,2),"Segunda","Terça","Quarta","Quinta","Sexta","Sábado","Domingo"))</f>
        <v/>
      </c>
      <c r="O1361" s="26">
        <f>IF(B1361="","",IF(B1361&lt;TIME(12,0,0),"Manhã",IF(B1361&lt;TIME(18,0,0),"Tarde","Noite")))</f>
        <v/>
      </c>
      <c r="P1361" s="32">
        <f>IF(G1361="","",IFERROR(INDEX(Config!$I$5:$I$16,MATCH(G1361,Config!$H$5:$H$16,0)),0))</f>
        <v/>
      </c>
      <c r="Q1361" s="30">
        <f>IF(OR(H1361&lt;&gt;"Realizado",P1361="",P1361=0),"",A1361+P1361)</f>
        <v/>
      </c>
      <c r="R1361" s="26">
        <f>IF(Q1361="","",IF(COUNTIFS($E$5:$E$3004,E1361,$A$5:$A$3004,"&gt;"&amp;A1361,$H$5:$H$3004,"&lt;&gt;Falta",$H$5:$H$3004,"&lt;&gt;Cancelado",$H$5:$H$3004,"&lt;&gt;Remarcado")&gt;0,"Sim","Não"))</f>
        <v/>
      </c>
      <c r="S1361" s="32">
        <f>IF(R1361&lt;&gt;"Não","",IF(Q1361+Config!$B$9&lt;=Config!$B$8,Config!$B$8-Q1361,""))</f>
        <v/>
      </c>
      <c r="T1361" s="26">
        <f>IF(S1361="","","Sim")</f>
        <v/>
      </c>
      <c r="U1361" s="41">
        <f>IF(T1361="Sim",S1361+ROW()/100000,0)</f>
        <v>0</v>
      </c>
      <c r="V1361" s="41">
        <f>IF(AND(H1361="Falta",L1361=Config!$B$7,M1361=Config!$B$5,COUNTIFS($E$5:E1361,E1361,$H$5:H1361,"Falta",$L$5:L1361,Config!$B$7,$M$5:M1361,Config!$B$5)=1),COUNTIFS($E$5:$E$3004,E1361,$H$5:$H$3004,"Falta",$L$5:$L$3004,Config!$B$7,$M$5:$M$3004,Config!$B$5)*1000-ROW()/100000,0)</f>
        <v>0</v>
      </c>
    </row>
    <row r="1362">
      <c r="A1362" s="39" t="n"/>
      <c r="B1362" s="40" t="n"/>
      <c r="C1362" s="35" t="n"/>
      <c r="D1362" s="35" t="n"/>
      <c r="E1362" s="34" t="n"/>
      <c r="F1362" s="35" t="n"/>
      <c r="G1362" s="35" t="n"/>
      <c r="H1362" s="35" t="n"/>
      <c r="I1362" s="35" t="n"/>
      <c r="J1362" s="35" t="n"/>
      <c r="K1362" s="34" t="n"/>
      <c r="L1362" s="26">
        <f>IF(A1362="","",MONTH(A1362))</f>
        <v/>
      </c>
      <c r="M1362" s="26">
        <f>IF(A1362="","",YEAR(A1362))</f>
        <v/>
      </c>
      <c r="N1362" s="26">
        <f>IF(A1362="","",CHOOSE(WEEKDAY(A1362,2),"Segunda","Terça","Quarta","Quinta","Sexta","Sábado","Domingo"))</f>
        <v/>
      </c>
      <c r="O1362" s="26">
        <f>IF(B1362="","",IF(B1362&lt;TIME(12,0,0),"Manhã",IF(B1362&lt;TIME(18,0,0),"Tarde","Noite")))</f>
        <v/>
      </c>
      <c r="P1362" s="32">
        <f>IF(G1362="","",IFERROR(INDEX(Config!$I$5:$I$16,MATCH(G1362,Config!$H$5:$H$16,0)),0))</f>
        <v/>
      </c>
      <c r="Q1362" s="30">
        <f>IF(OR(H1362&lt;&gt;"Realizado",P1362="",P1362=0),"",A1362+P1362)</f>
        <v/>
      </c>
      <c r="R1362" s="26">
        <f>IF(Q1362="","",IF(COUNTIFS($E$5:$E$3004,E1362,$A$5:$A$3004,"&gt;"&amp;A1362,$H$5:$H$3004,"&lt;&gt;Falta",$H$5:$H$3004,"&lt;&gt;Cancelado",$H$5:$H$3004,"&lt;&gt;Remarcado")&gt;0,"Sim","Não"))</f>
        <v/>
      </c>
      <c r="S1362" s="32">
        <f>IF(R1362&lt;&gt;"Não","",IF(Q1362+Config!$B$9&lt;=Config!$B$8,Config!$B$8-Q1362,""))</f>
        <v/>
      </c>
      <c r="T1362" s="26">
        <f>IF(S1362="","","Sim")</f>
        <v/>
      </c>
      <c r="U1362" s="41">
        <f>IF(T1362="Sim",S1362+ROW()/100000,0)</f>
        <v>0</v>
      </c>
      <c r="V1362" s="41">
        <f>IF(AND(H1362="Falta",L1362=Config!$B$7,M1362=Config!$B$5,COUNTIFS($E$5:E1362,E1362,$H$5:H1362,"Falta",$L$5:L1362,Config!$B$7,$M$5:M1362,Config!$B$5)=1),COUNTIFS($E$5:$E$3004,E1362,$H$5:$H$3004,"Falta",$L$5:$L$3004,Config!$B$7,$M$5:$M$3004,Config!$B$5)*1000-ROW()/100000,0)</f>
        <v>0</v>
      </c>
    </row>
    <row r="1363">
      <c r="A1363" s="39" t="n"/>
      <c r="B1363" s="40" t="n"/>
      <c r="C1363" s="35" t="n"/>
      <c r="D1363" s="35" t="n"/>
      <c r="E1363" s="34" t="n"/>
      <c r="F1363" s="35" t="n"/>
      <c r="G1363" s="35" t="n"/>
      <c r="H1363" s="35" t="n"/>
      <c r="I1363" s="35" t="n"/>
      <c r="J1363" s="35" t="n"/>
      <c r="K1363" s="34" t="n"/>
      <c r="L1363" s="26">
        <f>IF(A1363="","",MONTH(A1363))</f>
        <v/>
      </c>
      <c r="M1363" s="26">
        <f>IF(A1363="","",YEAR(A1363))</f>
        <v/>
      </c>
      <c r="N1363" s="26">
        <f>IF(A1363="","",CHOOSE(WEEKDAY(A1363,2),"Segunda","Terça","Quarta","Quinta","Sexta","Sábado","Domingo"))</f>
        <v/>
      </c>
      <c r="O1363" s="26">
        <f>IF(B1363="","",IF(B1363&lt;TIME(12,0,0),"Manhã",IF(B1363&lt;TIME(18,0,0),"Tarde","Noite")))</f>
        <v/>
      </c>
      <c r="P1363" s="32">
        <f>IF(G1363="","",IFERROR(INDEX(Config!$I$5:$I$16,MATCH(G1363,Config!$H$5:$H$16,0)),0))</f>
        <v/>
      </c>
      <c r="Q1363" s="30">
        <f>IF(OR(H1363&lt;&gt;"Realizado",P1363="",P1363=0),"",A1363+P1363)</f>
        <v/>
      </c>
      <c r="R1363" s="26">
        <f>IF(Q1363="","",IF(COUNTIFS($E$5:$E$3004,E1363,$A$5:$A$3004,"&gt;"&amp;A1363,$H$5:$H$3004,"&lt;&gt;Falta",$H$5:$H$3004,"&lt;&gt;Cancelado",$H$5:$H$3004,"&lt;&gt;Remarcado")&gt;0,"Sim","Não"))</f>
        <v/>
      </c>
      <c r="S1363" s="32">
        <f>IF(R1363&lt;&gt;"Não","",IF(Q1363+Config!$B$9&lt;=Config!$B$8,Config!$B$8-Q1363,""))</f>
        <v/>
      </c>
      <c r="T1363" s="26">
        <f>IF(S1363="","","Sim")</f>
        <v/>
      </c>
      <c r="U1363" s="41">
        <f>IF(T1363="Sim",S1363+ROW()/100000,0)</f>
        <v>0</v>
      </c>
      <c r="V1363" s="41">
        <f>IF(AND(H1363="Falta",L1363=Config!$B$7,M1363=Config!$B$5,COUNTIFS($E$5:E1363,E1363,$H$5:H1363,"Falta",$L$5:L1363,Config!$B$7,$M$5:M1363,Config!$B$5)=1),COUNTIFS($E$5:$E$3004,E1363,$H$5:$H$3004,"Falta",$L$5:$L$3004,Config!$B$7,$M$5:$M$3004,Config!$B$5)*1000-ROW()/100000,0)</f>
        <v>0</v>
      </c>
    </row>
    <row r="1364">
      <c r="A1364" s="39" t="n"/>
      <c r="B1364" s="40" t="n"/>
      <c r="C1364" s="35" t="n"/>
      <c r="D1364" s="35" t="n"/>
      <c r="E1364" s="34" t="n"/>
      <c r="F1364" s="35" t="n"/>
      <c r="G1364" s="35" t="n"/>
      <c r="H1364" s="35" t="n"/>
      <c r="I1364" s="35" t="n"/>
      <c r="J1364" s="35" t="n"/>
      <c r="K1364" s="34" t="n"/>
      <c r="L1364" s="26">
        <f>IF(A1364="","",MONTH(A1364))</f>
        <v/>
      </c>
      <c r="M1364" s="26">
        <f>IF(A1364="","",YEAR(A1364))</f>
        <v/>
      </c>
      <c r="N1364" s="26">
        <f>IF(A1364="","",CHOOSE(WEEKDAY(A1364,2),"Segunda","Terça","Quarta","Quinta","Sexta","Sábado","Domingo"))</f>
        <v/>
      </c>
      <c r="O1364" s="26">
        <f>IF(B1364="","",IF(B1364&lt;TIME(12,0,0),"Manhã",IF(B1364&lt;TIME(18,0,0),"Tarde","Noite")))</f>
        <v/>
      </c>
      <c r="P1364" s="32">
        <f>IF(G1364="","",IFERROR(INDEX(Config!$I$5:$I$16,MATCH(G1364,Config!$H$5:$H$16,0)),0))</f>
        <v/>
      </c>
      <c r="Q1364" s="30">
        <f>IF(OR(H1364&lt;&gt;"Realizado",P1364="",P1364=0),"",A1364+P1364)</f>
        <v/>
      </c>
      <c r="R1364" s="26">
        <f>IF(Q1364="","",IF(COUNTIFS($E$5:$E$3004,E1364,$A$5:$A$3004,"&gt;"&amp;A1364,$H$5:$H$3004,"&lt;&gt;Falta",$H$5:$H$3004,"&lt;&gt;Cancelado",$H$5:$H$3004,"&lt;&gt;Remarcado")&gt;0,"Sim","Não"))</f>
        <v/>
      </c>
      <c r="S1364" s="32">
        <f>IF(R1364&lt;&gt;"Não","",IF(Q1364+Config!$B$9&lt;=Config!$B$8,Config!$B$8-Q1364,""))</f>
        <v/>
      </c>
      <c r="T1364" s="26">
        <f>IF(S1364="","","Sim")</f>
        <v/>
      </c>
      <c r="U1364" s="41">
        <f>IF(T1364="Sim",S1364+ROW()/100000,0)</f>
        <v>0</v>
      </c>
      <c r="V1364" s="41">
        <f>IF(AND(H1364="Falta",L1364=Config!$B$7,M1364=Config!$B$5,COUNTIFS($E$5:E1364,E1364,$H$5:H1364,"Falta",$L$5:L1364,Config!$B$7,$M$5:M1364,Config!$B$5)=1),COUNTIFS($E$5:$E$3004,E1364,$H$5:$H$3004,"Falta",$L$5:$L$3004,Config!$B$7,$M$5:$M$3004,Config!$B$5)*1000-ROW()/100000,0)</f>
        <v>0</v>
      </c>
    </row>
    <row r="1365">
      <c r="A1365" s="39" t="n"/>
      <c r="B1365" s="40" t="n"/>
      <c r="C1365" s="35" t="n"/>
      <c r="D1365" s="35" t="n"/>
      <c r="E1365" s="34" t="n"/>
      <c r="F1365" s="35" t="n"/>
      <c r="G1365" s="35" t="n"/>
      <c r="H1365" s="35" t="n"/>
      <c r="I1365" s="35" t="n"/>
      <c r="J1365" s="35" t="n"/>
      <c r="K1365" s="34" t="n"/>
      <c r="L1365" s="26">
        <f>IF(A1365="","",MONTH(A1365))</f>
        <v/>
      </c>
      <c r="M1365" s="26">
        <f>IF(A1365="","",YEAR(A1365))</f>
        <v/>
      </c>
      <c r="N1365" s="26">
        <f>IF(A1365="","",CHOOSE(WEEKDAY(A1365,2),"Segunda","Terça","Quarta","Quinta","Sexta","Sábado","Domingo"))</f>
        <v/>
      </c>
      <c r="O1365" s="26">
        <f>IF(B1365="","",IF(B1365&lt;TIME(12,0,0),"Manhã",IF(B1365&lt;TIME(18,0,0),"Tarde","Noite")))</f>
        <v/>
      </c>
      <c r="P1365" s="32">
        <f>IF(G1365="","",IFERROR(INDEX(Config!$I$5:$I$16,MATCH(G1365,Config!$H$5:$H$16,0)),0))</f>
        <v/>
      </c>
      <c r="Q1365" s="30">
        <f>IF(OR(H1365&lt;&gt;"Realizado",P1365="",P1365=0),"",A1365+P1365)</f>
        <v/>
      </c>
      <c r="R1365" s="26">
        <f>IF(Q1365="","",IF(COUNTIFS($E$5:$E$3004,E1365,$A$5:$A$3004,"&gt;"&amp;A1365,$H$5:$H$3004,"&lt;&gt;Falta",$H$5:$H$3004,"&lt;&gt;Cancelado",$H$5:$H$3004,"&lt;&gt;Remarcado")&gt;0,"Sim","Não"))</f>
        <v/>
      </c>
      <c r="S1365" s="32">
        <f>IF(R1365&lt;&gt;"Não","",IF(Q1365+Config!$B$9&lt;=Config!$B$8,Config!$B$8-Q1365,""))</f>
        <v/>
      </c>
      <c r="T1365" s="26">
        <f>IF(S1365="","","Sim")</f>
        <v/>
      </c>
      <c r="U1365" s="41">
        <f>IF(T1365="Sim",S1365+ROW()/100000,0)</f>
        <v>0</v>
      </c>
      <c r="V1365" s="41">
        <f>IF(AND(H1365="Falta",L1365=Config!$B$7,M1365=Config!$B$5,COUNTIFS($E$5:E1365,E1365,$H$5:H1365,"Falta",$L$5:L1365,Config!$B$7,$M$5:M1365,Config!$B$5)=1),COUNTIFS($E$5:$E$3004,E1365,$H$5:$H$3004,"Falta",$L$5:$L$3004,Config!$B$7,$M$5:$M$3004,Config!$B$5)*1000-ROW()/100000,0)</f>
        <v>0</v>
      </c>
    </row>
    <row r="1366">
      <c r="A1366" s="39" t="n"/>
      <c r="B1366" s="40" t="n"/>
      <c r="C1366" s="35" t="n"/>
      <c r="D1366" s="35" t="n"/>
      <c r="E1366" s="34" t="n"/>
      <c r="F1366" s="35" t="n"/>
      <c r="G1366" s="35" t="n"/>
      <c r="H1366" s="35" t="n"/>
      <c r="I1366" s="35" t="n"/>
      <c r="J1366" s="35" t="n"/>
      <c r="K1366" s="34" t="n"/>
      <c r="L1366" s="26">
        <f>IF(A1366="","",MONTH(A1366))</f>
        <v/>
      </c>
      <c r="M1366" s="26">
        <f>IF(A1366="","",YEAR(A1366))</f>
        <v/>
      </c>
      <c r="N1366" s="26">
        <f>IF(A1366="","",CHOOSE(WEEKDAY(A1366,2),"Segunda","Terça","Quarta","Quinta","Sexta","Sábado","Domingo"))</f>
        <v/>
      </c>
      <c r="O1366" s="26">
        <f>IF(B1366="","",IF(B1366&lt;TIME(12,0,0),"Manhã",IF(B1366&lt;TIME(18,0,0),"Tarde","Noite")))</f>
        <v/>
      </c>
      <c r="P1366" s="32">
        <f>IF(G1366="","",IFERROR(INDEX(Config!$I$5:$I$16,MATCH(G1366,Config!$H$5:$H$16,0)),0))</f>
        <v/>
      </c>
      <c r="Q1366" s="30">
        <f>IF(OR(H1366&lt;&gt;"Realizado",P1366="",P1366=0),"",A1366+P1366)</f>
        <v/>
      </c>
      <c r="R1366" s="26">
        <f>IF(Q1366="","",IF(COUNTIFS($E$5:$E$3004,E1366,$A$5:$A$3004,"&gt;"&amp;A1366,$H$5:$H$3004,"&lt;&gt;Falta",$H$5:$H$3004,"&lt;&gt;Cancelado",$H$5:$H$3004,"&lt;&gt;Remarcado")&gt;0,"Sim","Não"))</f>
        <v/>
      </c>
      <c r="S1366" s="32">
        <f>IF(R1366&lt;&gt;"Não","",IF(Q1366+Config!$B$9&lt;=Config!$B$8,Config!$B$8-Q1366,""))</f>
        <v/>
      </c>
      <c r="T1366" s="26">
        <f>IF(S1366="","","Sim")</f>
        <v/>
      </c>
      <c r="U1366" s="41">
        <f>IF(T1366="Sim",S1366+ROW()/100000,0)</f>
        <v>0</v>
      </c>
      <c r="V1366" s="41">
        <f>IF(AND(H1366="Falta",L1366=Config!$B$7,M1366=Config!$B$5,COUNTIFS($E$5:E1366,E1366,$H$5:H1366,"Falta",$L$5:L1366,Config!$B$7,$M$5:M1366,Config!$B$5)=1),COUNTIFS($E$5:$E$3004,E1366,$H$5:$H$3004,"Falta",$L$5:$L$3004,Config!$B$7,$M$5:$M$3004,Config!$B$5)*1000-ROW()/100000,0)</f>
        <v>0</v>
      </c>
    </row>
    <row r="1367">
      <c r="A1367" s="39" t="n"/>
      <c r="B1367" s="40" t="n"/>
      <c r="C1367" s="35" t="n"/>
      <c r="D1367" s="35" t="n"/>
      <c r="E1367" s="34" t="n"/>
      <c r="F1367" s="35" t="n"/>
      <c r="G1367" s="35" t="n"/>
      <c r="H1367" s="35" t="n"/>
      <c r="I1367" s="35" t="n"/>
      <c r="J1367" s="35" t="n"/>
      <c r="K1367" s="34" t="n"/>
      <c r="L1367" s="26">
        <f>IF(A1367="","",MONTH(A1367))</f>
        <v/>
      </c>
      <c r="M1367" s="26">
        <f>IF(A1367="","",YEAR(A1367))</f>
        <v/>
      </c>
      <c r="N1367" s="26">
        <f>IF(A1367="","",CHOOSE(WEEKDAY(A1367,2),"Segunda","Terça","Quarta","Quinta","Sexta","Sábado","Domingo"))</f>
        <v/>
      </c>
      <c r="O1367" s="26">
        <f>IF(B1367="","",IF(B1367&lt;TIME(12,0,0),"Manhã",IF(B1367&lt;TIME(18,0,0),"Tarde","Noite")))</f>
        <v/>
      </c>
      <c r="P1367" s="32">
        <f>IF(G1367="","",IFERROR(INDEX(Config!$I$5:$I$16,MATCH(G1367,Config!$H$5:$H$16,0)),0))</f>
        <v/>
      </c>
      <c r="Q1367" s="30">
        <f>IF(OR(H1367&lt;&gt;"Realizado",P1367="",P1367=0),"",A1367+P1367)</f>
        <v/>
      </c>
      <c r="R1367" s="26">
        <f>IF(Q1367="","",IF(COUNTIFS($E$5:$E$3004,E1367,$A$5:$A$3004,"&gt;"&amp;A1367,$H$5:$H$3004,"&lt;&gt;Falta",$H$5:$H$3004,"&lt;&gt;Cancelado",$H$5:$H$3004,"&lt;&gt;Remarcado")&gt;0,"Sim","Não"))</f>
        <v/>
      </c>
      <c r="S1367" s="32">
        <f>IF(R1367&lt;&gt;"Não","",IF(Q1367+Config!$B$9&lt;=Config!$B$8,Config!$B$8-Q1367,""))</f>
        <v/>
      </c>
      <c r="T1367" s="26">
        <f>IF(S1367="","","Sim")</f>
        <v/>
      </c>
      <c r="U1367" s="41">
        <f>IF(T1367="Sim",S1367+ROW()/100000,0)</f>
        <v>0</v>
      </c>
      <c r="V1367" s="41">
        <f>IF(AND(H1367="Falta",L1367=Config!$B$7,M1367=Config!$B$5,COUNTIFS($E$5:E1367,E1367,$H$5:H1367,"Falta",$L$5:L1367,Config!$B$7,$M$5:M1367,Config!$B$5)=1),COUNTIFS($E$5:$E$3004,E1367,$H$5:$H$3004,"Falta",$L$5:$L$3004,Config!$B$7,$M$5:$M$3004,Config!$B$5)*1000-ROW()/100000,0)</f>
        <v>0</v>
      </c>
    </row>
    <row r="1368">
      <c r="A1368" s="39" t="n"/>
      <c r="B1368" s="40" t="n"/>
      <c r="C1368" s="35" t="n"/>
      <c r="D1368" s="35" t="n"/>
      <c r="E1368" s="34" t="n"/>
      <c r="F1368" s="35" t="n"/>
      <c r="G1368" s="35" t="n"/>
      <c r="H1368" s="35" t="n"/>
      <c r="I1368" s="35" t="n"/>
      <c r="J1368" s="35" t="n"/>
      <c r="K1368" s="34" t="n"/>
      <c r="L1368" s="26">
        <f>IF(A1368="","",MONTH(A1368))</f>
        <v/>
      </c>
      <c r="M1368" s="26">
        <f>IF(A1368="","",YEAR(A1368))</f>
        <v/>
      </c>
      <c r="N1368" s="26">
        <f>IF(A1368="","",CHOOSE(WEEKDAY(A1368,2),"Segunda","Terça","Quarta","Quinta","Sexta","Sábado","Domingo"))</f>
        <v/>
      </c>
      <c r="O1368" s="26">
        <f>IF(B1368="","",IF(B1368&lt;TIME(12,0,0),"Manhã",IF(B1368&lt;TIME(18,0,0),"Tarde","Noite")))</f>
        <v/>
      </c>
      <c r="P1368" s="32">
        <f>IF(G1368="","",IFERROR(INDEX(Config!$I$5:$I$16,MATCH(G1368,Config!$H$5:$H$16,0)),0))</f>
        <v/>
      </c>
      <c r="Q1368" s="30">
        <f>IF(OR(H1368&lt;&gt;"Realizado",P1368="",P1368=0),"",A1368+P1368)</f>
        <v/>
      </c>
      <c r="R1368" s="26">
        <f>IF(Q1368="","",IF(COUNTIFS($E$5:$E$3004,E1368,$A$5:$A$3004,"&gt;"&amp;A1368,$H$5:$H$3004,"&lt;&gt;Falta",$H$5:$H$3004,"&lt;&gt;Cancelado",$H$5:$H$3004,"&lt;&gt;Remarcado")&gt;0,"Sim","Não"))</f>
        <v/>
      </c>
      <c r="S1368" s="32">
        <f>IF(R1368&lt;&gt;"Não","",IF(Q1368+Config!$B$9&lt;=Config!$B$8,Config!$B$8-Q1368,""))</f>
        <v/>
      </c>
      <c r="T1368" s="26">
        <f>IF(S1368="","","Sim")</f>
        <v/>
      </c>
      <c r="U1368" s="41">
        <f>IF(T1368="Sim",S1368+ROW()/100000,0)</f>
        <v>0</v>
      </c>
      <c r="V1368" s="41">
        <f>IF(AND(H1368="Falta",L1368=Config!$B$7,M1368=Config!$B$5,COUNTIFS($E$5:E1368,E1368,$H$5:H1368,"Falta",$L$5:L1368,Config!$B$7,$M$5:M1368,Config!$B$5)=1),COUNTIFS($E$5:$E$3004,E1368,$H$5:$H$3004,"Falta",$L$5:$L$3004,Config!$B$7,$M$5:$M$3004,Config!$B$5)*1000-ROW()/100000,0)</f>
        <v>0</v>
      </c>
    </row>
    <row r="1369">
      <c r="A1369" s="39" t="n"/>
      <c r="B1369" s="40" t="n"/>
      <c r="C1369" s="35" t="n"/>
      <c r="D1369" s="35" t="n"/>
      <c r="E1369" s="34" t="n"/>
      <c r="F1369" s="35" t="n"/>
      <c r="G1369" s="35" t="n"/>
      <c r="H1369" s="35" t="n"/>
      <c r="I1369" s="35" t="n"/>
      <c r="J1369" s="35" t="n"/>
      <c r="K1369" s="34" t="n"/>
      <c r="L1369" s="26">
        <f>IF(A1369="","",MONTH(A1369))</f>
        <v/>
      </c>
      <c r="M1369" s="26">
        <f>IF(A1369="","",YEAR(A1369))</f>
        <v/>
      </c>
      <c r="N1369" s="26">
        <f>IF(A1369="","",CHOOSE(WEEKDAY(A1369,2),"Segunda","Terça","Quarta","Quinta","Sexta","Sábado","Domingo"))</f>
        <v/>
      </c>
      <c r="O1369" s="26">
        <f>IF(B1369="","",IF(B1369&lt;TIME(12,0,0),"Manhã",IF(B1369&lt;TIME(18,0,0),"Tarde","Noite")))</f>
        <v/>
      </c>
      <c r="P1369" s="32">
        <f>IF(G1369="","",IFERROR(INDEX(Config!$I$5:$I$16,MATCH(G1369,Config!$H$5:$H$16,0)),0))</f>
        <v/>
      </c>
      <c r="Q1369" s="30">
        <f>IF(OR(H1369&lt;&gt;"Realizado",P1369="",P1369=0),"",A1369+P1369)</f>
        <v/>
      </c>
      <c r="R1369" s="26">
        <f>IF(Q1369="","",IF(COUNTIFS($E$5:$E$3004,E1369,$A$5:$A$3004,"&gt;"&amp;A1369,$H$5:$H$3004,"&lt;&gt;Falta",$H$5:$H$3004,"&lt;&gt;Cancelado",$H$5:$H$3004,"&lt;&gt;Remarcado")&gt;0,"Sim","Não"))</f>
        <v/>
      </c>
      <c r="S1369" s="32">
        <f>IF(R1369&lt;&gt;"Não","",IF(Q1369+Config!$B$9&lt;=Config!$B$8,Config!$B$8-Q1369,""))</f>
        <v/>
      </c>
      <c r="T1369" s="26">
        <f>IF(S1369="","","Sim")</f>
        <v/>
      </c>
      <c r="U1369" s="41">
        <f>IF(T1369="Sim",S1369+ROW()/100000,0)</f>
        <v>0</v>
      </c>
      <c r="V1369" s="41">
        <f>IF(AND(H1369="Falta",L1369=Config!$B$7,M1369=Config!$B$5,COUNTIFS($E$5:E1369,E1369,$H$5:H1369,"Falta",$L$5:L1369,Config!$B$7,$M$5:M1369,Config!$B$5)=1),COUNTIFS($E$5:$E$3004,E1369,$H$5:$H$3004,"Falta",$L$5:$L$3004,Config!$B$7,$M$5:$M$3004,Config!$B$5)*1000-ROW()/100000,0)</f>
        <v>0</v>
      </c>
    </row>
    <row r="1370">
      <c r="A1370" s="39" t="n"/>
      <c r="B1370" s="40" t="n"/>
      <c r="C1370" s="35" t="n"/>
      <c r="D1370" s="35" t="n"/>
      <c r="E1370" s="34" t="n"/>
      <c r="F1370" s="35" t="n"/>
      <c r="G1370" s="35" t="n"/>
      <c r="H1370" s="35" t="n"/>
      <c r="I1370" s="35" t="n"/>
      <c r="J1370" s="35" t="n"/>
      <c r="K1370" s="34" t="n"/>
      <c r="L1370" s="26">
        <f>IF(A1370="","",MONTH(A1370))</f>
        <v/>
      </c>
      <c r="M1370" s="26">
        <f>IF(A1370="","",YEAR(A1370))</f>
        <v/>
      </c>
      <c r="N1370" s="26">
        <f>IF(A1370="","",CHOOSE(WEEKDAY(A1370,2),"Segunda","Terça","Quarta","Quinta","Sexta","Sábado","Domingo"))</f>
        <v/>
      </c>
      <c r="O1370" s="26">
        <f>IF(B1370="","",IF(B1370&lt;TIME(12,0,0),"Manhã",IF(B1370&lt;TIME(18,0,0),"Tarde","Noite")))</f>
        <v/>
      </c>
      <c r="P1370" s="32">
        <f>IF(G1370="","",IFERROR(INDEX(Config!$I$5:$I$16,MATCH(G1370,Config!$H$5:$H$16,0)),0))</f>
        <v/>
      </c>
      <c r="Q1370" s="30">
        <f>IF(OR(H1370&lt;&gt;"Realizado",P1370="",P1370=0),"",A1370+P1370)</f>
        <v/>
      </c>
      <c r="R1370" s="26">
        <f>IF(Q1370="","",IF(COUNTIFS($E$5:$E$3004,E1370,$A$5:$A$3004,"&gt;"&amp;A1370,$H$5:$H$3004,"&lt;&gt;Falta",$H$5:$H$3004,"&lt;&gt;Cancelado",$H$5:$H$3004,"&lt;&gt;Remarcado")&gt;0,"Sim","Não"))</f>
        <v/>
      </c>
      <c r="S1370" s="32">
        <f>IF(R1370&lt;&gt;"Não","",IF(Q1370+Config!$B$9&lt;=Config!$B$8,Config!$B$8-Q1370,""))</f>
        <v/>
      </c>
      <c r="T1370" s="26">
        <f>IF(S1370="","","Sim")</f>
        <v/>
      </c>
      <c r="U1370" s="41">
        <f>IF(T1370="Sim",S1370+ROW()/100000,0)</f>
        <v>0</v>
      </c>
      <c r="V1370" s="41">
        <f>IF(AND(H1370="Falta",L1370=Config!$B$7,M1370=Config!$B$5,COUNTIFS($E$5:E1370,E1370,$H$5:H1370,"Falta",$L$5:L1370,Config!$B$7,$M$5:M1370,Config!$B$5)=1),COUNTIFS($E$5:$E$3004,E1370,$H$5:$H$3004,"Falta",$L$5:$L$3004,Config!$B$7,$M$5:$M$3004,Config!$B$5)*1000-ROW()/100000,0)</f>
        <v>0</v>
      </c>
    </row>
    <row r="1371">
      <c r="A1371" s="39" t="n"/>
      <c r="B1371" s="40" t="n"/>
      <c r="C1371" s="35" t="n"/>
      <c r="D1371" s="35" t="n"/>
      <c r="E1371" s="34" t="n"/>
      <c r="F1371" s="35" t="n"/>
      <c r="G1371" s="35" t="n"/>
      <c r="H1371" s="35" t="n"/>
      <c r="I1371" s="35" t="n"/>
      <c r="J1371" s="35" t="n"/>
      <c r="K1371" s="34" t="n"/>
      <c r="L1371" s="26">
        <f>IF(A1371="","",MONTH(A1371))</f>
        <v/>
      </c>
      <c r="M1371" s="26">
        <f>IF(A1371="","",YEAR(A1371))</f>
        <v/>
      </c>
      <c r="N1371" s="26">
        <f>IF(A1371="","",CHOOSE(WEEKDAY(A1371,2),"Segunda","Terça","Quarta","Quinta","Sexta","Sábado","Domingo"))</f>
        <v/>
      </c>
      <c r="O1371" s="26">
        <f>IF(B1371="","",IF(B1371&lt;TIME(12,0,0),"Manhã",IF(B1371&lt;TIME(18,0,0),"Tarde","Noite")))</f>
        <v/>
      </c>
      <c r="P1371" s="32">
        <f>IF(G1371="","",IFERROR(INDEX(Config!$I$5:$I$16,MATCH(G1371,Config!$H$5:$H$16,0)),0))</f>
        <v/>
      </c>
      <c r="Q1371" s="30">
        <f>IF(OR(H1371&lt;&gt;"Realizado",P1371="",P1371=0),"",A1371+P1371)</f>
        <v/>
      </c>
      <c r="R1371" s="26">
        <f>IF(Q1371="","",IF(COUNTIFS($E$5:$E$3004,E1371,$A$5:$A$3004,"&gt;"&amp;A1371,$H$5:$H$3004,"&lt;&gt;Falta",$H$5:$H$3004,"&lt;&gt;Cancelado",$H$5:$H$3004,"&lt;&gt;Remarcado")&gt;0,"Sim","Não"))</f>
        <v/>
      </c>
      <c r="S1371" s="32">
        <f>IF(R1371&lt;&gt;"Não","",IF(Q1371+Config!$B$9&lt;=Config!$B$8,Config!$B$8-Q1371,""))</f>
        <v/>
      </c>
      <c r="T1371" s="26">
        <f>IF(S1371="","","Sim")</f>
        <v/>
      </c>
      <c r="U1371" s="41">
        <f>IF(T1371="Sim",S1371+ROW()/100000,0)</f>
        <v>0</v>
      </c>
      <c r="V1371" s="41">
        <f>IF(AND(H1371="Falta",L1371=Config!$B$7,M1371=Config!$B$5,COUNTIFS($E$5:E1371,E1371,$H$5:H1371,"Falta",$L$5:L1371,Config!$B$7,$M$5:M1371,Config!$B$5)=1),COUNTIFS($E$5:$E$3004,E1371,$H$5:$H$3004,"Falta",$L$5:$L$3004,Config!$B$7,$M$5:$M$3004,Config!$B$5)*1000-ROW()/100000,0)</f>
        <v>0</v>
      </c>
    </row>
    <row r="1372">
      <c r="A1372" s="39" t="n"/>
      <c r="B1372" s="40" t="n"/>
      <c r="C1372" s="35" t="n"/>
      <c r="D1372" s="35" t="n"/>
      <c r="E1372" s="34" t="n"/>
      <c r="F1372" s="35" t="n"/>
      <c r="G1372" s="35" t="n"/>
      <c r="H1372" s="35" t="n"/>
      <c r="I1372" s="35" t="n"/>
      <c r="J1372" s="35" t="n"/>
      <c r="K1372" s="34" t="n"/>
      <c r="L1372" s="26">
        <f>IF(A1372="","",MONTH(A1372))</f>
        <v/>
      </c>
      <c r="M1372" s="26">
        <f>IF(A1372="","",YEAR(A1372))</f>
        <v/>
      </c>
      <c r="N1372" s="26">
        <f>IF(A1372="","",CHOOSE(WEEKDAY(A1372,2),"Segunda","Terça","Quarta","Quinta","Sexta","Sábado","Domingo"))</f>
        <v/>
      </c>
      <c r="O1372" s="26">
        <f>IF(B1372="","",IF(B1372&lt;TIME(12,0,0),"Manhã",IF(B1372&lt;TIME(18,0,0),"Tarde","Noite")))</f>
        <v/>
      </c>
      <c r="P1372" s="32">
        <f>IF(G1372="","",IFERROR(INDEX(Config!$I$5:$I$16,MATCH(G1372,Config!$H$5:$H$16,0)),0))</f>
        <v/>
      </c>
      <c r="Q1372" s="30">
        <f>IF(OR(H1372&lt;&gt;"Realizado",P1372="",P1372=0),"",A1372+P1372)</f>
        <v/>
      </c>
      <c r="R1372" s="26">
        <f>IF(Q1372="","",IF(COUNTIFS($E$5:$E$3004,E1372,$A$5:$A$3004,"&gt;"&amp;A1372,$H$5:$H$3004,"&lt;&gt;Falta",$H$5:$H$3004,"&lt;&gt;Cancelado",$H$5:$H$3004,"&lt;&gt;Remarcado")&gt;0,"Sim","Não"))</f>
        <v/>
      </c>
      <c r="S1372" s="32">
        <f>IF(R1372&lt;&gt;"Não","",IF(Q1372+Config!$B$9&lt;=Config!$B$8,Config!$B$8-Q1372,""))</f>
        <v/>
      </c>
      <c r="T1372" s="26">
        <f>IF(S1372="","","Sim")</f>
        <v/>
      </c>
      <c r="U1372" s="41">
        <f>IF(T1372="Sim",S1372+ROW()/100000,0)</f>
        <v>0</v>
      </c>
      <c r="V1372" s="41">
        <f>IF(AND(H1372="Falta",L1372=Config!$B$7,M1372=Config!$B$5,COUNTIFS($E$5:E1372,E1372,$H$5:H1372,"Falta",$L$5:L1372,Config!$B$7,$M$5:M1372,Config!$B$5)=1),COUNTIFS($E$5:$E$3004,E1372,$H$5:$H$3004,"Falta",$L$5:$L$3004,Config!$B$7,$M$5:$M$3004,Config!$B$5)*1000-ROW()/100000,0)</f>
        <v>0</v>
      </c>
    </row>
    <row r="1373">
      <c r="A1373" s="39" t="n"/>
      <c r="B1373" s="40" t="n"/>
      <c r="C1373" s="35" t="n"/>
      <c r="D1373" s="35" t="n"/>
      <c r="E1373" s="34" t="n"/>
      <c r="F1373" s="35" t="n"/>
      <c r="G1373" s="35" t="n"/>
      <c r="H1373" s="35" t="n"/>
      <c r="I1373" s="35" t="n"/>
      <c r="J1373" s="35" t="n"/>
      <c r="K1373" s="34" t="n"/>
      <c r="L1373" s="26">
        <f>IF(A1373="","",MONTH(A1373))</f>
        <v/>
      </c>
      <c r="M1373" s="26">
        <f>IF(A1373="","",YEAR(A1373))</f>
        <v/>
      </c>
      <c r="N1373" s="26">
        <f>IF(A1373="","",CHOOSE(WEEKDAY(A1373,2),"Segunda","Terça","Quarta","Quinta","Sexta","Sábado","Domingo"))</f>
        <v/>
      </c>
      <c r="O1373" s="26">
        <f>IF(B1373="","",IF(B1373&lt;TIME(12,0,0),"Manhã",IF(B1373&lt;TIME(18,0,0),"Tarde","Noite")))</f>
        <v/>
      </c>
      <c r="P1373" s="32">
        <f>IF(G1373="","",IFERROR(INDEX(Config!$I$5:$I$16,MATCH(G1373,Config!$H$5:$H$16,0)),0))</f>
        <v/>
      </c>
      <c r="Q1373" s="30">
        <f>IF(OR(H1373&lt;&gt;"Realizado",P1373="",P1373=0),"",A1373+P1373)</f>
        <v/>
      </c>
      <c r="R1373" s="26">
        <f>IF(Q1373="","",IF(COUNTIFS($E$5:$E$3004,E1373,$A$5:$A$3004,"&gt;"&amp;A1373,$H$5:$H$3004,"&lt;&gt;Falta",$H$5:$H$3004,"&lt;&gt;Cancelado",$H$5:$H$3004,"&lt;&gt;Remarcado")&gt;0,"Sim","Não"))</f>
        <v/>
      </c>
      <c r="S1373" s="32">
        <f>IF(R1373&lt;&gt;"Não","",IF(Q1373+Config!$B$9&lt;=Config!$B$8,Config!$B$8-Q1373,""))</f>
        <v/>
      </c>
      <c r="T1373" s="26">
        <f>IF(S1373="","","Sim")</f>
        <v/>
      </c>
      <c r="U1373" s="41">
        <f>IF(T1373="Sim",S1373+ROW()/100000,0)</f>
        <v>0</v>
      </c>
      <c r="V1373" s="41">
        <f>IF(AND(H1373="Falta",L1373=Config!$B$7,M1373=Config!$B$5,COUNTIFS($E$5:E1373,E1373,$H$5:H1373,"Falta",$L$5:L1373,Config!$B$7,$M$5:M1373,Config!$B$5)=1),COUNTIFS($E$5:$E$3004,E1373,$H$5:$H$3004,"Falta",$L$5:$L$3004,Config!$B$7,$M$5:$M$3004,Config!$B$5)*1000-ROW()/100000,0)</f>
        <v>0</v>
      </c>
    </row>
    <row r="1374">
      <c r="A1374" s="39" t="n"/>
      <c r="B1374" s="40" t="n"/>
      <c r="C1374" s="35" t="n"/>
      <c r="D1374" s="35" t="n"/>
      <c r="E1374" s="34" t="n"/>
      <c r="F1374" s="35" t="n"/>
      <c r="G1374" s="35" t="n"/>
      <c r="H1374" s="35" t="n"/>
      <c r="I1374" s="35" t="n"/>
      <c r="J1374" s="35" t="n"/>
      <c r="K1374" s="34" t="n"/>
      <c r="L1374" s="26">
        <f>IF(A1374="","",MONTH(A1374))</f>
        <v/>
      </c>
      <c r="M1374" s="26">
        <f>IF(A1374="","",YEAR(A1374))</f>
        <v/>
      </c>
      <c r="N1374" s="26">
        <f>IF(A1374="","",CHOOSE(WEEKDAY(A1374,2),"Segunda","Terça","Quarta","Quinta","Sexta","Sábado","Domingo"))</f>
        <v/>
      </c>
      <c r="O1374" s="26">
        <f>IF(B1374="","",IF(B1374&lt;TIME(12,0,0),"Manhã",IF(B1374&lt;TIME(18,0,0),"Tarde","Noite")))</f>
        <v/>
      </c>
      <c r="P1374" s="32">
        <f>IF(G1374="","",IFERROR(INDEX(Config!$I$5:$I$16,MATCH(G1374,Config!$H$5:$H$16,0)),0))</f>
        <v/>
      </c>
      <c r="Q1374" s="30">
        <f>IF(OR(H1374&lt;&gt;"Realizado",P1374="",P1374=0),"",A1374+P1374)</f>
        <v/>
      </c>
      <c r="R1374" s="26">
        <f>IF(Q1374="","",IF(COUNTIFS($E$5:$E$3004,E1374,$A$5:$A$3004,"&gt;"&amp;A1374,$H$5:$H$3004,"&lt;&gt;Falta",$H$5:$H$3004,"&lt;&gt;Cancelado",$H$5:$H$3004,"&lt;&gt;Remarcado")&gt;0,"Sim","Não"))</f>
        <v/>
      </c>
      <c r="S1374" s="32">
        <f>IF(R1374&lt;&gt;"Não","",IF(Q1374+Config!$B$9&lt;=Config!$B$8,Config!$B$8-Q1374,""))</f>
        <v/>
      </c>
      <c r="T1374" s="26">
        <f>IF(S1374="","","Sim")</f>
        <v/>
      </c>
      <c r="U1374" s="41">
        <f>IF(T1374="Sim",S1374+ROW()/100000,0)</f>
        <v>0</v>
      </c>
      <c r="V1374" s="41">
        <f>IF(AND(H1374="Falta",L1374=Config!$B$7,M1374=Config!$B$5,COUNTIFS($E$5:E1374,E1374,$H$5:H1374,"Falta",$L$5:L1374,Config!$B$7,$M$5:M1374,Config!$B$5)=1),COUNTIFS($E$5:$E$3004,E1374,$H$5:$H$3004,"Falta",$L$5:$L$3004,Config!$B$7,$M$5:$M$3004,Config!$B$5)*1000-ROW()/100000,0)</f>
        <v>0</v>
      </c>
    </row>
    <row r="1375">
      <c r="A1375" s="39" t="n"/>
      <c r="B1375" s="40" t="n"/>
      <c r="C1375" s="35" t="n"/>
      <c r="D1375" s="35" t="n"/>
      <c r="E1375" s="34" t="n"/>
      <c r="F1375" s="35" t="n"/>
      <c r="G1375" s="35" t="n"/>
      <c r="H1375" s="35" t="n"/>
      <c r="I1375" s="35" t="n"/>
      <c r="J1375" s="35" t="n"/>
      <c r="K1375" s="34" t="n"/>
      <c r="L1375" s="26">
        <f>IF(A1375="","",MONTH(A1375))</f>
        <v/>
      </c>
      <c r="M1375" s="26">
        <f>IF(A1375="","",YEAR(A1375))</f>
        <v/>
      </c>
      <c r="N1375" s="26">
        <f>IF(A1375="","",CHOOSE(WEEKDAY(A1375,2),"Segunda","Terça","Quarta","Quinta","Sexta","Sábado","Domingo"))</f>
        <v/>
      </c>
      <c r="O1375" s="26">
        <f>IF(B1375="","",IF(B1375&lt;TIME(12,0,0),"Manhã",IF(B1375&lt;TIME(18,0,0),"Tarde","Noite")))</f>
        <v/>
      </c>
      <c r="P1375" s="32">
        <f>IF(G1375="","",IFERROR(INDEX(Config!$I$5:$I$16,MATCH(G1375,Config!$H$5:$H$16,0)),0))</f>
        <v/>
      </c>
      <c r="Q1375" s="30">
        <f>IF(OR(H1375&lt;&gt;"Realizado",P1375="",P1375=0),"",A1375+P1375)</f>
        <v/>
      </c>
      <c r="R1375" s="26">
        <f>IF(Q1375="","",IF(COUNTIFS($E$5:$E$3004,E1375,$A$5:$A$3004,"&gt;"&amp;A1375,$H$5:$H$3004,"&lt;&gt;Falta",$H$5:$H$3004,"&lt;&gt;Cancelado",$H$5:$H$3004,"&lt;&gt;Remarcado")&gt;0,"Sim","Não"))</f>
        <v/>
      </c>
      <c r="S1375" s="32">
        <f>IF(R1375&lt;&gt;"Não","",IF(Q1375+Config!$B$9&lt;=Config!$B$8,Config!$B$8-Q1375,""))</f>
        <v/>
      </c>
      <c r="T1375" s="26">
        <f>IF(S1375="","","Sim")</f>
        <v/>
      </c>
      <c r="U1375" s="41">
        <f>IF(T1375="Sim",S1375+ROW()/100000,0)</f>
        <v>0</v>
      </c>
      <c r="V1375" s="41">
        <f>IF(AND(H1375="Falta",L1375=Config!$B$7,M1375=Config!$B$5,COUNTIFS($E$5:E1375,E1375,$H$5:H1375,"Falta",$L$5:L1375,Config!$B$7,$M$5:M1375,Config!$B$5)=1),COUNTIFS($E$5:$E$3004,E1375,$H$5:$H$3004,"Falta",$L$5:$L$3004,Config!$B$7,$M$5:$M$3004,Config!$B$5)*1000-ROW()/100000,0)</f>
        <v>0</v>
      </c>
    </row>
    <row r="1376">
      <c r="A1376" s="39" t="n"/>
      <c r="B1376" s="40" t="n"/>
      <c r="C1376" s="35" t="n"/>
      <c r="D1376" s="35" t="n"/>
      <c r="E1376" s="34" t="n"/>
      <c r="F1376" s="35" t="n"/>
      <c r="G1376" s="35" t="n"/>
      <c r="H1376" s="35" t="n"/>
      <c r="I1376" s="35" t="n"/>
      <c r="J1376" s="35" t="n"/>
      <c r="K1376" s="34" t="n"/>
      <c r="L1376" s="26">
        <f>IF(A1376="","",MONTH(A1376))</f>
        <v/>
      </c>
      <c r="M1376" s="26">
        <f>IF(A1376="","",YEAR(A1376))</f>
        <v/>
      </c>
      <c r="N1376" s="26">
        <f>IF(A1376="","",CHOOSE(WEEKDAY(A1376,2),"Segunda","Terça","Quarta","Quinta","Sexta","Sábado","Domingo"))</f>
        <v/>
      </c>
      <c r="O1376" s="26">
        <f>IF(B1376="","",IF(B1376&lt;TIME(12,0,0),"Manhã",IF(B1376&lt;TIME(18,0,0),"Tarde","Noite")))</f>
        <v/>
      </c>
      <c r="P1376" s="32">
        <f>IF(G1376="","",IFERROR(INDEX(Config!$I$5:$I$16,MATCH(G1376,Config!$H$5:$H$16,0)),0))</f>
        <v/>
      </c>
      <c r="Q1376" s="30">
        <f>IF(OR(H1376&lt;&gt;"Realizado",P1376="",P1376=0),"",A1376+P1376)</f>
        <v/>
      </c>
      <c r="R1376" s="26">
        <f>IF(Q1376="","",IF(COUNTIFS($E$5:$E$3004,E1376,$A$5:$A$3004,"&gt;"&amp;A1376,$H$5:$H$3004,"&lt;&gt;Falta",$H$5:$H$3004,"&lt;&gt;Cancelado",$H$5:$H$3004,"&lt;&gt;Remarcado")&gt;0,"Sim","Não"))</f>
        <v/>
      </c>
      <c r="S1376" s="32">
        <f>IF(R1376&lt;&gt;"Não","",IF(Q1376+Config!$B$9&lt;=Config!$B$8,Config!$B$8-Q1376,""))</f>
        <v/>
      </c>
      <c r="T1376" s="26">
        <f>IF(S1376="","","Sim")</f>
        <v/>
      </c>
      <c r="U1376" s="41">
        <f>IF(T1376="Sim",S1376+ROW()/100000,0)</f>
        <v>0</v>
      </c>
      <c r="V1376" s="41">
        <f>IF(AND(H1376="Falta",L1376=Config!$B$7,M1376=Config!$B$5,COUNTIFS($E$5:E1376,E1376,$H$5:H1376,"Falta",$L$5:L1376,Config!$B$7,$M$5:M1376,Config!$B$5)=1),COUNTIFS($E$5:$E$3004,E1376,$H$5:$H$3004,"Falta",$L$5:$L$3004,Config!$B$7,$M$5:$M$3004,Config!$B$5)*1000-ROW()/100000,0)</f>
        <v>0</v>
      </c>
    </row>
    <row r="1377">
      <c r="A1377" s="39" t="n"/>
      <c r="B1377" s="40" t="n"/>
      <c r="C1377" s="35" t="n"/>
      <c r="D1377" s="35" t="n"/>
      <c r="E1377" s="34" t="n"/>
      <c r="F1377" s="35" t="n"/>
      <c r="G1377" s="35" t="n"/>
      <c r="H1377" s="35" t="n"/>
      <c r="I1377" s="35" t="n"/>
      <c r="J1377" s="35" t="n"/>
      <c r="K1377" s="34" t="n"/>
      <c r="L1377" s="26">
        <f>IF(A1377="","",MONTH(A1377))</f>
        <v/>
      </c>
      <c r="M1377" s="26">
        <f>IF(A1377="","",YEAR(A1377))</f>
        <v/>
      </c>
      <c r="N1377" s="26">
        <f>IF(A1377="","",CHOOSE(WEEKDAY(A1377,2),"Segunda","Terça","Quarta","Quinta","Sexta","Sábado","Domingo"))</f>
        <v/>
      </c>
      <c r="O1377" s="26">
        <f>IF(B1377="","",IF(B1377&lt;TIME(12,0,0),"Manhã",IF(B1377&lt;TIME(18,0,0),"Tarde","Noite")))</f>
        <v/>
      </c>
      <c r="P1377" s="32">
        <f>IF(G1377="","",IFERROR(INDEX(Config!$I$5:$I$16,MATCH(G1377,Config!$H$5:$H$16,0)),0))</f>
        <v/>
      </c>
      <c r="Q1377" s="30">
        <f>IF(OR(H1377&lt;&gt;"Realizado",P1377="",P1377=0),"",A1377+P1377)</f>
        <v/>
      </c>
      <c r="R1377" s="26">
        <f>IF(Q1377="","",IF(COUNTIFS($E$5:$E$3004,E1377,$A$5:$A$3004,"&gt;"&amp;A1377,$H$5:$H$3004,"&lt;&gt;Falta",$H$5:$H$3004,"&lt;&gt;Cancelado",$H$5:$H$3004,"&lt;&gt;Remarcado")&gt;0,"Sim","Não"))</f>
        <v/>
      </c>
      <c r="S1377" s="32">
        <f>IF(R1377&lt;&gt;"Não","",IF(Q1377+Config!$B$9&lt;=Config!$B$8,Config!$B$8-Q1377,""))</f>
        <v/>
      </c>
      <c r="T1377" s="26">
        <f>IF(S1377="","","Sim")</f>
        <v/>
      </c>
      <c r="U1377" s="41">
        <f>IF(T1377="Sim",S1377+ROW()/100000,0)</f>
        <v>0</v>
      </c>
      <c r="V1377" s="41">
        <f>IF(AND(H1377="Falta",L1377=Config!$B$7,M1377=Config!$B$5,COUNTIFS($E$5:E1377,E1377,$H$5:H1377,"Falta",$L$5:L1377,Config!$B$7,$M$5:M1377,Config!$B$5)=1),COUNTIFS($E$5:$E$3004,E1377,$H$5:$H$3004,"Falta",$L$5:$L$3004,Config!$B$7,$M$5:$M$3004,Config!$B$5)*1000-ROW()/100000,0)</f>
        <v>0</v>
      </c>
    </row>
    <row r="1378">
      <c r="A1378" s="39" t="n"/>
      <c r="B1378" s="40" t="n"/>
      <c r="C1378" s="35" t="n"/>
      <c r="D1378" s="35" t="n"/>
      <c r="E1378" s="34" t="n"/>
      <c r="F1378" s="35" t="n"/>
      <c r="G1378" s="35" t="n"/>
      <c r="H1378" s="35" t="n"/>
      <c r="I1378" s="35" t="n"/>
      <c r="J1378" s="35" t="n"/>
      <c r="K1378" s="34" t="n"/>
      <c r="L1378" s="26">
        <f>IF(A1378="","",MONTH(A1378))</f>
        <v/>
      </c>
      <c r="M1378" s="26">
        <f>IF(A1378="","",YEAR(A1378))</f>
        <v/>
      </c>
      <c r="N1378" s="26">
        <f>IF(A1378="","",CHOOSE(WEEKDAY(A1378,2),"Segunda","Terça","Quarta","Quinta","Sexta","Sábado","Domingo"))</f>
        <v/>
      </c>
      <c r="O1378" s="26">
        <f>IF(B1378="","",IF(B1378&lt;TIME(12,0,0),"Manhã",IF(B1378&lt;TIME(18,0,0),"Tarde","Noite")))</f>
        <v/>
      </c>
      <c r="P1378" s="32">
        <f>IF(G1378="","",IFERROR(INDEX(Config!$I$5:$I$16,MATCH(G1378,Config!$H$5:$H$16,0)),0))</f>
        <v/>
      </c>
      <c r="Q1378" s="30">
        <f>IF(OR(H1378&lt;&gt;"Realizado",P1378="",P1378=0),"",A1378+P1378)</f>
        <v/>
      </c>
      <c r="R1378" s="26">
        <f>IF(Q1378="","",IF(COUNTIFS($E$5:$E$3004,E1378,$A$5:$A$3004,"&gt;"&amp;A1378,$H$5:$H$3004,"&lt;&gt;Falta",$H$5:$H$3004,"&lt;&gt;Cancelado",$H$5:$H$3004,"&lt;&gt;Remarcado")&gt;0,"Sim","Não"))</f>
        <v/>
      </c>
      <c r="S1378" s="32">
        <f>IF(R1378&lt;&gt;"Não","",IF(Q1378+Config!$B$9&lt;=Config!$B$8,Config!$B$8-Q1378,""))</f>
        <v/>
      </c>
      <c r="T1378" s="26">
        <f>IF(S1378="","","Sim")</f>
        <v/>
      </c>
      <c r="U1378" s="41">
        <f>IF(T1378="Sim",S1378+ROW()/100000,0)</f>
        <v>0</v>
      </c>
      <c r="V1378" s="41">
        <f>IF(AND(H1378="Falta",L1378=Config!$B$7,M1378=Config!$B$5,COUNTIFS($E$5:E1378,E1378,$H$5:H1378,"Falta",$L$5:L1378,Config!$B$7,$M$5:M1378,Config!$B$5)=1),COUNTIFS($E$5:$E$3004,E1378,$H$5:$H$3004,"Falta",$L$5:$L$3004,Config!$B$7,$M$5:$M$3004,Config!$B$5)*1000-ROW()/100000,0)</f>
        <v>0</v>
      </c>
    </row>
    <row r="1379">
      <c r="A1379" s="39" t="n"/>
      <c r="B1379" s="40" t="n"/>
      <c r="C1379" s="35" t="n"/>
      <c r="D1379" s="35" t="n"/>
      <c r="E1379" s="34" t="n"/>
      <c r="F1379" s="35" t="n"/>
      <c r="G1379" s="35" t="n"/>
      <c r="H1379" s="35" t="n"/>
      <c r="I1379" s="35" t="n"/>
      <c r="J1379" s="35" t="n"/>
      <c r="K1379" s="34" t="n"/>
      <c r="L1379" s="26">
        <f>IF(A1379="","",MONTH(A1379))</f>
        <v/>
      </c>
      <c r="M1379" s="26">
        <f>IF(A1379="","",YEAR(A1379))</f>
        <v/>
      </c>
      <c r="N1379" s="26">
        <f>IF(A1379="","",CHOOSE(WEEKDAY(A1379,2),"Segunda","Terça","Quarta","Quinta","Sexta","Sábado","Domingo"))</f>
        <v/>
      </c>
      <c r="O1379" s="26">
        <f>IF(B1379="","",IF(B1379&lt;TIME(12,0,0),"Manhã",IF(B1379&lt;TIME(18,0,0),"Tarde","Noite")))</f>
        <v/>
      </c>
      <c r="P1379" s="32">
        <f>IF(G1379="","",IFERROR(INDEX(Config!$I$5:$I$16,MATCH(G1379,Config!$H$5:$H$16,0)),0))</f>
        <v/>
      </c>
      <c r="Q1379" s="30">
        <f>IF(OR(H1379&lt;&gt;"Realizado",P1379="",P1379=0),"",A1379+P1379)</f>
        <v/>
      </c>
      <c r="R1379" s="26">
        <f>IF(Q1379="","",IF(COUNTIFS($E$5:$E$3004,E1379,$A$5:$A$3004,"&gt;"&amp;A1379,$H$5:$H$3004,"&lt;&gt;Falta",$H$5:$H$3004,"&lt;&gt;Cancelado",$H$5:$H$3004,"&lt;&gt;Remarcado")&gt;0,"Sim","Não"))</f>
        <v/>
      </c>
      <c r="S1379" s="32">
        <f>IF(R1379&lt;&gt;"Não","",IF(Q1379+Config!$B$9&lt;=Config!$B$8,Config!$B$8-Q1379,""))</f>
        <v/>
      </c>
      <c r="T1379" s="26">
        <f>IF(S1379="","","Sim")</f>
        <v/>
      </c>
      <c r="U1379" s="41">
        <f>IF(T1379="Sim",S1379+ROW()/100000,0)</f>
        <v>0</v>
      </c>
      <c r="V1379" s="41">
        <f>IF(AND(H1379="Falta",L1379=Config!$B$7,M1379=Config!$B$5,COUNTIFS($E$5:E1379,E1379,$H$5:H1379,"Falta",$L$5:L1379,Config!$B$7,$M$5:M1379,Config!$B$5)=1),COUNTIFS($E$5:$E$3004,E1379,$H$5:$H$3004,"Falta",$L$5:$L$3004,Config!$B$7,$M$5:$M$3004,Config!$B$5)*1000-ROW()/100000,0)</f>
        <v>0</v>
      </c>
    </row>
    <row r="1380">
      <c r="A1380" s="39" t="n"/>
      <c r="B1380" s="40" t="n"/>
      <c r="C1380" s="35" t="n"/>
      <c r="D1380" s="35" t="n"/>
      <c r="E1380" s="34" t="n"/>
      <c r="F1380" s="35" t="n"/>
      <c r="G1380" s="35" t="n"/>
      <c r="H1380" s="35" t="n"/>
      <c r="I1380" s="35" t="n"/>
      <c r="J1380" s="35" t="n"/>
      <c r="K1380" s="34" t="n"/>
      <c r="L1380" s="26">
        <f>IF(A1380="","",MONTH(A1380))</f>
        <v/>
      </c>
      <c r="M1380" s="26">
        <f>IF(A1380="","",YEAR(A1380))</f>
        <v/>
      </c>
      <c r="N1380" s="26">
        <f>IF(A1380="","",CHOOSE(WEEKDAY(A1380,2),"Segunda","Terça","Quarta","Quinta","Sexta","Sábado","Domingo"))</f>
        <v/>
      </c>
      <c r="O1380" s="26">
        <f>IF(B1380="","",IF(B1380&lt;TIME(12,0,0),"Manhã",IF(B1380&lt;TIME(18,0,0),"Tarde","Noite")))</f>
        <v/>
      </c>
      <c r="P1380" s="32">
        <f>IF(G1380="","",IFERROR(INDEX(Config!$I$5:$I$16,MATCH(G1380,Config!$H$5:$H$16,0)),0))</f>
        <v/>
      </c>
      <c r="Q1380" s="30">
        <f>IF(OR(H1380&lt;&gt;"Realizado",P1380="",P1380=0),"",A1380+P1380)</f>
        <v/>
      </c>
      <c r="R1380" s="26">
        <f>IF(Q1380="","",IF(COUNTIFS($E$5:$E$3004,E1380,$A$5:$A$3004,"&gt;"&amp;A1380,$H$5:$H$3004,"&lt;&gt;Falta",$H$5:$H$3004,"&lt;&gt;Cancelado",$H$5:$H$3004,"&lt;&gt;Remarcado")&gt;0,"Sim","Não"))</f>
        <v/>
      </c>
      <c r="S1380" s="32">
        <f>IF(R1380&lt;&gt;"Não","",IF(Q1380+Config!$B$9&lt;=Config!$B$8,Config!$B$8-Q1380,""))</f>
        <v/>
      </c>
      <c r="T1380" s="26">
        <f>IF(S1380="","","Sim")</f>
        <v/>
      </c>
      <c r="U1380" s="41">
        <f>IF(T1380="Sim",S1380+ROW()/100000,0)</f>
        <v>0</v>
      </c>
      <c r="V1380" s="41">
        <f>IF(AND(H1380="Falta",L1380=Config!$B$7,M1380=Config!$B$5,COUNTIFS($E$5:E1380,E1380,$H$5:H1380,"Falta",$L$5:L1380,Config!$B$7,$M$5:M1380,Config!$B$5)=1),COUNTIFS($E$5:$E$3004,E1380,$H$5:$H$3004,"Falta",$L$5:$L$3004,Config!$B$7,$M$5:$M$3004,Config!$B$5)*1000-ROW()/100000,0)</f>
        <v>0</v>
      </c>
    </row>
    <row r="1381">
      <c r="A1381" s="39" t="n"/>
      <c r="B1381" s="40" t="n"/>
      <c r="C1381" s="35" t="n"/>
      <c r="D1381" s="35" t="n"/>
      <c r="E1381" s="34" t="n"/>
      <c r="F1381" s="35" t="n"/>
      <c r="G1381" s="35" t="n"/>
      <c r="H1381" s="35" t="n"/>
      <c r="I1381" s="35" t="n"/>
      <c r="J1381" s="35" t="n"/>
      <c r="K1381" s="34" t="n"/>
      <c r="L1381" s="26">
        <f>IF(A1381="","",MONTH(A1381))</f>
        <v/>
      </c>
      <c r="M1381" s="26">
        <f>IF(A1381="","",YEAR(A1381))</f>
        <v/>
      </c>
      <c r="N1381" s="26">
        <f>IF(A1381="","",CHOOSE(WEEKDAY(A1381,2),"Segunda","Terça","Quarta","Quinta","Sexta","Sábado","Domingo"))</f>
        <v/>
      </c>
      <c r="O1381" s="26">
        <f>IF(B1381="","",IF(B1381&lt;TIME(12,0,0),"Manhã",IF(B1381&lt;TIME(18,0,0),"Tarde","Noite")))</f>
        <v/>
      </c>
      <c r="P1381" s="32">
        <f>IF(G1381="","",IFERROR(INDEX(Config!$I$5:$I$16,MATCH(G1381,Config!$H$5:$H$16,0)),0))</f>
        <v/>
      </c>
      <c r="Q1381" s="30">
        <f>IF(OR(H1381&lt;&gt;"Realizado",P1381="",P1381=0),"",A1381+P1381)</f>
        <v/>
      </c>
      <c r="R1381" s="26">
        <f>IF(Q1381="","",IF(COUNTIFS($E$5:$E$3004,E1381,$A$5:$A$3004,"&gt;"&amp;A1381,$H$5:$H$3004,"&lt;&gt;Falta",$H$5:$H$3004,"&lt;&gt;Cancelado",$H$5:$H$3004,"&lt;&gt;Remarcado")&gt;0,"Sim","Não"))</f>
        <v/>
      </c>
      <c r="S1381" s="32">
        <f>IF(R1381&lt;&gt;"Não","",IF(Q1381+Config!$B$9&lt;=Config!$B$8,Config!$B$8-Q1381,""))</f>
        <v/>
      </c>
      <c r="T1381" s="26">
        <f>IF(S1381="","","Sim")</f>
        <v/>
      </c>
      <c r="U1381" s="41">
        <f>IF(T1381="Sim",S1381+ROW()/100000,0)</f>
        <v>0</v>
      </c>
      <c r="V1381" s="41">
        <f>IF(AND(H1381="Falta",L1381=Config!$B$7,M1381=Config!$B$5,COUNTIFS($E$5:E1381,E1381,$H$5:H1381,"Falta",$L$5:L1381,Config!$B$7,$M$5:M1381,Config!$B$5)=1),COUNTIFS($E$5:$E$3004,E1381,$H$5:$H$3004,"Falta",$L$5:$L$3004,Config!$B$7,$M$5:$M$3004,Config!$B$5)*1000-ROW()/100000,0)</f>
        <v>0</v>
      </c>
    </row>
    <row r="1382">
      <c r="A1382" s="39" t="n"/>
      <c r="B1382" s="40" t="n"/>
      <c r="C1382" s="35" t="n"/>
      <c r="D1382" s="35" t="n"/>
      <c r="E1382" s="34" t="n"/>
      <c r="F1382" s="35" t="n"/>
      <c r="G1382" s="35" t="n"/>
      <c r="H1382" s="35" t="n"/>
      <c r="I1382" s="35" t="n"/>
      <c r="J1382" s="35" t="n"/>
      <c r="K1382" s="34" t="n"/>
      <c r="L1382" s="26">
        <f>IF(A1382="","",MONTH(A1382))</f>
        <v/>
      </c>
      <c r="M1382" s="26">
        <f>IF(A1382="","",YEAR(A1382))</f>
        <v/>
      </c>
      <c r="N1382" s="26">
        <f>IF(A1382="","",CHOOSE(WEEKDAY(A1382,2),"Segunda","Terça","Quarta","Quinta","Sexta","Sábado","Domingo"))</f>
        <v/>
      </c>
      <c r="O1382" s="26">
        <f>IF(B1382="","",IF(B1382&lt;TIME(12,0,0),"Manhã",IF(B1382&lt;TIME(18,0,0),"Tarde","Noite")))</f>
        <v/>
      </c>
      <c r="P1382" s="32">
        <f>IF(G1382="","",IFERROR(INDEX(Config!$I$5:$I$16,MATCH(G1382,Config!$H$5:$H$16,0)),0))</f>
        <v/>
      </c>
      <c r="Q1382" s="30">
        <f>IF(OR(H1382&lt;&gt;"Realizado",P1382="",P1382=0),"",A1382+P1382)</f>
        <v/>
      </c>
      <c r="R1382" s="26">
        <f>IF(Q1382="","",IF(COUNTIFS($E$5:$E$3004,E1382,$A$5:$A$3004,"&gt;"&amp;A1382,$H$5:$H$3004,"&lt;&gt;Falta",$H$5:$H$3004,"&lt;&gt;Cancelado",$H$5:$H$3004,"&lt;&gt;Remarcado")&gt;0,"Sim","Não"))</f>
        <v/>
      </c>
      <c r="S1382" s="32">
        <f>IF(R1382&lt;&gt;"Não","",IF(Q1382+Config!$B$9&lt;=Config!$B$8,Config!$B$8-Q1382,""))</f>
        <v/>
      </c>
      <c r="T1382" s="26">
        <f>IF(S1382="","","Sim")</f>
        <v/>
      </c>
      <c r="U1382" s="41">
        <f>IF(T1382="Sim",S1382+ROW()/100000,0)</f>
        <v>0</v>
      </c>
      <c r="V1382" s="41">
        <f>IF(AND(H1382="Falta",L1382=Config!$B$7,M1382=Config!$B$5,COUNTIFS($E$5:E1382,E1382,$H$5:H1382,"Falta",$L$5:L1382,Config!$B$7,$M$5:M1382,Config!$B$5)=1),COUNTIFS($E$5:$E$3004,E1382,$H$5:$H$3004,"Falta",$L$5:$L$3004,Config!$B$7,$M$5:$M$3004,Config!$B$5)*1000-ROW()/100000,0)</f>
        <v>0</v>
      </c>
    </row>
    <row r="1383">
      <c r="A1383" s="39" t="n"/>
      <c r="B1383" s="40" t="n"/>
      <c r="C1383" s="35" t="n"/>
      <c r="D1383" s="35" t="n"/>
      <c r="E1383" s="34" t="n"/>
      <c r="F1383" s="35" t="n"/>
      <c r="G1383" s="35" t="n"/>
      <c r="H1383" s="35" t="n"/>
      <c r="I1383" s="35" t="n"/>
      <c r="J1383" s="35" t="n"/>
      <c r="K1383" s="34" t="n"/>
      <c r="L1383" s="26">
        <f>IF(A1383="","",MONTH(A1383))</f>
        <v/>
      </c>
      <c r="M1383" s="26">
        <f>IF(A1383="","",YEAR(A1383))</f>
        <v/>
      </c>
      <c r="N1383" s="26">
        <f>IF(A1383="","",CHOOSE(WEEKDAY(A1383,2),"Segunda","Terça","Quarta","Quinta","Sexta","Sábado","Domingo"))</f>
        <v/>
      </c>
      <c r="O1383" s="26">
        <f>IF(B1383="","",IF(B1383&lt;TIME(12,0,0),"Manhã",IF(B1383&lt;TIME(18,0,0),"Tarde","Noite")))</f>
        <v/>
      </c>
      <c r="P1383" s="32">
        <f>IF(G1383="","",IFERROR(INDEX(Config!$I$5:$I$16,MATCH(G1383,Config!$H$5:$H$16,0)),0))</f>
        <v/>
      </c>
      <c r="Q1383" s="30">
        <f>IF(OR(H1383&lt;&gt;"Realizado",P1383="",P1383=0),"",A1383+P1383)</f>
        <v/>
      </c>
      <c r="R1383" s="26">
        <f>IF(Q1383="","",IF(COUNTIFS($E$5:$E$3004,E1383,$A$5:$A$3004,"&gt;"&amp;A1383,$H$5:$H$3004,"&lt;&gt;Falta",$H$5:$H$3004,"&lt;&gt;Cancelado",$H$5:$H$3004,"&lt;&gt;Remarcado")&gt;0,"Sim","Não"))</f>
        <v/>
      </c>
      <c r="S1383" s="32">
        <f>IF(R1383&lt;&gt;"Não","",IF(Q1383+Config!$B$9&lt;=Config!$B$8,Config!$B$8-Q1383,""))</f>
        <v/>
      </c>
      <c r="T1383" s="26">
        <f>IF(S1383="","","Sim")</f>
        <v/>
      </c>
      <c r="U1383" s="41">
        <f>IF(T1383="Sim",S1383+ROW()/100000,0)</f>
        <v>0</v>
      </c>
      <c r="V1383" s="41">
        <f>IF(AND(H1383="Falta",L1383=Config!$B$7,M1383=Config!$B$5,COUNTIFS($E$5:E1383,E1383,$H$5:H1383,"Falta",$L$5:L1383,Config!$B$7,$M$5:M1383,Config!$B$5)=1),COUNTIFS($E$5:$E$3004,E1383,$H$5:$H$3004,"Falta",$L$5:$L$3004,Config!$B$7,$M$5:$M$3004,Config!$B$5)*1000-ROW()/100000,0)</f>
        <v>0</v>
      </c>
    </row>
    <row r="1384">
      <c r="A1384" s="39" t="n"/>
      <c r="B1384" s="40" t="n"/>
      <c r="C1384" s="35" t="n"/>
      <c r="D1384" s="35" t="n"/>
      <c r="E1384" s="34" t="n"/>
      <c r="F1384" s="35" t="n"/>
      <c r="G1384" s="35" t="n"/>
      <c r="H1384" s="35" t="n"/>
      <c r="I1384" s="35" t="n"/>
      <c r="J1384" s="35" t="n"/>
      <c r="K1384" s="34" t="n"/>
      <c r="L1384" s="26">
        <f>IF(A1384="","",MONTH(A1384))</f>
        <v/>
      </c>
      <c r="M1384" s="26">
        <f>IF(A1384="","",YEAR(A1384))</f>
        <v/>
      </c>
      <c r="N1384" s="26">
        <f>IF(A1384="","",CHOOSE(WEEKDAY(A1384,2),"Segunda","Terça","Quarta","Quinta","Sexta","Sábado","Domingo"))</f>
        <v/>
      </c>
      <c r="O1384" s="26">
        <f>IF(B1384="","",IF(B1384&lt;TIME(12,0,0),"Manhã",IF(B1384&lt;TIME(18,0,0),"Tarde","Noite")))</f>
        <v/>
      </c>
      <c r="P1384" s="32">
        <f>IF(G1384="","",IFERROR(INDEX(Config!$I$5:$I$16,MATCH(G1384,Config!$H$5:$H$16,0)),0))</f>
        <v/>
      </c>
      <c r="Q1384" s="30">
        <f>IF(OR(H1384&lt;&gt;"Realizado",P1384="",P1384=0),"",A1384+P1384)</f>
        <v/>
      </c>
      <c r="R1384" s="26">
        <f>IF(Q1384="","",IF(COUNTIFS($E$5:$E$3004,E1384,$A$5:$A$3004,"&gt;"&amp;A1384,$H$5:$H$3004,"&lt;&gt;Falta",$H$5:$H$3004,"&lt;&gt;Cancelado",$H$5:$H$3004,"&lt;&gt;Remarcado")&gt;0,"Sim","Não"))</f>
        <v/>
      </c>
      <c r="S1384" s="32">
        <f>IF(R1384&lt;&gt;"Não","",IF(Q1384+Config!$B$9&lt;=Config!$B$8,Config!$B$8-Q1384,""))</f>
        <v/>
      </c>
      <c r="T1384" s="26">
        <f>IF(S1384="","","Sim")</f>
        <v/>
      </c>
      <c r="U1384" s="41">
        <f>IF(T1384="Sim",S1384+ROW()/100000,0)</f>
        <v>0</v>
      </c>
      <c r="V1384" s="41">
        <f>IF(AND(H1384="Falta",L1384=Config!$B$7,M1384=Config!$B$5,COUNTIFS($E$5:E1384,E1384,$H$5:H1384,"Falta",$L$5:L1384,Config!$B$7,$M$5:M1384,Config!$B$5)=1),COUNTIFS($E$5:$E$3004,E1384,$H$5:$H$3004,"Falta",$L$5:$L$3004,Config!$B$7,$M$5:$M$3004,Config!$B$5)*1000-ROW()/100000,0)</f>
        <v>0</v>
      </c>
    </row>
    <row r="1385">
      <c r="A1385" s="39" t="n"/>
      <c r="B1385" s="40" t="n"/>
      <c r="C1385" s="35" t="n"/>
      <c r="D1385" s="35" t="n"/>
      <c r="E1385" s="34" t="n"/>
      <c r="F1385" s="35" t="n"/>
      <c r="G1385" s="35" t="n"/>
      <c r="H1385" s="35" t="n"/>
      <c r="I1385" s="35" t="n"/>
      <c r="J1385" s="35" t="n"/>
      <c r="K1385" s="34" t="n"/>
      <c r="L1385" s="26">
        <f>IF(A1385="","",MONTH(A1385))</f>
        <v/>
      </c>
      <c r="M1385" s="26">
        <f>IF(A1385="","",YEAR(A1385))</f>
        <v/>
      </c>
      <c r="N1385" s="26">
        <f>IF(A1385="","",CHOOSE(WEEKDAY(A1385,2),"Segunda","Terça","Quarta","Quinta","Sexta","Sábado","Domingo"))</f>
        <v/>
      </c>
      <c r="O1385" s="26">
        <f>IF(B1385="","",IF(B1385&lt;TIME(12,0,0),"Manhã",IF(B1385&lt;TIME(18,0,0),"Tarde","Noite")))</f>
        <v/>
      </c>
      <c r="P1385" s="32">
        <f>IF(G1385="","",IFERROR(INDEX(Config!$I$5:$I$16,MATCH(G1385,Config!$H$5:$H$16,0)),0))</f>
        <v/>
      </c>
      <c r="Q1385" s="30">
        <f>IF(OR(H1385&lt;&gt;"Realizado",P1385="",P1385=0),"",A1385+P1385)</f>
        <v/>
      </c>
      <c r="R1385" s="26">
        <f>IF(Q1385="","",IF(COUNTIFS($E$5:$E$3004,E1385,$A$5:$A$3004,"&gt;"&amp;A1385,$H$5:$H$3004,"&lt;&gt;Falta",$H$5:$H$3004,"&lt;&gt;Cancelado",$H$5:$H$3004,"&lt;&gt;Remarcado")&gt;0,"Sim","Não"))</f>
        <v/>
      </c>
      <c r="S1385" s="32">
        <f>IF(R1385&lt;&gt;"Não","",IF(Q1385+Config!$B$9&lt;=Config!$B$8,Config!$B$8-Q1385,""))</f>
        <v/>
      </c>
      <c r="T1385" s="26">
        <f>IF(S1385="","","Sim")</f>
        <v/>
      </c>
      <c r="U1385" s="41">
        <f>IF(T1385="Sim",S1385+ROW()/100000,0)</f>
        <v>0</v>
      </c>
      <c r="V1385" s="41">
        <f>IF(AND(H1385="Falta",L1385=Config!$B$7,M1385=Config!$B$5,COUNTIFS($E$5:E1385,E1385,$H$5:H1385,"Falta",$L$5:L1385,Config!$B$7,$M$5:M1385,Config!$B$5)=1),COUNTIFS($E$5:$E$3004,E1385,$H$5:$H$3004,"Falta",$L$5:$L$3004,Config!$B$7,$M$5:$M$3004,Config!$B$5)*1000-ROW()/100000,0)</f>
        <v>0</v>
      </c>
    </row>
    <row r="1386">
      <c r="A1386" s="39" t="n"/>
      <c r="B1386" s="40" t="n"/>
      <c r="C1386" s="35" t="n"/>
      <c r="D1386" s="35" t="n"/>
      <c r="E1386" s="34" t="n"/>
      <c r="F1386" s="35" t="n"/>
      <c r="G1386" s="35" t="n"/>
      <c r="H1386" s="35" t="n"/>
      <c r="I1386" s="35" t="n"/>
      <c r="J1386" s="35" t="n"/>
      <c r="K1386" s="34" t="n"/>
      <c r="L1386" s="26">
        <f>IF(A1386="","",MONTH(A1386))</f>
        <v/>
      </c>
      <c r="M1386" s="26">
        <f>IF(A1386="","",YEAR(A1386))</f>
        <v/>
      </c>
      <c r="N1386" s="26">
        <f>IF(A1386="","",CHOOSE(WEEKDAY(A1386,2),"Segunda","Terça","Quarta","Quinta","Sexta","Sábado","Domingo"))</f>
        <v/>
      </c>
      <c r="O1386" s="26">
        <f>IF(B1386="","",IF(B1386&lt;TIME(12,0,0),"Manhã",IF(B1386&lt;TIME(18,0,0),"Tarde","Noite")))</f>
        <v/>
      </c>
      <c r="P1386" s="32">
        <f>IF(G1386="","",IFERROR(INDEX(Config!$I$5:$I$16,MATCH(G1386,Config!$H$5:$H$16,0)),0))</f>
        <v/>
      </c>
      <c r="Q1386" s="30">
        <f>IF(OR(H1386&lt;&gt;"Realizado",P1386="",P1386=0),"",A1386+P1386)</f>
        <v/>
      </c>
      <c r="R1386" s="26">
        <f>IF(Q1386="","",IF(COUNTIFS($E$5:$E$3004,E1386,$A$5:$A$3004,"&gt;"&amp;A1386,$H$5:$H$3004,"&lt;&gt;Falta",$H$5:$H$3004,"&lt;&gt;Cancelado",$H$5:$H$3004,"&lt;&gt;Remarcado")&gt;0,"Sim","Não"))</f>
        <v/>
      </c>
      <c r="S1386" s="32">
        <f>IF(R1386&lt;&gt;"Não","",IF(Q1386+Config!$B$9&lt;=Config!$B$8,Config!$B$8-Q1386,""))</f>
        <v/>
      </c>
      <c r="T1386" s="26">
        <f>IF(S1386="","","Sim")</f>
        <v/>
      </c>
      <c r="U1386" s="41">
        <f>IF(T1386="Sim",S1386+ROW()/100000,0)</f>
        <v>0</v>
      </c>
      <c r="V1386" s="41">
        <f>IF(AND(H1386="Falta",L1386=Config!$B$7,M1386=Config!$B$5,COUNTIFS($E$5:E1386,E1386,$H$5:H1386,"Falta",$L$5:L1386,Config!$B$7,$M$5:M1386,Config!$B$5)=1),COUNTIFS($E$5:$E$3004,E1386,$H$5:$H$3004,"Falta",$L$5:$L$3004,Config!$B$7,$M$5:$M$3004,Config!$B$5)*1000-ROW()/100000,0)</f>
        <v>0</v>
      </c>
    </row>
    <row r="1387">
      <c r="A1387" s="39" t="n"/>
      <c r="B1387" s="40" t="n"/>
      <c r="C1387" s="35" t="n"/>
      <c r="D1387" s="35" t="n"/>
      <c r="E1387" s="34" t="n"/>
      <c r="F1387" s="35" t="n"/>
      <c r="G1387" s="35" t="n"/>
      <c r="H1387" s="35" t="n"/>
      <c r="I1387" s="35" t="n"/>
      <c r="J1387" s="35" t="n"/>
      <c r="K1387" s="34" t="n"/>
      <c r="L1387" s="26">
        <f>IF(A1387="","",MONTH(A1387))</f>
        <v/>
      </c>
      <c r="M1387" s="26">
        <f>IF(A1387="","",YEAR(A1387))</f>
        <v/>
      </c>
      <c r="N1387" s="26">
        <f>IF(A1387="","",CHOOSE(WEEKDAY(A1387,2),"Segunda","Terça","Quarta","Quinta","Sexta","Sábado","Domingo"))</f>
        <v/>
      </c>
      <c r="O1387" s="26">
        <f>IF(B1387="","",IF(B1387&lt;TIME(12,0,0),"Manhã",IF(B1387&lt;TIME(18,0,0),"Tarde","Noite")))</f>
        <v/>
      </c>
      <c r="P1387" s="32">
        <f>IF(G1387="","",IFERROR(INDEX(Config!$I$5:$I$16,MATCH(G1387,Config!$H$5:$H$16,0)),0))</f>
        <v/>
      </c>
      <c r="Q1387" s="30">
        <f>IF(OR(H1387&lt;&gt;"Realizado",P1387="",P1387=0),"",A1387+P1387)</f>
        <v/>
      </c>
      <c r="R1387" s="26">
        <f>IF(Q1387="","",IF(COUNTIFS($E$5:$E$3004,E1387,$A$5:$A$3004,"&gt;"&amp;A1387,$H$5:$H$3004,"&lt;&gt;Falta",$H$5:$H$3004,"&lt;&gt;Cancelado",$H$5:$H$3004,"&lt;&gt;Remarcado")&gt;0,"Sim","Não"))</f>
        <v/>
      </c>
      <c r="S1387" s="32">
        <f>IF(R1387&lt;&gt;"Não","",IF(Q1387+Config!$B$9&lt;=Config!$B$8,Config!$B$8-Q1387,""))</f>
        <v/>
      </c>
      <c r="T1387" s="26">
        <f>IF(S1387="","","Sim")</f>
        <v/>
      </c>
      <c r="U1387" s="41">
        <f>IF(T1387="Sim",S1387+ROW()/100000,0)</f>
        <v>0</v>
      </c>
      <c r="V1387" s="41">
        <f>IF(AND(H1387="Falta",L1387=Config!$B$7,M1387=Config!$B$5,COUNTIFS($E$5:E1387,E1387,$H$5:H1387,"Falta",$L$5:L1387,Config!$B$7,$M$5:M1387,Config!$B$5)=1),COUNTIFS($E$5:$E$3004,E1387,$H$5:$H$3004,"Falta",$L$5:$L$3004,Config!$B$7,$M$5:$M$3004,Config!$B$5)*1000-ROW()/100000,0)</f>
        <v>0</v>
      </c>
    </row>
    <row r="1388">
      <c r="A1388" s="39" t="n"/>
      <c r="B1388" s="40" t="n"/>
      <c r="C1388" s="35" t="n"/>
      <c r="D1388" s="35" t="n"/>
      <c r="E1388" s="34" t="n"/>
      <c r="F1388" s="35" t="n"/>
      <c r="G1388" s="35" t="n"/>
      <c r="H1388" s="35" t="n"/>
      <c r="I1388" s="35" t="n"/>
      <c r="J1388" s="35" t="n"/>
      <c r="K1388" s="34" t="n"/>
      <c r="L1388" s="26">
        <f>IF(A1388="","",MONTH(A1388))</f>
        <v/>
      </c>
      <c r="M1388" s="26">
        <f>IF(A1388="","",YEAR(A1388))</f>
        <v/>
      </c>
      <c r="N1388" s="26">
        <f>IF(A1388="","",CHOOSE(WEEKDAY(A1388,2),"Segunda","Terça","Quarta","Quinta","Sexta","Sábado","Domingo"))</f>
        <v/>
      </c>
      <c r="O1388" s="26">
        <f>IF(B1388="","",IF(B1388&lt;TIME(12,0,0),"Manhã",IF(B1388&lt;TIME(18,0,0),"Tarde","Noite")))</f>
        <v/>
      </c>
      <c r="P1388" s="32">
        <f>IF(G1388="","",IFERROR(INDEX(Config!$I$5:$I$16,MATCH(G1388,Config!$H$5:$H$16,0)),0))</f>
        <v/>
      </c>
      <c r="Q1388" s="30">
        <f>IF(OR(H1388&lt;&gt;"Realizado",P1388="",P1388=0),"",A1388+P1388)</f>
        <v/>
      </c>
      <c r="R1388" s="26">
        <f>IF(Q1388="","",IF(COUNTIFS($E$5:$E$3004,E1388,$A$5:$A$3004,"&gt;"&amp;A1388,$H$5:$H$3004,"&lt;&gt;Falta",$H$5:$H$3004,"&lt;&gt;Cancelado",$H$5:$H$3004,"&lt;&gt;Remarcado")&gt;0,"Sim","Não"))</f>
        <v/>
      </c>
      <c r="S1388" s="32">
        <f>IF(R1388&lt;&gt;"Não","",IF(Q1388+Config!$B$9&lt;=Config!$B$8,Config!$B$8-Q1388,""))</f>
        <v/>
      </c>
      <c r="T1388" s="26">
        <f>IF(S1388="","","Sim")</f>
        <v/>
      </c>
      <c r="U1388" s="41">
        <f>IF(T1388="Sim",S1388+ROW()/100000,0)</f>
        <v>0</v>
      </c>
      <c r="V1388" s="41">
        <f>IF(AND(H1388="Falta",L1388=Config!$B$7,M1388=Config!$B$5,COUNTIFS($E$5:E1388,E1388,$H$5:H1388,"Falta",$L$5:L1388,Config!$B$7,$M$5:M1388,Config!$B$5)=1),COUNTIFS($E$5:$E$3004,E1388,$H$5:$H$3004,"Falta",$L$5:$L$3004,Config!$B$7,$M$5:$M$3004,Config!$B$5)*1000-ROW()/100000,0)</f>
        <v>0</v>
      </c>
    </row>
    <row r="1389">
      <c r="A1389" s="39" t="n"/>
      <c r="B1389" s="40" t="n"/>
      <c r="C1389" s="35" t="n"/>
      <c r="D1389" s="35" t="n"/>
      <c r="E1389" s="34" t="n"/>
      <c r="F1389" s="35" t="n"/>
      <c r="G1389" s="35" t="n"/>
      <c r="H1389" s="35" t="n"/>
      <c r="I1389" s="35" t="n"/>
      <c r="J1389" s="35" t="n"/>
      <c r="K1389" s="34" t="n"/>
      <c r="L1389" s="26">
        <f>IF(A1389="","",MONTH(A1389))</f>
        <v/>
      </c>
      <c r="M1389" s="26">
        <f>IF(A1389="","",YEAR(A1389))</f>
        <v/>
      </c>
      <c r="N1389" s="26">
        <f>IF(A1389="","",CHOOSE(WEEKDAY(A1389,2),"Segunda","Terça","Quarta","Quinta","Sexta","Sábado","Domingo"))</f>
        <v/>
      </c>
      <c r="O1389" s="26">
        <f>IF(B1389="","",IF(B1389&lt;TIME(12,0,0),"Manhã",IF(B1389&lt;TIME(18,0,0),"Tarde","Noite")))</f>
        <v/>
      </c>
      <c r="P1389" s="32">
        <f>IF(G1389="","",IFERROR(INDEX(Config!$I$5:$I$16,MATCH(G1389,Config!$H$5:$H$16,0)),0))</f>
        <v/>
      </c>
      <c r="Q1389" s="30">
        <f>IF(OR(H1389&lt;&gt;"Realizado",P1389="",P1389=0),"",A1389+P1389)</f>
        <v/>
      </c>
      <c r="R1389" s="26">
        <f>IF(Q1389="","",IF(COUNTIFS($E$5:$E$3004,E1389,$A$5:$A$3004,"&gt;"&amp;A1389,$H$5:$H$3004,"&lt;&gt;Falta",$H$5:$H$3004,"&lt;&gt;Cancelado",$H$5:$H$3004,"&lt;&gt;Remarcado")&gt;0,"Sim","Não"))</f>
        <v/>
      </c>
      <c r="S1389" s="32">
        <f>IF(R1389&lt;&gt;"Não","",IF(Q1389+Config!$B$9&lt;=Config!$B$8,Config!$B$8-Q1389,""))</f>
        <v/>
      </c>
      <c r="T1389" s="26">
        <f>IF(S1389="","","Sim")</f>
        <v/>
      </c>
      <c r="U1389" s="41">
        <f>IF(T1389="Sim",S1389+ROW()/100000,0)</f>
        <v>0</v>
      </c>
      <c r="V1389" s="41">
        <f>IF(AND(H1389="Falta",L1389=Config!$B$7,M1389=Config!$B$5,COUNTIFS($E$5:E1389,E1389,$H$5:H1389,"Falta",$L$5:L1389,Config!$B$7,$M$5:M1389,Config!$B$5)=1),COUNTIFS($E$5:$E$3004,E1389,$H$5:$H$3004,"Falta",$L$5:$L$3004,Config!$B$7,$M$5:$M$3004,Config!$B$5)*1000-ROW()/100000,0)</f>
        <v>0</v>
      </c>
    </row>
    <row r="1390">
      <c r="A1390" s="39" t="n"/>
      <c r="B1390" s="40" t="n"/>
      <c r="C1390" s="35" t="n"/>
      <c r="D1390" s="35" t="n"/>
      <c r="E1390" s="34" t="n"/>
      <c r="F1390" s="35" t="n"/>
      <c r="G1390" s="35" t="n"/>
      <c r="H1390" s="35" t="n"/>
      <c r="I1390" s="35" t="n"/>
      <c r="J1390" s="35" t="n"/>
      <c r="K1390" s="34" t="n"/>
      <c r="L1390" s="26">
        <f>IF(A1390="","",MONTH(A1390))</f>
        <v/>
      </c>
      <c r="M1390" s="26">
        <f>IF(A1390="","",YEAR(A1390))</f>
        <v/>
      </c>
      <c r="N1390" s="26">
        <f>IF(A1390="","",CHOOSE(WEEKDAY(A1390,2),"Segunda","Terça","Quarta","Quinta","Sexta","Sábado","Domingo"))</f>
        <v/>
      </c>
      <c r="O1390" s="26">
        <f>IF(B1390="","",IF(B1390&lt;TIME(12,0,0),"Manhã",IF(B1390&lt;TIME(18,0,0),"Tarde","Noite")))</f>
        <v/>
      </c>
      <c r="P1390" s="32">
        <f>IF(G1390="","",IFERROR(INDEX(Config!$I$5:$I$16,MATCH(G1390,Config!$H$5:$H$16,0)),0))</f>
        <v/>
      </c>
      <c r="Q1390" s="30">
        <f>IF(OR(H1390&lt;&gt;"Realizado",P1390="",P1390=0),"",A1390+P1390)</f>
        <v/>
      </c>
      <c r="R1390" s="26">
        <f>IF(Q1390="","",IF(COUNTIFS($E$5:$E$3004,E1390,$A$5:$A$3004,"&gt;"&amp;A1390,$H$5:$H$3004,"&lt;&gt;Falta",$H$5:$H$3004,"&lt;&gt;Cancelado",$H$5:$H$3004,"&lt;&gt;Remarcado")&gt;0,"Sim","Não"))</f>
        <v/>
      </c>
      <c r="S1390" s="32">
        <f>IF(R1390&lt;&gt;"Não","",IF(Q1390+Config!$B$9&lt;=Config!$B$8,Config!$B$8-Q1390,""))</f>
        <v/>
      </c>
      <c r="T1390" s="26">
        <f>IF(S1390="","","Sim")</f>
        <v/>
      </c>
      <c r="U1390" s="41">
        <f>IF(T1390="Sim",S1390+ROW()/100000,0)</f>
        <v>0</v>
      </c>
      <c r="V1390" s="41">
        <f>IF(AND(H1390="Falta",L1390=Config!$B$7,M1390=Config!$B$5,COUNTIFS($E$5:E1390,E1390,$H$5:H1390,"Falta",$L$5:L1390,Config!$B$7,$M$5:M1390,Config!$B$5)=1),COUNTIFS($E$5:$E$3004,E1390,$H$5:$H$3004,"Falta",$L$5:$L$3004,Config!$B$7,$M$5:$M$3004,Config!$B$5)*1000-ROW()/100000,0)</f>
        <v>0</v>
      </c>
    </row>
    <row r="1391">
      <c r="A1391" s="39" t="n"/>
      <c r="B1391" s="40" t="n"/>
      <c r="C1391" s="35" t="n"/>
      <c r="D1391" s="35" t="n"/>
      <c r="E1391" s="34" t="n"/>
      <c r="F1391" s="35" t="n"/>
      <c r="G1391" s="35" t="n"/>
      <c r="H1391" s="35" t="n"/>
      <c r="I1391" s="35" t="n"/>
      <c r="J1391" s="35" t="n"/>
      <c r="K1391" s="34" t="n"/>
      <c r="L1391" s="26">
        <f>IF(A1391="","",MONTH(A1391))</f>
        <v/>
      </c>
      <c r="M1391" s="26">
        <f>IF(A1391="","",YEAR(A1391))</f>
        <v/>
      </c>
      <c r="N1391" s="26">
        <f>IF(A1391="","",CHOOSE(WEEKDAY(A1391,2),"Segunda","Terça","Quarta","Quinta","Sexta","Sábado","Domingo"))</f>
        <v/>
      </c>
      <c r="O1391" s="26">
        <f>IF(B1391="","",IF(B1391&lt;TIME(12,0,0),"Manhã",IF(B1391&lt;TIME(18,0,0),"Tarde","Noite")))</f>
        <v/>
      </c>
      <c r="P1391" s="32">
        <f>IF(G1391="","",IFERROR(INDEX(Config!$I$5:$I$16,MATCH(G1391,Config!$H$5:$H$16,0)),0))</f>
        <v/>
      </c>
      <c r="Q1391" s="30">
        <f>IF(OR(H1391&lt;&gt;"Realizado",P1391="",P1391=0),"",A1391+P1391)</f>
        <v/>
      </c>
      <c r="R1391" s="26">
        <f>IF(Q1391="","",IF(COUNTIFS($E$5:$E$3004,E1391,$A$5:$A$3004,"&gt;"&amp;A1391,$H$5:$H$3004,"&lt;&gt;Falta",$H$5:$H$3004,"&lt;&gt;Cancelado",$H$5:$H$3004,"&lt;&gt;Remarcado")&gt;0,"Sim","Não"))</f>
        <v/>
      </c>
      <c r="S1391" s="32">
        <f>IF(R1391&lt;&gt;"Não","",IF(Q1391+Config!$B$9&lt;=Config!$B$8,Config!$B$8-Q1391,""))</f>
        <v/>
      </c>
      <c r="T1391" s="26">
        <f>IF(S1391="","","Sim")</f>
        <v/>
      </c>
      <c r="U1391" s="41">
        <f>IF(T1391="Sim",S1391+ROW()/100000,0)</f>
        <v>0</v>
      </c>
      <c r="V1391" s="41">
        <f>IF(AND(H1391="Falta",L1391=Config!$B$7,M1391=Config!$B$5,COUNTIFS($E$5:E1391,E1391,$H$5:H1391,"Falta",$L$5:L1391,Config!$B$7,$M$5:M1391,Config!$B$5)=1),COUNTIFS($E$5:$E$3004,E1391,$H$5:$H$3004,"Falta",$L$5:$L$3004,Config!$B$7,$M$5:$M$3004,Config!$B$5)*1000-ROW()/100000,0)</f>
        <v>0</v>
      </c>
    </row>
    <row r="1392">
      <c r="A1392" s="39" t="n"/>
      <c r="B1392" s="40" t="n"/>
      <c r="C1392" s="35" t="n"/>
      <c r="D1392" s="35" t="n"/>
      <c r="E1392" s="34" t="n"/>
      <c r="F1392" s="35" t="n"/>
      <c r="G1392" s="35" t="n"/>
      <c r="H1392" s="35" t="n"/>
      <c r="I1392" s="35" t="n"/>
      <c r="J1392" s="35" t="n"/>
      <c r="K1392" s="34" t="n"/>
      <c r="L1392" s="26">
        <f>IF(A1392="","",MONTH(A1392))</f>
        <v/>
      </c>
      <c r="M1392" s="26">
        <f>IF(A1392="","",YEAR(A1392))</f>
        <v/>
      </c>
      <c r="N1392" s="26">
        <f>IF(A1392="","",CHOOSE(WEEKDAY(A1392,2),"Segunda","Terça","Quarta","Quinta","Sexta","Sábado","Domingo"))</f>
        <v/>
      </c>
      <c r="O1392" s="26">
        <f>IF(B1392="","",IF(B1392&lt;TIME(12,0,0),"Manhã",IF(B1392&lt;TIME(18,0,0),"Tarde","Noite")))</f>
        <v/>
      </c>
      <c r="P1392" s="32">
        <f>IF(G1392="","",IFERROR(INDEX(Config!$I$5:$I$16,MATCH(G1392,Config!$H$5:$H$16,0)),0))</f>
        <v/>
      </c>
      <c r="Q1392" s="30">
        <f>IF(OR(H1392&lt;&gt;"Realizado",P1392="",P1392=0),"",A1392+P1392)</f>
        <v/>
      </c>
      <c r="R1392" s="26">
        <f>IF(Q1392="","",IF(COUNTIFS($E$5:$E$3004,E1392,$A$5:$A$3004,"&gt;"&amp;A1392,$H$5:$H$3004,"&lt;&gt;Falta",$H$5:$H$3004,"&lt;&gt;Cancelado",$H$5:$H$3004,"&lt;&gt;Remarcado")&gt;0,"Sim","Não"))</f>
        <v/>
      </c>
      <c r="S1392" s="32">
        <f>IF(R1392&lt;&gt;"Não","",IF(Q1392+Config!$B$9&lt;=Config!$B$8,Config!$B$8-Q1392,""))</f>
        <v/>
      </c>
      <c r="T1392" s="26">
        <f>IF(S1392="","","Sim")</f>
        <v/>
      </c>
      <c r="U1392" s="41">
        <f>IF(T1392="Sim",S1392+ROW()/100000,0)</f>
        <v>0</v>
      </c>
      <c r="V1392" s="41">
        <f>IF(AND(H1392="Falta",L1392=Config!$B$7,M1392=Config!$B$5,COUNTIFS($E$5:E1392,E1392,$H$5:H1392,"Falta",$L$5:L1392,Config!$B$7,$M$5:M1392,Config!$B$5)=1),COUNTIFS($E$5:$E$3004,E1392,$H$5:$H$3004,"Falta",$L$5:$L$3004,Config!$B$7,$M$5:$M$3004,Config!$B$5)*1000-ROW()/100000,0)</f>
        <v>0</v>
      </c>
    </row>
    <row r="1393">
      <c r="A1393" s="39" t="n"/>
      <c r="B1393" s="40" t="n"/>
      <c r="C1393" s="35" t="n"/>
      <c r="D1393" s="35" t="n"/>
      <c r="E1393" s="34" t="n"/>
      <c r="F1393" s="35" t="n"/>
      <c r="G1393" s="35" t="n"/>
      <c r="H1393" s="35" t="n"/>
      <c r="I1393" s="35" t="n"/>
      <c r="J1393" s="35" t="n"/>
      <c r="K1393" s="34" t="n"/>
      <c r="L1393" s="26">
        <f>IF(A1393="","",MONTH(A1393))</f>
        <v/>
      </c>
      <c r="M1393" s="26">
        <f>IF(A1393="","",YEAR(A1393))</f>
        <v/>
      </c>
      <c r="N1393" s="26">
        <f>IF(A1393="","",CHOOSE(WEEKDAY(A1393,2),"Segunda","Terça","Quarta","Quinta","Sexta","Sábado","Domingo"))</f>
        <v/>
      </c>
      <c r="O1393" s="26">
        <f>IF(B1393="","",IF(B1393&lt;TIME(12,0,0),"Manhã",IF(B1393&lt;TIME(18,0,0),"Tarde","Noite")))</f>
        <v/>
      </c>
      <c r="P1393" s="32">
        <f>IF(G1393="","",IFERROR(INDEX(Config!$I$5:$I$16,MATCH(G1393,Config!$H$5:$H$16,0)),0))</f>
        <v/>
      </c>
      <c r="Q1393" s="30">
        <f>IF(OR(H1393&lt;&gt;"Realizado",P1393="",P1393=0),"",A1393+P1393)</f>
        <v/>
      </c>
      <c r="R1393" s="26">
        <f>IF(Q1393="","",IF(COUNTIFS($E$5:$E$3004,E1393,$A$5:$A$3004,"&gt;"&amp;A1393,$H$5:$H$3004,"&lt;&gt;Falta",$H$5:$H$3004,"&lt;&gt;Cancelado",$H$5:$H$3004,"&lt;&gt;Remarcado")&gt;0,"Sim","Não"))</f>
        <v/>
      </c>
      <c r="S1393" s="32">
        <f>IF(R1393&lt;&gt;"Não","",IF(Q1393+Config!$B$9&lt;=Config!$B$8,Config!$B$8-Q1393,""))</f>
        <v/>
      </c>
      <c r="T1393" s="26">
        <f>IF(S1393="","","Sim")</f>
        <v/>
      </c>
      <c r="U1393" s="41">
        <f>IF(T1393="Sim",S1393+ROW()/100000,0)</f>
        <v>0</v>
      </c>
      <c r="V1393" s="41">
        <f>IF(AND(H1393="Falta",L1393=Config!$B$7,M1393=Config!$B$5,COUNTIFS($E$5:E1393,E1393,$H$5:H1393,"Falta",$L$5:L1393,Config!$B$7,$M$5:M1393,Config!$B$5)=1),COUNTIFS($E$5:$E$3004,E1393,$H$5:$H$3004,"Falta",$L$5:$L$3004,Config!$B$7,$M$5:$M$3004,Config!$B$5)*1000-ROW()/100000,0)</f>
        <v>0</v>
      </c>
    </row>
    <row r="1394">
      <c r="A1394" s="39" t="n"/>
      <c r="B1394" s="40" t="n"/>
      <c r="C1394" s="35" t="n"/>
      <c r="D1394" s="35" t="n"/>
      <c r="E1394" s="34" t="n"/>
      <c r="F1394" s="35" t="n"/>
      <c r="G1394" s="35" t="n"/>
      <c r="H1394" s="35" t="n"/>
      <c r="I1394" s="35" t="n"/>
      <c r="J1394" s="35" t="n"/>
      <c r="K1394" s="34" t="n"/>
      <c r="L1394" s="26">
        <f>IF(A1394="","",MONTH(A1394))</f>
        <v/>
      </c>
      <c r="M1394" s="26">
        <f>IF(A1394="","",YEAR(A1394))</f>
        <v/>
      </c>
      <c r="N1394" s="26">
        <f>IF(A1394="","",CHOOSE(WEEKDAY(A1394,2),"Segunda","Terça","Quarta","Quinta","Sexta","Sábado","Domingo"))</f>
        <v/>
      </c>
      <c r="O1394" s="26">
        <f>IF(B1394="","",IF(B1394&lt;TIME(12,0,0),"Manhã",IF(B1394&lt;TIME(18,0,0),"Tarde","Noite")))</f>
        <v/>
      </c>
      <c r="P1394" s="32">
        <f>IF(G1394="","",IFERROR(INDEX(Config!$I$5:$I$16,MATCH(G1394,Config!$H$5:$H$16,0)),0))</f>
        <v/>
      </c>
      <c r="Q1394" s="30">
        <f>IF(OR(H1394&lt;&gt;"Realizado",P1394="",P1394=0),"",A1394+P1394)</f>
        <v/>
      </c>
      <c r="R1394" s="26">
        <f>IF(Q1394="","",IF(COUNTIFS($E$5:$E$3004,E1394,$A$5:$A$3004,"&gt;"&amp;A1394,$H$5:$H$3004,"&lt;&gt;Falta",$H$5:$H$3004,"&lt;&gt;Cancelado",$H$5:$H$3004,"&lt;&gt;Remarcado")&gt;0,"Sim","Não"))</f>
        <v/>
      </c>
      <c r="S1394" s="32">
        <f>IF(R1394&lt;&gt;"Não","",IF(Q1394+Config!$B$9&lt;=Config!$B$8,Config!$B$8-Q1394,""))</f>
        <v/>
      </c>
      <c r="T1394" s="26">
        <f>IF(S1394="","","Sim")</f>
        <v/>
      </c>
      <c r="U1394" s="41">
        <f>IF(T1394="Sim",S1394+ROW()/100000,0)</f>
        <v>0</v>
      </c>
      <c r="V1394" s="41">
        <f>IF(AND(H1394="Falta",L1394=Config!$B$7,M1394=Config!$B$5,COUNTIFS($E$5:E1394,E1394,$H$5:H1394,"Falta",$L$5:L1394,Config!$B$7,$M$5:M1394,Config!$B$5)=1),COUNTIFS($E$5:$E$3004,E1394,$H$5:$H$3004,"Falta",$L$5:$L$3004,Config!$B$7,$M$5:$M$3004,Config!$B$5)*1000-ROW()/100000,0)</f>
        <v>0</v>
      </c>
    </row>
    <row r="1395">
      <c r="A1395" s="39" t="n"/>
      <c r="B1395" s="40" t="n"/>
      <c r="C1395" s="35" t="n"/>
      <c r="D1395" s="35" t="n"/>
      <c r="E1395" s="34" t="n"/>
      <c r="F1395" s="35" t="n"/>
      <c r="G1395" s="35" t="n"/>
      <c r="H1395" s="35" t="n"/>
      <c r="I1395" s="35" t="n"/>
      <c r="J1395" s="35" t="n"/>
      <c r="K1395" s="34" t="n"/>
      <c r="L1395" s="26">
        <f>IF(A1395="","",MONTH(A1395))</f>
        <v/>
      </c>
      <c r="M1395" s="26">
        <f>IF(A1395="","",YEAR(A1395))</f>
        <v/>
      </c>
      <c r="N1395" s="26">
        <f>IF(A1395="","",CHOOSE(WEEKDAY(A1395,2),"Segunda","Terça","Quarta","Quinta","Sexta","Sábado","Domingo"))</f>
        <v/>
      </c>
      <c r="O1395" s="26">
        <f>IF(B1395="","",IF(B1395&lt;TIME(12,0,0),"Manhã",IF(B1395&lt;TIME(18,0,0),"Tarde","Noite")))</f>
        <v/>
      </c>
      <c r="P1395" s="32">
        <f>IF(G1395="","",IFERROR(INDEX(Config!$I$5:$I$16,MATCH(G1395,Config!$H$5:$H$16,0)),0))</f>
        <v/>
      </c>
      <c r="Q1395" s="30">
        <f>IF(OR(H1395&lt;&gt;"Realizado",P1395="",P1395=0),"",A1395+P1395)</f>
        <v/>
      </c>
      <c r="R1395" s="26">
        <f>IF(Q1395="","",IF(COUNTIFS($E$5:$E$3004,E1395,$A$5:$A$3004,"&gt;"&amp;A1395,$H$5:$H$3004,"&lt;&gt;Falta",$H$5:$H$3004,"&lt;&gt;Cancelado",$H$5:$H$3004,"&lt;&gt;Remarcado")&gt;0,"Sim","Não"))</f>
        <v/>
      </c>
      <c r="S1395" s="32">
        <f>IF(R1395&lt;&gt;"Não","",IF(Q1395+Config!$B$9&lt;=Config!$B$8,Config!$B$8-Q1395,""))</f>
        <v/>
      </c>
      <c r="T1395" s="26">
        <f>IF(S1395="","","Sim")</f>
        <v/>
      </c>
      <c r="U1395" s="41">
        <f>IF(T1395="Sim",S1395+ROW()/100000,0)</f>
        <v>0</v>
      </c>
      <c r="V1395" s="41">
        <f>IF(AND(H1395="Falta",L1395=Config!$B$7,M1395=Config!$B$5,COUNTIFS($E$5:E1395,E1395,$H$5:H1395,"Falta",$L$5:L1395,Config!$B$7,$M$5:M1395,Config!$B$5)=1),COUNTIFS($E$5:$E$3004,E1395,$H$5:$H$3004,"Falta",$L$5:$L$3004,Config!$B$7,$M$5:$M$3004,Config!$B$5)*1000-ROW()/100000,0)</f>
        <v>0</v>
      </c>
    </row>
    <row r="1396">
      <c r="A1396" s="39" t="n"/>
      <c r="B1396" s="40" t="n"/>
      <c r="C1396" s="35" t="n"/>
      <c r="D1396" s="35" t="n"/>
      <c r="E1396" s="34" t="n"/>
      <c r="F1396" s="35" t="n"/>
      <c r="G1396" s="35" t="n"/>
      <c r="H1396" s="35" t="n"/>
      <c r="I1396" s="35" t="n"/>
      <c r="J1396" s="35" t="n"/>
      <c r="K1396" s="34" t="n"/>
      <c r="L1396" s="26">
        <f>IF(A1396="","",MONTH(A1396))</f>
        <v/>
      </c>
      <c r="M1396" s="26">
        <f>IF(A1396="","",YEAR(A1396))</f>
        <v/>
      </c>
      <c r="N1396" s="26">
        <f>IF(A1396="","",CHOOSE(WEEKDAY(A1396,2),"Segunda","Terça","Quarta","Quinta","Sexta","Sábado","Domingo"))</f>
        <v/>
      </c>
      <c r="O1396" s="26">
        <f>IF(B1396="","",IF(B1396&lt;TIME(12,0,0),"Manhã",IF(B1396&lt;TIME(18,0,0),"Tarde","Noite")))</f>
        <v/>
      </c>
      <c r="P1396" s="32">
        <f>IF(G1396="","",IFERROR(INDEX(Config!$I$5:$I$16,MATCH(G1396,Config!$H$5:$H$16,0)),0))</f>
        <v/>
      </c>
      <c r="Q1396" s="30">
        <f>IF(OR(H1396&lt;&gt;"Realizado",P1396="",P1396=0),"",A1396+P1396)</f>
        <v/>
      </c>
      <c r="R1396" s="26">
        <f>IF(Q1396="","",IF(COUNTIFS($E$5:$E$3004,E1396,$A$5:$A$3004,"&gt;"&amp;A1396,$H$5:$H$3004,"&lt;&gt;Falta",$H$5:$H$3004,"&lt;&gt;Cancelado",$H$5:$H$3004,"&lt;&gt;Remarcado")&gt;0,"Sim","Não"))</f>
        <v/>
      </c>
      <c r="S1396" s="32">
        <f>IF(R1396&lt;&gt;"Não","",IF(Q1396+Config!$B$9&lt;=Config!$B$8,Config!$B$8-Q1396,""))</f>
        <v/>
      </c>
      <c r="T1396" s="26">
        <f>IF(S1396="","","Sim")</f>
        <v/>
      </c>
      <c r="U1396" s="41">
        <f>IF(T1396="Sim",S1396+ROW()/100000,0)</f>
        <v>0</v>
      </c>
      <c r="V1396" s="41">
        <f>IF(AND(H1396="Falta",L1396=Config!$B$7,M1396=Config!$B$5,COUNTIFS($E$5:E1396,E1396,$H$5:H1396,"Falta",$L$5:L1396,Config!$B$7,$M$5:M1396,Config!$B$5)=1),COUNTIFS($E$5:$E$3004,E1396,$H$5:$H$3004,"Falta",$L$5:$L$3004,Config!$B$7,$M$5:$M$3004,Config!$B$5)*1000-ROW()/100000,0)</f>
        <v>0</v>
      </c>
    </row>
    <row r="1397">
      <c r="A1397" s="39" t="n"/>
      <c r="B1397" s="40" t="n"/>
      <c r="C1397" s="35" t="n"/>
      <c r="D1397" s="35" t="n"/>
      <c r="E1397" s="34" t="n"/>
      <c r="F1397" s="35" t="n"/>
      <c r="G1397" s="35" t="n"/>
      <c r="H1397" s="35" t="n"/>
      <c r="I1397" s="35" t="n"/>
      <c r="J1397" s="35" t="n"/>
      <c r="K1397" s="34" t="n"/>
      <c r="L1397" s="26">
        <f>IF(A1397="","",MONTH(A1397))</f>
        <v/>
      </c>
      <c r="M1397" s="26">
        <f>IF(A1397="","",YEAR(A1397))</f>
        <v/>
      </c>
      <c r="N1397" s="26">
        <f>IF(A1397="","",CHOOSE(WEEKDAY(A1397,2),"Segunda","Terça","Quarta","Quinta","Sexta","Sábado","Domingo"))</f>
        <v/>
      </c>
      <c r="O1397" s="26">
        <f>IF(B1397="","",IF(B1397&lt;TIME(12,0,0),"Manhã",IF(B1397&lt;TIME(18,0,0),"Tarde","Noite")))</f>
        <v/>
      </c>
      <c r="P1397" s="32">
        <f>IF(G1397="","",IFERROR(INDEX(Config!$I$5:$I$16,MATCH(G1397,Config!$H$5:$H$16,0)),0))</f>
        <v/>
      </c>
      <c r="Q1397" s="30">
        <f>IF(OR(H1397&lt;&gt;"Realizado",P1397="",P1397=0),"",A1397+P1397)</f>
        <v/>
      </c>
      <c r="R1397" s="26">
        <f>IF(Q1397="","",IF(COUNTIFS($E$5:$E$3004,E1397,$A$5:$A$3004,"&gt;"&amp;A1397,$H$5:$H$3004,"&lt;&gt;Falta",$H$5:$H$3004,"&lt;&gt;Cancelado",$H$5:$H$3004,"&lt;&gt;Remarcado")&gt;0,"Sim","Não"))</f>
        <v/>
      </c>
      <c r="S1397" s="32">
        <f>IF(R1397&lt;&gt;"Não","",IF(Q1397+Config!$B$9&lt;=Config!$B$8,Config!$B$8-Q1397,""))</f>
        <v/>
      </c>
      <c r="T1397" s="26">
        <f>IF(S1397="","","Sim")</f>
        <v/>
      </c>
      <c r="U1397" s="41">
        <f>IF(T1397="Sim",S1397+ROW()/100000,0)</f>
        <v>0</v>
      </c>
      <c r="V1397" s="41">
        <f>IF(AND(H1397="Falta",L1397=Config!$B$7,M1397=Config!$B$5,COUNTIFS($E$5:E1397,E1397,$H$5:H1397,"Falta",$L$5:L1397,Config!$B$7,$M$5:M1397,Config!$B$5)=1),COUNTIFS($E$5:$E$3004,E1397,$H$5:$H$3004,"Falta",$L$5:$L$3004,Config!$B$7,$M$5:$M$3004,Config!$B$5)*1000-ROW()/100000,0)</f>
        <v>0</v>
      </c>
    </row>
    <row r="1398">
      <c r="A1398" s="39" t="n"/>
      <c r="B1398" s="40" t="n"/>
      <c r="C1398" s="35" t="n"/>
      <c r="D1398" s="35" t="n"/>
      <c r="E1398" s="34" t="n"/>
      <c r="F1398" s="35" t="n"/>
      <c r="G1398" s="35" t="n"/>
      <c r="H1398" s="35" t="n"/>
      <c r="I1398" s="35" t="n"/>
      <c r="J1398" s="35" t="n"/>
      <c r="K1398" s="34" t="n"/>
      <c r="L1398" s="26">
        <f>IF(A1398="","",MONTH(A1398))</f>
        <v/>
      </c>
      <c r="M1398" s="26">
        <f>IF(A1398="","",YEAR(A1398))</f>
        <v/>
      </c>
      <c r="N1398" s="26">
        <f>IF(A1398="","",CHOOSE(WEEKDAY(A1398,2),"Segunda","Terça","Quarta","Quinta","Sexta","Sábado","Domingo"))</f>
        <v/>
      </c>
      <c r="O1398" s="26">
        <f>IF(B1398="","",IF(B1398&lt;TIME(12,0,0),"Manhã",IF(B1398&lt;TIME(18,0,0),"Tarde","Noite")))</f>
        <v/>
      </c>
      <c r="P1398" s="32">
        <f>IF(G1398="","",IFERROR(INDEX(Config!$I$5:$I$16,MATCH(G1398,Config!$H$5:$H$16,0)),0))</f>
        <v/>
      </c>
      <c r="Q1398" s="30">
        <f>IF(OR(H1398&lt;&gt;"Realizado",P1398="",P1398=0),"",A1398+P1398)</f>
        <v/>
      </c>
      <c r="R1398" s="26">
        <f>IF(Q1398="","",IF(COUNTIFS($E$5:$E$3004,E1398,$A$5:$A$3004,"&gt;"&amp;A1398,$H$5:$H$3004,"&lt;&gt;Falta",$H$5:$H$3004,"&lt;&gt;Cancelado",$H$5:$H$3004,"&lt;&gt;Remarcado")&gt;0,"Sim","Não"))</f>
        <v/>
      </c>
      <c r="S1398" s="32">
        <f>IF(R1398&lt;&gt;"Não","",IF(Q1398+Config!$B$9&lt;=Config!$B$8,Config!$B$8-Q1398,""))</f>
        <v/>
      </c>
      <c r="T1398" s="26">
        <f>IF(S1398="","","Sim")</f>
        <v/>
      </c>
      <c r="U1398" s="41">
        <f>IF(T1398="Sim",S1398+ROW()/100000,0)</f>
        <v>0</v>
      </c>
      <c r="V1398" s="41">
        <f>IF(AND(H1398="Falta",L1398=Config!$B$7,M1398=Config!$B$5,COUNTIFS($E$5:E1398,E1398,$H$5:H1398,"Falta",$L$5:L1398,Config!$B$7,$M$5:M1398,Config!$B$5)=1),COUNTIFS($E$5:$E$3004,E1398,$H$5:$H$3004,"Falta",$L$5:$L$3004,Config!$B$7,$M$5:$M$3004,Config!$B$5)*1000-ROW()/100000,0)</f>
        <v>0</v>
      </c>
    </row>
    <row r="1399">
      <c r="A1399" s="39" t="n"/>
      <c r="B1399" s="40" t="n"/>
      <c r="C1399" s="35" t="n"/>
      <c r="D1399" s="35" t="n"/>
      <c r="E1399" s="34" t="n"/>
      <c r="F1399" s="35" t="n"/>
      <c r="G1399" s="35" t="n"/>
      <c r="H1399" s="35" t="n"/>
      <c r="I1399" s="35" t="n"/>
      <c r="J1399" s="35" t="n"/>
      <c r="K1399" s="34" t="n"/>
      <c r="L1399" s="26">
        <f>IF(A1399="","",MONTH(A1399))</f>
        <v/>
      </c>
      <c r="M1399" s="26">
        <f>IF(A1399="","",YEAR(A1399))</f>
        <v/>
      </c>
      <c r="N1399" s="26">
        <f>IF(A1399="","",CHOOSE(WEEKDAY(A1399,2),"Segunda","Terça","Quarta","Quinta","Sexta","Sábado","Domingo"))</f>
        <v/>
      </c>
      <c r="O1399" s="26">
        <f>IF(B1399="","",IF(B1399&lt;TIME(12,0,0),"Manhã",IF(B1399&lt;TIME(18,0,0),"Tarde","Noite")))</f>
        <v/>
      </c>
      <c r="P1399" s="32">
        <f>IF(G1399="","",IFERROR(INDEX(Config!$I$5:$I$16,MATCH(G1399,Config!$H$5:$H$16,0)),0))</f>
        <v/>
      </c>
      <c r="Q1399" s="30">
        <f>IF(OR(H1399&lt;&gt;"Realizado",P1399="",P1399=0),"",A1399+P1399)</f>
        <v/>
      </c>
      <c r="R1399" s="26">
        <f>IF(Q1399="","",IF(COUNTIFS($E$5:$E$3004,E1399,$A$5:$A$3004,"&gt;"&amp;A1399,$H$5:$H$3004,"&lt;&gt;Falta",$H$5:$H$3004,"&lt;&gt;Cancelado",$H$5:$H$3004,"&lt;&gt;Remarcado")&gt;0,"Sim","Não"))</f>
        <v/>
      </c>
      <c r="S1399" s="32">
        <f>IF(R1399&lt;&gt;"Não","",IF(Q1399+Config!$B$9&lt;=Config!$B$8,Config!$B$8-Q1399,""))</f>
        <v/>
      </c>
      <c r="T1399" s="26">
        <f>IF(S1399="","","Sim")</f>
        <v/>
      </c>
      <c r="U1399" s="41">
        <f>IF(T1399="Sim",S1399+ROW()/100000,0)</f>
        <v>0</v>
      </c>
      <c r="V1399" s="41">
        <f>IF(AND(H1399="Falta",L1399=Config!$B$7,M1399=Config!$B$5,COUNTIFS($E$5:E1399,E1399,$H$5:H1399,"Falta",$L$5:L1399,Config!$B$7,$M$5:M1399,Config!$B$5)=1),COUNTIFS($E$5:$E$3004,E1399,$H$5:$H$3004,"Falta",$L$5:$L$3004,Config!$B$7,$M$5:$M$3004,Config!$B$5)*1000-ROW()/100000,0)</f>
        <v>0</v>
      </c>
    </row>
    <row r="1400">
      <c r="A1400" s="39" t="n"/>
      <c r="B1400" s="40" t="n"/>
      <c r="C1400" s="35" t="n"/>
      <c r="D1400" s="35" t="n"/>
      <c r="E1400" s="34" t="n"/>
      <c r="F1400" s="35" t="n"/>
      <c r="G1400" s="35" t="n"/>
      <c r="H1400" s="35" t="n"/>
      <c r="I1400" s="35" t="n"/>
      <c r="J1400" s="35" t="n"/>
      <c r="K1400" s="34" t="n"/>
      <c r="L1400" s="26">
        <f>IF(A1400="","",MONTH(A1400))</f>
        <v/>
      </c>
      <c r="M1400" s="26">
        <f>IF(A1400="","",YEAR(A1400))</f>
        <v/>
      </c>
      <c r="N1400" s="26">
        <f>IF(A1400="","",CHOOSE(WEEKDAY(A1400,2),"Segunda","Terça","Quarta","Quinta","Sexta","Sábado","Domingo"))</f>
        <v/>
      </c>
      <c r="O1400" s="26">
        <f>IF(B1400="","",IF(B1400&lt;TIME(12,0,0),"Manhã",IF(B1400&lt;TIME(18,0,0),"Tarde","Noite")))</f>
        <v/>
      </c>
      <c r="P1400" s="32">
        <f>IF(G1400="","",IFERROR(INDEX(Config!$I$5:$I$16,MATCH(G1400,Config!$H$5:$H$16,0)),0))</f>
        <v/>
      </c>
      <c r="Q1400" s="30">
        <f>IF(OR(H1400&lt;&gt;"Realizado",P1400="",P1400=0),"",A1400+P1400)</f>
        <v/>
      </c>
      <c r="R1400" s="26">
        <f>IF(Q1400="","",IF(COUNTIFS($E$5:$E$3004,E1400,$A$5:$A$3004,"&gt;"&amp;A1400,$H$5:$H$3004,"&lt;&gt;Falta",$H$5:$H$3004,"&lt;&gt;Cancelado",$H$5:$H$3004,"&lt;&gt;Remarcado")&gt;0,"Sim","Não"))</f>
        <v/>
      </c>
      <c r="S1400" s="32">
        <f>IF(R1400&lt;&gt;"Não","",IF(Q1400+Config!$B$9&lt;=Config!$B$8,Config!$B$8-Q1400,""))</f>
        <v/>
      </c>
      <c r="T1400" s="26">
        <f>IF(S1400="","","Sim")</f>
        <v/>
      </c>
      <c r="U1400" s="41">
        <f>IF(T1400="Sim",S1400+ROW()/100000,0)</f>
        <v>0</v>
      </c>
      <c r="V1400" s="41">
        <f>IF(AND(H1400="Falta",L1400=Config!$B$7,M1400=Config!$B$5,COUNTIFS($E$5:E1400,E1400,$H$5:H1400,"Falta",$L$5:L1400,Config!$B$7,$M$5:M1400,Config!$B$5)=1),COUNTIFS($E$5:$E$3004,E1400,$H$5:$H$3004,"Falta",$L$5:$L$3004,Config!$B$7,$M$5:$M$3004,Config!$B$5)*1000-ROW()/100000,0)</f>
        <v>0</v>
      </c>
    </row>
    <row r="1401">
      <c r="A1401" s="39" t="n"/>
      <c r="B1401" s="40" t="n"/>
      <c r="C1401" s="35" t="n"/>
      <c r="D1401" s="35" t="n"/>
      <c r="E1401" s="34" t="n"/>
      <c r="F1401" s="35" t="n"/>
      <c r="G1401" s="35" t="n"/>
      <c r="H1401" s="35" t="n"/>
      <c r="I1401" s="35" t="n"/>
      <c r="J1401" s="35" t="n"/>
      <c r="K1401" s="34" t="n"/>
      <c r="L1401" s="26">
        <f>IF(A1401="","",MONTH(A1401))</f>
        <v/>
      </c>
      <c r="M1401" s="26">
        <f>IF(A1401="","",YEAR(A1401))</f>
        <v/>
      </c>
      <c r="N1401" s="26">
        <f>IF(A1401="","",CHOOSE(WEEKDAY(A1401,2),"Segunda","Terça","Quarta","Quinta","Sexta","Sábado","Domingo"))</f>
        <v/>
      </c>
      <c r="O1401" s="26">
        <f>IF(B1401="","",IF(B1401&lt;TIME(12,0,0),"Manhã",IF(B1401&lt;TIME(18,0,0),"Tarde","Noite")))</f>
        <v/>
      </c>
      <c r="P1401" s="32">
        <f>IF(G1401="","",IFERROR(INDEX(Config!$I$5:$I$16,MATCH(G1401,Config!$H$5:$H$16,0)),0))</f>
        <v/>
      </c>
      <c r="Q1401" s="30">
        <f>IF(OR(H1401&lt;&gt;"Realizado",P1401="",P1401=0),"",A1401+P1401)</f>
        <v/>
      </c>
      <c r="R1401" s="26">
        <f>IF(Q1401="","",IF(COUNTIFS($E$5:$E$3004,E1401,$A$5:$A$3004,"&gt;"&amp;A1401,$H$5:$H$3004,"&lt;&gt;Falta",$H$5:$H$3004,"&lt;&gt;Cancelado",$H$5:$H$3004,"&lt;&gt;Remarcado")&gt;0,"Sim","Não"))</f>
        <v/>
      </c>
      <c r="S1401" s="32">
        <f>IF(R1401&lt;&gt;"Não","",IF(Q1401+Config!$B$9&lt;=Config!$B$8,Config!$B$8-Q1401,""))</f>
        <v/>
      </c>
      <c r="T1401" s="26">
        <f>IF(S1401="","","Sim")</f>
        <v/>
      </c>
      <c r="U1401" s="41">
        <f>IF(T1401="Sim",S1401+ROW()/100000,0)</f>
        <v>0</v>
      </c>
      <c r="V1401" s="41">
        <f>IF(AND(H1401="Falta",L1401=Config!$B$7,M1401=Config!$B$5,COUNTIFS($E$5:E1401,E1401,$H$5:H1401,"Falta",$L$5:L1401,Config!$B$7,$M$5:M1401,Config!$B$5)=1),COUNTIFS($E$5:$E$3004,E1401,$H$5:$H$3004,"Falta",$L$5:$L$3004,Config!$B$7,$M$5:$M$3004,Config!$B$5)*1000-ROW()/100000,0)</f>
        <v>0</v>
      </c>
    </row>
    <row r="1402">
      <c r="A1402" s="39" t="n"/>
      <c r="B1402" s="40" t="n"/>
      <c r="C1402" s="35" t="n"/>
      <c r="D1402" s="35" t="n"/>
      <c r="E1402" s="34" t="n"/>
      <c r="F1402" s="35" t="n"/>
      <c r="G1402" s="35" t="n"/>
      <c r="H1402" s="35" t="n"/>
      <c r="I1402" s="35" t="n"/>
      <c r="J1402" s="35" t="n"/>
      <c r="K1402" s="34" t="n"/>
      <c r="L1402" s="26">
        <f>IF(A1402="","",MONTH(A1402))</f>
        <v/>
      </c>
      <c r="M1402" s="26">
        <f>IF(A1402="","",YEAR(A1402))</f>
        <v/>
      </c>
      <c r="N1402" s="26">
        <f>IF(A1402="","",CHOOSE(WEEKDAY(A1402,2),"Segunda","Terça","Quarta","Quinta","Sexta","Sábado","Domingo"))</f>
        <v/>
      </c>
      <c r="O1402" s="26">
        <f>IF(B1402="","",IF(B1402&lt;TIME(12,0,0),"Manhã",IF(B1402&lt;TIME(18,0,0),"Tarde","Noite")))</f>
        <v/>
      </c>
      <c r="P1402" s="32">
        <f>IF(G1402="","",IFERROR(INDEX(Config!$I$5:$I$16,MATCH(G1402,Config!$H$5:$H$16,0)),0))</f>
        <v/>
      </c>
      <c r="Q1402" s="30">
        <f>IF(OR(H1402&lt;&gt;"Realizado",P1402="",P1402=0),"",A1402+P1402)</f>
        <v/>
      </c>
      <c r="R1402" s="26">
        <f>IF(Q1402="","",IF(COUNTIFS($E$5:$E$3004,E1402,$A$5:$A$3004,"&gt;"&amp;A1402,$H$5:$H$3004,"&lt;&gt;Falta",$H$5:$H$3004,"&lt;&gt;Cancelado",$H$5:$H$3004,"&lt;&gt;Remarcado")&gt;0,"Sim","Não"))</f>
        <v/>
      </c>
      <c r="S1402" s="32">
        <f>IF(R1402&lt;&gt;"Não","",IF(Q1402+Config!$B$9&lt;=Config!$B$8,Config!$B$8-Q1402,""))</f>
        <v/>
      </c>
      <c r="T1402" s="26">
        <f>IF(S1402="","","Sim")</f>
        <v/>
      </c>
      <c r="U1402" s="41">
        <f>IF(T1402="Sim",S1402+ROW()/100000,0)</f>
        <v>0</v>
      </c>
      <c r="V1402" s="41">
        <f>IF(AND(H1402="Falta",L1402=Config!$B$7,M1402=Config!$B$5,COUNTIFS($E$5:E1402,E1402,$H$5:H1402,"Falta",$L$5:L1402,Config!$B$7,$M$5:M1402,Config!$B$5)=1),COUNTIFS($E$5:$E$3004,E1402,$H$5:$H$3004,"Falta",$L$5:$L$3004,Config!$B$7,$M$5:$M$3004,Config!$B$5)*1000-ROW()/100000,0)</f>
        <v>0</v>
      </c>
    </row>
    <row r="1403">
      <c r="A1403" s="39" t="n"/>
      <c r="B1403" s="40" t="n"/>
      <c r="C1403" s="35" t="n"/>
      <c r="D1403" s="35" t="n"/>
      <c r="E1403" s="34" t="n"/>
      <c r="F1403" s="35" t="n"/>
      <c r="G1403" s="35" t="n"/>
      <c r="H1403" s="35" t="n"/>
      <c r="I1403" s="35" t="n"/>
      <c r="J1403" s="35" t="n"/>
      <c r="K1403" s="34" t="n"/>
      <c r="L1403" s="26">
        <f>IF(A1403="","",MONTH(A1403))</f>
        <v/>
      </c>
      <c r="M1403" s="26">
        <f>IF(A1403="","",YEAR(A1403))</f>
        <v/>
      </c>
      <c r="N1403" s="26">
        <f>IF(A1403="","",CHOOSE(WEEKDAY(A1403,2),"Segunda","Terça","Quarta","Quinta","Sexta","Sábado","Domingo"))</f>
        <v/>
      </c>
      <c r="O1403" s="26">
        <f>IF(B1403="","",IF(B1403&lt;TIME(12,0,0),"Manhã",IF(B1403&lt;TIME(18,0,0),"Tarde","Noite")))</f>
        <v/>
      </c>
      <c r="P1403" s="32">
        <f>IF(G1403="","",IFERROR(INDEX(Config!$I$5:$I$16,MATCH(G1403,Config!$H$5:$H$16,0)),0))</f>
        <v/>
      </c>
      <c r="Q1403" s="30">
        <f>IF(OR(H1403&lt;&gt;"Realizado",P1403="",P1403=0),"",A1403+P1403)</f>
        <v/>
      </c>
      <c r="R1403" s="26">
        <f>IF(Q1403="","",IF(COUNTIFS($E$5:$E$3004,E1403,$A$5:$A$3004,"&gt;"&amp;A1403,$H$5:$H$3004,"&lt;&gt;Falta",$H$5:$H$3004,"&lt;&gt;Cancelado",$H$5:$H$3004,"&lt;&gt;Remarcado")&gt;0,"Sim","Não"))</f>
        <v/>
      </c>
      <c r="S1403" s="32">
        <f>IF(R1403&lt;&gt;"Não","",IF(Q1403+Config!$B$9&lt;=Config!$B$8,Config!$B$8-Q1403,""))</f>
        <v/>
      </c>
      <c r="T1403" s="26">
        <f>IF(S1403="","","Sim")</f>
        <v/>
      </c>
      <c r="U1403" s="41">
        <f>IF(T1403="Sim",S1403+ROW()/100000,0)</f>
        <v>0</v>
      </c>
      <c r="V1403" s="41">
        <f>IF(AND(H1403="Falta",L1403=Config!$B$7,M1403=Config!$B$5,COUNTIFS($E$5:E1403,E1403,$H$5:H1403,"Falta",$L$5:L1403,Config!$B$7,$M$5:M1403,Config!$B$5)=1),COUNTIFS($E$5:$E$3004,E1403,$H$5:$H$3004,"Falta",$L$5:$L$3004,Config!$B$7,$M$5:$M$3004,Config!$B$5)*1000-ROW()/100000,0)</f>
        <v>0</v>
      </c>
    </row>
    <row r="1404">
      <c r="A1404" s="39" t="n"/>
      <c r="B1404" s="40" t="n"/>
      <c r="C1404" s="35" t="n"/>
      <c r="D1404" s="35" t="n"/>
      <c r="E1404" s="34" t="n"/>
      <c r="F1404" s="35" t="n"/>
      <c r="G1404" s="35" t="n"/>
      <c r="H1404" s="35" t="n"/>
      <c r="I1404" s="35" t="n"/>
      <c r="J1404" s="35" t="n"/>
      <c r="K1404" s="34" t="n"/>
      <c r="L1404" s="26">
        <f>IF(A1404="","",MONTH(A1404))</f>
        <v/>
      </c>
      <c r="M1404" s="26">
        <f>IF(A1404="","",YEAR(A1404))</f>
        <v/>
      </c>
      <c r="N1404" s="26">
        <f>IF(A1404="","",CHOOSE(WEEKDAY(A1404,2),"Segunda","Terça","Quarta","Quinta","Sexta","Sábado","Domingo"))</f>
        <v/>
      </c>
      <c r="O1404" s="26">
        <f>IF(B1404="","",IF(B1404&lt;TIME(12,0,0),"Manhã",IF(B1404&lt;TIME(18,0,0),"Tarde","Noite")))</f>
        <v/>
      </c>
      <c r="P1404" s="32">
        <f>IF(G1404="","",IFERROR(INDEX(Config!$I$5:$I$16,MATCH(G1404,Config!$H$5:$H$16,0)),0))</f>
        <v/>
      </c>
      <c r="Q1404" s="30">
        <f>IF(OR(H1404&lt;&gt;"Realizado",P1404="",P1404=0),"",A1404+P1404)</f>
        <v/>
      </c>
      <c r="R1404" s="26">
        <f>IF(Q1404="","",IF(COUNTIFS($E$5:$E$3004,E1404,$A$5:$A$3004,"&gt;"&amp;A1404,$H$5:$H$3004,"&lt;&gt;Falta",$H$5:$H$3004,"&lt;&gt;Cancelado",$H$5:$H$3004,"&lt;&gt;Remarcado")&gt;0,"Sim","Não"))</f>
        <v/>
      </c>
      <c r="S1404" s="32">
        <f>IF(R1404&lt;&gt;"Não","",IF(Q1404+Config!$B$9&lt;=Config!$B$8,Config!$B$8-Q1404,""))</f>
        <v/>
      </c>
      <c r="T1404" s="26">
        <f>IF(S1404="","","Sim")</f>
        <v/>
      </c>
      <c r="U1404" s="41">
        <f>IF(T1404="Sim",S1404+ROW()/100000,0)</f>
        <v>0</v>
      </c>
      <c r="V1404" s="41">
        <f>IF(AND(H1404="Falta",L1404=Config!$B$7,M1404=Config!$B$5,COUNTIFS($E$5:E1404,E1404,$H$5:H1404,"Falta",$L$5:L1404,Config!$B$7,$M$5:M1404,Config!$B$5)=1),COUNTIFS($E$5:$E$3004,E1404,$H$5:$H$3004,"Falta",$L$5:$L$3004,Config!$B$7,$M$5:$M$3004,Config!$B$5)*1000-ROW()/100000,0)</f>
        <v>0</v>
      </c>
    </row>
    <row r="1405">
      <c r="A1405" s="39" t="n"/>
      <c r="B1405" s="40" t="n"/>
      <c r="C1405" s="35" t="n"/>
      <c r="D1405" s="35" t="n"/>
      <c r="E1405" s="34" t="n"/>
      <c r="F1405" s="35" t="n"/>
      <c r="G1405" s="35" t="n"/>
      <c r="H1405" s="35" t="n"/>
      <c r="I1405" s="35" t="n"/>
      <c r="J1405" s="35" t="n"/>
      <c r="K1405" s="34" t="n"/>
      <c r="L1405" s="26">
        <f>IF(A1405="","",MONTH(A1405))</f>
        <v/>
      </c>
      <c r="M1405" s="26">
        <f>IF(A1405="","",YEAR(A1405))</f>
        <v/>
      </c>
      <c r="N1405" s="26">
        <f>IF(A1405="","",CHOOSE(WEEKDAY(A1405,2),"Segunda","Terça","Quarta","Quinta","Sexta","Sábado","Domingo"))</f>
        <v/>
      </c>
      <c r="O1405" s="26">
        <f>IF(B1405="","",IF(B1405&lt;TIME(12,0,0),"Manhã",IF(B1405&lt;TIME(18,0,0),"Tarde","Noite")))</f>
        <v/>
      </c>
      <c r="P1405" s="32">
        <f>IF(G1405="","",IFERROR(INDEX(Config!$I$5:$I$16,MATCH(G1405,Config!$H$5:$H$16,0)),0))</f>
        <v/>
      </c>
      <c r="Q1405" s="30">
        <f>IF(OR(H1405&lt;&gt;"Realizado",P1405="",P1405=0),"",A1405+P1405)</f>
        <v/>
      </c>
      <c r="R1405" s="26">
        <f>IF(Q1405="","",IF(COUNTIFS($E$5:$E$3004,E1405,$A$5:$A$3004,"&gt;"&amp;A1405,$H$5:$H$3004,"&lt;&gt;Falta",$H$5:$H$3004,"&lt;&gt;Cancelado",$H$5:$H$3004,"&lt;&gt;Remarcado")&gt;0,"Sim","Não"))</f>
        <v/>
      </c>
      <c r="S1405" s="32">
        <f>IF(R1405&lt;&gt;"Não","",IF(Q1405+Config!$B$9&lt;=Config!$B$8,Config!$B$8-Q1405,""))</f>
        <v/>
      </c>
      <c r="T1405" s="26">
        <f>IF(S1405="","","Sim")</f>
        <v/>
      </c>
      <c r="U1405" s="41">
        <f>IF(T1405="Sim",S1405+ROW()/100000,0)</f>
        <v>0</v>
      </c>
      <c r="V1405" s="41">
        <f>IF(AND(H1405="Falta",L1405=Config!$B$7,M1405=Config!$B$5,COUNTIFS($E$5:E1405,E1405,$H$5:H1405,"Falta",$L$5:L1405,Config!$B$7,$M$5:M1405,Config!$B$5)=1),COUNTIFS($E$5:$E$3004,E1405,$H$5:$H$3004,"Falta",$L$5:$L$3004,Config!$B$7,$M$5:$M$3004,Config!$B$5)*1000-ROW()/100000,0)</f>
        <v>0</v>
      </c>
    </row>
    <row r="1406">
      <c r="A1406" s="39" t="n"/>
      <c r="B1406" s="40" t="n"/>
      <c r="C1406" s="35" t="n"/>
      <c r="D1406" s="35" t="n"/>
      <c r="E1406" s="34" t="n"/>
      <c r="F1406" s="35" t="n"/>
      <c r="G1406" s="35" t="n"/>
      <c r="H1406" s="35" t="n"/>
      <c r="I1406" s="35" t="n"/>
      <c r="J1406" s="35" t="n"/>
      <c r="K1406" s="34" t="n"/>
      <c r="L1406" s="26">
        <f>IF(A1406="","",MONTH(A1406))</f>
        <v/>
      </c>
      <c r="M1406" s="26">
        <f>IF(A1406="","",YEAR(A1406))</f>
        <v/>
      </c>
      <c r="N1406" s="26">
        <f>IF(A1406="","",CHOOSE(WEEKDAY(A1406,2),"Segunda","Terça","Quarta","Quinta","Sexta","Sábado","Domingo"))</f>
        <v/>
      </c>
      <c r="O1406" s="26">
        <f>IF(B1406="","",IF(B1406&lt;TIME(12,0,0),"Manhã",IF(B1406&lt;TIME(18,0,0),"Tarde","Noite")))</f>
        <v/>
      </c>
      <c r="P1406" s="32">
        <f>IF(G1406="","",IFERROR(INDEX(Config!$I$5:$I$16,MATCH(G1406,Config!$H$5:$H$16,0)),0))</f>
        <v/>
      </c>
      <c r="Q1406" s="30">
        <f>IF(OR(H1406&lt;&gt;"Realizado",P1406="",P1406=0),"",A1406+P1406)</f>
        <v/>
      </c>
      <c r="R1406" s="26">
        <f>IF(Q1406="","",IF(COUNTIFS($E$5:$E$3004,E1406,$A$5:$A$3004,"&gt;"&amp;A1406,$H$5:$H$3004,"&lt;&gt;Falta",$H$5:$H$3004,"&lt;&gt;Cancelado",$H$5:$H$3004,"&lt;&gt;Remarcado")&gt;0,"Sim","Não"))</f>
        <v/>
      </c>
      <c r="S1406" s="32">
        <f>IF(R1406&lt;&gt;"Não","",IF(Q1406+Config!$B$9&lt;=Config!$B$8,Config!$B$8-Q1406,""))</f>
        <v/>
      </c>
      <c r="T1406" s="26">
        <f>IF(S1406="","","Sim")</f>
        <v/>
      </c>
      <c r="U1406" s="41">
        <f>IF(T1406="Sim",S1406+ROW()/100000,0)</f>
        <v>0</v>
      </c>
      <c r="V1406" s="41">
        <f>IF(AND(H1406="Falta",L1406=Config!$B$7,M1406=Config!$B$5,COUNTIFS($E$5:E1406,E1406,$H$5:H1406,"Falta",$L$5:L1406,Config!$B$7,$M$5:M1406,Config!$B$5)=1),COUNTIFS($E$5:$E$3004,E1406,$H$5:$H$3004,"Falta",$L$5:$L$3004,Config!$B$7,$M$5:$M$3004,Config!$B$5)*1000-ROW()/100000,0)</f>
        <v>0</v>
      </c>
    </row>
    <row r="1407">
      <c r="A1407" s="39" t="n"/>
      <c r="B1407" s="40" t="n"/>
      <c r="C1407" s="35" t="n"/>
      <c r="D1407" s="35" t="n"/>
      <c r="E1407" s="34" t="n"/>
      <c r="F1407" s="35" t="n"/>
      <c r="G1407" s="35" t="n"/>
      <c r="H1407" s="35" t="n"/>
      <c r="I1407" s="35" t="n"/>
      <c r="J1407" s="35" t="n"/>
      <c r="K1407" s="34" t="n"/>
      <c r="L1407" s="26">
        <f>IF(A1407="","",MONTH(A1407))</f>
        <v/>
      </c>
      <c r="M1407" s="26">
        <f>IF(A1407="","",YEAR(A1407))</f>
        <v/>
      </c>
      <c r="N1407" s="26">
        <f>IF(A1407="","",CHOOSE(WEEKDAY(A1407,2),"Segunda","Terça","Quarta","Quinta","Sexta","Sábado","Domingo"))</f>
        <v/>
      </c>
      <c r="O1407" s="26">
        <f>IF(B1407="","",IF(B1407&lt;TIME(12,0,0),"Manhã",IF(B1407&lt;TIME(18,0,0),"Tarde","Noite")))</f>
        <v/>
      </c>
      <c r="P1407" s="32">
        <f>IF(G1407="","",IFERROR(INDEX(Config!$I$5:$I$16,MATCH(G1407,Config!$H$5:$H$16,0)),0))</f>
        <v/>
      </c>
      <c r="Q1407" s="30">
        <f>IF(OR(H1407&lt;&gt;"Realizado",P1407="",P1407=0),"",A1407+P1407)</f>
        <v/>
      </c>
      <c r="R1407" s="26">
        <f>IF(Q1407="","",IF(COUNTIFS($E$5:$E$3004,E1407,$A$5:$A$3004,"&gt;"&amp;A1407,$H$5:$H$3004,"&lt;&gt;Falta",$H$5:$H$3004,"&lt;&gt;Cancelado",$H$5:$H$3004,"&lt;&gt;Remarcado")&gt;0,"Sim","Não"))</f>
        <v/>
      </c>
      <c r="S1407" s="32">
        <f>IF(R1407&lt;&gt;"Não","",IF(Q1407+Config!$B$9&lt;=Config!$B$8,Config!$B$8-Q1407,""))</f>
        <v/>
      </c>
      <c r="T1407" s="26">
        <f>IF(S1407="","","Sim")</f>
        <v/>
      </c>
      <c r="U1407" s="41">
        <f>IF(T1407="Sim",S1407+ROW()/100000,0)</f>
        <v>0</v>
      </c>
      <c r="V1407" s="41">
        <f>IF(AND(H1407="Falta",L1407=Config!$B$7,M1407=Config!$B$5,COUNTIFS($E$5:E1407,E1407,$H$5:H1407,"Falta",$L$5:L1407,Config!$B$7,$M$5:M1407,Config!$B$5)=1),COUNTIFS($E$5:$E$3004,E1407,$H$5:$H$3004,"Falta",$L$5:$L$3004,Config!$B$7,$M$5:$M$3004,Config!$B$5)*1000-ROW()/100000,0)</f>
        <v>0</v>
      </c>
    </row>
    <row r="1408">
      <c r="A1408" s="39" t="n"/>
      <c r="B1408" s="40" t="n"/>
      <c r="C1408" s="35" t="n"/>
      <c r="D1408" s="35" t="n"/>
      <c r="E1408" s="34" t="n"/>
      <c r="F1408" s="35" t="n"/>
      <c r="G1408" s="35" t="n"/>
      <c r="H1408" s="35" t="n"/>
      <c r="I1408" s="35" t="n"/>
      <c r="J1408" s="35" t="n"/>
      <c r="K1408" s="34" t="n"/>
      <c r="L1408" s="26">
        <f>IF(A1408="","",MONTH(A1408))</f>
        <v/>
      </c>
      <c r="M1408" s="26">
        <f>IF(A1408="","",YEAR(A1408))</f>
        <v/>
      </c>
      <c r="N1408" s="26">
        <f>IF(A1408="","",CHOOSE(WEEKDAY(A1408,2),"Segunda","Terça","Quarta","Quinta","Sexta","Sábado","Domingo"))</f>
        <v/>
      </c>
      <c r="O1408" s="26">
        <f>IF(B1408="","",IF(B1408&lt;TIME(12,0,0),"Manhã",IF(B1408&lt;TIME(18,0,0),"Tarde","Noite")))</f>
        <v/>
      </c>
      <c r="P1408" s="32">
        <f>IF(G1408="","",IFERROR(INDEX(Config!$I$5:$I$16,MATCH(G1408,Config!$H$5:$H$16,0)),0))</f>
        <v/>
      </c>
      <c r="Q1408" s="30">
        <f>IF(OR(H1408&lt;&gt;"Realizado",P1408="",P1408=0),"",A1408+P1408)</f>
        <v/>
      </c>
      <c r="R1408" s="26">
        <f>IF(Q1408="","",IF(COUNTIFS($E$5:$E$3004,E1408,$A$5:$A$3004,"&gt;"&amp;A1408,$H$5:$H$3004,"&lt;&gt;Falta",$H$5:$H$3004,"&lt;&gt;Cancelado",$H$5:$H$3004,"&lt;&gt;Remarcado")&gt;0,"Sim","Não"))</f>
        <v/>
      </c>
      <c r="S1408" s="32">
        <f>IF(R1408&lt;&gt;"Não","",IF(Q1408+Config!$B$9&lt;=Config!$B$8,Config!$B$8-Q1408,""))</f>
        <v/>
      </c>
      <c r="T1408" s="26">
        <f>IF(S1408="","","Sim")</f>
        <v/>
      </c>
      <c r="U1408" s="41">
        <f>IF(T1408="Sim",S1408+ROW()/100000,0)</f>
        <v>0</v>
      </c>
      <c r="V1408" s="41">
        <f>IF(AND(H1408="Falta",L1408=Config!$B$7,M1408=Config!$B$5,COUNTIFS($E$5:E1408,E1408,$H$5:H1408,"Falta",$L$5:L1408,Config!$B$7,$M$5:M1408,Config!$B$5)=1),COUNTIFS($E$5:$E$3004,E1408,$H$5:$H$3004,"Falta",$L$5:$L$3004,Config!$B$7,$M$5:$M$3004,Config!$B$5)*1000-ROW()/100000,0)</f>
        <v>0</v>
      </c>
    </row>
    <row r="1409">
      <c r="A1409" s="39" t="n"/>
      <c r="B1409" s="40" t="n"/>
      <c r="C1409" s="35" t="n"/>
      <c r="D1409" s="35" t="n"/>
      <c r="E1409" s="34" t="n"/>
      <c r="F1409" s="35" t="n"/>
      <c r="G1409" s="35" t="n"/>
      <c r="H1409" s="35" t="n"/>
      <c r="I1409" s="35" t="n"/>
      <c r="J1409" s="35" t="n"/>
      <c r="K1409" s="34" t="n"/>
      <c r="L1409" s="26">
        <f>IF(A1409="","",MONTH(A1409))</f>
        <v/>
      </c>
      <c r="M1409" s="26">
        <f>IF(A1409="","",YEAR(A1409))</f>
        <v/>
      </c>
      <c r="N1409" s="26">
        <f>IF(A1409="","",CHOOSE(WEEKDAY(A1409,2),"Segunda","Terça","Quarta","Quinta","Sexta","Sábado","Domingo"))</f>
        <v/>
      </c>
      <c r="O1409" s="26">
        <f>IF(B1409="","",IF(B1409&lt;TIME(12,0,0),"Manhã",IF(B1409&lt;TIME(18,0,0),"Tarde","Noite")))</f>
        <v/>
      </c>
      <c r="P1409" s="32">
        <f>IF(G1409="","",IFERROR(INDEX(Config!$I$5:$I$16,MATCH(G1409,Config!$H$5:$H$16,0)),0))</f>
        <v/>
      </c>
      <c r="Q1409" s="30">
        <f>IF(OR(H1409&lt;&gt;"Realizado",P1409="",P1409=0),"",A1409+P1409)</f>
        <v/>
      </c>
      <c r="R1409" s="26">
        <f>IF(Q1409="","",IF(COUNTIFS($E$5:$E$3004,E1409,$A$5:$A$3004,"&gt;"&amp;A1409,$H$5:$H$3004,"&lt;&gt;Falta",$H$5:$H$3004,"&lt;&gt;Cancelado",$H$5:$H$3004,"&lt;&gt;Remarcado")&gt;0,"Sim","Não"))</f>
        <v/>
      </c>
      <c r="S1409" s="32">
        <f>IF(R1409&lt;&gt;"Não","",IF(Q1409+Config!$B$9&lt;=Config!$B$8,Config!$B$8-Q1409,""))</f>
        <v/>
      </c>
      <c r="T1409" s="26">
        <f>IF(S1409="","","Sim")</f>
        <v/>
      </c>
      <c r="U1409" s="41">
        <f>IF(T1409="Sim",S1409+ROW()/100000,0)</f>
        <v>0</v>
      </c>
      <c r="V1409" s="41">
        <f>IF(AND(H1409="Falta",L1409=Config!$B$7,M1409=Config!$B$5,COUNTIFS($E$5:E1409,E1409,$H$5:H1409,"Falta",$L$5:L1409,Config!$B$7,$M$5:M1409,Config!$B$5)=1),COUNTIFS($E$5:$E$3004,E1409,$H$5:$H$3004,"Falta",$L$5:$L$3004,Config!$B$7,$M$5:$M$3004,Config!$B$5)*1000-ROW()/100000,0)</f>
        <v>0</v>
      </c>
    </row>
    <row r="1410">
      <c r="A1410" s="39" t="n"/>
      <c r="B1410" s="40" t="n"/>
      <c r="C1410" s="35" t="n"/>
      <c r="D1410" s="35" t="n"/>
      <c r="E1410" s="34" t="n"/>
      <c r="F1410" s="35" t="n"/>
      <c r="G1410" s="35" t="n"/>
      <c r="H1410" s="35" t="n"/>
      <c r="I1410" s="35" t="n"/>
      <c r="J1410" s="35" t="n"/>
      <c r="K1410" s="34" t="n"/>
      <c r="L1410" s="26">
        <f>IF(A1410="","",MONTH(A1410))</f>
        <v/>
      </c>
      <c r="M1410" s="26">
        <f>IF(A1410="","",YEAR(A1410))</f>
        <v/>
      </c>
      <c r="N1410" s="26">
        <f>IF(A1410="","",CHOOSE(WEEKDAY(A1410,2),"Segunda","Terça","Quarta","Quinta","Sexta","Sábado","Domingo"))</f>
        <v/>
      </c>
      <c r="O1410" s="26">
        <f>IF(B1410="","",IF(B1410&lt;TIME(12,0,0),"Manhã",IF(B1410&lt;TIME(18,0,0),"Tarde","Noite")))</f>
        <v/>
      </c>
      <c r="P1410" s="32">
        <f>IF(G1410="","",IFERROR(INDEX(Config!$I$5:$I$16,MATCH(G1410,Config!$H$5:$H$16,0)),0))</f>
        <v/>
      </c>
      <c r="Q1410" s="30">
        <f>IF(OR(H1410&lt;&gt;"Realizado",P1410="",P1410=0),"",A1410+P1410)</f>
        <v/>
      </c>
      <c r="R1410" s="26">
        <f>IF(Q1410="","",IF(COUNTIFS($E$5:$E$3004,E1410,$A$5:$A$3004,"&gt;"&amp;A1410,$H$5:$H$3004,"&lt;&gt;Falta",$H$5:$H$3004,"&lt;&gt;Cancelado",$H$5:$H$3004,"&lt;&gt;Remarcado")&gt;0,"Sim","Não"))</f>
        <v/>
      </c>
      <c r="S1410" s="32">
        <f>IF(R1410&lt;&gt;"Não","",IF(Q1410+Config!$B$9&lt;=Config!$B$8,Config!$B$8-Q1410,""))</f>
        <v/>
      </c>
      <c r="T1410" s="26">
        <f>IF(S1410="","","Sim")</f>
        <v/>
      </c>
      <c r="U1410" s="41">
        <f>IF(T1410="Sim",S1410+ROW()/100000,0)</f>
        <v>0</v>
      </c>
      <c r="V1410" s="41">
        <f>IF(AND(H1410="Falta",L1410=Config!$B$7,M1410=Config!$B$5,COUNTIFS($E$5:E1410,E1410,$H$5:H1410,"Falta",$L$5:L1410,Config!$B$7,$M$5:M1410,Config!$B$5)=1),COUNTIFS($E$5:$E$3004,E1410,$H$5:$H$3004,"Falta",$L$5:$L$3004,Config!$B$7,$M$5:$M$3004,Config!$B$5)*1000-ROW()/100000,0)</f>
        <v>0</v>
      </c>
    </row>
    <row r="1411">
      <c r="A1411" s="39" t="n"/>
      <c r="B1411" s="40" t="n"/>
      <c r="C1411" s="35" t="n"/>
      <c r="D1411" s="35" t="n"/>
      <c r="E1411" s="34" t="n"/>
      <c r="F1411" s="35" t="n"/>
      <c r="G1411" s="35" t="n"/>
      <c r="H1411" s="35" t="n"/>
      <c r="I1411" s="35" t="n"/>
      <c r="J1411" s="35" t="n"/>
      <c r="K1411" s="34" t="n"/>
      <c r="L1411" s="26">
        <f>IF(A1411="","",MONTH(A1411))</f>
        <v/>
      </c>
      <c r="M1411" s="26">
        <f>IF(A1411="","",YEAR(A1411))</f>
        <v/>
      </c>
      <c r="N1411" s="26">
        <f>IF(A1411="","",CHOOSE(WEEKDAY(A1411,2),"Segunda","Terça","Quarta","Quinta","Sexta","Sábado","Domingo"))</f>
        <v/>
      </c>
      <c r="O1411" s="26">
        <f>IF(B1411="","",IF(B1411&lt;TIME(12,0,0),"Manhã",IF(B1411&lt;TIME(18,0,0),"Tarde","Noite")))</f>
        <v/>
      </c>
      <c r="P1411" s="32">
        <f>IF(G1411="","",IFERROR(INDEX(Config!$I$5:$I$16,MATCH(G1411,Config!$H$5:$H$16,0)),0))</f>
        <v/>
      </c>
      <c r="Q1411" s="30">
        <f>IF(OR(H1411&lt;&gt;"Realizado",P1411="",P1411=0),"",A1411+P1411)</f>
        <v/>
      </c>
      <c r="R1411" s="26">
        <f>IF(Q1411="","",IF(COUNTIFS($E$5:$E$3004,E1411,$A$5:$A$3004,"&gt;"&amp;A1411,$H$5:$H$3004,"&lt;&gt;Falta",$H$5:$H$3004,"&lt;&gt;Cancelado",$H$5:$H$3004,"&lt;&gt;Remarcado")&gt;0,"Sim","Não"))</f>
        <v/>
      </c>
      <c r="S1411" s="32">
        <f>IF(R1411&lt;&gt;"Não","",IF(Q1411+Config!$B$9&lt;=Config!$B$8,Config!$B$8-Q1411,""))</f>
        <v/>
      </c>
      <c r="T1411" s="26">
        <f>IF(S1411="","","Sim")</f>
        <v/>
      </c>
      <c r="U1411" s="41">
        <f>IF(T1411="Sim",S1411+ROW()/100000,0)</f>
        <v>0</v>
      </c>
      <c r="V1411" s="41">
        <f>IF(AND(H1411="Falta",L1411=Config!$B$7,M1411=Config!$B$5,COUNTIFS($E$5:E1411,E1411,$H$5:H1411,"Falta",$L$5:L1411,Config!$B$7,$M$5:M1411,Config!$B$5)=1),COUNTIFS($E$5:$E$3004,E1411,$H$5:$H$3004,"Falta",$L$5:$L$3004,Config!$B$7,$M$5:$M$3004,Config!$B$5)*1000-ROW()/100000,0)</f>
        <v>0</v>
      </c>
    </row>
    <row r="1412">
      <c r="A1412" s="39" t="n"/>
      <c r="B1412" s="40" t="n"/>
      <c r="C1412" s="35" t="n"/>
      <c r="D1412" s="35" t="n"/>
      <c r="E1412" s="34" t="n"/>
      <c r="F1412" s="35" t="n"/>
      <c r="G1412" s="35" t="n"/>
      <c r="H1412" s="35" t="n"/>
      <c r="I1412" s="35" t="n"/>
      <c r="J1412" s="35" t="n"/>
      <c r="K1412" s="34" t="n"/>
      <c r="L1412" s="26">
        <f>IF(A1412="","",MONTH(A1412))</f>
        <v/>
      </c>
      <c r="M1412" s="26">
        <f>IF(A1412="","",YEAR(A1412))</f>
        <v/>
      </c>
      <c r="N1412" s="26">
        <f>IF(A1412="","",CHOOSE(WEEKDAY(A1412,2),"Segunda","Terça","Quarta","Quinta","Sexta","Sábado","Domingo"))</f>
        <v/>
      </c>
      <c r="O1412" s="26">
        <f>IF(B1412="","",IF(B1412&lt;TIME(12,0,0),"Manhã",IF(B1412&lt;TIME(18,0,0),"Tarde","Noite")))</f>
        <v/>
      </c>
      <c r="P1412" s="32">
        <f>IF(G1412="","",IFERROR(INDEX(Config!$I$5:$I$16,MATCH(G1412,Config!$H$5:$H$16,0)),0))</f>
        <v/>
      </c>
      <c r="Q1412" s="30">
        <f>IF(OR(H1412&lt;&gt;"Realizado",P1412="",P1412=0),"",A1412+P1412)</f>
        <v/>
      </c>
      <c r="R1412" s="26">
        <f>IF(Q1412="","",IF(COUNTIFS($E$5:$E$3004,E1412,$A$5:$A$3004,"&gt;"&amp;A1412,$H$5:$H$3004,"&lt;&gt;Falta",$H$5:$H$3004,"&lt;&gt;Cancelado",$H$5:$H$3004,"&lt;&gt;Remarcado")&gt;0,"Sim","Não"))</f>
        <v/>
      </c>
      <c r="S1412" s="32">
        <f>IF(R1412&lt;&gt;"Não","",IF(Q1412+Config!$B$9&lt;=Config!$B$8,Config!$B$8-Q1412,""))</f>
        <v/>
      </c>
      <c r="T1412" s="26">
        <f>IF(S1412="","","Sim")</f>
        <v/>
      </c>
      <c r="U1412" s="41">
        <f>IF(T1412="Sim",S1412+ROW()/100000,0)</f>
        <v>0</v>
      </c>
      <c r="V1412" s="41">
        <f>IF(AND(H1412="Falta",L1412=Config!$B$7,M1412=Config!$B$5,COUNTIFS($E$5:E1412,E1412,$H$5:H1412,"Falta",$L$5:L1412,Config!$B$7,$M$5:M1412,Config!$B$5)=1),COUNTIFS($E$5:$E$3004,E1412,$H$5:$H$3004,"Falta",$L$5:$L$3004,Config!$B$7,$M$5:$M$3004,Config!$B$5)*1000-ROW()/100000,0)</f>
        <v>0</v>
      </c>
    </row>
    <row r="1413">
      <c r="A1413" s="39" t="n"/>
      <c r="B1413" s="40" t="n"/>
      <c r="C1413" s="35" t="n"/>
      <c r="D1413" s="35" t="n"/>
      <c r="E1413" s="34" t="n"/>
      <c r="F1413" s="35" t="n"/>
      <c r="G1413" s="35" t="n"/>
      <c r="H1413" s="35" t="n"/>
      <c r="I1413" s="35" t="n"/>
      <c r="J1413" s="35" t="n"/>
      <c r="K1413" s="34" t="n"/>
      <c r="L1413" s="26">
        <f>IF(A1413="","",MONTH(A1413))</f>
        <v/>
      </c>
      <c r="M1413" s="26">
        <f>IF(A1413="","",YEAR(A1413))</f>
        <v/>
      </c>
      <c r="N1413" s="26">
        <f>IF(A1413="","",CHOOSE(WEEKDAY(A1413,2),"Segunda","Terça","Quarta","Quinta","Sexta","Sábado","Domingo"))</f>
        <v/>
      </c>
      <c r="O1413" s="26">
        <f>IF(B1413="","",IF(B1413&lt;TIME(12,0,0),"Manhã",IF(B1413&lt;TIME(18,0,0),"Tarde","Noite")))</f>
        <v/>
      </c>
      <c r="P1413" s="32">
        <f>IF(G1413="","",IFERROR(INDEX(Config!$I$5:$I$16,MATCH(G1413,Config!$H$5:$H$16,0)),0))</f>
        <v/>
      </c>
      <c r="Q1413" s="30">
        <f>IF(OR(H1413&lt;&gt;"Realizado",P1413="",P1413=0),"",A1413+P1413)</f>
        <v/>
      </c>
      <c r="R1413" s="26">
        <f>IF(Q1413="","",IF(COUNTIFS($E$5:$E$3004,E1413,$A$5:$A$3004,"&gt;"&amp;A1413,$H$5:$H$3004,"&lt;&gt;Falta",$H$5:$H$3004,"&lt;&gt;Cancelado",$H$5:$H$3004,"&lt;&gt;Remarcado")&gt;0,"Sim","Não"))</f>
        <v/>
      </c>
      <c r="S1413" s="32">
        <f>IF(R1413&lt;&gt;"Não","",IF(Q1413+Config!$B$9&lt;=Config!$B$8,Config!$B$8-Q1413,""))</f>
        <v/>
      </c>
      <c r="T1413" s="26">
        <f>IF(S1413="","","Sim")</f>
        <v/>
      </c>
      <c r="U1413" s="41">
        <f>IF(T1413="Sim",S1413+ROW()/100000,0)</f>
        <v>0</v>
      </c>
      <c r="V1413" s="41">
        <f>IF(AND(H1413="Falta",L1413=Config!$B$7,M1413=Config!$B$5,COUNTIFS($E$5:E1413,E1413,$H$5:H1413,"Falta",$L$5:L1413,Config!$B$7,$M$5:M1413,Config!$B$5)=1),COUNTIFS($E$5:$E$3004,E1413,$H$5:$H$3004,"Falta",$L$5:$L$3004,Config!$B$7,$M$5:$M$3004,Config!$B$5)*1000-ROW()/100000,0)</f>
        <v>0</v>
      </c>
    </row>
    <row r="1414">
      <c r="A1414" s="39" t="n"/>
      <c r="B1414" s="40" t="n"/>
      <c r="C1414" s="35" t="n"/>
      <c r="D1414" s="35" t="n"/>
      <c r="E1414" s="34" t="n"/>
      <c r="F1414" s="35" t="n"/>
      <c r="G1414" s="35" t="n"/>
      <c r="H1414" s="35" t="n"/>
      <c r="I1414" s="35" t="n"/>
      <c r="J1414" s="35" t="n"/>
      <c r="K1414" s="34" t="n"/>
      <c r="L1414" s="26">
        <f>IF(A1414="","",MONTH(A1414))</f>
        <v/>
      </c>
      <c r="M1414" s="26">
        <f>IF(A1414="","",YEAR(A1414))</f>
        <v/>
      </c>
      <c r="N1414" s="26">
        <f>IF(A1414="","",CHOOSE(WEEKDAY(A1414,2),"Segunda","Terça","Quarta","Quinta","Sexta","Sábado","Domingo"))</f>
        <v/>
      </c>
      <c r="O1414" s="26">
        <f>IF(B1414="","",IF(B1414&lt;TIME(12,0,0),"Manhã",IF(B1414&lt;TIME(18,0,0),"Tarde","Noite")))</f>
        <v/>
      </c>
      <c r="P1414" s="32">
        <f>IF(G1414="","",IFERROR(INDEX(Config!$I$5:$I$16,MATCH(G1414,Config!$H$5:$H$16,0)),0))</f>
        <v/>
      </c>
      <c r="Q1414" s="30">
        <f>IF(OR(H1414&lt;&gt;"Realizado",P1414="",P1414=0),"",A1414+P1414)</f>
        <v/>
      </c>
      <c r="R1414" s="26">
        <f>IF(Q1414="","",IF(COUNTIFS($E$5:$E$3004,E1414,$A$5:$A$3004,"&gt;"&amp;A1414,$H$5:$H$3004,"&lt;&gt;Falta",$H$5:$H$3004,"&lt;&gt;Cancelado",$H$5:$H$3004,"&lt;&gt;Remarcado")&gt;0,"Sim","Não"))</f>
        <v/>
      </c>
      <c r="S1414" s="32">
        <f>IF(R1414&lt;&gt;"Não","",IF(Q1414+Config!$B$9&lt;=Config!$B$8,Config!$B$8-Q1414,""))</f>
        <v/>
      </c>
      <c r="T1414" s="26">
        <f>IF(S1414="","","Sim")</f>
        <v/>
      </c>
      <c r="U1414" s="41">
        <f>IF(T1414="Sim",S1414+ROW()/100000,0)</f>
        <v>0</v>
      </c>
      <c r="V1414" s="41">
        <f>IF(AND(H1414="Falta",L1414=Config!$B$7,M1414=Config!$B$5,COUNTIFS($E$5:E1414,E1414,$H$5:H1414,"Falta",$L$5:L1414,Config!$B$7,$M$5:M1414,Config!$B$5)=1),COUNTIFS($E$5:$E$3004,E1414,$H$5:$H$3004,"Falta",$L$5:$L$3004,Config!$B$7,$M$5:$M$3004,Config!$B$5)*1000-ROW()/100000,0)</f>
        <v>0</v>
      </c>
    </row>
    <row r="1415">
      <c r="A1415" s="39" t="n"/>
      <c r="B1415" s="40" t="n"/>
      <c r="C1415" s="35" t="n"/>
      <c r="D1415" s="35" t="n"/>
      <c r="E1415" s="34" t="n"/>
      <c r="F1415" s="35" t="n"/>
      <c r="G1415" s="35" t="n"/>
      <c r="H1415" s="35" t="n"/>
      <c r="I1415" s="35" t="n"/>
      <c r="J1415" s="35" t="n"/>
      <c r="K1415" s="34" t="n"/>
      <c r="L1415" s="26">
        <f>IF(A1415="","",MONTH(A1415))</f>
        <v/>
      </c>
      <c r="M1415" s="26">
        <f>IF(A1415="","",YEAR(A1415))</f>
        <v/>
      </c>
      <c r="N1415" s="26">
        <f>IF(A1415="","",CHOOSE(WEEKDAY(A1415,2),"Segunda","Terça","Quarta","Quinta","Sexta","Sábado","Domingo"))</f>
        <v/>
      </c>
      <c r="O1415" s="26">
        <f>IF(B1415="","",IF(B1415&lt;TIME(12,0,0),"Manhã",IF(B1415&lt;TIME(18,0,0),"Tarde","Noite")))</f>
        <v/>
      </c>
      <c r="P1415" s="32">
        <f>IF(G1415="","",IFERROR(INDEX(Config!$I$5:$I$16,MATCH(G1415,Config!$H$5:$H$16,0)),0))</f>
        <v/>
      </c>
      <c r="Q1415" s="30">
        <f>IF(OR(H1415&lt;&gt;"Realizado",P1415="",P1415=0),"",A1415+P1415)</f>
        <v/>
      </c>
      <c r="R1415" s="26">
        <f>IF(Q1415="","",IF(COUNTIFS($E$5:$E$3004,E1415,$A$5:$A$3004,"&gt;"&amp;A1415,$H$5:$H$3004,"&lt;&gt;Falta",$H$5:$H$3004,"&lt;&gt;Cancelado",$H$5:$H$3004,"&lt;&gt;Remarcado")&gt;0,"Sim","Não"))</f>
        <v/>
      </c>
      <c r="S1415" s="32">
        <f>IF(R1415&lt;&gt;"Não","",IF(Q1415+Config!$B$9&lt;=Config!$B$8,Config!$B$8-Q1415,""))</f>
        <v/>
      </c>
      <c r="T1415" s="26">
        <f>IF(S1415="","","Sim")</f>
        <v/>
      </c>
      <c r="U1415" s="41">
        <f>IF(T1415="Sim",S1415+ROW()/100000,0)</f>
        <v>0</v>
      </c>
      <c r="V1415" s="41">
        <f>IF(AND(H1415="Falta",L1415=Config!$B$7,M1415=Config!$B$5,COUNTIFS($E$5:E1415,E1415,$H$5:H1415,"Falta",$L$5:L1415,Config!$B$7,$M$5:M1415,Config!$B$5)=1),COUNTIFS($E$5:$E$3004,E1415,$H$5:$H$3004,"Falta",$L$5:$L$3004,Config!$B$7,$M$5:$M$3004,Config!$B$5)*1000-ROW()/100000,0)</f>
        <v>0</v>
      </c>
    </row>
    <row r="1416">
      <c r="A1416" s="39" t="n"/>
      <c r="B1416" s="40" t="n"/>
      <c r="C1416" s="35" t="n"/>
      <c r="D1416" s="35" t="n"/>
      <c r="E1416" s="34" t="n"/>
      <c r="F1416" s="35" t="n"/>
      <c r="G1416" s="35" t="n"/>
      <c r="H1416" s="35" t="n"/>
      <c r="I1416" s="35" t="n"/>
      <c r="J1416" s="35" t="n"/>
      <c r="K1416" s="34" t="n"/>
      <c r="L1416" s="26">
        <f>IF(A1416="","",MONTH(A1416))</f>
        <v/>
      </c>
      <c r="M1416" s="26">
        <f>IF(A1416="","",YEAR(A1416))</f>
        <v/>
      </c>
      <c r="N1416" s="26">
        <f>IF(A1416="","",CHOOSE(WEEKDAY(A1416,2),"Segunda","Terça","Quarta","Quinta","Sexta","Sábado","Domingo"))</f>
        <v/>
      </c>
      <c r="O1416" s="26">
        <f>IF(B1416="","",IF(B1416&lt;TIME(12,0,0),"Manhã",IF(B1416&lt;TIME(18,0,0),"Tarde","Noite")))</f>
        <v/>
      </c>
      <c r="P1416" s="32">
        <f>IF(G1416="","",IFERROR(INDEX(Config!$I$5:$I$16,MATCH(G1416,Config!$H$5:$H$16,0)),0))</f>
        <v/>
      </c>
      <c r="Q1416" s="30">
        <f>IF(OR(H1416&lt;&gt;"Realizado",P1416="",P1416=0),"",A1416+P1416)</f>
        <v/>
      </c>
      <c r="R1416" s="26">
        <f>IF(Q1416="","",IF(COUNTIFS($E$5:$E$3004,E1416,$A$5:$A$3004,"&gt;"&amp;A1416,$H$5:$H$3004,"&lt;&gt;Falta",$H$5:$H$3004,"&lt;&gt;Cancelado",$H$5:$H$3004,"&lt;&gt;Remarcado")&gt;0,"Sim","Não"))</f>
        <v/>
      </c>
      <c r="S1416" s="32">
        <f>IF(R1416&lt;&gt;"Não","",IF(Q1416+Config!$B$9&lt;=Config!$B$8,Config!$B$8-Q1416,""))</f>
        <v/>
      </c>
      <c r="T1416" s="26">
        <f>IF(S1416="","","Sim")</f>
        <v/>
      </c>
      <c r="U1416" s="41">
        <f>IF(T1416="Sim",S1416+ROW()/100000,0)</f>
        <v>0</v>
      </c>
      <c r="V1416" s="41">
        <f>IF(AND(H1416="Falta",L1416=Config!$B$7,M1416=Config!$B$5,COUNTIFS($E$5:E1416,E1416,$H$5:H1416,"Falta",$L$5:L1416,Config!$B$7,$M$5:M1416,Config!$B$5)=1),COUNTIFS($E$5:$E$3004,E1416,$H$5:$H$3004,"Falta",$L$5:$L$3004,Config!$B$7,$M$5:$M$3004,Config!$B$5)*1000-ROW()/100000,0)</f>
        <v>0</v>
      </c>
    </row>
    <row r="1417">
      <c r="A1417" s="39" t="n"/>
      <c r="B1417" s="40" t="n"/>
      <c r="C1417" s="35" t="n"/>
      <c r="D1417" s="35" t="n"/>
      <c r="E1417" s="34" t="n"/>
      <c r="F1417" s="35" t="n"/>
      <c r="G1417" s="35" t="n"/>
      <c r="H1417" s="35" t="n"/>
      <c r="I1417" s="35" t="n"/>
      <c r="J1417" s="35" t="n"/>
      <c r="K1417" s="34" t="n"/>
      <c r="L1417" s="26">
        <f>IF(A1417="","",MONTH(A1417))</f>
        <v/>
      </c>
      <c r="M1417" s="26">
        <f>IF(A1417="","",YEAR(A1417))</f>
        <v/>
      </c>
      <c r="N1417" s="26">
        <f>IF(A1417="","",CHOOSE(WEEKDAY(A1417,2),"Segunda","Terça","Quarta","Quinta","Sexta","Sábado","Domingo"))</f>
        <v/>
      </c>
      <c r="O1417" s="26">
        <f>IF(B1417="","",IF(B1417&lt;TIME(12,0,0),"Manhã",IF(B1417&lt;TIME(18,0,0),"Tarde","Noite")))</f>
        <v/>
      </c>
      <c r="P1417" s="32">
        <f>IF(G1417="","",IFERROR(INDEX(Config!$I$5:$I$16,MATCH(G1417,Config!$H$5:$H$16,0)),0))</f>
        <v/>
      </c>
      <c r="Q1417" s="30">
        <f>IF(OR(H1417&lt;&gt;"Realizado",P1417="",P1417=0),"",A1417+P1417)</f>
        <v/>
      </c>
      <c r="R1417" s="26">
        <f>IF(Q1417="","",IF(COUNTIFS($E$5:$E$3004,E1417,$A$5:$A$3004,"&gt;"&amp;A1417,$H$5:$H$3004,"&lt;&gt;Falta",$H$5:$H$3004,"&lt;&gt;Cancelado",$H$5:$H$3004,"&lt;&gt;Remarcado")&gt;0,"Sim","Não"))</f>
        <v/>
      </c>
      <c r="S1417" s="32">
        <f>IF(R1417&lt;&gt;"Não","",IF(Q1417+Config!$B$9&lt;=Config!$B$8,Config!$B$8-Q1417,""))</f>
        <v/>
      </c>
      <c r="T1417" s="26">
        <f>IF(S1417="","","Sim")</f>
        <v/>
      </c>
      <c r="U1417" s="41">
        <f>IF(T1417="Sim",S1417+ROW()/100000,0)</f>
        <v>0</v>
      </c>
      <c r="V1417" s="41">
        <f>IF(AND(H1417="Falta",L1417=Config!$B$7,M1417=Config!$B$5,COUNTIFS($E$5:E1417,E1417,$H$5:H1417,"Falta",$L$5:L1417,Config!$B$7,$M$5:M1417,Config!$B$5)=1),COUNTIFS($E$5:$E$3004,E1417,$H$5:$H$3004,"Falta",$L$5:$L$3004,Config!$B$7,$M$5:$M$3004,Config!$B$5)*1000-ROW()/100000,0)</f>
        <v>0</v>
      </c>
    </row>
    <row r="1418">
      <c r="A1418" s="39" t="n"/>
      <c r="B1418" s="40" t="n"/>
      <c r="C1418" s="35" t="n"/>
      <c r="D1418" s="35" t="n"/>
      <c r="E1418" s="34" t="n"/>
      <c r="F1418" s="35" t="n"/>
      <c r="G1418" s="35" t="n"/>
      <c r="H1418" s="35" t="n"/>
      <c r="I1418" s="35" t="n"/>
      <c r="J1418" s="35" t="n"/>
      <c r="K1418" s="34" t="n"/>
      <c r="L1418" s="26">
        <f>IF(A1418="","",MONTH(A1418))</f>
        <v/>
      </c>
      <c r="M1418" s="26">
        <f>IF(A1418="","",YEAR(A1418))</f>
        <v/>
      </c>
      <c r="N1418" s="26">
        <f>IF(A1418="","",CHOOSE(WEEKDAY(A1418,2),"Segunda","Terça","Quarta","Quinta","Sexta","Sábado","Domingo"))</f>
        <v/>
      </c>
      <c r="O1418" s="26">
        <f>IF(B1418="","",IF(B1418&lt;TIME(12,0,0),"Manhã",IF(B1418&lt;TIME(18,0,0),"Tarde","Noite")))</f>
        <v/>
      </c>
      <c r="P1418" s="32">
        <f>IF(G1418="","",IFERROR(INDEX(Config!$I$5:$I$16,MATCH(G1418,Config!$H$5:$H$16,0)),0))</f>
        <v/>
      </c>
      <c r="Q1418" s="30">
        <f>IF(OR(H1418&lt;&gt;"Realizado",P1418="",P1418=0),"",A1418+P1418)</f>
        <v/>
      </c>
      <c r="R1418" s="26">
        <f>IF(Q1418="","",IF(COUNTIFS($E$5:$E$3004,E1418,$A$5:$A$3004,"&gt;"&amp;A1418,$H$5:$H$3004,"&lt;&gt;Falta",$H$5:$H$3004,"&lt;&gt;Cancelado",$H$5:$H$3004,"&lt;&gt;Remarcado")&gt;0,"Sim","Não"))</f>
        <v/>
      </c>
      <c r="S1418" s="32">
        <f>IF(R1418&lt;&gt;"Não","",IF(Q1418+Config!$B$9&lt;=Config!$B$8,Config!$B$8-Q1418,""))</f>
        <v/>
      </c>
      <c r="T1418" s="26">
        <f>IF(S1418="","","Sim")</f>
        <v/>
      </c>
      <c r="U1418" s="41">
        <f>IF(T1418="Sim",S1418+ROW()/100000,0)</f>
        <v>0</v>
      </c>
      <c r="V1418" s="41">
        <f>IF(AND(H1418="Falta",L1418=Config!$B$7,M1418=Config!$B$5,COUNTIFS($E$5:E1418,E1418,$H$5:H1418,"Falta",$L$5:L1418,Config!$B$7,$M$5:M1418,Config!$B$5)=1),COUNTIFS($E$5:$E$3004,E1418,$H$5:$H$3004,"Falta",$L$5:$L$3004,Config!$B$7,$M$5:$M$3004,Config!$B$5)*1000-ROW()/100000,0)</f>
        <v>0</v>
      </c>
    </row>
    <row r="1419">
      <c r="A1419" s="39" t="n"/>
      <c r="B1419" s="40" t="n"/>
      <c r="C1419" s="35" t="n"/>
      <c r="D1419" s="35" t="n"/>
      <c r="E1419" s="34" t="n"/>
      <c r="F1419" s="35" t="n"/>
      <c r="G1419" s="35" t="n"/>
      <c r="H1419" s="35" t="n"/>
      <c r="I1419" s="35" t="n"/>
      <c r="J1419" s="35" t="n"/>
      <c r="K1419" s="34" t="n"/>
      <c r="L1419" s="26">
        <f>IF(A1419="","",MONTH(A1419))</f>
        <v/>
      </c>
      <c r="M1419" s="26">
        <f>IF(A1419="","",YEAR(A1419))</f>
        <v/>
      </c>
      <c r="N1419" s="26">
        <f>IF(A1419="","",CHOOSE(WEEKDAY(A1419,2),"Segunda","Terça","Quarta","Quinta","Sexta","Sábado","Domingo"))</f>
        <v/>
      </c>
      <c r="O1419" s="26">
        <f>IF(B1419="","",IF(B1419&lt;TIME(12,0,0),"Manhã",IF(B1419&lt;TIME(18,0,0),"Tarde","Noite")))</f>
        <v/>
      </c>
      <c r="P1419" s="32">
        <f>IF(G1419="","",IFERROR(INDEX(Config!$I$5:$I$16,MATCH(G1419,Config!$H$5:$H$16,0)),0))</f>
        <v/>
      </c>
      <c r="Q1419" s="30">
        <f>IF(OR(H1419&lt;&gt;"Realizado",P1419="",P1419=0),"",A1419+P1419)</f>
        <v/>
      </c>
      <c r="R1419" s="26">
        <f>IF(Q1419="","",IF(COUNTIFS($E$5:$E$3004,E1419,$A$5:$A$3004,"&gt;"&amp;A1419,$H$5:$H$3004,"&lt;&gt;Falta",$H$5:$H$3004,"&lt;&gt;Cancelado",$H$5:$H$3004,"&lt;&gt;Remarcado")&gt;0,"Sim","Não"))</f>
        <v/>
      </c>
      <c r="S1419" s="32">
        <f>IF(R1419&lt;&gt;"Não","",IF(Q1419+Config!$B$9&lt;=Config!$B$8,Config!$B$8-Q1419,""))</f>
        <v/>
      </c>
      <c r="T1419" s="26">
        <f>IF(S1419="","","Sim")</f>
        <v/>
      </c>
      <c r="U1419" s="41">
        <f>IF(T1419="Sim",S1419+ROW()/100000,0)</f>
        <v>0</v>
      </c>
      <c r="V1419" s="41">
        <f>IF(AND(H1419="Falta",L1419=Config!$B$7,M1419=Config!$B$5,COUNTIFS($E$5:E1419,E1419,$H$5:H1419,"Falta",$L$5:L1419,Config!$B$7,$M$5:M1419,Config!$B$5)=1),COUNTIFS($E$5:$E$3004,E1419,$H$5:$H$3004,"Falta",$L$5:$L$3004,Config!$B$7,$M$5:$M$3004,Config!$B$5)*1000-ROW()/100000,0)</f>
        <v>0</v>
      </c>
    </row>
    <row r="1420">
      <c r="A1420" s="39" t="n"/>
      <c r="B1420" s="40" t="n"/>
      <c r="C1420" s="35" t="n"/>
      <c r="D1420" s="35" t="n"/>
      <c r="E1420" s="34" t="n"/>
      <c r="F1420" s="35" t="n"/>
      <c r="G1420" s="35" t="n"/>
      <c r="H1420" s="35" t="n"/>
      <c r="I1420" s="35" t="n"/>
      <c r="J1420" s="35" t="n"/>
      <c r="K1420" s="34" t="n"/>
      <c r="L1420" s="26">
        <f>IF(A1420="","",MONTH(A1420))</f>
        <v/>
      </c>
      <c r="M1420" s="26">
        <f>IF(A1420="","",YEAR(A1420))</f>
        <v/>
      </c>
      <c r="N1420" s="26">
        <f>IF(A1420="","",CHOOSE(WEEKDAY(A1420,2),"Segunda","Terça","Quarta","Quinta","Sexta","Sábado","Domingo"))</f>
        <v/>
      </c>
      <c r="O1420" s="26">
        <f>IF(B1420="","",IF(B1420&lt;TIME(12,0,0),"Manhã",IF(B1420&lt;TIME(18,0,0),"Tarde","Noite")))</f>
        <v/>
      </c>
      <c r="P1420" s="32">
        <f>IF(G1420="","",IFERROR(INDEX(Config!$I$5:$I$16,MATCH(G1420,Config!$H$5:$H$16,0)),0))</f>
        <v/>
      </c>
      <c r="Q1420" s="30">
        <f>IF(OR(H1420&lt;&gt;"Realizado",P1420="",P1420=0),"",A1420+P1420)</f>
        <v/>
      </c>
      <c r="R1420" s="26">
        <f>IF(Q1420="","",IF(COUNTIFS($E$5:$E$3004,E1420,$A$5:$A$3004,"&gt;"&amp;A1420,$H$5:$H$3004,"&lt;&gt;Falta",$H$5:$H$3004,"&lt;&gt;Cancelado",$H$5:$H$3004,"&lt;&gt;Remarcado")&gt;0,"Sim","Não"))</f>
        <v/>
      </c>
      <c r="S1420" s="32">
        <f>IF(R1420&lt;&gt;"Não","",IF(Q1420+Config!$B$9&lt;=Config!$B$8,Config!$B$8-Q1420,""))</f>
        <v/>
      </c>
      <c r="T1420" s="26">
        <f>IF(S1420="","","Sim")</f>
        <v/>
      </c>
      <c r="U1420" s="41">
        <f>IF(T1420="Sim",S1420+ROW()/100000,0)</f>
        <v>0</v>
      </c>
      <c r="V1420" s="41">
        <f>IF(AND(H1420="Falta",L1420=Config!$B$7,M1420=Config!$B$5,COUNTIFS($E$5:E1420,E1420,$H$5:H1420,"Falta",$L$5:L1420,Config!$B$7,$M$5:M1420,Config!$B$5)=1),COUNTIFS($E$5:$E$3004,E1420,$H$5:$H$3004,"Falta",$L$5:$L$3004,Config!$B$7,$M$5:$M$3004,Config!$B$5)*1000-ROW()/100000,0)</f>
        <v>0</v>
      </c>
    </row>
    <row r="1421">
      <c r="A1421" s="39" t="n"/>
      <c r="B1421" s="40" t="n"/>
      <c r="C1421" s="35" t="n"/>
      <c r="D1421" s="35" t="n"/>
      <c r="E1421" s="34" t="n"/>
      <c r="F1421" s="35" t="n"/>
      <c r="G1421" s="35" t="n"/>
      <c r="H1421" s="35" t="n"/>
      <c r="I1421" s="35" t="n"/>
      <c r="J1421" s="35" t="n"/>
      <c r="K1421" s="34" t="n"/>
      <c r="L1421" s="26">
        <f>IF(A1421="","",MONTH(A1421))</f>
        <v/>
      </c>
      <c r="M1421" s="26">
        <f>IF(A1421="","",YEAR(A1421))</f>
        <v/>
      </c>
      <c r="N1421" s="26">
        <f>IF(A1421="","",CHOOSE(WEEKDAY(A1421,2),"Segunda","Terça","Quarta","Quinta","Sexta","Sábado","Domingo"))</f>
        <v/>
      </c>
      <c r="O1421" s="26">
        <f>IF(B1421="","",IF(B1421&lt;TIME(12,0,0),"Manhã",IF(B1421&lt;TIME(18,0,0),"Tarde","Noite")))</f>
        <v/>
      </c>
      <c r="P1421" s="32">
        <f>IF(G1421="","",IFERROR(INDEX(Config!$I$5:$I$16,MATCH(G1421,Config!$H$5:$H$16,0)),0))</f>
        <v/>
      </c>
      <c r="Q1421" s="30">
        <f>IF(OR(H1421&lt;&gt;"Realizado",P1421="",P1421=0),"",A1421+P1421)</f>
        <v/>
      </c>
      <c r="R1421" s="26">
        <f>IF(Q1421="","",IF(COUNTIFS($E$5:$E$3004,E1421,$A$5:$A$3004,"&gt;"&amp;A1421,$H$5:$H$3004,"&lt;&gt;Falta",$H$5:$H$3004,"&lt;&gt;Cancelado",$H$5:$H$3004,"&lt;&gt;Remarcado")&gt;0,"Sim","Não"))</f>
        <v/>
      </c>
      <c r="S1421" s="32">
        <f>IF(R1421&lt;&gt;"Não","",IF(Q1421+Config!$B$9&lt;=Config!$B$8,Config!$B$8-Q1421,""))</f>
        <v/>
      </c>
      <c r="T1421" s="26">
        <f>IF(S1421="","","Sim")</f>
        <v/>
      </c>
      <c r="U1421" s="41">
        <f>IF(T1421="Sim",S1421+ROW()/100000,0)</f>
        <v>0</v>
      </c>
      <c r="V1421" s="41">
        <f>IF(AND(H1421="Falta",L1421=Config!$B$7,M1421=Config!$B$5,COUNTIFS($E$5:E1421,E1421,$H$5:H1421,"Falta",$L$5:L1421,Config!$B$7,$M$5:M1421,Config!$B$5)=1),COUNTIFS($E$5:$E$3004,E1421,$H$5:$H$3004,"Falta",$L$5:$L$3004,Config!$B$7,$M$5:$M$3004,Config!$B$5)*1000-ROW()/100000,0)</f>
        <v>0</v>
      </c>
    </row>
    <row r="1422">
      <c r="A1422" s="39" t="n"/>
      <c r="B1422" s="40" t="n"/>
      <c r="C1422" s="35" t="n"/>
      <c r="D1422" s="35" t="n"/>
      <c r="E1422" s="34" t="n"/>
      <c r="F1422" s="35" t="n"/>
      <c r="G1422" s="35" t="n"/>
      <c r="H1422" s="35" t="n"/>
      <c r="I1422" s="35" t="n"/>
      <c r="J1422" s="35" t="n"/>
      <c r="K1422" s="34" t="n"/>
      <c r="L1422" s="26">
        <f>IF(A1422="","",MONTH(A1422))</f>
        <v/>
      </c>
      <c r="M1422" s="26">
        <f>IF(A1422="","",YEAR(A1422))</f>
        <v/>
      </c>
      <c r="N1422" s="26">
        <f>IF(A1422="","",CHOOSE(WEEKDAY(A1422,2),"Segunda","Terça","Quarta","Quinta","Sexta","Sábado","Domingo"))</f>
        <v/>
      </c>
      <c r="O1422" s="26">
        <f>IF(B1422="","",IF(B1422&lt;TIME(12,0,0),"Manhã",IF(B1422&lt;TIME(18,0,0),"Tarde","Noite")))</f>
        <v/>
      </c>
      <c r="P1422" s="32">
        <f>IF(G1422="","",IFERROR(INDEX(Config!$I$5:$I$16,MATCH(G1422,Config!$H$5:$H$16,0)),0))</f>
        <v/>
      </c>
      <c r="Q1422" s="30">
        <f>IF(OR(H1422&lt;&gt;"Realizado",P1422="",P1422=0),"",A1422+P1422)</f>
        <v/>
      </c>
      <c r="R1422" s="26">
        <f>IF(Q1422="","",IF(COUNTIFS($E$5:$E$3004,E1422,$A$5:$A$3004,"&gt;"&amp;A1422,$H$5:$H$3004,"&lt;&gt;Falta",$H$5:$H$3004,"&lt;&gt;Cancelado",$H$5:$H$3004,"&lt;&gt;Remarcado")&gt;0,"Sim","Não"))</f>
        <v/>
      </c>
      <c r="S1422" s="32">
        <f>IF(R1422&lt;&gt;"Não","",IF(Q1422+Config!$B$9&lt;=Config!$B$8,Config!$B$8-Q1422,""))</f>
        <v/>
      </c>
      <c r="T1422" s="26">
        <f>IF(S1422="","","Sim")</f>
        <v/>
      </c>
      <c r="U1422" s="41">
        <f>IF(T1422="Sim",S1422+ROW()/100000,0)</f>
        <v>0</v>
      </c>
      <c r="V1422" s="41">
        <f>IF(AND(H1422="Falta",L1422=Config!$B$7,M1422=Config!$B$5,COUNTIFS($E$5:E1422,E1422,$H$5:H1422,"Falta",$L$5:L1422,Config!$B$7,$M$5:M1422,Config!$B$5)=1),COUNTIFS($E$5:$E$3004,E1422,$H$5:$H$3004,"Falta",$L$5:$L$3004,Config!$B$7,$M$5:$M$3004,Config!$B$5)*1000-ROW()/100000,0)</f>
        <v>0</v>
      </c>
    </row>
    <row r="1423">
      <c r="A1423" s="39" t="n"/>
      <c r="B1423" s="40" t="n"/>
      <c r="C1423" s="35" t="n"/>
      <c r="D1423" s="35" t="n"/>
      <c r="E1423" s="34" t="n"/>
      <c r="F1423" s="35" t="n"/>
      <c r="G1423" s="35" t="n"/>
      <c r="H1423" s="35" t="n"/>
      <c r="I1423" s="35" t="n"/>
      <c r="J1423" s="35" t="n"/>
      <c r="K1423" s="34" t="n"/>
      <c r="L1423" s="26">
        <f>IF(A1423="","",MONTH(A1423))</f>
        <v/>
      </c>
      <c r="M1423" s="26">
        <f>IF(A1423="","",YEAR(A1423))</f>
        <v/>
      </c>
      <c r="N1423" s="26">
        <f>IF(A1423="","",CHOOSE(WEEKDAY(A1423,2),"Segunda","Terça","Quarta","Quinta","Sexta","Sábado","Domingo"))</f>
        <v/>
      </c>
      <c r="O1423" s="26">
        <f>IF(B1423="","",IF(B1423&lt;TIME(12,0,0),"Manhã",IF(B1423&lt;TIME(18,0,0),"Tarde","Noite")))</f>
        <v/>
      </c>
      <c r="P1423" s="32">
        <f>IF(G1423="","",IFERROR(INDEX(Config!$I$5:$I$16,MATCH(G1423,Config!$H$5:$H$16,0)),0))</f>
        <v/>
      </c>
      <c r="Q1423" s="30">
        <f>IF(OR(H1423&lt;&gt;"Realizado",P1423="",P1423=0),"",A1423+P1423)</f>
        <v/>
      </c>
      <c r="R1423" s="26">
        <f>IF(Q1423="","",IF(COUNTIFS($E$5:$E$3004,E1423,$A$5:$A$3004,"&gt;"&amp;A1423,$H$5:$H$3004,"&lt;&gt;Falta",$H$5:$H$3004,"&lt;&gt;Cancelado",$H$5:$H$3004,"&lt;&gt;Remarcado")&gt;0,"Sim","Não"))</f>
        <v/>
      </c>
      <c r="S1423" s="32">
        <f>IF(R1423&lt;&gt;"Não","",IF(Q1423+Config!$B$9&lt;=Config!$B$8,Config!$B$8-Q1423,""))</f>
        <v/>
      </c>
      <c r="T1423" s="26">
        <f>IF(S1423="","","Sim")</f>
        <v/>
      </c>
      <c r="U1423" s="41">
        <f>IF(T1423="Sim",S1423+ROW()/100000,0)</f>
        <v>0</v>
      </c>
      <c r="V1423" s="41">
        <f>IF(AND(H1423="Falta",L1423=Config!$B$7,M1423=Config!$B$5,COUNTIFS($E$5:E1423,E1423,$H$5:H1423,"Falta",$L$5:L1423,Config!$B$7,$M$5:M1423,Config!$B$5)=1),COUNTIFS($E$5:$E$3004,E1423,$H$5:$H$3004,"Falta",$L$5:$L$3004,Config!$B$7,$M$5:$M$3004,Config!$B$5)*1000-ROW()/100000,0)</f>
        <v>0</v>
      </c>
    </row>
    <row r="1424">
      <c r="A1424" s="39" t="n"/>
      <c r="B1424" s="40" t="n"/>
      <c r="C1424" s="35" t="n"/>
      <c r="D1424" s="35" t="n"/>
      <c r="E1424" s="34" t="n"/>
      <c r="F1424" s="35" t="n"/>
      <c r="G1424" s="35" t="n"/>
      <c r="H1424" s="35" t="n"/>
      <c r="I1424" s="35" t="n"/>
      <c r="J1424" s="35" t="n"/>
      <c r="K1424" s="34" t="n"/>
      <c r="L1424" s="26">
        <f>IF(A1424="","",MONTH(A1424))</f>
        <v/>
      </c>
      <c r="M1424" s="26">
        <f>IF(A1424="","",YEAR(A1424))</f>
        <v/>
      </c>
      <c r="N1424" s="26">
        <f>IF(A1424="","",CHOOSE(WEEKDAY(A1424,2),"Segunda","Terça","Quarta","Quinta","Sexta","Sábado","Domingo"))</f>
        <v/>
      </c>
      <c r="O1424" s="26">
        <f>IF(B1424="","",IF(B1424&lt;TIME(12,0,0),"Manhã",IF(B1424&lt;TIME(18,0,0),"Tarde","Noite")))</f>
        <v/>
      </c>
      <c r="P1424" s="32">
        <f>IF(G1424="","",IFERROR(INDEX(Config!$I$5:$I$16,MATCH(G1424,Config!$H$5:$H$16,0)),0))</f>
        <v/>
      </c>
      <c r="Q1424" s="30">
        <f>IF(OR(H1424&lt;&gt;"Realizado",P1424="",P1424=0),"",A1424+P1424)</f>
        <v/>
      </c>
      <c r="R1424" s="26">
        <f>IF(Q1424="","",IF(COUNTIFS($E$5:$E$3004,E1424,$A$5:$A$3004,"&gt;"&amp;A1424,$H$5:$H$3004,"&lt;&gt;Falta",$H$5:$H$3004,"&lt;&gt;Cancelado",$H$5:$H$3004,"&lt;&gt;Remarcado")&gt;0,"Sim","Não"))</f>
        <v/>
      </c>
      <c r="S1424" s="32">
        <f>IF(R1424&lt;&gt;"Não","",IF(Q1424+Config!$B$9&lt;=Config!$B$8,Config!$B$8-Q1424,""))</f>
        <v/>
      </c>
      <c r="T1424" s="26">
        <f>IF(S1424="","","Sim")</f>
        <v/>
      </c>
      <c r="U1424" s="41">
        <f>IF(T1424="Sim",S1424+ROW()/100000,0)</f>
        <v>0</v>
      </c>
      <c r="V1424" s="41">
        <f>IF(AND(H1424="Falta",L1424=Config!$B$7,M1424=Config!$B$5,COUNTIFS($E$5:E1424,E1424,$H$5:H1424,"Falta",$L$5:L1424,Config!$B$7,$M$5:M1424,Config!$B$5)=1),COUNTIFS($E$5:$E$3004,E1424,$H$5:$H$3004,"Falta",$L$5:$L$3004,Config!$B$7,$M$5:$M$3004,Config!$B$5)*1000-ROW()/100000,0)</f>
        <v>0</v>
      </c>
    </row>
    <row r="1425">
      <c r="A1425" s="39" t="n"/>
      <c r="B1425" s="40" t="n"/>
      <c r="C1425" s="35" t="n"/>
      <c r="D1425" s="35" t="n"/>
      <c r="E1425" s="34" t="n"/>
      <c r="F1425" s="35" t="n"/>
      <c r="G1425" s="35" t="n"/>
      <c r="H1425" s="35" t="n"/>
      <c r="I1425" s="35" t="n"/>
      <c r="J1425" s="35" t="n"/>
      <c r="K1425" s="34" t="n"/>
      <c r="L1425" s="26">
        <f>IF(A1425="","",MONTH(A1425))</f>
        <v/>
      </c>
      <c r="M1425" s="26">
        <f>IF(A1425="","",YEAR(A1425))</f>
        <v/>
      </c>
      <c r="N1425" s="26">
        <f>IF(A1425="","",CHOOSE(WEEKDAY(A1425,2),"Segunda","Terça","Quarta","Quinta","Sexta","Sábado","Domingo"))</f>
        <v/>
      </c>
      <c r="O1425" s="26">
        <f>IF(B1425="","",IF(B1425&lt;TIME(12,0,0),"Manhã",IF(B1425&lt;TIME(18,0,0),"Tarde","Noite")))</f>
        <v/>
      </c>
      <c r="P1425" s="32">
        <f>IF(G1425="","",IFERROR(INDEX(Config!$I$5:$I$16,MATCH(G1425,Config!$H$5:$H$16,0)),0))</f>
        <v/>
      </c>
      <c r="Q1425" s="30">
        <f>IF(OR(H1425&lt;&gt;"Realizado",P1425="",P1425=0),"",A1425+P1425)</f>
        <v/>
      </c>
      <c r="R1425" s="26">
        <f>IF(Q1425="","",IF(COUNTIFS($E$5:$E$3004,E1425,$A$5:$A$3004,"&gt;"&amp;A1425,$H$5:$H$3004,"&lt;&gt;Falta",$H$5:$H$3004,"&lt;&gt;Cancelado",$H$5:$H$3004,"&lt;&gt;Remarcado")&gt;0,"Sim","Não"))</f>
        <v/>
      </c>
      <c r="S1425" s="32">
        <f>IF(R1425&lt;&gt;"Não","",IF(Q1425+Config!$B$9&lt;=Config!$B$8,Config!$B$8-Q1425,""))</f>
        <v/>
      </c>
      <c r="T1425" s="26">
        <f>IF(S1425="","","Sim")</f>
        <v/>
      </c>
      <c r="U1425" s="41">
        <f>IF(T1425="Sim",S1425+ROW()/100000,0)</f>
        <v>0</v>
      </c>
      <c r="V1425" s="41">
        <f>IF(AND(H1425="Falta",L1425=Config!$B$7,M1425=Config!$B$5,COUNTIFS($E$5:E1425,E1425,$H$5:H1425,"Falta",$L$5:L1425,Config!$B$7,$M$5:M1425,Config!$B$5)=1),COUNTIFS($E$5:$E$3004,E1425,$H$5:$H$3004,"Falta",$L$5:$L$3004,Config!$B$7,$M$5:$M$3004,Config!$B$5)*1000-ROW()/100000,0)</f>
        <v>0</v>
      </c>
    </row>
    <row r="1426">
      <c r="A1426" s="39" t="n"/>
      <c r="B1426" s="40" t="n"/>
      <c r="C1426" s="35" t="n"/>
      <c r="D1426" s="35" t="n"/>
      <c r="E1426" s="34" t="n"/>
      <c r="F1426" s="35" t="n"/>
      <c r="G1426" s="35" t="n"/>
      <c r="H1426" s="35" t="n"/>
      <c r="I1426" s="35" t="n"/>
      <c r="J1426" s="35" t="n"/>
      <c r="K1426" s="34" t="n"/>
      <c r="L1426" s="26">
        <f>IF(A1426="","",MONTH(A1426))</f>
        <v/>
      </c>
      <c r="M1426" s="26">
        <f>IF(A1426="","",YEAR(A1426))</f>
        <v/>
      </c>
      <c r="N1426" s="26">
        <f>IF(A1426="","",CHOOSE(WEEKDAY(A1426,2),"Segunda","Terça","Quarta","Quinta","Sexta","Sábado","Domingo"))</f>
        <v/>
      </c>
      <c r="O1426" s="26">
        <f>IF(B1426="","",IF(B1426&lt;TIME(12,0,0),"Manhã",IF(B1426&lt;TIME(18,0,0),"Tarde","Noite")))</f>
        <v/>
      </c>
      <c r="P1426" s="32">
        <f>IF(G1426="","",IFERROR(INDEX(Config!$I$5:$I$16,MATCH(G1426,Config!$H$5:$H$16,0)),0))</f>
        <v/>
      </c>
      <c r="Q1426" s="30">
        <f>IF(OR(H1426&lt;&gt;"Realizado",P1426="",P1426=0),"",A1426+P1426)</f>
        <v/>
      </c>
      <c r="R1426" s="26">
        <f>IF(Q1426="","",IF(COUNTIFS($E$5:$E$3004,E1426,$A$5:$A$3004,"&gt;"&amp;A1426,$H$5:$H$3004,"&lt;&gt;Falta",$H$5:$H$3004,"&lt;&gt;Cancelado",$H$5:$H$3004,"&lt;&gt;Remarcado")&gt;0,"Sim","Não"))</f>
        <v/>
      </c>
      <c r="S1426" s="32">
        <f>IF(R1426&lt;&gt;"Não","",IF(Q1426+Config!$B$9&lt;=Config!$B$8,Config!$B$8-Q1426,""))</f>
        <v/>
      </c>
      <c r="T1426" s="26">
        <f>IF(S1426="","","Sim")</f>
        <v/>
      </c>
      <c r="U1426" s="41">
        <f>IF(T1426="Sim",S1426+ROW()/100000,0)</f>
        <v>0</v>
      </c>
      <c r="V1426" s="41">
        <f>IF(AND(H1426="Falta",L1426=Config!$B$7,M1426=Config!$B$5,COUNTIFS($E$5:E1426,E1426,$H$5:H1426,"Falta",$L$5:L1426,Config!$B$7,$M$5:M1426,Config!$B$5)=1),COUNTIFS($E$5:$E$3004,E1426,$H$5:$H$3004,"Falta",$L$5:$L$3004,Config!$B$7,$M$5:$M$3004,Config!$B$5)*1000-ROW()/100000,0)</f>
        <v>0</v>
      </c>
    </row>
    <row r="1427">
      <c r="A1427" s="39" t="n"/>
      <c r="B1427" s="40" t="n"/>
      <c r="C1427" s="35" t="n"/>
      <c r="D1427" s="35" t="n"/>
      <c r="E1427" s="34" t="n"/>
      <c r="F1427" s="35" t="n"/>
      <c r="G1427" s="35" t="n"/>
      <c r="H1427" s="35" t="n"/>
      <c r="I1427" s="35" t="n"/>
      <c r="J1427" s="35" t="n"/>
      <c r="K1427" s="34" t="n"/>
      <c r="L1427" s="26">
        <f>IF(A1427="","",MONTH(A1427))</f>
        <v/>
      </c>
      <c r="M1427" s="26">
        <f>IF(A1427="","",YEAR(A1427))</f>
        <v/>
      </c>
      <c r="N1427" s="26">
        <f>IF(A1427="","",CHOOSE(WEEKDAY(A1427,2),"Segunda","Terça","Quarta","Quinta","Sexta","Sábado","Domingo"))</f>
        <v/>
      </c>
      <c r="O1427" s="26">
        <f>IF(B1427="","",IF(B1427&lt;TIME(12,0,0),"Manhã",IF(B1427&lt;TIME(18,0,0),"Tarde","Noite")))</f>
        <v/>
      </c>
      <c r="P1427" s="32">
        <f>IF(G1427="","",IFERROR(INDEX(Config!$I$5:$I$16,MATCH(G1427,Config!$H$5:$H$16,0)),0))</f>
        <v/>
      </c>
      <c r="Q1427" s="30">
        <f>IF(OR(H1427&lt;&gt;"Realizado",P1427="",P1427=0),"",A1427+P1427)</f>
        <v/>
      </c>
      <c r="R1427" s="26">
        <f>IF(Q1427="","",IF(COUNTIFS($E$5:$E$3004,E1427,$A$5:$A$3004,"&gt;"&amp;A1427,$H$5:$H$3004,"&lt;&gt;Falta",$H$5:$H$3004,"&lt;&gt;Cancelado",$H$5:$H$3004,"&lt;&gt;Remarcado")&gt;0,"Sim","Não"))</f>
        <v/>
      </c>
      <c r="S1427" s="32">
        <f>IF(R1427&lt;&gt;"Não","",IF(Q1427+Config!$B$9&lt;=Config!$B$8,Config!$B$8-Q1427,""))</f>
        <v/>
      </c>
      <c r="T1427" s="26">
        <f>IF(S1427="","","Sim")</f>
        <v/>
      </c>
      <c r="U1427" s="41">
        <f>IF(T1427="Sim",S1427+ROW()/100000,0)</f>
        <v>0</v>
      </c>
      <c r="V1427" s="41">
        <f>IF(AND(H1427="Falta",L1427=Config!$B$7,M1427=Config!$B$5,COUNTIFS($E$5:E1427,E1427,$H$5:H1427,"Falta",$L$5:L1427,Config!$B$7,$M$5:M1427,Config!$B$5)=1),COUNTIFS($E$5:$E$3004,E1427,$H$5:$H$3004,"Falta",$L$5:$L$3004,Config!$B$7,$M$5:$M$3004,Config!$B$5)*1000-ROW()/100000,0)</f>
        <v>0</v>
      </c>
    </row>
    <row r="1428">
      <c r="A1428" s="39" t="n"/>
      <c r="B1428" s="40" t="n"/>
      <c r="C1428" s="35" t="n"/>
      <c r="D1428" s="35" t="n"/>
      <c r="E1428" s="34" t="n"/>
      <c r="F1428" s="35" t="n"/>
      <c r="G1428" s="35" t="n"/>
      <c r="H1428" s="35" t="n"/>
      <c r="I1428" s="35" t="n"/>
      <c r="J1428" s="35" t="n"/>
      <c r="K1428" s="34" t="n"/>
      <c r="L1428" s="26">
        <f>IF(A1428="","",MONTH(A1428))</f>
        <v/>
      </c>
      <c r="M1428" s="26">
        <f>IF(A1428="","",YEAR(A1428))</f>
        <v/>
      </c>
      <c r="N1428" s="26">
        <f>IF(A1428="","",CHOOSE(WEEKDAY(A1428,2),"Segunda","Terça","Quarta","Quinta","Sexta","Sábado","Domingo"))</f>
        <v/>
      </c>
      <c r="O1428" s="26">
        <f>IF(B1428="","",IF(B1428&lt;TIME(12,0,0),"Manhã",IF(B1428&lt;TIME(18,0,0),"Tarde","Noite")))</f>
        <v/>
      </c>
      <c r="P1428" s="32">
        <f>IF(G1428="","",IFERROR(INDEX(Config!$I$5:$I$16,MATCH(G1428,Config!$H$5:$H$16,0)),0))</f>
        <v/>
      </c>
      <c r="Q1428" s="30">
        <f>IF(OR(H1428&lt;&gt;"Realizado",P1428="",P1428=0),"",A1428+P1428)</f>
        <v/>
      </c>
      <c r="R1428" s="26">
        <f>IF(Q1428="","",IF(COUNTIFS($E$5:$E$3004,E1428,$A$5:$A$3004,"&gt;"&amp;A1428,$H$5:$H$3004,"&lt;&gt;Falta",$H$5:$H$3004,"&lt;&gt;Cancelado",$H$5:$H$3004,"&lt;&gt;Remarcado")&gt;0,"Sim","Não"))</f>
        <v/>
      </c>
      <c r="S1428" s="32">
        <f>IF(R1428&lt;&gt;"Não","",IF(Q1428+Config!$B$9&lt;=Config!$B$8,Config!$B$8-Q1428,""))</f>
        <v/>
      </c>
      <c r="T1428" s="26">
        <f>IF(S1428="","","Sim")</f>
        <v/>
      </c>
      <c r="U1428" s="41">
        <f>IF(T1428="Sim",S1428+ROW()/100000,0)</f>
        <v>0</v>
      </c>
      <c r="V1428" s="41">
        <f>IF(AND(H1428="Falta",L1428=Config!$B$7,M1428=Config!$B$5,COUNTIFS($E$5:E1428,E1428,$H$5:H1428,"Falta",$L$5:L1428,Config!$B$7,$M$5:M1428,Config!$B$5)=1),COUNTIFS($E$5:$E$3004,E1428,$H$5:$H$3004,"Falta",$L$5:$L$3004,Config!$B$7,$M$5:$M$3004,Config!$B$5)*1000-ROW()/100000,0)</f>
        <v>0</v>
      </c>
    </row>
    <row r="1429">
      <c r="A1429" s="39" t="n"/>
      <c r="B1429" s="40" t="n"/>
      <c r="C1429" s="35" t="n"/>
      <c r="D1429" s="35" t="n"/>
      <c r="E1429" s="34" t="n"/>
      <c r="F1429" s="35" t="n"/>
      <c r="G1429" s="35" t="n"/>
      <c r="H1429" s="35" t="n"/>
      <c r="I1429" s="35" t="n"/>
      <c r="J1429" s="35" t="n"/>
      <c r="K1429" s="34" t="n"/>
      <c r="L1429" s="26">
        <f>IF(A1429="","",MONTH(A1429))</f>
        <v/>
      </c>
      <c r="M1429" s="26">
        <f>IF(A1429="","",YEAR(A1429))</f>
        <v/>
      </c>
      <c r="N1429" s="26">
        <f>IF(A1429="","",CHOOSE(WEEKDAY(A1429,2),"Segunda","Terça","Quarta","Quinta","Sexta","Sábado","Domingo"))</f>
        <v/>
      </c>
      <c r="O1429" s="26">
        <f>IF(B1429="","",IF(B1429&lt;TIME(12,0,0),"Manhã",IF(B1429&lt;TIME(18,0,0),"Tarde","Noite")))</f>
        <v/>
      </c>
      <c r="P1429" s="32">
        <f>IF(G1429="","",IFERROR(INDEX(Config!$I$5:$I$16,MATCH(G1429,Config!$H$5:$H$16,0)),0))</f>
        <v/>
      </c>
      <c r="Q1429" s="30">
        <f>IF(OR(H1429&lt;&gt;"Realizado",P1429="",P1429=0),"",A1429+P1429)</f>
        <v/>
      </c>
      <c r="R1429" s="26">
        <f>IF(Q1429="","",IF(COUNTIFS($E$5:$E$3004,E1429,$A$5:$A$3004,"&gt;"&amp;A1429,$H$5:$H$3004,"&lt;&gt;Falta",$H$5:$H$3004,"&lt;&gt;Cancelado",$H$5:$H$3004,"&lt;&gt;Remarcado")&gt;0,"Sim","Não"))</f>
        <v/>
      </c>
      <c r="S1429" s="32">
        <f>IF(R1429&lt;&gt;"Não","",IF(Q1429+Config!$B$9&lt;=Config!$B$8,Config!$B$8-Q1429,""))</f>
        <v/>
      </c>
      <c r="T1429" s="26">
        <f>IF(S1429="","","Sim")</f>
        <v/>
      </c>
      <c r="U1429" s="41">
        <f>IF(T1429="Sim",S1429+ROW()/100000,0)</f>
        <v>0</v>
      </c>
      <c r="V1429" s="41">
        <f>IF(AND(H1429="Falta",L1429=Config!$B$7,M1429=Config!$B$5,COUNTIFS($E$5:E1429,E1429,$H$5:H1429,"Falta",$L$5:L1429,Config!$B$7,$M$5:M1429,Config!$B$5)=1),COUNTIFS($E$5:$E$3004,E1429,$H$5:$H$3004,"Falta",$L$5:$L$3004,Config!$B$7,$M$5:$M$3004,Config!$B$5)*1000-ROW()/100000,0)</f>
        <v>0</v>
      </c>
    </row>
    <row r="1430">
      <c r="A1430" s="39" t="n"/>
      <c r="B1430" s="40" t="n"/>
      <c r="C1430" s="35" t="n"/>
      <c r="D1430" s="35" t="n"/>
      <c r="E1430" s="34" t="n"/>
      <c r="F1430" s="35" t="n"/>
      <c r="G1430" s="35" t="n"/>
      <c r="H1430" s="35" t="n"/>
      <c r="I1430" s="35" t="n"/>
      <c r="J1430" s="35" t="n"/>
      <c r="K1430" s="34" t="n"/>
      <c r="L1430" s="26">
        <f>IF(A1430="","",MONTH(A1430))</f>
        <v/>
      </c>
      <c r="M1430" s="26">
        <f>IF(A1430="","",YEAR(A1430))</f>
        <v/>
      </c>
      <c r="N1430" s="26">
        <f>IF(A1430="","",CHOOSE(WEEKDAY(A1430,2),"Segunda","Terça","Quarta","Quinta","Sexta","Sábado","Domingo"))</f>
        <v/>
      </c>
      <c r="O1430" s="26">
        <f>IF(B1430="","",IF(B1430&lt;TIME(12,0,0),"Manhã",IF(B1430&lt;TIME(18,0,0),"Tarde","Noite")))</f>
        <v/>
      </c>
      <c r="P1430" s="32">
        <f>IF(G1430="","",IFERROR(INDEX(Config!$I$5:$I$16,MATCH(G1430,Config!$H$5:$H$16,0)),0))</f>
        <v/>
      </c>
      <c r="Q1430" s="30">
        <f>IF(OR(H1430&lt;&gt;"Realizado",P1430="",P1430=0),"",A1430+P1430)</f>
        <v/>
      </c>
      <c r="R1430" s="26">
        <f>IF(Q1430="","",IF(COUNTIFS($E$5:$E$3004,E1430,$A$5:$A$3004,"&gt;"&amp;A1430,$H$5:$H$3004,"&lt;&gt;Falta",$H$5:$H$3004,"&lt;&gt;Cancelado",$H$5:$H$3004,"&lt;&gt;Remarcado")&gt;0,"Sim","Não"))</f>
        <v/>
      </c>
      <c r="S1430" s="32">
        <f>IF(R1430&lt;&gt;"Não","",IF(Q1430+Config!$B$9&lt;=Config!$B$8,Config!$B$8-Q1430,""))</f>
        <v/>
      </c>
      <c r="T1430" s="26">
        <f>IF(S1430="","","Sim")</f>
        <v/>
      </c>
      <c r="U1430" s="41">
        <f>IF(T1430="Sim",S1430+ROW()/100000,0)</f>
        <v>0</v>
      </c>
      <c r="V1430" s="41">
        <f>IF(AND(H1430="Falta",L1430=Config!$B$7,M1430=Config!$B$5,COUNTIFS($E$5:E1430,E1430,$H$5:H1430,"Falta",$L$5:L1430,Config!$B$7,$M$5:M1430,Config!$B$5)=1),COUNTIFS($E$5:$E$3004,E1430,$H$5:$H$3004,"Falta",$L$5:$L$3004,Config!$B$7,$M$5:$M$3004,Config!$B$5)*1000-ROW()/100000,0)</f>
        <v>0</v>
      </c>
    </row>
    <row r="1431">
      <c r="A1431" s="39" t="n"/>
      <c r="B1431" s="40" t="n"/>
      <c r="C1431" s="35" t="n"/>
      <c r="D1431" s="35" t="n"/>
      <c r="E1431" s="34" t="n"/>
      <c r="F1431" s="35" t="n"/>
      <c r="G1431" s="35" t="n"/>
      <c r="H1431" s="35" t="n"/>
      <c r="I1431" s="35" t="n"/>
      <c r="J1431" s="35" t="n"/>
      <c r="K1431" s="34" t="n"/>
      <c r="L1431" s="26">
        <f>IF(A1431="","",MONTH(A1431))</f>
        <v/>
      </c>
      <c r="M1431" s="26">
        <f>IF(A1431="","",YEAR(A1431))</f>
        <v/>
      </c>
      <c r="N1431" s="26">
        <f>IF(A1431="","",CHOOSE(WEEKDAY(A1431,2),"Segunda","Terça","Quarta","Quinta","Sexta","Sábado","Domingo"))</f>
        <v/>
      </c>
      <c r="O1431" s="26">
        <f>IF(B1431="","",IF(B1431&lt;TIME(12,0,0),"Manhã",IF(B1431&lt;TIME(18,0,0),"Tarde","Noite")))</f>
        <v/>
      </c>
      <c r="P1431" s="32">
        <f>IF(G1431="","",IFERROR(INDEX(Config!$I$5:$I$16,MATCH(G1431,Config!$H$5:$H$16,0)),0))</f>
        <v/>
      </c>
      <c r="Q1431" s="30">
        <f>IF(OR(H1431&lt;&gt;"Realizado",P1431="",P1431=0),"",A1431+P1431)</f>
        <v/>
      </c>
      <c r="R1431" s="26">
        <f>IF(Q1431="","",IF(COUNTIFS($E$5:$E$3004,E1431,$A$5:$A$3004,"&gt;"&amp;A1431,$H$5:$H$3004,"&lt;&gt;Falta",$H$5:$H$3004,"&lt;&gt;Cancelado",$H$5:$H$3004,"&lt;&gt;Remarcado")&gt;0,"Sim","Não"))</f>
        <v/>
      </c>
      <c r="S1431" s="32">
        <f>IF(R1431&lt;&gt;"Não","",IF(Q1431+Config!$B$9&lt;=Config!$B$8,Config!$B$8-Q1431,""))</f>
        <v/>
      </c>
      <c r="T1431" s="26">
        <f>IF(S1431="","","Sim")</f>
        <v/>
      </c>
      <c r="U1431" s="41">
        <f>IF(T1431="Sim",S1431+ROW()/100000,0)</f>
        <v>0</v>
      </c>
      <c r="V1431" s="41">
        <f>IF(AND(H1431="Falta",L1431=Config!$B$7,M1431=Config!$B$5,COUNTIFS($E$5:E1431,E1431,$H$5:H1431,"Falta",$L$5:L1431,Config!$B$7,$M$5:M1431,Config!$B$5)=1),COUNTIFS($E$5:$E$3004,E1431,$H$5:$H$3004,"Falta",$L$5:$L$3004,Config!$B$7,$M$5:$M$3004,Config!$B$5)*1000-ROW()/100000,0)</f>
        <v>0</v>
      </c>
    </row>
    <row r="1432">
      <c r="A1432" s="39" t="n"/>
      <c r="B1432" s="40" t="n"/>
      <c r="C1432" s="35" t="n"/>
      <c r="D1432" s="35" t="n"/>
      <c r="E1432" s="34" t="n"/>
      <c r="F1432" s="35" t="n"/>
      <c r="G1432" s="35" t="n"/>
      <c r="H1432" s="35" t="n"/>
      <c r="I1432" s="35" t="n"/>
      <c r="J1432" s="35" t="n"/>
      <c r="K1432" s="34" t="n"/>
      <c r="L1432" s="26">
        <f>IF(A1432="","",MONTH(A1432))</f>
        <v/>
      </c>
      <c r="M1432" s="26">
        <f>IF(A1432="","",YEAR(A1432))</f>
        <v/>
      </c>
      <c r="N1432" s="26">
        <f>IF(A1432="","",CHOOSE(WEEKDAY(A1432,2),"Segunda","Terça","Quarta","Quinta","Sexta","Sábado","Domingo"))</f>
        <v/>
      </c>
      <c r="O1432" s="26">
        <f>IF(B1432="","",IF(B1432&lt;TIME(12,0,0),"Manhã",IF(B1432&lt;TIME(18,0,0),"Tarde","Noite")))</f>
        <v/>
      </c>
      <c r="P1432" s="32">
        <f>IF(G1432="","",IFERROR(INDEX(Config!$I$5:$I$16,MATCH(G1432,Config!$H$5:$H$16,0)),0))</f>
        <v/>
      </c>
      <c r="Q1432" s="30">
        <f>IF(OR(H1432&lt;&gt;"Realizado",P1432="",P1432=0),"",A1432+P1432)</f>
        <v/>
      </c>
      <c r="R1432" s="26">
        <f>IF(Q1432="","",IF(COUNTIFS($E$5:$E$3004,E1432,$A$5:$A$3004,"&gt;"&amp;A1432,$H$5:$H$3004,"&lt;&gt;Falta",$H$5:$H$3004,"&lt;&gt;Cancelado",$H$5:$H$3004,"&lt;&gt;Remarcado")&gt;0,"Sim","Não"))</f>
        <v/>
      </c>
      <c r="S1432" s="32">
        <f>IF(R1432&lt;&gt;"Não","",IF(Q1432+Config!$B$9&lt;=Config!$B$8,Config!$B$8-Q1432,""))</f>
        <v/>
      </c>
      <c r="T1432" s="26">
        <f>IF(S1432="","","Sim")</f>
        <v/>
      </c>
      <c r="U1432" s="41">
        <f>IF(T1432="Sim",S1432+ROW()/100000,0)</f>
        <v>0</v>
      </c>
      <c r="V1432" s="41">
        <f>IF(AND(H1432="Falta",L1432=Config!$B$7,M1432=Config!$B$5,COUNTIFS($E$5:E1432,E1432,$H$5:H1432,"Falta",$L$5:L1432,Config!$B$7,$M$5:M1432,Config!$B$5)=1),COUNTIFS($E$5:$E$3004,E1432,$H$5:$H$3004,"Falta",$L$5:$L$3004,Config!$B$7,$M$5:$M$3004,Config!$B$5)*1000-ROW()/100000,0)</f>
        <v>0</v>
      </c>
    </row>
    <row r="1433">
      <c r="A1433" s="39" t="n"/>
      <c r="B1433" s="40" t="n"/>
      <c r="C1433" s="35" t="n"/>
      <c r="D1433" s="35" t="n"/>
      <c r="E1433" s="34" t="n"/>
      <c r="F1433" s="35" t="n"/>
      <c r="G1433" s="35" t="n"/>
      <c r="H1433" s="35" t="n"/>
      <c r="I1433" s="35" t="n"/>
      <c r="J1433" s="35" t="n"/>
      <c r="K1433" s="34" t="n"/>
      <c r="L1433" s="26">
        <f>IF(A1433="","",MONTH(A1433))</f>
        <v/>
      </c>
      <c r="M1433" s="26">
        <f>IF(A1433="","",YEAR(A1433))</f>
        <v/>
      </c>
      <c r="N1433" s="26">
        <f>IF(A1433="","",CHOOSE(WEEKDAY(A1433,2),"Segunda","Terça","Quarta","Quinta","Sexta","Sábado","Domingo"))</f>
        <v/>
      </c>
      <c r="O1433" s="26">
        <f>IF(B1433="","",IF(B1433&lt;TIME(12,0,0),"Manhã",IF(B1433&lt;TIME(18,0,0),"Tarde","Noite")))</f>
        <v/>
      </c>
      <c r="P1433" s="32">
        <f>IF(G1433="","",IFERROR(INDEX(Config!$I$5:$I$16,MATCH(G1433,Config!$H$5:$H$16,0)),0))</f>
        <v/>
      </c>
      <c r="Q1433" s="30">
        <f>IF(OR(H1433&lt;&gt;"Realizado",P1433="",P1433=0),"",A1433+P1433)</f>
        <v/>
      </c>
      <c r="R1433" s="26">
        <f>IF(Q1433="","",IF(COUNTIFS($E$5:$E$3004,E1433,$A$5:$A$3004,"&gt;"&amp;A1433,$H$5:$H$3004,"&lt;&gt;Falta",$H$5:$H$3004,"&lt;&gt;Cancelado",$H$5:$H$3004,"&lt;&gt;Remarcado")&gt;0,"Sim","Não"))</f>
        <v/>
      </c>
      <c r="S1433" s="32">
        <f>IF(R1433&lt;&gt;"Não","",IF(Q1433+Config!$B$9&lt;=Config!$B$8,Config!$B$8-Q1433,""))</f>
        <v/>
      </c>
      <c r="T1433" s="26">
        <f>IF(S1433="","","Sim")</f>
        <v/>
      </c>
      <c r="U1433" s="41">
        <f>IF(T1433="Sim",S1433+ROW()/100000,0)</f>
        <v>0</v>
      </c>
      <c r="V1433" s="41">
        <f>IF(AND(H1433="Falta",L1433=Config!$B$7,M1433=Config!$B$5,COUNTIFS($E$5:E1433,E1433,$H$5:H1433,"Falta",$L$5:L1433,Config!$B$7,$M$5:M1433,Config!$B$5)=1),COUNTIFS($E$5:$E$3004,E1433,$H$5:$H$3004,"Falta",$L$5:$L$3004,Config!$B$7,$M$5:$M$3004,Config!$B$5)*1000-ROW()/100000,0)</f>
        <v>0</v>
      </c>
    </row>
    <row r="1434">
      <c r="A1434" s="39" t="n"/>
      <c r="B1434" s="40" t="n"/>
      <c r="C1434" s="35" t="n"/>
      <c r="D1434" s="35" t="n"/>
      <c r="E1434" s="34" t="n"/>
      <c r="F1434" s="35" t="n"/>
      <c r="G1434" s="35" t="n"/>
      <c r="H1434" s="35" t="n"/>
      <c r="I1434" s="35" t="n"/>
      <c r="J1434" s="35" t="n"/>
      <c r="K1434" s="34" t="n"/>
      <c r="L1434" s="26">
        <f>IF(A1434="","",MONTH(A1434))</f>
        <v/>
      </c>
      <c r="M1434" s="26">
        <f>IF(A1434="","",YEAR(A1434))</f>
        <v/>
      </c>
      <c r="N1434" s="26">
        <f>IF(A1434="","",CHOOSE(WEEKDAY(A1434,2),"Segunda","Terça","Quarta","Quinta","Sexta","Sábado","Domingo"))</f>
        <v/>
      </c>
      <c r="O1434" s="26">
        <f>IF(B1434="","",IF(B1434&lt;TIME(12,0,0),"Manhã",IF(B1434&lt;TIME(18,0,0),"Tarde","Noite")))</f>
        <v/>
      </c>
      <c r="P1434" s="32">
        <f>IF(G1434="","",IFERROR(INDEX(Config!$I$5:$I$16,MATCH(G1434,Config!$H$5:$H$16,0)),0))</f>
        <v/>
      </c>
      <c r="Q1434" s="30">
        <f>IF(OR(H1434&lt;&gt;"Realizado",P1434="",P1434=0),"",A1434+P1434)</f>
        <v/>
      </c>
      <c r="R1434" s="26">
        <f>IF(Q1434="","",IF(COUNTIFS($E$5:$E$3004,E1434,$A$5:$A$3004,"&gt;"&amp;A1434,$H$5:$H$3004,"&lt;&gt;Falta",$H$5:$H$3004,"&lt;&gt;Cancelado",$H$5:$H$3004,"&lt;&gt;Remarcado")&gt;0,"Sim","Não"))</f>
        <v/>
      </c>
      <c r="S1434" s="32">
        <f>IF(R1434&lt;&gt;"Não","",IF(Q1434+Config!$B$9&lt;=Config!$B$8,Config!$B$8-Q1434,""))</f>
        <v/>
      </c>
      <c r="T1434" s="26">
        <f>IF(S1434="","","Sim")</f>
        <v/>
      </c>
      <c r="U1434" s="41">
        <f>IF(T1434="Sim",S1434+ROW()/100000,0)</f>
        <v>0</v>
      </c>
      <c r="V1434" s="41">
        <f>IF(AND(H1434="Falta",L1434=Config!$B$7,M1434=Config!$B$5,COUNTIFS($E$5:E1434,E1434,$H$5:H1434,"Falta",$L$5:L1434,Config!$B$7,$M$5:M1434,Config!$B$5)=1),COUNTIFS($E$5:$E$3004,E1434,$H$5:$H$3004,"Falta",$L$5:$L$3004,Config!$B$7,$M$5:$M$3004,Config!$B$5)*1000-ROW()/100000,0)</f>
        <v>0</v>
      </c>
    </row>
    <row r="1435">
      <c r="A1435" s="39" t="n"/>
      <c r="B1435" s="40" t="n"/>
      <c r="C1435" s="35" t="n"/>
      <c r="D1435" s="35" t="n"/>
      <c r="E1435" s="34" t="n"/>
      <c r="F1435" s="35" t="n"/>
      <c r="G1435" s="35" t="n"/>
      <c r="H1435" s="35" t="n"/>
      <c r="I1435" s="35" t="n"/>
      <c r="J1435" s="35" t="n"/>
      <c r="K1435" s="34" t="n"/>
      <c r="L1435" s="26">
        <f>IF(A1435="","",MONTH(A1435))</f>
        <v/>
      </c>
      <c r="M1435" s="26">
        <f>IF(A1435="","",YEAR(A1435))</f>
        <v/>
      </c>
      <c r="N1435" s="26">
        <f>IF(A1435="","",CHOOSE(WEEKDAY(A1435,2),"Segunda","Terça","Quarta","Quinta","Sexta","Sábado","Domingo"))</f>
        <v/>
      </c>
      <c r="O1435" s="26">
        <f>IF(B1435="","",IF(B1435&lt;TIME(12,0,0),"Manhã",IF(B1435&lt;TIME(18,0,0),"Tarde","Noite")))</f>
        <v/>
      </c>
      <c r="P1435" s="32">
        <f>IF(G1435="","",IFERROR(INDEX(Config!$I$5:$I$16,MATCH(G1435,Config!$H$5:$H$16,0)),0))</f>
        <v/>
      </c>
      <c r="Q1435" s="30">
        <f>IF(OR(H1435&lt;&gt;"Realizado",P1435="",P1435=0),"",A1435+P1435)</f>
        <v/>
      </c>
      <c r="R1435" s="26">
        <f>IF(Q1435="","",IF(COUNTIFS($E$5:$E$3004,E1435,$A$5:$A$3004,"&gt;"&amp;A1435,$H$5:$H$3004,"&lt;&gt;Falta",$H$5:$H$3004,"&lt;&gt;Cancelado",$H$5:$H$3004,"&lt;&gt;Remarcado")&gt;0,"Sim","Não"))</f>
        <v/>
      </c>
      <c r="S1435" s="32">
        <f>IF(R1435&lt;&gt;"Não","",IF(Q1435+Config!$B$9&lt;=Config!$B$8,Config!$B$8-Q1435,""))</f>
        <v/>
      </c>
      <c r="T1435" s="26">
        <f>IF(S1435="","","Sim")</f>
        <v/>
      </c>
      <c r="U1435" s="41">
        <f>IF(T1435="Sim",S1435+ROW()/100000,0)</f>
        <v>0</v>
      </c>
      <c r="V1435" s="41">
        <f>IF(AND(H1435="Falta",L1435=Config!$B$7,M1435=Config!$B$5,COUNTIFS($E$5:E1435,E1435,$H$5:H1435,"Falta",$L$5:L1435,Config!$B$7,$M$5:M1435,Config!$B$5)=1),COUNTIFS($E$5:$E$3004,E1435,$H$5:$H$3004,"Falta",$L$5:$L$3004,Config!$B$7,$M$5:$M$3004,Config!$B$5)*1000-ROW()/100000,0)</f>
        <v>0</v>
      </c>
    </row>
    <row r="1436">
      <c r="A1436" s="39" t="n"/>
      <c r="B1436" s="40" t="n"/>
      <c r="C1436" s="35" t="n"/>
      <c r="D1436" s="35" t="n"/>
      <c r="E1436" s="34" t="n"/>
      <c r="F1436" s="35" t="n"/>
      <c r="G1436" s="35" t="n"/>
      <c r="H1436" s="35" t="n"/>
      <c r="I1436" s="35" t="n"/>
      <c r="J1436" s="35" t="n"/>
      <c r="K1436" s="34" t="n"/>
      <c r="L1436" s="26">
        <f>IF(A1436="","",MONTH(A1436))</f>
        <v/>
      </c>
      <c r="M1436" s="26">
        <f>IF(A1436="","",YEAR(A1436))</f>
        <v/>
      </c>
      <c r="N1436" s="26">
        <f>IF(A1436="","",CHOOSE(WEEKDAY(A1436,2),"Segunda","Terça","Quarta","Quinta","Sexta","Sábado","Domingo"))</f>
        <v/>
      </c>
      <c r="O1436" s="26">
        <f>IF(B1436="","",IF(B1436&lt;TIME(12,0,0),"Manhã",IF(B1436&lt;TIME(18,0,0),"Tarde","Noite")))</f>
        <v/>
      </c>
      <c r="P1436" s="32">
        <f>IF(G1436="","",IFERROR(INDEX(Config!$I$5:$I$16,MATCH(G1436,Config!$H$5:$H$16,0)),0))</f>
        <v/>
      </c>
      <c r="Q1436" s="30">
        <f>IF(OR(H1436&lt;&gt;"Realizado",P1436="",P1436=0),"",A1436+P1436)</f>
        <v/>
      </c>
      <c r="R1436" s="26">
        <f>IF(Q1436="","",IF(COUNTIFS($E$5:$E$3004,E1436,$A$5:$A$3004,"&gt;"&amp;A1436,$H$5:$H$3004,"&lt;&gt;Falta",$H$5:$H$3004,"&lt;&gt;Cancelado",$H$5:$H$3004,"&lt;&gt;Remarcado")&gt;0,"Sim","Não"))</f>
        <v/>
      </c>
      <c r="S1436" s="32">
        <f>IF(R1436&lt;&gt;"Não","",IF(Q1436+Config!$B$9&lt;=Config!$B$8,Config!$B$8-Q1436,""))</f>
        <v/>
      </c>
      <c r="T1436" s="26">
        <f>IF(S1436="","","Sim")</f>
        <v/>
      </c>
      <c r="U1436" s="41">
        <f>IF(T1436="Sim",S1436+ROW()/100000,0)</f>
        <v>0</v>
      </c>
      <c r="V1436" s="41">
        <f>IF(AND(H1436="Falta",L1436=Config!$B$7,M1436=Config!$B$5,COUNTIFS($E$5:E1436,E1436,$H$5:H1436,"Falta",$L$5:L1436,Config!$B$7,$M$5:M1436,Config!$B$5)=1),COUNTIFS($E$5:$E$3004,E1436,$H$5:$H$3004,"Falta",$L$5:$L$3004,Config!$B$7,$M$5:$M$3004,Config!$B$5)*1000-ROW()/100000,0)</f>
        <v>0</v>
      </c>
    </row>
    <row r="1437">
      <c r="A1437" s="39" t="n"/>
      <c r="B1437" s="40" t="n"/>
      <c r="C1437" s="35" t="n"/>
      <c r="D1437" s="35" t="n"/>
      <c r="E1437" s="34" t="n"/>
      <c r="F1437" s="35" t="n"/>
      <c r="G1437" s="35" t="n"/>
      <c r="H1437" s="35" t="n"/>
      <c r="I1437" s="35" t="n"/>
      <c r="J1437" s="35" t="n"/>
      <c r="K1437" s="34" t="n"/>
      <c r="L1437" s="26">
        <f>IF(A1437="","",MONTH(A1437))</f>
        <v/>
      </c>
      <c r="M1437" s="26">
        <f>IF(A1437="","",YEAR(A1437))</f>
        <v/>
      </c>
      <c r="N1437" s="26">
        <f>IF(A1437="","",CHOOSE(WEEKDAY(A1437,2),"Segunda","Terça","Quarta","Quinta","Sexta","Sábado","Domingo"))</f>
        <v/>
      </c>
      <c r="O1437" s="26">
        <f>IF(B1437="","",IF(B1437&lt;TIME(12,0,0),"Manhã",IF(B1437&lt;TIME(18,0,0),"Tarde","Noite")))</f>
        <v/>
      </c>
      <c r="P1437" s="32">
        <f>IF(G1437="","",IFERROR(INDEX(Config!$I$5:$I$16,MATCH(G1437,Config!$H$5:$H$16,0)),0))</f>
        <v/>
      </c>
      <c r="Q1437" s="30">
        <f>IF(OR(H1437&lt;&gt;"Realizado",P1437="",P1437=0),"",A1437+P1437)</f>
        <v/>
      </c>
      <c r="R1437" s="26">
        <f>IF(Q1437="","",IF(COUNTIFS($E$5:$E$3004,E1437,$A$5:$A$3004,"&gt;"&amp;A1437,$H$5:$H$3004,"&lt;&gt;Falta",$H$5:$H$3004,"&lt;&gt;Cancelado",$H$5:$H$3004,"&lt;&gt;Remarcado")&gt;0,"Sim","Não"))</f>
        <v/>
      </c>
      <c r="S1437" s="32">
        <f>IF(R1437&lt;&gt;"Não","",IF(Q1437+Config!$B$9&lt;=Config!$B$8,Config!$B$8-Q1437,""))</f>
        <v/>
      </c>
      <c r="T1437" s="26">
        <f>IF(S1437="","","Sim")</f>
        <v/>
      </c>
      <c r="U1437" s="41">
        <f>IF(T1437="Sim",S1437+ROW()/100000,0)</f>
        <v>0</v>
      </c>
      <c r="V1437" s="41">
        <f>IF(AND(H1437="Falta",L1437=Config!$B$7,M1437=Config!$B$5,COUNTIFS($E$5:E1437,E1437,$H$5:H1437,"Falta",$L$5:L1437,Config!$B$7,$M$5:M1437,Config!$B$5)=1),COUNTIFS($E$5:$E$3004,E1437,$H$5:$H$3004,"Falta",$L$5:$L$3004,Config!$B$7,$M$5:$M$3004,Config!$B$5)*1000-ROW()/100000,0)</f>
        <v>0</v>
      </c>
    </row>
    <row r="1438">
      <c r="A1438" s="39" t="n"/>
      <c r="B1438" s="40" t="n"/>
      <c r="C1438" s="35" t="n"/>
      <c r="D1438" s="35" t="n"/>
      <c r="E1438" s="34" t="n"/>
      <c r="F1438" s="35" t="n"/>
      <c r="G1438" s="35" t="n"/>
      <c r="H1438" s="35" t="n"/>
      <c r="I1438" s="35" t="n"/>
      <c r="J1438" s="35" t="n"/>
      <c r="K1438" s="34" t="n"/>
      <c r="L1438" s="26">
        <f>IF(A1438="","",MONTH(A1438))</f>
        <v/>
      </c>
      <c r="M1438" s="26">
        <f>IF(A1438="","",YEAR(A1438))</f>
        <v/>
      </c>
      <c r="N1438" s="26">
        <f>IF(A1438="","",CHOOSE(WEEKDAY(A1438,2),"Segunda","Terça","Quarta","Quinta","Sexta","Sábado","Domingo"))</f>
        <v/>
      </c>
      <c r="O1438" s="26">
        <f>IF(B1438="","",IF(B1438&lt;TIME(12,0,0),"Manhã",IF(B1438&lt;TIME(18,0,0),"Tarde","Noite")))</f>
        <v/>
      </c>
      <c r="P1438" s="32">
        <f>IF(G1438="","",IFERROR(INDEX(Config!$I$5:$I$16,MATCH(G1438,Config!$H$5:$H$16,0)),0))</f>
        <v/>
      </c>
      <c r="Q1438" s="30">
        <f>IF(OR(H1438&lt;&gt;"Realizado",P1438="",P1438=0),"",A1438+P1438)</f>
        <v/>
      </c>
      <c r="R1438" s="26">
        <f>IF(Q1438="","",IF(COUNTIFS($E$5:$E$3004,E1438,$A$5:$A$3004,"&gt;"&amp;A1438,$H$5:$H$3004,"&lt;&gt;Falta",$H$5:$H$3004,"&lt;&gt;Cancelado",$H$5:$H$3004,"&lt;&gt;Remarcado")&gt;0,"Sim","Não"))</f>
        <v/>
      </c>
      <c r="S1438" s="32">
        <f>IF(R1438&lt;&gt;"Não","",IF(Q1438+Config!$B$9&lt;=Config!$B$8,Config!$B$8-Q1438,""))</f>
        <v/>
      </c>
      <c r="T1438" s="26">
        <f>IF(S1438="","","Sim")</f>
        <v/>
      </c>
      <c r="U1438" s="41">
        <f>IF(T1438="Sim",S1438+ROW()/100000,0)</f>
        <v>0</v>
      </c>
      <c r="V1438" s="41">
        <f>IF(AND(H1438="Falta",L1438=Config!$B$7,M1438=Config!$B$5,COUNTIFS($E$5:E1438,E1438,$H$5:H1438,"Falta",$L$5:L1438,Config!$B$7,$M$5:M1438,Config!$B$5)=1),COUNTIFS($E$5:$E$3004,E1438,$H$5:$H$3004,"Falta",$L$5:$L$3004,Config!$B$7,$M$5:$M$3004,Config!$B$5)*1000-ROW()/100000,0)</f>
        <v>0</v>
      </c>
    </row>
    <row r="1439">
      <c r="A1439" s="39" t="n"/>
      <c r="B1439" s="40" t="n"/>
      <c r="C1439" s="35" t="n"/>
      <c r="D1439" s="35" t="n"/>
      <c r="E1439" s="34" t="n"/>
      <c r="F1439" s="35" t="n"/>
      <c r="G1439" s="35" t="n"/>
      <c r="H1439" s="35" t="n"/>
      <c r="I1439" s="35" t="n"/>
      <c r="J1439" s="35" t="n"/>
      <c r="K1439" s="34" t="n"/>
      <c r="L1439" s="26">
        <f>IF(A1439="","",MONTH(A1439))</f>
        <v/>
      </c>
      <c r="M1439" s="26">
        <f>IF(A1439="","",YEAR(A1439))</f>
        <v/>
      </c>
      <c r="N1439" s="26">
        <f>IF(A1439="","",CHOOSE(WEEKDAY(A1439,2),"Segunda","Terça","Quarta","Quinta","Sexta","Sábado","Domingo"))</f>
        <v/>
      </c>
      <c r="O1439" s="26">
        <f>IF(B1439="","",IF(B1439&lt;TIME(12,0,0),"Manhã",IF(B1439&lt;TIME(18,0,0),"Tarde","Noite")))</f>
        <v/>
      </c>
      <c r="P1439" s="32">
        <f>IF(G1439="","",IFERROR(INDEX(Config!$I$5:$I$16,MATCH(G1439,Config!$H$5:$H$16,0)),0))</f>
        <v/>
      </c>
      <c r="Q1439" s="30">
        <f>IF(OR(H1439&lt;&gt;"Realizado",P1439="",P1439=0),"",A1439+P1439)</f>
        <v/>
      </c>
      <c r="R1439" s="26">
        <f>IF(Q1439="","",IF(COUNTIFS($E$5:$E$3004,E1439,$A$5:$A$3004,"&gt;"&amp;A1439,$H$5:$H$3004,"&lt;&gt;Falta",$H$5:$H$3004,"&lt;&gt;Cancelado",$H$5:$H$3004,"&lt;&gt;Remarcado")&gt;0,"Sim","Não"))</f>
        <v/>
      </c>
      <c r="S1439" s="32">
        <f>IF(R1439&lt;&gt;"Não","",IF(Q1439+Config!$B$9&lt;=Config!$B$8,Config!$B$8-Q1439,""))</f>
        <v/>
      </c>
      <c r="T1439" s="26">
        <f>IF(S1439="","","Sim")</f>
        <v/>
      </c>
      <c r="U1439" s="41">
        <f>IF(T1439="Sim",S1439+ROW()/100000,0)</f>
        <v>0</v>
      </c>
      <c r="V1439" s="41">
        <f>IF(AND(H1439="Falta",L1439=Config!$B$7,M1439=Config!$B$5,COUNTIFS($E$5:E1439,E1439,$H$5:H1439,"Falta",$L$5:L1439,Config!$B$7,$M$5:M1439,Config!$B$5)=1),COUNTIFS($E$5:$E$3004,E1439,$H$5:$H$3004,"Falta",$L$5:$L$3004,Config!$B$7,$M$5:$M$3004,Config!$B$5)*1000-ROW()/100000,0)</f>
        <v>0</v>
      </c>
    </row>
    <row r="1440">
      <c r="A1440" s="39" t="n"/>
      <c r="B1440" s="40" t="n"/>
      <c r="C1440" s="35" t="n"/>
      <c r="D1440" s="35" t="n"/>
      <c r="E1440" s="34" t="n"/>
      <c r="F1440" s="35" t="n"/>
      <c r="G1440" s="35" t="n"/>
      <c r="H1440" s="35" t="n"/>
      <c r="I1440" s="35" t="n"/>
      <c r="J1440" s="35" t="n"/>
      <c r="K1440" s="34" t="n"/>
      <c r="L1440" s="26">
        <f>IF(A1440="","",MONTH(A1440))</f>
        <v/>
      </c>
      <c r="M1440" s="26">
        <f>IF(A1440="","",YEAR(A1440))</f>
        <v/>
      </c>
      <c r="N1440" s="26">
        <f>IF(A1440="","",CHOOSE(WEEKDAY(A1440,2),"Segunda","Terça","Quarta","Quinta","Sexta","Sábado","Domingo"))</f>
        <v/>
      </c>
      <c r="O1440" s="26">
        <f>IF(B1440="","",IF(B1440&lt;TIME(12,0,0),"Manhã",IF(B1440&lt;TIME(18,0,0),"Tarde","Noite")))</f>
        <v/>
      </c>
      <c r="P1440" s="32">
        <f>IF(G1440="","",IFERROR(INDEX(Config!$I$5:$I$16,MATCH(G1440,Config!$H$5:$H$16,0)),0))</f>
        <v/>
      </c>
      <c r="Q1440" s="30">
        <f>IF(OR(H1440&lt;&gt;"Realizado",P1440="",P1440=0),"",A1440+P1440)</f>
        <v/>
      </c>
      <c r="R1440" s="26">
        <f>IF(Q1440="","",IF(COUNTIFS($E$5:$E$3004,E1440,$A$5:$A$3004,"&gt;"&amp;A1440,$H$5:$H$3004,"&lt;&gt;Falta",$H$5:$H$3004,"&lt;&gt;Cancelado",$H$5:$H$3004,"&lt;&gt;Remarcado")&gt;0,"Sim","Não"))</f>
        <v/>
      </c>
      <c r="S1440" s="32">
        <f>IF(R1440&lt;&gt;"Não","",IF(Q1440+Config!$B$9&lt;=Config!$B$8,Config!$B$8-Q1440,""))</f>
        <v/>
      </c>
      <c r="T1440" s="26">
        <f>IF(S1440="","","Sim")</f>
        <v/>
      </c>
      <c r="U1440" s="41">
        <f>IF(T1440="Sim",S1440+ROW()/100000,0)</f>
        <v>0</v>
      </c>
      <c r="V1440" s="41">
        <f>IF(AND(H1440="Falta",L1440=Config!$B$7,M1440=Config!$B$5,COUNTIFS($E$5:E1440,E1440,$H$5:H1440,"Falta",$L$5:L1440,Config!$B$7,$M$5:M1440,Config!$B$5)=1),COUNTIFS($E$5:$E$3004,E1440,$H$5:$H$3004,"Falta",$L$5:$L$3004,Config!$B$7,$M$5:$M$3004,Config!$B$5)*1000-ROW()/100000,0)</f>
        <v>0</v>
      </c>
    </row>
    <row r="1441">
      <c r="A1441" s="39" t="n"/>
      <c r="B1441" s="40" t="n"/>
      <c r="C1441" s="35" t="n"/>
      <c r="D1441" s="35" t="n"/>
      <c r="E1441" s="34" t="n"/>
      <c r="F1441" s="35" t="n"/>
      <c r="G1441" s="35" t="n"/>
      <c r="H1441" s="35" t="n"/>
      <c r="I1441" s="35" t="n"/>
      <c r="J1441" s="35" t="n"/>
      <c r="K1441" s="34" t="n"/>
      <c r="L1441" s="26">
        <f>IF(A1441="","",MONTH(A1441))</f>
        <v/>
      </c>
      <c r="M1441" s="26">
        <f>IF(A1441="","",YEAR(A1441))</f>
        <v/>
      </c>
      <c r="N1441" s="26">
        <f>IF(A1441="","",CHOOSE(WEEKDAY(A1441,2),"Segunda","Terça","Quarta","Quinta","Sexta","Sábado","Domingo"))</f>
        <v/>
      </c>
      <c r="O1441" s="26">
        <f>IF(B1441="","",IF(B1441&lt;TIME(12,0,0),"Manhã",IF(B1441&lt;TIME(18,0,0),"Tarde","Noite")))</f>
        <v/>
      </c>
      <c r="P1441" s="32">
        <f>IF(G1441="","",IFERROR(INDEX(Config!$I$5:$I$16,MATCH(G1441,Config!$H$5:$H$16,0)),0))</f>
        <v/>
      </c>
      <c r="Q1441" s="30">
        <f>IF(OR(H1441&lt;&gt;"Realizado",P1441="",P1441=0),"",A1441+P1441)</f>
        <v/>
      </c>
      <c r="R1441" s="26">
        <f>IF(Q1441="","",IF(COUNTIFS($E$5:$E$3004,E1441,$A$5:$A$3004,"&gt;"&amp;A1441,$H$5:$H$3004,"&lt;&gt;Falta",$H$5:$H$3004,"&lt;&gt;Cancelado",$H$5:$H$3004,"&lt;&gt;Remarcado")&gt;0,"Sim","Não"))</f>
        <v/>
      </c>
      <c r="S1441" s="32">
        <f>IF(R1441&lt;&gt;"Não","",IF(Q1441+Config!$B$9&lt;=Config!$B$8,Config!$B$8-Q1441,""))</f>
        <v/>
      </c>
      <c r="T1441" s="26">
        <f>IF(S1441="","","Sim")</f>
        <v/>
      </c>
      <c r="U1441" s="41">
        <f>IF(T1441="Sim",S1441+ROW()/100000,0)</f>
        <v>0</v>
      </c>
      <c r="V1441" s="41">
        <f>IF(AND(H1441="Falta",L1441=Config!$B$7,M1441=Config!$B$5,COUNTIFS($E$5:E1441,E1441,$H$5:H1441,"Falta",$L$5:L1441,Config!$B$7,$M$5:M1441,Config!$B$5)=1),COUNTIFS($E$5:$E$3004,E1441,$H$5:$H$3004,"Falta",$L$5:$L$3004,Config!$B$7,$M$5:$M$3004,Config!$B$5)*1000-ROW()/100000,0)</f>
        <v>0</v>
      </c>
    </row>
    <row r="1442">
      <c r="A1442" s="39" t="n"/>
      <c r="B1442" s="40" t="n"/>
      <c r="C1442" s="35" t="n"/>
      <c r="D1442" s="35" t="n"/>
      <c r="E1442" s="34" t="n"/>
      <c r="F1442" s="35" t="n"/>
      <c r="G1442" s="35" t="n"/>
      <c r="H1442" s="35" t="n"/>
      <c r="I1442" s="35" t="n"/>
      <c r="J1442" s="35" t="n"/>
      <c r="K1442" s="34" t="n"/>
      <c r="L1442" s="26">
        <f>IF(A1442="","",MONTH(A1442))</f>
        <v/>
      </c>
      <c r="M1442" s="26">
        <f>IF(A1442="","",YEAR(A1442))</f>
        <v/>
      </c>
      <c r="N1442" s="26">
        <f>IF(A1442="","",CHOOSE(WEEKDAY(A1442,2),"Segunda","Terça","Quarta","Quinta","Sexta","Sábado","Domingo"))</f>
        <v/>
      </c>
      <c r="O1442" s="26">
        <f>IF(B1442="","",IF(B1442&lt;TIME(12,0,0),"Manhã",IF(B1442&lt;TIME(18,0,0),"Tarde","Noite")))</f>
        <v/>
      </c>
      <c r="P1442" s="32">
        <f>IF(G1442="","",IFERROR(INDEX(Config!$I$5:$I$16,MATCH(G1442,Config!$H$5:$H$16,0)),0))</f>
        <v/>
      </c>
      <c r="Q1442" s="30">
        <f>IF(OR(H1442&lt;&gt;"Realizado",P1442="",P1442=0),"",A1442+P1442)</f>
        <v/>
      </c>
      <c r="R1442" s="26">
        <f>IF(Q1442="","",IF(COUNTIFS($E$5:$E$3004,E1442,$A$5:$A$3004,"&gt;"&amp;A1442,$H$5:$H$3004,"&lt;&gt;Falta",$H$5:$H$3004,"&lt;&gt;Cancelado",$H$5:$H$3004,"&lt;&gt;Remarcado")&gt;0,"Sim","Não"))</f>
        <v/>
      </c>
      <c r="S1442" s="32">
        <f>IF(R1442&lt;&gt;"Não","",IF(Q1442+Config!$B$9&lt;=Config!$B$8,Config!$B$8-Q1442,""))</f>
        <v/>
      </c>
      <c r="T1442" s="26">
        <f>IF(S1442="","","Sim")</f>
        <v/>
      </c>
      <c r="U1442" s="41">
        <f>IF(T1442="Sim",S1442+ROW()/100000,0)</f>
        <v>0</v>
      </c>
      <c r="V1442" s="41">
        <f>IF(AND(H1442="Falta",L1442=Config!$B$7,M1442=Config!$B$5,COUNTIFS($E$5:E1442,E1442,$H$5:H1442,"Falta",$L$5:L1442,Config!$B$7,$M$5:M1442,Config!$B$5)=1),COUNTIFS($E$5:$E$3004,E1442,$H$5:$H$3004,"Falta",$L$5:$L$3004,Config!$B$7,$M$5:$M$3004,Config!$B$5)*1000-ROW()/100000,0)</f>
        <v>0</v>
      </c>
    </row>
    <row r="1443">
      <c r="A1443" s="39" t="n"/>
      <c r="B1443" s="40" t="n"/>
      <c r="C1443" s="35" t="n"/>
      <c r="D1443" s="35" t="n"/>
      <c r="E1443" s="34" t="n"/>
      <c r="F1443" s="35" t="n"/>
      <c r="G1443" s="35" t="n"/>
      <c r="H1443" s="35" t="n"/>
      <c r="I1443" s="35" t="n"/>
      <c r="J1443" s="35" t="n"/>
      <c r="K1443" s="34" t="n"/>
      <c r="L1443" s="26">
        <f>IF(A1443="","",MONTH(A1443))</f>
        <v/>
      </c>
      <c r="M1443" s="26">
        <f>IF(A1443="","",YEAR(A1443))</f>
        <v/>
      </c>
      <c r="N1443" s="26">
        <f>IF(A1443="","",CHOOSE(WEEKDAY(A1443,2),"Segunda","Terça","Quarta","Quinta","Sexta","Sábado","Domingo"))</f>
        <v/>
      </c>
      <c r="O1443" s="26">
        <f>IF(B1443="","",IF(B1443&lt;TIME(12,0,0),"Manhã",IF(B1443&lt;TIME(18,0,0),"Tarde","Noite")))</f>
        <v/>
      </c>
      <c r="P1443" s="32">
        <f>IF(G1443="","",IFERROR(INDEX(Config!$I$5:$I$16,MATCH(G1443,Config!$H$5:$H$16,0)),0))</f>
        <v/>
      </c>
      <c r="Q1443" s="30">
        <f>IF(OR(H1443&lt;&gt;"Realizado",P1443="",P1443=0),"",A1443+P1443)</f>
        <v/>
      </c>
      <c r="R1443" s="26">
        <f>IF(Q1443="","",IF(COUNTIFS($E$5:$E$3004,E1443,$A$5:$A$3004,"&gt;"&amp;A1443,$H$5:$H$3004,"&lt;&gt;Falta",$H$5:$H$3004,"&lt;&gt;Cancelado",$H$5:$H$3004,"&lt;&gt;Remarcado")&gt;0,"Sim","Não"))</f>
        <v/>
      </c>
      <c r="S1443" s="32">
        <f>IF(R1443&lt;&gt;"Não","",IF(Q1443+Config!$B$9&lt;=Config!$B$8,Config!$B$8-Q1443,""))</f>
        <v/>
      </c>
      <c r="T1443" s="26">
        <f>IF(S1443="","","Sim")</f>
        <v/>
      </c>
      <c r="U1443" s="41">
        <f>IF(T1443="Sim",S1443+ROW()/100000,0)</f>
        <v>0</v>
      </c>
      <c r="V1443" s="41">
        <f>IF(AND(H1443="Falta",L1443=Config!$B$7,M1443=Config!$B$5,COUNTIFS($E$5:E1443,E1443,$H$5:H1443,"Falta",$L$5:L1443,Config!$B$7,$M$5:M1443,Config!$B$5)=1),COUNTIFS($E$5:$E$3004,E1443,$H$5:$H$3004,"Falta",$L$5:$L$3004,Config!$B$7,$M$5:$M$3004,Config!$B$5)*1000-ROW()/100000,0)</f>
        <v>0</v>
      </c>
    </row>
    <row r="1444">
      <c r="A1444" s="39" t="n"/>
      <c r="B1444" s="40" t="n"/>
      <c r="C1444" s="35" t="n"/>
      <c r="D1444" s="35" t="n"/>
      <c r="E1444" s="34" t="n"/>
      <c r="F1444" s="35" t="n"/>
      <c r="G1444" s="35" t="n"/>
      <c r="H1444" s="35" t="n"/>
      <c r="I1444" s="35" t="n"/>
      <c r="J1444" s="35" t="n"/>
      <c r="K1444" s="34" t="n"/>
      <c r="L1444" s="26">
        <f>IF(A1444="","",MONTH(A1444))</f>
        <v/>
      </c>
      <c r="M1444" s="26">
        <f>IF(A1444="","",YEAR(A1444))</f>
        <v/>
      </c>
      <c r="N1444" s="26">
        <f>IF(A1444="","",CHOOSE(WEEKDAY(A1444,2),"Segunda","Terça","Quarta","Quinta","Sexta","Sábado","Domingo"))</f>
        <v/>
      </c>
      <c r="O1444" s="26">
        <f>IF(B1444="","",IF(B1444&lt;TIME(12,0,0),"Manhã",IF(B1444&lt;TIME(18,0,0),"Tarde","Noite")))</f>
        <v/>
      </c>
      <c r="P1444" s="32">
        <f>IF(G1444="","",IFERROR(INDEX(Config!$I$5:$I$16,MATCH(G1444,Config!$H$5:$H$16,0)),0))</f>
        <v/>
      </c>
      <c r="Q1444" s="30">
        <f>IF(OR(H1444&lt;&gt;"Realizado",P1444="",P1444=0),"",A1444+P1444)</f>
        <v/>
      </c>
      <c r="R1444" s="26">
        <f>IF(Q1444="","",IF(COUNTIFS($E$5:$E$3004,E1444,$A$5:$A$3004,"&gt;"&amp;A1444,$H$5:$H$3004,"&lt;&gt;Falta",$H$5:$H$3004,"&lt;&gt;Cancelado",$H$5:$H$3004,"&lt;&gt;Remarcado")&gt;0,"Sim","Não"))</f>
        <v/>
      </c>
      <c r="S1444" s="32">
        <f>IF(R1444&lt;&gt;"Não","",IF(Q1444+Config!$B$9&lt;=Config!$B$8,Config!$B$8-Q1444,""))</f>
        <v/>
      </c>
      <c r="T1444" s="26">
        <f>IF(S1444="","","Sim")</f>
        <v/>
      </c>
      <c r="U1444" s="41">
        <f>IF(T1444="Sim",S1444+ROW()/100000,0)</f>
        <v>0</v>
      </c>
      <c r="V1444" s="41">
        <f>IF(AND(H1444="Falta",L1444=Config!$B$7,M1444=Config!$B$5,COUNTIFS($E$5:E1444,E1444,$H$5:H1444,"Falta",$L$5:L1444,Config!$B$7,$M$5:M1444,Config!$B$5)=1),COUNTIFS($E$5:$E$3004,E1444,$H$5:$H$3004,"Falta",$L$5:$L$3004,Config!$B$7,$M$5:$M$3004,Config!$B$5)*1000-ROW()/100000,0)</f>
        <v>0</v>
      </c>
    </row>
    <row r="1445">
      <c r="A1445" s="39" t="n"/>
      <c r="B1445" s="40" t="n"/>
      <c r="C1445" s="35" t="n"/>
      <c r="D1445" s="35" t="n"/>
      <c r="E1445" s="34" t="n"/>
      <c r="F1445" s="35" t="n"/>
      <c r="G1445" s="35" t="n"/>
      <c r="H1445" s="35" t="n"/>
      <c r="I1445" s="35" t="n"/>
      <c r="J1445" s="35" t="n"/>
      <c r="K1445" s="34" t="n"/>
      <c r="L1445" s="26">
        <f>IF(A1445="","",MONTH(A1445))</f>
        <v/>
      </c>
      <c r="M1445" s="26">
        <f>IF(A1445="","",YEAR(A1445))</f>
        <v/>
      </c>
      <c r="N1445" s="26">
        <f>IF(A1445="","",CHOOSE(WEEKDAY(A1445,2),"Segunda","Terça","Quarta","Quinta","Sexta","Sábado","Domingo"))</f>
        <v/>
      </c>
      <c r="O1445" s="26">
        <f>IF(B1445="","",IF(B1445&lt;TIME(12,0,0),"Manhã",IF(B1445&lt;TIME(18,0,0),"Tarde","Noite")))</f>
        <v/>
      </c>
      <c r="P1445" s="32">
        <f>IF(G1445="","",IFERROR(INDEX(Config!$I$5:$I$16,MATCH(G1445,Config!$H$5:$H$16,0)),0))</f>
        <v/>
      </c>
      <c r="Q1445" s="30">
        <f>IF(OR(H1445&lt;&gt;"Realizado",P1445="",P1445=0),"",A1445+P1445)</f>
        <v/>
      </c>
      <c r="R1445" s="26">
        <f>IF(Q1445="","",IF(COUNTIFS($E$5:$E$3004,E1445,$A$5:$A$3004,"&gt;"&amp;A1445,$H$5:$H$3004,"&lt;&gt;Falta",$H$5:$H$3004,"&lt;&gt;Cancelado",$H$5:$H$3004,"&lt;&gt;Remarcado")&gt;0,"Sim","Não"))</f>
        <v/>
      </c>
      <c r="S1445" s="32">
        <f>IF(R1445&lt;&gt;"Não","",IF(Q1445+Config!$B$9&lt;=Config!$B$8,Config!$B$8-Q1445,""))</f>
        <v/>
      </c>
      <c r="T1445" s="26">
        <f>IF(S1445="","","Sim")</f>
        <v/>
      </c>
      <c r="U1445" s="41">
        <f>IF(T1445="Sim",S1445+ROW()/100000,0)</f>
        <v>0</v>
      </c>
      <c r="V1445" s="41">
        <f>IF(AND(H1445="Falta",L1445=Config!$B$7,M1445=Config!$B$5,COUNTIFS($E$5:E1445,E1445,$H$5:H1445,"Falta",$L$5:L1445,Config!$B$7,$M$5:M1445,Config!$B$5)=1),COUNTIFS($E$5:$E$3004,E1445,$H$5:$H$3004,"Falta",$L$5:$L$3004,Config!$B$7,$M$5:$M$3004,Config!$B$5)*1000-ROW()/100000,0)</f>
        <v>0</v>
      </c>
    </row>
    <row r="1446">
      <c r="A1446" s="39" t="n"/>
      <c r="B1446" s="40" t="n"/>
      <c r="C1446" s="35" t="n"/>
      <c r="D1446" s="35" t="n"/>
      <c r="E1446" s="34" t="n"/>
      <c r="F1446" s="35" t="n"/>
      <c r="G1446" s="35" t="n"/>
      <c r="H1446" s="35" t="n"/>
      <c r="I1446" s="35" t="n"/>
      <c r="J1446" s="35" t="n"/>
      <c r="K1446" s="34" t="n"/>
      <c r="L1446" s="26">
        <f>IF(A1446="","",MONTH(A1446))</f>
        <v/>
      </c>
      <c r="M1446" s="26">
        <f>IF(A1446="","",YEAR(A1446))</f>
        <v/>
      </c>
      <c r="N1446" s="26">
        <f>IF(A1446="","",CHOOSE(WEEKDAY(A1446,2),"Segunda","Terça","Quarta","Quinta","Sexta","Sábado","Domingo"))</f>
        <v/>
      </c>
      <c r="O1446" s="26">
        <f>IF(B1446="","",IF(B1446&lt;TIME(12,0,0),"Manhã",IF(B1446&lt;TIME(18,0,0),"Tarde","Noite")))</f>
        <v/>
      </c>
      <c r="P1446" s="32">
        <f>IF(G1446="","",IFERROR(INDEX(Config!$I$5:$I$16,MATCH(G1446,Config!$H$5:$H$16,0)),0))</f>
        <v/>
      </c>
      <c r="Q1446" s="30">
        <f>IF(OR(H1446&lt;&gt;"Realizado",P1446="",P1446=0),"",A1446+P1446)</f>
        <v/>
      </c>
      <c r="R1446" s="26">
        <f>IF(Q1446="","",IF(COUNTIFS($E$5:$E$3004,E1446,$A$5:$A$3004,"&gt;"&amp;A1446,$H$5:$H$3004,"&lt;&gt;Falta",$H$5:$H$3004,"&lt;&gt;Cancelado",$H$5:$H$3004,"&lt;&gt;Remarcado")&gt;0,"Sim","Não"))</f>
        <v/>
      </c>
      <c r="S1446" s="32">
        <f>IF(R1446&lt;&gt;"Não","",IF(Q1446+Config!$B$9&lt;=Config!$B$8,Config!$B$8-Q1446,""))</f>
        <v/>
      </c>
      <c r="T1446" s="26">
        <f>IF(S1446="","","Sim")</f>
        <v/>
      </c>
      <c r="U1446" s="41">
        <f>IF(T1446="Sim",S1446+ROW()/100000,0)</f>
        <v>0</v>
      </c>
      <c r="V1446" s="41">
        <f>IF(AND(H1446="Falta",L1446=Config!$B$7,M1446=Config!$B$5,COUNTIFS($E$5:E1446,E1446,$H$5:H1446,"Falta",$L$5:L1446,Config!$B$7,$M$5:M1446,Config!$B$5)=1),COUNTIFS($E$5:$E$3004,E1446,$H$5:$H$3004,"Falta",$L$5:$L$3004,Config!$B$7,$M$5:$M$3004,Config!$B$5)*1000-ROW()/100000,0)</f>
        <v>0</v>
      </c>
    </row>
    <row r="1447">
      <c r="A1447" s="39" t="n"/>
      <c r="B1447" s="40" t="n"/>
      <c r="C1447" s="35" t="n"/>
      <c r="D1447" s="35" t="n"/>
      <c r="E1447" s="34" t="n"/>
      <c r="F1447" s="35" t="n"/>
      <c r="G1447" s="35" t="n"/>
      <c r="H1447" s="35" t="n"/>
      <c r="I1447" s="35" t="n"/>
      <c r="J1447" s="35" t="n"/>
      <c r="K1447" s="34" t="n"/>
      <c r="L1447" s="26">
        <f>IF(A1447="","",MONTH(A1447))</f>
        <v/>
      </c>
      <c r="M1447" s="26">
        <f>IF(A1447="","",YEAR(A1447))</f>
        <v/>
      </c>
      <c r="N1447" s="26">
        <f>IF(A1447="","",CHOOSE(WEEKDAY(A1447,2),"Segunda","Terça","Quarta","Quinta","Sexta","Sábado","Domingo"))</f>
        <v/>
      </c>
      <c r="O1447" s="26">
        <f>IF(B1447="","",IF(B1447&lt;TIME(12,0,0),"Manhã",IF(B1447&lt;TIME(18,0,0),"Tarde","Noite")))</f>
        <v/>
      </c>
      <c r="P1447" s="32">
        <f>IF(G1447="","",IFERROR(INDEX(Config!$I$5:$I$16,MATCH(G1447,Config!$H$5:$H$16,0)),0))</f>
        <v/>
      </c>
      <c r="Q1447" s="30">
        <f>IF(OR(H1447&lt;&gt;"Realizado",P1447="",P1447=0),"",A1447+P1447)</f>
        <v/>
      </c>
      <c r="R1447" s="26">
        <f>IF(Q1447="","",IF(COUNTIFS($E$5:$E$3004,E1447,$A$5:$A$3004,"&gt;"&amp;A1447,$H$5:$H$3004,"&lt;&gt;Falta",$H$5:$H$3004,"&lt;&gt;Cancelado",$H$5:$H$3004,"&lt;&gt;Remarcado")&gt;0,"Sim","Não"))</f>
        <v/>
      </c>
      <c r="S1447" s="32">
        <f>IF(R1447&lt;&gt;"Não","",IF(Q1447+Config!$B$9&lt;=Config!$B$8,Config!$B$8-Q1447,""))</f>
        <v/>
      </c>
      <c r="T1447" s="26">
        <f>IF(S1447="","","Sim")</f>
        <v/>
      </c>
      <c r="U1447" s="41">
        <f>IF(T1447="Sim",S1447+ROW()/100000,0)</f>
        <v>0</v>
      </c>
      <c r="V1447" s="41">
        <f>IF(AND(H1447="Falta",L1447=Config!$B$7,M1447=Config!$B$5,COUNTIFS($E$5:E1447,E1447,$H$5:H1447,"Falta",$L$5:L1447,Config!$B$7,$M$5:M1447,Config!$B$5)=1),COUNTIFS($E$5:$E$3004,E1447,$H$5:$H$3004,"Falta",$L$5:$L$3004,Config!$B$7,$M$5:$M$3004,Config!$B$5)*1000-ROW()/100000,0)</f>
        <v>0</v>
      </c>
    </row>
    <row r="1448">
      <c r="A1448" s="39" t="n"/>
      <c r="B1448" s="40" t="n"/>
      <c r="C1448" s="35" t="n"/>
      <c r="D1448" s="35" t="n"/>
      <c r="E1448" s="34" t="n"/>
      <c r="F1448" s="35" t="n"/>
      <c r="G1448" s="35" t="n"/>
      <c r="H1448" s="35" t="n"/>
      <c r="I1448" s="35" t="n"/>
      <c r="J1448" s="35" t="n"/>
      <c r="K1448" s="34" t="n"/>
      <c r="L1448" s="26">
        <f>IF(A1448="","",MONTH(A1448))</f>
        <v/>
      </c>
      <c r="M1448" s="26">
        <f>IF(A1448="","",YEAR(A1448))</f>
        <v/>
      </c>
      <c r="N1448" s="26">
        <f>IF(A1448="","",CHOOSE(WEEKDAY(A1448,2),"Segunda","Terça","Quarta","Quinta","Sexta","Sábado","Domingo"))</f>
        <v/>
      </c>
      <c r="O1448" s="26">
        <f>IF(B1448="","",IF(B1448&lt;TIME(12,0,0),"Manhã",IF(B1448&lt;TIME(18,0,0),"Tarde","Noite")))</f>
        <v/>
      </c>
      <c r="P1448" s="32">
        <f>IF(G1448="","",IFERROR(INDEX(Config!$I$5:$I$16,MATCH(G1448,Config!$H$5:$H$16,0)),0))</f>
        <v/>
      </c>
      <c r="Q1448" s="30">
        <f>IF(OR(H1448&lt;&gt;"Realizado",P1448="",P1448=0),"",A1448+P1448)</f>
        <v/>
      </c>
      <c r="R1448" s="26">
        <f>IF(Q1448="","",IF(COUNTIFS($E$5:$E$3004,E1448,$A$5:$A$3004,"&gt;"&amp;A1448,$H$5:$H$3004,"&lt;&gt;Falta",$H$5:$H$3004,"&lt;&gt;Cancelado",$H$5:$H$3004,"&lt;&gt;Remarcado")&gt;0,"Sim","Não"))</f>
        <v/>
      </c>
      <c r="S1448" s="32">
        <f>IF(R1448&lt;&gt;"Não","",IF(Q1448+Config!$B$9&lt;=Config!$B$8,Config!$B$8-Q1448,""))</f>
        <v/>
      </c>
      <c r="T1448" s="26">
        <f>IF(S1448="","","Sim")</f>
        <v/>
      </c>
      <c r="U1448" s="41">
        <f>IF(T1448="Sim",S1448+ROW()/100000,0)</f>
        <v>0</v>
      </c>
      <c r="V1448" s="41">
        <f>IF(AND(H1448="Falta",L1448=Config!$B$7,M1448=Config!$B$5,COUNTIFS($E$5:E1448,E1448,$H$5:H1448,"Falta",$L$5:L1448,Config!$B$7,$M$5:M1448,Config!$B$5)=1),COUNTIFS($E$5:$E$3004,E1448,$H$5:$H$3004,"Falta",$L$5:$L$3004,Config!$B$7,$M$5:$M$3004,Config!$B$5)*1000-ROW()/100000,0)</f>
        <v>0</v>
      </c>
    </row>
    <row r="1449">
      <c r="A1449" s="39" t="n"/>
      <c r="B1449" s="40" t="n"/>
      <c r="C1449" s="35" t="n"/>
      <c r="D1449" s="35" t="n"/>
      <c r="E1449" s="34" t="n"/>
      <c r="F1449" s="35" t="n"/>
      <c r="G1449" s="35" t="n"/>
      <c r="H1449" s="35" t="n"/>
      <c r="I1449" s="35" t="n"/>
      <c r="J1449" s="35" t="n"/>
      <c r="K1449" s="34" t="n"/>
      <c r="L1449" s="26">
        <f>IF(A1449="","",MONTH(A1449))</f>
        <v/>
      </c>
      <c r="M1449" s="26">
        <f>IF(A1449="","",YEAR(A1449))</f>
        <v/>
      </c>
      <c r="N1449" s="26">
        <f>IF(A1449="","",CHOOSE(WEEKDAY(A1449,2),"Segunda","Terça","Quarta","Quinta","Sexta","Sábado","Domingo"))</f>
        <v/>
      </c>
      <c r="O1449" s="26">
        <f>IF(B1449="","",IF(B1449&lt;TIME(12,0,0),"Manhã",IF(B1449&lt;TIME(18,0,0),"Tarde","Noite")))</f>
        <v/>
      </c>
      <c r="P1449" s="32">
        <f>IF(G1449="","",IFERROR(INDEX(Config!$I$5:$I$16,MATCH(G1449,Config!$H$5:$H$16,0)),0))</f>
        <v/>
      </c>
      <c r="Q1449" s="30">
        <f>IF(OR(H1449&lt;&gt;"Realizado",P1449="",P1449=0),"",A1449+P1449)</f>
        <v/>
      </c>
      <c r="R1449" s="26">
        <f>IF(Q1449="","",IF(COUNTIFS($E$5:$E$3004,E1449,$A$5:$A$3004,"&gt;"&amp;A1449,$H$5:$H$3004,"&lt;&gt;Falta",$H$5:$H$3004,"&lt;&gt;Cancelado",$H$5:$H$3004,"&lt;&gt;Remarcado")&gt;0,"Sim","Não"))</f>
        <v/>
      </c>
      <c r="S1449" s="32">
        <f>IF(R1449&lt;&gt;"Não","",IF(Q1449+Config!$B$9&lt;=Config!$B$8,Config!$B$8-Q1449,""))</f>
        <v/>
      </c>
      <c r="T1449" s="26">
        <f>IF(S1449="","","Sim")</f>
        <v/>
      </c>
      <c r="U1449" s="41">
        <f>IF(T1449="Sim",S1449+ROW()/100000,0)</f>
        <v>0</v>
      </c>
      <c r="V1449" s="41">
        <f>IF(AND(H1449="Falta",L1449=Config!$B$7,M1449=Config!$B$5,COUNTIFS($E$5:E1449,E1449,$H$5:H1449,"Falta",$L$5:L1449,Config!$B$7,$M$5:M1449,Config!$B$5)=1),COUNTIFS($E$5:$E$3004,E1449,$H$5:$H$3004,"Falta",$L$5:$L$3004,Config!$B$7,$M$5:$M$3004,Config!$B$5)*1000-ROW()/100000,0)</f>
        <v>0</v>
      </c>
    </row>
    <row r="1450">
      <c r="A1450" s="39" t="n"/>
      <c r="B1450" s="40" t="n"/>
      <c r="C1450" s="35" t="n"/>
      <c r="D1450" s="35" t="n"/>
      <c r="E1450" s="34" t="n"/>
      <c r="F1450" s="35" t="n"/>
      <c r="G1450" s="35" t="n"/>
      <c r="H1450" s="35" t="n"/>
      <c r="I1450" s="35" t="n"/>
      <c r="J1450" s="35" t="n"/>
      <c r="K1450" s="34" t="n"/>
      <c r="L1450" s="26">
        <f>IF(A1450="","",MONTH(A1450))</f>
        <v/>
      </c>
      <c r="M1450" s="26">
        <f>IF(A1450="","",YEAR(A1450))</f>
        <v/>
      </c>
      <c r="N1450" s="26">
        <f>IF(A1450="","",CHOOSE(WEEKDAY(A1450,2),"Segunda","Terça","Quarta","Quinta","Sexta","Sábado","Domingo"))</f>
        <v/>
      </c>
      <c r="O1450" s="26">
        <f>IF(B1450="","",IF(B1450&lt;TIME(12,0,0),"Manhã",IF(B1450&lt;TIME(18,0,0),"Tarde","Noite")))</f>
        <v/>
      </c>
      <c r="P1450" s="32">
        <f>IF(G1450="","",IFERROR(INDEX(Config!$I$5:$I$16,MATCH(G1450,Config!$H$5:$H$16,0)),0))</f>
        <v/>
      </c>
      <c r="Q1450" s="30">
        <f>IF(OR(H1450&lt;&gt;"Realizado",P1450="",P1450=0),"",A1450+P1450)</f>
        <v/>
      </c>
      <c r="R1450" s="26">
        <f>IF(Q1450="","",IF(COUNTIFS($E$5:$E$3004,E1450,$A$5:$A$3004,"&gt;"&amp;A1450,$H$5:$H$3004,"&lt;&gt;Falta",$H$5:$H$3004,"&lt;&gt;Cancelado",$H$5:$H$3004,"&lt;&gt;Remarcado")&gt;0,"Sim","Não"))</f>
        <v/>
      </c>
      <c r="S1450" s="32">
        <f>IF(R1450&lt;&gt;"Não","",IF(Q1450+Config!$B$9&lt;=Config!$B$8,Config!$B$8-Q1450,""))</f>
        <v/>
      </c>
      <c r="T1450" s="26">
        <f>IF(S1450="","","Sim")</f>
        <v/>
      </c>
      <c r="U1450" s="41">
        <f>IF(T1450="Sim",S1450+ROW()/100000,0)</f>
        <v>0</v>
      </c>
      <c r="V1450" s="41">
        <f>IF(AND(H1450="Falta",L1450=Config!$B$7,M1450=Config!$B$5,COUNTIFS($E$5:E1450,E1450,$H$5:H1450,"Falta",$L$5:L1450,Config!$B$7,$M$5:M1450,Config!$B$5)=1),COUNTIFS($E$5:$E$3004,E1450,$H$5:$H$3004,"Falta",$L$5:$L$3004,Config!$B$7,$M$5:$M$3004,Config!$B$5)*1000-ROW()/100000,0)</f>
        <v>0</v>
      </c>
    </row>
    <row r="1451">
      <c r="A1451" s="39" t="n"/>
      <c r="B1451" s="40" t="n"/>
      <c r="C1451" s="35" t="n"/>
      <c r="D1451" s="35" t="n"/>
      <c r="E1451" s="34" t="n"/>
      <c r="F1451" s="35" t="n"/>
      <c r="G1451" s="35" t="n"/>
      <c r="H1451" s="35" t="n"/>
      <c r="I1451" s="35" t="n"/>
      <c r="J1451" s="35" t="n"/>
      <c r="K1451" s="34" t="n"/>
      <c r="L1451" s="26">
        <f>IF(A1451="","",MONTH(A1451))</f>
        <v/>
      </c>
      <c r="M1451" s="26">
        <f>IF(A1451="","",YEAR(A1451))</f>
        <v/>
      </c>
      <c r="N1451" s="26">
        <f>IF(A1451="","",CHOOSE(WEEKDAY(A1451,2),"Segunda","Terça","Quarta","Quinta","Sexta","Sábado","Domingo"))</f>
        <v/>
      </c>
      <c r="O1451" s="26">
        <f>IF(B1451="","",IF(B1451&lt;TIME(12,0,0),"Manhã",IF(B1451&lt;TIME(18,0,0),"Tarde","Noite")))</f>
        <v/>
      </c>
      <c r="P1451" s="32">
        <f>IF(G1451="","",IFERROR(INDEX(Config!$I$5:$I$16,MATCH(G1451,Config!$H$5:$H$16,0)),0))</f>
        <v/>
      </c>
      <c r="Q1451" s="30">
        <f>IF(OR(H1451&lt;&gt;"Realizado",P1451="",P1451=0),"",A1451+P1451)</f>
        <v/>
      </c>
      <c r="R1451" s="26">
        <f>IF(Q1451="","",IF(COUNTIFS($E$5:$E$3004,E1451,$A$5:$A$3004,"&gt;"&amp;A1451,$H$5:$H$3004,"&lt;&gt;Falta",$H$5:$H$3004,"&lt;&gt;Cancelado",$H$5:$H$3004,"&lt;&gt;Remarcado")&gt;0,"Sim","Não"))</f>
        <v/>
      </c>
      <c r="S1451" s="32">
        <f>IF(R1451&lt;&gt;"Não","",IF(Q1451+Config!$B$9&lt;=Config!$B$8,Config!$B$8-Q1451,""))</f>
        <v/>
      </c>
      <c r="T1451" s="26">
        <f>IF(S1451="","","Sim")</f>
        <v/>
      </c>
      <c r="U1451" s="41">
        <f>IF(T1451="Sim",S1451+ROW()/100000,0)</f>
        <v>0</v>
      </c>
      <c r="V1451" s="41">
        <f>IF(AND(H1451="Falta",L1451=Config!$B$7,M1451=Config!$B$5,COUNTIFS($E$5:E1451,E1451,$H$5:H1451,"Falta",$L$5:L1451,Config!$B$7,$M$5:M1451,Config!$B$5)=1),COUNTIFS($E$5:$E$3004,E1451,$H$5:$H$3004,"Falta",$L$5:$L$3004,Config!$B$7,$M$5:$M$3004,Config!$B$5)*1000-ROW()/100000,0)</f>
        <v>0</v>
      </c>
    </row>
    <row r="1452">
      <c r="A1452" s="39" t="n"/>
      <c r="B1452" s="40" t="n"/>
      <c r="C1452" s="35" t="n"/>
      <c r="D1452" s="35" t="n"/>
      <c r="E1452" s="34" t="n"/>
      <c r="F1452" s="35" t="n"/>
      <c r="G1452" s="35" t="n"/>
      <c r="H1452" s="35" t="n"/>
      <c r="I1452" s="35" t="n"/>
      <c r="J1452" s="35" t="n"/>
      <c r="K1452" s="34" t="n"/>
      <c r="L1452" s="26">
        <f>IF(A1452="","",MONTH(A1452))</f>
        <v/>
      </c>
      <c r="M1452" s="26">
        <f>IF(A1452="","",YEAR(A1452))</f>
        <v/>
      </c>
      <c r="N1452" s="26">
        <f>IF(A1452="","",CHOOSE(WEEKDAY(A1452,2),"Segunda","Terça","Quarta","Quinta","Sexta","Sábado","Domingo"))</f>
        <v/>
      </c>
      <c r="O1452" s="26">
        <f>IF(B1452="","",IF(B1452&lt;TIME(12,0,0),"Manhã",IF(B1452&lt;TIME(18,0,0),"Tarde","Noite")))</f>
        <v/>
      </c>
      <c r="P1452" s="32">
        <f>IF(G1452="","",IFERROR(INDEX(Config!$I$5:$I$16,MATCH(G1452,Config!$H$5:$H$16,0)),0))</f>
        <v/>
      </c>
      <c r="Q1452" s="30">
        <f>IF(OR(H1452&lt;&gt;"Realizado",P1452="",P1452=0),"",A1452+P1452)</f>
        <v/>
      </c>
      <c r="R1452" s="26">
        <f>IF(Q1452="","",IF(COUNTIFS($E$5:$E$3004,E1452,$A$5:$A$3004,"&gt;"&amp;A1452,$H$5:$H$3004,"&lt;&gt;Falta",$H$5:$H$3004,"&lt;&gt;Cancelado",$H$5:$H$3004,"&lt;&gt;Remarcado")&gt;0,"Sim","Não"))</f>
        <v/>
      </c>
      <c r="S1452" s="32">
        <f>IF(R1452&lt;&gt;"Não","",IF(Q1452+Config!$B$9&lt;=Config!$B$8,Config!$B$8-Q1452,""))</f>
        <v/>
      </c>
      <c r="T1452" s="26">
        <f>IF(S1452="","","Sim")</f>
        <v/>
      </c>
      <c r="U1452" s="41">
        <f>IF(T1452="Sim",S1452+ROW()/100000,0)</f>
        <v>0</v>
      </c>
      <c r="V1452" s="41">
        <f>IF(AND(H1452="Falta",L1452=Config!$B$7,M1452=Config!$B$5,COUNTIFS($E$5:E1452,E1452,$H$5:H1452,"Falta",$L$5:L1452,Config!$B$7,$M$5:M1452,Config!$B$5)=1),COUNTIFS($E$5:$E$3004,E1452,$H$5:$H$3004,"Falta",$L$5:$L$3004,Config!$B$7,$M$5:$M$3004,Config!$B$5)*1000-ROW()/100000,0)</f>
        <v>0</v>
      </c>
    </row>
    <row r="1453">
      <c r="A1453" s="39" t="n"/>
      <c r="B1453" s="40" t="n"/>
      <c r="C1453" s="35" t="n"/>
      <c r="D1453" s="35" t="n"/>
      <c r="E1453" s="34" t="n"/>
      <c r="F1453" s="35" t="n"/>
      <c r="G1453" s="35" t="n"/>
      <c r="H1453" s="35" t="n"/>
      <c r="I1453" s="35" t="n"/>
      <c r="J1453" s="35" t="n"/>
      <c r="K1453" s="34" t="n"/>
      <c r="L1453" s="26">
        <f>IF(A1453="","",MONTH(A1453))</f>
        <v/>
      </c>
      <c r="M1453" s="26">
        <f>IF(A1453="","",YEAR(A1453))</f>
        <v/>
      </c>
      <c r="N1453" s="26">
        <f>IF(A1453="","",CHOOSE(WEEKDAY(A1453,2),"Segunda","Terça","Quarta","Quinta","Sexta","Sábado","Domingo"))</f>
        <v/>
      </c>
      <c r="O1453" s="26">
        <f>IF(B1453="","",IF(B1453&lt;TIME(12,0,0),"Manhã",IF(B1453&lt;TIME(18,0,0),"Tarde","Noite")))</f>
        <v/>
      </c>
      <c r="P1453" s="32">
        <f>IF(G1453="","",IFERROR(INDEX(Config!$I$5:$I$16,MATCH(G1453,Config!$H$5:$H$16,0)),0))</f>
        <v/>
      </c>
      <c r="Q1453" s="30">
        <f>IF(OR(H1453&lt;&gt;"Realizado",P1453="",P1453=0),"",A1453+P1453)</f>
        <v/>
      </c>
      <c r="R1453" s="26">
        <f>IF(Q1453="","",IF(COUNTIFS($E$5:$E$3004,E1453,$A$5:$A$3004,"&gt;"&amp;A1453,$H$5:$H$3004,"&lt;&gt;Falta",$H$5:$H$3004,"&lt;&gt;Cancelado",$H$5:$H$3004,"&lt;&gt;Remarcado")&gt;0,"Sim","Não"))</f>
        <v/>
      </c>
      <c r="S1453" s="32">
        <f>IF(R1453&lt;&gt;"Não","",IF(Q1453+Config!$B$9&lt;=Config!$B$8,Config!$B$8-Q1453,""))</f>
        <v/>
      </c>
      <c r="T1453" s="26">
        <f>IF(S1453="","","Sim")</f>
        <v/>
      </c>
      <c r="U1453" s="41">
        <f>IF(T1453="Sim",S1453+ROW()/100000,0)</f>
        <v>0</v>
      </c>
      <c r="V1453" s="41">
        <f>IF(AND(H1453="Falta",L1453=Config!$B$7,M1453=Config!$B$5,COUNTIFS($E$5:E1453,E1453,$H$5:H1453,"Falta",$L$5:L1453,Config!$B$7,$M$5:M1453,Config!$B$5)=1),COUNTIFS($E$5:$E$3004,E1453,$H$5:$H$3004,"Falta",$L$5:$L$3004,Config!$B$7,$M$5:$M$3004,Config!$B$5)*1000-ROW()/100000,0)</f>
        <v>0</v>
      </c>
    </row>
    <row r="1454">
      <c r="A1454" s="39" t="n"/>
      <c r="B1454" s="40" t="n"/>
      <c r="C1454" s="35" t="n"/>
      <c r="D1454" s="35" t="n"/>
      <c r="E1454" s="34" t="n"/>
      <c r="F1454" s="35" t="n"/>
      <c r="G1454" s="35" t="n"/>
      <c r="H1454" s="35" t="n"/>
      <c r="I1454" s="35" t="n"/>
      <c r="J1454" s="35" t="n"/>
      <c r="K1454" s="34" t="n"/>
      <c r="L1454" s="26">
        <f>IF(A1454="","",MONTH(A1454))</f>
        <v/>
      </c>
      <c r="M1454" s="26">
        <f>IF(A1454="","",YEAR(A1454))</f>
        <v/>
      </c>
      <c r="N1454" s="26">
        <f>IF(A1454="","",CHOOSE(WEEKDAY(A1454,2),"Segunda","Terça","Quarta","Quinta","Sexta","Sábado","Domingo"))</f>
        <v/>
      </c>
      <c r="O1454" s="26">
        <f>IF(B1454="","",IF(B1454&lt;TIME(12,0,0),"Manhã",IF(B1454&lt;TIME(18,0,0),"Tarde","Noite")))</f>
        <v/>
      </c>
      <c r="P1454" s="32">
        <f>IF(G1454="","",IFERROR(INDEX(Config!$I$5:$I$16,MATCH(G1454,Config!$H$5:$H$16,0)),0))</f>
        <v/>
      </c>
      <c r="Q1454" s="30">
        <f>IF(OR(H1454&lt;&gt;"Realizado",P1454="",P1454=0),"",A1454+P1454)</f>
        <v/>
      </c>
      <c r="R1454" s="26">
        <f>IF(Q1454="","",IF(COUNTIFS($E$5:$E$3004,E1454,$A$5:$A$3004,"&gt;"&amp;A1454,$H$5:$H$3004,"&lt;&gt;Falta",$H$5:$H$3004,"&lt;&gt;Cancelado",$H$5:$H$3004,"&lt;&gt;Remarcado")&gt;0,"Sim","Não"))</f>
        <v/>
      </c>
      <c r="S1454" s="32">
        <f>IF(R1454&lt;&gt;"Não","",IF(Q1454+Config!$B$9&lt;=Config!$B$8,Config!$B$8-Q1454,""))</f>
        <v/>
      </c>
      <c r="T1454" s="26">
        <f>IF(S1454="","","Sim")</f>
        <v/>
      </c>
      <c r="U1454" s="41">
        <f>IF(T1454="Sim",S1454+ROW()/100000,0)</f>
        <v>0</v>
      </c>
      <c r="V1454" s="41">
        <f>IF(AND(H1454="Falta",L1454=Config!$B$7,M1454=Config!$B$5,COUNTIFS($E$5:E1454,E1454,$H$5:H1454,"Falta",$L$5:L1454,Config!$B$7,$M$5:M1454,Config!$B$5)=1),COUNTIFS($E$5:$E$3004,E1454,$H$5:$H$3004,"Falta",$L$5:$L$3004,Config!$B$7,$M$5:$M$3004,Config!$B$5)*1000-ROW()/100000,0)</f>
        <v>0</v>
      </c>
    </row>
    <row r="1455">
      <c r="A1455" s="39" t="n"/>
      <c r="B1455" s="40" t="n"/>
      <c r="C1455" s="35" t="n"/>
      <c r="D1455" s="35" t="n"/>
      <c r="E1455" s="34" t="n"/>
      <c r="F1455" s="35" t="n"/>
      <c r="G1455" s="35" t="n"/>
      <c r="H1455" s="35" t="n"/>
      <c r="I1455" s="35" t="n"/>
      <c r="J1455" s="35" t="n"/>
      <c r="K1455" s="34" t="n"/>
      <c r="L1455" s="26">
        <f>IF(A1455="","",MONTH(A1455))</f>
        <v/>
      </c>
      <c r="M1455" s="26">
        <f>IF(A1455="","",YEAR(A1455))</f>
        <v/>
      </c>
      <c r="N1455" s="26">
        <f>IF(A1455="","",CHOOSE(WEEKDAY(A1455,2),"Segunda","Terça","Quarta","Quinta","Sexta","Sábado","Domingo"))</f>
        <v/>
      </c>
      <c r="O1455" s="26">
        <f>IF(B1455="","",IF(B1455&lt;TIME(12,0,0),"Manhã",IF(B1455&lt;TIME(18,0,0),"Tarde","Noite")))</f>
        <v/>
      </c>
      <c r="P1455" s="32">
        <f>IF(G1455="","",IFERROR(INDEX(Config!$I$5:$I$16,MATCH(G1455,Config!$H$5:$H$16,0)),0))</f>
        <v/>
      </c>
      <c r="Q1455" s="30">
        <f>IF(OR(H1455&lt;&gt;"Realizado",P1455="",P1455=0),"",A1455+P1455)</f>
        <v/>
      </c>
      <c r="R1455" s="26">
        <f>IF(Q1455="","",IF(COUNTIFS($E$5:$E$3004,E1455,$A$5:$A$3004,"&gt;"&amp;A1455,$H$5:$H$3004,"&lt;&gt;Falta",$H$5:$H$3004,"&lt;&gt;Cancelado",$H$5:$H$3004,"&lt;&gt;Remarcado")&gt;0,"Sim","Não"))</f>
        <v/>
      </c>
      <c r="S1455" s="32">
        <f>IF(R1455&lt;&gt;"Não","",IF(Q1455+Config!$B$9&lt;=Config!$B$8,Config!$B$8-Q1455,""))</f>
        <v/>
      </c>
      <c r="T1455" s="26">
        <f>IF(S1455="","","Sim")</f>
        <v/>
      </c>
      <c r="U1455" s="41">
        <f>IF(T1455="Sim",S1455+ROW()/100000,0)</f>
        <v>0</v>
      </c>
      <c r="V1455" s="41">
        <f>IF(AND(H1455="Falta",L1455=Config!$B$7,M1455=Config!$B$5,COUNTIFS($E$5:E1455,E1455,$H$5:H1455,"Falta",$L$5:L1455,Config!$B$7,$M$5:M1455,Config!$B$5)=1),COUNTIFS($E$5:$E$3004,E1455,$H$5:$H$3004,"Falta",$L$5:$L$3004,Config!$B$7,$M$5:$M$3004,Config!$B$5)*1000-ROW()/100000,0)</f>
        <v>0</v>
      </c>
    </row>
    <row r="1456">
      <c r="A1456" s="39" t="n"/>
      <c r="B1456" s="40" t="n"/>
      <c r="C1456" s="35" t="n"/>
      <c r="D1456" s="35" t="n"/>
      <c r="E1456" s="34" t="n"/>
      <c r="F1456" s="35" t="n"/>
      <c r="G1456" s="35" t="n"/>
      <c r="H1456" s="35" t="n"/>
      <c r="I1456" s="35" t="n"/>
      <c r="J1456" s="35" t="n"/>
      <c r="K1456" s="34" t="n"/>
      <c r="L1456" s="26">
        <f>IF(A1456="","",MONTH(A1456))</f>
        <v/>
      </c>
      <c r="M1456" s="26">
        <f>IF(A1456="","",YEAR(A1456))</f>
        <v/>
      </c>
      <c r="N1456" s="26">
        <f>IF(A1456="","",CHOOSE(WEEKDAY(A1456,2),"Segunda","Terça","Quarta","Quinta","Sexta","Sábado","Domingo"))</f>
        <v/>
      </c>
      <c r="O1456" s="26">
        <f>IF(B1456="","",IF(B1456&lt;TIME(12,0,0),"Manhã",IF(B1456&lt;TIME(18,0,0),"Tarde","Noite")))</f>
        <v/>
      </c>
      <c r="P1456" s="32">
        <f>IF(G1456="","",IFERROR(INDEX(Config!$I$5:$I$16,MATCH(G1456,Config!$H$5:$H$16,0)),0))</f>
        <v/>
      </c>
      <c r="Q1456" s="30">
        <f>IF(OR(H1456&lt;&gt;"Realizado",P1456="",P1456=0),"",A1456+P1456)</f>
        <v/>
      </c>
      <c r="R1456" s="26">
        <f>IF(Q1456="","",IF(COUNTIFS($E$5:$E$3004,E1456,$A$5:$A$3004,"&gt;"&amp;A1456,$H$5:$H$3004,"&lt;&gt;Falta",$H$5:$H$3004,"&lt;&gt;Cancelado",$H$5:$H$3004,"&lt;&gt;Remarcado")&gt;0,"Sim","Não"))</f>
        <v/>
      </c>
      <c r="S1456" s="32">
        <f>IF(R1456&lt;&gt;"Não","",IF(Q1456+Config!$B$9&lt;=Config!$B$8,Config!$B$8-Q1456,""))</f>
        <v/>
      </c>
      <c r="T1456" s="26">
        <f>IF(S1456="","","Sim")</f>
        <v/>
      </c>
      <c r="U1456" s="41">
        <f>IF(T1456="Sim",S1456+ROW()/100000,0)</f>
        <v>0</v>
      </c>
      <c r="V1456" s="41">
        <f>IF(AND(H1456="Falta",L1456=Config!$B$7,M1456=Config!$B$5,COUNTIFS($E$5:E1456,E1456,$H$5:H1456,"Falta",$L$5:L1456,Config!$B$7,$M$5:M1456,Config!$B$5)=1),COUNTIFS($E$5:$E$3004,E1456,$H$5:$H$3004,"Falta",$L$5:$L$3004,Config!$B$7,$M$5:$M$3004,Config!$B$5)*1000-ROW()/100000,0)</f>
        <v>0</v>
      </c>
    </row>
    <row r="1457">
      <c r="A1457" s="39" t="n"/>
      <c r="B1457" s="40" t="n"/>
      <c r="C1457" s="35" t="n"/>
      <c r="D1457" s="35" t="n"/>
      <c r="E1457" s="34" t="n"/>
      <c r="F1457" s="35" t="n"/>
      <c r="G1457" s="35" t="n"/>
      <c r="H1457" s="35" t="n"/>
      <c r="I1457" s="35" t="n"/>
      <c r="J1457" s="35" t="n"/>
      <c r="K1457" s="34" t="n"/>
      <c r="L1457" s="26">
        <f>IF(A1457="","",MONTH(A1457))</f>
        <v/>
      </c>
      <c r="M1457" s="26">
        <f>IF(A1457="","",YEAR(A1457))</f>
        <v/>
      </c>
      <c r="N1457" s="26">
        <f>IF(A1457="","",CHOOSE(WEEKDAY(A1457,2),"Segunda","Terça","Quarta","Quinta","Sexta","Sábado","Domingo"))</f>
        <v/>
      </c>
      <c r="O1457" s="26">
        <f>IF(B1457="","",IF(B1457&lt;TIME(12,0,0),"Manhã",IF(B1457&lt;TIME(18,0,0),"Tarde","Noite")))</f>
        <v/>
      </c>
      <c r="P1457" s="32">
        <f>IF(G1457="","",IFERROR(INDEX(Config!$I$5:$I$16,MATCH(G1457,Config!$H$5:$H$16,0)),0))</f>
        <v/>
      </c>
      <c r="Q1457" s="30">
        <f>IF(OR(H1457&lt;&gt;"Realizado",P1457="",P1457=0),"",A1457+P1457)</f>
        <v/>
      </c>
      <c r="R1457" s="26">
        <f>IF(Q1457="","",IF(COUNTIFS($E$5:$E$3004,E1457,$A$5:$A$3004,"&gt;"&amp;A1457,$H$5:$H$3004,"&lt;&gt;Falta",$H$5:$H$3004,"&lt;&gt;Cancelado",$H$5:$H$3004,"&lt;&gt;Remarcado")&gt;0,"Sim","Não"))</f>
        <v/>
      </c>
      <c r="S1457" s="32">
        <f>IF(R1457&lt;&gt;"Não","",IF(Q1457+Config!$B$9&lt;=Config!$B$8,Config!$B$8-Q1457,""))</f>
        <v/>
      </c>
      <c r="T1457" s="26">
        <f>IF(S1457="","","Sim")</f>
        <v/>
      </c>
      <c r="U1457" s="41">
        <f>IF(T1457="Sim",S1457+ROW()/100000,0)</f>
        <v>0</v>
      </c>
      <c r="V1457" s="41">
        <f>IF(AND(H1457="Falta",L1457=Config!$B$7,M1457=Config!$B$5,COUNTIFS($E$5:E1457,E1457,$H$5:H1457,"Falta",$L$5:L1457,Config!$B$7,$M$5:M1457,Config!$B$5)=1),COUNTIFS($E$5:$E$3004,E1457,$H$5:$H$3004,"Falta",$L$5:$L$3004,Config!$B$7,$M$5:$M$3004,Config!$B$5)*1000-ROW()/100000,0)</f>
        <v>0</v>
      </c>
    </row>
    <row r="1458">
      <c r="A1458" s="39" t="n"/>
      <c r="B1458" s="40" t="n"/>
      <c r="C1458" s="35" t="n"/>
      <c r="D1458" s="35" t="n"/>
      <c r="E1458" s="34" t="n"/>
      <c r="F1458" s="35" t="n"/>
      <c r="G1458" s="35" t="n"/>
      <c r="H1458" s="35" t="n"/>
      <c r="I1458" s="35" t="n"/>
      <c r="J1458" s="35" t="n"/>
      <c r="K1458" s="34" t="n"/>
      <c r="L1458" s="26">
        <f>IF(A1458="","",MONTH(A1458))</f>
        <v/>
      </c>
      <c r="M1458" s="26">
        <f>IF(A1458="","",YEAR(A1458))</f>
        <v/>
      </c>
      <c r="N1458" s="26">
        <f>IF(A1458="","",CHOOSE(WEEKDAY(A1458,2),"Segunda","Terça","Quarta","Quinta","Sexta","Sábado","Domingo"))</f>
        <v/>
      </c>
      <c r="O1458" s="26">
        <f>IF(B1458="","",IF(B1458&lt;TIME(12,0,0),"Manhã",IF(B1458&lt;TIME(18,0,0),"Tarde","Noite")))</f>
        <v/>
      </c>
      <c r="P1458" s="32">
        <f>IF(G1458="","",IFERROR(INDEX(Config!$I$5:$I$16,MATCH(G1458,Config!$H$5:$H$16,0)),0))</f>
        <v/>
      </c>
      <c r="Q1458" s="30">
        <f>IF(OR(H1458&lt;&gt;"Realizado",P1458="",P1458=0),"",A1458+P1458)</f>
        <v/>
      </c>
      <c r="R1458" s="26">
        <f>IF(Q1458="","",IF(COUNTIFS($E$5:$E$3004,E1458,$A$5:$A$3004,"&gt;"&amp;A1458,$H$5:$H$3004,"&lt;&gt;Falta",$H$5:$H$3004,"&lt;&gt;Cancelado",$H$5:$H$3004,"&lt;&gt;Remarcado")&gt;0,"Sim","Não"))</f>
        <v/>
      </c>
      <c r="S1458" s="32">
        <f>IF(R1458&lt;&gt;"Não","",IF(Q1458+Config!$B$9&lt;=Config!$B$8,Config!$B$8-Q1458,""))</f>
        <v/>
      </c>
      <c r="T1458" s="26">
        <f>IF(S1458="","","Sim")</f>
        <v/>
      </c>
      <c r="U1458" s="41">
        <f>IF(T1458="Sim",S1458+ROW()/100000,0)</f>
        <v>0</v>
      </c>
      <c r="V1458" s="41">
        <f>IF(AND(H1458="Falta",L1458=Config!$B$7,M1458=Config!$B$5,COUNTIFS($E$5:E1458,E1458,$H$5:H1458,"Falta",$L$5:L1458,Config!$B$7,$M$5:M1458,Config!$B$5)=1),COUNTIFS($E$5:$E$3004,E1458,$H$5:$H$3004,"Falta",$L$5:$L$3004,Config!$B$7,$M$5:$M$3004,Config!$B$5)*1000-ROW()/100000,0)</f>
        <v>0</v>
      </c>
    </row>
    <row r="1459">
      <c r="A1459" s="39" t="n"/>
      <c r="B1459" s="40" t="n"/>
      <c r="C1459" s="35" t="n"/>
      <c r="D1459" s="35" t="n"/>
      <c r="E1459" s="34" t="n"/>
      <c r="F1459" s="35" t="n"/>
      <c r="G1459" s="35" t="n"/>
      <c r="H1459" s="35" t="n"/>
      <c r="I1459" s="35" t="n"/>
      <c r="J1459" s="35" t="n"/>
      <c r="K1459" s="34" t="n"/>
      <c r="L1459" s="26">
        <f>IF(A1459="","",MONTH(A1459))</f>
        <v/>
      </c>
      <c r="M1459" s="26">
        <f>IF(A1459="","",YEAR(A1459))</f>
        <v/>
      </c>
      <c r="N1459" s="26">
        <f>IF(A1459="","",CHOOSE(WEEKDAY(A1459,2),"Segunda","Terça","Quarta","Quinta","Sexta","Sábado","Domingo"))</f>
        <v/>
      </c>
      <c r="O1459" s="26">
        <f>IF(B1459="","",IF(B1459&lt;TIME(12,0,0),"Manhã",IF(B1459&lt;TIME(18,0,0),"Tarde","Noite")))</f>
        <v/>
      </c>
      <c r="P1459" s="32">
        <f>IF(G1459="","",IFERROR(INDEX(Config!$I$5:$I$16,MATCH(G1459,Config!$H$5:$H$16,0)),0))</f>
        <v/>
      </c>
      <c r="Q1459" s="30">
        <f>IF(OR(H1459&lt;&gt;"Realizado",P1459="",P1459=0),"",A1459+P1459)</f>
        <v/>
      </c>
      <c r="R1459" s="26">
        <f>IF(Q1459="","",IF(COUNTIFS($E$5:$E$3004,E1459,$A$5:$A$3004,"&gt;"&amp;A1459,$H$5:$H$3004,"&lt;&gt;Falta",$H$5:$H$3004,"&lt;&gt;Cancelado",$H$5:$H$3004,"&lt;&gt;Remarcado")&gt;0,"Sim","Não"))</f>
        <v/>
      </c>
      <c r="S1459" s="32">
        <f>IF(R1459&lt;&gt;"Não","",IF(Q1459+Config!$B$9&lt;=Config!$B$8,Config!$B$8-Q1459,""))</f>
        <v/>
      </c>
      <c r="T1459" s="26">
        <f>IF(S1459="","","Sim")</f>
        <v/>
      </c>
      <c r="U1459" s="41">
        <f>IF(T1459="Sim",S1459+ROW()/100000,0)</f>
        <v>0</v>
      </c>
      <c r="V1459" s="41">
        <f>IF(AND(H1459="Falta",L1459=Config!$B$7,M1459=Config!$B$5,COUNTIFS($E$5:E1459,E1459,$H$5:H1459,"Falta",$L$5:L1459,Config!$B$7,$M$5:M1459,Config!$B$5)=1),COUNTIFS($E$5:$E$3004,E1459,$H$5:$H$3004,"Falta",$L$5:$L$3004,Config!$B$7,$M$5:$M$3004,Config!$B$5)*1000-ROW()/100000,0)</f>
        <v>0</v>
      </c>
    </row>
    <row r="1460">
      <c r="A1460" s="39" t="n"/>
      <c r="B1460" s="40" t="n"/>
      <c r="C1460" s="35" t="n"/>
      <c r="D1460" s="35" t="n"/>
      <c r="E1460" s="34" t="n"/>
      <c r="F1460" s="35" t="n"/>
      <c r="G1460" s="35" t="n"/>
      <c r="H1460" s="35" t="n"/>
      <c r="I1460" s="35" t="n"/>
      <c r="J1460" s="35" t="n"/>
      <c r="K1460" s="34" t="n"/>
      <c r="L1460" s="26">
        <f>IF(A1460="","",MONTH(A1460))</f>
        <v/>
      </c>
      <c r="M1460" s="26">
        <f>IF(A1460="","",YEAR(A1460))</f>
        <v/>
      </c>
      <c r="N1460" s="26">
        <f>IF(A1460="","",CHOOSE(WEEKDAY(A1460,2),"Segunda","Terça","Quarta","Quinta","Sexta","Sábado","Domingo"))</f>
        <v/>
      </c>
      <c r="O1460" s="26">
        <f>IF(B1460="","",IF(B1460&lt;TIME(12,0,0),"Manhã",IF(B1460&lt;TIME(18,0,0),"Tarde","Noite")))</f>
        <v/>
      </c>
      <c r="P1460" s="32">
        <f>IF(G1460="","",IFERROR(INDEX(Config!$I$5:$I$16,MATCH(G1460,Config!$H$5:$H$16,0)),0))</f>
        <v/>
      </c>
      <c r="Q1460" s="30">
        <f>IF(OR(H1460&lt;&gt;"Realizado",P1460="",P1460=0),"",A1460+P1460)</f>
        <v/>
      </c>
      <c r="R1460" s="26">
        <f>IF(Q1460="","",IF(COUNTIFS($E$5:$E$3004,E1460,$A$5:$A$3004,"&gt;"&amp;A1460,$H$5:$H$3004,"&lt;&gt;Falta",$H$5:$H$3004,"&lt;&gt;Cancelado",$H$5:$H$3004,"&lt;&gt;Remarcado")&gt;0,"Sim","Não"))</f>
        <v/>
      </c>
      <c r="S1460" s="32">
        <f>IF(R1460&lt;&gt;"Não","",IF(Q1460+Config!$B$9&lt;=Config!$B$8,Config!$B$8-Q1460,""))</f>
        <v/>
      </c>
      <c r="T1460" s="26">
        <f>IF(S1460="","","Sim")</f>
        <v/>
      </c>
      <c r="U1460" s="41">
        <f>IF(T1460="Sim",S1460+ROW()/100000,0)</f>
        <v>0</v>
      </c>
      <c r="V1460" s="41">
        <f>IF(AND(H1460="Falta",L1460=Config!$B$7,M1460=Config!$B$5,COUNTIFS($E$5:E1460,E1460,$H$5:H1460,"Falta",$L$5:L1460,Config!$B$7,$M$5:M1460,Config!$B$5)=1),COUNTIFS($E$5:$E$3004,E1460,$H$5:$H$3004,"Falta",$L$5:$L$3004,Config!$B$7,$M$5:$M$3004,Config!$B$5)*1000-ROW()/100000,0)</f>
        <v>0</v>
      </c>
    </row>
    <row r="1461">
      <c r="A1461" s="39" t="n"/>
      <c r="B1461" s="40" t="n"/>
      <c r="C1461" s="35" t="n"/>
      <c r="D1461" s="35" t="n"/>
      <c r="E1461" s="34" t="n"/>
      <c r="F1461" s="35" t="n"/>
      <c r="G1461" s="35" t="n"/>
      <c r="H1461" s="35" t="n"/>
      <c r="I1461" s="35" t="n"/>
      <c r="J1461" s="35" t="n"/>
      <c r="K1461" s="34" t="n"/>
      <c r="L1461" s="26">
        <f>IF(A1461="","",MONTH(A1461))</f>
        <v/>
      </c>
      <c r="M1461" s="26">
        <f>IF(A1461="","",YEAR(A1461))</f>
        <v/>
      </c>
      <c r="N1461" s="26">
        <f>IF(A1461="","",CHOOSE(WEEKDAY(A1461,2),"Segunda","Terça","Quarta","Quinta","Sexta","Sábado","Domingo"))</f>
        <v/>
      </c>
      <c r="O1461" s="26">
        <f>IF(B1461="","",IF(B1461&lt;TIME(12,0,0),"Manhã",IF(B1461&lt;TIME(18,0,0),"Tarde","Noite")))</f>
        <v/>
      </c>
      <c r="P1461" s="32">
        <f>IF(G1461="","",IFERROR(INDEX(Config!$I$5:$I$16,MATCH(G1461,Config!$H$5:$H$16,0)),0))</f>
        <v/>
      </c>
      <c r="Q1461" s="30">
        <f>IF(OR(H1461&lt;&gt;"Realizado",P1461="",P1461=0),"",A1461+P1461)</f>
        <v/>
      </c>
      <c r="R1461" s="26">
        <f>IF(Q1461="","",IF(COUNTIFS($E$5:$E$3004,E1461,$A$5:$A$3004,"&gt;"&amp;A1461,$H$5:$H$3004,"&lt;&gt;Falta",$H$5:$H$3004,"&lt;&gt;Cancelado",$H$5:$H$3004,"&lt;&gt;Remarcado")&gt;0,"Sim","Não"))</f>
        <v/>
      </c>
      <c r="S1461" s="32">
        <f>IF(R1461&lt;&gt;"Não","",IF(Q1461+Config!$B$9&lt;=Config!$B$8,Config!$B$8-Q1461,""))</f>
        <v/>
      </c>
      <c r="T1461" s="26">
        <f>IF(S1461="","","Sim")</f>
        <v/>
      </c>
      <c r="U1461" s="41">
        <f>IF(T1461="Sim",S1461+ROW()/100000,0)</f>
        <v>0</v>
      </c>
      <c r="V1461" s="41">
        <f>IF(AND(H1461="Falta",L1461=Config!$B$7,M1461=Config!$B$5,COUNTIFS($E$5:E1461,E1461,$H$5:H1461,"Falta",$L$5:L1461,Config!$B$7,$M$5:M1461,Config!$B$5)=1),COUNTIFS($E$5:$E$3004,E1461,$H$5:$H$3004,"Falta",$L$5:$L$3004,Config!$B$7,$M$5:$M$3004,Config!$B$5)*1000-ROW()/100000,0)</f>
        <v>0</v>
      </c>
    </row>
    <row r="1462">
      <c r="A1462" s="39" t="n"/>
      <c r="B1462" s="40" t="n"/>
      <c r="C1462" s="35" t="n"/>
      <c r="D1462" s="35" t="n"/>
      <c r="E1462" s="34" t="n"/>
      <c r="F1462" s="35" t="n"/>
      <c r="G1462" s="35" t="n"/>
      <c r="H1462" s="35" t="n"/>
      <c r="I1462" s="35" t="n"/>
      <c r="J1462" s="35" t="n"/>
      <c r="K1462" s="34" t="n"/>
      <c r="L1462" s="26">
        <f>IF(A1462="","",MONTH(A1462))</f>
        <v/>
      </c>
      <c r="M1462" s="26">
        <f>IF(A1462="","",YEAR(A1462))</f>
        <v/>
      </c>
      <c r="N1462" s="26">
        <f>IF(A1462="","",CHOOSE(WEEKDAY(A1462,2),"Segunda","Terça","Quarta","Quinta","Sexta","Sábado","Domingo"))</f>
        <v/>
      </c>
      <c r="O1462" s="26">
        <f>IF(B1462="","",IF(B1462&lt;TIME(12,0,0),"Manhã",IF(B1462&lt;TIME(18,0,0),"Tarde","Noite")))</f>
        <v/>
      </c>
      <c r="P1462" s="32">
        <f>IF(G1462="","",IFERROR(INDEX(Config!$I$5:$I$16,MATCH(G1462,Config!$H$5:$H$16,0)),0))</f>
        <v/>
      </c>
      <c r="Q1462" s="30">
        <f>IF(OR(H1462&lt;&gt;"Realizado",P1462="",P1462=0),"",A1462+P1462)</f>
        <v/>
      </c>
      <c r="R1462" s="26">
        <f>IF(Q1462="","",IF(COUNTIFS($E$5:$E$3004,E1462,$A$5:$A$3004,"&gt;"&amp;A1462,$H$5:$H$3004,"&lt;&gt;Falta",$H$5:$H$3004,"&lt;&gt;Cancelado",$H$5:$H$3004,"&lt;&gt;Remarcado")&gt;0,"Sim","Não"))</f>
        <v/>
      </c>
      <c r="S1462" s="32">
        <f>IF(R1462&lt;&gt;"Não","",IF(Q1462+Config!$B$9&lt;=Config!$B$8,Config!$B$8-Q1462,""))</f>
        <v/>
      </c>
      <c r="T1462" s="26">
        <f>IF(S1462="","","Sim")</f>
        <v/>
      </c>
      <c r="U1462" s="41">
        <f>IF(T1462="Sim",S1462+ROW()/100000,0)</f>
        <v>0</v>
      </c>
      <c r="V1462" s="41">
        <f>IF(AND(H1462="Falta",L1462=Config!$B$7,M1462=Config!$B$5,COUNTIFS($E$5:E1462,E1462,$H$5:H1462,"Falta",$L$5:L1462,Config!$B$7,$M$5:M1462,Config!$B$5)=1),COUNTIFS($E$5:$E$3004,E1462,$H$5:$H$3004,"Falta",$L$5:$L$3004,Config!$B$7,$M$5:$M$3004,Config!$B$5)*1000-ROW()/100000,0)</f>
        <v>0</v>
      </c>
    </row>
    <row r="1463">
      <c r="A1463" s="39" t="n"/>
      <c r="B1463" s="40" t="n"/>
      <c r="C1463" s="35" t="n"/>
      <c r="D1463" s="35" t="n"/>
      <c r="E1463" s="34" t="n"/>
      <c r="F1463" s="35" t="n"/>
      <c r="G1463" s="35" t="n"/>
      <c r="H1463" s="35" t="n"/>
      <c r="I1463" s="35" t="n"/>
      <c r="J1463" s="35" t="n"/>
      <c r="K1463" s="34" t="n"/>
      <c r="L1463" s="26">
        <f>IF(A1463="","",MONTH(A1463))</f>
        <v/>
      </c>
      <c r="M1463" s="26">
        <f>IF(A1463="","",YEAR(A1463))</f>
        <v/>
      </c>
      <c r="N1463" s="26">
        <f>IF(A1463="","",CHOOSE(WEEKDAY(A1463,2),"Segunda","Terça","Quarta","Quinta","Sexta","Sábado","Domingo"))</f>
        <v/>
      </c>
      <c r="O1463" s="26">
        <f>IF(B1463="","",IF(B1463&lt;TIME(12,0,0),"Manhã",IF(B1463&lt;TIME(18,0,0),"Tarde","Noite")))</f>
        <v/>
      </c>
      <c r="P1463" s="32">
        <f>IF(G1463="","",IFERROR(INDEX(Config!$I$5:$I$16,MATCH(G1463,Config!$H$5:$H$16,0)),0))</f>
        <v/>
      </c>
      <c r="Q1463" s="30">
        <f>IF(OR(H1463&lt;&gt;"Realizado",P1463="",P1463=0),"",A1463+P1463)</f>
        <v/>
      </c>
      <c r="R1463" s="26">
        <f>IF(Q1463="","",IF(COUNTIFS($E$5:$E$3004,E1463,$A$5:$A$3004,"&gt;"&amp;A1463,$H$5:$H$3004,"&lt;&gt;Falta",$H$5:$H$3004,"&lt;&gt;Cancelado",$H$5:$H$3004,"&lt;&gt;Remarcado")&gt;0,"Sim","Não"))</f>
        <v/>
      </c>
      <c r="S1463" s="32">
        <f>IF(R1463&lt;&gt;"Não","",IF(Q1463+Config!$B$9&lt;=Config!$B$8,Config!$B$8-Q1463,""))</f>
        <v/>
      </c>
      <c r="T1463" s="26">
        <f>IF(S1463="","","Sim")</f>
        <v/>
      </c>
      <c r="U1463" s="41">
        <f>IF(T1463="Sim",S1463+ROW()/100000,0)</f>
        <v>0</v>
      </c>
      <c r="V1463" s="41">
        <f>IF(AND(H1463="Falta",L1463=Config!$B$7,M1463=Config!$B$5,COUNTIFS($E$5:E1463,E1463,$H$5:H1463,"Falta",$L$5:L1463,Config!$B$7,$M$5:M1463,Config!$B$5)=1),COUNTIFS($E$5:$E$3004,E1463,$H$5:$H$3004,"Falta",$L$5:$L$3004,Config!$B$7,$M$5:$M$3004,Config!$B$5)*1000-ROW()/100000,0)</f>
        <v>0</v>
      </c>
    </row>
    <row r="1464">
      <c r="A1464" s="39" t="n"/>
      <c r="B1464" s="40" t="n"/>
      <c r="C1464" s="35" t="n"/>
      <c r="D1464" s="35" t="n"/>
      <c r="E1464" s="34" t="n"/>
      <c r="F1464" s="35" t="n"/>
      <c r="G1464" s="35" t="n"/>
      <c r="H1464" s="35" t="n"/>
      <c r="I1464" s="35" t="n"/>
      <c r="J1464" s="35" t="n"/>
      <c r="K1464" s="34" t="n"/>
      <c r="L1464" s="26">
        <f>IF(A1464="","",MONTH(A1464))</f>
        <v/>
      </c>
      <c r="M1464" s="26">
        <f>IF(A1464="","",YEAR(A1464))</f>
        <v/>
      </c>
      <c r="N1464" s="26">
        <f>IF(A1464="","",CHOOSE(WEEKDAY(A1464,2),"Segunda","Terça","Quarta","Quinta","Sexta","Sábado","Domingo"))</f>
        <v/>
      </c>
      <c r="O1464" s="26">
        <f>IF(B1464="","",IF(B1464&lt;TIME(12,0,0),"Manhã",IF(B1464&lt;TIME(18,0,0),"Tarde","Noite")))</f>
        <v/>
      </c>
      <c r="P1464" s="32">
        <f>IF(G1464="","",IFERROR(INDEX(Config!$I$5:$I$16,MATCH(G1464,Config!$H$5:$H$16,0)),0))</f>
        <v/>
      </c>
      <c r="Q1464" s="30">
        <f>IF(OR(H1464&lt;&gt;"Realizado",P1464="",P1464=0),"",A1464+P1464)</f>
        <v/>
      </c>
      <c r="R1464" s="26">
        <f>IF(Q1464="","",IF(COUNTIFS($E$5:$E$3004,E1464,$A$5:$A$3004,"&gt;"&amp;A1464,$H$5:$H$3004,"&lt;&gt;Falta",$H$5:$H$3004,"&lt;&gt;Cancelado",$H$5:$H$3004,"&lt;&gt;Remarcado")&gt;0,"Sim","Não"))</f>
        <v/>
      </c>
      <c r="S1464" s="32">
        <f>IF(R1464&lt;&gt;"Não","",IF(Q1464+Config!$B$9&lt;=Config!$B$8,Config!$B$8-Q1464,""))</f>
        <v/>
      </c>
      <c r="T1464" s="26">
        <f>IF(S1464="","","Sim")</f>
        <v/>
      </c>
      <c r="U1464" s="41">
        <f>IF(T1464="Sim",S1464+ROW()/100000,0)</f>
        <v>0</v>
      </c>
      <c r="V1464" s="41">
        <f>IF(AND(H1464="Falta",L1464=Config!$B$7,M1464=Config!$B$5,COUNTIFS($E$5:E1464,E1464,$H$5:H1464,"Falta",$L$5:L1464,Config!$B$7,$M$5:M1464,Config!$B$5)=1),COUNTIFS($E$5:$E$3004,E1464,$H$5:$H$3004,"Falta",$L$5:$L$3004,Config!$B$7,$M$5:$M$3004,Config!$B$5)*1000-ROW()/100000,0)</f>
        <v>0</v>
      </c>
    </row>
    <row r="1465">
      <c r="A1465" s="39" t="n"/>
      <c r="B1465" s="40" t="n"/>
      <c r="C1465" s="35" t="n"/>
      <c r="D1465" s="35" t="n"/>
      <c r="E1465" s="34" t="n"/>
      <c r="F1465" s="35" t="n"/>
      <c r="G1465" s="35" t="n"/>
      <c r="H1465" s="35" t="n"/>
      <c r="I1465" s="35" t="n"/>
      <c r="J1465" s="35" t="n"/>
      <c r="K1465" s="34" t="n"/>
      <c r="L1465" s="26">
        <f>IF(A1465="","",MONTH(A1465))</f>
        <v/>
      </c>
      <c r="M1465" s="26">
        <f>IF(A1465="","",YEAR(A1465))</f>
        <v/>
      </c>
      <c r="N1465" s="26">
        <f>IF(A1465="","",CHOOSE(WEEKDAY(A1465,2),"Segunda","Terça","Quarta","Quinta","Sexta","Sábado","Domingo"))</f>
        <v/>
      </c>
      <c r="O1465" s="26">
        <f>IF(B1465="","",IF(B1465&lt;TIME(12,0,0),"Manhã",IF(B1465&lt;TIME(18,0,0),"Tarde","Noite")))</f>
        <v/>
      </c>
      <c r="P1465" s="32">
        <f>IF(G1465="","",IFERROR(INDEX(Config!$I$5:$I$16,MATCH(G1465,Config!$H$5:$H$16,0)),0))</f>
        <v/>
      </c>
      <c r="Q1465" s="30">
        <f>IF(OR(H1465&lt;&gt;"Realizado",P1465="",P1465=0),"",A1465+P1465)</f>
        <v/>
      </c>
      <c r="R1465" s="26">
        <f>IF(Q1465="","",IF(COUNTIFS($E$5:$E$3004,E1465,$A$5:$A$3004,"&gt;"&amp;A1465,$H$5:$H$3004,"&lt;&gt;Falta",$H$5:$H$3004,"&lt;&gt;Cancelado",$H$5:$H$3004,"&lt;&gt;Remarcado")&gt;0,"Sim","Não"))</f>
        <v/>
      </c>
      <c r="S1465" s="32">
        <f>IF(R1465&lt;&gt;"Não","",IF(Q1465+Config!$B$9&lt;=Config!$B$8,Config!$B$8-Q1465,""))</f>
        <v/>
      </c>
      <c r="T1465" s="26">
        <f>IF(S1465="","","Sim")</f>
        <v/>
      </c>
      <c r="U1465" s="41">
        <f>IF(T1465="Sim",S1465+ROW()/100000,0)</f>
        <v>0</v>
      </c>
      <c r="V1465" s="41">
        <f>IF(AND(H1465="Falta",L1465=Config!$B$7,M1465=Config!$B$5,COUNTIFS($E$5:E1465,E1465,$H$5:H1465,"Falta",$L$5:L1465,Config!$B$7,$M$5:M1465,Config!$B$5)=1),COUNTIFS($E$5:$E$3004,E1465,$H$5:$H$3004,"Falta",$L$5:$L$3004,Config!$B$7,$M$5:$M$3004,Config!$B$5)*1000-ROW()/100000,0)</f>
        <v>0</v>
      </c>
    </row>
    <row r="1466">
      <c r="A1466" s="39" t="n"/>
      <c r="B1466" s="40" t="n"/>
      <c r="C1466" s="35" t="n"/>
      <c r="D1466" s="35" t="n"/>
      <c r="E1466" s="34" t="n"/>
      <c r="F1466" s="35" t="n"/>
      <c r="G1466" s="35" t="n"/>
      <c r="H1466" s="35" t="n"/>
      <c r="I1466" s="35" t="n"/>
      <c r="J1466" s="35" t="n"/>
      <c r="K1466" s="34" t="n"/>
      <c r="L1466" s="26">
        <f>IF(A1466="","",MONTH(A1466))</f>
        <v/>
      </c>
      <c r="M1466" s="26">
        <f>IF(A1466="","",YEAR(A1466))</f>
        <v/>
      </c>
      <c r="N1466" s="26">
        <f>IF(A1466="","",CHOOSE(WEEKDAY(A1466,2),"Segunda","Terça","Quarta","Quinta","Sexta","Sábado","Domingo"))</f>
        <v/>
      </c>
      <c r="O1466" s="26">
        <f>IF(B1466="","",IF(B1466&lt;TIME(12,0,0),"Manhã",IF(B1466&lt;TIME(18,0,0),"Tarde","Noite")))</f>
        <v/>
      </c>
      <c r="P1466" s="32">
        <f>IF(G1466="","",IFERROR(INDEX(Config!$I$5:$I$16,MATCH(G1466,Config!$H$5:$H$16,0)),0))</f>
        <v/>
      </c>
      <c r="Q1466" s="30">
        <f>IF(OR(H1466&lt;&gt;"Realizado",P1466="",P1466=0),"",A1466+P1466)</f>
        <v/>
      </c>
      <c r="R1466" s="26">
        <f>IF(Q1466="","",IF(COUNTIFS($E$5:$E$3004,E1466,$A$5:$A$3004,"&gt;"&amp;A1466,$H$5:$H$3004,"&lt;&gt;Falta",$H$5:$H$3004,"&lt;&gt;Cancelado",$H$5:$H$3004,"&lt;&gt;Remarcado")&gt;0,"Sim","Não"))</f>
        <v/>
      </c>
      <c r="S1466" s="32">
        <f>IF(R1466&lt;&gt;"Não","",IF(Q1466+Config!$B$9&lt;=Config!$B$8,Config!$B$8-Q1466,""))</f>
        <v/>
      </c>
      <c r="T1466" s="26">
        <f>IF(S1466="","","Sim")</f>
        <v/>
      </c>
      <c r="U1466" s="41">
        <f>IF(T1466="Sim",S1466+ROW()/100000,0)</f>
        <v>0</v>
      </c>
      <c r="V1466" s="41">
        <f>IF(AND(H1466="Falta",L1466=Config!$B$7,M1466=Config!$B$5,COUNTIFS($E$5:E1466,E1466,$H$5:H1466,"Falta",$L$5:L1466,Config!$B$7,$M$5:M1466,Config!$B$5)=1),COUNTIFS($E$5:$E$3004,E1466,$H$5:$H$3004,"Falta",$L$5:$L$3004,Config!$B$7,$M$5:$M$3004,Config!$B$5)*1000-ROW()/100000,0)</f>
        <v>0</v>
      </c>
    </row>
    <row r="1467">
      <c r="A1467" s="39" t="n"/>
      <c r="B1467" s="40" t="n"/>
      <c r="C1467" s="35" t="n"/>
      <c r="D1467" s="35" t="n"/>
      <c r="E1467" s="34" t="n"/>
      <c r="F1467" s="35" t="n"/>
      <c r="G1467" s="35" t="n"/>
      <c r="H1467" s="35" t="n"/>
      <c r="I1467" s="35" t="n"/>
      <c r="J1467" s="35" t="n"/>
      <c r="K1467" s="34" t="n"/>
      <c r="L1467" s="26">
        <f>IF(A1467="","",MONTH(A1467))</f>
        <v/>
      </c>
      <c r="M1467" s="26">
        <f>IF(A1467="","",YEAR(A1467))</f>
        <v/>
      </c>
      <c r="N1467" s="26">
        <f>IF(A1467="","",CHOOSE(WEEKDAY(A1467,2),"Segunda","Terça","Quarta","Quinta","Sexta","Sábado","Domingo"))</f>
        <v/>
      </c>
      <c r="O1467" s="26">
        <f>IF(B1467="","",IF(B1467&lt;TIME(12,0,0),"Manhã",IF(B1467&lt;TIME(18,0,0),"Tarde","Noite")))</f>
        <v/>
      </c>
      <c r="P1467" s="32">
        <f>IF(G1467="","",IFERROR(INDEX(Config!$I$5:$I$16,MATCH(G1467,Config!$H$5:$H$16,0)),0))</f>
        <v/>
      </c>
      <c r="Q1467" s="30">
        <f>IF(OR(H1467&lt;&gt;"Realizado",P1467="",P1467=0),"",A1467+P1467)</f>
        <v/>
      </c>
      <c r="R1467" s="26">
        <f>IF(Q1467="","",IF(COUNTIFS($E$5:$E$3004,E1467,$A$5:$A$3004,"&gt;"&amp;A1467,$H$5:$H$3004,"&lt;&gt;Falta",$H$5:$H$3004,"&lt;&gt;Cancelado",$H$5:$H$3004,"&lt;&gt;Remarcado")&gt;0,"Sim","Não"))</f>
        <v/>
      </c>
      <c r="S1467" s="32">
        <f>IF(R1467&lt;&gt;"Não","",IF(Q1467+Config!$B$9&lt;=Config!$B$8,Config!$B$8-Q1467,""))</f>
        <v/>
      </c>
      <c r="T1467" s="26">
        <f>IF(S1467="","","Sim")</f>
        <v/>
      </c>
      <c r="U1467" s="41">
        <f>IF(T1467="Sim",S1467+ROW()/100000,0)</f>
        <v>0</v>
      </c>
      <c r="V1467" s="41">
        <f>IF(AND(H1467="Falta",L1467=Config!$B$7,M1467=Config!$B$5,COUNTIFS($E$5:E1467,E1467,$H$5:H1467,"Falta",$L$5:L1467,Config!$B$7,$M$5:M1467,Config!$B$5)=1),COUNTIFS($E$5:$E$3004,E1467,$H$5:$H$3004,"Falta",$L$5:$L$3004,Config!$B$7,$M$5:$M$3004,Config!$B$5)*1000-ROW()/100000,0)</f>
        <v>0</v>
      </c>
    </row>
    <row r="1468">
      <c r="A1468" s="39" t="n"/>
      <c r="B1468" s="40" t="n"/>
      <c r="C1468" s="35" t="n"/>
      <c r="D1468" s="35" t="n"/>
      <c r="E1468" s="34" t="n"/>
      <c r="F1468" s="35" t="n"/>
      <c r="G1468" s="35" t="n"/>
      <c r="H1468" s="35" t="n"/>
      <c r="I1468" s="35" t="n"/>
      <c r="J1468" s="35" t="n"/>
      <c r="K1468" s="34" t="n"/>
      <c r="L1468" s="26">
        <f>IF(A1468="","",MONTH(A1468))</f>
        <v/>
      </c>
      <c r="M1468" s="26">
        <f>IF(A1468="","",YEAR(A1468))</f>
        <v/>
      </c>
      <c r="N1468" s="26">
        <f>IF(A1468="","",CHOOSE(WEEKDAY(A1468,2),"Segunda","Terça","Quarta","Quinta","Sexta","Sábado","Domingo"))</f>
        <v/>
      </c>
      <c r="O1468" s="26">
        <f>IF(B1468="","",IF(B1468&lt;TIME(12,0,0),"Manhã",IF(B1468&lt;TIME(18,0,0),"Tarde","Noite")))</f>
        <v/>
      </c>
      <c r="P1468" s="32">
        <f>IF(G1468="","",IFERROR(INDEX(Config!$I$5:$I$16,MATCH(G1468,Config!$H$5:$H$16,0)),0))</f>
        <v/>
      </c>
      <c r="Q1468" s="30">
        <f>IF(OR(H1468&lt;&gt;"Realizado",P1468="",P1468=0),"",A1468+P1468)</f>
        <v/>
      </c>
      <c r="R1468" s="26">
        <f>IF(Q1468="","",IF(COUNTIFS($E$5:$E$3004,E1468,$A$5:$A$3004,"&gt;"&amp;A1468,$H$5:$H$3004,"&lt;&gt;Falta",$H$5:$H$3004,"&lt;&gt;Cancelado",$H$5:$H$3004,"&lt;&gt;Remarcado")&gt;0,"Sim","Não"))</f>
        <v/>
      </c>
      <c r="S1468" s="32">
        <f>IF(R1468&lt;&gt;"Não","",IF(Q1468+Config!$B$9&lt;=Config!$B$8,Config!$B$8-Q1468,""))</f>
        <v/>
      </c>
      <c r="T1468" s="26">
        <f>IF(S1468="","","Sim")</f>
        <v/>
      </c>
      <c r="U1468" s="41">
        <f>IF(T1468="Sim",S1468+ROW()/100000,0)</f>
        <v>0</v>
      </c>
      <c r="V1468" s="41">
        <f>IF(AND(H1468="Falta",L1468=Config!$B$7,M1468=Config!$B$5,COUNTIFS($E$5:E1468,E1468,$H$5:H1468,"Falta",$L$5:L1468,Config!$B$7,$M$5:M1468,Config!$B$5)=1),COUNTIFS($E$5:$E$3004,E1468,$H$5:$H$3004,"Falta",$L$5:$L$3004,Config!$B$7,$M$5:$M$3004,Config!$B$5)*1000-ROW()/100000,0)</f>
        <v>0</v>
      </c>
    </row>
    <row r="1469">
      <c r="A1469" s="39" t="n"/>
      <c r="B1469" s="40" t="n"/>
      <c r="C1469" s="35" t="n"/>
      <c r="D1469" s="35" t="n"/>
      <c r="E1469" s="34" t="n"/>
      <c r="F1469" s="35" t="n"/>
      <c r="G1469" s="35" t="n"/>
      <c r="H1469" s="35" t="n"/>
      <c r="I1469" s="35" t="n"/>
      <c r="J1469" s="35" t="n"/>
      <c r="K1469" s="34" t="n"/>
      <c r="L1469" s="26">
        <f>IF(A1469="","",MONTH(A1469))</f>
        <v/>
      </c>
      <c r="M1469" s="26">
        <f>IF(A1469="","",YEAR(A1469))</f>
        <v/>
      </c>
      <c r="N1469" s="26">
        <f>IF(A1469="","",CHOOSE(WEEKDAY(A1469,2),"Segunda","Terça","Quarta","Quinta","Sexta","Sábado","Domingo"))</f>
        <v/>
      </c>
      <c r="O1469" s="26">
        <f>IF(B1469="","",IF(B1469&lt;TIME(12,0,0),"Manhã",IF(B1469&lt;TIME(18,0,0),"Tarde","Noite")))</f>
        <v/>
      </c>
      <c r="P1469" s="32">
        <f>IF(G1469="","",IFERROR(INDEX(Config!$I$5:$I$16,MATCH(G1469,Config!$H$5:$H$16,0)),0))</f>
        <v/>
      </c>
      <c r="Q1469" s="30">
        <f>IF(OR(H1469&lt;&gt;"Realizado",P1469="",P1469=0),"",A1469+P1469)</f>
        <v/>
      </c>
      <c r="R1469" s="26">
        <f>IF(Q1469="","",IF(COUNTIFS($E$5:$E$3004,E1469,$A$5:$A$3004,"&gt;"&amp;A1469,$H$5:$H$3004,"&lt;&gt;Falta",$H$5:$H$3004,"&lt;&gt;Cancelado",$H$5:$H$3004,"&lt;&gt;Remarcado")&gt;0,"Sim","Não"))</f>
        <v/>
      </c>
      <c r="S1469" s="32">
        <f>IF(R1469&lt;&gt;"Não","",IF(Q1469+Config!$B$9&lt;=Config!$B$8,Config!$B$8-Q1469,""))</f>
        <v/>
      </c>
      <c r="T1469" s="26">
        <f>IF(S1469="","","Sim")</f>
        <v/>
      </c>
      <c r="U1469" s="41">
        <f>IF(T1469="Sim",S1469+ROW()/100000,0)</f>
        <v>0</v>
      </c>
      <c r="V1469" s="41">
        <f>IF(AND(H1469="Falta",L1469=Config!$B$7,M1469=Config!$B$5,COUNTIFS($E$5:E1469,E1469,$H$5:H1469,"Falta",$L$5:L1469,Config!$B$7,$M$5:M1469,Config!$B$5)=1),COUNTIFS($E$5:$E$3004,E1469,$H$5:$H$3004,"Falta",$L$5:$L$3004,Config!$B$7,$M$5:$M$3004,Config!$B$5)*1000-ROW()/100000,0)</f>
        <v>0</v>
      </c>
    </row>
    <row r="1470">
      <c r="A1470" s="39" t="n"/>
      <c r="B1470" s="40" t="n"/>
      <c r="C1470" s="35" t="n"/>
      <c r="D1470" s="35" t="n"/>
      <c r="E1470" s="34" t="n"/>
      <c r="F1470" s="35" t="n"/>
      <c r="G1470" s="35" t="n"/>
      <c r="H1470" s="35" t="n"/>
      <c r="I1470" s="35" t="n"/>
      <c r="J1470" s="35" t="n"/>
      <c r="K1470" s="34" t="n"/>
      <c r="L1470" s="26">
        <f>IF(A1470="","",MONTH(A1470))</f>
        <v/>
      </c>
      <c r="M1470" s="26">
        <f>IF(A1470="","",YEAR(A1470))</f>
        <v/>
      </c>
      <c r="N1470" s="26">
        <f>IF(A1470="","",CHOOSE(WEEKDAY(A1470,2),"Segunda","Terça","Quarta","Quinta","Sexta","Sábado","Domingo"))</f>
        <v/>
      </c>
      <c r="O1470" s="26">
        <f>IF(B1470="","",IF(B1470&lt;TIME(12,0,0),"Manhã",IF(B1470&lt;TIME(18,0,0),"Tarde","Noite")))</f>
        <v/>
      </c>
      <c r="P1470" s="32">
        <f>IF(G1470="","",IFERROR(INDEX(Config!$I$5:$I$16,MATCH(G1470,Config!$H$5:$H$16,0)),0))</f>
        <v/>
      </c>
      <c r="Q1470" s="30">
        <f>IF(OR(H1470&lt;&gt;"Realizado",P1470="",P1470=0),"",A1470+P1470)</f>
        <v/>
      </c>
      <c r="R1470" s="26">
        <f>IF(Q1470="","",IF(COUNTIFS($E$5:$E$3004,E1470,$A$5:$A$3004,"&gt;"&amp;A1470,$H$5:$H$3004,"&lt;&gt;Falta",$H$5:$H$3004,"&lt;&gt;Cancelado",$H$5:$H$3004,"&lt;&gt;Remarcado")&gt;0,"Sim","Não"))</f>
        <v/>
      </c>
      <c r="S1470" s="32">
        <f>IF(R1470&lt;&gt;"Não","",IF(Q1470+Config!$B$9&lt;=Config!$B$8,Config!$B$8-Q1470,""))</f>
        <v/>
      </c>
      <c r="T1470" s="26">
        <f>IF(S1470="","","Sim")</f>
        <v/>
      </c>
      <c r="U1470" s="41">
        <f>IF(T1470="Sim",S1470+ROW()/100000,0)</f>
        <v>0</v>
      </c>
      <c r="V1470" s="41">
        <f>IF(AND(H1470="Falta",L1470=Config!$B$7,M1470=Config!$B$5,COUNTIFS($E$5:E1470,E1470,$H$5:H1470,"Falta",$L$5:L1470,Config!$B$7,$M$5:M1470,Config!$B$5)=1),COUNTIFS($E$5:$E$3004,E1470,$H$5:$H$3004,"Falta",$L$5:$L$3004,Config!$B$7,$M$5:$M$3004,Config!$B$5)*1000-ROW()/100000,0)</f>
        <v>0</v>
      </c>
    </row>
    <row r="1471">
      <c r="A1471" s="39" t="n"/>
      <c r="B1471" s="40" t="n"/>
      <c r="C1471" s="35" t="n"/>
      <c r="D1471" s="35" t="n"/>
      <c r="E1471" s="34" t="n"/>
      <c r="F1471" s="35" t="n"/>
      <c r="G1471" s="35" t="n"/>
      <c r="H1471" s="35" t="n"/>
      <c r="I1471" s="35" t="n"/>
      <c r="J1471" s="35" t="n"/>
      <c r="K1471" s="34" t="n"/>
      <c r="L1471" s="26">
        <f>IF(A1471="","",MONTH(A1471))</f>
        <v/>
      </c>
      <c r="M1471" s="26">
        <f>IF(A1471="","",YEAR(A1471))</f>
        <v/>
      </c>
      <c r="N1471" s="26">
        <f>IF(A1471="","",CHOOSE(WEEKDAY(A1471,2),"Segunda","Terça","Quarta","Quinta","Sexta","Sábado","Domingo"))</f>
        <v/>
      </c>
      <c r="O1471" s="26">
        <f>IF(B1471="","",IF(B1471&lt;TIME(12,0,0),"Manhã",IF(B1471&lt;TIME(18,0,0),"Tarde","Noite")))</f>
        <v/>
      </c>
      <c r="P1471" s="32">
        <f>IF(G1471="","",IFERROR(INDEX(Config!$I$5:$I$16,MATCH(G1471,Config!$H$5:$H$16,0)),0))</f>
        <v/>
      </c>
      <c r="Q1471" s="30">
        <f>IF(OR(H1471&lt;&gt;"Realizado",P1471="",P1471=0),"",A1471+P1471)</f>
        <v/>
      </c>
      <c r="R1471" s="26">
        <f>IF(Q1471="","",IF(COUNTIFS($E$5:$E$3004,E1471,$A$5:$A$3004,"&gt;"&amp;A1471,$H$5:$H$3004,"&lt;&gt;Falta",$H$5:$H$3004,"&lt;&gt;Cancelado",$H$5:$H$3004,"&lt;&gt;Remarcado")&gt;0,"Sim","Não"))</f>
        <v/>
      </c>
      <c r="S1471" s="32">
        <f>IF(R1471&lt;&gt;"Não","",IF(Q1471+Config!$B$9&lt;=Config!$B$8,Config!$B$8-Q1471,""))</f>
        <v/>
      </c>
      <c r="T1471" s="26">
        <f>IF(S1471="","","Sim")</f>
        <v/>
      </c>
      <c r="U1471" s="41">
        <f>IF(T1471="Sim",S1471+ROW()/100000,0)</f>
        <v>0</v>
      </c>
      <c r="V1471" s="41">
        <f>IF(AND(H1471="Falta",L1471=Config!$B$7,M1471=Config!$B$5,COUNTIFS($E$5:E1471,E1471,$H$5:H1471,"Falta",$L$5:L1471,Config!$B$7,$M$5:M1471,Config!$B$5)=1),COUNTIFS($E$5:$E$3004,E1471,$H$5:$H$3004,"Falta",$L$5:$L$3004,Config!$B$7,$M$5:$M$3004,Config!$B$5)*1000-ROW()/100000,0)</f>
        <v>0</v>
      </c>
    </row>
    <row r="1472">
      <c r="A1472" s="39" t="n"/>
      <c r="B1472" s="40" t="n"/>
      <c r="C1472" s="35" t="n"/>
      <c r="D1472" s="35" t="n"/>
      <c r="E1472" s="34" t="n"/>
      <c r="F1472" s="35" t="n"/>
      <c r="G1472" s="35" t="n"/>
      <c r="H1472" s="35" t="n"/>
      <c r="I1472" s="35" t="n"/>
      <c r="J1472" s="35" t="n"/>
      <c r="K1472" s="34" t="n"/>
      <c r="L1472" s="26">
        <f>IF(A1472="","",MONTH(A1472))</f>
        <v/>
      </c>
      <c r="M1472" s="26">
        <f>IF(A1472="","",YEAR(A1472))</f>
        <v/>
      </c>
      <c r="N1472" s="26">
        <f>IF(A1472="","",CHOOSE(WEEKDAY(A1472,2),"Segunda","Terça","Quarta","Quinta","Sexta","Sábado","Domingo"))</f>
        <v/>
      </c>
      <c r="O1472" s="26">
        <f>IF(B1472="","",IF(B1472&lt;TIME(12,0,0),"Manhã",IF(B1472&lt;TIME(18,0,0),"Tarde","Noite")))</f>
        <v/>
      </c>
      <c r="P1472" s="32">
        <f>IF(G1472="","",IFERROR(INDEX(Config!$I$5:$I$16,MATCH(G1472,Config!$H$5:$H$16,0)),0))</f>
        <v/>
      </c>
      <c r="Q1472" s="30">
        <f>IF(OR(H1472&lt;&gt;"Realizado",P1472="",P1472=0),"",A1472+P1472)</f>
        <v/>
      </c>
      <c r="R1472" s="26">
        <f>IF(Q1472="","",IF(COUNTIFS($E$5:$E$3004,E1472,$A$5:$A$3004,"&gt;"&amp;A1472,$H$5:$H$3004,"&lt;&gt;Falta",$H$5:$H$3004,"&lt;&gt;Cancelado",$H$5:$H$3004,"&lt;&gt;Remarcado")&gt;0,"Sim","Não"))</f>
        <v/>
      </c>
      <c r="S1472" s="32">
        <f>IF(R1472&lt;&gt;"Não","",IF(Q1472+Config!$B$9&lt;=Config!$B$8,Config!$B$8-Q1472,""))</f>
        <v/>
      </c>
      <c r="T1472" s="26">
        <f>IF(S1472="","","Sim")</f>
        <v/>
      </c>
      <c r="U1472" s="41">
        <f>IF(T1472="Sim",S1472+ROW()/100000,0)</f>
        <v>0</v>
      </c>
      <c r="V1472" s="41">
        <f>IF(AND(H1472="Falta",L1472=Config!$B$7,M1472=Config!$B$5,COUNTIFS($E$5:E1472,E1472,$H$5:H1472,"Falta",$L$5:L1472,Config!$B$7,$M$5:M1472,Config!$B$5)=1),COUNTIFS($E$5:$E$3004,E1472,$H$5:$H$3004,"Falta",$L$5:$L$3004,Config!$B$7,$M$5:$M$3004,Config!$B$5)*1000-ROW()/100000,0)</f>
        <v>0</v>
      </c>
    </row>
    <row r="1473">
      <c r="A1473" s="39" t="n"/>
      <c r="B1473" s="40" t="n"/>
      <c r="C1473" s="35" t="n"/>
      <c r="D1473" s="35" t="n"/>
      <c r="E1473" s="34" t="n"/>
      <c r="F1473" s="35" t="n"/>
      <c r="G1473" s="35" t="n"/>
      <c r="H1473" s="35" t="n"/>
      <c r="I1473" s="35" t="n"/>
      <c r="J1473" s="35" t="n"/>
      <c r="K1473" s="34" t="n"/>
      <c r="L1473" s="26">
        <f>IF(A1473="","",MONTH(A1473))</f>
        <v/>
      </c>
      <c r="M1473" s="26">
        <f>IF(A1473="","",YEAR(A1473))</f>
        <v/>
      </c>
      <c r="N1473" s="26">
        <f>IF(A1473="","",CHOOSE(WEEKDAY(A1473,2),"Segunda","Terça","Quarta","Quinta","Sexta","Sábado","Domingo"))</f>
        <v/>
      </c>
      <c r="O1473" s="26">
        <f>IF(B1473="","",IF(B1473&lt;TIME(12,0,0),"Manhã",IF(B1473&lt;TIME(18,0,0),"Tarde","Noite")))</f>
        <v/>
      </c>
      <c r="P1473" s="32">
        <f>IF(G1473="","",IFERROR(INDEX(Config!$I$5:$I$16,MATCH(G1473,Config!$H$5:$H$16,0)),0))</f>
        <v/>
      </c>
      <c r="Q1473" s="30">
        <f>IF(OR(H1473&lt;&gt;"Realizado",P1473="",P1473=0),"",A1473+P1473)</f>
        <v/>
      </c>
      <c r="R1473" s="26">
        <f>IF(Q1473="","",IF(COUNTIFS($E$5:$E$3004,E1473,$A$5:$A$3004,"&gt;"&amp;A1473,$H$5:$H$3004,"&lt;&gt;Falta",$H$5:$H$3004,"&lt;&gt;Cancelado",$H$5:$H$3004,"&lt;&gt;Remarcado")&gt;0,"Sim","Não"))</f>
        <v/>
      </c>
      <c r="S1473" s="32">
        <f>IF(R1473&lt;&gt;"Não","",IF(Q1473+Config!$B$9&lt;=Config!$B$8,Config!$B$8-Q1473,""))</f>
        <v/>
      </c>
      <c r="T1473" s="26">
        <f>IF(S1473="","","Sim")</f>
        <v/>
      </c>
      <c r="U1473" s="41">
        <f>IF(T1473="Sim",S1473+ROW()/100000,0)</f>
        <v>0</v>
      </c>
      <c r="V1473" s="41">
        <f>IF(AND(H1473="Falta",L1473=Config!$B$7,M1473=Config!$B$5,COUNTIFS($E$5:E1473,E1473,$H$5:H1473,"Falta",$L$5:L1473,Config!$B$7,$M$5:M1473,Config!$B$5)=1),COUNTIFS($E$5:$E$3004,E1473,$H$5:$H$3004,"Falta",$L$5:$L$3004,Config!$B$7,$M$5:$M$3004,Config!$B$5)*1000-ROW()/100000,0)</f>
        <v>0</v>
      </c>
    </row>
    <row r="1474">
      <c r="A1474" s="39" t="n"/>
      <c r="B1474" s="40" t="n"/>
      <c r="C1474" s="35" t="n"/>
      <c r="D1474" s="35" t="n"/>
      <c r="E1474" s="34" t="n"/>
      <c r="F1474" s="35" t="n"/>
      <c r="G1474" s="35" t="n"/>
      <c r="H1474" s="35" t="n"/>
      <c r="I1474" s="35" t="n"/>
      <c r="J1474" s="35" t="n"/>
      <c r="K1474" s="34" t="n"/>
      <c r="L1474" s="26">
        <f>IF(A1474="","",MONTH(A1474))</f>
        <v/>
      </c>
      <c r="M1474" s="26">
        <f>IF(A1474="","",YEAR(A1474))</f>
        <v/>
      </c>
      <c r="N1474" s="26">
        <f>IF(A1474="","",CHOOSE(WEEKDAY(A1474,2),"Segunda","Terça","Quarta","Quinta","Sexta","Sábado","Domingo"))</f>
        <v/>
      </c>
      <c r="O1474" s="26">
        <f>IF(B1474="","",IF(B1474&lt;TIME(12,0,0),"Manhã",IF(B1474&lt;TIME(18,0,0),"Tarde","Noite")))</f>
        <v/>
      </c>
      <c r="P1474" s="32">
        <f>IF(G1474="","",IFERROR(INDEX(Config!$I$5:$I$16,MATCH(G1474,Config!$H$5:$H$16,0)),0))</f>
        <v/>
      </c>
      <c r="Q1474" s="30">
        <f>IF(OR(H1474&lt;&gt;"Realizado",P1474="",P1474=0),"",A1474+P1474)</f>
        <v/>
      </c>
      <c r="R1474" s="26">
        <f>IF(Q1474="","",IF(COUNTIFS($E$5:$E$3004,E1474,$A$5:$A$3004,"&gt;"&amp;A1474,$H$5:$H$3004,"&lt;&gt;Falta",$H$5:$H$3004,"&lt;&gt;Cancelado",$H$5:$H$3004,"&lt;&gt;Remarcado")&gt;0,"Sim","Não"))</f>
        <v/>
      </c>
      <c r="S1474" s="32">
        <f>IF(R1474&lt;&gt;"Não","",IF(Q1474+Config!$B$9&lt;=Config!$B$8,Config!$B$8-Q1474,""))</f>
        <v/>
      </c>
      <c r="T1474" s="26">
        <f>IF(S1474="","","Sim")</f>
        <v/>
      </c>
      <c r="U1474" s="41">
        <f>IF(T1474="Sim",S1474+ROW()/100000,0)</f>
        <v>0</v>
      </c>
      <c r="V1474" s="41">
        <f>IF(AND(H1474="Falta",L1474=Config!$B$7,M1474=Config!$B$5,COUNTIFS($E$5:E1474,E1474,$H$5:H1474,"Falta",$L$5:L1474,Config!$B$7,$M$5:M1474,Config!$B$5)=1),COUNTIFS($E$5:$E$3004,E1474,$H$5:$H$3004,"Falta",$L$5:$L$3004,Config!$B$7,$M$5:$M$3004,Config!$B$5)*1000-ROW()/100000,0)</f>
        <v>0</v>
      </c>
    </row>
    <row r="1475">
      <c r="A1475" s="39" t="n"/>
      <c r="B1475" s="40" t="n"/>
      <c r="C1475" s="35" t="n"/>
      <c r="D1475" s="35" t="n"/>
      <c r="E1475" s="34" t="n"/>
      <c r="F1475" s="35" t="n"/>
      <c r="G1475" s="35" t="n"/>
      <c r="H1475" s="35" t="n"/>
      <c r="I1475" s="35" t="n"/>
      <c r="J1475" s="35" t="n"/>
      <c r="K1475" s="34" t="n"/>
      <c r="L1475" s="26">
        <f>IF(A1475="","",MONTH(A1475))</f>
        <v/>
      </c>
      <c r="M1475" s="26">
        <f>IF(A1475="","",YEAR(A1475))</f>
        <v/>
      </c>
      <c r="N1475" s="26">
        <f>IF(A1475="","",CHOOSE(WEEKDAY(A1475,2),"Segunda","Terça","Quarta","Quinta","Sexta","Sábado","Domingo"))</f>
        <v/>
      </c>
      <c r="O1475" s="26">
        <f>IF(B1475="","",IF(B1475&lt;TIME(12,0,0),"Manhã",IF(B1475&lt;TIME(18,0,0),"Tarde","Noite")))</f>
        <v/>
      </c>
      <c r="P1475" s="32">
        <f>IF(G1475="","",IFERROR(INDEX(Config!$I$5:$I$16,MATCH(G1475,Config!$H$5:$H$16,0)),0))</f>
        <v/>
      </c>
      <c r="Q1475" s="30">
        <f>IF(OR(H1475&lt;&gt;"Realizado",P1475="",P1475=0),"",A1475+P1475)</f>
        <v/>
      </c>
      <c r="R1475" s="26">
        <f>IF(Q1475="","",IF(COUNTIFS($E$5:$E$3004,E1475,$A$5:$A$3004,"&gt;"&amp;A1475,$H$5:$H$3004,"&lt;&gt;Falta",$H$5:$H$3004,"&lt;&gt;Cancelado",$H$5:$H$3004,"&lt;&gt;Remarcado")&gt;0,"Sim","Não"))</f>
        <v/>
      </c>
      <c r="S1475" s="32">
        <f>IF(R1475&lt;&gt;"Não","",IF(Q1475+Config!$B$9&lt;=Config!$B$8,Config!$B$8-Q1475,""))</f>
        <v/>
      </c>
      <c r="T1475" s="26">
        <f>IF(S1475="","","Sim")</f>
        <v/>
      </c>
      <c r="U1475" s="41">
        <f>IF(T1475="Sim",S1475+ROW()/100000,0)</f>
        <v>0</v>
      </c>
      <c r="V1475" s="41">
        <f>IF(AND(H1475="Falta",L1475=Config!$B$7,M1475=Config!$B$5,COUNTIFS($E$5:E1475,E1475,$H$5:H1475,"Falta",$L$5:L1475,Config!$B$7,$M$5:M1475,Config!$B$5)=1),COUNTIFS($E$5:$E$3004,E1475,$H$5:$H$3004,"Falta",$L$5:$L$3004,Config!$B$7,$M$5:$M$3004,Config!$B$5)*1000-ROW()/100000,0)</f>
        <v>0</v>
      </c>
    </row>
    <row r="1476">
      <c r="A1476" s="39" t="n"/>
      <c r="B1476" s="40" t="n"/>
      <c r="C1476" s="35" t="n"/>
      <c r="D1476" s="35" t="n"/>
      <c r="E1476" s="34" t="n"/>
      <c r="F1476" s="35" t="n"/>
      <c r="G1476" s="35" t="n"/>
      <c r="H1476" s="35" t="n"/>
      <c r="I1476" s="35" t="n"/>
      <c r="J1476" s="35" t="n"/>
      <c r="K1476" s="34" t="n"/>
      <c r="L1476" s="26">
        <f>IF(A1476="","",MONTH(A1476))</f>
        <v/>
      </c>
      <c r="M1476" s="26">
        <f>IF(A1476="","",YEAR(A1476))</f>
        <v/>
      </c>
      <c r="N1476" s="26">
        <f>IF(A1476="","",CHOOSE(WEEKDAY(A1476,2),"Segunda","Terça","Quarta","Quinta","Sexta","Sábado","Domingo"))</f>
        <v/>
      </c>
      <c r="O1476" s="26">
        <f>IF(B1476="","",IF(B1476&lt;TIME(12,0,0),"Manhã",IF(B1476&lt;TIME(18,0,0),"Tarde","Noite")))</f>
        <v/>
      </c>
      <c r="P1476" s="32">
        <f>IF(G1476="","",IFERROR(INDEX(Config!$I$5:$I$16,MATCH(G1476,Config!$H$5:$H$16,0)),0))</f>
        <v/>
      </c>
      <c r="Q1476" s="30">
        <f>IF(OR(H1476&lt;&gt;"Realizado",P1476="",P1476=0),"",A1476+P1476)</f>
        <v/>
      </c>
      <c r="R1476" s="26">
        <f>IF(Q1476="","",IF(COUNTIFS($E$5:$E$3004,E1476,$A$5:$A$3004,"&gt;"&amp;A1476,$H$5:$H$3004,"&lt;&gt;Falta",$H$5:$H$3004,"&lt;&gt;Cancelado",$H$5:$H$3004,"&lt;&gt;Remarcado")&gt;0,"Sim","Não"))</f>
        <v/>
      </c>
      <c r="S1476" s="32">
        <f>IF(R1476&lt;&gt;"Não","",IF(Q1476+Config!$B$9&lt;=Config!$B$8,Config!$B$8-Q1476,""))</f>
        <v/>
      </c>
      <c r="T1476" s="26">
        <f>IF(S1476="","","Sim")</f>
        <v/>
      </c>
      <c r="U1476" s="41">
        <f>IF(T1476="Sim",S1476+ROW()/100000,0)</f>
        <v>0</v>
      </c>
      <c r="V1476" s="41">
        <f>IF(AND(H1476="Falta",L1476=Config!$B$7,M1476=Config!$B$5,COUNTIFS($E$5:E1476,E1476,$H$5:H1476,"Falta",$L$5:L1476,Config!$B$7,$M$5:M1476,Config!$B$5)=1),COUNTIFS($E$5:$E$3004,E1476,$H$5:$H$3004,"Falta",$L$5:$L$3004,Config!$B$7,$M$5:$M$3004,Config!$B$5)*1000-ROW()/100000,0)</f>
        <v>0</v>
      </c>
    </row>
    <row r="1477">
      <c r="A1477" s="39" t="n"/>
      <c r="B1477" s="40" t="n"/>
      <c r="C1477" s="35" t="n"/>
      <c r="D1477" s="35" t="n"/>
      <c r="E1477" s="34" t="n"/>
      <c r="F1477" s="35" t="n"/>
      <c r="G1477" s="35" t="n"/>
      <c r="H1477" s="35" t="n"/>
      <c r="I1477" s="35" t="n"/>
      <c r="J1477" s="35" t="n"/>
      <c r="K1477" s="34" t="n"/>
      <c r="L1477" s="26">
        <f>IF(A1477="","",MONTH(A1477))</f>
        <v/>
      </c>
      <c r="M1477" s="26">
        <f>IF(A1477="","",YEAR(A1477))</f>
        <v/>
      </c>
      <c r="N1477" s="26">
        <f>IF(A1477="","",CHOOSE(WEEKDAY(A1477,2),"Segunda","Terça","Quarta","Quinta","Sexta","Sábado","Domingo"))</f>
        <v/>
      </c>
      <c r="O1477" s="26">
        <f>IF(B1477="","",IF(B1477&lt;TIME(12,0,0),"Manhã",IF(B1477&lt;TIME(18,0,0),"Tarde","Noite")))</f>
        <v/>
      </c>
      <c r="P1477" s="32">
        <f>IF(G1477="","",IFERROR(INDEX(Config!$I$5:$I$16,MATCH(G1477,Config!$H$5:$H$16,0)),0))</f>
        <v/>
      </c>
      <c r="Q1477" s="30">
        <f>IF(OR(H1477&lt;&gt;"Realizado",P1477="",P1477=0),"",A1477+P1477)</f>
        <v/>
      </c>
      <c r="R1477" s="26">
        <f>IF(Q1477="","",IF(COUNTIFS($E$5:$E$3004,E1477,$A$5:$A$3004,"&gt;"&amp;A1477,$H$5:$H$3004,"&lt;&gt;Falta",$H$5:$H$3004,"&lt;&gt;Cancelado",$H$5:$H$3004,"&lt;&gt;Remarcado")&gt;0,"Sim","Não"))</f>
        <v/>
      </c>
      <c r="S1477" s="32">
        <f>IF(R1477&lt;&gt;"Não","",IF(Q1477+Config!$B$9&lt;=Config!$B$8,Config!$B$8-Q1477,""))</f>
        <v/>
      </c>
      <c r="T1477" s="26">
        <f>IF(S1477="","","Sim")</f>
        <v/>
      </c>
      <c r="U1477" s="41">
        <f>IF(T1477="Sim",S1477+ROW()/100000,0)</f>
        <v>0</v>
      </c>
      <c r="V1477" s="41">
        <f>IF(AND(H1477="Falta",L1477=Config!$B$7,M1477=Config!$B$5,COUNTIFS($E$5:E1477,E1477,$H$5:H1477,"Falta",$L$5:L1477,Config!$B$7,$M$5:M1477,Config!$B$5)=1),COUNTIFS($E$5:$E$3004,E1477,$H$5:$H$3004,"Falta",$L$5:$L$3004,Config!$B$7,$M$5:$M$3004,Config!$B$5)*1000-ROW()/100000,0)</f>
        <v>0</v>
      </c>
    </row>
    <row r="1478">
      <c r="A1478" s="39" t="n"/>
      <c r="B1478" s="40" t="n"/>
      <c r="C1478" s="35" t="n"/>
      <c r="D1478" s="35" t="n"/>
      <c r="E1478" s="34" t="n"/>
      <c r="F1478" s="35" t="n"/>
      <c r="G1478" s="35" t="n"/>
      <c r="H1478" s="35" t="n"/>
      <c r="I1478" s="35" t="n"/>
      <c r="J1478" s="35" t="n"/>
      <c r="K1478" s="34" t="n"/>
      <c r="L1478" s="26">
        <f>IF(A1478="","",MONTH(A1478))</f>
        <v/>
      </c>
      <c r="M1478" s="26">
        <f>IF(A1478="","",YEAR(A1478))</f>
        <v/>
      </c>
      <c r="N1478" s="26">
        <f>IF(A1478="","",CHOOSE(WEEKDAY(A1478,2),"Segunda","Terça","Quarta","Quinta","Sexta","Sábado","Domingo"))</f>
        <v/>
      </c>
      <c r="O1478" s="26">
        <f>IF(B1478="","",IF(B1478&lt;TIME(12,0,0),"Manhã",IF(B1478&lt;TIME(18,0,0),"Tarde","Noite")))</f>
        <v/>
      </c>
      <c r="P1478" s="32">
        <f>IF(G1478="","",IFERROR(INDEX(Config!$I$5:$I$16,MATCH(G1478,Config!$H$5:$H$16,0)),0))</f>
        <v/>
      </c>
      <c r="Q1478" s="30">
        <f>IF(OR(H1478&lt;&gt;"Realizado",P1478="",P1478=0),"",A1478+P1478)</f>
        <v/>
      </c>
      <c r="R1478" s="26">
        <f>IF(Q1478="","",IF(COUNTIFS($E$5:$E$3004,E1478,$A$5:$A$3004,"&gt;"&amp;A1478,$H$5:$H$3004,"&lt;&gt;Falta",$H$5:$H$3004,"&lt;&gt;Cancelado",$H$5:$H$3004,"&lt;&gt;Remarcado")&gt;0,"Sim","Não"))</f>
        <v/>
      </c>
      <c r="S1478" s="32">
        <f>IF(R1478&lt;&gt;"Não","",IF(Q1478+Config!$B$9&lt;=Config!$B$8,Config!$B$8-Q1478,""))</f>
        <v/>
      </c>
      <c r="T1478" s="26">
        <f>IF(S1478="","","Sim")</f>
        <v/>
      </c>
      <c r="U1478" s="41">
        <f>IF(T1478="Sim",S1478+ROW()/100000,0)</f>
        <v>0</v>
      </c>
      <c r="V1478" s="41">
        <f>IF(AND(H1478="Falta",L1478=Config!$B$7,M1478=Config!$B$5,COUNTIFS($E$5:E1478,E1478,$H$5:H1478,"Falta",$L$5:L1478,Config!$B$7,$M$5:M1478,Config!$B$5)=1),COUNTIFS($E$5:$E$3004,E1478,$H$5:$H$3004,"Falta",$L$5:$L$3004,Config!$B$7,$M$5:$M$3004,Config!$B$5)*1000-ROW()/100000,0)</f>
        <v>0</v>
      </c>
    </row>
    <row r="1479">
      <c r="A1479" s="39" t="n"/>
      <c r="B1479" s="40" t="n"/>
      <c r="C1479" s="35" t="n"/>
      <c r="D1479" s="35" t="n"/>
      <c r="E1479" s="34" t="n"/>
      <c r="F1479" s="35" t="n"/>
      <c r="G1479" s="35" t="n"/>
      <c r="H1479" s="35" t="n"/>
      <c r="I1479" s="35" t="n"/>
      <c r="J1479" s="35" t="n"/>
      <c r="K1479" s="34" t="n"/>
      <c r="L1479" s="26">
        <f>IF(A1479="","",MONTH(A1479))</f>
        <v/>
      </c>
      <c r="M1479" s="26">
        <f>IF(A1479="","",YEAR(A1479))</f>
        <v/>
      </c>
      <c r="N1479" s="26">
        <f>IF(A1479="","",CHOOSE(WEEKDAY(A1479,2),"Segunda","Terça","Quarta","Quinta","Sexta","Sábado","Domingo"))</f>
        <v/>
      </c>
      <c r="O1479" s="26">
        <f>IF(B1479="","",IF(B1479&lt;TIME(12,0,0),"Manhã",IF(B1479&lt;TIME(18,0,0),"Tarde","Noite")))</f>
        <v/>
      </c>
      <c r="P1479" s="32">
        <f>IF(G1479="","",IFERROR(INDEX(Config!$I$5:$I$16,MATCH(G1479,Config!$H$5:$H$16,0)),0))</f>
        <v/>
      </c>
      <c r="Q1479" s="30">
        <f>IF(OR(H1479&lt;&gt;"Realizado",P1479="",P1479=0),"",A1479+P1479)</f>
        <v/>
      </c>
      <c r="R1479" s="26">
        <f>IF(Q1479="","",IF(COUNTIFS($E$5:$E$3004,E1479,$A$5:$A$3004,"&gt;"&amp;A1479,$H$5:$H$3004,"&lt;&gt;Falta",$H$5:$H$3004,"&lt;&gt;Cancelado",$H$5:$H$3004,"&lt;&gt;Remarcado")&gt;0,"Sim","Não"))</f>
        <v/>
      </c>
      <c r="S1479" s="32">
        <f>IF(R1479&lt;&gt;"Não","",IF(Q1479+Config!$B$9&lt;=Config!$B$8,Config!$B$8-Q1479,""))</f>
        <v/>
      </c>
      <c r="T1479" s="26">
        <f>IF(S1479="","","Sim")</f>
        <v/>
      </c>
      <c r="U1479" s="41">
        <f>IF(T1479="Sim",S1479+ROW()/100000,0)</f>
        <v>0</v>
      </c>
      <c r="V1479" s="41">
        <f>IF(AND(H1479="Falta",L1479=Config!$B$7,M1479=Config!$B$5,COUNTIFS($E$5:E1479,E1479,$H$5:H1479,"Falta",$L$5:L1479,Config!$B$7,$M$5:M1479,Config!$B$5)=1),COUNTIFS($E$5:$E$3004,E1479,$H$5:$H$3004,"Falta",$L$5:$L$3004,Config!$B$7,$M$5:$M$3004,Config!$B$5)*1000-ROW()/100000,0)</f>
        <v>0</v>
      </c>
    </row>
    <row r="1480">
      <c r="A1480" s="39" t="n"/>
      <c r="B1480" s="40" t="n"/>
      <c r="C1480" s="35" t="n"/>
      <c r="D1480" s="35" t="n"/>
      <c r="E1480" s="34" t="n"/>
      <c r="F1480" s="35" t="n"/>
      <c r="G1480" s="35" t="n"/>
      <c r="H1480" s="35" t="n"/>
      <c r="I1480" s="35" t="n"/>
      <c r="J1480" s="35" t="n"/>
      <c r="K1480" s="34" t="n"/>
      <c r="L1480" s="26">
        <f>IF(A1480="","",MONTH(A1480))</f>
        <v/>
      </c>
      <c r="M1480" s="26">
        <f>IF(A1480="","",YEAR(A1480))</f>
        <v/>
      </c>
      <c r="N1480" s="26">
        <f>IF(A1480="","",CHOOSE(WEEKDAY(A1480,2),"Segunda","Terça","Quarta","Quinta","Sexta","Sábado","Domingo"))</f>
        <v/>
      </c>
      <c r="O1480" s="26">
        <f>IF(B1480="","",IF(B1480&lt;TIME(12,0,0),"Manhã",IF(B1480&lt;TIME(18,0,0),"Tarde","Noite")))</f>
        <v/>
      </c>
      <c r="P1480" s="32">
        <f>IF(G1480="","",IFERROR(INDEX(Config!$I$5:$I$16,MATCH(G1480,Config!$H$5:$H$16,0)),0))</f>
        <v/>
      </c>
      <c r="Q1480" s="30">
        <f>IF(OR(H1480&lt;&gt;"Realizado",P1480="",P1480=0),"",A1480+P1480)</f>
        <v/>
      </c>
      <c r="R1480" s="26">
        <f>IF(Q1480="","",IF(COUNTIFS($E$5:$E$3004,E1480,$A$5:$A$3004,"&gt;"&amp;A1480,$H$5:$H$3004,"&lt;&gt;Falta",$H$5:$H$3004,"&lt;&gt;Cancelado",$H$5:$H$3004,"&lt;&gt;Remarcado")&gt;0,"Sim","Não"))</f>
        <v/>
      </c>
      <c r="S1480" s="32">
        <f>IF(R1480&lt;&gt;"Não","",IF(Q1480+Config!$B$9&lt;=Config!$B$8,Config!$B$8-Q1480,""))</f>
        <v/>
      </c>
      <c r="T1480" s="26">
        <f>IF(S1480="","","Sim")</f>
        <v/>
      </c>
      <c r="U1480" s="41">
        <f>IF(T1480="Sim",S1480+ROW()/100000,0)</f>
        <v>0</v>
      </c>
      <c r="V1480" s="41">
        <f>IF(AND(H1480="Falta",L1480=Config!$B$7,M1480=Config!$B$5,COUNTIFS($E$5:E1480,E1480,$H$5:H1480,"Falta",$L$5:L1480,Config!$B$7,$M$5:M1480,Config!$B$5)=1),COUNTIFS($E$5:$E$3004,E1480,$H$5:$H$3004,"Falta",$L$5:$L$3004,Config!$B$7,$M$5:$M$3004,Config!$B$5)*1000-ROW()/100000,0)</f>
        <v>0</v>
      </c>
    </row>
    <row r="1481">
      <c r="A1481" s="39" t="n"/>
      <c r="B1481" s="40" t="n"/>
      <c r="C1481" s="35" t="n"/>
      <c r="D1481" s="35" t="n"/>
      <c r="E1481" s="34" t="n"/>
      <c r="F1481" s="35" t="n"/>
      <c r="G1481" s="35" t="n"/>
      <c r="H1481" s="35" t="n"/>
      <c r="I1481" s="35" t="n"/>
      <c r="J1481" s="35" t="n"/>
      <c r="K1481" s="34" t="n"/>
      <c r="L1481" s="26">
        <f>IF(A1481="","",MONTH(A1481))</f>
        <v/>
      </c>
      <c r="M1481" s="26">
        <f>IF(A1481="","",YEAR(A1481))</f>
        <v/>
      </c>
      <c r="N1481" s="26">
        <f>IF(A1481="","",CHOOSE(WEEKDAY(A1481,2),"Segunda","Terça","Quarta","Quinta","Sexta","Sábado","Domingo"))</f>
        <v/>
      </c>
      <c r="O1481" s="26">
        <f>IF(B1481="","",IF(B1481&lt;TIME(12,0,0),"Manhã",IF(B1481&lt;TIME(18,0,0),"Tarde","Noite")))</f>
        <v/>
      </c>
      <c r="P1481" s="32">
        <f>IF(G1481="","",IFERROR(INDEX(Config!$I$5:$I$16,MATCH(G1481,Config!$H$5:$H$16,0)),0))</f>
        <v/>
      </c>
      <c r="Q1481" s="30">
        <f>IF(OR(H1481&lt;&gt;"Realizado",P1481="",P1481=0),"",A1481+P1481)</f>
        <v/>
      </c>
      <c r="R1481" s="26">
        <f>IF(Q1481="","",IF(COUNTIFS($E$5:$E$3004,E1481,$A$5:$A$3004,"&gt;"&amp;A1481,$H$5:$H$3004,"&lt;&gt;Falta",$H$5:$H$3004,"&lt;&gt;Cancelado",$H$5:$H$3004,"&lt;&gt;Remarcado")&gt;0,"Sim","Não"))</f>
        <v/>
      </c>
      <c r="S1481" s="32">
        <f>IF(R1481&lt;&gt;"Não","",IF(Q1481+Config!$B$9&lt;=Config!$B$8,Config!$B$8-Q1481,""))</f>
        <v/>
      </c>
      <c r="T1481" s="26">
        <f>IF(S1481="","","Sim")</f>
        <v/>
      </c>
      <c r="U1481" s="41">
        <f>IF(T1481="Sim",S1481+ROW()/100000,0)</f>
        <v>0</v>
      </c>
      <c r="V1481" s="41">
        <f>IF(AND(H1481="Falta",L1481=Config!$B$7,M1481=Config!$B$5,COUNTIFS($E$5:E1481,E1481,$H$5:H1481,"Falta",$L$5:L1481,Config!$B$7,$M$5:M1481,Config!$B$5)=1),COUNTIFS($E$5:$E$3004,E1481,$H$5:$H$3004,"Falta",$L$5:$L$3004,Config!$B$7,$M$5:$M$3004,Config!$B$5)*1000-ROW()/100000,0)</f>
        <v>0</v>
      </c>
    </row>
    <row r="1482">
      <c r="A1482" s="39" t="n"/>
      <c r="B1482" s="40" t="n"/>
      <c r="C1482" s="35" t="n"/>
      <c r="D1482" s="35" t="n"/>
      <c r="E1482" s="34" t="n"/>
      <c r="F1482" s="35" t="n"/>
      <c r="G1482" s="35" t="n"/>
      <c r="H1482" s="35" t="n"/>
      <c r="I1482" s="35" t="n"/>
      <c r="J1482" s="35" t="n"/>
      <c r="K1482" s="34" t="n"/>
      <c r="L1482" s="26">
        <f>IF(A1482="","",MONTH(A1482))</f>
        <v/>
      </c>
      <c r="M1482" s="26">
        <f>IF(A1482="","",YEAR(A1482))</f>
        <v/>
      </c>
      <c r="N1482" s="26">
        <f>IF(A1482="","",CHOOSE(WEEKDAY(A1482,2),"Segunda","Terça","Quarta","Quinta","Sexta","Sábado","Domingo"))</f>
        <v/>
      </c>
      <c r="O1482" s="26">
        <f>IF(B1482="","",IF(B1482&lt;TIME(12,0,0),"Manhã",IF(B1482&lt;TIME(18,0,0),"Tarde","Noite")))</f>
        <v/>
      </c>
      <c r="P1482" s="32">
        <f>IF(G1482="","",IFERROR(INDEX(Config!$I$5:$I$16,MATCH(G1482,Config!$H$5:$H$16,0)),0))</f>
        <v/>
      </c>
      <c r="Q1482" s="30">
        <f>IF(OR(H1482&lt;&gt;"Realizado",P1482="",P1482=0),"",A1482+P1482)</f>
        <v/>
      </c>
      <c r="R1482" s="26">
        <f>IF(Q1482="","",IF(COUNTIFS($E$5:$E$3004,E1482,$A$5:$A$3004,"&gt;"&amp;A1482,$H$5:$H$3004,"&lt;&gt;Falta",$H$5:$H$3004,"&lt;&gt;Cancelado",$H$5:$H$3004,"&lt;&gt;Remarcado")&gt;0,"Sim","Não"))</f>
        <v/>
      </c>
      <c r="S1482" s="32">
        <f>IF(R1482&lt;&gt;"Não","",IF(Q1482+Config!$B$9&lt;=Config!$B$8,Config!$B$8-Q1482,""))</f>
        <v/>
      </c>
      <c r="T1482" s="26">
        <f>IF(S1482="","","Sim")</f>
        <v/>
      </c>
      <c r="U1482" s="41">
        <f>IF(T1482="Sim",S1482+ROW()/100000,0)</f>
        <v>0</v>
      </c>
      <c r="V1482" s="41">
        <f>IF(AND(H1482="Falta",L1482=Config!$B$7,M1482=Config!$B$5,COUNTIFS($E$5:E1482,E1482,$H$5:H1482,"Falta",$L$5:L1482,Config!$B$7,$M$5:M1482,Config!$B$5)=1),COUNTIFS($E$5:$E$3004,E1482,$H$5:$H$3004,"Falta",$L$5:$L$3004,Config!$B$7,$M$5:$M$3004,Config!$B$5)*1000-ROW()/100000,0)</f>
        <v>0</v>
      </c>
    </row>
    <row r="1483">
      <c r="A1483" s="39" t="n"/>
      <c r="B1483" s="40" t="n"/>
      <c r="C1483" s="35" t="n"/>
      <c r="D1483" s="35" t="n"/>
      <c r="E1483" s="34" t="n"/>
      <c r="F1483" s="35" t="n"/>
      <c r="G1483" s="35" t="n"/>
      <c r="H1483" s="35" t="n"/>
      <c r="I1483" s="35" t="n"/>
      <c r="J1483" s="35" t="n"/>
      <c r="K1483" s="34" t="n"/>
      <c r="L1483" s="26">
        <f>IF(A1483="","",MONTH(A1483))</f>
        <v/>
      </c>
      <c r="M1483" s="26">
        <f>IF(A1483="","",YEAR(A1483))</f>
        <v/>
      </c>
      <c r="N1483" s="26">
        <f>IF(A1483="","",CHOOSE(WEEKDAY(A1483,2),"Segunda","Terça","Quarta","Quinta","Sexta","Sábado","Domingo"))</f>
        <v/>
      </c>
      <c r="O1483" s="26">
        <f>IF(B1483="","",IF(B1483&lt;TIME(12,0,0),"Manhã",IF(B1483&lt;TIME(18,0,0),"Tarde","Noite")))</f>
        <v/>
      </c>
      <c r="P1483" s="32">
        <f>IF(G1483="","",IFERROR(INDEX(Config!$I$5:$I$16,MATCH(G1483,Config!$H$5:$H$16,0)),0))</f>
        <v/>
      </c>
      <c r="Q1483" s="30">
        <f>IF(OR(H1483&lt;&gt;"Realizado",P1483="",P1483=0),"",A1483+P1483)</f>
        <v/>
      </c>
      <c r="R1483" s="26">
        <f>IF(Q1483="","",IF(COUNTIFS($E$5:$E$3004,E1483,$A$5:$A$3004,"&gt;"&amp;A1483,$H$5:$H$3004,"&lt;&gt;Falta",$H$5:$H$3004,"&lt;&gt;Cancelado",$H$5:$H$3004,"&lt;&gt;Remarcado")&gt;0,"Sim","Não"))</f>
        <v/>
      </c>
      <c r="S1483" s="32">
        <f>IF(R1483&lt;&gt;"Não","",IF(Q1483+Config!$B$9&lt;=Config!$B$8,Config!$B$8-Q1483,""))</f>
        <v/>
      </c>
      <c r="T1483" s="26">
        <f>IF(S1483="","","Sim")</f>
        <v/>
      </c>
      <c r="U1483" s="41">
        <f>IF(T1483="Sim",S1483+ROW()/100000,0)</f>
        <v>0</v>
      </c>
      <c r="V1483" s="41">
        <f>IF(AND(H1483="Falta",L1483=Config!$B$7,M1483=Config!$B$5,COUNTIFS($E$5:E1483,E1483,$H$5:H1483,"Falta",$L$5:L1483,Config!$B$7,$M$5:M1483,Config!$B$5)=1),COUNTIFS($E$5:$E$3004,E1483,$H$5:$H$3004,"Falta",$L$5:$L$3004,Config!$B$7,$M$5:$M$3004,Config!$B$5)*1000-ROW()/100000,0)</f>
        <v>0</v>
      </c>
    </row>
    <row r="1484">
      <c r="A1484" s="39" t="n"/>
      <c r="B1484" s="40" t="n"/>
      <c r="C1484" s="35" t="n"/>
      <c r="D1484" s="35" t="n"/>
      <c r="E1484" s="34" t="n"/>
      <c r="F1484" s="35" t="n"/>
      <c r="G1484" s="35" t="n"/>
      <c r="H1484" s="35" t="n"/>
      <c r="I1484" s="35" t="n"/>
      <c r="J1484" s="35" t="n"/>
      <c r="K1484" s="34" t="n"/>
      <c r="L1484" s="26">
        <f>IF(A1484="","",MONTH(A1484))</f>
        <v/>
      </c>
      <c r="M1484" s="26">
        <f>IF(A1484="","",YEAR(A1484))</f>
        <v/>
      </c>
      <c r="N1484" s="26">
        <f>IF(A1484="","",CHOOSE(WEEKDAY(A1484,2),"Segunda","Terça","Quarta","Quinta","Sexta","Sábado","Domingo"))</f>
        <v/>
      </c>
      <c r="O1484" s="26">
        <f>IF(B1484="","",IF(B1484&lt;TIME(12,0,0),"Manhã",IF(B1484&lt;TIME(18,0,0),"Tarde","Noite")))</f>
        <v/>
      </c>
      <c r="P1484" s="32">
        <f>IF(G1484="","",IFERROR(INDEX(Config!$I$5:$I$16,MATCH(G1484,Config!$H$5:$H$16,0)),0))</f>
        <v/>
      </c>
      <c r="Q1484" s="30">
        <f>IF(OR(H1484&lt;&gt;"Realizado",P1484="",P1484=0),"",A1484+P1484)</f>
        <v/>
      </c>
      <c r="R1484" s="26">
        <f>IF(Q1484="","",IF(COUNTIFS($E$5:$E$3004,E1484,$A$5:$A$3004,"&gt;"&amp;A1484,$H$5:$H$3004,"&lt;&gt;Falta",$H$5:$H$3004,"&lt;&gt;Cancelado",$H$5:$H$3004,"&lt;&gt;Remarcado")&gt;0,"Sim","Não"))</f>
        <v/>
      </c>
      <c r="S1484" s="32">
        <f>IF(R1484&lt;&gt;"Não","",IF(Q1484+Config!$B$9&lt;=Config!$B$8,Config!$B$8-Q1484,""))</f>
        <v/>
      </c>
      <c r="T1484" s="26">
        <f>IF(S1484="","","Sim")</f>
        <v/>
      </c>
      <c r="U1484" s="41">
        <f>IF(T1484="Sim",S1484+ROW()/100000,0)</f>
        <v>0</v>
      </c>
      <c r="V1484" s="41">
        <f>IF(AND(H1484="Falta",L1484=Config!$B$7,M1484=Config!$B$5,COUNTIFS($E$5:E1484,E1484,$H$5:H1484,"Falta",$L$5:L1484,Config!$B$7,$M$5:M1484,Config!$B$5)=1),COUNTIFS($E$5:$E$3004,E1484,$H$5:$H$3004,"Falta",$L$5:$L$3004,Config!$B$7,$M$5:$M$3004,Config!$B$5)*1000-ROW()/100000,0)</f>
        <v>0</v>
      </c>
    </row>
    <row r="1485">
      <c r="A1485" s="39" t="n"/>
      <c r="B1485" s="40" t="n"/>
      <c r="C1485" s="35" t="n"/>
      <c r="D1485" s="35" t="n"/>
      <c r="E1485" s="34" t="n"/>
      <c r="F1485" s="35" t="n"/>
      <c r="G1485" s="35" t="n"/>
      <c r="H1485" s="35" t="n"/>
      <c r="I1485" s="35" t="n"/>
      <c r="J1485" s="35" t="n"/>
      <c r="K1485" s="34" t="n"/>
      <c r="L1485" s="26">
        <f>IF(A1485="","",MONTH(A1485))</f>
        <v/>
      </c>
      <c r="M1485" s="26">
        <f>IF(A1485="","",YEAR(A1485))</f>
        <v/>
      </c>
      <c r="N1485" s="26">
        <f>IF(A1485="","",CHOOSE(WEEKDAY(A1485,2),"Segunda","Terça","Quarta","Quinta","Sexta","Sábado","Domingo"))</f>
        <v/>
      </c>
      <c r="O1485" s="26">
        <f>IF(B1485="","",IF(B1485&lt;TIME(12,0,0),"Manhã",IF(B1485&lt;TIME(18,0,0),"Tarde","Noite")))</f>
        <v/>
      </c>
      <c r="P1485" s="32">
        <f>IF(G1485="","",IFERROR(INDEX(Config!$I$5:$I$16,MATCH(G1485,Config!$H$5:$H$16,0)),0))</f>
        <v/>
      </c>
      <c r="Q1485" s="30">
        <f>IF(OR(H1485&lt;&gt;"Realizado",P1485="",P1485=0),"",A1485+P1485)</f>
        <v/>
      </c>
      <c r="R1485" s="26">
        <f>IF(Q1485="","",IF(COUNTIFS($E$5:$E$3004,E1485,$A$5:$A$3004,"&gt;"&amp;A1485,$H$5:$H$3004,"&lt;&gt;Falta",$H$5:$H$3004,"&lt;&gt;Cancelado",$H$5:$H$3004,"&lt;&gt;Remarcado")&gt;0,"Sim","Não"))</f>
        <v/>
      </c>
      <c r="S1485" s="32">
        <f>IF(R1485&lt;&gt;"Não","",IF(Q1485+Config!$B$9&lt;=Config!$B$8,Config!$B$8-Q1485,""))</f>
        <v/>
      </c>
      <c r="T1485" s="26">
        <f>IF(S1485="","","Sim")</f>
        <v/>
      </c>
      <c r="U1485" s="41">
        <f>IF(T1485="Sim",S1485+ROW()/100000,0)</f>
        <v>0</v>
      </c>
      <c r="V1485" s="41">
        <f>IF(AND(H1485="Falta",L1485=Config!$B$7,M1485=Config!$B$5,COUNTIFS($E$5:E1485,E1485,$H$5:H1485,"Falta",$L$5:L1485,Config!$B$7,$M$5:M1485,Config!$B$5)=1),COUNTIFS($E$5:$E$3004,E1485,$H$5:$H$3004,"Falta",$L$5:$L$3004,Config!$B$7,$M$5:$M$3004,Config!$B$5)*1000-ROW()/100000,0)</f>
        <v>0</v>
      </c>
    </row>
    <row r="1486">
      <c r="A1486" s="39" t="n"/>
      <c r="B1486" s="40" t="n"/>
      <c r="C1486" s="35" t="n"/>
      <c r="D1486" s="35" t="n"/>
      <c r="E1486" s="34" t="n"/>
      <c r="F1486" s="35" t="n"/>
      <c r="G1486" s="35" t="n"/>
      <c r="H1486" s="35" t="n"/>
      <c r="I1486" s="35" t="n"/>
      <c r="J1486" s="35" t="n"/>
      <c r="K1486" s="34" t="n"/>
      <c r="L1486" s="26">
        <f>IF(A1486="","",MONTH(A1486))</f>
        <v/>
      </c>
      <c r="M1486" s="26">
        <f>IF(A1486="","",YEAR(A1486))</f>
        <v/>
      </c>
      <c r="N1486" s="26">
        <f>IF(A1486="","",CHOOSE(WEEKDAY(A1486,2),"Segunda","Terça","Quarta","Quinta","Sexta","Sábado","Domingo"))</f>
        <v/>
      </c>
      <c r="O1486" s="26">
        <f>IF(B1486="","",IF(B1486&lt;TIME(12,0,0),"Manhã",IF(B1486&lt;TIME(18,0,0),"Tarde","Noite")))</f>
        <v/>
      </c>
      <c r="P1486" s="32">
        <f>IF(G1486="","",IFERROR(INDEX(Config!$I$5:$I$16,MATCH(G1486,Config!$H$5:$H$16,0)),0))</f>
        <v/>
      </c>
      <c r="Q1486" s="30">
        <f>IF(OR(H1486&lt;&gt;"Realizado",P1486="",P1486=0),"",A1486+P1486)</f>
        <v/>
      </c>
      <c r="R1486" s="26">
        <f>IF(Q1486="","",IF(COUNTIFS($E$5:$E$3004,E1486,$A$5:$A$3004,"&gt;"&amp;A1486,$H$5:$H$3004,"&lt;&gt;Falta",$H$5:$H$3004,"&lt;&gt;Cancelado",$H$5:$H$3004,"&lt;&gt;Remarcado")&gt;0,"Sim","Não"))</f>
        <v/>
      </c>
      <c r="S1486" s="32">
        <f>IF(R1486&lt;&gt;"Não","",IF(Q1486+Config!$B$9&lt;=Config!$B$8,Config!$B$8-Q1486,""))</f>
        <v/>
      </c>
      <c r="T1486" s="26">
        <f>IF(S1486="","","Sim")</f>
        <v/>
      </c>
      <c r="U1486" s="41">
        <f>IF(T1486="Sim",S1486+ROW()/100000,0)</f>
        <v>0</v>
      </c>
      <c r="V1486" s="41">
        <f>IF(AND(H1486="Falta",L1486=Config!$B$7,M1486=Config!$B$5,COUNTIFS($E$5:E1486,E1486,$H$5:H1486,"Falta",$L$5:L1486,Config!$B$7,$M$5:M1486,Config!$B$5)=1),COUNTIFS($E$5:$E$3004,E1486,$H$5:$H$3004,"Falta",$L$5:$L$3004,Config!$B$7,$M$5:$M$3004,Config!$B$5)*1000-ROW()/100000,0)</f>
        <v>0</v>
      </c>
    </row>
    <row r="1487">
      <c r="A1487" s="39" t="n"/>
      <c r="B1487" s="40" t="n"/>
      <c r="C1487" s="35" t="n"/>
      <c r="D1487" s="35" t="n"/>
      <c r="E1487" s="34" t="n"/>
      <c r="F1487" s="35" t="n"/>
      <c r="G1487" s="35" t="n"/>
      <c r="H1487" s="35" t="n"/>
      <c r="I1487" s="35" t="n"/>
      <c r="J1487" s="35" t="n"/>
      <c r="K1487" s="34" t="n"/>
      <c r="L1487" s="26">
        <f>IF(A1487="","",MONTH(A1487))</f>
        <v/>
      </c>
      <c r="M1487" s="26">
        <f>IF(A1487="","",YEAR(A1487))</f>
        <v/>
      </c>
      <c r="N1487" s="26">
        <f>IF(A1487="","",CHOOSE(WEEKDAY(A1487,2),"Segunda","Terça","Quarta","Quinta","Sexta","Sábado","Domingo"))</f>
        <v/>
      </c>
      <c r="O1487" s="26">
        <f>IF(B1487="","",IF(B1487&lt;TIME(12,0,0),"Manhã",IF(B1487&lt;TIME(18,0,0),"Tarde","Noite")))</f>
        <v/>
      </c>
      <c r="P1487" s="32">
        <f>IF(G1487="","",IFERROR(INDEX(Config!$I$5:$I$16,MATCH(G1487,Config!$H$5:$H$16,0)),0))</f>
        <v/>
      </c>
      <c r="Q1487" s="30">
        <f>IF(OR(H1487&lt;&gt;"Realizado",P1487="",P1487=0),"",A1487+P1487)</f>
        <v/>
      </c>
      <c r="R1487" s="26">
        <f>IF(Q1487="","",IF(COUNTIFS($E$5:$E$3004,E1487,$A$5:$A$3004,"&gt;"&amp;A1487,$H$5:$H$3004,"&lt;&gt;Falta",$H$5:$H$3004,"&lt;&gt;Cancelado",$H$5:$H$3004,"&lt;&gt;Remarcado")&gt;0,"Sim","Não"))</f>
        <v/>
      </c>
      <c r="S1487" s="32">
        <f>IF(R1487&lt;&gt;"Não","",IF(Q1487+Config!$B$9&lt;=Config!$B$8,Config!$B$8-Q1487,""))</f>
        <v/>
      </c>
      <c r="T1487" s="26">
        <f>IF(S1487="","","Sim")</f>
        <v/>
      </c>
      <c r="U1487" s="41">
        <f>IF(T1487="Sim",S1487+ROW()/100000,0)</f>
        <v>0</v>
      </c>
      <c r="V1487" s="41">
        <f>IF(AND(H1487="Falta",L1487=Config!$B$7,M1487=Config!$B$5,COUNTIFS($E$5:E1487,E1487,$H$5:H1487,"Falta",$L$5:L1487,Config!$B$7,$M$5:M1487,Config!$B$5)=1),COUNTIFS($E$5:$E$3004,E1487,$H$5:$H$3004,"Falta",$L$5:$L$3004,Config!$B$7,$M$5:$M$3004,Config!$B$5)*1000-ROW()/100000,0)</f>
        <v>0</v>
      </c>
    </row>
    <row r="1488">
      <c r="A1488" s="39" t="n"/>
      <c r="B1488" s="40" t="n"/>
      <c r="C1488" s="35" t="n"/>
      <c r="D1488" s="35" t="n"/>
      <c r="E1488" s="34" t="n"/>
      <c r="F1488" s="35" t="n"/>
      <c r="G1488" s="35" t="n"/>
      <c r="H1488" s="35" t="n"/>
      <c r="I1488" s="35" t="n"/>
      <c r="J1488" s="35" t="n"/>
      <c r="K1488" s="34" t="n"/>
      <c r="L1488" s="26">
        <f>IF(A1488="","",MONTH(A1488))</f>
        <v/>
      </c>
      <c r="M1488" s="26">
        <f>IF(A1488="","",YEAR(A1488))</f>
        <v/>
      </c>
      <c r="N1488" s="26">
        <f>IF(A1488="","",CHOOSE(WEEKDAY(A1488,2),"Segunda","Terça","Quarta","Quinta","Sexta","Sábado","Domingo"))</f>
        <v/>
      </c>
      <c r="O1488" s="26">
        <f>IF(B1488="","",IF(B1488&lt;TIME(12,0,0),"Manhã",IF(B1488&lt;TIME(18,0,0),"Tarde","Noite")))</f>
        <v/>
      </c>
      <c r="P1488" s="32">
        <f>IF(G1488="","",IFERROR(INDEX(Config!$I$5:$I$16,MATCH(G1488,Config!$H$5:$H$16,0)),0))</f>
        <v/>
      </c>
      <c r="Q1488" s="30">
        <f>IF(OR(H1488&lt;&gt;"Realizado",P1488="",P1488=0),"",A1488+P1488)</f>
        <v/>
      </c>
      <c r="R1488" s="26">
        <f>IF(Q1488="","",IF(COUNTIFS($E$5:$E$3004,E1488,$A$5:$A$3004,"&gt;"&amp;A1488,$H$5:$H$3004,"&lt;&gt;Falta",$H$5:$H$3004,"&lt;&gt;Cancelado",$H$5:$H$3004,"&lt;&gt;Remarcado")&gt;0,"Sim","Não"))</f>
        <v/>
      </c>
      <c r="S1488" s="32">
        <f>IF(R1488&lt;&gt;"Não","",IF(Q1488+Config!$B$9&lt;=Config!$B$8,Config!$B$8-Q1488,""))</f>
        <v/>
      </c>
      <c r="T1488" s="26">
        <f>IF(S1488="","","Sim")</f>
        <v/>
      </c>
      <c r="U1488" s="41">
        <f>IF(T1488="Sim",S1488+ROW()/100000,0)</f>
        <v>0</v>
      </c>
      <c r="V1488" s="41">
        <f>IF(AND(H1488="Falta",L1488=Config!$B$7,M1488=Config!$B$5,COUNTIFS($E$5:E1488,E1488,$H$5:H1488,"Falta",$L$5:L1488,Config!$B$7,$M$5:M1488,Config!$B$5)=1),COUNTIFS($E$5:$E$3004,E1488,$H$5:$H$3004,"Falta",$L$5:$L$3004,Config!$B$7,$M$5:$M$3004,Config!$B$5)*1000-ROW()/100000,0)</f>
        <v>0</v>
      </c>
    </row>
    <row r="1489">
      <c r="A1489" s="39" t="n"/>
      <c r="B1489" s="40" t="n"/>
      <c r="C1489" s="35" t="n"/>
      <c r="D1489" s="35" t="n"/>
      <c r="E1489" s="34" t="n"/>
      <c r="F1489" s="35" t="n"/>
      <c r="G1489" s="35" t="n"/>
      <c r="H1489" s="35" t="n"/>
      <c r="I1489" s="35" t="n"/>
      <c r="J1489" s="35" t="n"/>
      <c r="K1489" s="34" t="n"/>
      <c r="L1489" s="26">
        <f>IF(A1489="","",MONTH(A1489))</f>
        <v/>
      </c>
      <c r="M1489" s="26">
        <f>IF(A1489="","",YEAR(A1489))</f>
        <v/>
      </c>
      <c r="N1489" s="26">
        <f>IF(A1489="","",CHOOSE(WEEKDAY(A1489,2),"Segunda","Terça","Quarta","Quinta","Sexta","Sábado","Domingo"))</f>
        <v/>
      </c>
      <c r="O1489" s="26">
        <f>IF(B1489="","",IF(B1489&lt;TIME(12,0,0),"Manhã",IF(B1489&lt;TIME(18,0,0),"Tarde","Noite")))</f>
        <v/>
      </c>
      <c r="P1489" s="32">
        <f>IF(G1489="","",IFERROR(INDEX(Config!$I$5:$I$16,MATCH(G1489,Config!$H$5:$H$16,0)),0))</f>
        <v/>
      </c>
      <c r="Q1489" s="30">
        <f>IF(OR(H1489&lt;&gt;"Realizado",P1489="",P1489=0),"",A1489+P1489)</f>
        <v/>
      </c>
      <c r="R1489" s="26">
        <f>IF(Q1489="","",IF(COUNTIFS($E$5:$E$3004,E1489,$A$5:$A$3004,"&gt;"&amp;A1489,$H$5:$H$3004,"&lt;&gt;Falta",$H$5:$H$3004,"&lt;&gt;Cancelado",$H$5:$H$3004,"&lt;&gt;Remarcado")&gt;0,"Sim","Não"))</f>
        <v/>
      </c>
      <c r="S1489" s="32">
        <f>IF(R1489&lt;&gt;"Não","",IF(Q1489+Config!$B$9&lt;=Config!$B$8,Config!$B$8-Q1489,""))</f>
        <v/>
      </c>
      <c r="T1489" s="26">
        <f>IF(S1489="","","Sim")</f>
        <v/>
      </c>
      <c r="U1489" s="41">
        <f>IF(T1489="Sim",S1489+ROW()/100000,0)</f>
        <v>0</v>
      </c>
      <c r="V1489" s="41">
        <f>IF(AND(H1489="Falta",L1489=Config!$B$7,M1489=Config!$B$5,COUNTIFS($E$5:E1489,E1489,$H$5:H1489,"Falta",$L$5:L1489,Config!$B$7,$M$5:M1489,Config!$B$5)=1),COUNTIFS($E$5:$E$3004,E1489,$H$5:$H$3004,"Falta",$L$5:$L$3004,Config!$B$7,$M$5:$M$3004,Config!$B$5)*1000-ROW()/100000,0)</f>
        <v>0</v>
      </c>
    </row>
    <row r="1490">
      <c r="A1490" s="39" t="n"/>
      <c r="B1490" s="40" t="n"/>
      <c r="C1490" s="35" t="n"/>
      <c r="D1490" s="35" t="n"/>
      <c r="E1490" s="34" t="n"/>
      <c r="F1490" s="35" t="n"/>
      <c r="G1490" s="35" t="n"/>
      <c r="H1490" s="35" t="n"/>
      <c r="I1490" s="35" t="n"/>
      <c r="J1490" s="35" t="n"/>
      <c r="K1490" s="34" t="n"/>
      <c r="L1490" s="26">
        <f>IF(A1490="","",MONTH(A1490))</f>
        <v/>
      </c>
      <c r="M1490" s="26">
        <f>IF(A1490="","",YEAR(A1490))</f>
        <v/>
      </c>
      <c r="N1490" s="26">
        <f>IF(A1490="","",CHOOSE(WEEKDAY(A1490,2),"Segunda","Terça","Quarta","Quinta","Sexta","Sábado","Domingo"))</f>
        <v/>
      </c>
      <c r="O1490" s="26">
        <f>IF(B1490="","",IF(B1490&lt;TIME(12,0,0),"Manhã",IF(B1490&lt;TIME(18,0,0),"Tarde","Noite")))</f>
        <v/>
      </c>
      <c r="P1490" s="32">
        <f>IF(G1490="","",IFERROR(INDEX(Config!$I$5:$I$16,MATCH(G1490,Config!$H$5:$H$16,0)),0))</f>
        <v/>
      </c>
      <c r="Q1490" s="30">
        <f>IF(OR(H1490&lt;&gt;"Realizado",P1490="",P1490=0),"",A1490+P1490)</f>
        <v/>
      </c>
      <c r="R1490" s="26">
        <f>IF(Q1490="","",IF(COUNTIFS($E$5:$E$3004,E1490,$A$5:$A$3004,"&gt;"&amp;A1490,$H$5:$H$3004,"&lt;&gt;Falta",$H$5:$H$3004,"&lt;&gt;Cancelado",$H$5:$H$3004,"&lt;&gt;Remarcado")&gt;0,"Sim","Não"))</f>
        <v/>
      </c>
      <c r="S1490" s="32">
        <f>IF(R1490&lt;&gt;"Não","",IF(Q1490+Config!$B$9&lt;=Config!$B$8,Config!$B$8-Q1490,""))</f>
        <v/>
      </c>
      <c r="T1490" s="26">
        <f>IF(S1490="","","Sim")</f>
        <v/>
      </c>
      <c r="U1490" s="41">
        <f>IF(T1490="Sim",S1490+ROW()/100000,0)</f>
        <v>0</v>
      </c>
      <c r="V1490" s="41">
        <f>IF(AND(H1490="Falta",L1490=Config!$B$7,M1490=Config!$B$5,COUNTIFS($E$5:E1490,E1490,$H$5:H1490,"Falta",$L$5:L1490,Config!$B$7,$M$5:M1490,Config!$B$5)=1),COUNTIFS($E$5:$E$3004,E1490,$H$5:$H$3004,"Falta",$L$5:$L$3004,Config!$B$7,$M$5:$M$3004,Config!$B$5)*1000-ROW()/100000,0)</f>
        <v>0</v>
      </c>
    </row>
    <row r="1491">
      <c r="A1491" s="39" t="n"/>
      <c r="B1491" s="40" t="n"/>
      <c r="C1491" s="35" t="n"/>
      <c r="D1491" s="35" t="n"/>
      <c r="E1491" s="34" t="n"/>
      <c r="F1491" s="35" t="n"/>
      <c r="G1491" s="35" t="n"/>
      <c r="H1491" s="35" t="n"/>
      <c r="I1491" s="35" t="n"/>
      <c r="J1491" s="35" t="n"/>
      <c r="K1491" s="34" t="n"/>
      <c r="L1491" s="26">
        <f>IF(A1491="","",MONTH(A1491))</f>
        <v/>
      </c>
      <c r="M1491" s="26">
        <f>IF(A1491="","",YEAR(A1491))</f>
        <v/>
      </c>
      <c r="N1491" s="26">
        <f>IF(A1491="","",CHOOSE(WEEKDAY(A1491,2),"Segunda","Terça","Quarta","Quinta","Sexta","Sábado","Domingo"))</f>
        <v/>
      </c>
      <c r="O1491" s="26">
        <f>IF(B1491="","",IF(B1491&lt;TIME(12,0,0),"Manhã",IF(B1491&lt;TIME(18,0,0),"Tarde","Noite")))</f>
        <v/>
      </c>
      <c r="P1491" s="32">
        <f>IF(G1491="","",IFERROR(INDEX(Config!$I$5:$I$16,MATCH(G1491,Config!$H$5:$H$16,0)),0))</f>
        <v/>
      </c>
      <c r="Q1491" s="30">
        <f>IF(OR(H1491&lt;&gt;"Realizado",P1491="",P1491=0),"",A1491+P1491)</f>
        <v/>
      </c>
      <c r="R1491" s="26">
        <f>IF(Q1491="","",IF(COUNTIFS($E$5:$E$3004,E1491,$A$5:$A$3004,"&gt;"&amp;A1491,$H$5:$H$3004,"&lt;&gt;Falta",$H$5:$H$3004,"&lt;&gt;Cancelado",$H$5:$H$3004,"&lt;&gt;Remarcado")&gt;0,"Sim","Não"))</f>
        <v/>
      </c>
      <c r="S1491" s="32">
        <f>IF(R1491&lt;&gt;"Não","",IF(Q1491+Config!$B$9&lt;=Config!$B$8,Config!$B$8-Q1491,""))</f>
        <v/>
      </c>
      <c r="T1491" s="26">
        <f>IF(S1491="","","Sim")</f>
        <v/>
      </c>
      <c r="U1491" s="41">
        <f>IF(T1491="Sim",S1491+ROW()/100000,0)</f>
        <v>0</v>
      </c>
      <c r="V1491" s="41">
        <f>IF(AND(H1491="Falta",L1491=Config!$B$7,M1491=Config!$B$5,COUNTIFS($E$5:E1491,E1491,$H$5:H1491,"Falta",$L$5:L1491,Config!$B$7,$M$5:M1491,Config!$B$5)=1),COUNTIFS($E$5:$E$3004,E1491,$H$5:$H$3004,"Falta",$L$5:$L$3004,Config!$B$7,$M$5:$M$3004,Config!$B$5)*1000-ROW()/100000,0)</f>
        <v>0</v>
      </c>
    </row>
    <row r="1492">
      <c r="A1492" s="39" t="n"/>
      <c r="B1492" s="40" t="n"/>
      <c r="C1492" s="35" t="n"/>
      <c r="D1492" s="35" t="n"/>
      <c r="E1492" s="34" t="n"/>
      <c r="F1492" s="35" t="n"/>
      <c r="G1492" s="35" t="n"/>
      <c r="H1492" s="35" t="n"/>
      <c r="I1492" s="35" t="n"/>
      <c r="J1492" s="35" t="n"/>
      <c r="K1492" s="34" t="n"/>
      <c r="L1492" s="26">
        <f>IF(A1492="","",MONTH(A1492))</f>
        <v/>
      </c>
      <c r="M1492" s="26">
        <f>IF(A1492="","",YEAR(A1492))</f>
        <v/>
      </c>
      <c r="N1492" s="26">
        <f>IF(A1492="","",CHOOSE(WEEKDAY(A1492,2),"Segunda","Terça","Quarta","Quinta","Sexta","Sábado","Domingo"))</f>
        <v/>
      </c>
      <c r="O1492" s="26">
        <f>IF(B1492="","",IF(B1492&lt;TIME(12,0,0),"Manhã",IF(B1492&lt;TIME(18,0,0),"Tarde","Noite")))</f>
        <v/>
      </c>
      <c r="P1492" s="32">
        <f>IF(G1492="","",IFERROR(INDEX(Config!$I$5:$I$16,MATCH(G1492,Config!$H$5:$H$16,0)),0))</f>
        <v/>
      </c>
      <c r="Q1492" s="30">
        <f>IF(OR(H1492&lt;&gt;"Realizado",P1492="",P1492=0),"",A1492+P1492)</f>
        <v/>
      </c>
      <c r="R1492" s="26">
        <f>IF(Q1492="","",IF(COUNTIFS($E$5:$E$3004,E1492,$A$5:$A$3004,"&gt;"&amp;A1492,$H$5:$H$3004,"&lt;&gt;Falta",$H$5:$H$3004,"&lt;&gt;Cancelado",$H$5:$H$3004,"&lt;&gt;Remarcado")&gt;0,"Sim","Não"))</f>
        <v/>
      </c>
      <c r="S1492" s="32">
        <f>IF(R1492&lt;&gt;"Não","",IF(Q1492+Config!$B$9&lt;=Config!$B$8,Config!$B$8-Q1492,""))</f>
        <v/>
      </c>
      <c r="T1492" s="26">
        <f>IF(S1492="","","Sim")</f>
        <v/>
      </c>
      <c r="U1492" s="41">
        <f>IF(T1492="Sim",S1492+ROW()/100000,0)</f>
        <v>0</v>
      </c>
      <c r="V1492" s="41">
        <f>IF(AND(H1492="Falta",L1492=Config!$B$7,M1492=Config!$B$5,COUNTIFS($E$5:E1492,E1492,$H$5:H1492,"Falta",$L$5:L1492,Config!$B$7,$M$5:M1492,Config!$B$5)=1),COUNTIFS($E$5:$E$3004,E1492,$H$5:$H$3004,"Falta",$L$5:$L$3004,Config!$B$7,$M$5:$M$3004,Config!$B$5)*1000-ROW()/100000,0)</f>
        <v>0</v>
      </c>
    </row>
    <row r="1493">
      <c r="A1493" s="39" t="n"/>
      <c r="B1493" s="40" t="n"/>
      <c r="C1493" s="35" t="n"/>
      <c r="D1493" s="35" t="n"/>
      <c r="E1493" s="34" t="n"/>
      <c r="F1493" s="35" t="n"/>
      <c r="G1493" s="35" t="n"/>
      <c r="H1493" s="35" t="n"/>
      <c r="I1493" s="35" t="n"/>
      <c r="J1493" s="35" t="n"/>
      <c r="K1493" s="34" t="n"/>
      <c r="L1493" s="26">
        <f>IF(A1493="","",MONTH(A1493))</f>
        <v/>
      </c>
      <c r="M1493" s="26">
        <f>IF(A1493="","",YEAR(A1493))</f>
        <v/>
      </c>
      <c r="N1493" s="26">
        <f>IF(A1493="","",CHOOSE(WEEKDAY(A1493,2),"Segunda","Terça","Quarta","Quinta","Sexta","Sábado","Domingo"))</f>
        <v/>
      </c>
      <c r="O1493" s="26">
        <f>IF(B1493="","",IF(B1493&lt;TIME(12,0,0),"Manhã",IF(B1493&lt;TIME(18,0,0),"Tarde","Noite")))</f>
        <v/>
      </c>
      <c r="P1493" s="32">
        <f>IF(G1493="","",IFERROR(INDEX(Config!$I$5:$I$16,MATCH(G1493,Config!$H$5:$H$16,0)),0))</f>
        <v/>
      </c>
      <c r="Q1493" s="30">
        <f>IF(OR(H1493&lt;&gt;"Realizado",P1493="",P1493=0),"",A1493+P1493)</f>
        <v/>
      </c>
      <c r="R1493" s="26">
        <f>IF(Q1493="","",IF(COUNTIFS($E$5:$E$3004,E1493,$A$5:$A$3004,"&gt;"&amp;A1493,$H$5:$H$3004,"&lt;&gt;Falta",$H$5:$H$3004,"&lt;&gt;Cancelado",$H$5:$H$3004,"&lt;&gt;Remarcado")&gt;0,"Sim","Não"))</f>
        <v/>
      </c>
      <c r="S1493" s="32">
        <f>IF(R1493&lt;&gt;"Não","",IF(Q1493+Config!$B$9&lt;=Config!$B$8,Config!$B$8-Q1493,""))</f>
        <v/>
      </c>
      <c r="T1493" s="26">
        <f>IF(S1493="","","Sim")</f>
        <v/>
      </c>
      <c r="U1493" s="41">
        <f>IF(T1493="Sim",S1493+ROW()/100000,0)</f>
        <v>0</v>
      </c>
      <c r="V1493" s="41">
        <f>IF(AND(H1493="Falta",L1493=Config!$B$7,M1493=Config!$B$5,COUNTIFS($E$5:E1493,E1493,$H$5:H1493,"Falta",$L$5:L1493,Config!$B$7,$M$5:M1493,Config!$B$5)=1),COUNTIFS($E$5:$E$3004,E1493,$H$5:$H$3004,"Falta",$L$5:$L$3004,Config!$B$7,$M$5:$M$3004,Config!$B$5)*1000-ROW()/100000,0)</f>
        <v>0</v>
      </c>
    </row>
    <row r="1494">
      <c r="A1494" s="39" t="n"/>
      <c r="B1494" s="40" t="n"/>
      <c r="C1494" s="35" t="n"/>
      <c r="D1494" s="35" t="n"/>
      <c r="E1494" s="34" t="n"/>
      <c r="F1494" s="35" t="n"/>
      <c r="G1494" s="35" t="n"/>
      <c r="H1494" s="35" t="n"/>
      <c r="I1494" s="35" t="n"/>
      <c r="J1494" s="35" t="n"/>
      <c r="K1494" s="34" t="n"/>
      <c r="L1494" s="26">
        <f>IF(A1494="","",MONTH(A1494))</f>
        <v/>
      </c>
      <c r="M1494" s="26">
        <f>IF(A1494="","",YEAR(A1494))</f>
        <v/>
      </c>
      <c r="N1494" s="26">
        <f>IF(A1494="","",CHOOSE(WEEKDAY(A1494,2),"Segunda","Terça","Quarta","Quinta","Sexta","Sábado","Domingo"))</f>
        <v/>
      </c>
      <c r="O1494" s="26">
        <f>IF(B1494="","",IF(B1494&lt;TIME(12,0,0),"Manhã",IF(B1494&lt;TIME(18,0,0),"Tarde","Noite")))</f>
        <v/>
      </c>
      <c r="P1494" s="32">
        <f>IF(G1494="","",IFERROR(INDEX(Config!$I$5:$I$16,MATCH(G1494,Config!$H$5:$H$16,0)),0))</f>
        <v/>
      </c>
      <c r="Q1494" s="30">
        <f>IF(OR(H1494&lt;&gt;"Realizado",P1494="",P1494=0),"",A1494+P1494)</f>
        <v/>
      </c>
      <c r="R1494" s="26">
        <f>IF(Q1494="","",IF(COUNTIFS($E$5:$E$3004,E1494,$A$5:$A$3004,"&gt;"&amp;A1494,$H$5:$H$3004,"&lt;&gt;Falta",$H$5:$H$3004,"&lt;&gt;Cancelado",$H$5:$H$3004,"&lt;&gt;Remarcado")&gt;0,"Sim","Não"))</f>
        <v/>
      </c>
      <c r="S1494" s="32">
        <f>IF(R1494&lt;&gt;"Não","",IF(Q1494+Config!$B$9&lt;=Config!$B$8,Config!$B$8-Q1494,""))</f>
        <v/>
      </c>
      <c r="T1494" s="26">
        <f>IF(S1494="","","Sim")</f>
        <v/>
      </c>
      <c r="U1494" s="41">
        <f>IF(T1494="Sim",S1494+ROW()/100000,0)</f>
        <v>0</v>
      </c>
      <c r="V1494" s="41">
        <f>IF(AND(H1494="Falta",L1494=Config!$B$7,M1494=Config!$B$5,COUNTIFS($E$5:E1494,E1494,$H$5:H1494,"Falta",$L$5:L1494,Config!$B$7,$M$5:M1494,Config!$B$5)=1),COUNTIFS($E$5:$E$3004,E1494,$H$5:$H$3004,"Falta",$L$5:$L$3004,Config!$B$7,$M$5:$M$3004,Config!$B$5)*1000-ROW()/100000,0)</f>
        <v>0</v>
      </c>
    </row>
    <row r="1495">
      <c r="A1495" s="39" t="n"/>
      <c r="B1495" s="40" t="n"/>
      <c r="C1495" s="35" t="n"/>
      <c r="D1495" s="35" t="n"/>
      <c r="E1495" s="34" t="n"/>
      <c r="F1495" s="35" t="n"/>
      <c r="G1495" s="35" t="n"/>
      <c r="H1495" s="35" t="n"/>
      <c r="I1495" s="35" t="n"/>
      <c r="J1495" s="35" t="n"/>
      <c r="K1495" s="34" t="n"/>
      <c r="L1495" s="26">
        <f>IF(A1495="","",MONTH(A1495))</f>
        <v/>
      </c>
      <c r="M1495" s="26">
        <f>IF(A1495="","",YEAR(A1495))</f>
        <v/>
      </c>
      <c r="N1495" s="26">
        <f>IF(A1495="","",CHOOSE(WEEKDAY(A1495,2),"Segunda","Terça","Quarta","Quinta","Sexta","Sábado","Domingo"))</f>
        <v/>
      </c>
      <c r="O1495" s="26">
        <f>IF(B1495="","",IF(B1495&lt;TIME(12,0,0),"Manhã",IF(B1495&lt;TIME(18,0,0),"Tarde","Noite")))</f>
        <v/>
      </c>
      <c r="P1495" s="32">
        <f>IF(G1495="","",IFERROR(INDEX(Config!$I$5:$I$16,MATCH(G1495,Config!$H$5:$H$16,0)),0))</f>
        <v/>
      </c>
      <c r="Q1495" s="30">
        <f>IF(OR(H1495&lt;&gt;"Realizado",P1495="",P1495=0),"",A1495+P1495)</f>
        <v/>
      </c>
      <c r="R1495" s="26">
        <f>IF(Q1495="","",IF(COUNTIFS($E$5:$E$3004,E1495,$A$5:$A$3004,"&gt;"&amp;A1495,$H$5:$H$3004,"&lt;&gt;Falta",$H$5:$H$3004,"&lt;&gt;Cancelado",$H$5:$H$3004,"&lt;&gt;Remarcado")&gt;0,"Sim","Não"))</f>
        <v/>
      </c>
      <c r="S1495" s="32">
        <f>IF(R1495&lt;&gt;"Não","",IF(Q1495+Config!$B$9&lt;=Config!$B$8,Config!$B$8-Q1495,""))</f>
        <v/>
      </c>
      <c r="T1495" s="26">
        <f>IF(S1495="","","Sim")</f>
        <v/>
      </c>
      <c r="U1495" s="41">
        <f>IF(T1495="Sim",S1495+ROW()/100000,0)</f>
        <v>0</v>
      </c>
      <c r="V1495" s="41">
        <f>IF(AND(H1495="Falta",L1495=Config!$B$7,M1495=Config!$B$5,COUNTIFS($E$5:E1495,E1495,$H$5:H1495,"Falta",$L$5:L1495,Config!$B$7,$M$5:M1495,Config!$B$5)=1),COUNTIFS($E$5:$E$3004,E1495,$H$5:$H$3004,"Falta",$L$5:$L$3004,Config!$B$7,$M$5:$M$3004,Config!$B$5)*1000-ROW()/100000,0)</f>
        <v>0</v>
      </c>
    </row>
    <row r="1496">
      <c r="A1496" s="39" t="n"/>
      <c r="B1496" s="40" t="n"/>
      <c r="C1496" s="35" t="n"/>
      <c r="D1496" s="35" t="n"/>
      <c r="E1496" s="34" t="n"/>
      <c r="F1496" s="35" t="n"/>
      <c r="G1496" s="35" t="n"/>
      <c r="H1496" s="35" t="n"/>
      <c r="I1496" s="35" t="n"/>
      <c r="J1496" s="35" t="n"/>
      <c r="K1496" s="34" t="n"/>
      <c r="L1496" s="26">
        <f>IF(A1496="","",MONTH(A1496))</f>
        <v/>
      </c>
      <c r="M1496" s="26">
        <f>IF(A1496="","",YEAR(A1496))</f>
        <v/>
      </c>
      <c r="N1496" s="26">
        <f>IF(A1496="","",CHOOSE(WEEKDAY(A1496,2),"Segunda","Terça","Quarta","Quinta","Sexta","Sábado","Domingo"))</f>
        <v/>
      </c>
      <c r="O1496" s="26">
        <f>IF(B1496="","",IF(B1496&lt;TIME(12,0,0),"Manhã",IF(B1496&lt;TIME(18,0,0),"Tarde","Noite")))</f>
        <v/>
      </c>
      <c r="P1496" s="32">
        <f>IF(G1496="","",IFERROR(INDEX(Config!$I$5:$I$16,MATCH(G1496,Config!$H$5:$H$16,0)),0))</f>
        <v/>
      </c>
      <c r="Q1496" s="30">
        <f>IF(OR(H1496&lt;&gt;"Realizado",P1496="",P1496=0),"",A1496+P1496)</f>
        <v/>
      </c>
      <c r="R1496" s="26">
        <f>IF(Q1496="","",IF(COUNTIFS($E$5:$E$3004,E1496,$A$5:$A$3004,"&gt;"&amp;A1496,$H$5:$H$3004,"&lt;&gt;Falta",$H$5:$H$3004,"&lt;&gt;Cancelado",$H$5:$H$3004,"&lt;&gt;Remarcado")&gt;0,"Sim","Não"))</f>
        <v/>
      </c>
      <c r="S1496" s="32">
        <f>IF(R1496&lt;&gt;"Não","",IF(Q1496+Config!$B$9&lt;=Config!$B$8,Config!$B$8-Q1496,""))</f>
        <v/>
      </c>
      <c r="T1496" s="26">
        <f>IF(S1496="","","Sim")</f>
        <v/>
      </c>
      <c r="U1496" s="41">
        <f>IF(T1496="Sim",S1496+ROW()/100000,0)</f>
        <v>0</v>
      </c>
      <c r="V1496" s="41">
        <f>IF(AND(H1496="Falta",L1496=Config!$B$7,M1496=Config!$B$5,COUNTIFS($E$5:E1496,E1496,$H$5:H1496,"Falta",$L$5:L1496,Config!$B$7,$M$5:M1496,Config!$B$5)=1),COUNTIFS($E$5:$E$3004,E1496,$H$5:$H$3004,"Falta",$L$5:$L$3004,Config!$B$7,$M$5:$M$3004,Config!$B$5)*1000-ROW()/100000,0)</f>
        <v>0</v>
      </c>
    </row>
    <row r="1497">
      <c r="A1497" s="39" t="n"/>
      <c r="B1497" s="40" t="n"/>
      <c r="C1497" s="35" t="n"/>
      <c r="D1497" s="35" t="n"/>
      <c r="E1497" s="34" t="n"/>
      <c r="F1497" s="35" t="n"/>
      <c r="G1497" s="35" t="n"/>
      <c r="H1497" s="35" t="n"/>
      <c r="I1497" s="35" t="n"/>
      <c r="J1497" s="35" t="n"/>
      <c r="K1497" s="34" t="n"/>
      <c r="L1497" s="26">
        <f>IF(A1497="","",MONTH(A1497))</f>
        <v/>
      </c>
      <c r="M1497" s="26">
        <f>IF(A1497="","",YEAR(A1497))</f>
        <v/>
      </c>
      <c r="N1497" s="26">
        <f>IF(A1497="","",CHOOSE(WEEKDAY(A1497,2),"Segunda","Terça","Quarta","Quinta","Sexta","Sábado","Domingo"))</f>
        <v/>
      </c>
      <c r="O1497" s="26">
        <f>IF(B1497="","",IF(B1497&lt;TIME(12,0,0),"Manhã",IF(B1497&lt;TIME(18,0,0),"Tarde","Noite")))</f>
        <v/>
      </c>
      <c r="P1497" s="32">
        <f>IF(G1497="","",IFERROR(INDEX(Config!$I$5:$I$16,MATCH(G1497,Config!$H$5:$H$16,0)),0))</f>
        <v/>
      </c>
      <c r="Q1497" s="30">
        <f>IF(OR(H1497&lt;&gt;"Realizado",P1497="",P1497=0),"",A1497+P1497)</f>
        <v/>
      </c>
      <c r="R1497" s="26">
        <f>IF(Q1497="","",IF(COUNTIFS($E$5:$E$3004,E1497,$A$5:$A$3004,"&gt;"&amp;A1497,$H$5:$H$3004,"&lt;&gt;Falta",$H$5:$H$3004,"&lt;&gt;Cancelado",$H$5:$H$3004,"&lt;&gt;Remarcado")&gt;0,"Sim","Não"))</f>
        <v/>
      </c>
      <c r="S1497" s="32">
        <f>IF(R1497&lt;&gt;"Não","",IF(Q1497+Config!$B$9&lt;=Config!$B$8,Config!$B$8-Q1497,""))</f>
        <v/>
      </c>
      <c r="T1497" s="26">
        <f>IF(S1497="","","Sim")</f>
        <v/>
      </c>
      <c r="U1497" s="41">
        <f>IF(T1497="Sim",S1497+ROW()/100000,0)</f>
        <v>0</v>
      </c>
      <c r="V1497" s="41">
        <f>IF(AND(H1497="Falta",L1497=Config!$B$7,M1497=Config!$B$5,COUNTIFS($E$5:E1497,E1497,$H$5:H1497,"Falta",$L$5:L1497,Config!$B$7,$M$5:M1497,Config!$B$5)=1),COUNTIFS($E$5:$E$3004,E1497,$H$5:$H$3004,"Falta",$L$5:$L$3004,Config!$B$7,$M$5:$M$3004,Config!$B$5)*1000-ROW()/100000,0)</f>
        <v>0</v>
      </c>
    </row>
    <row r="1498">
      <c r="A1498" s="39" t="n"/>
      <c r="B1498" s="40" t="n"/>
      <c r="C1498" s="35" t="n"/>
      <c r="D1498" s="35" t="n"/>
      <c r="E1498" s="34" t="n"/>
      <c r="F1498" s="35" t="n"/>
      <c r="G1498" s="35" t="n"/>
      <c r="H1498" s="35" t="n"/>
      <c r="I1498" s="35" t="n"/>
      <c r="J1498" s="35" t="n"/>
      <c r="K1498" s="34" t="n"/>
      <c r="L1498" s="26">
        <f>IF(A1498="","",MONTH(A1498))</f>
        <v/>
      </c>
      <c r="M1498" s="26">
        <f>IF(A1498="","",YEAR(A1498))</f>
        <v/>
      </c>
      <c r="N1498" s="26">
        <f>IF(A1498="","",CHOOSE(WEEKDAY(A1498,2),"Segunda","Terça","Quarta","Quinta","Sexta","Sábado","Domingo"))</f>
        <v/>
      </c>
      <c r="O1498" s="26">
        <f>IF(B1498="","",IF(B1498&lt;TIME(12,0,0),"Manhã",IF(B1498&lt;TIME(18,0,0),"Tarde","Noite")))</f>
        <v/>
      </c>
      <c r="P1498" s="32">
        <f>IF(G1498="","",IFERROR(INDEX(Config!$I$5:$I$16,MATCH(G1498,Config!$H$5:$H$16,0)),0))</f>
        <v/>
      </c>
      <c r="Q1498" s="30">
        <f>IF(OR(H1498&lt;&gt;"Realizado",P1498="",P1498=0),"",A1498+P1498)</f>
        <v/>
      </c>
      <c r="R1498" s="26">
        <f>IF(Q1498="","",IF(COUNTIFS($E$5:$E$3004,E1498,$A$5:$A$3004,"&gt;"&amp;A1498,$H$5:$H$3004,"&lt;&gt;Falta",$H$5:$H$3004,"&lt;&gt;Cancelado",$H$5:$H$3004,"&lt;&gt;Remarcado")&gt;0,"Sim","Não"))</f>
        <v/>
      </c>
      <c r="S1498" s="32">
        <f>IF(R1498&lt;&gt;"Não","",IF(Q1498+Config!$B$9&lt;=Config!$B$8,Config!$B$8-Q1498,""))</f>
        <v/>
      </c>
      <c r="T1498" s="26">
        <f>IF(S1498="","","Sim")</f>
        <v/>
      </c>
      <c r="U1498" s="41">
        <f>IF(T1498="Sim",S1498+ROW()/100000,0)</f>
        <v>0</v>
      </c>
      <c r="V1498" s="41">
        <f>IF(AND(H1498="Falta",L1498=Config!$B$7,M1498=Config!$B$5,COUNTIFS($E$5:E1498,E1498,$H$5:H1498,"Falta",$L$5:L1498,Config!$B$7,$M$5:M1498,Config!$B$5)=1),COUNTIFS($E$5:$E$3004,E1498,$H$5:$H$3004,"Falta",$L$5:$L$3004,Config!$B$7,$M$5:$M$3004,Config!$B$5)*1000-ROW()/100000,0)</f>
        <v>0</v>
      </c>
    </row>
    <row r="1499">
      <c r="A1499" s="39" t="n"/>
      <c r="B1499" s="40" t="n"/>
      <c r="C1499" s="35" t="n"/>
      <c r="D1499" s="35" t="n"/>
      <c r="E1499" s="34" t="n"/>
      <c r="F1499" s="35" t="n"/>
      <c r="G1499" s="35" t="n"/>
      <c r="H1499" s="35" t="n"/>
      <c r="I1499" s="35" t="n"/>
      <c r="J1499" s="35" t="n"/>
      <c r="K1499" s="34" t="n"/>
      <c r="L1499" s="26">
        <f>IF(A1499="","",MONTH(A1499))</f>
        <v/>
      </c>
      <c r="M1499" s="26">
        <f>IF(A1499="","",YEAR(A1499))</f>
        <v/>
      </c>
      <c r="N1499" s="26">
        <f>IF(A1499="","",CHOOSE(WEEKDAY(A1499,2),"Segunda","Terça","Quarta","Quinta","Sexta","Sábado","Domingo"))</f>
        <v/>
      </c>
      <c r="O1499" s="26">
        <f>IF(B1499="","",IF(B1499&lt;TIME(12,0,0),"Manhã",IF(B1499&lt;TIME(18,0,0),"Tarde","Noite")))</f>
        <v/>
      </c>
      <c r="P1499" s="32">
        <f>IF(G1499="","",IFERROR(INDEX(Config!$I$5:$I$16,MATCH(G1499,Config!$H$5:$H$16,0)),0))</f>
        <v/>
      </c>
      <c r="Q1499" s="30">
        <f>IF(OR(H1499&lt;&gt;"Realizado",P1499="",P1499=0),"",A1499+P1499)</f>
        <v/>
      </c>
      <c r="R1499" s="26">
        <f>IF(Q1499="","",IF(COUNTIFS($E$5:$E$3004,E1499,$A$5:$A$3004,"&gt;"&amp;A1499,$H$5:$H$3004,"&lt;&gt;Falta",$H$5:$H$3004,"&lt;&gt;Cancelado",$H$5:$H$3004,"&lt;&gt;Remarcado")&gt;0,"Sim","Não"))</f>
        <v/>
      </c>
      <c r="S1499" s="32">
        <f>IF(R1499&lt;&gt;"Não","",IF(Q1499+Config!$B$9&lt;=Config!$B$8,Config!$B$8-Q1499,""))</f>
        <v/>
      </c>
      <c r="T1499" s="26">
        <f>IF(S1499="","","Sim")</f>
        <v/>
      </c>
      <c r="U1499" s="41">
        <f>IF(T1499="Sim",S1499+ROW()/100000,0)</f>
        <v>0</v>
      </c>
      <c r="V1499" s="41">
        <f>IF(AND(H1499="Falta",L1499=Config!$B$7,M1499=Config!$B$5,COUNTIFS($E$5:E1499,E1499,$H$5:H1499,"Falta",$L$5:L1499,Config!$B$7,$M$5:M1499,Config!$B$5)=1),COUNTIFS($E$5:$E$3004,E1499,$H$5:$H$3004,"Falta",$L$5:$L$3004,Config!$B$7,$M$5:$M$3004,Config!$B$5)*1000-ROW()/100000,0)</f>
        <v>0</v>
      </c>
    </row>
    <row r="1500">
      <c r="A1500" s="39" t="n"/>
      <c r="B1500" s="40" t="n"/>
      <c r="C1500" s="35" t="n"/>
      <c r="D1500" s="35" t="n"/>
      <c r="E1500" s="34" t="n"/>
      <c r="F1500" s="35" t="n"/>
      <c r="G1500" s="35" t="n"/>
      <c r="H1500" s="35" t="n"/>
      <c r="I1500" s="35" t="n"/>
      <c r="J1500" s="35" t="n"/>
      <c r="K1500" s="34" t="n"/>
      <c r="L1500" s="26">
        <f>IF(A1500="","",MONTH(A1500))</f>
        <v/>
      </c>
      <c r="M1500" s="26">
        <f>IF(A1500="","",YEAR(A1500))</f>
        <v/>
      </c>
      <c r="N1500" s="26">
        <f>IF(A1500="","",CHOOSE(WEEKDAY(A1500,2),"Segunda","Terça","Quarta","Quinta","Sexta","Sábado","Domingo"))</f>
        <v/>
      </c>
      <c r="O1500" s="26">
        <f>IF(B1500="","",IF(B1500&lt;TIME(12,0,0),"Manhã",IF(B1500&lt;TIME(18,0,0),"Tarde","Noite")))</f>
        <v/>
      </c>
      <c r="P1500" s="32">
        <f>IF(G1500="","",IFERROR(INDEX(Config!$I$5:$I$16,MATCH(G1500,Config!$H$5:$H$16,0)),0))</f>
        <v/>
      </c>
      <c r="Q1500" s="30">
        <f>IF(OR(H1500&lt;&gt;"Realizado",P1500="",P1500=0),"",A1500+P1500)</f>
        <v/>
      </c>
      <c r="R1500" s="26">
        <f>IF(Q1500="","",IF(COUNTIFS($E$5:$E$3004,E1500,$A$5:$A$3004,"&gt;"&amp;A1500,$H$5:$H$3004,"&lt;&gt;Falta",$H$5:$H$3004,"&lt;&gt;Cancelado",$H$5:$H$3004,"&lt;&gt;Remarcado")&gt;0,"Sim","Não"))</f>
        <v/>
      </c>
      <c r="S1500" s="32">
        <f>IF(R1500&lt;&gt;"Não","",IF(Q1500+Config!$B$9&lt;=Config!$B$8,Config!$B$8-Q1500,""))</f>
        <v/>
      </c>
      <c r="T1500" s="26">
        <f>IF(S1500="","","Sim")</f>
        <v/>
      </c>
      <c r="U1500" s="41">
        <f>IF(T1500="Sim",S1500+ROW()/100000,0)</f>
        <v>0</v>
      </c>
      <c r="V1500" s="41">
        <f>IF(AND(H1500="Falta",L1500=Config!$B$7,M1500=Config!$B$5,COUNTIFS($E$5:E1500,E1500,$H$5:H1500,"Falta",$L$5:L1500,Config!$B$7,$M$5:M1500,Config!$B$5)=1),COUNTIFS($E$5:$E$3004,E1500,$H$5:$H$3004,"Falta",$L$5:$L$3004,Config!$B$7,$M$5:$M$3004,Config!$B$5)*1000-ROW()/100000,0)</f>
        <v>0</v>
      </c>
    </row>
    <row r="1501">
      <c r="A1501" s="39" t="n"/>
      <c r="B1501" s="40" t="n"/>
      <c r="C1501" s="35" t="n"/>
      <c r="D1501" s="35" t="n"/>
      <c r="E1501" s="34" t="n"/>
      <c r="F1501" s="35" t="n"/>
      <c r="G1501" s="35" t="n"/>
      <c r="H1501" s="35" t="n"/>
      <c r="I1501" s="35" t="n"/>
      <c r="J1501" s="35" t="n"/>
      <c r="K1501" s="34" t="n"/>
      <c r="L1501" s="26">
        <f>IF(A1501="","",MONTH(A1501))</f>
        <v/>
      </c>
      <c r="M1501" s="26">
        <f>IF(A1501="","",YEAR(A1501))</f>
        <v/>
      </c>
      <c r="N1501" s="26">
        <f>IF(A1501="","",CHOOSE(WEEKDAY(A1501,2),"Segunda","Terça","Quarta","Quinta","Sexta","Sábado","Domingo"))</f>
        <v/>
      </c>
      <c r="O1501" s="26">
        <f>IF(B1501="","",IF(B1501&lt;TIME(12,0,0),"Manhã",IF(B1501&lt;TIME(18,0,0),"Tarde","Noite")))</f>
        <v/>
      </c>
      <c r="P1501" s="32">
        <f>IF(G1501="","",IFERROR(INDEX(Config!$I$5:$I$16,MATCH(G1501,Config!$H$5:$H$16,0)),0))</f>
        <v/>
      </c>
      <c r="Q1501" s="30">
        <f>IF(OR(H1501&lt;&gt;"Realizado",P1501="",P1501=0),"",A1501+P1501)</f>
        <v/>
      </c>
      <c r="R1501" s="26">
        <f>IF(Q1501="","",IF(COUNTIFS($E$5:$E$3004,E1501,$A$5:$A$3004,"&gt;"&amp;A1501,$H$5:$H$3004,"&lt;&gt;Falta",$H$5:$H$3004,"&lt;&gt;Cancelado",$H$5:$H$3004,"&lt;&gt;Remarcado")&gt;0,"Sim","Não"))</f>
        <v/>
      </c>
      <c r="S1501" s="32">
        <f>IF(R1501&lt;&gt;"Não","",IF(Q1501+Config!$B$9&lt;=Config!$B$8,Config!$B$8-Q1501,""))</f>
        <v/>
      </c>
      <c r="T1501" s="26">
        <f>IF(S1501="","","Sim")</f>
        <v/>
      </c>
      <c r="U1501" s="41">
        <f>IF(T1501="Sim",S1501+ROW()/100000,0)</f>
        <v>0</v>
      </c>
      <c r="V1501" s="41">
        <f>IF(AND(H1501="Falta",L1501=Config!$B$7,M1501=Config!$B$5,COUNTIFS($E$5:E1501,E1501,$H$5:H1501,"Falta",$L$5:L1501,Config!$B$7,$M$5:M1501,Config!$B$5)=1),COUNTIFS($E$5:$E$3004,E1501,$H$5:$H$3004,"Falta",$L$5:$L$3004,Config!$B$7,$M$5:$M$3004,Config!$B$5)*1000-ROW()/100000,0)</f>
        <v>0</v>
      </c>
    </row>
    <row r="1502">
      <c r="A1502" s="39" t="n"/>
      <c r="B1502" s="40" t="n"/>
      <c r="C1502" s="35" t="n"/>
      <c r="D1502" s="35" t="n"/>
      <c r="E1502" s="34" t="n"/>
      <c r="F1502" s="35" t="n"/>
      <c r="G1502" s="35" t="n"/>
      <c r="H1502" s="35" t="n"/>
      <c r="I1502" s="35" t="n"/>
      <c r="J1502" s="35" t="n"/>
      <c r="K1502" s="34" t="n"/>
      <c r="L1502" s="26">
        <f>IF(A1502="","",MONTH(A1502))</f>
        <v/>
      </c>
      <c r="M1502" s="26">
        <f>IF(A1502="","",YEAR(A1502))</f>
        <v/>
      </c>
      <c r="N1502" s="26">
        <f>IF(A1502="","",CHOOSE(WEEKDAY(A1502,2),"Segunda","Terça","Quarta","Quinta","Sexta","Sábado","Domingo"))</f>
        <v/>
      </c>
      <c r="O1502" s="26">
        <f>IF(B1502="","",IF(B1502&lt;TIME(12,0,0),"Manhã",IF(B1502&lt;TIME(18,0,0),"Tarde","Noite")))</f>
        <v/>
      </c>
      <c r="P1502" s="32">
        <f>IF(G1502="","",IFERROR(INDEX(Config!$I$5:$I$16,MATCH(G1502,Config!$H$5:$H$16,0)),0))</f>
        <v/>
      </c>
      <c r="Q1502" s="30">
        <f>IF(OR(H1502&lt;&gt;"Realizado",P1502="",P1502=0),"",A1502+P1502)</f>
        <v/>
      </c>
      <c r="R1502" s="26">
        <f>IF(Q1502="","",IF(COUNTIFS($E$5:$E$3004,E1502,$A$5:$A$3004,"&gt;"&amp;A1502,$H$5:$H$3004,"&lt;&gt;Falta",$H$5:$H$3004,"&lt;&gt;Cancelado",$H$5:$H$3004,"&lt;&gt;Remarcado")&gt;0,"Sim","Não"))</f>
        <v/>
      </c>
      <c r="S1502" s="32">
        <f>IF(R1502&lt;&gt;"Não","",IF(Q1502+Config!$B$9&lt;=Config!$B$8,Config!$B$8-Q1502,""))</f>
        <v/>
      </c>
      <c r="T1502" s="26">
        <f>IF(S1502="","","Sim")</f>
        <v/>
      </c>
      <c r="U1502" s="41">
        <f>IF(T1502="Sim",S1502+ROW()/100000,0)</f>
        <v>0</v>
      </c>
      <c r="V1502" s="41">
        <f>IF(AND(H1502="Falta",L1502=Config!$B$7,M1502=Config!$B$5,COUNTIFS($E$5:E1502,E1502,$H$5:H1502,"Falta",$L$5:L1502,Config!$B$7,$M$5:M1502,Config!$B$5)=1),COUNTIFS($E$5:$E$3004,E1502,$H$5:$H$3004,"Falta",$L$5:$L$3004,Config!$B$7,$M$5:$M$3004,Config!$B$5)*1000-ROW()/100000,0)</f>
        <v>0</v>
      </c>
    </row>
    <row r="1503">
      <c r="A1503" s="39" t="n"/>
      <c r="B1503" s="40" t="n"/>
      <c r="C1503" s="35" t="n"/>
      <c r="D1503" s="35" t="n"/>
      <c r="E1503" s="34" t="n"/>
      <c r="F1503" s="35" t="n"/>
      <c r="G1503" s="35" t="n"/>
      <c r="H1503" s="35" t="n"/>
      <c r="I1503" s="35" t="n"/>
      <c r="J1503" s="35" t="n"/>
      <c r="K1503" s="34" t="n"/>
      <c r="L1503" s="26">
        <f>IF(A1503="","",MONTH(A1503))</f>
        <v/>
      </c>
      <c r="M1503" s="26">
        <f>IF(A1503="","",YEAR(A1503))</f>
        <v/>
      </c>
      <c r="N1503" s="26">
        <f>IF(A1503="","",CHOOSE(WEEKDAY(A1503,2),"Segunda","Terça","Quarta","Quinta","Sexta","Sábado","Domingo"))</f>
        <v/>
      </c>
      <c r="O1503" s="26">
        <f>IF(B1503="","",IF(B1503&lt;TIME(12,0,0),"Manhã",IF(B1503&lt;TIME(18,0,0),"Tarde","Noite")))</f>
        <v/>
      </c>
      <c r="P1503" s="32">
        <f>IF(G1503="","",IFERROR(INDEX(Config!$I$5:$I$16,MATCH(G1503,Config!$H$5:$H$16,0)),0))</f>
        <v/>
      </c>
      <c r="Q1503" s="30">
        <f>IF(OR(H1503&lt;&gt;"Realizado",P1503="",P1503=0),"",A1503+P1503)</f>
        <v/>
      </c>
      <c r="R1503" s="26">
        <f>IF(Q1503="","",IF(COUNTIFS($E$5:$E$3004,E1503,$A$5:$A$3004,"&gt;"&amp;A1503,$H$5:$H$3004,"&lt;&gt;Falta",$H$5:$H$3004,"&lt;&gt;Cancelado",$H$5:$H$3004,"&lt;&gt;Remarcado")&gt;0,"Sim","Não"))</f>
        <v/>
      </c>
      <c r="S1503" s="32">
        <f>IF(R1503&lt;&gt;"Não","",IF(Q1503+Config!$B$9&lt;=Config!$B$8,Config!$B$8-Q1503,""))</f>
        <v/>
      </c>
      <c r="T1503" s="26">
        <f>IF(S1503="","","Sim")</f>
        <v/>
      </c>
      <c r="U1503" s="41">
        <f>IF(T1503="Sim",S1503+ROW()/100000,0)</f>
        <v>0</v>
      </c>
      <c r="V1503" s="41">
        <f>IF(AND(H1503="Falta",L1503=Config!$B$7,M1503=Config!$B$5,COUNTIFS($E$5:E1503,E1503,$H$5:H1503,"Falta",$L$5:L1503,Config!$B$7,$M$5:M1503,Config!$B$5)=1),COUNTIFS($E$5:$E$3004,E1503,$H$5:$H$3004,"Falta",$L$5:$L$3004,Config!$B$7,$M$5:$M$3004,Config!$B$5)*1000-ROW()/100000,0)</f>
        <v>0</v>
      </c>
    </row>
    <row r="1504">
      <c r="A1504" s="39" t="n"/>
      <c r="B1504" s="40" t="n"/>
      <c r="C1504" s="35" t="n"/>
      <c r="D1504" s="35" t="n"/>
      <c r="E1504" s="34" t="n"/>
      <c r="F1504" s="35" t="n"/>
      <c r="G1504" s="35" t="n"/>
      <c r="H1504" s="35" t="n"/>
      <c r="I1504" s="35" t="n"/>
      <c r="J1504" s="35" t="n"/>
      <c r="K1504" s="34" t="n"/>
      <c r="L1504" s="26">
        <f>IF(A1504="","",MONTH(A1504))</f>
        <v/>
      </c>
      <c r="M1504" s="26">
        <f>IF(A1504="","",YEAR(A1504))</f>
        <v/>
      </c>
      <c r="N1504" s="26">
        <f>IF(A1504="","",CHOOSE(WEEKDAY(A1504,2),"Segunda","Terça","Quarta","Quinta","Sexta","Sábado","Domingo"))</f>
        <v/>
      </c>
      <c r="O1504" s="26">
        <f>IF(B1504="","",IF(B1504&lt;TIME(12,0,0),"Manhã",IF(B1504&lt;TIME(18,0,0),"Tarde","Noite")))</f>
        <v/>
      </c>
      <c r="P1504" s="32">
        <f>IF(G1504="","",IFERROR(INDEX(Config!$I$5:$I$16,MATCH(G1504,Config!$H$5:$H$16,0)),0))</f>
        <v/>
      </c>
      <c r="Q1504" s="30">
        <f>IF(OR(H1504&lt;&gt;"Realizado",P1504="",P1504=0),"",A1504+P1504)</f>
        <v/>
      </c>
      <c r="R1504" s="26">
        <f>IF(Q1504="","",IF(COUNTIFS($E$5:$E$3004,E1504,$A$5:$A$3004,"&gt;"&amp;A1504,$H$5:$H$3004,"&lt;&gt;Falta",$H$5:$H$3004,"&lt;&gt;Cancelado",$H$5:$H$3004,"&lt;&gt;Remarcado")&gt;0,"Sim","Não"))</f>
        <v/>
      </c>
      <c r="S1504" s="32">
        <f>IF(R1504&lt;&gt;"Não","",IF(Q1504+Config!$B$9&lt;=Config!$B$8,Config!$B$8-Q1504,""))</f>
        <v/>
      </c>
      <c r="T1504" s="26">
        <f>IF(S1504="","","Sim")</f>
        <v/>
      </c>
      <c r="U1504" s="41">
        <f>IF(T1504="Sim",S1504+ROW()/100000,0)</f>
        <v>0</v>
      </c>
      <c r="V1504" s="41">
        <f>IF(AND(H1504="Falta",L1504=Config!$B$7,M1504=Config!$B$5,COUNTIFS($E$5:E1504,E1504,$H$5:H1504,"Falta",$L$5:L1504,Config!$B$7,$M$5:M1504,Config!$B$5)=1),COUNTIFS($E$5:$E$3004,E1504,$H$5:$H$3004,"Falta",$L$5:$L$3004,Config!$B$7,$M$5:$M$3004,Config!$B$5)*1000-ROW()/100000,0)</f>
        <v>0</v>
      </c>
    </row>
    <row r="1505">
      <c r="A1505" s="39" t="n"/>
      <c r="B1505" s="40" t="n"/>
      <c r="C1505" s="35" t="n"/>
      <c r="D1505" s="35" t="n"/>
      <c r="E1505" s="34" t="n"/>
      <c r="F1505" s="35" t="n"/>
      <c r="G1505" s="35" t="n"/>
      <c r="H1505" s="35" t="n"/>
      <c r="I1505" s="35" t="n"/>
      <c r="J1505" s="35" t="n"/>
      <c r="K1505" s="34" t="n"/>
      <c r="L1505" s="26">
        <f>IF(A1505="","",MONTH(A1505))</f>
        <v/>
      </c>
      <c r="M1505" s="26">
        <f>IF(A1505="","",YEAR(A1505))</f>
        <v/>
      </c>
      <c r="N1505" s="26">
        <f>IF(A1505="","",CHOOSE(WEEKDAY(A1505,2),"Segunda","Terça","Quarta","Quinta","Sexta","Sábado","Domingo"))</f>
        <v/>
      </c>
      <c r="O1505" s="26">
        <f>IF(B1505="","",IF(B1505&lt;TIME(12,0,0),"Manhã",IF(B1505&lt;TIME(18,0,0),"Tarde","Noite")))</f>
        <v/>
      </c>
      <c r="P1505" s="32">
        <f>IF(G1505="","",IFERROR(INDEX(Config!$I$5:$I$16,MATCH(G1505,Config!$H$5:$H$16,0)),0))</f>
        <v/>
      </c>
      <c r="Q1505" s="30">
        <f>IF(OR(H1505&lt;&gt;"Realizado",P1505="",P1505=0),"",A1505+P1505)</f>
        <v/>
      </c>
      <c r="R1505" s="26">
        <f>IF(Q1505="","",IF(COUNTIFS($E$5:$E$3004,E1505,$A$5:$A$3004,"&gt;"&amp;A1505,$H$5:$H$3004,"&lt;&gt;Falta",$H$5:$H$3004,"&lt;&gt;Cancelado",$H$5:$H$3004,"&lt;&gt;Remarcado")&gt;0,"Sim","Não"))</f>
        <v/>
      </c>
      <c r="S1505" s="32">
        <f>IF(R1505&lt;&gt;"Não","",IF(Q1505+Config!$B$9&lt;=Config!$B$8,Config!$B$8-Q1505,""))</f>
        <v/>
      </c>
      <c r="T1505" s="26">
        <f>IF(S1505="","","Sim")</f>
        <v/>
      </c>
      <c r="U1505" s="41">
        <f>IF(T1505="Sim",S1505+ROW()/100000,0)</f>
        <v>0</v>
      </c>
      <c r="V1505" s="41">
        <f>IF(AND(H1505="Falta",L1505=Config!$B$7,M1505=Config!$B$5,COUNTIFS($E$5:E1505,E1505,$H$5:H1505,"Falta",$L$5:L1505,Config!$B$7,$M$5:M1505,Config!$B$5)=1),COUNTIFS($E$5:$E$3004,E1505,$H$5:$H$3004,"Falta",$L$5:$L$3004,Config!$B$7,$M$5:$M$3004,Config!$B$5)*1000-ROW()/100000,0)</f>
        <v>0</v>
      </c>
    </row>
    <row r="1506">
      <c r="A1506" s="39" t="n"/>
      <c r="B1506" s="40" t="n"/>
      <c r="C1506" s="35" t="n"/>
      <c r="D1506" s="35" t="n"/>
      <c r="E1506" s="34" t="n"/>
      <c r="F1506" s="35" t="n"/>
      <c r="G1506" s="35" t="n"/>
      <c r="H1506" s="35" t="n"/>
      <c r="I1506" s="35" t="n"/>
      <c r="J1506" s="35" t="n"/>
      <c r="K1506" s="34" t="n"/>
      <c r="L1506" s="26">
        <f>IF(A1506="","",MONTH(A1506))</f>
        <v/>
      </c>
      <c r="M1506" s="26">
        <f>IF(A1506="","",YEAR(A1506))</f>
        <v/>
      </c>
      <c r="N1506" s="26">
        <f>IF(A1506="","",CHOOSE(WEEKDAY(A1506,2),"Segunda","Terça","Quarta","Quinta","Sexta","Sábado","Domingo"))</f>
        <v/>
      </c>
      <c r="O1506" s="26">
        <f>IF(B1506="","",IF(B1506&lt;TIME(12,0,0),"Manhã",IF(B1506&lt;TIME(18,0,0),"Tarde","Noite")))</f>
        <v/>
      </c>
      <c r="P1506" s="32">
        <f>IF(G1506="","",IFERROR(INDEX(Config!$I$5:$I$16,MATCH(G1506,Config!$H$5:$H$16,0)),0))</f>
        <v/>
      </c>
      <c r="Q1506" s="30">
        <f>IF(OR(H1506&lt;&gt;"Realizado",P1506="",P1506=0),"",A1506+P1506)</f>
        <v/>
      </c>
      <c r="R1506" s="26">
        <f>IF(Q1506="","",IF(COUNTIFS($E$5:$E$3004,E1506,$A$5:$A$3004,"&gt;"&amp;A1506,$H$5:$H$3004,"&lt;&gt;Falta",$H$5:$H$3004,"&lt;&gt;Cancelado",$H$5:$H$3004,"&lt;&gt;Remarcado")&gt;0,"Sim","Não"))</f>
        <v/>
      </c>
      <c r="S1506" s="32">
        <f>IF(R1506&lt;&gt;"Não","",IF(Q1506+Config!$B$9&lt;=Config!$B$8,Config!$B$8-Q1506,""))</f>
        <v/>
      </c>
      <c r="T1506" s="26">
        <f>IF(S1506="","","Sim")</f>
        <v/>
      </c>
      <c r="U1506" s="41">
        <f>IF(T1506="Sim",S1506+ROW()/100000,0)</f>
        <v>0</v>
      </c>
      <c r="V1506" s="41">
        <f>IF(AND(H1506="Falta",L1506=Config!$B$7,M1506=Config!$B$5,COUNTIFS($E$5:E1506,E1506,$H$5:H1506,"Falta",$L$5:L1506,Config!$B$7,$M$5:M1506,Config!$B$5)=1),COUNTIFS($E$5:$E$3004,E1506,$H$5:$H$3004,"Falta",$L$5:$L$3004,Config!$B$7,$M$5:$M$3004,Config!$B$5)*1000-ROW()/100000,0)</f>
        <v>0</v>
      </c>
    </row>
    <row r="1507">
      <c r="A1507" s="39" t="n"/>
      <c r="B1507" s="40" t="n"/>
      <c r="C1507" s="35" t="n"/>
      <c r="D1507" s="35" t="n"/>
      <c r="E1507" s="34" t="n"/>
      <c r="F1507" s="35" t="n"/>
      <c r="G1507" s="35" t="n"/>
      <c r="H1507" s="35" t="n"/>
      <c r="I1507" s="35" t="n"/>
      <c r="J1507" s="35" t="n"/>
      <c r="K1507" s="34" t="n"/>
      <c r="L1507" s="26">
        <f>IF(A1507="","",MONTH(A1507))</f>
        <v/>
      </c>
      <c r="M1507" s="26">
        <f>IF(A1507="","",YEAR(A1507))</f>
        <v/>
      </c>
      <c r="N1507" s="26">
        <f>IF(A1507="","",CHOOSE(WEEKDAY(A1507,2),"Segunda","Terça","Quarta","Quinta","Sexta","Sábado","Domingo"))</f>
        <v/>
      </c>
      <c r="O1507" s="26">
        <f>IF(B1507="","",IF(B1507&lt;TIME(12,0,0),"Manhã",IF(B1507&lt;TIME(18,0,0),"Tarde","Noite")))</f>
        <v/>
      </c>
      <c r="P1507" s="32">
        <f>IF(G1507="","",IFERROR(INDEX(Config!$I$5:$I$16,MATCH(G1507,Config!$H$5:$H$16,0)),0))</f>
        <v/>
      </c>
      <c r="Q1507" s="30">
        <f>IF(OR(H1507&lt;&gt;"Realizado",P1507="",P1507=0),"",A1507+P1507)</f>
        <v/>
      </c>
      <c r="R1507" s="26">
        <f>IF(Q1507="","",IF(COUNTIFS($E$5:$E$3004,E1507,$A$5:$A$3004,"&gt;"&amp;A1507,$H$5:$H$3004,"&lt;&gt;Falta",$H$5:$H$3004,"&lt;&gt;Cancelado",$H$5:$H$3004,"&lt;&gt;Remarcado")&gt;0,"Sim","Não"))</f>
        <v/>
      </c>
      <c r="S1507" s="32">
        <f>IF(R1507&lt;&gt;"Não","",IF(Q1507+Config!$B$9&lt;=Config!$B$8,Config!$B$8-Q1507,""))</f>
        <v/>
      </c>
      <c r="T1507" s="26">
        <f>IF(S1507="","","Sim")</f>
        <v/>
      </c>
      <c r="U1507" s="41">
        <f>IF(T1507="Sim",S1507+ROW()/100000,0)</f>
        <v>0</v>
      </c>
      <c r="V1507" s="41">
        <f>IF(AND(H1507="Falta",L1507=Config!$B$7,M1507=Config!$B$5,COUNTIFS($E$5:E1507,E1507,$H$5:H1507,"Falta",$L$5:L1507,Config!$B$7,$M$5:M1507,Config!$B$5)=1),COUNTIFS($E$5:$E$3004,E1507,$H$5:$H$3004,"Falta",$L$5:$L$3004,Config!$B$7,$M$5:$M$3004,Config!$B$5)*1000-ROW()/100000,0)</f>
        <v>0</v>
      </c>
    </row>
    <row r="1508">
      <c r="A1508" s="39" t="n"/>
      <c r="B1508" s="40" t="n"/>
      <c r="C1508" s="35" t="n"/>
      <c r="D1508" s="35" t="n"/>
      <c r="E1508" s="34" t="n"/>
      <c r="F1508" s="35" t="n"/>
      <c r="G1508" s="35" t="n"/>
      <c r="H1508" s="35" t="n"/>
      <c r="I1508" s="35" t="n"/>
      <c r="J1508" s="35" t="n"/>
      <c r="K1508" s="34" t="n"/>
      <c r="L1508" s="26">
        <f>IF(A1508="","",MONTH(A1508))</f>
        <v/>
      </c>
      <c r="M1508" s="26">
        <f>IF(A1508="","",YEAR(A1508))</f>
        <v/>
      </c>
      <c r="N1508" s="26">
        <f>IF(A1508="","",CHOOSE(WEEKDAY(A1508,2),"Segunda","Terça","Quarta","Quinta","Sexta","Sábado","Domingo"))</f>
        <v/>
      </c>
      <c r="O1508" s="26">
        <f>IF(B1508="","",IF(B1508&lt;TIME(12,0,0),"Manhã",IF(B1508&lt;TIME(18,0,0),"Tarde","Noite")))</f>
        <v/>
      </c>
      <c r="P1508" s="32">
        <f>IF(G1508="","",IFERROR(INDEX(Config!$I$5:$I$16,MATCH(G1508,Config!$H$5:$H$16,0)),0))</f>
        <v/>
      </c>
      <c r="Q1508" s="30">
        <f>IF(OR(H1508&lt;&gt;"Realizado",P1508="",P1508=0),"",A1508+P1508)</f>
        <v/>
      </c>
      <c r="R1508" s="26">
        <f>IF(Q1508="","",IF(COUNTIFS($E$5:$E$3004,E1508,$A$5:$A$3004,"&gt;"&amp;A1508,$H$5:$H$3004,"&lt;&gt;Falta",$H$5:$H$3004,"&lt;&gt;Cancelado",$H$5:$H$3004,"&lt;&gt;Remarcado")&gt;0,"Sim","Não"))</f>
        <v/>
      </c>
      <c r="S1508" s="32">
        <f>IF(R1508&lt;&gt;"Não","",IF(Q1508+Config!$B$9&lt;=Config!$B$8,Config!$B$8-Q1508,""))</f>
        <v/>
      </c>
      <c r="T1508" s="26">
        <f>IF(S1508="","","Sim")</f>
        <v/>
      </c>
      <c r="U1508" s="41">
        <f>IF(T1508="Sim",S1508+ROW()/100000,0)</f>
        <v>0</v>
      </c>
      <c r="V1508" s="41">
        <f>IF(AND(H1508="Falta",L1508=Config!$B$7,M1508=Config!$B$5,COUNTIFS($E$5:E1508,E1508,$H$5:H1508,"Falta",$L$5:L1508,Config!$B$7,$M$5:M1508,Config!$B$5)=1),COUNTIFS($E$5:$E$3004,E1508,$H$5:$H$3004,"Falta",$L$5:$L$3004,Config!$B$7,$M$5:$M$3004,Config!$B$5)*1000-ROW()/100000,0)</f>
        <v>0</v>
      </c>
    </row>
    <row r="1509">
      <c r="A1509" s="39" t="n"/>
      <c r="B1509" s="40" t="n"/>
      <c r="C1509" s="35" t="n"/>
      <c r="D1509" s="35" t="n"/>
      <c r="E1509" s="34" t="n"/>
      <c r="F1509" s="35" t="n"/>
      <c r="G1509" s="35" t="n"/>
      <c r="H1509" s="35" t="n"/>
      <c r="I1509" s="35" t="n"/>
      <c r="J1509" s="35" t="n"/>
      <c r="K1509" s="34" t="n"/>
      <c r="L1509" s="26">
        <f>IF(A1509="","",MONTH(A1509))</f>
        <v/>
      </c>
      <c r="M1509" s="26">
        <f>IF(A1509="","",YEAR(A1509))</f>
        <v/>
      </c>
      <c r="N1509" s="26">
        <f>IF(A1509="","",CHOOSE(WEEKDAY(A1509,2),"Segunda","Terça","Quarta","Quinta","Sexta","Sábado","Domingo"))</f>
        <v/>
      </c>
      <c r="O1509" s="26">
        <f>IF(B1509="","",IF(B1509&lt;TIME(12,0,0),"Manhã",IF(B1509&lt;TIME(18,0,0),"Tarde","Noite")))</f>
        <v/>
      </c>
      <c r="P1509" s="32">
        <f>IF(G1509="","",IFERROR(INDEX(Config!$I$5:$I$16,MATCH(G1509,Config!$H$5:$H$16,0)),0))</f>
        <v/>
      </c>
      <c r="Q1509" s="30">
        <f>IF(OR(H1509&lt;&gt;"Realizado",P1509="",P1509=0),"",A1509+P1509)</f>
        <v/>
      </c>
      <c r="R1509" s="26">
        <f>IF(Q1509="","",IF(COUNTIFS($E$5:$E$3004,E1509,$A$5:$A$3004,"&gt;"&amp;A1509,$H$5:$H$3004,"&lt;&gt;Falta",$H$5:$H$3004,"&lt;&gt;Cancelado",$H$5:$H$3004,"&lt;&gt;Remarcado")&gt;0,"Sim","Não"))</f>
        <v/>
      </c>
      <c r="S1509" s="32">
        <f>IF(R1509&lt;&gt;"Não","",IF(Q1509+Config!$B$9&lt;=Config!$B$8,Config!$B$8-Q1509,""))</f>
        <v/>
      </c>
      <c r="T1509" s="26">
        <f>IF(S1509="","","Sim")</f>
        <v/>
      </c>
      <c r="U1509" s="41">
        <f>IF(T1509="Sim",S1509+ROW()/100000,0)</f>
        <v>0</v>
      </c>
      <c r="V1509" s="41">
        <f>IF(AND(H1509="Falta",L1509=Config!$B$7,M1509=Config!$B$5,COUNTIFS($E$5:E1509,E1509,$H$5:H1509,"Falta",$L$5:L1509,Config!$B$7,$M$5:M1509,Config!$B$5)=1),COUNTIFS($E$5:$E$3004,E1509,$H$5:$H$3004,"Falta",$L$5:$L$3004,Config!$B$7,$M$5:$M$3004,Config!$B$5)*1000-ROW()/100000,0)</f>
        <v>0</v>
      </c>
    </row>
    <row r="1510">
      <c r="A1510" s="39" t="n"/>
      <c r="B1510" s="40" t="n"/>
      <c r="C1510" s="35" t="n"/>
      <c r="D1510" s="35" t="n"/>
      <c r="E1510" s="34" t="n"/>
      <c r="F1510" s="35" t="n"/>
      <c r="G1510" s="35" t="n"/>
      <c r="H1510" s="35" t="n"/>
      <c r="I1510" s="35" t="n"/>
      <c r="J1510" s="35" t="n"/>
      <c r="K1510" s="34" t="n"/>
      <c r="L1510" s="26">
        <f>IF(A1510="","",MONTH(A1510))</f>
        <v/>
      </c>
      <c r="M1510" s="26">
        <f>IF(A1510="","",YEAR(A1510))</f>
        <v/>
      </c>
      <c r="N1510" s="26">
        <f>IF(A1510="","",CHOOSE(WEEKDAY(A1510,2),"Segunda","Terça","Quarta","Quinta","Sexta","Sábado","Domingo"))</f>
        <v/>
      </c>
      <c r="O1510" s="26">
        <f>IF(B1510="","",IF(B1510&lt;TIME(12,0,0),"Manhã",IF(B1510&lt;TIME(18,0,0),"Tarde","Noite")))</f>
        <v/>
      </c>
      <c r="P1510" s="32">
        <f>IF(G1510="","",IFERROR(INDEX(Config!$I$5:$I$16,MATCH(G1510,Config!$H$5:$H$16,0)),0))</f>
        <v/>
      </c>
      <c r="Q1510" s="30">
        <f>IF(OR(H1510&lt;&gt;"Realizado",P1510="",P1510=0),"",A1510+P1510)</f>
        <v/>
      </c>
      <c r="R1510" s="26">
        <f>IF(Q1510="","",IF(COUNTIFS($E$5:$E$3004,E1510,$A$5:$A$3004,"&gt;"&amp;A1510,$H$5:$H$3004,"&lt;&gt;Falta",$H$5:$H$3004,"&lt;&gt;Cancelado",$H$5:$H$3004,"&lt;&gt;Remarcado")&gt;0,"Sim","Não"))</f>
        <v/>
      </c>
      <c r="S1510" s="32">
        <f>IF(R1510&lt;&gt;"Não","",IF(Q1510+Config!$B$9&lt;=Config!$B$8,Config!$B$8-Q1510,""))</f>
        <v/>
      </c>
      <c r="T1510" s="26">
        <f>IF(S1510="","","Sim")</f>
        <v/>
      </c>
      <c r="U1510" s="41">
        <f>IF(T1510="Sim",S1510+ROW()/100000,0)</f>
        <v>0</v>
      </c>
      <c r="V1510" s="41">
        <f>IF(AND(H1510="Falta",L1510=Config!$B$7,M1510=Config!$B$5,COUNTIFS($E$5:E1510,E1510,$H$5:H1510,"Falta",$L$5:L1510,Config!$B$7,$M$5:M1510,Config!$B$5)=1),COUNTIFS($E$5:$E$3004,E1510,$H$5:$H$3004,"Falta",$L$5:$L$3004,Config!$B$7,$M$5:$M$3004,Config!$B$5)*1000-ROW()/100000,0)</f>
        <v>0</v>
      </c>
    </row>
    <row r="1511">
      <c r="A1511" s="39" t="n"/>
      <c r="B1511" s="40" t="n"/>
      <c r="C1511" s="35" t="n"/>
      <c r="D1511" s="35" t="n"/>
      <c r="E1511" s="34" t="n"/>
      <c r="F1511" s="35" t="n"/>
      <c r="G1511" s="35" t="n"/>
      <c r="H1511" s="35" t="n"/>
      <c r="I1511" s="35" t="n"/>
      <c r="J1511" s="35" t="n"/>
      <c r="K1511" s="34" t="n"/>
      <c r="L1511" s="26">
        <f>IF(A1511="","",MONTH(A1511))</f>
        <v/>
      </c>
      <c r="M1511" s="26">
        <f>IF(A1511="","",YEAR(A1511))</f>
        <v/>
      </c>
      <c r="N1511" s="26">
        <f>IF(A1511="","",CHOOSE(WEEKDAY(A1511,2),"Segunda","Terça","Quarta","Quinta","Sexta","Sábado","Domingo"))</f>
        <v/>
      </c>
      <c r="O1511" s="26">
        <f>IF(B1511="","",IF(B1511&lt;TIME(12,0,0),"Manhã",IF(B1511&lt;TIME(18,0,0),"Tarde","Noite")))</f>
        <v/>
      </c>
      <c r="P1511" s="32">
        <f>IF(G1511="","",IFERROR(INDEX(Config!$I$5:$I$16,MATCH(G1511,Config!$H$5:$H$16,0)),0))</f>
        <v/>
      </c>
      <c r="Q1511" s="30">
        <f>IF(OR(H1511&lt;&gt;"Realizado",P1511="",P1511=0),"",A1511+P1511)</f>
        <v/>
      </c>
      <c r="R1511" s="26">
        <f>IF(Q1511="","",IF(COUNTIFS($E$5:$E$3004,E1511,$A$5:$A$3004,"&gt;"&amp;A1511,$H$5:$H$3004,"&lt;&gt;Falta",$H$5:$H$3004,"&lt;&gt;Cancelado",$H$5:$H$3004,"&lt;&gt;Remarcado")&gt;0,"Sim","Não"))</f>
        <v/>
      </c>
      <c r="S1511" s="32">
        <f>IF(R1511&lt;&gt;"Não","",IF(Q1511+Config!$B$9&lt;=Config!$B$8,Config!$B$8-Q1511,""))</f>
        <v/>
      </c>
      <c r="T1511" s="26">
        <f>IF(S1511="","","Sim")</f>
        <v/>
      </c>
      <c r="U1511" s="41">
        <f>IF(T1511="Sim",S1511+ROW()/100000,0)</f>
        <v>0</v>
      </c>
      <c r="V1511" s="41">
        <f>IF(AND(H1511="Falta",L1511=Config!$B$7,M1511=Config!$B$5,COUNTIFS($E$5:E1511,E1511,$H$5:H1511,"Falta",$L$5:L1511,Config!$B$7,$M$5:M1511,Config!$B$5)=1),COUNTIFS($E$5:$E$3004,E1511,$H$5:$H$3004,"Falta",$L$5:$L$3004,Config!$B$7,$M$5:$M$3004,Config!$B$5)*1000-ROW()/100000,0)</f>
        <v>0</v>
      </c>
    </row>
    <row r="1512">
      <c r="A1512" s="39" t="n"/>
      <c r="B1512" s="40" t="n"/>
      <c r="C1512" s="35" t="n"/>
      <c r="D1512" s="35" t="n"/>
      <c r="E1512" s="34" t="n"/>
      <c r="F1512" s="35" t="n"/>
      <c r="G1512" s="35" t="n"/>
      <c r="H1512" s="35" t="n"/>
      <c r="I1512" s="35" t="n"/>
      <c r="J1512" s="35" t="n"/>
      <c r="K1512" s="34" t="n"/>
      <c r="L1512" s="26">
        <f>IF(A1512="","",MONTH(A1512))</f>
        <v/>
      </c>
      <c r="M1512" s="26">
        <f>IF(A1512="","",YEAR(A1512))</f>
        <v/>
      </c>
      <c r="N1512" s="26">
        <f>IF(A1512="","",CHOOSE(WEEKDAY(A1512,2),"Segunda","Terça","Quarta","Quinta","Sexta","Sábado","Domingo"))</f>
        <v/>
      </c>
      <c r="O1512" s="26">
        <f>IF(B1512="","",IF(B1512&lt;TIME(12,0,0),"Manhã",IF(B1512&lt;TIME(18,0,0),"Tarde","Noite")))</f>
        <v/>
      </c>
      <c r="P1512" s="32">
        <f>IF(G1512="","",IFERROR(INDEX(Config!$I$5:$I$16,MATCH(G1512,Config!$H$5:$H$16,0)),0))</f>
        <v/>
      </c>
      <c r="Q1512" s="30">
        <f>IF(OR(H1512&lt;&gt;"Realizado",P1512="",P1512=0),"",A1512+P1512)</f>
        <v/>
      </c>
      <c r="R1512" s="26">
        <f>IF(Q1512="","",IF(COUNTIFS($E$5:$E$3004,E1512,$A$5:$A$3004,"&gt;"&amp;A1512,$H$5:$H$3004,"&lt;&gt;Falta",$H$5:$H$3004,"&lt;&gt;Cancelado",$H$5:$H$3004,"&lt;&gt;Remarcado")&gt;0,"Sim","Não"))</f>
        <v/>
      </c>
      <c r="S1512" s="32">
        <f>IF(R1512&lt;&gt;"Não","",IF(Q1512+Config!$B$9&lt;=Config!$B$8,Config!$B$8-Q1512,""))</f>
        <v/>
      </c>
      <c r="T1512" s="26">
        <f>IF(S1512="","","Sim")</f>
        <v/>
      </c>
      <c r="U1512" s="41">
        <f>IF(T1512="Sim",S1512+ROW()/100000,0)</f>
        <v>0</v>
      </c>
      <c r="V1512" s="41">
        <f>IF(AND(H1512="Falta",L1512=Config!$B$7,M1512=Config!$B$5,COUNTIFS($E$5:E1512,E1512,$H$5:H1512,"Falta",$L$5:L1512,Config!$B$7,$M$5:M1512,Config!$B$5)=1),COUNTIFS($E$5:$E$3004,E1512,$H$5:$H$3004,"Falta",$L$5:$L$3004,Config!$B$7,$M$5:$M$3004,Config!$B$5)*1000-ROW()/100000,0)</f>
        <v>0</v>
      </c>
    </row>
    <row r="1513">
      <c r="A1513" s="39" t="n"/>
      <c r="B1513" s="40" t="n"/>
      <c r="C1513" s="35" t="n"/>
      <c r="D1513" s="35" t="n"/>
      <c r="E1513" s="34" t="n"/>
      <c r="F1513" s="35" t="n"/>
      <c r="G1513" s="35" t="n"/>
      <c r="H1513" s="35" t="n"/>
      <c r="I1513" s="35" t="n"/>
      <c r="J1513" s="35" t="n"/>
      <c r="K1513" s="34" t="n"/>
      <c r="L1513" s="26">
        <f>IF(A1513="","",MONTH(A1513))</f>
        <v/>
      </c>
      <c r="M1513" s="26">
        <f>IF(A1513="","",YEAR(A1513))</f>
        <v/>
      </c>
      <c r="N1513" s="26">
        <f>IF(A1513="","",CHOOSE(WEEKDAY(A1513,2),"Segunda","Terça","Quarta","Quinta","Sexta","Sábado","Domingo"))</f>
        <v/>
      </c>
      <c r="O1513" s="26">
        <f>IF(B1513="","",IF(B1513&lt;TIME(12,0,0),"Manhã",IF(B1513&lt;TIME(18,0,0),"Tarde","Noite")))</f>
        <v/>
      </c>
      <c r="P1513" s="32">
        <f>IF(G1513="","",IFERROR(INDEX(Config!$I$5:$I$16,MATCH(G1513,Config!$H$5:$H$16,0)),0))</f>
        <v/>
      </c>
      <c r="Q1513" s="30">
        <f>IF(OR(H1513&lt;&gt;"Realizado",P1513="",P1513=0),"",A1513+P1513)</f>
        <v/>
      </c>
      <c r="R1513" s="26">
        <f>IF(Q1513="","",IF(COUNTIFS($E$5:$E$3004,E1513,$A$5:$A$3004,"&gt;"&amp;A1513,$H$5:$H$3004,"&lt;&gt;Falta",$H$5:$H$3004,"&lt;&gt;Cancelado",$H$5:$H$3004,"&lt;&gt;Remarcado")&gt;0,"Sim","Não"))</f>
        <v/>
      </c>
      <c r="S1513" s="32">
        <f>IF(R1513&lt;&gt;"Não","",IF(Q1513+Config!$B$9&lt;=Config!$B$8,Config!$B$8-Q1513,""))</f>
        <v/>
      </c>
      <c r="T1513" s="26">
        <f>IF(S1513="","","Sim")</f>
        <v/>
      </c>
      <c r="U1513" s="41">
        <f>IF(T1513="Sim",S1513+ROW()/100000,0)</f>
        <v>0</v>
      </c>
      <c r="V1513" s="41">
        <f>IF(AND(H1513="Falta",L1513=Config!$B$7,M1513=Config!$B$5,COUNTIFS($E$5:E1513,E1513,$H$5:H1513,"Falta",$L$5:L1513,Config!$B$7,$M$5:M1513,Config!$B$5)=1),COUNTIFS($E$5:$E$3004,E1513,$H$5:$H$3004,"Falta",$L$5:$L$3004,Config!$B$7,$M$5:$M$3004,Config!$B$5)*1000-ROW()/100000,0)</f>
        <v>0</v>
      </c>
    </row>
    <row r="1514">
      <c r="A1514" s="39" t="n"/>
      <c r="B1514" s="40" t="n"/>
      <c r="C1514" s="35" t="n"/>
      <c r="D1514" s="35" t="n"/>
      <c r="E1514" s="34" t="n"/>
      <c r="F1514" s="35" t="n"/>
      <c r="G1514" s="35" t="n"/>
      <c r="H1514" s="35" t="n"/>
      <c r="I1514" s="35" t="n"/>
      <c r="J1514" s="35" t="n"/>
      <c r="K1514" s="34" t="n"/>
      <c r="L1514" s="26">
        <f>IF(A1514="","",MONTH(A1514))</f>
        <v/>
      </c>
      <c r="M1514" s="26">
        <f>IF(A1514="","",YEAR(A1514))</f>
        <v/>
      </c>
      <c r="N1514" s="26">
        <f>IF(A1514="","",CHOOSE(WEEKDAY(A1514,2),"Segunda","Terça","Quarta","Quinta","Sexta","Sábado","Domingo"))</f>
        <v/>
      </c>
      <c r="O1514" s="26">
        <f>IF(B1514="","",IF(B1514&lt;TIME(12,0,0),"Manhã",IF(B1514&lt;TIME(18,0,0),"Tarde","Noite")))</f>
        <v/>
      </c>
      <c r="P1514" s="32">
        <f>IF(G1514="","",IFERROR(INDEX(Config!$I$5:$I$16,MATCH(G1514,Config!$H$5:$H$16,0)),0))</f>
        <v/>
      </c>
      <c r="Q1514" s="30">
        <f>IF(OR(H1514&lt;&gt;"Realizado",P1514="",P1514=0),"",A1514+P1514)</f>
        <v/>
      </c>
      <c r="R1514" s="26">
        <f>IF(Q1514="","",IF(COUNTIFS($E$5:$E$3004,E1514,$A$5:$A$3004,"&gt;"&amp;A1514,$H$5:$H$3004,"&lt;&gt;Falta",$H$5:$H$3004,"&lt;&gt;Cancelado",$H$5:$H$3004,"&lt;&gt;Remarcado")&gt;0,"Sim","Não"))</f>
        <v/>
      </c>
      <c r="S1514" s="32">
        <f>IF(R1514&lt;&gt;"Não","",IF(Q1514+Config!$B$9&lt;=Config!$B$8,Config!$B$8-Q1514,""))</f>
        <v/>
      </c>
      <c r="T1514" s="26">
        <f>IF(S1514="","","Sim")</f>
        <v/>
      </c>
      <c r="U1514" s="41">
        <f>IF(T1514="Sim",S1514+ROW()/100000,0)</f>
        <v>0</v>
      </c>
      <c r="V1514" s="41">
        <f>IF(AND(H1514="Falta",L1514=Config!$B$7,M1514=Config!$B$5,COUNTIFS($E$5:E1514,E1514,$H$5:H1514,"Falta",$L$5:L1514,Config!$B$7,$M$5:M1514,Config!$B$5)=1),COUNTIFS($E$5:$E$3004,E1514,$H$5:$H$3004,"Falta",$L$5:$L$3004,Config!$B$7,$M$5:$M$3004,Config!$B$5)*1000-ROW()/100000,0)</f>
        <v>0</v>
      </c>
    </row>
    <row r="1515">
      <c r="A1515" s="39" t="n"/>
      <c r="B1515" s="40" t="n"/>
      <c r="C1515" s="35" t="n"/>
      <c r="D1515" s="35" t="n"/>
      <c r="E1515" s="34" t="n"/>
      <c r="F1515" s="35" t="n"/>
      <c r="G1515" s="35" t="n"/>
      <c r="H1515" s="35" t="n"/>
      <c r="I1515" s="35" t="n"/>
      <c r="J1515" s="35" t="n"/>
      <c r="K1515" s="34" t="n"/>
      <c r="L1515" s="26">
        <f>IF(A1515="","",MONTH(A1515))</f>
        <v/>
      </c>
      <c r="M1515" s="26">
        <f>IF(A1515="","",YEAR(A1515))</f>
        <v/>
      </c>
      <c r="N1515" s="26">
        <f>IF(A1515="","",CHOOSE(WEEKDAY(A1515,2),"Segunda","Terça","Quarta","Quinta","Sexta","Sábado","Domingo"))</f>
        <v/>
      </c>
      <c r="O1515" s="26">
        <f>IF(B1515="","",IF(B1515&lt;TIME(12,0,0),"Manhã",IF(B1515&lt;TIME(18,0,0),"Tarde","Noite")))</f>
        <v/>
      </c>
      <c r="P1515" s="32">
        <f>IF(G1515="","",IFERROR(INDEX(Config!$I$5:$I$16,MATCH(G1515,Config!$H$5:$H$16,0)),0))</f>
        <v/>
      </c>
      <c r="Q1515" s="30">
        <f>IF(OR(H1515&lt;&gt;"Realizado",P1515="",P1515=0),"",A1515+P1515)</f>
        <v/>
      </c>
      <c r="R1515" s="26">
        <f>IF(Q1515="","",IF(COUNTIFS($E$5:$E$3004,E1515,$A$5:$A$3004,"&gt;"&amp;A1515,$H$5:$H$3004,"&lt;&gt;Falta",$H$5:$H$3004,"&lt;&gt;Cancelado",$H$5:$H$3004,"&lt;&gt;Remarcado")&gt;0,"Sim","Não"))</f>
        <v/>
      </c>
      <c r="S1515" s="32">
        <f>IF(R1515&lt;&gt;"Não","",IF(Q1515+Config!$B$9&lt;=Config!$B$8,Config!$B$8-Q1515,""))</f>
        <v/>
      </c>
      <c r="T1515" s="26">
        <f>IF(S1515="","","Sim")</f>
        <v/>
      </c>
      <c r="U1515" s="41">
        <f>IF(T1515="Sim",S1515+ROW()/100000,0)</f>
        <v>0</v>
      </c>
      <c r="V1515" s="41">
        <f>IF(AND(H1515="Falta",L1515=Config!$B$7,M1515=Config!$B$5,COUNTIFS($E$5:E1515,E1515,$H$5:H1515,"Falta",$L$5:L1515,Config!$B$7,$M$5:M1515,Config!$B$5)=1),COUNTIFS($E$5:$E$3004,E1515,$H$5:$H$3004,"Falta",$L$5:$L$3004,Config!$B$7,$M$5:$M$3004,Config!$B$5)*1000-ROW()/100000,0)</f>
        <v>0</v>
      </c>
    </row>
    <row r="1516">
      <c r="A1516" s="39" t="n"/>
      <c r="B1516" s="40" t="n"/>
      <c r="C1516" s="35" t="n"/>
      <c r="D1516" s="35" t="n"/>
      <c r="E1516" s="34" t="n"/>
      <c r="F1516" s="35" t="n"/>
      <c r="G1516" s="35" t="n"/>
      <c r="H1516" s="35" t="n"/>
      <c r="I1516" s="35" t="n"/>
      <c r="J1516" s="35" t="n"/>
      <c r="K1516" s="34" t="n"/>
      <c r="L1516" s="26">
        <f>IF(A1516="","",MONTH(A1516))</f>
        <v/>
      </c>
      <c r="M1516" s="26">
        <f>IF(A1516="","",YEAR(A1516))</f>
        <v/>
      </c>
      <c r="N1516" s="26">
        <f>IF(A1516="","",CHOOSE(WEEKDAY(A1516,2),"Segunda","Terça","Quarta","Quinta","Sexta","Sábado","Domingo"))</f>
        <v/>
      </c>
      <c r="O1516" s="26">
        <f>IF(B1516="","",IF(B1516&lt;TIME(12,0,0),"Manhã",IF(B1516&lt;TIME(18,0,0),"Tarde","Noite")))</f>
        <v/>
      </c>
      <c r="P1516" s="32">
        <f>IF(G1516="","",IFERROR(INDEX(Config!$I$5:$I$16,MATCH(G1516,Config!$H$5:$H$16,0)),0))</f>
        <v/>
      </c>
      <c r="Q1516" s="30">
        <f>IF(OR(H1516&lt;&gt;"Realizado",P1516="",P1516=0),"",A1516+P1516)</f>
        <v/>
      </c>
      <c r="R1516" s="26">
        <f>IF(Q1516="","",IF(COUNTIFS($E$5:$E$3004,E1516,$A$5:$A$3004,"&gt;"&amp;A1516,$H$5:$H$3004,"&lt;&gt;Falta",$H$5:$H$3004,"&lt;&gt;Cancelado",$H$5:$H$3004,"&lt;&gt;Remarcado")&gt;0,"Sim","Não"))</f>
        <v/>
      </c>
      <c r="S1516" s="32">
        <f>IF(R1516&lt;&gt;"Não","",IF(Q1516+Config!$B$9&lt;=Config!$B$8,Config!$B$8-Q1516,""))</f>
        <v/>
      </c>
      <c r="T1516" s="26">
        <f>IF(S1516="","","Sim")</f>
        <v/>
      </c>
      <c r="U1516" s="41">
        <f>IF(T1516="Sim",S1516+ROW()/100000,0)</f>
        <v>0</v>
      </c>
      <c r="V1516" s="41">
        <f>IF(AND(H1516="Falta",L1516=Config!$B$7,M1516=Config!$B$5,COUNTIFS($E$5:E1516,E1516,$H$5:H1516,"Falta",$L$5:L1516,Config!$B$7,$M$5:M1516,Config!$B$5)=1),COUNTIFS($E$5:$E$3004,E1516,$H$5:$H$3004,"Falta",$L$5:$L$3004,Config!$B$7,$M$5:$M$3004,Config!$B$5)*1000-ROW()/100000,0)</f>
        <v>0</v>
      </c>
    </row>
    <row r="1517">
      <c r="A1517" s="39" t="n"/>
      <c r="B1517" s="40" t="n"/>
      <c r="C1517" s="35" t="n"/>
      <c r="D1517" s="35" t="n"/>
      <c r="E1517" s="34" t="n"/>
      <c r="F1517" s="35" t="n"/>
      <c r="G1517" s="35" t="n"/>
      <c r="H1517" s="35" t="n"/>
      <c r="I1517" s="35" t="n"/>
      <c r="J1517" s="35" t="n"/>
      <c r="K1517" s="34" t="n"/>
      <c r="L1517" s="26">
        <f>IF(A1517="","",MONTH(A1517))</f>
        <v/>
      </c>
      <c r="M1517" s="26">
        <f>IF(A1517="","",YEAR(A1517))</f>
        <v/>
      </c>
      <c r="N1517" s="26">
        <f>IF(A1517="","",CHOOSE(WEEKDAY(A1517,2),"Segunda","Terça","Quarta","Quinta","Sexta","Sábado","Domingo"))</f>
        <v/>
      </c>
      <c r="O1517" s="26">
        <f>IF(B1517="","",IF(B1517&lt;TIME(12,0,0),"Manhã",IF(B1517&lt;TIME(18,0,0),"Tarde","Noite")))</f>
        <v/>
      </c>
      <c r="P1517" s="32">
        <f>IF(G1517="","",IFERROR(INDEX(Config!$I$5:$I$16,MATCH(G1517,Config!$H$5:$H$16,0)),0))</f>
        <v/>
      </c>
      <c r="Q1517" s="30">
        <f>IF(OR(H1517&lt;&gt;"Realizado",P1517="",P1517=0),"",A1517+P1517)</f>
        <v/>
      </c>
      <c r="R1517" s="26">
        <f>IF(Q1517="","",IF(COUNTIFS($E$5:$E$3004,E1517,$A$5:$A$3004,"&gt;"&amp;A1517,$H$5:$H$3004,"&lt;&gt;Falta",$H$5:$H$3004,"&lt;&gt;Cancelado",$H$5:$H$3004,"&lt;&gt;Remarcado")&gt;0,"Sim","Não"))</f>
        <v/>
      </c>
      <c r="S1517" s="32">
        <f>IF(R1517&lt;&gt;"Não","",IF(Q1517+Config!$B$9&lt;=Config!$B$8,Config!$B$8-Q1517,""))</f>
        <v/>
      </c>
      <c r="T1517" s="26">
        <f>IF(S1517="","","Sim")</f>
        <v/>
      </c>
      <c r="U1517" s="41">
        <f>IF(T1517="Sim",S1517+ROW()/100000,0)</f>
        <v>0</v>
      </c>
      <c r="V1517" s="41">
        <f>IF(AND(H1517="Falta",L1517=Config!$B$7,M1517=Config!$B$5,COUNTIFS($E$5:E1517,E1517,$H$5:H1517,"Falta",$L$5:L1517,Config!$B$7,$M$5:M1517,Config!$B$5)=1),COUNTIFS($E$5:$E$3004,E1517,$H$5:$H$3004,"Falta",$L$5:$L$3004,Config!$B$7,$M$5:$M$3004,Config!$B$5)*1000-ROW()/100000,0)</f>
        <v>0</v>
      </c>
    </row>
    <row r="1518">
      <c r="A1518" s="39" t="n"/>
      <c r="B1518" s="40" t="n"/>
      <c r="C1518" s="35" t="n"/>
      <c r="D1518" s="35" t="n"/>
      <c r="E1518" s="34" t="n"/>
      <c r="F1518" s="35" t="n"/>
      <c r="G1518" s="35" t="n"/>
      <c r="H1518" s="35" t="n"/>
      <c r="I1518" s="35" t="n"/>
      <c r="J1518" s="35" t="n"/>
      <c r="K1518" s="34" t="n"/>
      <c r="L1518" s="26">
        <f>IF(A1518="","",MONTH(A1518))</f>
        <v/>
      </c>
      <c r="M1518" s="26">
        <f>IF(A1518="","",YEAR(A1518))</f>
        <v/>
      </c>
      <c r="N1518" s="26">
        <f>IF(A1518="","",CHOOSE(WEEKDAY(A1518,2),"Segunda","Terça","Quarta","Quinta","Sexta","Sábado","Domingo"))</f>
        <v/>
      </c>
      <c r="O1518" s="26">
        <f>IF(B1518="","",IF(B1518&lt;TIME(12,0,0),"Manhã",IF(B1518&lt;TIME(18,0,0),"Tarde","Noite")))</f>
        <v/>
      </c>
      <c r="P1518" s="32">
        <f>IF(G1518="","",IFERROR(INDEX(Config!$I$5:$I$16,MATCH(G1518,Config!$H$5:$H$16,0)),0))</f>
        <v/>
      </c>
      <c r="Q1518" s="30">
        <f>IF(OR(H1518&lt;&gt;"Realizado",P1518="",P1518=0),"",A1518+P1518)</f>
        <v/>
      </c>
      <c r="R1518" s="26">
        <f>IF(Q1518="","",IF(COUNTIFS($E$5:$E$3004,E1518,$A$5:$A$3004,"&gt;"&amp;A1518,$H$5:$H$3004,"&lt;&gt;Falta",$H$5:$H$3004,"&lt;&gt;Cancelado",$H$5:$H$3004,"&lt;&gt;Remarcado")&gt;0,"Sim","Não"))</f>
        <v/>
      </c>
      <c r="S1518" s="32">
        <f>IF(R1518&lt;&gt;"Não","",IF(Q1518+Config!$B$9&lt;=Config!$B$8,Config!$B$8-Q1518,""))</f>
        <v/>
      </c>
      <c r="T1518" s="26">
        <f>IF(S1518="","","Sim")</f>
        <v/>
      </c>
      <c r="U1518" s="41">
        <f>IF(T1518="Sim",S1518+ROW()/100000,0)</f>
        <v>0</v>
      </c>
      <c r="V1518" s="41">
        <f>IF(AND(H1518="Falta",L1518=Config!$B$7,M1518=Config!$B$5,COUNTIFS($E$5:E1518,E1518,$H$5:H1518,"Falta",$L$5:L1518,Config!$B$7,$M$5:M1518,Config!$B$5)=1),COUNTIFS($E$5:$E$3004,E1518,$H$5:$H$3004,"Falta",$L$5:$L$3004,Config!$B$7,$M$5:$M$3004,Config!$B$5)*1000-ROW()/100000,0)</f>
        <v>0</v>
      </c>
    </row>
    <row r="1519">
      <c r="A1519" s="39" t="n"/>
      <c r="B1519" s="40" t="n"/>
      <c r="C1519" s="35" t="n"/>
      <c r="D1519" s="35" t="n"/>
      <c r="E1519" s="34" t="n"/>
      <c r="F1519" s="35" t="n"/>
      <c r="G1519" s="35" t="n"/>
      <c r="H1519" s="35" t="n"/>
      <c r="I1519" s="35" t="n"/>
      <c r="J1519" s="35" t="n"/>
      <c r="K1519" s="34" t="n"/>
      <c r="L1519" s="26">
        <f>IF(A1519="","",MONTH(A1519))</f>
        <v/>
      </c>
      <c r="M1519" s="26">
        <f>IF(A1519="","",YEAR(A1519))</f>
        <v/>
      </c>
      <c r="N1519" s="26">
        <f>IF(A1519="","",CHOOSE(WEEKDAY(A1519,2),"Segunda","Terça","Quarta","Quinta","Sexta","Sábado","Domingo"))</f>
        <v/>
      </c>
      <c r="O1519" s="26">
        <f>IF(B1519="","",IF(B1519&lt;TIME(12,0,0),"Manhã",IF(B1519&lt;TIME(18,0,0),"Tarde","Noite")))</f>
        <v/>
      </c>
      <c r="P1519" s="32">
        <f>IF(G1519="","",IFERROR(INDEX(Config!$I$5:$I$16,MATCH(G1519,Config!$H$5:$H$16,0)),0))</f>
        <v/>
      </c>
      <c r="Q1519" s="30">
        <f>IF(OR(H1519&lt;&gt;"Realizado",P1519="",P1519=0),"",A1519+P1519)</f>
        <v/>
      </c>
      <c r="R1519" s="26">
        <f>IF(Q1519="","",IF(COUNTIFS($E$5:$E$3004,E1519,$A$5:$A$3004,"&gt;"&amp;A1519,$H$5:$H$3004,"&lt;&gt;Falta",$H$5:$H$3004,"&lt;&gt;Cancelado",$H$5:$H$3004,"&lt;&gt;Remarcado")&gt;0,"Sim","Não"))</f>
        <v/>
      </c>
      <c r="S1519" s="32">
        <f>IF(R1519&lt;&gt;"Não","",IF(Q1519+Config!$B$9&lt;=Config!$B$8,Config!$B$8-Q1519,""))</f>
        <v/>
      </c>
      <c r="T1519" s="26">
        <f>IF(S1519="","","Sim")</f>
        <v/>
      </c>
      <c r="U1519" s="41">
        <f>IF(T1519="Sim",S1519+ROW()/100000,0)</f>
        <v>0</v>
      </c>
      <c r="V1519" s="41">
        <f>IF(AND(H1519="Falta",L1519=Config!$B$7,M1519=Config!$B$5,COUNTIFS($E$5:E1519,E1519,$H$5:H1519,"Falta",$L$5:L1519,Config!$B$7,$M$5:M1519,Config!$B$5)=1),COUNTIFS($E$5:$E$3004,E1519,$H$5:$H$3004,"Falta",$L$5:$L$3004,Config!$B$7,$M$5:$M$3004,Config!$B$5)*1000-ROW()/100000,0)</f>
        <v>0</v>
      </c>
    </row>
    <row r="1520">
      <c r="A1520" s="39" t="n"/>
      <c r="B1520" s="40" t="n"/>
      <c r="C1520" s="35" t="n"/>
      <c r="D1520" s="35" t="n"/>
      <c r="E1520" s="34" t="n"/>
      <c r="F1520" s="35" t="n"/>
      <c r="G1520" s="35" t="n"/>
      <c r="H1520" s="35" t="n"/>
      <c r="I1520" s="35" t="n"/>
      <c r="J1520" s="35" t="n"/>
      <c r="K1520" s="34" t="n"/>
      <c r="L1520" s="26">
        <f>IF(A1520="","",MONTH(A1520))</f>
        <v/>
      </c>
      <c r="M1520" s="26">
        <f>IF(A1520="","",YEAR(A1520))</f>
        <v/>
      </c>
      <c r="N1520" s="26">
        <f>IF(A1520="","",CHOOSE(WEEKDAY(A1520,2),"Segunda","Terça","Quarta","Quinta","Sexta","Sábado","Domingo"))</f>
        <v/>
      </c>
      <c r="O1520" s="26">
        <f>IF(B1520="","",IF(B1520&lt;TIME(12,0,0),"Manhã",IF(B1520&lt;TIME(18,0,0),"Tarde","Noite")))</f>
        <v/>
      </c>
      <c r="P1520" s="32">
        <f>IF(G1520="","",IFERROR(INDEX(Config!$I$5:$I$16,MATCH(G1520,Config!$H$5:$H$16,0)),0))</f>
        <v/>
      </c>
      <c r="Q1520" s="30">
        <f>IF(OR(H1520&lt;&gt;"Realizado",P1520="",P1520=0),"",A1520+P1520)</f>
        <v/>
      </c>
      <c r="R1520" s="26">
        <f>IF(Q1520="","",IF(COUNTIFS($E$5:$E$3004,E1520,$A$5:$A$3004,"&gt;"&amp;A1520,$H$5:$H$3004,"&lt;&gt;Falta",$H$5:$H$3004,"&lt;&gt;Cancelado",$H$5:$H$3004,"&lt;&gt;Remarcado")&gt;0,"Sim","Não"))</f>
        <v/>
      </c>
      <c r="S1520" s="32">
        <f>IF(R1520&lt;&gt;"Não","",IF(Q1520+Config!$B$9&lt;=Config!$B$8,Config!$B$8-Q1520,""))</f>
        <v/>
      </c>
      <c r="T1520" s="26">
        <f>IF(S1520="","","Sim")</f>
        <v/>
      </c>
      <c r="U1520" s="41">
        <f>IF(T1520="Sim",S1520+ROW()/100000,0)</f>
        <v>0</v>
      </c>
      <c r="V1520" s="41">
        <f>IF(AND(H1520="Falta",L1520=Config!$B$7,M1520=Config!$B$5,COUNTIFS($E$5:E1520,E1520,$H$5:H1520,"Falta",$L$5:L1520,Config!$B$7,$M$5:M1520,Config!$B$5)=1),COUNTIFS($E$5:$E$3004,E1520,$H$5:$H$3004,"Falta",$L$5:$L$3004,Config!$B$7,$M$5:$M$3004,Config!$B$5)*1000-ROW()/100000,0)</f>
        <v>0</v>
      </c>
    </row>
    <row r="1521">
      <c r="A1521" s="39" t="n"/>
      <c r="B1521" s="40" t="n"/>
      <c r="C1521" s="35" t="n"/>
      <c r="D1521" s="35" t="n"/>
      <c r="E1521" s="34" t="n"/>
      <c r="F1521" s="35" t="n"/>
      <c r="G1521" s="35" t="n"/>
      <c r="H1521" s="35" t="n"/>
      <c r="I1521" s="35" t="n"/>
      <c r="J1521" s="35" t="n"/>
      <c r="K1521" s="34" t="n"/>
      <c r="L1521" s="26">
        <f>IF(A1521="","",MONTH(A1521))</f>
        <v/>
      </c>
      <c r="M1521" s="26">
        <f>IF(A1521="","",YEAR(A1521))</f>
        <v/>
      </c>
      <c r="N1521" s="26">
        <f>IF(A1521="","",CHOOSE(WEEKDAY(A1521,2),"Segunda","Terça","Quarta","Quinta","Sexta","Sábado","Domingo"))</f>
        <v/>
      </c>
      <c r="O1521" s="26">
        <f>IF(B1521="","",IF(B1521&lt;TIME(12,0,0),"Manhã",IF(B1521&lt;TIME(18,0,0),"Tarde","Noite")))</f>
        <v/>
      </c>
      <c r="P1521" s="32">
        <f>IF(G1521="","",IFERROR(INDEX(Config!$I$5:$I$16,MATCH(G1521,Config!$H$5:$H$16,0)),0))</f>
        <v/>
      </c>
      <c r="Q1521" s="30">
        <f>IF(OR(H1521&lt;&gt;"Realizado",P1521="",P1521=0),"",A1521+P1521)</f>
        <v/>
      </c>
      <c r="R1521" s="26">
        <f>IF(Q1521="","",IF(COUNTIFS($E$5:$E$3004,E1521,$A$5:$A$3004,"&gt;"&amp;A1521,$H$5:$H$3004,"&lt;&gt;Falta",$H$5:$H$3004,"&lt;&gt;Cancelado",$H$5:$H$3004,"&lt;&gt;Remarcado")&gt;0,"Sim","Não"))</f>
        <v/>
      </c>
      <c r="S1521" s="32">
        <f>IF(R1521&lt;&gt;"Não","",IF(Q1521+Config!$B$9&lt;=Config!$B$8,Config!$B$8-Q1521,""))</f>
        <v/>
      </c>
      <c r="T1521" s="26">
        <f>IF(S1521="","","Sim")</f>
        <v/>
      </c>
      <c r="U1521" s="41">
        <f>IF(T1521="Sim",S1521+ROW()/100000,0)</f>
        <v>0</v>
      </c>
      <c r="V1521" s="41">
        <f>IF(AND(H1521="Falta",L1521=Config!$B$7,M1521=Config!$B$5,COUNTIFS($E$5:E1521,E1521,$H$5:H1521,"Falta",$L$5:L1521,Config!$B$7,$M$5:M1521,Config!$B$5)=1),COUNTIFS($E$5:$E$3004,E1521,$H$5:$H$3004,"Falta",$L$5:$L$3004,Config!$B$7,$M$5:$M$3004,Config!$B$5)*1000-ROW()/100000,0)</f>
        <v>0</v>
      </c>
    </row>
    <row r="1522">
      <c r="A1522" s="39" t="n"/>
      <c r="B1522" s="40" t="n"/>
      <c r="C1522" s="35" t="n"/>
      <c r="D1522" s="35" t="n"/>
      <c r="E1522" s="34" t="n"/>
      <c r="F1522" s="35" t="n"/>
      <c r="G1522" s="35" t="n"/>
      <c r="H1522" s="35" t="n"/>
      <c r="I1522" s="35" t="n"/>
      <c r="J1522" s="35" t="n"/>
      <c r="K1522" s="34" t="n"/>
      <c r="L1522" s="26">
        <f>IF(A1522="","",MONTH(A1522))</f>
        <v/>
      </c>
      <c r="M1522" s="26">
        <f>IF(A1522="","",YEAR(A1522))</f>
        <v/>
      </c>
      <c r="N1522" s="26">
        <f>IF(A1522="","",CHOOSE(WEEKDAY(A1522,2),"Segunda","Terça","Quarta","Quinta","Sexta","Sábado","Domingo"))</f>
        <v/>
      </c>
      <c r="O1522" s="26">
        <f>IF(B1522="","",IF(B1522&lt;TIME(12,0,0),"Manhã",IF(B1522&lt;TIME(18,0,0),"Tarde","Noite")))</f>
        <v/>
      </c>
      <c r="P1522" s="32">
        <f>IF(G1522="","",IFERROR(INDEX(Config!$I$5:$I$16,MATCH(G1522,Config!$H$5:$H$16,0)),0))</f>
        <v/>
      </c>
      <c r="Q1522" s="30">
        <f>IF(OR(H1522&lt;&gt;"Realizado",P1522="",P1522=0),"",A1522+P1522)</f>
        <v/>
      </c>
      <c r="R1522" s="26">
        <f>IF(Q1522="","",IF(COUNTIFS($E$5:$E$3004,E1522,$A$5:$A$3004,"&gt;"&amp;A1522,$H$5:$H$3004,"&lt;&gt;Falta",$H$5:$H$3004,"&lt;&gt;Cancelado",$H$5:$H$3004,"&lt;&gt;Remarcado")&gt;0,"Sim","Não"))</f>
        <v/>
      </c>
      <c r="S1522" s="32">
        <f>IF(R1522&lt;&gt;"Não","",IF(Q1522+Config!$B$9&lt;=Config!$B$8,Config!$B$8-Q1522,""))</f>
        <v/>
      </c>
      <c r="T1522" s="26">
        <f>IF(S1522="","","Sim")</f>
        <v/>
      </c>
      <c r="U1522" s="41">
        <f>IF(T1522="Sim",S1522+ROW()/100000,0)</f>
        <v>0</v>
      </c>
      <c r="V1522" s="41">
        <f>IF(AND(H1522="Falta",L1522=Config!$B$7,M1522=Config!$B$5,COUNTIFS($E$5:E1522,E1522,$H$5:H1522,"Falta",$L$5:L1522,Config!$B$7,$M$5:M1522,Config!$B$5)=1),COUNTIFS($E$5:$E$3004,E1522,$H$5:$H$3004,"Falta",$L$5:$L$3004,Config!$B$7,$M$5:$M$3004,Config!$B$5)*1000-ROW()/100000,0)</f>
        <v>0</v>
      </c>
    </row>
    <row r="1523">
      <c r="A1523" s="39" t="n"/>
      <c r="B1523" s="40" t="n"/>
      <c r="C1523" s="35" t="n"/>
      <c r="D1523" s="35" t="n"/>
      <c r="E1523" s="34" t="n"/>
      <c r="F1523" s="35" t="n"/>
      <c r="G1523" s="35" t="n"/>
      <c r="H1523" s="35" t="n"/>
      <c r="I1523" s="35" t="n"/>
      <c r="J1523" s="35" t="n"/>
      <c r="K1523" s="34" t="n"/>
      <c r="L1523" s="26">
        <f>IF(A1523="","",MONTH(A1523))</f>
        <v/>
      </c>
      <c r="M1523" s="26">
        <f>IF(A1523="","",YEAR(A1523))</f>
        <v/>
      </c>
      <c r="N1523" s="26">
        <f>IF(A1523="","",CHOOSE(WEEKDAY(A1523,2),"Segunda","Terça","Quarta","Quinta","Sexta","Sábado","Domingo"))</f>
        <v/>
      </c>
      <c r="O1523" s="26">
        <f>IF(B1523="","",IF(B1523&lt;TIME(12,0,0),"Manhã",IF(B1523&lt;TIME(18,0,0),"Tarde","Noite")))</f>
        <v/>
      </c>
      <c r="P1523" s="32">
        <f>IF(G1523="","",IFERROR(INDEX(Config!$I$5:$I$16,MATCH(G1523,Config!$H$5:$H$16,0)),0))</f>
        <v/>
      </c>
      <c r="Q1523" s="30">
        <f>IF(OR(H1523&lt;&gt;"Realizado",P1523="",P1523=0),"",A1523+P1523)</f>
        <v/>
      </c>
      <c r="R1523" s="26">
        <f>IF(Q1523="","",IF(COUNTIFS($E$5:$E$3004,E1523,$A$5:$A$3004,"&gt;"&amp;A1523,$H$5:$H$3004,"&lt;&gt;Falta",$H$5:$H$3004,"&lt;&gt;Cancelado",$H$5:$H$3004,"&lt;&gt;Remarcado")&gt;0,"Sim","Não"))</f>
        <v/>
      </c>
      <c r="S1523" s="32">
        <f>IF(R1523&lt;&gt;"Não","",IF(Q1523+Config!$B$9&lt;=Config!$B$8,Config!$B$8-Q1523,""))</f>
        <v/>
      </c>
      <c r="T1523" s="26">
        <f>IF(S1523="","","Sim")</f>
        <v/>
      </c>
      <c r="U1523" s="41">
        <f>IF(T1523="Sim",S1523+ROW()/100000,0)</f>
        <v>0</v>
      </c>
      <c r="V1523" s="41">
        <f>IF(AND(H1523="Falta",L1523=Config!$B$7,M1523=Config!$B$5,COUNTIFS($E$5:E1523,E1523,$H$5:H1523,"Falta",$L$5:L1523,Config!$B$7,$M$5:M1523,Config!$B$5)=1),COUNTIFS($E$5:$E$3004,E1523,$H$5:$H$3004,"Falta",$L$5:$L$3004,Config!$B$7,$M$5:$M$3004,Config!$B$5)*1000-ROW()/100000,0)</f>
        <v>0</v>
      </c>
    </row>
    <row r="1524">
      <c r="A1524" s="39" t="n"/>
      <c r="B1524" s="40" t="n"/>
      <c r="C1524" s="35" t="n"/>
      <c r="D1524" s="35" t="n"/>
      <c r="E1524" s="34" t="n"/>
      <c r="F1524" s="35" t="n"/>
      <c r="G1524" s="35" t="n"/>
      <c r="H1524" s="35" t="n"/>
      <c r="I1524" s="35" t="n"/>
      <c r="J1524" s="35" t="n"/>
      <c r="K1524" s="34" t="n"/>
      <c r="L1524" s="26">
        <f>IF(A1524="","",MONTH(A1524))</f>
        <v/>
      </c>
      <c r="M1524" s="26">
        <f>IF(A1524="","",YEAR(A1524))</f>
        <v/>
      </c>
      <c r="N1524" s="26">
        <f>IF(A1524="","",CHOOSE(WEEKDAY(A1524,2),"Segunda","Terça","Quarta","Quinta","Sexta","Sábado","Domingo"))</f>
        <v/>
      </c>
      <c r="O1524" s="26">
        <f>IF(B1524="","",IF(B1524&lt;TIME(12,0,0),"Manhã",IF(B1524&lt;TIME(18,0,0),"Tarde","Noite")))</f>
        <v/>
      </c>
      <c r="P1524" s="32">
        <f>IF(G1524="","",IFERROR(INDEX(Config!$I$5:$I$16,MATCH(G1524,Config!$H$5:$H$16,0)),0))</f>
        <v/>
      </c>
      <c r="Q1524" s="30">
        <f>IF(OR(H1524&lt;&gt;"Realizado",P1524="",P1524=0),"",A1524+P1524)</f>
        <v/>
      </c>
      <c r="R1524" s="26">
        <f>IF(Q1524="","",IF(COUNTIFS($E$5:$E$3004,E1524,$A$5:$A$3004,"&gt;"&amp;A1524,$H$5:$H$3004,"&lt;&gt;Falta",$H$5:$H$3004,"&lt;&gt;Cancelado",$H$5:$H$3004,"&lt;&gt;Remarcado")&gt;0,"Sim","Não"))</f>
        <v/>
      </c>
      <c r="S1524" s="32">
        <f>IF(R1524&lt;&gt;"Não","",IF(Q1524+Config!$B$9&lt;=Config!$B$8,Config!$B$8-Q1524,""))</f>
        <v/>
      </c>
      <c r="T1524" s="26">
        <f>IF(S1524="","","Sim")</f>
        <v/>
      </c>
      <c r="U1524" s="41">
        <f>IF(T1524="Sim",S1524+ROW()/100000,0)</f>
        <v>0</v>
      </c>
      <c r="V1524" s="41">
        <f>IF(AND(H1524="Falta",L1524=Config!$B$7,M1524=Config!$B$5,COUNTIFS($E$5:E1524,E1524,$H$5:H1524,"Falta",$L$5:L1524,Config!$B$7,$M$5:M1524,Config!$B$5)=1),COUNTIFS($E$5:$E$3004,E1524,$H$5:$H$3004,"Falta",$L$5:$L$3004,Config!$B$7,$M$5:$M$3004,Config!$B$5)*1000-ROW()/100000,0)</f>
        <v>0</v>
      </c>
    </row>
    <row r="1525">
      <c r="A1525" s="39" t="n"/>
      <c r="B1525" s="40" t="n"/>
      <c r="C1525" s="35" t="n"/>
      <c r="D1525" s="35" t="n"/>
      <c r="E1525" s="34" t="n"/>
      <c r="F1525" s="35" t="n"/>
      <c r="G1525" s="35" t="n"/>
      <c r="H1525" s="35" t="n"/>
      <c r="I1525" s="35" t="n"/>
      <c r="J1525" s="35" t="n"/>
      <c r="K1525" s="34" t="n"/>
      <c r="L1525" s="26">
        <f>IF(A1525="","",MONTH(A1525))</f>
        <v/>
      </c>
      <c r="M1525" s="26">
        <f>IF(A1525="","",YEAR(A1525))</f>
        <v/>
      </c>
      <c r="N1525" s="26">
        <f>IF(A1525="","",CHOOSE(WEEKDAY(A1525,2),"Segunda","Terça","Quarta","Quinta","Sexta","Sábado","Domingo"))</f>
        <v/>
      </c>
      <c r="O1525" s="26">
        <f>IF(B1525="","",IF(B1525&lt;TIME(12,0,0),"Manhã",IF(B1525&lt;TIME(18,0,0),"Tarde","Noite")))</f>
        <v/>
      </c>
      <c r="P1525" s="32">
        <f>IF(G1525="","",IFERROR(INDEX(Config!$I$5:$I$16,MATCH(G1525,Config!$H$5:$H$16,0)),0))</f>
        <v/>
      </c>
      <c r="Q1525" s="30">
        <f>IF(OR(H1525&lt;&gt;"Realizado",P1525="",P1525=0),"",A1525+P1525)</f>
        <v/>
      </c>
      <c r="R1525" s="26">
        <f>IF(Q1525="","",IF(COUNTIFS($E$5:$E$3004,E1525,$A$5:$A$3004,"&gt;"&amp;A1525,$H$5:$H$3004,"&lt;&gt;Falta",$H$5:$H$3004,"&lt;&gt;Cancelado",$H$5:$H$3004,"&lt;&gt;Remarcado")&gt;0,"Sim","Não"))</f>
        <v/>
      </c>
      <c r="S1525" s="32">
        <f>IF(R1525&lt;&gt;"Não","",IF(Q1525+Config!$B$9&lt;=Config!$B$8,Config!$B$8-Q1525,""))</f>
        <v/>
      </c>
      <c r="T1525" s="26">
        <f>IF(S1525="","","Sim")</f>
        <v/>
      </c>
      <c r="U1525" s="41">
        <f>IF(T1525="Sim",S1525+ROW()/100000,0)</f>
        <v>0</v>
      </c>
      <c r="V1525" s="41">
        <f>IF(AND(H1525="Falta",L1525=Config!$B$7,M1525=Config!$B$5,COUNTIFS($E$5:E1525,E1525,$H$5:H1525,"Falta",$L$5:L1525,Config!$B$7,$M$5:M1525,Config!$B$5)=1),COUNTIFS($E$5:$E$3004,E1525,$H$5:$H$3004,"Falta",$L$5:$L$3004,Config!$B$7,$M$5:$M$3004,Config!$B$5)*1000-ROW()/100000,0)</f>
        <v>0</v>
      </c>
    </row>
    <row r="1526">
      <c r="A1526" s="39" t="n"/>
      <c r="B1526" s="40" t="n"/>
      <c r="C1526" s="35" t="n"/>
      <c r="D1526" s="35" t="n"/>
      <c r="E1526" s="34" t="n"/>
      <c r="F1526" s="35" t="n"/>
      <c r="G1526" s="35" t="n"/>
      <c r="H1526" s="35" t="n"/>
      <c r="I1526" s="35" t="n"/>
      <c r="J1526" s="35" t="n"/>
      <c r="K1526" s="34" t="n"/>
      <c r="L1526" s="26">
        <f>IF(A1526="","",MONTH(A1526))</f>
        <v/>
      </c>
      <c r="M1526" s="26">
        <f>IF(A1526="","",YEAR(A1526))</f>
        <v/>
      </c>
      <c r="N1526" s="26">
        <f>IF(A1526="","",CHOOSE(WEEKDAY(A1526,2),"Segunda","Terça","Quarta","Quinta","Sexta","Sábado","Domingo"))</f>
        <v/>
      </c>
      <c r="O1526" s="26">
        <f>IF(B1526="","",IF(B1526&lt;TIME(12,0,0),"Manhã",IF(B1526&lt;TIME(18,0,0),"Tarde","Noite")))</f>
        <v/>
      </c>
      <c r="P1526" s="32">
        <f>IF(G1526="","",IFERROR(INDEX(Config!$I$5:$I$16,MATCH(G1526,Config!$H$5:$H$16,0)),0))</f>
        <v/>
      </c>
      <c r="Q1526" s="30">
        <f>IF(OR(H1526&lt;&gt;"Realizado",P1526="",P1526=0),"",A1526+P1526)</f>
        <v/>
      </c>
      <c r="R1526" s="26">
        <f>IF(Q1526="","",IF(COUNTIFS($E$5:$E$3004,E1526,$A$5:$A$3004,"&gt;"&amp;A1526,$H$5:$H$3004,"&lt;&gt;Falta",$H$5:$H$3004,"&lt;&gt;Cancelado",$H$5:$H$3004,"&lt;&gt;Remarcado")&gt;0,"Sim","Não"))</f>
        <v/>
      </c>
      <c r="S1526" s="32">
        <f>IF(R1526&lt;&gt;"Não","",IF(Q1526+Config!$B$9&lt;=Config!$B$8,Config!$B$8-Q1526,""))</f>
        <v/>
      </c>
      <c r="T1526" s="26">
        <f>IF(S1526="","","Sim")</f>
        <v/>
      </c>
      <c r="U1526" s="41">
        <f>IF(T1526="Sim",S1526+ROW()/100000,0)</f>
        <v>0</v>
      </c>
      <c r="V1526" s="41">
        <f>IF(AND(H1526="Falta",L1526=Config!$B$7,M1526=Config!$B$5,COUNTIFS($E$5:E1526,E1526,$H$5:H1526,"Falta",$L$5:L1526,Config!$B$7,$M$5:M1526,Config!$B$5)=1),COUNTIFS($E$5:$E$3004,E1526,$H$5:$H$3004,"Falta",$L$5:$L$3004,Config!$B$7,$M$5:$M$3004,Config!$B$5)*1000-ROW()/100000,0)</f>
        <v>0</v>
      </c>
    </row>
    <row r="1527">
      <c r="A1527" s="39" t="n"/>
      <c r="B1527" s="40" t="n"/>
      <c r="C1527" s="35" t="n"/>
      <c r="D1527" s="35" t="n"/>
      <c r="E1527" s="34" t="n"/>
      <c r="F1527" s="35" t="n"/>
      <c r="G1527" s="35" t="n"/>
      <c r="H1527" s="35" t="n"/>
      <c r="I1527" s="35" t="n"/>
      <c r="J1527" s="35" t="n"/>
      <c r="K1527" s="34" t="n"/>
      <c r="L1527" s="26">
        <f>IF(A1527="","",MONTH(A1527))</f>
        <v/>
      </c>
      <c r="M1527" s="26">
        <f>IF(A1527="","",YEAR(A1527))</f>
        <v/>
      </c>
      <c r="N1527" s="26">
        <f>IF(A1527="","",CHOOSE(WEEKDAY(A1527,2),"Segunda","Terça","Quarta","Quinta","Sexta","Sábado","Domingo"))</f>
        <v/>
      </c>
      <c r="O1527" s="26">
        <f>IF(B1527="","",IF(B1527&lt;TIME(12,0,0),"Manhã",IF(B1527&lt;TIME(18,0,0),"Tarde","Noite")))</f>
        <v/>
      </c>
      <c r="P1527" s="32">
        <f>IF(G1527="","",IFERROR(INDEX(Config!$I$5:$I$16,MATCH(G1527,Config!$H$5:$H$16,0)),0))</f>
        <v/>
      </c>
      <c r="Q1527" s="30">
        <f>IF(OR(H1527&lt;&gt;"Realizado",P1527="",P1527=0),"",A1527+P1527)</f>
        <v/>
      </c>
      <c r="R1527" s="26">
        <f>IF(Q1527="","",IF(COUNTIFS($E$5:$E$3004,E1527,$A$5:$A$3004,"&gt;"&amp;A1527,$H$5:$H$3004,"&lt;&gt;Falta",$H$5:$H$3004,"&lt;&gt;Cancelado",$H$5:$H$3004,"&lt;&gt;Remarcado")&gt;0,"Sim","Não"))</f>
        <v/>
      </c>
      <c r="S1527" s="32">
        <f>IF(R1527&lt;&gt;"Não","",IF(Q1527+Config!$B$9&lt;=Config!$B$8,Config!$B$8-Q1527,""))</f>
        <v/>
      </c>
      <c r="T1527" s="26">
        <f>IF(S1527="","","Sim")</f>
        <v/>
      </c>
      <c r="U1527" s="41">
        <f>IF(T1527="Sim",S1527+ROW()/100000,0)</f>
        <v>0</v>
      </c>
      <c r="V1527" s="41">
        <f>IF(AND(H1527="Falta",L1527=Config!$B$7,M1527=Config!$B$5,COUNTIFS($E$5:E1527,E1527,$H$5:H1527,"Falta",$L$5:L1527,Config!$B$7,$M$5:M1527,Config!$B$5)=1),COUNTIFS($E$5:$E$3004,E1527,$H$5:$H$3004,"Falta",$L$5:$L$3004,Config!$B$7,$M$5:$M$3004,Config!$B$5)*1000-ROW()/100000,0)</f>
        <v>0</v>
      </c>
    </row>
    <row r="1528">
      <c r="A1528" s="39" t="n"/>
      <c r="B1528" s="40" t="n"/>
      <c r="C1528" s="35" t="n"/>
      <c r="D1528" s="35" t="n"/>
      <c r="E1528" s="34" t="n"/>
      <c r="F1528" s="35" t="n"/>
      <c r="G1528" s="35" t="n"/>
      <c r="H1528" s="35" t="n"/>
      <c r="I1528" s="35" t="n"/>
      <c r="J1528" s="35" t="n"/>
      <c r="K1528" s="34" t="n"/>
      <c r="L1528" s="26">
        <f>IF(A1528="","",MONTH(A1528))</f>
        <v/>
      </c>
      <c r="M1528" s="26">
        <f>IF(A1528="","",YEAR(A1528))</f>
        <v/>
      </c>
      <c r="N1528" s="26">
        <f>IF(A1528="","",CHOOSE(WEEKDAY(A1528,2),"Segunda","Terça","Quarta","Quinta","Sexta","Sábado","Domingo"))</f>
        <v/>
      </c>
      <c r="O1528" s="26">
        <f>IF(B1528="","",IF(B1528&lt;TIME(12,0,0),"Manhã",IF(B1528&lt;TIME(18,0,0),"Tarde","Noite")))</f>
        <v/>
      </c>
      <c r="P1528" s="32">
        <f>IF(G1528="","",IFERROR(INDEX(Config!$I$5:$I$16,MATCH(G1528,Config!$H$5:$H$16,0)),0))</f>
        <v/>
      </c>
      <c r="Q1528" s="30">
        <f>IF(OR(H1528&lt;&gt;"Realizado",P1528="",P1528=0),"",A1528+P1528)</f>
        <v/>
      </c>
      <c r="R1528" s="26">
        <f>IF(Q1528="","",IF(COUNTIFS($E$5:$E$3004,E1528,$A$5:$A$3004,"&gt;"&amp;A1528,$H$5:$H$3004,"&lt;&gt;Falta",$H$5:$H$3004,"&lt;&gt;Cancelado",$H$5:$H$3004,"&lt;&gt;Remarcado")&gt;0,"Sim","Não"))</f>
        <v/>
      </c>
      <c r="S1528" s="32">
        <f>IF(R1528&lt;&gt;"Não","",IF(Q1528+Config!$B$9&lt;=Config!$B$8,Config!$B$8-Q1528,""))</f>
        <v/>
      </c>
      <c r="T1528" s="26">
        <f>IF(S1528="","","Sim")</f>
        <v/>
      </c>
      <c r="U1528" s="41">
        <f>IF(T1528="Sim",S1528+ROW()/100000,0)</f>
        <v>0</v>
      </c>
      <c r="V1528" s="41">
        <f>IF(AND(H1528="Falta",L1528=Config!$B$7,M1528=Config!$B$5,COUNTIFS($E$5:E1528,E1528,$H$5:H1528,"Falta",$L$5:L1528,Config!$B$7,$M$5:M1528,Config!$B$5)=1),COUNTIFS($E$5:$E$3004,E1528,$H$5:$H$3004,"Falta",$L$5:$L$3004,Config!$B$7,$M$5:$M$3004,Config!$B$5)*1000-ROW()/100000,0)</f>
        <v>0</v>
      </c>
    </row>
    <row r="1529">
      <c r="A1529" s="39" t="n"/>
      <c r="B1529" s="40" t="n"/>
      <c r="C1529" s="35" t="n"/>
      <c r="D1529" s="35" t="n"/>
      <c r="E1529" s="34" t="n"/>
      <c r="F1529" s="35" t="n"/>
      <c r="G1529" s="35" t="n"/>
      <c r="H1529" s="35" t="n"/>
      <c r="I1529" s="35" t="n"/>
      <c r="J1529" s="35" t="n"/>
      <c r="K1529" s="34" t="n"/>
      <c r="L1529" s="26">
        <f>IF(A1529="","",MONTH(A1529))</f>
        <v/>
      </c>
      <c r="M1529" s="26">
        <f>IF(A1529="","",YEAR(A1529))</f>
        <v/>
      </c>
      <c r="N1529" s="26">
        <f>IF(A1529="","",CHOOSE(WEEKDAY(A1529,2),"Segunda","Terça","Quarta","Quinta","Sexta","Sábado","Domingo"))</f>
        <v/>
      </c>
      <c r="O1529" s="26">
        <f>IF(B1529="","",IF(B1529&lt;TIME(12,0,0),"Manhã",IF(B1529&lt;TIME(18,0,0),"Tarde","Noite")))</f>
        <v/>
      </c>
      <c r="P1529" s="32">
        <f>IF(G1529="","",IFERROR(INDEX(Config!$I$5:$I$16,MATCH(G1529,Config!$H$5:$H$16,0)),0))</f>
        <v/>
      </c>
      <c r="Q1529" s="30">
        <f>IF(OR(H1529&lt;&gt;"Realizado",P1529="",P1529=0),"",A1529+P1529)</f>
        <v/>
      </c>
      <c r="R1529" s="26">
        <f>IF(Q1529="","",IF(COUNTIFS($E$5:$E$3004,E1529,$A$5:$A$3004,"&gt;"&amp;A1529,$H$5:$H$3004,"&lt;&gt;Falta",$H$5:$H$3004,"&lt;&gt;Cancelado",$H$5:$H$3004,"&lt;&gt;Remarcado")&gt;0,"Sim","Não"))</f>
        <v/>
      </c>
      <c r="S1529" s="32">
        <f>IF(R1529&lt;&gt;"Não","",IF(Q1529+Config!$B$9&lt;=Config!$B$8,Config!$B$8-Q1529,""))</f>
        <v/>
      </c>
      <c r="T1529" s="26">
        <f>IF(S1529="","","Sim")</f>
        <v/>
      </c>
      <c r="U1529" s="41">
        <f>IF(T1529="Sim",S1529+ROW()/100000,0)</f>
        <v>0</v>
      </c>
      <c r="V1529" s="41">
        <f>IF(AND(H1529="Falta",L1529=Config!$B$7,M1529=Config!$B$5,COUNTIFS($E$5:E1529,E1529,$H$5:H1529,"Falta",$L$5:L1529,Config!$B$7,$M$5:M1529,Config!$B$5)=1),COUNTIFS($E$5:$E$3004,E1529,$H$5:$H$3004,"Falta",$L$5:$L$3004,Config!$B$7,$M$5:$M$3004,Config!$B$5)*1000-ROW()/100000,0)</f>
        <v>0</v>
      </c>
    </row>
    <row r="1530">
      <c r="A1530" s="39" t="n"/>
      <c r="B1530" s="40" t="n"/>
      <c r="C1530" s="35" t="n"/>
      <c r="D1530" s="35" t="n"/>
      <c r="E1530" s="34" t="n"/>
      <c r="F1530" s="35" t="n"/>
      <c r="G1530" s="35" t="n"/>
      <c r="H1530" s="35" t="n"/>
      <c r="I1530" s="35" t="n"/>
      <c r="J1530" s="35" t="n"/>
      <c r="K1530" s="34" t="n"/>
      <c r="L1530" s="26">
        <f>IF(A1530="","",MONTH(A1530))</f>
        <v/>
      </c>
      <c r="M1530" s="26">
        <f>IF(A1530="","",YEAR(A1530))</f>
        <v/>
      </c>
      <c r="N1530" s="26">
        <f>IF(A1530="","",CHOOSE(WEEKDAY(A1530,2),"Segunda","Terça","Quarta","Quinta","Sexta","Sábado","Domingo"))</f>
        <v/>
      </c>
      <c r="O1530" s="26">
        <f>IF(B1530="","",IF(B1530&lt;TIME(12,0,0),"Manhã",IF(B1530&lt;TIME(18,0,0),"Tarde","Noite")))</f>
        <v/>
      </c>
      <c r="P1530" s="32">
        <f>IF(G1530="","",IFERROR(INDEX(Config!$I$5:$I$16,MATCH(G1530,Config!$H$5:$H$16,0)),0))</f>
        <v/>
      </c>
      <c r="Q1530" s="30">
        <f>IF(OR(H1530&lt;&gt;"Realizado",P1530="",P1530=0),"",A1530+P1530)</f>
        <v/>
      </c>
      <c r="R1530" s="26">
        <f>IF(Q1530="","",IF(COUNTIFS($E$5:$E$3004,E1530,$A$5:$A$3004,"&gt;"&amp;A1530,$H$5:$H$3004,"&lt;&gt;Falta",$H$5:$H$3004,"&lt;&gt;Cancelado",$H$5:$H$3004,"&lt;&gt;Remarcado")&gt;0,"Sim","Não"))</f>
        <v/>
      </c>
      <c r="S1530" s="32">
        <f>IF(R1530&lt;&gt;"Não","",IF(Q1530+Config!$B$9&lt;=Config!$B$8,Config!$B$8-Q1530,""))</f>
        <v/>
      </c>
      <c r="T1530" s="26">
        <f>IF(S1530="","","Sim")</f>
        <v/>
      </c>
      <c r="U1530" s="41">
        <f>IF(T1530="Sim",S1530+ROW()/100000,0)</f>
        <v>0</v>
      </c>
      <c r="V1530" s="41">
        <f>IF(AND(H1530="Falta",L1530=Config!$B$7,M1530=Config!$B$5,COUNTIFS($E$5:E1530,E1530,$H$5:H1530,"Falta",$L$5:L1530,Config!$B$7,$M$5:M1530,Config!$B$5)=1),COUNTIFS($E$5:$E$3004,E1530,$H$5:$H$3004,"Falta",$L$5:$L$3004,Config!$B$7,$M$5:$M$3004,Config!$B$5)*1000-ROW()/100000,0)</f>
        <v>0</v>
      </c>
    </row>
    <row r="1531">
      <c r="A1531" s="39" t="n"/>
      <c r="B1531" s="40" t="n"/>
      <c r="C1531" s="35" t="n"/>
      <c r="D1531" s="35" t="n"/>
      <c r="E1531" s="34" t="n"/>
      <c r="F1531" s="35" t="n"/>
      <c r="G1531" s="35" t="n"/>
      <c r="H1531" s="35" t="n"/>
      <c r="I1531" s="35" t="n"/>
      <c r="J1531" s="35" t="n"/>
      <c r="K1531" s="34" t="n"/>
      <c r="L1531" s="26">
        <f>IF(A1531="","",MONTH(A1531))</f>
        <v/>
      </c>
      <c r="M1531" s="26">
        <f>IF(A1531="","",YEAR(A1531))</f>
        <v/>
      </c>
      <c r="N1531" s="26">
        <f>IF(A1531="","",CHOOSE(WEEKDAY(A1531,2),"Segunda","Terça","Quarta","Quinta","Sexta","Sábado","Domingo"))</f>
        <v/>
      </c>
      <c r="O1531" s="26">
        <f>IF(B1531="","",IF(B1531&lt;TIME(12,0,0),"Manhã",IF(B1531&lt;TIME(18,0,0),"Tarde","Noite")))</f>
        <v/>
      </c>
      <c r="P1531" s="32">
        <f>IF(G1531="","",IFERROR(INDEX(Config!$I$5:$I$16,MATCH(G1531,Config!$H$5:$H$16,0)),0))</f>
        <v/>
      </c>
      <c r="Q1531" s="30">
        <f>IF(OR(H1531&lt;&gt;"Realizado",P1531="",P1531=0),"",A1531+P1531)</f>
        <v/>
      </c>
      <c r="R1531" s="26">
        <f>IF(Q1531="","",IF(COUNTIFS($E$5:$E$3004,E1531,$A$5:$A$3004,"&gt;"&amp;A1531,$H$5:$H$3004,"&lt;&gt;Falta",$H$5:$H$3004,"&lt;&gt;Cancelado",$H$5:$H$3004,"&lt;&gt;Remarcado")&gt;0,"Sim","Não"))</f>
        <v/>
      </c>
      <c r="S1531" s="32">
        <f>IF(R1531&lt;&gt;"Não","",IF(Q1531+Config!$B$9&lt;=Config!$B$8,Config!$B$8-Q1531,""))</f>
        <v/>
      </c>
      <c r="T1531" s="26">
        <f>IF(S1531="","","Sim")</f>
        <v/>
      </c>
      <c r="U1531" s="41">
        <f>IF(T1531="Sim",S1531+ROW()/100000,0)</f>
        <v>0</v>
      </c>
      <c r="V1531" s="41">
        <f>IF(AND(H1531="Falta",L1531=Config!$B$7,M1531=Config!$B$5,COUNTIFS($E$5:E1531,E1531,$H$5:H1531,"Falta",$L$5:L1531,Config!$B$7,$M$5:M1531,Config!$B$5)=1),COUNTIFS($E$5:$E$3004,E1531,$H$5:$H$3004,"Falta",$L$5:$L$3004,Config!$B$7,$M$5:$M$3004,Config!$B$5)*1000-ROW()/100000,0)</f>
        <v>0</v>
      </c>
    </row>
    <row r="1532">
      <c r="A1532" s="39" t="n"/>
      <c r="B1532" s="40" t="n"/>
      <c r="C1532" s="35" t="n"/>
      <c r="D1532" s="35" t="n"/>
      <c r="E1532" s="34" t="n"/>
      <c r="F1532" s="35" t="n"/>
      <c r="G1532" s="35" t="n"/>
      <c r="H1532" s="35" t="n"/>
      <c r="I1532" s="35" t="n"/>
      <c r="J1532" s="35" t="n"/>
      <c r="K1532" s="34" t="n"/>
      <c r="L1532" s="26">
        <f>IF(A1532="","",MONTH(A1532))</f>
        <v/>
      </c>
      <c r="M1532" s="26">
        <f>IF(A1532="","",YEAR(A1532))</f>
        <v/>
      </c>
      <c r="N1532" s="26">
        <f>IF(A1532="","",CHOOSE(WEEKDAY(A1532,2),"Segunda","Terça","Quarta","Quinta","Sexta","Sábado","Domingo"))</f>
        <v/>
      </c>
      <c r="O1532" s="26">
        <f>IF(B1532="","",IF(B1532&lt;TIME(12,0,0),"Manhã",IF(B1532&lt;TIME(18,0,0),"Tarde","Noite")))</f>
        <v/>
      </c>
      <c r="P1532" s="32">
        <f>IF(G1532="","",IFERROR(INDEX(Config!$I$5:$I$16,MATCH(G1532,Config!$H$5:$H$16,0)),0))</f>
        <v/>
      </c>
      <c r="Q1532" s="30">
        <f>IF(OR(H1532&lt;&gt;"Realizado",P1532="",P1532=0),"",A1532+P1532)</f>
        <v/>
      </c>
      <c r="R1532" s="26">
        <f>IF(Q1532="","",IF(COUNTIFS($E$5:$E$3004,E1532,$A$5:$A$3004,"&gt;"&amp;A1532,$H$5:$H$3004,"&lt;&gt;Falta",$H$5:$H$3004,"&lt;&gt;Cancelado",$H$5:$H$3004,"&lt;&gt;Remarcado")&gt;0,"Sim","Não"))</f>
        <v/>
      </c>
      <c r="S1532" s="32">
        <f>IF(R1532&lt;&gt;"Não","",IF(Q1532+Config!$B$9&lt;=Config!$B$8,Config!$B$8-Q1532,""))</f>
        <v/>
      </c>
      <c r="T1532" s="26">
        <f>IF(S1532="","","Sim")</f>
        <v/>
      </c>
      <c r="U1532" s="41">
        <f>IF(T1532="Sim",S1532+ROW()/100000,0)</f>
        <v>0</v>
      </c>
      <c r="V1532" s="41">
        <f>IF(AND(H1532="Falta",L1532=Config!$B$7,M1532=Config!$B$5,COUNTIFS($E$5:E1532,E1532,$H$5:H1532,"Falta",$L$5:L1532,Config!$B$7,$M$5:M1532,Config!$B$5)=1),COUNTIFS($E$5:$E$3004,E1532,$H$5:$H$3004,"Falta",$L$5:$L$3004,Config!$B$7,$M$5:$M$3004,Config!$B$5)*1000-ROW()/100000,0)</f>
        <v>0</v>
      </c>
    </row>
    <row r="1533">
      <c r="A1533" s="39" t="n"/>
      <c r="B1533" s="40" t="n"/>
      <c r="C1533" s="35" t="n"/>
      <c r="D1533" s="35" t="n"/>
      <c r="E1533" s="34" t="n"/>
      <c r="F1533" s="35" t="n"/>
      <c r="G1533" s="35" t="n"/>
      <c r="H1533" s="35" t="n"/>
      <c r="I1533" s="35" t="n"/>
      <c r="J1533" s="35" t="n"/>
      <c r="K1533" s="34" t="n"/>
      <c r="L1533" s="26">
        <f>IF(A1533="","",MONTH(A1533))</f>
        <v/>
      </c>
      <c r="M1533" s="26">
        <f>IF(A1533="","",YEAR(A1533))</f>
        <v/>
      </c>
      <c r="N1533" s="26">
        <f>IF(A1533="","",CHOOSE(WEEKDAY(A1533,2),"Segunda","Terça","Quarta","Quinta","Sexta","Sábado","Domingo"))</f>
        <v/>
      </c>
      <c r="O1533" s="26">
        <f>IF(B1533="","",IF(B1533&lt;TIME(12,0,0),"Manhã",IF(B1533&lt;TIME(18,0,0),"Tarde","Noite")))</f>
        <v/>
      </c>
      <c r="P1533" s="32">
        <f>IF(G1533="","",IFERROR(INDEX(Config!$I$5:$I$16,MATCH(G1533,Config!$H$5:$H$16,0)),0))</f>
        <v/>
      </c>
      <c r="Q1533" s="30">
        <f>IF(OR(H1533&lt;&gt;"Realizado",P1533="",P1533=0),"",A1533+P1533)</f>
        <v/>
      </c>
      <c r="R1533" s="26">
        <f>IF(Q1533="","",IF(COUNTIFS($E$5:$E$3004,E1533,$A$5:$A$3004,"&gt;"&amp;A1533,$H$5:$H$3004,"&lt;&gt;Falta",$H$5:$H$3004,"&lt;&gt;Cancelado",$H$5:$H$3004,"&lt;&gt;Remarcado")&gt;0,"Sim","Não"))</f>
        <v/>
      </c>
      <c r="S1533" s="32">
        <f>IF(R1533&lt;&gt;"Não","",IF(Q1533+Config!$B$9&lt;=Config!$B$8,Config!$B$8-Q1533,""))</f>
        <v/>
      </c>
      <c r="T1533" s="26">
        <f>IF(S1533="","","Sim")</f>
        <v/>
      </c>
      <c r="U1533" s="41">
        <f>IF(T1533="Sim",S1533+ROW()/100000,0)</f>
        <v>0</v>
      </c>
      <c r="V1533" s="41">
        <f>IF(AND(H1533="Falta",L1533=Config!$B$7,M1533=Config!$B$5,COUNTIFS($E$5:E1533,E1533,$H$5:H1533,"Falta",$L$5:L1533,Config!$B$7,$M$5:M1533,Config!$B$5)=1),COUNTIFS($E$5:$E$3004,E1533,$H$5:$H$3004,"Falta",$L$5:$L$3004,Config!$B$7,$M$5:$M$3004,Config!$B$5)*1000-ROW()/100000,0)</f>
        <v>0</v>
      </c>
    </row>
    <row r="1534">
      <c r="A1534" s="39" t="n"/>
      <c r="B1534" s="40" t="n"/>
      <c r="C1534" s="35" t="n"/>
      <c r="D1534" s="35" t="n"/>
      <c r="E1534" s="34" t="n"/>
      <c r="F1534" s="35" t="n"/>
      <c r="G1534" s="35" t="n"/>
      <c r="H1534" s="35" t="n"/>
      <c r="I1534" s="35" t="n"/>
      <c r="J1534" s="35" t="n"/>
      <c r="K1534" s="34" t="n"/>
      <c r="L1534" s="26">
        <f>IF(A1534="","",MONTH(A1534))</f>
        <v/>
      </c>
      <c r="M1534" s="26">
        <f>IF(A1534="","",YEAR(A1534))</f>
        <v/>
      </c>
      <c r="N1534" s="26">
        <f>IF(A1534="","",CHOOSE(WEEKDAY(A1534,2),"Segunda","Terça","Quarta","Quinta","Sexta","Sábado","Domingo"))</f>
        <v/>
      </c>
      <c r="O1534" s="26">
        <f>IF(B1534="","",IF(B1534&lt;TIME(12,0,0),"Manhã",IF(B1534&lt;TIME(18,0,0),"Tarde","Noite")))</f>
        <v/>
      </c>
      <c r="P1534" s="32">
        <f>IF(G1534="","",IFERROR(INDEX(Config!$I$5:$I$16,MATCH(G1534,Config!$H$5:$H$16,0)),0))</f>
        <v/>
      </c>
      <c r="Q1534" s="30">
        <f>IF(OR(H1534&lt;&gt;"Realizado",P1534="",P1534=0),"",A1534+P1534)</f>
        <v/>
      </c>
      <c r="R1534" s="26">
        <f>IF(Q1534="","",IF(COUNTIFS($E$5:$E$3004,E1534,$A$5:$A$3004,"&gt;"&amp;A1534,$H$5:$H$3004,"&lt;&gt;Falta",$H$5:$H$3004,"&lt;&gt;Cancelado",$H$5:$H$3004,"&lt;&gt;Remarcado")&gt;0,"Sim","Não"))</f>
        <v/>
      </c>
      <c r="S1534" s="32">
        <f>IF(R1534&lt;&gt;"Não","",IF(Q1534+Config!$B$9&lt;=Config!$B$8,Config!$B$8-Q1534,""))</f>
        <v/>
      </c>
      <c r="T1534" s="26">
        <f>IF(S1534="","","Sim")</f>
        <v/>
      </c>
      <c r="U1534" s="41">
        <f>IF(T1534="Sim",S1534+ROW()/100000,0)</f>
        <v>0</v>
      </c>
      <c r="V1534" s="41">
        <f>IF(AND(H1534="Falta",L1534=Config!$B$7,M1534=Config!$B$5,COUNTIFS($E$5:E1534,E1534,$H$5:H1534,"Falta",$L$5:L1534,Config!$B$7,$M$5:M1534,Config!$B$5)=1),COUNTIFS($E$5:$E$3004,E1534,$H$5:$H$3004,"Falta",$L$5:$L$3004,Config!$B$7,$M$5:$M$3004,Config!$B$5)*1000-ROW()/100000,0)</f>
        <v>0</v>
      </c>
    </row>
    <row r="1535">
      <c r="A1535" s="39" t="n"/>
      <c r="B1535" s="40" t="n"/>
      <c r="C1535" s="35" t="n"/>
      <c r="D1535" s="35" t="n"/>
      <c r="E1535" s="34" t="n"/>
      <c r="F1535" s="35" t="n"/>
      <c r="G1535" s="35" t="n"/>
      <c r="H1535" s="35" t="n"/>
      <c r="I1535" s="35" t="n"/>
      <c r="J1535" s="35" t="n"/>
      <c r="K1535" s="34" t="n"/>
      <c r="L1535" s="26">
        <f>IF(A1535="","",MONTH(A1535))</f>
        <v/>
      </c>
      <c r="M1535" s="26">
        <f>IF(A1535="","",YEAR(A1535))</f>
        <v/>
      </c>
      <c r="N1535" s="26">
        <f>IF(A1535="","",CHOOSE(WEEKDAY(A1535,2),"Segunda","Terça","Quarta","Quinta","Sexta","Sábado","Domingo"))</f>
        <v/>
      </c>
      <c r="O1535" s="26">
        <f>IF(B1535="","",IF(B1535&lt;TIME(12,0,0),"Manhã",IF(B1535&lt;TIME(18,0,0),"Tarde","Noite")))</f>
        <v/>
      </c>
      <c r="P1535" s="32">
        <f>IF(G1535="","",IFERROR(INDEX(Config!$I$5:$I$16,MATCH(G1535,Config!$H$5:$H$16,0)),0))</f>
        <v/>
      </c>
      <c r="Q1535" s="30">
        <f>IF(OR(H1535&lt;&gt;"Realizado",P1535="",P1535=0),"",A1535+P1535)</f>
        <v/>
      </c>
      <c r="R1535" s="26">
        <f>IF(Q1535="","",IF(COUNTIFS($E$5:$E$3004,E1535,$A$5:$A$3004,"&gt;"&amp;A1535,$H$5:$H$3004,"&lt;&gt;Falta",$H$5:$H$3004,"&lt;&gt;Cancelado",$H$5:$H$3004,"&lt;&gt;Remarcado")&gt;0,"Sim","Não"))</f>
        <v/>
      </c>
      <c r="S1535" s="32">
        <f>IF(R1535&lt;&gt;"Não","",IF(Q1535+Config!$B$9&lt;=Config!$B$8,Config!$B$8-Q1535,""))</f>
        <v/>
      </c>
      <c r="T1535" s="26">
        <f>IF(S1535="","","Sim")</f>
        <v/>
      </c>
      <c r="U1535" s="41">
        <f>IF(T1535="Sim",S1535+ROW()/100000,0)</f>
        <v>0</v>
      </c>
      <c r="V1535" s="41">
        <f>IF(AND(H1535="Falta",L1535=Config!$B$7,M1535=Config!$B$5,COUNTIFS($E$5:E1535,E1535,$H$5:H1535,"Falta",$L$5:L1535,Config!$B$7,$M$5:M1535,Config!$B$5)=1),COUNTIFS($E$5:$E$3004,E1535,$H$5:$H$3004,"Falta",$L$5:$L$3004,Config!$B$7,$M$5:$M$3004,Config!$B$5)*1000-ROW()/100000,0)</f>
        <v>0</v>
      </c>
    </row>
    <row r="1536">
      <c r="A1536" s="39" t="n"/>
      <c r="B1536" s="40" t="n"/>
      <c r="C1536" s="35" t="n"/>
      <c r="D1536" s="35" t="n"/>
      <c r="E1536" s="34" t="n"/>
      <c r="F1536" s="35" t="n"/>
      <c r="G1536" s="35" t="n"/>
      <c r="H1536" s="35" t="n"/>
      <c r="I1536" s="35" t="n"/>
      <c r="J1536" s="35" t="n"/>
      <c r="K1536" s="34" t="n"/>
      <c r="L1536" s="26">
        <f>IF(A1536="","",MONTH(A1536))</f>
        <v/>
      </c>
      <c r="M1536" s="26">
        <f>IF(A1536="","",YEAR(A1536))</f>
        <v/>
      </c>
      <c r="N1536" s="26">
        <f>IF(A1536="","",CHOOSE(WEEKDAY(A1536,2),"Segunda","Terça","Quarta","Quinta","Sexta","Sábado","Domingo"))</f>
        <v/>
      </c>
      <c r="O1536" s="26">
        <f>IF(B1536="","",IF(B1536&lt;TIME(12,0,0),"Manhã",IF(B1536&lt;TIME(18,0,0),"Tarde","Noite")))</f>
        <v/>
      </c>
      <c r="P1536" s="32">
        <f>IF(G1536="","",IFERROR(INDEX(Config!$I$5:$I$16,MATCH(G1536,Config!$H$5:$H$16,0)),0))</f>
        <v/>
      </c>
      <c r="Q1536" s="30">
        <f>IF(OR(H1536&lt;&gt;"Realizado",P1536="",P1536=0),"",A1536+P1536)</f>
        <v/>
      </c>
      <c r="R1536" s="26">
        <f>IF(Q1536="","",IF(COUNTIFS($E$5:$E$3004,E1536,$A$5:$A$3004,"&gt;"&amp;A1536,$H$5:$H$3004,"&lt;&gt;Falta",$H$5:$H$3004,"&lt;&gt;Cancelado",$H$5:$H$3004,"&lt;&gt;Remarcado")&gt;0,"Sim","Não"))</f>
        <v/>
      </c>
      <c r="S1536" s="32">
        <f>IF(R1536&lt;&gt;"Não","",IF(Q1536+Config!$B$9&lt;=Config!$B$8,Config!$B$8-Q1536,""))</f>
        <v/>
      </c>
      <c r="T1536" s="26">
        <f>IF(S1536="","","Sim")</f>
        <v/>
      </c>
      <c r="U1536" s="41">
        <f>IF(T1536="Sim",S1536+ROW()/100000,0)</f>
        <v>0</v>
      </c>
      <c r="V1536" s="41">
        <f>IF(AND(H1536="Falta",L1536=Config!$B$7,M1536=Config!$B$5,COUNTIFS($E$5:E1536,E1536,$H$5:H1536,"Falta",$L$5:L1536,Config!$B$7,$M$5:M1536,Config!$B$5)=1),COUNTIFS($E$5:$E$3004,E1536,$H$5:$H$3004,"Falta",$L$5:$L$3004,Config!$B$7,$M$5:$M$3004,Config!$B$5)*1000-ROW()/100000,0)</f>
        <v>0</v>
      </c>
    </row>
    <row r="1537">
      <c r="A1537" s="39" t="n"/>
      <c r="B1537" s="40" t="n"/>
      <c r="C1537" s="35" t="n"/>
      <c r="D1537" s="35" t="n"/>
      <c r="E1537" s="34" t="n"/>
      <c r="F1537" s="35" t="n"/>
      <c r="G1537" s="35" t="n"/>
      <c r="H1537" s="35" t="n"/>
      <c r="I1537" s="35" t="n"/>
      <c r="J1537" s="35" t="n"/>
      <c r="K1537" s="34" t="n"/>
      <c r="L1537" s="26">
        <f>IF(A1537="","",MONTH(A1537))</f>
        <v/>
      </c>
      <c r="M1537" s="26">
        <f>IF(A1537="","",YEAR(A1537))</f>
        <v/>
      </c>
      <c r="N1537" s="26">
        <f>IF(A1537="","",CHOOSE(WEEKDAY(A1537,2),"Segunda","Terça","Quarta","Quinta","Sexta","Sábado","Domingo"))</f>
        <v/>
      </c>
      <c r="O1537" s="26">
        <f>IF(B1537="","",IF(B1537&lt;TIME(12,0,0),"Manhã",IF(B1537&lt;TIME(18,0,0),"Tarde","Noite")))</f>
        <v/>
      </c>
      <c r="P1537" s="32">
        <f>IF(G1537="","",IFERROR(INDEX(Config!$I$5:$I$16,MATCH(G1537,Config!$H$5:$H$16,0)),0))</f>
        <v/>
      </c>
      <c r="Q1537" s="30">
        <f>IF(OR(H1537&lt;&gt;"Realizado",P1537="",P1537=0),"",A1537+P1537)</f>
        <v/>
      </c>
      <c r="R1537" s="26">
        <f>IF(Q1537="","",IF(COUNTIFS($E$5:$E$3004,E1537,$A$5:$A$3004,"&gt;"&amp;A1537,$H$5:$H$3004,"&lt;&gt;Falta",$H$5:$H$3004,"&lt;&gt;Cancelado",$H$5:$H$3004,"&lt;&gt;Remarcado")&gt;0,"Sim","Não"))</f>
        <v/>
      </c>
      <c r="S1537" s="32">
        <f>IF(R1537&lt;&gt;"Não","",IF(Q1537+Config!$B$9&lt;=Config!$B$8,Config!$B$8-Q1537,""))</f>
        <v/>
      </c>
      <c r="T1537" s="26">
        <f>IF(S1537="","","Sim")</f>
        <v/>
      </c>
      <c r="U1537" s="41">
        <f>IF(T1537="Sim",S1537+ROW()/100000,0)</f>
        <v>0</v>
      </c>
      <c r="V1537" s="41">
        <f>IF(AND(H1537="Falta",L1537=Config!$B$7,M1537=Config!$B$5,COUNTIFS($E$5:E1537,E1537,$H$5:H1537,"Falta",$L$5:L1537,Config!$B$7,$M$5:M1537,Config!$B$5)=1),COUNTIFS($E$5:$E$3004,E1537,$H$5:$H$3004,"Falta",$L$5:$L$3004,Config!$B$7,$M$5:$M$3004,Config!$B$5)*1000-ROW()/100000,0)</f>
        <v>0</v>
      </c>
    </row>
    <row r="1538">
      <c r="A1538" s="39" t="n"/>
      <c r="B1538" s="40" t="n"/>
      <c r="C1538" s="35" t="n"/>
      <c r="D1538" s="35" t="n"/>
      <c r="E1538" s="34" t="n"/>
      <c r="F1538" s="35" t="n"/>
      <c r="G1538" s="35" t="n"/>
      <c r="H1538" s="35" t="n"/>
      <c r="I1538" s="35" t="n"/>
      <c r="J1538" s="35" t="n"/>
      <c r="K1538" s="34" t="n"/>
      <c r="L1538" s="26">
        <f>IF(A1538="","",MONTH(A1538))</f>
        <v/>
      </c>
      <c r="M1538" s="26">
        <f>IF(A1538="","",YEAR(A1538))</f>
        <v/>
      </c>
      <c r="N1538" s="26">
        <f>IF(A1538="","",CHOOSE(WEEKDAY(A1538,2),"Segunda","Terça","Quarta","Quinta","Sexta","Sábado","Domingo"))</f>
        <v/>
      </c>
      <c r="O1538" s="26">
        <f>IF(B1538="","",IF(B1538&lt;TIME(12,0,0),"Manhã",IF(B1538&lt;TIME(18,0,0),"Tarde","Noite")))</f>
        <v/>
      </c>
      <c r="P1538" s="32">
        <f>IF(G1538="","",IFERROR(INDEX(Config!$I$5:$I$16,MATCH(G1538,Config!$H$5:$H$16,0)),0))</f>
        <v/>
      </c>
      <c r="Q1538" s="30">
        <f>IF(OR(H1538&lt;&gt;"Realizado",P1538="",P1538=0),"",A1538+P1538)</f>
        <v/>
      </c>
      <c r="R1538" s="26">
        <f>IF(Q1538="","",IF(COUNTIFS($E$5:$E$3004,E1538,$A$5:$A$3004,"&gt;"&amp;A1538,$H$5:$H$3004,"&lt;&gt;Falta",$H$5:$H$3004,"&lt;&gt;Cancelado",$H$5:$H$3004,"&lt;&gt;Remarcado")&gt;0,"Sim","Não"))</f>
        <v/>
      </c>
      <c r="S1538" s="32">
        <f>IF(R1538&lt;&gt;"Não","",IF(Q1538+Config!$B$9&lt;=Config!$B$8,Config!$B$8-Q1538,""))</f>
        <v/>
      </c>
      <c r="T1538" s="26">
        <f>IF(S1538="","","Sim")</f>
        <v/>
      </c>
      <c r="U1538" s="41">
        <f>IF(T1538="Sim",S1538+ROW()/100000,0)</f>
        <v>0</v>
      </c>
      <c r="V1538" s="41">
        <f>IF(AND(H1538="Falta",L1538=Config!$B$7,M1538=Config!$B$5,COUNTIFS($E$5:E1538,E1538,$H$5:H1538,"Falta",$L$5:L1538,Config!$B$7,$M$5:M1538,Config!$B$5)=1),COUNTIFS($E$5:$E$3004,E1538,$H$5:$H$3004,"Falta",$L$5:$L$3004,Config!$B$7,$M$5:$M$3004,Config!$B$5)*1000-ROW()/100000,0)</f>
        <v>0</v>
      </c>
    </row>
    <row r="1539">
      <c r="A1539" s="39" t="n"/>
      <c r="B1539" s="40" t="n"/>
      <c r="C1539" s="35" t="n"/>
      <c r="D1539" s="35" t="n"/>
      <c r="E1539" s="34" t="n"/>
      <c r="F1539" s="35" t="n"/>
      <c r="G1539" s="35" t="n"/>
      <c r="H1539" s="35" t="n"/>
      <c r="I1539" s="35" t="n"/>
      <c r="J1539" s="35" t="n"/>
      <c r="K1539" s="34" t="n"/>
      <c r="L1539" s="26">
        <f>IF(A1539="","",MONTH(A1539))</f>
        <v/>
      </c>
      <c r="M1539" s="26">
        <f>IF(A1539="","",YEAR(A1539))</f>
        <v/>
      </c>
      <c r="N1539" s="26">
        <f>IF(A1539="","",CHOOSE(WEEKDAY(A1539,2),"Segunda","Terça","Quarta","Quinta","Sexta","Sábado","Domingo"))</f>
        <v/>
      </c>
      <c r="O1539" s="26">
        <f>IF(B1539="","",IF(B1539&lt;TIME(12,0,0),"Manhã",IF(B1539&lt;TIME(18,0,0),"Tarde","Noite")))</f>
        <v/>
      </c>
      <c r="P1539" s="32">
        <f>IF(G1539="","",IFERROR(INDEX(Config!$I$5:$I$16,MATCH(G1539,Config!$H$5:$H$16,0)),0))</f>
        <v/>
      </c>
      <c r="Q1539" s="30">
        <f>IF(OR(H1539&lt;&gt;"Realizado",P1539="",P1539=0),"",A1539+P1539)</f>
        <v/>
      </c>
      <c r="R1539" s="26">
        <f>IF(Q1539="","",IF(COUNTIFS($E$5:$E$3004,E1539,$A$5:$A$3004,"&gt;"&amp;A1539,$H$5:$H$3004,"&lt;&gt;Falta",$H$5:$H$3004,"&lt;&gt;Cancelado",$H$5:$H$3004,"&lt;&gt;Remarcado")&gt;0,"Sim","Não"))</f>
        <v/>
      </c>
      <c r="S1539" s="32">
        <f>IF(R1539&lt;&gt;"Não","",IF(Q1539+Config!$B$9&lt;=Config!$B$8,Config!$B$8-Q1539,""))</f>
        <v/>
      </c>
      <c r="T1539" s="26">
        <f>IF(S1539="","","Sim")</f>
        <v/>
      </c>
      <c r="U1539" s="41">
        <f>IF(T1539="Sim",S1539+ROW()/100000,0)</f>
        <v>0</v>
      </c>
      <c r="V1539" s="41">
        <f>IF(AND(H1539="Falta",L1539=Config!$B$7,M1539=Config!$B$5,COUNTIFS($E$5:E1539,E1539,$H$5:H1539,"Falta",$L$5:L1539,Config!$B$7,$M$5:M1539,Config!$B$5)=1),COUNTIFS($E$5:$E$3004,E1539,$H$5:$H$3004,"Falta",$L$5:$L$3004,Config!$B$7,$M$5:$M$3004,Config!$B$5)*1000-ROW()/100000,0)</f>
        <v>0</v>
      </c>
    </row>
    <row r="1540">
      <c r="A1540" s="39" t="n"/>
      <c r="B1540" s="40" t="n"/>
      <c r="C1540" s="35" t="n"/>
      <c r="D1540" s="35" t="n"/>
      <c r="E1540" s="34" t="n"/>
      <c r="F1540" s="35" t="n"/>
      <c r="G1540" s="35" t="n"/>
      <c r="H1540" s="35" t="n"/>
      <c r="I1540" s="35" t="n"/>
      <c r="J1540" s="35" t="n"/>
      <c r="K1540" s="34" t="n"/>
      <c r="L1540" s="26">
        <f>IF(A1540="","",MONTH(A1540))</f>
        <v/>
      </c>
      <c r="M1540" s="26">
        <f>IF(A1540="","",YEAR(A1540))</f>
        <v/>
      </c>
      <c r="N1540" s="26">
        <f>IF(A1540="","",CHOOSE(WEEKDAY(A1540,2),"Segunda","Terça","Quarta","Quinta","Sexta","Sábado","Domingo"))</f>
        <v/>
      </c>
      <c r="O1540" s="26">
        <f>IF(B1540="","",IF(B1540&lt;TIME(12,0,0),"Manhã",IF(B1540&lt;TIME(18,0,0),"Tarde","Noite")))</f>
        <v/>
      </c>
      <c r="P1540" s="32">
        <f>IF(G1540="","",IFERROR(INDEX(Config!$I$5:$I$16,MATCH(G1540,Config!$H$5:$H$16,0)),0))</f>
        <v/>
      </c>
      <c r="Q1540" s="30">
        <f>IF(OR(H1540&lt;&gt;"Realizado",P1540="",P1540=0),"",A1540+P1540)</f>
        <v/>
      </c>
      <c r="R1540" s="26">
        <f>IF(Q1540="","",IF(COUNTIFS($E$5:$E$3004,E1540,$A$5:$A$3004,"&gt;"&amp;A1540,$H$5:$H$3004,"&lt;&gt;Falta",$H$5:$H$3004,"&lt;&gt;Cancelado",$H$5:$H$3004,"&lt;&gt;Remarcado")&gt;0,"Sim","Não"))</f>
        <v/>
      </c>
      <c r="S1540" s="32">
        <f>IF(R1540&lt;&gt;"Não","",IF(Q1540+Config!$B$9&lt;=Config!$B$8,Config!$B$8-Q1540,""))</f>
        <v/>
      </c>
      <c r="T1540" s="26">
        <f>IF(S1540="","","Sim")</f>
        <v/>
      </c>
      <c r="U1540" s="41">
        <f>IF(T1540="Sim",S1540+ROW()/100000,0)</f>
        <v>0</v>
      </c>
      <c r="V1540" s="41">
        <f>IF(AND(H1540="Falta",L1540=Config!$B$7,M1540=Config!$B$5,COUNTIFS($E$5:E1540,E1540,$H$5:H1540,"Falta",$L$5:L1540,Config!$B$7,$M$5:M1540,Config!$B$5)=1),COUNTIFS($E$5:$E$3004,E1540,$H$5:$H$3004,"Falta",$L$5:$L$3004,Config!$B$7,$M$5:$M$3004,Config!$B$5)*1000-ROW()/100000,0)</f>
        <v>0</v>
      </c>
    </row>
    <row r="1541">
      <c r="A1541" s="39" t="n"/>
      <c r="B1541" s="40" t="n"/>
      <c r="C1541" s="35" t="n"/>
      <c r="D1541" s="35" t="n"/>
      <c r="E1541" s="34" t="n"/>
      <c r="F1541" s="35" t="n"/>
      <c r="G1541" s="35" t="n"/>
      <c r="H1541" s="35" t="n"/>
      <c r="I1541" s="35" t="n"/>
      <c r="J1541" s="35" t="n"/>
      <c r="K1541" s="34" t="n"/>
      <c r="L1541" s="26">
        <f>IF(A1541="","",MONTH(A1541))</f>
        <v/>
      </c>
      <c r="M1541" s="26">
        <f>IF(A1541="","",YEAR(A1541))</f>
        <v/>
      </c>
      <c r="N1541" s="26">
        <f>IF(A1541="","",CHOOSE(WEEKDAY(A1541,2),"Segunda","Terça","Quarta","Quinta","Sexta","Sábado","Domingo"))</f>
        <v/>
      </c>
      <c r="O1541" s="26">
        <f>IF(B1541="","",IF(B1541&lt;TIME(12,0,0),"Manhã",IF(B1541&lt;TIME(18,0,0),"Tarde","Noite")))</f>
        <v/>
      </c>
      <c r="P1541" s="32">
        <f>IF(G1541="","",IFERROR(INDEX(Config!$I$5:$I$16,MATCH(G1541,Config!$H$5:$H$16,0)),0))</f>
        <v/>
      </c>
      <c r="Q1541" s="30">
        <f>IF(OR(H1541&lt;&gt;"Realizado",P1541="",P1541=0),"",A1541+P1541)</f>
        <v/>
      </c>
      <c r="R1541" s="26">
        <f>IF(Q1541="","",IF(COUNTIFS($E$5:$E$3004,E1541,$A$5:$A$3004,"&gt;"&amp;A1541,$H$5:$H$3004,"&lt;&gt;Falta",$H$5:$H$3004,"&lt;&gt;Cancelado",$H$5:$H$3004,"&lt;&gt;Remarcado")&gt;0,"Sim","Não"))</f>
        <v/>
      </c>
      <c r="S1541" s="32">
        <f>IF(R1541&lt;&gt;"Não","",IF(Q1541+Config!$B$9&lt;=Config!$B$8,Config!$B$8-Q1541,""))</f>
        <v/>
      </c>
      <c r="T1541" s="26">
        <f>IF(S1541="","","Sim")</f>
        <v/>
      </c>
      <c r="U1541" s="41">
        <f>IF(T1541="Sim",S1541+ROW()/100000,0)</f>
        <v>0</v>
      </c>
      <c r="V1541" s="41">
        <f>IF(AND(H1541="Falta",L1541=Config!$B$7,M1541=Config!$B$5,COUNTIFS($E$5:E1541,E1541,$H$5:H1541,"Falta",$L$5:L1541,Config!$B$7,$M$5:M1541,Config!$B$5)=1),COUNTIFS($E$5:$E$3004,E1541,$H$5:$H$3004,"Falta",$L$5:$L$3004,Config!$B$7,$M$5:$M$3004,Config!$B$5)*1000-ROW()/100000,0)</f>
        <v>0</v>
      </c>
    </row>
    <row r="1542">
      <c r="A1542" s="39" t="n"/>
      <c r="B1542" s="40" t="n"/>
      <c r="C1542" s="35" t="n"/>
      <c r="D1542" s="35" t="n"/>
      <c r="E1542" s="34" t="n"/>
      <c r="F1542" s="35" t="n"/>
      <c r="G1542" s="35" t="n"/>
      <c r="H1542" s="35" t="n"/>
      <c r="I1542" s="35" t="n"/>
      <c r="J1542" s="35" t="n"/>
      <c r="K1542" s="34" t="n"/>
      <c r="L1542" s="26">
        <f>IF(A1542="","",MONTH(A1542))</f>
        <v/>
      </c>
      <c r="M1542" s="26">
        <f>IF(A1542="","",YEAR(A1542))</f>
        <v/>
      </c>
      <c r="N1542" s="26">
        <f>IF(A1542="","",CHOOSE(WEEKDAY(A1542,2),"Segunda","Terça","Quarta","Quinta","Sexta","Sábado","Domingo"))</f>
        <v/>
      </c>
      <c r="O1542" s="26">
        <f>IF(B1542="","",IF(B1542&lt;TIME(12,0,0),"Manhã",IF(B1542&lt;TIME(18,0,0),"Tarde","Noite")))</f>
        <v/>
      </c>
      <c r="P1542" s="32">
        <f>IF(G1542="","",IFERROR(INDEX(Config!$I$5:$I$16,MATCH(G1542,Config!$H$5:$H$16,0)),0))</f>
        <v/>
      </c>
      <c r="Q1542" s="30">
        <f>IF(OR(H1542&lt;&gt;"Realizado",P1542="",P1542=0),"",A1542+P1542)</f>
        <v/>
      </c>
      <c r="R1542" s="26">
        <f>IF(Q1542="","",IF(COUNTIFS($E$5:$E$3004,E1542,$A$5:$A$3004,"&gt;"&amp;A1542,$H$5:$H$3004,"&lt;&gt;Falta",$H$5:$H$3004,"&lt;&gt;Cancelado",$H$5:$H$3004,"&lt;&gt;Remarcado")&gt;0,"Sim","Não"))</f>
        <v/>
      </c>
      <c r="S1542" s="32">
        <f>IF(R1542&lt;&gt;"Não","",IF(Q1542+Config!$B$9&lt;=Config!$B$8,Config!$B$8-Q1542,""))</f>
        <v/>
      </c>
      <c r="T1542" s="26">
        <f>IF(S1542="","","Sim")</f>
        <v/>
      </c>
      <c r="U1542" s="41">
        <f>IF(T1542="Sim",S1542+ROW()/100000,0)</f>
        <v>0</v>
      </c>
      <c r="V1542" s="41">
        <f>IF(AND(H1542="Falta",L1542=Config!$B$7,M1542=Config!$B$5,COUNTIFS($E$5:E1542,E1542,$H$5:H1542,"Falta",$L$5:L1542,Config!$B$7,$M$5:M1542,Config!$B$5)=1),COUNTIFS($E$5:$E$3004,E1542,$H$5:$H$3004,"Falta",$L$5:$L$3004,Config!$B$7,$M$5:$M$3004,Config!$B$5)*1000-ROW()/100000,0)</f>
        <v>0</v>
      </c>
    </row>
    <row r="1543">
      <c r="A1543" s="39" t="n"/>
      <c r="B1543" s="40" t="n"/>
      <c r="C1543" s="35" t="n"/>
      <c r="D1543" s="35" t="n"/>
      <c r="E1543" s="34" t="n"/>
      <c r="F1543" s="35" t="n"/>
      <c r="G1543" s="35" t="n"/>
      <c r="H1543" s="35" t="n"/>
      <c r="I1543" s="35" t="n"/>
      <c r="J1543" s="35" t="n"/>
      <c r="K1543" s="34" t="n"/>
      <c r="L1543" s="26">
        <f>IF(A1543="","",MONTH(A1543))</f>
        <v/>
      </c>
      <c r="M1543" s="26">
        <f>IF(A1543="","",YEAR(A1543))</f>
        <v/>
      </c>
      <c r="N1543" s="26">
        <f>IF(A1543="","",CHOOSE(WEEKDAY(A1543,2),"Segunda","Terça","Quarta","Quinta","Sexta","Sábado","Domingo"))</f>
        <v/>
      </c>
      <c r="O1543" s="26">
        <f>IF(B1543="","",IF(B1543&lt;TIME(12,0,0),"Manhã",IF(B1543&lt;TIME(18,0,0),"Tarde","Noite")))</f>
        <v/>
      </c>
      <c r="P1543" s="32">
        <f>IF(G1543="","",IFERROR(INDEX(Config!$I$5:$I$16,MATCH(G1543,Config!$H$5:$H$16,0)),0))</f>
        <v/>
      </c>
      <c r="Q1543" s="30">
        <f>IF(OR(H1543&lt;&gt;"Realizado",P1543="",P1543=0),"",A1543+P1543)</f>
        <v/>
      </c>
      <c r="R1543" s="26">
        <f>IF(Q1543="","",IF(COUNTIFS($E$5:$E$3004,E1543,$A$5:$A$3004,"&gt;"&amp;A1543,$H$5:$H$3004,"&lt;&gt;Falta",$H$5:$H$3004,"&lt;&gt;Cancelado",$H$5:$H$3004,"&lt;&gt;Remarcado")&gt;0,"Sim","Não"))</f>
        <v/>
      </c>
      <c r="S1543" s="32">
        <f>IF(R1543&lt;&gt;"Não","",IF(Q1543+Config!$B$9&lt;=Config!$B$8,Config!$B$8-Q1543,""))</f>
        <v/>
      </c>
      <c r="T1543" s="26">
        <f>IF(S1543="","","Sim")</f>
        <v/>
      </c>
      <c r="U1543" s="41">
        <f>IF(T1543="Sim",S1543+ROW()/100000,0)</f>
        <v>0</v>
      </c>
      <c r="V1543" s="41">
        <f>IF(AND(H1543="Falta",L1543=Config!$B$7,M1543=Config!$B$5,COUNTIFS($E$5:E1543,E1543,$H$5:H1543,"Falta",$L$5:L1543,Config!$B$7,$M$5:M1543,Config!$B$5)=1),COUNTIFS($E$5:$E$3004,E1543,$H$5:$H$3004,"Falta",$L$5:$L$3004,Config!$B$7,$M$5:$M$3004,Config!$B$5)*1000-ROW()/100000,0)</f>
        <v>0</v>
      </c>
    </row>
    <row r="1544">
      <c r="A1544" s="39" t="n"/>
      <c r="B1544" s="40" t="n"/>
      <c r="C1544" s="35" t="n"/>
      <c r="D1544" s="35" t="n"/>
      <c r="E1544" s="34" t="n"/>
      <c r="F1544" s="35" t="n"/>
      <c r="G1544" s="35" t="n"/>
      <c r="H1544" s="35" t="n"/>
      <c r="I1544" s="35" t="n"/>
      <c r="J1544" s="35" t="n"/>
      <c r="K1544" s="34" t="n"/>
      <c r="L1544" s="26">
        <f>IF(A1544="","",MONTH(A1544))</f>
        <v/>
      </c>
      <c r="M1544" s="26">
        <f>IF(A1544="","",YEAR(A1544))</f>
        <v/>
      </c>
      <c r="N1544" s="26">
        <f>IF(A1544="","",CHOOSE(WEEKDAY(A1544,2),"Segunda","Terça","Quarta","Quinta","Sexta","Sábado","Domingo"))</f>
        <v/>
      </c>
      <c r="O1544" s="26">
        <f>IF(B1544="","",IF(B1544&lt;TIME(12,0,0),"Manhã",IF(B1544&lt;TIME(18,0,0),"Tarde","Noite")))</f>
        <v/>
      </c>
      <c r="P1544" s="32">
        <f>IF(G1544="","",IFERROR(INDEX(Config!$I$5:$I$16,MATCH(G1544,Config!$H$5:$H$16,0)),0))</f>
        <v/>
      </c>
      <c r="Q1544" s="30">
        <f>IF(OR(H1544&lt;&gt;"Realizado",P1544="",P1544=0),"",A1544+P1544)</f>
        <v/>
      </c>
      <c r="R1544" s="26">
        <f>IF(Q1544="","",IF(COUNTIFS($E$5:$E$3004,E1544,$A$5:$A$3004,"&gt;"&amp;A1544,$H$5:$H$3004,"&lt;&gt;Falta",$H$5:$H$3004,"&lt;&gt;Cancelado",$H$5:$H$3004,"&lt;&gt;Remarcado")&gt;0,"Sim","Não"))</f>
        <v/>
      </c>
      <c r="S1544" s="32">
        <f>IF(R1544&lt;&gt;"Não","",IF(Q1544+Config!$B$9&lt;=Config!$B$8,Config!$B$8-Q1544,""))</f>
        <v/>
      </c>
      <c r="T1544" s="26">
        <f>IF(S1544="","","Sim")</f>
        <v/>
      </c>
      <c r="U1544" s="41">
        <f>IF(T1544="Sim",S1544+ROW()/100000,0)</f>
        <v>0</v>
      </c>
      <c r="V1544" s="41">
        <f>IF(AND(H1544="Falta",L1544=Config!$B$7,M1544=Config!$B$5,COUNTIFS($E$5:E1544,E1544,$H$5:H1544,"Falta",$L$5:L1544,Config!$B$7,$M$5:M1544,Config!$B$5)=1),COUNTIFS($E$5:$E$3004,E1544,$H$5:$H$3004,"Falta",$L$5:$L$3004,Config!$B$7,$M$5:$M$3004,Config!$B$5)*1000-ROW()/100000,0)</f>
        <v>0</v>
      </c>
    </row>
    <row r="1545">
      <c r="A1545" s="39" t="n"/>
      <c r="B1545" s="40" t="n"/>
      <c r="C1545" s="35" t="n"/>
      <c r="D1545" s="35" t="n"/>
      <c r="E1545" s="34" t="n"/>
      <c r="F1545" s="35" t="n"/>
      <c r="G1545" s="35" t="n"/>
      <c r="H1545" s="35" t="n"/>
      <c r="I1545" s="35" t="n"/>
      <c r="J1545" s="35" t="n"/>
      <c r="K1545" s="34" t="n"/>
      <c r="L1545" s="26">
        <f>IF(A1545="","",MONTH(A1545))</f>
        <v/>
      </c>
      <c r="M1545" s="26">
        <f>IF(A1545="","",YEAR(A1545))</f>
        <v/>
      </c>
      <c r="N1545" s="26">
        <f>IF(A1545="","",CHOOSE(WEEKDAY(A1545,2),"Segunda","Terça","Quarta","Quinta","Sexta","Sábado","Domingo"))</f>
        <v/>
      </c>
      <c r="O1545" s="26">
        <f>IF(B1545="","",IF(B1545&lt;TIME(12,0,0),"Manhã",IF(B1545&lt;TIME(18,0,0),"Tarde","Noite")))</f>
        <v/>
      </c>
      <c r="P1545" s="32">
        <f>IF(G1545="","",IFERROR(INDEX(Config!$I$5:$I$16,MATCH(G1545,Config!$H$5:$H$16,0)),0))</f>
        <v/>
      </c>
      <c r="Q1545" s="30">
        <f>IF(OR(H1545&lt;&gt;"Realizado",P1545="",P1545=0),"",A1545+P1545)</f>
        <v/>
      </c>
      <c r="R1545" s="26">
        <f>IF(Q1545="","",IF(COUNTIFS($E$5:$E$3004,E1545,$A$5:$A$3004,"&gt;"&amp;A1545,$H$5:$H$3004,"&lt;&gt;Falta",$H$5:$H$3004,"&lt;&gt;Cancelado",$H$5:$H$3004,"&lt;&gt;Remarcado")&gt;0,"Sim","Não"))</f>
        <v/>
      </c>
      <c r="S1545" s="32">
        <f>IF(R1545&lt;&gt;"Não","",IF(Q1545+Config!$B$9&lt;=Config!$B$8,Config!$B$8-Q1545,""))</f>
        <v/>
      </c>
      <c r="T1545" s="26">
        <f>IF(S1545="","","Sim")</f>
        <v/>
      </c>
      <c r="U1545" s="41">
        <f>IF(T1545="Sim",S1545+ROW()/100000,0)</f>
        <v>0</v>
      </c>
      <c r="V1545" s="41">
        <f>IF(AND(H1545="Falta",L1545=Config!$B$7,M1545=Config!$B$5,COUNTIFS($E$5:E1545,E1545,$H$5:H1545,"Falta",$L$5:L1545,Config!$B$7,$M$5:M1545,Config!$B$5)=1),COUNTIFS($E$5:$E$3004,E1545,$H$5:$H$3004,"Falta",$L$5:$L$3004,Config!$B$7,$M$5:$M$3004,Config!$B$5)*1000-ROW()/100000,0)</f>
        <v>0</v>
      </c>
    </row>
    <row r="1546">
      <c r="A1546" s="39" t="n"/>
      <c r="B1546" s="40" t="n"/>
      <c r="C1546" s="35" t="n"/>
      <c r="D1546" s="35" t="n"/>
      <c r="E1546" s="34" t="n"/>
      <c r="F1546" s="35" t="n"/>
      <c r="G1546" s="35" t="n"/>
      <c r="H1546" s="35" t="n"/>
      <c r="I1546" s="35" t="n"/>
      <c r="J1546" s="35" t="n"/>
      <c r="K1546" s="34" t="n"/>
      <c r="L1546" s="26">
        <f>IF(A1546="","",MONTH(A1546))</f>
        <v/>
      </c>
      <c r="M1546" s="26">
        <f>IF(A1546="","",YEAR(A1546))</f>
        <v/>
      </c>
      <c r="N1546" s="26">
        <f>IF(A1546="","",CHOOSE(WEEKDAY(A1546,2),"Segunda","Terça","Quarta","Quinta","Sexta","Sábado","Domingo"))</f>
        <v/>
      </c>
      <c r="O1546" s="26">
        <f>IF(B1546="","",IF(B1546&lt;TIME(12,0,0),"Manhã",IF(B1546&lt;TIME(18,0,0),"Tarde","Noite")))</f>
        <v/>
      </c>
      <c r="P1546" s="32">
        <f>IF(G1546="","",IFERROR(INDEX(Config!$I$5:$I$16,MATCH(G1546,Config!$H$5:$H$16,0)),0))</f>
        <v/>
      </c>
      <c r="Q1546" s="30">
        <f>IF(OR(H1546&lt;&gt;"Realizado",P1546="",P1546=0),"",A1546+P1546)</f>
        <v/>
      </c>
      <c r="R1546" s="26">
        <f>IF(Q1546="","",IF(COUNTIFS($E$5:$E$3004,E1546,$A$5:$A$3004,"&gt;"&amp;A1546,$H$5:$H$3004,"&lt;&gt;Falta",$H$5:$H$3004,"&lt;&gt;Cancelado",$H$5:$H$3004,"&lt;&gt;Remarcado")&gt;0,"Sim","Não"))</f>
        <v/>
      </c>
      <c r="S1546" s="32">
        <f>IF(R1546&lt;&gt;"Não","",IF(Q1546+Config!$B$9&lt;=Config!$B$8,Config!$B$8-Q1546,""))</f>
        <v/>
      </c>
      <c r="T1546" s="26">
        <f>IF(S1546="","","Sim")</f>
        <v/>
      </c>
      <c r="U1546" s="41">
        <f>IF(T1546="Sim",S1546+ROW()/100000,0)</f>
        <v>0</v>
      </c>
      <c r="V1546" s="41">
        <f>IF(AND(H1546="Falta",L1546=Config!$B$7,M1546=Config!$B$5,COUNTIFS($E$5:E1546,E1546,$H$5:H1546,"Falta",$L$5:L1546,Config!$B$7,$M$5:M1546,Config!$B$5)=1),COUNTIFS($E$5:$E$3004,E1546,$H$5:$H$3004,"Falta",$L$5:$L$3004,Config!$B$7,$M$5:$M$3004,Config!$B$5)*1000-ROW()/100000,0)</f>
        <v>0</v>
      </c>
    </row>
    <row r="1547">
      <c r="A1547" s="39" t="n"/>
      <c r="B1547" s="40" t="n"/>
      <c r="C1547" s="35" t="n"/>
      <c r="D1547" s="35" t="n"/>
      <c r="E1547" s="34" t="n"/>
      <c r="F1547" s="35" t="n"/>
      <c r="G1547" s="35" t="n"/>
      <c r="H1547" s="35" t="n"/>
      <c r="I1547" s="35" t="n"/>
      <c r="J1547" s="35" t="n"/>
      <c r="K1547" s="34" t="n"/>
      <c r="L1547" s="26">
        <f>IF(A1547="","",MONTH(A1547))</f>
        <v/>
      </c>
      <c r="M1547" s="26">
        <f>IF(A1547="","",YEAR(A1547))</f>
        <v/>
      </c>
      <c r="N1547" s="26">
        <f>IF(A1547="","",CHOOSE(WEEKDAY(A1547,2),"Segunda","Terça","Quarta","Quinta","Sexta","Sábado","Domingo"))</f>
        <v/>
      </c>
      <c r="O1547" s="26">
        <f>IF(B1547="","",IF(B1547&lt;TIME(12,0,0),"Manhã",IF(B1547&lt;TIME(18,0,0),"Tarde","Noite")))</f>
        <v/>
      </c>
      <c r="P1547" s="32">
        <f>IF(G1547="","",IFERROR(INDEX(Config!$I$5:$I$16,MATCH(G1547,Config!$H$5:$H$16,0)),0))</f>
        <v/>
      </c>
      <c r="Q1547" s="30">
        <f>IF(OR(H1547&lt;&gt;"Realizado",P1547="",P1547=0),"",A1547+P1547)</f>
        <v/>
      </c>
      <c r="R1547" s="26">
        <f>IF(Q1547="","",IF(COUNTIFS($E$5:$E$3004,E1547,$A$5:$A$3004,"&gt;"&amp;A1547,$H$5:$H$3004,"&lt;&gt;Falta",$H$5:$H$3004,"&lt;&gt;Cancelado",$H$5:$H$3004,"&lt;&gt;Remarcado")&gt;0,"Sim","Não"))</f>
        <v/>
      </c>
      <c r="S1547" s="32">
        <f>IF(R1547&lt;&gt;"Não","",IF(Q1547+Config!$B$9&lt;=Config!$B$8,Config!$B$8-Q1547,""))</f>
        <v/>
      </c>
      <c r="T1547" s="26">
        <f>IF(S1547="","","Sim")</f>
        <v/>
      </c>
      <c r="U1547" s="41">
        <f>IF(T1547="Sim",S1547+ROW()/100000,0)</f>
        <v>0</v>
      </c>
      <c r="V1547" s="41">
        <f>IF(AND(H1547="Falta",L1547=Config!$B$7,M1547=Config!$B$5,COUNTIFS($E$5:E1547,E1547,$H$5:H1547,"Falta",$L$5:L1547,Config!$B$7,$M$5:M1547,Config!$B$5)=1),COUNTIFS($E$5:$E$3004,E1547,$H$5:$H$3004,"Falta",$L$5:$L$3004,Config!$B$7,$M$5:$M$3004,Config!$B$5)*1000-ROW()/100000,0)</f>
        <v>0</v>
      </c>
    </row>
    <row r="1548">
      <c r="A1548" s="39" t="n"/>
      <c r="B1548" s="40" t="n"/>
      <c r="C1548" s="35" t="n"/>
      <c r="D1548" s="35" t="n"/>
      <c r="E1548" s="34" t="n"/>
      <c r="F1548" s="35" t="n"/>
      <c r="G1548" s="35" t="n"/>
      <c r="H1548" s="35" t="n"/>
      <c r="I1548" s="35" t="n"/>
      <c r="J1548" s="35" t="n"/>
      <c r="K1548" s="34" t="n"/>
      <c r="L1548" s="26">
        <f>IF(A1548="","",MONTH(A1548))</f>
        <v/>
      </c>
      <c r="M1548" s="26">
        <f>IF(A1548="","",YEAR(A1548))</f>
        <v/>
      </c>
      <c r="N1548" s="26">
        <f>IF(A1548="","",CHOOSE(WEEKDAY(A1548,2),"Segunda","Terça","Quarta","Quinta","Sexta","Sábado","Domingo"))</f>
        <v/>
      </c>
      <c r="O1548" s="26">
        <f>IF(B1548="","",IF(B1548&lt;TIME(12,0,0),"Manhã",IF(B1548&lt;TIME(18,0,0),"Tarde","Noite")))</f>
        <v/>
      </c>
      <c r="P1548" s="32">
        <f>IF(G1548="","",IFERROR(INDEX(Config!$I$5:$I$16,MATCH(G1548,Config!$H$5:$H$16,0)),0))</f>
        <v/>
      </c>
      <c r="Q1548" s="30">
        <f>IF(OR(H1548&lt;&gt;"Realizado",P1548="",P1548=0),"",A1548+P1548)</f>
        <v/>
      </c>
      <c r="R1548" s="26">
        <f>IF(Q1548="","",IF(COUNTIFS($E$5:$E$3004,E1548,$A$5:$A$3004,"&gt;"&amp;A1548,$H$5:$H$3004,"&lt;&gt;Falta",$H$5:$H$3004,"&lt;&gt;Cancelado",$H$5:$H$3004,"&lt;&gt;Remarcado")&gt;0,"Sim","Não"))</f>
        <v/>
      </c>
      <c r="S1548" s="32">
        <f>IF(R1548&lt;&gt;"Não","",IF(Q1548+Config!$B$9&lt;=Config!$B$8,Config!$B$8-Q1548,""))</f>
        <v/>
      </c>
      <c r="T1548" s="26">
        <f>IF(S1548="","","Sim")</f>
        <v/>
      </c>
      <c r="U1548" s="41">
        <f>IF(T1548="Sim",S1548+ROW()/100000,0)</f>
        <v>0</v>
      </c>
      <c r="V1548" s="41">
        <f>IF(AND(H1548="Falta",L1548=Config!$B$7,M1548=Config!$B$5,COUNTIFS($E$5:E1548,E1548,$H$5:H1548,"Falta",$L$5:L1548,Config!$B$7,$M$5:M1548,Config!$B$5)=1),COUNTIFS($E$5:$E$3004,E1548,$H$5:$H$3004,"Falta",$L$5:$L$3004,Config!$B$7,$M$5:$M$3004,Config!$B$5)*1000-ROW()/100000,0)</f>
        <v>0</v>
      </c>
    </row>
    <row r="1549">
      <c r="A1549" s="39" t="n"/>
      <c r="B1549" s="40" t="n"/>
      <c r="C1549" s="35" t="n"/>
      <c r="D1549" s="35" t="n"/>
      <c r="E1549" s="34" t="n"/>
      <c r="F1549" s="35" t="n"/>
      <c r="G1549" s="35" t="n"/>
      <c r="H1549" s="35" t="n"/>
      <c r="I1549" s="35" t="n"/>
      <c r="J1549" s="35" t="n"/>
      <c r="K1549" s="34" t="n"/>
      <c r="L1549" s="26">
        <f>IF(A1549="","",MONTH(A1549))</f>
        <v/>
      </c>
      <c r="M1549" s="26">
        <f>IF(A1549="","",YEAR(A1549))</f>
        <v/>
      </c>
      <c r="N1549" s="26">
        <f>IF(A1549="","",CHOOSE(WEEKDAY(A1549,2),"Segunda","Terça","Quarta","Quinta","Sexta","Sábado","Domingo"))</f>
        <v/>
      </c>
      <c r="O1549" s="26">
        <f>IF(B1549="","",IF(B1549&lt;TIME(12,0,0),"Manhã",IF(B1549&lt;TIME(18,0,0),"Tarde","Noite")))</f>
        <v/>
      </c>
      <c r="P1549" s="32">
        <f>IF(G1549="","",IFERROR(INDEX(Config!$I$5:$I$16,MATCH(G1549,Config!$H$5:$H$16,0)),0))</f>
        <v/>
      </c>
      <c r="Q1549" s="30">
        <f>IF(OR(H1549&lt;&gt;"Realizado",P1549="",P1549=0),"",A1549+P1549)</f>
        <v/>
      </c>
      <c r="R1549" s="26">
        <f>IF(Q1549="","",IF(COUNTIFS($E$5:$E$3004,E1549,$A$5:$A$3004,"&gt;"&amp;A1549,$H$5:$H$3004,"&lt;&gt;Falta",$H$5:$H$3004,"&lt;&gt;Cancelado",$H$5:$H$3004,"&lt;&gt;Remarcado")&gt;0,"Sim","Não"))</f>
        <v/>
      </c>
      <c r="S1549" s="32">
        <f>IF(R1549&lt;&gt;"Não","",IF(Q1549+Config!$B$9&lt;=Config!$B$8,Config!$B$8-Q1549,""))</f>
        <v/>
      </c>
      <c r="T1549" s="26">
        <f>IF(S1549="","","Sim")</f>
        <v/>
      </c>
      <c r="U1549" s="41">
        <f>IF(T1549="Sim",S1549+ROW()/100000,0)</f>
        <v>0</v>
      </c>
      <c r="V1549" s="41">
        <f>IF(AND(H1549="Falta",L1549=Config!$B$7,M1549=Config!$B$5,COUNTIFS($E$5:E1549,E1549,$H$5:H1549,"Falta",$L$5:L1549,Config!$B$7,$M$5:M1549,Config!$B$5)=1),COUNTIFS($E$5:$E$3004,E1549,$H$5:$H$3004,"Falta",$L$5:$L$3004,Config!$B$7,$M$5:$M$3004,Config!$B$5)*1000-ROW()/100000,0)</f>
        <v>0</v>
      </c>
    </row>
    <row r="1550">
      <c r="A1550" s="39" t="n"/>
      <c r="B1550" s="40" t="n"/>
      <c r="C1550" s="35" t="n"/>
      <c r="D1550" s="35" t="n"/>
      <c r="E1550" s="34" t="n"/>
      <c r="F1550" s="35" t="n"/>
      <c r="G1550" s="35" t="n"/>
      <c r="H1550" s="35" t="n"/>
      <c r="I1550" s="35" t="n"/>
      <c r="J1550" s="35" t="n"/>
      <c r="K1550" s="34" t="n"/>
      <c r="L1550" s="26">
        <f>IF(A1550="","",MONTH(A1550))</f>
        <v/>
      </c>
      <c r="M1550" s="26">
        <f>IF(A1550="","",YEAR(A1550))</f>
        <v/>
      </c>
      <c r="N1550" s="26">
        <f>IF(A1550="","",CHOOSE(WEEKDAY(A1550,2),"Segunda","Terça","Quarta","Quinta","Sexta","Sábado","Domingo"))</f>
        <v/>
      </c>
      <c r="O1550" s="26">
        <f>IF(B1550="","",IF(B1550&lt;TIME(12,0,0),"Manhã",IF(B1550&lt;TIME(18,0,0),"Tarde","Noite")))</f>
        <v/>
      </c>
      <c r="P1550" s="32">
        <f>IF(G1550="","",IFERROR(INDEX(Config!$I$5:$I$16,MATCH(G1550,Config!$H$5:$H$16,0)),0))</f>
        <v/>
      </c>
      <c r="Q1550" s="30">
        <f>IF(OR(H1550&lt;&gt;"Realizado",P1550="",P1550=0),"",A1550+P1550)</f>
        <v/>
      </c>
      <c r="R1550" s="26">
        <f>IF(Q1550="","",IF(COUNTIFS($E$5:$E$3004,E1550,$A$5:$A$3004,"&gt;"&amp;A1550,$H$5:$H$3004,"&lt;&gt;Falta",$H$5:$H$3004,"&lt;&gt;Cancelado",$H$5:$H$3004,"&lt;&gt;Remarcado")&gt;0,"Sim","Não"))</f>
        <v/>
      </c>
      <c r="S1550" s="32">
        <f>IF(R1550&lt;&gt;"Não","",IF(Q1550+Config!$B$9&lt;=Config!$B$8,Config!$B$8-Q1550,""))</f>
        <v/>
      </c>
      <c r="T1550" s="26">
        <f>IF(S1550="","","Sim")</f>
        <v/>
      </c>
      <c r="U1550" s="41">
        <f>IF(T1550="Sim",S1550+ROW()/100000,0)</f>
        <v>0</v>
      </c>
      <c r="V1550" s="41">
        <f>IF(AND(H1550="Falta",L1550=Config!$B$7,M1550=Config!$B$5,COUNTIFS($E$5:E1550,E1550,$H$5:H1550,"Falta",$L$5:L1550,Config!$B$7,$M$5:M1550,Config!$B$5)=1),COUNTIFS($E$5:$E$3004,E1550,$H$5:$H$3004,"Falta",$L$5:$L$3004,Config!$B$7,$M$5:$M$3004,Config!$B$5)*1000-ROW()/100000,0)</f>
        <v>0</v>
      </c>
    </row>
    <row r="1551">
      <c r="A1551" s="39" t="n"/>
      <c r="B1551" s="40" t="n"/>
      <c r="C1551" s="35" t="n"/>
      <c r="D1551" s="35" t="n"/>
      <c r="E1551" s="34" t="n"/>
      <c r="F1551" s="35" t="n"/>
      <c r="G1551" s="35" t="n"/>
      <c r="H1551" s="35" t="n"/>
      <c r="I1551" s="35" t="n"/>
      <c r="J1551" s="35" t="n"/>
      <c r="K1551" s="34" t="n"/>
      <c r="L1551" s="26">
        <f>IF(A1551="","",MONTH(A1551))</f>
        <v/>
      </c>
      <c r="M1551" s="26">
        <f>IF(A1551="","",YEAR(A1551))</f>
        <v/>
      </c>
      <c r="N1551" s="26">
        <f>IF(A1551="","",CHOOSE(WEEKDAY(A1551,2),"Segunda","Terça","Quarta","Quinta","Sexta","Sábado","Domingo"))</f>
        <v/>
      </c>
      <c r="O1551" s="26">
        <f>IF(B1551="","",IF(B1551&lt;TIME(12,0,0),"Manhã",IF(B1551&lt;TIME(18,0,0),"Tarde","Noite")))</f>
        <v/>
      </c>
      <c r="P1551" s="32">
        <f>IF(G1551="","",IFERROR(INDEX(Config!$I$5:$I$16,MATCH(G1551,Config!$H$5:$H$16,0)),0))</f>
        <v/>
      </c>
      <c r="Q1551" s="30">
        <f>IF(OR(H1551&lt;&gt;"Realizado",P1551="",P1551=0),"",A1551+P1551)</f>
        <v/>
      </c>
      <c r="R1551" s="26">
        <f>IF(Q1551="","",IF(COUNTIFS($E$5:$E$3004,E1551,$A$5:$A$3004,"&gt;"&amp;A1551,$H$5:$H$3004,"&lt;&gt;Falta",$H$5:$H$3004,"&lt;&gt;Cancelado",$H$5:$H$3004,"&lt;&gt;Remarcado")&gt;0,"Sim","Não"))</f>
        <v/>
      </c>
      <c r="S1551" s="32">
        <f>IF(R1551&lt;&gt;"Não","",IF(Q1551+Config!$B$9&lt;=Config!$B$8,Config!$B$8-Q1551,""))</f>
        <v/>
      </c>
      <c r="T1551" s="26">
        <f>IF(S1551="","","Sim")</f>
        <v/>
      </c>
      <c r="U1551" s="41">
        <f>IF(T1551="Sim",S1551+ROW()/100000,0)</f>
        <v>0</v>
      </c>
      <c r="V1551" s="41">
        <f>IF(AND(H1551="Falta",L1551=Config!$B$7,M1551=Config!$B$5,COUNTIFS($E$5:E1551,E1551,$H$5:H1551,"Falta",$L$5:L1551,Config!$B$7,$M$5:M1551,Config!$B$5)=1),COUNTIFS($E$5:$E$3004,E1551,$H$5:$H$3004,"Falta",$L$5:$L$3004,Config!$B$7,$M$5:$M$3004,Config!$B$5)*1000-ROW()/100000,0)</f>
        <v>0</v>
      </c>
    </row>
    <row r="1552">
      <c r="A1552" s="39" t="n"/>
      <c r="B1552" s="40" t="n"/>
      <c r="C1552" s="35" t="n"/>
      <c r="D1552" s="35" t="n"/>
      <c r="E1552" s="34" t="n"/>
      <c r="F1552" s="35" t="n"/>
      <c r="G1552" s="35" t="n"/>
      <c r="H1552" s="35" t="n"/>
      <c r="I1552" s="35" t="n"/>
      <c r="J1552" s="35" t="n"/>
      <c r="K1552" s="34" t="n"/>
      <c r="L1552" s="26">
        <f>IF(A1552="","",MONTH(A1552))</f>
        <v/>
      </c>
      <c r="M1552" s="26">
        <f>IF(A1552="","",YEAR(A1552))</f>
        <v/>
      </c>
      <c r="N1552" s="26">
        <f>IF(A1552="","",CHOOSE(WEEKDAY(A1552,2),"Segunda","Terça","Quarta","Quinta","Sexta","Sábado","Domingo"))</f>
        <v/>
      </c>
      <c r="O1552" s="26">
        <f>IF(B1552="","",IF(B1552&lt;TIME(12,0,0),"Manhã",IF(B1552&lt;TIME(18,0,0),"Tarde","Noite")))</f>
        <v/>
      </c>
      <c r="P1552" s="32">
        <f>IF(G1552="","",IFERROR(INDEX(Config!$I$5:$I$16,MATCH(G1552,Config!$H$5:$H$16,0)),0))</f>
        <v/>
      </c>
      <c r="Q1552" s="30">
        <f>IF(OR(H1552&lt;&gt;"Realizado",P1552="",P1552=0),"",A1552+P1552)</f>
        <v/>
      </c>
      <c r="R1552" s="26">
        <f>IF(Q1552="","",IF(COUNTIFS($E$5:$E$3004,E1552,$A$5:$A$3004,"&gt;"&amp;A1552,$H$5:$H$3004,"&lt;&gt;Falta",$H$5:$H$3004,"&lt;&gt;Cancelado",$H$5:$H$3004,"&lt;&gt;Remarcado")&gt;0,"Sim","Não"))</f>
        <v/>
      </c>
      <c r="S1552" s="32">
        <f>IF(R1552&lt;&gt;"Não","",IF(Q1552+Config!$B$9&lt;=Config!$B$8,Config!$B$8-Q1552,""))</f>
        <v/>
      </c>
      <c r="T1552" s="26">
        <f>IF(S1552="","","Sim")</f>
        <v/>
      </c>
      <c r="U1552" s="41">
        <f>IF(T1552="Sim",S1552+ROW()/100000,0)</f>
        <v>0</v>
      </c>
      <c r="V1552" s="41">
        <f>IF(AND(H1552="Falta",L1552=Config!$B$7,M1552=Config!$B$5,COUNTIFS($E$5:E1552,E1552,$H$5:H1552,"Falta",$L$5:L1552,Config!$B$7,$M$5:M1552,Config!$B$5)=1),COUNTIFS($E$5:$E$3004,E1552,$H$5:$H$3004,"Falta",$L$5:$L$3004,Config!$B$7,$M$5:$M$3004,Config!$B$5)*1000-ROW()/100000,0)</f>
        <v>0</v>
      </c>
    </row>
    <row r="1553">
      <c r="A1553" s="39" t="n"/>
      <c r="B1553" s="40" t="n"/>
      <c r="C1553" s="35" t="n"/>
      <c r="D1553" s="35" t="n"/>
      <c r="E1553" s="34" t="n"/>
      <c r="F1553" s="35" t="n"/>
      <c r="G1553" s="35" t="n"/>
      <c r="H1553" s="35" t="n"/>
      <c r="I1553" s="35" t="n"/>
      <c r="J1553" s="35" t="n"/>
      <c r="K1553" s="34" t="n"/>
      <c r="L1553" s="26">
        <f>IF(A1553="","",MONTH(A1553))</f>
        <v/>
      </c>
      <c r="M1553" s="26">
        <f>IF(A1553="","",YEAR(A1553))</f>
        <v/>
      </c>
      <c r="N1553" s="26">
        <f>IF(A1553="","",CHOOSE(WEEKDAY(A1553,2),"Segunda","Terça","Quarta","Quinta","Sexta","Sábado","Domingo"))</f>
        <v/>
      </c>
      <c r="O1553" s="26">
        <f>IF(B1553="","",IF(B1553&lt;TIME(12,0,0),"Manhã",IF(B1553&lt;TIME(18,0,0),"Tarde","Noite")))</f>
        <v/>
      </c>
      <c r="P1553" s="32">
        <f>IF(G1553="","",IFERROR(INDEX(Config!$I$5:$I$16,MATCH(G1553,Config!$H$5:$H$16,0)),0))</f>
        <v/>
      </c>
      <c r="Q1553" s="30">
        <f>IF(OR(H1553&lt;&gt;"Realizado",P1553="",P1553=0),"",A1553+P1553)</f>
        <v/>
      </c>
      <c r="R1553" s="26">
        <f>IF(Q1553="","",IF(COUNTIFS($E$5:$E$3004,E1553,$A$5:$A$3004,"&gt;"&amp;A1553,$H$5:$H$3004,"&lt;&gt;Falta",$H$5:$H$3004,"&lt;&gt;Cancelado",$H$5:$H$3004,"&lt;&gt;Remarcado")&gt;0,"Sim","Não"))</f>
        <v/>
      </c>
      <c r="S1553" s="32">
        <f>IF(R1553&lt;&gt;"Não","",IF(Q1553+Config!$B$9&lt;=Config!$B$8,Config!$B$8-Q1553,""))</f>
        <v/>
      </c>
      <c r="T1553" s="26">
        <f>IF(S1553="","","Sim")</f>
        <v/>
      </c>
      <c r="U1553" s="41">
        <f>IF(T1553="Sim",S1553+ROW()/100000,0)</f>
        <v>0</v>
      </c>
      <c r="V1553" s="41">
        <f>IF(AND(H1553="Falta",L1553=Config!$B$7,M1553=Config!$B$5,COUNTIFS($E$5:E1553,E1553,$H$5:H1553,"Falta",$L$5:L1553,Config!$B$7,$M$5:M1553,Config!$B$5)=1),COUNTIFS($E$5:$E$3004,E1553,$H$5:$H$3004,"Falta",$L$5:$L$3004,Config!$B$7,$M$5:$M$3004,Config!$B$5)*1000-ROW()/100000,0)</f>
        <v>0</v>
      </c>
    </row>
    <row r="1554">
      <c r="A1554" s="39" t="n"/>
      <c r="B1554" s="40" t="n"/>
      <c r="C1554" s="35" t="n"/>
      <c r="D1554" s="35" t="n"/>
      <c r="E1554" s="34" t="n"/>
      <c r="F1554" s="35" t="n"/>
      <c r="G1554" s="35" t="n"/>
      <c r="H1554" s="35" t="n"/>
      <c r="I1554" s="35" t="n"/>
      <c r="J1554" s="35" t="n"/>
      <c r="K1554" s="34" t="n"/>
      <c r="L1554" s="26">
        <f>IF(A1554="","",MONTH(A1554))</f>
        <v/>
      </c>
      <c r="M1554" s="26">
        <f>IF(A1554="","",YEAR(A1554))</f>
        <v/>
      </c>
      <c r="N1554" s="26">
        <f>IF(A1554="","",CHOOSE(WEEKDAY(A1554,2),"Segunda","Terça","Quarta","Quinta","Sexta","Sábado","Domingo"))</f>
        <v/>
      </c>
      <c r="O1554" s="26">
        <f>IF(B1554="","",IF(B1554&lt;TIME(12,0,0),"Manhã",IF(B1554&lt;TIME(18,0,0),"Tarde","Noite")))</f>
        <v/>
      </c>
      <c r="P1554" s="32">
        <f>IF(G1554="","",IFERROR(INDEX(Config!$I$5:$I$16,MATCH(G1554,Config!$H$5:$H$16,0)),0))</f>
        <v/>
      </c>
      <c r="Q1554" s="30">
        <f>IF(OR(H1554&lt;&gt;"Realizado",P1554="",P1554=0),"",A1554+P1554)</f>
        <v/>
      </c>
      <c r="R1554" s="26">
        <f>IF(Q1554="","",IF(COUNTIFS($E$5:$E$3004,E1554,$A$5:$A$3004,"&gt;"&amp;A1554,$H$5:$H$3004,"&lt;&gt;Falta",$H$5:$H$3004,"&lt;&gt;Cancelado",$H$5:$H$3004,"&lt;&gt;Remarcado")&gt;0,"Sim","Não"))</f>
        <v/>
      </c>
      <c r="S1554" s="32">
        <f>IF(R1554&lt;&gt;"Não","",IF(Q1554+Config!$B$9&lt;=Config!$B$8,Config!$B$8-Q1554,""))</f>
        <v/>
      </c>
      <c r="T1554" s="26">
        <f>IF(S1554="","","Sim")</f>
        <v/>
      </c>
      <c r="U1554" s="41">
        <f>IF(T1554="Sim",S1554+ROW()/100000,0)</f>
        <v>0</v>
      </c>
      <c r="V1554" s="41">
        <f>IF(AND(H1554="Falta",L1554=Config!$B$7,M1554=Config!$B$5,COUNTIFS($E$5:E1554,E1554,$H$5:H1554,"Falta",$L$5:L1554,Config!$B$7,$M$5:M1554,Config!$B$5)=1),COUNTIFS($E$5:$E$3004,E1554,$H$5:$H$3004,"Falta",$L$5:$L$3004,Config!$B$7,$M$5:$M$3004,Config!$B$5)*1000-ROW()/100000,0)</f>
        <v>0</v>
      </c>
    </row>
    <row r="1555">
      <c r="A1555" s="39" t="n"/>
      <c r="B1555" s="40" t="n"/>
      <c r="C1555" s="35" t="n"/>
      <c r="D1555" s="35" t="n"/>
      <c r="E1555" s="34" t="n"/>
      <c r="F1555" s="35" t="n"/>
      <c r="G1555" s="35" t="n"/>
      <c r="H1555" s="35" t="n"/>
      <c r="I1555" s="35" t="n"/>
      <c r="J1555" s="35" t="n"/>
      <c r="K1555" s="34" t="n"/>
      <c r="L1555" s="26">
        <f>IF(A1555="","",MONTH(A1555))</f>
        <v/>
      </c>
      <c r="M1555" s="26">
        <f>IF(A1555="","",YEAR(A1555))</f>
        <v/>
      </c>
      <c r="N1555" s="26">
        <f>IF(A1555="","",CHOOSE(WEEKDAY(A1555,2),"Segunda","Terça","Quarta","Quinta","Sexta","Sábado","Domingo"))</f>
        <v/>
      </c>
      <c r="O1555" s="26">
        <f>IF(B1555="","",IF(B1555&lt;TIME(12,0,0),"Manhã",IF(B1555&lt;TIME(18,0,0),"Tarde","Noite")))</f>
        <v/>
      </c>
      <c r="P1555" s="32">
        <f>IF(G1555="","",IFERROR(INDEX(Config!$I$5:$I$16,MATCH(G1555,Config!$H$5:$H$16,0)),0))</f>
        <v/>
      </c>
      <c r="Q1555" s="30">
        <f>IF(OR(H1555&lt;&gt;"Realizado",P1555="",P1555=0),"",A1555+P1555)</f>
        <v/>
      </c>
      <c r="R1555" s="26">
        <f>IF(Q1555="","",IF(COUNTIFS($E$5:$E$3004,E1555,$A$5:$A$3004,"&gt;"&amp;A1555,$H$5:$H$3004,"&lt;&gt;Falta",$H$5:$H$3004,"&lt;&gt;Cancelado",$H$5:$H$3004,"&lt;&gt;Remarcado")&gt;0,"Sim","Não"))</f>
        <v/>
      </c>
      <c r="S1555" s="32">
        <f>IF(R1555&lt;&gt;"Não","",IF(Q1555+Config!$B$9&lt;=Config!$B$8,Config!$B$8-Q1555,""))</f>
        <v/>
      </c>
      <c r="T1555" s="26">
        <f>IF(S1555="","","Sim")</f>
        <v/>
      </c>
      <c r="U1555" s="41">
        <f>IF(T1555="Sim",S1555+ROW()/100000,0)</f>
        <v>0</v>
      </c>
      <c r="V1555" s="41">
        <f>IF(AND(H1555="Falta",L1555=Config!$B$7,M1555=Config!$B$5,COUNTIFS($E$5:E1555,E1555,$H$5:H1555,"Falta",$L$5:L1555,Config!$B$7,$M$5:M1555,Config!$B$5)=1),COUNTIFS($E$5:$E$3004,E1555,$H$5:$H$3004,"Falta",$L$5:$L$3004,Config!$B$7,$M$5:$M$3004,Config!$B$5)*1000-ROW()/100000,0)</f>
        <v>0</v>
      </c>
    </row>
    <row r="1556">
      <c r="A1556" s="39" t="n"/>
      <c r="B1556" s="40" t="n"/>
      <c r="C1556" s="35" t="n"/>
      <c r="D1556" s="35" t="n"/>
      <c r="E1556" s="34" t="n"/>
      <c r="F1556" s="35" t="n"/>
      <c r="G1556" s="35" t="n"/>
      <c r="H1556" s="35" t="n"/>
      <c r="I1556" s="35" t="n"/>
      <c r="J1556" s="35" t="n"/>
      <c r="K1556" s="34" t="n"/>
      <c r="L1556" s="26">
        <f>IF(A1556="","",MONTH(A1556))</f>
        <v/>
      </c>
      <c r="M1556" s="26">
        <f>IF(A1556="","",YEAR(A1556))</f>
        <v/>
      </c>
      <c r="N1556" s="26">
        <f>IF(A1556="","",CHOOSE(WEEKDAY(A1556,2),"Segunda","Terça","Quarta","Quinta","Sexta","Sábado","Domingo"))</f>
        <v/>
      </c>
      <c r="O1556" s="26">
        <f>IF(B1556="","",IF(B1556&lt;TIME(12,0,0),"Manhã",IF(B1556&lt;TIME(18,0,0),"Tarde","Noite")))</f>
        <v/>
      </c>
      <c r="P1556" s="32">
        <f>IF(G1556="","",IFERROR(INDEX(Config!$I$5:$I$16,MATCH(G1556,Config!$H$5:$H$16,0)),0))</f>
        <v/>
      </c>
      <c r="Q1556" s="30">
        <f>IF(OR(H1556&lt;&gt;"Realizado",P1556="",P1556=0),"",A1556+P1556)</f>
        <v/>
      </c>
      <c r="R1556" s="26">
        <f>IF(Q1556="","",IF(COUNTIFS($E$5:$E$3004,E1556,$A$5:$A$3004,"&gt;"&amp;A1556,$H$5:$H$3004,"&lt;&gt;Falta",$H$5:$H$3004,"&lt;&gt;Cancelado",$H$5:$H$3004,"&lt;&gt;Remarcado")&gt;0,"Sim","Não"))</f>
        <v/>
      </c>
      <c r="S1556" s="32">
        <f>IF(R1556&lt;&gt;"Não","",IF(Q1556+Config!$B$9&lt;=Config!$B$8,Config!$B$8-Q1556,""))</f>
        <v/>
      </c>
      <c r="T1556" s="26">
        <f>IF(S1556="","","Sim")</f>
        <v/>
      </c>
      <c r="U1556" s="41">
        <f>IF(T1556="Sim",S1556+ROW()/100000,0)</f>
        <v>0</v>
      </c>
      <c r="V1556" s="41">
        <f>IF(AND(H1556="Falta",L1556=Config!$B$7,M1556=Config!$B$5,COUNTIFS($E$5:E1556,E1556,$H$5:H1556,"Falta",$L$5:L1556,Config!$B$7,$M$5:M1556,Config!$B$5)=1),COUNTIFS($E$5:$E$3004,E1556,$H$5:$H$3004,"Falta",$L$5:$L$3004,Config!$B$7,$M$5:$M$3004,Config!$B$5)*1000-ROW()/100000,0)</f>
        <v>0</v>
      </c>
    </row>
    <row r="1557">
      <c r="A1557" s="39" t="n"/>
      <c r="B1557" s="40" t="n"/>
      <c r="C1557" s="35" t="n"/>
      <c r="D1557" s="35" t="n"/>
      <c r="E1557" s="34" t="n"/>
      <c r="F1557" s="35" t="n"/>
      <c r="G1557" s="35" t="n"/>
      <c r="H1557" s="35" t="n"/>
      <c r="I1557" s="35" t="n"/>
      <c r="J1557" s="35" t="n"/>
      <c r="K1557" s="34" t="n"/>
      <c r="L1557" s="26">
        <f>IF(A1557="","",MONTH(A1557))</f>
        <v/>
      </c>
      <c r="M1557" s="26">
        <f>IF(A1557="","",YEAR(A1557))</f>
        <v/>
      </c>
      <c r="N1557" s="26">
        <f>IF(A1557="","",CHOOSE(WEEKDAY(A1557,2),"Segunda","Terça","Quarta","Quinta","Sexta","Sábado","Domingo"))</f>
        <v/>
      </c>
      <c r="O1557" s="26">
        <f>IF(B1557="","",IF(B1557&lt;TIME(12,0,0),"Manhã",IF(B1557&lt;TIME(18,0,0),"Tarde","Noite")))</f>
        <v/>
      </c>
      <c r="P1557" s="32">
        <f>IF(G1557="","",IFERROR(INDEX(Config!$I$5:$I$16,MATCH(G1557,Config!$H$5:$H$16,0)),0))</f>
        <v/>
      </c>
      <c r="Q1557" s="30">
        <f>IF(OR(H1557&lt;&gt;"Realizado",P1557="",P1557=0),"",A1557+P1557)</f>
        <v/>
      </c>
      <c r="R1557" s="26">
        <f>IF(Q1557="","",IF(COUNTIFS($E$5:$E$3004,E1557,$A$5:$A$3004,"&gt;"&amp;A1557,$H$5:$H$3004,"&lt;&gt;Falta",$H$5:$H$3004,"&lt;&gt;Cancelado",$H$5:$H$3004,"&lt;&gt;Remarcado")&gt;0,"Sim","Não"))</f>
        <v/>
      </c>
      <c r="S1557" s="32">
        <f>IF(R1557&lt;&gt;"Não","",IF(Q1557+Config!$B$9&lt;=Config!$B$8,Config!$B$8-Q1557,""))</f>
        <v/>
      </c>
      <c r="T1557" s="26">
        <f>IF(S1557="","","Sim")</f>
        <v/>
      </c>
      <c r="U1557" s="41">
        <f>IF(T1557="Sim",S1557+ROW()/100000,0)</f>
        <v>0</v>
      </c>
      <c r="V1557" s="41">
        <f>IF(AND(H1557="Falta",L1557=Config!$B$7,M1557=Config!$B$5,COUNTIFS($E$5:E1557,E1557,$H$5:H1557,"Falta",$L$5:L1557,Config!$B$7,$M$5:M1557,Config!$B$5)=1),COUNTIFS($E$5:$E$3004,E1557,$H$5:$H$3004,"Falta",$L$5:$L$3004,Config!$B$7,$M$5:$M$3004,Config!$B$5)*1000-ROW()/100000,0)</f>
        <v>0</v>
      </c>
    </row>
    <row r="1558">
      <c r="A1558" s="39" t="n"/>
      <c r="B1558" s="40" t="n"/>
      <c r="C1558" s="35" t="n"/>
      <c r="D1558" s="35" t="n"/>
      <c r="E1558" s="34" t="n"/>
      <c r="F1558" s="35" t="n"/>
      <c r="G1558" s="35" t="n"/>
      <c r="H1558" s="35" t="n"/>
      <c r="I1558" s="35" t="n"/>
      <c r="J1558" s="35" t="n"/>
      <c r="K1558" s="34" t="n"/>
      <c r="L1558" s="26">
        <f>IF(A1558="","",MONTH(A1558))</f>
        <v/>
      </c>
      <c r="M1558" s="26">
        <f>IF(A1558="","",YEAR(A1558))</f>
        <v/>
      </c>
      <c r="N1558" s="26">
        <f>IF(A1558="","",CHOOSE(WEEKDAY(A1558,2),"Segunda","Terça","Quarta","Quinta","Sexta","Sábado","Domingo"))</f>
        <v/>
      </c>
      <c r="O1558" s="26">
        <f>IF(B1558="","",IF(B1558&lt;TIME(12,0,0),"Manhã",IF(B1558&lt;TIME(18,0,0),"Tarde","Noite")))</f>
        <v/>
      </c>
      <c r="P1558" s="32">
        <f>IF(G1558="","",IFERROR(INDEX(Config!$I$5:$I$16,MATCH(G1558,Config!$H$5:$H$16,0)),0))</f>
        <v/>
      </c>
      <c r="Q1558" s="30">
        <f>IF(OR(H1558&lt;&gt;"Realizado",P1558="",P1558=0),"",A1558+P1558)</f>
        <v/>
      </c>
      <c r="R1558" s="26">
        <f>IF(Q1558="","",IF(COUNTIFS($E$5:$E$3004,E1558,$A$5:$A$3004,"&gt;"&amp;A1558,$H$5:$H$3004,"&lt;&gt;Falta",$H$5:$H$3004,"&lt;&gt;Cancelado",$H$5:$H$3004,"&lt;&gt;Remarcado")&gt;0,"Sim","Não"))</f>
        <v/>
      </c>
      <c r="S1558" s="32">
        <f>IF(R1558&lt;&gt;"Não","",IF(Q1558+Config!$B$9&lt;=Config!$B$8,Config!$B$8-Q1558,""))</f>
        <v/>
      </c>
      <c r="T1558" s="26">
        <f>IF(S1558="","","Sim")</f>
        <v/>
      </c>
      <c r="U1558" s="41">
        <f>IF(T1558="Sim",S1558+ROW()/100000,0)</f>
        <v>0</v>
      </c>
      <c r="V1558" s="41">
        <f>IF(AND(H1558="Falta",L1558=Config!$B$7,M1558=Config!$B$5,COUNTIFS($E$5:E1558,E1558,$H$5:H1558,"Falta",$L$5:L1558,Config!$B$7,$M$5:M1558,Config!$B$5)=1),COUNTIFS($E$5:$E$3004,E1558,$H$5:$H$3004,"Falta",$L$5:$L$3004,Config!$B$7,$M$5:$M$3004,Config!$B$5)*1000-ROW()/100000,0)</f>
        <v>0</v>
      </c>
    </row>
    <row r="1559">
      <c r="A1559" s="39" t="n"/>
      <c r="B1559" s="40" t="n"/>
      <c r="C1559" s="35" t="n"/>
      <c r="D1559" s="35" t="n"/>
      <c r="E1559" s="34" t="n"/>
      <c r="F1559" s="35" t="n"/>
      <c r="G1559" s="35" t="n"/>
      <c r="H1559" s="35" t="n"/>
      <c r="I1559" s="35" t="n"/>
      <c r="J1559" s="35" t="n"/>
      <c r="K1559" s="34" t="n"/>
      <c r="L1559" s="26">
        <f>IF(A1559="","",MONTH(A1559))</f>
        <v/>
      </c>
      <c r="M1559" s="26">
        <f>IF(A1559="","",YEAR(A1559))</f>
        <v/>
      </c>
      <c r="N1559" s="26">
        <f>IF(A1559="","",CHOOSE(WEEKDAY(A1559,2),"Segunda","Terça","Quarta","Quinta","Sexta","Sábado","Domingo"))</f>
        <v/>
      </c>
      <c r="O1559" s="26">
        <f>IF(B1559="","",IF(B1559&lt;TIME(12,0,0),"Manhã",IF(B1559&lt;TIME(18,0,0),"Tarde","Noite")))</f>
        <v/>
      </c>
      <c r="P1559" s="32">
        <f>IF(G1559="","",IFERROR(INDEX(Config!$I$5:$I$16,MATCH(G1559,Config!$H$5:$H$16,0)),0))</f>
        <v/>
      </c>
      <c r="Q1559" s="30">
        <f>IF(OR(H1559&lt;&gt;"Realizado",P1559="",P1559=0),"",A1559+P1559)</f>
        <v/>
      </c>
      <c r="R1559" s="26">
        <f>IF(Q1559="","",IF(COUNTIFS($E$5:$E$3004,E1559,$A$5:$A$3004,"&gt;"&amp;A1559,$H$5:$H$3004,"&lt;&gt;Falta",$H$5:$H$3004,"&lt;&gt;Cancelado",$H$5:$H$3004,"&lt;&gt;Remarcado")&gt;0,"Sim","Não"))</f>
        <v/>
      </c>
      <c r="S1559" s="32">
        <f>IF(R1559&lt;&gt;"Não","",IF(Q1559+Config!$B$9&lt;=Config!$B$8,Config!$B$8-Q1559,""))</f>
        <v/>
      </c>
      <c r="T1559" s="26">
        <f>IF(S1559="","","Sim")</f>
        <v/>
      </c>
      <c r="U1559" s="41">
        <f>IF(T1559="Sim",S1559+ROW()/100000,0)</f>
        <v>0</v>
      </c>
      <c r="V1559" s="41">
        <f>IF(AND(H1559="Falta",L1559=Config!$B$7,M1559=Config!$B$5,COUNTIFS($E$5:E1559,E1559,$H$5:H1559,"Falta",$L$5:L1559,Config!$B$7,$M$5:M1559,Config!$B$5)=1),COUNTIFS($E$5:$E$3004,E1559,$H$5:$H$3004,"Falta",$L$5:$L$3004,Config!$B$7,$M$5:$M$3004,Config!$B$5)*1000-ROW()/100000,0)</f>
        <v>0</v>
      </c>
    </row>
    <row r="1560">
      <c r="A1560" s="39" t="n"/>
      <c r="B1560" s="40" t="n"/>
      <c r="C1560" s="35" t="n"/>
      <c r="D1560" s="35" t="n"/>
      <c r="E1560" s="34" t="n"/>
      <c r="F1560" s="35" t="n"/>
      <c r="G1560" s="35" t="n"/>
      <c r="H1560" s="35" t="n"/>
      <c r="I1560" s="35" t="n"/>
      <c r="J1560" s="35" t="n"/>
      <c r="K1560" s="34" t="n"/>
      <c r="L1560" s="26">
        <f>IF(A1560="","",MONTH(A1560))</f>
        <v/>
      </c>
      <c r="M1560" s="26">
        <f>IF(A1560="","",YEAR(A1560))</f>
        <v/>
      </c>
      <c r="N1560" s="26">
        <f>IF(A1560="","",CHOOSE(WEEKDAY(A1560,2),"Segunda","Terça","Quarta","Quinta","Sexta","Sábado","Domingo"))</f>
        <v/>
      </c>
      <c r="O1560" s="26">
        <f>IF(B1560="","",IF(B1560&lt;TIME(12,0,0),"Manhã",IF(B1560&lt;TIME(18,0,0),"Tarde","Noite")))</f>
        <v/>
      </c>
      <c r="P1560" s="32">
        <f>IF(G1560="","",IFERROR(INDEX(Config!$I$5:$I$16,MATCH(G1560,Config!$H$5:$H$16,0)),0))</f>
        <v/>
      </c>
      <c r="Q1560" s="30">
        <f>IF(OR(H1560&lt;&gt;"Realizado",P1560="",P1560=0),"",A1560+P1560)</f>
        <v/>
      </c>
      <c r="R1560" s="26">
        <f>IF(Q1560="","",IF(COUNTIFS($E$5:$E$3004,E1560,$A$5:$A$3004,"&gt;"&amp;A1560,$H$5:$H$3004,"&lt;&gt;Falta",$H$5:$H$3004,"&lt;&gt;Cancelado",$H$5:$H$3004,"&lt;&gt;Remarcado")&gt;0,"Sim","Não"))</f>
        <v/>
      </c>
      <c r="S1560" s="32">
        <f>IF(R1560&lt;&gt;"Não","",IF(Q1560+Config!$B$9&lt;=Config!$B$8,Config!$B$8-Q1560,""))</f>
        <v/>
      </c>
      <c r="T1560" s="26">
        <f>IF(S1560="","","Sim")</f>
        <v/>
      </c>
      <c r="U1560" s="41">
        <f>IF(T1560="Sim",S1560+ROW()/100000,0)</f>
        <v>0</v>
      </c>
      <c r="V1560" s="41">
        <f>IF(AND(H1560="Falta",L1560=Config!$B$7,M1560=Config!$B$5,COUNTIFS($E$5:E1560,E1560,$H$5:H1560,"Falta",$L$5:L1560,Config!$B$7,$M$5:M1560,Config!$B$5)=1),COUNTIFS($E$5:$E$3004,E1560,$H$5:$H$3004,"Falta",$L$5:$L$3004,Config!$B$7,$M$5:$M$3004,Config!$B$5)*1000-ROW()/100000,0)</f>
        <v>0</v>
      </c>
    </row>
    <row r="1561">
      <c r="A1561" s="39" t="n"/>
      <c r="B1561" s="40" t="n"/>
      <c r="C1561" s="35" t="n"/>
      <c r="D1561" s="35" t="n"/>
      <c r="E1561" s="34" t="n"/>
      <c r="F1561" s="35" t="n"/>
      <c r="G1561" s="35" t="n"/>
      <c r="H1561" s="35" t="n"/>
      <c r="I1561" s="35" t="n"/>
      <c r="J1561" s="35" t="n"/>
      <c r="K1561" s="34" t="n"/>
      <c r="L1561" s="26">
        <f>IF(A1561="","",MONTH(A1561))</f>
        <v/>
      </c>
      <c r="M1561" s="26">
        <f>IF(A1561="","",YEAR(A1561))</f>
        <v/>
      </c>
      <c r="N1561" s="26">
        <f>IF(A1561="","",CHOOSE(WEEKDAY(A1561,2),"Segunda","Terça","Quarta","Quinta","Sexta","Sábado","Domingo"))</f>
        <v/>
      </c>
      <c r="O1561" s="26">
        <f>IF(B1561="","",IF(B1561&lt;TIME(12,0,0),"Manhã",IF(B1561&lt;TIME(18,0,0),"Tarde","Noite")))</f>
        <v/>
      </c>
      <c r="P1561" s="32">
        <f>IF(G1561="","",IFERROR(INDEX(Config!$I$5:$I$16,MATCH(G1561,Config!$H$5:$H$16,0)),0))</f>
        <v/>
      </c>
      <c r="Q1561" s="30">
        <f>IF(OR(H1561&lt;&gt;"Realizado",P1561="",P1561=0),"",A1561+P1561)</f>
        <v/>
      </c>
      <c r="R1561" s="26">
        <f>IF(Q1561="","",IF(COUNTIFS($E$5:$E$3004,E1561,$A$5:$A$3004,"&gt;"&amp;A1561,$H$5:$H$3004,"&lt;&gt;Falta",$H$5:$H$3004,"&lt;&gt;Cancelado",$H$5:$H$3004,"&lt;&gt;Remarcado")&gt;0,"Sim","Não"))</f>
        <v/>
      </c>
      <c r="S1561" s="32">
        <f>IF(R1561&lt;&gt;"Não","",IF(Q1561+Config!$B$9&lt;=Config!$B$8,Config!$B$8-Q1561,""))</f>
        <v/>
      </c>
      <c r="T1561" s="26">
        <f>IF(S1561="","","Sim")</f>
        <v/>
      </c>
      <c r="U1561" s="41">
        <f>IF(T1561="Sim",S1561+ROW()/100000,0)</f>
        <v>0</v>
      </c>
      <c r="V1561" s="41">
        <f>IF(AND(H1561="Falta",L1561=Config!$B$7,M1561=Config!$B$5,COUNTIFS($E$5:E1561,E1561,$H$5:H1561,"Falta",$L$5:L1561,Config!$B$7,$M$5:M1561,Config!$B$5)=1),COUNTIFS($E$5:$E$3004,E1561,$H$5:$H$3004,"Falta",$L$5:$L$3004,Config!$B$7,$M$5:$M$3004,Config!$B$5)*1000-ROW()/100000,0)</f>
        <v>0</v>
      </c>
    </row>
    <row r="1562">
      <c r="A1562" s="39" t="n"/>
      <c r="B1562" s="40" t="n"/>
      <c r="C1562" s="35" t="n"/>
      <c r="D1562" s="35" t="n"/>
      <c r="E1562" s="34" t="n"/>
      <c r="F1562" s="35" t="n"/>
      <c r="G1562" s="35" t="n"/>
      <c r="H1562" s="35" t="n"/>
      <c r="I1562" s="35" t="n"/>
      <c r="J1562" s="35" t="n"/>
      <c r="K1562" s="34" t="n"/>
      <c r="L1562" s="26">
        <f>IF(A1562="","",MONTH(A1562))</f>
        <v/>
      </c>
      <c r="M1562" s="26">
        <f>IF(A1562="","",YEAR(A1562))</f>
        <v/>
      </c>
      <c r="N1562" s="26">
        <f>IF(A1562="","",CHOOSE(WEEKDAY(A1562,2),"Segunda","Terça","Quarta","Quinta","Sexta","Sábado","Domingo"))</f>
        <v/>
      </c>
      <c r="O1562" s="26">
        <f>IF(B1562="","",IF(B1562&lt;TIME(12,0,0),"Manhã",IF(B1562&lt;TIME(18,0,0),"Tarde","Noite")))</f>
        <v/>
      </c>
      <c r="P1562" s="32">
        <f>IF(G1562="","",IFERROR(INDEX(Config!$I$5:$I$16,MATCH(G1562,Config!$H$5:$H$16,0)),0))</f>
        <v/>
      </c>
      <c r="Q1562" s="30">
        <f>IF(OR(H1562&lt;&gt;"Realizado",P1562="",P1562=0),"",A1562+P1562)</f>
        <v/>
      </c>
      <c r="R1562" s="26">
        <f>IF(Q1562="","",IF(COUNTIFS($E$5:$E$3004,E1562,$A$5:$A$3004,"&gt;"&amp;A1562,$H$5:$H$3004,"&lt;&gt;Falta",$H$5:$H$3004,"&lt;&gt;Cancelado",$H$5:$H$3004,"&lt;&gt;Remarcado")&gt;0,"Sim","Não"))</f>
        <v/>
      </c>
      <c r="S1562" s="32">
        <f>IF(R1562&lt;&gt;"Não","",IF(Q1562+Config!$B$9&lt;=Config!$B$8,Config!$B$8-Q1562,""))</f>
        <v/>
      </c>
      <c r="T1562" s="26">
        <f>IF(S1562="","","Sim")</f>
        <v/>
      </c>
      <c r="U1562" s="41">
        <f>IF(T1562="Sim",S1562+ROW()/100000,0)</f>
        <v>0</v>
      </c>
      <c r="V1562" s="41">
        <f>IF(AND(H1562="Falta",L1562=Config!$B$7,M1562=Config!$B$5,COUNTIFS($E$5:E1562,E1562,$H$5:H1562,"Falta",$L$5:L1562,Config!$B$7,$M$5:M1562,Config!$B$5)=1),COUNTIFS($E$5:$E$3004,E1562,$H$5:$H$3004,"Falta",$L$5:$L$3004,Config!$B$7,$M$5:$M$3004,Config!$B$5)*1000-ROW()/100000,0)</f>
        <v>0</v>
      </c>
    </row>
    <row r="1563">
      <c r="A1563" s="39" t="n"/>
      <c r="B1563" s="40" t="n"/>
      <c r="C1563" s="35" t="n"/>
      <c r="D1563" s="35" t="n"/>
      <c r="E1563" s="34" t="n"/>
      <c r="F1563" s="35" t="n"/>
      <c r="G1563" s="35" t="n"/>
      <c r="H1563" s="35" t="n"/>
      <c r="I1563" s="35" t="n"/>
      <c r="J1563" s="35" t="n"/>
      <c r="K1563" s="34" t="n"/>
      <c r="L1563" s="26">
        <f>IF(A1563="","",MONTH(A1563))</f>
        <v/>
      </c>
      <c r="M1563" s="26">
        <f>IF(A1563="","",YEAR(A1563))</f>
        <v/>
      </c>
      <c r="N1563" s="26">
        <f>IF(A1563="","",CHOOSE(WEEKDAY(A1563,2),"Segunda","Terça","Quarta","Quinta","Sexta","Sábado","Domingo"))</f>
        <v/>
      </c>
      <c r="O1563" s="26">
        <f>IF(B1563="","",IF(B1563&lt;TIME(12,0,0),"Manhã",IF(B1563&lt;TIME(18,0,0),"Tarde","Noite")))</f>
        <v/>
      </c>
      <c r="P1563" s="32">
        <f>IF(G1563="","",IFERROR(INDEX(Config!$I$5:$I$16,MATCH(G1563,Config!$H$5:$H$16,0)),0))</f>
        <v/>
      </c>
      <c r="Q1563" s="30">
        <f>IF(OR(H1563&lt;&gt;"Realizado",P1563="",P1563=0),"",A1563+P1563)</f>
        <v/>
      </c>
      <c r="R1563" s="26">
        <f>IF(Q1563="","",IF(COUNTIFS($E$5:$E$3004,E1563,$A$5:$A$3004,"&gt;"&amp;A1563,$H$5:$H$3004,"&lt;&gt;Falta",$H$5:$H$3004,"&lt;&gt;Cancelado",$H$5:$H$3004,"&lt;&gt;Remarcado")&gt;0,"Sim","Não"))</f>
        <v/>
      </c>
      <c r="S1563" s="32">
        <f>IF(R1563&lt;&gt;"Não","",IF(Q1563+Config!$B$9&lt;=Config!$B$8,Config!$B$8-Q1563,""))</f>
        <v/>
      </c>
      <c r="T1563" s="26">
        <f>IF(S1563="","","Sim")</f>
        <v/>
      </c>
      <c r="U1563" s="41">
        <f>IF(T1563="Sim",S1563+ROW()/100000,0)</f>
        <v>0</v>
      </c>
      <c r="V1563" s="41">
        <f>IF(AND(H1563="Falta",L1563=Config!$B$7,M1563=Config!$B$5,COUNTIFS($E$5:E1563,E1563,$H$5:H1563,"Falta",$L$5:L1563,Config!$B$7,$M$5:M1563,Config!$B$5)=1),COUNTIFS($E$5:$E$3004,E1563,$H$5:$H$3004,"Falta",$L$5:$L$3004,Config!$B$7,$M$5:$M$3004,Config!$B$5)*1000-ROW()/100000,0)</f>
        <v>0</v>
      </c>
    </row>
    <row r="1564">
      <c r="A1564" s="39" t="n"/>
      <c r="B1564" s="40" t="n"/>
      <c r="C1564" s="35" t="n"/>
      <c r="D1564" s="35" t="n"/>
      <c r="E1564" s="34" t="n"/>
      <c r="F1564" s="35" t="n"/>
      <c r="G1564" s="35" t="n"/>
      <c r="H1564" s="35" t="n"/>
      <c r="I1564" s="35" t="n"/>
      <c r="J1564" s="35" t="n"/>
      <c r="K1564" s="34" t="n"/>
      <c r="L1564" s="26">
        <f>IF(A1564="","",MONTH(A1564))</f>
        <v/>
      </c>
      <c r="M1564" s="26">
        <f>IF(A1564="","",YEAR(A1564))</f>
        <v/>
      </c>
      <c r="N1564" s="26">
        <f>IF(A1564="","",CHOOSE(WEEKDAY(A1564,2),"Segunda","Terça","Quarta","Quinta","Sexta","Sábado","Domingo"))</f>
        <v/>
      </c>
      <c r="O1564" s="26">
        <f>IF(B1564="","",IF(B1564&lt;TIME(12,0,0),"Manhã",IF(B1564&lt;TIME(18,0,0),"Tarde","Noite")))</f>
        <v/>
      </c>
      <c r="P1564" s="32">
        <f>IF(G1564="","",IFERROR(INDEX(Config!$I$5:$I$16,MATCH(G1564,Config!$H$5:$H$16,0)),0))</f>
        <v/>
      </c>
      <c r="Q1564" s="30">
        <f>IF(OR(H1564&lt;&gt;"Realizado",P1564="",P1564=0),"",A1564+P1564)</f>
        <v/>
      </c>
      <c r="R1564" s="26">
        <f>IF(Q1564="","",IF(COUNTIFS($E$5:$E$3004,E1564,$A$5:$A$3004,"&gt;"&amp;A1564,$H$5:$H$3004,"&lt;&gt;Falta",$H$5:$H$3004,"&lt;&gt;Cancelado",$H$5:$H$3004,"&lt;&gt;Remarcado")&gt;0,"Sim","Não"))</f>
        <v/>
      </c>
      <c r="S1564" s="32">
        <f>IF(R1564&lt;&gt;"Não","",IF(Q1564+Config!$B$9&lt;=Config!$B$8,Config!$B$8-Q1564,""))</f>
        <v/>
      </c>
      <c r="T1564" s="26">
        <f>IF(S1564="","","Sim")</f>
        <v/>
      </c>
      <c r="U1564" s="41">
        <f>IF(T1564="Sim",S1564+ROW()/100000,0)</f>
        <v>0</v>
      </c>
      <c r="V1564" s="41">
        <f>IF(AND(H1564="Falta",L1564=Config!$B$7,M1564=Config!$B$5,COUNTIFS($E$5:E1564,E1564,$H$5:H1564,"Falta",$L$5:L1564,Config!$B$7,$M$5:M1564,Config!$B$5)=1),COUNTIFS($E$5:$E$3004,E1564,$H$5:$H$3004,"Falta",$L$5:$L$3004,Config!$B$7,$M$5:$M$3004,Config!$B$5)*1000-ROW()/100000,0)</f>
        <v>0</v>
      </c>
    </row>
    <row r="1565">
      <c r="A1565" s="39" t="n"/>
      <c r="B1565" s="40" t="n"/>
      <c r="C1565" s="35" t="n"/>
      <c r="D1565" s="35" t="n"/>
      <c r="E1565" s="34" t="n"/>
      <c r="F1565" s="35" t="n"/>
      <c r="G1565" s="35" t="n"/>
      <c r="H1565" s="35" t="n"/>
      <c r="I1565" s="35" t="n"/>
      <c r="J1565" s="35" t="n"/>
      <c r="K1565" s="34" t="n"/>
      <c r="L1565" s="26">
        <f>IF(A1565="","",MONTH(A1565))</f>
        <v/>
      </c>
      <c r="M1565" s="26">
        <f>IF(A1565="","",YEAR(A1565))</f>
        <v/>
      </c>
      <c r="N1565" s="26">
        <f>IF(A1565="","",CHOOSE(WEEKDAY(A1565,2),"Segunda","Terça","Quarta","Quinta","Sexta","Sábado","Domingo"))</f>
        <v/>
      </c>
      <c r="O1565" s="26">
        <f>IF(B1565="","",IF(B1565&lt;TIME(12,0,0),"Manhã",IF(B1565&lt;TIME(18,0,0),"Tarde","Noite")))</f>
        <v/>
      </c>
      <c r="P1565" s="32">
        <f>IF(G1565="","",IFERROR(INDEX(Config!$I$5:$I$16,MATCH(G1565,Config!$H$5:$H$16,0)),0))</f>
        <v/>
      </c>
      <c r="Q1565" s="30">
        <f>IF(OR(H1565&lt;&gt;"Realizado",P1565="",P1565=0),"",A1565+P1565)</f>
        <v/>
      </c>
      <c r="R1565" s="26">
        <f>IF(Q1565="","",IF(COUNTIFS($E$5:$E$3004,E1565,$A$5:$A$3004,"&gt;"&amp;A1565,$H$5:$H$3004,"&lt;&gt;Falta",$H$5:$H$3004,"&lt;&gt;Cancelado",$H$5:$H$3004,"&lt;&gt;Remarcado")&gt;0,"Sim","Não"))</f>
        <v/>
      </c>
      <c r="S1565" s="32">
        <f>IF(R1565&lt;&gt;"Não","",IF(Q1565+Config!$B$9&lt;=Config!$B$8,Config!$B$8-Q1565,""))</f>
        <v/>
      </c>
      <c r="T1565" s="26">
        <f>IF(S1565="","","Sim")</f>
        <v/>
      </c>
      <c r="U1565" s="41">
        <f>IF(T1565="Sim",S1565+ROW()/100000,0)</f>
        <v>0</v>
      </c>
      <c r="V1565" s="41">
        <f>IF(AND(H1565="Falta",L1565=Config!$B$7,M1565=Config!$B$5,COUNTIFS($E$5:E1565,E1565,$H$5:H1565,"Falta",$L$5:L1565,Config!$B$7,$M$5:M1565,Config!$B$5)=1),COUNTIFS($E$5:$E$3004,E1565,$H$5:$H$3004,"Falta",$L$5:$L$3004,Config!$B$7,$M$5:$M$3004,Config!$B$5)*1000-ROW()/100000,0)</f>
        <v>0</v>
      </c>
    </row>
    <row r="1566">
      <c r="A1566" s="39" t="n"/>
      <c r="B1566" s="40" t="n"/>
      <c r="C1566" s="35" t="n"/>
      <c r="D1566" s="35" t="n"/>
      <c r="E1566" s="34" t="n"/>
      <c r="F1566" s="35" t="n"/>
      <c r="G1566" s="35" t="n"/>
      <c r="H1566" s="35" t="n"/>
      <c r="I1566" s="35" t="n"/>
      <c r="J1566" s="35" t="n"/>
      <c r="K1566" s="34" t="n"/>
      <c r="L1566" s="26">
        <f>IF(A1566="","",MONTH(A1566))</f>
        <v/>
      </c>
      <c r="M1566" s="26">
        <f>IF(A1566="","",YEAR(A1566))</f>
        <v/>
      </c>
      <c r="N1566" s="26">
        <f>IF(A1566="","",CHOOSE(WEEKDAY(A1566,2),"Segunda","Terça","Quarta","Quinta","Sexta","Sábado","Domingo"))</f>
        <v/>
      </c>
      <c r="O1566" s="26">
        <f>IF(B1566="","",IF(B1566&lt;TIME(12,0,0),"Manhã",IF(B1566&lt;TIME(18,0,0),"Tarde","Noite")))</f>
        <v/>
      </c>
      <c r="P1566" s="32">
        <f>IF(G1566="","",IFERROR(INDEX(Config!$I$5:$I$16,MATCH(G1566,Config!$H$5:$H$16,0)),0))</f>
        <v/>
      </c>
      <c r="Q1566" s="30">
        <f>IF(OR(H1566&lt;&gt;"Realizado",P1566="",P1566=0),"",A1566+P1566)</f>
        <v/>
      </c>
      <c r="R1566" s="26">
        <f>IF(Q1566="","",IF(COUNTIFS($E$5:$E$3004,E1566,$A$5:$A$3004,"&gt;"&amp;A1566,$H$5:$H$3004,"&lt;&gt;Falta",$H$5:$H$3004,"&lt;&gt;Cancelado",$H$5:$H$3004,"&lt;&gt;Remarcado")&gt;0,"Sim","Não"))</f>
        <v/>
      </c>
      <c r="S1566" s="32">
        <f>IF(R1566&lt;&gt;"Não","",IF(Q1566+Config!$B$9&lt;=Config!$B$8,Config!$B$8-Q1566,""))</f>
        <v/>
      </c>
      <c r="T1566" s="26">
        <f>IF(S1566="","","Sim")</f>
        <v/>
      </c>
      <c r="U1566" s="41">
        <f>IF(T1566="Sim",S1566+ROW()/100000,0)</f>
        <v>0</v>
      </c>
      <c r="V1566" s="41">
        <f>IF(AND(H1566="Falta",L1566=Config!$B$7,M1566=Config!$B$5,COUNTIFS($E$5:E1566,E1566,$H$5:H1566,"Falta",$L$5:L1566,Config!$B$7,$M$5:M1566,Config!$B$5)=1),COUNTIFS($E$5:$E$3004,E1566,$H$5:$H$3004,"Falta",$L$5:$L$3004,Config!$B$7,$M$5:$M$3004,Config!$B$5)*1000-ROW()/100000,0)</f>
        <v>0</v>
      </c>
    </row>
    <row r="1567">
      <c r="A1567" s="39" t="n"/>
      <c r="B1567" s="40" t="n"/>
      <c r="C1567" s="35" t="n"/>
      <c r="D1567" s="35" t="n"/>
      <c r="E1567" s="34" t="n"/>
      <c r="F1567" s="35" t="n"/>
      <c r="G1567" s="35" t="n"/>
      <c r="H1567" s="35" t="n"/>
      <c r="I1567" s="35" t="n"/>
      <c r="J1567" s="35" t="n"/>
      <c r="K1567" s="34" t="n"/>
      <c r="L1567" s="26">
        <f>IF(A1567="","",MONTH(A1567))</f>
        <v/>
      </c>
      <c r="M1567" s="26">
        <f>IF(A1567="","",YEAR(A1567))</f>
        <v/>
      </c>
      <c r="N1567" s="26">
        <f>IF(A1567="","",CHOOSE(WEEKDAY(A1567,2),"Segunda","Terça","Quarta","Quinta","Sexta","Sábado","Domingo"))</f>
        <v/>
      </c>
      <c r="O1567" s="26">
        <f>IF(B1567="","",IF(B1567&lt;TIME(12,0,0),"Manhã",IF(B1567&lt;TIME(18,0,0),"Tarde","Noite")))</f>
        <v/>
      </c>
      <c r="P1567" s="32">
        <f>IF(G1567="","",IFERROR(INDEX(Config!$I$5:$I$16,MATCH(G1567,Config!$H$5:$H$16,0)),0))</f>
        <v/>
      </c>
      <c r="Q1567" s="30">
        <f>IF(OR(H1567&lt;&gt;"Realizado",P1567="",P1567=0),"",A1567+P1567)</f>
        <v/>
      </c>
      <c r="R1567" s="26">
        <f>IF(Q1567="","",IF(COUNTIFS($E$5:$E$3004,E1567,$A$5:$A$3004,"&gt;"&amp;A1567,$H$5:$H$3004,"&lt;&gt;Falta",$H$5:$H$3004,"&lt;&gt;Cancelado",$H$5:$H$3004,"&lt;&gt;Remarcado")&gt;0,"Sim","Não"))</f>
        <v/>
      </c>
      <c r="S1567" s="32">
        <f>IF(R1567&lt;&gt;"Não","",IF(Q1567+Config!$B$9&lt;=Config!$B$8,Config!$B$8-Q1567,""))</f>
        <v/>
      </c>
      <c r="T1567" s="26">
        <f>IF(S1567="","","Sim")</f>
        <v/>
      </c>
      <c r="U1567" s="41">
        <f>IF(T1567="Sim",S1567+ROW()/100000,0)</f>
        <v>0</v>
      </c>
      <c r="V1567" s="41">
        <f>IF(AND(H1567="Falta",L1567=Config!$B$7,M1567=Config!$B$5,COUNTIFS($E$5:E1567,E1567,$H$5:H1567,"Falta",$L$5:L1567,Config!$B$7,$M$5:M1567,Config!$B$5)=1),COUNTIFS($E$5:$E$3004,E1567,$H$5:$H$3004,"Falta",$L$5:$L$3004,Config!$B$7,$M$5:$M$3004,Config!$B$5)*1000-ROW()/100000,0)</f>
        <v>0</v>
      </c>
    </row>
    <row r="1568">
      <c r="A1568" s="39" t="n"/>
      <c r="B1568" s="40" t="n"/>
      <c r="C1568" s="35" t="n"/>
      <c r="D1568" s="35" t="n"/>
      <c r="E1568" s="34" t="n"/>
      <c r="F1568" s="35" t="n"/>
      <c r="G1568" s="35" t="n"/>
      <c r="H1568" s="35" t="n"/>
      <c r="I1568" s="35" t="n"/>
      <c r="J1568" s="35" t="n"/>
      <c r="K1568" s="34" t="n"/>
      <c r="L1568" s="26">
        <f>IF(A1568="","",MONTH(A1568))</f>
        <v/>
      </c>
      <c r="M1568" s="26">
        <f>IF(A1568="","",YEAR(A1568))</f>
        <v/>
      </c>
      <c r="N1568" s="26">
        <f>IF(A1568="","",CHOOSE(WEEKDAY(A1568,2),"Segunda","Terça","Quarta","Quinta","Sexta","Sábado","Domingo"))</f>
        <v/>
      </c>
      <c r="O1568" s="26">
        <f>IF(B1568="","",IF(B1568&lt;TIME(12,0,0),"Manhã",IF(B1568&lt;TIME(18,0,0),"Tarde","Noite")))</f>
        <v/>
      </c>
      <c r="P1568" s="32">
        <f>IF(G1568="","",IFERROR(INDEX(Config!$I$5:$I$16,MATCH(G1568,Config!$H$5:$H$16,0)),0))</f>
        <v/>
      </c>
      <c r="Q1568" s="30">
        <f>IF(OR(H1568&lt;&gt;"Realizado",P1568="",P1568=0),"",A1568+P1568)</f>
        <v/>
      </c>
      <c r="R1568" s="26">
        <f>IF(Q1568="","",IF(COUNTIFS($E$5:$E$3004,E1568,$A$5:$A$3004,"&gt;"&amp;A1568,$H$5:$H$3004,"&lt;&gt;Falta",$H$5:$H$3004,"&lt;&gt;Cancelado",$H$5:$H$3004,"&lt;&gt;Remarcado")&gt;0,"Sim","Não"))</f>
        <v/>
      </c>
      <c r="S1568" s="32">
        <f>IF(R1568&lt;&gt;"Não","",IF(Q1568+Config!$B$9&lt;=Config!$B$8,Config!$B$8-Q1568,""))</f>
        <v/>
      </c>
      <c r="T1568" s="26">
        <f>IF(S1568="","","Sim")</f>
        <v/>
      </c>
      <c r="U1568" s="41">
        <f>IF(T1568="Sim",S1568+ROW()/100000,0)</f>
        <v>0</v>
      </c>
      <c r="V1568" s="41">
        <f>IF(AND(H1568="Falta",L1568=Config!$B$7,M1568=Config!$B$5,COUNTIFS($E$5:E1568,E1568,$H$5:H1568,"Falta",$L$5:L1568,Config!$B$7,$M$5:M1568,Config!$B$5)=1),COUNTIFS($E$5:$E$3004,E1568,$H$5:$H$3004,"Falta",$L$5:$L$3004,Config!$B$7,$M$5:$M$3004,Config!$B$5)*1000-ROW()/100000,0)</f>
        <v>0</v>
      </c>
    </row>
    <row r="1569">
      <c r="A1569" s="39" t="n"/>
      <c r="B1569" s="40" t="n"/>
      <c r="C1569" s="35" t="n"/>
      <c r="D1569" s="35" t="n"/>
      <c r="E1569" s="34" t="n"/>
      <c r="F1569" s="35" t="n"/>
      <c r="G1569" s="35" t="n"/>
      <c r="H1569" s="35" t="n"/>
      <c r="I1569" s="35" t="n"/>
      <c r="J1569" s="35" t="n"/>
      <c r="K1569" s="34" t="n"/>
      <c r="L1569" s="26">
        <f>IF(A1569="","",MONTH(A1569))</f>
        <v/>
      </c>
      <c r="M1569" s="26">
        <f>IF(A1569="","",YEAR(A1569))</f>
        <v/>
      </c>
      <c r="N1569" s="26">
        <f>IF(A1569="","",CHOOSE(WEEKDAY(A1569,2),"Segunda","Terça","Quarta","Quinta","Sexta","Sábado","Domingo"))</f>
        <v/>
      </c>
      <c r="O1569" s="26">
        <f>IF(B1569="","",IF(B1569&lt;TIME(12,0,0),"Manhã",IF(B1569&lt;TIME(18,0,0),"Tarde","Noite")))</f>
        <v/>
      </c>
      <c r="P1569" s="32">
        <f>IF(G1569="","",IFERROR(INDEX(Config!$I$5:$I$16,MATCH(G1569,Config!$H$5:$H$16,0)),0))</f>
        <v/>
      </c>
      <c r="Q1569" s="30">
        <f>IF(OR(H1569&lt;&gt;"Realizado",P1569="",P1569=0),"",A1569+P1569)</f>
        <v/>
      </c>
      <c r="R1569" s="26">
        <f>IF(Q1569="","",IF(COUNTIFS($E$5:$E$3004,E1569,$A$5:$A$3004,"&gt;"&amp;A1569,$H$5:$H$3004,"&lt;&gt;Falta",$H$5:$H$3004,"&lt;&gt;Cancelado",$H$5:$H$3004,"&lt;&gt;Remarcado")&gt;0,"Sim","Não"))</f>
        <v/>
      </c>
      <c r="S1569" s="32">
        <f>IF(R1569&lt;&gt;"Não","",IF(Q1569+Config!$B$9&lt;=Config!$B$8,Config!$B$8-Q1569,""))</f>
        <v/>
      </c>
      <c r="T1569" s="26">
        <f>IF(S1569="","","Sim")</f>
        <v/>
      </c>
      <c r="U1569" s="41">
        <f>IF(T1569="Sim",S1569+ROW()/100000,0)</f>
        <v>0</v>
      </c>
      <c r="V1569" s="41">
        <f>IF(AND(H1569="Falta",L1569=Config!$B$7,M1569=Config!$B$5,COUNTIFS($E$5:E1569,E1569,$H$5:H1569,"Falta",$L$5:L1569,Config!$B$7,$M$5:M1569,Config!$B$5)=1),COUNTIFS($E$5:$E$3004,E1569,$H$5:$H$3004,"Falta",$L$5:$L$3004,Config!$B$7,$M$5:$M$3004,Config!$B$5)*1000-ROW()/100000,0)</f>
        <v>0</v>
      </c>
    </row>
    <row r="1570">
      <c r="A1570" s="39" t="n"/>
      <c r="B1570" s="40" t="n"/>
      <c r="C1570" s="35" t="n"/>
      <c r="D1570" s="35" t="n"/>
      <c r="E1570" s="34" t="n"/>
      <c r="F1570" s="35" t="n"/>
      <c r="G1570" s="35" t="n"/>
      <c r="H1570" s="35" t="n"/>
      <c r="I1570" s="35" t="n"/>
      <c r="J1570" s="35" t="n"/>
      <c r="K1570" s="34" t="n"/>
      <c r="L1570" s="26">
        <f>IF(A1570="","",MONTH(A1570))</f>
        <v/>
      </c>
      <c r="M1570" s="26">
        <f>IF(A1570="","",YEAR(A1570))</f>
        <v/>
      </c>
      <c r="N1570" s="26">
        <f>IF(A1570="","",CHOOSE(WEEKDAY(A1570,2),"Segunda","Terça","Quarta","Quinta","Sexta","Sábado","Domingo"))</f>
        <v/>
      </c>
      <c r="O1570" s="26">
        <f>IF(B1570="","",IF(B1570&lt;TIME(12,0,0),"Manhã",IF(B1570&lt;TIME(18,0,0),"Tarde","Noite")))</f>
        <v/>
      </c>
      <c r="P1570" s="32">
        <f>IF(G1570="","",IFERROR(INDEX(Config!$I$5:$I$16,MATCH(G1570,Config!$H$5:$H$16,0)),0))</f>
        <v/>
      </c>
      <c r="Q1570" s="30">
        <f>IF(OR(H1570&lt;&gt;"Realizado",P1570="",P1570=0),"",A1570+P1570)</f>
        <v/>
      </c>
      <c r="R1570" s="26">
        <f>IF(Q1570="","",IF(COUNTIFS($E$5:$E$3004,E1570,$A$5:$A$3004,"&gt;"&amp;A1570,$H$5:$H$3004,"&lt;&gt;Falta",$H$5:$H$3004,"&lt;&gt;Cancelado",$H$5:$H$3004,"&lt;&gt;Remarcado")&gt;0,"Sim","Não"))</f>
        <v/>
      </c>
      <c r="S1570" s="32">
        <f>IF(R1570&lt;&gt;"Não","",IF(Q1570+Config!$B$9&lt;=Config!$B$8,Config!$B$8-Q1570,""))</f>
        <v/>
      </c>
      <c r="T1570" s="26">
        <f>IF(S1570="","","Sim")</f>
        <v/>
      </c>
      <c r="U1570" s="41">
        <f>IF(T1570="Sim",S1570+ROW()/100000,0)</f>
        <v>0</v>
      </c>
      <c r="V1570" s="41">
        <f>IF(AND(H1570="Falta",L1570=Config!$B$7,M1570=Config!$B$5,COUNTIFS($E$5:E1570,E1570,$H$5:H1570,"Falta",$L$5:L1570,Config!$B$7,$M$5:M1570,Config!$B$5)=1),COUNTIFS($E$5:$E$3004,E1570,$H$5:$H$3004,"Falta",$L$5:$L$3004,Config!$B$7,$M$5:$M$3004,Config!$B$5)*1000-ROW()/100000,0)</f>
        <v>0</v>
      </c>
    </row>
    <row r="1571">
      <c r="A1571" s="39" t="n"/>
      <c r="B1571" s="40" t="n"/>
      <c r="C1571" s="35" t="n"/>
      <c r="D1571" s="35" t="n"/>
      <c r="E1571" s="34" t="n"/>
      <c r="F1571" s="35" t="n"/>
      <c r="G1571" s="35" t="n"/>
      <c r="H1571" s="35" t="n"/>
      <c r="I1571" s="35" t="n"/>
      <c r="J1571" s="35" t="n"/>
      <c r="K1571" s="34" t="n"/>
      <c r="L1571" s="26">
        <f>IF(A1571="","",MONTH(A1571))</f>
        <v/>
      </c>
      <c r="M1571" s="26">
        <f>IF(A1571="","",YEAR(A1571))</f>
        <v/>
      </c>
      <c r="N1571" s="26">
        <f>IF(A1571="","",CHOOSE(WEEKDAY(A1571,2),"Segunda","Terça","Quarta","Quinta","Sexta","Sábado","Domingo"))</f>
        <v/>
      </c>
      <c r="O1571" s="26">
        <f>IF(B1571="","",IF(B1571&lt;TIME(12,0,0),"Manhã",IF(B1571&lt;TIME(18,0,0),"Tarde","Noite")))</f>
        <v/>
      </c>
      <c r="P1571" s="32">
        <f>IF(G1571="","",IFERROR(INDEX(Config!$I$5:$I$16,MATCH(G1571,Config!$H$5:$H$16,0)),0))</f>
        <v/>
      </c>
      <c r="Q1571" s="30">
        <f>IF(OR(H1571&lt;&gt;"Realizado",P1571="",P1571=0),"",A1571+P1571)</f>
        <v/>
      </c>
      <c r="R1571" s="26">
        <f>IF(Q1571="","",IF(COUNTIFS($E$5:$E$3004,E1571,$A$5:$A$3004,"&gt;"&amp;A1571,$H$5:$H$3004,"&lt;&gt;Falta",$H$5:$H$3004,"&lt;&gt;Cancelado",$H$5:$H$3004,"&lt;&gt;Remarcado")&gt;0,"Sim","Não"))</f>
        <v/>
      </c>
      <c r="S1571" s="32">
        <f>IF(R1571&lt;&gt;"Não","",IF(Q1571+Config!$B$9&lt;=Config!$B$8,Config!$B$8-Q1571,""))</f>
        <v/>
      </c>
      <c r="T1571" s="26">
        <f>IF(S1571="","","Sim")</f>
        <v/>
      </c>
      <c r="U1571" s="41">
        <f>IF(T1571="Sim",S1571+ROW()/100000,0)</f>
        <v>0</v>
      </c>
      <c r="V1571" s="41">
        <f>IF(AND(H1571="Falta",L1571=Config!$B$7,M1571=Config!$B$5,COUNTIFS($E$5:E1571,E1571,$H$5:H1571,"Falta",$L$5:L1571,Config!$B$7,$M$5:M1571,Config!$B$5)=1),COUNTIFS($E$5:$E$3004,E1571,$H$5:$H$3004,"Falta",$L$5:$L$3004,Config!$B$7,$M$5:$M$3004,Config!$B$5)*1000-ROW()/100000,0)</f>
        <v>0</v>
      </c>
    </row>
    <row r="1572">
      <c r="A1572" s="39" t="n"/>
      <c r="B1572" s="40" t="n"/>
      <c r="C1572" s="35" t="n"/>
      <c r="D1572" s="35" t="n"/>
      <c r="E1572" s="34" t="n"/>
      <c r="F1572" s="35" t="n"/>
      <c r="G1572" s="35" t="n"/>
      <c r="H1572" s="35" t="n"/>
      <c r="I1572" s="35" t="n"/>
      <c r="J1572" s="35" t="n"/>
      <c r="K1572" s="34" t="n"/>
      <c r="L1572" s="26">
        <f>IF(A1572="","",MONTH(A1572))</f>
        <v/>
      </c>
      <c r="M1572" s="26">
        <f>IF(A1572="","",YEAR(A1572))</f>
        <v/>
      </c>
      <c r="N1572" s="26">
        <f>IF(A1572="","",CHOOSE(WEEKDAY(A1572,2),"Segunda","Terça","Quarta","Quinta","Sexta","Sábado","Domingo"))</f>
        <v/>
      </c>
      <c r="O1572" s="26">
        <f>IF(B1572="","",IF(B1572&lt;TIME(12,0,0),"Manhã",IF(B1572&lt;TIME(18,0,0),"Tarde","Noite")))</f>
        <v/>
      </c>
      <c r="P1572" s="32">
        <f>IF(G1572="","",IFERROR(INDEX(Config!$I$5:$I$16,MATCH(G1572,Config!$H$5:$H$16,0)),0))</f>
        <v/>
      </c>
      <c r="Q1572" s="30">
        <f>IF(OR(H1572&lt;&gt;"Realizado",P1572="",P1572=0),"",A1572+P1572)</f>
        <v/>
      </c>
      <c r="R1572" s="26">
        <f>IF(Q1572="","",IF(COUNTIFS($E$5:$E$3004,E1572,$A$5:$A$3004,"&gt;"&amp;A1572,$H$5:$H$3004,"&lt;&gt;Falta",$H$5:$H$3004,"&lt;&gt;Cancelado",$H$5:$H$3004,"&lt;&gt;Remarcado")&gt;0,"Sim","Não"))</f>
        <v/>
      </c>
      <c r="S1572" s="32">
        <f>IF(R1572&lt;&gt;"Não","",IF(Q1572+Config!$B$9&lt;=Config!$B$8,Config!$B$8-Q1572,""))</f>
        <v/>
      </c>
      <c r="T1572" s="26">
        <f>IF(S1572="","","Sim")</f>
        <v/>
      </c>
      <c r="U1572" s="41">
        <f>IF(T1572="Sim",S1572+ROW()/100000,0)</f>
        <v>0</v>
      </c>
      <c r="V1572" s="41">
        <f>IF(AND(H1572="Falta",L1572=Config!$B$7,M1572=Config!$B$5,COUNTIFS($E$5:E1572,E1572,$H$5:H1572,"Falta",$L$5:L1572,Config!$B$7,$M$5:M1572,Config!$B$5)=1),COUNTIFS($E$5:$E$3004,E1572,$H$5:$H$3004,"Falta",$L$5:$L$3004,Config!$B$7,$M$5:$M$3004,Config!$B$5)*1000-ROW()/100000,0)</f>
        <v>0</v>
      </c>
    </row>
    <row r="1573">
      <c r="A1573" s="39" t="n"/>
      <c r="B1573" s="40" t="n"/>
      <c r="C1573" s="35" t="n"/>
      <c r="D1573" s="35" t="n"/>
      <c r="E1573" s="34" t="n"/>
      <c r="F1573" s="35" t="n"/>
      <c r="G1573" s="35" t="n"/>
      <c r="H1573" s="35" t="n"/>
      <c r="I1573" s="35" t="n"/>
      <c r="J1573" s="35" t="n"/>
      <c r="K1573" s="34" t="n"/>
      <c r="L1573" s="26">
        <f>IF(A1573="","",MONTH(A1573))</f>
        <v/>
      </c>
      <c r="M1573" s="26">
        <f>IF(A1573="","",YEAR(A1573))</f>
        <v/>
      </c>
      <c r="N1573" s="26">
        <f>IF(A1573="","",CHOOSE(WEEKDAY(A1573,2),"Segunda","Terça","Quarta","Quinta","Sexta","Sábado","Domingo"))</f>
        <v/>
      </c>
      <c r="O1573" s="26">
        <f>IF(B1573="","",IF(B1573&lt;TIME(12,0,0),"Manhã",IF(B1573&lt;TIME(18,0,0),"Tarde","Noite")))</f>
        <v/>
      </c>
      <c r="P1573" s="32">
        <f>IF(G1573="","",IFERROR(INDEX(Config!$I$5:$I$16,MATCH(G1573,Config!$H$5:$H$16,0)),0))</f>
        <v/>
      </c>
      <c r="Q1573" s="30">
        <f>IF(OR(H1573&lt;&gt;"Realizado",P1573="",P1573=0),"",A1573+P1573)</f>
        <v/>
      </c>
      <c r="R1573" s="26">
        <f>IF(Q1573="","",IF(COUNTIFS($E$5:$E$3004,E1573,$A$5:$A$3004,"&gt;"&amp;A1573,$H$5:$H$3004,"&lt;&gt;Falta",$H$5:$H$3004,"&lt;&gt;Cancelado",$H$5:$H$3004,"&lt;&gt;Remarcado")&gt;0,"Sim","Não"))</f>
        <v/>
      </c>
      <c r="S1573" s="32">
        <f>IF(R1573&lt;&gt;"Não","",IF(Q1573+Config!$B$9&lt;=Config!$B$8,Config!$B$8-Q1573,""))</f>
        <v/>
      </c>
      <c r="T1573" s="26">
        <f>IF(S1573="","","Sim")</f>
        <v/>
      </c>
      <c r="U1573" s="41">
        <f>IF(T1573="Sim",S1573+ROW()/100000,0)</f>
        <v>0</v>
      </c>
      <c r="V1573" s="41">
        <f>IF(AND(H1573="Falta",L1573=Config!$B$7,M1573=Config!$B$5,COUNTIFS($E$5:E1573,E1573,$H$5:H1573,"Falta",$L$5:L1573,Config!$B$7,$M$5:M1573,Config!$B$5)=1),COUNTIFS($E$5:$E$3004,E1573,$H$5:$H$3004,"Falta",$L$5:$L$3004,Config!$B$7,$M$5:$M$3004,Config!$B$5)*1000-ROW()/100000,0)</f>
        <v>0</v>
      </c>
    </row>
    <row r="1574">
      <c r="A1574" s="39" t="n"/>
      <c r="B1574" s="40" t="n"/>
      <c r="C1574" s="35" t="n"/>
      <c r="D1574" s="35" t="n"/>
      <c r="E1574" s="34" t="n"/>
      <c r="F1574" s="35" t="n"/>
      <c r="G1574" s="35" t="n"/>
      <c r="H1574" s="35" t="n"/>
      <c r="I1574" s="35" t="n"/>
      <c r="J1574" s="35" t="n"/>
      <c r="K1574" s="34" t="n"/>
      <c r="L1574" s="26">
        <f>IF(A1574="","",MONTH(A1574))</f>
        <v/>
      </c>
      <c r="M1574" s="26">
        <f>IF(A1574="","",YEAR(A1574))</f>
        <v/>
      </c>
      <c r="N1574" s="26">
        <f>IF(A1574="","",CHOOSE(WEEKDAY(A1574,2),"Segunda","Terça","Quarta","Quinta","Sexta","Sábado","Domingo"))</f>
        <v/>
      </c>
      <c r="O1574" s="26">
        <f>IF(B1574="","",IF(B1574&lt;TIME(12,0,0),"Manhã",IF(B1574&lt;TIME(18,0,0),"Tarde","Noite")))</f>
        <v/>
      </c>
      <c r="P1574" s="32">
        <f>IF(G1574="","",IFERROR(INDEX(Config!$I$5:$I$16,MATCH(G1574,Config!$H$5:$H$16,0)),0))</f>
        <v/>
      </c>
      <c r="Q1574" s="30">
        <f>IF(OR(H1574&lt;&gt;"Realizado",P1574="",P1574=0),"",A1574+P1574)</f>
        <v/>
      </c>
      <c r="R1574" s="26">
        <f>IF(Q1574="","",IF(COUNTIFS($E$5:$E$3004,E1574,$A$5:$A$3004,"&gt;"&amp;A1574,$H$5:$H$3004,"&lt;&gt;Falta",$H$5:$H$3004,"&lt;&gt;Cancelado",$H$5:$H$3004,"&lt;&gt;Remarcado")&gt;0,"Sim","Não"))</f>
        <v/>
      </c>
      <c r="S1574" s="32">
        <f>IF(R1574&lt;&gt;"Não","",IF(Q1574+Config!$B$9&lt;=Config!$B$8,Config!$B$8-Q1574,""))</f>
        <v/>
      </c>
      <c r="T1574" s="26">
        <f>IF(S1574="","","Sim")</f>
        <v/>
      </c>
      <c r="U1574" s="41">
        <f>IF(T1574="Sim",S1574+ROW()/100000,0)</f>
        <v>0</v>
      </c>
      <c r="V1574" s="41">
        <f>IF(AND(H1574="Falta",L1574=Config!$B$7,M1574=Config!$B$5,COUNTIFS($E$5:E1574,E1574,$H$5:H1574,"Falta",$L$5:L1574,Config!$B$7,$M$5:M1574,Config!$B$5)=1),COUNTIFS($E$5:$E$3004,E1574,$H$5:$H$3004,"Falta",$L$5:$L$3004,Config!$B$7,$M$5:$M$3004,Config!$B$5)*1000-ROW()/100000,0)</f>
        <v>0</v>
      </c>
    </row>
    <row r="1575">
      <c r="A1575" s="39" t="n"/>
      <c r="B1575" s="40" t="n"/>
      <c r="C1575" s="35" t="n"/>
      <c r="D1575" s="35" t="n"/>
      <c r="E1575" s="34" t="n"/>
      <c r="F1575" s="35" t="n"/>
      <c r="G1575" s="35" t="n"/>
      <c r="H1575" s="35" t="n"/>
      <c r="I1575" s="35" t="n"/>
      <c r="J1575" s="35" t="n"/>
      <c r="K1575" s="34" t="n"/>
      <c r="L1575" s="26">
        <f>IF(A1575="","",MONTH(A1575))</f>
        <v/>
      </c>
      <c r="M1575" s="26">
        <f>IF(A1575="","",YEAR(A1575))</f>
        <v/>
      </c>
      <c r="N1575" s="26">
        <f>IF(A1575="","",CHOOSE(WEEKDAY(A1575,2),"Segunda","Terça","Quarta","Quinta","Sexta","Sábado","Domingo"))</f>
        <v/>
      </c>
      <c r="O1575" s="26">
        <f>IF(B1575="","",IF(B1575&lt;TIME(12,0,0),"Manhã",IF(B1575&lt;TIME(18,0,0),"Tarde","Noite")))</f>
        <v/>
      </c>
      <c r="P1575" s="32">
        <f>IF(G1575="","",IFERROR(INDEX(Config!$I$5:$I$16,MATCH(G1575,Config!$H$5:$H$16,0)),0))</f>
        <v/>
      </c>
      <c r="Q1575" s="30">
        <f>IF(OR(H1575&lt;&gt;"Realizado",P1575="",P1575=0),"",A1575+P1575)</f>
        <v/>
      </c>
      <c r="R1575" s="26">
        <f>IF(Q1575="","",IF(COUNTIFS($E$5:$E$3004,E1575,$A$5:$A$3004,"&gt;"&amp;A1575,$H$5:$H$3004,"&lt;&gt;Falta",$H$5:$H$3004,"&lt;&gt;Cancelado",$H$5:$H$3004,"&lt;&gt;Remarcado")&gt;0,"Sim","Não"))</f>
        <v/>
      </c>
      <c r="S1575" s="32">
        <f>IF(R1575&lt;&gt;"Não","",IF(Q1575+Config!$B$9&lt;=Config!$B$8,Config!$B$8-Q1575,""))</f>
        <v/>
      </c>
      <c r="T1575" s="26">
        <f>IF(S1575="","","Sim")</f>
        <v/>
      </c>
      <c r="U1575" s="41">
        <f>IF(T1575="Sim",S1575+ROW()/100000,0)</f>
        <v>0</v>
      </c>
      <c r="V1575" s="41">
        <f>IF(AND(H1575="Falta",L1575=Config!$B$7,M1575=Config!$B$5,COUNTIFS($E$5:E1575,E1575,$H$5:H1575,"Falta",$L$5:L1575,Config!$B$7,$M$5:M1575,Config!$B$5)=1),COUNTIFS($E$5:$E$3004,E1575,$H$5:$H$3004,"Falta",$L$5:$L$3004,Config!$B$7,$M$5:$M$3004,Config!$B$5)*1000-ROW()/100000,0)</f>
        <v>0</v>
      </c>
    </row>
    <row r="1576">
      <c r="A1576" s="39" t="n"/>
      <c r="B1576" s="40" t="n"/>
      <c r="C1576" s="35" t="n"/>
      <c r="D1576" s="35" t="n"/>
      <c r="E1576" s="34" t="n"/>
      <c r="F1576" s="35" t="n"/>
      <c r="G1576" s="35" t="n"/>
      <c r="H1576" s="35" t="n"/>
      <c r="I1576" s="35" t="n"/>
      <c r="J1576" s="35" t="n"/>
      <c r="K1576" s="34" t="n"/>
      <c r="L1576" s="26">
        <f>IF(A1576="","",MONTH(A1576))</f>
        <v/>
      </c>
      <c r="M1576" s="26">
        <f>IF(A1576="","",YEAR(A1576))</f>
        <v/>
      </c>
      <c r="N1576" s="26">
        <f>IF(A1576="","",CHOOSE(WEEKDAY(A1576,2),"Segunda","Terça","Quarta","Quinta","Sexta","Sábado","Domingo"))</f>
        <v/>
      </c>
      <c r="O1576" s="26">
        <f>IF(B1576="","",IF(B1576&lt;TIME(12,0,0),"Manhã",IF(B1576&lt;TIME(18,0,0),"Tarde","Noite")))</f>
        <v/>
      </c>
      <c r="P1576" s="32">
        <f>IF(G1576="","",IFERROR(INDEX(Config!$I$5:$I$16,MATCH(G1576,Config!$H$5:$H$16,0)),0))</f>
        <v/>
      </c>
      <c r="Q1576" s="30">
        <f>IF(OR(H1576&lt;&gt;"Realizado",P1576="",P1576=0),"",A1576+P1576)</f>
        <v/>
      </c>
      <c r="R1576" s="26">
        <f>IF(Q1576="","",IF(COUNTIFS($E$5:$E$3004,E1576,$A$5:$A$3004,"&gt;"&amp;A1576,$H$5:$H$3004,"&lt;&gt;Falta",$H$5:$H$3004,"&lt;&gt;Cancelado",$H$5:$H$3004,"&lt;&gt;Remarcado")&gt;0,"Sim","Não"))</f>
        <v/>
      </c>
      <c r="S1576" s="32">
        <f>IF(R1576&lt;&gt;"Não","",IF(Q1576+Config!$B$9&lt;=Config!$B$8,Config!$B$8-Q1576,""))</f>
        <v/>
      </c>
      <c r="T1576" s="26">
        <f>IF(S1576="","","Sim")</f>
        <v/>
      </c>
      <c r="U1576" s="41">
        <f>IF(T1576="Sim",S1576+ROW()/100000,0)</f>
        <v>0</v>
      </c>
      <c r="V1576" s="41">
        <f>IF(AND(H1576="Falta",L1576=Config!$B$7,M1576=Config!$B$5,COUNTIFS($E$5:E1576,E1576,$H$5:H1576,"Falta",$L$5:L1576,Config!$B$7,$M$5:M1576,Config!$B$5)=1),COUNTIFS($E$5:$E$3004,E1576,$H$5:$H$3004,"Falta",$L$5:$L$3004,Config!$B$7,$M$5:$M$3004,Config!$B$5)*1000-ROW()/100000,0)</f>
        <v>0</v>
      </c>
    </row>
    <row r="1577">
      <c r="A1577" s="39" t="n"/>
      <c r="B1577" s="40" t="n"/>
      <c r="C1577" s="35" t="n"/>
      <c r="D1577" s="35" t="n"/>
      <c r="E1577" s="34" t="n"/>
      <c r="F1577" s="35" t="n"/>
      <c r="G1577" s="35" t="n"/>
      <c r="H1577" s="35" t="n"/>
      <c r="I1577" s="35" t="n"/>
      <c r="J1577" s="35" t="n"/>
      <c r="K1577" s="34" t="n"/>
      <c r="L1577" s="26">
        <f>IF(A1577="","",MONTH(A1577))</f>
        <v/>
      </c>
      <c r="M1577" s="26">
        <f>IF(A1577="","",YEAR(A1577))</f>
        <v/>
      </c>
      <c r="N1577" s="26">
        <f>IF(A1577="","",CHOOSE(WEEKDAY(A1577,2),"Segunda","Terça","Quarta","Quinta","Sexta","Sábado","Domingo"))</f>
        <v/>
      </c>
      <c r="O1577" s="26">
        <f>IF(B1577="","",IF(B1577&lt;TIME(12,0,0),"Manhã",IF(B1577&lt;TIME(18,0,0),"Tarde","Noite")))</f>
        <v/>
      </c>
      <c r="P1577" s="32">
        <f>IF(G1577="","",IFERROR(INDEX(Config!$I$5:$I$16,MATCH(G1577,Config!$H$5:$H$16,0)),0))</f>
        <v/>
      </c>
      <c r="Q1577" s="30">
        <f>IF(OR(H1577&lt;&gt;"Realizado",P1577="",P1577=0),"",A1577+P1577)</f>
        <v/>
      </c>
      <c r="R1577" s="26">
        <f>IF(Q1577="","",IF(COUNTIFS($E$5:$E$3004,E1577,$A$5:$A$3004,"&gt;"&amp;A1577,$H$5:$H$3004,"&lt;&gt;Falta",$H$5:$H$3004,"&lt;&gt;Cancelado",$H$5:$H$3004,"&lt;&gt;Remarcado")&gt;0,"Sim","Não"))</f>
        <v/>
      </c>
      <c r="S1577" s="32">
        <f>IF(R1577&lt;&gt;"Não","",IF(Q1577+Config!$B$9&lt;=Config!$B$8,Config!$B$8-Q1577,""))</f>
        <v/>
      </c>
      <c r="T1577" s="26">
        <f>IF(S1577="","","Sim")</f>
        <v/>
      </c>
      <c r="U1577" s="41">
        <f>IF(T1577="Sim",S1577+ROW()/100000,0)</f>
        <v>0</v>
      </c>
      <c r="V1577" s="41">
        <f>IF(AND(H1577="Falta",L1577=Config!$B$7,M1577=Config!$B$5,COUNTIFS($E$5:E1577,E1577,$H$5:H1577,"Falta",$L$5:L1577,Config!$B$7,$M$5:M1577,Config!$B$5)=1),COUNTIFS($E$5:$E$3004,E1577,$H$5:$H$3004,"Falta",$L$5:$L$3004,Config!$B$7,$M$5:$M$3004,Config!$B$5)*1000-ROW()/100000,0)</f>
        <v>0</v>
      </c>
    </row>
    <row r="1578">
      <c r="A1578" s="39" t="n"/>
      <c r="B1578" s="40" t="n"/>
      <c r="C1578" s="35" t="n"/>
      <c r="D1578" s="35" t="n"/>
      <c r="E1578" s="34" t="n"/>
      <c r="F1578" s="35" t="n"/>
      <c r="G1578" s="35" t="n"/>
      <c r="H1578" s="35" t="n"/>
      <c r="I1578" s="35" t="n"/>
      <c r="J1578" s="35" t="n"/>
      <c r="K1578" s="34" t="n"/>
      <c r="L1578" s="26">
        <f>IF(A1578="","",MONTH(A1578))</f>
        <v/>
      </c>
      <c r="M1578" s="26">
        <f>IF(A1578="","",YEAR(A1578))</f>
        <v/>
      </c>
      <c r="N1578" s="26">
        <f>IF(A1578="","",CHOOSE(WEEKDAY(A1578,2),"Segunda","Terça","Quarta","Quinta","Sexta","Sábado","Domingo"))</f>
        <v/>
      </c>
      <c r="O1578" s="26">
        <f>IF(B1578="","",IF(B1578&lt;TIME(12,0,0),"Manhã",IF(B1578&lt;TIME(18,0,0),"Tarde","Noite")))</f>
        <v/>
      </c>
      <c r="P1578" s="32">
        <f>IF(G1578="","",IFERROR(INDEX(Config!$I$5:$I$16,MATCH(G1578,Config!$H$5:$H$16,0)),0))</f>
        <v/>
      </c>
      <c r="Q1578" s="30">
        <f>IF(OR(H1578&lt;&gt;"Realizado",P1578="",P1578=0),"",A1578+P1578)</f>
        <v/>
      </c>
      <c r="R1578" s="26">
        <f>IF(Q1578="","",IF(COUNTIFS($E$5:$E$3004,E1578,$A$5:$A$3004,"&gt;"&amp;A1578,$H$5:$H$3004,"&lt;&gt;Falta",$H$5:$H$3004,"&lt;&gt;Cancelado",$H$5:$H$3004,"&lt;&gt;Remarcado")&gt;0,"Sim","Não"))</f>
        <v/>
      </c>
      <c r="S1578" s="32">
        <f>IF(R1578&lt;&gt;"Não","",IF(Q1578+Config!$B$9&lt;=Config!$B$8,Config!$B$8-Q1578,""))</f>
        <v/>
      </c>
      <c r="T1578" s="26">
        <f>IF(S1578="","","Sim")</f>
        <v/>
      </c>
      <c r="U1578" s="41">
        <f>IF(T1578="Sim",S1578+ROW()/100000,0)</f>
        <v>0</v>
      </c>
      <c r="V1578" s="41">
        <f>IF(AND(H1578="Falta",L1578=Config!$B$7,M1578=Config!$B$5,COUNTIFS($E$5:E1578,E1578,$H$5:H1578,"Falta",$L$5:L1578,Config!$B$7,$M$5:M1578,Config!$B$5)=1),COUNTIFS($E$5:$E$3004,E1578,$H$5:$H$3004,"Falta",$L$5:$L$3004,Config!$B$7,$M$5:$M$3004,Config!$B$5)*1000-ROW()/100000,0)</f>
        <v>0</v>
      </c>
    </row>
    <row r="1579">
      <c r="A1579" s="39" t="n"/>
      <c r="B1579" s="40" t="n"/>
      <c r="C1579" s="35" t="n"/>
      <c r="D1579" s="35" t="n"/>
      <c r="E1579" s="34" t="n"/>
      <c r="F1579" s="35" t="n"/>
      <c r="G1579" s="35" t="n"/>
      <c r="H1579" s="35" t="n"/>
      <c r="I1579" s="35" t="n"/>
      <c r="J1579" s="35" t="n"/>
      <c r="K1579" s="34" t="n"/>
      <c r="L1579" s="26">
        <f>IF(A1579="","",MONTH(A1579))</f>
        <v/>
      </c>
      <c r="M1579" s="26">
        <f>IF(A1579="","",YEAR(A1579))</f>
        <v/>
      </c>
      <c r="N1579" s="26">
        <f>IF(A1579="","",CHOOSE(WEEKDAY(A1579,2),"Segunda","Terça","Quarta","Quinta","Sexta","Sábado","Domingo"))</f>
        <v/>
      </c>
      <c r="O1579" s="26">
        <f>IF(B1579="","",IF(B1579&lt;TIME(12,0,0),"Manhã",IF(B1579&lt;TIME(18,0,0),"Tarde","Noite")))</f>
        <v/>
      </c>
      <c r="P1579" s="32">
        <f>IF(G1579="","",IFERROR(INDEX(Config!$I$5:$I$16,MATCH(G1579,Config!$H$5:$H$16,0)),0))</f>
        <v/>
      </c>
      <c r="Q1579" s="30">
        <f>IF(OR(H1579&lt;&gt;"Realizado",P1579="",P1579=0),"",A1579+P1579)</f>
        <v/>
      </c>
      <c r="R1579" s="26">
        <f>IF(Q1579="","",IF(COUNTIFS($E$5:$E$3004,E1579,$A$5:$A$3004,"&gt;"&amp;A1579,$H$5:$H$3004,"&lt;&gt;Falta",$H$5:$H$3004,"&lt;&gt;Cancelado",$H$5:$H$3004,"&lt;&gt;Remarcado")&gt;0,"Sim","Não"))</f>
        <v/>
      </c>
      <c r="S1579" s="32">
        <f>IF(R1579&lt;&gt;"Não","",IF(Q1579+Config!$B$9&lt;=Config!$B$8,Config!$B$8-Q1579,""))</f>
        <v/>
      </c>
      <c r="T1579" s="26">
        <f>IF(S1579="","","Sim")</f>
        <v/>
      </c>
      <c r="U1579" s="41">
        <f>IF(T1579="Sim",S1579+ROW()/100000,0)</f>
        <v>0</v>
      </c>
      <c r="V1579" s="41">
        <f>IF(AND(H1579="Falta",L1579=Config!$B$7,M1579=Config!$B$5,COUNTIFS($E$5:E1579,E1579,$H$5:H1579,"Falta",$L$5:L1579,Config!$B$7,$M$5:M1579,Config!$B$5)=1),COUNTIFS($E$5:$E$3004,E1579,$H$5:$H$3004,"Falta",$L$5:$L$3004,Config!$B$7,$M$5:$M$3004,Config!$B$5)*1000-ROW()/100000,0)</f>
        <v>0</v>
      </c>
    </row>
    <row r="1580">
      <c r="A1580" s="39" t="n"/>
      <c r="B1580" s="40" t="n"/>
      <c r="C1580" s="35" t="n"/>
      <c r="D1580" s="35" t="n"/>
      <c r="E1580" s="34" t="n"/>
      <c r="F1580" s="35" t="n"/>
      <c r="G1580" s="35" t="n"/>
      <c r="H1580" s="35" t="n"/>
      <c r="I1580" s="35" t="n"/>
      <c r="J1580" s="35" t="n"/>
      <c r="K1580" s="34" t="n"/>
      <c r="L1580" s="26">
        <f>IF(A1580="","",MONTH(A1580))</f>
        <v/>
      </c>
      <c r="M1580" s="26">
        <f>IF(A1580="","",YEAR(A1580))</f>
        <v/>
      </c>
      <c r="N1580" s="26">
        <f>IF(A1580="","",CHOOSE(WEEKDAY(A1580,2),"Segunda","Terça","Quarta","Quinta","Sexta","Sábado","Domingo"))</f>
        <v/>
      </c>
      <c r="O1580" s="26">
        <f>IF(B1580="","",IF(B1580&lt;TIME(12,0,0),"Manhã",IF(B1580&lt;TIME(18,0,0),"Tarde","Noite")))</f>
        <v/>
      </c>
      <c r="P1580" s="32">
        <f>IF(G1580="","",IFERROR(INDEX(Config!$I$5:$I$16,MATCH(G1580,Config!$H$5:$H$16,0)),0))</f>
        <v/>
      </c>
      <c r="Q1580" s="30">
        <f>IF(OR(H1580&lt;&gt;"Realizado",P1580="",P1580=0),"",A1580+P1580)</f>
        <v/>
      </c>
      <c r="R1580" s="26">
        <f>IF(Q1580="","",IF(COUNTIFS($E$5:$E$3004,E1580,$A$5:$A$3004,"&gt;"&amp;A1580,$H$5:$H$3004,"&lt;&gt;Falta",$H$5:$H$3004,"&lt;&gt;Cancelado",$H$5:$H$3004,"&lt;&gt;Remarcado")&gt;0,"Sim","Não"))</f>
        <v/>
      </c>
      <c r="S1580" s="32">
        <f>IF(R1580&lt;&gt;"Não","",IF(Q1580+Config!$B$9&lt;=Config!$B$8,Config!$B$8-Q1580,""))</f>
        <v/>
      </c>
      <c r="T1580" s="26">
        <f>IF(S1580="","","Sim")</f>
        <v/>
      </c>
      <c r="U1580" s="41">
        <f>IF(T1580="Sim",S1580+ROW()/100000,0)</f>
        <v>0</v>
      </c>
      <c r="V1580" s="41">
        <f>IF(AND(H1580="Falta",L1580=Config!$B$7,M1580=Config!$B$5,COUNTIFS($E$5:E1580,E1580,$H$5:H1580,"Falta",$L$5:L1580,Config!$B$7,$M$5:M1580,Config!$B$5)=1),COUNTIFS($E$5:$E$3004,E1580,$H$5:$H$3004,"Falta",$L$5:$L$3004,Config!$B$7,$M$5:$M$3004,Config!$B$5)*1000-ROW()/100000,0)</f>
        <v>0</v>
      </c>
    </row>
    <row r="1581">
      <c r="A1581" s="39" t="n"/>
      <c r="B1581" s="40" t="n"/>
      <c r="C1581" s="35" t="n"/>
      <c r="D1581" s="35" t="n"/>
      <c r="E1581" s="34" t="n"/>
      <c r="F1581" s="35" t="n"/>
      <c r="G1581" s="35" t="n"/>
      <c r="H1581" s="35" t="n"/>
      <c r="I1581" s="35" t="n"/>
      <c r="J1581" s="35" t="n"/>
      <c r="K1581" s="34" t="n"/>
      <c r="L1581" s="26">
        <f>IF(A1581="","",MONTH(A1581))</f>
        <v/>
      </c>
      <c r="M1581" s="26">
        <f>IF(A1581="","",YEAR(A1581))</f>
        <v/>
      </c>
      <c r="N1581" s="26">
        <f>IF(A1581="","",CHOOSE(WEEKDAY(A1581,2),"Segunda","Terça","Quarta","Quinta","Sexta","Sábado","Domingo"))</f>
        <v/>
      </c>
      <c r="O1581" s="26">
        <f>IF(B1581="","",IF(B1581&lt;TIME(12,0,0),"Manhã",IF(B1581&lt;TIME(18,0,0),"Tarde","Noite")))</f>
        <v/>
      </c>
      <c r="P1581" s="32">
        <f>IF(G1581="","",IFERROR(INDEX(Config!$I$5:$I$16,MATCH(G1581,Config!$H$5:$H$16,0)),0))</f>
        <v/>
      </c>
      <c r="Q1581" s="30">
        <f>IF(OR(H1581&lt;&gt;"Realizado",P1581="",P1581=0),"",A1581+P1581)</f>
        <v/>
      </c>
      <c r="R1581" s="26">
        <f>IF(Q1581="","",IF(COUNTIFS($E$5:$E$3004,E1581,$A$5:$A$3004,"&gt;"&amp;A1581,$H$5:$H$3004,"&lt;&gt;Falta",$H$5:$H$3004,"&lt;&gt;Cancelado",$H$5:$H$3004,"&lt;&gt;Remarcado")&gt;0,"Sim","Não"))</f>
        <v/>
      </c>
      <c r="S1581" s="32">
        <f>IF(R1581&lt;&gt;"Não","",IF(Q1581+Config!$B$9&lt;=Config!$B$8,Config!$B$8-Q1581,""))</f>
        <v/>
      </c>
      <c r="T1581" s="26">
        <f>IF(S1581="","","Sim")</f>
        <v/>
      </c>
      <c r="U1581" s="41">
        <f>IF(T1581="Sim",S1581+ROW()/100000,0)</f>
        <v>0</v>
      </c>
      <c r="V1581" s="41">
        <f>IF(AND(H1581="Falta",L1581=Config!$B$7,M1581=Config!$B$5,COUNTIFS($E$5:E1581,E1581,$H$5:H1581,"Falta",$L$5:L1581,Config!$B$7,$M$5:M1581,Config!$B$5)=1),COUNTIFS($E$5:$E$3004,E1581,$H$5:$H$3004,"Falta",$L$5:$L$3004,Config!$B$7,$M$5:$M$3004,Config!$B$5)*1000-ROW()/100000,0)</f>
        <v>0</v>
      </c>
    </row>
    <row r="1582">
      <c r="A1582" s="39" t="n"/>
      <c r="B1582" s="40" t="n"/>
      <c r="C1582" s="35" t="n"/>
      <c r="D1582" s="35" t="n"/>
      <c r="E1582" s="34" t="n"/>
      <c r="F1582" s="35" t="n"/>
      <c r="G1582" s="35" t="n"/>
      <c r="H1582" s="35" t="n"/>
      <c r="I1582" s="35" t="n"/>
      <c r="J1582" s="35" t="n"/>
      <c r="K1582" s="34" t="n"/>
      <c r="L1582" s="26">
        <f>IF(A1582="","",MONTH(A1582))</f>
        <v/>
      </c>
      <c r="M1582" s="26">
        <f>IF(A1582="","",YEAR(A1582))</f>
        <v/>
      </c>
      <c r="N1582" s="26">
        <f>IF(A1582="","",CHOOSE(WEEKDAY(A1582,2),"Segunda","Terça","Quarta","Quinta","Sexta","Sábado","Domingo"))</f>
        <v/>
      </c>
      <c r="O1582" s="26">
        <f>IF(B1582="","",IF(B1582&lt;TIME(12,0,0),"Manhã",IF(B1582&lt;TIME(18,0,0),"Tarde","Noite")))</f>
        <v/>
      </c>
      <c r="P1582" s="32">
        <f>IF(G1582="","",IFERROR(INDEX(Config!$I$5:$I$16,MATCH(G1582,Config!$H$5:$H$16,0)),0))</f>
        <v/>
      </c>
      <c r="Q1582" s="30">
        <f>IF(OR(H1582&lt;&gt;"Realizado",P1582="",P1582=0),"",A1582+P1582)</f>
        <v/>
      </c>
      <c r="R1582" s="26">
        <f>IF(Q1582="","",IF(COUNTIFS($E$5:$E$3004,E1582,$A$5:$A$3004,"&gt;"&amp;A1582,$H$5:$H$3004,"&lt;&gt;Falta",$H$5:$H$3004,"&lt;&gt;Cancelado",$H$5:$H$3004,"&lt;&gt;Remarcado")&gt;0,"Sim","Não"))</f>
        <v/>
      </c>
      <c r="S1582" s="32">
        <f>IF(R1582&lt;&gt;"Não","",IF(Q1582+Config!$B$9&lt;=Config!$B$8,Config!$B$8-Q1582,""))</f>
        <v/>
      </c>
      <c r="T1582" s="26">
        <f>IF(S1582="","","Sim")</f>
        <v/>
      </c>
      <c r="U1582" s="41">
        <f>IF(T1582="Sim",S1582+ROW()/100000,0)</f>
        <v>0</v>
      </c>
      <c r="V1582" s="41">
        <f>IF(AND(H1582="Falta",L1582=Config!$B$7,M1582=Config!$B$5,COUNTIFS($E$5:E1582,E1582,$H$5:H1582,"Falta",$L$5:L1582,Config!$B$7,$M$5:M1582,Config!$B$5)=1),COUNTIFS($E$5:$E$3004,E1582,$H$5:$H$3004,"Falta",$L$5:$L$3004,Config!$B$7,$M$5:$M$3004,Config!$B$5)*1000-ROW()/100000,0)</f>
        <v>0</v>
      </c>
    </row>
    <row r="1583">
      <c r="A1583" s="39" t="n"/>
      <c r="B1583" s="40" t="n"/>
      <c r="C1583" s="35" t="n"/>
      <c r="D1583" s="35" t="n"/>
      <c r="E1583" s="34" t="n"/>
      <c r="F1583" s="35" t="n"/>
      <c r="G1583" s="35" t="n"/>
      <c r="H1583" s="35" t="n"/>
      <c r="I1583" s="35" t="n"/>
      <c r="J1583" s="35" t="n"/>
      <c r="K1583" s="34" t="n"/>
      <c r="L1583" s="26">
        <f>IF(A1583="","",MONTH(A1583))</f>
        <v/>
      </c>
      <c r="M1583" s="26">
        <f>IF(A1583="","",YEAR(A1583))</f>
        <v/>
      </c>
      <c r="N1583" s="26">
        <f>IF(A1583="","",CHOOSE(WEEKDAY(A1583,2),"Segunda","Terça","Quarta","Quinta","Sexta","Sábado","Domingo"))</f>
        <v/>
      </c>
      <c r="O1583" s="26">
        <f>IF(B1583="","",IF(B1583&lt;TIME(12,0,0),"Manhã",IF(B1583&lt;TIME(18,0,0),"Tarde","Noite")))</f>
        <v/>
      </c>
      <c r="P1583" s="32">
        <f>IF(G1583="","",IFERROR(INDEX(Config!$I$5:$I$16,MATCH(G1583,Config!$H$5:$H$16,0)),0))</f>
        <v/>
      </c>
      <c r="Q1583" s="30">
        <f>IF(OR(H1583&lt;&gt;"Realizado",P1583="",P1583=0),"",A1583+P1583)</f>
        <v/>
      </c>
      <c r="R1583" s="26">
        <f>IF(Q1583="","",IF(COUNTIFS($E$5:$E$3004,E1583,$A$5:$A$3004,"&gt;"&amp;A1583,$H$5:$H$3004,"&lt;&gt;Falta",$H$5:$H$3004,"&lt;&gt;Cancelado",$H$5:$H$3004,"&lt;&gt;Remarcado")&gt;0,"Sim","Não"))</f>
        <v/>
      </c>
      <c r="S1583" s="32">
        <f>IF(R1583&lt;&gt;"Não","",IF(Q1583+Config!$B$9&lt;=Config!$B$8,Config!$B$8-Q1583,""))</f>
        <v/>
      </c>
      <c r="T1583" s="26">
        <f>IF(S1583="","","Sim")</f>
        <v/>
      </c>
      <c r="U1583" s="41">
        <f>IF(T1583="Sim",S1583+ROW()/100000,0)</f>
        <v>0</v>
      </c>
      <c r="V1583" s="41">
        <f>IF(AND(H1583="Falta",L1583=Config!$B$7,M1583=Config!$B$5,COUNTIFS($E$5:E1583,E1583,$H$5:H1583,"Falta",$L$5:L1583,Config!$B$7,$M$5:M1583,Config!$B$5)=1),COUNTIFS($E$5:$E$3004,E1583,$H$5:$H$3004,"Falta",$L$5:$L$3004,Config!$B$7,$M$5:$M$3004,Config!$B$5)*1000-ROW()/100000,0)</f>
        <v>0</v>
      </c>
    </row>
    <row r="1584">
      <c r="A1584" s="39" t="n"/>
      <c r="B1584" s="40" t="n"/>
      <c r="C1584" s="35" t="n"/>
      <c r="D1584" s="35" t="n"/>
      <c r="E1584" s="34" t="n"/>
      <c r="F1584" s="35" t="n"/>
      <c r="G1584" s="35" t="n"/>
      <c r="H1584" s="35" t="n"/>
      <c r="I1584" s="35" t="n"/>
      <c r="J1584" s="35" t="n"/>
      <c r="K1584" s="34" t="n"/>
      <c r="L1584" s="26">
        <f>IF(A1584="","",MONTH(A1584))</f>
        <v/>
      </c>
      <c r="M1584" s="26">
        <f>IF(A1584="","",YEAR(A1584))</f>
        <v/>
      </c>
      <c r="N1584" s="26">
        <f>IF(A1584="","",CHOOSE(WEEKDAY(A1584,2),"Segunda","Terça","Quarta","Quinta","Sexta","Sábado","Domingo"))</f>
        <v/>
      </c>
      <c r="O1584" s="26">
        <f>IF(B1584="","",IF(B1584&lt;TIME(12,0,0),"Manhã",IF(B1584&lt;TIME(18,0,0),"Tarde","Noite")))</f>
        <v/>
      </c>
      <c r="P1584" s="32">
        <f>IF(G1584="","",IFERROR(INDEX(Config!$I$5:$I$16,MATCH(G1584,Config!$H$5:$H$16,0)),0))</f>
        <v/>
      </c>
      <c r="Q1584" s="30">
        <f>IF(OR(H1584&lt;&gt;"Realizado",P1584="",P1584=0),"",A1584+P1584)</f>
        <v/>
      </c>
      <c r="R1584" s="26">
        <f>IF(Q1584="","",IF(COUNTIFS($E$5:$E$3004,E1584,$A$5:$A$3004,"&gt;"&amp;A1584,$H$5:$H$3004,"&lt;&gt;Falta",$H$5:$H$3004,"&lt;&gt;Cancelado",$H$5:$H$3004,"&lt;&gt;Remarcado")&gt;0,"Sim","Não"))</f>
        <v/>
      </c>
      <c r="S1584" s="32">
        <f>IF(R1584&lt;&gt;"Não","",IF(Q1584+Config!$B$9&lt;=Config!$B$8,Config!$B$8-Q1584,""))</f>
        <v/>
      </c>
      <c r="T1584" s="26">
        <f>IF(S1584="","","Sim")</f>
        <v/>
      </c>
      <c r="U1584" s="41">
        <f>IF(T1584="Sim",S1584+ROW()/100000,0)</f>
        <v>0</v>
      </c>
      <c r="V1584" s="41">
        <f>IF(AND(H1584="Falta",L1584=Config!$B$7,M1584=Config!$B$5,COUNTIFS($E$5:E1584,E1584,$H$5:H1584,"Falta",$L$5:L1584,Config!$B$7,$M$5:M1584,Config!$B$5)=1),COUNTIFS($E$5:$E$3004,E1584,$H$5:$H$3004,"Falta",$L$5:$L$3004,Config!$B$7,$M$5:$M$3004,Config!$B$5)*1000-ROW()/100000,0)</f>
        <v>0</v>
      </c>
    </row>
    <row r="1585">
      <c r="A1585" s="39" t="n"/>
      <c r="B1585" s="40" t="n"/>
      <c r="C1585" s="35" t="n"/>
      <c r="D1585" s="35" t="n"/>
      <c r="E1585" s="34" t="n"/>
      <c r="F1585" s="35" t="n"/>
      <c r="G1585" s="35" t="n"/>
      <c r="H1585" s="35" t="n"/>
      <c r="I1585" s="35" t="n"/>
      <c r="J1585" s="35" t="n"/>
      <c r="K1585" s="34" t="n"/>
      <c r="L1585" s="26">
        <f>IF(A1585="","",MONTH(A1585))</f>
        <v/>
      </c>
      <c r="M1585" s="26">
        <f>IF(A1585="","",YEAR(A1585))</f>
        <v/>
      </c>
      <c r="N1585" s="26">
        <f>IF(A1585="","",CHOOSE(WEEKDAY(A1585,2),"Segunda","Terça","Quarta","Quinta","Sexta","Sábado","Domingo"))</f>
        <v/>
      </c>
      <c r="O1585" s="26">
        <f>IF(B1585="","",IF(B1585&lt;TIME(12,0,0),"Manhã",IF(B1585&lt;TIME(18,0,0),"Tarde","Noite")))</f>
        <v/>
      </c>
      <c r="P1585" s="32">
        <f>IF(G1585="","",IFERROR(INDEX(Config!$I$5:$I$16,MATCH(G1585,Config!$H$5:$H$16,0)),0))</f>
        <v/>
      </c>
      <c r="Q1585" s="30">
        <f>IF(OR(H1585&lt;&gt;"Realizado",P1585="",P1585=0),"",A1585+P1585)</f>
        <v/>
      </c>
      <c r="R1585" s="26">
        <f>IF(Q1585="","",IF(COUNTIFS($E$5:$E$3004,E1585,$A$5:$A$3004,"&gt;"&amp;A1585,$H$5:$H$3004,"&lt;&gt;Falta",$H$5:$H$3004,"&lt;&gt;Cancelado",$H$5:$H$3004,"&lt;&gt;Remarcado")&gt;0,"Sim","Não"))</f>
        <v/>
      </c>
      <c r="S1585" s="32">
        <f>IF(R1585&lt;&gt;"Não","",IF(Q1585+Config!$B$9&lt;=Config!$B$8,Config!$B$8-Q1585,""))</f>
        <v/>
      </c>
      <c r="T1585" s="26">
        <f>IF(S1585="","","Sim")</f>
        <v/>
      </c>
      <c r="U1585" s="41">
        <f>IF(T1585="Sim",S1585+ROW()/100000,0)</f>
        <v>0</v>
      </c>
      <c r="V1585" s="41">
        <f>IF(AND(H1585="Falta",L1585=Config!$B$7,M1585=Config!$B$5,COUNTIFS($E$5:E1585,E1585,$H$5:H1585,"Falta",$L$5:L1585,Config!$B$7,$M$5:M1585,Config!$B$5)=1),COUNTIFS($E$5:$E$3004,E1585,$H$5:$H$3004,"Falta",$L$5:$L$3004,Config!$B$7,$M$5:$M$3004,Config!$B$5)*1000-ROW()/100000,0)</f>
        <v>0</v>
      </c>
    </row>
    <row r="1586">
      <c r="A1586" s="39" t="n"/>
      <c r="B1586" s="40" t="n"/>
      <c r="C1586" s="35" t="n"/>
      <c r="D1586" s="35" t="n"/>
      <c r="E1586" s="34" t="n"/>
      <c r="F1586" s="35" t="n"/>
      <c r="G1586" s="35" t="n"/>
      <c r="H1586" s="35" t="n"/>
      <c r="I1586" s="35" t="n"/>
      <c r="J1586" s="35" t="n"/>
      <c r="K1586" s="34" t="n"/>
      <c r="L1586" s="26">
        <f>IF(A1586="","",MONTH(A1586))</f>
        <v/>
      </c>
      <c r="M1586" s="26">
        <f>IF(A1586="","",YEAR(A1586))</f>
        <v/>
      </c>
      <c r="N1586" s="26">
        <f>IF(A1586="","",CHOOSE(WEEKDAY(A1586,2),"Segunda","Terça","Quarta","Quinta","Sexta","Sábado","Domingo"))</f>
        <v/>
      </c>
      <c r="O1586" s="26">
        <f>IF(B1586="","",IF(B1586&lt;TIME(12,0,0),"Manhã",IF(B1586&lt;TIME(18,0,0),"Tarde","Noite")))</f>
        <v/>
      </c>
      <c r="P1586" s="32">
        <f>IF(G1586="","",IFERROR(INDEX(Config!$I$5:$I$16,MATCH(G1586,Config!$H$5:$H$16,0)),0))</f>
        <v/>
      </c>
      <c r="Q1586" s="30">
        <f>IF(OR(H1586&lt;&gt;"Realizado",P1586="",P1586=0),"",A1586+P1586)</f>
        <v/>
      </c>
      <c r="R1586" s="26">
        <f>IF(Q1586="","",IF(COUNTIFS($E$5:$E$3004,E1586,$A$5:$A$3004,"&gt;"&amp;A1586,$H$5:$H$3004,"&lt;&gt;Falta",$H$5:$H$3004,"&lt;&gt;Cancelado",$H$5:$H$3004,"&lt;&gt;Remarcado")&gt;0,"Sim","Não"))</f>
        <v/>
      </c>
      <c r="S1586" s="32">
        <f>IF(R1586&lt;&gt;"Não","",IF(Q1586+Config!$B$9&lt;=Config!$B$8,Config!$B$8-Q1586,""))</f>
        <v/>
      </c>
      <c r="T1586" s="26">
        <f>IF(S1586="","","Sim")</f>
        <v/>
      </c>
      <c r="U1586" s="41">
        <f>IF(T1586="Sim",S1586+ROW()/100000,0)</f>
        <v>0</v>
      </c>
      <c r="V1586" s="41">
        <f>IF(AND(H1586="Falta",L1586=Config!$B$7,M1586=Config!$B$5,COUNTIFS($E$5:E1586,E1586,$H$5:H1586,"Falta",$L$5:L1586,Config!$B$7,$M$5:M1586,Config!$B$5)=1),COUNTIFS($E$5:$E$3004,E1586,$H$5:$H$3004,"Falta",$L$5:$L$3004,Config!$B$7,$M$5:$M$3004,Config!$B$5)*1000-ROW()/100000,0)</f>
        <v>0</v>
      </c>
    </row>
    <row r="1587">
      <c r="A1587" s="39" t="n"/>
      <c r="B1587" s="40" t="n"/>
      <c r="C1587" s="35" t="n"/>
      <c r="D1587" s="35" t="n"/>
      <c r="E1587" s="34" t="n"/>
      <c r="F1587" s="35" t="n"/>
      <c r="G1587" s="35" t="n"/>
      <c r="H1587" s="35" t="n"/>
      <c r="I1587" s="35" t="n"/>
      <c r="J1587" s="35" t="n"/>
      <c r="K1587" s="34" t="n"/>
      <c r="L1587" s="26">
        <f>IF(A1587="","",MONTH(A1587))</f>
        <v/>
      </c>
      <c r="M1587" s="26">
        <f>IF(A1587="","",YEAR(A1587))</f>
        <v/>
      </c>
      <c r="N1587" s="26">
        <f>IF(A1587="","",CHOOSE(WEEKDAY(A1587,2),"Segunda","Terça","Quarta","Quinta","Sexta","Sábado","Domingo"))</f>
        <v/>
      </c>
      <c r="O1587" s="26">
        <f>IF(B1587="","",IF(B1587&lt;TIME(12,0,0),"Manhã",IF(B1587&lt;TIME(18,0,0),"Tarde","Noite")))</f>
        <v/>
      </c>
      <c r="P1587" s="32">
        <f>IF(G1587="","",IFERROR(INDEX(Config!$I$5:$I$16,MATCH(G1587,Config!$H$5:$H$16,0)),0))</f>
        <v/>
      </c>
      <c r="Q1587" s="30">
        <f>IF(OR(H1587&lt;&gt;"Realizado",P1587="",P1587=0),"",A1587+P1587)</f>
        <v/>
      </c>
      <c r="R1587" s="26">
        <f>IF(Q1587="","",IF(COUNTIFS($E$5:$E$3004,E1587,$A$5:$A$3004,"&gt;"&amp;A1587,$H$5:$H$3004,"&lt;&gt;Falta",$H$5:$H$3004,"&lt;&gt;Cancelado",$H$5:$H$3004,"&lt;&gt;Remarcado")&gt;0,"Sim","Não"))</f>
        <v/>
      </c>
      <c r="S1587" s="32">
        <f>IF(R1587&lt;&gt;"Não","",IF(Q1587+Config!$B$9&lt;=Config!$B$8,Config!$B$8-Q1587,""))</f>
        <v/>
      </c>
      <c r="T1587" s="26">
        <f>IF(S1587="","","Sim")</f>
        <v/>
      </c>
      <c r="U1587" s="41">
        <f>IF(T1587="Sim",S1587+ROW()/100000,0)</f>
        <v>0</v>
      </c>
      <c r="V1587" s="41">
        <f>IF(AND(H1587="Falta",L1587=Config!$B$7,M1587=Config!$B$5,COUNTIFS($E$5:E1587,E1587,$H$5:H1587,"Falta",$L$5:L1587,Config!$B$7,$M$5:M1587,Config!$B$5)=1),COUNTIFS($E$5:$E$3004,E1587,$H$5:$H$3004,"Falta",$L$5:$L$3004,Config!$B$7,$M$5:$M$3004,Config!$B$5)*1000-ROW()/100000,0)</f>
        <v>0</v>
      </c>
    </row>
    <row r="1588">
      <c r="A1588" s="39" t="n"/>
      <c r="B1588" s="40" t="n"/>
      <c r="C1588" s="35" t="n"/>
      <c r="D1588" s="35" t="n"/>
      <c r="E1588" s="34" t="n"/>
      <c r="F1588" s="35" t="n"/>
      <c r="G1588" s="35" t="n"/>
      <c r="H1588" s="35" t="n"/>
      <c r="I1588" s="35" t="n"/>
      <c r="J1588" s="35" t="n"/>
      <c r="K1588" s="34" t="n"/>
      <c r="L1588" s="26">
        <f>IF(A1588="","",MONTH(A1588))</f>
        <v/>
      </c>
      <c r="M1588" s="26">
        <f>IF(A1588="","",YEAR(A1588))</f>
        <v/>
      </c>
      <c r="N1588" s="26">
        <f>IF(A1588="","",CHOOSE(WEEKDAY(A1588,2),"Segunda","Terça","Quarta","Quinta","Sexta","Sábado","Domingo"))</f>
        <v/>
      </c>
      <c r="O1588" s="26">
        <f>IF(B1588="","",IF(B1588&lt;TIME(12,0,0),"Manhã",IF(B1588&lt;TIME(18,0,0),"Tarde","Noite")))</f>
        <v/>
      </c>
      <c r="P1588" s="32">
        <f>IF(G1588="","",IFERROR(INDEX(Config!$I$5:$I$16,MATCH(G1588,Config!$H$5:$H$16,0)),0))</f>
        <v/>
      </c>
      <c r="Q1588" s="30">
        <f>IF(OR(H1588&lt;&gt;"Realizado",P1588="",P1588=0),"",A1588+P1588)</f>
        <v/>
      </c>
      <c r="R1588" s="26">
        <f>IF(Q1588="","",IF(COUNTIFS($E$5:$E$3004,E1588,$A$5:$A$3004,"&gt;"&amp;A1588,$H$5:$H$3004,"&lt;&gt;Falta",$H$5:$H$3004,"&lt;&gt;Cancelado",$H$5:$H$3004,"&lt;&gt;Remarcado")&gt;0,"Sim","Não"))</f>
        <v/>
      </c>
      <c r="S1588" s="32">
        <f>IF(R1588&lt;&gt;"Não","",IF(Q1588+Config!$B$9&lt;=Config!$B$8,Config!$B$8-Q1588,""))</f>
        <v/>
      </c>
      <c r="T1588" s="26">
        <f>IF(S1588="","","Sim")</f>
        <v/>
      </c>
      <c r="U1588" s="41">
        <f>IF(T1588="Sim",S1588+ROW()/100000,0)</f>
        <v>0</v>
      </c>
      <c r="V1588" s="41">
        <f>IF(AND(H1588="Falta",L1588=Config!$B$7,M1588=Config!$B$5,COUNTIFS($E$5:E1588,E1588,$H$5:H1588,"Falta",$L$5:L1588,Config!$B$7,$M$5:M1588,Config!$B$5)=1),COUNTIFS($E$5:$E$3004,E1588,$H$5:$H$3004,"Falta",$L$5:$L$3004,Config!$B$7,$M$5:$M$3004,Config!$B$5)*1000-ROW()/100000,0)</f>
        <v>0</v>
      </c>
    </row>
    <row r="1589">
      <c r="A1589" s="39" t="n"/>
      <c r="B1589" s="40" t="n"/>
      <c r="C1589" s="35" t="n"/>
      <c r="D1589" s="35" t="n"/>
      <c r="E1589" s="34" t="n"/>
      <c r="F1589" s="35" t="n"/>
      <c r="G1589" s="35" t="n"/>
      <c r="H1589" s="35" t="n"/>
      <c r="I1589" s="35" t="n"/>
      <c r="J1589" s="35" t="n"/>
      <c r="K1589" s="34" t="n"/>
      <c r="L1589" s="26">
        <f>IF(A1589="","",MONTH(A1589))</f>
        <v/>
      </c>
      <c r="M1589" s="26">
        <f>IF(A1589="","",YEAR(A1589))</f>
        <v/>
      </c>
      <c r="N1589" s="26">
        <f>IF(A1589="","",CHOOSE(WEEKDAY(A1589,2),"Segunda","Terça","Quarta","Quinta","Sexta","Sábado","Domingo"))</f>
        <v/>
      </c>
      <c r="O1589" s="26">
        <f>IF(B1589="","",IF(B1589&lt;TIME(12,0,0),"Manhã",IF(B1589&lt;TIME(18,0,0),"Tarde","Noite")))</f>
        <v/>
      </c>
      <c r="P1589" s="32">
        <f>IF(G1589="","",IFERROR(INDEX(Config!$I$5:$I$16,MATCH(G1589,Config!$H$5:$H$16,0)),0))</f>
        <v/>
      </c>
      <c r="Q1589" s="30">
        <f>IF(OR(H1589&lt;&gt;"Realizado",P1589="",P1589=0),"",A1589+P1589)</f>
        <v/>
      </c>
      <c r="R1589" s="26">
        <f>IF(Q1589="","",IF(COUNTIFS($E$5:$E$3004,E1589,$A$5:$A$3004,"&gt;"&amp;A1589,$H$5:$H$3004,"&lt;&gt;Falta",$H$5:$H$3004,"&lt;&gt;Cancelado",$H$5:$H$3004,"&lt;&gt;Remarcado")&gt;0,"Sim","Não"))</f>
        <v/>
      </c>
      <c r="S1589" s="32">
        <f>IF(R1589&lt;&gt;"Não","",IF(Q1589+Config!$B$9&lt;=Config!$B$8,Config!$B$8-Q1589,""))</f>
        <v/>
      </c>
      <c r="T1589" s="26">
        <f>IF(S1589="","","Sim")</f>
        <v/>
      </c>
      <c r="U1589" s="41">
        <f>IF(T1589="Sim",S1589+ROW()/100000,0)</f>
        <v>0</v>
      </c>
      <c r="V1589" s="41">
        <f>IF(AND(H1589="Falta",L1589=Config!$B$7,M1589=Config!$B$5,COUNTIFS($E$5:E1589,E1589,$H$5:H1589,"Falta",$L$5:L1589,Config!$B$7,$M$5:M1589,Config!$B$5)=1),COUNTIFS($E$5:$E$3004,E1589,$H$5:$H$3004,"Falta",$L$5:$L$3004,Config!$B$7,$M$5:$M$3004,Config!$B$5)*1000-ROW()/100000,0)</f>
        <v>0</v>
      </c>
    </row>
    <row r="1590">
      <c r="A1590" s="39" t="n"/>
      <c r="B1590" s="40" t="n"/>
      <c r="C1590" s="35" t="n"/>
      <c r="D1590" s="35" t="n"/>
      <c r="E1590" s="34" t="n"/>
      <c r="F1590" s="35" t="n"/>
      <c r="G1590" s="35" t="n"/>
      <c r="H1590" s="35" t="n"/>
      <c r="I1590" s="35" t="n"/>
      <c r="J1590" s="35" t="n"/>
      <c r="K1590" s="34" t="n"/>
      <c r="L1590" s="26">
        <f>IF(A1590="","",MONTH(A1590))</f>
        <v/>
      </c>
      <c r="M1590" s="26">
        <f>IF(A1590="","",YEAR(A1590))</f>
        <v/>
      </c>
      <c r="N1590" s="26">
        <f>IF(A1590="","",CHOOSE(WEEKDAY(A1590,2),"Segunda","Terça","Quarta","Quinta","Sexta","Sábado","Domingo"))</f>
        <v/>
      </c>
      <c r="O1590" s="26">
        <f>IF(B1590="","",IF(B1590&lt;TIME(12,0,0),"Manhã",IF(B1590&lt;TIME(18,0,0),"Tarde","Noite")))</f>
        <v/>
      </c>
      <c r="P1590" s="32">
        <f>IF(G1590="","",IFERROR(INDEX(Config!$I$5:$I$16,MATCH(G1590,Config!$H$5:$H$16,0)),0))</f>
        <v/>
      </c>
      <c r="Q1590" s="30">
        <f>IF(OR(H1590&lt;&gt;"Realizado",P1590="",P1590=0),"",A1590+P1590)</f>
        <v/>
      </c>
      <c r="R1590" s="26">
        <f>IF(Q1590="","",IF(COUNTIFS($E$5:$E$3004,E1590,$A$5:$A$3004,"&gt;"&amp;A1590,$H$5:$H$3004,"&lt;&gt;Falta",$H$5:$H$3004,"&lt;&gt;Cancelado",$H$5:$H$3004,"&lt;&gt;Remarcado")&gt;0,"Sim","Não"))</f>
        <v/>
      </c>
      <c r="S1590" s="32">
        <f>IF(R1590&lt;&gt;"Não","",IF(Q1590+Config!$B$9&lt;=Config!$B$8,Config!$B$8-Q1590,""))</f>
        <v/>
      </c>
      <c r="T1590" s="26">
        <f>IF(S1590="","","Sim")</f>
        <v/>
      </c>
      <c r="U1590" s="41">
        <f>IF(T1590="Sim",S1590+ROW()/100000,0)</f>
        <v>0</v>
      </c>
      <c r="V1590" s="41">
        <f>IF(AND(H1590="Falta",L1590=Config!$B$7,M1590=Config!$B$5,COUNTIFS($E$5:E1590,E1590,$H$5:H1590,"Falta",$L$5:L1590,Config!$B$7,$M$5:M1590,Config!$B$5)=1),COUNTIFS($E$5:$E$3004,E1590,$H$5:$H$3004,"Falta",$L$5:$L$3004,Config!$B$7,$M$5:$M$3004,Config!$B$5)*1000-ROW()/100000,0)</f>
        <v>0</v>
      </c>
    </row>
    <row r="1591">
      <c r="A1591" s="39" t="n"/>
      <c r="B1591" s="40" t="n"/>
      <c r="C1591" s="35" t="n"/>
      <c r="D1591" s="35" t="n"/>
      <c r="E1591" s="34" t="n"/>
      <c r="F1591" s="35" t="n"/>
      <c r="G1591" s="35" t="n"/>
      <c r="H1591" s="35" t="n"/>
      <c r="I1591" s="35" t="n"/>
      <c r="J1591" s="35" t="n"/>
      <c r="K1591" s="34" t="n"/>
      <c r="L1591" s="26">
        <f>IF(A1591="","",MONTH(A1591))</f>
        <v/>
      </c>
      <c r="M1591" s="26">
        <f>IF(A1591="","",YEAR(A1591))</f>
        <v/>
      </c>
      <c r="N1591" s="26">
        <f>IF(A1591="","",CHOOSE(WEEKDAY(A1591,2),"Segunda","Terça","Quarta","Quinta","Sexta","Sábado","Domingo"))</f>
        <v/>
      </c>
      <c r="O1591" s="26">
        <f>IF(B1591="","",IF(B1591&lt;TIME(12,0,0),"Manhã",IF(B1591&lt;TIME(18,0,0),"Tarde","Noite")))</f>
        <v/>
      </c>
      <c r="P1591" s="32">
        <f>IF(G1591="","",IFERROR(INDEX(Config!$I$5:$I$16,MATCH(G1591,Config!$H$5:$H$16,0)),0))</f>
        <v/>
      </c>
      <c r="Q1591" s="30">
        <f>IF(OR(H1591&lt;&gt;"Realizado",P1591="",P1591=0),"",A1591+P1591)</f>
        <v/>
      </c>
      <c r="R1591" s="26">
        <f>IF(Q1591="","",IF(COUNTIFS($E$5:$E$3004,E1591,$A$5:$A$3004,"&gt;"&amp;A1591,$H$5:$H$3004,"&lt;&gt;Falta",$H$5:$H$3004,"&lt;&gt;Cancelado",$H$5:$H$3004,"&lt;&gt;Remarcado")&gt;0,"Sim","Não"))</f>
        <v/>
      </c>
      <c r="S1591" s="32">
        <f>IF(R1591&lt;&gt;"Não","",IF(Q1591+Config!$B$9&lt;=Config!$B$8,Config!$B$8-Q1591,""))</f>
        <v/>
      </c>
      <c r="T1591" s="26">
        <f>IF(S1591="","","Sim")</f>
        <v/>
      </c>
      <c r="U1591" s="41">
        <f>IF(T1591="Sim",S1591+ROW()/100000,0)</f>
        <v>0</v>
      </c>
      <c r="V1591" s="41">
        <f>IF(AND(H1591="Falta",L1591=Config!$B$7,M1591=Config!$B$5,COUNTIFS($E$5:E1591,E1591,$H$5:H1591,"Falta",$L$5:L1591,Config!$B$7,$M$5:M1591,Config!$B$5)=1),COUNTIFS($E$5:$E$3004,E1591,$H$5:$H$3004,"Falta",$L$5:$L$3004,Config!$B$7,$M$5:$M$3004,Config!$B$5)*1000-ROW()/100000,0)</f>
        <v>0</v>
      </c>
    </row>
    <row r="1592">
      <c r="A1592" s="39" t="n"/>
      <c r="B1592" s="40" t="n"/>
      <c r="C1592" s="35" t="n"/>
      <c r="D1592" s="35" t="n"/>
      <c r="E1592" s="34" t="n"/>
      <c r="F1592" s="35" t="n"/>
      <c r="G1592" s="35" t="n"/>
      <c r="H1592" s="35" t="n"/>
      <c r="I1592" s="35" t="n"/>
      <c r="J1592" s="35" t="n"/>
      <c r="K1592" s="34" t="n"/>
      <c r="L1592" s="26">
        <f>IF(A1592="","",MONTH(A1592))</f>
        <v/>
      </c>
      <c r="M1592" s="26">
        <f>IF(A1592="","",YEAR(A1592))</f>
        <v/>
      </c>
      <c r="N1592" s="26">
        <f>IF(A1592="","",CHOOSE(WEEKDAY(A1592,2),"Segunda","Terça","Quarta","Quinta","Sexta","Sábado","Domingo"))</f>
        <v/>
      </c>
      <c r="O1592" s="26">
        <f>IF(B1592="","",IF(B1592&lt;TIME(12,0,0),"Manhã",IF(B1592&lt;TIME(18,0,0),"Tarde","Noite")))</f>
        <v/>
      </c>
      <c r="P1592" s="32">
        <f>IF(G1592="","",IFERROR(INDEX(Config!$I$5:$I$16,MATCH(G1592,Config!$H$5:$H$16,0)),0))</f>
        <v/>
      </c>
      <c r="Q1592" s="30">
        <f>IF(OR(H1592&lt;&gt;"Realizado",P1592="",P1592=0),"",A1592+P1592)</f>
        <v/>
      </c>
      <c r="R1592" s="26">
        <f>IF(Q1592="","",IF(COUNTIFS($E$5:$E$3004,E1592,$A$5:$A$3004,"&gt;"&amp;A1592,$H$5:$H$3004,"&lt;&gt;Falta",$H$5:$H$3004,"&lt;&gt;Cancelado",$H$5:$H$3004,"&lt;&gt;Remarcado")&gt;0,"Sim","Não"))</f>
        <v/>
      </c>
      <c r="S1592" s="32">
        <f>IF(R1592&lt;&gt;"Não","",IF(Q1592+Config!$B$9&lt;=Config!$B$8,Config!$B$8-Q1592,""))</f>
        <v/>
      </c>
      <c r="T1592" s="26">
        <f>IF(S1592="","","Sim")</f>
        <v/>
      </c>
      <c r="U1592" s="41">
        <f>IF(T1592="Sim",S1592+ROW()/100000,0)</f>
        <v>0</v>
      </c>
      <c r="V1592" s="41">
        <f>IF(AND(H1592="Falta",L1592=Config!$B$7,M1592=Config!$B$5,COUNTIFS($E$5:E1592,E1592,$H$5:H1592,"Falta",$L$5:L1592,Config!$B$7,$M$5:M1592,Config!$B$5)=1),COUNTIFS($E$5:$E$3004,E1592,$H$5:$H$3004,"Falta",$L$5:$L$3004,Config!$B$7,$M$5:$M$3004,Config!$B$5)*1000-ROW()/100000,0)</f>
        <v>0</v>
      </c>
    </row>
    <row r="1593">
      <c r="A1593" s="39" t="n"/>
      <c r="B1593" s="40" t="n"/>
      <c r="C1593" s="35" t="n"/>
      <c r="D1593" s="35" t="n"/>
      <c r="E1593" s="34" t="n"/>
      <c r="F1593" s="35" t="n"/>
      <c r="G1593" s="35" t="n"/>
      <c r="H1593" s="35" t="n"/>
      <c r="I1593" s="35" t="n"/>
      <c r="J1593" s="35" t="n"/>
      <c r="K1593" s="34" t="n"/>
      <c r="L1593" s="26">
        <f>IF(A1593="","",MONTH(A1593))</f>
        <v/>
      </c>
      <c r="M1593" s="26">
        <f>IF(A1593="","",YEAR(A1593))</f>
        <v/>
      </c>
      <c r="N1593" s="26">
        <f>IF(A1593="","",CHOOSE(WEEKDAY(A1593,2),"Segunda","Terça","Quarta","Quinta","Sexta","Sábado","Domingo"))</f>
        <v/>
      </c>
      <c r="O1593" s="26">
        <f>IF(B1593="","",IF(B1593&lt;TIME(12,0,0),"Manhã",IF(B1593&lt;TIME(18,0,0),"Tarde","Noite")))</f>
        <v/>
      </c>
      <c r="P1593" s="32">
        <f>IF(G1593="","",IFERROR(INDEX(Config!$I$5:$I$16,MATCH(G1593,Config!$H$5:$H$16,0)),0))</f>
        <v/>
      </c>
      <c r="Q1593" s="30">
        <f>IF(OR(H1593&lt;&gt;"Realizado",P1593="",P1593=0),"",A1593+P1593)</f>
        <v/>
      </c>
      <c r="R1593" s="26">
        <f>IF(Q1593="","",IF(COUNTIFS($E$5:$E$3004,E1593,$A$5:$A$3004,"&gt;"&amp;A1593,$H$5:$H$3004,"&lt;&gt;Falta",$H$5:$H$3004,"&lt;&gt;Cancelado",$H$5:$H$3004,"&lt;&gt;Remarcado")&gt;0,"Sim","Não"))</f>
        <v/>
      </c>
      <c r="S1593" s="32">
        <f>IF(R1593&lt;&gt;"Não","",IF(Q1593+Config!$B$9&lt;=Config!$B$8,Config!$B$8-Q1593,""))</f>
        <v/>
      </c>
      <c r="T1593" s="26">
        <f>IF(S1593="","","Sim")</f>
        <v/>
      </c>
      <c r="U1593" s="41">
        <f>IF(T1593="Sim",S1593+ROW()/100000,0)</f>
        <v>0</v>
      </c>
      <c r="V1593" s="41">
        <f>IF(AND(H1593="Falta",L1593=Config!$B$7,M1593=Config!$B$5,COUNTIFS($E$5:E1593,E1593,$H$5:H1593,"Falta",$L$5:L1593,Config!$B$7,$M$5:M1593,Config!$B$5)=1),COUNTIFS($E$5:$E$3004,E1593,$H$5:$H$3004,"Falta",$L$5:$L$3004,Config!$B$7,$M$5:$M$3004,Config!$B$5)*1000-ROW()/100000,0)</f>
        <v>0</v>
      </c>
    </row>
    <row r="1594">
      <c r="A1594" s="39" t="n"/>
      <c r="B1594" s="40" t="n"/>
      <c r="C1594" s="35" t="n"/>
      <c r="D1594" s="35" t="n"/>
      <c r="E1594" s="34" t="n"/>
      <c r="F1594" s="35" t="n"/>
      <c r="G1594" s="35" t="n"/>
      <c r="H1594" s="35" t="n"/>
      <c r="I1594" s="35" t="n"/>
      <c r="J1594" s="35" t="n"/>
      <c r="K1594" s="34" t="n"/>
      <c r="L1594" s="26">
        <f>IF(A1594="","",MONTH(A1594))</f>
        <v/>
      </c>
      <c r="M1594" s="26">
        <f>IF(A1594="","",YEAR(A1594))</f>
        <v/>
      </c>
      <c r="N1594" s="26">
        <f>IF(A1594="","",CHOOSE(WEEKDAY(A1594,2),"Segunda","Terça","Quarta","Quinta","Sexta","Sábado","Domingo"))</f>
        <v/>
      </c>
      <c r="O1594" s="26">
        <f>IF(B1594="","",IF(B1594&lt;TIME(12,0,0),"Manhã",IF(B1594&lt;TIME(18,0,0),"Tarde","Noite")))</f>
        <v/>
      </c>
      <c r="P1594" s="32">
        <f>IF(G1594="","",IFERROR(INDEX(Config!$I$5:$I$16,MATCH(G1594,Config!$H$5:$H$16,0)),0))</f>
        <v/>
      </c>
      <c r="Q1594" s="30">
        <f>IF(OR(H1594&lt;&gt;"Realizado",P1594="",P1594=0),"",A1594+P1594)</f>
        <v/>
      </c>
      <c r="R1594" s="26">
        <f>IF(Q1594="","",IF(COUNTIFS($E$5:$E$3004,E1594,$A$5:$A$3004,"&gt;"&amp;A1594,$H$5:$H$3004,"&lt;&gt;Falta",$H$5:$H$3004,"&lt;&gt;Cancelado",$H$5:$H$3004,"&lt;&gt;Remarcado")&gt;0,"Sim","Não"))</f>
        <v/>
      </c>
      <c r="S1594" s="32">
        <f>IF(R1594&lt;&gt;"Não","",IF(Q1594+Config!$B$9&lt;=Config!$B$8,Config!$B$8-Q1594,""))</f>
        <v/>
      </c>
      <c r="T1594" s="26">
        <f>IF(S1594="","","Sim")</f>
        <v/>
      </c>
      <c r="U1594" s="41">
        <f>IF(T1594="Sim",S1594+ROW()/100000,0)</f>
        <v>0</v>
      </c>
      <c r="V1594" s="41">
        <f>IF(AND(H1594="Falta",L1594=Config!$B$7,M1594=Config!$B$5,COUNTIFS($E$5:E1594,E1594,$H$5:H1594,"Falta",$L$5:L1594,Config!$B$7,$M$5:M1594,Config!$B$5)=1),COUNTIFS($E$5:$E$3004,E1594,$H$5:$H$3004,"Falta",$L$5:$L$3004,Config!$B$7,$M$5:$M$3004,Config!$B$5)*1000-ROW()/100000,0)</f>
        <v>0</v>
      </c>
    </row>
    <row r="1595">
      <c r="A1595" s="39" t="n"/>
      <c r="B1595" s="40" t="n"/>
      <c r="C1595" s="35" t="n"/>
      <c r="D1595" s="35" t="n"/>
      <c r="E1595" s="34" t="n"/>
      <c r="F1595" s="35" t="n"/>
      <c r="G1595" s="35" t="n"/>
      <c r="H1595" s="35" t="n"/>
      <c r="I1595" s="35" t="n"/>
      <c r="J1595" s="35" t="n"/>
      <c r="K1595" s="34" t="n"/>
      <c r="L1595" s="26">
        <f>IF(A1595="","",MONTH(A1595))</f>
        <v/>
      </c>
      <c r="M1595" s="26">
        <f>IF(A1595="","",YEAR(A1595))</f>
        <v/>
      </c>
      <c r="N1595" s="26">
        <f>IF(A1595="","",CHOOSE(WEEKDAY(A1595,2),"Segunda","Terça","Quarta","Quinta","Sexta","Sábado","Domingo"))</f>
        <v/>
      </c>
      <c r="O1595" s="26">
        <f>IF(B1595="","",IF(B1595&lt;TIME(12,0,0),"Manhã",IF(B1595&lt;TIME(18,0,0),"Tarde","Noite")))</f>
        <v/>
      </c>
      <c r="P1595" s="32">
        <f>IF(G1595="","",IFERROR(INDEX(Config!$I$5:$I$16,MATCH(G1595,Config!$H$5:$H$16,0)),0))</f>
        <v/>
      </c>
      <c r="Q1595" s="30">
        <f>IF(OR(H1595&lt;&gt;"Realizado",P1595="",P1595=0),"",A1595+P1595)</f>
        <v/>
      </c>
      <c r="R1595" s="26">
        <f>IF(Q1595="","",IF(COUNTIFS($E$5:$E$3004,E1595,$A$5:$A$3004,"&gt;"&amp;A1595,$H$5:$H$3004,"&lt;&gt;Falta",$H$5:$H$3004,"&lt;&gt;Cancelado",$H$5:$H$3004,"&lt;&gt;Remarcado")&gt;0,"Sim","Não"))</f>
        <v/>
      </c>
      <c r="S1595" s="32">
        <f>IF(R1595&lt;&gt;"Não","",IF(Q1595+Config!$B$9&lt;=Config!$B$8,Config!$B$8-Q1595,""))</f>
        <v/>
      </c>
      <c r="T1595" s="26">
        <f>IF(S1595="","","Sim")</f>
        <v/>
      </c>
      <c r="U1595" s="41">
        <f>IF(T1595="Sim",S1595+ROW()/100000,0)</f>
        <v>0</v>
      </c>
      <c r="V1595" s="41">
        <f>IF(AND(H1595="Falta",L1595=Config!$B$7,M1595=Config!$B$5,COUNTIFS($E$5:E1595,E1595,$H$5:H1595,"Falta",$L$5:L1595,Config!$B$7,$M$5:M1595,Config!$B$5)=1),COUNTIFS($E$5:$E$3004,E1595,$H$5:$H$3004,"Falta",$L$5:$L$3004,Config!$B$7,$M$5:$M$3004,Config!$B$5)*1000-ROW()/100000,0)</f>
        <v>0</v>
      </c>
    </row>
    <row r="1596">
      <c r="A1596" s="39" t="n"/>
      <c r="B1596" s="40" t="n"/>
      <c r="C1596" s="35" t="n"/>
      <c r="D1596" s="35" t="n"/>
      <c r="E1596" s="34" t="n"/>
      <c r="F1596" s="35" t="n"/>
      <c r="G1596" s="35" t="n"/>
      <c r="H1596" s="35" t="n"/>
      <c r="I1596" s="35" t="n"/>
      <c r="J1596" s="35" t="n"/>
      <c r="K1596" s="34" t="n"/>
      <c r="L1596" s="26">
        <f>IF(A1596="","",MONTH(A1596))</f>
        <v/>
      </c>
      <c r="M1596" s="26">
        <f>IF(A1596="","",YEAR(A1596))</f>
        <v/>
      </c>
      <c r="N1596" s="26">
        <f>IF(A1596="","",CHOOSE(WEEKDAY(A1596,2),"Segunda","Terça","Quarta","Quinta","Sexta","Sábado","Domingo"))</f>
        <v/>
      </c>
      <c r="O1596" s="26">
        <f>IF(B1596="","",IF(B1596&lt;TIME(12,0,0),"Manhã",IF(B1596&lt;TIME(18,0,0),"Tarde","Noite")))</f>
        <v/>
      </c>
      <c r="P1596" s="32">
        <f>IF(G1596="","",IFERROR(INDEX(Config!$I$5:$I$16,MATCH(G1596,Config!$H$5:$H$16,0)),0))</f>
        <v/>
      </c>
      <c r="Q1596" s="30">
        <f>IF(OR(H1596&lt;&gt;"Realizado",P1596="",P1596=0),"",A1596+P1596)</f>
        <v/>
      </c>
      <c r="R1596" s="26">
        <f>IF(Q1596="","",IF(COUNTIFS($E$5:$E$3004,E1596,$A$5:$A$3004,"&gt;"&amp;A1596,$H$5:$H$3004,"&lt;&gt;Falta",$H$5:$H$3004,"&lt;&gt;Cancelado",$H$5:$H$3004,"&lt;&gt;Remarcado")&gt;0,"Sim","Não"))</f>
        <v/>
      </c>
      <c r="S1596" s="32">
        <f>IF(R1596&lt;&gt;"Não","",IF(Q1596+Config!$B$9&lt;=Config!$B$8,Config!$B$8-Q1596,""))</f>
        <v/>
      </c>
      <c r="T1596" s="26">
        <f>IF(S1596="","","Sim")</f>
        <v/>
      </c>
      <c r="U1596" s="41">
        <f>IF(T1596="Sim",S1596+ROW()/100000,0)</f>
        <v>0</v>
      </c>
      <c r="V1596" s="41">
        <f>IF(AND(H1596="Falta",L1596=Config!$B$7,M1596=Config!$B$5,COUNTIFS($E$5:E1596,E1596,$H$5:H1596,"Falta",$L$5:L1596,Config!$B$7,$M$5:M1596,Config!$B$5)=1),COUNTIFS($E$5:$E$3004,E1596,$H$5:$H$3004,"Falta",$L$5:$L$3004,Config!$B$7,$M$5:$M$3004,Config!$B$5)*1000-ROW()/100000,0)</f>
        <v>0</v>
      </c>
    </row>
    <row r="1597">
      <c r="A1597" s="39" t="n"/>
      <c r="B1597" s="40" t="n"/>
      <c r="C1597" s="35" t="n"/>
      <c r="D1597" s="35" t="n"/>
      <c r="E1597" s="34" t="n"/>
      <c r="F1597" s="35" t="n"/>
      <c r="G1597" s="35" t="n"/>
      <c r="H1597" s="35" t="n"/>
      <c r="I1597" s="35" t="n"/>
      <c r="J1597" s="35" t="n"/>
      <c r="K1597" s="34" t="n"/>
      <c r="L1597" s="26">
        <f>IF(A1597="","",MONTH(A1597))</f>
        <v/>
      </c>
      <c r="M1597" s="26">
        <f>IF(A1597="","",YEAR(A1597))</f>
        <v/>
      </c>
      <c r="N1597" s="26">
        <f>IF(A1597="","",CHOOSE(WEEKDAY(A1597,2),"Segunda","Terça","Quarta","Quinta","Sexta","Sábado","Domingo"))</f>
        <v/>
      </c>
      <c r="O1597" s="26">
        <f>IF(B1597="","",IF(B1597&lt;TIME(12,0,0),"Manhã",IF(B1597&lt;TIME(18,0,0),"Tarde","Noite")))</f>
        <v/>
      </c>
      <c r="P1597" s="32">
        <f>IF(G1597="","",IFERROR(INDEX(Config!$I$5:$I$16,MATCH(G1597,Config!$H$5:$H$16,0)),0))</f>
        <v/>
      </c>
      <c r="Q1597" s="30">
        <f>IF(OR(H1597&lt;&gt;"Realizado",P1597="",P1597=0),"",A1597+P1597)</f>
        <v/>
      </c>
      <c r="R1597" s="26">
        <f>IF(Q1597="","",IF(COUNTIFS($E$5:$E$3004,E1597,$A$5:$A$3004,"&gt;"&amp;A1597,$H$5:$H$3004,"&lt;&gt;Falta",$H$5:$H$3004,"&lt;&gt;Cancelado",$H$5:$H$3004,"&lt;&gt;Remarcado")&gt;0,"Sim","Não"))</f>
        <v/>
      </c>
      <c r="S1597" s="32">
        <f>IF(R1597&lt;&gt;"Não","",IF(Q1597+Config!$B$9&lt;=Config!$B$8,Config!$B$8-Q1597,""))</f>
        <v/>
      </c>
      <c r="T1597" s="26">
        <f>IF(S1597="","","Sim")</f>
        <v/>
      </c>
      <c r="U1597" s="41">
        <f>IF(T1597="Sim",S1597+ROW()/100000,0)</f>
        <v>0</v>
      </c>
      <c r="V1597" s="41">
        <f>IF(AND(H1597="Falta",L1597=Config!$B$7,M1597=Config!$B$5,COUNTIFS($E$5:E1597,E1597,$H$5:H1597,"Falta",$L$5:L1597,Config!$B$7,$M$5:M1597,Config!$B$5)=1),COUNTIFS($E$5:$E$3004,E1597,$H$5:$H$3004,"Falta",$L$5:$L$3004,Config!$B$7,$M$5:$M$3004,Config!$B$5)*1000-ROW()/100000,0)</f>
        <v>0</v>
      </c>
    </row>
    <row r="1598">
      <c r="A1598" s="39" t="n"/>
      <c r="B1598" s="40" t="n"/>
      <c r="C1598" s="35" t="n"/>
      <c r="D1598" s="35" t="n"/>
      <c r="E1598" s="34" t="n"/>
      <c r="F1598" s="35" t="n"/>
      <c r="G1598" s="35" t="n"/>
      <c r="H1598" s="35" t="n"/>
      <c r="I1598" s="35" t="n"/>
      <c r="J1598" s="35" t="n"/>
      <c r="K1598" s="34" t="n"/>
      <c r="L1598" s="26">
        <f>IF(A1598="","",MONTH(A1598))</f>
        <v/>
      </c>
      <c r="M1598" s="26">
        <f>IF(A1598="","",YEAR(A1598))</f>
        <v/>
      </c>
      <c r="N1598" s="26">
        <f>IF(A1598="","",CHOOSE(WEEKDAY(A1598,2),"Segunda","Terça","Quarta","Quinta","Sexta","Sábado","Domingo"))</f>
        <v/>
      </c>
      <c r="O1598" s="26">
        <f>IF(B1598="","",IF(B1598&lt;TIME(12,0,0),"Manhã",IF(B1598&lt;TIME(18,0,0),"Tarde","Noite")))</f>
        <v/>
      </c>
      <c r="P1598" s="32">
        <f>IF(G1598="","",IFERROR(INDEX(Config!$I$5:$I$16,MATCH(G1598,Config!$H$5:$H$16,0)),0))</f>
        <v/>
      </c>
      <c r="Q1598" s="30">
        <f>IF(OR(H1598&lt;&gt;"Realizado",P1598="",P1598=0),"",A1598+P1598)</f>
        <v/>
      </c>
      <c r="R1598" s="26">
        <f>IF(Q1598="","",IF(COUNTIFS($E$5:$E$3004,E1598,$A$5:$A$3004,"&gt;"&amp;A1598,$H$5:$H$3004,"&lt;&gt;Falta",$H$5:$H$3004,"&lt;&gt;Cancelado",$H$5:$H$3004,"&lt;&gt;Remarcado")&gt;0,"Sim","Não"))</f>
        <v/>
      </c>
      <c r="S1598" s="32">
        <f>IF(R1598&lt;&gt;"Não","",IF(Q1598+Config!$B$9&lt;=Config!$B$8,Config!$B$8-Q1598,""))</f>
        <v/>
      </c>
      <c r="T1598" s="26">
        <f>IF(S1598="","","Sim")</f>
        <v/>
      </c>
      <c r="U1598" s="41">
        <f>IF(T1598="Sim",S1598+ROW()/100000,0)</f>
        <v>0</v>
      </c>
      <c r="V1598" s="41">
        <f>IF(AND(H1598="Falta",L1598=Config!$B$7,M1598=Config!$B$5,COUNTIFS($E$5:E1598,E1598,$H$5:H1598,"Falta",$L$5:L1598,Config!$B$7,$M$5:M1598,Config!$B$5)=1),COUNTIFS($E$5:$E$3004,E1598,$H$5:$H$3004,"Falta",$L$5:$L$3004,Config!$B$7,$M$5:$M$3004,Config!$B$5)*1000-ROW()/100000,0)</f>
        <v>0</v>
      </c>
    </row>
    <row r="1599">
      <c r="A1599" s="39" t="n"/>
      <c r="B1599" s="40" t="n"/>
      <c r="C1599" s="35" t="n"/>
      <c r="D1599" s="35" t="n"/>
      <c r="E1599" s="34" t="n"/>
      <c r="F1599" s="35" t="n"/>
      <c r="G1599" s="35" t="n"/>
      <c r="H1599" s="35" t="n"/>
      <c r="I1599" s="35" t="n"/>
      <c r="J1599" s="35" t="n"/>
      <c r="K1599" s="34" t="n"/>
      <c r="L1599" s="26">
        <f>IF(A1599="","",MONTH(A1599))</f>
        <v/>
      </c>
      <c r="M1599" s="26">
        <f>IF(A1599="","",YEAR(A1599))</f>
        <v/>
      </c>
      <c r="N1599" s="26">
        <f>IF(A1599="","",CHOOSE(WEEKDAY(A1599,2),"Segunda","Terça","Quarta","Quinta","Sexta","Sábado","Domingo"))</f>
        <v/>
      </c>
      <c r="O1599" s="26">
        <f>IF(B1599="","",IF(B1599&lt;TIME(12,0,0),"Manhã",IF(B1599&lt;TIME(18,0,0),"Tarde","Noite")))</f>
        <v/>
      </c>
      <c r="P1599" s="32">
        <f>IF(G1599="","",IFERROR(INDEX(Config!$I$5:$I$16,MATCH(G1599,Config!$H$5:$H$16,0)),0))</f>
        <v/>
      </c>
      <c r="Q1599" s="30">
        <f>IF(OR(H1599&lt;&gt;"Realizado",P1599="",P1599=0),"",A1599+P1599)</f>
        <v/>
      </c>
      <c r="R1599" s="26">
        <f>IF(Q1599="","",IF(COUNTIFS($E$5:$E$3004,E1599,$A$5:$A$3004,"&gt;"&amp;A1599,$H$5:$H$3004,"&lt;&gt;Falta",$H$5:$H$3004,"&lt;&gt;Cancelado",$H$5:$H$3004,"&lt;&gt;Remarcado")&gt;0,"Sim","Não"))</f>
        <v/>
      </c>
      <c r="S1599" s="32">
        <f>IF(R1599&lt;&gt;"Não","",IF(Q1599+Config!$B$9&lt;=Config!$B$8,Config!$B$8-Q1599,""))</f>
        <v/>
      </c>
      <c r="T1599" s="26">
        <f>IF(S1599="","","Sim")</f>
        <v/>
      </c>
      <c r="U1599" s="41">
        <f>IF(T1599="Sim",S1599+ROW()/100000,0)</f>
        <v>0</v>
      </c>
      <c r="V1599" s="41">
        <f>IF(AND(H1599="Falta",L1599=Config!$B$7,M1599=Config!$B$5,COUNTIFS($E$5:E1599,E1599,$H$5:H1599,"Falta",$L$5:L1599,Config!$B$7,$M$5:M1599,Config!$B$5)=1),COUNTIFS($E$5:$E$3004,E1599,$H$5:$H$3004,"Falta",$L$5:$L$3004,Config!$B$7,$M$5:$M$3004,Config!$B$5)*1000-ROW()/100000,0)</f>
        <v>0</v>
      </c>
    </row>
    <row r="1600">
      <c r="A1600" s="39" t="n"/>
      <c r="B1600" s="40" t="n"/>
      <c r="C1600" s="35" t="n"/>
      <c r="D1600" s="35" t="n"/>
      <c r="E1600" s="34" t="n"/>
      <c r="F1600" s="35" t="n"/>
      <c r="G1600" s="35" t="n"/>
      <c r="H1600" s="35" t="n"/>
      <c r="I1600" s="35" t="n"/>
      <c r="J1600" s="35" t="n"/>
      <c r="K1600" s="34" t="n"/>
      <c r="L1600" s="26">
        <f>IF(A1600="","",MONTH(A1600))</f>
        <v/>
      </c>
      <c r="M1600" s="26">
        <f>IF(A1600="","",YEAR(A1600))</f>
        <v/>
      </c>
      <c r="N1600" s="26">
        <f>IF(A1600="","",CHOOSE(WEEKDAY(A1600,2),"Segunda","Terça","Quarta","Quinta","Sexta","Sábado","Domingo"))</f>
        <v/>
      </c>
      <c r="O1600" s="26">
        <f>IF(B1600="","",IF(B1600&lt;TIME(12,0,0),"Manhã",IF(B1600&lt;TIME(18,0,0),"Tarde","Noite")))</f>
        <v/>
      </c>
      <c r="P1600" s="32">
        <f>IF(G1600="","",IFERROR(INDEX(Config!$I$5:$I$16,MATCH(G1600,Config!$H$5:$H$16,0)),0))</f>
        <v/>
      </c>
      <c r="Q1600" s="30">
        <f>IF(OR(H1600&lt;&gt;"Realizado",P1600="",P1600=0),"",A1600+P1600)</f>
        <v/>
      </c>
      <c r="R1600" s="26">
        <f>IF(Q1600="","",IF(COUNTIFS($E$5:$E$3004,E1600,$A$5:$A$3004,"&gt;"&amp;A1600,$H$5:$H$3004,"&lt;&gt;Falta",$H$5:$H$3004,"&lt;&gt;Cancelado",$H$5:$H$3004,"&lt;&gt;Remarcado")&gt;0,"Sim","Não"))</f>
        <v/>
      </c>
      <c r="S1600" s="32">
        <f>IF(R1600&lt;&gt;"Não","",IF(Q1600+Config!$B$9&lt;=Config!$B$8,Config!$B$8-Q1600,""))</f>
        <v/>
      </c>
      <c r="T1600" s="26">
        <f>IF(S1600="","","Sim")</f>
        <v/>
      </c>
      <c r="U1600" s="41">
        <f>IF(T1600="Sim",S1600+ROW()/100000,0)</f>
        <v>0</v>
      </c>
      <c r="V1600" s="41">
        <f>IF(AND(H1600="Falta",L1600=Config!$B$7,M1600=Config!$B$5,COUNTIFS($E$5:E1600,E1600,$H$5:H1600,"Falta",$L$5:L1600,Config!$B$7,$M$5:M1600,Config!$B$5)=1),COUNTIFS($E$5:$E$3004,E1600,$H$5:$H$3004,"Falta",$L$5:$L$3004,Config!$B$7,$M$5:$M$3004,Config!$B$5)*1000-ROW()/100000,0)</f>
        <v>0</v>
      </c>
    </row>
    <row r="1601">
      <c r="A1601" s="39" t="n"/>
      <c r="B1601" s="40" t="n"/>
      <c r="C1601" s="35" t="n"/>
      <c r="D1601" s="35" t="n"/>
      <c r="E1601" s="34" t="n"/>
      <c r="F1601" s="35" t="n"/>
      <c r="G1601" s="35" t="n"/>
      <c r="H1601" s="35" t="n"/>
      <c r="I1601" s="35" t="n"/>
      <c r="J1601" s="35" t="n"/>
      <c r="K1601" s="34" t="n"/>
      <c r="L1601" s="26">
        <f>IF(A1601="","",MONTH(A1601))</f>
        <v/>
      </c>
      <c r="M1601" s="26">
        <f>IF(A1601="","",YEAR(A1601))</f>
        <v/>
      </c>
      <c r="N1601" s="26">
        <f>IF(A1601="","",CHOOSE(WEEKDAY(A1601,2),"Segunda","Terça","Quarta","Quinta","Sexta","Sábado","Domingo"))</f>
        <v/>
      </c>
      <c r="O1601" s="26">
        <f>IF(B1601="","",IF(B1601&lt;TIME(12,0,0),"Manhã",IF(B1601&lt;TIME(18,0,0),"Tarde","Noite")))</f>
        <v/>
      </c>
      <c r="P1601" s="32">
        <f>IF(G1601="","",IFERROR(INDEX(Config!$I$5:$I$16,MATCH(G1601,Config!$H$5:$H$16,0)),0))</f>
        <v/>
      </c>
      <c r="Q1601" s="30">
        <f>IF(OR(H1601&lt;&gt;"Realizado",P1601="",P1601=0),"",A1601+P1601)</f>
        <v/>
      </c>
      <c r="R1601" s="26">
        <f>IF(Q1601="","",IF(COUNTIFS($E$5:$E$3004,E1601,$A$5:$A$3004,"&gt;"&amp;A1601,$H$5:$H$3004,"&lt;&gt;Falta",$H$5:$H$3004,"&lt;&gt;Cancelado",$H$5:$H$3004,"&lt;&gt;Remarcado")&gt;0,"Sim","Não"))</f>
        <v/>
      </c>
      <c r="S1601" s="32">
        <f>IF(R1601&lt;&gt;"Não","",IF(Q1601+Config!$B$9&lt;=Config!$B$8,Config!$B$8-Q1601,""))</f>
        <v/>
      </c>
      <c r="T1601" s="26">
        <f>IF(S1601="","","Sim")</f>
        <v/>
      </c>
      <c r="U1601" s="41">
        <f>IF(T1601="Sim",S1601+ROW()/100000,0)</f>
        <v>0</v>
      </c>
      <c r="V1601" s="41">
        <f>IF(AND(H1601="Falta",L1601=Config!$B$7,M1601=Config!$B$5,COUNTIFS($E$5:E1601,E1601,$H$5:H1601,"Falta",$L$5:L1601,Config!$B$7,$M$5:M1601,Config!$B$5)=1),COUNTIFS($E$5:$E$3004,E1601,$H$5:$H$3004,"Falta",$L$5:$L$3004,Config!$B$7,$M$5:$M$3004,Config!$B$5)*1000-ROW()/100000,0)</f>
        <v>0</v>
      </c>
    </row>
    <row r="1602">
      <c r="A1602" s="39" t="n"/>
      <c r="B1602" s="40" t="n"/>
      <c r="C1602" s="35" t="n"/>
      <c r="D1602" s="35" t="n"/>
      <c r="E1602" s="34" t="n"/>
      <c r="F1602" s="35" t="n"/>
      <c r="G1602" s="35" t="n"/>
      <c r="H1602" s="35" t="n"/>
      <c r="I1602" s="35" t="n"/>
      <c r="J1602" s="35" t="n"/>
      <c r="K1602" s="34" t="n"/>
      <c r="L1602" s="26">
        <f>IF(A1602="","",MONTH(A1602))</f>
        <v/>
      </c>
      <c r="M1602" s="26">
        <f>IF(A1602="","",YEAR(A1602))</f>
        <v/>
      </c>
      <c r="N1602" s="26">
        <f>IF(A1602="","",CHOOSE(WEEKDAY(A1602,2),"Segunda","Terça","Quarta","Quinta","Sexta","Sábado","Domingo"))</f>
        <v/>
      </c>
      <c r="O1602" s="26">
        <f>IF(B1602="","",IF(B1602&lt;TIME(12,0,0),"Manhã",IF(B1602&lt;TIME(18,0,0),"Tarde","Noite")))</f>
        <v/>
      </c>
      <c r="P1602" s="32">
        <f>IF(G1602="","",IFERROR(INDEX(Config!$I$5:$I$16,MATCH(G1602,Config!$H$5:$H$16,0)),0))</f>
        <v/>
      </c>
      <c r="Q1602" s="30">
        <f>IF(OR(H1602&lt;&gt;"Realizado",P1602="",P1602=0),"",A1602+P1602)</f>
        <v/>
      </c>
      <c r="R1602" s="26">
        <f>IF(Q1602="","",IF(COUNTIFS($E$5:$E$3004,E1602,$A$5:$A$3004,"&gt;"&amp;A1602,$H$5:$H$3004,"&lt;&gt;Falta",$H$5:$H$3004,"&lt;&gt;Cancelado",$H$5:$H$3004,"&lt;&gt;Remarcado")&gt;0,"Sim","Não"))</f>
        <v/>
      </c>
      <c r="S1602" s="32">
        <f>IF(R1602&lt;&gt;"Não","",IF(Q1602+Config!$B$9&lt;=Config!$B$8,Config!$B$8-Q1602,""))</f>
        <v/>
      </c>
      <c r="T1602" s="26">
        <f>IF(S1602="","","Sim")</f>
        <v/>
      </c>
      <c r="U1602" s="41">
        <f>IF(T1602="Sim",S1602+ROW()/100000,0)</f>
        <v>0</v>
      </c>
      <c r="V1602" s="41">
        <f>IF(AND(H1602="Falta",L1602=Config!$B$7,M1602=Config!$B$5,COUNTIFS($E$5:E1602,E1602,$H$5:H1602,"Falta",$L$5:L1602,Config!$B$7,$M$5:M1602,Config!$B$5)=1),COUNTIFS($E$5:$E$3004,E1602,$H$5:$H$3004,"Falta",$L$5:$L$3004,Config!$B$7,$M$5:$M$3004,Config!$B$5)*1000-ROW()/100000,0)</f>
        <v>0</v>
      </c>
    </row>
    <row r="1603">
      <c r="A1603" s="39" t="n"/>
      <c r="B1603" s="40" t="n"/>
      <c r="C1603" s="35" t="n"/>
      <c r="D1603" s="35" t="n"/>
      <c r="E1603" s="34" t="n"/>
      <c r="F1603" s="35" t="n"/>
      <c r="G1603" s="35" t="n"/>
      <c r="H1603" s="35" t="n"/>
      <c r="I1603" s="35" t="n"/>
      <c r="J1603" s="35" t="n"/>
      <c r="K1603" s="34" t="n"/>
      <c r="L1603" s="26">
        <f>IF(A1603="","",MONTH(A1603))</f>
        <v/>
      </c>
      <c r="M1603" s="26">
        <f>IF(A1603="","",YEAR(A1603))</f>
        <v/>
      </c>
      <c r="N1603" s="26">
        <f>IF(A1603="","",CHOOSE(WEEKDAY(A1603,2),"Segunda","Terça","Quarta","Quinta","Sexta","Sábado","Domingo"))</f>
        <v/>
      </c>
      <c r="O1603" s="26">
        <f>IF(B1603="","",IF(B1603&lt;TIME(12,0,0),"Manhã",IF(B1603&lt;TIME(18,0,0),"Tarde","Noite")))</f>
        <v/>
      </c>
      <c r="P1603" s="32">
        <f>IF(G1603="","",IFERROR(INDEX(Config!$I$5:$I$16,MATCH(G1603,Config!$H$5:$H$16,0)),0))</f>
        <v/>
      </c>
      <c r="Q1603" s="30">
        <f>IF(OR(H1603&lt;&gt;"Realizado",P1603="",P1603=0),"",A1603+P1603)</f>
        <v/>
      </c>
      <c r="R1603" s="26">
        <f>IF(Q1603="","",IF(COUNTIFS($E$5:$E$3004,E1603,$A$5:$A$3004,"&gt;"&amp;A1603,$H$5:$H$3004,"&lt;&gt;Falta",$H$5:$H$3004,"&lt;&gt;Cancelado",$H$5:$H$3004,"&lt;&gt;Remarcado")&gt;0,"Sim","Não"))</f>
        <v/>
      </c>
      <c r="S1603" s="32">
        <f>IF(R1603&lt;&gt;"Não","",IF(Q1603+Config!$B$9&lt;=Config!$B$8,Config!$B$8-Q1603,""))</f>
        <v/>
      </c>
      <c r="T1603" s="26">
        <f>IF(S1603="","","Sim")</f>
        <v/>
      </c>
      <c r="U1603" s="41">
        <f>IF(T1603="Sim",S1603+ROW()/100000,0)</f>
        <v>0</v>
      </c>
      <c r="V1603" s="41">
        <f>IF(AND(H1603="Falta",L1603=Config!$B$7,M1603=Config!$B$5,COUNTIFS($E$5:E1603,E1603,$H$5:H1603,"Falta",$L$5:L1603,Config!$B$7,$M$5:M1603,Config!$B$5)=1),COUNTIFS($E$5:$E$3004,E1603,$H$5:$H$3004,"Falta",$L$5:$L$3004,Config!$B$7,$M$5:$M$3004,Config!$B$5)*1000-ROW()/100000,0)</f>
        <v>0</v>
      </c>
    </row>
    <row r="1604">
      <c r="A1604" s="39" t="n"/>
      <c r="B1604" s="40" t="n"/>
      <c r="C1604" s="35" t="n"/>
      <c r="D1604" s="35" t="n"/>
      <c r="E1604" s="34" t="n"/>
      <c r="F1604" s="35" t="n"/>
      <c r="G1604" s="35" t="n"/>
      <c r="H1604" s="35" t="n"/>
      <c r="I1604" s="35" t="n"/>
      <c r="J1604" s="35" t="n"/>
      <c r="K1604" s="34" t="n"/>
      <c r="L1604" s="26">
        <f>IF(A1604="","",MONTH(A1604))</f>
        <v/>
      </c>
      <c r="M1604" s="26">
        <f>IF(A1604="","",YEAR(A1604))</f>
        <v/>
      </c>
      <c r="N1604" s="26">
        <f>IF(A1604="","",CHOOSE(WEEKDAY(A1604,2),"Segunda","Terça","Quarta","Quinta","Sexta","Sábado","Domingo"))</f>
        <v/>
      </c>
      <c r="O1604" s="26">
        <f>IF(B1604="","",IF(B1604&lt;TIME(12,0,0),"Manhã",IF(B1604&lt;TIME(18,0,0),"Tarde","Noite")))</f>
        <v/>
      </c>
      <c r="P1604" s="32">
        <f>IF(G1604="","",IFERROR(INDEX(Config!$I$5:$I$16,MATCH(G1604,Config!$H$5:$H$16,0)),0))</f>
        <v/>
      </c>
      <c r="Q1604" s="30">
        <f>IF(OR(H1604&lt;&gt;"Realizado",P1604="",P1604=0),"",A1604+P1604)</f>
        <v/>
      </c>
      <c r="R1604" s="26">
        <f>IF(Q1604="","",IF(COUNTIFS($E$5:$E$3004,E1604,$A$5:$A$3004,"&gt;"&amp;A1604,$H$5:$H$3004,"&lt;&gt;Falta",$H$5:$H$3004,"&lt;&gt;Cancelado",$H$5:$H$3004,"&lt;&gt;Remarcado")&gt;0,"Sim","Não"))</f>
        <v/>
      </c>
      <c r="S1604" s="32">
        <f>IF(R1604&lt;&gt;"Não","",IF(Q1604+Config!$B$9&lt;=Config!$B$8,Config!$B$8-Q1604,""))</f>
        <v/>
      </c>
      <c r="T1604" s="26">
        <f>IF(S1604="","","Sim")</f>
        <v/>
      </c>
      <c r="U1604" s="41">
        <f>IF(T1604="Sim",S1604+ROW()/100000,0)</f>
        <v>0</v>
      </c>
      <c r="V1604" s="41">
        <f>IF(AND(H1604="Falta",L1604=Config!$B$7,M1604=Config!$B$5,COUNTIFS($E$5:E1604,E1604,$H$5:H1604,"Falta",$L$5:L1604,Config!$B$7,$M$5:M1604,Config!$B$5)=1),COUNTIFS($E$5:$E$3004,E1604,$H$5:$H$3004,"Falta",$L$5:$L$3004,Config!$B$7,$M$5:$M$3004,Config!$B$5)*1000-ROW()/100000,0)</f>
        <v>0</v>
      </c>
    </row>
    <row r="1605">
      <c r="A1605" s="39" t="n"/>
      <c r="B1605" s="40" t="n"/>
      <c r="C1605" s="35" t="n"/>
      <c r="D1605" s="35" t="n"/>
      <c r="E1605" s="34" t="n"/>
      <c r="F1605" s="35" t="n"/>
      <c r="G1605" s="35" t="n"/>
      <c r="H1605" s="35" t="n"/>
      <c r="I1605" s="35" t="n"/>
      <c r="J1605" s="35" t="n"/>
      <c r="K1605" s="34" t="n"/>
      <c r="L1605" s="26">
        <f>IF(A1605="","",MONTH(A1605))</f>
        <v/>
      </c>
      <c r="M1605" s="26">
        <f>IF(A1605="","",YEAR(A1605))</f>
        <v/>
      </c>
      <c r="N1605" s="26">
        <f>IF(A1605="","",CHOOSE(WEEKDAY(A1605,2),"Segunda","Terça","Quarta","Quinta","Sexta","Sábado","Domingo"))</f>
        <v/>
      </c>
      <c r="O1605" s="26">
        <f>IF(B1605="","",IF(B1605&lt;TIME(12,0,0),"Manhã",IF(B1605&lt;TIME(18,0,0),"Tarde","Noite")))</f>
        <v/>
      </c>
      <c r="P1605" s="32">
        <f>IF(G1605="","",IFERROR(INDEX(Config!$I$5:$I$16,MATCH(G1605,Config!$H$5:$H$16,0)),0))</f>
        <v/>
      </c>
      <c r="Q1605" s="30">
        <f>IF(OR(H1605&lt;&gt;"Realizado",P1605="",P1605=0),"",A1605+P1605)</f>
        <v/>
      </c>
      <c r="R1605" s="26">
        <f>IF(Q1605="","",IF(COUNTIFS($E$5:$E$3004,E1605,$A$5:$A$3004,"&gt;"&amp;A1605,$H$5:$H$3004,"&lt;&gt;Falta",$H$5:$H$3004,"&lt;&gt;Cancelado",$H$5:$H$3004,"&lt;&gt;Remarcado")&gt;0,"Sim","Não"))</f>
        <v/>
      </c>
      <c r="S1605" s="32">
        <f>IF(R1605&lt;&gt;"Não","",IF(Q1605+Config!$B$9&lt;=Config!$B$8,Config!$B$8-Q1605,""))</f>
        <v/>
      </c>
      <c r="T1605" s="26">
        <f>IF(S1605="","","Sim")</f>
        <v/>
      </c>
      <c r="U1605" s="41">
        <f>IF(T1605="Sim",S1605+ROW()/100000,0)</f>
        <v>0</v>
      </c>
      <c r="V1605" s="41">
        <f>IF(AND(H1605="Falta",L1605=Config!$B$7,M1605=Config!$B$5,COUNTIFS($E$5:E1605,E1605,$H$5:H1605,"Falta",$L$5:L1605,Config!$B$7,$M$5:M1605,Config!$B$5)=1),COUNTIFS($E$5:$E$3004,E1605,$H$5:$H$3004,"Falta",$L$5:$L$3004,Config!$B$7,$M$5:$M$3004,Config!$B$5)*1000-ROW()/100000,0)</f>
        <v>0</v>
      </c>
    </row>
    <row r="1606">
      <c r="A1606" s="39" t="n"/>
      <c r="B1606" s="40" t="n"/>
      <c r="C1606" s="35" t="n"/>
      <c r="D1606" s="35" t="n"/>
      <c r="E1606" s="34" t="n"/>
      <c r="F1606" s="35" t="n"/>
      <c r="G1606" s="35" t="n"/>
      <c r="H1606" s="35" t="n"/>
      <c r="I1606" s="35" t="n"/>
      <c r="J1606" s="35" t="n"/>
      <c r="K1606" s="34" t="n"/>
      <c r="L1606" s="26">
        <f>IF(A1606="","",MONTH(A1606))</f>
        <v/>
      </c>
      <c r="M1606" s="26">
        <f>IF(A1606="","",YEAR(A1606))</f>
        <v/>
      </c>
      <c r="N1606" s="26">
        <f>IF(A1606="","",CHOOSE(WEEKDAY(A1606,2),"Segunda","Terça","Quarta","Quinta","Sexta","Sábado","Domingo"))</f>
        <v/>
      </c>
      <c r="O1606" s="26">
        <f>IF(B1606="","",IF(B1606&lt;TIME(12,0,0),"Manhã",IF(B1606&lt;TIME(18,0,0),"Tarde","Noite")))</f>
        <v/>
      </c>
      <c r="P1606" s="32">
        <f>IF(G1606="","",IFERROR(INDEX(Config!$I$5:$I$16,MATCH(G1606,Config!$H$5:$H$16,0)),0))</f>
        <v/>
      </c>
      <c r="Q1606" s="30">
        <f>IF(OR(H1606&lt;&gt;"Realizado",P1606="",P1606=0),"",A1606+P1606)</f>
        <v/>
      </c>
      <c r="R1606" s="26">
        <f>IF(Q1606="","",IF(COUNTIFS($E$5:$E$3004,E1606,$A$5:$A$3004,"&gt;"&amp;A1606,$H$5:$H$3004,"&lt;&gt;Falta",$H$5:$H$3004,"&lt;&gt;Cancelado",$H$5:$H$3004,"&lt;&gt;Remarcado")&gt;0,"Sim","Não"))</f>
        <v/>
      </c>
      <c r="S1606" s="32">
        <f>IF(R1606&lt;&gt;"Não","",IF(Q1606+Config!$B$9&lt;=Config!$B$8,Config!$B$8-Q1606,""))</f>
        <v/>
      </c>
      <c r="T1606" s="26">
        <f>IF(S1606="","","Sim")</f>
        <v/>
      </c>
      <c r="U1606" s="41">
        <f>IF(T1606="Sim",S1606+ROW()/100000,0)</f>
        <v>0</v>
      </c>
      <c r="V1606" s="41">
        <f>IF(AND(H1606="Falta",L1606=Config!$B$7,M1606=Config!$B$5,COUNTIFS($E$5:E1606,E1606,$H$5:H1606,"Falta",$L$5:L1606,Config!$B$7,$M$5:M1606,Config!$B$5)=1),COUNTIFS($E$5:$E$3004,E1606,$H$5:$H$3004,"Falta",$L$5:$L$3004,Config!$B$7,$M$5:$M$3004,Config!$B$5)*1000-ROW()/100000,0)</f>
        <v>0</v>
      </c>
    </row>
    <row r="1607">
      <c r="A1607" s="39" t="n"/>
      <c r="B1607" s="40" t="n"/>
      <c r="C1607" s="35" t="n"/>
      <c r="D1607" s="35" t="n"/>
      <c r="E1607" s="34" t="n"/>
      <c r="F1607" s="35" t="n"/>
      <c r="G1607" s="35" t="n"/>
      <c r="H1607" s="35" t="n"/>
      <c r="I1607" s="35" t="n"/>
      <c r="J1607" s="35" t="n"/>
      <c r="K1607" s="34" t="n"/>
      <c r="L1607" s="26">
        <f>IF(A1607="","",MONTH(A1607))</f>
        <v/>
      </c>
      <c r="M1607" s="26">
        <f>IF(A1607="","",YEAR(A1607))</f>
        <v/>
      </c>
      <c r="N1607" s="26">
        <f>IF(A1607="","",CHOOSE(WEEKDAY(A1607,2),"Segunda","Terça","Quarta","Quinta","Sexta","Sábado","Domingo"))</f>
        <v/>
      </c>
      <c r="O1607" s="26">
        <f>IF(B1607="","",IF(B1607&lt;TIME(12,0,0),"Manhã",IF(B1607&lt;TIME(18,0,0),"Tarde","Noite")))</f>
        <v/>
      </c>
      <c r="P1607" s="32">
        <f>IF(G1607="","",IFERROR(INDEX(Config!$I$5:$I$16,MATCH(G1607,Config!$H$5:$H$16,0)),0))</f>
        <v/>
      </c>
      <c r="Q1607" s="30">
        <f>IF(OR(H1607&lt;&gt;"Realizado",P1607="",P1607=0),"",A1607+P1607)</f>
        <v/>
      </c>
      <c r="R1607" s="26">
        <f>IF(Q1607="","",IF(COUNTIFS($E$5:$E$3004,E1607,$A$5:$A$3004,"&gt;"&amp;A1607,$H$5:$H$3004,"&lt;&gt;Falta",$H$5:$H$3004,"&lt;&gt;Cancelado",$H$5:$H$3004,"&lt;&gt;Remarcado")&gt;0,"Sim","Não"))</f>
        <v/>
      </c>
      <c r="S1607" s="32">
        <f>IF(R1607&lt;&gt;"Não","",IF(Q1607+Config!$B$9&lt;=Config!$B$8,Config!$B$8-Q1607,""))</f>
        <v/>
      </c>
      <c r="T1607" s="26">
        <f>IF(S1607="","","Sim")</f>
        <v/>
      </c>
      <c r="U1607" s="41">
        <f>IF(T1607="Sim",S1607+ROW()/100000,0)</f>
        <v>0</v>
      </c>
      <c r="V1607" s="41">
        <f>IF(AND(H1607="Falta",L1607=Config!$B$7,M1607=Config!$B$5,COUNTIFS($E$5:E1607,E1607,$H$5:H1607,"Falta",$L$5:L1607,Config!$B$7,$M$5:M1607,Config!$B$5)=1),COUNTIFS($E$5:$E$3004,E1607,$H$5:$H$3004,"Falta",$L$5:$L$3004,Config!$B$7,$M$5:$M$3004,Config!$B$5)*1000-ROW()/100000,0)</f>
        <v>0</v>
      </c>
    </row>
    <row r="1608">
      <c r="A1608" s="39" t="n"/>
      <c r="B1608" s="40" t="n"/>
      <c r="C1608" s="35" t="n"/>
      <c r="D1608" s="35" t="n"/>
      <c r="E1608" s="34" t="n"/>
      <c r="F1608" s="35" t="n"/>
      <c r="G1608" s="35" t="n"/>
      <c r="H1608" s="35" t="n"/>
      <c r="I1608" s="35" t="n"/>
      <c r="J1608" s="35" t="n"/>
      <c r="K1608" s="34" t="n"/>
      <c r="L1608" s="26">
        <f>IF(A1608="","",MONTH(A1608))</f>
        <v/>
      </c>
      <c r="M1608" s="26">
        <f>IF(A1608="","",YEAR(A1608))</f>
        <v/>
      </c>
      <c r="N1608" s="26">
        <f>IF(A1608="","",CHOOSE(WEEKDAY(A1608,2),"Segunda","Terça","Quarta","Quinta","Sexta","Sábado","Domingo"))</f>
        <v/>
      </c>
      <c r="O1608" s="26">
        <f>IF(B1608="","",IF(B1608&lt;TIME(12,0,0),"Manhã",IF(B1608&lt;TIME(18,0,0),"Tarde","Noite")))</f>
        <v/>
      </c>
      <c r="P1608" s="32">
        <f>IF(G1608="","",IFERROR(INDEX(Config!$I$5:$I$16,MATCH(G1608,Config!$H$5:$H$16,0)),0))</f>
        <v/>
      </c>
      <c r="Q1608" s="30">
        <f>IF(OR(H1608&lt;&gt;"Realizado",P1608="",P1608=0),"",A1608+P1608)</f>
        <v/>
      </c>
      <c r="R1608" s="26">
        <f>IF(Q1608="","",IF(COUNTIFS($E$5:$E$3004,E1608,$A$5:$A$3004,"&gt;"&amp;A1608,$H$5:$H$3004,"&lt;&gt;Falta",$H$5:$H$3004,"&lt;&gt;Cancelado",$H$5:$H$3004,"&lt;&gt;Remarcado")&gt;0,"Sim","Não"))</f>
        <v/>
      </c>
      <c r="S1608" s="32">
        <f>IF(R1608&lt;&gt;"Não","",IF(Q1608+Config!$B$9&lt;=Config!$B$8,Config!$B$8-Q1608,""))</f>
        <v/>
      </c>
      <c r="T1608" s="26">
        <f>IF(S1608="","","Sim")</f>
        <v/>
      </c>
      <c r="U1608" s="41">
        <f>IF(T1608="Sim",S1608+ROW()/100000,0)</f>
        <v>0</v>
      </c>
      <c r="V1608" s="41">
        <f>IF(AND(H1608="Falta",L1608=Config!$B$7,M1608=Config!$B$5,COUNTIFS($E$5:E1608,E1608,$H$5:H1608,"Falta",$L$5:L1608,Config!$B$7,$M$5:M1608,Config!$B$5)=1),COUNTIFS($E$5:$E$3004,E1608,$H$5:$H$3004,"Falta",$L$5:$L$3004,Config!$B$7,$M$5:$M$3004,Config!$B$5)*1000-ROW()/100000,0)</f>
        <v>0</v>
      </c>
    </row>
    <row r="1609">
      <c r="A1609" s="39" t="n"/>
      <c r="B1609" s="40" t="n"/>
      <c r="C1609" s="35" t="n"/>
      <c r="D1609" s="35" t="n"/>
      <c r="E1609" s="34" t="n"/>
      <c r="F1609" s="35" t="n"/>
      <c r="G1609" s="35" t="n"/>
      <c r="H1609" s="35" t="n"/>
      <c r="I1609" s="35" t="n"/>
      <c r="J1609" s="35" t="n"/>
      <c r="K1609" s="34" t="n"/>
      <c r="L1609" s="26">
        <f>IF(A1609="","",MONTH(A1609))</f>
        <v/>
      </c>
      <c r="M1609" s="26">
        <f>IF(A1609="","",YEAR(A1609))</f>
        <v/>
      </c>
      <c r="N1609" s="26">
        <f>IF(A1609="","",CHOOSE(WEEKDAY(A1609,2),"Segunda","Terça","Quarta","Quinta","Sexta","Sábado","Domingo"))</f>
        <v/>
      </c>
      <c r="O1609" s="26">
        <f>IF(B1609="","",IF(B1609&lt;TIME(12,0,0),"Manhã",IF(B1609&lt;TIME(18,0,0),"Tarde","Noite")))</f>
        <v/>
      </c>
      <c r="P1609" s="32">
        <f>IF(G1609="","",IFERROR(INDEX(Config!$I$5:$I$16,MATCH(G1609,Config!$H$5:$H$16,0)),0))</f>
        <v/>
      </c>
      <c r="Q1609" s="30">
        <f>IF(OR(H1609&lt;&gt;"Realizado",P1609="",P1609=0),"",A1609+P1609)</f>
        <v/>
      </c>
      <c r="R1609" s="26">
        <f>IF(Q1609="","",IF(COUNTIFS($E$5:$E$3004,E1609,$A$5:$A$3004,"&gt;"&amp;A1609,$H$5:$H$3004,"&lt;&gt;Falta",$H$5:$H$3004,"&lt;&gt;Cancelado",$H$5:$H$3004,"&lt;&gt;Remarcado")&gt;0,"Sim","Não"))</f>
        <v/>
      </c>
      <c r="S1609" s="32">
        <f>IF(R1609&lt;&gt;"Não","",IF(Q1609+Config!$B$9&lt;=Config!$B$8,Config!$B$8-Q1609,""))</f>
        <v/>
      </c>
      <c r="T1609" s="26">
        <f>IF(S1609="","","Sim")</f>
        <v/>
      </c>
      <c r="U1609" s="41">
        <f>IF(T1609="Sim",S1609+ROW()/100000,0)</f>
        <v>0</v>
      </c>
      <c r="V1609" s="41">
        <f>IF(AND(H1609="Falta",L1609=Config!$B$7,M1609=Config!$B$5,COUNTIFS($E$5:E1609,E1609,$H$5:H1609,"Falta",$L$5:L1609,Config!$B$7,$M$5:M1609,Config!$B$5)=1),COUNTIFS($E$5:$E$3004,E1609,$H$5:$H$3004,"Falta",$L$5:$L$3004,Config!$B$7,$M$5:$M$3004,Config!$B$5)*1000-ROW()/100000,0)</f>
        <v>0</v>
      </c>
    </row>
    <row r="1610">
      <c r="A1610" s="39" t="n"/>
      <c r="B1610" s="40" t="n"/>
      <c r="C1610" s="35" t="n"/>
      <c r="D1610" s="35" t="n"/>
      <c r="E1610" s="34" t="n"/>
      <c r="F1610" s="35" t="n"/>
      <c r="G1610" s="35" t="n"/>
      <c r="H1610" s="35" t="n"/>
      <c r="I1610" s="35" t="n"/>
      <c r="J1610" s="35" t="n"/>
      <c r="K1610" s="34" t="n"/>
      <c r="L1610" s="26">
        <f>IF(A1610="","",MONTH(A1610))</f>
        <v/>
      </c>
      <c r="M1610" s="26">
        <f>IF(A1610="","",YEAR(A1610))</f>
        <v/>
      </c>
      <c r="N1610" s="26">
        <f>IF(A1610="","",CHOOSE(WEEKDAY(A1610,2),"Segunda","Terça","Quarta","Quinta","Sexta","Sábado","Domingo"))</f>
        <v/>
      </c>
      <c r="O1610" s="26">
        <f>IF(B1610="","",IF(B1610&lt;TIME(12,0,0),"Manhã",IF(B1610&lt;TIME(18,0,0),"Tarde","Noite")))</f>
        <v/>
      </c>
      <c r="P1610" s="32">
        <f>IF(G1610="","",IFERROR(INDEX(Config!$I$5:$I$16,MATCH(G1610,Config!$H$5:$H$16,0)),0))</f>
        <v/>
      </c>
      <c r="Q1610" s="30">
        <f>IF(OR(H1610&lt;&gt;"Realizado",P1610="",P1610=0),"",A1610+P1610)</f>
        <v/>
      </c>
      <c r="R1610" s="26">
        <f>IF(Q1610="","",IF(COUNTIFS($E$5:$E$3004,E1610,$A$5:$A$3004,"&gt;"&amp;A1610,$H$5:$H$3004,"&lt;&gt;Falta",$H$5:$H$3004,"&lt;&gt;Cancelado",$H$5:$H$3004,"&lt;&gt;Remarcado")&gt;0,"Sim","Não"))</f>
        <v/>
      </c>
      <c r="S1610" s="32">
        <f>IF(R1610&lt;&gt;"Não","",IF(Q1610+Config!$B$9&lt;=Config!$B$8,Config!$B$8-Q1610,""))</f>
        <v/>
      </c>
      <c r="T1610" s="26">
        <f>IF(S1610="","","Sim")</f>
        <v/>
      </c>
      <c r="U1610" s="41">
        <f>IF(T1610="Sim",S1610+ROW()/100000,0)</f>
        <v>0</v>
      </c>
      <c r="V1610" s="41">
        <f>IF(AND(H1610="Falta",L1610=Config!$B$7,M1610=Config!$B$5,COUNTIFS($E$5:E1610,E1610,$H$5:H1610,"Falta",$L$5:L1610,Config!$B$7,$M$5:M1610,Config!$B$5)=1),COUNTIFS($E$5:$E$3004,E1610,$H$5:$H$3004,"Falta",$L$5:$L$3004,Config!$B$7,$M$5:$M$3004,Config!$B$5)*1000-ROW()/100000,0)</f>
        <v>0</v>
      </c>
    </row>
    <row r="1611">
      <c r="A1611" s="39" t="n"/>
      <c r="B1611" s="40" t="n"/>
      <c r="C1611" s="35" t="n"/>
      <c r="D1611" s="35" t="n"/>
      <c r="E1611" s="34" t="n"/>
      <c r="F1611" s="35" t="n"/>
      <c r="G1611" s="35" t="n"/>
      <c r="H1611" s="35" t="n"/>
      <c r="I1611" s="35" t="n"/>
      <c r="J1611" s="35" t="n"/>
      <c r="K1611" s="34" t="n"/>
      <c r="L1611" s="26">
        <f>IF(A1611="","",MONTH(A1611))</f>
        <v/>
      </c>
      <c r="M1611" s="26">
        <f>IF(A1611="","",YEAR(A1611))</f>
        <v/>
      </c>
      <c r="N1611" s="26">
        <f>IF(A1611="","",CHOOSE(WEEKDAY(A1611,2),"Segunda","Terça","Quarta","Quinta","Sexta","Sábado","Domingo"))</f>
        <v/>
      </c>
      <c r="O1611" s="26">
        <f>IF(B1611="","",IF(B1611&lt;TIME(12,0,0),"Manhã",IF(B1611&lt;TIME(18,0,0),"Tarde","Noite")))</f>
        <v/>
      </c>
      <c r="P1611" s="32">
        <f>IF(G1611="","",IFERROR(INDEX(Config!$I$5:$I$16,MATCH(G1611,Config!$H$5:$H$16,0)),0))</f>
        <v/>
      </c>
      <c r="Q1611" s="30">
        <f>IF(OR(H1611&lt;&gt;"Realizado",P1611="",P1611=0),"",A1611+P1611)</f>
        <v/>
      </c>
      <c r="R1611" s="26">
        <f>IF(Q1611="","",IF(COUNTIFS($E$5:$E$3004,E1611,$A$5:$A$3004,"&gt;"&amp;A1611,$H$5:$H$3004,"&lt;&gt;Falta",$H$5:$H$3004,"&lt;&gt;Cancelado",$H$5:$H$3004,"&lt;&gt;Remarcado")&gt;0,"Sim","Não"))</f>
        <v/>
      </c>
      <c r="S1611" s="32">
        <f>IF(R1611&lt;&gt;"Não","",IF(Q1611+Config!$B$9&lt;=Config!$B$8,Config!$B$8-Q1611,""))</f>
        <v/>
      </c>
      <c r="T1611" s="26">
        <f>IF(S1611="","","Sim")</f>
        <v/>
      </c>
      <c r="U1611" s="41">
        <f>IF(T1611="Sim",S1611+ROW()/100000,0)</f>
        <v>0</v>
      </c>
      <c r="V1611" s="41">
        <f>IF(AND(H1611="Falta",L1611=Config!$B$7,M1611=Config!$B$5,COUNTIFS($E$5:E1611,E1611,$H$5:H1611,"Falta",$L$5:L1611,Config!$B$7,$M$5:M1611,Config!$B$5)=1),COUNTIFS($E$5:$E$3004,E1611,$H$5:$H$3004,"Falta",$L$5:$L$3004,Config!$B$7,$M$5:$M$3004,Config!$B$5)*1000-ROW()/100000,0)</f>
        <v>0</v>
      </c>
    </row>
    <row r="1612">
      <c r="A1612" s="39" t="n"/>
      <c r="B1612" s="40" t="n"/>
      <c r="C1612" s="35" t="n"/>
      <c r="D1612" s="35" t="n"/>
      <c r="E1612" s="34" t="n"/>
      <c r="F1612" s="35" t="n"/>
      <c r="G1612" s="35" t="n"/>
      <c r="H1612" s="35" t="n"/>
      <c r="I1612" s="35" t="n"/>
      <c r="J1612" s="35" t="n"/>
      <c r="K1612" s="34" t="n"/>
      <c r="L1612" s="26">
        <f>IF(A1612="","",MONTH(A1612))</f>
        <v/>
      </c>
      <c r="M1612" s="26">
        <f>IF(A1612="","",YEAR(A1612))</f>
        <v/>
      </c>
      <c r="N1612" s="26">
        <f>IF(A1612="","",CHOOSE(WEEKDAY(A1612,2),"Segunda","Terça","Quarta","Quinta","Sexta","Sábado","Domingo"))</f>
        <v/>
      </c>
      <c r="O1612" s="26">
        <f>IF(B1612="","",IF(B1612&lt;TIME(12,0,0),"Manhã",IF(B1612&lt;TIME(18,0,0),"Tarde","Noite")))</f>
        <v/>
      </c>
      <c r="P1612" s="32">
        <f>IF(G1612="","",IFERROR(INDEX(Config!$I$5:$I$16,MATCH(G1612,Config!$H$5:$H$16,0)),0))</f>
        <v/>
      </c>
      <c r="Q1612" s="30">
        <f>IF(OR(H1612&lt;&gt;"Realizado",P1612="",P1612=0),"",A1612+P1612)</f>
        <v/>
      </c>
      <c r="R1612" s="26">
        <f>IF(Q1612="","",IF(COUNTIFS($E$5:$E$3004,E1612,$A$5:$A$3004,"&gt;"&amp;A1612,$H$5:$H$3004,"&lt;&gt;Falta",$H$5:$H$3004,"&lt;&gt;Cancelado",$H$5:$H$3004,"&lt;&gt;Remarcado")&gt;0,"Sim","Não"))</f>
        <v/>
      </c>
      <c r="S1612" s="32">
        <f>IF(R1612&lt;&gt;"Não","",IF(Q1612+Config!$B$9&lt;=Config!$B$8,Config!$B$8-Q1612,""))</f>
        <v/>
      </c>
      <c r="T1612" s="26">
        <f>IF(S1612="","","Sim")</f>
        <v/>
      </c>
      <c r="U1612" s="41">
        <f>IF(T1612="Sim",S1612+ROW()/100000,0)</f>
        <v>0</v>
      </c>
      <c r="V1612" s="41">
        <f>IF(AND(H1612="Falta",L1612=Config!$B$7,M1612=Config!$B$5,COUNTIFS($E$5:E1612,E1612,$H$5:H1612,"Falta",$L$5:L1612,Config!$B$7,$M$5:M1612,Config!$B$5)=1),COUNTIFS($E$5:$E$3004,E1612,$H$5:$H$3004,"Falta",$L$5:$L$3004,Config!$B$7,$M$5:$M$3004,Config!$B$5)*1000-ROW()/100000,0)</f>
        <v>0</v>
      </c>
    </row>
    <row r="1613">
      <c r="A1613" s="39" t="n"/>
      <c r="B1613" s="40" t="n"/>
      <c r="C1613" s="35" t="n"/>
      <c r="D1613" s="35" t="n"/>
      <c r="E1613" s="34" t="n"/>
      <c r="F1613" s="35" t="n"/>
      <c r="G1613" s="35" t="n"/>
      <c r="H1613" s="35" t="n"/>
      <c r="I1613" s="35" t="n"/>
      <c r="J1613" s="35" t="n"/>
      <c r="K1613" s="34" t="n"/>
      <c r="L1613" s="26">
        <f>IF(A1613="","",MONTH(A1613))</f>
        <v/>
      </c>
      <c r="M1613" s="26">
        <f>IF(A1613="","",YEAR(A1613))</f>
        <v/>
      </c>
      <c r="N1613" s="26">
        <f>IF(A1613="","",CHOOSE(WEEKDAY(A1613,2),"Segunda","Terça","Quarta","Quinta","Sexta","Sábado","Domingo"))</f>
        <v/>
      </c>
      <c r="O1613" s="26">
        <f>IF(B1613="","",IF(B1613&lt;TIME(12,0,0),"Manhã",IF(B1613&lt;TIME(18,0,0),"Tarde","Noite")))</f>
        <v/>
      </c>
      <c r="P1613" s="32">
        <f>IF(G1613="","",IFERROR(INDEX(Config!$I$5:$I$16,MATCH(G1613,Config!$H$5:$H$16,0)),0))</f>
        <v/>
      </c>
      <c r="Q1613" s="30">
        <f>IF(OR(H1613&lt;&gt;"Realizado",P1613="",P1613=0),"",A1613+P1613)</f>
        <v/>
      </c>
      <c r="R1613" s="26">
        <f>IF(Q1613="","",IF(COUNTIFS($E$5:$E$3004,E1613,$A$5:$A$3004,"&gt;"&amp;A1613,$H$5:$H$3004,"&lt;&gt;Falta",$H$5:$H$3004,"&lt;&gt;Cancelado",$H$5:$H$3004,"&lt;&gt;Remarcado")&gt;0,"Sim","Não"))</f>
        <v/>
      </c>
      <c r="S1613" s="32">
        <f>IF(R1613&lt;&gt;"Não","",IF(Q1613+Config!$B$9&lt;=Config!$B$8,Config!$B$8-Q1613,""))</f>
        <v/>
      </c>
      <c r="T1613" s="26">
        <f>IF(S1613="","","Sim")</f>
        <v/>
      </c>
      <c r="U1613" s="41">
        <f>IF(T1613="Sim",S1613+ROW()/100000,0)</f>
        <v>0</v>
      </c>
      <c r="V1613" s="41">
        <f>IF(AND(H1613="Falta",L1613=Config!$B$7,M1613=Config!$B$5,COUNTIFS($E$5:E1613,E1613,$H$5:H1613,"Falta",$L$5:L1613,Config!$B$7,$M$5:M1613,Config!$B$5)=1),COUNTIFS($E$5:$E$3004,E1613,$H$5:$H$3004,"Falta",$L$5:$L$3004,Config!$B$7,$M$5:$M$3004,Config!$B$5)*1000-ROW()/100000,0)</f>
        <v>0</v>
      </c>
    </row>
    <row r="1614">
      <c r="A1614" s="39" t="n"/>
      <c r="B1614" s="40" t="n"/>
      <c r="C1614" s="35" t="n"/>
      <c r="D1614" s="35" t="n"/>
      <c r="E1614" s="34" t="n"/>
      <c r="F1614" s="35" t="n"/>
      <c r="G1614" s="35" t="n"/>
      <c r="H1614" s="35" t="n"/>
      <c r="I1614" s="35" t="n"/>
      <c r="J1614" s="35" t="n"/>
      <c r="K1614" s="34" t="n"/>
      <c r="L1614" s="26">
        <f>IF(A1614="","",MONTH(A1614))</f>
        <v/>
      </c>
      <c r="M1614" s="26">
        <f>IF(A1614="","",YEAR(A1614))</f>
        <v/>
      </c>
      <c r="N1614" s="26">
        <f>IF(A1614="","",CHOOSE(WEEKDAY(A1614,2),"Segunda","Terça","Quarta","Quinta","Sexta","Sábado","Domingo"))</f>
        <v/>
      </c>
      <c r="O1614" s="26">
        <f>IF(B1614="","",IF(B1614&lt;TIME(12,0,0),"Manhã",IF(B1614&lt;TIME(18,0,0),"Tarde","Noite")))</f>
        <v/>
      </c>
      <c r="P1614" s="32">
        <f>IF(G1614="","",IFERROR(INDEX(Config!$I$5:$I$16,MATCH(G1614,Config!$H$5:$H$16,0)),0))</f>
        <v/>
      </c>
      <c r="Q1614" s="30">
        <f>IF(OR(H1614&lt;&gt;"Realizado",P1614="",P1614=0),"",A1614+P1614)</f>
        <v/>
      </c>
      <c r="R1614" s="26">
        <f>IF(Q1614="","",IF(COUNTIFS($E$5:$E$3004,E1614,$A$5:$A$3004,"&gt;"&amp;A1614,$H$5:$H$3004,"&lt;&gt;Falta",$H$5:$H$3004,"&lt;&gt;Cancelado",$H$5:$H$3004,"&lt;&gt;Remarcado")&gt;0,"Sim","Não"))</f>
        <v/>
      </c>
      <c r="S1614" s="32">
        <f>IF(R1614&lt;&gt;"Não","",IF(Q1614+Config!$B$9&lt;=Config!$B$8,Config!$B$8-Q1614,""))</f>
        <v/>
      </c>
      <c r="T1614" s="26">
        <f>IF(S1614="","","Sim")</f>
        <v/>
      </c>
      <c r="U1614" s="41">
        <f>IF(T1614="Sim",S1614+ROW()/100000,0)</f>
        <v>0</v>
      </c>
      <c r="V1614" s="41">
        <f>IF(AND(H1614="Falta",L1614=Config!$B$7,M1614=Config!$B$5,COUNTIFS($E$5:E1614,E1614,$H$5:H1614,"Falta",$L$5:L1614,Config!$B$7,$M$5:M1614,Config!$B$5)=1),COUNTIFS($E$5:$E$3004,E1614,$H$5:$H$3004,"Falta",$L$5:$L$3004,Config!$B$7,$M$5:$M$3004,Config!$B$5)*1000-ROW()/100000,0)</f>
        <v>0</v>
      </c>
    </row>
    <row r="1615">
      <c r="A1615" s="39" t="n"/>
      <c r="B1615" s="40" t="n"/>
      <c r="C1615" s="35" t="n"/>
      <c r="D1615" s="35" t="n"/>
      <c r="E1615" s="34" t="n"/>
      <c r="F1615" s="35" t="n"/>
      <c r="G1615" s="35" t="n"/>
      <c r="H1615" s="35" t="n"/>
      <c r="I1615" s="35" t="n"/>
      <c r="J1615" s="35" t="n"/>
      <c r="K1615" s="34" t="n"/>
      <c r="L1615" s="26">
        <f>IF(A1615="","",MONTH(A1615))</f>
        <v/>
      </c>
      <c r="M1615" s="26">
        <f>IF(A1615="","",YEAR(A1615))</f>
        <v/>
      </c>
      <c r="N1615" s="26">
        <f>IF(A1615="","",CHOOSE(WEEKDAY(A1615,2),"Segunda","Terça","Quarta","Quinta","Sexta","Sábado","Domingo"))</f>
        <v/>
      </c>
      <c r="O1615" s="26">
        <f>IF(B1615="","",IF(B1615&lt;TIME(12,0,0),"Manhã",IF(B1615&lt;TIME(18,0,0),"Tarde","Noite")))</f>
        <v/>
      </c>
      <c r="P1615" s="32">
        <f>IF(G1615="","",IFERROR(INDEX(Config!$I$5:$I$16,MATCH(G1615,Config!$H$5:$H$16,0)),0))</f>
        <v/>
      </c>
      <c r="Q1615" s="30">
        <f>IF(OR(H1615&lt;&gt;"Realizado",P1615="",P1615=0),"",A1615+P1615)</f>
        <v/>
      </c>
      <c r="R1615" s="26">
        <f>IF(Q1615="","",IF(COUNTIFS($E$5:$E$3004,E1615,$A$5:$A$3004,"&gt;"&amp;A1615,$H$5:$H$3004,"&lt;&gt;Falta",$H$5:$H$3004,"&lt;&gt;Cancelado",$H$5:$H$3004,"&lt;&gt;Remarcado")&gt;0,"Sim","Não"))</f>
        <v/>
      </c>
      <c r="S1615" s="32">
        <f>IF(R1615&lt;&gt;"Não","",IF(Q1615+Config!$B$9&lt;=Config!$B$8,Config!$B$8-Q1615,""))</f>
        <v/>
      </c>
      <c r="T1615" s="26">
        <f>IF(S1615="","","Sim")</f>
        <v/>
      </c>
      <c r="U1615" s="41">
        <f>IF(T1615="Sim",S1615+ROW()/100000,0)</f>
        <v>0</v>
      </c>
      <c r="V1615" s="41">
        <f>IF(AND(H1615="Falta",L1615=Config!$B$7,M1615=Config!$B$5,COUNTIFS($E$5:E1615,E1615,$H$5:H1615,"Falta",$L$5:L1615,Config!$B$7,$M$5:M1615,Config!$B$5)=1),COUNTIFS($E$5:$E$3004,E1615,$H$5:$H$3004,"Falta",$L$5:$L$3004,Config!$B$7,$M$5:$M$3004,Config!$B$5)*1000-ROW()/100000,0)</f>
        <v>0</v>
      </c>
    </row>
    <row r="1616">
      <c r="A1616" s="39" t="n"/>
      <c r="B1616" s="40" t="n"/>
      <c r="C1616" s="35" t="n"/>
      <c r="D1616" s="35" t="n"/>
      <c r="E1616" s="34" t="n"/>
      <c r="F1616" s="35" t="n"/>
      <c r="G1616" s="35" t="n"/>
      <c r="H1616" s="35" t="n"/>
      <c r="I1616" s="35" t="n"/>
      <c r="J1616" s="35" t="n"/>
      <c r="K1616" s="34" t="n"/>
      <c r="L1616" s="26">
        <f>IF(A1616="","",MONTH(A1616))</f>
        <v/>
      </c>
      <c r="M1616" s="26">
        <f>IF(A1616="","",YEAR(A1616))</f>
        <v/>
      </c>
      <c r="N1616" s="26">
        <f>IF(A1616="","",CHOOSE(WEEKDAY(A1616,2),"Segunda","Terça","Quarta","Quinta","Sexta","Sábado","Domingo"))</f>
        <v/>
      </c>
      <c r="O1616" s="26">
        <f>IF(B1616="","",IF(B1616&lt;TIME(12,0,0),"Manhã",IF(B1616&lt;TIME(18,0,0),"Tarde","Noite")))</f>
        <v/>
      </c>
      <c r="P1616" s="32">
        <f>IF(G1616="","",IFERROR(INDEX(Config!$I$5:$I$16,MATCH(G1616,Config!$H$5:$H$16,0)),0))</f>
        <v/>
      </c>
      <c r="Q1616" s="30">
        <f>IF(OR(H1616&lt;&gt;"Realizado",P1616="",P1616=0),"",A1616+P1616)</f>
        <v/>
      </c>
      <c r="R1616" s="26">
        <f>IF(Q1616="","",IF(COUNTIFS($E$5:$E$3004,E1616,$A$5:$A$3004,"&gt;"&amp;A1616,$H$5:$H$3004,"&lt;&gt;Falta",$H$5:$H$3004,"&lt;&gt;Cancelado",$H$5:$H$3004,"&lt;&gt;Remarcado")&gt;0,"Sim","Não"))</f>
        <v/>
      </c>
      <c r="S1616" s="32">
        <f>IF(R1616&lt;&gt;"Não","",IF(Q1616+Config!$B$9&lt;=Config!$B$8,Config!$B$8-Q1616,""))</f>
        <v/>
      </c>
      <c r="T1616" s="26">
        <f>IF(S1616="","","Sim")</f>
        <v/>
      </c>
      <c r="U1616" s="41">
        <f>IF(T1616="Sim",S1616+ROW()/100000,0)</f>
        <v>0</v>
      </c>
      <c r="V1616" s="41">
        <f>IF(AND(H1616="Falta",L1616=Config!$B$7,M1616=Config!$B$5,COUNTIFS($E$5:E1616,E1616,$H$5:H1616,"Falta",$L$5:L1616,Config!$B$7,$M$5:M1616,Config!$B$5)=1),COUNTIFS($E$5:$E$3004,E1616,$H$5:$H$3004,"Falta",$L$5:$L$3004,Config!$B$7,$M$5:$M$3004,Config!$B$5)*1000-ROW()/100000,0)</f>
        <v>0</v>
      </c>
    </row>
    <row r="1617">
      <c r="A1617" s="39" t="n"/>
      <c r="B1617" s="40" t="n"/>
      <c r="C1617" s="35" t="n"/>
      <c r="D1617" s="35" t="n"/>
      <c r="E1617" s="34" t="n"/>
      <c r="F1617" s="35" t="n"/>
      <c r="G1617" s="35" t="n"/>
      <c r="H1617" s="35" t="n"/>
      <c r="I1617" s="35" t="n"/>
      <c r="J1617" s="35" t="n"/>
      <c r="K1617" s="34" t="n"/>
      <c r="L1617" s="26">
        <f>IF(A1617="","",MONTH(A1617))</f>
        <v/>
      </c>
      <c r="M1617" s="26">
        <f>IF(A1617="","",YEAR(A1617))</f>
        <v/>
      </c>
      <c r="N1617" s="26">
        <f>IF(A1617="","",CHOOSE(WEEKDAY(A1617,2),"Segunda","Terça","Quarta","Quinta","Sexta","Sábado","Domingo"))</f>
        <v/>
      </c>
      <c r="O1617" s="26">
        <f>IF(B1617="","",IF(B1617&lt;TIME(12,0,0),"Manhã",IF(B1617&lt;TIME(18,0,0),"Tarde","Noite")))</f>
        <v/>
      </c>
      <c r="P1617" s="32">
        <f>IF(G1617="","",IFERROR(INDEX(Config!$I$5:$I$16,MATCH(G1617,Config!$H$5:$H$16,0)),0))</f>
        <v/>
      </c>
      <c r="Q1617" s="30">
        <f>IF(OR(H1617&lt;&gt;"Realizado",P1617="",P1617=0),"",A1617+P1617)</f>
        <v/>
      </c>
      <c r="R1617" s="26">
        <f>IF(Q1617="","",IF(COUNTIFS($E$5:$E$3004,E1617,$A$5:$A$3004,"&gt;"&amp;A1617,$H$5:$H$3004,"&lt;&gt;Falta",$H$5:$H$3004,"&lt;&gt;Cancelado",$H$5:$H$3004,"&lt;&gt;Remarcado")&gt;0,"Sim","Não"))</f>
        <v/>
      </c>
      <c r="S1617" s="32">
        <f>IF(R1617&lt;&gt;"Não","",IF(Q1617+Config!$B$9&lt;=Config!$B$8,Config!$B$8-Q1617,""))</f>
        <v/>
      </c>
      <c r="T1617" s="26">
        <f>IF(S1617="","","Sim")</f>
        <v/>
      </c>
      <c r="U1617" s="41">
        <f>IF(T1617="Sim",S1617+ROW()/100000,0)</f>
        <v>0</v>
      </c>
      <c r="V1617" s="41">
        <f>IF(AND(H1617="Falta",L1617=Config!$B$7,M1617=Config!$B$5,COUNTIFS($E$5:E1617,E1617,$H$5:H1617,"Falta",$L$5:L1617,Config!$B$7,$M$5:M1617,Config!$B$5)=1),COUNTIFS($E$5:$E$3004,E1617,$H$5:$H$3004,"Falta",$L$5:$L$3004,Config!$B$7,$M$5:$M$3004,Config!$B$5)*1000-ROW()/100000,0)</f>
        <v>0</v>
      </c>
    </row>
    <row r="1618">
      <c r="A1618" s="39" t="n"/>
      <c r="B1618" s="40" t="n"/>
      <c r="C1618" s="35" t="n"/>
      <c r="D1618" s="35" t="n"/>
      <c r="E1618" s="34" t="n"/>
      <c r="F1618" s="35" t="n"/>
      <c r="G1618" s="35" t="n"/>
      <c r="H1618" s="35" t="n"/>
      <c r="I1618" s="35" t="n"/>
      <c r="J1618" s="35" t="n"/>
      <c r="K1618" s="34" t="n"/>
      <c r="L1618" s="26">
        <f>IF(A1618="","",MONTH(A1618))</f>
        <v/>
      </c>
      <c r="M1618" s="26">
        <f>IF(A1618="","",YEAR(A1618))</f>
        <v/>
      </c>
      <c r="N1618" s="26">
        <f>IF(A1618="","",CHOOSE(WEEKDAY(A1618,2),"Segunda","Terça","Quarta","Quinta","Sexta","Sábado","Domingo"))</f>
        <v/>
      </c>
      <c r="O1618" s="26">
        <f>IF(B1618="","",IF(B1618&lt;TIME(12,0,0),"Manhã",IF(B1618&lt;TIME(18,0,0),"Tarde","Noite")))</f>
        <v/>
      </c>
      <c r="P1618" s="32">
        <f>IF(G1618="","",IFERROR(INDEX(Config!$I$5:$I$16,MATCH(G1618,Config!$H$5:$H$16,0)),0))</f>
        <v/>
      </c>
      <c r="Q1618" s="30">
        <f>IF(OR(H1618&lt;&gt;"Realizado",P1618="",P1618=0),"",A1618+P1618)</f>
        <v/>
      </c>
      <c r="R1618" s="26">
        <f>IF(Q1618="","",IF(COUNTIFS($E$5:$E$3004,E1618,$A$5:$A$3004,"&gt;"&amp;A1618,$H$5:$H$3004,"&lt;&gt;Falta",$H$5:$H$3004,"&lt;&gt;Cancelado",$H$5:$H$3004,"&lt;&gt;Remarcado")&gt;0,"Sim","Não"))</f>
        <v/>
      </c>
      <c r="S1618" s="32">
        <f>IF(R1618&lt;&gt;"Não","",IF(Q1618+Config!$B$9&lt;=Config!$B$8,Config!$B$8-Q1618,""))</f>
        <v/>
      </c>
      <c r="T1618" s="26">
        <f>IF(S1618="","","Sim")</f>
        <v/>
      </c>
      <c r="U1618" s="41">
        <f>IF(T1618="Sim",S1618+ROW()/100000,0)</f>
        <v>0</v>
      </c>
      <c r="V1618" s="41">
        <f>IF(AND(H1618="Falta",L1618=Config!$B$7,M1618=Config!$B$5,COUNTIFS($E$5:E1618,E1618,$H$5:H1618,"Falta",$L$5:L1618,Config!$B$7,$M$5:M1618,Config!$B$5)=1),COUNTIFS($E$5:$E$3004,E1618,$H$5:$H$3004,"Falta",$L$5:$L$3004,Config!$B$7,$M$5:$M$3004,Config!$B$5)*1000-ROW()/100000,0)</f>
        <v>0</v>
      </c>
    </row>
    <row r="1619">
      <c r="A1619" s="39" t="n"/>
      <c r="B1619" s="40" t="n"/>
      <c r="C1619" s="35" t="n"/>
      <c r="D1619" s="35" t="n"/>
      <c r="E1619" s="34" t="n"/>
      <c r="F1619" s="35" t="n"/>
      <c r="G1619" s="35" t="n"/>
      <c r="H1619" s="35" t="n"/>
      <c r="I1619" s="35" t="n"/>
      <c r="J1619" s="35" t="n"/>
      <c r="K1619" s="34" t="n"/>
      <c r="L1619" s="26">
        <f>IF(A1619="","",MONTH(A1619))</f>
        <v/>
      </c>
      <c r="M1619" s="26">
        <f>IF(A1619="","",YEAR(A1619))</f>
        <v/>
      </c>
      <c r="N1619" s="26">
        <f>IF(A1619="","",CHOOSE(WEEKDAY(A1619,2),"Segunda","Terça","Quarta","Quinta","Sexta","Sábado","Domingo"))</f>
        <v/>
      </c>
      <c r="O1619" s="26">
        <f>IF(B1619="","",IF(B1619&lt;TIME(12,0,0),"Manhã",IF(B1619&lt;TIME(18,0,0),"Tarde","Noite")))</f>
        <v/>
      </c>
      <c r="P1619" s="32">
        <f>IF(G1619="","",IFERROR(INDEX(Config!$I$5:$I$16,MATCH(G1619,Config!$H$5:$H$16,0)),0))</f>
        <v/>
      </c>
      <c r="Q1619" s="30">
        <f>IF(OR(H1619&lt;&gt;"Realizado",P1619="",P1619=0),"",A1619+P1619)</f>
        <v/>
      </c>
      <c r="R1619" s="26">
        <f>IF(Q1619="","",IF(COUNTIFS($E$5:$E$3004,E1619,$A$5:$A$3004,"&gt;"&amp;A1619,$H$5:$H$3004,"&lt;&gt;Falta",$H$5:$H$3004,"&lt;&gt;Cancelado",$H$5:$H$3004,"&lt;&gt;Remarcado")&gt;0,"Sim","Não"))</f>
        <v/>
      </c>
      <c r="S1619" s="32">
        <f>IF(R1619&lt;&gt;"Não","",IF(Q1619+Config!$B$9&lt;=Config!$B$8,Config!$B$8-Q1619,""))</f>
        <v/>
      </c>
      <c r="T1619" s="26">
        <f>IF(S1619="","","Sim")</f>
        <v/>
      </c>
      <c r="U1619" s="41">
        <f>IF(T1619="Sim",S1619+ROW()/100000,0)</f>
        <v>0</v>
      </c>
      <c r="V1619" s="41">
        <f>IF(AND(H1619="Falta",L1619=Config!$B$7,M1619=Config!$B$5,COUNTIFS($E$5:E1619,E1619,$H$5:H1619,"Falta",$L$5:L1619,Config!$B$7,$M$5:M1619,Config!$B$5)=1),COUNTIFS($E$5:$E$3004,E1619,$H$5:$H$3004,"Falta",$L$5:$L$3004,Config!$B$7,$M$5:$M$3004,Config!$B$5)*1000-ROW()/100000,0)</f>
        <v>0</v>
      </c>
    </row>
    <row r="1620">
      <c r="A1620" s="39" t="n"/>
      <c r="B1620" s="40" t="n"/>
      <c r="C1620" s="35" t="n"/>
      <c r="D1620" s="35" t="n"/>
      <c r="E1620" s="34" t="n"/>
      <c r="F1620" s="35" t="n"/>
      <c r="G1620" s="35" t="n"/>
      <c r="H1620" s="35" t="n"/>
      <c r="I1620" s="35" t="n"/>
      <c r="J1620" s="35" t="n"/>
      <c r="K1620" s="34" t="n"/>
      <c r="L1620" s="26">
        <f>IF(A1620="","",MONTH(A1620))</f>
        <v/>
      </c>
      <c r="M1620" s="26">
        <f>IF(A1620="","",YEAR(A1620))</f>
        <v/>
      </c>
      <c r="N1620" s="26">
        <f>IF(A1620="","",CHOOSE(WEEKDAY(A1620,2),"Segunda","Terça","Quarta","Quinta","Sexta","Sábado","Domingo"))</f>
        <v/>
      </c>
      <c r="O1620" s="26">
        <f>IF(B1620="","",IF(B1620&lt;TIME(12,0,0),"Manhã",IF(B1620&lt;TIME(18,0,0),"Tarde","Noite")))</f>
        <v/>
      </c>
      <c r="P1620" s="32">
        <f>IF(G1620="","",IFERROR(INDEX(Config!$I$5:$I$16,MATCH(G1620,Config!$H$5:$H$16,0)),0))</f>
        <v/>
      </c>
      <c r="Q1620" s="30">
        <f>IF(OR(H1620&lt;&gt;"Realizado",P1620="",P1620=0),"",A1620+P1620)</f>
        <v/>
      </c>
      <c r="R1620" s="26">
        <f>IF(Q1620="","",IF(COUNTIFS($E$5:$E$3004,E1620,$A$5:$A$3004,"&gt;"&amp;A1620,$H$5:$H$3004,"&lt;&gt;Falta",$H$5:$H$3004,"&lt;&gt;Cancelado",$H$5:$H$3004,"&lt;&gt;Remarcado")&gt;0,"Sim","Não"))</f>
        <v/>
      </c>
      <c r="S1620" s="32">
        <f>IF(R1620&lt;&gt;"Não","",IF(Q1620+Config!$B$9&lt;=Config!$B$8,Config!$B$8-Q1620,""))</f>
        <v/>
      </c>
      <c r="T1620" s="26">
        <f>IF(S1620="","","Sim")</f>
        <v/>
      </c>
      <c r="U1620" s="41">
        <f>IF(T1620="Sim",S1620+ROW()/100000,0)</f>
        <v>0</v>
      </c>
      <c r="V1620" s="41">
        <f>IF(AND(H1620="Falta",L1620=Config!$B$7,M1620=Config!$B$5,COUNTIFS($E$5:E1620,E1620,$H$5:H1620,"Falta",$L$5:L1620,Config!$B$7,$M$5:M1620,Config!$B$5)=1),COUNTIFS($E$5:$E$3004,E1620,$H$5:$H$3004,"Falta",$L$5:$L$3004,Config!$B$7,$M$5:$M$3004,Config!$B$5)*1000-ROW()/100000,0)</f>
        <v>0</v>
      </c>
    </row>
    <row r="1621">
      <c r="A1621" s="39" t="n"/>
      <c r="B1621" s="40" t="n"/>
      <c r="C1621" s="35" t="n"/>
      <c r="D1621" s="35" t="n"/>
      <c r="E1621" s="34" t="n"/>
      <c r="F1621" s="35" t="n"/>
      <c r="G1621" s="35" t="n"/>
      <c r="H1621" s="35" t="n"/>
      <c r="I1621" s="35" t="n"/>
      <c r="J1621" s="35" t="n"/>
      <c r="K1621" s="34" t="n"/>
      <c r="L1621" s="26">
        <f>IF(A1621="","",MONTH(A1621))</f>
        <v/>
      </c>
      <c r="M1621" s="26">
        <f>IF(A1621="","",YEAR(A1621))</f>
        <v/>
      </c>
      <c r="N1621" s="26">
        <f>IF(A1621="","",CHOOSE(WEEKDAY(A1621,2),"Segunda","Terça","Quarta","Quinta","Sexta","Sábado","Domingo"))</f>
        <v/>
      </c>
      <c r="O1621" s="26">
        <f>IF(B1621="","",IF(B1621&lt;TIME(12,0,0),"Manhã",IF(B1621&lt;TIME(18,0,0),"Tarde","Noite")))</f>
        <v/>
      </c>
      <c r="P1621" s="32">
        <f>IF(G1621="","",IFERROR(INDEX(Config!$I$5:$I$16,MATCH(G1621,Config!$H$5:$H$16,0)),0))</f>
        <v/>
      </c>
      <c r="Q1621" s="30">
        <f>IF(OR(H1621&lt;&gt;"Realizado",P1621="",P1621=0),"",A1621+P1621)</f>
        <v/>
      </c>
      <c r="R1621" s="26">
        <f>IF(Q1621="","",IF(COUNTIFS($E$5:$E$3004,E1621,$A$5:$A$3004,"&gt;"&amp;A1621,$H$5:$H$3004,"&lt;&gt;Falta",$H$5:$H$3004,"&lt;&gt;Cancelado",$H$5:$H$3004,"&lt;&gt;Remarcado")&gt;0,"Sim","Não"))</f>
        <v/>
      </c>
      <c r="S1621" s="32">
        <f>IF(R1621&lt;&gt;"Não","",IF(Q1621+Config!$B$9&lt;=Config!$B$8,Config!$B$8-Q1621,""))</f>
        <v/>
      </c>
      <c r="T1621" s="26">
        <f>IF(S1621="","","Sim")</f>
        <v/>
      </c>
      <c r="U1621" s="41">
        <f>IF(T1621="Sim",S1621+ROW()/100000,0)</f>
        <v>0</v>
      </c>
      <c r="V1621" s="41">
        <f>IF(AND(H1621="Falta",L1621=Config!$B$7,M1621=Config!$B$5,COUNTIFS($E$5:E1621,E1621,$H$5:H1621,"Falta",$L$5:L1621,Config!$B$7,$M$5:M1621,Config!$B$5)=1),COUNTIFS($E$5:$E$3004,E1621,$H$5:$H$3004,"Falta",$L$5:$L$3004,Config!$B$7,$M$5:$M$3004,Config!$B$5)*1000-ROW()/100000,0)</f>
        <v>0</v>
      </c>
    </row>
    <row r="1622">
      <c r="A1622" s="39" t="n"/>
      <c r="B1622" s="40" t="n"/>
      <c r="C1622" s="35" t="n"/>
      <c r="D1622" s="35" t="n"/>
      <c r="E1622" s="34" t="n"/>
      <c r="F1622" s="35" t="n"/>
      <c r="G1622" s="35" t="n"/>
      <c r="H1622" s="35" t="n"/>
      <c r="I1622" s="35" t="n"/>
      <c r="J1622" s="35" t="n"/>
      <c r="K1622" s="34" t="n"/>
      <c r="L1622" s="26">
        <f>IF(A1622="","",MONTH(A1622))</f>
        <v/>
      </c>
      <c r="M1622" s="26">
        <f>IF(A1622="","",YEAR(A1622))</f>
        <v/>
      </c>
      <c r="N1622" s="26">
        <f>IF(A1622="","",CHOOSE(WEEKDAY(A1622,2),"Segunda","Terça","Quarta","Quinta","Sexta","Sábado","Domingo"))</f>
        <v/>
      </c>
      <c r="O1622" s="26">
        <f>IF(B1622="","",IF(B1622&lt;TIME(12,0,0),"Manhã",IF(B1622&lt;TIME(18,0,0),"Tarde","Noite")))</f>
        <v/>
      </c>
      <c r="P1622" s="32">
        <f>IF(G1622="","",IFERROR(INDEX(Config!$I$5:$I$16,MATCH(G1622,Config!$H$5:$H$16,0)),0))</f>
        <v/>
      </c>
      <c r="Q1622" s="30">
        <f>IF(OR(H1622&lt;&gt;"Realizado",P1622="",P1622=0),"",A1622+P1622)</f>
        <v/>
      </c>
      <c r="R1622" s="26">
        <f>IF(Q1622="","",IF(COUNTIFS($E$5:$E$3004,E1622,$A$5:$A$3004,"&gt;"&amp;A1622,$H$5:$H$3004,"&lt;&gt;Falta",$H$5:$H$3004,"&lt;&gt;Cancelado",$H$5:$H$3004,"&lt;&gt;Remarcado")&gt;0,"Sim","Não"))</f>
        <v/>
      </c>
      <c r="S1622" s="32">
        <f>IF(R1622&lt;&gt;"Não","",IF(Q1622+Config!$B$9&lt;=Config!$B$8,Config!$B$8-Q1622,""))</f>
        <v/>
      </c>
      <c r="T1622" s="26">
        <f>IF(S1622="","","Sim")</f>
        <v/>
      </c>
      <c r="U1622" s="41">
        <f>IF(T1622="Sim",S1622+ROW()/100000,0)</f>
        <v>0</v>
      </c>
      <c r="V1622" s="41">
        <f>IF(AND(H1622="Falta",L1622=Config!$B$7,M1622=Config!$B$5,COUNTIFS($E$5:E1622,E1622,$H$5:H1622,"Falta",$L$5:L1622,Config!$B$7,$M$5:M1622,Config!$B$5)=1),COUNTIFS($E$5:$E$3004,E1622,$H$5:$H$3004,"Falta",$L$5:$L$3004,Config!$B$7,$M$5:$M$3004,Config!$B$5)*1000-ROW()/100000,0)</f>
        <v>0</v>
      </c>
    </row>
    <row r="1623">
      <c r="A1623" s="39" t="n"/>
      <c r="B1623" s="40" t="n"/>
      <c r="C1623" s="35" t="n"/>
      <c r="D1623" s="35" t="n"/>
      <c r="E1623" s="34" t="n"/>
      <c r="F1623" s="35" t="n"/>
      <c r="G1623" s="35" t="n"/>
      <c r="H1623" s="35" t="n"/>
      <c r="I1623" s="35" t="n"/>
      <c r="J1623" s="35" t="n"/>
      <c r="K1623" s="34" t="n"/>
      <c r="L1623" s="26">
        <f>IF(A1623="","",MONTH(A1623))</f>
        <v/>
      </c>
      <c r="M1623" s="26">
        <f>IF(A1623="","",YEAR(A1623))</f>
        <v/>
      </c>
      <c r="N1623" s="26">
        <f>IF(A1623="","",CHOOSE(WEEKDAY(A1623,2),"Segunda","Terça","Quarta","Quinta","Sexta","Sábado","Domingo"))</f>
        <v/>
      </c>
      <c r="O1623" s="26">
        <f>IF(B1623="","",IF(B1623&lt;TIME(12,0,0),"Manhã",IF(B1623&lt;TIME(18,0,0),"Tarde","Noite")))</f>
        <v/>
      </c>
      <c r="P1623" s="32">
        <f>IF(G1623="","",IFERROR(INDEX(Config!$I$5:$I$16,MATCH(G1623,Config!$H$5:$H$16,0)),0))</f>
        <v/>
      </c>
      <c r="Q1623" s="30">
        <f>IF(OR(H1623&lt;&gt;"Realizado",P1623="",P1623=0),"",A1623+P1623)</f>
        <v/>
      </c>
      <c r="R1623" s="26">
        <f>IF(Q1623="","",IF(COUNTIFS($E$5:$E$3004,E1623,$A$5:$A$3004,"&gt;"&amp;A1623,$H$5:$H$3004,"&lt;&gt;Falta",$H$5:$H$3004,"&lt;&gt;Cancelado",$H$5:$H$3004,"&lt;&gt;Remarcado")&gt;0,"Sim","Não"))</f>
        <v/>
      </c>
      <c r="S1623" s="32">
        <f>IF(R1623&lt;&gt;"Não","",IF(Q1623+Config!$B$9&lt;=Config!$B$8,Config!$B$8-Q1623,""))</f>
        <v/>
      </c>
      <c r="T1623" s="26">
        <f>IF(S1623="","","Sim")</f>
        <v/>
      </c>
      <c r="U1623" s="41">
        <f>IF(T1623="Sim",S1623+ROW()/100000,0)</f>
        <v>0</v>
      </c>
      <c r="V1623" s="41">
        <f>IF(AND(H1623="Falta",L1623=Config!$B$7,M1623=Config!$B$5,COUNTIFS($E$5:E1623,E1623,$H$5:H1623,"Falta",$L$5:L1623,Config!$B$7,$M$5:M1623,Config!$B$5)=1),COUNTIFS($E$5:$E$3004,E1623,$H$5:$H$3004,"Falta",$L$5:$L$3004,Config!$B$7,$M$5:$M$3004,Config!$B$5)*1000-ROW()/100000,0)</f>
        <v>0</v>
      </c>
    </row>
    <row r="1624">
      <c r="A1624" s="39" t="n"/>
      <c r="B1624" s="40" t="n"/>
      <c r="C1624" s="35" t="n"/>
      <c r="D1624" s="35" t="n"/>
      <c r="E1624" s="34" t="n"/>
      <c r="F1624" s="35" t="n"/>
      <c r="G1624" s="35" t="n"/>
      <c r="H1624" s="35" t="n"/>
      <c r="I1624" s="35" t="n"/>
      <c r="J1624" s="35" t="n"/>
      <c r="K1624" s="34" t="n"/>
      <c r="L1624" s="26">
        <f>IF(A1624="","",MONTH(A1624))</f>
        <v/>
      </c>
      <c r="M1624" s="26">
        <f>IF(A1624="","",YEAR(A1624))</f>
        <v/>
      </c>
      <c r="N1624" s="26">
        <f>IF(A1624="","",CHOOSE(WEEKDAY(A1624,2),"Segunda","Terça","Quarta","Quinta","Sexta","Sábado","Domingo"))</f>
        <v/>
      </c>
      <c r="O1624" s="26">
        <f>IF(B1624="","",IF(B1624&lt;TIME(12,0,0),"Manhã",IF(B1624&lt;TIME(18,0,0),"Tarde","Noite")))</f>
        <v/>
      </c>
      <c r="P1624" s="32">
        <f>IF(G1624="","",IFERROR(INDEX(Config!$I$5:$I$16,MATCH(G1624,Config!$H$5:$H$16,0)),0))</f>
        <v/>
      </c>
      <c r="Q1624" s="30">
        <f>IF(OR(H1624&lt;&gt;"Realizado",P1624="",P1624=0),"",A1624+P1624)</f>
        <v/>
      </c>
      <c r="R1624" s="26">
        <f>IF(Q1624="","",IF(COUNTIFS($E$5:$E$3004,E1624,$A$5:$A$3004,"&gt;"&amp;A1624,$H$5:$H$3004,"&lt;&gt;Falta",$H$5:$H$3004,"&lt;&gt;Cancelado",$H$5:$H$3004,"&lt;&gt;Remarcado")&gt;0,"Sim","Não"))</f>
        <v/>
      </c>
      <c r="S1624" s="32">
        <f>IF(R1624&lt;&gt;"Não","",IF(Q1624+Config!$B$9&lt;=Config!$B$8,Config!$B$8-Q1624,""))</f>
        <v/>
      </c>
      <c r="T1624" s="26">
        <f>IF(S1624="","","Sim")</f>
        <v/>
      </c>
      <c r="U1624" s="41">
        <f>IF(T1624="Sim",S1624+ROW()/100000,0)</f>
        <v>0</v>
      </c>
      <c r="V1624" s="41">
        <f>IF(AND(H1624="Falta",L1624=Config!$B$7,M1624=Config!$B$5,COUNTIFS($E$5:E1624,E1624,$H$5:H1624,"Falta",$L$5:L1624,Config!$B$7,$M$5:M1624,Config!$B$5)=1),COUNTIFS($E$5:$E$3004,E1624,$H$5:$H$3004,"Falta",$L$5:$L$3004,Config!$B$7,$M$5:$M$3004,Config!$B$5)*1000-ROW()/100000,0)</f>
        <v>0</v>
      </c>
    </row>
    <row r="1625">
      <c r="A1625" s="39" t="n"/>
      <c r="B1625" s="40" t="n"/>
      <c r="C1625" s="35" t="n"/>
      <c r="D1625" s="35" t="n"/>
      <c r="E1625" s="34" t="n"/>
      <c r="F1625" s="35" t="n"/>
      <c r="G1625" s="35" t="n"/>
      <c r="H1625" s="35" t="n"/>
      <c r="I1625" s="35" t="n"/>
      <c r="J1625" s="35" t="n"/>
      <c r="K1625" s="34" t="n"/>
      <c r="L1625" s="26">
        <f>IF(A1625="","",MONTH(A1625))</f>
        <v/>
      </c>
      <c r="M1625" s="26">
        <f>IF(A1625="","",YEAR(A1625))</f>
        <v/>
      </c>
      <c r="N1625" s="26">
        <f>IF(A1625="","",CHOOSE(WEEKDAY(A1625,2),"Segunda","Terça","Quarta","Quinta","Sexta","Sábado","Domingo"))</f>
        <v/>
      </c>
      <c r="O1625" s="26">
        <f>IF(B1625="","",IF(B1625&lt;TIME(12,0,0),"Manhã",IF(B1625&lt;TIME(18,0,0),"Tarde","Noite")))</f>
        <v/>
      </c>
      <c r="P1625" s="32">
        <f>IF(G1625="","",IFERROR(INDEX(Config!$I$5:$I$16,MATCH(G1625,Config!$H$5:$H$16,0)),0))</f>
        <v/>
      </c>
      <c r="Q1625" s="30">
        <f>IF(OR(H1625&lt;&gt;"Realizado",P1625="",P1625=0),"",A1625+P1625)</f>
        <v/>
      </c>
      <c r="R1625" s="26">
        <f>IF(Q1625="","",IF(COUNTIFS($E$5:$E$3004,E1625,$A$5:$A$3004,"&gt;"&amp;A1625,$H$5:$H$3004,"&lt;&gt;Falta",$H$5:$H$3004,"&lt;&gt;Cancelado",$H$5:$H$3004,"&lt;&gt;Remarcado")&gt;0,"Sim","Não"))</f>
        <v/>
      </c>
      <c r="S1625" s="32">
        <f>IF(R1625&lt;&gt;"Não","",IF(Q1625+Config!$B$9&lt;=Config!$B$8,Config!$B$8-Q1625,""))</f>
        <v/>
      </c>
      <c r="T1625" s="26">
        <f>IF(S1625="","","Sim")</f>
        <v/>
      </c>
      <c r="U1625" s="41">
        <f>IF(T1625="Sim",S1625+ROW()/100000,0)</f>
        <v>0</v>
      </c>
      <c r="V1625" s="41">
        <f>IF(AND(H1625="Falta",L1625=Config!$B$7,M1625=Config!$B$5,COUNTIFS($E$5:E1625,E1625,$H$5:H1625,"Falta",$L$5:L1625,Config!$B$7,$M$5:M1625,Config!$B$5)=1),COUNTIFS($E$5:$E$3004,E1625,$H$5:$H$3004,"Falta",$L$5:$L$3004,Config!$B$7,$M$5:$M$3004,Config!$B$5)*1000-ROW()/100000,0)</f>
        <v>0</v>
      </c>
    </row>
    <row r="1626">
      <c r="A1626" s="39" t="n"/>
      <c r="B1626" s="40" t="n"/>
      <c r="C1626" s="35" t="n"/>
      <c r="D1626" s="35" t="n"/>
      <c r="E1626" s="34" t="n"/>
      <c r="F1626" s="35" t="n"/>
      <c r="G1626" s="35" t="n"/>
      <c r="H1626" s="35" t="n"/>
      <c r="I1626" s="35" t="n"/>
      <c r="J1626" s="35" t="n"/>
      <c r="K1626" s="34" t="n"/>
      <c r="L1626" s="26">
        <f>IF(A1626="","",MONTH(A1626))</f>
        <v/>
      </c>
      <c r="M1626" s="26">
        <f>IF(A1626="","",YEAR(A1626))</f>
        <v/>
      </c>
      <c r="N1626" s="26">
        <f>IF(A1626="","",CHOOSE(WEEKDAY(A1626,2),"Segunda","Terça","Quarta","Quinta","Sexta","Sábado","Domingo"))</f>
        <v/>
      </c>
      <c r="O1626" s="26">
        <f>IF(B1626="","",IF(B1626&lt;TIME(12,0,0),"Manhã",IF(B1626&lt;TIME(18,0,0),"Tarde","Noite")))</f>
        <v/>
      </c>
      <c r="P1626" s="32">
        <f>IF(G1626="","",IFERROR(INDEX(Config!$I$5:$I$16,MATCH(G1626,Config!$H$5:$H$16,0)),0))</f>
        <v/>
      </c>
      <c r="Q1626" s="30">
        <f>IF(OR(H1626&lt;&gt;"Realizado",P1626="",P1626=0),"",A1626+P1626)</f>
        <v/>
      </c>
      <c r="R1626" s="26">
        <f>IF(Q1626="","",IF(COUNTIFS($E$5:$E$3004,E1626,$A$5:$A$3004,"&gt;"&amp;A1626,$H$5:$H$3004,"&lt;&gt;Falta",$H$5:$H$3004,"&lt;&gt;Cancelado",$H$5:$H$3004,"&lt;&gt;Remarcado")&gt;0,"Sim","Não"))</f>
        <v/>
      </c>
      <c r="S1626" s="32">
        <f>IF(R1626&lt;&gt;"Não","",IF(Q1626+Config!$B$9&lt;=Config!$B$8,Config!$B$8-Q1626,""))</f>
        <v/>
      </c>
      <c r="T1626" s="26">
        <f>IF(S1626="","","Sim")</f>
        <v/>
      </c>
      <c r="U1626" s="41">
        <f>IF(T1626="Sim",S1626+ROW()/100000,0)</f>
        <v>0</v>
      </c>
      <c r="V1626" s="41">
        <f>IF(AND(H1626="Falta",L1626=Config!$B$7,M1626=Config!$B$5,COUNTIFS($E$5:E1626,E1626,$H$5:H1626,"Falta",$L$5:L1626,Config!$B$7,$M$5:M1626,Config!$B$5)=1),COUNTIFS($E$5:$E$3004,E1626,$H$5:$H$3004,"Falta",$L$5:$L$3004,Config!$B$7,$M$5:$M$3004,Config!$B$5)*1000-ROW()/100000,0)</f>
        <v>0</v>
      </c>
    </row>
    <row r="1627">
      <c r="A1627" s="39" t="n"/>
      <c r="B1627" s="40" t="n"/>
      <c r="C1627" s="35" t="n"/>
      <c r="D1627" s="35" t="n"/>
      <c r="E1627" s="34" t="n"/>
      <c r="F1627" s="35" t="n"/>
      <c r="G1627" s="35" t="n"/>
      <c r="H1627" s="35" t="n"/>
      <c r="I1627" s="35" t="n"/>
      <c r="J1627" s="35" t="n"/>
      <c r="K1627" s="34" t="n"/>
      <c r="L1627" s="26">
        <f>IF(A1627="","",MONTH(A1627))</f>
        <v/>
      </c>
      <c r="M1627" s="26">
        <f>IF(A1627="","",YEAR(A1627))</f>
        <v/>
      </c>
      <c r="N1627" s="26">
        <f>IF(A1627="","",CHOOSE(WEEKDAY(A1627,2),"Segunda","Terça","Quarta","Quinta","Sexta","Sábado","Domingo"))</f>
        <v/>
      </c>
      <c r="O1627" s="26">
        <f>IF(B1627="","",IF(B1627&lt;TIME(12,0,0),"Manhã",IF(B1627&lt;TIME(18,0,0),"Tarde","Noite")))</f>
        <v/>
      </c>
      <c r="P1627" s="32">
        <f>IF(G1627="","",IFERROR(INDEX(Config!$I$5:$I$16,MATCH(G1627,Config!$H$5:$H$16,0)),0))</f>
        <v/>
      </c>
      <c r="Q1627" s="30">
        <f>IF(OR(H1627&lt;&gt;"Realizado",P1627="",P1627=0),"",A1627+P1627)</f>
        <v/>
      </c>
      <c r="R1627" s="26">
        <f>IF(Q1627="","",IF(COUNTIFS($E$5:$E$3004,E1627,$A$5:$A$3004,"&gt;"&amp;A1627,$H$5:$H$3004,"&lt;&gt;Falta",$H$5:$H$3004,"&lt;&gt;Cancelado",$H$5:$H$3004,"&lt;&gt;Remarcado")&gt;0,"Sim","Não"))</f>
        <v/>
      </c>
      <c r="S1627" s="32">
        <f>IF(R1627&lt;&gt;"Não","",IF(Q1627+Config!$B$9&lt;=Config!$B$8,Config!$B$8-Q1627,""))</f>
        <v/>
      </c>
      <c r="T1627" s="26">
        <f>IF(S1627="","","Sim")</f>
        <v/>
      </c>
      <c r="U1627" s="41">
        <f>IF(T1627="Sim",S1627+ROW()/100000,0)</f>
        <v>0</v>
      </c>
      <c r="V1627" s="41">
        <f>IF(AND(H1627="Falta",L1627=Config!$B$7,M1627=Config!$B$5,COUNTIFS($E$5:E1627,E1627,$H$5:H1627,"Falta",$L$5:L1627,Config!$B$7,$M$5:M1627,Config!$B$5)=1),COUNTIFS($E$5:$E$3004,E1627,$H$5:$H$3004,"Falta",$L$5:$L$3004,Config!$B$7,$M$5:$M$3004,Config!$B$5)*1000-ROW()/100000,0)</f>
        <v>0</v>
      </c>
    </row>
    <row r="1628">
      <c r="A1628" s="39" t="n"/>
      <c r="B1628" s="40" t="n"/>
      <c r="C1628" s="35" t="n"/>
      <c r="D1628" s="35" t="n"/>
      <c r="E1628" s="34" t="n"/>
      <c r="F1628" s="35" t="n"/>
      <c r="G1628" s="35" t="n"/>
      <c r="H1628" s="35" t="n"/>
      <c r="I1628" s="35" t="n"/>
      <c r="J1628" s="35" t="n"/>
      <c r="K1628" s="34" t="n"/>
      <c r="L1628" s="26">
        <f>IF(A1628="","",MONTH(A1628))</f>
        <v/>
      </c>
      <c r="M1628" s="26">
        <f>IF(A1628="","",YEAR(A1628))</f>
        <v/>
      </c>
      <c r="N1628" s="26">
        <f>IF(A1628="","",CHOOSE(WEEKDAY(A1628,2),"Segunda","Terça","Quarta","Quinta","Sexta","Sábado","Domingo"))</f>
        <v/>
      </c>
      <c r="O1628" s="26">
        <f>IF(B1628="","",IF(B1628&lt;TIME(12,0,0),"Manhã",IF(B1628&lt;TIME(18,0,0),"Tarde","Noite")))</f>
        <v/>
      </c>
      <c r="P1628" s="32">
        <f>IF(G1628="","",IFERROR(INDEX(Config!$I$5:$I$16,MATCH(G1628,Config!$H$5:$H$16,0)),0))</f>
        <v/>
      </c>
      <c r="Q1628" s="30">
        <f>IF(OR(H1628&lt;&gt;"Realizado",P1628="",P1628=0),"",A1628+P1628)</f>
        <v/>
      </c>
      <c r="R1628" s="26">
        <f>IF(Q1628="","",IF(COUNTIFS($E$5:$E$3004,E1628,$A$5:$A$3004,"&gt;"&amp;A1628,$H$5:$H$3004,"&lt;&gt;Falta",$H$5:$H$3004,"&lt;&gt;Cancelado",$H$5:$H$3004,"&lt;&gt;Remarcado")&gt;0,"Sim","Não"))</f>
        <v/>
      </c>
      <c r="S1628" s="32">
        <f>IF(R1628&lt;&gt;"Não","",IF(Q1628+Config!$B$9&lt;=Config!$B$8,Config!$B$8-Q1628,""))</f>
        <v/>
      </c>
      <c r="T1628" s="26">
        <f>IF(S1628="","","Sim")</f>
        <v/>
      </c>
      <c r="U1628" s="41">
        <f>IF(T1628="Sim",S1628+ROW()/100000,0)</f>
        <v>0</v>
      </c>
      <c r="V1628" s="41">
        <f>IF(AND(H1628="Falta",L1628=Config!$B$7,M1628=Config!$B$5,COUNTIFS($E$5:E1628,E1628,$H$5:H1628,"Falta",$L$5:L1628,Config!$B$7,$M$5:M1628,Config!$B$5)=1),COUNTIFS($E$5:$E$3004,E1628,$H$5:$H$3004,"Falta",$L$5:$L$3004,Config!$B$7,$M$5:$M$3004,Config!$B$5)*1000-ROW()/100000,0)</f>
        <v>0</v>
      </c>
    </row>
    <row r="1629">
      <c r="A1629" s="39" t="n"/>
      <c r="B1629" s="40" t="n"/>
      <c r="C1629" s="35" t="n"/>
      <c r="D1629" s="35" t="n"/>
      <c r="E1629" s="34" t="n"/>
      <c r="F1629" s="35" t="n"/>
      <c r="G1629" s="35" t="n"/>
      <c r="H1629" s="35" t="n"/>
      <c r="I1629" s="35" t="n"/>
      <c r="J1629" s="35" t="n"/>
      <c r="K1629" s="34" t="n"/>
      <c r="L1629" s="26">
        <f>IF(A1629="","",MONTH(A1629))</f>
        <v/>
      </c>
      <c r="M1629" s="26">
        <f>IF(A1629="","",YEAR(A1629))</f>
        <v/>
      </c>
      <c r="N1629" s="26">
        <f>IF(A1629="","",CHOOSE(WEEKDAY(A1629,2),"Segunda","Terça","Quarta","Quinta","Sexta","Sábado","Domingo"))</f>
        <v/>
      </c>
      <c r="O1629" s="26">
        <f>IF(B1629="","",IF(B1629&lt;TIME(12,0,0),"Manhã",IF(B1629&lt;TIME(18,0,0),"Tarde","Noite")))</f>
        <v/>
      </c>
      <c r="P1629" s="32">
        <f>IF(G1629="","",IFERROR(INDEX(Config!$I$5:$I$16,MATCH(G1629,Config!$H$5:$H$16,0)),0))</f>
        <v/>
      </c>
      <c r="Q1629" s="30">
        <f>IF(OR(H1629&lt;&gt;"Realizado",P1629="",P1629=0),"",A1629+P1629)</f>
        <v/>
      </c>
      <c r="R1629" s="26">
        <f>IF(Q1629="","",IF(COUNTIFS($E$5:$E$3004,E1629,$A$5:$A$3004,"&gt;"&amp;A1629,$H$5:$H$3004,"&lt;&gt;Falta",$H$5:$H$3004,"&lt;&gt;Cancelado",$H$5:$H$3004,"&lt;&gt;Remarcado")&gt;0,"Sim","Não"))</f>
        <v/>
      </c>
      <c r="S1629" s="32">
        <f>IF(R1629&lt;&gt;"Não","",IF(Q1629+Config!$B$9&lt;=Config!$B$8,Config!$B$8-Q1629,""))</f>
        <v/>
      </c>
      <c r="T1629" s="26">
        <f>IF(S1629="","","Sim")</f>
        <v/>
      </c>
      <c r="U1629" s="41">
        <f>IF(T1629="Sim",S1629+ROW()/100000,0)</f>
        <v>0</v>
      </c>
      <c r="V1629" s="41">
        <f>IF(AND(H1629="Falta",L1629=Config!$B$7,M1629=Config!$B$5,COUNTIFS($E$5:E1629,E1629,$H$5:H1629,"Falta",$L$5:L1629,Config!$B$7,$M$5:M1629,Config!$B$5)=1),COUNTIFS($E$5:$E$3004,E1629,$H$5:$H$3004,"Falta",$L$5:$L$3004,Config!$B$7,$M$5:$M$3004,Config!$B$5)*1000-ROW()/100000,0)</f>
        <v>0</v>
      </c>
    </row>
    <row r="1630">
      <c r="A1630" s="39" t="n"/>
      <c r="B1630" s="40" t="n"/>
      <c r="C1630" s="35" t="n"/>
      <c r="D1630" s="35" t="n"/>
      <c r="E1630" s="34" t="n"/>
      <c r="F1630" s="35" t="n"/>
      <c r="G1630" s="35" t="n"/>
      <c r="H1630" s="35" t="n"/>
      <c r="I1630" s="35" t="n"/>
      <c r="J1630" s="35" t="n"/>
      <c r="K1630" s="34" t="n"/>
      <c r="L1630" s="26">
        <f>IF(A1630="","",MONTH(A1630))</f>
        <v/>
      </c>
      <c r="M1630" s="26">
        <f>IF(A1630="","",YEAR(A1630))</f>
        <v/>
      </c>
      <c r="N1630" s="26">
        <f>IF(A1630="","",CHOOSE(WEEKDAY(A1630,2),"Segunda","Terça","Quarta","Quinta","Sexta","Sábado","Domingo"))</f>
        <v/>
      </c>
      <c r="O1630" s="26">
        <f>IF(B1630="","",IF(B1630&lt;TIME(12,0,0),"Manhã",IF(B1630&lt;TIME(18,0,0),"Tarde","Noite")))</f>
        <v/>
      </c>
      <c r="P1630" s="32">
        <f>IF(G1630="","",IFERROR(INDEX(Config!$I$5:$I$16,MATCH(G1630,Config!$H$5:$H$16,0)),0))</f>
        <v/>
      </c>
      <c r="Q1630" s="30">
        <f>IF(OR(H1630&lt;&gt;"Realizado",P1630="",P1630=0),"",A1630+P1630)</f>
        <v/>
      </c>
      <c r="R1630" s="26">
        <f>IF(Q1630="","",IF(COUNTIFS($E$5:$E$3004,E1630,$A$5:$A$3004,"&gt;"&amp;A1630,$H$5:$H$3004,"&lt;&gt;Falta",$H$5:$H$3004,"&lt;&gt;Cancelado",$H$5:$H$3004,"&lt;&gt;Remarcado")&gt;0,"Sim","Não"))</f>
        <v/>
      </c>
      <c r="S1630" s="32">
        <f>IF(R1630&lt;&gt;"Não","",IF(Q1630+Config!$B$9&lt;=Config!$B$8,Config!$B$8-Q1630,""))</f>
        <v/>
      </c>
      <c r="T1630" s="26">
        <f>IF(S1630="","","Sim")</f>
        <v/>
      </c>
      <c r="U1630" s="41">
        <f>IF(T1630="Sim",S1630+ROW()/100000,0)</f>
        <v>0</v>
      </c>
      <c r="V1630" s="41">
        <f>IF(AND(H1630="Falta",L1630=Config!$B$7,M1630=Config!$B$5,COUNTIFS($E$5:E1630,E1630,$H$5:H1630,"Falta",$L$5:L1630,Config!$B$7,$M$5:M1630,Config!$B$5)=1),COUNTIFS($E$5:$E$3004,E1630,$H$5:$H$3004,"Falta",$L$5:$L$3004,Config!$B$7,$M$5:$M$3004,Config!$B$5)*1000-ROW()/100000,0)</f>
        <v>0</v>
      </c>
    </row>
    <row r="1631">
      <c r="A1631" s="39" t="n"/>
      <c r="B1631" s="40" t="n"/>
      <c r="C1631" s="35" t="n"/>
      <c r="D1631" s="35" t="n"/>
      <c r="E1631" s="34" t="n"/>
      <c r="F1631" s="35" t="n"/>
      <c r="G1631" s="35" t="n"/>
      <c r="H1631" s="35" t="n"/>
      <c r="I1631" s="35" t="n"/>
      <c r="J1631" s="35" t="n"/>
      <c r="K1631" s="34" t="n"/>
      <c r="L1631" s="26">
        <f>IF(A1631="","",MONTH(A1631))</f>
        <v/>
      </c>
      <c r="M1631" s="26">
        <f>IF(A1631="","",YEAR(A1631))</f>
        <v/>
      </c>
      <c r="N1631" s="26">
        <f>IF(A1631="","",CHOOSE(WEEKDAY(A1631,2),"Segunda","Terça","Quarta","Quinta","Sexta","Sábado","Domingo"))</f>
        <v/>
      </c>
      <c r="O1631" s="26">
        <f>IF(B1631="","",IF(B1631&lt;TIME(12,0,0),"Manhã",IF(B1631&lt;TIME(18,0,0),"Tarde","Noite")))</f>
        <v/>
      </c>
      <c r="P1631" s="32">
        <f>IF(G1631="","",IFERROR(INDEX(Config!$I$5:$I$16,MATCH(G1631,Config!$H$5:$H$16,0)),0))</f>
        <v/>
      </c>
      <c r="Q1631" s="30">
        <f>IF(OR(H1631&lt;&gt;"Realizado",P1631="",P1631=0),"",A1631+P1631)</f>
        <v/>
      </c>
      <c r="R1631" s="26">
        <f>IF(Q1631="","",IF(COUNTIFS($E$5:$E$3004,E1631,$A$5:$A$3004,"&gt;"&amp;A1631,$H$5:$H$3004,"&lt;&gt;Falta",$H$5:$H$3004,"&lt;&gt;Cancelado",$H$5:$H$3004,"&lt;&gt;Remarcado")&gt;0,"Sim","Não"))</f>
        <v/>
      </c>
      <c r="S1631" s="32">
        <f>IF(R1631&lt;&gt;"Não","",IF(Q1631+Config!$B$9&lt;=Config!$B$8,Config!$B$8-Q1631,""))</f>
        <v/>
      </c>
      <c r="T1631" s="26">
        <f>IF(S1631="","","Sim")</f>
        <v/>
      </c>
      <c r="U1631" s="41">
        <f>IF(T1631="Sim",S1631+ROW()/100000,0)</f>
        <v>0</v>
      </c>
      <c r="V1631" s="41">
        <f>IF(AND(H1631="Falta",L1631=Config!$B$7,M1631=Config!$B$5,COUNTIFS($E$5:E1631,E1631,$H$5:H1631,"Falta",$L$5:L1631,Config!$B$7,$M$5:M1631,Config!$B$5)=1),COUNTIFS($E$5:$E$3004,E1631,$H$5:$H$3004,"Falta",$L$5:$L$3004,Config!$B$7,$M$5:$M$3004,Config!$B$5)*1000-ROW()/100000,0)</f>
        <v>0</v>
      </c>
    </row>
    <row r="1632">
      <c r="A1632" s="39" t="n"/>
      <c r="B1632" s="40" t="n"/>
      <c r="C1632" s="35" t="n"/>
      <c r="D1632" s="35" t="n"/>
      <c r="E1632" s="34" t="n"/>
      <c r="F1632" s="35" t="n"/>
      <c r="G1632" s="35" t="n"/>
      <c r="H1632" s="35" t="n"/>
      <c r="I1632" s="35" t="n"/>
      <c r="J1632" s="35" t="n"/>
      <c r="K1632" s="34" t="n"/>
      <c r="L1632" s="26">
        <f>IF(A1632="","",MONTH(A1632))</f>
        <v/>
      </c>
      <c r="M1632" s="26">
        <f>IF(A1632="","",YEAR(A1632))</f>
        <v/>
      </c>
      <c r="N1632" s="26">
        <f>IF(A1632="","",CHOOSE(WEEKDAY(A1632,2),"Segunda","Terça","Quarta","Quinta","Sexta","Sábado","Domingo"))</f>
        <v/>
      </c>
      <c r="O1632" s="26">
        <f>IF(B1632="","",IF(B1632&lt;TIME(12,0,0),"Manhã",IF(B1632&lt;TIME(18,0,0),"Tarde","Noite")))</f>
        <v/>
      </c>
      <c r="P1632" s="32">
        <f>IF(G1632="","",IFERROR(INDEX(Config!$I$5:$I$16,MATCH(G1632,Config!$H$5:$H$16,0)),0))</f>
        <v/>
      </c>
      <c r="Q1632" s="30">
        <f>IF(OR(H1632&lt;&gt;"Realizado",P1632="",P1632=0),"",A1632+P1632)</f>
        <v/>
      </c>
      <c r="R1632" s="26">
        <f>IF(Q1632="","",IF(COUNTIFS($E$5:$E$3004,E1632,$A$5:$A$3004,"&gt;"&amp;A1632,$H$5:$H$3004,"&lt;&gt;Falta",$H$5:$H$3004,"&lt;&gt;Cancelado",$H$5:$H$3004,"&lt;&gt;Remarcado")&gt;0,"Sim","Não"))</f>
        <v/>
      </c>
      <c r="S1632" s="32">
        <f>IF(R1632&lt;&gt;"Não","",IF(Q1632+Config!$B$9&lt;=Config!$B$8,Config!$B$8-Q1632,""))</f>
        <v/>
      </c>
      <c r="T1632" s="26">
        <f>IF(S1632="","","Sim")</f>
        <v/>
      </c>
      <c r="U1632" s="41">
        <f>IF(T1632="Sim",S1632+ROW()/100000,0)</f>
        <v>0</v>
      </c>
      <c r="V1632" s="41">
        <f>IF(AND(H1632="Falta",L1632=Config!$B$7,M1632=Config!$B$5,COUNTIFS($E$5:E1632,E1632,$H$5:H1632,"Falta",$L$5:L1632,Config!$B$7,$M$5:M1632,Config!$B$5)=1),COUNTIFS($E$5:$E$3004,E1632,$H$5:$H$3004,"Falta",$L$5:$L$3004,Config!$B$7,$M$5:$M$3004,Config!$B$5)*1000-ROW()/100000,0)</f>
        <v>0</v>
      </c>
    </row>
    <row r="1633">
      <c r="A1633" s="39" t="n"/>
      <c r="B1633" s="40" t="n"/>
      <c r="C1633" s="35" t="n"/>
      <c r="D1633" s="35" t="n"/>
      <c r="E1633" s="34" t="n"/>
      <c r="F1633" s="35" t="n"/>
      <c r="G1633" s="35" t="n"/>
      <c r="H1633" s="35" t="n"/>
      <c r="I1633" s="35" t="n"/>
      <c r="J1633" s="35" t="n"/>
      <c r="K1633" s="34" t="n"/>
      <c r="L1633" s="26">
        <f>IF(A1633="","",MONTH(A1633))</f>
        <v/>
      </c>
      <c r="M1633" s="26">
        <f>IF(A1633="","",YEAR(A1633))</f>
        <v/>
      </c>
      <c r="N1633" s="26">
        <f>IF(A1633="","",CHOOSE(WEEKDAY(A1633,2),"Segunda","Terça","Quarta","Quinta","Sexta","Sábado","Domingo"))</f>
        <v/>
      </c>
      <c r="O1633" s="26">
        <f>IF(B1633="","",IF(B1633&lt;TIME(12,0,0),"Manhã",IF(B1633&lt;TIME(18,0,0),"Tarde","Noite")))</f>
        <v/>
      </c>
      <c r="P1633" s="32">
        <f>IF(G1633="","",IFERROR(INDEX(Config!$I$5:$I$16,MATCH(G1633,Config!$H$5:$H$16,0)),0))</f>
        <v/>
      </c>
      <c r="Q1633" s="30">
        <f>IF(OR(H1633&lt;&gt;"Realizado",P1633="",P1633=0),"",A1633+P1633)</f>
        <v/>
      </c>
      <c r="R1633" s="26">
        <f>IF(Q1633="","",IF(COUNTIFS($E$5:$E$3004,E1633,$A$5:$A$3004,"&gt;"&amp;A1633,$H$5:$H$3004,"&lt;&gt;Falta",$H$5:$H$3004,"&lt;&gt;Cancelado",$H$5:$H$3004,"&lt;&gt;Remarcado")&gt;0,"Sim","Não"))</f>
        <v/>
      </c>
      <c r="S1633" s="32">
        <f>IF(R1633&lt;&gt;"Não","",IF(Q1633+Config!$B$9&lt;=Config!$B$8,Config!$B$8-Q1633,""))</f>
        <v/>
      </c>
      <c r="T1633" s="26">
        <f>IF(S1633="","","Sim")</f>
        <v/>
      </c>
      <c r="U1633" s="41">
        <f>IF(T1633="Sim",S1633+ROW()/100000,0)</f>
        <v>0</v>
      </c>
      <c r="V1633" s="41">
        <f>IF(AND(H1633="Falta",L1633=Config!$B$7,M1633=Config!$B$5,COUNTIFS($E$5:E1633,E1633,$H$5:H1633,"Falta",$L$5:L1633,Config!$B$7,$M$5:M1633,Config!$B$5)=1),COUNTIFS($E$5:$E$3004,E1633,$H$5:$H$3004,"Falta",$L$5:$L$3004,Config!$B$7,$M$5:$M$3004,Config!$B$5)*1000-ROW()/100000,0)</f>
        <v>0</v>
      </c>
    </row>
    <row r="1634">
      <c r="A1634" s="39" t="n"/>
      <c r="B1634" s="40" t="n"/>
      <c r="C1634" s="35" t="n"/>
      <c r="D1634" s="35" t="n"/>
      <c r="E1634" s="34" t="n"/>
      <c r="F1634" s="35" t="n"/>
      <c r="G1634" s="35" t="n"/>
      <c r="H1634" s="35" t="n"/>
      <c r="I1634" s="35" t="n"/>
      <c r="J1634" s="35" t="n"/>
      <c r="K1634" s="34" t="n"/>
      <c r="L1634" s="26">
        <f>IF(A1634="","",MONTH(A1634))</f>
        <v/>
      </c>
      <c r="M1634" s="26">
        <f>IF(A1634="","",YEAR(A1634))</f>
        <v/>
      </c>
      <c r="N1634" s="26">
        <f>IF(A1634="","",CHOOSE(WEEKDAY(A1634,2),"Segunda","Terça","Quarta","Quinta","Sexta","Sábado","Domingo"))</f>
        <v/>
      </c>
      <c r="O1634" s="26">
        <f>IF(B1634="","",IF(B1634&lt;TIME(12,0,0),"Manhã",IF(B1634&lt;TIME(18,0,0),"Tarde","Noite")))</f>
        <v/>
      </c>
      <c r="P1634" s="32">
        <f>IF(G1634="","",IFERROR(INDEX(Config!$I$5:$I$16,MATCH(G1634,Config!$H$5:$H$16,0)),0))</f>
        <v/>
      </c>
      <c r="Q1634" s="30">
        <f>IF(OR(H1634&lt;&gt;"Realizado",P1634="",P1634=0),"",A1634+P1634)</f>
        <v/>
      </c>
      <c r="R1634" s="26">
        <f>IF(Q1634="","",IF(COUNTIFS($E$5:$E$3004,E1634,$A$5:$A$3004,"&gt;"&amp;A1634,$H$5:$H$3004,"&lt;&gt;Falta",$H$5:$H$3004,"&lt;&gt;Cancelado",$H$5:$H$3004,"&lt;&gt;Remarcado")&gt;0,"Sim","Não"))</f>
        <v/>
      </c>
      <c r="S1634" s="32">
        <f>IF(R1634&lt;&gt;"Não","",IF(Q1634+Config!$B$9&lt;=Config!$B$8,Config!$B$8-Q1634,""))</f>
        <v/>
      </c>
      <c r="T1634" s="26">
        <f>IF(S1634="","","Sim")</f>
        <v/>
      </c>
      <c r="U1634" s="41">
        <f>IF(T1634="Sim",S1634+ROW()/100000,0)</f>
        <v>0</v>
      </c>
      <c r="V1634" s="41">
        <f>IF(AND(H1634="Falta",L1634=Config!$B$7,M1634=Config!$B$5,COUNTIFS($E$5:E1634,E1634,$H$5:H1634,"Falta",$L$5:L1634,Config!$B$7,$M$5:M1634,Config!$B$5)=1),COUNTIFS($E$5:$E$3004,E1634,$H$5:$H$3004,"Falta",$L$5:$L$3004,Config!$B$7,$M$5:$M$3004,Config!$B$5)*1000-ROW()/100000,0)</f>
        <v>0</v>
      </c>
    </row>
    <row r="1635">
      <c r="A1635" s="39" t="n"/>
      <c r="B1635" s="40" t="n"/>
      <c r="C1635" s="35" t="n"/>
      <c r="D1635" s="35" t="n"/>
      <c r="E1635" s="34" t="n"/>
      <c r="F1635" s="35" t="n"/>
      <c r="G1635" s="35" t="n"/>
      <c r="H1635" s="35" t="n"/>
      <c r="I1635" s="35" t="n"/>
      <c r="J1635" s="35" t="n"/>
      <c r="K1635" s="34" t="n"/>
      <c r="L1635" s="26">
        <f>IF(A1635="","",MONTH(A1635))</f>
        <v/>
      </c>
      <c r="M1635" s="26">
        <f>IF(A1635="","",YEAR(A1635))</f>
        <v/>
      </c>
      <c r="N1635" s="26">
        <f>IF(A1635="","",CHOOSE(WEEKDAY(A1635,2),"Segunda","Terça","Quarta","Quinta","Sexta","Sábado","Domingo"))</f>
        <v/>
      </c>
      <c r="O1635" s="26">
        <f>IF(B1635="","",IF(B1635&lt;TIME(12,0,0),"Manhã",IF(B1635&lt;TIME(18,0,0),"Tarde","Noite")))</f>
        <v/>
      </c>
      <c r="P1635" s="32">
        <f>IF(G1635="","",IFERROR(INDEX(Config!$I$5:$I$16,MATCH(G1635,Config!$H$5:$H$16,0)),0))</f>
        <v/>
      </c>
      <c r="Q1635" s="30">
        <f>IF(OR(H1635&lt;&gt;"Realizado",P1635="",P1635=0),"",A1635+P1635)</f>
        <v/>
      </c>
      <c r="R1635" s="26">
        <f>IF(Q1635="","",IF(COUNTIFS($E$5:$E$3004,E1635,$A$5:$A$3004,"&gt;"&amp;A1635,$H$5:$H$3004,"&lt;&gt;Falta",$H$5:$H$3004,"&lt;&gt;Cancelado",$H$5:$H$3004,"&lt;&gt;Remarcado")&gt;0,"Sim","Não"))</f>
        <v/>
      </c>
      <c r="S1635" s="32">
        <f>IF(R1635&lt;&gt;"Não","",IF(Q1635+Config!$B$9&lt;=Config!$B$8,Config!$B$8-Q1635,""))</f>
        <v/>
      </c>
      <c r="T1635" s="26">
        <f>IF(S1635="","","Sim")</f>
        <v/>
      </c>
      <c r="U1635" s="41">
        <f>IF(T1635="Sim",S1635+ROW()/100000,0)</f>
        <v>0</v>
      </c>
      <c r="V1635" s="41">
        <f>IF(AND(H1635="Falta",L1635=Config!$B$7,M1635=Config!$B$5,COUNTIFS($E$5:E1635,E1635,$H$5:H1635,"Falta",$L$5:L1635,Config!$B$7,$M$5:M1635,Config!$B$5)=1),COUNTIFS($E$5:$E$3004,E1635,$H$5:$H$3004,"Falta",$L$5:$L$3004,Config!$B$7,$M$5:$M$3004,Config!$B$5)*1000-ROW()/100000,0)</f>
        <v>0</v>
      </c>
    </row>
    <row r="1636">
      <c r="A1636" s="39" t="n"/>
      <c r="B1636" s="40" t="n"/>
      <c r="C1636" s="35" t="n"/>
      <c r="D1636" s="35" t="n"/>
      <c r="E1636" s="34" t="n"/>
      <c r="F1636" s="35" t="n"/>
      <c r="G1636" s="35" t="n"/>
      <c r="H1636" s="35" t="n"/>
      <c r="I1636" s="35" t="n"/>
      <c r="J1636" s="35" t="n"/>
      <c r="K1636" s="34" t="n"/>
      <c r="L1636" s="26">
        <f>IF(A1636="","",MONTH(A1636))</f>
        <v/>
      </c>
      <c r="M1636" s="26">
        <f>IF(A1636="","",YEAR(A1636))</f>
        <v/>
      </c>
      <c r="N1636" s="26">
        <f>IF(A1636="","",CHOOSE(WEEKDAY(A1636,2),"Segunda","Terça","Quarta","Quinta","Sexta","Sábado","Domingo"))</f>
        <v/>
      </c>
      <c r="O1636" s="26">
        <f>IF(B1636="","",IF(B1636&lt;TIME(12,0,0),"Manhã",IF(B1636&lt;TIME(18,0,0),"Tarde","Noite")))</f>
        <v/>
      </c>
      <c r="P1636" s="32">
        <f>IF(G1636="","",IFERROR(INDEX(Config!$I$5:$I$16,MATCH(G1636,Config!$H$5:$H$16,0)),0))</f>
        <v/>
      </c>
      <c r="Q1636" s="30">
        <f>IF(OR(H1636&lt;&gt;"Realizado",P1636="",P1636=0),"",A1636+P1636)</f>
        <v/>
      </c>
      <c r="R1636" s="26">
        <f>IF(Q1636="","",IF(COUNTIFS($E$5:$E$3004,E1636,$A$5:$A$3004,"&gt;"&amp;A1636,$H$5:$H$3004,"&lt;&gt;Falta",$H$5:$H$3004,"&lt;&gt;Cancelado",$H$5:$H$3004,"&lt;&gt;Remarcado")&gt;0,"Sim","Não"))</f>
        <v/>
      </c>
      <c r="S1636" s="32">
        <f>IF(R1636&lt;&gt;"Não","",IF(Q1636+Config!$B$9&lt;=Config!$B$8,Config!$B$8-Q1636,""))</f>
        <v/>
      </c>
      <c r="T1636" s="26">
        <f>IF(S1636="","","Sim")</f>
        <v/>
      </c>
      <c r="U1636" s="41">
        <f>IF(T1636="Sim",S1636+ROW()/100000,0)</f>
        <v>0</v>
      </c>
      <c r="V1636" s="41">
        <f>IF(AND(H1636="Falta",L1636=Config!$B$7,M1636=Config!$B$5,COUNTIFS($E$5:E1636,E1636,$H$5:H1636,"Falta",$L$5:L1636,Config!$B$7,$M$5:M1636,Config!$B$5)=1),COUNTIFS($E$5:$E$3004,E1636,$H$5:$H$3004,"Falta",$L$5:$L$3004,Config!$B$7,$M$5:$M$3004,Config!$B$5)*1000-ROW()/100000,0)</f>
        <v>0</v>
      </c>
    </row>
    <row r="1637">
      <c r="A1637" s="39" t="n"/>
      <c r="B1637" s="40" t="n"/>
      <c r="C1637" s="35" t="n"/>
      <c r="D1637" s="35" t="n"/>
      <c r="E1637" s="34" t="n"/>
      <c r="F1637" s="35" t="n"/>
      <c r="G1637" s="35" t="n"/>
      <c r="H1637" s="35" t="n"/>
      <c r="I1637" s="35" t="n"/>
      <c r="J1637" s="35" t="n"/>
      <c r="K1637" s="34" t="n"/>
      <c r="L1637" s="26">
        <f>IF(A1637="","",MONTH(A1637))</f>
        <v/>
      </c>
      <c r="M1637" s="26">
        <f>IF(A1637="","",YEAR(A1637))</f>
        <v/>
      </c>
      <c r="N1637" s="26">
        <f>IF(A1637="","",CHOOSE(WEEKDAY(A1637,2),"Segunda","Terça","Quarta","Quinta","Sexta","Sábado","Domingo"))</f>
        <v/>
      </c>
      <c r="O1637" s="26">
        <f>IF(B1637="","",IF(B1637&lt;TIME(12,0,0),"Manhã",IF(B1637&lt;TIME(18,0,0),"Tarde","Noite")))</f>
        <v/>
      </c>
      <c r="P1637" s="32">
        <f>IF(G1637="","",IFERROR(INDEX(Config!$I$5:$I$16,MATCH(G1637,Config!$H$5:$H$16,0)),0))</f>
        <v/>
      </c>
      <c r="Q1637" s="30">
        <f>IF(OR(H1637&lt;&gt;"Realizado",P1637="",P1637=0),"",A1637+P1637)</f>
        <v/>
      </c>
      <c r="R1637" s="26">
        <f>IF(Q1637="","",IF(COUNTIFS($E$5:$E$3004,E1637,$A$5:$A$3004,"&gt;"&amp;A1637,$H$5:$H$3004,"&lt;&gt;Falta",$H$5:$H$3004,"&lt;&gt;Cancelado",$H$5:$H$3004,"&lt;&gt;Remarcado")&gt;0,"Sim","Não"))</f>
        <v/>
      </c>
      <c r="S1637" s="32">
        <f>IF(R1637&lt;&gt;"Não","",IF(Q1637+Config!$B$9&lt;=Config!$B$8,Config!$B$8-Q1637,""))</f>
        <v/>
      </c>
      <c r="T1637" s="26">
        <f>IF(S1637="","","Sim")</f>
        <v/>
      </c>
      <c r="U1637" s="41">
        <f>IF(T1637="Sim",S1637+ROW()/100000,0)</f>
        <v>0</v>
      </c>
      <c r="V1637" s="41">
        <f>IF(AND(H1637="Falta",L1637=Config!$B$7,M1637=Config!$B$5,COUNTIFS($E$5:E1637,E1637,$H$5:H1637,"Falta",$L$5:L1637,Config!$B$7,$M$5:M1637,Config!$B$5)=1),COUNTIFS($E$5:$E$3004,E1637,$H$5:$H$3004,"Falta",$L$5:$L$3004,Config!$B$7,$M$5:$M$3004,Config!$B$5)*1000-ROW()/100000,0)</f>
        <v>0</v>
      </c>
    </row>
    <row r="1638">
      <c r="A1638" s="39" t="n"/>
      <c r="B1638" s="40" t="n"/>
      <c r="C1638" s="35" t="n"/>
      <c r="D1638" s="35" t="n"/>
      <c r="E1638" s="34" t="n"/>
      <c r="F1638" s="35" t="n"/>
      <c r="G1638" s="35" t="n"/>
      <c r="H1638" s="35" t="n"/>
      <c r="I1638" s="35" t="n"/>
      <c r="J1638" s="35" t="n"/>
      <c r="K1638" s="34" t="n"/>
      <c r="L1638" s="26">
        <f>IF(A1638="","",MONTH(A1638))</f>
        <v/>
      </c>
      <c r="M1638" s="26">
        <f>IF(A1638="","",YEAR(A1638))</f>
        <v/>
      </c>
      <c r="N1638" s="26">
        <f>IF(A1638="","",CHOOSE(WEEKDAY(A1638,2),"Segunda","Terça","Quarta","Quinta","Sexta","Sábado","Domingo"))</f>
        <v/>
      </c>
      <c r="O1638" s="26">
        <f>IF(B1638="","",IF(B1638&lt;TIME(12,0,0),"Manhã",IF(B1638&lt;TIME(18,0,0),"Tarde","Noite")))</f>
        <v/>
      </c>
      <c r="P1638" s="32">
        <f>IF(G1638="","",IFERROR(INDEX(Config!$I$5:$I$16,MATCH(G1638,Config!$H$5:$H$16,0)),0))</f>
        <v/>
      </c>
      <c r="Q1638" s="30">
        <f>IF(OR(H1638&lt;&gt;"Realizado",P1638="",P1638=0),"",A1638+P1638)</f>
        <v/>
      </c>
      <c r="R1638" s="26">
        <f>IF(Q1638="","",IF(COUNTIFS($E$5:$E$3004,E1638,$A$5:$A$3004,"&gt;"&amp;A1638,$H$5:$H$3004,"&lt;&gt;Falta",$H$5:$H$3004,"&lt;&gt;Cancelado",$H$5:$H$3004,"&lt;&gt;Remarcado")&gt;0,"Sim","Não"))</f>
        <v/>
      </c>
      <c r="S1638" s="32">
        <f>IF(R1638&lt;&gt;"Não","",IF(Q1638+Config!$B$9&lt;=Config!$B$8,Config!$B$8-Q1638,""))</f>
        <v/>
      </c>
      <c r="T1638" s="26">
        <f>IF(S1638="","","Sim")</f>
        <v/>
      </c>
      <c r="U1638" s="41">
        <f>IF(T1638="Sim",S1638+ROW()/100000,0)</f>
        <v>0</v>
      </c>
      <c r="V1638" s="41">
        <f>IF(AND(H1638="Falta",L1638=Config!$B$7,M1638=Config!$B$5,COUNTIFS($E$5:E1638,E1638,$H$5:H1638,"Falta",$L$5:L1638,Config!$B$7,$M$5:M1638,Config!$B$5)=1),COUNTIFS($E$5:$E$3004,E1638,$H$5:$H$3004,"Falta",$L$5:$L$3004,Config!$B$7,$M$5:$M$3004,Config!$B$5)*1000-ROW()/100000,0)</f>
        <v>0</v>
      </c>
    </row>
    <row r="1639">
      <c r="A1639" s="39" t="n"/>
      <c r="B1639" s="40" t="n"/>
      <c r="C1639" s="35" t="n"/>
      <c r="D1639" s="35" t="n"/>
      <c r="E1639" s="34" t="n"/>
      <c r="F1639" s="35" t="n"/>
      <c r="G1639" s="35" t="n"/>
      <c r="H1639" s="35" t="n"/>
      <c r="I1639" s="35" t="n"/>
      <c r="J1639" s="35" t="n"/>
      <c r="K1639" s="34" t="n"/>
      <c r="L1639" s="26">
        <f>IF(A1639="","",MONTH(A1639))</f>
        <v/>
      </c>
      <c r="M1639" s="26">
        <f>IF(A1639="","",YEAR(A1639))</f>
        <v/>
      </c>
      <c r="N1639" s="26">
        <f>IF(A1639="","",CHOOSE(WEEKDAY(A1639,2),"Segunda","Terça","Quarta","Quinta","Sexta","Sábado","Domingo"))</f>
        <v/>
      </c>
      <c r="O1639" s="26">
        <f>IF(B1639="","",IF(B1639&lt;TIME(12,0,0),"Manhã",IF(B1639&lt;TIME(18,0,0),"Tarde","Noite")))</f>
        <v/>
      </c>
      <c r="P1639" s="32">
        <f>IF(G1639="","",IFERROR(INDEX(Config!$I$5:$I$16,MATCH(G1639,Config!$H$5:$H$16,0)),0))</f>
        <v/>
      </c>
      <c r="Q1639" s="30">
        <f>IF(OR(H1639&lt;&gt;"Realizado",P1639="",P1639=0),"",A1639+P1639)</f>
        <v/>
      </c>
      <c r="R1639" s="26">
        <f>IF(Q1639="","",IF(COUNTIFS($E$5:$E$3004,E1639,$A$5:$A$3004,"&gt;"&amp;A1639,$H$5:$H$3004,"&lt;&gt;Falta",$H$5:$H$3004,"&lt;&gt;Cancelado",$H$5:$H$3004,"&lt;&gt;Remarcado")&gt;0,"Sim","Não"))</f>
        <v/>
      </c>
      <c r="S1639" s="32">
        <f>IF(R1639&lt;&gt;"Não","",IF(Q1639+Config!$B$9&lt;=Config!$B$8,Config!$B$8-Q1639,""))</f>
        <v/>
      </c>
      <c r="T1639" s="26">
        <f>IF(S1639="","","Sim")</f>
        <v/>
      </c>
      <c r="U1639" s="41">
        <f>IF(T1639="Sim",S1639+ROW()/100000,0)</f>
        <v>0</v>
      </c>
      <c r="V1639" s="41">
        <f>IF(AND(H1639="Falta",L1639=Config!$B$7,M1639=Config!$B$5,COUNTIFS($E$5:E1639,E1639,$H$5:H1639,"Falta",$L$5:L1639,Config!$B$7,$M$5:M1639,Config!$B$5)=1),COUNTIFS($E$5:$E$3004,E1639,$H$5:$H$3004,"Falta",$L$5:$L$3004,Config!$B$7,$M$5:$M$3004,Config!$B$5)*1000-ROW()/100000,0)</f>
        <v>0</v>
      </c>
    </row>
    <row r="1640">
      <c r="A1640" s="39" t="n"/>
      <c r="B1640" s="40" t="n"/>
      <c r="C1640" s="35" t="n"/>
      <c r="D1640" s="35" t="n"/>
      <c r="E1640" s="34" t="n"/>
      <c r="F1640" s="35" t="n"/>
      <c r="G1640" s="35" t="n"/>
      <c r="H1640" s="35" t="n"/>
      <c r="I1640" s="35" t="n"/>
      <c r="J1640" s="35" t="n"/>
      <c r="K1640" s="34" t="n"/>
      <c r="L1640" s="26">
        <f>IF(A1640="","",MONTH(A1640))</f>
        <v/>
      </c>
      <c r="M1640" s="26">
        <f>IF(A1640="","",YEAR(A1640))</f>
        <v/>
      </c>
      <c r="N1640" s="26">
        <f>IF(A1640="","",CHOOSE(WEEKDAY(A1640,2),"Segunda","Terça","Quarta","Quinta","Sexta","Sábado","Domingo"))</f>
        <v/>
      </c>
      <c r="O1640" s="26">
        <f>IF(B1640="","",IF(B1640&lt;TIME(12,0,0),"Manhã",IF(B1640&lt;TIME(18,0,0),"Tarde","Noite")))</f>
        <v/>
      </c>
      <c r="P1640" s="32">
        <f>IF(G1640="","",IFERROR(INDEX(Config!$I$5:$I$16,MATCH(G1640,Config!$H$5:$H$16,0)),0))</f>
        <v/>
      </c>
      <c r="Q1640" s="30">
        <f>IF(OR(H1640&lt;&gt;"Realizado",P1640="",P1640=0),"",A1640+P1640)</f>
        <v/>
      </c>
      <c r="R1640" s="26">
        <f>IF(Q1640="","",IF(COUNTIFS($E$5:$E$3004,E1640,$A$5:$A$3004,"&gt;"&amp;A1640,$H$5:$H$3004,"&lt;&gt;Falta",$H$5:$H$3004,"&lt;&gt;Cancelado",$H$5:$H$3004,"&lt;&gt;Remarcado")&gt;0,"Sim","Não"))</f>
        <v/>
      </c>
      <c r="S1640" s="32">
        <f>IF(R1640&lt;&gt;"Não","",IF(Q1640+Config!$B$9&lt;=Config!$B$8,Config!$B$8-Q1640,""))</f>
        <v/>
      </c>
      <c r="T1640" s="26">
        <f>IF(S1640="","","Sim")</f>
        <v/>
      </c>
      <c r="U1640" s="41">
        <f>IF(T1640="Sim",S1640+ROW()/100000,0)</f>
        <v>0</v>
      </c>
      <c r="V1640" s="41">
        <f>IF(AND(H1640="Falta",L1640=Config!$B$7,M1640=Config!$B$5,COUNTIFS($E$5:E1640,E1640,$H$5:H1640,"Falta",$L$5:L1640,Config!$B$7,$M$5:M1640,Config!$B$5)=1),COUNTIFS($E$5:$E$3004,E1640,$H$5:$H$3004,"Falta",$L$5:$L$3004,Config!$B$7,$M$5:$M$3004,Config!$B$5)*1000-ROW()/100000,0)</f>
        <v>0</v>
      </c>
    </row>
    <row r="1641">
      <c r="A1641" s="39" t="n"/>
      <c r="B1641" s="40" t="n"/>
      <c r="C1641" s="35" t="n"/>
      <c r="D1641" s="35" t="n"/>
      <c r="E1641" s="34" t="n"/>
      <c r="F1641" s="35" t="n"/>
      <c r="G1641" s="35" t="n"/>
      <c r="H1641" s="35" t="n"/>
      <c r="I1641" s="35" t="n"/>
      <c r="J1641" s="35" t="n"/>
      <c r="K1641" s="34" t="n"/>
      <c r="L1641" s="26">
        <f>IF(A1641="","",MONTH(A1641))</f>
        <v/>
      </c>
      <c r="M1641" s="26">
        <f>IF(A1641="","",YEAR(A1641))</f>
        <v/>
      </c>
      <c r="N1641" s="26">
        <f>IF(A1641="","",CHOOSE(WEEKDAY(A1641,2),"Segunda","Terça","Quarta","Quinta","Sexta","Sábado","Domingo"))</f>
        <v/>
      </c>
      <c r="O1641" s="26">
        <f>IF(B1641="","",IF(B1641&lt;TIME(12,0,0),"Manhã",IF(B1641&lt;TIME(18,0,0),"Tarde","Noite")))</f>
        <v/>
      </c>
      <c r="P1641" s="32">
        <f>IF(G1641="","",IFERROR(INDEX(Config!$I$5:$I$16,MATCH(G1641,Config!$H$5:$H$16,0)),0))</f>
        <v/>
      </c>
      <c r="Q1641" s="30">
        <f>IF(OR(H1641&lt;&gt;"Realizado",P1641="",P1641=0),"",A1641+P1641)</f>
        <v/>
      </c>
      <c r="R1641" s="26">
        <f>IF(Q1641="","",IF(COUNTIFS($E$5:$E$3004,E1641,$A$5:$A$3004,"&gt;"&amp;A1641,$H$5:$H$3004,"&lt;&gt;Falta",$H$5:$H$3004,"&lt;&gt;Cancelado",$H$5:$H$3004,"&lt;&gt;Remarcado")&gt;0,"Sim","Não"))</f>
        <v/>
      </c>
      <c r="S1641" s="32">
        <f>IF(R1641&lt;&gt;"Não","",IF(Q1641+Config!$B$9&lt;=Config!$B$8,Config!$B$8-Q1641,""))</f>
        <v/>
      </c>
      <c r="T1641" s="26">
        <f>IF(S1641="","","Sim")</f>
        <v/>
      </c>
      <c r="U1641" s="41">
        <f>IF(T1641="Sim",S1641+ROW()/100000,0)</f>
        <v>0</v>
      </c>
      <c r="V1641" s="41">
        <f>IF(AND(H1641="Falta",L1641=Config!$B$7,M1641=Config!$B$5,COUNTIFS($E$5:E1641,E1641,$H$5:H1641,"Falta",$L$5:L1641,Config!$B$7,$M$5:M1641,Config!$B$5)=1),COUNTIFS($E$5:$E$3004,E1641,$H$5:$H$3004,"Falta",$L$5:$L$3004,Config!$B$7,$M$5:$M$3004,Config!$B$5)*1000-ROW()/100000,0)</f>
        <v>0</v>
      </c>
    </row>
    <row r="1642">
      <c r="A1642" s="39" t="n"/>
      <c r="B1642" s="40" t="n"/>
      <c r="C1642" s="35" t="n"/>
      <c r="D1642" s="35" t="n"/>
      <c r="E1642" s="34" t="n"/>
      <c r="F1642" s="35" t="n"/>
      <c r="G1642" s="35" t="n"/>
      <c r="H1642" s="35" t="n"/>
      <c r="I1642" s="35" t="n"/>
      <c r="J1642" s="35" t="n"/>
      <c r="K1642" s="34" t="n"/>
      <c r="L1642" s="26">
        <f>IF(A1642="","",MONTH(A1642))</f>
        <v/>
      </c>
      <c r="M1642" s="26">
        <f>IF(A1642="","",YEAR(A1642))</f>
        <v/>
      </c>
      <c r="N1642" s="26">
        <f>IF(A1642="","",CHOOSE(WEEKDAY(A1642,2),"Segunda","Terça","Quarta","Quinta","Sexta","Sábado","Domingo"))</f>
        <v/>
      </c>
      <c r="O1642" s="26">
        <f>IF(B1642="","",IF(B1642&lt;TIME(12,0,0),"Manhã",IF(B1642&lt;TIME(18,0,0),"Tarde","Noite")))</f>
        <v/>
      </c>
      <c r="P1642" s="32">
        <f>IF(G1642="","",IFERROR(INDEX(Config!$I$5:$I$16,MATCH(G1642,Config!$H$5:$H$16,0)),0))</f>
        <v/>
      </c>
      <c r="Q1642" s="30">
        <f>IF(OR(H1642&lt;&gt;"Realizado",P1642="",P1642=0),"",A1642+P1642)</f>
        <v/>
      </c>
      <c r="R1642" s="26">
        <f>IF(Q1642="","",IF(COUNTIFS($E$5:$E$3004,E1642,$A$5:$A$3004,"&gt;"&amp;A1642,$H$5:$H$3004,"&lt;&gt;Falta",$H$5:$H$3004,"&lt;&gt;Cancelado",$H$5:$H$3004,"&lt;&gt;Remarcado")&gt;0,"Sim","Não"))</f>
        <v/>
      </c>
      <c r="S1642" s="32">
        <f>IF(R1642&lt;&gt;"Não","",IF(Q1642+Config!$B$9&lt;=Config!$B$8,Config!$B$8-Q1642,""))</f>
        <v/>
      </c>
      <c r="T1642" s="26">
        <f>IF(S1642="","","Sim")</f>
        <v/>
      </c>
      <c r="U1642" s="41">
        <f>IF(T1642="Sim",S1642+ROW()/100000,0)</f>
        <v>0</v>
      </c>
      <c r="V1642" s="41">
        <f>IF(AND(H1642="Falta",L1642=Config!$B$7,M1642=Config!$B$5,COUNTIFS($E$5:E1642,E1642,$H$5:H1642,"Falta",$L$5:L1642,Config!$B$7,$M$5:M1642,Config!$B$5)=1),COUNTIFS($E$5:$E$3004,E1642,$H$5:$H$3004,"Falta",$L$5:$L$3004,Config!$B$7,$M$5:$M$3004,Config!$B$5)*1000-ROW()/100000,0)</f>
        <v>0</v>
      </c>
    </row>
    <row r="1643">
      <c r="A1643" s="39" t="n"/>
      <c r="B1643" s="40" t="n"/>
      <c r="C1643" s="35" t="n"/>
      <c r="D1643" s="35" t="n"/>
      <c r="E1643" s="34" t="n"/>
      <c r="F1643" s="35" t="n"/>
      <c r="G1643" s="35" t="n"/>
      <c r="H1643" s="35" t="n"/>
      <c r="I1643" s="35" t="n"/>
      <c r="J1643" s="35" t="n"/>
      <c r="K1643" s="34" t="n"/>
      <c r="L1643" s="26">
        <f>IF(A1643="","",MONTH(A1643))</f>
        <v/>
      </c>
      <c r="M1643" s="26">
        <f>IF(A1643="","",YEAR(A1643))</f>
        <v/>
      </c>
      <c r="N1643" s="26">
        <f>IF(A1643="","",CHOOSE(WEEKDAY(A1643,2),"Segunda","Terça","Quarta","Quinta","Sexta","Sábado","Domingo"))</f>
        <v/>
      </c>
      <c r="O1643" s="26">
        <f>IF(B1643="","",IF(B1643&lt;TIME(12,0,0),"Manhã",IF(B1643&lt;TIME(18,0,0),"Tarde","Noite")))</f>
        <v/>
      </c>
      <c r="P1643" s="32">
        <f>IF(G1643="","",IFERROR(INDEX(Config!$I$5:$I$16,MATCH(G1643,Config!$H$5:$H$16,0)),0))</f>
        <v/>
      </c>
      <c r="Q1643" s="30">
        <f>IF(OR(H1643&lt;&gt;"Realizado",P1643="",P1643=0),"",A1643+P1643)</f>
        <v/>
      </c>
      <c r="R1643" s="26">
        <f>IF(Q1643="","",IF(COUNTIFS($E$5:$E$3004,E1643,$A$5:$A$3004,"&gt;"&amp;A1643,$H$5:$H$3004,"&lt;&gt;Falta",$H$5:$H$3004,"&lt;&gt;Cancelado",$H$5:$H$3004,"&lt;&gt;Remarcado")&gt;0,"Sim","Não"))</f>
        <v/>
      </c>
      <c r="S1643" s="32">
        <f>IF(R1643&lt;&gt;"Não","",IF(Q1643+Config!$B$9&lt;=Config!$B$8,Config!$B$8-Q1643,""))</f>
        <v/>
      </c>
      <c r="T1643" s="26">
        <f>IF(S1643="","","Sim")</f>
        <v/>
      </c>
      <c r="U1643" s="41">
        <f>IF(T1643="Sim",S1643+ROW()/100000,0)</f>
        <v>0</v>
      </c>
      <c r="V1643" s="41">
        <f>IF(AND(H1643="Falta",L1643=Config!$B$7,M1643=Config!$B$5,COUNTIFS($E$5:E1643,E1643,$H$5:H1643,"Falta",$L$5:L1643,Config!$B$7,$M$5:M1643,Config!$B$5)=1),COUNTIFS($E$5:$E$3004,E1643,$H$5:$H$3004,"Falta",$L$5:$L$3004,Config!$B$7,$M$5:$M$3004,Config!$B$5)*1000-ROW()/100000,0)</f>
        <v>0</v>
      </c>
    </row>
    <row r="1644">
      <c r="A1644" s="39" t="n"/>
      <c r="B1644" s="40" t="n"/>
      <c r="C1644" s="35" t="n"/>
      <c r="D1644" s="35" t="n"/>
      <c r="E1644" s="34" t="n"/>
      <c r="F1644" s="35" t="n"/>
      <c r="G1644" s="35" t="n"/>
      <c r="H1644" s="35" t="n"/>
      <c r="I1644" s="35" t="n"/>
      <c r="J1644" s="35" t="n"/>
      <c r="K1644" s="34" t="n"/>
      <c r="L1644" s="26">
        <f>IF(A1644="","",MONTH(A1644))</f>
        <v/>
      </c>
      <c r="M1644" s="26">
        <f>IF(A1644="","",YEAR(A1644))</f>
        <v/>
      </c>
      <c r="N1644" s="26">
        <f>IF(A1644="","",CHOOSE(WEEKDAY(A1644,2),"Segunda","Terça","Quarta","Quinta","Sexta","Sábado","Domingo"))</f>
        <v/>
      </c>
      <c r="O1644" s="26">
        <f>IF(B1644="","",IF(B1644&lt;TIME(12,0,0),"Manhã",IF(B1644&lt;TIME(18,0,0),"Tarde","Noite")))</f>
        <v/>
      </c>
      <c r="P1644" s="32">
        <f>IF(G1644="","",IFERROR(INDEX(Config!$I$5:$I$16,MATCH(G1644,Config!$H$5:$H$16,0)),0))</f>
        <v/>
      </c>
      <c r="Q1644" s="30">
        <f>IF(OR(H1644&lt;&gt;"Realizado",P1644="",P1644=0),"",A1644+P1644)</f>
        <v/>
      </c>
      <c r="R1644" s="26">
        <f>IF(Q1644="","",IF(COUNTIFS($E$5:$E$3004,E1644,$A$5:$A$3004,"&gt;"&amp;A1644,$H$5:$H$3004,"&lt;&gt;Falta",$H$5:$H$3004,"&lt;&gt;Cancelado",$H$5:$H$3004,"&lt;&gt;Remarcado")&gt;0,"Sim","Não"))</f>
        <v/>
      </c>
      <c r="S1644" s="32">
        <f>IF(R1644&lt;&gt;"Não","",IF(Q1644+Config!$B$9&lt;=Config!$B$8,Config!$B$8-Q1644,""))</f>
        <v/>
      </c>
      <c r="T1644" s="26">
        <f>IF(S1644="","","Sim")</f>
        <v/>
      </c>
      <c r="U1644" s="41">
        <f>IF(T1644="Sim",S1644+ROW()/100000,0)</f>
        <v>0</v>
      </c>
      <c r="V1644" s="41">
        <f>IF(AND(H1644="Falta",L1644=Config!$B$7,M1644=Config!$B$5,COUNTIFS($E$5:E1644,E1644,$H$5:H1644,"Falta",$L$5:L1644,Config!$B$7,$M$5:M1644,Config!$B$5)=1),COUNTIFS($E$5:$E$3004,E1644,$H$5:$H$3004,"Falta",$L$5:$L$3004,Config!$B$7,$M$5:$M$3004,Config!$B$5)*1000-ROW()/100000,0)</f>
        <v>0</v>
      </c>
    </row>
    <row r="1645">
      <c r="A1645" s="39" t="n"/>
      <c r="B1645" s="40" t="n"/>
      <c r="C1645" s="35" t="n"/>
      <c r="D1645" s="35" t="n"/>
      <c r="E1645" s="34" t="n"/>
      <c r="F1645" s="35" t="n"/>
      <c r="G1645" s="35" t="n"/>
      <c r="H1645" s="35" t="n"/>
      <c r="I1645" s="35" t="n"/>
      <c r="J1645" s="35" t="n"/>
      <c r="K1645" s="34" t="n"/>
      <c r="L1645" s="26">
        <f>IF(A1645="","",MONTH(A1645))</f>
        <v/>
      </c>
      <c r="M1645" s="26">
        <f>IF(A1645="","",YEAR(A1645))</f>
        <v/>
      </c>
      <c r="N1645" s="26">
        <f>IF(A1645="","",CHOOSE(WEEKDAY(A1645,2),"Segunda","Terça","Quarta","Quinta","Sexta","Sábado","Domingo"))</f>
        <v/>
      </c>
      <c r="O1645" s="26">
        <f>IF(B1645="","",IF(B1645&lt;TIME(12,0,0),"Manhã",IF(B1645&lt;TIME(18,0,0),"Tarde","Noite")))</f>
        <v/>
      </c>
      <c r="P1645" s="32">
        <f>IF(G1645="","",IFERROR(INDEX(Config!$I$5:$I$16,MATCH(G1645,Config!$H$5:$H$16,0)),0))</f>
        <v/>
      </c>
      <c r="Q1645" s="30">
        <f>IF(OR(H1645&lt;&gt;"Realizado",P1645="",P1645=0),"",A1645+P1645)</f>
        <v/>
      </c>
      <c r="R1645" s="26">
        <f>IF(Q1645="","",IF(COUNTIFS($E$5:$E$3004,E1645,$A$5:$A$3004,"&gt;"&amp;A1645,$H$5:$H$3004,"&lt;&gt;Falta",$H$5:$H$3004,"&lt;&gt;Cancelado",$H$5:$H$3004,"&lt;&gt;Remarcado")&gt;0,"Sim","Não"))</f>
        <v/>
      </c>
      <c r="S1645" s="32">
        <f>IF(R1645&lt;&gt;"Não","",IF(Q1645+Config!$B$9&lt;=Config!$B$8,Config!$B$8-Q1645,""))</f>
        <v/>
      </c>
      <c r="T1645" s="26">
        <f>IF(S1645="","","Sim")</f>
        <v/>
      </c>
      <c r="U1645" s="41">
        <f>IF(T1645="Sim",S1645+ROW()/100000,0)</f>
        <v>0</v>
      </c>
      <c r="V1645" s="41">
        <f>IF(AND(H1645="Falta",L1645=Config!$B$7,M1645=Config!$B$5,COUNTIFS($E$5:E1645,E1645,$H$5:H1645,"Falta",$L$5:L1645,Config!$B$7,$M$5:M1645,Config!$B$5)=1),COUNTIFS($E$5:$E$3004,E1645,$H$5:$H$3004,"Falta",$L$5:$L$3004,Config!$B$7,$M$5:$M$3004,Config!$B$5)*1000-ROW()/100000,0)</f>
        <v>0</v>
      </c>
    </row>
    <row r="1646">
      <c r="A1646" s="39" t="n"/>
      <c r="B1646" s="40" t="n"/>
      <c r="C1646" s="35" t="n"/>
      <c r="D1646" s="35" t="n"/>
      <c r="E1646" s="34" t="n"/>
      <c r="F1646" s="35" t="n"/>
      <c r="G1646" s="35" t="n"/>
      <c r="H1646" s="35" t="n"/>
      <c r="I1646" s="35" t="n"/>
      <c r="J1646" s="35" t="n"/>
      <c r="K1646" s="34" t="n"/>
      <c r="L1646" s="26">
        <f>IF(A1646="","",MONTH(A1646))</f>
        <v/>
      </c>
      <c r="M1646" s="26">
        <f>IF(A1646="","",YEAR(A1646))</f>
        <v/>
      </c>
      <c r="N1646" s="26">
        <f>IF(A1646="","",CHOOSE(WEEKDAY(A1646,2),"Segunda","Terça","Quarta","Quinta","Sexta","Sábado","Domingo"))</f>
        <v/>
      </c>
      <c r="O1646" s="26">
        <f>IF(B1646="","",IF(B1646&lt;TIME(12,0,0),"Manhã",IF(B1646&lt;TIME(18,0,0),"Tarde","Noite")))</f>
        <v/>
      </c>
      <c r="P1646" s="32">
        <f>IF(G1646="","",IFERROR(INDEX(Config!$I$5:$I$16,MATCH(G1646,Config!$H$5:$H$16,0)),0))</f>
        <v/>
      </c>
      <c r="Q1646" s="30">
        <f>IF(OR(H1646&lt;&gt;"Realizado",P1646="",P1646=0),"",A1646+P1646)</f>
        <v/>
      </c>
      <c r="R1646" s="26">
        <f>IF(Q1646="","",IF(COUNTIFS($E$5:$E$3004,E1646,$A$5:$A$3004,"&gt;"&amp;A1646,$H$5:$H$3004,"&lt;&gt;Falta",$H$5:$H$3004,"&lt;&gt;Cancelado",$H$5:$H$3004,"&lt;&gt;Remarcado")&gt;0,"Sim","Não"))</f>
        <v/>
      </c>
      <c r="S1646" s="32">
        <f>IF(R1646&lt;&gt;"Não","",IF(Q1646+Config!$B$9&lt;=Config!$B$8,Config!$B$8-Q1646,""))</f>
        <v/>
      </c>
      <c r="T1646" s="26">
        <f>IF(S1646="","","Sim")</f>
        <v/>
      </c>
      <c r="U1646" s="41">
        <f>IF(T1646="Sim",S1646+ROW()/100000,0)</f>
        <v>0</v>
      </c>
      <c r="V1646" s="41">
        <f>IF(AND(H1646="Falta",L1646=Config!$B$7,M1646=Config!$B$5,COUNTIFS($E$5:E1646,E1646,$H$5:H1646,"Falta",$L$5:L1646,Config!$B$7,$M$5:M1646,Config!$B$5)=1),COUNTIFS($E$5:$E$3004,E1646,$H$5:$H$3004,"Falta",$L$5:$L$3004,Config!$B$7,$M$5:$M$3004,Config!$B$5)*1000-ROW()/100000,0)</f>
        <v>0</v>
      </c>
    </row>
    <row r="1647">
      <c r="A1647" s="39" t="n"/>
      <c r="B1647" s="40" t="n"/>
      <c r="C1647" s="35" t="n"/>
      <c r="D1647" s="35" t="n"/>
      <c r="E1647" s="34" t="n"/>
      <c r="F1647" s="35" t="n"/>
      <c r="G1647" s="35" t="n"/>
      <c r="H1647" s="35" t="n"/>
      <c r="I1647" s="35" t="n"/>
      <c r="J1647" s="35" t="n"/>
      <c r="K1647" s="34" t="n"/>
      <c r="L1647" s="26">
        <f>IF(A1647="","",MONTH(A1647))</f>
        <v/>
      </c>
      <c r="M1647" s="26">
        <f>IF(A1647="","",YEAR(A1647))</f>
        <v/>
      </c>
      <c r="N1647" s="26">
        <f>IF(A1647="","",CHOOSE(WEEKDAY(A1647,2),"Segunda","Terça","Quarta","Quinta","Sexta","Sábado","Domingo"))</f>
        <v/>
      </c>
      <c r="O1647" s="26">
        <f>IF(B1647="","",IF(B1647&lt;TIME(12,0,0),"Manhã",IF(B1647&lt;TIME(18,0,0),"Tarde","Noite")))</f>
        <v/>
      </c>
      <c r="P1647" s="32">
        <f>IF(G1647="","",IFERROR(INDEX(Config!$I$5:$I$16,MATCH(G1647,Config!$H$5:$H$16,0)),0))</f>
        <v/>
      </c>
      <c r="Q1647" s="30">
        <f>IF(OR(H1647&lt;&gt;"Realizado",P1647="",P1647=0),"",A1647+P1647)</f>
        <v/>
      </c>
      <c r="R1647" s="26">
        <f>IF(Q1647="","",IF(COUNTIFS($E$5:$E$3004,E1647,$A$5:$A$3004,"&gt;"&amp;A1647,$H$5:$H$3004,"&lt;&gt;Falta",$H$5:$H$3004,"&lt;&gt;Cancelado",$H$5:$H$3004,"&lt;&gt;Remarcado")&gt;0,"Sim","Não"))</f>
        <v/>
      </c>
      <c r="S1647" s="32">
        <f>IF(R1647&lt;&gt;"Não","",IF(Q1647+Config!$B$9&lt;=Config!$B$8,Config!$B$8-Q1647,""))</f>
        <v/>
      </c>
      <c r="T1647" s="26">
        <f>IF(S1647="","","Sim")</f>
        <v/>
      </c>
      <c r="U1647" s="41">
        <f>IF(T1647="Sim",S1647+ROW()/100000,0)</f>
        <v>0</v>
      </c>
      <c r="V1647" s="41">
        <f>IF(AND(H1647="Falta",L1647=Config!$B$7,M1647=Config!$B$5,COUNTIFS($E$5:E1647,E1647,$H$5:H1647,"Falta",$L$5:L1647,Config!$B$7,$M$5:M1647,Config!$B$5)=1),COUNTIFS($E$5:$E$3004,E1647,$H$5:$H$3004,"Falta",$L$5:$L$3004,Config!$B$7,$M$5:$M$3004,Config!$B$5)*1000-ROW()/100000,0)</f>
        <v>0</v>
      </c>
    </row>
    <row r="1648">
      <c r="A1648" s="39" t="n"/>
      <c r="B1648" s="40" t="n"/>
      <c r="C1648" s="35" t="n"/>
      <c r="D1648" s="35" t="n"/>
      <c r="E1648" s="34" t="n"/>
      <c r="F1648" s="35" t="n"/>
      <c r="G1648" s="35" t="n"/>
      <c r="H1648" s="35" t="n"/>
      <c r="I1648" s="35" t="n"/>
      <c r="J1648" s="35" t="n"/>
      <c r="K1648" s="34" t="n"/>
      <c r="L1648" s="26">
        <f>IF(A1648="","",MONTH(A1648))</f>
        <v/>
      </c>
      <c r="M1648" s="26">
        <f>IF(A1648="","",YEAR(A1648))</f>
        <v/>
      </c>
      <c r="N1648" s="26">
        <f>IF(A1648="","",CHOOSE(WEEKDAY(A1648,2),"Segunda","Terça","Quarta","Quinta","Sexta","Sábado","Domingo"))</f>
        <v/>
      </c>
      <c r="O1648" s="26">
        <f>IF(B1648="","",IF(B1648&lt;TIME(12,0,0),"Manhã",IF(B1648&lt;TIME(18,0,0),"Tarde","Noite")))</f>
        <v/>
      </c>
      <c r="P1648" s="32">
        <f>IF(G1648="","",IFERROR(INDEX(Config!$I$5:$I$16,MATCH(G1648,Config!$H$5:$H$16,0)),0))</f>
        <v/>
      </c>
      <c r="Q1648" s="30">
        <f>IF(OR(H1648&lt;&gt;"Realizado",P1648="",P1648=0),"",A1648+P1648)</f>
        <v/>
      </c>
      <c r="R1648" s="26">
        <f>IF(Q1648="","",IF(COUNTIFS($E$5:$E$3004,E1648,$A$5:$A$3004,"&gt;"&amp;A1648,$H$5:$H$3004,"&lt;&gt;Falta",$H$5:$H$3004,"&lt;&gt;Cancelado",$H$5:$H$3004,"&lt;&gt;Remarcado")&gt;0,"Sim","Não"))</f>
        <v/>
      </c>
      <c r="S1648" s="32">
        <f>IF(R1648&lt;&gt;"Não","",IF(Q1648+Config!$B$9&lt;=Config!$B$8,Config!$B$8-Q1648,""))</f>
        <v/>
      </c>
      <c r="T1648" s="26">
        <f>IF(S1648="","","Sim")</f>
        <v/>
      </c>
      <c r="U1648" s="41">
        <f>IF(T1648="Sim",S1648+ROW()/100000,0)</f>
        <v>0</v>
      </c>
      <c r="V1648" s="41">
        <f>IF(AND(H1648="Falta",L1648=Config!$B$7,M1648=Config!$B$5,COUNTIFS($E$5:E1648,E1648,$H$5:H1648,"Falta",$L$5:L1648,Config!$B$7,$M$5:M1648,Config!$B$5)=1),COUNTIFS($E$5:$E$3004,E1648,$H$5:$H$3004,"Falta",$L$5:$L$3004,Config!$B$7,$M$5:$M$3004,Config!$B$5)*1000-ROW()/100000,0)</f>
        <v>0</v>
      </c>
    </row>
    <row r="1649">
      <c r="A1649" s="39" t="n"/>
      <c r="B1649" s="40" t="n"/>
      <c r="C1649" s="35" t="n"/>
      <c r="D1649" s="35" t="n"/>
      <c r="E1649" s="34" t="n"/>
      <c r="F1649" s="35" t="n"/>
      <c r="G1649" s="35" t="n"/>
      <c r="H1649" s="35" t="n"/>
      <c r="I1649" s="35" t="n"/>
      <c r="J1649" s="35" t="n"/>
      <c r="K1649" s="34" t="n"/>
      <c r="L1649" s="26">
        <f>IF(A1649="","",MONTH(A1649))</f>
        <v/>
      </c>
      <c r="M1649" s="26">
        <f>IF(A1649="","",YEAR(A1649))</f>
        <v/>
      </c>
      <c r="N1649" s="26">
        <f>IF(A1649="","",CHOOSE(WEEKDAY(A1649,2),"Segunda","Terça","Quarta","Quinta","Sexta","Sábado","Domingo"))</f>
        <v/>
      </c>
      <c r="O1649" s="26">
        <f>IF(B1649="","",IF(B1649&lt;TIME(12,0,0),"Manhã",IF(B1649&lt;TIME(18,0,0),"Tarde","Noite")))</f>
        <v/>
      </c>
      <c r="P1649" s="32">
        <f>IF(G1649="","",IFERROR(INDEX(Config!$I$5:$I$16,MATCH(G1649,Config!$H$5:$H$16,0)),0))</f>
        <v/>
      </c>
      <c r="Q1649" s="30">
        <f>IF(OR(H1649&lt;&gt;"Realizado",P1649="",P1649=0),"",A1649+P1649)</f>
        <v/>
      </c>
      <c r="R1649" s="26">
        <f>IF(Q1649="","",IF(COUNTIFS($E$5:$E$3004,E1649,$A$5:$A$3004,"&gt;"&amp;A1649,$H$5:$H$3004,"&lt;&gt;Falta",$H$5:$H$3004,"&lt;&gt;Cancelado",$H$5:$H$3004,"&lt;&gt;Remarcado")&gt;0,"Sim","Não"))</f>
        <v/>
      </c>
      <c r="S1649" s="32">
        <f>IF(R1649&lt;&gt;"Não","",IF(Q1649+Config!$B$9&lt;=Config!$B$8,Config!$B$8-Q1649,""))</f>
        <v/>
      </c>
      <c r="T1649" s="26">
        <f>IF(S1649="","","Sim")</f>
        <v/>
      </c>
      <c r="U1649" s="41">
        <f>IF(T1649="Sim",S1649+ROW()/100000,0)</f>
        <v>0</v>
      </c>
      <c r="V1649" s="41">
        <f>IF(AND(H1649="Falta",L1649=Config!$B$7,M1649=Config!$B$5,COUNTIFS($E$5:E1649,E1649,$H$5:H1649,"Falta",$L$5:L1649,Config!$B$7,$M$5:M1649,Config!$B$5)=1),COUNTIFS($E$5:$E$3004,E1649,$H$5:$H$3004,"Falta",$L$5:$L$3004,Config!$B$7,$M$5:$M$3004,Config!$B$5)*1000-ROW()/100000,0)</f>
        <v>0</v>
      </c>
    </row>
    <row r="1650">
      <c r="A1650" s="39" t="n"/>
      <c r="B1650" s="40" t="n"/>
      <c r="C1650" s="35" t="n"/>
      <c r="D1650" s="35" t="n"/>
      <c r="E1650" s="34" t="n"/>
      <c r="F1650" s="35" t="n"/>
      <c r="G1650" s="35" t="n"/>
      <c r="H1650" s="35" t="n"/>
      <c r="I1650" s="35" t="n"/>
      <c r="J1650" s="35" t="n"/>
      <c r="K1650" s="34" t="n"/>
      <c r="L1650" s="26">
        <f>IF(A1650="","",MONTH(A1650))</f>
        <v/>
      </c>
      <c r="M1650" s="26">
        <f>IF(A1650="","",YEAR(A1650))</f>
        <v/>
      </c>
      <c r="N1650" s="26">
        <f>IF(A1650="","",CHOOSE(WEEKDAY(A1650,2),"Segunda","Terça","Quarta","Quinta","Sexta","Sábado","Domingo"))</f>
        <v/>
      </c>
      <c r="O1650" s="26">
        <f>IF(B1650="","",IF(B1650&lt;TIME(12,0,0),"Manhã",IF(B1650&lt;TIME(18,0,0),"Tarde","Noite")))</f>
        <v/>
      </c>
      <c r="P1650" s="32">
        <f>IF(G1650="","",IFERROR(INDEX(Config!$I$5:$I$16,MATCH(G1650,Config!$H$5:$H$16,0)),0))</f>
        <v/>
      </c>
      <c r="Q1650" s="30">
        <f>IF(OR(H1650&lt;&gt;"Realizado",P1650="",P1650=0),"",A1650+P1650)</f>
        <v/>
      </c>
      <c r="R1650" s="26">
        <f>IF(Q1650="","",IF(COUNTIFS($E$5:$E$3004,E1650,$A$5:$A$3004,"&gt;"&amp;A1650,$H$5:$H$3004,"&lt;&gt;Falta",$H$5:$H$3004,"&lt;&gt;Cancelado",$H$5:$H$3004,"&lt;&gt;Remarcado")&gt;0,"Sim","Não"))</f>
        <v/>
      </c>
      <c r="S1650" s="32">
        <f>IF(R1650&lt;&gt;"Não","",IF(Q1650+Config!$B$9&lt;=Config!$B$8,Config!$B$8-Q1650,""))</f>
        <v/>
      </c>
      <c r="T1650" s="26">
        <f>IF(S1650="","","Sim")</f>
        <v/>
      </c>
      <c r="U1650" s="41">
        <f>IF(T1650="Sim",S1650+ROW()/100000,0)</f>
        <v>0</v>
      </c>
      <c r="V1650" s="41">
        <f>IF(AND(H1650="Falta",L1650=Config!$B$7,M1650=Config!$B$5,COUNTIFS($E$5:E1650,E1650,$H$5:H1650,"Falta",$L$5:L1650,Config!$B$7,$M$5:M1650,Config!$B$5)=1),COUNTIFS($E$5:$E$3004,E1650,$H$5:$H$3004,"Falta",$L$5:$L$3004,Config!$B$7,$M$5:$M$3004,Config!$B$5)*1000-ROW()/100000,0)</f>
        <v>0</v>
      </c>
    </row>
    <row r="1651">
      <c r="A1651" s="39" t="n"/>
      <c r="B1651" s="40" t="n"/>
      <c r="C1651" s="35" t="n"/>
      <c r="D1651" s="35" t="n"/>
      <c r="E1651" s="34" t="n"/>
      <c r="F1651" s="35" t="n"/>
      <c r="G1651" s="35" t="n"/>
      <c r="H1651" s="35" t="n"/>
      <c r="I1651" s="35" t="n"/>
      <c r="J1651" s="35" t="n"/>
      <c r="K1651" s="34" t="n"/>
      <c r="L1651" s="26">
        <f>IF(A1651="","",MONTH(A1651))</f>
        <v/>
      </c>
      <c r="M1651" s="26">
        <f>IF(A1651="","",YEAR(A1651))</f>
        <v/>
      </c>
      <c r="N1651" s="26">
        <f>IF(A1651="","",CHOOSE(WEEKDAY(A1651,2),"Segunda","Terça","Quarta","Quinta","Sexta","Sábado","Domingo"))</f>
        <v/>
      </c>
      <c r="O1651" s="26">
        <f>IF(B1651="","",IF(B1651&lt;TIME(12,0,0),"Manhã",IF(B1651&lt;TIME(18,0,0),"Tarde","Noite")))</f>
        <v/>
      </c>
      <c r="P1651" s="32">
        <f>IF(G1651="","",IFERROR(INDEX(Config!$I$5:$I$16,MATCH(G1651,Config!$H$5:$H$16,0)),0))</f>
        <v/>
      </c>
      <c r="Q1651" s="30">
        <f>IF(OR(H1651&lt;&gt;"Realizado",P1651="",P1651=0),"",A1651+P1651)</f>
        <v/>
      </c>
      <c r="R1651" s="26">
        <f>IF(Q1651="","",IF(COUNTIFS($E$5:$E$3004,E1651,$A$5:$A$3004,"&gt;"&amp;A1651,$H$5:$H$3004,"&lt;&gt;Falta",$H$5:$H$3004,"&lt;&gt;Cancelado",$H$5:$H$3004,"&lt;&gt;Remarcado")&gt;0,"Sim","Não"))</f>
        <v/>
      </c>
      <c r="S1651" s="32">
        <f>IF(R1651&lt;&gt;"Não","",IF(Q1651+Config!$B$9&lt;=Config!$B$8,Config!$B$8-Q1651,""))</f>
        <v/>
      </c>
      <c r="T1651" s="26">
        <f>IF(S1651="","","Sim")</f>
        <v/>
      </c>
      <c r="U1651" s="41">
        <f>IF(T1651="Sim",S1651+ROW()/100000,0)</f>
        <v>0</v>
      </c>
      <c r="V1651" s="41">
        <f>IF(AND(H1651="Falta",L1651=Config!$B$7,M1651=Config!$B$5,COUNTIFS($E$5:E1651,E1651,$H$5:H1651,"Falta",$L$5:L1651,Config!$B$7,$M$5:M1651,Config!$B$5)=1),COUNTIFS($E$5:$E$3004,E1651,$H$5:$H$3004,"Falta",$L$5:$L$3004,Config!$B$7,$M$5:$M$3004,Config!$B$5)*1000-ROW()/100000,0)</f>
        <v>0</v>
      </c>
    </row>
    <row r="1652">
      <c r="A1652" s="39" t="n"/>
      <c r="B1652" s="40" t="n"/>
      <c r="C1652" s="35" t="n"/>
      <c r="D1652" s="35" t="n"/>
      <c r="E1652" s="34" t="n"/>
      <c r="F1652" s="35" t="n"/>
      <c r="G1652" s="35" t="n"/>
      <c r="H1652" s="35" t="n"/>
      <c r="I1652" s="35" t="n"/>
      <c r="J1652" s="35" t="n"/>
      <c r="K1652" s="34" t="n"/>
      <c r="L1652" s="26">
        <f>IF(A1652="","",MONTH(A1652))</f>
        <v/>
      </c>
      <c r="M1652" s="26">
        <f>IF(A1652="","",YEAR(A1652))</f>
        <v/>
      </c>
      <c r="N1652" s="26">
        <f>IF(A1652="","",CHOOSE(WEEKDAY(A1652,2),"Segunda","Terça","Quarta","Quinta","Sexta","Sábado","Domingo"))</f>
        <v/>
      </c>
      <c r="O1652" s="26">
        <f>IF(B1652="","",IF(B1652&lt;TIME(12,0,0),"Manhã",IF(B1652&lt;TIME(18,0,0),"Tarde","Noite")))</f>
        <v/>
      </c>
      <c r="P1652" s="32">
        <f>IF(G1652="","",IFERROR(INDEX(Config!$I$5:$I$16,MATCH(G1652,Config!$H$5:$H$16,0)),0))</f>
        <v/>
      </c>
      <c r="Q1652" s="30">
        <f>IF(OR(H1652&lt;&gt;"Realizado",P1652="",P1652=0),"",A1652+P1652)</f>
        <v/>
      </c>
      <c r="R1652" s="26">
        <f>IF(Q1652="","",IF(COUNTIFS($E$5:$E$3004,E1652,$A$5:$A$3004,"&gt;"&amp;A1652,$H$5:$H$3004,"&lt;&gt;Falta",$H$5:$H$3004,"&lt;&gt;Cancelado",$H$5:$H$3004,"&lt;&gt;Remarcado")&gt;0,"Sim","Não"))</f>
        <v/>
      </c>
      <c r="S1652" s="32">
        <f>IF(R1652&lt;&gt;"Não","",IF(Q1652+Config!$B$9&lt;=Config!$B$8,Config!$B$8-Q1652,""))</f>
        <v/>
      </c>
      <c r="T1652" s="26">
        <f>IF(S1652="","","Sim")</f>
        <v/>
      </c>
      <c r="U1652" s="41">
        <f>IF(T1652="Sim",S1652+ROW()/100000,0)</f>
        <v>0</v>
      </c>
      <c r="V1652" s="41">
        <f>IF(AND(H1652="Falta",L1652=Config!$B$7,M1652=Config!$B$5,COUNTIFS($E$5:E1652,E1652,$H$5:H1652,"Falta",$L$5:L1652,Config!$B$7,$M$5:M1652,Config!$B$5)=1),COUNTIFS($E$5:$E$3004,E1652,$H$5:$H$3004,"Falta",$L$5:$L$3004,Config!$B$7,$M$5:$M$3004,Config!$B$5)*1000-ROW()/100000,0)</f>
        <v>0</v>
      </c>
    </row>
    <row r="1653">
      <c r="A1653" s="39" t="n"/>
      <c r="B1653" s="40" t="n"/>
      <c r="C1653" s="35" t="n"/>
      <c r="D1653" s="35" t="n"/>
      <c r="E1653" s="34" t="n"/>
      <c r="F1653" s="35" t="n"/>
      <c r="G1653" s="35" t="n"/>
      <c r="H1653" s="35" t="n"/>
      <c r="I1653" s="35" t="n"/>
      <c r="J1653" s="35" t="n"/>
      <c r="K1653" s="34" t="n"/>
      <c r="L1653" s="26">
        <f>IF(A1653="","",MONTH(A1653))</f>
        <v/>
      </c>
      <c r="M1653" s="26">
        <f>IF(A1653="","",YEAR(A1653))</f>
        <v/>
      </c>
      <c r="N1653" s="26">
        <f>IF(A1653="","",CHOOSE(WEEKDAY(A1653,2),"Segunda","Terça","Quarta","Quinta","Sexta","Sábado","Domingo"))</f>
        <v/>
      </c>
      <c r="O1653" s="26">
        <f>IF(B1653="","",IF(B1653&lt;TIME(12,0,0),"Manhã",IF(B1653&lt;TIME(18,0,0),"Tarde","Noite")))</f>
        <v/>
      </c>
      <c r="P1653" s="32">
        <f>IF(G1653="","",IFERROR(INDEX(Config!$I$5:$I$16,MATCH(G1653,Config!$H$5:$H$16,0)),0))</f>
        <v/>
      </c>
      <c r="Q1653" s="30">
        <f>IF(OR(H1653&lt;&gt;"Realizado",P1653="",P1653=0),"",A1653+P1653)</f>
        <v/>
      </c>
      <c r="R1653" s="26">
        <f>IF(Q1653="","",IF(COUNTIFS($E$5:$E$3004,E1653,$A$5:$A$3004,"&gt;"&amp;A1653,$H$5:$H$3004,"&lt;&gt;Falta",$H$5:$H$3004,"&lt;&gt;Cancelado",$H$5:$H$3004,"&lt;&gt;Remarcado")&gt;0,"Sim","Não"))</f>
        <v/>
      </c>
      <c r="S1653" s="32">
        <f>IF(R1653&lt;&gt;"Não","",IF(Q1653+Config!$B$9&lt;=Config!$B$8,Config!$B$8-Q1653,""))</f>
        <v/>
      </c>
      <c r="T1653" s="26">
        <f>IF(S1653="","","Sim")</f>
        <v/>
      </c>
      <c r="U1653" s="41">
        <f>IF(T1653="Sim",S1653+ROW()/100000,0)</f>
        <v>0</v>
      </c>
      <c r="V1653" s="41">
        <f>IF(AND(H1653="Falta",L1653=Config!$B$7,M1653=Config!$B$5,COUNTIFS($E$5:E1653,E1653,$H$5:H1653,"Falta",$L$5:L1653,Config!$B$7,$M$5:M1653,Config!$B$5)=1),COUNTIFS($E$5:$E$3004,E1653,$H$5:$H$3004,"Falta",$L$5:$L$3004,Config!$B$7,$M$5:$M$3004,Config!$B$5)*1000-ROW()/100000,0)</f>
        <v>0</v>
      </c>
    </row>
    <row r="1654">
      <c r="A1654" s="39" t="n"/>
      <c r="B1654" s="40" t="n"/>
      <c r="C1654" s="35" t="n"/>
      <c r="D1654" s="35" t="n"/>
      <c r="E1654" s="34" t="n"/>
      <c r="F1654" s="35" t="n"/>
      <c r="G1654" s="35" t="n"/>
      <c r="H1654" s="35" t="n"/>
      <c r="I1654" s="35" t="n"/>
      <c r="J1654" s="35" t="n"/>
      <c r="K1654" s="34" t="n"/>
      <c r="L1654" s="26">
        <f>IF(A1654="","",MONTH(A1654))</f>
        <v/>
      </c>
      <c r="M1654" s="26">
        <f>IF(A1654="","",YEAR(A1654))</f>
        <v/>
      </c>
      <c r="N1654" s="26">
        <f>IF(A1654="","",CHOOSE(WEEKDAY(A1654,2),"Segunda","Terça","Quarta","Quinta","Sexta","Sábado","Domingo"))</f>
        <v/>
      </c>
      <c r="O1654" s="26">
        <f>IF(B1654="","",IF(B1654&lt;TIME(12,0,0),"Manhã",IF(B1654&lt;TIME(18,0,0),"Tarde","Noite")))</f>
        <v/>
      </c>
      <c r="P1654" s="32">
        <f>IF(G1654="","",IFERROR(INDEX(Config!$I$5:$I$16,MATCH(G1654,Config!$H$5:$H$16,0)),0))</f>
        <v/>
      </c>
      <c r="Q1654" s="30">
        <f>IF(OR(H1654&lt;&gt;"Realizado",P1654="",P1654=0),"",A1654+P1654)</f>
        <v/>
      </c>
      <c r="R1654" s="26">
        <f>IF(Q1654="","",IF(COUNTIFS($E$5:$E$3004,E1654,$A$5:$A$3004,"&gt;"&amp;A1654,$H$5:$H$3004,"&lt;&gt;Falta",$H$5:$H$3004,"&lt;&gt;Cancelado",$H$5:$H$3004,"&lt;&gt;Remarcado")&gt;0,"Sim","Não"))</f>
        <v/>
      </c>
      <c r="S1654" s="32">
        <f>IF(R1654&lt;&gt;"Não","",IF(Q1654+Config!$B$9&lt;=Config!$B$8,Config!$B$8-Q1654,""))</f>
        <v/>
      </c>
      <c r="T1654" s="26">
        <f>IF(S1654="","","Sim")</f>
        <v/>
      </c>
      <c r="U1654" s="41">
        <f>IF(T1654="Sim",S1654+ROW()/100000,0)</f>
        <v>0</v>
      </c>
      <c r="V1654" s="41">
        <f>IF(AND(H1654="Falta",L1654=Config!$B$7,M1654=Config!$B$5,COUNTIFS($E$5:E1654,E1654,$H$5:H1654,"Falta",$L$5:L1654,Config!$B$7,$M$5:M1654,Config!$B$5)=1),COUNTIFS($E$5:$E$3004,E1654,$H$5:$H$3004,"Falta",$L$5:$L$3004,Config!$B$7,$M$5:$M$3004,Config!$B$5)*1000-ROW()/100000,0)</f>
        <v>0</v>
      </c>
    </row>
    <row r="1655">
      <c r="A1655" s="39" t="n"/>
      <c r="B1655" s="40" t="n"/>
      <c r="C1655" s="35" t="n"/>
      <c r="D1655" s="35" t="n"/>
      <c r="E1655" s="34" t="n"/>
      <c r="F1655" s="35" t="n"/>
      <c r="G1655" s="35" t="n"/>
      <c r="H1655" s="35" t="n"/>
      <c r="I1655" s="35" t="n"/>
      <c r="J1655" s="35" t="n"/>
      <c r="K1655" s="34" t="n"/>
      <c r="L1655" s="26">
        <f>IF(A1655="","",MONTH(A1655))</f>
        <v/>
      </c>
      <c r="M1655" s="26">
        <f>IF(A1655="","",YEAR(A1655))</f>
        <v/>
      </c>
      <c r="N1655" s="26">
        <f>IF(A1655="","",CHOOSE(WEEKDAY(A1655,2),"Segunda","Terça","Quarta","Quinta","Sexta","Sábado","Domingo"))</f>
        <v/>
      </c>
      <c r="O1655" s="26">
        <f>IF(B1655="","",IF(B1655&lt;TIME(12,0,0),"Manhã",IF(B1655&lt;TIME(18,0,0),"Tarde","Noite")))</f>
        <v/>
      </c>
      <c r="P1655" s="32">
        <f>IF(G1655="","",IFERROR(INDEX(Config!$I$5:$I$16,MATCH(G1655,Config!$H$5:$H$16,0)),0))</f>
        <v/>
      </c>
      <c r="Q1655" s="30">
        <f>IF(OR(H1655&lt;&gt;"Realizado",P1655="",P1655=0),"",A1655+P1655)</f>
        <v/>
      </c>
      <c r="R1655" s="26">
        <f>IF(Q1655="","",IF(COUNTIFS($E$5:$E$3004,E1655,$A$5:$A$3004,"&gt;"&amp;A1655,$H$5:$H$3004,"&lt;&gt;Falta",$H$5:$H$3004,"&lt;&gt;Cancelado",$H$5:$H$3004,"&lt;&gt;Remarcado")&gt;0,"Sim","Não"))</f>
        <v/>
      </c>
      <c r="S1655" s="32">
        <f>IF(R1655&lt;&gt;"Não","",IF(Q1655+Config!$B$9&lt;=Config!$B$8,Config!$B$8-Q1655,""))</f>
        <v/>
      </c>
      <c r="T1655" s="26">
        <f>IF(S1655="","","Sim")</f>
        <v/>
      </c>
      <c r="U1655" s="41">
        <f>IF(T1655="Sim",S1655+ROW()/100000,0)</f>
        <v>0</v>
      </c>
      <c r="V1655" s="41">
        <f>IF(AND(H1655="Falta",L1655=Config!$B$7,M1655=Config!$B$5,COUNTIFS($E$5:E1655,E1655,$H$5:H1655,"Falta",$L$5:L1655,Config!$B$7,$M$5:M1655,Config!$B$5)=1),COUNTIFS($E$5:$E$3004,E1655,$H$5:$H$3004,"Falta",$L$5:$L$3004,Config!$B$7,$M$5:$M$3004,Config!$B$5)*1000-ROW()/100000,0)</f>
        <v>0</v>
      </c>
    </row>
    <row r="1656">
      <c r="A1656" s="39" t="n"/>
      <c r="B1656" s="40" t="n"/>
      <c r="C1656" s="35" t="n"/>
      <c r="D1656" s="35" t="n"/>
      <c r="E1656" s="34" t="n"/>
      <c r="F1656" s="35" t="n"/>
      <c r="G1656" s="35" t="n"/>
      <c r="H1656" s="35" t="n"/>
      <c r="I1656" s="35" t="n"/>
      <c r="J1656" s="35" t="n"/>
      <c r="K1656" s="34" t="n"/>
      <c r="L1656" s="26">
        <f>IF(A1656="","",MONTH(A1656))</f>
        <v/>
      </c>
      <c r="M1656" s="26">
        <f>IF(A1656="","",YEAR(A1656))</f>
        <v/>
      </c>
      <c r="N1656" s="26">
        <f>IF(A1656="","",CHOOSE(WEEKDAY(A1656,2),"Segunda","Terça","Quarta","Quinta","Sexta","Sábado","Domingo"))</f>
        <v/>
      </c>
      <c r="O1656" s="26">
        <f>IF(B1656="","",IF(B1656&lt;TIME(12,0,0),"Manhã",IF(B1656&lt;TIME(18,0,0),"Tarde","Noite")))</f>
        <v/>
      </c>
      <c r="P1656" s="32">
        <f>IF(G1656="","",IFERROR(INDEX(Config!$I$5:$I$16,MATCH(G1656,Config!$H$5:$H$16,0)),0))</f>
        <v/>
      </c>
      <c r="Q1656" s="30">
        <f>IF(OR(H1656&lt;&gt;"Realizado",P1656="",P1656=0),"",A1656+P1656)</f>
        <v/>
      </c>
      <c r="R1656" s="26">
        <f>IF(Q1656="","",IF(COUNTIFS($E$5:$E$3004,E1656,$A$5:$A$3004,"&gt;"&amp;A1656,$H$5:$H$3004,"&lt;&gt;Falta",$H$5:$H$3004,"&lt;&gt;Cancelado",$H$5:$H$3004,"&lt;&gt;Remarcado")&gt;0,"Sim","Não"))</f>
        <v/>
      </c>
      <c r="S1656" s="32">
        <f>IF(R1656&lt;&gt;"Não","",IF(Q1656+Config!$B$9&lt;=Config!$B$8,Config!$B$8-Q1656,""))</f>
        <v/>
      </c>
      <c r="T1656" s="26">
        <f>IF(S1656="","","Sim")</f>
        <v/>
      </c>
      <c r="U1656" s="41">
        <f>IF(T1656="Sim",S1656+ROW()/100000,0)</f>
        <v>0</v>
      </c>
      <c r="V1656" s="41">
        <f>IF(AND(H1656="Falta",L1656=Config!$B$7,M1656=Config!$B$5,COUNTIFS($E$5:E1656,E1656,$H$5:H1656,"Falta",$L$5:L1656,Config!$B$7,$M$5:M1656,Config!$B$5)=1),COUNTIFS($E$5:$E$3004,E1656,$H$5:$H$3004,"Falta",$L$5:$L$3004,Config!$B$7,$M$5:$M$3004,Config!$B$5)*1000-ROW()/100000,0)</f>
        <v>0</v>
      </c>
    </row>
    <row r="1657">
      <c r="A1657" s="39" t="n"/>
      <c r="B1657" s="40" t="n"/>
      <c r="C1657" s="35" t="n"/>
      <c r="D1657" s="35" t="n"/>
      <c r="E1657" s="34" t="n"/>
      <c r="F1657" s="35" t="n"/>
      <c r="G1657" s="35" t="n"/>
      <c r="H1657" s="35" t="n"/>
      <c r="I1657" s="35" t="n"/>
      <c r="J1657" s="35" t="n"/>
      <c r="K1657" s="34" t="n"/>
      <c r="L1657" s="26">
        <f>IF(A1657="","",MONTH(A1657))</f>
        <v/>
      </c>
      <c r="M1657" s="26">
        <f>IF(A1657="","",YEAR(A1657))</f>
        <v/>
      </c>
      <c r="N1657" s="26">
        <f>IF(A1657="","",CHOOSE(WEEKDAY(A1657,2),"Segunda","Terça","Quarta","Quinta","Sexta","Sábado","Domingo"))</f>
        <v/>
      </c>
      <c r="O1657" s="26">
        <f>IF(B1657="","",IF(B1657&lt;TIME(12,0,0),"Manhã",IF(B1657&lt;TIME(18,0,0),"Tarde","Noite")))</f>
        <v/>
      </c>
      <c r="P1657" s="32">
        <f>IF(G1657="","",IFERROR(INDEX(Config!$I$5:$I$16,MATCH(G1657,Config!$H$5:$H$16,0)),0))</f>
        <v/>
      </c>
      <c r="Q1657" s="30">
        <f>IF(OR(H1657&lt;&gt;"Realizado",P1657="",P1657=0),"",A1657+P1657)</f>
        <v/>
      </c>
      <c r="R1657" s="26">
        <f>IF(Q1657="","",IF(COUNTIFS($E$5:$E$3004,E1657,$A$5:$A$3004,"&gt;"&amp;A1657,$H$5:$H$3004,"&lt;&gt;Falta",$H$5:$H$3004,"&lt;&gt;Cancelado",$H$5:$H$3004,"&lt;&gt;Remarcado")&gt;0,"Sim","Não"))</f>
        <v/>
      </c>
      <c r="S1657" s="32">
        <f>IF(R1657&lt;&gt;"Não","",IF(Q1657+Config!$B$9&lt;=Config!$B$8,Config!$B$8-Q1657,""))</f>
        <v/>
      </c>
      <c r="T1657" s="26">
        <f>IF(S1657="","","Sim")</f>
        <v/>
      </c>
      <c r="U1657" s="41">
        <f>IF(T1657="Sim",S1657+ROW()/100000,0)</f>
        <v>0</v>
      </c>
      <c r="V1657" s="41">
        <f>IF(AND(H1657="Falta",L1657=Config!$B$7,M1657=Config!$B$5,COUNTIFS($E$5:E1657,E1657,$H$5:H1657,"Falta",$L$5:L1657,Config!$B$7,$M$5:M1657,Config!$B$5)=1),COUNTIFS($E$5:$E$3004,E1657,$H$5:$H$3004,"Falta",$L$5:$L$3004,Config!$B$7,$M$5:$M$3004,Config!$B$5)*1000-ROW()/100000,0)</f>
        <v>0</v>
      </c>
    </row>
    <row r="1658">
      <c r="A1658" s="39" t="n"/>
      <c r="B1658" s="40" t="n"/>
      <c r="C1658" s="35" t="n"/>
      <c r="D1658" s="35" t="n"/>
      <c r="E1658" s="34" t="n"/>
      <c r="F1658" s="35" t="n"/>
      <c r="G1658" s="35" t="n"/>
      <c r="H1658" s="35" t="n"/>
      <c r="I1658" s="35" t="n"/>
      <c r="J1658" s="35" t="n"/>
      <c r="K1658" s="34" t="n"/>
      <c r="L1658" s="26">
        <f>IF(A1658="","",MONTH(A1658))</f>
        <v/>
      </c>
      <c r="M1658" s="26">
        <f>IF(A1658="","",YEAR(A1658))</f>
        <v/>
      </c>
      <c r="N1658" s="26">
        <f>IF(A1658="","",CHOOSE(WEEKDAY(A1658,2),"Segunda","Terça","Quarta","Quinta","Sexta","Sábado","Domingo"))</f>
        <v/>
      </c>
      <c r="O1658" s="26">
        <f>IF(B1658="","",IF(B1658&lt;TIME(12,0,0),"Manhã",IF(B1658&lt;TIME(18,0,0),"Tarde","Noite")))</f>
        <v/>
      </c>
      <c r="P1658" s="32">
        <f>IF(G1658="","",IFERROR(INDEX(Config!$I$5:$I$16,MATCH(G1658,Config!$H$5:$H$16,0)),0))</f>
        <v/>
      </c>
      <c r="Q1658" s="30">
        <f>IF(OR(H1658&lt;&gt;"Realizado",P1658="",P1658=0),"",A1658+P1658)</f>
        <v/>
      </c>
      <c r="R1658" s="26">
        <f>IF(Q1658="","",IF(COUNTIFS($E$5:$E$3004,E1658,$A$5:$A$3004,"&gt;"&amp;A1658,$H$5:$H$3004,"&lt;&gt;Falta",$H$5:$H$3004,"&lt;&gt;Cancelado",$H$5:$H$3004,"&lt;&gt;Remarcado")&gt;0,"Sim","Não"))</f>
        <v/>
      </c>
      <c r="S1658" s="32">
        <f>IF(R1658&lt;&gt;"Não","",IF(Q1658+Config!$B$9&lt;=Config!$B$8,Config!$B$8-Q1658,""))</f>
        <v/>
      </c>
      <c r="T1658" s="26">
        <f>IF(S1658="","","Sim")</f>
        <v/>
      </c>
      <c r="U1658" s="41">
        <f>IF(T1658="Sim",S1658+ROW()/100000,0)</f>
        <v>0</v>
      </c>
      <c r="V1658" s="41">
        <f>IF(AND(H1658="Falta",L1658=Config!$B$7,M1658=Config!$B$5,COUNTIFS($E$5:E1658,E1658,$H$5:H1658,"Falta",$L$5:L1658,Config!$B$7,$M$5:M1658,Config!$B$5)=1),COUNTIFS($E$5:$E$3004,E1658,$H$5:$H$3004,"Falta",$L$5:$L$3004,Config!$B$7,$M$5:$M$3004,Config!$B$5)*1000-ROW()/100000,0)</f>
        <v>0</v>
      </c>
    </row>
    <row r="1659">
      <c r="A1659" s="39" t="n"/>
      <c r="B1659" s="40" t="n"/>
      <c r="C1659" s="35" t="n"/>
      <c r="D1659" s="35" t="n"/>
      <c r="E1659" s="34" t="n"/>
      <c r="F1659" s="35" t="n"/>
      <c r="G1659" s="35" t="n"/>
      <c r="H1659" s="35" t="n"/>
      <c r="I1659" s="35" t="n"/>
      <c r="J1659" s="35" t="n"/>
      <c r="K1659" s="34" t="n"/>
      <c r="L1659" s="26">
        <f>IF(A1659="","",MONTH(A1659))</f>
        <v/>
      </c>
      <c r="M1659" s="26">
        <f>IF(A1659="","",YEAR(A1659))</f>
        <v/>
      </c>
      <c r="N1659" s="26">
        <f>IF(A1659="","",CHOOSE(WEEKDAY(A1659,2),"Segunda","Terça","Quarta","Quinta","Sexta","Sábado","Domingo"))</f>
        <v/>
      </c>
      <c r="O1659" s="26">
        <f>IF(B1659="","",IF(B1659&lt;TIME(12,0,0),"Manhã",IF(B1659&lt;TIME(18,0,0),"Tarde","Noite")))</f>
        <v/>
      </c>
      <c r="P1659" s="32">
        <f>IF(G1659="","",IFERROR(INDEX(Config!$I$5:$I$16,MATCH(G1659,Config!$H$5:$H$16,0)),0))</f>
        <v/>
      </c>
      <c r="Q1659" s="30">
        <f>IF(OR(H1659&lt;&gt;"Realizado",P1659="",P1659=0),"",A1659+P1659)</f>
        <v/>
      </c>
      <c r="R1659" s="26">
        <f>IF(Q1659="","",IF(COUNTIFS($E$5:$E$3004,E1659,$A$5:$A$3004,"&gt;"&amp;A1659,$H$5:$H$3004,"&lt;&gt;Falta",$H$5:$H$3004,"&lt;&gt;Cancelado",$H$5:$H$3004,"&lt;&gt;Remarcado")&gt;0,"Sim","Não"))</f>
        <v/>
      </c>
      <c r="S1659" s="32">
        <f>IF(R1659&lt;&gt;"Não","",IF(Q1659+Config!$B$9&lt;=Config!$B$8,Config!$B$8-Q1659,""))</f>
        <v/>
      </c>
      <c r="T1659" s="26">
        <f>IF(S1659="","","Sim")</f>
        <v/>
      </c>
      <c r="U1659" s="41">
        <f>IF(T1659="Sim",S1659+ROW()/100000,0)</f>
        <v>0</v>
      </c>
      <c r="V1659" s="41">
        <f>IF(AND(H1659="Falta",L1659=Config!$B$7,M1659=Config!$B$5,COUNTIFS($E$5:E1659,E1659,$H$5:H1659,"Falta",$L$5:L1659,Config!$B$7,$M$5:M1659,Config!$B$5)=1),COUNTIFS($E$5:$E$3004,E1659,$H$5:$H$3004,"Falta",$L$5:$L$3004,Config!$B$7,$M$5:$M$3004,Config!$B$5)*1000-ROW()/100000,0)</f>
        <v>0</v>
      </c>
    </row>
    <row r="1660">
      <c r="A1660" s="39" t="n"/>
      <c r="B1660" s="40" t="n"/>
      <c r="C1660" s="35" t="n"/>
      <c r="D1660" s="35" t="n"/>
      <c r="E1660" s="34" t="n"/>
      <c r="F1660" s="35" t="n"/>
      <c r="G1660" s="35" t="n"/>
      <c r="H1660" s="35" t="n"/>
      <c r="I1660" s="35" t="n"/>
      <c r="J1660" s="35" t="n"/>
      <c r="K1660" s="34" t="n"/>
      <c r="L1660" s="26">
        <f>IF(A1660="","",MONTH(A1660))</f>
        <v/>
      </c>
      <c r="M1660" s="26">
        <f>IF(A1660="","",YEAR(A1660))</f>
        <v/>
      </c>
      <c r="N1660" s="26">
        <f>IF(A1660="","",CHOOSE(WEEKDAY(A1660,2),"Segunda","Terça","Quarta","Quinta","Sexta","Sábado","Domingo"))</f>
        <v/>
      </c>
      <c r="O1660" s="26">
        <f>IF(B1660="","",IF(B1660&lt;TIME(12,0,0),"Manhã",IF(B1660&lt;TIME(18,0,0),"Tarde","Noite")))</f>
        <v/>
      </c>
      <c r="P1660" s="32">
        <f>IF(G1660="","",IFERROR(INDEX(Config!$I$5:$I$16,MATCH(G1660,Config!$H$5:$H$16,0)),0))</f>
        <v/>
      </c>
      <c r="Q1660" s="30">
        <f>IF(OR(H1660&lt;&gt;"Realizado",P1660="",P1660=0),"",A1660+P1660)</f>
        <v/>
      </c>
      <c r="R1660" s="26">
        <f>IF(Q1660="","",IF(COUNTIFS($E$5:$E$3004,E1660,$A$5:$A$3004,"&gt;"&amp;A1660,$H$5:$H$3004,"&lt;&gt;Falta",$H$5:$H$3004,"&lt;&gt;Cancelado",$H$5:$H$3004,"&lt;&gt;Remarcado")&gt;0,"Sim","Não"))</f>
        <v/>
      </c>
      <c r="S1660" s="32">
        <f>IF(R1660&lt;&gt;"Não","",IF(Q1660+Config!$B$9&lt;=Config!$B$8,Config!$B$8-Q1660,""))</f>
        <v/>
      </c>
      <c r="T1660" s="26">
        <f>IF(S1660="","","Sim")</f>
        <v/>
      </c>
      <c r="U1660" s="41">
        <f>IF(T1660="Sim",S1660+ROW()/100000,0)</f>
        <v>0</v>
      </c>
      <c r="V1660" s="41">
        <f>IF(AND(H1660="Falta",L1660=Config!$B$7,M1660=Config!$B$5,COUNTIFS($E$5:E1660,E1660,$H$5:H1660,"Falta",$L$5:L1660,Config!$B$7,$M$5:M1660,Config!$B$5)=1),COUNTIFS($E$5:$E$3004,E1660,$H$5:$H$3004,"Falta",$L$5:$L$3004,Config!$B$7,$M$5:$M$3004,Config!$B$5)*1000-ROW()/100000,0)</f>
        <v>0</v>
      </c>
    </row>
    <row r="1661">
      <c r="A1661" s="39" t="n"/>
      <c r="B1661" s="40" t="n"/>
      <c r="C1661" s="35" t="n"/>
      <c r="D1661" s="35" t="n"/>
      <c r="E1661" s="34" t="n"/>
      <c r="F1661" s="35" t="n"/>
      <c r="G1661" s="35" t="n"/>
      <c r="H1661" s="35" t="n"/>
      <c r="I1661" s="35" t="n"/>
      <c r="J1661" s="35" t="n"/>
      <c r="K1661" s="34" t="n"/>
      <c r="L1661" s="26">
        <f>IF(A1661="","",MONTH(A1661))</f>
        <v/>
      </c>
      <c r="M1661" s="26">
        <f>IF(A1661="","",YEAR(A1661))</f>
        <v/>
      </c>
      <c r="N1661" s="26">
        <f>IF(A1661="","",CHOOSE(WEEKDAY(A1661,2),"Segunda","Terça","Quarta","Quinta","Sexta","Sábado","Domingo"))</f>
        <v/>
      </c>
      <c r="O1661" s="26">
        <f>IF(B1661="","",IF(B1661&lt;TIME(12,0,0),"Manhã",IF(B1661&lt;TIME(18,0,0),"Tarde","Noite")))</f>
        <v/>
      </c>
      <c r="P1661" s="32">
        <f>IF(G1661="","",IFERROR(INDEX(Config!$I$5:$I$16,MATCH(G1661,Config!$H$5:$H$16,0)),0))</f>
        <v/>
      </c>
      <c r="Q1661" s="30">
        <f>IF(OR(H1661&lt;&gt;"Realizado",P1661="",P1661=0),"",A1661+P1661)</f>
        <v/>
      </c>
      <c r="R1661" s="26">
        <f>IF(Q1661="","",IF(COUNTIFS($E$5:$E$3004,E1661,$A$5:$A$3004,"&gt;"&amp;A1661,$H$5:$H$3004,"&lt;&gt;Falta",$H$5:$H$3004,"&lt;&gt;Cancelado",$H$5:$H$3004,"&lt;&gt;Remarcado")&gt;0,"Sim","Não"))</f>
        <v/>
      </c>
      <c r="S1661" s="32">
        <f>IF(R1661&lt;&gt;"Não","",IF(Q1661+Config!$B$9&lt;=Config!$B$8,Config!$B$8-Q1661,""))</f>
        <v/>
      </c>
      <c r="T1661" s="26">
        <f>IF(S1661="","","Sim")</f>
        <v/>
      </c>
      <c r="U1661" s="41">
        <f>IF(T1661="Sim",S1661+ROW()/100000,0)</f>
        <v>0</v>
      </c>
      <c r="V1661" s="41">
        <f>IF(AND(H1661="Falta",L1661=Config!$B$7,M1661=Config!$B$5,COUNTIFS($E$5:E1661,E1661,$H$5:H1661,"Falta",$L$5:L1661,Config!$B$7,$M$5:M1661,Config!$B$5)=1),COUNTIFS($E$5:$E$3004,E1661,$H$5:$H$3004,"Falta",$L$5:$L$3004,Config!$B$7,$M$5:$M$3004,Config!$B$5)*1000-ROW()/100000,0)</f>
        <v>0</v>
      </c>
    </row>
    <row r="1662">
      <c r="A1662" s="39" t="n"/>
      <c r="B1662" s="40" t="n"/>
      <c r="C1662" s="35" t="n"/>
      <c r="D1662" s="35" t="n"/>
      <c r="E1662" s="34" t="n"/>
      <c r="F1662" s="35" t="n"/>
      <c r="G1662" s="35" t="n"/>
      <c r="H1662" s="35" t="n"/>
      <c r="I1662" s="35" t="n"/>
      <c r="J1662" s="35" t="n"/>
      <c r="K1662" s="34" t="n"/>
      <c r="L1662" s="26">
        <f>IF(A1662="","",MONTH(A1662))</f>
        <v/>
      </c>
      <c r="M1662" s="26">
        <f>IF(A1662="","",YEAR(A1662))</f>
        <v/>
      </c>
      <c r="N1662" s="26">
        <f>IF(A1662="","",CHOOSE(WEEKDAY(A1662,2),"Segunda","Terça","Quarta","Quinta","Sexta","Sábado","Domingo"))</f>
        <v/>
      </c>
      <c r="O1662" s="26">
        <f>IF(B1662="","",IF(B1662&lt;TIME(12,0,0),"Manhã",IF(B1662&lt;TIME(18,0,0),"Tarde","Noite")))</f>
        <v/>
      </c>
      <c r="P1662" s="32">
        <f>IF(G1662="","",IFERROR(INDEX(Config!$I$5:$I$16,MATCH(G1662,Config!$H$5:$H$16,0)),0))</f>
        <v/>
      </c>
      <c r="Q1662" s="30">
        <f>IF(OR(H1662&lt;&gt;"Realizado",P1662="",P1662=0),"",A1662+P1662)</f>
        <v/>
      </c>
      <c r="R1662" s="26">
        <f>IF(Q1662="","",IF(COUNTIFS($E$5:$E$3004,E1662,$A$5:$A$3004,"&gt;"&amp;A1662,$H$5:$H$3004,"&lt;&gt;Falta",$H$5:$H$3004,"&lt;&gt;Cancelado",$H$5:$H$3004,"&lt;&gt;Remarcado")&gt;0,"Sim","Não"))</f>
        <v/>
      </c>
      <c r="S1662" s="32">
        <f>IF(R1662&lt;&gt;"Não","",IF(Q1662+Config!$B$9&lt;=Config!$B$8,Config!$B$8-Q1662,""))</f>
        <v/>
      </c>
      <c r="T1662" s="26">
        <f>IF(S1662="","","Sim")</f>
        <v/>
      </c>
      <c r="U1662" s="41">
        <f>IF(T1662="Sim",S1662+ROW()/100000,0)</f>
        <v>0</v>
      </c>
      <c r="V1662" s="41">
        <f>IF(AND(H1662="Falta",L1662=Config!$B$7,M1662=Config!$B$5,COUNTIFS($E$5:E1662,E1662,$H$5:H1662,"Falta",$L$5:L1662,Config!$B$7,$M$5:M1662,Config!$B$5)=1),COUNTIFS($E$5:$E$3004,E1662,$H$5:$H$3004,"Falta",$L$5:$L$3004,Config!$B$7,$M$5:$M$3004,Config!$B$5)*1000-ROW()/100000,0)</f>
        <v>0</v>
      </c>
    </row>
    <row r="1663">
      <c r="A1663" s="39" t="n"/>
      <c r="B1663" s="40" t="n"/>
      <c r="C1663" s="35" t="n"/>
      <c r="D1663" s="35" t="n"/>
      <c r="E1663" s="34" t="n"/>
      <c r="F1663" s="35" t="n"/>
      <c r="G1663" s="35" t="n"/>
      <c r="H1663" s="35" t="n"/>
      <c r="I1663" s="35" t="n"/>
      <c r="J1663" s="35" t="n"/>
      <c r="K1663" s="34" t="n"/>
      <c r="L1663" s="26">
        <f>IF(A1663="","",MONTH(A1663))</f>
        <v/>
      </c>
      <c r="M1663" s="26">
        <f>IF(A1663="","",YEAR(A1663))</f>
        <v/>
      </c>
      <c r="N1663" s="26">
        <f>IF(A1663="","",CHOOSE(WEEKDAY(A1663,2),"Segunda","Terça","Quarta","Quinta","Sexta","Sábado","Domingo"))</f>
        <v/>
      </c>
      <c r="O1663" s="26">
        <f>IF(B1663="","",IF(B1663&lt;TIME(12,0,0),"Manhã",IF(B1663&lt;TIME(18,0,0),"Tarde","Noite")))</f>
        <v/>
      </c>
      <c r="P1663" s="32">
        <f>IF(G1663="","",IFERROR(INDEX(Config!$I$5:$I$16,MATCH(G1663,Config!$H$5:$H$16,0)),0))</f>
        <v/>
      </c>
      <c r="Q1663" s="30">
        <f>IF(OR(H1663&lt;&gt;"Realizado",P1663="",P1663=0),"",A1663+P1663)</f>
        <v/>
      </c>
      <c r="R1663" s="26">
        <f>IF(Q1663="","",IF(COUNTIFS($E$5:$E$3004,E1663,$A$5:$A$3004,"&gt;"&amp;A1663,$H$5:$H$3004,"&lt;&gt;Falta",$H$5:$H$3004,"&lt;&gt;Cancelado",$H$5:$H$3004,"&lt;&gt;Remarcado")&gt;0,"Sim","Não"))</f>
        <v/>
      </c>
      <c r="S1663" s="32">
        <f>IF(R1663&lt;&gt;"Não","",IF(Q1663+Config!$B$9&lt;=Config!$B$8,Config!$B$8-Q1663,""))</f>
        <v/>
      </c>
      <c r="T1663" s="26">
        <f>IF(S1663="","","Sim")</f>
        <v/>
      </c>
      <c r="U1663" s="41">
        <f>IF(T1663="Sim",S1663+ROW()/100000,0)</f>
        <v>0</v>
      </c>
      <c r="V1663" s="41">
        <f>IF(AND(H1663="Falta",L1663=Config!$B$7,M1663=Config!$B$5,COUNTIFS($E$5:E1663,E1663,$H$5:H1663,"Falta",$L$5:L1663,Config!$B$7,$M$5:M1663,Config!$B$5)=1),COUNTIFS($E$5:$E$3004,E1663,$H$5:$H$3004,"Falta",$L$5:$L$3004,Config!$B$7,$M$5:$M$3004,Config!$B$5)*1000-ROW()/100000,0)</f>
        <v>0</v>
      </c>
    </row>
    <row r="1664">
      <c r="A1664" s="39" t="n"/>
      <c r="B1664" s="40" t="n"/>
      <c r="C1664" s="35" t="n"/>
      <c r="D1664" s="35" t="n"/>
      <c r="E1664" s="34" t="n"/>
      <c r="F1664" s="35" t="n"/>
      <c r="G1664" s="35" t="n"/>
      <c r="H1664" s="35" t="n"/>
      <c r="I1664" s="35" t="n"/>
      <c r="J1664" s="35" t="n"/>
      <c r="K1664" s="34" t="n"/>
      <c r="L1664" s="26">
        <f>IF(A1664="","",MONTH(A1664))</f>
        <v/>
      </c>
      <c r="M1664" s="26">
        <f>IF(A1664="","",YEAR(A1664))</f>
        <v/>
      </c>
      <c r="N1664" s="26">
        <f>IF(A1664="","",CHOOSE(WEEKDAY(A1664,2),"Segunda","Terça","Quarta","Quinta","Sexta","Sábado","Domingo"))</f>
        <v/>
      </c>
      <c r="O1664" s="26">
        <f>IF(B1664="","",IF(B1664&lt;TIME(12,0,0),"Manhã",IF(B1664&lt;TIME(18,0,0),"Tarde","Noite")))</f>
        <v/>
      </c>
      <c r="P1664" s="32">
        <f>IF(G1664="","",IFERROR(INDEX(Config!$I$5:$I$16,MATCH(G1664,Config!$H$5:$H$16,0)),0))</f>
        <v/>
      </c>
      <c r="Q1664" s="30">
        <f>IF(OR(H1664&lt;&gt;"Realizado",P1664="",P1664=0),"",A1664+P1664)</f>
        <v/>
      </c>
      <c r="R1664" s="26">
        <f>IF(Q1664="","",IF(COUNTIFS($E$5:$E$3004,E1664,$A$5:$A$3004,"&gt;"&amp;A1664,$H$5:$H$3004,"&lt;&gt;Falta",$H$5:$H$3004,"&lt;&gt;Cancelado",$H$5:$H$3004,"&lt;&gt;Remarcado")&gt;0,"Sim","Não"))</f>
        <v/>
      </c>
      <c r="S1664" s="32">
        <f>IF(R1664&lt;&gt;"Não","",IF(Q1664+Config!$B$9&lt;=Config!$B$8,Config!$B$8-Q1664,""))</f>
        <v/>
      </c>
      <c r="T1664" s="26">
        <f>IF(S1664="","","Sim")</f>
        <v/>
      </c>
      <c r="U1664" s="41">
        <f>IF(T1664="Sim",S1664+ROW()/100000,0)</f>
        <v>0</v>
      </c>
      <c r="V1664" s="41">
        <f>IF(AND(H1664="Falta",L1664=Config!$B$7,M1664=Config!$B$5,COUNTIFS($E$5:E1664,E1664,$H$5:H1664,"Falta",$L$5:L1664,Config!$B$7,$M$5:M1664,Config!$B$5)=1),COUNTIFS($E$5:$E$3004,E1664,$H$5:$H$3004,"Falta",$L$5:$L$3004,Config!$B$7,$M$5:$M$3004,Config!$B$5)*1000-ROW()/100000,0)</f>
        <v>0</v>
      </c>
    </row>
    <row r="1665">
      <c r="A1665" s="39" t="n"/>
      <c r="B1665" s="40" t="n"/>
      <c r="C1665" s="35" t="n"/>
      <c r="D1665" s="35" t="n"/>
      <c r="E1665" s="34" t="n"/>
      <c r="F1665" s="35" t="n"/>
      <c r="G1665" s="35" t="n"/>
      <c r="H1665" s="35" t="n"/>
      <c r="I1665" s="35" t="n"/>
      <c r="J1665" s="35" t="n"/>
      <c r="K1665" s="34" t="n"/>
      <c r="L1665" s="26">
        <f>IF(A1665="","",MONTH(A1665))</f>
        <v/>
      </c>
      <c r="M1665" s="26">
        <f>IF(A1665="","",YEAR(A1665))</f>
        <v/>
      </c>
      <c r="N1665" s="26">
        <f>IF(A1665="","",CHOOSE(WEEKDAY(A1665,2),"Segunda","Terça","Quarta","Quinta","Sexta","Sábado","Domingo"))</f>
        <v/>
      </c>
      <c r="O1665" s="26">
        <f>IF(B1665="","",IF(B1665&lt;TIME(12,0,0),"Manhã",IF(B1665&lt;TIME(18,0,0),"Tarde","Noite")))</f>
        <v/>
      </c>
      <c r="P1665" s="32">
        <f>IF(G1665="","",IFERROR(INDEX(Config!$I$5:$I$16,MATCH(G1665,Config!$H$5:$H$16,0)),0))</f>
        <v/>
      </c>
      <c r="Q1665" s="30">
        <f>IF(OR(H1665&lt;&gt;"Realizado",P1665="",P1665=0),"",A1665+P1665)</f>
        <v/>
      </c>
      <c r="R1665" s="26">
        <f>IF(Q1665="","",IF(COUNTIFS($E$5:$E$3004,E1665,$A$5:$A$3004,"&gt;"&amp;A1665,$H$5:$H$3004,"&lt;&gt;Falta",$H$5:$H$3004,"&lt;&gt;Cancelado",$H$5:$H$3004,"&lt;&gt;Remarcado")&gt;0,"Sim","Não"))</f>
        <v/>
      </c>
      <c r="S1665" s="32">
        <f>IF(R1665&lt;&gt;"Não","",IF(Q1665+Config!$B$9&lt;=Config!$B$8,Config!$B$8-Q1665,""))</f>
        <v/>
      </c>
      <c r="T1665" s="26">
        <f>IF(S1665="","","Sim")</f>
        <v/>
      </c>
      <c r="U1665" s="41">
        <f>IF(T1665="Sim",S1665+ROW()/100000,0)</f>
        <v>0</v>
      </c>
      <c r="V1665" s="41">
        <f>IF(AND(H1665="Falta",L1665=Config!$B$7,M1665=Config!$B$5,COUNTIFS($E$5:E1665,E1665,$H$5:H1665,"Falta",$L$5:L1665,Config!$B$7,$M$5:M1665,Config!$B$5)=1),COUNTIFS($E$5:$E$3004,E1665,$H$5:$H$3004,"Falta",$L$5:$L$3004,Config!$B$7,$M$5:$M$3004,Config!$B$5)*1000-ROW()/100000,0)</f>
        <v>0</v>
      </c>
    </row>
    <row r="1666">
      <c r="A1666" s="39" t="n"/>
      <c r="B1666" s="40" t="n"/>
      <c r="C1666" s="35" t="n"/>
      <c r="D1666" s="35" t="n"/>
      <c r="E1666" s="34" t="n"/>
      <c r="F1666" s="35" t="n"/>
      <c r="G1666" s="35" t="n"/>
      <c r="H1666" s="35" t="n"/>
      <c r="I1666" s="35" t="n"/>
      <c r="J1666" s="35" t="n"/>
      <c r="K1666" s="34" t="n"/>
      <c r="L1666" s="26">
        <f>IF(A1666="","",MONTH(A1666))</f>
        <v/>
      </c>
      <c r="M1666" s="26">
        <f>IF(A1666="","",YEAR(A1666))</f>
        <v/>
      </c>
      <c r="N1666" s="26">
        <f>IF(A1666="","",CHOOSE(WEEKDAY(A1666,2),"Segunda","Terça","Quarta","Quinta","Sexta","Sábado","Domingo"))</f>
        <v/>
      </c>
      <c r="O1666" s="26">
        <f>IF(B1666="","",IF(B1666&lt;TIME(12,0,0),"Manhã",IF(B1666&lt;TIME(18,0,0),"Tarde","Noite")))</f>
        <v/>
      </c>
      <c r="P1666" s="32">
        <f>IF(G1666="","",IFERROR(INDEX(Config!$I$5:$I$16,MATCH(G1666,Config!$H$5:$H$16,0)),0))</f>
        <v/>
      </c>
      <c r="Q1666" s="30">
        <f>IF(OR(H1666&lt;&gt;"Realizado",P1666="",P1666=0),"",A1666+P1666)</f>
        <v/>
      </c>
      <c r="R1666" s="26">
        <f>IF(Q1666="","",IF(COUNTIFS($E$5:$E$3004,E1666,$A$5:$A$3004,"&gt;"&amp;A1666,$H$5:$H$3004,"&lt;&gt;Falta",$H$5:$H$3004,"&lt;&gt;Cancelado",$H$5:$H$3004,"&lt;&gt;Remarcado")&gt;0,"Sim","Não"))</f>
        <v/>
      </c>
      <c r="S1666" s="32">
        <f>IF(R1666&lt;&gt;"Não","",IF(Q1666+Config!$B$9&lt;=Config!$B$8,Config!$B$8-Q1666,""))</f>
        <v/>
      </c>
      <c r="T1666" s="26">
        <f>IF(S1666="","","Sim")</f>
        <v/>
      </c>
      <c r="U1666" s="41">
        <f>IF(T1666="Sim",S1666+ROW()/100000,0)</f>
        <v>0</v>
      </c>
      <c r="V1666" s="41">
        <f>IF(AND(H1666="Falta",L1666=Config!$B$7,M1666=Config!$B$5,COUNTIFS($E$5:E1666,E1666,$H$5:H1666,"Falta",$L$5:L1666,Config!$B$7,$M$5:M1666,Config!$B$5)=1),COUNTIFS($E$5:$E$3004,E1666,$H$5:$H$3004,"Falta",$L$5:$L$3004,Config!$B$7,$M$5:$M$3004,Config!$B$5)*1000-ROW()/100000,0)</f>
        <v>0</v>
      </c>
    </row>
    <row r="1667">
      <c r="A1667" s="39" t="n"/>
      <c r="B1667" s="40" t="n"/>
      <c r="C1667" s="35" t="n"/>
      <c r="D1667" s="35" t="n"/>
      <c r="E1667" s="34" t="n"/>
      <c r="F1667" s="35" t="n"/>
      <c r="G1667" s="35" t="n"/>
      <c r="H1667" s="35" t="n"/>
      <c r="I1667" s="35" t="n"/>
      <c r="J1667" s="35" t="n"/>
      <c r="K1667" s="34" t="n"/>
      <c r="L1667" s="26">
        <f>IF(A1667="","",MONTH(A1667))</f>
        <v/>
      </c>
      <c r="M1667" s="26">
        <f>IF(A1667="","",YEAR(A1667))</f>
        <v/>
      </c>
      <c r="N1667" s="26">
        <f>IF(A1667="","",CHOOSE(WEEKDAY(A1667,2),"Segunda","Terça","Quarta","Quinta","Sexta","Sábado","Domingo"))</f>
        <v/>
      </c>
      <c r="O1667" s="26">
        <f>IF(B1667="","",IF(B1667&lt;TIME(12,0,0),"Manhã",IF(B1667&lt;TIME(18,0,0),"Tarde","Noite")))</f>
        <v/>
      </c>
      <c r="P1667" s="32">
        <f>IF(G1667="","",IFERROR(INDEX(Config!$I$5:$I$16,MATCH(G1667,Config!$H$5:$H$16,0)),0))</f>
        <v/>
      </c>
      <c r="Q1667" s="30">
        <f>IF(OR(H1667&lt;&gt;"Realizado",P1667="",P1667=0),"",A1667+P1667)</f>
        <v/>
      </c>
      <c r="R1667" s="26">
        <f>IF(Q1667="","",IF(COUNTIFS($E$5:$E$3004,E1667,$A$5:$A$3004,"&gt;"&amp;A1667,$H$5:$H$3004,"&lt;&gt;Falta",$H$5:$H$3004,"&lt;&gt;Cancelado",$H$5:$H$3004,"&lt;&gt;Remarcado")&gt;0,"Sim","Não"))</f>
        <v/>
      </c>
      <c r="S1667" s="32">
        <f>IF(R1667&lt;&gt;"Não","",IF(Q1667+Config!$B$9&lt;=Config!$B$8,Config!$B$8-Q1667,""))</f>
        <v/>
      </c>
      <c r="T1667" s="26">
        <f>IF(S1667="","","Sim")</f>
        <v/>
      </c>
      <c r="U1667" s="41">
        <f>IF(T1667="Sim",S1667+ROW()/100000,0)</f>
        <v>0</v>
      </c>
      <c r="V1667" s="41">
        <f>IF(AND(H1667="Falta",L1667=Config!$B$7,M1667=Config!$B$5,COUNTIFS($E$5:E1667,E1667,$H$5:H1667,"Falta",$L$5:L1667,Config!$B$7,$M$5:M1667,Config!$B$5)=1),COUNTIFS($E$5:$E$3004,E1667,$H$5:$H$3004,"Falta",$L$5:$L$3004,Config!$B$7,$M$5:$M$3004,Config!$B$5)*1000-ROW()/100000,0)</f>
        <v>0</v>
      </c>
    </row>
    <row r="1668">
      <c r="A1668" s="39" t="n"/>
      <c r="B1668" s="40" t="n"/>
      <c r="C1668" s="35" t="n"/>
      <c r="D1668" s="35" t="n"/>
      <c r="E1668" s="34" t="n"/>
      <c r="F1668" s="35" t="n"/>
      <c r="G1668" s="35" t="n"/>
      <c r="H1668" s="35" t="n"/>
      <c r="I1668" s="35" t="n"/>
      <c r="J1668" s="35" t="n"/>
      <c r="K1668" s="34" t="n"/>
      <c r="L1668" s="26">
        <f>IF(A1668="","",MONTH(A1668))</f>
        <v/>
      </c>
      <c r="M1668" s="26">
        <f>IF(A1668="","",YEAR(A1668))</f>
        <v/>
      </c>
      <c r="N1668" s="26">
        <f>IF(A1668="","",CHOOSE(WEEKDAY(A1668,2),"Segunda","Terça","Quarta","Quinta","Sexta","Sábado","Domingo"))</f>
        <v/>
      </c>
      <c r="O1668" s="26">
        <f>IF(B1668="","",IF(B1668&lt;TIME(12,0,0),"Manhã",IF(B1668&lt;TIME(18,0,0),"Tarde","Noite")))</f>
        <v/>
      </c>
      <c r="P1668" s="32">
        <f>IF(G1668="","",IFERROR(INDEX(Config!$I$5:$I$16,MATCH(G1668,Config!$H$5:$H$16,0)),0))</f>
        <v/>
      </c>
      <c r="Q1668" s="30">
        <f>IF(OR(H1668&lt;&gt;"Realizado",P1668="",P1668=0),"",A1668+P1668)</f>
        <v/>
      </c>
      <c r="R1668" s="26">
        <f>IF(Q1668="","",IF(COUNTIFS($E$5:$E$3004,E1668,$A$5:$A$3004,"&gt;"&amp;A1668,$H$5:$H$3004,"&lt;&gt;Falta",$H$5:$H$3004,"&lt;&gt;Cancelado",$H$5:$H$3004,"&lt;&gt;Remarcado")&gt;0,"Sim","Não"))</f>
        <v/>
      </c>
      <c r="S1668" s="32">
        <f>IF(R1668&lt;&gt;"Não","",IF(Q1668+Config!$B$9&lt;=Config!$B$8,Config!$B$8-Q1668,""))</f>
        <v/>
      </c>
      <c r="T1668" s="26">
        <f>IF(S1668="","","Sim")</f>
        <v/>
      </c>
      <c r="U1668" s="41">
        <f>IF(T1668="Sim",S1668+ROW()/100000,0)</f>
        <v>0</v>
      </c>
      <c r="V1668" s="41">
        <f>IF(AND(H1668="Falta",L1668=Config!$B$7,M1668=Config!$B$5,COUNTIFS($E$5:E1668,E1668,$H$5:H1668,"Falta",$L$5:L1668,Config!$B$7,$M$5:M1668,Config!$B$5)=1),COUNTIFS($E$5:$E$3004,E1668,$H$5:$H$3004,"Falta",$L$5:$L$3004,Config!$B$7,$M$5:$M$3004,Config!$B$5)*1000-ROW()/100000,0)</f>
        <v>0</v>
      </c>
    </row>
    <row r="1669">
      <c r="A1669" s="39" t="n"/>
      <c r="B1669" s="40" t="n"/>
      <c r="C1669" s="35" t="n"/>
      <c r="D1669" s="35" t="n"/>
      <c r="E1669" s="34" t="n"/>
      <c r="F1669" s="35" t="n"/>
      <c r="G1669" s="35" t="n"/>
      <c r="H1669" s="35" t="n"/>
      <c r="I1669" s="35" t="n"/>
      <c r="J1669" s="35" t="n"/>
      <c r="K1669" s="34" t="n"/>
      <c r="L1669" s="26">
        <f>IF(A1669="","",MONTH(A1669))</f>
        <v/>
      </c>
      <c r="M1669" s="26">
        <f>IF(A1669="","",YEAR(A1669))</f>
        <v/>
      </c>
      <c r="N1669" s="26">
        <f>IF(A1669="","",CHOOSE(WEEKDAY(A1669,2),"Segunda","Terça","Quarta","Quinta","Sexta","Sábado","Domingo"))</f>
        <v/>
      </c>
      <c r="O1669" s="26">
        <f>IF(B1669="","",IF(B1669&lt;TIME(12,0,0),"Manhã",IF(B1669&lt;TIME(18,0,0),"Tarde","Noite")))</f>
        <v/>
      </c>
      <c r="P1669" s="32">
        <f>IF(G1669="","",IFERROR(INDEX(Config!$I$5:$I$16,MATCH(G1669,Config!$H$5:$H$16,0)),0))</f>
        <v/>
      </c>
      <c r="Q1669" s="30">
        <f>IF(OR(H1669&lt;&gt;"Realizado",P1669="",P1669=0),"",A1669+P1669)</f>
        <v/>
      </c>
      <c r="R1669" s="26">
        <f>IF(Q1669="","",IF(COUNTIFS($E$5:$E$3004,E1669,$A$5:$A$3004,"&gt;"&amp;A1669,$H$5:$H$3004,"&lt;&gt;Falta",$H$5:$H$3004,"&lt;&gt;Cancelado",$H$5:$H$3004,"&lt;&gt;Remarcado")&gt;0,"Sim","Não"))</f>
        <v/>
      </c>
      <c r="S1669" s="32">
        <f>IF(R1669&lt;&gt;"Não","",IF(Q1669+Config!$B$9&lt;=Config!$B$8,Config!$B$8-Q1669,""))</f>
        <v/>
      </c>
      <c r="T1669" s="26">
        <f>IF(S1669="","","Sim")</f>
        <v/>
      </c>
      <c r="U1669" s="41">
        <f>IF(T1669="Sim",S1669+ROW()/100000,0)</f>
        <v>0</v>
      </c>
      <c r="V1669" s="41">
        <f>IF(AND(H1669="Falta",L1669=Config!$B$7,M1669=Config!$B$5,COUNTIFS($E$5:E1669,E1669,$H$5:H1669,"Falta",$L$5:L1669,Config!$B$7,$M$5:M1669,Config!$B$5)=1),COUNTIFS($E$5:$E$3004,E1669,$H$5:$H$3004,"Falta",$L$5:$L$3004,Config!$B$7,$M$5:$M$3004,Config!$B$5)*1000-ROW()/100000,0)</f>
        <v>0</v>
      </c>
    </row>
    <row r="1670">
      <c r="A1670" s="39" t="n"/>
      <c r="B1670" s="40" t="n"/>
      <c r="C1670" s="35" t="n"/>
      <c r="D1670" s="35" t="n"/>
      <c r="E1670" s="34" t="n"/>
      <c r="F1670" s="35" t="n"/>
      <c r="G1670" s="35" t="n"/>
      <c r="H1670" s="35" t="n"/>
      <c r="I1670" s="35" t="n"/>
      <c r="J1670" s="35" t="n"/>
      <c r="K1670" s="34" t="n"/>
      <c r="L1670" s="26">
        <f>IF(A1670="","",MONTH(A1670))</f>
        <v/>
      </c>
      <c r="M1670" s="26">
        <f>IF(A1670="","",YEAR(A1670))</f>
        <v/>
      </c>
      <c r="N1670" s="26">
        <f>IF(A1670="","",CHOOSE(WEEKDAY(A1670,2),"Segunda","Terça","Quarta","Quinta","Sexta","Sábado","Domingo"))</f>
        <v/>
      </c>
      <c r="O1670" s="26">
        <f>IF(B1670="","",IF(B1670&lt;TIME(12,0,0),"Manhã",IF(B1670&lt;TIME(18,0,0),"Tarde","Noite")))</f>
        <v/>
      </c>
      <c r="P1670" s="32">
        <f>IF(G1670="","",IFERROR(INDEX(Config!$I$5:$I$16,MATCH(G1670,Config!$H$5:$H$16,0)),0))</f>
        <v/>
      </c>
      <c r="Q1670" s="30">
        <f>IF(OR(H1670&lt;&gt;"Realizado",P1670="",P1670=0),"",A1670+P1670)</f>
        <v/>
      </c>
      <c r="R1670" s="26">
        <f>IF(Q1670="","",IF(COUNTIFS($E$5:$E$3004,E1670,$A$5:$A$3004,"&gt;"&amp;A1670,$H$5:$H$3004,"&lt;&gt;Falta",$H$5:$H$3004,"&lt;&gt;Cancelado",$H$5:$H$3004,"&lt;&gt;Remarcado")&gt;0,"Sim","Não"))</f>
        <v/>
      </c>
      <c r="S1670" s="32">
        <f>IF(R1670&lt;&gt;"Não","",IF(Q1670+Config!$B$9&lt;=Config!$B$8,Config!$B$8-Q1670,""))</f>
        <v/>
      </c>
      <c r="T1670" s="26">
        <f>IF(S1670="","","Sim")</f>
        <v/>
      </c>
      <c r="U1670" s="41">
        <f>IF(T1670="Sim",S1670+ROW()/100000,0)</f>
        <v>0</v>
      </c>
      <c r="V1670" s="41">
        <f>IF(AND(H1670="Falta",L1670=Config!$B$7,M1670=Config!$B$5,COUNTIFS($E$5:E1670,E1670,$H$5:H1670,"Falta",$L$5:L1670,Config!$B$7,$M$5:M1670,Config!$B$5)=1),COUNTIFS($E$5:$E$3004,E1670,$H$5:$H$3004,"Falta",$L$5:$L$3004,Config!$B$7,$M$5:$M$3004,Config!$B$5)*1000-ROW()/100000,0)</f>
        <v>0</v>
      </c>
    </row>
    <row r="1671">
      <c r="A1671" s="39" t="n"/>
      <c r="B1671" s="40" t="n"/>
      <c r="C1671" s="35" t="n"/>
      <c r="D1671" s="35" t="n"/>
      <c r="E1671" s="34" t="n"/>
      <c r="F1671" s="35" t="n"/>
      <c r="G1671" s="35" t="n"/>
      <c r="H1671" s="35" t="n"/>
      <c r="I1671" s="35" t="n"/>
      <c r="J1671" s="35" t="n"/>
      <c r="K1671" s="34" t="n"/>
      <c r="L1671" s="26">
        <f>IF(A1671="","",MONTH(A1671))</f>
        <v/>
      </c>
      <c r="M1671" s="26">
        <f>IF(A1671="","",YEAR(A1671))</f>
        <v/>
      </c>
      <c r="N1671" s="26">
        <f>IF(A1671="","",CHOOSE(WEEKDAY(A1671,2),"Segunda","Terça","Quarta","Quinta","Sexta","Sábado","Domingo"))</f>
        <v/>
      </c>
      <c r="O1671" s="26">
        <f>IF(B1671="","",IF(B1671&lt;TIME(12,0,0),"Manhã",IF(B1671&lt;TIME(18,0,0),"Tarde","Noite")))</f>
        <v/>
      </c>
      <c r="P1671" s="32">
        <f>IF(G1671="","",IFERROR(INDEX(Config!$I$5:$I$16,MATCH(G1671,Config!$H$5:$H$16,0)),0))</f>
        <v/>
      </c>
      <c r="Q1671" s="30">
        <f>IF(OR(H1671&lt;&gt;"Realizado",P1671="",P1671=0),"",A1671+P1671)</f>
        <v/>
      </c>
      <c r="R1671" s="26">
        <f>IF(Q1671="","",IF(COUNTIFS($E$5:$E$3004,E1671,$A$5:$A$3004,"&gt;"&amp;A1671,$H$5:$H$3004,"&lt;&gt;Falta",$H$5:$H$3004,"&lt;&gt;Cancelado",$H$5:$H$3004,"&lt;&gt;Remarcado")&gt;0,"Sim","Não"))</f>
        <v/>
      </c>
      <c r="S1671" s="32">
        <f>IF(R1671&lt;&gt;"Não","",IF(Q1671+Config!$B$9&lt;=Config!$B$8,Config!$B$8-Q1671,""))</f>
        <v/>
      </c>
      <c r="T1671" s="26">
        <f>IF(S1671="","","Sim")</f>
        <v/>
      </c>
      <c r="U1671" s="41">
        <f>IF(T1671="Sim",S1671+ROW()/100000,0)</f>
        <v>0</v>
      </c>
      <c r="V1671" s="41">
        <f>IF(AND(H1671="Falta",L1671=Config!$B$7,M1671=Config!$B$5,COUNTIFS($E$5:E1671,E1671,$H$5:H1671,"Falta",$L$5:L1671,Config!$B$7,$M$5:M1671,Config!$B$5)=1),COUNTIFS($E$5:$E$3004,E1671,$H$5:$H$3004,"Falta",$L$5:$L$3004,Config!$B$7,$M$5:$M$3004,Config!$B$5)*1000-ROW()/100000,0)</f>
        <v>0</v>
      </c>
    </row>
    <row r="1672">
      <c r="A1672" s="39" t="n"/>
      <c r="B1672" s="40" t="n"/>
      <c r="C1672" s="35" t="n"/>
      <c r="D1672" s="35" t="n"/>
      <c r="E1672" s="34" t="n"/>
      <c r="F1672" s="35" t="n"/>
      <c r="G1672" s="35" t="n"/>
      <c r="H1672" s="35" t="n"/>
      <c r="I1672" s="35" t="n"/>
      <c r="J1672" s="35" t="n"/>
      <c r="K1672" s="34" t="n"/>
      <c r="L1672" s="26">
        <f>IF(A1672="","",MONTH(A1672))</f>
        <v/>
      </c>
      <c r="M1672" s="26">
        <f>IF(A1672="","",YEAR(A1672))</f>
        <v/>
      </c>
      <c r="N1672" s="26">
        <f>IF(A1672="","",CHOOSE(WEEKDAY(A1672,2),"Segunda","Terça","Quarta","Quinta","Sexta","Sábado","Domingo"))</f>
        <v/>
      </c>
      <c r="O1672" s="26">
        <f>IF(B1672="","",IF(B1672&lt;TIME(12,0,0),"Manhã",IF(B1672&lt;TIME(18,0,0),"Tarde","Noite")))</f>
        <v/>
      </c>
      <c r="P1672" s="32">
        <f>IF(G1672="","",IFERROR(INDEX(Config!$I$5:$I$16,MATCH(G1672,Config!$H$5:$H$16,0)),0))</f>
        <v/>
      </c>
      <c r="Q1672" s="30">
        <f>IF(OR(H1672&lt;&gt;"Realizado",P1672="",P1672=0),"",A1672+P1672)</f>
        <v/>
      </c>
      <c r="R1672" s="26">
        <f>IF(Q1672="","",IF(COUNTIFS($E$5:$E$3004,E1672,$A$5:$A$3004,"&gt;"&amp;A1672,$H$5:$H$3004,"&lt;&gt;Falta",$H$5:$H$3004,"&lt;&gt;Cancelado",$H$5:$H$3004,"&lt;&gt;Remarcado")&gt;0,"Sim","Não"))</f>
        <v/>
      </c>
      <c r="S1672" s="32">
        <f>IF(R1672&lt;&gt;"Não","",IF(Q1672+Config!$B$9&lt;=Config!$B$8,Config!$B$8-Q1672,""))</f>
        <v/>
      </c>
      <c r="T1672" s="26">
        <f>IF(S1672="","","Sim")</f>
        <v/>
      </c>
      <c r="U1672" s="41">
        <f>IF(T1672="Sim",S1672+ROW()/100000,0)</f>
        <v>0</v>
      </c>
      <c r="V1672" s="41">
        <f>IF(AND(H1672="Falta",L1672=Config!$B$7,M1672=Config!$B$5,COUNTIFS($E$5:E1672,E1672,$H$5:H1672,"Falta",$L$5:L1672,Config!$B$7,$M$5:M1672,Config!$B$5)=1),COUNTIFS($E$5:$E$3004,E1672,$H$5:$H$3004,"Falta",$L$5:$L$3004,Config!$B$7,$M$5:$M$3004,Config!$B$5)*1000-ROW()/100000,0)</f>
        <v>0</v>
      </c>
    </row>
    <row r="1673">
      <c r="A1673" s="39" t="n"/>
      <c r="B1673" s="40" t="n"/>
      <c r="C1673" s="35" t="n"/>
      <c r="D1673" s="35" t="n"/>
      <c r="E1673" s="34" t="n"/>
      <c r="F1673" s="35" t="n"/>
      <c r="G1673" s="35" t="n"/>
      <c r="H1673" s="35" t="n"/>
      <c r="I1673" s="35" t="n"/>
      <c r="J1673" s="35" t="n"/>
      <c r="K1673" s="34" t="n"/>
      <c r="L1673" s="26">
        <f>IF(A1673="","",MONTH(A1673))</f>
        <v/>
      </c>
      <c r="M1673" s="26">
        <f>IF(A1673="","",YEAR(A1673))</f>
        <v/>
      </c>
      <c r="N1673" s="26">
        <f>IF(A1673="","",CHOOSE(WEEKDAY(A1673,2),"Segunda","Terça","Quarta","Quinta","Sexta","Sábado","Domingo"))</f>
        <v/>
      </c>
      <c r="O1673" s="26">
        <f>IF(B1673="","",IF(B1673&lt;TIME(12,0,0),"Manhã",IF(B1673&lt;TIME(18,0,0),"Tarde","Noite")))</f>
        <v/>
      </c>
      <c r="P1673" s="32">
        <f>IF(G1673="","",IFERROR(INDEX(Config!$I$5:$I$16,MATCH(G1673,Config!$H$5:$H$16,0)),0))</f>
        <v/>
      </c>
      <c r="Q1673" s="30">
        <f>IF(OR(H1673&lt;&gt;"Realizado",P1673="",P1673=0),"",A1673+P1673)</f>
        <v/>
      </c>
      <c r="R1673" s="26">
        <f>IF(Q1673="","",IF(COUNTIFS($E$5:$E$3004,E1673,$A$5:$A$3004,"&gt;"&amp;A1673,$H$5:$H$3004,"&lt;&gt;Falta",$H$5:$H$3004,"&lt;&gt;Cancelado",$H$5:$H$3004,"&lt;&gt;Remarcado")&gt;0,"Sim","Não"))</f>
        <v/>
      </c>
      <c r="S1673" s="32">
        <f>IF(R1673&lt;&gt;"Não","",IF(Q1673+Config!$B$9&lt;=Config!$B$8,Config!$B$8-Q1673,""))</f>
        <v/>
      </c>
      <c r="T1673" s="26">
        <f>IF(S1673="","","Sim")</f>
        <v/>
      </c>
      <c r="U1673" s="41">
        <f>IF(T1673="Sim",S1673+ROW()/100000,0)</f>
        <v>0</v>
      </c>
      <c r="V1673" s="41">
        <f>IF(AND(H1673="Falta",L1673=Config!$B$7,M1673=Config!$B$5,COUNTIFS($E$5:E1673,E1673,$H$5:H1673,"Falta",$L$5:L1673,Config!$B$7,$M$5:M1673,Config!$B$5)=1),COUNTIFS($E$5:$E$3004,E1673,$H$5:$H$3004,"Falta",$L$5:$L$3004,Config!$B$7,$M$5:$M$3004,Config!$B$5)*1000-ROW()/100000,0)</f>
        <v>0</v>
      </c>
    </row>
    <row r="1674">
      <c r="A1674" s="39" t="n"/>
      <c r="B1674" s="40" t="n"/>
      <c r="C1674" s="35" t="n"/>
      <c r="D1674" s="35" t="n"/>
      <c r="E1674" s="34" t="n"/>
      <c r="F1674" s="35" t="n"/>
      <c r="G1674" s="35" t="n"/>
      <c r="H1674" s="35" t="n"/>
      <c r="I1674" s="35" t="n"/>
      <c r="J1674" s="35" t="n"/>
      <c r="K1674" s="34" t="n"/>
      <c r="L1674" s="26">
        <f>IF(A1674="","",MONTH(A1674))</f>
        <v/>
      </c>
      <c r="M1674" s="26">
        <f>IF(A1674="","",YEAR(A1674))</f>
        <v/>
      </c>
      <c r="N1674" s="26">
        <f>IF(A1674="","",CHOOSE(WEEKDAY(A1674,2),"Segunda","Terça","Quarta","Quinta","Sexta","Sábado","Domingo"))</f>
        <v/>
      </c>
      <c r="O1674" s="26">
        <f>IF(B1674="","",IF(B1674&lt;TIME(12,0,0),"Manhã",IF(B1674&lt;TIME(18,0,0),"Tarde","Noite")))</f>
        <v/>
      </c>
      <c r="P1674" s="32">
        <f>IF(G1674="","",IFERROR(INDEX(Config!$I$5:$I$16,MATCH(G1674,Config!$H$5:$H$16,0)),0))</f>
        <v/>
      </c>
      <c r="Q1674" s="30">
        <f>IF(OR(H1674&lt;&gt;"Realizado",P1674="",P1674=0),"",A1674+P1674)</f>
        <v/>
      </c>
      <c r="R1674" s="26">
        <f>IF(Q1674="","",IF(COUNTIFS($E$5:$E$3004,E1674,$A$5:$A$3004,"&gt;"&amp;A1674,$H$5:$H$3004,"&lt;&gt;Falta",$H$5:$H$3004,"&lt;&gt;Cancelado",$H$5:$H$3004,"&lt;&gt;Remarcado")&gt;0,"Sim","Não"))</f>
        <v/>
      </c>
      <c r="S1674" s="32">
        <f>IF(R1674&lt;&gt;"Não","",IF(Q1674+Config!$B$9&lt;=Config!$B$8,Config!$B$8-Q1674,""))</f>
        <v/>
      </c>
      <c r="T1674" s="26">
        <f>IF(S1674="","","Sim")</f>
        <v/>
      </c>
      <c r="U1674" s="41">
        <f>IF(T1674="Sim",S1674+ROW()/100000,0)</f>
        <v>0</v>
      </c>
      <c r="V1674" s="41">
        <f>IF(AND(H1674="Falta",L1674=Config!$B$7,M1674=Config!$B$5,COUNTIFS($E$5:E1674,E1674,$H$5:H1674,"Falta",$L$5:L1674,Config!$B$7,$M$5:M1674,Config!$B$5)=1),COUNTIFS($E$5:$E$3004,E1674,$H$5:$H$3004,"Falta",$L$5:$L$3004,Config!$B$7,$M$5:$M$3004,Config!$B$5)*1000-ROW()/100000,0)</f>
        <v>0</v>
      </c>
    </row>
    <row r="1675">
      <c r="A1675" s="39" t="n"/>
      <c r="B1675" s="40" t="n"/>
      <c r="C1675" s="35" t="n"/>
      <c r="D1675" s="35" t="n"/>
      <c r="E1675" s="34" t="n"/>
      <c r="F1675" s="35" t="n"/>
      <c r="G1675" s="35" t="n"/>
      <c r="H1675" s="35" t="n"/>
      <c r="I1675" s="35" t="n"/>
      <c r="J1675" s="35" t="n"/>
      <c r="K1675" s="34" t="n"/>
      <c r="L1675" s="26">
        <f>IF(A1675="","",MONTH(A1675))</f>
        <v/>
      </c>
      <c r="M1675" s="26">
        <f>IF(A1675="","",YEAR(A1675))</f>
        <v/>
      </c>
      <c r="N1675" s="26">
        <f>IF(A1675="","",CHOOSE(WEEKDAY(A1675,2),"Segunda","Terça","Quarta","Quinta","Sexta","Sábado","Domingo"))</f>
        <v/>
      </c>
      <c r="O1675" s="26">
        <f>IF(B1675="","",IF(B1675&lt;TIME(12,0,0),"Manhã",IF(B1675&lt;TIME(18,0,0),"Tarde","Noite")))</f>
        <v/>
      </c>
      <c r="P1675" s="32">
        <f>IF(G1675="","",IFERROR(INDEX(Config!$I$5:$I$16,MATCH(G1675,Config!$H$5:$H$16,0)),0))</f>
        <v/>
      </c>
      <c r="Q1675" s="30">
        <f>IF(OR(H1675&lt;&gt;"Realizado",P1675="",P1675=0),"",A1675+P1675)</f>
        <v/>
      </c>
      <c r="R1675" s="26">
        <f>IF(Q1675="","",IF(COUNTIFS($E$5:$E$3004,E1675,$A$5:$A$3004,"&gt;"&amp;A1675,$H$5:$H$3004,"&lt;&gt;Falta",$H$5:$H$3004,"&lt;&gt;Cancelado",$H$5:$H$3004,"&lt;&gt;Remarcado")&gt;0,"Sim","Não"))</f>
        <v/>
      </c>
      <c r="S1675" s="32">
        <f>IF(R1675&lt;&gt;"Não","",IF(Q1675+Config!$B$9&lt;=Config!$B$8,Config!$B$8-Q1675,""))</f>
        <v/>
      </c>
      <c r="T1675" s="26">
        <f>IF(S1675="","","Sim")</f>
        <v/>
      </c>
      <c r="U1675" s="41">
        <f>IF(T1675="Sim",S1675+ROW()/100000,0)</f>
        <v>0</v>
      </c>
      <c r="V1675" s="41">
        <f>IF(AND(H1675="Falta",L1675=Config!$B$7,M1675=Config!$B$5,COUNTIFS($E$5:E1675,E1675,$H$5:H1675,"Falta",$L$5:L1675,Config!$B$7,$M$5:M1675,Config!$B$5)=1),COUNTIFS($E$5:$E$3004,E1675,$H$5:$H$3004,"Falta",$L$5:$L$3004,Config!$B$7,$M$5:$M$3004,Config!$B$5)*1000-ROW()/100000,0)</f>
        <v>0</v>
      </c>
    </row>
    <row r="1676">
      <c r="A1676" s="39" t="n"/>
      <c r="B1676" s="40" t="n"/>
      <c r="C1676" s="35" t="n"/>
      <c r="D1676" s="35" t="n"/>
      <c r="E1676" s="34" t="n"/>
      <c r="F1676" s="35" t="n"/>
      <c r="G1676" s="35" t="n"/>
      <c r="H1676" s="35" t="n"/>
      <c r="I1676" s="35" t="n"/>
      <c r="J1676" s="35" t="n"/>
      <c r="K1676" s="34" t="n"/>
      <c r="L1676" s="26">
        <f>IF(A1676="","",MONTH(A1676))</f>
        <v/>
      </c>
      <c r="M1676" s="26">
        <f>IF(A1676="","",YEAR(A1676))</f>
        <v/>
      </c>
      <c r="N1676" s="26">
        <f>IF(A1676="","",CHOOSE(WEEKDAY(A1676,2),"Segunda","Terça","Quarta","Quinta","Sexta","Sábado","Domingo"))</f>
        <v/>
      </c>
      <c r="O1676" s="26">
        <f>IF(B1676="","",IF(B1676&lt;TIME(12,0,0),"Manhã",IF(B1676&lt;TIME(18,0,0),"Tarde","Noite")))</f>
        <v/>
      </c>
      <c r="P1676" s="32">
        <f>IF(G1676="","",IFERROR(INDEX(Config!$I$5:$I$16,MATCH(G1676,Config!$H$5:$H$16,0)),0))</f>
        <v/>
      </c>
      <c r="Q1676" s="30">
        <f>IF(OR(H1676&lt;&gt;"Realizado",P1676="",P1676=0),"",A1676+P1676)</f>
        <v/>
      </c>
      <c r="R1676" s="26">
        <f>IF(Q1676="","",IF(COUNTIFS($E$5:$E$3004,E1676,$A$5:$A$3004,"&gt;"&amp;A1676,$H$5:$H$3004,"&lt;&gt;Falta",$H$5:$H$3004,"&lt;&gt;Cancelado",$H$5:$H$3004,"&lt;&gt;Remarcado")&gt;0,"Sim","Não"))</f>
        <v/>
      </c>
      <c r="S1676" s="32">
        <f>IF(R1676&lt;&gt;"Não","",IF(Q1676+Config!$B$9&lt;=Config!$B$8,Config!$B$8-Q1676,""))</f>
        <v/>
      </c>
      <c r="T1676" s="26">
        <f>IF(S1676="","","Sim")</f>
        <v/>
      </c>
      <c r="U1676" s="41">
        <f>IF(T1676="Sim",S1676+ROW()/100000,0)</f>
        <v>0</v>
      </c>
      <c r="V1676" s="41">
        <f>IF(AND(H1676="Falta",L1676=Config!$B$7,M1676=Config!$B$5,COUNTIFS($E$5:E1676,E1676,$H$5:H1676,"Falta",$L$5:L1676,Config!$B$7,$M$5:M1676,Config!$B$5)=1),COUNTIFS($E$5:$E$3004,E1676,$H$5:$H$3004,"Falta",$L$5:$L$3004,Config!$B$7,$M$5:$M$3004,Config!$B$5)*1000-ROW()/100000,0)</f>
        <v>0</v>
      </c>
    </row>
    <row r="1677">
      <c r="A1677" s="39" t="n"/>
      <c r="B1677" s="40" t="n"/>
      <c r="C1677" s="35" t="n"/>
      <c r="D1677" s="35" t="n"/>
      <c r="E1677" s="34" t="n"/>
      <c r="F1677" s="35" t="n"/>
      <c r="G1677" s="35" t="n"/>
      <c r="H1677" s="35" t="n"/>
      <c r="I1677" s="35" t="n"/>
      <c r="J1677" s="35" t="n"/>
      <c r="K1677" s="34" t="n"/>
      <c r="L1677" s="26">
        <f>IF(A1677="","",MONTH(A1677))</f>
        <v/>
      </c>
      <c r="M1677" s="26">
        <f>IF(A1677="","",YEAR(A1677))</f>
        <v/>
      </c>
      <c r="N1677" s="26">
        <f>IF(A1677="","",CHOOSE(WEEKDAY(A1677,2),"Segunda","Terça","Quarta","Quinta","Sexta","Sábado","Domingo"))</f>
        <v/>
      </c>
      <c r="O1677" s="26">
        <f>IF(B1677="","",IF(B1677&lt;TIME(12,0,0),"Manhã",IF(B1677&lt;TIME(18,0,0),"Tarde","Noite")))</f>
        <v/>
      </c>
      <c r="P1677" s="32">
        <f>IF(G1677="","",IFERROR(INDEX(Config!$I$5:$I$16,MATCH(G1677,Config!$H$5:$H$16,0)),0))</f>
        <v/>
      </c>
      <c r="Q1677" s="30">
        <f>IF(OR(H1677&lt;&gt;"Realizado",P1677="",P1677=0),"",A1677+P1677)</f>
        <v/>
      </c>
      <c r="R1677" s="26">
        <f>IF(Q1677="","",IF(COUNTIFS($E$5:$E$3004,E1677,$A$5:$A$3004,"&gt;"&amp;A1677,$H$5:$H$3004,"&lt;&gt;Falta",$H$5:$H$3004,"&lt;&gt;Cancelado",$H$5:$H$3004,"&lt;&gt;Remarcado")&gt;0,"Sim","Não"))</f>
        <v/>
      </c>
      <c r="S1677" s="32">
        <f>IF(R1677&lt;&gt;"Não","",IF(Q1677+Config!$B$9&lt;=Config!$B$8,Config!$B$8-Q1677,""))</f>
        <v/>
      </c>
      <c r="T1677" s="26">
        <f>IF(S1677="","","Sim")</f>
        <v/>
      </c>
      <c r="U1677" s="41">
        <f>IF(T1677="Sim",S1677+ROW()/100000,0)</f>
        <v>0</v>
      </c>
      <c r="V1677" s="41">
        <f>IF(AND(H1677="Falta",L1677=Config!$B$7,M1677=Config!$B$5,COUNTIFS($E$5:E1677,E1677,$H$5:H1677,"Falta",$L$5:L1677,Config!$B$7,$M$5:M1677,Config!$B$5)=1),COUNTIFS($E$5:$E$3004,E1677,$H$5:$H$3004,"Falta",$L$5:$L$3004,Config!$B$7,$M$5:$M$3004,Config!$B$5)*1000-ROW()/100000,0)</f>
        <v>0</v>
      </c>
    </row>
    <row r="1678">
      <c r="A1678" s="39" t="n"/>
      <c r="B1678" s="40" t="n"/>
      <c r="C1678" s="35" t="n"/>
      <c r="D1678" s="35" t="n"/>
      <c r="E1678" s="34" t="n"/>
      <c r="F1678" s="35" t="n"/>
      <c r="G1678" s="35" t="n"/>
      <c r="H1678" s="35" t="n"/>
      <c r="I1678" s="35" t="n"/>
      <c r="J1678" s="35" t="n"/>
      <c r="K1678" s="34" t="n"/>
      <c r="L1678" s="26">
        <f>IF(A1678="","",MONTH(A1678))</f>
        <v/>
      </c>
      <c r="M1678" s="26">
        <f>IF(A1678="","",YEAR(A1678))</f>
        <v/>
      </c>
      <c r="N1678" s="26">
        <f>IF(A1678="","",CHOOSE(WEEKDAY(A1678,2),"Segunda","Terça","Quarta","Quinta","Sexta","Sábado","Domingo"))</f>
        <v/>
      </c>
      <c r="O1678" s="26">
        <f>IF(B1678="","",IF(B1678&lt;TIME(12,0,0),"Manhã",IF(B1678&lt;TIME(18,0,0),"Tarde","Noite")))</f>
        <v/>
      </c>
      <c r="P1678" s="32">
        <f>IF(G1678="","",IFERROR(INDEX(Config!$I$5:$I$16,MATCH(G1678,Config!$H$5:$H$16,0)),0))</f>
        <v/>
      </c>
      <c r="Q1678" s="30">
        <f>IF(OR(H1678&lt;&gt;"Realizado",P1678="",P1678=0),"",A1678+P1678)</f>
        <v/>
      </c>
      <c r="R1678" s="26">
        <f>IF(Q1678="","",IF(COUNTIFS($E$5:$E$3004,E1678,$A$5:$A$3004,"&gt;"&amp;A1678,$H$5:$H$3004,"&lt;&gt;Falta",$H$5:$H$3004,"&lt;&gt;Cancelado",$H$5:$H$3004,"&lt;&gt;Remarcado")&gt;0,"Sim","Não"))</f>
        <v/>
      </c>
      <c r="S1678" s="32">
        <f>IF(R1678&lt;&gt;"Não","",IF(Q1678+Config!$B$9&lt;=Config!$B$8,Config!$B$8-Q1678,""))</f>
        <v/>
      </c>
      <c r="T1678" s="26">
        <f>IF(S1678="","","Sim")</f>
        <v/>
      </c>
      <c r="U1678" s="41">
        <f>IF(T1678="Sim",S1678+ROW()/100000,0)</f>
        <v>0</v>
      </c>
      <c r="V1678" s="41">
        <f>IF(AND(H1678="Falta",L1678=Config!$B$7,M1678=Config!$B$5,COUNTIFS($E$5:E1678,E1678,$H$5:H1678,"Falta",$L$5:L1678,Config!$B$7,$M$5:M1678,Config!$B$5)=1),COUNTIFS($E$5:$E$3004,E1678,$H$5:$H$3004,"Falta",$L$5:$L$3004,Config!$B$7,$M$5:$M$3004,Config!$B$5)*1000-ROW()/100000,0)</f>
        <v>0</v>
      </c>
    </row>
    <row r="1679">
      <c r="A1679" s="39" t="n"/>
      <c r="B1679" s="40" t="n"/>
      <c r="C1679" s="35" t="n"/>
      <c r="D1679" s="35" t="n"/>
      <c r="E1679" s="34" t="n"/>
      <c r="F1679" s="35" t="n"/>
      <c r="G1679" s="35" t="n"/>
      <c r="H1679" s="35" t="n"/>
      <c r="I1679" s="35" t="n"/>
      <c r="J1679" s="35" t="n"/>
      <c r="K1679" s="34" t="n"/>
      <c r="L1679" s="26">
        <f>IF(A1679="","",MONTH(A1679))</f>
        <v/>
      </c>
      <c r="M1679" s="26">
        <f>IF(A1679="","",YEAR(A1679))</f>
        <v/>
      </c>
      <c r="N1679" s="26">
        <f>IF(A1679="","",CHOOSE(WEEKDAY(A1679,2),"Segunda","Terça","Quarta","Quinta","Sexta","Sábado","Domingo"))</f>
        <v/>
      </c>
      <c r="O1679" s="26">
        <f>IF(B1679="","",IF(B1679&lt;TIME(12,0,0),"Manhã",IF(B1679&lt;TIME(18,0,0),"Tarde","Noite")))</f>
        <v/>
      </c>
      <c r="P1679" s="32">
        <f>IF(G1679="","",IFERROR(INDEX(Config!$I$5:$I$16,MATCH(G1679,Config!$H$5:$H$16,0)),0))</f>
        <v/>
      </c>
      <c r="Q1679" s="30">
        <f>IF(OR(H1679&lt;&gt;"Realizado",P1679="",P1679=0),"",A1679+P1679)</f>
        <v/>
      </c>
      <c r="R1679" s="26">
        <f>IF(Q1679="","",IF(COUNTIFS($E$5:$E$3004,E1679,$A$5:$A$3004,"&gt;"&amp;A1679,$H$5:$H$3004,"&lt;&gt;Falta",$H$5:$H$3004,"&lt;&gt;Cancelado",$H$5:$H$3004,"&lt;&gt;Remarcado")&gt;0,"Sim","Não"))</f>
        <v/>
      </c>
      <c r="S1679" s="32">
        <f>IF(R1679&lt;&gt;"Não","",IF(Q1679+Config!$B$9&lt;=Config!$B$8,Config!$B$8-Q1679,""))</f>
        <v/>
      </c>
      <c r="T1679" s="26">
        <f>IF(S1679="","","Sim")</f>
        <v/>
      </c>
      <c r="U1679" s="41">
        <f>IF(T1679="Sim",S1679+ROW()/100000,0)</f>
        <v>0</v>
      </c>
      <c r="V1679" s="41">
        <f>IF(AND(H1679="Falta",L1679=Config!$B$7,M1679=Config!$B$5,COUNTIFS($E$5:E1679,E1679,$H$5:H1679,"Falta",$L$5:L1679,Config!$B$7,$M$5:M1679,Config!$B$5)=1),COUNTIFS($E$5:$E$3004,E1679,$H$5:$H$3004,"Falta",$L$5:$L$3004,Config!$B$7,$M$5:$M$3004,Config!$B$5)*1000-ROW()/100000,0)</f>
        <v>0</v>
      </c>
    </row>
    <row r="1680">
      <c r="A1680" s="39" t="n"/>
      <c r="B1680" s="40" t="n"/>
      <c r="C1680" s="35" t="n"/>
      <c r="D1680" s="35" t="n"/>
      <c r="E1680" s="34" t="n"/>
      <c r="F1680" s="35" t="n"/>
      <c r="G1680" s="35" t="n"/>
      <c r="H1680" s="35" t="n"/>
      <c r="I1680" s="35" t="n"/>
      <c r="J1680" s="35" t="n"/>
      <c r="K1680" s="34" t="n"/>
      <c r="L1680" s="26">
        <f>IF(A1680="","",MONTH(A1680))</f>
        <v/>
      </c>
      <c r="M1680" s="26">
        <f>IF(A1680="","",YEAR(A1680))</f>
        <v/>
      </c>
      <c r="N1680" s="26">
        <f>IF(A1680="","",CHOOSE(WEEKDAY(A1680,2),"Segunda","Terça","Quarta","Quinta","Sexta","Sábado","Domingo"))</f>
        <v/>
      </c>
      <c r="O1680" s="26">
        <f>IF(B1680="","",IF(B1680&lt;TIME(12,0,0),"Manhã",IF(B1680&lt;TIME(18,0,0),"Tarde","Noite")))</f>
        <v/>
      </c>
      <c r="P1680" s="32">
        <f>IF(G1680="","",IFERROR(INDEX(Config!$I$5:$I$16,MATCH(G1680,Config!$H$5:$H$16,0)),0))</f>
        <v/>
      </c>
      <c r="Q1680" s="30">
        <f>IF(OR(H1680&lt;&gt;"Realizado",P1680="",P1680=0),"",A1680+P1680)</f>
        <v/>
      </c>
      <c r="R1680" s="26">
        <f>IF(Q1680="","",IF(COUNTIFS($E$5:$E$3004,E1680,$A$5:$A$3004,"&gt;"&amp;A1680,$H$5:$H$3004,"&lt;&gt;Falta",$H$5:$H$3004,"&lt;&gt;Cancelado",$H$5:$H$3004,"&lt;&gt;Remarcado")&gt;0,"Sim","Não"))</f>
        <v/>
      </c>
      <c r="S1680" s="32">
        <f>IF(R1680&lt;&gt;"Não","",IF(Q1680+Config!$B$9&lt;=Config!$B$8,Config!$B$8-Q1680,""))</f>
        <v/>
      </c>
      <c r="T1680" s="26">
        <f>IF(S1680="","","Sim")</f>
        <v/>
      </c>
      <c r="U1680" s="41">
        <f>IF(T1680="Sim",S1680+ROW()/100000,0)</f>
        <v>0</v>
      </c>
      <c r="V1680" s="41">
        <f>IF(AND(H1680="Falta",L1680=Config!$B$7,M1680=Config!$B$5,COUNTIFS($E$5:E1680,E1680,$H$5:H1680,"Falta",$L$5:L1680,Config!$B$7,$M$5:M1680,Config!$B$5)=1),COUNTIFS($E$5:$E$3004,E1680,$H$5:$H$3004,"Falta",$L$5:$L$3004,Config!$B$7,$M$5:$M$3004,Config!$B$5)*1000-ROW()/100000,0)</f>
        <v>0</v>
      </c>
    </row>
    <row r="1681">
      <c r="A1681" s="39" t="n"/>
      <c r="B1681" s="40" t="n"/>
      <c r="C1681" s="35" t="n"/>
      <c r="D1681" s="35" t="n"/>
      <c r="E1681" s="34" t="n"/>
      <c r="F1681" s="35" t="n"/>
      <c r="G1681" s="35" t="n"/>
      <c r="H1681" s="35" t="n"/>
      <c r="I1681" s="35" t="n"/>
      <c r="J1681" s="35" t="n"/>
      <c r="K1681" s="34" t="n"/>
      <c r="L1681" s="26">
        <f>IF(A1681="","",MONTH(A1681))</f>
        <v/>
      </c>
      <c r="M1681" s="26">
        <f>IF(A1681="","",YEAR(A1681))</f>
        <v/>
      </c>
      <c r="N1681" s="26">
        <f>IF(A1681="","",CHOOSE(WEEKDAY(A1681,2),"Segunda","Terça","Quarta","Quinta","Sexta","Sábado","Domingo"))</f>
        <v/>
      </c>
      <c r="O1681" s="26">
        <f>IF(B1681="","",IF(B1681&lt;TIME(12,0,0),"Manhã",IF(B1681&lt;TIME(18,0,0),"Tarde","Noite")))</f>
        <v/>
      </c>
      <c r="P1681" s="32">
        <f>IF(G1681="","",IFERROR(INDEX(Config!$I$5:$I$16,MATCH(G1681,Config!$H$5:$H$16,0)),0))</f>
        <v/>
      </c>
      <c r="Q1681" s="30">
        <f>IF(OR(H1681&lt;&gt;"Realizado",P1681="",P1681=0),"",A1681+P1681)</f>
        <v/>
      </c>
      <c r="R1681" s="26">
        <f>IF(Q1681="","",IF(COUNTIFS($E$5:$E$3004,E1681,$A$5:$A$3004,"&gt;"&amp;A1681,$H$5:$H$3004,"&lt;&gt;Falta",$H$5:$H$3004,"&lt;&gt;Cancelado",$H$5:$H$3004,"&lt;&gt;Remarcado")&gt;0,"Sim","Não"))</f>
        <v/>
      </c>
      <c r="S1681" s="32">
        <f>IF(R1681&lt;&gt;"Não","",IF(Q1681+Config!$B$9&lt;=Config!$B$8,Config!$B$8-Q1681,""))</f>
        <v/>
      </c>
      <c r="T1681" s="26">
        <f>IF(S1681="","","Sim")</f>
        <v/>
      </c>
      <c r="U1681" s="41">
        <f>IF(T1681="Sim",S1681+ROW()/100000,0)</f>
        <v>0</v>
      </c>
      <c r="V1681" s="41">
        <f>IF(AND(H1681="Falta",L1681=Config!$B$7,M1681=Config!$B$5,COUNTIFS($E$5:E1681,E1681,$H$5:H1681,"Falta",$L$5:L1681,Config!$B$7,$M$5:M1681,Config!$B$5)=1),COUNTIFS($E$5:$E$3004,E1681,$H$5:$H$3004,"Falta",$L$5:$L$3004,Config!$B$7,$M$5:$M$3004,Config!$B$5)*1000-ROW()/100000,0)</f>
        <v>0</v>
      </c>
    </row>
    <row r="1682">
      <c r="A1682" s="39" t="n"/>
      <c r="B1682" s="40" t="n"/>
      <c r="C1682" s="35" t="n"/>
      <c r="D1682" s="35" t="n"/>
      <c r="E1682" s="34" t="n"/>
      <c r="F1682" s="35" t="n"/>
      <c r="G1682" s="35" t="n"/>
      <c r="H1682" s="35" t="n"/>
      <c r="I1682" s="35" t="n"/>
      <c r="J1682" s="35" t="n"/>
      <c r="K1682" s="34" t="n"/>
      <c r="L1682" s="26">
        <f>IF(A1682="","",MONTH(A1682))</f>
        <v/>
      </c>
      <c r="M1682" s="26">
        <f>IF(A1682="","",YEAR(A1682))</f>
        <v/>
      </c>
      <c r="N1682" s="26">
        <f>IF(A1682="","",CHOOSE(WEEKDAY(A1682,2),"Segunda","Terça","Quarta","Quinta","Sexta","Sábado","Domingo"))</f>
        <v/>
      </c>
      <c r="O1682" s="26">
        <f>IF(B1682="","",IF(B1682&lt;TIME(12,0,0),"Manhã",IF(B1682&lt;TIME(18,0,0),"Tarde","Noite")))</f>
        <v/>
      </c>
      <c r="P1682" s="32">
        <f>IF(G1682="","",IFERROR(INDEX(Config!$I$5:$I$16,MATCH(G1682,Config!$H$5:$H$16,0)),0))</f>
        <v/>
      </c>
      <c r="Q1682" s="30">
        <f>IF(OR(H1682&lt;&gt;"Realizado",P1682="",P1682=0),"",A1682+P1682)</f>
        <v/>
      </c>
      <c r="R1682" s="26">
        <f>IF(Q1682="","",IF(COUNTIFS($E$5:$E$3004,E1682,$A$5:$A$3004,"&gt;"&amp;A1682,$H$5:$H$3004,"&lt;&gt;Falta",$H$5:$H$3004,"&lt;&gt;Cancelado",$H$5:$H$3004,"&lt;&gt;Remarcado")&gt;0,"Sim","Não"))</f>
        <v/>
      </c>
      <c r="S1682" s="32">
        <f>IF(R1682&lt;&gt;"Não","",IF(Q1682+Config!$B$9&lt;=Config!$B$8,Config!$B$8-Q1682,""))</f>
        <v/>
      </c>
      <c r="T1682" s="26">
        <f>IF(S1682="","","Sim")</f>
        <v/>
      </c>
      <c r="U1682" s="41">
        <f>IF(T1682="Sim",S1682+ROW()/100000,0)</f>
        <v>0</v>
      </c>
      <c r="V1682" s="41">
        <f>IF(AND(H1682="Falta",L1682=Config!$B$7,M1682=Config!$B$5,COUNTIFS($E$5:E1682,E1682,$H$5:H1682,"Falta",$L$5:L1682,Config!$B$7,$M$5:M1682,Config!$B$5)=1),COUNTIFS($E$5:$E$3004,E1682,$H$5:$H$3004,"Falta",$L$5:$L$3004,Config!$B$7,$M$5:$M$3004,Config!$B$5)*1000-ROW()/100000,0)</f>
        <v>0</v>
      </c>
    </row>
    <row r="1683">
      <c r="A1683" s="39" t="n"/>
      <c r="B1683" s="40" t="n"/>
      <c r="C1683" s="35" t="n"/>
      <c r="D1683" s="35" t="n"/>
      <c r="E1683" s="34" t="n"/>
      <c r="F1683" s="35" t="n"/>
      <c r="G1683" s="35" t="n"/>
      <c r="H1683" s="35" t="n"/>
      <c r="I1683" s="35" t="n"/>
      <c r="J1683" s="35" t="n"/>
      <c r="K1683" s="34" t="n"/>
      <c r="L1683" s="26">
        <f>IF(A1683="","",MONTH(A1683))</f>
        <v/>
      </c>
      <c r="M1683" s="26">
        <f>IF(A1683="","",YEAR(A1683))</f>
        <v/>
      </c>
      <c r="N1683" s="26">
        <f>IF(A1683="","",CHOOSE(WEEKDAY(A1683,2),"Segunda","Terça","Quarta","Quinta","Sexta","Sábado","Domingo"))</f>
        <v/>
      </c>
      <c r="O1683" s="26">
        <f>IF(B1683="","",IF(B1683&lt;TIME(12,0,0),"Manhã",IF(B1683&lt;TIME(18,0,0),"Tarde","Noite")))</f>
        <v/>
      </c>
      <c r="P1683" s="32">
        <f>IF(G1683="","",IFERROR(INDEX(Config!$I$5:$I$16,MATCH(G1683,Config!$H$5:$H$16,0)),0))</f>
        <v/>
      </c>
      <c r="Q1683" s="30">
        <f>IF(OR(H1683&lt;&gt;"Realizado",P1683="",P1683=0),"",A1683+P1683)</f>
        <v/>
      </c>
      <c r="R1683" s="26">
        <f>IF(Q1683="","",IF(COUNTIFS($E$5:$E$3004,E1683,$A$5:$A$3004,"&gt;"&amp;A1683,$H$5:$H$3004,"&lt;&gt;Falta",$H$5:$H$3004,"&lt;&gt;Cancelado",$H$5:$H$3004,"&lt;&gt;Remarcado")&gt;0,"Sim","Não"))</f>
        <v/>
      </c>
      <c r="S1683" s="32">
        <f>IF(R1683&lt;&gt;"Não","",IF(Q1683+Config!$B$9&lt;=Config!$B$8,Config!$B$8-Q1683,""))</f>
        <v/>
      </c>
      <c r="T1683" s="26">
        <f>IF(S1683="","","Sim")</f>
        <v/>
      </c>
      <c r="U1683" s="41">
        <f>IF(T1683="Sim",S1683+ROW()/100000,0)</f>
        <v>0</v>
      </c>
      <c r="V1683" s="41">
        <f>IF(AND(H1683="Falta",L1683=Config!$B$7,M1683=Config!$B$5,COUNTIFS($E$5:E1683,E1683,$H$5:H1683,"Falta",$L$5:L1683,Config!$B$7,$M$5:M1683,Config!$B$5)=1),COUNTIFS($E$5:$E$3004,E1683,$H$5:$H$3004,"Falta",$L$5:$L$3004,Config!$B$7,$M$5:$M$3004,Config!$B$5)*1000-ROW()/100000,0)</f>
        <v>0</v>
      </c>
    </row>
    <row r="1684">
      <c r="A1684" s="39" t="n"/>
      <c r="B1684" s="40" t="n"/>
      <c r="C1684" s="35" t="n"/>
      <c r="D1684" s="35" t="n"/>
      <c r="E1684" s="34" t="n"/>
      <c r="F1684" s="35" t="n"/>
      <c r="G1684" s="35" t="n"/>
      <c r="H1684" s="35" t="n"/>
      <c r="I1684" s="35" t="n"/>
      <c r="J1684" s="35" t="n"/>
      <c r="K1684" s="34" t="n"/>
      <c r="L1684" s="26">
        <f>IF(A1684="","",MONTH(A1684))</f>
        <v/>
      </c>
      <c r="M1684" s="26">
        <f>IF(A1684="","",YEAR(A1684))</f>
        <v/>
      </c>
      <c r="N1684" s="26">
        <f>IF(A1684="","",CHOOSE(WEEKDAY(A1684,2),"Segunda","Terça","Quarta","Quinta","Sexta","Sábado","Domingo"))</f>
        <v/>
      </c>
      <c r="O1684" s="26">
        <f>IF(B1684="","",IF(B1684&lt;TIME(12,0,0),"Manhã",IF(B1684&lt;TIME(18,0,0),"Tarde","Noite")))</f>
        <v/>
      </c>
      <c r="P1684" s="32">
        <f>IF(G1684="","",IFERROR(INDEX(Config!$I$5:$I$16,MATCH(G1684,Config!$H$5:$H$16,0)),0))</f>
        <v/>
      </c>
      <c r="Q1684" s="30">
        <f>IF(OR(H1684&lt;&gt;"Realizado",P1684="",P1684=0),"",A1684+P1684)</f>
        <v/>
      </c>
      <c r="R1684" s="26">
        <f>IF(Q1684="","",IF(COUNTIFS($E$5:$E$3004,E1684,$A$5:$A$3004,"&gt;"&amp;A1684,$H$5:$H$3004,"&lt;&gt;Falta",$H$5:$H$3004,"&lt;&gt;Cancelado",$H$5:$H$3004,"&lt;&gt;Remarcado")&gt;0,"Sim","Não"))</f>
        <v/>
      </c>
      <c r="S1684" s="32">
        <f>IF(R1684&lt;&gt;"Não","",IF(Q1684+Config!$B$9&lt;=Config!$B$8,Config!$B$8-Q1684,""))</f>
        <v/>
      </c>
      <c r="T1684" s="26">
        <f>IF(S1684="","","Sim")</f>
        <v/>
      </c>
      <c r="U1684" s="41">
        <f>IF(T1684="Sim",S1684+ROW()/100000,0)</f>
        <v>0</v>
      </c>
      <c r="V1684" s="41">
        <f>IF(AND(H1684="Falta",L1684=Config!$B$7,M1684=Config!$B$5,COUNTIFS($E$5:E1684,E1684,$H$5:H1684,"Falta",$L$5:L1684,Config!$B$7,$M$5:M1684,Config!$B$5)=1),COUNTIFS($E$5:$E$3004,E1684,$H$5:$H$3004,"Falta",$L$5:$L$3004,Config!$B$7,$M$5:$M$3004,Config!$B$5)*1000-ROW()/100000,0)</f>
        <v>0</v>
      </c>
    </row>
    <row r="1685">
      <c r="A1685" s="39" t="n"/>
      <c r="B1685" s="40" t="n"/>
      <c r="C1685" s="35" t="n"/>
      <c r="D1685" s="35" t="n"/>
      <c r="E1685" s="34" t="n"/>
      <c r="F1685" s="35" t="n"/>
      <c r="G1685" s="35" t="n"/>
      <c r="H1685" s="35" t="n"/>
      <c r="I1685" s="35" t="n"/>
      <c r="J1685" s="35" t="n"/>
      <c r="K1685" s="34" t="n"/>
      <c r="L1685" s="26">
        <f>IF(A1685="","",MONTH(A1685))</f>
        <v/>
      </c>
      <c r="M1685" s="26">
        <f>IF(A1685="","",YEAR(A1685))</f>
        <v/>
      </c>
      <c r="N1685" s="26">
        <f>IF(A1685="","",CHOOSE(WEEKDAY(A1685,2),"Segunda","Terça","Quarta","Quinta","Sexta","Sábado","Domingo"))</f>
        <v/>
      </c>
      <c r="O1685" s="26">
        <f>IF(B1685="","",IF(B1685&lt;TIME(12,0,0),"Manhã",IF(B1685&lt;TIME(18,0,0),"Tarde","Noite")))</f>
        <v/>
      </c>
      <c r="P1685" s="32">
        <f>IF(G1685="","",IFERROR(INDEX(Config!$I$5:$I$16,MATCH(G1685,Config!$H$5:$H$16,0)),0))</f>
        <v/>
      </c>
      <c r="Q1685" s="30">
        <f>IF(OR(H1685&lt;&gt;"Realizado",P1685="",P1685=0),"",A1685+P1685)</f>
        <v/>
      </c>
      <c r="R1685" s="26">
        <f>IF(Q1685="","",IF(COUNTIFS($E$5:$E$3004,E1685,$A$5:$A$3004,"&gt;"&amp;A1685,$H$5:$H$3004,"&lt;&gt;Falta",$H$5:$H$3004,"&lt;&gt;Cancelado",$H$5:$H$3004,"&lt;&gt;Remarcado")&gt;0,"Sim","Não"))</f>
        <v/>
      </c>
      <c r="S1685" s="32">
        <f>IF(R1685&lt;&gt;"Não","",IF(Q1685+Config!$B$9&lt;=Config!$B$8,Config!$B$8-Q1685,""))</f>
        <v/>
      </c>
      <c r="T1685" s="26">
        <f>IF(S1685="","","Sim")</f>
        <v/>
      </c>
      <c r="U1685" s="41">
        <f>IF(T1685="Sim",S1685+ROW()/100000,0)</f>
        <v>0</v>
      </c>
      <c r="V1685" s="41">
        <f>IF(AND(H1685="Falta",L1685=Config!$B$7,M1685=Config!$B$5,COUNTIFS($E$5:E1685,E1685,$H$5:H1685,"Falta",$L$5:L1685,Config!$B$7,$M$5:M1685,Config!$B$5)=1),COUNTIFS($E$5:$E$3004,E1685,$H$5:$H$3004,"Falta",$L$5:$L$3004,Config!$B$7,$M$5:$M$3004,Config!$B$5)*1000-ROW()/100000,0)</f>
        <v>0</v>
      </c>
    </row>
    <row r="1686">
      <c r="A1686" s="39" t="n"/>
      <c r="B1686" s="40" t="n"/>
      <c r="C1686" s="35" t="n"/>
      <c r="D1686" s="35" t="n"/>
      <c r="E1686" s="34" t="n"/>
      <c r="F1686" s="35" t="n"/>
      <c r="G1686" s="35" t="n"/>
      <c r="H1686" s="35" t="n"/>
      <c r="I1686" s="35" t="n"/>
      <c r="J1686" s="35" t="n"/>
      <c r="K1686" s="34" t="n"/>
      <c r="L1686" s="26">
        <f>IF(A1686="","",MONTH(A1686))</f>
        <v/>
      </c>
      <c r="M1686" s="26">
        <f>IF(A1686="","",YEAR(A1686))</f>
        <v/>
      </c>
      <c r="N1686" s="26">
        <f>IF(A1686="","",CHOOSE(WEEKDAY(A1686,2),"Segunda","Terça","Quarta","Quinta","Sexta","Sábado","Domingo"))</f>
        <v/>
      </c>
      <c r="O1686" s="26">
        <f>IF(B1686="","",IF(B1686&lt;TIME(12,0,0),"Manhã",IF(B1686&lt;TIME(18,0,0),"Tarde","Noite")))</f>
        <v/>
      </c>
      <c r="P1686" s="32">
        <f>IF(G1686="","",IFERROR(INDEX(Config!$I$5:$I$16,MATCH(G1686,Config!$H$5:$H$16,0)),0))</f>
        <v/>
      </c>
      <c r="Q1686" s="30">
        <f>IF(OR(H1686&lt;&gt;"Realizado",P1686="",P1686=0),"",A1686+P1686)</f>
        <v/>
      </c>
      <c r="R1686" s="26">
        <f>IF(Q1686="","",IF(COUNTIFS($E$5:$E$3004,E1686,$A$5:$A$3004,"&gt;"&amp;A1686,$H$5:$H$3004,"&lt;&gt;Falta",$H$5:$H$3004,"&lt;&gt;Cancelado",$H$5:$H$3004,"&lt;&gt;Remarcado")&gt;0,"Sim","Não"))</f>
        <v/>
      </c>
      <c r="S1686" s="32">
        <f>IF(R1686&lt;&gt;"Não","",IF(Q1686+Config!$B$9&lt;=Config!$B$8,Config!$B$8-Q1686,""))</f>
        <v/>
      </c>
      <c r="T1686" s="26">
        <f>IF(S1686="","","Sim")</f>
        <v/>
      </c>
      <c r="U1686" s="41">
        <f>IF(T1686="Sim",S1686+ROW()/100000,0)</f>
        <v>0</v>
      </c>
      <c r="V1686" s="41">
        <f>IF(AND(H1686="Falta",L1686=Config!$B$7,M1686=Config!$B$5,COUNTIFS($E$5:E1686,E1686,$H$5:H1686,"Falta",$L$5:L1686,Config!$B$7,$M$5:M1686,Config!$B$5)=1),COUNTIFS($E$5:$E$3004,E1686,$H$5:$H$3004,"Falta",$L$5:$L$3004,Config!$B$7,$M$5:$M$3004,Config!$B$5)*1000-ROW()/100000,0)</f>
        <v>0</v>
      </c>
    </row>
    <row r="1687">
      <c r="A1687" s="39" t="n"/>
      <c r="B1687" s="40" t="n"/>
      <c r="C1687" s="35" t="n"/>
      <c r="D1687" s="35" t="n"/>
      <c r="E1687" s="34" t="n"/>
      <c r="F1687" s="35" t="n"/>
      <c r="G1687" s="35" t="n"/>
      <c r="H1687" s="35" t="n"/>
      <c r="I1687" s="35" t="n"/>
      <c r="J1687" s="35" t="n"/>
      <c r="K1687" s="34" t="n"/>
      <c r="L1687" s="26">
        <f>IF(A1687="","",MONTH(A1687))</f>
        <v/>
      </c>
      <c r="M1687" s="26">
        <f>IF(A1687="","",YEAR(A1687))</f>
        <v/>
      </c>
      <c r="N1687" s="26">
        <f>IF(A1687="","",CHOOSE(WEEKDAY(A1687,2),"Segunda","Terça","Quarta","Quinta","Sexta","Sábado","Domingo"))</f>
        <v/>
      </c>
      <c r="O1687" s="26">
        <f>IF(B1687="","",IF(B1687&lt;TIME(12,0,0),"Manhã",IF(B1687&lt;TIME(18,0,0),"Tarde","Noite")))</f>
        <v/>
      </c>
      <c r="P1687" s="32">
        <f>IF(G1687="","",IFERROR(INDEX(Config!$I$5:$I$16,MATCH(G1687,Config!$H$5:$H$16,0)),0))</f>
        <v/>
      </c>
      <c r="Q1687" s="30">
        <f>IF(OR(H1687&lt;&gt;"Realizado",P1687="",P1687=0),"",A1687+P1687)</f>
        <v/>
      </c>
      <c r="R1687" s="26">
        <f>IF(Q1687="","",IF(COUNTIFS($E$5:$E$3004,E1687,$A$5:$A$3004,"&gt;"&amp;A1687,$H$5:$H$3004,"&lt;&gt;Falta",$H$5:$H$3004,"&lt;&gt;Cancelado",$H$5:$H$3004,"&lt;&gt;Remarcado")&gt;0,"Sim","Não"))</f>
        <v/>
      </c>
      <c r="S1687" s="32">
        <f>IF(R1687&lt;&gt;"Não","",IF(Q1687+Config!$B$9&lt;=Config!$B$8,Config!$B$8-Q1687,""))</f>
        <v/>
      </c>
      <c r="T1687" s="26">
        <f>IF(S1687="","","Sim")</f>
        <v/>
      </c>
      <c r="U1687" s="41">
        <f>IF(T1687="Sim",S1687+ROW()/100000,0)</f>
        <v>0</v>
      </c>
      <c r="V1687" s="41">
        <f>IF(AND(H1687="Falta",L1687=Config!$B$7,M1687=Config!$B$5,COUNTIFS($E$5:E1687,E1687,$H$5:H1687,"Falta",$L$5:L1687,Config!$B$7,$M$5:M1687,Config!$B$5)=1),COUNTIFS($E$5:$E$3004,E1687,$H$5:$H$3004,"Falta",$L$5:$L$3004,Config!$B$7,$M$5:$M$3004,Config!$B$5)*1000-ROW()/100000,0)</f>
        <v>0</v>
      </c>
    </row>
    <row r="1688">
      <c r="A1688" s="39" t="n"/>
      <c r="B1688" s="40" t="n"/>
      <c r="C1688" s="35" t="n"/>
      <c r="D1688" s="35" t="n"/>
      <c r="E1688" s="34" t="n"/>
      <c r="F1688" s="35" t="n"/>
      <c r="G1688" s="35" t="n"/>
      <c r="H1688" s="35" t="n"/>
      <c r="I1688" s="35" t="n"/>
      <c r="J1688" s="35" t="n"/>
      <c r="K1688" s="34" t="n"/>
      <c r="L1688" s="26">
        <f>IF(A1688="","",MONTH(A1688))</f>
        <v/>
      </c>
      <c r="M1688" s="26">
        <f>IF(A1688="","",YEAR(A1688))</f>
        <v/>
      </c>
      <c r="N1688" s="26">
        <f>IF(A1688="","",CHOOSE(WEEKDAY(A1688,2),"Segunda","Terça","Quarta","Quinta","Sexta","Sábado","Domingo"))</f>
        <v/>
      </c>
      <c r="O1688" s="26">
        <f>IF(B1688="","",IF(B1688&lt;TIME(12,0,0),"Manhã",IF(B1688&lt;TIME(18,0,0),"Tarde","Noite")))</f>
        <v/>
      </c>
      <c r="P1688" s="32">
        <f>IF(G1688="","",IFERROR(INDEX(Config!$I$5:$I$16,MATCH(G1688,Config!$H$5:$H$16,0)),0))</f>
        <v/>
      </c>
      <c r="Q1688" s="30">
        <f>IF(OR(H1688&lt;&gt;"Realizado",P1688="",P1688=0),"",A1688+P1688)</f>
        <v/>
      </c>
      <c r="R1688" s="26">
        <f>IF(Q1688="","",IF(COUNTIFS($E$5:$E$3004,E1688,$A$5:$A$3004,"&gt;"&amp;A1688,$H$5:$H$3004,"&lt;&gt;Falta",$H$5:$H$3004,"&lt;&gt;Cancelado",$H$5:$H$3004,"&lt;&gt;Remarcado")&gt;0,"Sim","Não"))</f>
        <v/>
      </c>
      <c r="S1688" s="32">
        <f>IF(R1688&lt;&gt;"Não","",IF(Q1688+Config!$B$9&lt;=Config!$B$8,Config!$B$8-Q1688,""))</f>
        <v/>
      </c>
      <c r="T1688" s="26">
        <f>IF(S1688="","","Sim")</f>
        <v/>
      </c>
      <c r="U1688" s="41">
        <f>IF(T1688="Sim",S1688+ROW()/100000,0)</f>
        <v>0</v>
      </c>
      <c r="V1688" s="41">
        <f>IF(AND(H1688="Falta",L1688=Config!$B$7,M1688=Config!$B$5,COUNTIFS($E$5:E1688,E1688,$H$5:H1688,"Falta",$L$5:L1688,Config!$B$7,$M$5:M1688,Config!$B$5)=1),COUNTIFS($E$5:$E$3004,E1688,$H$5:$H$3004,"Falta",$L$5:$L$3004,Config!$B$7,$M$5:$M$3004,Config!$B$5)*1000-ROW()/100000,0)</f>
        <v>0</v>
      </c>
    </row>
    <row r="1689">
      <c r="A1689" s="39" t="n"/>
      <c r="B1689" s="40" t="n"/>
      <c r="C1689" s="35" t="n"/>
      <c r="D1689" s="35" t="n"/>
      <c r="E1689" s="34" t="n"/>
      <c r="F1689" s="35" t="n"/>
      <c r="G1689" s="35" t="n"/>
      <c r="H1689" s="35" t="n"/>
      <c r="I1689" s="35" t="n"/>
      <c r="J1689" s="35" t="n"/>
      <c r="K1689" s="34" t="n"/>
      <c r="L1689" s="26">
        <f>IF(A1689="","",MONTH(A1689))</f>
        <v/>
      </c>
      <c r="M1689" s="26">
        <f>IF(A1689="","",YEAR(A1689))</f>
        <v/>
      </c>
      <c r="N1689" s="26">
        <f>IF(A1689="","",CHOOSE(WEEKDAY(A1689,2),"Segunda","Terça","Quarta","Quinta","Sexta","Sábado","Domingo"))</f>
        <v/>
      </c>
      <c r="O1689" s="26">
        <f>IF(B1689="","",IF(B1689&lt;TIME(12,0,0),"Manhã",IF(B1689&lt;TIME(18,0,0),"Tarde","Noite")))</f>
        <v/>
      </c>
      <c r="P1689" s="32">
        <f>IF(G1689="","",IFERROR(INDEX(Config!$I$5:$I$16,MATCH(G1689,Config!$H$5:$H$16,0)),0))</f>
        <v/>
      </c>
      <c r="Q1689" s="30">
        <f>IF(OR(H1689&lt;&gt;"Realizado",P1689="",P1689=0),"",A1689+P1689)</f>
        <v/>
      </c>
      <c r="R1689" s="26">
        <f>IF(Q1689="","",IF(COUNTIFS($E$5:$E$3004,E1689,$A$5:$A$3004,"&gt;"&amp;A1689,$H$5:$H$3004,"&lt;&gt;Falta",$H$5:$H$3004,"&lt;&gt;Cancelado",$H$5:$H$3004,"&lt;&gt;Remarcado")&gt;0,"Sim","Não"))</f>
        <v/>
      </c>
      <c r="S1689" s="32">
        <f>IF(R1689&lt;&gt;"Não","",IF(Q1689+Config!$B$9&lt;=Config!$B$8,Config!$B$8-Q1689,""))</f>
        <v/>
      </c>
      <c r="T1689" s="26">
        <f>IF(S1689="","","Sim")</f>
        <v/>
      </c>
      <c r="U1689" s="41">
        <f>IF(T1689="Sim",S1689+ROW()/100000,0)</f>
        <v>0</v>
      </c>
      <c r="V1689" s="41">
        <f>IF(AND(H1689="Falta",L1689=Config!$B$7,M1689=Config!$B$5,COUNTIFS($E$5:E1689,E1689,$H$5:H1689,"Falta",$L$5:L1689,Config!$B$7,$M$5:M1689,Config!$B$5)=1),COUNTIFS($E$5:$E$3004,E1689,$H$5:$H$3004,"Falta",$L$5:$L$3004,Config!$B$7,$M$5:$M$3004,Config!$B$5)*1000-ROW()/100000,0)</f>
        <v>0</v>
      </c>
    </row>
    <row r="1690">
      <c r="A1690" s="39" t="n"/>
      <c r="B1690" s="40" t="n"/>
      <c r="C1690" s="35" t="n"/>
      <c r="D1690" s="35" t="n"/>
      <c r="E1690" s="34" t="n"/>
      <c r="F1690" s="35" t="n"/>
      <c r="G1690" s="35" t="n"/>
      <c r="H1690" s="35" t="n"/>
      <c r="I1690" s="35" t="n"/>
      <c r="J1690" s="35" t="n"/>
      <c r="K1690" s="34" t="n"/>
      <c r="L1690" s="26">
        <f>IF(A1690="","",MONTH(A1690))</f>
        <v/>
      </c>
      <c r="M1690" s="26">
        <f>IF(A1690="","",YEAR(A1690))</f>
        <v/>
      </c>
      <c r="N1690" s="26">
        <f>IF(A1690="","",CHOOSE(WEEKDAY(A1690,2),"Segunda","Terça","Quarta","Quinta","Sexta","Sábado","Domingo"))</f>
        <v/>
      </c>
      <c r="O1690" s="26">
        <f>IF(B1690="","",IF(B1690&lt;TIME(12,0,0),"Manhã",IF(B1690&lt;TIME(18,0,0),"Tarde","Noite")))</f>
        <v/>
      </c>
      <c r="P1690" s="32">
        <f>IF(G1690="","",IFERROR(INDEX(Config!$I$5:$I$16,MATCH(G1690,Config!$H$5:$H$16,0)),0))</f>
        <v/>
      </c>
      <c r="Q1690" s="30">
        <f>IF(OR(H1690&lt;&gt;"Realizado",P1690="",P1690=0),"",A1690+P1690)</f>
        <v/>
      </c>
      <c r="R1690" s="26">
        <f>IF(Q1690="","",IF(COUNTIFS($E$5:$E$3004,E1690,$A$5:$A$3004,"&gt;"&amp;A1690,$H$5:$H$3004,"&lt;&gt;Falta",$H$5:$H$3004,"&lt;&gt;Cancelado",$H$5:$H$3004,"&lt;&gt;Remarcado")&gt;0,"Sim","Não"))</f>
        <v/>
      </c>
      <c r="S1690" s="32">
        <f>IF(R1690&lt;&gt;"Não","",IF(Q1690+Config!$B$9&lt;=Config!$B$8,Config!$B$8-Q1690,""))</f>
        <v/>
      </c>
      <c r="T1690" s="26">
        <f>IF(S1690="","","Sim")</f>
        <v/>
      </c>
      <c r="U1690" s="41">
        <f>IF(T1690="Sim",S1690+ROW()/100000,0)</f>
        <v>0</v>
      </c>
      <c r="V1690" s="41">
        <f>IF(AND(H1690="Falta",L1690=Config!$B$7,M1690=Config!$B$5,COUNTIFS($E$5:E1690,E1690,$H$5:H1690,"Falta",$L$5:L1690,Config!$B$7,$M$5:M1690,Config!$B$5)=1),COUNTIFS($E$5:$E$3004,E1690,$H$5:$H$3004,"Falta",$L$5:$L$3004,Config!$B$7,$M$5:$M$3004,Config!$B$5)*1000-ROW()/100000,0)</f>
        <v>0</v>
      </c>
    </row>
    <row r="1691">
      <c r="A1691" s="39" t="n"/>
      <c r="B1691" s="40" t="n"/>
      <c r="C1691" s="35" t="n"/>
      <c r="D1691" s="35" t="n"/>
      <c r="E1691" s="34" t="n"/>
      <c r="F1691" s="35" t="n"/>
      <c r="G1691" s="35" t="n"/>
      <c r="H1691" s="35" t="n"/>
      <c r="I1691" s="35" t="n"/>
      <c r="J1691" s="35" t="n"/>
      <c r="K1691" s="34" t="n"/>
      <c r="L1691" s="26">
        <f>IF(A1691="","",MONTH(A1691))</f>
        <v/>
      </c>
      <c r="M1691" s="26">
        <f>IF(A1691="","",YEAR(A1691))</f>
        <v/>
      </c>
      <c r="N1691" s="26">
        <f>IF(A1691="","",CHOOSE(WEEKDAY(A1691,2),"Segunda","Terça","Quarta","Quinta","Sexta","Sábado","Domingo"))</f>
        <v/>
      </c>
      <c r="O1691" s="26">
        <f>IF(B1691="","",IF(B1691&lt;TIME(12,0,0),"Manhã",IF(B1691&lt;TIME(18,0,0),"Tarde","Noite")))</f>
        <v/>
      </c>
      <c r="P1691" s="32">
        <f>IF(G1691="","",IFERROR(INDEX(Config!$I$5:$I$16,MATCH(G1691,Config!$H$5:$H$16,0)),0))</f>
        <v/>
      </c>
      <c r="Q1691" s="30">
        <f>IF(OR(H1691&lt;&gt;"Realizado",P1691="",P1691=0),"",A1691+P1691)</f>
        <v/>
      </c>
      <c r="R1691" s="26">
        <f>IF(Q1691="","",IF(COUNTIFS($E$5:$E$3004,E1691,$A$5:$A$3004,"&gt;"&amp;A1691,$H$5:$H$3004,"&lt;&gt;Falta",$H$5:$H$3004,"&lt;&gt;Cancelado",$H$5:$H$3004,"&lt;&gt;Remarcado")&gt;0,"Sim","Não"))</f>
        <v/>
      </c>
      <c r="S1691" s="32">
        <f>IF(R1691&lt;&gt;"Não","",IF(Q1691+Config!$B$9&lt;=Config!$B$8,Config!$B$8-Q1691,""))</f>
        <v/>
      </c>
      <c r="T1691" s="26">
        <f>IF(S1691="","","Sim")</f>
        <v/>
      </c>
      <c r="U1691" s="41">
        <f>IF(T1691="Sim",S1691+ROW()/100000,0)</f>
        <v>0</v>
      </c>
      <c r="V1691" s="41">
        <f>IF(AND(H1691="Falta",L1691=Config!$B$7,M1691=Config!$B$5,COUNTIFS($E$5:E1691,E1691,$H$5:H1691,"Falta",$L$5:L1691,Config!$B$7,$M$5:M1691,Config!$B$5)=1),COUNTIFS($E$5:$E$3004,E1691,$H$5:$H$3004,"Falta",$L$5:$L$3004,Config!$B$7,$M$5:$M$3004,Config!$B$5)*1000-ROW()/100000,0)</f>
        <v>0</v>
      </c>
    </row>
    <row r="1692">
      <c r="A1692" s="39" t="n"/>
      <c r="B1692" s="40" t="n"/>
      <c r="C1692" s="35" t="n"/>
      <c r="D1692" s="35" t="n"/>
      <c r="E1692" s="34" t="n"/>
      <c r="F1692" s="35" t="n"/>
      <c r="G1692" s="35" t="n"/>
      <c r="H1692" s="35" t="n"/>
      <c r="I1692" s="35" t="n"/>
      <c r="J1692" s="35" t="n"/>
      <c r="K1692" s="34" t="n"/>
      <c r="L1692" s="26">
        <f>IF(A1692="","",MONTH(A1692))</f>
        <v/>
      </c>
      <c r="M1692" s="26">
        <f>IF(A1692="","",YEAR(A1692))</f>
        <v/>
      </c>
      <c r="N1692" s="26">
        <f>IF(A1692="","",CHOOSE(WEEKDAY(A1692,2),"Segunda","Terça","Quarta","Quinta","Sexta","Sábado","Domingo"))</f>
        <v/>
      </c>
      <c r="O1692" s="26">
        <f>IF(B1692="","",IF(B1692&lt;TIME(12,0,0),"Manhã",IF(B1692&lt;TIME(18,0,0),"Tarde","Noite")))</f>
        <v/>
      </c>
      <c r="P1692" s="32">
        <f>IF(G1692="","",IFERROR(INDEX(Config!$I$5:$I$16,MATCH(G1692,Config!$H$5:$H$16,0)),0))</f>
        <v/>
      </c>
      <c r="Q1692" s="30">
        <f>IF(OR(H1692&lt;&gt;"Realizado",P1692="",P1692=0),"",A1692+P1692)</f>
        <v/>
      </c>
      <c r="R1692" s="26">
        <f>IF(Q1692="","",IF(COUNTIFS($E$5:$E$3004,E1692,$A$5:$A$3004,"&gt;"&amp;A1692,$H$5:$H$3004,"&lt;&gt;Falta",$H$5:$H$3004,"&lt;&gt;Cancelado",$H$5:$H$3004,"&lt;&gt;Remarcado")&gt;0,"Sim","Não"))</f>
        <v/>
      </c>
      <c r="S1692" s="32">
        <f>IF(R1692&lt;&gt;"Não","",IF(Q1692+Config!$B$9&lt;=Config!$B$8,Config!$B$8-Q1692,""))</f>
        <v/>
      </c>
      <c r="T1692" s="26">
        <f>IF(S1692="","","Sim")</f>
        <v/>
      </c>
      <c r="U1692" s="41">
        <f>IF(T1692="Sim",S1692+ROW()/100000,0)</f>
        <v>0</v>
      </c>
      <c r="V1692" s="41">
        <f>IF(AND(H1692="Falta",L1692=Config!$B$7,M1692=Config!$B$5,COUNTIFS($E$5:E1692,E1692,$H$5:H1692,"Falta",$L$5:L1692,Config!$B$7,$M$5:M1692,Config!$B$5)=1),COUNTIFS($E$5:$E$3004,E1692,$H$5:$H$3004,"Falta",$L$5:$L$3004,Config!$B$7,$M$5:$M$3004,Config!$B$5)*1000-ROW()/100000,0)</f>
        <v>0</v>
      </c>
    </row>
    <row r="1693">
      <c r="A1693" s="39" t="n"/>
      <c r="B1693" s="40" t="n"/>
      <c r="C1693" s="35" t="n"/>
      <c r="D1693" s="35" t="n"/>
      <c r="E1693" s="34" t="n"/>
      <c r="F1693" s="35" t="n"/>
      <c r="G1693" s="35" t="n"/>
      <c r="H1693" s="35" t="n"/>
      <c r="I1693" s="35" t="n"/>
      <c r="J1693" s="35" t="n"/>
      <c r="K1693" s="34" t="n"/>
      <c r="L1693" s="26">
        <f>IF(A1693="","",MONTH(A1693))</f>
        <v/>
      </c>
      <c r="M1693" s="26">
        <f>IF(A1693="","",YEAR(A1693))</f>
        <v/>
      </c>
      <c r="N1693" s="26">
        <f>IF(A1693="","",CHOOSE(WEEKDAY(A1693,2),"Segunda","Terça","Quarta","Quinta","Sexta","Sábado","Domingo"))</f>
        <v/>
      </c>
      <c r="O1693" s="26">
        <f>IF(B1693="","",IF(B1693&lt;TIME(12,0,0),"Manhã",IF(B1693&lt;TIME(18,0,0),"Tarde","Noite")))</f>
        <v/>
      </c>
      <c r="P1693" s="32">
        <f>IF(G1693="","",IFERROR(INDEX(Config!$I$5:$I$16,MATCH(G1693,Config!$H$5:$H$16,0)),0))</f>
        <v/>
      </c>
      <c r="Q1693" s="30">
        <f>IF(OR(H1693&lt;&gt;"Realizado",P1693="",P1693=0),"",A1693+P1693)</f>
        <v/>
      </c>
      <c r="R1693" s="26">
        <f>IF(Q1693="","",IF(COUNTIFS($E$5:$E$3004,E1693,$A$5:$A$3004,"&gt;"&amp;A1693,$H$5:$H$3004,"&lt;&gt;Falta",$H$5:$H$3004,"&lt;&gt;Cancelado",$H$5:$H$3004,"&lt;&gt;Remarcado")&gt;0,"Sim","Não"))</f>
        <v/>
      </c>
      <c r="S1693" s="32">
        <f>IF(R1693&lt;&gt;"Não","",IF(Q1693+Config!$B$9&lt;=Config!$B$8,Config!$B$8-Q1693,""))</f>
        <v/>
      </c>
      <c r="T1693" s="26">
        <f>IF(S1693="","","Sim")</f>
        <v/>
      </c>
      <c r="U1693" s="41">
        <f>IF(T1693="Sim",S1693+ROW()/100000,0)</f>
        <v>0</v>
      </c>
      <c r="V1693" s="41">
        <f>IF(AND(H1693="Falta",L1693=Config!$B$7,M1693=Config!$B$5,COUNTIFS($E$5:E1693,E1693,$H$5:H1693,"Falta",$L$5:L1693,Config!$B$7,$M$5:M1693,Config!$B$5)=1),COUNTIFS($E$5:$E$3004,E1693,$H$5:$H$3004,"Falta",$L$5:$L$3004,Config!$B$7,$M$5:$M$3004,Config!$B$5)*1000-ROW()/100000,0)</f>
        <v>0</v>
      </c>
    </row>
    <row r="1694">
      <c r="A1694" s="39" t="n"/>
      <c r="B1694" s="40" t="n"/>
      <c r="C1694" s="35" t="n"/>
      <c r="D1694" s="35" t="n"/>
      <c r="E1694" s="34" t="n"/>
      <c r="F1694" s="35" t="n"/>
      <c r="G1694" s="35" t="n"/>
      <c r="H1694" s="35" t="n"/>
      <c r="I1694" s="35" t="n"/>
      <c r="J1694" s="35" t="n"/>
      <c r="K1694" s="34" t="n"/>
      <c r="L1694" s="26">
        <f>IF(A1694="","",MONTH(A1694))</f>
        <v/>
      </c>
      <c r="M1694" s="26">
        <f>IF(A1694="","",YEAR(A1694))</f>
        <v/>
      </c>
      <c r="N1694" s="26">
        <f>IF(A1694="","",CHOOSE(WEEKDAY(A1694,2),"Segunda","Terça","Quarta","Quinta","Sexta","Sábado","Domingo"))</f>
        <v/>
      </c>
      <c r="O1694" s="26">
        <f>IF(B1694="","",IF(B1694&lt;TIME(12,0,0),"Manhã",IF(B1694&lt;TIME(18,0,0),"Tarde","Noite")))</f>
        <v/>
      </c>
      <c r="P1694" s="32">
        <f>IF(G1694="","",IFERROR(INDEX(Config!$I$5:$I$16,MATCH(G1694,Config!$H$5:$H$16,0)),0))</f>
        <v/>
      </c>
      <c r="Q1694" s="30">
        <f>IF(OR(H1694&lt;&gt;"Realizado",P1694="",P1694=0),"",A1694+P1694)</f>
        <v/>
      </c>
      <c r="R1694" s="26">
        <f>IF(Q1694="","",IF(COUNTIFS($E$5:$E$3004,E1694,$A$5:$A$3004,"&gt;"&amp;A1694,$H$5:$H$3004,"&lt;&gt;Falta",$H$5:$H$3004,"&lt;&gt;Cancelado",$H$5:$H$3004,"&lt;&gt;Remarcado")&gt;0,"Sim","Não"))</f>
        <v/>
      </c>
      <c r="S1694" s="32">
        <f>IF(R1694&lt;&gt;"Não","",IF(Q1694+Config!$B$9&lt;=Config!$B$8,Config!$B$8-Q1694,""))</f>
        <v/>
      </c>
      <c r="T1694" s="26">
        <f>IF(S1694="","","Sim")</f>
        <v/>
      </c>
      <c r="U1694" s="41">
        <f>IF(T1694="Sim",S1694+ROW()/100000,0)</f>
        <v>0</v>
      </c>
      <c r="V1694" s="41">
        <f>IF(AND(H1694="Falta",L1694=Config!$B$7,M1694=Config!$B$5,COUNTIFS($E$5:E1694,E1694,$H$5:H1694,"Falta",$L$5:L1694,Config!$B$7,$M$5:M1694,Config!$B$5)=1),COUNTIFS($E$5:$E$3004,E1694,$H$5:$H$3004,"Falta",$L$5:$L$3004,Config!$B$7,$M$5:$M$3004,Config!$B$5)*1000-ROW()/100000,0)</f>
        <v>0</v>
      </c>
    </row>
    <row r="1695">
      <c r="A1695" s="39" t="n"/>
      <c r="B1695" s="40" t="n"/>
      <c r="C1695" s="35" t="n"/>
      <c r="D1695" s="35" t="n"/>
      <c r="E1695" s="34" t="n"/>
      <c r="F1695" s="35" t="n"/>
      <c r="G1695" s="35" t="n"/>
      <c r="H1695" s="35" t="n"/>
      <c r="I1695" s="35" t="n"/>
      <c r="J1695" s="35" t="n"/>
      <c r="K1695" s="34" t="n"/>
      <c r="L1695" s="26">
        <f>IF(A1695="","",MONTH(A1695))</f>
        <v/>
      </c>
      <c r="M1695" s="26">
        <f>IF(A1695="","",YEAR(A1695))</f>
        <v/>
      </c>
      <c r="N1695" s="26">
        <f>IF(A1695="","",CHOOSE(WEEKDAY(A1695,2),"Segunda","Terça","Quarta","Quinta","Sexta","Sábado","Domingo"))</f>
        <v/>
      </c>
      <c r="O1695" s="26">
        <f>IF(B1695="","",IF(B1695&lt;TIME(12,0,0),"Manhã",IF(B1695&lt;TIME(18,0,0),"Tarde","Noite")))</f>
        <v/>
      </c>
      <c r="P1695" s="32">
        <f>IF(G1695="","",IFERROR(INDEX(Config!$I$5:$I$16,MATCH(G1695,Config!$H$5:$H$16,0)),0))</f>
        <v/>
      </c>
      <c r="Q1695" s="30">
        <f>IF(OR(H1695&lt;&gt;"Realizado",P1695="",P1695=0),"",A1695+P1695)</f>
        <v/>
      </c>
      <c r="R1695" s="26">
        <f>IF(Q1695="","",IF(COUNTIFS($E$5:$E$3004,E1695,$A$5:$A$3004,"&gt;"&amp;A1695,$H$5:$H$3004,"&lt;&gt;Falta",$H$5:$H$3004,"&lt;&gt;Cancelado",$H$5:$H$3004,"&lt;&gt;Remarcado")&gt;0,"Sim","Não"))</f>
        <v/>
      </c>
      <c r="S1695" s="32">
        <f>IF(R1695&lt;&gt;"Não","",IF(Q1695+Config!$B$9&lt;=Config!$B$8,Config!$B$8-Q1695,""))</f>
        <v/>
      </c>
      <c r="T1695" s="26">
        <f>IF(S1695="","","Sim")</f>
        <v/>
      </c>
      <c r="U1695" s="41">
        <f>IF(T1695="Sim",S1695+ROW()/100000,0)</f>
        <v>0</v>
      </c>
      <c r="V1695" s="41">
        <f>IF(AND(H1695="Falta",L1695=Config!$B$7,M1695=Config!$B$5,COUNTIFS($E$5:E1695,E1695,$H$5:H1695,"Falta",$L$5:L1695,Config!$B$7,$M$5:M1695,Config!$B$5)=1),COUNTIFS($E$5:$E$3004,E1695,$H$5:$H$3004,"Falta",$L$5:$L$3004,Config!$B$7,$M$5:$M$3004,Config!$B$5)*1000-ROW()/100000,0)</f>
        <v>0</v>
      </c>
    </row>
    <row r="1696">
      <c r="A1696" s="39" t="n"/>
      <c r="B1696" s="40" t="n"/>
      <c r="C1696" s="35" t="n"/>
      <c r="D1696" s="35" t="n"/>
      <c r="E1696" s="34" t="n"/>
      <c r="F1696" s="35" t="n"/>
      <c r="G1696" s="35" t="n"/>
      <c r="H1696" s="35" t="n"/>
      <c r="I1696" s="35" t="n"/>
      <c r="J1696" s="35" t="n"/>
      <c r="K1696" s="34" t="n"/>
      <c r="L1696" s="26">
        <f>IF(A1696="","",MONTH(A1696))</f>
        <v/>
      </c>
      <c r="M1696" s="26">
        <f>IF(A1696="","",YEAR(A1696))</f>
        <v/>
      </c>
      <c r="N1696" s="26">
        <f>IF(A1696="","",CHOOSE(WEEKDAY(A1696,2),"Segunda","Terça","Quarta","Quinta","Sexta","Sábado","Domingo"))</f>
        <v/>
      </c>
      <c r="O1696" s="26">
        <f>IF(B1696="","",IF(B1696&lt;TIME(12,0,0),"Manhã",IF(B1696&lt;TIME(18,0,0),"Tarde","Noite")))</f>
        <v/>
      </c>
      <c r="P1696" s="32">
        <f>IF(G1696="","",IFERROR(INDEX(Config!$I$5:$I$16,MATCH(G1696,Config!$H$5:$H$16,0)),0))</f>
        <v/>
      </c>
      <c r="Q1696" s="30">
        <f>IF(OR(H1696&lt;&gt;"Realizado",P1696="",P1696=0),"",A1696+P1696)</f>
        <v/>
      </c>
      <c r="R1696" s="26">
        <f>IF(Q1696="","",IF(COUNTIFS($E$5:$E$3004,E1696,$A$5:$A$3004,"&gt;"&amp;A1696,$H$5:$H$3004,"&lt;&gt;Falta",$H$5:$H$3004,"&lt;&gt;Cancelado",$H$5:$H$3004,"&lt;&gt;Remarcado")&gt;0,"Sim","Não"))</f>
        <v/>
      </c>
      <c r="S1696" s="32">
        <f>IF(R1696&lt;&gt;"Não","",IF(Q1696+Config!$B$9&lt;=Config!$B$8,Config!$B$8-Q1696,""))</f>
        <v/>
      </c>
      <c r="T1696" s="26">
        <f>IF(S1696="","","Sim")</f>
        <v/>
      </c>
      <c r="U1696" s="41">
        <f>IF(T1696="Sim",S1696+ROW()/100000,0)</f>
        <v>0</v>
      </c>
      <c r="V1696" s="41">
        <f>IF(AND(H1696="Falta",L1696=Config!$B$7,M1696=Config!$B$5,COUNTIFS($E$5:E1696,E1696,$H$5:H1696,"Falta",$L$5:L1696,Config!$B$7,$M$5:M1696,Config!$B$5)=1),COUNTIFS($E$5:$E$3004,E1696,$H$5:$H$3004,"Falta",$L$5:$L$3004,Config!$B$7,$M$5:$M$3004,Config!$B$5)*1000-ROW()/100000,0)</f>
        <v>0</v>
      </c>
    </row>
    <row r="1697">
      <c r="A1697" s="39" t="n"/>
      <c r="B1697" s="40" t="n"/>
      <c r="C1697" s="35" t="n"/>
      <c r="D1697" s="35" t="n"/>
      <c r="E1697" s="34" t="n"/>
      <c r="F1697" s="35" t="n"/>
      <c r="G1697" s="35" t="n"/>
      <c r="H1697" s="35" t="n"/>
      <c r="I1697" s="35" t="n"/>
      <c r="J1697" s="35" t="n"/>
      <c r="K1697" s="34" t="n"/>
      <c r="L1697" s="26">
        <f>IF(A1697="","",MONTH(A1697))</f>
        <v/>
      </c>
      <c r="M1697" s="26">
        <f>IF(A1697="","",YEAR(A1697))</f>
        <v/>
      </c>
      <c r="N1697" s="26">
        <f>IF(A1697="","",CHOOSE(WEEKDAY(A1697,2),"Segunda","Terça","Quarta","Quinta","Sexta","Sábado","Domingo"))</f>
        <v/>
      </c>
      <c r="O1697" s="26">
        <f>IF(B1697="","",IF(B1697&lt;TIME(12,0,0),"Manhã",IF(B1697&lt;TIME(18,0,0),"Tarde","Noite")))</f>
        <v/>
      </c>
      <c r="P1697" s="32">
        <f>IF(G1697="","",IFERROR(INDEX(Config!$I$5:$I$16,MATCH(G1697,Config!$H$5:$H$16,0)),0))</f>
        <v/>
      </c>
      <c r="Q1697" s="30">
        <f>IF(OR(H1697&lt;&gt;"Realizado",P1697="",P1697=0),"",A1697+P1697)</f>
        <v/>
      </c>
      <c r="R1697" s="26">
        <f>IF(Q1697="","",IF(COUNTIFS($E$5:$E$3004,E1697,$A$5:$A$3004,"&gt;"&amp;A1697,$H$5:$H$3004,"&lt;&gt;Falta",$H$5:$H$3004,"&lt;&gt;Cancelado",$H$5:$H$3004,"&lt;&gt;Remarcado")&gt;0,"Sim","Não"))</f>
        <v/>
      </c>
      <c r="S1697" s="32">
        <f>IF(R1697&lt;&gt;"Não","",IF(Q1697+Config!$B$9&lt;=Config!$B$8,Config!$B$8-Q1697,""))</f>
        <v/>
      </c>
      <c r="T1697" s="26">
        <f>IF(S1697="","","Sim")</f>
        <v/>
      </c>
      <c r="U1697" s="41">
        <f>IF(T1697="Sim",S1697+ROW()/100000,0)</f>
        <v>0</v>
      </c>
      <c r="V1697" s="41">
        <f>IF(AND(H1697="Falta",L1697=Config!$B$7,M1697=Config!$B$5,COUNTIFS($E$5:E1697,E1697,$H$5:H1697,"Falta",$L$5:L1697,Config!$B$7,$M$5:M1697,Config!$B$5)=1),COUNTIFS($E$5:$E$3004,E1697,$H$5:$H$3004,"Falta",$L$5:$L$3004,Config!$B$7,$M$5:$M$3004,Config!$B$5)*1000-ROW()/100000,0)</f>
        <v>0</v>
      </c>
    </row>
    <row r="1698">
      <c r="A1698" s="39" t="n"/>
      <c r="B1698" s="40" t="n"/>
      <c r="C1698" s="35" t="n"/>
      <c r="D1698" s="35" t="n"/>
      <c r="E1698" s="34" t="n"/>
      <c r="F1698" s="35" t="n"/>
      <c r="G1698" s="35" t="n"/>
      <c r="H1698" s="35" t="n"/>
      <c r="I1698" s="35" t="n"/>
      <c r="J1698" s="35" t="n"/>
      <c r="K1698" s="34" t="n"/>
      <c r="L1698" s="26">
        <f>IF(A1698="","",MONTH(A1698))</f>
        <v/>
      </c>
      <c r="M1698" s="26">
        <f>IF(A1698="","",YEAR(A1698))</f>
        <v/>
      </c>
      <c r="N1698" s="26">
        <f>IF(A1698="","",CHOOSE(WEEKDAY(A1698,2),"Segunda","Terça","Quarta","Quinta","Sexta","Sábado","Domingo"))</f>
        <v/>
      </c>
      <c r="O1698" s="26">
        <f>IF(B1698="","",IF(B1698&lt;TIME(12,0,0),"Manhã",IF(B1698&lt;TIME(18,0,0),"Tarde","Noite")))</f>
        <v/>
      </c>
      <c r="P1698" s="32">
        <f>IF(G1698="","",IFERROR(INDEX(Config!$I$5:$I$16,MATCH(G1698,Config!$H$5:$H$16,0)),0))</f>
        <v/>
      </c>
      <c r="Q1698" s="30">
        <f>IF(OR(H1698&lt;&gt;"Realizado",P1698="",P1698=0),"",A1698+P1698)</f>
        <v/>
      </c>
      <c r="R1698" s="26">
        <f>IF(Q1698="","",IF(COUNTIFS($E$5:$E$3004,E1698,$A$5:$A$3004,"&gt;"&amp;A1698,$H$5:$H$3004,"&lt;&gt;Falta",$H$5:$H$3004,"&lt;&gt;Cancelado",$H$5:$H$3004,"&lt;&gt;Remarcado")&gt;0,"Sim","Não"))</f>
        <v/>
      </c>
      <c r="S1698" s="32">
        <f>IF(R1698&lt;&gt;"Não","",IF(Q1698+Config!$B$9&lt;=Config!$B$8,Config!$B$8-Q1698,""))</f>
        <v/>
      </c>
      <c r="T1698" s="26">
        <f>IF(S1698="","","Sim")</f>
        <v/>
      </c>
      <c r="U1698" s="41">
        <f>IF(T1698="Sim",S1698+ROW()/100000,0)</f>
        <v>0</v>
      </c>
      <c r="V1698" s="41">
        <f>IF(AND(H1698="Falta",L1698=Config!$B$7,M1698=Config!$B$5,COUNTIFS($E$5:E1698,E1698,$H$5:H1698,"Falta",$L$5:L1698,Config!$B$7,$M$5:M1698,Config!$B$5)=1),COUNTIFS($E$5:$E$3004,E1698,$H$5:$H$3004,"Falta",$L$5:$L$3004,Config!$B$7,$M$5:$M$3004,Config!$B$5)*1000-ROW()/100000,0)</f>
        <v>0</v>
      </c>
    </row>
    <row r="1699">
      <c r="A1699" s="39" t="n"/>
      <c r="B1699" s="40" t="n"/>
      <c r="C1699" s="35" t="n"/>
      <c r="D1699" s="35" t="n"/>
      <c r="E1699" s="34" t="n"/>
      <c r="F1699" s="35" t="n"/>
      <c r="G1699" s="35" t="n"/>
      <c r="H1699" s="35" t="n"/>
      <c r="I1699" s="35" t="n"/>
      <c r="J1699" s="35" t="n"/>
      <c r="K1699" s="34" t="n"/>
      <c r="L1699" s="26">
        <f>IF(A1699="","",MONTH(A1699))</f>
        <v/>
      </c>
      <c r="M1699" s="26">
        <f>IF(A1699="","",YEAR(A1699))</f>
        <v/>
      </c>
      <c r="N1699" s="26">
        <f>IF(A1699="","",CHOOSE(WEEKDAY(A1699,2),"Segunda","Terça","Quarta","Quinta","Sexta","Sábado","Domingo"))</f>
        <v/>
      </c>
      <c r="O1699" s="26">
        <f>IF(B1699="","",IF(B1699&lt;TIME(12,0,0),"Manhã",IF(B1699&lt;TIME(18,0,0),"Tarde","Noite")))</f>
        <v/>
      </c>
      <c r="P1699" s="32">
        <f>IF(G1699="","",IFERROR(INDEX(Config!$I$5:$I$16,MATCH(G1699,Config!$H$5:$H$16,0)),0))</f>
        <v/>
      </c>
      <c r="Q1699" s="30">
        <f>IF(OR(H1699&lt;&gt;"Realizado",P1699="",P1699=0),"",A1699+P1699)</f>
        <v/>
      </c>
      <c r="R1699" s="26">
        <f>IF(Q1699="","",IF(COUNTIFS($E$5:$E$3004,E1699,$A$5:$A$3004,"&gt;"&amp;A1699,$H$5:$H$3004,"&lt;&gt;Falta",$H$5:$H$3004,"&lt;&gt;Cancelado",$H$5:$H$3004,"&lt;&gt;Remarcado")&gt;0,"Sim","Não"))</f>
        <v/>
      </c>
      <c r="S1699" s="32">
        <f>IF(R1699&lt;&gt;"Não","",IF(Q1699+Config!$B$9&lt;=Config!$B$8,Config!$B$8-Q1699,""))</f>
        <v/>
      </c>
      <c r="T1699" s="26">
        <f>IF(S1699="","","Sim")</f>
        <v/>
      </c>
      <c r="U1699" s="41">
        <f>IF(T1699="Sim",S1699+ROW()/100000,0)</f>
        <v>0</v>
      </c>
      <c r="V1699" s="41">
        <f>IF(AND(H1699="Falta",L1699=Config!$B$7,M1699=Config!$B$5,COUNTIFS($E$5:E1699,E1699,$H$5:H1699,"Falta",$L$5:L1699,Config!$B$7,$M$5:M1699,Config!$B$5)=1),COUNTIFS($E$5:$E$3004,E1699,$H$5:$H$3004,"Falta",$L$5:$L$3004,Config!$B$7,$M$5:$M$3004,Config!$B$5)*1000-ROW()/100000,0)</f>
        <v>0</v>
      </c>
    </row>
    <row r="1700">
      <c r="A1700" s="39" t="n"/>
      <c r="B1700" s="40" t="n"/>
      <c r="C1700" s="35" t="n"/>
      <c r="D1700" s="35" t="n"/>
      <c r="E1700" s="34" t="n"/>
      <c r="F1700" s="35" t="n"/>
      <c r="G1700" s="35" t="n"/>
      <c r="H1700" s="35" t="n"/>
      <c r="I1700" s="35" t="n"/>
      <c r="J1700" s="35" t="n"/>
      <c r="K1700" s="34" t="n"/>
      <c r="L1700" s="26">
        <f>IF(A1700="","",MONTH(A1700))</f>
        <v/>
      </c>
      <c r="M1700" s="26">
        <f>IF(A1700="","",YEAR(A1700))</f>
        <v/>
      </c>
      <c r="N1700" s="26">
        <f>IF(A1700="","",CHOOSE(WEEKDAY(A1700,2),"Segunda","Terça","Quarta","Quinta","Sexta","Sábado","Domingo"))</f>
        <v/>
      </c>
      <c r="O1700" s="26">
        <f>IF(B1700="","",IF(B1700&lt;TIME(12,0,0),"Manhã",IF(B1700&lt;TIME(18,0,0),"Tarde","Noite")))</f>
        <v/>
      </c>
      <c r="P1700" s="32">
        <f>IF(G1700="","",IFERROR(INDEX(Config!$I$5:$I$16,MATCH(G1700,Config!$H$5:$H$16,0)),0))</f>
        <v/>
      </c>
      <c r="Q1700" s="30">
        <f>IF(OR(H1700&lt;&gt;"Realizado",P1700="",P1700=0),"",A1700+P1700)</f>
        <v/>
      </c>
      <c r="R1700" s="26">
        <f>IF(Q1700="","",IF(COUNTIFS($E$5:$E$3004,E1700,$A$5:$A$3004,"&gt;"&amp;A1700,$H$5:$H$3004,"&lt;&gt;Falta",$H$5:$H$3004,"&lt;&gt;Cancelado",$H$5:$H$3004,"&lt;&gt;Remarcado")&gt;0,"Sim","Não"))</f>
        <v/>
      </c>
      <c r="S1700" s="32">
        <f>IF(R1700&lt;&gt;"Não","",IF(Q1700+Config!$B$9&lt;=Config!$B$8,Config!$B$8-Q1700,""))</f>
        <v/>
      </c>
      <c r="T1700" s="26">
        <f>IF(S1700="","","Sim")</f>
        <v/>
      </c>
      <c r="U1700" s="41">
        <f>IF(T1700="Sim",S1700+ROW()/100000,0)</f>
        <v>0</v>
      </c>
      <c r="V1700" s="41">
        <f>IF(AND(H1700="Falta",L1700=Config!$B$7,M1700=Config!$B$5,COUNTIFS($E$5:E1700,E1700,$H$5:H1700,"Falta",$L$5:L1700,Config!$B$7,$M$5:M1700,Config!$B$5)=1),COUNTIFS($E$5:$E$3004,E1700,$H$5:$H$3004,"Falta",$L$5:$L$3004,Config!$B$7,$M$5:$M$3004,Config!$B$5)*1000-ROW()/100000,0)</f>
        <v>0</v>
      </c>
    </row>
    <row r="1701">
      <c r="A1701" s="39" t="n"/>
      <c r="B1701" s="40" t="n"/>
      <c r="C1701" s="35" t="n"/>
      <c r="D1701" s="35" t="n"/>
      <c r="E1701" s="34" t="n"/>
      <c r="F1701" s="35" t="n"/>
      <c r="G1701" s="35" t="n"/>
      <c r="H1701" s="35" t="n"/>
      <c r="I1701" s="35" t="n"/>
      <c r="J1701" s="35" t="n"/>
      <c r="K1701" s="34" t="n"/>
      <c r="L1701" s="26">
        <f>IF(A1701="","",MONTH(A1701))</f>
        <v/>
      </c>
      <c r="M1701" s="26">
        <f>IF(A1701="","",YEAR(A1701))</f>
        <v/>
      </c>
      <c r="N1701" s="26">
        <f>IF(A1701="","",CHOOSE(WEEKDAY(A1701,2),"Segunda","Terça","Quarta","Quinta","Sexta","Sábado","Domingo"))</f>
        <v/>
      </c>
      <c r="O1701" s="26">
        <f>IF(B1701="","",IF(B1701&lt;TIME(12,0,0),"Manhã",IF(B1701&lt;TIME(18,0,0),"Tarde","Noite")))</f>
        <v/>
      </c>
      <c r="P1701" s="32">
        <f>IF(G1701="","",IFERROR(INDEX(Config!$I$5:$I$16,MATCH(G1701,Config!$H$5:$H$16,0)),0))</f>
        <v/>
      </c>
      <c r="Q1701" s="30">
        <f>IF(OR(H1701&lt;&gt;"Realizado",P1701="",P1701=0),"",A1701+P1701)</f>
        <v/>
      </c>
      <c r="R1701" s="26">
        <f>IF(Q1701="","",IF(COUNTIFS($E$5:$E$3004,E1701,$A$5:$A$3004,"&gt;"&amp;A1701,$H$5:$H$3004,"&lt;&gt;Falta",$H$5:$H$3004,"&lt;&gt;Cancelado",$H$5:$H$3004,"&lt;&gt;Remarcado")&gt;0,"Sim","Não"))</f>
        <v/>
      </c>
      <c r="S1701" s="32">
        <f>IF(R1701&lt;&gt;"Não","",IF(Q1701+Config!$B$9&lt;=Config!$B$8,Config!$B$8-Q1701,""))</f>
        <v/>
      </c>
      <c r="T1701" s="26">
        <f>IF(S1701="","","Sim")</f>
        <v/>
      </c>
      <c r="U1701" s="41">
        <f>IF(T1701="Sim",S1701+ROW()/100000,0)</f>
        <v>0</v>
      </c>
      <c r="V1701" s="41">
        <f>IF(AND(H1701="Falta",L1701=Config!$B$7,M1701=Config!$B$5,COUNTIFS($E$5:E1701,E1701,$H$5:H1701,"Falta",$L$5:L1701,Config!$B$7,$M$5:M1701,Config!$B$5)=1),COUNTIFS($E$5:$E$3004,E1701,$H$5:$H$3004,"Falta",$L$5:$L$3004,Config!$B$7,$M$5:$M$3004,Config!$B$5)*1000-ROW()/100000,0)</f>
        <v>0</v>
      </c>
    </row>
    <row r="1702">
      <c r="A1702" s="39" t="n"/>
      <c r="B1702" s="40" t="n"/>
      <c r="C1702" s="35" t="n"/>
      <c r="D1702" s="35" t="n"/>
      <c r="E1702" s="34" t="n"/>
      <c r="F1702" s="35" t="n"/>
      <c r="G1702" s="35" t="n"/>
      <c r="H1702" s="35" t="n"/>
      <c r="I1702" s="35" t="n"/>
      <c r="J1702" s="35" t="n"/>
      <c r="K1702" s="34" t="n"/>
      <c r="L1702" s="26">
        <f>IF(A1702="","",MONTH(A1702))</f>
        <v/>
      </c>
      <c r="M1702" s="26">
        <f>IF(A1702="","",YEAR(A1702))</f>
        <v/>
      </c>
      <c r="N1702" s="26">
        <f>IF(A1702="","",CHOOSE(WEEKDAY(A1702,2),"Segunda","Terça","Quarta","Quinta","Sexta","Sábado","Domingo"))</f>
        <v/>
      </c>
      <c r="O1702" s="26">
        <f>IF(B1702="","",IF(B1702&lt;TIME(12,0,0),"Manhã",IF(B1702&lt;TIME(18,0,0),"Tarde","Noite")))</f>
        <v/>
      </c>
      <c r="P1702" s="32">
        <f>IF(G1702="","",IFERROR(INDEX(Config!$I$5:$I$16,MATCH(G1702,Config!$H$5:$H$16,0)),0))</f>
        <v/>
      </c>
      <c r="Q1702" s="30">
        <f>IF(OR(H1702&lt;&gt;"Realizado",P1702="",P1702=0),"",A1702+P1702)</f>
        <v/>
      </c>
      <c r="R1702" s="26">
        <f>IF(Q1702="","",IF(COUNTIFS($E$5:$E$3004,E1702,$A$5:$A$3004,"&gt;"&amp;A1702,$H$5:$H$3004,"&lt;&gt;Falta",$H$5:$H$3004,"&lt;&gt;Cancelado",$H$5:$H$3004,"&lt;&gt;Remarcado")&gt;0,"Sim","Não"))</f>
        <v/>
      </c>
      <c r="S1702" s="32">
        <f>IF(R1702&lt;&gt;"Não","",IF(Q1702+Config!$B$9&lt;=Config!$B$8,Config!$B$8-Q1702,""))</f>
        <v/>
      </c>
      <c r="T1702" s="26">
        <f>IF(S1702="","","Sim")</f>
        <v/>
      </c>
      <c r="U1702" s="41">
        <f>IF(T1702="Sim",S1702+ROW()/100000,0)</f>
        <v>0</v>
      </c>
      <c r="V1702" s="41">
        <f>IF(AND(H1702="Falta",L1702=Config!$B$7,M1702=Config!$B$5,COUNTIFS($E$5:E1702,E1702,$H$5:H1702,"Falta",$L$5:L1702,Config!$B$7,$M$5:M1702,Config!$B$5)=1),COUNTIFS($E$5:$E$3004,E1702,$H$5:$H$3004,"Falta",$L$5:$L$3004,Config!$B$7,$M$5:$M$3004,Config!$B$5)*1000-ROW()/100000,0)</f>
        <v>0</v>
      </c>
    </row>
    <row r="1703">
      <c r="A1703" s="39" t="n"/>
      <c r="B1703" s="40" t="n"/>
      <c r="C1703" s="35" t="n"/>
      <c r="D1703" s="35" t="n"/>
      <c r="E1703" s="34" t="n"/>
      <c r="F1703" s="35" t="n"/>
      <c r="G1703" s="35" t="n"/>
      <c r="H1703" s="35" t="n"/>
      <c r="I1703" s="35" t="n"/>
      <c r="J1703" s="35" t="n"/>
      <c r="K1703" s="34" t="n"/>
      <c r="L1703" s="26">
        <f>IF(A1703="","",MONTH(A1703))</f>
        <v/>
      </c>
      <c r="M1703" s="26">
        <f>IF(A1703="","",YEAR(A1703))</f>
        <v/>
      </c>
      <c r="N1703" s="26">
        <f>IF(A1703="","",CHOOSE(WEEKDAY(A1703,2),"Segunda","Terça","Quarta","Quinta","Sexta","Sábado","Domingo"))</f>
        <v/>
      </c>
      <c r="O1703" s="26">
        <f>IF(B1703="","",IF(B1703&lt;TIME(12,0,0),"Manhã",IF(B1703&lt;TIME(18,0,0),"Tarde","Noite")))</f>
        <v/>
      </c>
      <c r="P1703" s="32">
        <f>IF(G1703="","",IFERROR(INDEX(Config!$I$5:$I$16,MATCH(G1703,Config!$H$5:$H$16,0)),0))</f>
        <v/>
      </c>
      <c r="Q1703" s="30">
        <f>IF(OR(H1703&lt;&gt;"Realizado",P1703="",P1703=0),"",A1703+P1703)</f>
        <v/>
      </c>
      <c r="R1703" s="26">
        <f>IF(Q1703="","",IF(COUNTIFS($E$5:$E$3004,E1703,$A$5:$A$3004,"&gt;"&amp;A1703,$H$5:$H$3004,"&lt;&gt;Falta",$H$5:$H$3004,"&lt;&gt;Cancelado",$H$5:$H$3004,"&lt;&gt;Remarcado")&gt;0,"Sim","Não"))</f>
        <v/>
      </c>
      <c r="S1703" s="32">
        <f>IF(R1703&lt;&gt;"Não","",IF(Q1703+Config!$B$9&lt;=Config!$B$8,Config!$B$8-Q1703,""))</f>
        <v/>
      </c>
      <c r="T1703" s="26">
        <f>IF(S1703="","","Sim")</f>
        <v/>
      </c>
      <c r="U1703" s="41">
        <f>IF(T1703="Sim",S1703+ROW()/100000,0)</f>
        <v>0</v>
      </c>
      <c r="V1703" s="41">
        <f>IF(AND(H1703="Falta",L1703=Config!$B$7,M1703=Config!$B$5,COUNTIFS($E$5:E1703,E1703,$H$5:H1703,"Falta",$L$5:L1703,Config!$B$7,$M$5:M1703,Config!$B$5)=1),COUNTIFS($E$5:$E$3004,E1703,$H$5:$H$3004,"Falta",$L$5:$L$3004,Config!$B$7,$M$5:$M$3004,Config!$B$5)*1000-ROW()/100000,0)</f>
        <v>0</v>
      </c>
    </row>
    <row r="1704">
      <c r="A1704" s="39" t="n"/>
      <c r="B1704" s="40" t="n"/>
      <c r="C1704" s="35" t="n"/>
      <c r="D1704" s="35" t="n"/>
      <c r="E1704" s="34" t="n"/>
      <c r="F1704" s="35" t="n"/>
      <c r="G1704" s="35" t="n"/>
      <c r="H1704" s="35" t="n"/>
      <c r="I1704" s="35" t="n"/>
      <c r="J1704" s="35" t="n"/>
      <c r="K1704" s="34" t="n"/>
      <c r="L1704" s="26">
        <f>IF(A1704="","",MONTH(A1704))</f>
        <v/>
      </c>
      <c r="M1704" s="26">
        <f>IF(A1704="","",YEAR(A1704))</f>
        <v/>
      </c>
      <c r="N1704" s="26">
        <f>IF(A1704="","",CHOOSE(WEEKDAY(A1704,2),"Segunda","Terça","Quarta","Quinta","Sexta","Sábado","Domingo"))</f>
        <v/>
      </c>
      <c r="O1704" s="26">
        <f>IF(B1704="","",IF(B1704&lt;TIME(12,0,0),"Manhã",IF(B1704&lt;TIME(18,0,0),"Tarde","Noite")))</f>
        <v/>
      </c>
      <c r="P1704" s="32">
        <f>IF(G1704="","",IFERROR(INDEX(Config!$I$5:$I$16,MATCH(G1704,Config!$H$5:$H$16,0)),0))</f>
        <v/>
      </c>
      <c r="Q1704" s="30">
        <f>IF(OR(H1704&lt;&gt;"Realizado",P1704="",P1704=0),"",A1704+P1704)</f>
        <v/>
      </c>
      <c r="R1704" s="26">
        <f>IF(Q1704="","",IF(COUNTIFS($E$5:$E$3004,E1704,$A$5:$A$3004,"&gt;"&amp;A1704,$H$5:$H$3004,"&lt;&gt;Falta",$H$5:$H$3004,"&lt;&gt;Cancelado",$H$5:$H$3004,"&lt;&gt;Remarcado")&gt;0,"Sim","Não"))</f>
        <v/>
      </c>
      <c r="S1704" s="32">
        <f>IF(R1704&lt;&gt;"Não","",IF(Q1704+Config!$B$9&lt;=Config!$B$8,Config!$B$8-Q1704,""))</f>
        <v/>
      </c>
      <c r="T1704" s="26">
        <f>IF(S1704="","","Sim")</f>
        <v/>
      </c>
      <c r="U1704" s="41">
        <f>IF(T1704="Sim",S1704+ROW()/100000,0)</f>
        <v>0</v>
      </c>
      <c r="V1704" s="41">
        <f>IF(AND(H1704="Falta",L1704=Config!$B$7,M1704=Config!$B$5,COUNTIFS($E$5:E1704,E1704,$H$5:H1704,"Falta",$L$5:L1704,Config!$B$7,$M$5:M1704,Config!$B$5)=1),COUNTIFS($E$5:$E$3004,E1704,$H$5:$H$3004,"Falta",$L$5:$L$3004,Config!$B$7,$M$5:$M$3004,Config!$B$5)*1000-ROW()/100000,0)</f>
        <v>0</v>
      </c>
    </row>
    <row r="1705">
      <c r="A1705" s="39" t="n"/>
      <c r="B1705" s="40" t="n"/>
      <c r="C1705" s="35" t="n"/>
      <c r="D1705" s="35" t="n"/>
      <c r="E1705" s="34" t="n"/>
      <c r="F1705" s="35" t="n"/>
      <c r="G1705" s="35" t="n"/>
      <c r="H1705" s="35" t="n"/>
      <c r="I1705" s="35" t="n"/>
      <c r="J1705" s="35" t="n"/>
      <c r="K1705" s="34" t="n"/>
      <c r="L1705" s="26">
        <f>IF(A1705="","",MONTH(A1705))</f>
        <v/>
      </c>
      <c r="M1705" s="26">
        <f>IF(A1705="","",YEAR(A1705))</f>
        <v/>
      </c>
      <c r="N1705" s="26">
        <f>IF(A1705="","",CHOOSE(WEEKDAY(A1705,2),"Segunda","Terça","Quarta","Quinta","Sexta","Sábado","Domingo"))</f>
        <v/>
      </c>
      <c r="O1705" s="26">
        <f>IF(B1705="","",IF(B1705&lt;TIME(12,0,0),"Manhã",IF(B1705&lt;TIME(18,0,0),"Tarde","Noite")))</f>
        <v/>
      </c>
      <c r="P1705" s="32">
        <f>IF(G1705="","",IFERROR(INDEX(Config!$I$5:$I$16,MATCH(G1705,Config!$H$5:$H$16,0)),0))</f>
        <v/>
      </c>
      <c r="Q1705" s="30">
        <f>IF(OR(H1705&lt;&gt;"Realizado",P1705="",P1705=0),"",A1705+P1705)</f>
        <v/>
      </c>
      <c r="R1705" s="26">
        <f>IF(Q1705="","",IF(COUNTIFS($E$5:$E$3004,E1705,$A$5:$A$3004,"&gt;"&amp;A1705,$H$5:$H$3004,"&lt;&gt;Falta",$H$5:$H$3004,"&lt;&gt;Cancelado",$H$5:$H$3004,"&lt;&gt;Remarcado")&gt;0,"Sim","Não"))</f>
        <v/>
      </c>
      <c r="S1705" s="32">
        <f>IF(R1705&lt;&gt;"Não","",IF(Q1705+Config!$B$9&lt;=Config!$B$8,Config!$B$8-Q1705,""))</f>
        <v/>
      </c>
      <c r="T1705" s="26">
        <f>IF(S1705="","","Sim")</f>
        <v/>
      </c>
      <c r="U1705" s="41">
        <f>IF(T1705="Sim",S1705+ROW()/100000,0)</f>
        <v>0</v>
      </c>
      <c r="V1705" s="41">
        <f>IF(AND(H1705="Falta",L1705=Config!$B$7,M1705=Config!$B$5,COUNTIFS($E$5:E1705,E1705,$H$5:H1705,"Falta",$L$5:L1705,Config!$B$7,$M$5:M1705,Config!$B$5)=1),COUNTIFS($E$5:$E$3004,E1705,$H$5:$H$3004,"Falta",$L$5:$L$3004,Config!$B$7,$M$5:$M$3004,Config!$B$5)*1000-ROW()/100000,0)</f>
        <v>0</v>
      </c>
    </row>
    <row r="1706">
      <c r="A1706" s="39" t="n"/>
      <c r="B1706" s="40" t="n"/>
      <c r="C1706" s="35" t="n"/>
      <c r="D1706" s="35" t="n"/>
      <c r="E1706" s="34" t="n"/>
      <c r="F1706" s="35" t="n"/>
      <c r="G1706" s="35" t="n"/>
      <c r="H1706" s="35" t="n"/>
      <c r="I1706" s="35" t="n"/>
      <c r="J1706" s="35" t="n"/>
      <c r="K1706" s="34" t="n"/>
      <c r="L1706" s="26">
        <f>IF(A1706="","",MONTH(A1706))</f>
        <v/>
      </c>
      <c r="M1706" s="26">
        <f>IF(A1706="","",YEAR(A1706))</f>
        <v/>
      </c>
      <c r="N1706" s="26">
        <f>IF(A1706="","",CHOOSE(WEEKDAY(A1706,2),"Segunda","Terça","Quarta","Quinta","Sexta","Sábado","Domingo"))</f>
        <v/>
      </c>
      <c r="O1706" s="26">
        <f>IF(B1706="","",IF(B1706&lt;TIME(12,0,0),"Manhã",IF(B1706&lt;TIME(18,0,0),"Tarde","Noite")))</f>
        <v/>
      </c>
      <c r="P1706" s="32">
        <f>IF(G1706="","",IFERROR(INDEX(Config!$I$5:$I$16,MATCH(G1706,Config!$H$5:$H$16,0)),0))</f>
        <v/>
      </c>
      <c r="Q1706" s="30">
        <f>IF(OR(H1706&lt;&gt;"Realizado",P1706="",P1706=0),"",A1706+P1706)</f>
        <v/>
      </c>
      <c r="R1706" s="26">
        <f>IF(Q1706="","",IF(COUNTIFS($E$5:$E$3004,E1706,$A$5:$A$3004,"&gt;"&amp;A1706,$H$5:$H$3004,"&lt;&gt;Falta",$H$5:$H$3004,"&lt;&gt;Cancelado",$H$5:$H$3004,"&lt;&gt;Remarcado")&gt;0,"Sim","Não"))</f>
        <v/>
      </c>
      <c r="S1706" s="32">
        <f>IF(R1706&lt;&gt;"Não","",IF(Q1706+Config!$B$9&lt;=Config!$B$8,Config!$B$8-Q1706,""))</f>
        <v/>
      </c>
      <c r="T1706" s="26">
        <f>IF(S1706="","","Sim")</f>
        <v/>
      </c>
      <c r="U1706" s="41">
        <f>IF(T1706="Sim",S1706+ROW()/100000,0)</f>
        <v>0</v>
      </c>
      <c r="V1706" s="41">
        <f>IF(AND(H1706="Falta",L1706=Config!$B$7,M1706=Config!$B$5,COUNTIFS($E$5:E1706,E1706,$H$5:H1706,"Falta",$L$5:L1706,Config!$B$7,$M$5:M1706,Config!$B$5)=1),COUNTIFS($E$5:$E$3004,E1706,$H$5:$H$3004,"Falta",$L$5:$L$3004,Config!$B$7,$M$5:$M$3004,Config!$B$5)*1000-ROW()/100000,0)</f>
        <v>0</v>
      </c>
    </row>
    <row r="1707">
      <c r="A1707" s="39" t="n"/>
      <c r="B1707" s="40" t="n"/>
      <c r="C1707" s="35" t="n"/>
      <c r="D1707" s="35" t="n"/>
      <c r="E1707" s="34" t="n"/>
      <c r="F1707" s="35" t="n"/>
      <c r="G1707" s="35" t="n"/>
      <c r="H1707" s="35" t="n"/>
      <c r="I1707" s="35" t="n"/>
      <c r="J1707" s="35" t="n"/>
      <c r="K1707" s="34" t="n"/>
      <c r="L1707" s="26">
        <f>IF(A1707="","",MONTH(A1707))</f>
        <v/>
      </c>
      <c r="M1707" s="26">
        <f>IF(A1707="","",YEAR(A1707))</f>
        <v/>
      </c>
      <c r="N1707" s="26">
        <f>IF(A1707="","",CHOOSE(WEEKDAY(A1707,2),"Segunda","Terça","Quarta","Quinta","Sexta","Sábado","Domingo"))</f>
        <v/>
      </c>
      <c r="O1707" s="26">
        <f>IF(B1707="","",IF(B1707&lt;TIME(12,0,0),"Manhã",IF(B1707&lt;TIME(18,0,0),"Tarde","Noite")))</f>
        <v/>
      </c>
      <c r="P1707" s="32">
        <f>IF(G1707="","",IFERROR(INDEX(Config!$I$5:$I$16,MATCH(G1707,Config!$H$5:$H$16,0)),0))</f>
        <v/>
      </c>
      <c r="Q1707" s="30">
        <f>IF(OR(H1707&lt;&gt;"Realizado",P1707="",P1707=0),"",A1707+P1707)</f>
        <v/>
      </c>
      <c r="R1707" s="26">
        <f>IF(Q1707="","",IF(COUNTIFS($E$5:$E$3004,E1707,$A$5:$A$3004,"&gt;"&amp;A1707,$H$5:$H$3004,"&lt;&gt;Falta",$H$5:$H$3004,"&lt;&gt;Cancelado",$H$5:$H$3004,"&lt;&gt;Remarcado")&gt;0,"Sim","Não"))</f>
        <v/>
      </c>
      <c r="S1707" s="32">
        <f>IF(R1707&lt;&gt;"Não","",IF(Q1707+Config!$B$9&lt;=Config!$B$8,Config!$B$8-Q1707,""))</f>
        <v/>
      </c>
      <c r="T1707" s="26">
        <f>IF(S1707="","","Sim")</f>
        <v/>
      </c>
      <c r="U1707" s="41">
        <f>IF(T1707="Sim",S1707+ROW()/100000,0)</f>
        <v>0</v>
      </c>
      <c r="V1707" s="41">
        <f>IF(AND(H1707="Falta",L1707=Config!$B$7,M1707=Config!$B$5,COUNTIFS($E$5:E1707,E1707,$H$5:H1707,"Falta",$L$5:L1707,Config!$B$7,$M$5:M1707,Config!$B$5)=1),COUNTIFS($E$5:$E$3004,E1707,$H$5:$H$3004,"Falta",$L$5:$L$3004,Config!$B$7,$M$5:$M$3004,Config!$B$5)*1000-ROW()/100000,0)</f>
        <v>0</v>
      </c>
    </row>
    <row r="1708">
      <c r="A1708" s="39" t="n"/>
      <c r="B1708" s="40" t="n"/>
      <c r="C1708" s="35" t="n"/>
      <c r="D1708" s="35" t="n"/>
      <c r="E1708" s="34" t="n"/>
      <c r="F1708" s="35" t="n"/>
      <c r="G1708" s="35" t="n"/>
      <c r="H1708" s="35" t="n"/>
      <c r="I1708" s="35" t="n"/>
      <c r="J1708" s="35" t="n"/>
      <c r="K1708" s="34" t="n"/>
      <c r="L1708" s="26">
        <f>IF(A1708="","",MONTH(A1708))</f>
        <v/>
      </c>
      <c r="M1708" s="26">
        <f>IF(A1708="","",YEAR(A1708))</f>
        <v/>
      </c>
      <c r="N1708" s="26">
        <f>IF(A1708="","",CHOOSE(WEEKDAY(A1708,2),"Segunda","Terça","Quarta","Quinta","Sexta","Sábado","Domingo"))</f>
        <v/>
      </c>
      <c r="O1708" s="26">
        <f>IF(B1708="","",IF(B1708&lt;TIME(12,0,0),"Manhã",IF(B1708&lt;TIME(18,0,0),"Tarde","Noite")))</f>
        <v/>
      </c>
      <c r="P1708" s="32">
        <f>IF(G1708="","",IFERROR(INDEX(Config!$I$5:$I$16,MATCH(G1708,Config!$H$5:$H$16,0)),0))</f>
        <v/>
      </c>
      <c r="Q1708" s="30">
        <f>IF(OR(H1708&lt;&gt;"Realizado",P1708="",P1708=0),"",A1708+P1708)</f>
        <v/>
      </c>
      <c r="R1708" s="26">
        <f>IF(Q1708="","",IF(COUNTIFS($E$5:$E$3004,E1708,$A$5:$A$3004,"&gt;"&amp;A1708,$H$5:$H$3004,"&lt;&gt;Falta",$H$5:$H$3004,"&lt;&gt;Cancelado",$H$5:$H$3004,"&lt;&gt;Remarcado")&gt;0,"Sim","Não"))</f>
        <v/>
      </c>
      <c r="S1708" s="32">
        <f>IF(R1708&lt;&gt;"Não","",IF(Q1708+Config!$B$9&lt;=Config!$B$8,Config!$B$8-Q1708,""))</f>
        <v/>
      </c>
      <c r="T1708" s="26">
        <f>IF(S1708="","","Sim")</f>
        <v/>
      </c>
      <c r="U1708" s="41">
        <f>IF(T1708="Sim",S1708+ROW()/100000,0)</f>
        <v>0</v>
      </c>
      <c r="V1708" s="41">
        <f>IF(AND(H1708="Falta",L1708=Config!$B$7,M1708=Config!$B$5,COUNTIFS($E$5:E1708,E1708,$H$5:H1708,"Falta",$L$5:L1708,Config!$B$7,$M$5:M1708,Config!$B$5)=1),COUNTIFS($E$5:$E$3004,E1708,$H$5:$H$3004,"Falta",$L$5:$L$3004,Config!$B$7,$M$5:$M$3004,Config!$B$5)*1000-ROW()/100000,0)</f>
        <v>0</v>
      </c>
    </row>
    <row r="1709">
      <c r="A1709" s="39" t="n"/>
      <c r="B1709" s="40" t="n"/>
      <c r="C1709" s="35" t="n"/>
      <c r="D1709" s="35" t="n"/>
      <c r="E1709" s="34" t="n"/>
      <c r="F1709" s="35" t="n"/>
      <c r="G1709" s="35" t="n"/>
      <c r="H1709" s="35" t="n"/>
      <c r="I1709" s="35" t="n"/>
      <c r="J1709" s="35" t="n"/>
      <c r="K1709" s="34" t="n"/>
      <c r="L1709" s="26">
        <f>IF(A1709="","",MONTH(A1709))</f>
        <v/>
      </c>
      <c r="M1709" s="26">
        <f>IF(A1709="","",YEAR(A1709))</f>
        <v/>
      </c>
      <c r="N1709" s="26">
        <f>IF(A1709="","",CHOOSE(WEEKDAY(A1709,2),"Segunda","Terça","Quarta","Quinta","Sexta","Sábado","Domingo"))</f>
        <v/>
      </c>
      <c r="O1709" s="26">
        <f>IF(B1709="","",IF(B1709&lt;TIME(12,0,0),"Manhã",IF(B1709&lt;TIME(18,0,0),"Tarde","Noite")))</f>
        <v/>
      </c>
      <c r="P1709" s="32">
        <f>IF(G1709="","",IFERROR(INDEX(Config!$I$5:$I$16,MATCH(G1709,Config!$H$5:$H$16,0)),0))</f>
        <v/>
      </c>
      <c r="Q1709" s="30">
        <f>IF(OR(H1709&lt;&gt;"Realizado",P1709="",P1709=0),"",A1709+P1709)</f>
        <v/>
      </c>
      <c r="R1709" s="26">
        <f>IF(Q1709="","",IF(COUNTIFS($E$5:$E$3004,E1709,$A$5:$A$3004,"&gt;"&amp;A1709,$H$5:$H$3004,"&lt;&gt;Falta",$H$5:$H$3004,"&lt;&gt;Cancelado",$H$5:$H$3004,"&lt;&gt;Remarcado")&gt;0,"Sim","Não"))</f>
        <v/>
      </c>
      <c r="S1709" s="32">
        <f>IF(R1709&lt;&gt;"Não","",IF(Q1709+Config!$B$9&lt;=Config!$B$8,Config!$B$8-Q1709,""))</f>
        <v/>
      </c>
      <c r="T1709" s="26">
        <f>IF(S1709="","","Sim")</f>
        <v/>
      </c>
      <c r="U1709" s="41">
        <f>IF(T1709="Sim",S1709+ROW()/100000,0)</f>
        <v>0</v>
      </c>
      <c r="V1709" s="41">
        <f>IF(AND(H1709="Falta",L1709=Config!$B$7,M1709=Config!$B$5,COUNTIFS($E$5:E1709,E1709,$H$5:H1709,"Falta",$L$5:L1709,Config!$B$7,$M$5:M1709,Config!$B$5)=1),COUNTIFS($E$5:$E$3004,E1709,$H$5:$H$3004,"Falta",$L$5:$L$3004,Config!$B$7,$M$5:$M$3004,Config!$B$5)*1000-ROW()/100000,0)</f>
        <v>0</v>
      </c>
    </row>
    <row r="1710">
      <c r="A1710" s="39" t="n"/>
      <c r="B1710" s="40" t="n"/>
      <c r="C1710" s="35" t="n"/>
      <c r="D1710" s="35" t="n"/>
      <c r="E1710" s="34" t="n"/>
      <c r="F1710" s="35" t="n"/>
      <c r="G1710" s="35" t="n"/>
      <c r="H1710" s="35" t="n"/>
      <c r="I1710" s="35" t="n"/>
      <c r="J1710" s="35" t="n"/>
      <c r="K1710" s="34" t="n"/>
      <c r="L1710" s="26">
        <f>IF(A1710="","",MONTH(A1710))</f>
        <v/>
      </c>
      <c r="M1710" s="26">
        <f>IF(A1710="","",YEAR(A1710))</f>
        <v/>
      </c>
      <c r="N1710" s="26">
        <f>IF(A1710="","",CHOOSE(WEEKDAY(A1710,2),"Segunda","Terça","Quarta","Quinta","Sexta","Sábado","Domingo"))</f>
        <v/>
      </c>
      <c r="O1710" s="26">
        <f>IF(B1710="","",IF(B1710&lt;TIME(12,0,0),"Manhã",IF(B1710&lt;TIME(18,0,0),"Tarde","Noite")))</f>
        <v/>
      </c>
      <c r="P1710" s="32">
        <f>IF(G1710="","",IFERROR(INDEX(Config!$I$5:$I$16,MATCH(G1710,Config!$H$5:$H$16,0)),0))</f>
        <v/>
      </c>
      <c r="Q1710" s="30">
        <f>IF(OR(H1710&lt;&gt;"Realizado",P1710="",P1710=0),"",A1710+P1710)</f>
        <v/>
      </c>
      <c r="R1710" s="26">
        <f>IF(Q1710="","",IF(COUNTIFS($E$5:$E$3004,E1710,$A$5:$A$3004,"&gt;"&amp;A1710,$H$5:$H$3004,"&lt;&gt;Falta",$H$5:$H$3004,"&lt;&gt;Cancelado",$H$5:$H$3004,"&lt;&gt;Remarcado")&gt;0,"Sim","Não"))</f>
        <v/>
      </c>
      <c r="S1710" s="32">
        <f>IF(R1710&lt;&gt;"Não","",IF(Q1710+Config!$B$9&lt;=Config!$B$8,Config!$B$8-Q1710,""))</f>
        <v/>
      </c>
      <c r="T1710" s="26">
        <f>IF(S1710="","","Sim")</f>
        <v/>
      </c>
      <c r="U1710" s="41">
        <f>IF(T1710="Sim",S1710+ROW()/100000,0)</f>
        <v>0</v>
      </c>
      <c r="V1710" s="41">
        <f>IF(AND(H1710="Falta",L1710=Config!$B$7,M1710=Config!$B$5,COUNTIFS($E$5:E1710,E1710,$H$5:H1710,"Falta",$L$5:L1710,Config!$B$7,$M$5:M1710,Config!$B$5)=1),COUNTIFS($E$5:$E$3004,E1710,$H$5:$H$3004,"Falta",$L$5:$L$3004,Config!$B$7,$M$5:$M$3004,Config!$B$5)*1000-ROW()/100000,0)</f>
        <v>0</v>
      </c>
    </row>
    <row r="1711">
      <c r="A1711" s="39" t="n"/>
      <c r="B1711" s="40" t="n"/>
      <c r="C1711" s="35" t="n"/>
      <c r="D1711" s="35" t="n"/>
      <c r="E1711" s="34" t="n"/>
      <c r="F1711" s="35" t="n"/>
      <c r="G1711" s="35" t="n"/>
      <c r="H1711" s="35" t="n"/>
      <c r="I1711" s="35" t="n"/>
      <c r="J1711" s="35" t="n"/>
      <c r="K1711" s="34" t="n"/>
      <c r="L1711" s="26">
        <f>IF(A1711="","",MONTH(A1711))</f>
        <v/>
      </c>
      <c r="M1711" s="26">
        <f>IF(A1711="","",YEAR(A1711))</f>
        <v/>
      </c>
      <c r="N1711" s="26">
        <f>IF(A1711="","",CHOOSE(WEEKDAY(A1711,2),"Segunda","Terça","Quarta","Quinta","Sexta","Sábado","Domingo"))</f>
        <v/>
      </c>
      <c r="O1711" s="26">
        <f>IF(B1711="","",IF(B1711&lt;TIME(12,0,0),"Manhã",IF(B1711&lt;TIME(18,0,0),"Tarde","Noite")))</f>
        <v/>
      </c>
      <c r="P1711" s="32">
        <f>IF(G1711="","",IFERROR(INDEX(Config!$I$5:$I$16,MATCH(G1711,Config!$H$5:$H$16,0)),0))</f>
        <v/>
      </c>
      <c r="Q1711" s="30">
        <f>IF(OR(H1711&lt;&gt;"Realizado",P1711="",P1711=0),"",A1711+P1711)</f>
        <v/>
      </c>
      <c r="R1711" s="26">
        <f>IF(Q1711="","",IF(COUNTIFS($E$5:$E$3004,E1711,$A$5:$A$3004,"&gt;"&amp;A1711,$H$5:$H$3004,"&lt;&gt;Falta",$H$5:$H$3004,"&lt;&gt;Cancelado",$H$5:$H$3004,"&lt;&gt;Remarcado")&gt;0,"Sim","Não"))</f>
        <v/>
      </c>
      <c r="S1711" s="32">
        <f>IF(R1711&lt;&gt;"Não","",IF(Q1711+Config!$B$9&lt;=Config!$B$8,Config!$B$8-Q1711,""))</f>
        <v/>
      </c>
      <c r="T1711" s="26">
        <f>IF(S1711="","","Sim")</f>
        <v/>
      </c>
      <c r="U1711" s="41">
        <f>IF(T1711="Sim",S1711+ROW()/100000,0)</f>
        <v>0</v>
      </c>
      <c r="V1711" s="41">
        <f>IF(AND(H1711="Falta",L1711=Config!$B$7,M1711=Config!$B$5,COUNTIFS($E$5:E1711,E1711,$H$5:H1711,"Falta",$L$5:L1711,Config!$B$7,$M$5:M1711,Config!$B$5)=1),COUNTIFS($E$5:$E$3004,E1711,$H$5:$H$3004,"Falta",$L$5:$L$3004,Config!$B$7,$M$5:$M$3004,Config!$B$5)*1000-ROW()/100000,0)</f>
        <v>0</v>
      </c>
    </row>
    <row r="1712">
      <c r="A1712" s="39" t="n"/>
      <c r="B1712" s="40" t="n"/>
      <c r="C1712" s="35" t="n"/>
      <c r="D1712" s="35" t="n"/>
      <c r="E1712" s="34" t="n"/>
      <c r="F1712" s="35" t="n"/>
      <c r="G1712" s="35" t="n"/>
      <c r="H1712" s="35" t="n"/>
      <c r="I1712" s="35" t="n"/>
      <c r="J1712" s="35" t="n"/>
      <c r="K1712" s="34" t="n"/>
      <c r="L1712" s="26">
        <f>IF(A1712="","",MONTH(A1712))</f>
        <v/>
      </c>
      <c r="M1712" s="26">
        <f>IF(A1712="","",YEAR(A1712))</f>
        <v/>
      </c>
      <c r="N1712" s="26">
        <f>IF(A1712="","",CHOOSE(WEEKDAY(A1712,2),"Segunda","Terça","Quarta","Quinta","Sexta","Sábado","Domingo"))</f>
        <v/>
      </c>
      <c r="O1712" s="26">
        <f>IF(B1712="","",IF(B1712&lt;TIME(12,0,0),"Manhã",IF(B1712&lt;TIME(18,0,0),"Tarde","Noite")))</f>
        <v/>
      </c>
      <c r="P1712" s="32">
        <f>IF(G1712="","",IFERROR(INDEX(Config!$I$5:$I$16,MATCH(G1712,Config!$H$5:$H$16,0)),0))</f>
        <v/>
      </c>
      <c r="Q1712" s="30">
        <f>IF(OR(H1712&lt;&gt;"Realizado",P1712="",P1712=0),"",A1712+P1712)</f>
        <v/>
      </c>
      <c r="R1712" s="26">
        <f>IF(Q1712="","",IF(COUNTIFS($E$5:$E$3004,E1712,$A$5:$A$3004,"&gt;"&amp;A1712,$H$5:$H$3004,"&lt;&gt;Falta",$H$5:$H$3004,"&lt;&gt;Cancelado",$H$5:$H$3004,"&lt;&gt;Remarcado")&gt;0,"Sim","Não"))</f>
        <v/>
      </c>
      <c r="S1712" s="32">
        <f>IF(R1712&lt;&gt;"Não","",IF(Q1712+Config!$B$9&lt;=Config!$B$8,Config!$B$8-Q1712,""))</f>
        <v/>
      </c>
      <c r="T1712" s="26">
        <f>IF(S1712="","","Sim")</f>
        <v/>
      </c>
      <c r="U1712" s="41">
        <f>IF(T1712="Sim",S1712+ROW()/100000,0)</f>
        <v>0</v>
      </c>
      <c r="V1712" s="41">
        <f>IF(AND(H1712="Falta",L1712=Config!$B$7,M1712=Config!$B$5,COUNTIFS($E$5:E1712,E1712,$H$5:H1712,"Falta",$L$5:L1712,Config!$B$7,$M$5:M1712,Config!$B$5)=1),COUNTIFS($E$5:$E$3004,E1712,$H$5:$H$3004,"Falta",$L$5:$L$3004,Config!$B$7,$M$5:$M$3004,Config!$B$5)*1000-ROW()/100000,0)</f>
        <v>0</v>
      </c>
    </row>
    <row r="1713">
      <c r="A1713" s="39" t="n"/>
      <c r="B1713" s="40" t="n"/>
      <c r="C1713" s="35" t="n"/>
      <c r="D1713" s="35" t="n"/>
      <c r="E1713" s="34" t="n"/>
      <c r="F1713" s="35" t="n"/>
      <c r="G1713" s="35" t="n"/>
      <c r="H1713" s="35" t="n"/>
      <c r="I1713" s="35" t="n"/>
      <c r="J1713" s="35" t="n"/>
      <c r="K1713" s="34" t="n"/>
      <c r="L1713" s="26">
        <f>IF(A1713="","",MONTH(A1713))</f>
        <v/>
      </c>
      <c r="M1713" s="26">
        <f>IF(A1713="","",YEAR(A1713))</f>
        <v/>
      </c>
      <c r="N1713" s="26">
        <f>IF(A1713="","",CHOOSE(WEEKDAY(A1713,2),"Segunda","Terça","Quarta","Quinta","Sexta","Sábado","Domingo"))</f>
        <v/>
      </c>
      <c r="O1713" s="26">
        <f>IF(B1713="","",IF(B1713&lt;TIME(12,0,0),"Manhã",IF(B1713&lt;TIME(18,0,0),"Tarde","Noite")))</f>
        <v/>
      </c>
      <c r="P1713" s="32">
        <f>IF(G1713="","",IFERROR(INDEX(Config!$I$5:$I$16,MATCH(G1713,Config!$H$5:$H$16,0)),0))</f>
        <v/>
      </c>
      <c r="Q1713" s="30">
        <f>IF(OR(H1713&lt;&gt;"Realizado",P1713="",P1713=0),"",A1713+P1713)</f>
        <v/>
      </c>
      <c r="R1713" s="26">
        <f>IF(Q1713="","",IF(COUNTIFS($E$5:$E$3004,E1713,$A$5:$A$3004,"&gt;"&amp;A1713,$H$5:$H$3004,"&lt;&gt;Falta",$H$5:$H$3004,"&lt;&gt;Cancelado",$H$5:$H$3004,"&lt;&gt;Remarcado")&gt;0,"Sim","Não"))</f>
        <v/>
      </c>
      <c r="S1713" s="32">
        <f>IF(R1713&lt;&gt;"Não","",IF(Q1713+Config!$B$9&lt;=Config!$B$8,Config!$B$8-Q1713,""))</f>
        <v/>
      </c>
      <c r="T1713" s="26">
        <f>IF(S1713="","","Sim")</f>
        <v/>
      </c>
      <c r="U1713" s="41">
        <f>IF(T1713="Sim",S1713+ROW()/100000,0)</f>
        <v>0</v>
      </c>
      <c r="V1713" s="41">
        <f>IF(AND(H1713="Falta",L1713=Config!$B$7,M1713=Config!$B$5,COUNTIFS($E$5:E1713,E1713,$H$5:H1713,"Falta",$L$5:L1713,Config!$B$7,$M$5:M1713,Config!$B$5)=1),COUNTIFS($E$5:$E$3004,E1713,$H$5:$H$3004,"Falta",$L$5:$L$3004,Config!$B$7,$M$5:$M$3004,Config!$B$5)*1000-ROW()/100000,0)</f>
        <v>0</v>
      </c>
    </row>
    <row r="1714">
      <c r="A1714" s="39" t="n"/>
      <c r="B1714" s="40" t="n"/>
      <c r="C1714" s="35" t="n"/>
      <c r="D1714" s="35" t="n"/>
      <c r="E1714" s="34" t="n"/>
      <c r="F1714" s="35" t="n"/>
      <c r="G1714" s="35" t="n"/>
      <c r="H1714" s="35" t="n"/>
      <c r="I1714" s="35" t="n"/>
      <c r="J1714" s="35" t="n"/>
      <c r="K1714" s="34" t="n"/>
      <c r="L1714" s="26">
        <f>IF(A1714="","",MONTH(A1714))</f>
        <v/>
      </c>
      <c r="M1714" s="26">
        <f>IF(A1714="","",YEAR(A1714))</f>
        <v/>
      </c>
      <c r="N1714" s="26">
        <f>IF(A1714="","",CHOOSE(WEEKDAY(A1714,2),"Segunda","Terça","Quarta","Quinta","Sexta","Sábado","Domingo"))</f>
        <v/>
      </c>
      <c r="O1714" s="26">
        <f>IF(B1714="","",IF(B1714&lt;TIME(12,0,0),"Manhã",IF(B1714&lt;TIME(18,0,0),"Tarde","Noite")))</f>
        <v/>
      </c>
      <c r="P1714" s="32">
        <f>IF(G1714="","",IFERROR(INDEX(Config!$I$5:$I$16,MATCH(G1714,Config!$H$5:$H$16,0)),0))</f>
        <v/>
      </c>
      <c r="Q1714" s="30">
        <f>IF(OR(H1714&lt;&gt;"Realizado",P1714="",P1714=0),"",A1714+P1714)</f>
        <v/>
      </c>
      <c r="R1714" s="26">
        <f>IF(Q1714="","",IF(COUNTIFS($E$5:$E$3004,E1714,$A$5:$A$3004,"&gt;"&amp;A1714,$H$5:$H$3004,"&lt;&gt;Falta",$H$5:$H$3004,"&lt;&gt;Cancelado",$H$5:$H$3004,"&lt;&gt;Remarcado")&gt;0,"Sim","Não"))</f>
        <v/>
      </c>
      <c r="S1714" s="32">
        <f>IF(R1714&lt;&gt;"Não","",IF(Q1714+Config!$B$9&lt;=Config!$B$8,Config!$B$8-Q1714,""))</f>
        <v/>
      </c>
      <c r="T1714" s="26">
        <f>IF(S1714="","","Sim")</f>
        <v/>
      </c>
      <c r="U1714" s="41">
        <f>IF(T1714="Sim",S1714+ROW()/100000,0)</f>
        <v>0</v>
      </c>
      <c r="V1714" s="41">
        <f>IF(AND(H1714="Falta",L1714=Config!$B$7,M1714=Config!$B$5,COUNTIFS($E$5:E1714,E1714,$H$5:H1714,"Falta",$L$5:L1714,Config!$B$7,$M$5:M1714,Config!$B$5)=1),COUNTIFS($E$5:$E$3004,E1714,$H$5:$H$3004,"Falta",$L$5:$L$3004,Config!$B$7,$M$5:$M$3004,Config!$B$5)*1000-ROW()/100000,0)</f>
        <v>0</v>
      </c>
    </row>
    <row r="1715">
      <c r="A1715" s="39" t="n"/>
      <c r="B1715" s="40" t="n"/>
      <c r="C1715" s="35" t="n"/>
      <c r="D1715" s="35" t="n"/>
      <c r="E1715" s="34" t="n"/>
      <c r="F1715" s="35" t="n"/>
      <c r="G1715" s="35" t="n"/>
      <c r="H1715" s="35" t="n"/>
      <c r="I1715" s="35" t="n"/>
      <c r="J1715" s="35" t="n"/>
      <c r="K1715" s="34" t="n"/>
      <c r="L1715" s="26">
        <f>IF(A1715="","",MONTH(A1715))</f>
        <v/>
      </c>
      <c r="M1715" s="26">
        <f>IF(A1715="","",YEAR(A1715))</f>
        <v/>
      </c>
      <c r="N1715" s="26">
        <f>IF(A1715="","",CHOOSE(WEEKDAY(A1715,2),"Segunda","Terça","Quarta","Quinta","Sexta","Sábado","Domingo"))</f>
        <v/>
      </c>
      <c r="O1715" s="26">
        <f>IF(B1715="","",IF(B1715&lt;TIME(12,0,0),"Manhã",IF(B1715&lt;TIME(18,0,0),"Tarde","Noite")))</f>
        <v/>
      </c>
      <c r="P1715" s="32">
        <f>IF(G1715="","",IFERROR(INDEX(Config!$I$5:$I$16,MATCH(G1715,Config!$H$5:$H$16,0)),0))</f>
        <v/>
      </c>
      <c r="Q1715" s="30">
        <f>IF(OR(H1715&lt;&gt;"Realizado",P1715="",P1715=0),"",A1715+P1715)</f>
        <v/>
      </c>
      <c r="R1715" s="26">
        <f>IF(Q1715="","",IF(COUNTIFS($E$5:$E$3004,E1715,$A$5:$A$3004,"&gt;"&amp;A1715,$H$5:$H$3004,"&lt;&gt;Falta",$H$5:$H$3004,"&lt;&gt;Cancelado",$H$5:$H$3004,"&lt;&gt;Remarcado")&gt;0,"Sim","Não"))</f>
        <v/>
      </c>
      <c r="S1715" s="32">
        <f>IF(R1715&lt;&gt;"Não","",IF(Q1715+Config!$B$9&lt;=Config!$B$8,Config!$B$8-Q1715,""))</f>
        <v/>
      </c>
      <c r="T1715" s="26">
        <f>IF(S1715="","","Sim")</f>
        <v/>
      </c>
      <c r="U1715" s="41">
        <f>IF(T1715="Sim",S1715+ROW()/100000,0)</f>
        <v>0</v>
      </c>
      <c r="V1715" s="41">
        <f>IF(AND(H1715="Falta",L1715=Config!$B$7,M1715=Config!$B$5,COUNTIFS($E$5:E1715,E1715,$H$5:H1715,"Falta",$L$5:L1715,Config!$B$7,$M$5:M1715,Config!$B$5)=1),COUNTIFS($E$5:$E$3004,E1715,$H$5:$H$3004,"Falta",$L$5:$L$3004,Config!$B$7,$M$5:$M$3004,Config!$B$5)*1000-ROW()/100000,0)</f>
        <v>0</v>
      </c>
    </row>
    <row r="1716">
      <c r="A1716" s="39" t="n"/>
      <c r="B1716" s="40" t="n"/>
      <c r="C1716" s="35" t="n"/>
      <c r="D1716" s="35" t="n"/>
      <c r="E1716" s="34" t="n"/>
      <c r="F1716" s="35" t="n"/>
      <c r="G1716" s="35" t="n"/>
      <c r="H1716" s="35" t="n"/>
      <c r="I1716" s="35" t="n"/>
      <c r="J1716" s="35" t="n"/>
      <c r="K1716" s="34" t="n"/>
      <c r="L1716" s="26">
        <f>IF(A1716="","",MONTH(A1716))</f>
        <v/>
      </c>
      <c r="M1716" s="26">
        <f>IF(A1716="","",YEAR(A1716))</f>
        <v/>
      </c>
      <c r="N1716" s="26">
        <f>IF(A1716="","",CHOOSE(WEEKDAY(A1716,2),"Segunda","Terça","Quarta","Quinta","Sexta","Sábado","Domingo"))</f>
        <v/>
      </c>
      <c r="O1716" s="26">
        <f>IF(B1716="","",IF(B1716&lt;TIME(12,0,0),"Manhã",IF(B1716&lt;TIME(18,0,0),"Tarde","Noite")))</f>
        <v/>
      </c>
      <c r="P1716" s="32">
        <f>IF(G1716="","",IFERROR(INDEX(Config!$I$5:$I$16,MATCH(G1716,Config!$H$5:$H$16,0)),0))</f>
        <v/>
      </c>
      <c r="Q1716" s="30">
        <f>IF(OR(H1716&lt;&gt;"Realizado",P1716="",P1716=0),"",A1716+P1716)</f>
        <v/>
      </c>
      <c r="R1716" s="26">
        <f>IF(Q1716="","",IF(COUNTIFS($E$5:$E$3004,E1716,$A$5:$A$3004,"&gt;"&amp;A1716,$H$5:$H$3004,"&lt;&gt;Falta",$H$5:$H$3004,"&lt;&gt;Cancelado",$H$5:$H$3004,"&lt;&gt;Remarcado")&gt;0,"Sim","Não"))</f>
        <v/>
      </c>
      <c r="S1716" s="32">
        <f>IF(R1716&lt;&gt;"Não","",IF(Q1716+Config!$B$9&lt;=Config!$B$8,Config!$B$8-Q1716,""))</f>
        <v/>
      </c>
      <c r="T1716" s="26">
        <f>IF(S1716="","","Sim")</f>
        <v/>
      </c>
      <c r="U1716" s="41">
        <f>IF(T1716="Sim",S1716+ROW()/100000,0)</f>
        <v>0</v>
      </c>
      <c r="V1716" s="41">
        <f>IF(AND(H1716="Falta",L1716=Config!$B$7,M1716=Config!$B$5,COUNTIFS($E$5:E1716,E1716,$H$5:H1716,"Falta",$L$5:L1716,Config!$B$7,$M$5:M1716,Config!$B$5)=1),COUNTIFS($E$5:$E$3004,E1716,$H$5:$H$3004,"Falta",$L$5:$L$3004,Config!$B$7,$M$5:$M$3004,Config!$B$5)*1000-ROW()/100000,0)</f>
        <v>0</v>
      </c>
    </row>
    <row r="1717">
      <c r="A1717" s="39" t="n"/>
      <c r="B1717" s="40" t="n"/>
      <c r="C1717" s="35" t="n"/>
      <c r="D1717" s="35" t="n"/>
      <c r="E1717" s="34" t="n"/>
      <c r="F1717" s="35" t="n"/>
      <c r="G1717" s="35" t="n"/>
      <c r="H1717" s="35" t="n"/>
      <c r="I1717" s="35" t="n"/>
      <c r="J1717" s="35" t="n"/>
      <c r="K1717" s="34" t="n"/>
      <c r="L1717" s="26">
        <f>IF(A1717="","",MONTH(A1717))</f>
        <v/>
      </c>
      <c r="M1717" s="26">
        <f>IF(A1717="","",YEAR(A1717))</f>
        <v/>
      </c>
      <c r="N1717" s="26">
        <f>IF(A1717="","",CHOOSE(WEEKDAY(A1717,2),"Segunda","Terça","Quarta","Quinta","Sexta","Sábado","Domingo"))</f>
        <v/>
      </c>
      <c r="O1717" s="26">
        <f>IF(B1717="","",IF(B1717&lt;TIME(12,0,0),"Manhã",IF(B1717&lt;TIME(18,0,0),"Tarde","Noite")))</f>
        <v/>
      </c>
      <c r="P1717" s="32">
        <f>IF(G1717="","",IFERROR(INDEX(Config!$I$5:$I$16,MATCH(G1717,Config!$H$5:$H$16,0)),0))</f>
        <v/>
      </c>
      <c r="Q1717" s="30">
        <f>IF(OR(H1717&lt;&gt;"Realizado",P1717="",P1717=0),"",A1717+P1717)</f>
        <v/>
      </c>
      <c r="R1717" s="26">
        <f>IF(Q1717="","",IF(COUNTIFS($E$5:$E$3004,E1717,$A$5:$A$3004,"&gt;"&amp;A1717,$H$5:$H$3004,"&lt;&gt;Falta",$H$5:$H$3004,"&lt;&gt;Cancelado",$H$5:$H$3004,"&lt;&gt;Remarcado")&gt;0,"Sim","Não"))</f>
        <v/>
      </c>
      <c r="S1717" s="32">
        <f>IF(R1717&lt;&gt;"Não","",IF(Q1717+Config!$B$9&lt;=Config!$B$8,Config!$B$8-Q1717,""))</f>
        <v/>
      </c>
      <c r="T1717" s="26">
        <f>IF(S1717="","","Sim")</f>
        <v/>
      </c>
      <c r="U1717" s="41">
        <f>IF(T1717="Sim",S1717+ROW()/100000,0)</f>
        <v>0</v>
      </c>
      <c r="V1717" s="41">
        <f>IF(AND(H1717="Falta",L1717=Config!$B$7,M1717=Config!$B$5,COUNTIFS($E$5:E1717,E1717,$H$5:H1717,"Falta",$L$5:L1717,Config!$B$7,$M$5:M1717,Config!$B$5)=1),COUNTIFS($E$5:$E$3004,E1717,$H$5:$H$3004,"Falta",$L$5:$L$3004,Config!$B$7,$M$5:$M$3004,Config!$B$5)*1000-ROW()/100000,0)</f>
        <v>0</v>
      </c>
    </row>
    <row r="1718">
      <c r="A1718" s="39" t="n"/>
      <c r="B1718" s="40" t="n"/>
      <c r="C1718" s="35" t="n"/>
      <c r="D1718" s="35" t="n"/>
      <c r="E1718" s="34" t="n"/>
      <c r="F1718" s="35" t="n"/>
      <c r="G1718" s="35" t="n"/>
      <c r="H1718" s="35" t="n"/>
      <c r="I1718" s="35" t="n"/>
      <c r="J1718" s="35" t="n"/>
      <c r="K1718" s="34" t="n"/>
      <c r="L1718" s="26">
        <f>IF(A1718="","",MONTH(A1718))</f>
        <v/>
      </c>
      <c r="M1718" s="26">
        <f>IF(A1718="","",YEAR(A1718))</f>
        <v/>
      </c>
      <c r="N1718" s="26">
        <f>IF(A1718="","",CHOOSE(WEEKDAY(A1718,2),"Segunda","Terça","Quarta","Quinta","Sexta","Sábado","Domingo"))</f>
        <v/>
      </c>
      <c r="O1718" s="26">
        <f>IF(B1718="","",IF(B1718&lt;TIME(12,0,0),"Manhã",IF(B1718&lt;TIME(18,0,0),"Tarde","Noite")))</f>
        <v/>
      </c>
      <c r="P1718" s="32">
        <f>IF(G1718="","",IFERROR(INDEX(Config!$I$5:$I$16,MATCH(G1718,Config!$H$5:$H$16,0)),0))</f>
        <v/>
      </c>
      <c r="Q1718" s="30">
        <f>IF(OR(H1718&lt;&gt;"Realizado",P1718="",P1718=0),"",A1718+P1718)</f>
        <v/>
      </c>
      <c r="R1718" s="26">
        <f>IF(Q1718="","",IF(COUNTIFS($E$5:$E$3004,E1718,$A$5:$A$3004,"&gt;"&amp;A1718,$H$5:$H$3004,"&lt;&gt;Falta",$H$5:$H$3004,"&lt;&gt;Cancelado",$H$5:$H$3004,"&lt;&gt;Remarcado")&gt;0,"Sim","Não"))</f>
        <v/>
      </c>
      <c r="S1718" s="32">
        <f>IF(R1718&lt;&gt;"Não","",IF(Q1718+Config!$B$9&lt;=Config!$B$8,Config!$B$8-Q1718,""))</f>
        <v/>
      </c>
      <c r="T1718" s="26">
        <f>IF(S1718="","","Sim")</f>
        <v/>
      </c>
      <c r="U1718" s="41">
        <f>IF(T1718="Sim",S1718+ROW()/100000,0)</f>
        <v>0</v>
      </c>
      <c r="V1718" s="41">
        <f>IF(AND(H1718="Falta",L1718=Config!$B$7,M1718=Config!$B$5,COUNTIFS($E$5:E1718,E1718,$H$5:H1718,"Falta",$L$5:L1718,Config!$B$7,$M$5:M1718,Config!$B$5)=1),COUNTIFS($E$5:$E$3004,E1718,$H$5:$H$3004,"Falta",$L$5:$L$3004,Config!$B$7,$M$5:$M$3004,Config!$B$5)*1000-ROW()/100000,0)</f>
        <v>0</v>
      </c>
    </row>
    <row r="1719">
      <c r="A1719" s="39" t="n"/>
      <c r="B1719" s="40" t="n"/>
      <c r="C1719" s="35" t="n"/>
      <c r="D1719" s="35" t="n"/>
      <c r="E1719" s="34" t="n"/>
      <c r="F1719" s="35" t="n"/>
      <c r="G1719" s="35" t="n"/>
      <c r="H1719" s="35" t="n"/>
      <c r="I1719" s="35" t="n"/>
      <c r="J1719" s="35" t="n"/>
      <c r="K1719" s="34" t="n"/>
      <c r="L1719" s="26">
        <f>IF(A1719="","",MONTH(A1719))</f>
        <v/>
      </c>
      <c r="M1719" s="26">
        <f>IF(A1719="","",YEAR(A1719))</f>
        <v/>
      </c>
      <c r="N1719" s="26">
        <f>IF(A1719="","",CHOOSE(WEEKDAY(A1719,2),"Segunda","Terça","Quarta","Quinta","Sexta","Sábado","Domingo"))</f>
        <v/>
      </c>
      <c r="O1719" s="26">
        <f>IF(B1719="","",IF(B1719&lt;TIME(12,0,0),"Manhã",IF(B1719&lt;TIME(18,0,0),"Tarde","Noite")))</f>
        <v/>
      </c>
      <c r="P1719" s="32">
        <f>IF(G1719="","",IFERROR(INDEX(Config!$I$5:$I$16,MATCH(G1719,Config!$H$5:$H$16,0)),0))</f>
        <v/>
      </c>
      <c r="Q1719" s="30">
        <f>IF(OR(H1719&lt;&gt;"Realizado",P1719="",P1719=0),"",A1719+P1719)</f>
        <v/>
      </c>
      <c r="R1719" s="26">
        <f>IF(Q1719="","",IF(COUNTIFS($E$5:$E$3004,E1719,$A$5:$A$3004,"&gt;"&amp;A1719,$H$5:$H$3004,"&lt;&gt;Falta",$H$5:$H$3004,"&lt;&gt;Cancelado",$H$5:$H$3004,"&lt;&gt;Remarcado")&gt;0,"Sim","Não"))</f>
        <v/>
      </c>
      <c r="S1719" s="32">
        <f>IF(R1719&lt;&gt;"Não","",IF(Q1719+Config!$B$9&lt;=Config!$B$8,Config!$B$8-Q1719,""))</f>
        <v/>
      </c>
      <c r="T1719" s="26">
        <f>IF(S1719="","","Sim")</f>
        <v/>
      </c>
      <c r="U1719" s="41">
        <f>IF(T1719="Sim",S1719+ROW()/100000,0)</f>
        <v>0</v>
      </c>
      <c r="V1719" s="41">
        <f>IF(AND(H1719="Falta",L1719=Config!$B$7,M1719=Config!$B$5,COUNTIFS($E$5:E1719,E1719,$H$5:H1719,"Falta",$L$5:L1719,Config!$B$7,$M$5:M1719,Config!$B$5)=1),COUNTIFS($E$5:$E$3004,E1719,$H$5:$H$3004,"Falta",$L$5:$L$3004,Config!$B$7,$M$5:$M$3004,Config!$B$5)*1000-ROW()/100000,0)</f>
        <v>0</v>
      </c>
    </row>
    <row r="1720">
      <c r="A1720" s="39" t="n"/>
      <c r="B1720" s="40" t="n"/>
      <c r="C1720" s="35" t="n"/>
      <c r="D1720" s="35" t="n"/>
      <c r="E1720" s="34" t="n"/>
      <c r="F1720" s="35" t="n"/>
      <c r="G1720" s="35" t="n"/>
      <c r="H1720" s="35" t="n"/>
      <c r="I1720" s="35" t="n"/>
      <c r="J1720" s="35" t="n"/>
      <c r="K1720" s="34" t="n"/>
      <c r="L1720" s="26">
        <f>IF(A1720="","",MONTH(A1720))</f>
        <v/>
      </c>
      <c r="M1720" s="26">
        <f>IF(A1720="","",YEAR(A1720))</f>
        <v/>
      </c>
      <c r="N1720" s="26">
        <f>IF(A1720="","",CHOOSE(WEEKDAY(A1720,2),"Segunda","Terça","Quarta","Quinta","Sexta","Sábado","Domingo"))</f>
        <v/>
      </c>
      <c r="O1720" s="26">
        <f>IF(B1720="","",IF(B1720&lt;TIME(12,0,0),"Manhã",IF(B1720&lt;TIME(18,0,0),"Tarde","Noite")))</f>
        <v/>
      </c>
      <c r="P1720" s="32">
        <f>IF(G1720="","",IFERROR(INDEX(Config!$I$5:$I$16,MATCH(G1720,Config!$H$5:$H$16,0)),0))</f>
        <v/>
      </c>
      <c r="Q1720" s="30">
        <f>IF(OR(H1720&lt;&gt;"Realizado",P1720="",P1720=0),"",A1720+P1720)</f>
        <v/>
      </c>
      <c r="R1720" s="26">
        <f>IF(Q1720="","",IF(COUNTIFS($E$5:$E$3004,E1720,$A$5:$A$3004,"&gt;"&amp;A1720,$H$5:$H$3004,"&lt;&gt;Falta",$H$5:$H$3004,"&lt;&gt;Cancelado",$H$5:$H$3004,"&lt;&gt;Remarcado")&gt;0,"Sim","Não"))</f>
        <v/>
      </c>
      <c r="S1720" s="32">
        <f>IF(R1720&lt;&gt;"Não","",IF(Q1720+Config!$B$9&lt;=Config!$B$8,Config!$B$8-Q1720,""))</f>
        <v/>
      </c>
      <c r="T1720" s="26">
        <f>IF(S1720="","","Sim")</f>
        <v/>
      </c>
      <c r="U1720" s="41">
        <f>IF(T1720="Sim",S1720+ROW()/100000,0)</f>
        <v>0</v>
      </c>
      <c r="V1720" s="41">
        <f>IF(AND(H1720="Falta",L1720=Config!$B$7,M1720=Config!$B$5,COUNTIFS($E$5:E1720,E1720,$H$5:H1720,"Falta",$L$5:L1720,Config!$B$7,$M$5:M1720,Config!$B$5)=1),COUNTIFS($E$5:$E$3004,E1720,$H$5:$H$3004,"Falta",$L$5:$L$3004,Config!$B$7,$M$5:$M$3004,Config!$B$5)*1000-ROW()/100000,0)</f>
        <v>0</v>
      </c>
    </row>
    <row r="1721">
      <c r="A1721" s="39" t="n"/>
      <c r="B1721" s="40" t="n"/>
      <c r="C1721" s="35" t="n"/>
      <c r="D1721" s="35" t="n"/>
      <c r="E1721" s="34" t="n"/>
      <c r="F1721" s="35" t="n"/>
      <c r="G1721" s="35" t="n"/>
      <c r="H1721" s="35" t="n"/>
      <c r="I1721" s="35" t="n"/>
      <c r="J1721" s="35" t="n"/>
      <c r="K1721" s="34" t="n"/>
      <c r="L1721" s="26">
        <f>IF(A1721="","",MONTH(A1721))</f>
        <v/>
      </c>
      <c r="M1721" s="26">
        <f>IF(A1721="","",YEAR(A1721))</f>
        <v/>
      </c>
      <c r="N1721" s="26">
        <f>IF(A1721="","",CHOOSE(WEEKDAY(A1721,2),"Segunda","Terça","Quarta","Quinta","Sexta","Sábado","Domingo"))</f>
        <v/>
      </c>
      <c r="O1721" s="26">
        <f>IF(B1721="","",IF(B1721&lt;TIME(12,0,0),"Manhã",IF(B1721&lt;TIME(18,0,0),"Tarde","Noite")))</f>
        <v/>
      </c>
      <c r="P1721" s="32">
        <f>IF(G1721="","",IFERROR(INDEX(Config!$I$5:$I$16,MATCH(G1721,Config!$H$5:$H$16,0)),0))</f>
        <v/>
      </c>
      <c r="Q1721" s="30">
        <f>IF(OR(H1721&lt;&gt;"Realizado",P1721="",P1721=0),"",A1721+P1721)</f>
        <v/>
      </c>
      <c r="R1721" s="26">
        <f>IF(Q1721="","",IF(COUNTIFS($E$5:$E$3004,E1721,$A$5:$A$3004,"&gt;"&amp;A1721,$H$5:$H$3004,"&lt;&gt;Falta",$H$5:$H$3004,"&lt;&gt;Cancelado",$H$5:$H$3004,"&lt;&gt;Remarcado")&gt;0,"Sim","Não"))</f>
        <v/>
      </c>
      <c r="S1721" s="32">
        <f>IF(R1721&lt;&gt;"Não","",IF(Q1721+Config!$B$9&lt;=Config!$B$8,Config!$B$8-Q1721,""))</f>
        <v/>
      </c>
      <c r="T1721" s="26">
        <f>IF(S1721="","","Sim")</f>
        <v/>
      </c>
      <c r="U1721" s="41">
        <f>IF(T1721="Sim",S1721+ROW()/100000,0)</f>
        <v>0</v>
      </c>
      <c r="V1721" s="41">
        <f>IF(AND(H1721="Falta",L1721=Config!$B$7,M1721=Config!$B$5,COUNTIFS($E$5:E1721,E1721,$H$5:H1721,"Falta",$L$5:L1721,Config!$B$7,$M$5:M1721,Config!$B$5)=1),COUNTIFS($E$5:$E$3004,E1721,$H$5:$H$3004,"Falta",$L$5:$L$3004,Config!$B$7,$M$5:$M$3004,Config!$B$5)*1000-ROW()/100000,0)</f>
        <v>0</v>
      </c>
    </row>
    <row r="1722">
      <c r="A1722" s="39" t="n"/>
      <c r="B1722" s="40" t="n"/>
      <c r="C1722" s="35" t="n"/>
      <c r="D1722" s="35" t="n"/>
      <c r="E1722" s="34" t="n"/>
      <c r="F1722" s="35" t="n"/>
      <c r="G1722" s="35" t="n"/>
      <c r="H1722" s="35" t="n"/>
      <c r="I1722" s="35" t="n"/>
      <c r="J1722" s="35" t="n"/>
      <c r="K1722" s="34" t="n"/>
      <c r="L1722" s="26">
        <f>IF(A1722="","",MONTH(A1722))</f>
        <v/>
      </c>
      <c r="M1722" s="26">
        <f>IF(A1722="","",YEAR(A1722))</f>
        <v/>
      </c>
      <c r="N1722" s="26">
        <f>IF(A1722="","",CHOOSE(WEEKDAY(A1722,2),"Segunda","Terça","Quarta","Quinta","Sexta","Sábado","Domingo"))</f>
        <v/>
      </c>
      <c r="O1722" s="26">
        <f>IF(B1722="","",IF(B1722&lt;TIME(12,0,0),"Manhã",IF(B1722&lt;TIME(18,0,0),"Tarde","Noite")))</f>
        <v/>
      </c>
      <c r="P1722" s="32">
        <f>IF(G1722="","",IFERROR(INDEX(Config!$I$5:$I$16,MATCH(G1722,Config!$H$5:$H$16,0)),0))</f>
        <v/>
      </c>
      <c r="Q1722" s="30">
        <f>IF(OR(H1722&lt;&gt;"Realizado",P1722="",P1722=0),"",A1722+P1722)</f>
        <v/>
      </c>
      <c r="R1722" s="26">
        <f>IF(Q1722="","",IF(COUNTIFS($E$5:$E$3004,E1722,$A$5:$A$3004,"&gt;"&amp;A1722,$H$5:$H$3004,"&lt;&gt;Falta",$H$5:$H$3004,"&lt;&gt;Cancelado",$H$5:$H$3004,"&lt;&gt;Remarcado")&gt;0,"Sim","Não"))</f>
        <v/>
      </c>
      <c r="S1722" s="32">
        <f>IF(R1722&lt;&gt;"Não","",IF(Q1722+Config!$B$9&lt;=Config!$B$8,Config!$B$8-Q1722,""))</f>
        <v/>
      </c>
      <c r="T1722" s="26">
        <f>IF(S1722="","","Sim")</f>
        <v/>
      </c>
      <c r="U1722" s="41">
        <f>IF(T1722="Sim",S1722+ROW()/100000,0)</f>
        <v>0</v>
      </c>
      <c r="V1722" s="41">
        <f>IF(AND(H1722="Falta",L1722=Config!$B$7,M1722=Config!$B$5,COUNTIFS($E$5:E1722,E1722,$H$5:H1722,"Falta",$L$5:L1722,Config!$B$7,$M$5:M1722,Config!$B$5)=1),COUNTIFS($E$5:$E$3004,E1722,$H$5:$H$3004,"Falta",$L$5:$L$3004,Config!$B$7,$M$5:$M$3004,Config!$B$5)*1000-ROW()/100000,0)</f>
        <v>0</v>
      </c>
    </row>
    <row r="1723">
      <c r="A1723" s="39" t="n"/>
      <c r="B1723" s="40" t="n"/>
      <c r="C1723" s="35" t="n"/>
      <c r="D1723" s="35" t="n"/>
      <c r="E1723" s="34" t="n"/>
      <c r="F1723" s="35" t="n"/>
      <c r="G1723" s="35" t="n"/>
      <c r="H1723" s="35" t="n"/>
      <c r="I1723" s="35" t="n"/>
      <c r="J1723" s="35" t="n"/>
      <c r="K1723" s="34" t="n"/>
      <c r="L1723" s="26">
        <f>IF(A1723="","",MONTH(A1723))</f>
        <v/>
      </c>
      <c r="M1723" s="26">
        <f>IF(A1723="","",YEAR(A1723))</f>
        <v/>
      </c>
      <c r="N1723" s="26">
        <f>IF(A1723="","",CHOOSE(WEEKDAY(A1723,2),"Segunda","Terça","Quarta","Quinta","Sexta","Sábado","Domingo"))</f>
        <v/>
      </c>
      <c r="O1723" s="26">
        <f>IF(B1723="","",IF(B1723&lt;TIME(12,0,0),"Manhã",IF(B1723&lt;TIME(18,0,0),"Tarde","Noite")))</f>
        <v/>
      </c>
      <c r="P1723" s="32">
        <f>IF(G1723="","",IFERROR(INDEX(Config!$I$5:$I$16,MATCH(G1723,Config!$H$5:$H$16,0)),0))</f>
        <v/>
      </c>
      <c r="Q1723" s="30">
        <f>IF(OR(H1723&lt;&gt;"Realizado",P1723="",P1723=0),"",A1723+P1723)</f>
        <v/>
      </c>
      <c r="R1723" s="26">
        <f>IF(Q1723="","",IF(COUNTIFS($E$5:$E$3004,E1723,$A$5:$A$3004,"&gt;"&amp;A1723,$H$5:$H$3004,"&lt;&gt;Falta",$H$5:$H$3004,"&lt;&gt;Cancelado",$H$5:$H$3004,"&lt;&gt;Remarcado")&gt;0,"Sim","Não"))</f>
        <v/>
      </c>
      <c r="S1723" s="32">
        <f>IF(R1723&lt;&gt;"Não","",IF(Q1723+Config!$B$9&lt;=Config!$B$8,Config!$B$8-Q1723,""))</f>
        <v/>
      </c>
      <c r="T1723" s="26">
        <f>IF(S1723="","","Sim")</f>
        <v/>
      </c>
      <c r="U1723" s="41">
        <f>IF(T1723="Sim",S1723+ROW()/100000,0)</f>
        <v>0</v>
      </c>
      <c r="V1723" s="41">
        <f>IF(AND(H1723="Falta",L1723=Config!$B$7,M1723=Config!$B$5,COUNTIFS($E$5:E1723,E1723,$H$5:H1723,"Falta",$L$5:L1723,Config!$B$7,$M$5:M1723,Config!$B$5)=1),COUNTIFS($E$5:$E$3004,E1723,$H$5:$H$3004,"Falta",$L$5:$L$3004,Config!$B$7,$M$5:$M$3004,Config!$B$5)*1000-ROW()/100000,0)</f>
        <v>0</v>
      </c>
    </row>
    <row r="1724">
      <c r="A1724" s="39" t="n"/>
      <c r="B1724" s="40" t="n"/>
      <c r="C1724" s="35" t="n"/>
      <c r="D1724" s="35" t="n"/>
      <c r="E1724" s="34" t="n"/>
      <c r="F1724" s="35" t="n"/>
      <c r="G1724" s="35" t="n"/>
      <c r="H1724" s="35" t="n"/>
      <c r="I1724" s="35" t="n"/>
      <c r="J1724" s="35" t="n"/>
      <c r="K1724" s="34" t="n"/>
      <c r="L1724" s="26">
        <f>IF(A1724="","",MONTH(A1724))</f>
        <v/>
      </c>
      <c r="M1724" s="26">
        <f>IF(A1724="","",YEAR(A1724))</f>
        <v/>
      </c>
      <c r="N1724" s="26">
        <f>IF(A1724="","",CHOOSE(WEEKDAY(A1724,2),"Segunda","Terça","Quarta","Quinta","Sexta","Sábado","Domingo"))</f>
        <v/>
      </c>
      <c r="O1724" s="26">
        <f>IF(B1724="","",IF(B1724&lt;TIME(12,0,0),"Manhã",IF(B1724&lt;TIME(18,0,0),"Tarde","Noite")))</f>
        <v/>
      </c>
      <c r="P1724" s="32">
        <f>IF(G1724="","",IFERROR(INDEX(Config!$I$5:$I$16,MATCH(G1724,Config!$H$5:$H$16,0)),0))</f>
        <v/>
      </c>
      <c r="Q1724" s="30">
        <f>IF(OR(H1724&lt;&gt;"Realizado",P1724="",P1724=0),"",A1724+P1724)</f>
        <v/>
      </c>
      <c r="R1724" s="26">
        <f>IF(Q1724="","",IF(COUNTIFS($E$5:$E$3004,E1724,$A$5:$A$3004,"&gt;"&amp;A1724,$H$5:$H$3004,"&lt;&gt;Falta",$H$5:$H$3004,"&lt;&gt;Cancelado",$H$5:$H$3004,"&lt;&gt;Remarcado")&gt;0,"Sim","Não"))</f>
        <v/>
      </c>
      <c r="S1724" s="32">
        <f>IF(R1724&lt;&gt;"Não","",IF(Q1724+Config!$B$9&lt;=Config!$B$8,Config!$B$8-Q1724,""))</f>
        <v/>
      </c>
      <c r="T1724" s="26">
        <f>IF(S1724="","","Sim")</f>
        <v/>
      </c>
      <c r="U1724" s="41">
        <f>IF(T1724="Sim",S1724+ROW()/100000,0)</f>
        <v>0</v>
      </c>
      <c r="V1724" s="41">
        <f>IF(AND(H1724="Falta",L1724=Config!$B$7,M1724=Config!$B$5,COUNTIFS($E$5:E1724,E1724,$H$5:H1724,"Falta",$L$5:L1724,Config!$B$7,$M$5:M1724,Config!$B$5)=1),COUNTIFS($E$5:$E$3004,E1724,$H$5:$H$3004,"Falta",$L$5:$L$3004,Config!$B$7,$M$5:$M$3004,Config!$B$5)*1000-ROW()/100000,0)</f>
        <v>0</v>
      </c>
    </row>
    <row r="1725">
      <c r="A1725" s="39" t="n"/>
      <c r="B1725" s="40" t="n"/>
      <c r="C1725" s="35" t="n"/>
      <c r="D1725" s="35" t="n"/>
      <c r="E1725" s="34" t="n"/>
      <c r="F1725" s="35" t="n"/>
      <c r="G1725" s="35" t="n"/>
      <c r="H1725" s="35" t="n"/>
      <c r="I1725" s="35" t="n"/>
      <c r="J1725" s="35" t="n"/>
      <c r="K1725" s="34" t="n"/>
      <c r="L1725" s="26">
        <f>IF(A1725="","",MONTH(A1725))</f>
        <v/>
      </c>
      <c r="M1725" s="26">
        <f>IF(A1725="","",YEAR(A1725))</f>
        <v/>
      </c>
      <c r="N1725" s="26">
        <f>IF(A1725="","",CHOOSE(WEEKDAY(A1725,2),"Segunda","Terça","Quarta","Quinta","Sexta","Sábado","Domingo"))</f>
        <v/>
      </c>
      <c r="O1725" s="26">
        <f>IF(B1725="","",IF(B1725&lt;TIME(12,0,0),"Manhã",IF(B1725&lt;TIME(18,0,0),"Tarde","Noite")))</f>
        <v/>
      </c>
      <c r="P1725" s="32">
        <f>IF(G1725="","",IFERROR(INDEX(Config!$I$5:$I$16,MATCH(G1725,Config!$H$5:$H$16,0)),0))</f>
        <v/>
      </c>
      <c r="Q1725" s="30">
        <f>IF(OR(H1725&lt;&gt;"Realizado",P1725="",P1725=0),"",A1725+P1725)</f>
        <v/>
      </c>
      <c r="R1725" s="26">
        <f>IF(Q1725="","",IF(COUNTIFS($E$5:$E$3004,E1725,$A$5:$A$3004,"&gt;"&amp;A1725,$H$5:$H$3004,"&lt;&gt;Falta",$H$5:$H$3004,"&lt;&gt;Cancelado",$H$5:$H$3004,"&lt;&gt;Remarcado")&gt;0,"Sim","Não"))</f>
        <v/>
      </c>
      <c r="S1725" s="32">
        <f>IF(R1725&lt;&gt;"Não","",IF(Q1725+Config!$B$9&lt;=Config!$B$8,Config!$B$8-Q1725,""))</f>
        <v/>
      </c>
      <c r="T1725" s="26">
        <f>IF(S1725="","","Sim")</f>
        <v/>
      </c>
      <c r="U1725" s="41">
        <f>IF(T1725="Sim",S1725+ROW()/100000,0)</f>
        <v>0</v>
      </c>
      <c r="V1725" s="41">
        <f>IF(AND(H1725="Falta",L1725=Config!$B$7,M1725=Config!$B$5,COUNTIFS($E$5:E1725,E1725,$H$5:H1725,"Falta",$L$5:L1725,Config!$B$7,$M$5:M1725,Config!$B$5)=1),COUNTIFS($E$5:$E$3004,E1725,$H$5:$H$3004,"Falta",$L$5:$L$3004,Config!$B$7,$M$5:$M$3004,Config!$B$5)*1000-ROW()/100000,0)</f>
        <v>0</v>
      </c>
    </row>
    <row r="1726">
      <c r="A1726" s="39" t="n"/>
      <c r="B1726" s="40" t="n"/>
      <c r="C1726" s="35" t="n"/>
      <c r="D1726" s="35" t="n"/>
      <c r="E1726" s="34" t="n"/>
      <c r="F1726" s="35" t="n"/>
      <c r="G1726" s="35" t="n"/>
      <c r="H1726" s="35" t="n"/>
      <c r="I1726" s="35" t="n"/>
      <c r="J1726" s="35" t="n"/>
      <c r="K1726" s="34" t="n"/>
      <c r="L1726" s="26">
        <f>IF(A1726="","",MONTH(A1726))</f>
        <v/>
      </c>
      <c r="M1726" s="26">
        <f>IF(A1726="","",YEAR(A1726))</f>
        <v/>
      </c>
      <c r="N1726" s="26">
        <f>IF(A1726="","",CHOOSE(WEEKDAY(A1726,2),"Segunda","Terça","Quarta","Quinta","Sexta","Sábado","Domingo"))</f>
        <v/>
      </c>
      <c r="O1726" s="26">
        <f>IF(B1726="","",IF(B1726&lt;TIME(12,0,0),"Manhã",IF(B1726&lt;TIME(18,0,0),"Tarde","Noite")))</f>
        <v/>
      </c>
      <c r="P1726" s="32">
        <f>IF(G1726="","",IFERROR(INDEX(Config!$I$5:$I$16,MATCH(G1726,Config!$H$5:$H$16,0)),0))</f>
        <v/>
      </c>
      <c r="Q1726" s="30">
        <f>IF(OR(H1726&lt;&gt;"Realizado",P1726="",P1726=0),"",A1726+P1726)</f>
        <v/>
      </c>
      <c r="R1726" s="26">
        <f>IF(Q1726="","",IF(COUNTIFS($E$5:$E$3004,E1726,$A$5:$A$3004,"&gt;"&amp;A1726,$H$5:$H$3004,"&lt;&gt;Falta",$H$5:$H$3004,"&lt;&gt;Cancelado",$H$5:$H$3004,"&lt;&gt;Remarcado")&gt;0,"Sim","Não"))</f>
        <v/>
      </c>
      <c r="S1726" s="32">
        <f>IF(R1726&lt;&gt;"Não","",IF(Q1726+Config!$B$9&lt;=Config!$B$8,Config!$B$8-Q1726,""))</f>
        <v/>
      </c>
      <c r="T1726" s="26">
        <f>IF(S1726="","","Sim")</f>
        <v/>
      </c>
      <c r="U1726" s="41">
        <f>IF(T1726="Sim",S1726+ROW()/100000,0)</f>
        <v>0</v>
      </c>
      <c r="V1726" s="41">
        <f>IF(AND(H1726="Falta",L1726=Config!$B$7,M1726=Config!$B$5,COUNTIFS($E$5:E1726,E1726,$H$5:H1726,"Falta",$L$5:L1726,Config!$B$7,$M$5:M1726,Config!$B$5)=1),COUNTIFS($E$5:$E$3004,E1726,$H$5:$H$3004,"Falta",$L$5:$L$3004,Config!$B$7,$M$5:$M$3004,Config!$B$5)*1000-ROW()/100000,0)</f>
        <v>0</v>
      </c>
    </row>
    <row r="1727">
      <c r="A1727" s="39" t="n"/>
      <c r="B1727" s="40" t="n"/>
      <c r="C1727" s="35" t="n"/>
      <c r="D1727" s="35" t="n"/>
      <c r="E1727" s="34" t="n"/>
      <c r="F1727" s="35" t="n"/>
      <c r="G1727" s="35" t="n"/>
      <c r="H1727" s="35" t="n"/>
      <c r="I1727" s="35" t="n"/>
      <c r="J1727" s="35" t="n"/>
      <c r="K1727" s="34" t="n"/>
      <c r="L1727" s="26">
        <f>IF(A1727="","",MONTH(A1727))</f>
        <v/>
      </c>
      <c r="M1727" s="26">
        <f>IF(A1727="","",YEAR(A1727))</f>
        <v/>
      </c>
      <c r="N1727" s="26">
        <f>IF(A1727="","",CHOOSE(WEEKDAY(A1727,2),"Segunda","Terça","Quarta","Quinta","Sexta","Sábado","Domingo"))</f>
        <v/>
      </c>
      <c r="O1727" s="26">
        <f>IF(B1727="","",IF(B1727&lt;TIME(12,0,0),"Manhã",IF(B1727&lt;TIME(18,0,0),"Tarde","Noite")))</f>
        <v/>
      </c>
      <c r="P1727" s="32">
        <f>IF(G1727="","",IFERROR(INDEX(Config!$I$5:$I$16,MATCH(G1727,Config!$H$5:$H$16,0)),0))</f>
        <v/>
      </c>
      <c r="Q1727" s="30">
        <f>IF(OR(H1727&lt;&gt;"Realizado",P1727="",P1727=0),"",A1727+P1727)</f>
        <v/>
      </c>
      <c r="R1727" s="26">
        <f>IF(Q1727="","",IF(COUNTIFS($E$5:$E$3004,E1727,$A$5:$A$3004,"&gt;"&amp;A1727,$H$5:$H$3004,"&lt;&gt;Falta",$H$5:$H$3004,"&lt;&gt;Cancelado",$H$5:$H$3004,"&lt;&gt;Remarcado")&gt;0,"Sim","Não"))</f>
        <v/>
      </c>
      <c r="S1727" s="32">
        <f>IF(R1727&lt;&gt;"Não","",IF(Q1727+Config!$B$9&lt;=Config!$B$8,Config!$B$8-Q1727,""))</f>
        <v/>
      </c>
      <c r="T1727" s="26">
        <f>IF(S1727="","","Sim")</f>
        <v/>
      </c>
      <c r="U1727" s="41">
        <f>IF(T1727="Sim",S1727+ROW()/100000,0)</f>
        <v>0</v>
      </c>
      <c r="V1727" s="41">
        <f>IF(AND(H1727="Falta",L1727=Config!$B$7,M1727=Config!$B$5,COUNTIFS($E$5:E1727,E1727,$H$5:H1727,"Falta",$L$5:L1727,Config!$B$7,$M$5:M1727,Config!$B$5)=1),COUNTIFS($E$5:$E$3004,E1727,$H$5:$H$3004,"Falta",$L$5:$L$3004,Config!$B$7,$M$5:$M$3004,Config!$B$5)*1000-ROW()/100000,0)</f>
        <v>0</v>
      </c>
    </row>
    <row r="1728">
      <c r="A1728" s="39" t="n"/>
      <c r="B1728" s="40" t="n"/>
      <c r="C1728" s="35" t="n"/>
      <c r="D1728" s="35" t="n"/>
      <c r="E1728" s="34" t="n"/>
      <c r="F1728" s="35" t="n"/>
      <c r="G1728" s="35" t="n"/>
      <c r="H1728" s="35" t="n"/>
      <c r="I1728" s="35" t="n"/>
      <c r="J1728" s="35" t="n"/>
      <c r="K1728" s="34" t="n"/>
      <c r="L1728" s="26">
        <f>IF(A1728="","",MONTH(A1728))</f>
        <v/>
      </c>
      <c r="M1728" s="26">
        <f>IF(A1728="","",YEAR(A1728))</f>
        <v/>
      </c>
      <c r="N1728" s="26">
        <f>IF(A1728="","",CHOOSE(WEEKDAY(A1728,2),"Segunda","Terça","Quarta","Quinta","Sexta","Sábado","Domingo"))</f>
        <v/>
      </c>
      <c r="O1728" s="26">
        <f>IF(B1728="","",IF(B1728&lt;TIME(12,0,0),"Manhã",IF(B1728&lt;TIME(18,0,0),"Tarde","Noite")))</f>
        <v/>
      </c>
      <c r="P1728" s="32">
        <f>IF(G1728="","",IFERROR(INDEX(Config!$I$5:$I$16,MATCH(G1728,Config!$H$5:$H$16,0)),0))</f>
        <v/>
      </c>
      <c r="Q1728" s="30">
        <f>IF(OR(H1728&lt;&gt;"Realizado",P1728="",P1728=0),"",A1728+P1728)</f>
        <v/>
      </c>
      <c r="R1728" s="26">
        <f>IF(Q1728="","",IF(COUNTIFS($E$5:$E$3004,E1728,$A$5:$A$3004,"&gt;"&amp;A1728,$H$5:$H$3004,"&lt;&gt;Falta",$H$5:$H$3004,"&lt;&gt;Cancelado",$H$5:$H$3004,"&lt;&gt;Remarcado")&gt;0,"Sim","Não"))</f>
        <v/>
      </c>
      <c r="S1728" s="32">
        <f>IF(R1728&lt;&gt;"Não","",IF(Q1728+Config!$B$9&lt;=Config!$B$8,Config!$B$8-Q1728,""))</f>
        <v/>
      </c>
      <c r="T1728" s="26">
        <f>IF(S1728="","","Sim")</f>
        <v/>
      </c>
      <c r="U1728" s="41">
        <f>IF(T1728="Sim",S1728+ROW()/100000,0)</f>
        <v>0</v>
      </c>
      <c r="V1728" s="41">
        <f>IF(AND(H1728="Falta",L1728=Config!$B$7,M1728=Config!$B$5,COUNTIFS($E$5:E1728,E1728,$H$5:H1728,"Falta",$L$5:L1728,Config!$B$7,$M$5:M1728,Config!$B$5)=1),COUNTIFS($E$5:$E$3004,E1728,$H$5:$H$3004,"Falta",$L$5:$L$3004,Config!$B$7,$M$5:$M$3004,Config!$B$5)*1000-ROW()/100000,0)</f>
        <v>0</v>
      </c>
    </row>
    <row r="1729">
      <c r="A1729" s="39" t="n"/>
      <c r="B1729" s="40" t="n"/>
      <c r="C1729" s="35" t="n"/>
      <c r="D1729" s="35" t="n"/>
      <c r="E1729" s="34" t="n"/>
      <c r="F1729" s="35" t="n"/>
      <c r="G1729" s="35" t="n"/>
      <c r="H1729" s="35" t="n"/>
      <c r="I1729" s="35" t="n"/>
      <c r="J1729" s="35" t="n"/>
      <c r="K1729" s="34" t="n"/>
      <c r="L1729" s="26">
        <f>IF(A1729="","",MONTH(A1729))</f>
        <v/>
      </c>
      <c r="M1729" s="26">
        <f>IF(A1729="","",YEAR(A1729))</f>
        <v/>
      </c>
      <c r="N1729" s="26">
        <f>IF(A1729="","",CHOOSE(WEEKDAY(A1729,2),"Segunda","Terça","Quarta","Quinta","Sexta","Sábado","Domingo"))</f>
        <v/>
      </c>
      <c r="O1729" s="26">
        <f>IF(B1729="","",IF(B1729&lt;TIME(12,0,0),"Manhã",IF(B1729&lt;TIME(18,0,0),"Tarde","Noite")))</f>
        <v/>
      </c>
      <c r="P1729" s="32">
        <f>IF(G1729="","",IFERROR(INDEX(Config!$I$5:$I$16,MATCH(G1729,Config!$H$5:$H$16,0)),0))</f>
        <v/>
      </c>
      <c r="Q1729" s="30">
        <f>IF(OR(H1729&lt;&gt;"Realizado",P1729="",P1729=0),"",A1729+P1729)</f>
        <v/>
      </c>
      <c r="R1729" s="26">
        <f>IF(Q1729="","",IF(COUNTIFS($E$5:$E$3004,E1729,$A$5:$A$3004,"&gt;"&amp;A1729,$H$5:$H$3004,"&lt;&gt;Falta",$H$5:$H$3004,"&lt;&gt;Cancelado",$H$5:$H$3004,"&lt;&gt;Remarcado")&gt;0,"Sim","Não"))</f>
        <v/>
      </c>
      <c r="S1729" s="32">
        <f>IF(R1729&lt;&gt;"Não","",IF(Q1729+Config!$B$9&lt;=Config!$B$8,Config!$B$8-Q1729,""))</f>
        <v/>
      </c>
      <c r="T1729" s="26">
        <f>IF(S1729="","","Sim")</f>
        <v/>
      </c>
      <c r="U1729" s="41">
        <f>IF(T1729="Sim",S1729+ROW()/100000,0)</f>
        <v>0</v>
      </c>
      <c r="V1729" s="41">
        <f>IF(AND(H1729="Falta",L1729=Config!$B$7,M1729=Config!$B$5,COUNTIFS($E$5:E1729,E1729,$H$5:H1729,"Falta",$L$5:L1729,Config!$B$7,$M$5:M1729,Config!$B$5)=1),COUNTIFS($E$5:$E$3004,E1729,$H$5:$H$3004,"Falta",$L$5:$L$3004,Config!$B$7,$M$5:$M$3004,Config!$B$5)*1000-ROW()/100000,0)</f>
        <v>0</v>
      </c>
    </row>
    <row r="1730">
      <c r="A1730" s="39" t="n"/>
      <c r="B1730" s="40" t="n"/>
      <c r="C1730" s="35" t="n"/>
      <c r="D1730" s="35" t="n"/>
      <c r="E1730" s="34" t="n"/>
      <c r="F1730" s="35" t="n"/>
      <c r="G1730" s="35" t="n"/>
      <c r="H1730" s="35" t="n"/>
      <c r="I1730" s="35" t="n"/>
      <c r="J1730" s="35" t="n"/>
      <c r="K1730" s="34" t="n"/>
      <c r="L1730" s="26">
        <f>IF(A1730="","",MONTH(A1730))</f>
        <v/>
      </c>
      <c r="M1730" s="26">
        <f>IF(A1730="","",YEAR(A1730))</f>
        <v/>
      </c>
      <c r="N1730" s="26">
        <f>IF(A1730="","",CHOOSE(WEEKDAY(A1730,2),"Segunda","Terça","Quarta","Quinta","Sexta","Sábado","Domingo"))</f>
        <v/>
      </c>
      <c r="O1730" s="26">
        <f>IF(B1730="","",IF(B1730&lt;TIME(12,0,0),"Manhã",IF(B1730&lt;TIME(18,0,0),"Tarde","Noite")))</f>
        <v/>
      </c>
      <c r="P1730" s="32">
        <f>IF(G1730="","",IFERROR(INDEX(Config!$I$5:$I$16,MATCH(G1730,Config!$H$5:$H$16,0)),0))</f>
        <v/>
      </c>
      <c r="Q1730" s="30">
        <f>IF(OR(H1730&lt;&gt;"Realizado",P1730="",P1730=0),"",A1730+P1730)</f>
        <v/>
      </c>
      <c r="R1730" s="26">
        <f>IF(Q1730="","",IF(COUNTIFS($E$5:$E$3004,E1730,$A$5:$A$3004,"&gt;"&amp;A1730,$H$5:$H$3004,"&lt;&gt;Falta",$H$5:$H$3004,"&lt;&gt;Cancelado",$H$5:$H$3004,"&lt;&gt;Remarcado")&gt;0,"Sim","Não"))</f>
        <v/>
      </c>
      <c r="S1730" s="32">
        <f>IF(R1730&lt;&gt;"Não","",IF(Q1730+Config!$B$9&lt;=Config!$B$8,Config!$B$8-Q1730,""))</f>
        <v/>
      </c>
      <c r="T1730" s="26">
        <f>IF(S1730="","","Sim")</f>
        <v/>
      </c>
      <c r="U1730" s="41">
        <f>IF(T1730="Sim",S1730+ROW()/100000,0)</f>
        <v>0</v>
      </c>
      <c r="V1730" s="41">
        <f>IF(AND(H1730="Falta",L1730=Config!$B$7,M1730=Config!$B$5,COUNTIFS($E$5:E1730,E1730,$H$5:H1730,"Falta",$L$5:L1730,Config!$B$7,$M$5:M1730,Config!$B$5)=1),COUNTIFS($E$5:$E$3004,E1730,$H$5:$H$3004,"Falta",$L$5:$L$3004,Config!$B$7,$M$5:$M$3004,Config!$B$5)*1000-ROW()/100000,0)</f>
        <v>0</v>
      </c>
    </row>
    <row r="1731">
      <c r="A1731" s="39" t="n"/>
      <c r="B1731" s="40" t="n"/>
      <c r="C1731" s="35" t="n"/>
      <c r="D1731" s="35" t="n"/>
      <c r="E1731" s="34" t="n"/>
      <c r="F1731" s="35" t="n"/>
      <c r="G1731" s="35" t="n"/>
      <c r="H1731" s="35" t="n"/>
      <c r="I1731" s="35" t="n"/>
      <c r="J1731" s="35" t="n"/>
      <c r="K1731" s="34" t="n"/>
      <c r="L1731" s="26">
        <f>IF(A1731="","",MONTH(A1731))</f>
        <v/>
      </c>
      <c r="M1731" s="26">
        <f>IF(A1731="","",YEAR(A1731))</f>
        <v/>
      </c>
      <c r="N1731" s="26">
        <f>IF(A1731="","",CHOOSE(WEEKDAY(A1731,2),"Segunda","Terça","Quarta","Quinta","Sexta","Sábado","Domingo"))</f>
        <v/>
      </c>
      <c r="O1731" s="26">
        <f>IF(B1731="","",IF(B1731&lt;TIME(12,0,0),"Manhã",IF(B1731&lt;TIME(18,0,0),"Tarde","Noite")))</f>
        <v/>
      </c>
      <c r="P1731" s="32">
        <f>IF(G1731="","",IFERROR(INDEX(Config!$I$5:$I$16,MATCH(G1731,Config!$H$5:$H$16,0)),0))</f>
        <v/>
      </c>
      <c r="Q1731" s="30">
        <f>IF(OR(H1731&lt;&gt;"Realizado",P1731="",P1731=0),"",A1731+P1731)</f>
        <v/>
      </c>
      <c r="R1731" s="26">
        <f>IF(Q1731="","",IF(COUNTIFS($E$5:$E$3004,E1731,$A$5:$A$3004,"&gt;"&amp;A1731,$H$5:$H$3004,"&lt;&gt;Falta",$H$5:$H$3004,"&lt;&gt;Cancelado",$H$5:$H$3004,"&lt;&gt;Remarcado")&gt;0,"Sim","Não"))</f>
        <v/>
      </c>
      <c r="S1731" s="32">
        <f>IF(R1731&lt;&gt;"Não","",IF(Q1731+Config!$B$9&lt;=Config!$B$8,Config!$B$8-Q1731,""))</f>
        <v/>
      </c>
      <c r="T1731" s="26">
        <f>IF(S1731="","","Sim")</f>
        <v/>
      </c>
      <c r="U1731" s="41">
        <f>IF(T1731="Sim",S1731+ROW()/100000,0)</f>
        <v>0</v>
      </c>
      <c r="V1731" s="41">
        <f>IF(AND(H1731="Falta",L1731=Config!$B$7,M1731=Config!$B$5,COUNTIFS($E$5:E1731,E1731,$H$5:H1731,"Falta",$L$5:L1731,Config!$B$7,$M$5:M1731,Config!$B$5)=1),COUNTIFS($E$5:$E$3004,E1731,$H$5:$H$3004,"Falta",$L$5:$L$3004,Config!$B$7,$M$5:$M$3004,Config!$B$5)*1000-ROW()/100000,0)</f>
        <v>0</v>
      </c>
    </row>
    <row r="1732">
      <c r="A1732" s="39" t="n"/>
      <c r="B1732" s="40" t="n"/>
      <c r="C1732" s="35" t="n"/>
      <c r="D1732" s="35" t="n"/>
      <c r="E1732" s="34" t="n"/>
      <c r="F1732" s="35" t="n"/>
      <c r="G1732" s="35" t="n"/>
      <c r="H1732" s="35" t="n"/>
      <c r="I1732" s="35" t="n"/>
      <c r="J1732" s="35" t="n"/>
      <c r="K1732" s="34" t="n"/>
      <c r="L1732" s="26">
        <f>IF(A1732="","",MONTH(A1732))</f>
        <v/>
      </c>
      <c r="M1732" s="26">
        <f>IF(A1732="","",YEAR(A1732))</f>
        <v/>
      </c>
      <c r="N1732" s="26">
        <f>IF(A1732="","",CHOOSE(WEEKDAY(A1732,2),"Segunda","Terça","Quarta","Quinta","Sexta","Sábado","Domingo"))</f>
        <v/>
      </c>
      <c r="O1732" s="26">
        <f>IF(B1732="","",IF(B1732&lt;TIME(12,0,0),"Manhã",IF(B1732&lt;TIME(18,0,0),"Tarde","Noite")))</f>
        <v/>
      </c>
      <c r="P1732" s="32">
        <f>IF(G1732="","",IFERROR(INDEX(Config!$I$5:$I$16,MATCH(G1732,Config!$H$5:$H$16,0)),0))</f>
        <v/>
      </c>
      <c r="Q1732" s="30">
        <f>IF(OR(H1732&lt;&gt;"Realizado",P1732="",P1732=0),"",A1732+P1732)</f>
        <v/>
      </c>
      <c r="R1732" s="26">
        <f>IF(Q1732="","",IF(COUNTIFS($E$5:$E$3004,E1732,$A$5:$A$3004,"&gt;"&amp;A1732,$H$5:$H$3004,"&lt;&gt;Falta",$H$5:$H$3004,"&lt;&gt;Cancelado",$H$5:$H$3004,"&lt;&gt;Remarcado")&gt;0,"Sim","Não"))</f>
        <v/>
      </c>
      <c r="S1732" s="32">
        <f>IF(R1732&lt;&gt;"Não","",IF(Q1732+Config!$B$9&lt;=Config!$B$8,Config!$B$8-Q1732,""))</f>
        <v/>
      </c>
      <c r="T1732" s="26">
        <f>IF(S1732="","","Sim")</f>
        <v/>
      </c>
      <c r="U1732" s="41">
        <f>IF(T1732="Sim",S1732+ROW()/100000,0)</f>
        <v>0</v>
      </c>
      <c r="V1732" s="41">
        <f>IF(AND(H1732="Falta",L1732=Config!$B$7,M1732=Config!$B$5,COUNTIFS($E$5:E1732,E1732,$H$5:H1732,"Falta",$L$5:L1732,Config!$B$7,$M$5:M1732,Config!$B$5)=1),COUNTIFS($E$5:$E$3004,E1732,$H$5:$H$3004,"Falta",$L$5:$L$3004,Config!$B$7,$M$5:$M$3004,Config!$B$5)*1000-ROW()/100000,0)</f>
        <v>0</v>
      </c>
    </row>
    <row r="1733">
      <c r="A1733" s="39" t="n"/>
      <c r="B1733" s="40" t="n"/>
      <c r="C1733" s="35" t="n"/>
      <c r="D1733" s="35" t="n"/>
      <c r="E1733" s="34" t="n"/>
      <c r="F1733" s="35" t="n"/>
      <c r="G1733" s="35" t="n"/>
      <c r="H1733" s="35" t="n"/>
      <c r="I1733" s="35" t="n"/>
      <c r="J1733" s="35" t="n"/>
      <c r="K1733" s="34" t="n"/>
      <c r="L1733" s="26">
        <f>IF(A1733="","",MONTH(A1733))</f>
        <v/>
      </c>
      <c r="M1733" s="26">
        <f>IF(A1733="","",YEAR(A1733))</f>
        <v/>
      </c>
      <c r="N1733" s="26">
        <f>IF(A1733="","",CHOOSE(WEEKDAY(A1733,2),"Segunda","Terça","Quarta","Quinta","Sexta","Sábado","Domingo"))</f>
        <v/>
      </c>
      <c r="O1733" s="26">
        <f>IF(B1733="","",IF(B1733&lt;TIME(12,0,0),"Manhã",IF(B1733&lt;TIME(18,0,0),"Tarde","Noite")))</f>
        <v/>
      </c>
      <c r="P1733" s="32">
        <f>IF(G1733="","",IFERROR(INDEX(Config!$I$5:$I$16,MATCH(G1733,Config!$H$5:$H$16,0)),0))</f>
        <v/>
      </c>
      <c r="Q1733" s="30">
        <f>IF(OR(H1733&lt;&gt;"Realizado",P1733="",P1733=0),"",A1733+P1733)</f>
        <v/>
      </c>
      <c r="R1733" s="26">
        <f>IF(Q1733="","",IF(COUNTIFS($E$5:$E$3004,E1733,$A$5:$A$3004,"&gt;"&amp;A1733,$H$5:$H$3004,"&lt;&gt;Falta",$H$5:$H$3004,"&lt;&gt;Cancelado",$H$5:$H$3004,"&lt;&gt;Remarcado")&gt;0,"Sim","Não"))</f>
        <v/>
      </c>
      <c r="S1733" s="32">
        <f>IF(R1733&lt;&gt;"Não","",IF(Q1733+Config!$B$9&lt;=Config!$B$8,Config!$B$8-Q1733,""))</f>
        <v/>
      </c>
      <c r="T1733" s="26">
        <f>IF(S1733="","","Sim")</f>
        <v/>
      </c>
      <c r="U1733" s="41">
        <f>IF(T1733="Sim",S1733+ROW()/100000,0)</f>
        <v>0</v>
      </c>
      <c r="V1733" s="41">
        <f>IF(AND(H1733="Falta",L1733=Config!$B$7,M1733=Config!$B$5,COUNTIFS($E$5:E1733,E1733,$H$5:H1733,"Falta",$L$5:L1733,Config!$B$7,$M$5:M1733,Config!$B$5)=1),COUNTIFS($E$5:$E$3004,E1733,$H$5:$H$3004,"Falta",$L$5:$L$3004,Config!$B$7,$M$5:$M$3004,Config!$B$5)*1000-ROW()/100000,0)</f>
        <v>0</v>
      </c>
    </row>
    <row r="1734">
      <c r="A1734" s="39" t="n"/>
      <c r="B1734" s="40" t="n"/>
      <c r="C1734" s="35" t="n"/>
      <c r="D1734" s="35" t="n"/>
      <c r="E1734" s="34" t="n"/>
      <c r="F1734" s="35" t="n"/>
      <c r="G1734" s="35" t="n"/>
      <c r="H1734" s="35" t="n"/>
      <c r="I1734" s="35" t="n"/>
      <c r="J1734" s="35" t="n"/>
      <c r="K1734" s="34" t="n"/>
      <c r="L1734" s="26">
        <f>IF(A1734="","",MONTH(A1734))</f>
        <v/>
      </c>
      <c r="M1734" s="26">
        <f>IF(A1734="","",YEAR(A1734))</f>
        <v/>
      </c>
      <c r="N1734" s="26">
        <f>IF(A1734="","",CHOOSE(WEEKDAY(A1734,2),"Segunda","Terça","Quarta","Quinta","Sexta","Sábado","Domingo"))</f>
        <v/>
      </c>
      <c r="O1734" s="26">
        <f>IF(B1734="","",IF(B1734&lt;TIME(12,0,0),"Manhã",IF(B1734&lt;TIME(18,0,0),"Tarde","Noite")))</f>
        <v/>
      </c>
      <c r="P1734" s="32">
        <f>IF(G1734="","",IFERROR(INDEX(Config!$I$5:$I$16,MATCH(G1734,Config!$H$5:$H$16,0)),0))</f>
        <v/>
      </c>
      <c r="Q1734" s="30">
        <f>IF(OR(H1734&lt;&gt;"Realizado",P1734="",P1734=0),"",A1734+P1734)</f>
        <v/>
      </c>
      <c r="R1734" s="26">
        <f>IF(Q1734="","",IF(COUNTIFS($E$5:$E$3004,E1734,$A$5:$A$3004,"&gt;"&amp;A1734,$H$5:$H$3004,"&lt;&gt;Falta",$H$5:$H$3004,"&lt;&gt;Cancelado",$H$5:$H$3004,"&lt;&gt;Remarcado")&gt;0,"Sim","Não"))</f>
        <v/>
      </c>
      <c r="S1734" s="32">
        <f>IF(R1734&lt;&gt;"Não","",IF(Q1734+Config!$B$9&lt;=Config!$B$8,Config!$B$8-Q1734,""))</f>
        <v/>
      </c>
      <c r="T1734" s="26">
        <f>IF(S1734="","","Sim")</f>
        <v/>
      </c>
      <c r="U1734" s="41">
        <f>IF(T1734="Sim",S1734+ROW()/100000,0)</f>
        <v>0</v>
      </c>
      <c r="V1734" s="41">
        <f>IF(AND(H1734="Falta",L1734=Config!$B$7,M1734=Config!$B$5,COUNTIFS($E$5:E1734,E1734,$H$5:H1734,"Falta",$L$5:L1734,Config!$B$7,$M$5:M1734,Config!$B$5)=1),COUNTIFS($E$5:$E$3004,E1734,$H$5:$H$3004,"Falta",$L$5:$L$3004,Config!$B$7,$M$5:$M$3004,Config!$B$5)*1000-ROW()/100000,0)</f>
        <v>0</v>
      </c>
    </row>
    <row r="1735">
      <c r="A1735" s="39" t="n"/>
      <c r="B1735" s="40" t="n"/>
      <c r="C1735" s="35" t="n"/>
      <c r="D1735" s="35" t="n"/>
      <c r="E1735" s="34" t="n"/>
      <c r="F1735" s="35" t="n"/>
      <c r="G1735" s="35" t="n"/>
      <c r="H1735" s="35" t="n"/>
      <c r="I1735" s="35" t="n"/>
      <c r="J1735" s="35" t="n"/>
      <c r="K1735" s="34" t="n"/>
      <c r="L1735" s="26">
        <f>IF(A1735="","",MONTH(A1735))</f>
        <v/>
      </c>
      <c r="M1735" s="26">
        <f>IF(A1735="","",YEAR(A1735))</f>
        <v/>
      </c>
      <c r="N1735" s="26">
        <f>IF(A1735="","",CHOOSE(WEEKDAY(A1735,2),"Segunda","Terça","Quarta","Quinta","Sexta","Sábado","Domingo"))</f>
        <v/>
      </c>
      <c r="O1735" s="26">
        <f>IF(B1735="","",IF(B1735&lt;TIME(12,0,0),"Manhã",IF(B1735&lt;TIME(18,0,0),"Tarde","Noite")))</f>
        <v/>
      </c>
      <c r="P1735" s="32">
        <f>IF(G1735="","",IFERROR(INDEX(Config!$I$5:$I$16,MATCH(G1735,Config!$H$5:$H$16,0)),0))</f>
        <v/>
      </c>
      <c r="Q1735" s="30">
        <f>IF(OR(H1735&lt;&gt;"Realizado",P1735="",P1735=0),"",A1735+P1735)</f>
        <v/>
      </c>
      <c r="R1735" s="26">
        <f>IF(Q1735="","",IF(COUNTIFS($E$5:$E$3004,E1735,$A$5:$A$3004,"&gt;"&amp;A1735,$H$5:$H$3004,"&lt;&gt;Falta",$H$5:$H$3004,"&lt;&gt;Cancelado",$H$5:$H$3004,"&lt;&gt;Remarcado")&gt;0,"Sim","Não"))</f>
        <v/>
      </c>
      <c r="S1735" s="32">
        <f>IF(R1735&lt;&gt;"Não","",IF(Q1735+Config!$B$9&lt;=Config!$B$8,Config!$B$8-Q1735,""))</f>
        <v/>
      </c>
      <c r="T1735" s="26">
        <f>IF(S1735="","","Sim")</f>
        <v/>
      </c>
      <c r="U1735" s="41">
        <f>IF(T1735="Sim",S1735+ROW()/100000,0)</f>
        <v>0</v>
      </c>
      <c r="V1735" s="41">
        <f>IF(AND(H1735="Falta",L1735=Config!$B$7,M1735=Config!$B$5,COUNTIFS($E$5:E1735,E1735,$H$5:H1735,"Falta",$L$5:L1735,Config!$B$7,$M$5:M1735,Config!$B$5)=1),COUNTIFS($E$5:$E$3004,E1735,$H$5:$H$3004,"Falta",$L$5:$L$3004,Config!$B$7,$M$5:$M$3004,Config!$B$5)*1000-ROW()/100000,0)</f>
        <v>0</v>
      </c>
    </row>
    <row r="1736">
      <c r="A1736" s="39" t="n"/>
      <c r="B1736" s="40" t="n"/>
      <c r="C1736" s="35" t="n"/>
      <c r="D1736" s="35" t="n"/>
      <c r="E1736" s="34" t="n"/>
      <c r="F1736" s="35" t="n"/>
      <c r="G1736" s="35" t="n"/>
      <c r="H1736" s="35" t="n"/>
      <c r="I1736" s="35" t="n"/>
      <c r="J1736" s="35" t="n"/>
      <c r="K1736" s="34" t="n"/>
      <c r="L1736" s="26">
        <f>IF(A1736="","",MONTH(A1736))</f>
        <v/>
      </c>
      <c r="M1736" s="26">
        <f>IF(A1736="","",YEAR(A1736))</f>
        <v/>
      </c>
      <c r="N1736" s="26">
        <f>IF(A1736="","",CHOOSE(WEEKDAY(A1736,2),"Segunda","Terça","Quarta","Quinta","Sexta","Sábado","Domingo"))</f>
        <v/>
      </c>
      <c r="O1736" s="26">
        <f>IF(B1736="","",IF(B1736&lt;TIME(12,0,0),"Manhã",IF(B1736&lt;TIME(18,0,0),"Tarde","Noite")))</f>
        <v/>
      </c>
      <c r="P1736" s="32">
        <f>IF(G1736="","",IFERROR(INDEX(Config!$I$5:$I$16,MATCH(G1736,Config!$H$5:$H$16,0)),0))</f>
        <v/>
      </c>
      <c r="Q1736" s="30">
        <f>IF(OR(H1736&lt;&gt;"Realizado",P1736="",P1736=0),"",A1736+P1736)</f>
        <v/>
      </c>
      <c r="R1736" s="26">
        <f>IF(Q1736="","",IF(COUNTIFS($E$5:$E$3004,E1736,$A$5:$A$3004,"&gt;"&amp;A1736,$H$5:$H$3004,"&lt;&gt;Falta",$H$5:$H$3004,"&lt;&gt;Cancelado",$H$5:$H$3004,"&lt;&gt;Remarcado")&gt;0,"Sim","Não"))</f>
        <v/>
      </c>
      <c r="S1736" s="32">
        <f>IF(R1736&lt;&gt;"Não","",IF(Q1736+Config!$B$9&lt;=Config!$B$8,Config!$B$8-Q1736,""))</f>
        <v/>
      </c>
      <c r="T1736" s="26">
        <f>IF(S1736="","","Sim")</f>
        <v/>
      </c>
      <c r="U1736" s="41">
        <f>IF(T1736="Sim",S1736+ROW()/100000,0)</f>
        <v>0</v>
      </c>
      <c r="V1736" s="41">
        <f>IF(AND(H1736="Falta",L1736=Config!$B$7,M1736=Config!$B$5,COUNTIFS($E$5:E1736,E1736,$H$5:H1736,"Falta",$L$5:L1736,Config!$B$7,$M$5:M1736,Config!$B$5)=1),COUNTIFS($E$5:$E$3004,E1736,$H$5:$H$3004,"Falta",$L$5:$L$3004,Config!$B$7,$M$5:$M$3004,Config!$B$5)*1000-ROW()/100000,0)</f>
        <v>0</v>
      </c>
    </row>
    <row r="1737">
      <c r="A1737" s="39" t="n"/>
      <c r="B1737" s="40" t="n"/>
      <c r="C1737" s="35" t="n"/>
      <c r="D1737" s="35" t="n"/>
      <c r="E1737" s="34" t="n"/>
      <c r="F1737" s="35" t="n"/>
      <c r="G1737" s="35" t="n"/>
      <c r="H1737" s="35" t="n"/>
      <c r="I1737" s="35" t="n"/>
      <c r="J1737" s="35" t="n"/>
      <c r="K1737" s="34" t="n"/>
      <c r="L1737" s="26">
        <f>IF(A1737="","",MONTH(A1737))</f>
        <v/>
      </c>
      <c r="M1737" s="26">
        <f>IF(A1737="","",YEAR(A1737))</f>
        <v/>
      </c>
      <c r="N1737" s="26">
        <f>IF(A1737="","",CHOOSE(WEEKDAY(A1737,2),"Segunda","Terça","Quarta","Quinta","Sexta","Sábado","Domingo"))</f>
        <v/>
      </c>
      <c r="O1737" s="26">
        <f>IF(B1737="","",IF(B1737&lt;TIME(12,0,0),"Manhã",IF(B1737&lt;TIME(18,0,0),"Tarde","Noite")))</f>
        <v/>
      </c>
      <c r="P1737" s="32">
        <f>IF(G1737="","",IFERROR(INDEX(Config!$I$5:$I$16,MATCH(G1737,Config!$H$5:$H$16,0)),0))</f>
        <v/>
      </c>
      <c r="Q1737" s="30">
        <f>IF(OR(H1737&lt;&gt;"Realizado",P1737="",P1737=0),"",A1737+P1737)</f>
        <v/>
      </c>
      <c r="R1737" s="26">
        <f>IF(Q1737="","",IF(COUNTIFS($E$5:$E$3004,E1737,$A$5:$A$3004,"&gt;"&amp;A1737,$H$5:$H$3004,"&lt;&gt;Falta",$H$5:$H$3004,"&lt;&gt;Cancelado",$H$5:$H$3004,"&lt;&gt;Remarcado")&gt;0,"Sim","Não"))</f>
        <v/>
      </c>
      <c r="S1737" s="32">
        <f>IF(R1737&lt;&gt;"Não","",IF(Q1737+Config!$B$9&lt;=Config!$B$8,Config!$B$8-Q1737,""))</f>
        <v/>
      </c>
      <c r="T1737" s="26">
        <f>IF(S1737="","","Sim")</f>
        <v/>
      </c>
      <c r="U1737" s="41">
        <f>IF(T1737="Sim",S1737+ROW()/100000,0)</f>
        <v>0</v>
      </c>
      <c r="V1737" s="41">
        <f>IF(AND(H1737="Falta",L1737=Config!$B$7,M1737=Config!$B$5,COUNTIFS($E$5:E1737,E1737,$H$5:H1737,"Falta",$L$5:L1737,Config!$B$7,$M$5:M1737,Config!$B$5)=1),COUNTIFS($E$5:$E$3004,E1737,$H$5:$H$3004,"Falta",$L$5:$L$3004,Config!$B$7,$M$5:$M$3004,Config!$B$5)*1000-ROW()/100000,0)</f>
        <v>0</v>
      </c>
    </row>
    <row r="1738">
      <c r="A1738" s="39" t="n"/>
      <c r="B1738" s="40" t="n"/>
      <c r="C1738" s="35" t="n"/>
      <c r="D1738" s="35" t="n"/>
      <c r="E1738" s="34" t="n"/>
      <c r="F1738" s="35" t="n"/>
      <c r="G1738" s="35" t="n"/>
      <c r="H1738" s="35" t="n"/>
      <c r="I1738" s="35" t="n"/>
      <c r="J1738" s="35" t="n"/>
      <c r="K1738" s="34" t="n"/>
      <c r="L1738" s="26">
        <f>IF(A1738="","",MONTH(A1738))</f>
        <v/>
      </c>
      <c r="M1738" s="26">
        <f>IF(A1738="","",YEAR(A1738))</f>
        <v/>
      </c>
      <c r="N1738" s="26">
        <f>IF(A1738="","",CHOOSE(WEEKDAY(A1738,2),"Segunda","Terça","Quarta","Quinta","Sexta","Sábado","Domingo"))</f>
        <v/>
      </c>
      <c r="O1738" s="26">
        <f>IF(B1738="","",IF(B1738&lt;TIME(12,0,0),"Manhã",IF(B1738&lt;TIME(18,0,0),"Tarde","Noite")))</f>
        <v/>
      </c>
      <c r="P1738" s="32">
        <f>IF(G1738="","",IFERROR(INDEX(Config!$I$5:$I$16,MATCH(G1738,Config!$H$5:$H$16,0)),0))</f>
        <v/>
      </c>
      <c r="Q1738" s="30">
        <f>IF(OR(H1738&lt;&gt;"Realizado",P1738="",P1738=0),"",A1738+P1738)</f>
        <v/>
      </c>
      <c r="R1738" s="26">
        <f>IF(Q1738="","",IF(COUNTIFS($E$5:$E$3004,E1738,$A$5:$A$3004,"&gt;"&amp;A1738,$H$5:$H$3004,"&lt;&gt;Falta",$H$5:$H$3004,"&lt;&gt;Cancelado",$H$5:$H$3004,"&lt;&gt;Remarcado")&gt;0,"Sim","Não"))</f>
        <v/>
      </c>
      <c r="S1738" s="32">
        <f>IF(R1738&lt;&gt;"Não","",IF(Q1738+Config!$B$9&lt;=Config!$B$8,Config!$B$8-Q1738,""))</f>
        <v/>
      </c>
      <c r="T1738" s="26">
        <f>IF(S1738="","","Sim")</f>
        <v/>
      </c>
      <c r="U1738" s="41">
        <f>IF(T1738="Sim",S1738+ROW()/100000,0)</f>
        <v>0</v>
      </c>
      <c r="V1738" s="41">
        <f>IF(AND(H1738="Falta",L1738=Config!$B$7,M1738=Config!$B$5,COUNTIFS($E$5:E1738,E1738,$H$5:H1738,"Falta",$L$5:L1738,Config!$B$7,$M$5:M1738,Config!$B$5)=1),COUNTIFS($E$5:$E$3004,E1738,$H$5:$H$3004,"Falta",$L$5:$L$3004,Config!$B$7,$M$5:$M$3004,Config!$B$5)*1000-ROW()/100000,0)</f>
        <v>0</v>
      </c>
    </row>
    <row r="1739">
      <c r="A1739" s="39" t="n"/>
      <c r="B1739" s="40" t="n"/>
      <c r="C1739" s="35" t="n"/>
      <c r="D1739" s="35" t="n"/>
      <c r="E1739" s="34" t="n"/>
      <c r="F1739" s="35" t="n"/>
      <c r="G1739" s="35" t="n"/>
      <c r="H1739" s="35" t="n"/>
      <c r="I1739" s="35" t="n"/>
      <c r="J1739" s="35" t="n"/>
      <c r="K1739" s="34" t="n"/>
      <c r="L1739" s="26">
        <f>IF(A1739="","",MONTH(A1739))</f>
        <v/>
      </c>
      <c r="M1739" s="26">
        <f>IF(A1739="","",YEAR(A1739))</f>
        <v/>
      </c>
      <c r="N1739" s="26">
        <f>IF(A1739="","",CHOOSE(WEEKDAY(A1739,2),"Segunda","Terça","Quarta","Quinta","Sexta","Sábado","Domingo"))</f>
        <v/>
      </c>
      <c r="O1739" s="26">
        <f>IF(B1739="","",IF(B1739&lt;TIME(12,0,0),"Manhã",IF(B1739&lt;TIME(18,0,0),"Tarde","Noite")))</f>
        <v/>
      </c>
      <c r="P1739" s="32">
        <f>IF(G1739="","",IFERROR(INDEX(Config!$I$5:$I$16,MATCH(G1739,Config!$H$5:$H$16,0)),0))</f>
        <v/>
      </c>
      <c r="Q1739" s="30">
        <f>IF(OR(H1739&lt;&gt;"Realizado",P1739="",P1739=0),"",A1739+P1739)</f>
        <v/>
      </c>
      <c r="R1739" s="26">
        <f>IF(Q1739="","",IF(COUNTIFS($E$5:$E$3004,E1739,$A$5:$A$3004,"&gt;"&amp;A1739,$H$5:$H$3004,"&lt;&gt;Falta",$H$5:$H$3004,"&lt;&gt;Cancelado",$H$5:$H$3004,"&lt;&gt;Remarcado")&gt;0,"Sim","Não"))</f>
        <v/>
      </c>
      <c r="S1739" s="32">
        <f>IF(R1739&lt;&gt;"Não","",IF(Q1739+Config!$B$9&lt;=Config!$B$8,Config!$B$8-Q1739,""))</f>
        <v/>
      </c>
      <c r="T1739" s="26">
        <f>IF(S1739="","","Sim")</f>
        <v/>
      </c>
      <c r="U1739" s="41">
        <f>IF(T1739="Sim",S1739+ROW()/100000,0)</f>
        <v>0</v>
      </c>
      <c r="V1739" s="41">
        <f>IF(AND(H1739="Falta",L1739=Config!$B$7,M1739=Config!$B$5,COUNTIFS($E$5:E1739,E1739,$H$5:H1739,"Falta",$L$5:L1739,Config!$B$7,$M$5:M1739,Config!$B$5)=1),COUNTIFS($E$5:$E$3004,E1739,$H$5:$H$3004,"Falta",$L$5:$L$3004,Config!$B$7,$M$5:$M$3004,Config!$B$5)*1000-ROW()/100000,0)</f>
        <v>0</v>
      </c>
    </row>
    <row r="1740">
      <c r="A1740" s="39" t="n"/>
      <c r="B1740" s="40" t="n"/>
      <c r="C1740" s="35" t="n"/>
      <c r="D1740" s="35" t="n"/>
      <c r="E1740" s="34" t="n"/>
      <c r="F1740" s="35" t="n"/>
      <c r="G1740" s="35" t="n"/>
      <c r="H1740" s="35" t="n"/>
      <c r="I1740" s="35" t="n"/>
      <c r="J1740" s="35" t="n"/>
      <c r="K1740" s="34" t="n"/>
      <c r="L1740" s="26">
        <f>IF(A1740="","",MONTH(A1740))</f>
        <v/>
      </c>
      <c r="M1740" s="26">
        <f>IF(A1740="","",YEAR(A1740))</f>
        <v/>
      </c>
      <c r="N1740" s="26">
        <f>IF(A1740="","",CHOOSE(WEEKDAY(A1740,2),"Segunda","Terça","Quarta","Quinta","Sexta","Sábado","Domingo"))</f>
        <v/>
      </c>
      <c r="O1740" s="26">
        <f>IF(B1740="","",IF(B1740&lt;TIME(12,0,0),"Manhã",IF(B1740&lt;TIME(18,0,0),"Tarde","Noite")))</f>
        <v/>
      </c>
      <c r="P1740" s="32">
        <f>IF(G1740="","",IFERROR(INDEX(Config!$I$5:$I$16,MATCH(G1740,Config!$H$5:$H$16,0)),0))</f>
        <v/>
      </c>
      <c r="Q1740" s="30">
        <f>IF(OR(H1740&lt;&gt;"Realizado",P1740="",P1740=0),"",A1740+P1740)</f>
        <v/>
      </c>
      <c r="R1740" s="26">
        <f>IF(Q1740="","",IF(COUNTIFS($E$5:$E$3004,E1740,$A$5:$A$3004,"&gt;"&amp;A1740,$H$5:$H$3004,"&lt;&gt;Falta",$H$5:$H$3004,"&lt;&gt;Cancelado",$H$5:$H$3004,"&lt;&gt;Remarcado")&gt;0,"Sim","Não"))</f>
        <v/>
      </c>
      <c r="S1740" s="32">
        <f>IF(R1740&lt;&gt;"Não","",IF(Q1740+Config!$B$9&lt;=Config!$B$8,Config!$B$8-Q1740,""))</f>
        <v/>
      </c>
      <c r="T1740" s="26">
        <f>IF(S1740="","","Sim")</f>
        <v/>
      </c>
      <c r="U1740" s="41">
        <f>IF(T1740="Sim",S1740+ROW()/100000,0)</f>
        <v>0</v>
      </c>
      <c r="V1740" s="41">
        <f>IF(AND(H1740="Falta",L1740=Config!$B$7,M1740=Config!$B$5,COUNTIFS($E$5:E1740,E1740,$H$5:H1740,"Falta",$L$5:L1740,Config!$B$7,$M$5:M1740,Config!$B$5)=1),COUNTIFS($E$5:$E$3004,E1740,$H$5:$H$3004,"Falta",$L$5:$L$3004,Config!$B$7,$M$5:$M$3004,Config!$B$5)*1000-ROW()/100000,0)</f>
        <v>0</v>
      </c>
    </row>
    <row r="1741">
      <c r="A1741" s="39" t="n"/>
      <c r="B1741" s="40" t="n"/>
      <c r="C1741" s="35" t="n"/>
      <c r="D1741" s="35" t="n"/>
      <c r="E1741" s="34" t="n"/>
      <c r="F1741" s="35" t="n"/>
      <c r="G1741" s="35" t="n"/>
      <c r="H1741" s="35" t="n"/>
      <c r="I1741" s="35" t="n"/>
      <c r="J1741" s="35" t="n"/>
      <c r="K1741" s="34" t="n"/>
      <c r="L1741" s="26">
        <f>IF(A1741="","",MONTH(A1741))</f>
        <v/>
      </c>
      <c r="M1741" s="26">
        <f>IF(A1741="","",YEAR(A1741))</f>
        <v/>
      </c>
      <c r="N1741" s="26">
        <f>IF(A1741="","",CHOOSE(WEEKDAY(A1741,2),"Segunda","Terça","Quarta","Quinta","Sexta","Sábado","Domingo"))</f>
        <v/>
      </c>
      <c r="O1741" s="26">
        <f>IF(B1741="","",IF(B1741&lt;TIME(12,0,0),"Manhã",IF(B1741&lt;TIME(18,0,0),"Tarde","Noite")))</f>
        <v/>
      </c>
      <c r="P1741" s="32">
        <f>IF(G1741="","",IFERROR(INDEX(Config!$I$5:$I$16,MATCH(G1741,Config!$H$5:$H$16,0)),0))</f>
        <v/>
      </c>
      <c r="Q1741" s="30">
        <f>IF(OR(H1741&lt;&gt;"Realizado",P1741="",P1741=0),"",A1741+P1741)</f>
        <v/>
      </c>
      <c r="R1741" s="26">
        <f>IF(Q1741="","",IF(COUNTIFS($E$5:$E$3004,E1741,$A$5:$A$3004,"&gt;"&amp;A1741,$H$5:$H$3004,"&lt;&gt;Falta",$H$5:$H$3004,"&lt;&gt;Cancelado",$H$5:$H$3004,"&lt;&gt;Remarcado")&gt;0,"Sim","Não"))</f>
        <v/>
      </c>
      <c r="S1741" s="32">
        <f>IF(R1741&lt;&gt;"Não","",IF(Q1741+Config!$B$9&lt;=Config!$B$8,Config!$B$8-Q1741,""))</f>
        <v/>
      </c>
      <c r="T1741" s="26">
        <f>IF(S1741="","","Sim")</f>
        <v/>
      </c>
      <c r="U1741" s="41">
        <f>IF(T1741="Sim",S1741+ROW()/100000,0)</f>
        <v>0</v>
      </c>
      <c r="V1741" s="41">
        <f>IF(AND(H1741="Falta",L1741=Config!$B$7,M1741=Config!$B$5,COUNTIFS($E$5:E1741,E1741,$H$5:H1741,"Falta",$L$5:L1741,Config!$B$7,$M$5:M1741,Config!$B$5)=1),COUNTIFS($E$5:$E$3004,E1741,$H$5:$H$3004,"Falta",$L$5:$L$3004,Config!$B$7,$M$5:$M$3004,Config!$B$5)*1000-ROW()/100000,0)</f>
        <v>0</v>
      </c>
    </row>
    <row r="1742">
      <c r="A1742" s="39" t="n"/>
      <c r="B1742" s="40" t="n"/>
      <c r="C1742" s="35" t="n"/>
      <c r="D1742" s="35" t="n"/>
      <c r="E1742" s="34" t="n"/>
      <c r="F1742" s="35" t="n"/>
      <c r="G1742" s="35" t="n"/>
      <c r="H1742" s="35" t="n"/>
      <c r="I1742" s="35" t="n"/>
      <c r="J1742" s="35" t="n"/>
      <c r="K1742" s="34" t="n"/>
      <c r="L1742" s="26">
        <f>IF(A1742="","",MONTH(A1742))</f>
        <v/>
      </c>
      <c r="M1742" s="26">
        <f>IF(A1742="","",YEAR(A1742))</f>
        <v/>
      </c>
      <c r="N1742" s="26">
        <f>IF(A1742="","",CHOOSE(WEEKDAY(A1742,2),"Segunda","Terça","Quarta","Quinta","Sexta","Sábado","Domingo"))</f>
        <v/>
      </c>
      <c r="O1742" s="26">
        <f>IF(B1742="","",IF(B1742&lt;TIME(12,0,0),"Manhã",IF(B1742&lt;TIME(18,0,0),"Tarde","Noite")))</f>
        <v/>
      </c>
      <c r="P1742" s="32">
        <f>IF(G1742="","",IFERROR(INDEX(Config!$I$5:$I$16,MATCH(G1742,Config!$H$5:$H$16,0)),0))</f>
        <v/>
      </c>
      <c r="Q1742" s="30">
        <f>IF(OR(H1742&lt;&gt;"Realizado",P1742="",P1742=0),"",A1742+P1742)</f>
        <v/>
      </c>
      <c r="R1742" s="26">
        <f>IF(Q1742="","",IF(COUNTIFS($E$5:$E$3004,E1742,$A$5:$A$3004,"&gt;"&amp;A1742,$H$5:$H$3004,"&lt;&gt;Falta",$H$5:$H$3004,"&lt;&gt;Cancelado",$H$5:$H$3004,"&lt;&gt;Remarcado")&gt;0,"Sim","Não"))</f>
        <v/>
      </c>
      <c r="S1742" s="32">
        <f>IF(R1742&lt;&gt;"Não","",IF(Q1742+Config!$B$9&lt;=Config!$B$8,Config!$B$8-Q1742,""))</f>
        <v/>
      </c>
      <c r="T1742" s="26">
        <f>IF(S1742="","","Sim")</f>
        <v/>
      </c>
      <c r="U1742" s="41">
        <f>IF(T1742="Sim",S1742+ROW()/100000,0)</f>
        <v>0</v>
      </c>
      <c r="V1742" s="41">
        <f>IF(AND(H1742="Falta",L1742=Config!$B$7,M1742=Config!$B$5,COUNTIFS($E$5:E1742,E1742,$H$5:H1742,"Falta",$L$5:L1742,Config!$B$7,$M$5:M1742,Config!$B$5)=1),COUNTIFS($E$5:$E$3004,E1742,$H$5:$H$3004,"Falta",$L$5:$L$3004,Config!$B$7,$M$5:$M$3004,Config!$B$5)*1000-ROW()/100000,0)</f>
        <v>0</v>
      </c>
    </row>
    <row r="1743">
      <c r="A1743" s="39" t="n"/>
      <c r="B1743" s="40" t="n"/>
      <c r="C1743" s="35" t="n"/>
      <c r="D1743" s="35" t="n"/>
      <c r="E1743" s="34" t="n"/>
      <c r="F1743" s="35" t="n"/>
      <c r="G1743" s="35" t="n"/>
      <c r="H1743" s="35" t="n"/>
      <c r="I1743" s="35" t="n"/>
      <c r="J1743" s="35" t="n"/>
      <c r="K1743" s="34" t="n"/>
      <c r="L1743" s="26">
        <f>IF(A1743="","",MONTH(A1743))</f>
        <v/>
      </c>
      <c r="M1743" s="26">
        <f>IF(A1743="","",YEAR(A1743))</f>
        <v/>
      </c>
      <c r="N1743" s="26">
        <f>IF(A1743="","",CHOOSE(WEEKDAY(A1743,2),"Segunda","Terça","Quarta","Quinta","Sexta","Sábado","Domingo"))</f>
        <v/>
      </c>
      <c r="O1743" s="26">
        <f>IF(B1743="","",IF(B1743&lt;TIME(12,0,0),"Manhã",IF(B1743&lt;TIME(18,0,0),"Tarde","Noite")))</f>
        <v/>
      </c>
      <c r="P1743" s="32">
        <f>IF(G1743="","",IFERROR(INDEX(Config!$I$5:$I$16,MATCH(G1743,Config!$H$5:$H$16,0)),0))</f>
        <v/>
      </c>
      <c r="Q1743" s="30">
        <f>IF(OR(H1743&lt;&gt;"Realizado",P1743="",P1743=0),"",A1743+P1743)</f>
        <v/>
      </c>
      <c r="R1743" s="26">
        <f>IF(Q1743="","",IF(COUNTIFS($E$5:$E$3004,E1743,$A$5:$A$3004,"&gt;"&amp;A1743,$H$5:$H$3004,"&lt;&gt;Falta",$H$5:$H$3004,"&lt;&gt;Cancelado",$H$5:$H$3004,"&lt;&gt;Remarcado")&gt;0,"Sim","Não"))</f>
        <v/>
      </c>
      <c r="S1743" s="32">
        <f>IF(R1743&lt;&gt;"Não","",IF(Q1743+Config!$B$9&lt;=Config!$B$8,Config!$B$8-Q1743,""))</f>
        <v/>
      </c>
      <c r="T1743" s="26">
        <f>IF(S1743="","","Sim")</f>
        <v/>
      </c>
      <c r="U1743" s="41">
        <f>IF(T1743="Sim",S1743+ROW()/100000,0)</f>
        <v>0</v>
      </c>
      <c r="V1743" s="41">
        <f>IF(AND(H1743="Falta",L1743=Config!$B$7,M1743=Config!$B$5,COUNTIFS($E$5:E1743,E1743,$H$5:H1743,"Falta",$L$5:L1743,Config!$B$7,$M$5:M1743,Config!$B$5)=1),COUNTIFS($E$5:$E$3004,E1743,$H$5:$H$3004,"Falta",$L$5:$L$3004,Config!$B$7,$M$5:$M$3004,Config!$B$5)*1000-ROW()/100000,0)</f>
        <v>0</v>
      </c>
    </row>
    <row r="1744">
      <c r="A1744" s="39" t="n"/>
      <c r="B1744" s="40" t="n"/>
      <c r="C1744" s="35" t="n"/>
      <c r="D1744" s="35" t="n"/>
      <c r="E1744" s="34" t="n"/>
      <c r="F1744" s="35" t="n"/>
      <c r="G1744" s="35" t="n"/>
      <c r="H1744" s="35" t="n"/>
      <c r="I1744" s="35" t="n"/>
      <c r="J1744" s="35" t="n"/>
      <c r="K1744" s="34" t="n"/>
      <c r="L1744" s="26">
        <f>IF(A1744="","",MONTH(A1744))</f>
        <v/>
      </c>
      <c r="M1744" s="26">
        <f>IF(A1744="","",YEAR(A1744))</f>
        <v/>
      </c>
      <c r="N1744" s="26">
        <f>IF(A1744="","",CHOOSE(WEEKDAY(A1744,2),"Segunda","Terça","Quarta","Quinta","Sexta","Sábado","Domingo"))</f>
        <v/>
      </c>
      <c r="O1744" s="26">
        <f>IF(B1744="","",IF(B1744&lt;TIME(12,0,0),"Manhã",IF(B1744&lt;TIME(18,0,0),"Tarde","Noite")))</f>
        <v/>
      </c>
      <c r="P1744" s="32">
        <f>IF(G1744="","",IFERROR(INDEX(Config!$I$5:$I$16,MATCH(G1744,Config!$H$5:$H$16,0)),0))</f>
        <v/>
      </c>
      <c r="Q1744" s="30">
        <f>IF(OR(H1744&lt;&gt;"Realizado",P1744="",P1744=0),"",A1744+P1744)</f>
        <v/>
      </c>
      <c r="R1744" s="26">
        <f>IF(Q1744="","",IF(COUNTIFS($E$5:$E$3004,E1744,$A$5:$A$3004,"&gt;"&amp;A1744,$H$5:$H$3004,"&lt;&gt;Falta",$H$5:$H$3004,"&lt;&gt;Cancelado",$H$5:$H$3004,"&lt;&gt;Remarcado")&gt;0,"Sim","Não"))</f>
        <v/>
      </c>
      <c r="S1744" s="32">
        <f>IF(R1744&lt;&gt;"Não","",IF(Q1744+Config!$B$9&lt;=Config!$B$8,Config!$B$8-Q1744,""))</f>
        <v/>
      </c>
      <c r="T1744" s="26">
        <f>IF(S1744="","","Sim")</f>
        <v/>
      </c>
      <c r="U1744" s="41">
        <f>IF(T1744="Sim",S1744+ROW()/100000,0)</f>
        <v>0</v>
      </c>
      <c r="V1744" s="41">
        <f>IF(AND(H1744="Falta",L1744=Config!$B$7,M1744=Config!$B$5,COUNTIFS($E$5:E1744,E1744,$H$5:H1744,"Falta",$L$5:L1744,Config!$B$7,$M$5:M1744,Config!$B$5)=1),COUNTIFS($E$5:$E$3004,E1744,$H$5:$H$3004,"Falta",$L$5:$L$3004,Config!$B$7,$M$5:$M$3004,Config!$B$5)*1000-ROW()/100000,0)</f>
        <v>0</v>
      </c>
    </row>
    <row r="1745">
      <c r="A1745" s="39" t="n"/>
      <c r="B1745" s="40" t="n"/>
      <c r="C1745" s="35" t="n"/>
      <c r="D1745" s="35" t="n"/>
      <c r="E1745" s="34" t="n"/>
      <c r="F1745" s="35" t="n"/>
      <c r="G1745" s="35" t="n"/>
      <c r="H1745" s="35" t="n"/>
      <c r="I1745" s="35" t="n"/>
      <c r="J1745" s="35" t="n"/>
      <c r="K1745" s="34" t="n"/>
      <c r="L1745" s="26">
        <f>IF(A1745="","",MONTH(A1745))</f>
        <v/>
      </c>
      <c r="M1745" s="26">
        <f>IF(A1745="","",YEAR(A1745))</f>
        <v/>
      </c>
      <c r="N1745" s="26">
        <f>IF(A1745="","",CHOOSE(WEEKDAY(A1745,2),"Segunda","Terça","Quarta","Quinta","Sexta","Sábado","Domingo"))</f>
        <v/>
      </c>
      <c r="O1745" s="26">
        <f>IF(B1745="","",IF(B1745&lt;TIME(12,0,0),"Manhã",IF(B1745&lt;TIME(18,0,0),"Tarde","Noite")))</f>
        <v/>
      </c>
      <c r="P1745" s="32">
        <f>IF(G1745="","",IFERROR(INDEX(Config!$I$5:$I$16,MATCH(G1745,Config!$H$5:$H$16,0)),0))</f>
        <v/>
      </c>
      <c r="Q1745" s="30">
        <f>IF(OR(H1745&lt;&gt;"Realizado",P1745="",P1745=0),"",A1745+P1745)</f>
        <v/>
      </c>
      <c r="R1745" s="26">
        <f>IF(Q1745="","",IF(COUNTIFS($E$5:$E$3004,E1745,$A$5:$A$3004,"&gt;"&amp;A1745,$H$5:$H$3004,"&lt;&gt;Falta",$H$5:$H$3004,"&lt;&gt;Cancelado",$H$5:$H$3004,"&lt;&gt;Remarcado")&gt;0,"Sim","Não"))</f>
        <v/>
      </c>
      <c r="S1745" s="32">
        <f>IF(R1745&lt;&gt;"Não","",IF(Q1745+Config!$B$9&lt;=Config!$B$8,Config!$B$8-Q1745,""))</f>
        <v/>
      </c>
      <c r="T1745" s="26">
        <f>IF(S1745="","","Sim")</f>
        <v/>
      </c>
      <c r="U1745" s="41">
        <f>IF(T1745="Sim",S1745+ROW()/100000,0)</f>
        <v>0</v>
      </c>
      <c r="V1745" s="41">
        <f>IF(AND(H1745="Falta",L1745=Config!$B$7,M1745=Config!$B$5,COUNTIFS($E$5:E1745,E1745,$H$5:H1745,"Falta",$L$5:L1745,Config!$B$7,$M$5:M1745,Config!$B$5)=1),COUNTIFS($E$5:$E$3004,E1745,$H$5:$H$3004,"Falta",$L$5:$L$3004,Config!$B$7,$M$5:$M$3004,Config!$B$5)*1000-ROW()/100000,0)</f>
        <v>0</v>
      </c>
    </row>
    <row r="1746">
      <c r="A1746" s="39" t="n"/>
      <c r="B1746" s="40" t="n"/>
      <c r="C1746" s="35" t="n"/>
      <c r="D1746" s="35" t="n"/>
      <c r="E1746" s="34" t="n"/>
      <c r="F1746" s="35" t="n"/>
      <c r="G1746" s="35" t="n"/>
      <c r="H1746" s="35" t="n"/>
      <c r="I1746" s="35" t="n"/>
      <c r="J1746" s="35" t="n"/>
      <c r="K1746" s="34" t="n"/>
      <c r="L1746" s="26">
        <f>IF(A1746="","",MONTH(A1746))</f>
        <v/>
      </c>
      <c r="M1746" s="26">
        <f>IF(A1746="","",YEAR(A1746))</f>
        <v/>
      </c>
      <c r="N1746" s="26">
        <f>IF(A1746="","",CHOOSE(WEEKDAY(A1746,2),"Segunda","Terça","Quarta","Quinta","Sexta","Sábado","Domingo"))</f>
        <v/>
      </c>
      <c r="O1746" s="26">
        <f>IF(B1746="","",IF(B1746&lt;TIME(12,0,0),"Manhã",IF(B1746&lt;TIME(18,0,0),"Tarde","Noite")))</f>
        <v/>
      </c>
      <c r="P1746" s="32">
        <f>IF(G1746="","",IFERROR(INDEX(Config!$I$5:$I$16,MATCH(G1746,Config!$H$5:$H$16,0)),0))</f>
        <v/>
      </c>
      <c r="Q1746" s="30">
        <f>IF(OR(H1746&lt;&gt;"Realizado",P1746="",P1746=0),"",A1746+P1746)</f>
        <v/>
      </c>
      <c r="R1746" s="26">
        <f>IF(Q1746="","",IF(COUNTIFS($E$5:$E$3004,E1746,$A$5:$A$3004,"&gt;"&amp;A1746,$H$5:$H$3004,"&lt;&gt;Falta",$H$5:$H$3004,"&lt;&gt;Cancelado",$H$5:$H$3004,"&lt;&gt;Remarcado")&gt;0,"Sim","Não"))</f>
        <v/>
      </c>
      <c r="S1746" s="32">
        <f>IF(R1746&lt;&gt;"Não","",IF(Q1746+Config!$B$9&lt;=Config!$B$8,Config!$B$8-Q1746,""))</f>
        <v/>
      </c>
      <c r="T1746" s="26">
        <f>IF(S1746="","","Sim")</f>
        <v/>
      </c>
      <c r="U1746" s="41">
        <f>IF(T1746="Sim",S1746+ROW()/100000,0)</f>
        <v>0</v>
      </c>
      <c r="V1746" s="41">
        <f>IF(AND(H1746="Falta",L1746=Config!$B$7,M1746=Config!$B$5,COUNTIFS($E$5:E1746,E1746,$H$5:H1746,"Falta",$L$5:L1746,Config!$B$7,$M$5:M1746,Config!$B$5)=1),COUNTIFS($E$5:$E$3004,E1746,$H$5:$H$3004,"Falta",$L$5:$L$3004,Config!$B$7,$M$5:$M$3004,Config!$B$5)*1000-ROW()/100000,0)</f>
        <v>0</v>
      </c>
    </row>
    <row r="1747">
      <c r="A1747" s="39" t="n"/>
      <c r="B1747" s="40" t="n"/>
      <c r="C1747" s="35" t="n"/>
      <c r="D1747" s="35" t="n"/>
      <c r="E1747" s="34" t="n"/>
      <c r="F1747" s="35" t="n"/>
      <c r="G1747" s="35" t="n"/>
      <c r="H1747" s="35" t="n"/>
      <c r="I1747" s="35" t="n"/>
      <c r="J1747" s="35" t="n"/>
      <c r="K1747" s="34" t="n"/>
      <c r="L1747" s="26">
        <f>IF(A1747="","",MONTH(A1747))</f>
        <v/>
      </c>
      <c r="M1747" s="26">
        <f>IF(A1747="","",YEAR(A1747))</f>
        <v/>
      </c>
      <c r="N1747" s="26">
        <f>IF(A1747="","",CHOOSE(WEEKDAY(A1747,2),"Segunda","Terça","Quarta","Quinta","Sexta","Sábado","Domingo"))</f>
        <v/>
      </c>
      <c r="O1747" s="26">
        <f>IF(B1747="","",IF(B1747&lt;TIME(12,0,0),"Manhã",IF(B1747&lt;TIME(18,0,0),"Tarde","Noite")))</f>
        <v/>
      </c>
      <c r="P1747" s="32">
        <f>IF(G1747="","",IFERROR(INDEX(Config!$I$5:$I$16,MATCH(G1747,Config!$H$5:$H$16,0)),0))</f>
        <v/>
      </c>
      <c r="Q1747" s="30">
        <f>IF(OR(H1747&lt;&gt;"Realizado",P1747="",P1747=0),"",A1747+P1747)</f>
        <v/>
      </c>
      <c r="R1747" s="26">
        <f>IF(Q1747="","",IF(COUNTIFS($E$5:$E$3004,E1747,$A$5:$A$3004,"&gt;"&amp;A1747,$H$5:$H$3004,"&lt;&gt;Falta",$H$5:$H$3004,"&lt;&gt;Cancelado",$H$5:$H$3004,"&lt;&gt;Remarcado")&gt;0,"Sim","Não"))</f>
        <v/>
      </c>
      <c r="S1747" s="32">
        <f>IF(R1747&lt;&gt;"Não","",IF(Q1747+Config!$B$9&lt;=Config!$B$8,Config!$B$8-Q1747,""))</f>
        <v/>
      </c>
      <c r="T1747" s="26">
        <f>IF(S1747="","","Sim")</f>
        <v/>
      </c>
      <c r="U1747" s="41">
        <f>IF(T1747="Sim",S1747+ROW()/100000,0)</f>
        <v>0</v>
      </c>
      <c r="V1747" s="41">
        <f>IF(AND(H1747="Falta",L1747=Config!$B$7,M1747=Config!$B$5,COUNTIFS($E$5:E1747,E1747,$H$5:H1747,"Falta",$L$5:L1747,Config!$B$7,$M$5:M1747,Config!$B$5)=1),COUNTIFS($E$5:$E$3004,E1747,$H$5:$H$3004,"Falta",$L$5:$L$3004,Config!$B$7,$M$5:$M$3004,Config!$B$5)*1000-ROW()/100000,0)</f>
        <v>0</v>
      </c>
    </row>
    <row r="1748">
      <c r="A1748" s="39" t="n"/>
      <c r="B1748" s="40" t="n"/>
      <c r="C1748" s="35" t="n"/>
      <c r="D1748" s="35" t="n"/>
      <c r="E1748" s="34" t="n"/>
      <c r="F1748" s="35" t="n"/>
      <c r="G1748" s="35" t="n"/>
      <c r="H1748" s="35" t="n"/>
      <c r="I1748" s="35" t="n"/>
      <c r="J1748" s="35" t="n"/>
      <c r="K1748" s="34" t="n"/>
      <c r="L1748" s="26">
        <f>IF(A1748="","",MONTH(A1748))</f>
        <v/>
      </c>
      <c r="M1748" s="26">
        <f>IF(A1748="","",YEAR(A1748))</f>
        <v/>
      </c>
      <c r="N1748" s="26">
        <f>IF(A1748="","",CHOOSE(WEEKDAY(A1748,2),"Segunda","Terça","Quarta","Quinta","Sexta","Sábado","Domingo"))</f>
        <v/>
      </c>
      <c r="O1748" s="26">
        <f>IF(B1748="","",IF(B1748&lt;TIME(12,0,0),"Manhã",IF(B1748&lt;TIME(18,0,0),"Tarde","Noite")))</f>
        <v/>
      </c>
      <c r="P1748" s="32">
        <f>IF(G1748="","",IFERROR(INDEX(Config!$I$5:$I$16,MATCH(G1748,Config!$H$5:$H$16,0)),0))</f>
        <v/>
      </c>
      <c r="Q1748" s="30">
        <f>IF(OR(H1748&lt;&gt;"Realizado",P1748="",P1748=0),"",A1748+P1748)</f>
        <v/>
      </c>
      <c r="R1748" s="26">
        <f>IF(Q1748="","",IF(COUNTIFS($E$5:$E$3004,E1748,$A$5:$A$3004,"&gt;"&amp;A1748,$H$5:$H$3004,"&lt;&gt;Falta",$H$5:$H$3004,"&lt;&gt;Cancelado",$H$5:$H$3004,"&lt;&gt;Remarcado")&gt;0,"Sim","Não"))</f>
        <v/>
      </c>
      <c r="S1748" s="32">
        <f>IF(R1748&lt;&gt;"Não","",IF(Q1748+Config!$B$9&lt;=Config!$B$8,Config!$B$8-Q1748,""))</f>
        <v/>
      </c>
      <c r="T1748" s="26">
        <f>IF(S1748="","","Sim")</f>
        <v/>
      </c>
      <c r="U1748" s="41">
        <f>IF(T1748="Sim",S1748+ROW()/100000,0)</f>
        <v>0</v>
      </c>
      <c r="V1748" s="41">
        <f>IF(AND(H1748="Falta",L1748=Config!$B$7,M1748=Config!$B$5,COUNTIFS($E$5:E1748,E1748,$H$5:H1748,"Falta",$L$5:L1748,Config!$B$7,$M$5:M1748,Config!$B$5)=1),COUNTIFS($E$5:$E$3004,E1748,$H$5:$H$3004,"Falta",$L$5:$L$3004,Config!$B$7,$M$5:$M$3004,Config!$B$5)*1000-ROW()/100000,0)</f>
        <v>0</v>
      </c>
    </row>
    <row r="1749">
      <c r="A1749" s="39" t="n"/>
      <c r="B1749" s="40" t="n"/>
      <c r="C1749" s="35" t="n"/>
      <c r="D1749" s="35" t="n"/>
      <c r="E1749" s="34" t="n"/>
      <c r="F1749" s="35" t="n"/>
      <c r="G1749" s="35" t="n"/>
      <c r="H1749" s="35" t="n"/>
      <c r="I1749" s="35" t="n"/>
      <c r="J1749" s="35" t="n"/>
      <c r="K1749" s="34" t="n"/>
      <c r="L1749" s="26">
        <f>IF(A1749="","",MONTH(A1749))</f>
        <v/>
      </c>
      <c r="M1749" s="26">
        <f>IF(A1749="","",YEAR(A1749))</f>
        <v/>
      </c>
      <c r="N1749" s="26">
        <f>IF(A1749="","",CHOOSE(WEEKDAY(A1749,2),"Segunda","Terça","Quarta","Quinta","Sexta","Sábado","Domingo"))</f>
        <v/>
      </c>
      <c r="O1749" s="26">
        <f>IF(B1749="","",IF(B1749&lt;TIME(12,0,0),"Manhã",IF(B1749&lt;TIME(18,0,0),"Tarde","Noite")))</f>
        <v/>
      </c>
      <c r="P1749" s="32">
        <f>IF(G1749="","",IFERROR(INDEX(Config!$I$5:$I$16,MATCH(G1749,Config!$H$5:$H$16,0)),0))</f>
        <v/>
      </c>
      <c r="Q1749" s="30">
        <f>IF(OR(H1749&lt;&gt;"Realizado",P1749="",P1749=0),"",A1749+P1749)</f>
        <v/>
      </c>
      <c r="R1749" s="26">
        <f>IF(Q1749="","",IF(COUNTIFS($E$5:$E$3004,E1749,$A$5:$A$3004,"&gt;"&amp;A1749,$H$5:$H$3004,"&lt;&gt;Falta",$H$5:$H$3004,"&lt;&gt;Cancelado",$H$5:$H$3004,"&lt;&gt;Remarcado")&gt;0,"Sim","Não"))</f>
        <v/>
      </c>
      <c r="S1749" s="32">
        <f>IF(R1749&lt;&gt;"Não","",IF(Q1749+Config!$B$9&lt;=Config!$B$8,Config!$B$8-Q1749,""))</f>
        <v/>
      </c>
      <c r="T1749" s="26">
        <f>IF(S1749="","","Sim")</f>
        <v/>
      </c>
      <c r="U1749" s="41">
        <f>IF(T1749="Sim",S1749+ROW()/100000,0)</f>
        <v>0</v>
      </c>
      <c r="V1749" s="41">
        <f>IF(AND(H1749="Falta",L1749=Config!$B$7,M1749=Config!$B$5,COUNTIFS($E$5:E1749,E1749,$H$5:H1749,"Falta",$L$5:L1749,Config!$B$7,$M$5:M1749,Config!$B$5)=1),COUNTIFS($E$5:$E$3004,E1749,$H$5:$H$3004,"Falta",$L$5:$L$3004,Config!$B$7,$M$5:$M$3004,Config!$B$5)*1000-ROW()/100000,0)</f>
        <v>0</v>
      </c>
    </row>
    <row r="1750">
      <c r="A1750" s="39" t="n"/>
      <c r="B1750" s="40" t="n"/>
      <c r="C1750" s="35" t="n"/>
      <c r="D1750" s="35" t="n"/>
      <c r="E1750" s="34" t="n"/>
      <c r="F1750" s="35" t="n"/>
      <c r="G1750" s="35" t="n"/>
      <c r="H1750" s="35" t="n"/>
      <c r="I1750" s="35" t="n"/>
      <c r="J1750" s="35" t="n"/>
      <c r="K1750" s="34" t="n"/>
      <c r="L1750" s="26">
        <f>IF(A1750="","",MONTH(A1750))</f>
        <v/>
      </c>
      <c r="M1750" s="26">
        <f>IF(A1750="","",YEAR(A1750))</f>
        <v/>
      </c>
      <c r="N1750" s="26">
        <f>IF(A1750="","",CHOOSE(WEEKDAY(A1750,2),"Segunda","Terça","Quarta","Quinta","Sexta","Sábado","Domingo"))</f>
        <v/>
      </c>
      <c r="O1750" s="26">
        <f>IF(B1750="","",IF(B1750&lt;TIME(12,0,0),"Manhã",IF(B1750&lt;TIME(18,0,0),"Tarde","Noite")))</f>
        <v/>
      </c>
      <c r="P1750" s="32">
        <f>IF(G1750="","",IFERROR(INDEX(Config!$I$5:$I$16,MATCH(G1750,Config!$H$5:$H$16,0)),0))</f>
        <v/>
      </c>
      <c r="Q1750" s="30">
        <f>IF(OR(H1750&lt;&gt;"Realizado",P1750="",P1750=0),"",A1750+P1750)</f>
        <v/>
      </c>
      <c r="R1750" s="26">
        <f>IF(Q1750="","",IF(COUNTIFS($E$5:$E$3004,E1750,$A$5:$A$3004,"&gt;"&amp;A1750,$H$5:$H$3004,"&lt;&gt;Falta",$H$5:$H$3004,"&lt;&gt;Cancelado",$H$5:$H$3004,"&lt;&gt;Remarcado")&gt;0,"Sim","Não"))</f>
        <v/>
      </c>
      <c r="S1750" s="32">
        <f>IF(R1750&lt;&gt;"Não","",IF(Q1750+Config!$B$9&lt;=Config!$B$8,Config!$B$8-Q1750,""))</f>
        <v/>
      </c>
      <c r="T1750" s="26">
        <f>IF(S1750="","","Sim")</f>
        <v/>
      </c>
      <c r="U1750" s="41">
        <f>IF(T1750="Sim",S1750+ROW()/100000,0)</f>
        <v>0</v>
      </c>
      <c r="V1750" s="41">
        <f>IF(AND(H1750="Falta",L1750=Config!$B$7,M1750=Config!$B$5,COUNTIFS($E$5:E1750,E1750,$H$5:H1750,"Falta",$L$5:L1750,Config!$B$7,$M$5:M1750,Config!$B$5)=1),COUNTIFS($E$5:$E$3004,E1750,$H$5:$H$3004,"Falta",$L$5:$L$3004,Config!$B$7,$M$5:$M$3004,Config!$B$5)*1000-ROW()/100000,0)</f>
        <v>0</v>
      </c>
    </row>
    <row r="1751">
      <c r="A1751" s="39" t="n"/>
      <c r="B1751" s="40" t="n"/>
      <c r="C1751" s="35" t="n"/>
      <c r="D1751" s="35" t="n"/>
      <c r="E1751" s="34" t="n"/>
      <c r="F1751" s="35" t="n"/>
      <c r="G1751" s="35" t="n"/>
      <c r="H1751" s="35" t="n"/>
      <c r="I1751" s="35" t="n"/>
      <c r="J1751" s="35" t="n"/>
      <c r="K1751" s="34" t="n"/>
      <c r="L1751" s="26">
        <f>IF(A1751="","",MONTH(A1751))</f>
        <v/>
      </c>
      <c r="M1751" s="26">
        <f>IF(A1751="","",YEAR(A1751))</f>
        <v/>
      </c>
      <c r="N1751" s="26">
        <f>IF(A1751="","",CHOOSE(WEEKDAY(A1751,2),"Segunda","Terça","Quarta","Quinta","Sexta","Sábado","Domingo"))</f>
        <v/>
      </c>
      <c r="O1751" s="26">
        <f>IF(B1751="","",IF(B1751&lt;TIME(12,0,0),"Manhã",IF(B1751&lt;TIME(18,0,0),"Tarde","Noite")))</f>
        <v/>
      </c>
      <c r="P1751" s="32">
        <f>IF(G1751="","",IFERROR(INDEX(Config!$I$5:$I$16,MATCH(G1751,Config!$H$5:$H$16,0)),0))</f>
        <v/>
      </c>
      <c r="Q1751" s="30">
        <f>IF(OR(H1751&lt;&gt;"Realizado",P1751="",P1751=0),"",A1751+P1751)</f>
        <v/>
      </c>
      <c r="R1751" s="26">
        <f>IF(Q1751="","",IF(COUNTIFS($E$5:$E$3004,E1751,$A$5:$A$3004,"&gt;"&amp;A1751,$H$5:$H$3004,"&lt;&gt;Falta",$H$5:$H$3004,"&lt;&gt;Cancelado",$H$5:$H$3004,"&lt;&gt;Remarcado")&gt;0,"Sim","Não"))</f>
        <v/>
      </c>
      <c r="S1751" s="32">
        <f>IF(R1751&lt;&gt;"Não","",IF(Q1751+Config!$B$9&lt;=Config!$B$8,Config!$B$8-Q1751,""))</f>
        <v/>
      </c>
      <c r="T1751" s="26">
        <f>IF(S1751="","","Sim")</f>
        <v/>
      </c>
      <c r="U1751" s="41">
        <f>IF(T1751="Sim",S1751+ROW()/100000,0)</f>
        <v>0</v>
      </c>
      <c r="V1751" s="41">
        <f>IF(AND(H1751="Falta",L1751=Config!$B$7,M1751=Config!$B$5,COUNTIFS($E$5:E1751,E1751,$H$5:H1751,"Falta",$L$5:L1751,Config!$B$7,$M$5:M1751,Config!$B$5)=1),COUNTIFS($E$5:$E$3004,E1751,$H$5:$H$3004,"Falta",$L$5:$L$3004,Config!$B$7,$M$5:$M$3004,Config!$B$5)*1000-ROW()/100000,0)</f>
        <v>0</v>
      </c>
    </row>
    <row r="1752">
      <c r="A1752" s="39" t="n"/>
      <c r="B1752" s="40" t="n"/>
      <c r="C1752" s="35" t="n"/>
      <c r="D1752" s="35" t="n"/>
      <c r="E1752" s="34" t="n"/>
      <c r="F1752" s="35" t="n"/>
      <c r="G1752" s="35" t="n"/>
      <c r="H1752" s="35" t="n"/>
      <c r="I1752" s="35" t="n"/>
      <c r="J1752" s="35" t="n"/>
      <c r="K1752" s="34" t="n"/>
      <c r="L1752" s="26">
        <f>IF(A1752="","",MONTH(A1752))</f>
        <v/>
      </c>
      <c r="M1752" s="26">
        <f>IF(A1752="","",YEAR(A1752))</f>
        <v/>
      </c>
      <c r="N1752" s="26">
        <f>IF(A1752="","",CHOOSE(WEEKDAY(A1752,2),"Segunda","Terça","Quarta","Quinta","Sexta","Sábado","Domingo"))</f>
        <v/>
      </c>
      <c r="O1752" s="26">
        <f>IF(B1752="","",IF(B1752&lt;TIME(12,0,0),"Manhã",IF(B1752&lt;TIME(18,0,0),"Tarde","Noite")))</f>
        <v/>
      </c>
      <c r="P1752" s="32">
        <f>IF(G1752="","",IFERROR(INDEX(Config!$I$5:$I$16,MATCH(G1752,Config!$H$5:$H$16,0)),0))</f>
        <v/>
      </c>
      <c r="Q1752" s="30">
        <f>IF(OR(H1752&lt;&gt;"Realizado",P1752="",P1752=0),"",A1752+P1752)</f>
        <v/>
      </c>
      <c r="R1752" s="26">
        <f>IF(Q1752="","",IF(COUNTIFS($E$5:$E$3004,E1752,$A$5:$A$3004,"&gt;"&amp;A1752,$H$5:$H$3004,"&lt;&gt;Falta",$H$5:$H$3004,"&lt;&gt;Cancelado",$H$5:$H$3004,"&lt;&gt;Remarcado")&gt;0,"Sim","Não"))</f>
        <v/>
      </c>
      <c r="S1752" s="32">
        <f>IF(R1752&lt;&gt;"Não","",IF(Q1752+Config!$B$9&lt;=Config!$B$8,Config!$B$8-Q1752,""))</f>
        <v/>
      </c>
      <c r="T1752" s="26">
        <f>IF(S1752="","","Sim")</f>
        <v/>
      </c>
      <c r="U1752" s="41">
        <f>IF(T1752="Sim",S1752+ROW()/100000,0)</f>
        <v>0</v>
      </c>
      <c r="V1752" s="41">
        <f>IF(AND(H1752="Falta",L1752=Config!$B$7,M1752=Config!$B$5,COUNTIFS($E$5:E1752,E1752,$H$5:H1752,"Falta",$L$5:L1752,Config!$B$7,$M$5:M1752,Config!$B$5)=1),COUNTIFS($E$5:$E$3004,E1752,$H$5:$H$3004,"Falta",$L$5:$L$3004,Config!$B$7,$M$5:$M$3004,Config!$B$5)*1000-ROW()/100000,0)</f>
        <v>0</v>
      </c>
    </row>
    <row r="1753">
      <c r="A1753" s="39" t="n"/>
      <c r="B1753" s="40" t="n"/>
      <c r="C1753" s="35" t="n"/>
      <c r="D1753" s="35" t="n"/>
      <c r="E1753" s="34" t="n"/>
      <c r="F1753" s="35" t="n"/>
      <c r="G1753" s="35" t="n"/>
      <c r="H1753" s="35" t="n"/>
      <c r="I1753" s="35" t="n"/>
      <c r="J1753" s="35" t="n"/>
      <c r="K1753" s="34" t="n"/>
      <c r="L1753" s="26">
        <f>IF(A1753="","",MONTH(A1753))</f>
        <v/>
      </c>
      <c r="M1753" s="26">
        <f>IF(A1753="","",YEAR(A1753))</f>
        <v/>
      </c>
      <c r="N1753" s="26">
        <f>IF(A1753="","",CHOOSE(WEEKDAY(A1753,2),"Segunda","Terça","Quarta","Quinta","Sexta","Sábado","Domingo"))</f>
        <v/>
      </c>
      <c r="O1753" s="26">
        <f>IF(B1753="","",IF(B1753&lt;TIME(12,0,0),"Manhã",IF(B1753&lt;TIME(18,0,0),"Tarde","Noite")))</f>
        <v/>
      </c>
      <c r="P1753" s="32">
        <f>IF(G1753="","",IFERROR(INDEX(Config!$I$5:$I$16,MATCH(G1753,Config!$H$5:$H$16,0)),0))</f>
        <v/>
      </c>
      <c r="Q1753" s="30">
        <f>IF(OR(H1753&lt;&gt;"Realizado",P1753="",P1753=0),"",A1753+P1753)</f>
        <v/>
      </c>
      <c r="R1753" s="26">
        <f>IF(Q1753="","",IF(COUNTIFS($E$5:$E$3004,E1753,$A$5:$A$3004,"&gt;"&amp;A1753,$H$5:$H$3004,"&lt;&gt;Falta",$H$5:$H$3004,"&lt;&gt;Cancelado",$H$5:$H$3004,"&lt;&gt;Remarcado")&gt;0,"Sim","Não"))</f>
        <v/>
      </c>
      <c r="S1753" s="32">
        <f>IF(R1753&lt;&gt;"Não","",IF(Q1753+Config!$B$9&lt;=Config!$B$8,Config!$B$8-Q1753,""))</f>
        <v/>
      </c>
      <c r="T1753" s="26">
        <f>IF(S1753="","","Sim")</f>
        <v/>
      </c>
      <c r="U1753" s="41">
        <f>IF(T1753="Sim",S1753+ROW()/100000,0)</f>
        <v>0</v>
      </c>
      <c r="V1753" s="41">
        <f>IF(AND(H1753="Falta",L1753=Config!$B$7,M1753=Config!$B$5,COUNTIFS($E$5:E1753,E1753,$H$5:H1753,"Falta",$L$5:L1753,Config!$B$7,$M$5:M1753,Config!$B$5)=1),COUNTIFS($E$5:$E$3004,E1753,$H$5:$H$3004,"Falta",$L$5:$L$3004,Config!$B$7,$M$5:$M$3004,Config!$B$5)*1000-ROW()/100000,0)</f>
        <v>0</v>
      </c>
    </row>
    <row r="1754">
      <c r="A1754" s="39" t="n"/>
      <c r="B1754" s="40" t="n"/>
      <c r="C1754" s="35" t="n"/>
      <c r="D1754" s="35" t="n"/>
      <c r="E1754" s="34" t="n"/>
      <c r="F1754" s="35" t="n"/>
      <c r="G1754" s="35" t="n"/>
      <c r="H1754" s="35" t="n"/>
      <c r="I1754" s="35" t="n"/>
      <c r="J1754" s="35" t="n"/>
      <c r="K1754" s="34" t="n"/>
      <c r="L1754" s="26">
        <f>IF(A1754="","",MONTH(A1754))</f>
        <v/>
      </c>
      <c r="M1754" s="26">
        <f>IF(A1754="","",YEAR(A1754))</f>
        <v/>
      </c>
      <c r="N1754" s="26">
        <f>IF(A1754="","",CHOOSE(WEEKDAY(A1754,2),"Segunda","Terça","Quarta","Quinta","Sexta","Sábado","Domingo"))</f>
        <v/>
      </c>
      <c r="O1754" s="26">
        <f>IF(B1754="","",IF(B1754&lt;TIME(12,0,0),"Manhã",IF(B1754&lt;TIME(18,0,0),"Tarde","Noite")))</f>
        <v/>
      </c>
      <c r="P1754" s="32">
        <f>IF(G1754="","",IFERROR(INDEX(Config!$I$5:$I$16,MATCH(G1754,Config!$H$5:$H$16,0)),0))</f>
        <v/>
      </c>
      <c r="Q1754" s="30">
        <f>IF(OR(H1754&lt;&gt;"Realizado",P1754="",P1754=0),"",A1754+P1754)</f>
        <v/>
      </c>
      <c r="R1754" s="26">
        <f>IF(Q1754="","",IF(COUNTIFS($E$5:$E$3004,E1754,$A$5:$A$3004,"&gt;"&amp;A1754,$H$5:$H$3004,"&lt;&gt;Falta",$H$5:$H$3004,"&lt;&gt;Cancelado",$H$5:$H$3004,"&lt;&gt;Remarcado")&gt;0,"Sim","Não"))</f>
        <v/>
      </c>
      <c r="S1754" s="32">
        <f>IF(R1754&lt;&gt;"Não","",IF(Q1754+Config!$B$9&lt;=Config!$B$8,Config!$B$8-Q1754,""))</f>
        <v/>
      </c>
      <c r="T1754" s="26">
        <f>IF(S1754="","","Sim")</f>
        <v/>
      </c>
      <c r="U1754" s="41">
        <f>IF(T1754="Sim",S1754+ROW()/100000,0)</f>
        <v>0</v>
      </c>
      <c r="V1754" s="41">
        <f>IF(AND(H1754="Falta",L1754=Config!$B$7,M1754=Config!$B$5,COUNTIFS($E$5:E1754,E1754,$H$5:H1754,"Falta",$L$5:L1754,Config!$B$7,$M$5:M1754,Config!$B$5)=1),COUNTIFS($E$5:$E$3004,E1754,$H$5:$H$3004,"Falta",$L$5:$L$3004,Config!$B$7,$M$5:$M$3004,Config!$B$5)*1000-ROW()/100000,0)</f>
        <v>0</v>
      </c>
    </row>
    <row r="1755">
      <c r="A1755" s="39" t="n"/>
      <c r="B1755" s="40" t="n"/>
      <c r="C1755" s="35" t="n"/>
      <c r="D1755" s="35" t="n"/>
      <c r="E1755" s="34" t="n"/>
      <c r="F1755" s="35" t="n"/>
      <c r="G1755" s="35" t="n"/>
      <c r="H1755" s="35" t="n"/>
      <c r="I1755" s="35" t="n"/>
      <c r="J1755" s="35" t="n"/>
      <c r="K1755" s="34" t="n"/>
      <c r="L1755" s="26">
        <f>IF(A1755="","",MONTH(A1755))</f>
        <v/>
      </c>
      <c r="M1755" s="26">
        <f>IF(A1755="","",YEAR(A1755))</f>
        <v/>
      </c>
      <c r="N1755" s="26">
        <f>IF(A1755="","",CHOOSE(WEEKDAY(A1755,2),"Segunda","Terça","Quarta","Quinta","Sexta","Sábado","Domingo"))</f>
        <v/>
      </c>
      <c r="O1755" s="26">
        <f>IF(B1755="","",IF(B1755&lt;TIME(12,0,0),"Manhã",IF(B1755&lt;TIME(18,0,0),"Tarde","Noite")))</f>
        <v/>
      </c>
      <c r="P1755" s="32">
        <f>IF(G1755="","",IFERROR(INDEX(Config!$I$5:$I$16,MATCH(G1755,Config!$H$5:$H$16,0)),0))</f>
        <v/>
      </c>
      <c r="Q1755" s="30">
        <f>IF(OR(H1755&lt;&gt;"Realizado",P1755="",P1755=0),"",A1755+P1755)</f>
        <v/>
      </c>
      <c r="R1755" s="26">
        <f>IF(Q1755="","",IF(COUNTIFS($E$5:$E$3004,E1755,$A$5:$A$3004,"&gt;"&amp;A1755,$H$5:$H$3004,"&lt;&gt;Falta",$H$5:$H$3004,"&lt;&gt;Cancelado",$H$5:$H$3004,"&lt;&gt;Remarcado")&gt;0,"Sim","Não"))</f>
        <v/>
      </c>
      <c r="S1755" s="32">
        <f>IF(R1755&lt;&gt;"Não","",IF(Q1755+Config!$B$9&lt;=Config!$B$8,Config!$B$8-Q1755,""))</f>
        <v/>
      </c>
      <c r="T1755" s="26">
        <f>IF(S1755="","","Sim")</f>
        <v/>
      </c>
      <c r="U1755" s="41">
        <f>IF(T1755="Sim",S1755+ROW()/100000,0)</f>
        <v>0</v>
      </c>
      <c r="V1755" s="41">
        <f>IF(AND(H1755="Falta",L1755=Config!$B$7,M1755=Config!$B$5,COUNTIFS($E$5:E1755,E1755,$H$5:H1755,"Falta",$L$5:L1755,Config!$B$7,$M$5:M1755,Config!$B$5)=1),COUNTIFS($E$5:$E$3004,E1755,$H$5:$H$3004,"Falta",$L$5:$L$3004,Config!$B$7,$M$5:$M$3004,Config!$B$5)*1000-ROW()/100000,0)</f>
        <v>0</v>
      </c>
    </row>
    <row r="1756">
      <c r="A1756" s="39" t="n"/>
      <c r="B1756" s="40" t="n"/>
      <c r="C1756" s="35" t="n"/>
      <c r="D1756" s="35" t="n"/>
      <c r="E1756" s="34" t="n"/>
      <c r="F1756" s="35" t="n"/>
      <c r="G1756" s="35" t="n"/>
      <c r="H1756" s="35" t="n"/>
      <c r="I1756" s="35" t="n"/>
      <c r="J1756" s="35" t="n"/>
      <c r="K1756" s="34" t="n"/>
      <c r="L1756" s="26">
        <f>IF(A1756="","",MONTH(A1756))</f>
        <v/>
      </c>
      <c r="M1756" s="26">
        <f>IF(A1756="","",YEAR(A1756))</f>
        <v/>
      </c>
      <c r="N1756" s="26">
        <f>IF(A1756="","",CHOOSE(WEEKDAY(A1756,2),"Segunda","Terça","Quarta","Quinta","Sexta","Sábado","Domingo"))</f>
        <v/>
      </c>
      <c r="O1756" s="26">
        <f>IF(B1756="","",IF(B1756&lt;TIME(12,0,0),"Manhã",IF(B1756&lt;TIME(18,0,0),"Tarde","Noite")))</f>
        <v/>
      </c>
      <c r="P1756" s="32">
        <f>IF(G1756="","",IFERROR(INDEX(Config!$I$5:$I$16,MATCH(G1756,Config!$H$5:$H$16,0)),0))</f>
        <v/>
      </c>
      <c r="Q1756" s="30">
        <f>IF(OR(H1756&lt;&gt;"Realizado",P1756="",P1756=0),"",A1756+P1756)</f>
        <v/>
      </c>
      <c r="R1756" s="26">
        <f>IF(Q1756="","",IF(COUNTIFS($E$5:$E$3004,E1756,$A$5:$A$3004,"&gt;"&amp;A1756,$H$5:$H$3004,"&lt;&gt;Falta",$H$5:$H$3004,"&lt;&gt;Cancelado",$H$5:$H$3004,"&lt;&gt;Remarcado")&gt;0,"Sim","Não"))</f>
        <v/>
      </c>
      <c r="S1756" s="32">
        <f>IF(R1756&lt;&gt;"Não","",IF(Q1756+Config!$B$9&lt;=Config!$B$8,Config!$B$8-Q1756,""))</f>
        <v/>
      </c>
      <c r="T1756" s="26">
        <f>IF(S1756="","","Sim")</f>
        <v/>
      </c>
      <c r="U1756" s="41">
        <f>IF(T1756="Sim",S1756+ROW()/100000,0)</f>
        <v>0</v>
      </c>
      <c r="V1756" s="41">
        <f>IF(AND(H1756="Falta",L1756=Config!$B$7,M1756=Config!$B$5,COUNTIFS($E$5:E1756,E1756,$H$5:H1756,"Falta",$L$5:L1756,Config!$B$7,$M$5:M1756,Config!$B$5)=1),COUNTIFS($E$5:$E$3004,E1756,$H$5:$H$3004,"Falta",$L$5:$L$3004,Config!$B$7,$M$5:$M$3004,Config!$B$5)*1000-ROW()/100000,0)</f>
        <v>0</v>
      </c>
    </row>
    <row r="1757">
      <c r="A1757" s="39" t="n"/>
      <c r="B1757" s="40" t="n"/>
      <c r="C1757" s="35" t="n"/>
      <c r="D1757" s="35" t="n"/>
      <c r="E1757" s="34" t="n"/>
      <c r="F1757" s="35" t="n"/>
      <c r="G1757" s="35" t="n"/>
      <c r="H1757" s="35" t="n"/>
      <c r="I1757" s="35" t="n"/>
      <c r="J1757" s="35" t="n"/>
      <c r="K1757" s="34" t="n"/>
      <c r="L1757" s="26">
        <f>IF(A1757="","",MONTH(A1757))</f>
        <v/>
      </c>
      <c r="M1757" s="26">
        <f>IF(A1757="","",YEAR(A1757))</f>
        <v/>
      </c>
      <c r="N1757" s="26">
        <f>IF(A1757="","",CHOOSE(WEEKDAY(A1757,2),"Segunda","Terça","Quarta","Quinta","Sexta","Sábado","Domingo"))</f>
        <v/>
      </c>
      <c r="O1757" s="26">
        <f>IF(B1757="","",IF(B1757&lt;TIME(12,0,0),"Manhã",IF(B1757&lt;TIME(18,0,0),"Tarde","Noite")))</f>
        <v/>
      </c>
      <c r="P1757" s="32">
        <f>IF(G1757="","",IFERROR(INDEX(Config!$I$5:$I$16,MATCH(G1757,Config!$H$5:$H$16,0)),0))</f>
        <v/>
      </c>
      <c r="Q1757" s="30">
        <f>IF(OR(H1757&lt;&gt;"Realizado",P1757="",P1757=0),"",A1757+P1757)</f>
        <v/>
      </c>
      <c r="R1757" s="26">
        <f>IF(Q1757="","",IF(COUNTIFS($E$5:$E$3004,E1757,$A$5:$A$3004,"&gt;"&amp;A1757,$H$5:$H$3004,"&lt;&gt;Falta",$H$5:$H$3004,"&lt;&gt;Cancelado",$H$5:$H$3004,"&lt;&gt;Remarcado")&gt;0,"Sim","Não"))</f>
        <v/>
      </c>
      <c r="S1757" s="32">
        <f>IF(R1757&lt;&gt;"Não","",IF(Q1757+Config!$B$9&lt;=Config!$B$8,Config!$B$8-Q1757,""))</f>
        <v/>
      </c>
      <c r="T1757" s="26">
        <f>IF(S1757="","","Sim")</f>
        <v/>
      </c>
      <c r="U1757" s="41">
        <f>IF(T1757="Sim",S1757+ROW()/100000,0)</f>
        <v>0</v>
      </c>
      <c r="V1757" s="41">
        <f>IF(AND(H1757="Falta",L1757=Config!$B$7,M1757=Config!$B$5,COUNTIFS($E$5:E1757,E1757,$H$5:H1757,"Falta",$L$5:L1757,Config!$B$7,$M$5:M1757,Config!$B$5)=1),COUNTIFS($E$5:$E$3004,E1757,$H$5:$H$3004,"Falta",$L$5:$L$3004,Config!$B$7,$M$5:$M$3004,Config!$B$5)*1000-ROW()/100000,0)</f>
        <v>0</v>
      </c>
    </row>
    <row r="1758">
      <c r="A1758" s="39" t="n"/>
      <c r="B1758" s="40" t="n"/>
      <c r="C1758" s="35" t="n"/>
      <c r="D1758" s="35" t="n"/>
      <c r="E1758" s="34" t="n"/>
      <c r="F1758" s="35" t="n"/>
      <c r="G1758" s="35" t="n"/>
      <c r="H1758" s="35" t="n"/>
      <c r="I1758" s="35" t="n"/>
      <c r="J1758" s="35" t="n"/>
      <c r="K1758" s="34" t="n"/>
      <c r="L1758" s="26">
        <f>IF(A1758="","",MONTH(A1758))</f>
        <v/>
      </c>
      <c r="M1758" s="26">
        <f>IF(A1758="","",YEAR(A1758))</f>
        <v/>
      </c>
      <c r="N1758" s="26">
        <f>IF(A1758="","",CHOOSE(WEEKDAY(A1758,2),"Segunda","Terça","Quarta","Quinta","Sexta","Sábado","Domingo"))</f>
        <v/>
      </c>
      <c r="O1758" s="26">
        <f>IF(B1758="","",IF(B1758&lt;TIME(12,0,0),"Manhã",IF(B1758&lt;TIME(18,0,0),"Tarde","Noite")))</f>
        <v/>
      </c>
      <c r="P1758" s="32">
        <f>IF(G1758="","",IFERROR(INDEX(Config!$I$5:$I$16,MATCH(G1758,Config!$H$5:$H$16,0)),0))</f>
        <v/>
      </c>
      <c r="Q1758" s="30">
        <f>IF(OR(H1758&lt;&gt;"Realizado",P1758="",P1758=0),"",A1758+P1758)</f>
        <v/>
      </c>
      <c r="R1758" s="26">
        <f>IF(Q1758="","",IF(COUNTIFS($E$5:$E$3004,E1758,$A$5:$A$3004,"&gt;"&amp;A1758,$H$5:$H$3004,"&lt;&gt;Falta",$H$5:$H$3004,"&lt;&gt;Cancelado",$H$5:$H$3004,"&lt;&gt;Remarcado")&gt;0,"Sim","Não"))</f>
        <v/>
      </c>
      <c r="S1758" s="32">
        <f>IF(R1758&lt;&gt;"Não","",IF(Q1758+Config!$B$9&lt;=Config!$B$8,Config!$B$8-Q1758,""))</f>
        <v/>
      </c>
      <c r="T1758" s="26">
        <f>IF(S1758="","","Sim")</f>
        <v/>
      </c>
      <c r="U1758" s="41">
        <f>IF(T1758="Sim",S1758+ROW()/100000,0)</f>
        <v>0</v>
      </c>
      <c r="V1758" s="41">
        <f>IF(AND(H1758="Falta",L1758=Config!$B$7,M1758=Config!$B$5,COUNTIFS($E$5:E1758,E1758,$H$5:H1758,"Falta",$L$5:L1758,Config!$B$7,$M$5:M1758,Config!$B$5)=1),COUNTIFS($E$5:$E$3004,E1758,$H$5:$H$3004,"Falta",$L$5:$L$3004,Config!$B$7,$M$5:$M$3004,Config!$B$5)*1000-ROW()/100000,0)</f>
        <v>0</v>
      </c>
    </row>
    <row r="1759">
      <c r="A1759" s="39" t="n"/>
      <c r="B1759" s="40" t="n"/>
      <c r="C1759" s="35" t="n"/>
      <c r="D1759" s="35" t="n"/>
      <c r="E1759" s="34" t="n"/>
      <c r="F1759" s="35" t="n"/>
      <c r="G1759" s="35" t="n"/>
      <c r="H1759" s="35" t="n"/>
      <c r="I1759" s="35" t="n"/>
      <c r="J1759" s="35" t="n"/>
      <c r="K1759" s="34" t="n"/>
      <c r="L1759" s="26">
        <f>IF(A1759="","",MONTH(A1759))</f>
        <v/>
      </c>
      <c r="M1759" s="26">
        <f>IF(A1759="","",YEAR(A1759))</f>
        <v/>
      </c>
      <c r="N1759" s="26">
        <f>IF(A1759="","",CHOOSE(WEEKDAY(A1759,2),"Segunda","Terça","Quarta","Quinta","Sexta","Sábado","Domingo"))</f>
        <v/>
      </c>
      <c r="O1759" s="26">
        <f>IF(B1759="","",IF(B1759&lt;TIME(12,0,0),"Manhã",IF(B1759&lt;TIME(18,0,0),"Tarde","Noite")))</f>
        <v/>
      </c>
      <c r="P1759" s="32">
        <f>IF(G1759="","",IFERROR(INDEX(Config!$I$5:$I$16,MATCH(G1759,Config!$H$5:$H$16,0)),0))</f>
        <v/>
      </c>
      <c r="Q1759" s="30">
        <f>IF(OR(H1759&lt;&gt;"Realizado",P1759="",P1759=0),"",A1759+P1759)</f>
        <v/>
      </c>
      <c r="R1759" s="26">
        <f>IF(Q1759="","",IF(COUNTIFS($E$5:$E$3004,E1759,$A$5:$A$3004,"&gt;"&amp;A1759,$H$5:$H$3004,"&lt;&gt;Falta",$H$5:$H$3004,"&lt;&gt;Cancelado",$H$5:$H$3004,"&lt;&gt;Remarcado")&gt;0,"Sim","Não"))</f>
        <v/>
      </c>
      <c r="S1759" s="32">
        <f>IF(R1759&lt;&gt;"Não","",IF(Q1759+Config!$B$9&lt;=Config!$B$8,Config!$B$8-Q1759,""))</f>
        <v/>
      </c>
      <c r="T1759" s="26">
        <f>IF(S1759="","","Sim")</f>
        <v/>
      </c>
      <c r="U1759" s="41">
        <f>IF(T1759="Sim",S1759+ROW()/100000,0)</f>
        <v>0</v>
      </c>
      <c r="V1759" s="41">
        <f>IF(AND(H1759="Falta",L1759=Config!$B$7,M1759=Config!$B$5,COUNTIFS($E$5:E1759,E1759,$H$5:H1759,"Falta",$L$5:L1759,Config!$B$7,$M$5:M1759,Config!$B$5)=1),COUNTIFS($E$5:$E$3004,E1759,$H$5:$H$3004,"Falta",$L$5:$L$3004,Config!$B$7,$M$5:$M$3004,Config!$B$5)*1000-ROW()/100000,0)</f>
        <v>0</v>
      </c>
    </row>
    <row r="1760">
      <c r="A1760" s="39" t="n"/>
      <c r="B1760" s="40" t="n"/>
      <c r="C1760" s="35" t="n"/>
      <c r="D1760" s="35" t="n"/>
      <c r="E1760" s="34" t="n"/>
      <c r="F1760" s="35" t="n"/>
      <c r="G1760" s="35" t="n"/>
      <c r="H1760" s="35" t="n"/>
      <c r="I1760" s="35" t="n"/>
      <c r="J1760" s="35" t="n"/>
      <c r="K1760" s="34" t="n"/>
      <c r="L1760" s="26">
        <f>IF(A1760="","",MONTH(A1760))</f>
        <v/>
      </c>
      <c r="M1760" s="26">
        <f>IF(A1760="","",YEAR(A1760))</f>
        <v/>
      </c>
      <c r="N1760" s="26">
        <f>IF(A1760="","",CHOOSE(WEEKDAY(A1760,2),"Segunda","Terça","Quarta","Quinta","Sexta","Sábado","Domingo"))</f>
        <v/>
      </c>
      <c r="O1760" s="26">
        <f>IF(B1760="","",IF(B1760&lt;TIME(12,0,0),"Manhã",IF(B1760&lt;TIME(18,0,0),"Tarde","Noite")))</f>
        <v/>
      </c>
      <c r="P1760" s="32">
        <f>IF(G1760="","",IFERROR(INDEX(Config!$I$5:$I$16,MATCH(G1760,Config!$H$5:$H$16,0)),0))</f>
        <v/>
      </c>
      <c r="Q1760" s="30">
        <f>IF(OR(H1760&lt;&gt;"Realizado",P1760="",P1760=0),"",A1760+P1760)</f>
        <v/>
      </c>
      <c r="R1760" s="26">
        <f>IF(Q1760="","",IF(COUNTIFS($E$5:$E$3004,E1760,$A$5:$A$3004,"&gt;"&amp;A1760,$H$5:$H$3004,"&lt;&gt;Falta",$H$5:$H$3004,"&lt;&gt;Cancelado",$H$5:$H$3004,"&lt;&gt;Remarcado")&gt;0,"Sim","Não"))</f>
        <v/>
      </c>
      <c r="S1760" s="32">
        <f>IF(R1760&lt;&gt;"Não","",IF(Q1760+Config!$B$9&lt;=Config!$B$8,Config!$B$8-Q1760,""))</f>
        <v/>
      </c>
      <c r="T1760" s="26">
        <f>IF(S1760="","","Sim")</f>
        <v/>
      </c>
      <c r="U1760" s="41">
        <f>IF(T1760="Sim",S1760+ROW()/100000,0)</f>
        <v>0</v>
      </c>
      <c r="V1760" s="41">
        <f>IF(AND(H1760="Falta",L1760=Config!$B$7,M1760=Config!$B$5,COUNTIFS($E$5:E1760,E1760,$H$5:H1760,"Falta",$L$5:L1760,Config!$B$7,$M$5:M1760,Config!$B$5)=1),COUNTIFS($E$5:$E$3004,E1760,$H$5:$H$3004,"Falta",$L$5:$L$3004,Config!$B$7,$M$5:$M$3004,Config!$B$5)*1000-ROW()/100000,0)</f>
        <v>0</v>
      </c>
    </row>
    <row r="1761">
      <c r="A1761" s="39" t="n"/>
      <c r="B1761" s="40" t="n"/>
      <c r="C1761" s="35" t="n"/>
      <c r="D1761" s="35" t="n"/>
      <c r="E1761" s="34" t="n"/>
      <c r="F1761" s="35" t="n"/>
      <c r="G1761" s="35" t="n"/>
      <c r="H1761" s="35" t="n"/>
      <c r="I1761" s="35" t="n"/>
      <c r="J1761" s="35" t="n"/>
      <c r="K1761" s="34" t="n"/>
      <c r="L1761" s="26">
        <f>IF(A1761="","",MONTH(A1761))</f>
        <v/>
      </c>
      <c r="M1761" s="26">
        <f>IF(A1761="","",YEAR(A1761))</f>
        <v/>
      </c>
      <c r="N1761" s="26">
        <f>IF(A1761="","",CHOOSE(WEEKDAY(A1761,2),"Segunda","Terça","Quarta","Quinta","Sexta","Sábado","Domingo"))</f>
        <v/>
      </c>
      <c r="O1761" s="26">
        <f>IF(B1761="","",IF(B1761&lt;TIME(12,0,0),"Manhã",IF(B1761&lt;TIME(18,0,0),"Tarde","Noite")))</f>
        <v/>
      </c>
      <c r="P1761" s="32">
        <f>IF(G1761="","",IFERROR(INDEX(Config!$I$5:$I$16,MATCH(G1761,Config!$H$5:$H$16,0)),0))</f>
        <v/>
      </c>
      <c r="Q1761" s="30">
        <f>IF(OR(H1761&lt;&gt;"Realizado",P1761="",P1761=0),"",A1761+P1761)</f>
        <v/>
      </c>
      <c r="R1761" s="26">
        <f>IF(Q1761="","",IF(COUNTIFS($E$5:$E$3004,E1761,$A$5:$A$3004,"&gt;"&amp;A1761,$H$5:$H$3004,"&lt;&gt;Falta",$H$5:$H$3004,"&lt;&gt;Cancelado",$H$5:$H$3004,"&lt;&gt;Remarcado")&gt;0,"Sim","Não"))</f>
        <v/>
      </c>
      <c r="S1761" s="32">
        <f>IF(R1761&lt;&gt;"Não","",IF(Q1761+Config!$B$9&lt;=Config!$B$8,Config!$B$8-Q1761,""))</f>
        <v/>
      </c>
      <c r="T1761" s="26">
        <f>IF(S1761="","","Sim")</f>
        <v/>
      </c>
      <c r="U1761" s="41">
        <f>IF(T1761="Sim",S1761+ROW()/100000,0)</f>
        <v>0</v>
      </c>
      <c r="V1761" s="41">
        <f>IF(AND(H1761="Falta",L1761=Config!$B$7,M1761=Config!$B$5,COUNTIFS($E$5:E1761,E1761,$H$5:H1761,"Falta",$L$5:L1761,Config!$B$7,$M$5:M1761,Config!$B$5)=1),COUNTIFS($E$5:$E$3004,E1761,$H$5:$H$3004,"Falta",$L$5:$L$3004,Config!$B$7,$M$5:$M$3004,Config!$B$5)*1000-ROW()/100000,0)</f>
        <v>0</v>
      </c>
    </row>
    <row r="1762">
      <c r="A1762" s="39" t="n"/>
      <c r="B1762" s="40" t="n"/>
      <c r="C1762" s="35" t="n"/>
      <c r="D1762" s="35" t="n"/>
      <c r="E1762" s="34" t="n"/>
      <c r="F1762" s="35" t="n"/>
      <c r="G1762" s="35" t="n"/>
      <c r="H1762" s="35" t="n"/>
      <c r="I1762" s="35" t="n"/>
      <c r="J1762" s="35" t="n"/>
      <c r="K1762" s="34" t="n"/>
      <c r="L1762" s="26">
        <f>IF(A1762="","",MONTH(A1762))</f>
        <v/>
      </c>
      <c r="M1762" s="26">
        <f>IF(A1762="","",YEAR(A1762))</f>
        <v/>
      </c>
      <c r="N1762" s="26">
        <f>IF(A1762="","",CHOOSE(WEEKDAY(A1762,2),"Segunda","Terça","Quarta","Quinta","Sexta","Sábado","Domingo"))</f>
        <v/>
      </c>
      <c r="O1762" s="26">
        <f>IF(B1762="","",IF(B1762&lt;TIME(12,0,0),"Manhã",IF(B1762&lt;TIME(18,0,0),"Tarde","Noite")))</f>
        <v/>
      </c>
      <c r="P1762" s="32">
        <f>IF(G1762="","",IFERROR(INDEX(Config!$I$5:$I$16,MATCH(G1762,Config!$H$5:$H$16,0)),0))</f>
        <v/>
      </c>
      <c r="Q1762" s="30">
        <f>IF(OR(H1762&lt;&gt;"Realizado",P1762="",P1762=0),"",A1762+P1762)</f>
        <v/>
      </c>
      <c r="R1762" s="26">
        <f>IF(Q1762="","",IF(COUNTIFS($E$5:$E$3004,E1762,$A$5:$A$3004,"&gt;"&amp;A1762,$H$5:$H$3004,"&lt;&gt;Falta",$H$5:$H$3004,"&lt;&gt;Cancelado",$H$5:$H$3004,"&lt;&gt;Remarcado")&gt;0,"Sim","Não"))</f>
        <v/>
      </c>
      <c r="S1762" s="32">
        <f>IF(R1762&lt;&gt;"Não","",IF(Q1762+Config!$B$9&lt;=Config!$B$8,Config!$B$8-Q1762,""))</f>
        <v/>
      </c>
      <c r="T1762" s="26">
        <f>IF(S1762="","","Sim")</f>
        <v/>
      </c>
      <c r="U1762" s="41">
        <f>IF(T1762="Sim",S1762+ROW()/100000,0)</f>
        <v>0</v>
      </c>
      <c r="V1762" s="41">
        <f>IF(AND(H1762="Falta",L1762=Config!$B$7,M1762=Config!$B$5,COUNTIFS($E$5:E1762,E1762,$H$5:H1762,"Falta",$L$5:L1762,Config!$B$7,$M$5:M1762,Config!$B$5)=1),COUNTIFS($E$5:$E$3004,E1762,$H$5:$H$3004,"Falta",$L$5:$L$3004,Config!$B$7,$M$5:$M$3004,Config!$B$5)*1000-ROW()/100000,0)</f>
        <v>0</v>
      </c>
    </row>
    <row r="1763">
      <c r="A1763" s="39" t="n"/>
      <c r="B1763" s="40" t="n"/>
      <c r="C1763" s="35" t="n"/>
      <c r="D1763" s="35" t="n"/>
      <c r="E1763" s="34" t="n"/>
      <c r="F1763" s="35" t="n"/>
      <c r="G1763" s="35" t="n"/>
      <c r="H1763" s="35" t="n"/>
      <c r="I1763" s="35" t="n"/>
      <c r="J1763" s="35" t="n"/>
      <c r="K1763" s="34" t="n"/>
      <c r="L1763" s="26">
        <f>IF(A1763="","",MONTH(A1763))</f>
        <v/>
      </c>
      <c r="M1763" s="26">
        <f>IF(A1763="","",YEAR(A1763))</f>
        <v/>
      </c>
      <c r="N1763" s="26">
        <f>IF(A1763="","",CHOOSE(WEEKDAY(A1763,2),"Segunda","Terça","Quarta","Quinta","Sexta","Sábado","Domingo"))</f>
        <v/>
      </c>
      <c r="O1763" s="26">
        <f>IF(B1763="","",IF(B1763&lt;TIME(12,0,0),"Manhã",IF(B1763&lt;TIME(18,0,0),"Tarde","Noite")))</f>
        <v/>
      </c>
      <c r="P1763" s="32">
        <f>IF(G1763="","",IFERROR(INDEX(Config!$I$5:$I$16,MATCH(G1763,Config!$H$5:$H$16,0)),0))</f>
        <v/>
      </c>
      <c r="Q1763" s="30">
        <f>IF(OR(H1763&lt;&gt;"Realizado",P1763="",P1763=0),"",A1763+P1763)</f>
        <v/>
      </c>
      <c r="R1763" s="26">
        <f>IF(Q1763="","",IF(COUNTIFS($E$5:$E$3004,E1763,$A$5:$A$3004,"&gt;"&amp;A1763,$H$5:$H$3004,"&lt;&gt;Falta",$H$5:$H$3004,"&lt;&gt;Cancelado",$H$5:$H$3004,"&lt;&gt;Remarcado")&gt;0,"Sim","Não"))</f>
        <v/>
      </c>
      <c r="S1763" s="32">
        <f>IF(R1763&lt;&gt;"Não","",IF(Q1763+Config!$B$9&lt;=Config!$B$8,Config!$B$8-Q1763,""))</f>
        <v/>
      </c>
      <c r="T1763" s="26">
        <f>IF(S1763="","","Sim")</f>
        <v/>
      </c>
      <c r="U1763" s="41">
        <f>IF(T1763="Sim",S1763+ROW()/100000,0)</f>
        <v>0</v>
      </c>
      <c r="V1763" s="41">
        <f>IF(AND(H1763="Falta",L1763=Config!$B$7,M1763=Config!$B$5,COUNTIFS($E$5:E1763,E1763,$H$5:H1763,"Falta",$L$5:L1763,Config!$B$7,$M$5:M1763,Config!$B$5)=1),COUNTIFS($E$5:$E$3004,E1763,$H$5:$H$3004,"Falta",$L$5:$L$3004,Config!$B$7,$M$5:$M$3004,Config!$B$5)*1000-ROW()/100000,0)</f>
        <v>0</v>
      </c>
    </row>
    <row r="1764">
      <c r="A1764" s="39" t="n"/>
      <c r="B1764" s="40" t="n"/>
      <c r="C1764" s="35" t="n"/>
      <c r="D1764" s="35" t="n"/>
      <c r="E1764" s="34" t="n"/>
      <c r="F1764" s="35" t="n"/>
      <c r="G1764" s="35" t="n"/>
      <c r="H1764" s="35" t="n"/>
      <c r="I1764" s="35" t="n"/>
      <c r="J1764" s="35" t="n"/>
      <c r="K1764" s="34" t="n"/>
      <c r="L1764" s="26">
        <f>IF(A1764="","",MONTH(A1764))</f>
        <v/>
      </c>
      <c r="M1764" s="26">
        <f>IF(A1764="","",YEAR(A1764))</f>
        <v/>
      </c>
      <c r="N1764" s="26">
        <f>IF(A1764="","",CHOOSE(WEEKDAY(A1764,2),"Segunda","Terça","Quarta","Quinta","Sexta","Sábado","Domingo"))</f>
        <v/>
      </c>
      <c r="O1764" s="26">
        <f>IF(B1764="","",IF(B1764&lt;TIME(12,0,0),"Manhã",IF(B1764&lt;TIME(18,0,0),"Tarde","Noite")))</f>
        <v/>
      </c>
      <c r="P1764" s="32">
        <f>IF(G1764="","",IFERROR(INDEX(Config!$I$5:$I$16,MATCH(G1764,Config!$H$5:$H$16,0)),0))</f>
        <v/>
      </c>
      <c r="Q1764" s="30">
        <f>IF(OR(H1764&lt;&gt;"Realizado",P1764="",P1764=0),"",A1764+P1764)</f>
        <v/>
      </c>
      <c r="R1764" s="26">
        <f>IF(Q1764="","",IF(COUNTIFS($E$5:$E$3004,E1764,$A$5:$A$3004,"&gt;"&amp;A1764,$H$5:$H$3004,"&lt;&gt;Falta",$H$5:$H$3004,"&lt;&gt;Cancelado",$H$5:$H$3004,"&lt;&gt;Remarcado")&gt;0,"Sim","Não"))</f>
        <v/>
      </c>
      <c r="S1764" s="32">
        <f>IF(R1764&lt;&gt;"Não","",IF(Q1764+Config!$B$9&lt;=Config!$B$8,Config!$B$8-Q1764,""))</f>
        <v/>
      </c>
      <c r="T1764" s="26">
        <f>IF(S1764="","","Sim")</f>
        <v/>
      </c>
      <c r="U1764" s="41">
        <f>IF(T1764="Sim",S1764+ROW()/100000,0)</f>
        <v>0</v>
      </c>
      <c r="V1764" s="41">
        <f>IF(AND(H1764="Falta",L1764=Config!$B$7,M1764=Config!$B$5,COUNTIFS($E$5:E1764,E1764,$H$5:H1764,"Falta",$L$5:L1764,Config!$B$7,$M$5:M1764,Config!$B$5)=1),COUNTIFS($E$5:$E$3004,E1764,$H$5:$H$3004,"Falta",$L$5:$L$3004,Config!$B$7,$M$5:$M$3004,Config!$B$5)*1000-ROW()/100000,0)</f>
        <v>0</v>
      </c>
    </row>
    <row r="1765">
      <c r="A1765" s="39" t="n"/>
      <c r="B1765" s="40" t="n"/>
      <c r="C1765" s="35" t="n"/>
      <c r="D1765" s="35" t="n"/>
      <c r="E1765" s="34" t="n"/>
      <c r="F1765" s="35" t="n"/>
      <c r="G1765" s="35" t="n"/>
      <c r="H1765" s="35" t="n"/>
      <c r="I1765" s="35" t="n"/>
      <c r="J1765" s="35" t="n"/>
      <c r="K1765" s="34" t="n"/>
      <c r="L1765" s="26">
        <f>IF(A1765="","",MONTH(A1765))</f>
        <v/>
      </c>
      <c r="M1765" s="26">
        <f>IF(A1765="","",YEAR(A1765))</f>
        <v/>
      </c>
      <c r="N1765" s="26">
        <f>IF(A1765="","",CHOOSE(WEEKDAY(A1765,2),"Segunda","Terça","Quarta","Quinta","Sexta","Sábado","Domingo"))</f>
        <v/>
      </c>
      <c r="O1765" s="26">
        <f>IF(B1765="","",IF(B1765&lt;TIME(12,0,0),"Manhã",IF(B1765&lt;TIME(18,0,0),"Tarde","Noite")))</f>
        <v/>
      </c>
      <c r="P1765" s="32">
        <f>IF(G1765="","",IFERROR(INDEX(Config!$I$5:$I$16,MATCH(G1765,Config!$H$5:$H$16,0)),0))</f>
        <v/>
      </c>
      <c r="Q1765" s="30">
        <f>IF(OR(H1765&lt;&gt;"Realizado",P1765="",P1765=0),"",A1765+P1765)</f>
        <v/>
      </c>
      <c r="R1765" s="26">
        <f>IF(Q1765="","",IF(COUNTIFS($E$5:$E$3004,E1765,$A$5:$A$3004,"&gt;"&amp;A1765,$H$5:$H$3004,"&lt;&gt;Falta",$H$5:$H$3004,"&lt;&gt;Cancelado",$H$5:$H$3004,"&lt;&gt;Remarcado")&gt;0,"Sim","Não"))</f>
        <v/>
      </c>
      <c r="S1765" s="32">
        <f>IF(R1765&lt;&gt;"Não","",IF(Q1765+Config!$B$9&lt;=Config!$B$8,Config!$B$8-Q1765,""))</f>
        <v/>
      </c>
      <c r="T1765" s="26">
        <f>IF(S1765="","","Sim")</f>
        <v/>
      </c>
      <c r="U1765" s="41">
        <f>IF(T1765="Sim",S1765+ROW()/100000,0)</f>
        <v>0</v>
      </c>
      <c r="V1765" s="41">
        <f>IF(AND(H1765="Falta",L1765=Config!$B$7,M1765=Config!$B$5,COUNTIFS($E$5:E1765,E1765,$H$5:H1765,"Falta",$L$5:L1765,Config!$B$7,$M$5:M1765,Config!$B$5)=1),COUNTIFS($E$5:$E$3004,E1765,$H$5:$H$3004,"Falta",$L$5:$L$3004,Config!$B$7,$M$5:$M$3004,Config!$B$5)*1000-ROW()/100000,0)</f>
        <v>0</v>
      </c>
    </row>
    <row r="1766">
      <c r="A1766" s="39" t="n"/>
      <c r="B1766" s="40" t="n"/>
      <c r="C1766" s="35" t="n"/>
      <c r="D1766" s="35" t="n"/>
      <c r="E1766" s="34" t="n"/>
      <c r="F1766" s="35" t="n"/>
      <c r="G1766" s="35" t="n"/>
      <c r="H1766" s="35" t="n"/>
      <c r="I1766" s="35" t="n"/>
      <c r="J1766" s="35" t="n"/>
      <c r="K1766" s="34" t="n"/>
      <c r="L1766" s="26">
        <f>IF(A1766="","",MONTH(A1766))</f>
        <v/>
      </c>
      <c r="M1766" s="26">
        <f>IF(A1766="","",YEAR(A1766))</f>
        <v/>
      </c>
      <c r="N1766" s="26">
        <f>IF(A1766="","",CHOOSE(WEEKDAY(A1766,2),"Segunda","Terça","Quarta","Quinta","Sexta","Sábado","Domingo"))</f>
        <v/>
      </c>
      <c r="O1766" s="26">
        <f>IF(B1766="","",IF(B1766&lt;TIME(12,0,0),"Manhã",IF(B1766&lt;TIME(18,0,0),"Tarde","Noite")))</f>
        <v/>
      </c>
      <c r="P1766" s="32">
        <f>IF(G1766="","",IFERROR(INDEX(Config!$I$5:$I$16,MATCH(G1766,Config!$H$5:$H$16,0)),0))</f>
        <v/>
      </c>
      <c r="Q1766" s="30">
        <f>IF(OR(H1766&lt;&gt;"Realizado",P1766="",P1766=0),"",A1766+P1766)</f>
        <v/>
      </c>
      <c r="R1766" s="26">
        <f>IF(Q1766="","",IF(COUNTIFS($E$5:$E$3004,E1766,$A$5:$A$3004,"&gt;"&amp;A1766,$H$5:$H$3004,"&lt;&gt;Falta",$H$5:$H$3004,"&lt;&gt;Cancelado",$H$5:$H$3004,"&lt;&gt;Remarcado")&gt;0,"Sim","Não"))</f>
        <v/>
      </c>
      <c r="S1766" s="32">
        <f>IF(R1766&lt;&gt;"Não","",IF(Q1766+Config!$B$9&lt;=Config!$B$8,Config!$B$8-Q1766,""))</f>
        <v/>
      </c>
      <c r="T1766" s="26">
        <f>IF(S1766="","","Sim")</f>
        <v/>
      </c>
      <c r="U1766" s="41">
        <f>IF(T1766="Sim",S1766+ROW()/100000,0)</f>
        <v>0</v>
      </c>
      <c r="V1766" s="41">
        <f>IF(AND(H1766="Falta",L1766=Config!$B$7,M1766=Config!$B$5,COUNTIFS($E$5:E1766,E1766,$H$5:H1766,"Falta",$L$5:L1766,Config!$B$7,$M$5:M1766,Config!$B$5)=1),COUNTIFS($E$5:$E$3004,E1766,$H$5:$H$3004,"Falta",$L$5:$L$3004,Config!$B$7,$M$5:$M$3004,Config!$B$5)*1000-ROW()/100000,0)</f>
        <v>0</v>
      </c>
    </row>
    <row r="1767">
      <c r="A1767" s="39" t="n"/>
      <c r="B1767" s="40" t="n"/>
      <c r="C1767" s="35" t="n"/>
      <c r="D1767" s="35" t="n"/>
      <c r="E1767" s="34" t="n"/>
      <c r="F1767" s="35" t="n"/>
      <c r="G1767" s="35" t="n"/>
      <c r="H1767" s="35" t="n"/>
      <c r="I1767" s="35" t="n"/>
      <c r="J1767" s="35" t="n"/>
      <c r="K1767" s="34" t="n"/>
      <c r="L1767" s="26">
        <f>IF(A1767="","",MONTH(A1767))</f>
        <v/>
      </c>
      <c r="M1767" s="26">
        <f>IF(A1767="","",YEAR(A1767))</f>
        <v/>
      </c>
      <c r="N1767" s="26">
        <f>IF(A1767="","",CHOOSE(WEEKDAY(A1767,2),"Segunda","Terça","Quarta","Quinta","Sexta","Sábado","Domingo"))</f>
        <v/>
      </c>
      <c r="O1767" s="26">
        <f>IF(B1767="","",IF(B1767&lt;TIME(12,0,0),"Manhã",IF(B1767&lt;TIME(18,0,0),"Tarde","Noite")))</f>
        <v/>
      </c>
      <c r="P1767" s="32">
        <f>IF(G1767="","",IFERROR(INDEX(Config!$I$5:$I$16,MATCH(G1767,Config!$H$5:$H$16,0)),0))</f>
        <v/>
      </c>
      <c r="Q1767" s="30">
        <f>IF(OR(H1767&lt;&gt;"Realizado",P1767="",P1767=0),"",A1767+P1767)</f>
        <v/>
      </c>
      <c r="R1767" s="26">
        <f>IF(Q1767="","",IF(COUNTIFS($E$5:$E$3004,E1767,$A$5:$A$3004,"&gt;"&amp;A1767,$H$5:$H$3004,"&lt;&gt;Falta",$H$5:$H$3004,"&lt;&gt;Cancelado",$H$5:$H$3004,"&lt;&gt;Remarcado")&gt;0,"Sim","Não"))</f>
        <v/>
      </c>
      <c r="S1767" s="32">
        <f>IF(R1767&lt;&gt;"Não","",IF(Q1767+Config!$B$9&lt;=Config!$B$8,Config!$B$8-Q1767,""))</f>
        <v/>
      </c>
      <c r="T1767" s="26">
        <f>IF(S1767="","","Sim")</f>
        <v/>
      </c>
      <c r="U1767" s="41">
        <f>IF(T1767="Sim",S1767+ROW()/100000,0)</f>
        <v>0</v>
      </c>
      <c r="V1767" s="41">
        <f>IF(AND(H1767="Falta",L1767=Config!$B$7,M1767=Config!$B$5,COUNTIFS($E$5:E1767,E1767,$H$5:H1767,"Falta",$L$5:L1767,Config!$B$7,$M$5:M1767,Config!$B$5)=1),COUNTIFS($E$5:$E$3004,E1767,$H$5:$H$3004,"Falta",$L$5:$L$3004,Config!$B$7,$M$5:$M$3004,Config!$B$5)*1000-ROW()/100000,0)</f>
        <v>0</v>
      </c>
    </row>
    <row r="1768">
      <c r="A1768" s="39" t="n"/>
      <c r="B1768" s="40" t="n"/>
      <c r="C1768" s="35" t="n"/>
      <c r="D1768" s="35" t="n"/>
      <c r="E1768" s="34" t="n"/>
      <c r="F1768" s="35" t="n"/>
      <c r="G1768" s="35" t="n"/>
      <c r="H1768" s="35" t="n"/>
      <c r="I1768" s="35" t="n"/>
      <c r="J1768" s="35" t="n"/>
      <c r="K1768" s="34" t="n"/>
      <c r="L1768" s="26">
        <f>IF(A1768="","",MONTH(A1768))</f>
        <v/>
      </c>
      <c r="M1768" s="26">
        <f>IF(A1768="","",YEAR(A1768))</f>
        <v/>
      </c>
      <c r="N1768" s="26">
        <f>IF(A1768="","",CHOOSE(WEEKDAY(A1768,2),"Segunda","Terça","Quarta","Quinta","Sexta","Sábado","Domingo"))</f>
        <v/>
      </c>
      <c r="O1768" s="26">
        <f>IF(B1768="","",IF(B1768&lt;TIME(12,0,0),"Manhã",IF(B1768&lt;TIME(18,0,0),"Tarde","Noite")))</f>
        <v/>
      </c>
      <c r="P1768" s="32">
        <f>IF(G1768="","",IFERROR(INDEX(Config!$I$5:$I$16,MATCH(G1768,Config!$H$5:$H$16,0)),0))</f>
        <v/>
      </c>
      <c r="Q1768" s="30">
        <f>IF(OR(H1768&lt;&gt;"Realizado",P1768="",P1768=0),"",A1768+P1768)</f>
        <v/>
      </c>
      <c r="R1768" s="26">
        <f>IF(Q1768="","",IF(COUNTIFS($E$5:$E$3004,E1768,$A$5:$A$3004,"&gt;"&amp;A1768,$H$5:$H$3004,"&lt;&gt;Falta",$H$5:$H$3004,"&lt;&gt;Cancelado",$H$5:$H$3004,"&lt;&gt;Remarcado")&gt;0,"Sim","Não"))</f>
        <v/>
      </c>
      <c r="S1768" s="32">
        <f>IF(R1768&lt;&gt;"Não","",IF(Q1768+Config!$B$9&lt;=Config!$B$8,Config!$B$8-Q1768,""))</f>
        <v/>
      </c>
      <c r="T1768" s="26">
        <f>IF(S1768="","","Sim")</f>
        <v/>
      </c>
      <c r="U1768" s="41">
        <f>IF(T1768="Sim",S1768+ROW()/100000,0)</f>
        <v>0</v>
      </c>
      <c r="V1768" s="41">
        <f>IF(AND(H1768="Falta",L1768=Config!$B$7,M1768=Config!$B$5,COUNTIFS($E$5:E1768,E1768,$H$5:H1768,"Falta",$L$5:L1768,Config!$B$7,$M$5:M1768,Config!$B$5)=1),COUNTIFS($E$5:$E$3004,E1768,$H$5:$H$3004,"Falta",$L$5:$L$3004,Config!$B$7,$M$5:$M$3004,Config!$B$5)*1000-ROW()/100000,0)</f>
        <v>0</v>
      </c>
    </row>
    <row r="1769">
      <c r="A1769" s="39" t="n"/>
      <c r="B1769" s="40" t="n"/>
      <c r="C1769" s="35" t="n"/>
      <c r="D1769" s="35" t="n"/>
      <c r="E1769" s="34" t="n"/>
      <c r="F1769" s="35" t="n"/>
      <c r="G1769" s="35" t="n"/>
      <c r="H1769" s="35" t="n"/>
      <c r="I1769" s="35" t="n"/>
      <c r="J1769" s="35" t="n"/>
      <c r="K1769" s="34" t="n"/>
      <c r="L1769" s="26">
        <f>IF(A1769="","",MONTH(A1769))</f>
        <v/>
      </c>
      <c r="M1769" s="26">
        <f>IF(A1769="","",YEAR(A1769))</f>
        <v/>
      </c>
      <c r="N1769" s="26">
        <f>IF(A1769="","",CHOOSE(WEEKDAY(A1769,2),"Segunda","Terça","Quarta","Quinta","Sexta","Sábado","Domingo"))</f>
        <v/>
      </c>
      <c r="O1769" s="26">
        <f>IF(B1769="","",IF(B1769&lt;TIME(12,0,0),"Manhã",IF(B1769&lt;TIME(18,0,0),"Tarde","Noite")))</f>
        <v/>
      </c>
      <c r="P1769" s="32">
        <f>IF(G1769="","",IFERROR(INDEX(Config!$I$5:$I$16,MATCH(G1769,Config!$H$5:$H$16,0)),0))</f>
        <v/>
      </c>
      <c r="Q1769" s="30">
        <f>IF(OR(H1769&lt;&gt;"Realizado",P1769="",P1769=0),"",A1769+P1769)</f>
        <v/>
      </c>
      <c r="R1769" s="26">
        <f>IF(Q1769="","",IF(COUNTIFS($E$5:$E$3004,E1769,$A$5:$A$3004,"&gt;"&amp;A1769,$H$5:$H$3004,"&lt;&gt;Falta",$H$5:$H$3004,"&lt;&gt;Cancelado",$H$5:$H$3004,"&lt;&gt;Remarcado")&gt;0,"Sim","Não"))</f>
        <v/>
      </c>
      <c r="S1769" s="32">
        <f>IF(R1769&lt;&gt;"Não","",IF(Q1769+Config!$B$9&lt;=Config!$B$8,Config!$B$8-Q1769,""))</f>
        <v/>
      </c>
      <c r="T1769" s="26">
        <f>IF(S1769="","","Sim")</f>
        <v/>
      </c>
      <c r="U1769" s="41">
        <f>IF(T1769="Sim",S1769+ROW()/100000,0)</f>
        <v>0</v>
      </c>
      <c r="V1769" s="41">
        <f>IF(AND(H1769="Falta",L1769=Config!$B$7,M1769=Config!$B$5,COUNTIFS($E$5:E1769,E1769,$H$5:H1769,"Falta",$L$5:L1769,Config!$B$7,$M$5:M1769,Config!$B$5)=1),COUNTIFS($E$5:$E$3004,E1769,$H$5:$H$3004,"Falta",$L$5:$L$3004,Config!$B$7,$M$5:$M$3004,Config!$B$5)*1000-ROW()/100000,0)</f>
        <v>0</v>
      </c>
    </row>
    <row r="1770">
      <c r="A1770" s="39" t="n"/>
      <c r="B1770" s="40" t="n"/>
      <c r="C1770" s="35" t="n"/>
      <c r="D1770" s="35" t="n"/>
      <c r="E1770" s="34" t="n"/>
      <c r="F1770" s="35" t="n"/>
      <c r="G1770" s="35" t="n"/>
      <c r="H1770" s="35" t="n"/>
      <c r="I1770" s="35" t="n"/>
      <c r="J1770" s="35" t="n"/>
      <c r="K1770" s="34" t="n"/>
      <c r="L1770" s="26">
        <f>IF(A1770="","",MONTH(A1770))</f>
        <v/>
      </c>
      <c r="M1770" s="26">
        <f>IF(A1770="","",YEAR(A1770))</f>
        <v/>
      </c>
      <c r="N1770" s="26">
        <f>IF(A1770="","",CHOOSE(WEEKDAY(A1770,2),"Segunda","Terça","Quarta","Quinta","Sexta","Sábado","Domingo"))</f>
        <v/>
      </c>
      <c r="O1770" s="26">
        <f>IF(B1770="","",IF(B1770&lt;TIME(12,0,0),"Manhã",IF(B1770&lt;TIME(18,0,0),"Tarde","Noite")))</f>
        <v/>
      </c>
      <c r="P1770" s="32">
        <f>IF(G1770="","",IFERROR(INDEX(Config!$I$5:$I$16,MATCH(G1770,Config!$H$5:$H$16,0)),0))</f>
        <v/>
      </c>
      <c r="Q1770" s="30">
        <f>IF(OR(H1770&lt;&gt;"Realizado",P1770="",P1770=0),"",A1770+P1770)</f>
        <v/>
      </c>
      <c r="R1770" s="26">
        <f>IF(Q1770="","",IF(COUNTIFS($E$5:$E$3004,E1770,$A$5:$A$3004,"&gt;"&amp;A1770,$H$5:$H$3004,"&lt;&gt;Falta",$H$5:$H$3004,"&lt;&gt;Cancelado",$H$5:$H$3004,"&lt;&gt;Remarcado")&gt;0,"Sim","Não"))</f>
        <v/>
      </c>
      <c r="S1770" s="32">
        <f>IF(R1770&lt;&gt;"Não","",IF(Q1770+Config!$B$9&lt;=Config!$B$8,Config!$B$8-Q1770,""))</f>
        <v/>
      </c>
      <c r="T1770" s="26">
        <f>IF(S1770="","","Sim")</f>
        <v/>
      </c>
      <c r="U1770" s="41">
        <f>IF(T1770="Sim",S1770+ROW()/100000,0)</f>
        <v>0</v>
      </c>
      <c r="V1770" s="41">
        <f>IF(AND(H1770="Falta",L1770=Config!$B$7,M1770=Config!$B$5,COUNTIFS($E$5:E1770,E1770,$H$5:H1770,"Falta",$L$5:L1770,Config!$B$7,$M$5:M1770,Config!$B$5)=1),COUNTIFS($E$5:$E$3004,E1770,$H$5:$H$3004,"Falta",$L$5:$L$3004,Config!$B$7,$M$5:$M$3004,Config!$B$5)*1000-ROW()/100000,0)</f>
        <v>0</v>
      </c>
    </row>
    <row r="1771">
      <c r="A1771" s="39" t="n"/>
      <c r="B1771" s="40" t="n"/>
      <c r="C1771" s="35" t="n"/>
      <c r="D1771" s="35" t="n"/>
      <c r="E1771" s="34" t="n"/>
      <c r="F1771" s="35" t="n"/>
      <c r="G1771" s="35" t="n"/>
      <c r="H1771" s="35" t="n"/>
      <c r="I1771" s="35" t="n"/>
      <c r="J1771" s="35" t="n"/>
      <c r="K1771" s="34" t="n"/>
      <c r="L1771" s="26">
        <f>IF(A1771="","",MONTH(A1771))</f>
        <v/>
      </c>
      <c r="M1771" s="26">
        <f>IF(A1771="","",YEAR(A1771))</f>
        <v/>
      </c>
      <c r="N1771" s="26">
        <f>IF(A1771="","",CHOOSE(WEEKDAY(A1771,2),"Segunda","Terça","Quarta","Quinta","Sexta","Sábado","Domingo"))</f>
        <v/>
      </c>
      <c r="O1771" s="26">
        <f>IF(B1771="","",IF(B1771&lt;TIME(12,0,0),"Manhã",IF(B1771&lt;TIME(18,0,0),"Tarde","Noite")))</f>
        <v/>
      </c>
      <c r="P1771" s="32">
        <f>IF(G1771="","",IFERROR(INDEX(Config!$I$5:$I$16,MATCH(G1771,Config!$H$5:$H$16,0)),0))</f>
        <v/>
      </c>
      <c r="Q1771" s="30">
        <f>IF(OR(H1771&lt;&gt;"Realizado",P1771="",P1771=0),"",A1771+P1771)</f>
        <v/>
      </c>
      <c r="R1771" s="26">
        <f>IF(Q1771="","",IF(COUNTIFS($E$5:$E$3004,E1771,$A$5:$A$3004,"&gt;"&amp;A1771,$H$5:$H$3004,"&lt;&gt;Falta",$H$5:$H$3004,"&lt;&gt;Cancelado",$H$5:$H$3004,"&lt;&gt;Remarcado")&gt;0,"Sim","Não"))</f>
        <v/>
      </c>
      <c r="S1771" s="32">
        <f>IF(R1771&lt;&gt;"Não","",IF(Q1771+Config!$B$9&lt;=Config!$B$8,Config!$B$8-Q1771,""))</f>
        <v/>
      </c>
      <c r="T1771" s="26">
        <f>IF(S1771="","","Sim")</f>
        <v/>
      </c>
      <c r="U1771" s="41">
        <f>IF(T1771="Sim",S1771+ROW()/100000,0)</f>
        <v>0</v>
      </c>
      <c r="V1771" s="41">
        <f>IF(AND(H1771="Falta",L1771=Config!$B$7,M1771=Config!$B$5,COUNTIFS($E$5:E1771,E1771,$H$5:H1771,"Falta",$L$5:L1771,Config!$B$7,$M$5:M1771,Config!$B$5)=1),COUNTIFS($E$5:$E$3004,E1771,$H$5:$H$3004,"Falta",$L$5:$L$3004,Config!$B$7,$M$5:$M$3004,Config!$B$5)*1000-ROW()/100000,0)</f>
        <v>0</v>
      </c>
    </row>
    <row r="1772">
      <c r="A1772" s="39" t="n"/>
      <c r="B1772" s="40" t="n"/>
      <c r="C1772" s="35" t="n"/>
      <c r="D1772" s="35" t="n"/>
      <c r="E1772" s="34" t="n"/>
      <c r="F1772" s="35" t="n"/>
      <c r="G1772" s="35" t="n"/>
      <c r="H1772" s="35" t="n"/>
      <c r="I1772" s="35" t="n"/>
      <c r="J1772" s="35" t="n"/>
      <c r="K1772" s="34" t="n"/>
      <c r="L1772" s="26">
        <f>IF(A1772="","",MONTH(A1772))</f>
        <v/>
      </c>
      <c r="M1772" s="26">
        <f>IF(A1772="","",YEAR(A1772))</f>
        <v/>
      </c>
      <c r="N1772" s="26">
        <f>IF(A1772="","",CHOOSE(WEEKDAY(A1772,2),"Segunda","Terça","Quarta","Quinta","Sexta","Sábado","Domingo"))</f>
        <v/>
      </c>
      <c r="O1772" s="26">
        <f>IF(B1772="","",IF(B1772&lt;TIME(12,0,0),"Manhã",IF(B1772&lt;TIME(18,0,0),"Tarde","Noite")))</f>
        <v/>
      </c>
      <c r="P1772" s="32">
        <f>IF(G1772="","",IFERROR(INDEX(Config!$I$5:$I$16,MATCH(G1772,Config!$H$5:$H$16,0)),0))</f>
        <v/>
      </c>
      <c r="Q1772" s="30">
        <f>IF(OR(H1772&lt;&gt;"Realizado",P1772="",P1772=0),"",A1772+P1772)</f>
        <v/>
      </c>
      <c r="R1772" s="26">
        <f>IF(Q1772="","",IF(COUNTIFS($E$5:$E$3004,E1772,$A$5:$A$3004,"&gt;"&amp;A1772,$H$5:$H$3004,"&lt;&gt;Falta",$H$5:$H$3004,"&lt;&gt;Cancelado",$H$5:$H$3004,"&lt;&gt;Remarcado")&gt;0,"Sim","Não"))</f>
        <v/>
      </c>
      <c r="S1772" s="32">
        <f>IF(R1772&lt;&gt;"Não","",IF(Q1772+Config!$B$9&lt;=Config!$B$8,Config!$B$8-Q1772,""))</f>
        <v/>
      </c>
      <c r="T1772" s="26">
        <f>IF(S1772="","","Sim")</f>
        <v/>
      </c>
      <c r="U1772" s="41">
        <f>IF(T1772="Sim",S1772+ROW()/100000,0)</f>
        <v>0</v>
      </c>
      <c r="V1772" s="41">
        <f>IF(AND(H1772="Falta",L1772=Config!$B$7,M1772=Config!$B$5,COUNTIFS($E$5:E1772,E1772,$H$5:H1772,"Falta",$L$5:L1772,Config!$B$7,$M$5:M1772,Config!$B$5)=1),COUNTIFS($E$5:$E$3004,E1772,$H$5:$H$3004,"Falta",$L$5:$L$3004,Config!$B$7,$M$5:$M$3004,Config!$B$5)*1000-ROW()/100000,0)</f>
        <v>0</v>
      </c>
    </row>
    <row r="1773">
      <c r="A1773" s="39" t="n"/>
      <c r="B1773" s="40" t="n"/>
      <c r="C1773" s="35" t="n"/>
      <c r="D1773" s="35" t="n"/>
      <c r="E1773" s="34" t="n"/>
      <c r="F1773" s="35" t="n"/>
      <c r="G1773" s="35" t="n"/>
      <c r="H1773" s="35" t="n"/>
      <c r="I1773" s="35" t="n"/>
      <c r="J1773" s="35" t="n"/>
      <c r="K1773" s="34" t="n"/>
      <c r="L1773" s="26">
        <f>IF(A1773="","",MONTH(A1773))</f>
        <v/>
      </c>
      <c r="M1773" s="26">
        <f>IF(A1773="","",YEAR(A1773))</f>
        <v/>
      </c>
      <c r="N1773" s="26">
        <f>IF(A1773="","",CHOOSE(WEEKDAY(A1773,2),"Segunda","Terça","Quarta","Quinta","Sexta","Sábado","Domingo"))</f>
        <v/>
      </c>
      <c r="O1773" s="26">
        <f>IF(B1773="","",IF(B1773&lt;TIME(12,0,0),"Manhã",IF(B1773&lt;TIME(18,0,0),"Tarde","Noite")))</f>
        <v/>
      </c>
      <c r="P1773" s="32">
        <f>IF(G1773="","",IFERROR(INDEX(Config!$I$5:$I$16,MATCH(G1773,Config!$H$5:$H$16,0)),0))</f>
        <v/>
      </c>
      <c r="Q1773" s="30">
        <f>IF(OR(H1773&lt;&gt;"Realizado",P1773="",P1773=0),"",A1773+P1773)</f>
        <v/>
      </c>
      <c r="R1773" s="26">
        <f>IF(Q1773="","",IF(COUNTIFS($E$5:$E$3004,E1773,$A$5:$A$3004,"&gt;"&amp;A1773,$H$5:$H$3004,"&lt;&gt;Falta",$H$5:$H$3004,"&lt;&gt;Cancelado",$H$5:$H$3004,"&lt;&gt;Remarcado")&gt;0,"Sim","Não"))</f>
        <v/>
      </c>
      <c r="S1773" s="32">
        <f>IF(R1773&lt;&gt;"Não","",IF(Q1773+Config!$B$9&lt;=Config!$B$8,Config!$B$8-Q1773,""))</f>
        <v/>
      </c>
      <c r="T1773" s="26">
        <f>IF(S1773="","","Sim")</f>
        <v/>
      </c>
      <c r="U1773" s="41">
        <f>IF(T1773="Sim",S1773+ROW()/100000,0)</f>
        <v>0</v>
      </c>
      <c r="V1773" s="41">
        <f>IF(AND(H1773="Falta",L1773=Config!$B$7,M1773=Config!$B$5,COUNTIFS($E$5:E1773,E1773,$H$5:H1773,"Falta",$L$5:L1773,Config!$B$7,$M$5:M1773,Config!$B$5)=1),COUNTIFS($E$5:$E$3004,E1773,$H$5:$H$3004,"Falta",$L$5:$L$3004,Config!$B$7,$M$5:$M$3004,Config!$B$5)*1000-ROW()/100000,0)</f>
        <v>0</v>
      </c>
    </row>
    <row r="1774">
      <c r="A1774" s="39" t="n"/>
      <c r="B1774" s="40" t="n"/>
      <c r="C1774" s="35" t="n"/>
      <c r="D1774" s="35" t="n"/>
      <c r="E1774" s="34" t="n"/>
      <c r="F1774" s="35" t="n"/>
      <c r="G1774" s="35" t="n"/>
      <c r="H1774" s="35" t="n"/>
      <c r="I1774" s="35" t="n"/>
      <c r="J1774" s="35" t="n"/>
      <c r="K1774" s="34" t="n"/>
      <c r="L1774" s="26">
        <f>IF(A1774="","",MONTH(A1774))</f>
        <v/>
      </c>
      <c r="M1774" s="26">
        <f>IF(A1774="","",YEAR(A1774))</f>
        <v/>
      </c>
      <c r="N1774" s="26">
        <f>IF(A1774="","",CHOOSE(WEEKDAY(A1774,2),"Segunda","Terça","Quarta","Quinta","Sexta","Sábado","Domingo"))</f>
        <v/>
      </c>
      <c r="O1774" s="26">
        <f>IF(B1774="","",IF(B1774&lt;TIME(12,0,0),"Manhã",IF(B1774&lt;TIME(18,0,0),"Tarde","Noite")))</f>
        <v/>
      </c>
      <c r="P1774" s="32">
        <f>IF(G1774="","",IFERROR(INDEX(Config!$I$5:$I$16,MATCH(G1774,Config!$H$5:$H$16,0)),0))</f>
        <v/>
      </c>
      <c r="Q1774" s="30">
        <f>IF(OR(H1774&lt;&gt;"Realizado",P1774="",P1774=0),"",A1774+P1774)</f>
        <v/>
      </c>
      <c r="R1774" s="26">
        <f>IF(Q1774="","",IF(COUNTIFS($E$5:$E$3004,E1774,$A$5:$A$3004,"&gt;"&amp;A1774,$H$5:$H$3004,"&lt;&gt;Falta",$H$5:$H$3004,"&lt;&gt;Cancelado",$H$5:$H$3004,"&lt;&gt;Remarcado")&gt;0,"Sim","Não"))</f>
        <v/>
      </c>
      <c r="S1774" s="32">
        <f>IF(R1774&lt;&gt;"Não","",IF(Q1774+Config!$B$9&lt;=Config!$B$8,Config!$B$8-Q1774,""))</f>
        <v/>
      </c>
      <c r="T1774" s="26">
        <f>IF(S1774="","","Sim")</f>
        <v/>
      </c>
      <c r="U1774" s="41">
        <f>IF(T1774="Sim",S1774+ROW()/100000,0)</f>
        <v>0</v>
      </c>
      <c r="V1774" s="41">
        <f>IF(AND(H1774="Falta",L1774=Config!$B$7,M1774=Config!$B$5,COUNTIFS($E$5:E1774,E1774,$H$5:H1774,"Falta",$L$5:L1774,Config!$B$7,$M$5:M1774,Config!$B$5)=1),COUNTIFS($E$5:$E$3004,E1774,$H$5:$H$3004,"Falta",$L$5:$L$3004,Config!$B$7,$M$5:$M$3004,Config!$B$5)*1000-ROW()/100000,0)</f>
        <v>0</v>
      </c>
    </row>
    <row r="1775">
      <c r="A1775" s="39" t="n"/>
      <c r="B1775" s="40" t="n"/>
      <c r="C1775" s="35" t="n"/>
      <c r="D1775" s="35" t="n"/>
      <c r="E1775" s="34" t="n"/>
      <c r="F1775" s="35" t="n"/>
      <c r="G1775" s="35" t="n"/>
      <c r="H1775" s="35" t="n"/>
      <c r="I1775" s="35" t="n"/>
      <c r="J1775" s="35" t="n"/>
      <c r="K1775" s="34" t="n"/>
      <c r="L1775" s="26">
        <f>IF(A1775="","",MONTH(A1775))</f>
        <v/>
      </c>
      <c r="M1775" s="26">
        <f>IF(A1775="","",YEAR(A1775))</f>
        <v/>
      </c>
      <c r="N1775" s="26">
        <f>IF(A1775="","",CHOOSE(WEEKDAY(A1775,2),"Segunda","Terça","Quarta","Quinta","Sexta","Sábado","Domingo"))</f>
        <v/>
      </c>
      <c r="O1775" s="26">
        <f>IF(B1775="","",IF(B1775&lt;TIME(12,0,0),"Manhã",IF(B1775&lt;TIME(18,0,0),"Tarde","Noite")))</f>
        <v/>
      </c>
      <c r="P1775" s="32">
        <f>IF(G1775="","",IFERROR(INDEX(Config!$I$5:$I$16,MATCH(G1775,Config!$H$5:$H$16,0)),0))</f>
        <v/>
      </c>
      <c r="Q1775" s="30">
        <f>IF(OR(H1775&lt;&gt;"Realizado",P1775="",P1775=0),"",A1775+P1775)</f>
        <v/>
      </c>
      <c r="R1775" s="26">
        <f>IF(Q1775="","",IF(COUNTIFS($E$5:$E$3004,E1775,$A$5:$A$3004,"&gt;"&amp;A1775,$H$5:$H$3004,"&lt;&gt;Falta",$H$5:$H$3004,"&lt;&gt;Cancelado",$H$5:$H$3004,"&lt;&gt;Remarcado")&gt;0,"Sim","Não"))</f>
        <v/>
      </c>
      <c r="S1775" s="32">
        <f>IF(R1775&lt;&gt;"Não","",IF(Q1775+Config!$B$9&lt;=Config!$B$8,Config!$B$8-Q1775,""))</f>
        <v/>
      </c>
      <c r="T1775" s="26">
        <f>IF(S1775="","","Sim")</f>
        <v/>
      </c>
      <c r="U1775" s="41">
        <f>IF(T1775="Sim",S1775+ROW()/100000,0)</f>
        <v>0</v>
      </c>
      <c r="V1775" s="41">
        <f>IF(AND(H1775="Falta",L1775=Config!$B$7,M1775=Config!$B$5,COUNTIFS($E$5:E1775,E1775,$H$5:H1775,"Falta",$L$5:L1775,Config!$B$7,$M$5:M1775,Config!$B$5)=1),COUNTIFS($E$5:$E$3004,E1775,$H$5:$H$3004,"Falta",$L$5:$L$3004,Config!$B$7,$M$5:$M$3004,Config!$B$5)*1000-ROW()/100000,0)</f>
        <v>0</v>
      </c>
    </row>
    <row r="1776">
      <c r="A1776" s="39" t="n"/>
      <c r="B1776" s="40" t="n"/>
      <c r="C1776" s="35" t="n"/>
      <c r="D1776" s="35" t="n"/>
      <c r="E1776" s="34" t="n"/>
      <c r="F1776" s="35" t="n"/>
      <c r="G1776" s="35" t="n"/>
      <c r="H1776" s="35" t="n"/>
      <c r="I1776" s="35" t="n"/>
      <c r="J1776" s="35" t="n"/>
      <c r="K1776" s="34" t="n"/>
      <c r="L1776" s="26">
        <f>IF(A1776="","",MONTH(A1776))</f>
        <v/>
      </c>
      <c r="M1776" s="26">
        <f>IF(A1776="","",YEAR(A1776))</f>
        <v/>
      </c>
      <c r="N1776" s="26">
        <f>IF(A1776="","",CHOOSE(WEEKDAY(A1776,2),"Segunda","Terça","Quarta","Quinta","Sexta","Sábado","Domingo"))</f>
        <v/>
      </c>
      <c r="O1776" s="26">
        <f>IF(B1776="","",IF(B1776&lt;TIME(12,0,0),"Manhã",IF(B1776&lt;TIME(18,0,0),"Tarde","Noite")))</f>
        <v/>
      </c>
      <c r="P1776" s="32">
        <f>IF(G1776="","",IFERROR(INDEX(Config!$I$5:$I$16,MATCH(G1776,Config!$H$5:$H$16,0)),0))</f>
        <v/>
      </c>
      <c r="Q1776" s="30">
        <f>IF(OR(H1776&lt;&gt;"Realizado",P1776="",P1776=0),"",A1776+P1776)</f>
        <v/>
      </c>
      <c r="R1776" s="26">
        <f>IF(Q1776="","",IF(COUNTIFS($E$5:$E$3004,E1776,$A$5:$A$3004,"&gt;"&amp;A1776,$H$5:$H$3004,"&lt;&gt;Falta",$H$5:$H$3004,"&lt;&gt;Cancelado",$H$5:$H$3004,"&lt;&gt;Remarcado")&gt;0,"Sim","Não"))</f>
        <v/>
      </c>
      <c r="S1776" s="32">
        <f>IF(R1776&lt;&gt;"Não","",IF(Q1776+Config!$B$9&lt;=Config!$B$8,Config!$B$8-Q1776,""))</f>
        <v/>
      </c>
      <c r="T1776" s="26">
        <f>IF(S1776="","","Sim")</f>
        <v/>
      </c>
      <c r="U1776" s="41">
        <f>IF(T1776="Sim",S1776+ROW()/100000,0)</f>
        <v>0</v>
      </c>
      <c r="V1776" s="41">
        <f>IF(AND(H1776="Falta",L1776=Config!$B$7,M1776=Config!$B$5,COUNTIFS($E$5:E1776,E1776,$H$5:H1776,"Falta",$L$5:L1776,Config!$B$7,$M$5:M1776,Config!$B$5)=1),COUNTIFS($E$5:$E$3004,E1776,$H$5:$H$3004,"Falta",$L$5:$L$3004,Config!$B$7,$M$5:$M$3004,Config!$B$5)*1000-ROW()/100000,0)</f>
        <v>0</v>
      </c>
    </row>
    <row r="1777">
      <c r="A1777" s="39" t="n"/>
      <c r="B1777" s="40" t="n"/>
      <c r="C1777" s="35" t="n"/>
      <c r="D1777" s="35" t="n"/>
      <c r="E1777" s="34" t="n"/>
      <c r="F1777" s="35" t="n"/>
      <c r="G1777" s="35" t="n"/>
      <c r="H1777" s="35" t="n"/>
      <c r="I1777" s="35" t="n"/>
      <c r="J1777" s="35" t="n"/>
      <c r="K1777" s="34" t="n"/>
      <c r="L1777" s="26">
        <f>IF(A1777="","",MONTH(A1777))</f>
        <v/>
      </c>
      <c r="M1777" s="26">
        <f>IF(A1777="","",YEAR(A1777))</f>
        <v/>
      </c>
      <c r="N1777" s="26">
        <f>IF(A1777="","",CHOOSE(WEEKDAY(A1777,2),"Segunda","Terça","Quarta","Quinta","Sexta","Sábado","Domingo"))</f>
        <v/>
      </c>
      <c r="O1777" s="26">
        <f>IF(B1777="","",IF(B1777&lt;TIME(12,0,0),"Manhã",IF(B1777&lt;TIME(18,0,0),"Tarde","Noite")))</f>
        <v/>
      </c>
      <c r="P1777" s="32">
        <f>IF(G1777="","",IFERROR(INDEX(Config!$I$5:$I$16,MATCH(G1777,Config!$H$5:$H$16,0)),0))</f>
        <v/>
      </c>
      <c r="Q1777" s="30">
        <f>IF(OR(H1777&lt;&gt;"Realizado",P1777="",P1777=0),"",A1777+P1777)</f>
        <v/>
      </c>
      <c r="R1777" s="26">
        <f>IF(Q1777="","",IF(COUNTIFS($E$5:$E$3004,E1777,$A$5:$A$3004,"&gt;"&amp;A1777,$H$5:$H$3004,"&lt;&gt;Falta",$H$5:$H$3004,"&lt;&gt;Cancelado",$H$5:$H$3004,"&lt;&gt;Remarcado")&gt;0,"Sim","Não"))</f>
        <v/>
      </c>
      <c r="S1777" s="32">
        <f>IF(R1777&lt;&gt;"Não","",IF(Q1777+Config!$B$9&lt;=Config!$B$8,Config!$B$8-Q1777,""))</f>
        <v/>
      </c>
      <c r="T1777" s="26">
        <f>IF(S1777="","","Sim")</f>
        <v/>
      </c>
      <c r="U1777" s="41">
        <f>IF(T1777="Sim",S1777+ROW()/100000,0)</f>
        <v>0</v>
      </c>
      <c r="V1777" s="41">
        <f>IF(AND(H1777="Falta",L1777=Config!$B$7,M1777=Config!$B$5,COUNTIFS($E$5:E1777,E1777,$H$5:H1777,"Falta",$L$5:L1777,Config!$B$7,$M$5:M1777,Config!$B$5)=1),COUNTIFS($E$5:$E$3004,E1777,$H$5:$H$3004,"Falta",$L$5:$L$3004,Config!$B$7,$M$5:$M$3004,Config!$B$5)*1000-ROW()/100000,0)</f>
        <v>0</v>
      </c>
    </row>
    <row r="1778">
      <c r="A1778" s="39" t="n"/>
      <c r="B1778" s="40" t="n"/>
      <c r="C1778" s="35" t="n"/>
      <c r="D1778" s="35" t="n"/>
      <c r="E1778" s="34" t="n"/>
      <c r="F1778" s="35" t="n"/>
      <c r="G1778" s="35" t="n"/>
      <c r="H1778" s="35" t="n"/>
      <c r="I1778" s="35" t="n"/>
      <c r="J1778" s="35" t="n"/>
      <c r="K1778" s="34" t="n"/>
      <c r="L1778" s="26">
        <f>IF(A1778="","",MONTH(A1778))</f>
        <v/>
      </c>
      <c r="M1778" s="26">
        <f>IF(A1778="","",YEAR(A1778))</f>
        <v/>
      </c>
      <c r="N1778" s="26">
        <f>IF(A1778="","",CHOOSE(WEEKDAY(A1778,2),"Segunda","Terça","Quarta","Quinta","Sexta","Sábado","Domingo"))</f>
        <v/>
      </c>
      <c r="O1778" s="26">
        <f>IF(B1778="","",IF(B1778&lt;TIME(12,0,0),"Manhã",IF(B1778&lt;TIME(18,0,0),"Tarde","Noite")))</f>
        <v/>
      </c>
      <c r="P1778" s="32">
        <f>IF(G1778="","",IFERROR(INDEX(Config!$I$5:$I$16,MATCH(G1778,Config!$H$5:$H$16,0)),0))</f>
        <v/>
      </c>
      <c r="Q1778" s="30">
        <f>IF(OR(H1778&lt;&gt;"Realizado",P1778="",P1778=0),"",A1778+P1778)</f>
        <v/>
      </c>
      <c r="R1778" s="26">
        <f>IF(Q1778="","",IF(COUNTIFS($E$5:$E$3004,E1778,$A$5:$A$3004,"&gt;"&amp;A1778,$H$5:$H$3004,"&lt;&gt;Falta",$H$5:$H$3004,"&lt;&gt;Cancelado",$H$5:$H$3004,"&lt;&gt;Remarcado")&gt;0,"Sim","Não"))</f>
        <v/>
      </c>
      <c r="S1778" s="32">
        <f>IF(R1778&lt;&gt;"Não","",IF(Q1778+Config!$B$9&lt;=Config!$B$8,Config!$B$8-Q1778,""))</f>
        <v/>
      </c>
      <c r="T1778" s="26">
        <f>IF(S1778="","","Sim")</f>
        <v/>
      </c>
      <c r="U1778" s="41">
        <f>IF(T1778="Sim",S1778+ROW()/100000,0)</f>
        <v>0</v>
      </c>
      <c r="V1778" s="41">
        <f>IF(AND(H1778="Falta",L1778=Config!$B$7,M1778=Config!$B$5,COUNTIFS($E$5:E1778,E1778,$H$5:H1778,"Falta",$L$5:L1778,Config!$B$7,$M$5:M1778,Config!$B$5)=1),COUNTIFS($E$5:$E$3004,E1778,$H$5:$H$3004,"Falta",$L$5:$L$3004,Config!$B$7,$M$5:$M$3004,Config!$B$5)*1000-ROW()/100000,0)</f>
        <v>0</v>
      </c>
    </row>
    <row r="1779">
      <c r="A1779" s="39" t="n"/>
      <c r="B1779" s="40" t="n"/>
      <c r="C1779" s="35" t="n"/>
      <c r="D1779" s="35" t="n"/>
      <c r="E1779" s="34" t="n"/>
      <c r="F1779" s="35" t="n"/>
      <c r="G1779" s="35" t="n"/>
      <c r="H1779" s="35" t="n"/>
      <c r="I1779" s="35" t="n"/>
      <c r="J1779" s="35" t="n"/>
      <c r="K1779" s="34" t="n"/>
      <c r="L1779" s="26">
        <f>IF(A1779="","",MONTH(A1779))</f>
        <v/>
      </c>
      <c r="M1779" s="26">
        <f>IF(A1779="","",YEAR(A1779))</f>
        <v/>
      </c>
      <c r="N1779" s="26">
        <f>IF(A1779="","",CHOOSE(WEEKDAY(A1779,2),"Segunda","Terça","Quarta","Quinta","Sexta","Sábado","Domingo"))</f>
        <v/>
      </c>
      <c r="O1779" s="26">
        <f>IF(B1779="","",IF(B1779&lt;TIME(12,0,0),"Manhã",IF(B1779&lt;TIME(18,0,0),"Tarde","Noite")))</f>
        <v/>
      </c>
      <c r="P1779" s="32">
        <f>IF(G1779="","",IFERROR(INDEX(Config!$I$5:$I$16,MATCH(G1779,Config!$H$5:$H$16,0)),0))</f>
        <v/>
      </c>
      <c r="Q1779" s="30">
        <f>IF(OR(H1779&lt;&gt;"Realizado",P1779="",P1779=0),"",A1779+P1779)</f>
        <v/>
      </c>
      <c r="R1779" s="26">
        <f>IF(Q1779="","",IF(COUNTIFS($E$5:$E$3004,E1779,$A$5:$A$3004,"&gt;"&amp;A1779,$H$5:$H$3004,"&lt;&gt;Falta",$H$5:$H$3004,"&lt;&gt;Cancelado",$H$5:$H$3004,"&lt;&gt;Remarcado")&gt;0,"Sim","Não"))</f>
        <v/>
      </c>
      <c r="S1779" s="32">
        <f>IF(R1779&lt;&gt;"Não","",IF(Q1779+Config!$B$9&lt;=Config!$B$8,Config!$B$8-Q1779,""))</f>
        <v/>
      </c>
      <c r="T1779" s="26">
        <f>IF(S1779="","","Sim")</f>
        <v/>
      </c>
      <c r="U1779" s="41">
        <f>IF(T1779="Sim",S1779+ROW()/100000,0)</f>
        <v>0</v>
      </c>
      <c r="V1779" s="41">
        <f>IF(AND(H1779="Falta",L1779=Config!$B$7,M1779=Config!$B$5,COUNTIFS($E$5:E1779,E1779,$H$5:H1779,"Falta",$L$5:L1779,Config!$B$7,$M$5:M1779,Config!$B$5)=1),COUNTIFS($E$5:$E$3004,E1779,$H$5:$H$3004,"Falta",$L$5:$L$3004,Config!$B$7,$M$5:$M$3004,Config!$B$5)*1000-ROW()/100000,0)</f>
        <v>0</v>
      </c>
    </row>
    <row r="1780">
      <c r="A1780" s="39" t="n"/>
      <c r="B1780" s="40" t="n"/>
      <c r="C1780" s="35" t="n"/>
      <c r="D1780" s="35" t="n"/>
      <c r="E1780" s="34" t="n"/>
      <c r="F1780" s="35" t="n"/>
      <c r="G1780" s="35" t="n"/>
      <c r="H1780" s="35" t="n"/>
      <c r="I1780" s="35" t="n"/>
      <c r="J1780" s="35" t="n"/>
      <c r="K1780" s="34" t="n"/>
      <c r="L1780" s="26">
        <f>IF(A1780="","",MONTH(A1780))</f>
        <v/>
      </c>
      <c r="M1780" s="26">
        <f>IF(A1780="","",YEAR(A1780))</f>
        <v/>
      </c>
      <c r="N1780" s="26">
        <f>IF(A1780="","",CHOOSE(WEEKDAY(A1780,2),"Segunda","Terça","Quarta","Quinta","Sexta","Sábado","Domingo"))</f>
        <v/>
      </c>
      <c r="O1780" s="26">
        <f>IF(B1780="","",IF(B1780&lt;TIME(12,0,0),"Manhã",IF(B1780&lt;TIME(18,0,0),"Tarde","Noite")))</f>
        <v/>
      </c>
      <c r="P1780" s="32">
        <f>IF(G1780="","",IFERROR(INDEX(Config!$I$5:$I$16,MATCH(G1780,Config!$H$5:$H$16,0)),0))</f>
        <v/>
      </c>
      <c r="Q1780" s="30">
        <f>IF(OR(H1780&lt;&gt;"Realizado",P1780="",P1780=0),"",A1780+P1780)</f>
        <v/>
      </c>
      <c r="R1780" s="26">
        <f>IF(Q1780="","",IF(COUNTIFS($E$5:$E$3004,E1780,$A$5:$A$3004,"&gt;"&amp;A1780,$H$5:$H$3004,"&lt;&gt;Falta",$H$5:$H$3004,"&lt;&gt;Cancelado",$H$5:$H$3004,"&lt;&gt;Remarcado")&gt;0,"Sim","Não"))</f>
        <v/>
      </c>
      <c r="S1780" s="32">
        <f>IF(R1780&lt;&gt;"Não","",IF(Q1780+Config!$B$9&lt;=Config!$B$8,Config!$B$8-Q1780,""))</f>
        <v/>
      </c>
      <c r="T1780" s="26">
        <f>IF(S1780="","","Sim")</f>
        <v/>
      </c>
      <c r="U1780" s="41">
        <f>IF(T1780="Sim",S1780+ROW()/100000,0)</f>
        <v>0</v>
      </c>
      <c r="V1780" s="41">
        <f>IF(AND(H1780="Falta",L1780=Config!$B$7,M1780=Config!$B$5,COUNTIFS($E$5:E1780,E1780,$H$5:H1780,"Falta",$L$5:L1780,Config!$B$7,$M$5:M1780,Config!$B$5)=1),COUNTIFS($E$5:$E$3004,E1780,$H$5:$H$3004,"Falta",$L$5:$L$3004,Config!$B$7,$M$5:$M$3004,Config!$B$5)*1000-ROW()/100000,0)</f>
        <v>0</v>
      </c>
    </row>
    <row r="1781">
      <c r="A1781" s="39" t="n"/>
      <c r="B1781" s="40" t="n"/>
      <c r="C1781" s="35" t="n"/>
      <c r="D1781" s="35" t="n"/>
      <c r="E1781" s="34" t="n"/>
      <c r="F1781" s="35" t="n"/>
      <c r="G1781" s="35" t="n"/>
      <c r="H1781" s="35" t="n"/>
      <c r="I1781" s="35" t="n"/>
      <c r="J1781" s="35" t="n"/>
      <c r="K1781" s="34" t="n"/>
      <c r="L1781" s="26">
        <f>IF(A1781="","",MONTH(A1781))</f>
        <v/>
      </c>
      <c r="M1781" s="26">
        <f>IF(A1781="","",YEAR(A1781))</f>
        <v/>
      </c>
      <c r="N1781" s="26">
        <f>IF(A1781="","",CHOOSE(WEEKDAY(A1781,2),"Segunda","Terça","Quarta","Quinta","Sexta","Sábado","Domingo"))</f>
        <v/>
      </c>
      <c r="O1781" s="26">
        <f>IF(B1781="","",IF(B1781&lt;TIME(12,0,0),"Manhã",IF(B1781&lt;TIME(18,0,0),"Tarde","Noite")))</f>
        <v/>
      </c>
      <c r="P1781" s="32">
        <f>IF(G1781="","",IFERROR(INDEX(Config!$I$5:$I$16,MATCH(G1781,Config!$H$5:$H$16,0)),0))</f>
        <v/>
      </c>
      <c r="Q1781" s="30">
        <f>IF(OR(H1781&lt;&gt;"Realizado",P1781="",P1781=0),"",A1781+P1781)</f>
        <v/>
      </c>
      <c r="R1781" s="26">
        <f>IF(Q1781="","",IF(COUNTIFS($E$5:$E$3004,E1781,$A$5:$A$3004,"&gt;"&amp;A1781,$H$5:$H$3004,"&lt;&gt;Falta",$H$5:$H$3004,"&lt;&gt;Cancelado",$H$5:$H$3004,"&lt;&gt;Remarcado")&gt;0,"Sim","Não"))</f>
        <v/>
      </c>
      <c r="S1781" s="32">
        <f>IF(R1781&lt;&gt;"Não","",IF(Q1781+Config!$B$9&lt;=Config!$B$8,Config!$B$8-Q1781,""))</f>
        <v/>
      </c>
      <c r="T1781" s="26">
        <f>IF(S1781="","","Sim")</f>
        <v/>
      </c>
      <c r="U1781" s="41">
        <f>IF(T1781="Sim",S1781+ROW()/100000,0)</f>
        <v>0</v>
      </c>
      <c r="V1781" s="41">
        <f>IF(AND(H1781="Falta",L1781=Config!$B$7,M1781=Config!$B$5,COUNTIFS($E$5:E1781,E1781,$H$5:H1781,"Falta",$L$5:L1781,Config!$B$7,$M$5:M1781,Config!$B$5)=1),COUNTIFS($E$5:$E$3004,E1781,$H$5:$H$3004,"Falta",$L$5:$L$3004,Config!$B$7,$M$5:$M$3004,Config!$B$5)*1000-ROW()/100000,0)</f>
        <v>0</v>
      </c>
    </row>
    <row r="1782">
      <c r="A1782" s="39" t="n"/>
      <c r="B1782" s="40" t="n"/>
      <c r="C1782" s="35" t="n"/>
      <c r="D1782" s="35" t="n"/>
      <c r="E1782" s="34" t="n"/>
      <c r="F1782" s="35" t="n"/>
      <c r="G1782" s="35" t="n"/>
      <c r="H1782" s="35" t="n"/>
      <c r="I1782" s="35" t="n"/>
      <c r="J1782" s="35" t="n"/>
      <c r="K1782" s="34" t="n"/>
      <c r="L1782" s="26">
        <f>IF(A1782="","",MONTH(A1782))</f>
        <v/>
      </c>
      <c r="M1782" s="26">
        <f>IF(A1782="","",YEAR(A1782))</f>
        <v/>
      </c>
      <c r="N1782" s="26">
        <f>IF(A1782="","",CHOOSE(WEEKDAY(A1782,2),"Segunda","Terça","Quarta","Quinta","Sexta","Sábado","Domingo"))</f>
        <v/>
      </c>
      <c r="O1782" s="26">
        <f>IF(B1782="","",IF(B1782&lt;TIME(12,0,0),"Manhã",IF(B1782&lt;TIME(18,0,0),"Tarde","Noite")))</f>
        <v/>
      </c>
      <c r="P1782" s="32">
        <f>IF(G1782="","",IFERROR(INDEX(Config!$I$5:$I$16,MATCH(G1782,Config!$H$5:$H$16,0)),0))</f>
        <v/>
      </c>
      <c r="Q1782" s="30">
        <f>IF(OR(H1782&lt;&gt;"Realizado",P1782="",P1782=0),"",A1782+P1782)</f>
        <v/>
      </c>
      <c r="R1782" s="26">
        <f>IF(Q1782="","",IF(COUNTIFS($E$5:$E$3004,E1782,$A$5:$A$3004,"&gt;"&amp;A1782,$H$5:$H$3004,"&lt;&gt;Falta",$H$5:$H$3004,"&lt;&gt;Cancelado",$H$5:$H$3004,"&lt;&gt;Remarcado")&gt;0,"Sim","Não"))</f>
        <v/>
      </c>
      <c r="S1782" s="32">
        <f>IF(R1782&lt;&gt;"Não","",IF(Q1782+Config!$B$9&lt;=Config!$B$8,Config!$B$8-Q1782,""))</f>
        <v/>
      </c>
      <c r="T1782" s="26">
        <f>IF(S1782="","","Sim")</f>
        <v/>
      </c>
      <c r="U1782" s="41">
        <f>IF(T1782="Sim",S1782+ROW()/100000,0)</f>
        <v>0</v>
      </c>
      <c r="V1782" s="41">
        <f>IF(AND(H1782="Falta",L1782=Config!$B$7,M1782=Config!$B$5,COUNTIFS($E$5:E1782,E1782,$H$5:H1782,"Falta",$L$5:L1782,Config!$B$7,$M$5:M1782,Config!$B$5)=1),COUNTIFS($E$5:$E$3004,E1782,$H$5:$H$3004,"Falta",$L$5:$L$3004,Config!$B$7,$M$5:$M$3004,Config!$B$5)*1000-ROW()/100000,0)</f>
        <v>0</v>
      </c>
    </row>
    <row r="1783">
      <c r="A1783" s="39" t="n"/>
      <c r="B1783" s="40" t="n"/>
      <c r="C1783" s="35" t="n"/>
      <c r="D1783" s="35" t="n"/>
      <c r="E1783" s="34" t="n"/>
      <c r="F1783" s="35" t="n"/>
      <c r="G1783" s="35" t="n"/>
      <c r="H1783" s="35" t="n"/>
      <c r="I1783" s="35" t="n"/>
      <c r="J1783" s="35" t="n"/>
      <c r="K1783" s="34" t="n"/>
      <c r="L1783" s="26">
        <f>IF(A1783="","",MONTH(A1783))</f>
        <v/>
      </c>
      <c r="M1783" s="26">
        <f>IF(A1783="","",YEAR(A1783))</f>
        <v/>
      </c>
      <c r="N1783" s="26">
        <f>IF(A1783="","",CHOOSE(WEEKDAY(A1783,2),"Segunda","Terça","Quarta","Quinta","Sexta","Sábado","Domingo"))</f>
        <v/>
      </c>
      <c r="O1783" s="26">
        <f>IF(B1783="","",IF(B1783&lt;TIME(12,0,0),"Manhã",IF(B1783&lt;TIME(18,0,0),"Tarde","Noite")))</f>
        <v/>
      </c>
      <c r="P1783" s="32">
        <f>IF(G1783="","",IFERROR(INDEX(Config!$I$5:$I$16,MATCH(G1783,Config!$H$5:$H$16,0)),0))</f>
        <v/>
      </c>
      <c r="Q1783" s="30">
        <f>IF(OR(H1783&lt;&gt;"Realizado",P1783="",P1783=0),"",A1783+P1783)</f>
        <v/>
      </c>
      <c r="R1783" s="26">
        <f>IF(Q1783="","",IF(COUNTIFS($E$5:$E$3004,E1783,$A$5:$A$3004,"&gt;"&amp;A1783,$H$5:$H$3004,"&lt;&gt;Falta",$H$5:$H$3004,"&lt;&gt;Cancelado",$H$5:$H$3004,"&lt;&gt;Remarcado")&gt;0,"Sim","Não"))</f>
        <v/>
      </c>
      <c r="S1783" s="32">
        <f>IF(R1783&lt;&gt;"Não","",IF(Q1783+Config!$B$9&lt;=Config!$B$8,Config!$B$8-Q1783,""))</f>
        <v/>
      </c>
      <c r="T1783" s="26">
        <f>IF(S1783="","","Sim")</f>
        <v/>
      </c>
      <c r="U1783" s="41">
        <f>IF(T1783="Sim",S1783+ROW()/100000,0)</f>
        <v>0</v>
      </c>
      <c r="V1783" s="41">
        <f>IF(AND(H1783="Falta",L1783=Config!$B$7,M1783=Config!$B$5,COUNTIFS($E$5:E1783,E1783,$H$5:H1783,"Falta",$L$5:L1783,Config!$B$7,$M$5:M1783,Config!$B$5)=1),COUNTIFS($E$5:$E$3004,E1783,$H$5:$H$3004,"Falta",$L$5:$L$3004,Config!$B$7,$M$5:$M$3004,Config!$B$5)*1000-ROW()/100000,0)</f>
        <v>0</v>
      </c>
    </row>
    <row r="1784">
      <c r="A1784" s="39" t="n"/>
      <c r="B1784" s="40" t="n"/>
      <c r="C1784" s="35" t="n"/>
      <c r="D1784" s="35" t="n"/>
      <c r="E1784" s="34" t="n"/>
      <c r="F1784" s="35" t="n"/>
      <c r="G1784" s="35" t="n"/>
      <c r="H1784" s="35" t="n"/>
      <c r="I1784" s="35" t="n"/>
      <c r="J1784" s="35" t="n"/>
      <c r="K1784" s="34" t="n"/>
      <c r="L1784" s="26">
        <f>IF(A1784="","",MONTH(A1784))</f>
        <v/>
      </c>
      <c r="M1784" s="26">
        <f>IF(A1784="","",YEAR(A1784))</f>
        <v/>
      </c>
      <c r="N1784" s="26">
        <f>IF(A1784="","",CHOOSE(WEEKDAY(A1784,2),"Segunda","Terça","Quarta","Quinta","Sexta","Sábado","Domingo"))</f>
        <v/>
      </c>
      <c r="O1784" s="26">
        <f>IF(B1784="","",IF(B1784&lt;TIME(12,0,0),"Manhã",IF(B1784&lt;TIME(18,0,0),"Tarde","Noite")))</f>
        <v/>
      </c>
      <c r="P1784" s="32">
        <f>IF(G1784="","",IFERROR(INDEX(Config!$I$5:$I$16,MATCH(G1784,Config!$H$5:$H$16,0)),0))</f>
        <v/>
      </c>
      <c r="Q1784" s="30">
        <f>IF(OR(H1784&lt;&gt;"Realizado",P1784="",P1784=0),"",A1784+P1784)</f>
        <v/>
      </c>
      <c r="R1784" s="26">
        <f>IF(Q1784="","",IF(COUNTIFS($E$5:$E$3004,E1784,$A$5:$A$3004,"&gt;"&amp;A1784,$H$5:$H$3004,"&lt;&gt;Falta",$H$5:$H$3004,"&lt;&gt;Cancelado",$H$5:$H$3004,"&lt;&gt;Remarcado")&gt;0,"Sim","Não"))</f>
        <v/>
      </c>
      <c r="S1784" s="32">
        <f>IF(R1784&lt;&gt;"Não","",IF(Q1784+Config!$B$9&lt;=Config!$B$8,Config!$B$8-Q1784,""))</f>
        <v/>
      </c>
      <c r="T1784" s="26">
        <f>IF(S1784="","","Sim")</f>
        <v/>
      </c>
      <c r="U1784" s="41">
        <f>IF(T1784="Sim",S1784+ROW()/100000,0)</f>
        <v>0</v>
      </c>
      <c r="V1784" s="41">
        <f>IF(AND(H1784="Falta",L1784=Config!$B$7,M1784=Config!$B$5,COUNTIFS($E$5:E1784,E1784,$H$5:H1784,"Falta",$L$5:L1784,Config!$B$7,$M$5:M1784,Config!$B$5)=1),COUNTIFS($E$5:$E$3004,E1784,$H$5:$H$3004,"Falta",$L$5:$L$3004,Config!$B$7,$M$5:$M$3004,Config!$B$5)*1000-ROW()/100000,0)</f>
        <v>0</v>
      </c>
    </row>
    <row r="1785">
      <c r="A1785" s="39" t="n"/>
      <c r="B1785" s="40" t="n"/>
      <c r="C1785" s="35" t="n"/>
      <c r="D1785" s="35" t="n"/>
      <c r="E1785" s="34" t="n"/>
      <c r="F1785" s="35" t="n"/>
      <c r="G1785" s="35" t="n"/>
      <c r="H1785" s="35" t="n"/>
      <c r="I1785" s="35" t="n"/>
      <c r="J1785" s="35" t="n"/>
      <c r="K1785" s="34" t="n"/>
      <c r="L1785" s="26">
        <f>IF(A1785="","",MONTH(A1785))</f>
        <v/>
      </c>
      <c r="M1785" s="26">
        <f>IF(A1785="","",YEAR(A1785))</f>
        <v/>
      </c>
      <c r="N1785" s="26">
        <f>IF(A1785="","",CHOOSE(WEEKDAY(A1785,2),"Segunda","Terça","Quarta","Quinta","Sexta","Sábado","Domingo"))</f>
        <v/>
      </c>
      <c r="O1785" s="26">
        <f>IF(B1785="","",IF(B1785&lt;TIME(12,0,0),"Manhã",IF(B1785&lt;TIME(18,0,0),"Tarde","Noite")))</f>
        <v/>
      </c>
      <c r="P1785" s="32">
        <f>IF(G1785="","",IFERROR(INDEX(Config!$I$5:$I$16,MATCH(G1785,Config!$H$5:$H$16,0)),0))</f>
        <v/>
      </c>
      <c r="Q1785" s="30">
        <f>IF(OR(H1785&lt;&gt;"Realizado",P1785="",P1785=0),"",A1785+P1785)</f>
        <v/>
      </c>
      <c r="R1785" s="26">
        <f>IF(Q1785="","",IF(COUNTIFS($E$5:$E$3004,E1785,$A$5:$A$3004,"&gt;"&amp;A1785,$H$5:$H$3004,"&lt;&gt;Falta",$H$5:$H$3004,"&lt;&gt;Cancelado",$H$5:$H$3004,"&lt;&gt;Remarcado")&gt;0,"Sim","Não"))</f>
        <v/>
      </c>
      <c r="S1785" s="32">
        <f>IF(R1785&lt;&gt;"Não","",IF(Q1785+Config!$B$9&lt;=Config!$B$8,Config!$B$8-Q1785,""))</f>
        <v/>
      </c>
      <c r="T1785" s="26">
        <f>IF(S1785="","","Sim")</f>
        <v/>
      </c>
      <c r="U1785" s="41">
        <f>IF(T1785="Sim",S1785+ROW()/100000,0)</f>
        <v>0</v>
      </c>
      <c r="V1785" s="41">
        <f>IF(AND(H1785="Falta",L1785=Config!$B$7,M1785=Config!$B$5,COUNTIFS($E$5:E1785,E1785,$H$5:H1785,"Falta",$L$5:L1785,Config!$B$7,$M$5:M1785,Config!$B$5)=1),COUNTIFS($E$5:$E$3004,E1785,$H$5:$H$3004,"Falta",$L$5:$L$3004,Config!$B$7,$M$5:$M$3004,Config!$B$5)*1000-ROW()/100000,0)</f>
        <v>0</v>
      </c>
    </row>
    <row r="1786">
      <c r="A1786" s="39" t="n"/>
      <c r="B1786" s="40" t="n"/>
      <c r="C1786" s="35" t="n"/>
      <c r="D1786" s="35" t="n"/>
      <c r="E1786" s="34" t="n"/>
      <c r="F1786" s="35" t="n"/>
      <c r="G1786" s="35" t="n"/>
      <c r="H1786" s="35" t="n"/>
      <c r="I1786" s="35" t="n"/>
      <c r="J1786" s="35" t="n"/>
      <c r="K1786" s="34" t="n"/>
      <c r="L1786" s="26">
        <f>IF(A1786="","",MONTH(A1786))</f>
        <v/>
      </c>
      <c r="M1786" s="26">
        <f>IF(A1786="","",YEAR(A1786))</f>
        <v/>
      </c>
      <c r="N1786" s="26">
        <f>IF(A1786="","",CHOOSE(WEEKDAY(A1786,2),"Segunda","Terça","Quarta","Quinta","Sexta","Sábado","Domingo"))</f>
        <v/>
      </c>
      <c r="O1786" s="26">
        <f>IF(B1786="","",IF(B1786&lt;TIME(12,0,0),"Manhã",IF(B1786&lt;TIME(18,0,0),"Tarde","Noite")))</f>
        <v/>
      </c>
      <c r="P1786" s="32">
        <f>IF(G1786="","",IFERROR(INDEX(Config!$I$5:$I$16,MATCH(G1786,Config!$H$5:$H$16,0)),0))</f>
        <v/>
      </c>
      <c r="Q1786" s="30">
        <f>IF(OR(H1786&lt;&gt;"Realizado",P1786="",P1786=0),"",A1786+P1786)</f>
        <v/>
      </c>
      <c r="R1786" s="26">
        <f>IF(Q1786="","",IF(COUNTIFS($E$5:$E$3004,E1786,$A$5:$A$3004,"&gt;"&amp;A1786,$H$5:$H$3004,"&lt;&gt;Falta",$H$5:$H$3004,"&lt;&gt;Cancelado",$H$5:$H$3004,"&lt;&gt;Remarcado")&gt;0,"Sim","Não"))</f>
        <v/>
      </c>
      <c r="S1786" s="32">
        <f>IF(R1786&lt;&gt;"Não","",IF(Q1786+Config!$B$9&lt;=Config!$B$8,Config!$B$8-Q1786,""))</f>
        <v/>
      </c>
      <c r="T1786" s="26">
        <f>IF(S1786="","","Sim")</f>
        <v/>
      </c>
      <c r="U1786" s="41">
        <f>IF(T1786="Sim",S1786+ROW()/100000,0)</f>
        <v>0</v>
      </c>
      <c r="V1786" s="41">
        <f>IF(AND(H1786="Falta",L1786=Config!$B$7,M1786=Config!$B$5,COUNTIFS($E$5:E1786,E1786,$H$5:H1786,"Falta",$L$5:L1786,Config!$B$7,$M$5:M1786,Config!$B$5)=1),COUNTIFS($E$5:$E$3004,E1786,$H$5:$H$3004,"Falta",$L$5:$L$3004,Config!$B$7,$M$5:$M$3004,Config!$B$5)*1000-ROW()/100000,0)</f>
        <v>0</v>
      </c>
    </row>
    <row r="1787">
      <c r="A1787" s="39" t="n"/>
      <c r="B1787" s="40" t="n"/>
      <c r="C1787" s="35" t="n"/>
      <c r="D1787" s="35" t="n"/>
      <c r="E1787" s="34" t="n"/>
      <c r="F1787" s="35" t="n"/>
      <c r="G1787" s="35" t="n"/>
      <c r="H1787" s="35" t="n"/>
      <c r="I1787" s="35" t="n"/>
      <c r="J1787" s="35" t="n"/>
      <c r="K1787" s="34" t="n"/>
      <c r="L1787" s="26">
        <f>IF(A1787="","",MONTH(A1787))</f>
        <v/>
      </c>
      <c r="M1787" s="26">
        <f>IF(A1787="","",YEAR(A1787))</f>
        <v/>
      </c>
      <c r="N1787" s="26">
        <f>IF(A1787="","",CHOOSE(WEEKDAY(A1787,2),"Segunda","Terça","Quarta","Quinta","Sexta","Sábado","Domingo"))</f>
        <v/>
      </c>
      <c r="O1787" s="26">
        <f>IF(B1787="","",IF(B1787&lt;TIME(12,0,0),"Manhã",IF(B1787&lt;TIME(18,0,0),"Tarde","Noite")))</f>
        <v/>
      </c>
      <c r="P1787" s="32">
        <f>IF(G1787="","",IFERROR(INDEX(Config!$I$5:$I$16,MATCH(G1787,Config!$H$5:$H$16,0)),0))</f>
        <v/>
      </c>
      <c r="Q1787" s="30">
        <f>IF(OR(H1787&lt;&gt;"Realizado",P1787="",P1787=0),"",A1787+P1787)</f>
        <v/>
      </c>
      <c r="R1787" s="26">
        <f>IF(Q1787="","",IF(COUNTIFS($E$5:$E$3004,E1787,$A$5:$A$3004,"&gt;"&amp;A1787,$H$5:$H$3004,"&lt;&gt;Falta",$H$5:$H$3004,"&lt;&gt;Cancelado",$H$5:$H$3004,"&lt;&gt;Remarcado")&gt;0,"Sim","Não"))</f>
        <v/>
      </c>
      <c r="S1787" s="32">
        <f>IF(R1787&lt;&gt;"Não","",IF(Q1787+Config!$B$9&lt;=Config!$B$8,Config!$B$8-Q1787,""))</f>
        <v/>
      </c>
      <c r="T1787" s="26">
        <f>IF(S1787="","","Sim")</f>
        <v/>
      </c>
      <c r="U1787" s="41">
        <f>IF(T1787="Sim",S1787+ROW()/100000,0)</f>
        <v>0</v>
      </c>
      <c r="V1787" s="41">
        <f>IF(AND(H1787="Falta",L1787=Config!$B$7,M1787=Config!$B$5,COUNTIFS($E$5:E1787,E1787,$H$5:H1787,"Falta",$L$5:L1787,Config!$B$7,$M$5:M1787,Config!$B$5)=1),COUNTIFS($E$5:$E$3004,E1787,$H$5:$H$3004,"Falta",$L$5:$L$3004,Config!$B$7,$M$5:$M$3004,Config!$B$5)*1000-ROW()/100000,0)</f>
        <v>0</v>
      </c>
    </row>
    <row r="1788">
      <c r="A1788" s="39" t="n"/>
      <c r="B1788" s="40" t="n"/>
      <c r="C1788" s="35" t="n"/>
      <c r="D1788" s="35" t="n"/>
      <c r="E1788" s="34" t="n"/>
      <c r="F1788" s="35" t="n"/>
      <c r="G1788" s="35" t="n"/>
      <c r="H1788" s="35" t="n"/>
      <c r="I1788" s="35" t="n"/>
      <c r="J1788" s="35" t="n"/>
      <c r="K1788" s="34" t="n"/>
      <c r="L1788" s="26">
        <f>IF(A1788="","",MONTH(A1788))</f>
        <v/>
      </c>
      <c r="M1788" s="26">
        <f>IF(A1788="","",YEAR(A1788))</f>
        <v/>
      </c>
      <c r="N1788" s="26">
        <f>IF(A1788="","",CHOOSE(WEEKDAY(A1788,2),"Segunda","Terça","Quarta","Quinta","Sexta","Sábado","Domingo"))</f>
        <v/>
      </c>
      <c r="O1788" s="26">
        <f>IF(B1788="","",IF(B1788&lt;TIME(12,0,0),"Manhã",IF(B1788&lt;TIME(18,0,0),"Tarde","Noite")))</f>
        <v/>
      </c>
      <c r="P1788" s="32">
        <f>IF(G1788="","",IFERROR(INDEX(Config!$I$5:$I$16,MATCH(G1788,Config!$H$5:$H$16,0)),0))</f>
        <v/>
      </c>
      <c r="Q1788" s="30">
        <f>IF(OR(H1788&lt;&gt;"Realizado",P1788="",P1788=0),"",A1788+P1788)</f>
        <v/>
      </c>
      <c r="R1788" s="26">
        <f>IF(Q1788="","",IF(COUNTIFS($E$5:$E$3004,E1788,$A$5:$A$3004,"&gt;"&amp;A1788,$H$5:$H$3004,"&lt;&gt;Falta",$H$5:$H$3004,"&lt;&gt;Cancelado",$H$5:$H$3004,"&lt;&gt;Remarcado")&gt;0,"Sim","Não"))</f>
        <v/>
      </c>
      <c r="S1788" s="32">
        <f>IF(R1788&lt;&gt;"Não","",IF(Q1788+Config!$B$9&lt;=Config!$B$8,Config!$B$8-Q1788,""))</f>
        <v/>
      </c>
      <c r="T1788" s="26">
        <f>IF(S1788="","","Sim")</f>
        <v/>
      </c>
      <c r="U1788" s="41">
        <f>IF(T1788="Sim",S1788+ROW()/100000,0)</f>
        <v>0</v>
      </c>
      <c r="V1788" s="41">
        <f>IF(AND(H1788="Falta",L1788=Config!$B$7,M1788=Config!$B$5,COUNTIFS($E$5:E1788,E1788,$H$5:H1788,"Falta",$L$5:L1788,Config!$B$7,$M$5:M1788,Config!$B$5)=1),COUNTIFS($E$5:$E$3004,E1788,$H$5:$H$3004,"Falta",$L$5:$L$3004,Config!$B$7,$M$5:$M$3004,Config!$B$5)*1000-ROW()/100000,0)</f>
        <v>0</v>
      </c>
    </row>
    <row r="1789">
      <c r="A1789" s="39" t="n"/>
      <c r="B1789" s="40" t="n"/>
      <c r="C1789" s="35" t="n"/>
      <c r="D1789" s="35" t="n"/>
      <c r="E1789" s="34" t="n"/>
      <c r="F1789" s="35" t="n"/>
      <c r="G1789" s="35" t="n"/>
      <c r="H1789" s="35" t="n"/>
      <c r="I1789" s="35" t="n"/>
      <c r="J1789" s="35" t="n"/>
      <c r="K1789" s="34" t="n"/>
      <c r="L1789" s="26">
        <f>IF(A1789="","",MONTH(A1789))</f>
        <v/>
      </c>
      <c r="M1789" s="26">
        <f>IF(A1789="","",YEAR(A1789))</f>
        <v/>
      </c>
      <c r="N1789" s="26">
        <f>IF(A1789="","",CHOOSE(WEEKDAY(A1789,2),"Segunda","Terça","Quarta","Quinta","Sexta","Sábado","Domingo"))</f>
        <v/>
      </c>
      <c r="O1789" s="26">
        <f>IF(B1789="","",IF(B1789&lt;TIME(12,0,0),"Manhã",IF(B1789&lt;TIME(18,0,0),"Tarde","Noite")))</f>
        <v/>
      </c>
      <c r="P1789" s="32">
        <f>IF(G1789="","",IFERROR(INDEX(Config!$I$5:$I$16,MATCH(G1789,Config!$H$5:$H$16,0)),0))</f>
        <v/>
      </c>
      <c r="Q1789" s="30">
        <f>IF(OR(H1789&lt;&gt;"Realizado",P1789="",P1789=0),"",A1789+P1789)</f>
        <v/>
      </c>
      <c r="R1789" s="26">
        <f>IF(Q1789="","",IF(COUNTIFS($E$5:$E$3004,E1789,$A$5:$A$3004,"&gt;"&amp;A1789,$H$5:$H$3004,"&lt;&gt;Falta",$H$5:$H$3004,"&lt;&gt;Cancelado",$H$5:$H$3004,"&lt;&gt;Remarcado")&gt;0,"Sim","Não"))</f>
        <v/>
      </c>
      <c r="S1789" s="32">
        <f>IF(R1789&lt;&gt;"Não","",IF(Q1789+Config!$B$9&lt;=Config!$B$8,Config!$B$8-Q1789,""))</f>
        <v/>
      </c>
      <c r="T1789" s="26">
        <f>IF(S1789="","","Sim")</f>
        <v/>
      </c>
      <c r="U1789" s="41">
        <f>IF(T1789="Sim",S1789+ROW()/100000,0)</f>
        <v>0</v>
      </c>
      <c r="V1789" s="41">
        <f>IF(AND(H1789="Falta",L1789=Config!$B$7,M1789=Config!$B$5,COUNTIFS($E$5:E1789,E1789,$H$5:H1789,"Falta",$L$5:L1789,Config!$B$7,$M$5:M1789,Config!$B$5)=1),COUNTIFS($E$5:$E$3004,E1789,$H$5:$H$3004,"Falta",$L$5:$L$3004,Config!$B$7,$M$5:$M$3004,Config!$B$5)*1000-ROW()/100000,0)</f>
        <v>0</v>
      </c>
    </row>
    <row r="1790">
      <c r="A1790" s="39" t="n"/>
      <c r="B1790" s="40" t="n"/>
      <c r="C1790" s="35" t="n"/>
      <c r="D1790" s="35" t="n"/>
      <c r="E1790" s="34" t="n"/>
      <c r="F1790" s="35" t="n"/>
      <c r="G1790" s="35" t="n"/>
      <c r="H1790" s="35" t="n"/>
      <c r="I1790" s="35" t="n"/>
      <c r="J1790" s="35" t="n"/>
      <c r="K1790" s="34" t="n"/>
      <c r="L1790" s="26">
        <f>IF(A1790="","",MONTH(A1790))</f>
        <v/>
      </c>
      <c r="M1790" s="26">
        <f>IF(A1790="","",YEAR(A1790))</f>
        <v/>
      </c>
      <c r="N1790" s="26">
        <f>IF(A1790="","",CHOOSE(WEEKDAY(A1790,2),"Segunda","Terça","Quarta","Quinta","Sexta","Sábado","Domingo"))</f>
        <v/>
      </c>
      <c r="O1790" s="26">
        <f>IF(B1790="","",IF(B1790&lt;TIME(12,0,0),"Manhã",IF(B1790&lt;TIME(18,0,0),"Tarde","Noite")))</f>
        <v/>
      </c>
      <c r="P1790" s="32">
        <f>IF(G1790="","",IFERROR(INDEX(Config!$I$5:$I$16,MATCH(G1790,Config!$H$5:$H$16,0)),0))</f>
        <v/>
      </c>
      <c r="Q1790" s="30">
        <f>IF(OR(H1790&lt;&gt;"Realizado",P1790="",P1790=0),"",A1790+P1790)</f>
        <v/>
      </c>
      <c r="R1790" s="26">
        <f>IF(Q1790="","",IF(COUNTIFS($E$5:$E$3004,E1790,$A$5:$A$3004,"&gt;"&amp;A1790,$H$5:$H$3004,"&lt;&gt;Falta",$H$5:$H$3004,"&lt;&gt;Cancelado",$H$5:$H$3004,"&lt;&gt;Remarcado")&gt;0,"Sim","Não"))</f>
        <v/>
      </c>
      <c r="S1790" s="32">
        <f>IF(R1790&lt;&gt;"Não","",IF(Q1790+Config!$B$9&lt;=Config!$B$8,Config!$B$8-Q1790,""))</f>
        <v/>
      </c>
      <c r="T1790" s="26">
        <f>IF(S1790="","","Sim")</f>
        <v/>
      </c>
      <c r="U1790" s="41">
        <f>IF(T1790="Sim",S1790+ROW()/100000,0)</f>
        <v>0</v>
      </c>
      <c r="V1790" s="41">
        <f>IF(AND(H1790="Falta",L1790=Config!$B$7,M1790=Config!$B$5,COUNTIFS($E$5:E1790,E1790,$H$5:H1790,"Falta",$L$5:L1790,Config!$B$7,$M$5:M1790,Config!$B$5)=1),COUNTIFS($E$5:$E$3004,E1790,$H$5:$H$3004,"Falta",$L$5:$L$3004,Config!$B$7,$M$5:$M$3004,Config!$B$5)*1000-ROW()/100000,0)</f>
        <v>0</v>
      </c>
    </row>
    <row r="1791">
      <c r="A1791" s="39" t="n"/>
      <c r="B1791" s="40" t="n"/>
      <c r="C1791" s="35" t="n"/>
      <c r="D1791" s="35" t="n"/>
      <c r="E1791" s="34" t="n"/>
      <c r="F1791" s="35" t="n"/>
      <c r="G1791" s="35" t="n"/>
      <c r="H1791" s="35" t="n"/>
      <c r="I1791" s="35" t="n"/>
      <c r="J1791" s="35" t="n"/>
      <c r="K1791" s="34" t="n"/>
      <c r="L1791" s="26">
        <f>IF(A1791="","",MONTH(A1791))</f>
        <v/>
      </c>
      <c r="M1791" s="26">
        <f>IF(A1791="","",YEAR(A1791))</f>
        <v/>
      </c>
      <c r="N1791" s="26">
        <f>IF(A1791="","",CHOOSE(WEEKDAY(A1791,2),"Segunda","Terça","Quarta","Quinta","Sexta","Sábado","Domingo"))</f>
        <v/>
      </c>
      <c r="O1791" s="26">
        <f>IF(B1791="","",IF(B1791&lt;TIME(12,0,0),"Manhã",IF(B1791&lt;TIME(18,0,0),"Tarde","Noite")))</f>
        <v/>
      </c>
      <c r="P1791" s="32">
        <f>IF(G1791="","",IFERROR(INDEX(Config!$I$5:$I$16,MATCH(G1791,Config!$H$5:$H$16,0)),0))</f>
        <v/>
      </c>
      <c r="Q1791" s="30">
        <f>IF(OR(H1791&lt;&gt;"Realizado",P1791="",P1791=0),"",A1791+P1791)</f>
        <v/>
      </c>
      <c r="R1791" s="26">
        <f>IF(Q1791="","",IF(COUNTIFS($E$5:$E$3004,E1791,$A$5:$A$3004,"&gt;"&amp;A1791,$H$5:$H$3004,"&lt;&gt;Falta",$H$5:$H$3004,"&lt;&gt;Cancelado",$H$5:$H$3004,"&lt;&gt;Remarcado")&gt;0,"Sim","Não"))</f>
        <v/>
      </c>
      <c r="S1791" s="32">
        <f>IF(R1791&lt;&gt;"Não","",IF(Q1791+Config!$B$9&lt;=Config!$B$8,Config!$B$8-Q1791,""))</f>
        <v/>
      </c>
      <c r="T1791" s="26">
        <f>IF(S1791="","","Sim")</f>
        <v/>
      </c>
      <c r="U1791" s="41">
        <f>IF(T1791="Sim",S1791+ROW()/100000,0)</f>
        <v>0</v>
      </c>
      <c r="V1791" s="41">
        <f>IF(AND(H1791="Falta",L1791=Config!$B$7,M1791=Config!$B$5,COUNTIFS($E$5:E1791,E1791,$H$5:H1791,"Falta",$L$5:L1791,Config!$B$7,$M$5:M1791,Config!$B$5)=1),COUNTIFS($E$5:$E$3004,E1791,$H$5:$H$3004,"Falta",$L$5:$L$3004,Config!$B$7,$M$5:$M$3004,Config!$B$5)*1000-ROW()/100000,0)</f>
        <v>0</v>
      </c>
    </row>
    <row r="1792">
      <c r="A1792" s="39" t="n"/>
      <c r="B1792" s="40" t="n"/>
      <c r="C1792" s="35" t="n"/>
      <c r="D1792" s="35" t="n"/>
      <c r="E1792" s="34" t="n"/>
      <c r="F1792" s="35" t="n"/>
      <c r="G1792" s="35" t="n"/>
      <c r="H1792" s="35" t="n"/>
      <c r="I1792" s="35" t="n"/>
      <c r="J1792" s="35" t="n"/>
      <c r="K1792" s="34" t="n"/>
      <c r="L1792" s="26">
        <f>IF(A1792="","",MONTH(A1792))</f>
        <v/>
      </c>
      <c r="M1792" s="26">
        <f>IF(A1792="","",YEAR(A1792))</f>
        <v/>
      </c>
      <c r="N1792" s="26">
        <f>IF(A1792="","",CHOOSE(WEEKDAY(A1792,2),"Segunda","Terça","Quarta","Quinta","Sexta","Sábado","Domingo"))</f>
        <v/>
      </c>
      <c r="O1792" s="26">
        <f>IF(B1792="","",IF(B1792&lt;TIME(12,0,0),"Manhã",IF(B1792&lt;TIME(18,0,0),"Tarde","Noite")))</f>
        <v/>
      </c>
      <c r="P1792" s="32">
        <f>IF(G1792="","",IFERROR(INDEX(Config!$I$5:$I$16,MATCH(G1792,Config!$H$5:$H$16,0)),0))</f>
        <v/>
      </c>
      <c r="Q1792" s="30">
        <f>IF(OR(H1792&lt;&gt;"Realizado",P1792="",P1792=0),"",A1792+P1792)</f>
        <v/>
      </c>
      <c r="R1792" s="26">
        <f>IF(Q1792="","",IF(COUNTIFS($E$5:$E$3004,E1792,$A$5:$A$3004,"&gt;"&amp;A1792,$H$5:$H$3004,"&lt;&gt;Falta",$H$5:$H$3004,"&lt;&gt;Cancelado",$H$5:$H$3004,"&lt;&gt;Remarcado")&gt;0,"Sim","Não"))</f>
        <v/>
      </c>
      <c r="S1792" s="32">
        <f>IF(R1792&lt;&gt;"Não","",IF(Q1792+Config!$B$9&lt;=Config!$B$8,Config!$B$8-Q1792,""))</f>
        <v/>
      </c>
      <c r="T1792" s="26">
        <f>IF(S1792="","","Sim")</f>
        <v/>
      </c>
      <c r="U1792" s="41">
        <f>IF(T1792="Sim",S1792+ROW()/100000,0)</f>
        <v>0</v>
      </c>
      <c r="V1792" s="41">
        <f>IF(AND(H1792="Falta",L1792=Config!$B$7,M1792=Config!$B$5,COUNTIFS($E$5:E1792,E1792,$H$5:H1792,"Falta",$L$5:L1792,Config!$B$7,$M$5:M1792,Config!$B$5)=1),COUNTIFS($E$5:$E$3004,E1792,$H$5:$H$3004,"Falta",$L$5:$L$3004,Config!$B$7,$M$5:$M$3004,Config!$B$5)*1000-ROW()/100000,0)</f>
        <v>0</v>
      </c>
    </row>
    <row r="1793">
      <c r="A1793" s="39" t="n"/>
      <c r="B1793" s="40" t="n"/>
      <c r="C1793" s="35" t="n"/>
      <c r="D1793" s="35" t="n"/>
      <c r="E1793" s="34" t="n"/>
      <c r="F1793" s="35" t="n"/>
      <c r="G1793" s="35" t="n"/>
      <c r="H1793" s="35" t="n"/>
      <c r="I1793" s="35" t="n"/>
      <c r="J1793" s="35" t="n"/>
      <c r="K1793" s="34" t="n"/>
      <c r="L1793" s="26">
        <f>IF(A1793="","",MONTH(A1793))</f>
        <v/>
      </c>
      <c r="M1793" s="26">
        <f>IF(A1793="","",YEAR(A1793))</f>
        <v/>
      </c>
      <c r="N1793" s="26">
        <f>IF(A1793="","",CHOOSE(WEEKDAY(A1793,2),"Segunda","Terça","Quarta","Quinta","Sexta","Sábado","Domingo"))</f>
        <v/>
      </c>
      <c r="O1793" s="26">
        <f>IF(B1793="","",IF(B1793&lt;TIME(12,0,0),"Manhã",IF(B1793&lt;TIME(18,0,0),"Tarde","Noite")))</f>
        <v/>
      </c>
      <c r="P1793" s="32">
        <f>IF(G1793="","",IFERROR(INDEX(Config!$I$5:$I$16,MATCH(G1793,Config!$H$5:$H$16,0)),0))</f>
        <v/>
      </c>
      <c r="Q1793" s="30">
        <f>IF(OR(H1793&lt;&gt;"Realizado",P1793="",P1793=0),"",A1793+P1793)</f>
        <v/>
      </c>
      <c r="R1793" s="26">
        <f>IF(Q1793="","",IF(COUNTIFS($E$5:$E$3004,E1793,$A$5:$A$3004,"&gt;"&amp;A1793,$H$5:$H$3004,"&lt;&gt;Falta",$H$5:$H$3004,"&lt;&gt;Cancelado",$H$5:$H$3004,"&lt;&gt;Remarcado")&gt;0,"Sim","Não"))</f>
        <v/>
      </c>
      <c r="S1793" s="32">
        <f>IF(R1793&lt;&gt;"Não","",IF(Q1793+Config!$B$9&lt;=Config!$B$8,Config!$B$8-Q1793,""))</f>
        <v/>
      </c>
      <c r="T1793" s="26">
        <f>IF(S1793="","","Sim")</f>
        <v/>
      </c>
      <c r="U1793" s="41">
        <f>IF(T1793="Sim",S1793+ROW()/100000,0)</f>
        <v>0</v>
      </c>
      <c r="V1793" s="41">
        <f>IF(AND(H1793="Falta",L1793=Config!$B$7,M1793=Config!$B$5,COUNTIFS($E$5:E1793,E1793,$H$5:H1793,"Falta",$L$5:L1793,Config!$B$7,$M$5:M1793,Config!$B$5)=1),COUNTIFS($E$5:$E$3004,E1793,$H$5:$H$3004,"Falta",$L$5:$L$3004,Config!$B$7,$M$5:$M$3004,Config!$B$5)*1000-ROW()/100000,0)</f>
        <v>0</v>
      </c>
    </row>
    <row r="1794">
      <c r="A1794" s="39" t="n"/>
      <c r="B1794" s="40" t="n"/>
      <c r="C1794" s="35" t="n"/>
      <c r="D1794" s="35" t="n"/>
      <c r="E1794" s="34" t="n"/>
      <c r="F1794" s="35" t="n"/>
      <c r="G1794" s="35" t="n"/>
      <c r="H1794" s="35" t="n"/>
      <c r="I1794" s="35" t="n"/>
      <c r="J1794" s="35" t="n"/>
      <c r="K1794" s="34" t="n"/>
      <c r="L1794" s="26">
        <f>IF(A1794="","",MONTH(A1794))</f>
        <v/>
      </c>
      <c r="M1794" s="26">
        <f>IF(A1794="","",YEAR(A1794))</f>
        <v/>
      </c>
      <c r="N1794" s="26">
        <f>IF(A1794="","",CHOOSE(WEEKDAY(A1794,2),"Segunda","Terça","Quarta","Quinta","Sexta","Sábado","Domingo"))</f>
        <v/>
      </c>
      <c r="O1794" s="26">
        <f>IF(B1794="","",IF(B1794&lt;TIME(12,0,0),"Manhã",IF(B1794&lt;TIME(18,0,0),"Tarde","Noite")))</f>
        <v/>
      </c>
      <c r="P1794" s="32">
        <f>IF(G1794="","",IFERROR(INDEX(Config!$I$5:$I$16,MATCH(G1794,Config!$H$5:$H$16,0)),0))</f>
        <v/>
      </c>
      <c r="Q1794" s="30">
        <f>IF(OR(H1794&lt;&gt;"Realizado",P1794="",P1794=0),"",A1794+P1794)</f>
        <v/>
      </c>
      <c r="R1794" s="26">
        <f>IF(Q1794="","",IF(COUNTIFS($E$5:$E$3004,E1794,$A$5:$A$3004,"&gt;"&amp;A1794,$H$5:$H$3004,"&lt;&gt;Falta",$H$5:$H$3004,"&lt;&gt;Cancelado",$H$5:$H$3004,"&lt;&gt;Remarcado")&gt;0,"Sim","Não"))</f>
        <v/>
      </c>
      <c r="S1794" s="32">
        <f>IF(R1794&lt;&gt;"Não","",IF(Q1794+Config!$B$9&lt;=Config!$B$8,Config!$B$8-Q1794,""))</f>
        <v/>
      </c>
      <c r="T1794" s="26">
        <f>IF(S1794="","","Sim")</f>
        <v/>
      </c>
      <c r="U1794" s="41">
        <f>IF(T1794="Sim",S1794+ROW()/100000,0)</f>
        <v>0</v>
      </c>
      <c r="V1794" s="41">
        <f>IF(AND(H1794="Falta",L1794=Config!$B$7,M1794=Config!$B$5,COUNTIFS($E$5:E1794,E1794,$H$5:H1794,"Falta",$L$5:L1794,Config!$B$7,$M$5:M1794,Config!$B$5)=1),COUNTIFS($E$5:$E$3004,E1794,$H$5:$H$3004,"Falta",$L$5:$L$3004,Config!$B$7,$M$5:$M$3004,Config!$B$5)*1000-ROW()/100000,0)</f>
        <v>0</v>
      </c>
    </row>
    <row r="1795">
      <c r="A1795" s="39" t="n"/>
      <c r="B1795" s="40" t="n"/>
      <c r="C1795" s="35" t="n"/>
      <c r="D1795" s="35" t="n"/>
      <c r="E1795" s="34" t="n"/>
      <c r="F1795" s="35" t="n"/>
      <c r="G1795" s="35" t="n"/>
      <c r="H1795" s="35" t="n"/>
      <c r="I1795" s="35" t="n"/>
      <c r="J1795" s="35" t="n"/>
      <c r="K1795" s="34" t="n"/>
      <c r="L1795" s="26">
        <f>IF(A1795="","",MONTH(A1795))</f>
        <v/>
      </c>
      <c r="M1795" s="26">
        <f>IF(A1795="","",YEAR(A1795))</f>
        <v/>
      </c>
      <c r="N1795" s="26">
        <f>IF(A1795="","",CHOOSE(WEEKDAY(A1795,2),"Segunda","Terça","Quarta","Quinta","Sexta","Sábado","Domingo"))</f>
        <v/>
      </c>
      <c r="O1795" s="26">
        <f>IF(B1795="","",IF(B1795&lt;TIME(12,0,0),"Manhã",IF(B1795&lt;TIME(18,0,0),"Tarde","Noite")))</f>
        <v/>
      </c>
      <c r="P1795" s="32">
        <f>IF(G1795="","",IFERROR(INDEX(Config!$I$5:$I$16,MATCH(G1795,Config!$H$5:$H$16,0)),0))</f>
        <v/>
      </c>
      <c r="Q1795" s="30">
        <f>IF(OR(H1795&lt;&gt;"Realizado",P1795="",P1795=0),"",A1795+P1795)</f>
        <v/>
      </c>
      <c r="R1795" s="26">
        <f>IF(Q1795="","",IF(COUNTIFS($E$5:$E$3004,E1795,$A$5:$A$3004,"&gt;"&amp;A1795,$H$5:$H$3004,"&lt;&gt;Falta",$H$5:$H$3004,"&lt;&gt;Cancelado",$H$5:$H$3004,"&lt;&gt;Remarcado")&gt;0,"Sim","Não"))</f>
        <v/>
      </c>
      <c r="S1795" s="32">
        <f>IF(R1795&lt;&gt;"Não","",IF(Q1795+Config!$B$9&lt;=Config!$B$8,Config!$B$8-Q1795,""))</f>
        <v/>
      </c>
      <c r="T1795" s="26">
        <f>IF(S1795="","","Sim")</f>
        <v/>
      </c>
      <c r="U1795" s="41">
        <f>IF(T1795="Sim",S1795+ROW()/100000,0)</f>
        <v>0</v>
      </c>
      <c r="V1795" s="41">
        <f>IF(AND(H1795="Falta",L1795=Config!$B$7,M1795=Config!$B$5,COUNTIFS($E$5:E1795,E1795,$H$5:H1795,"Falta",$L$5:L1795,Config!$B$7,$M$5:M1795,Config!$B$5)=1),COUNTIFS($E$5:$E$3004,E1795,$H$5:$H$3004,"Falta",$L$5:$L$3004,Config!$B$7,$M$5:$M$3004,Config!$B$5)*1000-ROW()/100000,0)</f>
        <v>0</v>
      </c>
    </row>
    <row r="1796">
      <c r="A1796" s="39" t="n"/>
      <c r="B1796" s="40" t="n"/>
      <c r="C1796" s="35" t="n"/>
      <c r="D1796" s="35" t="n"/>
      <c r="E1796" s="34" t="n"/>
      <c r="F1796" s="35" t="n"/>
      <c r="G1796" s="35" t="n"/>
      <c r="H1796" s="35" t="n"/>
      <c r="I1796" s="35" t="n"/>
      <c r="J1796" s="35" t="n"/>
      <c r="K1796" s="34" t="n"/>
      <c r="L1796" s="26">
        <f>IF(A1796="","",MONTH(A1796))</f>
        <v/>
      </c>
      <c r="M1796" s="26">
        <f>IF(A1796="","",YEAR(A1796))</f>
        <v/>
      </c>
      <c r="N1796" s="26">
        <f>IF(A1796="","",CHOOSE(WEEKDAY(A1796,2),"Segunda","Terça","Quarta","Quinta","Sexta","Sábado","Domingo"))</f>
        <v/>
      </c>
      <c r="O1796" s="26">
        <f>IF(B1796="","",IF(B1796&lt;TIME(12,0,0),"Manhã",IF(B1796&lt;TIME(18,0,0),"Tarde","Noite")))</f>
        <v/>
      </c>
      <c r="P1796" s="32">
        <f>IF(G1796="","",IFERROR(INDEX(Config!$I$5:$I$16,MATCH(G1796,Config!$H$5:$H$16,0)),0))</f>
        <v/>
      </c>
      <c r="Q1796" s="30">
        <f>IF(OR(H1796&lt;&gt;"Realizado",P1796="",P1796=0),"",A1796+P1796)</f>
        <v/>
      </c>
      <c r="R1796" s="26">
        <f>IF(Q1796="","",IF(COUNTIFS($E$5:$E$3004,E1796,$A$5:$A$3004,"&gt;"&amp;A1796,$H$5:$H$3004,"&lt;&gt;Falta",$H$5:$H$3004,"&lt;&gt;Cancelado",$H$5:$H$3004,"&lt;&gt;Remarcado")&gt;0,"Sim","Não"))</f>
        <v/>
      </c>
      <c r="S1796" s="32">
        <f>IF(R1796&lt;&gt;"Não","",IF(Q1796+Config!$B$9&lt;=Config!$B$8,Config!$B$8-Q1796,""))</f>
        <v/>
      </c>
      <c r="T1796" s="26">
        <f>IF(S1796="","","Sim")</f>
        <v/>
      </c>
      <c r="U1796" s="41">
        <f>IF(T1796="Sim",S1796+ROW()/100000,0)</f>
        <v>0</v>
      </c>
      <c r="V1796" s="41">
        <f>IF(AND(H1796="Falta",L1796=Config!$B$7,M1796=Config!$B$5,COUNTIFS($E$5:E1796,E1796,$H$5:H1796,"Falta",$L$5:L1796,Config!$B$7,$M$5:M1796,Config!$B$5)=1),COUNTIFS($E$5:$E$3004,E1796,$H$5:$H$3004,"Falta",$L$5:$L$3004,Config!$B$7,$M$5:$M$3004,Config!$B$5)*1000-ROW()/100000,0)</f>
        <v>0</v>
      </c>
    </row>
    <row r="1797">
      <c r="A1797" s="39" t="n"/>
      <c r="B1797" s="40" t="n"/>
      <c r="C1797" s="35" t="n"/>
      <c r="D1797" s="35" t="n"/>
      <c r="E1797" s="34" t="n"/>
      <c r="F1797" s="35" t="n"/>
      <c r="G1797" s="35" t="n"/>
      <c r="H1797" s="35" t="n"/>
      <c r="I1797" s="35" t="n"/>
      <c r="J1797" s="35" t="n"/>
      <c r="K1797" s="34" t="n"/>
      <c r="L1797" s="26">
        <f>IF(A1797="","",MONTH(A1797))</f>
        <v/>
      </c>
      <c r="M1797" s="26">
        <f>IF(A1797="","",YEAR(A1797))</f>
        <v/>
      </c>
      <c r="N1797" s="26">
        <f>IF(A1797="","",CHOOSE(WEEKDAY(A1797,2),"Segunda","Terça","Quarta","Quinta","Sexta","Sábado","Domingo"))</f>
        <v/>
      </c>
      <c r="O1797" s="26">
        <f>IF(B1797="","",IF(B1797&lt;TIME(12,0,0),"Manhã",IF(B1797&lt;TIME(18,0,0),"Tarde","Noite")))</f>
        <v/>
      </c>
      <c r="P1797" s="32">
        <f>IF(G1797="","",IFERROR(INDEX(Config!$I$5:$I$16,MATCH(G1797,Config!$H$5:$H$16,0)),0))</f>
        <v/>
      </c>
      <c r="Q1797" s="30">
        <f>IF(OR(H1797&lt;&gt;"Realizado",P1797="",P1797=0),"",A1797+P1797)</f>
        <v/>
      </c>
      <c r="R1797" s="26">
        <f>IF(Q1797="","",IF(COUNTIFS($E$5:$E$3004,E1797,$A$5:$A$3004,"&gt;"&amp;A1797,$H$5:$H$3004,"&lt;&gt;Falta",$H$5:$H$3004,"&lt;&gt;Cancelado",$H$5:$H$3004,"&lt;&gt;Remarcado")&gt;0,"Sim","Não"))</f>
        <v/>
      </c>
      <c r="S1797" s="32">
        <f>IF(R1797&lt;&gt;"Não","",IF(Q1797+Config!$B$9&lt;=Config!$B$8,Config!$B$8-Q1797,""))</f>
        <v/>
      </c>
      <c r="T1797" s="26">
        <f>IF(S1797="","","Sim")</f>
        <v/>
      </c>
      <c r="U1797" s="41">
        <f>IF(T1797="Sim",S1797+ROW()/100000,0)</f>
        <v>0</v>
      </c>
      <c r="V1797" s="41">
        <f>IF(AND(H1797="Falta",L1797=Config!$B$7,M1797=Config!$B$5,COUNTIFS($E$5:E1797,E1797,$H$5:H1797,"Falta",$L$5:L1797,Config!$B$7,$M$5:M1797,Config!$B$5)=1),COUNTIFS($E$5:$E$3004,E1797,$H$5:$H$3004,"Falta",$L$5:$L$3004,Config!$B$7,$M$5:$M$3004,Config!$B$5)*1000-ROW()/100000,0)</f>
        <v>0</v>
      </c>
    </row>
    <row r="1798">
      <c r="A1798" s="39" t="n"/>
      <c r="B1798" s="40" t="n"/>
      <c r="C1798" s="35" t="n"/>
      <c r="D1798" s="35" t="n"/>
      <c r="E1798" s="34" t="n"/>
      <c r="F1798" s="35" t="n"/>
      <c r="G1798" s="35" t="n"/>
      <c r="H1798" s="35" t="n"/>
      <c r="I1798" s="35" t="n"/>
      <c r="J1798" s="35" t="n"/>
      <c r="K1798" s="34" t="n"/>
      <c r="L1798" s="26">
        <f>IF(A1798="","",MONTH(A1798))</f>
        <v/>
      </c>
      <c r="M1798" s="26">
        <f>IF(A1798="","",YEAR(A1798))</f>
        <v/>
      </c>
      <c r="N1798" s="26">
        <f>IF(A1798="","",CHOOSE(WEEKDAY(A1798,2),"Segunda","Terça","Quarta","Quinta","Sexta","Sábado","Domingo"))</f>
        <v/>
      </c>
      <c r="O1798" s="26">
        <f>IF(B1798="","",IF(B1798&lt;TIME(12,0,0),"Manhã",IF(B1798&lt;TIME(18,0,0),"Tarde","Noite")))</f>
        <v/>
      </c>
      <c r="P1798" s="32">
        <f>IF(G1798="","",IFERROR(INDEX(Config!$I$5:$I$16,MATCH(G1798,Config!$H$5:$H$16,0)),0))</f>
        <v/>
      </c>
      <c r="Q1798" s="30">
        <f>IF(OR(H1798&lt;&gt;"Realizado",P1798="",P1798=0),"",A1798+P1798)</f>
        <v/>
      </c>
      <c r="R1798" s="26">
        <f>IF(Q1798="","",IF(COUNTIFS($E$5:$E$3004,E1798,$A$5:$A$3004,"&gt;"&amp;A1798,$H$5:$H$3004,"&lt;&gt;Falta",$H$5:$H$3004,"&lt;&gt;Cancelado",$H$5:$H$3004,"&lt;&gt;Remarcado")&gt;0,"Sim","Não"))</f>
        <v/>
      </c>
      <c r="S1798" s="32">
        <f>IF(R1798&lt;&gt;"Não","",IF(Q1798+Config!$B$9&lt;=Config!$B$8,Config!$B$8-Q1798,""))</f>
        <v/>
      </c>
      <c r="T1798" s="26">
        <f>IF(S1798="","","Sim")</f>
        <v/>
      </c>
      <c r="U1798" s="41">
        <f>IF(T1798="Sim",S1798+ROW()/100000,0)</f>
        <v>0</v>
      </c>
      <c r="V1798" s="41">
        <f>IF(AND(H1798="Falta",L1798=Config!$B$7,M1798=Config!$B$5,COUNTIFS($E$5:E1798,E1798,$H$5:H1798,"Falta",$L$5:L1798,Config!$B$7,$M$5:M1798,Config!$B$5)=1),COUNTIFS($E$5:$E$3004,E1798,$H$5:$H$3004,"Falta",$L$5:$L$3004,Config!$B$7,$M$5:$M$3004,Config!$B$5)*1000-ROW()/100000,0)</f>
        <v>0</v>
      </c>
    </row>
    <row r="1799">
      <c r="A1799" s="39" t="n"/>
      <c r="B1799" s="40" t="n"/>
      <c r="C1799" s="35" t="n"/>
      <c r="D1799" s="35" t="n"/>
      <c r="E1799" s="34" t="n"/>
      <c r="F1799" s="35" t="n"/>
      <c r="G1799" s="35" t="n"/>
      <c r="H1799" s="35" t="n"/>
      <c r="I1799" s="35" t="n"/>
      <c r="J1799" s="35" t="n"/>
      <c r="K1799" s="34" t="n"/>
      <c r="L1799" s="26">
        <f>IF(A1799="","",MONTH(A1799))</f>
        <v/>
      </c>
      <c r="M1799" s="26">
        <f>IF(A1799="","",YEAR(A1799))</f>
        <v/>
      </c>
      <c r="N1799" s="26">
        <f>IF(A1799="","",CHOOSE(WEEKDAY(A1799,2),"Segunda","Terça","Quarta","Quinta","Sexta","Sábado","Domingo"))</f>
        <v/>
      </c>
      <c r="O1799" s="26">
        <f>IF(B1799="","",IF(B1799&lt;TIME(12,0,0),"Manhã",IF(B1799&lt;TIME(18,0,0),"Tarde","Noite")))</f>
        <v/>
      </c>
      <c r="P1799" s="32">
        <f>IF(G1799="","",IFERROR(INDEX(Config!$I$5:$I$16,MATCH(G1799,Config!$H$5:$H$16,0)),0))</f>
        <v/>
      </c>
      <c r="Q1799" s="30">
        <f>IF(OR(H1799&lt;&gt;"Realizado",P1799="",P1799=0),"",A1799+P1799)</f>
        <v/>
      </c>
      <c r="R1799" s="26">
        <f>IF(Q1799="","",IF(COUNTIFS($E$5:$E$3004,E1799,$A$5:$A$3004,"&gt;"&amp;A1799,$H$5:$H$3004,"&lt;&gt;Falta",$H$5:$H$3004,"&lt;&gt;Cancelado",$H$5:$H$3004,"&lt;&gt;Remarcado")&gt;0,"Sim","Não"))</f>
        <v/>
      </c>
      <c r="S1799" s="32">
        <f>IF(R1799&lt;&gt;"Não","",IF(Q1799+Config!$B$9&lt;=Config!$B$8,Config!$B$8-Q1799,""))</f>
        <v/>
      </c>
      <c r="T1799" s="26">
        <f>IF(S1799="","","Sim")</f>
        <v/>
      </c>
      <c r="U1799" s="41">
        <f>IF(T1799="Sim",S1799+ROW()/100000,0)</f>
        <v>0</v>
      </c>
      <c r="V1799" s="41">
        <f>IF(AND(H1799="Falta",L1799=Config!$B$7,M1799=Config!$B$5,COUNTIFS($E$5:E1799,E1799,$H$5:H1799,"Falta",$L$5:L1799,Config!$B$7,$M$5:M1799,Config!$B$5)=1),COUNTIFS($E$5:$E$3004,E1799,$H$5:$H$3004,"Falta",$L$5:$L$3004,Config!$B$7,$M$5:$M$3004,Config!$B$5)*1000-ROW()/100000,0)</f>
        <v>0</v>
      </c>
    </row>
    <row r="1800">
      <c r="A1800" s="39" t="n"/>
      <c r="B1800" s="40" t="n"/>
      <c r="C1800" s="35" t="n"/>
      <c r="D1800" s="35" t="n"/>
      <c r="E1800" s="34" t="n"/>
      <c r="F1800" s="35" t="n"/>
      <c r="G1800" s="35" t="n"/>
      <c r="H1800" s="35" t="n"/>
      <c r="I1800" s="35" t="n"/>
      <c r="J1800" s="35" t="n"/>
      <c r="K1800" s="34" t="n"/>
      <c r="L1800" s="26">
        <f>IF(A1800="","",MONTH(A1800))</f>
        <v/>
      </c>
      <c r="M1800" s="26">
        <f>IF(A1800="","",YEAR(A1800))</f>
        <v/>
      </c>
      <c r="N1800" s="26">
        <f>IF(A1800="","",CHOOSE(WEEKDAY(A1800,2),"Segunda","Terça","Quarta","Quinta","Sexta","Sábado","Domingo"))</f>
        <v/>
      </c>
      <c r="O1800" s="26">
        <f>IF(B1800="","",IF(B1800&lt;TIME(12,0,0),"Manhã",IF(B1800&lt;TIME(18,0,0),"Tarde","Noite")))</f>
        <v/>
      </c>
      <c r="P1800" s="32">
        <f>IF(G1800="","",IFERROR(INDEX(Config!$I$5:$I$16,MATCH(G1800,Config!$H$5:$H$16,0)),0))</f>
        <v/>
      </c>
      <c r="Q1800" s="30">
        <f>IF(OR(H1800&lt;&gt;"Realizado",P1800="",P1800=0),"",A1800+P1800)</f>
        <v/>
      </c>
      <c r="R1800" s="26">
        <f>IF(Q1800="","",IF(COUNTIFS($E$5:$E$3004,E1800,$A$5:$A$3004,"&gt;"&amp;A1800,$H$5:$H$3004,"&lt;&gt;Falta",$H$5:$H$3004,"&lt;&gt;Cancelado",$H$5:$H$3004,"&lt;&gt;Remarcado")&gt;0,"Sim","Não"))</f>
        <v/>
      </c>
      <c r="S1800" s="32">
        <f>IF(R1800&lt;&gt;"Não","",IF(Q1800+Config!$B$9&lt;=Config!$B$8,Config!$B$8-Q1800,""))</f>
        <v/>
      </c>
      <c r="T1800" s="26">
        <f>IF(S1800="","","Sim")</f>
        <v/>
      </c>
      <c r="U1800" s="41">
        <f>IF(T1800="Sim",S1800+ROW()/100000,0)</f>
        <v>0</v>
      </c>
      <c r="V1800" s="41">
        <f>IF(AND(H1800="Falta",L1800=Config!$B$7,M1800=Config!$B$5,COUNTIFS($E$5:E1800,E1800,$H$5:H1800,"Falta",$L$5:L1800,Config!$B$7,$M$5:M1800,Config!$B$5)=1),COUNTIFS($E$5:$E$3004,E1800,$H$5:$H$3004,"Falta",$L$5:$L$3004,Config!$B$7,$M$5:$M$3004,Config!$B$5)*1000-ROW()/100000,0)</f>
        <v>0</v>
      </c>
    </row>
    <row r="1801">
      <c r="A1801" s="39" t="n"/>
      <c r="B1801" s="40" t="n"/>
      <c r="C1801" s="35" t="n"/>
      <c r="D1801" s="35" t="n"/>
      <c r="E1801" s="34" t="n"/>
      <c r="F1801" s="35" t="n"/>
      <c r="G1801" s="35" t="n"/>
      <c r="H1801" s="35" t="n"/>
      <c r="I1801" s="35" t="n"/>
      <c r="J1801" s="35" t="n"/>
      <c r="K1801" s="34" t="n"/>
      <c r="L1801" s="26">
        <f>IF(A1801="","",MONTH(A1801))</f>
        <v/>
      </c>
      <c r="M1801" s="26">
        <f>IF(A1801="","",YEAR(A1801))</f>
        <v/>
      </c>
      <c r="N1801" s="26">
        <f>IF(A1801="","",CHOOSE(WEEKDAY(A1801,2),"Segunda","Terça","Quarta","Quinta","Sexta","Sábado","Domingo"))</f>
        <v/>
      </c>
      <c r="O1801" s="26">
        <f>IF(B1801="","",IF(B1801&lt;TIME(12,0,0),"Manhã",IF(B1801&lt;TIME(18,0,0),"Tarde","Noite")))</f>
        <v/>
      </c>
      <c r="P1801" s="32">
        <f>IF(G1801="","",IFERROR(INDEX(Config!$I$5:$I$16,MATCH(G1801,Config!$H$5:$H$16,0)),0))</f>
        <v/>
      </c>
      <c r="Q1801" s="30">
        <f>IF(OR(H1801&lt;&gt;"Realizado",P1801="",P1801=0),"",A1801+P1801)</f>
        <v/>
      </c>
      <c r="R1801" s="26">
        <f>IF(Q1801="","",IF(COUNTIFS($E$5:$E$3004,E1801,$A$5:$A$3004,"&gt;"&amp;A1801,$H$5:$H$3004,"&lt;&gt;Falta",$H$5:$H$3004,"&lt;&gt;Cancelado",$H$5:$H$3004,"&lt;&gt;Remarcado")&gt;0,"Sim","Não"))</f>
        <v/>
      </c>
      <c r="S1801" s="32">
        <f>IF(R1801&lt;&gt;"Não","",IF(Q1801+Config!$B$9&lt;=Config!$B$8,Config!$B$8-Q1801,""))</f>
        <v/>
      </c>
      <c r="T1801" s="26">
        <f>IF(S1801="","","Sim")</f>
        <v/>
      </c>
      <c r="U1801" s="41">
        <f>IF(T1801="Sim",S1801+ROW()/100000,0)</f>
        <v>0</v>
      </c>
      <c r="V1801" s="41">
        <f>IF(AND(H1801="Falta",L1801=Config!$B$7,M1801=Config!$B$5,COUNTIFS($E$5:E1801,E1801,$H$5:H1801,"Falta",$L$5:L1801,Config!$B$7,$M$5:M1801,Config!$B$5)=1),COUNTIFS($E$5:$E$3004,E1801,$H$5:$H$3004,"Falta",$L$5:$L$3004,Config!$B$7,$M$5:$M$3004,Config!$B$5)*1000-ROW()/100000,0)</f>
        <v>0</v>
      </c>
    </row>
    <row r="1802">
      <c r="A1802" s="39" t="n"/>
      <c r="B1802" s="40" t="n"/>
      <c r="C1802" s="35" t="n"/>
      <c r="D1802" s="35" t="n"/>
      <c r="E1802" s="34" t="n"/>
      <c r="F1802" s="35" t="n"/>
      <c r="G1802" s="35" t="n"/>
      <c r="H1802" s="35" t="n"/>
      <c r="I1802" s="35" t="n"/>
      <c r="J1802" s="35" t="n"/>
      <c r="K1802" s="34" t="n"/>
      <c r="L1802" s="26">
        <f>IF(A1802="","",MONTH(A1802))</f>
        <v/>
      </c>
      <c r="M1802" s="26">
        <f>IF(A1802="","",YEAR(A1802))</f>
        <v/>
      </c>
      <c r="N1802" s="26">
        <f>IF(A1802="","",CHOOSE(WEEKDAY(A1802,2),"Segunda","Terça","Quarta","Quinta","Sexta","Sábado","Domingo"))</f>
        <v/>
      </c>
      <c r="O1802" s="26">
        <f>IF(B1802="","",IF(B1802&lt;TIME(12,0,0),"Manhã",IF(B1802&lt;TIME(18,0,0),"Tarde","Noite")))</f>
        <v/>
      </c>
      <c r="P1802" s="32">
        <f>IF(G1802="","",IFERROR(INDEX(Config!$I$5:$I$16,MATCH(G1802,Config!$H$5:$H$16,0)),0))</f>
        <v/>
      </c>
      <c r="Q1802" s="30">
        <f>IF(OR(H1802&lt;&gt;"Realizado",P1802="",P1802=0),"",A1802+P1802)</f>
        <v/>
      </c>
      <c r="R1802" s="26">
        <f>IF(Q1802="","",IF(COUNTIFS($E$5:$E$3004,E1802,$A$5:$A$3004,"&gt;"&amp;A1802,$H$5:$H$3004,"&lt;&gt;Falta",$H$5:$H$3004,"&lt;&gt;Cancelado",$H$5:$H$3004,"&lt;&gt;Remarcado")&gt;0,"Sim","Não"))</f>
        <v/>
      </c>
      <c r="S1802" s="32">
        <f>IF(R1802&lt;&gt;"Não","",IF(Q1802+Config!$B$9&lt;=Config!$B$8,Config!$B$8-Q1802,""))</f>
        <v/>
      </c>
      <c r="T1802" s="26">
        <f>IF(S1802="","","Sim")</f>
        <v/>
      </c>
      <c r="U1802" s="41">
        <f>IF(T1802="Sim",S1802+ROW()/100000,0)</f>
        <v>0</v>
      </c>
      <c r="V1802" s="41">
        <f>IF(AND(H1802="Falta",L1802=Config!$B$7,M1802=Config!$B$5,COUNTIFS($E$5:E1802,E1802,$H$5:H1802,"Falta",$L$5:L1802,Config!$B$7,$M$5:M1802,Config!$B$5)=1),COUNTIFS($E$5:$E$3004,E1802,$H$5:$H$3004,"Falta",$L$5:$L$3004,Config!$B$7,$M$5:$M$3004,Config!$B$5)*1000-ROW()/100000,0)</f>
        <v>0</v>
      </c>
    </row>
    <row r="1803">
      <c r="A1803" s="39" t="n"/>
      <c r="B1803" s="40" t="n"/>
      <c r="C1803" s="35" t="n"/>
      <c r="D1803" s="35" t="n"/>
      <c r="E1803" s="34" t="n"/>
      <c r="F1803" s="35" t="n"/>
      <c r="G1803" s="35" t="n"/>
      <c r="H1803" s="35" t="n"/>
      <c r="I1803" s="35" t="n"/>
      <c r="J1803" s="35" t="n"/>
      <c r="K1803" s="34" t="n"/>
      <c r="L1803" s="26">
        <f>IF(A1803="","",MONTH(A1803))</f>
        <v/>
      </c>
      <c r="M1803" s="26">
        <f>IF(A1803="","",YEAR(A1803))</f>
        <v/>
      </c>
      <c r="N1803" s="26">
        <f>IF(A1803="","",CHOOSE(WEEKDAY(A1803,2),"Segunda","Terça","Quarta","Quinta","Sexta","Sábado","Domingo"))</f>
        <v/>
      </c>
      <c r="O1803" s="26">
        <f>IF(B1803="","",IF(B1803&lt;TIME(12,0,0),"Manhã",IF(B1803&lt;TIME(18,0,0),"Tarde","Noite")))</f>
        <v/>
      </c>
      <c r="P1803" s="32">
        <f>IF(G1803="","",IFERROR(INDEX(Config!$I$5:$I$16,MATCH(G1803,Config!$H$5:$H$16,0)),0))</f>
        <v/>
      </c>
      <c r="Q1803" s="30">
        <f>IF(OR(H1803&lt;&gt;"Realizado",P1803="",P1803=0),"",A1803+P1803)</f>
        <v/>
      </c>
      <c r="R1803" s="26">
        <f>IF(Q1803="","",IF(COUNTIFS($E$5:$E$3004,E1803,$A$5:$A$3004,"&gt;"&amp;A1803,$H$5:$H$3004,"&lt;&gt;Falta",$H$5:$H$3004,"&lt;&gt;Cancelado",$H$5:$H$3004,"&lt;&gt;Remarcado")&gt;0,"Sim","Não"))</f>
        <v/>
      </c>
      <c r="S1803" s="32">
        <f>IF(R1803&lt;&gt;"Não","",IF(Q1803+Config!$B$9&lt;=Config!$B$8,Config!$B$8-Q1803,""))</f>
        <v/>
      </c>
      <c r="T1803" s="26">
        <f>IF(S1803="","","Sim")</f>
        <v/>
      </c>
      <c r="U1803" s="41">
        <f>IF(T1803="Sim",S1803+ROW()/100000,0)</f>
        <v>0</v>
      </c>
      <c r="V1803" s="41">
        <f>IF(AND(H1803="Falta",L1803=Config!$B$7,M1803=Config!$B$5,COUNTIFS($E$5:E1803,E1803,$H$5:H1803,"Falta",$L$5:L1803,Config!$B$7,$M$5:M1803,Config!$B$5)=1),COUNTIFS($E$5:$E$3004,E1803,$H$5:$H$3004,"Falta",$L$5:$L$3004,Config!$B$7,$M$5:$M$3004,Config!$B$5)*1000-ROW()/100000,0)</f>
        <v>0</v>
      </c>
    </row>
    <row r="1804">
      <c r="A1804" s="39" t="n"/>
      <c r="B1804" s="40" t="n"/>
      <c r="C1804" s="35" t="n"/>
      <c r="D1804" s="35" t="n"/>
      <c r="E1804" s="34" t="n"/>
      <c r="F1804" s="35" t="n"/>
      <c r="G1804" s="35" t="n"/>
      <c r="H1804" s="35" t="n"/>
      <c r="I1804" s="35" t="n"/>
      <c r="J1804" s="35" t="n"/>
      <c r="K1804" s="34" t="n"/>
      <c r="L1804" s="26">
        <f>IF(A1804="","",MONTH(A1804))</f>
        <v/>
      </c>
      <c r="M1804" s="26">
        <f>IF(A1804="","",YEAR(A1804))</f>
        <v/>
      </c>
      <c r="N1804" s="26">
        <f>IF(A1804="","",CHOOSE(WEEKDAY(A1804,2),"Segunda","Terça","Quarta","Quinta","Sexta","Sábado","Domingo"))</f>
        <v/>
      </c>
      <c r="O1804" s="26">
        <f>IF(B1804="","",IF(B1804&lt;TIME(12,0,0),"Manhã",IF(B1804&lt;TIME(18,0,0),"Tarde","Noite")))</f>
        <v/>
      </c>
      <c r="P1804" s="32">
        <f>IF(G1804="","",IFERROR(INDEX(Config!$I$5:$I$16,MATCH(G1804,Config!$H$5:$H$16,0)),0))</f>
        <v/>
      </c>
      <c r="Q1804" s="30">
        <f>IF(OR(H1804&lt;&gt;"Realizado",P1804="",P1804=0),"",A1804+P1804)</f>
        <v/>
      </c>
      <c r="R1804" s="26">
        <f>IF(Q1804="","",IF(COUNTIFS($E$5:$E$3004,E1804,$A$5:$A$3004,"&gt;"&amp;A1804,$H$5:$H$3004,"&lt;&gt;Falta",$H$5:$H$3004,"&lt;&gt;Cancelado",$H$5:$H$3004,"&lt;&gt;Remarcado")&gt;0,"Sim","Não"))</f>
        <v/>
      </c>
      <c r="S1804" s="32">
        <f>IF(R1804&lt;&gt;"Não","",IF(Q1804+Config!$B$9&lt;=Config!$B$8,Config!$B$8-Q1804,""))</f>
        <v/>
      </c>
      <c r="T1804" s="26">
        <f>IF(S1804="","","Sim")</f>
        <v/>
      </c>
      <c r="U1804" s="41">
        <f>IF(T1804="Sim",S1804+ROW()/100000,0)</f>
        <v>0</v>
      </c>
      <c r="V1804" s="41">
        <f>IF(AND(H1804="Falta",L1804=Config!$B$7,M1804=Config!$B$5,COUNTIFS($E$5:E1804,E1804,$H$5:H1804,"Falta",$L$5:L1804,Config!$B$7,$M$5:M1804,Config!$B$5)=1),COUNTIFS($E$5:$E$3004,E1804,$H$5:$H$3004,"Falta",$L$5:$L$3004,Config!$B$7,$M$5:$M$3004,Config!$B$5)*1000-ROW()/100000,0)</f>
        <v>0</v>
      </c>
    </row>
    <row r="1805">
      <c r="A1805" s="39" t="n"/>
      <c r="B1805" s="40" t="n"/>
      <c r="C1805" s="35" t="n"/>
      <c r="D1805" s="35" t="n"/>
      <c r="E1805" s="34" t="n"/>
      <c r="F1805" s="35" t="n"/>
      <c r="G1805" s="35" t="n"/>
      <c r="H1805" s="35" t="n"/>
      <c r="I1805" s="35" t="n"/>
      <c r="J1805" s="35" t="n"/>
      <c r="K1805" s="34" t="n"/>
      <c r="L1805" s="26">
        <f>IF(A1805="","",MONTH(A1805))</f>
        <v/>
      </c>
      <c r="M1805" s="26">
        <f>IF(A1805="","",YEAR(A1805))</f>
        <v/>
      </c>
      <c r="N1805" s="26">
        <f>IF(A1805="","",CHOOSE(WEEKDAY(A1805,2),"Segunda","Terça","Quarta","Quinta","Sexta","Sábado","Domingo"))</f>
        <v/>
      </c>
      <c r="O1805" s="26">
        <f>IF(B1805="","",IF(B1805&lt;TIME(12,0,0),"Manhã",IF(B1805&lt;TIME(18,0,0),"Tarde","Noite")))</f>
        <v/>
      </c>
      <c r="P1805" s="32">
        <f>IF(G1805="","",IFERROR(INDEX(Config!$I$5:$I$16,MATCH(G1805,Config!$H$5:$H$16,0)),0))</f>
        <v/>
      </c>
      <c r="Q1805" s="30">
        <f>IF(OR(H1805&lt;&gt;"Realizado",P1805="",P1805=0),"",A1805+P1805)</f>
        <v/>
      </c>
      <c r="R1805" s="26">
        <f>IF(Q1805="","",IF(COUNTIFS($E$5:$E$3004,E1805,$A$5:$A$3004,"&gt;"&amp;A1805,$H$5:$H$3004,"&lt;&gt;Falta",$H$5:$H$3004,"&lt;&gt;Cancelado",$H$5:$H$3004,"&lt;&gt;Remarcado")&gt;0,"Sim","Não"))</f>
        <v/>
      </c>
      <c r="S1805" s="32">
        <f>IF(R1805&lt;&gt;"Não","",IF(Q1805+Config!$B$9&lt;=Config!$B$8,Config!$B$8-Q1805,""))</f>
        <v/>
      </c>
      <c r="T1805" s="26">
        <f>IF(S1805="","","Sim")</f>
        <v/>
      </c>
      <c r="U1805" s="41">
        <f>IF(T1805="Sim",S1805+ROW()/100000,0)</f>
        <v>0</v>
      </c>
      <c r="V1805" s="41">
        <f>IF(AND(H1805="Falta",L1805=Config!$B$7,M1805=Config!$B$5,COUNTIFS($E$5:E1805,E1805,$H$5:H1805,"Falta",$L$5:L1805,Config!$B$7,$M$5:M1805,Config!$B$5)=1),COUNTIFS($E$5:$E$3004,E1805,$H$5:$H$3004,"Falta",$L$5:$L$3004,Config!$B$7,$M$5:$M$3004,Config!$B$5)*1000-ROW()/100000,0)</f>
        <v>0</v>
      </c>
    </row>
    <row r="1806">
      <c r="A1806" s="39" t="n"/>
      <c r="B1806" s="40" t="n"/>
      <c r="C1806" s="35" t="n"/>
      <c r="D1806" s="35" t="n"/>
      <c r="E1806" s="34" t="n"/>
      <c r="F1806" s="35" t="n"/>
      <c r="G1806" s="35" t="n"/>
      <c r="H1806" s="35" t="n"/>
      <c r="I1806" s="35" t="n"/>
      <c r="J1806" s="35" t="n"/>
      <c r="K1806" s="34" t="n"/>
      <c r="L1806" s="26">
        <f>IF(A1806="","",MONTH(A1806))</f>
        <v/>
      </c>
      <c r="M1806" s="26">
        <f>IF(A1806="","",YEAR(A1806))</f>
        <v/>
      </c>
      <c r="N1806" s="26">
        <f>IF(A1806="","",CHOOSE(WEEKDAY(A1806,2),"Segunda","Terça","Quarta","Quinta","Sexta","Sábado","Domingo"))</f>
        <v/>
      </c>
      <c r="O1806" s="26">
        <f>IF(B1806="","",IF(B1806&lt;TIME(12,0,0),"Manhã",IF(B1806&lt;TIME(18,0,0),"Tarde","Noite")))</f>
        <v/>
      </c>
      <c r="P1806" s="32">
        <f>IF(G1806="","",IFERROR(INDEX(Config!$I$5:$I$16,MATCH(G1806,Config!$H$5:$H$16,0)),0))</f>
        <v/>
      </c>
      <c r="Q1806" s="30">
        <f>IF(OR(H1806&lt;&gt;"Realizado",P1806="",P1806=0),"",A1806+P1806)</f>
        <v/>
      </c>
      <c r="R1806" s="26">
        <f>IF(Q1806="","",IF(COUNTIFS($E$5:$E$3004,E1806,$A$5:$A$3004,"&gt;"&amp;A1806,$H$5:$H$3004,"&lt;&gt;Falta",$H$5:$H$3004,"&lt;&gt;Cancelado",$H$5:$H$3004,"&lt;&gt;Remarcado")&gt;0,"Sim","Não"))</f>
        <v/>
      </c>
      <c r="S1806" s="32">
        <f>IF(R1806&lt;&gt;"Não","",IF(Q1806+Config!$B$9&lt;=Config!$B$8,Config!$B$8-Q1806,""))</f>
        <v/>
      </c>
      <c r="T1806" s="26">
        <f>IF(S1806="","","Sim")</f>
        <v/>
      </c>
      <c r="U1806" s="41">
        <f>IF(T1806="Sim",S1806+ROW()/100000,0)</f>
        <v>0</v>
      </c>
      <c r="V1806" s="41">
        <f>IF(AND(H1806="Falta",L1806=Config!$B$7,M1806=Config!$B$5,COUNTIFS($E$5:E1806,E1806,$H$5:H1806,"Falta",$L$5:L1806,Config!$B$7,$M$5:M1806,Config!$B$5)=1),COUNTIFS($E$5:$E$3004,E1806,$H$5:$H$3004,"Falta",$L$5:$L$3004,Config!$B$7,$M$5:$M$3004,Config!$B$5)*1000-ROW()/100000,0)</f>
        <v>0</v>
      </c>
    </row>
    <row r="1807">
      <c r="A1807" s="39" t="n"/>
      <c r="B1807" s="40" t="n"/>
      <c r="C1807" s="35" t="n"/>
      <c r="D1807" s="35" t="n"/>
      <c r="E1807" s="34" t="n"/>
      <c r="F1807" s="35" t="n"/>
      <c r="G1807" s="35" t="n"/>
      <c r="H1807" s="35" t="n"/>
      <c r="I1807" s="35" t="n"/>
      <c r="J1807" s="35" t="n"/>
      <c r="K1807" s="34" t="n"/>
      <c r="L1807" s="26">
        <f>IF(A1807="","",MONTH(A1807))</f>
        <v/>
      </c>
      <c r="M1807" s="26">
        <f>IF(A1807="","",YEAR(A1807))</f>
        <v/>
      </c>
      <c r="N1807" s="26">
        <f>IF(A1807="","",CHOOSE(WEEKDAY(A1807,2),"Segunda","Terça","Quarta","Quinta","Sexta","Sábado","Domingo"))</f>
        <v/>
      </c>
      <c r="O1807" s="26">
        <f>IF(B1807="","",IF(B1807&lt;TIME(12,0,0),"Manhã",IF(B1807&lt;TIME(18,0,0),"Tarde","Noite")))</f>
        <v/>
      </c>
      <c r="P1807" s="32">
        <f>IF(G1807="","",IFERROR(INDEX(Config!$I$5:$I$16,MATCH(G1807,Config!$H$5:$H$16,0)),0))</f>
        <v/>
      </c>
      <c r="Q1807" s="30">
        <f>IF(OR(H1807&lt;&gt;"Realizado",P1807="",P1807=0),"",A1807+P1807)</f>
        <v/>
      </c>
      <c r="R1807" s="26">
        <f>IF(Q1807="","",IF(COUNTIFS($E$5:$E$3004,E1807,$A$5:$A$3004,"&gt;"&amp;A1807,$H$5:$H$3004,"&lt;&gt;Falta",$H$5:$H$3004,"&lt;&gt;Cancelado",$H$5:$H$3004,"&lt;&gt;Remarcado")&gt;0,"Sim","Não"))</f>
        <v/>
      </c>
      <c r="S1807" s="32">
        <f>IF(R1807&lt;&gt;"Não","",IF(Q1807+Config!$B$9&lt;=Config!$B$8,Config!$B$8-Q1807,""))</f>
        <v/>
      </c>
      <c r="T1807" s="26">
        <f>IF(S1807="","","Sim")</f>
        <v/>
      </c>
      <c r="U1807" s="41">
        <f>IF(T1807="Sim",S1807+ROW()/100000,0)</f>
        <v>0</v>
      </c>
      <c r="V1807" s="41">
        <f>IF(AND(H1807="Falta",L1807=Config!$B$7,M1807=Config!$B$5,COUNTIFS($E$5:E1807,E1807,$H$5:H1807,"Falta",$L$5:L1807,Config!$B$7,$M$5:M1807,Config!$B$5)=1),COUNTIFS($E$5:$E$3004,E1807,$H$5:$H$3004,"Falta",$L$5:$L$3004,Config!$B$7,$M$5:$M$3004,Config!$B$5)*1000-ROW()/100000,0)</f>
        <v>0</v>
      </c>
    </row>
    <row r="1808">
      <c r="A1808" s="39" t="n"/>
      <c r="B1808" s="40" t="n"/>
      <c r="C1808" s="35" t="n"/>
      <c r="D1808" s="35" t="n"/>
      <c r="E1808" s="34" t="n"/>
      <c r="F1808" s="35" t="n"/>
      <c r="G1808" s="35" t="n"/>
      <c r="H1808" s="35" t="n"/>
      <c r="I1808" s="35" t="n"/>
      <c r="J1808" s="35" t="n"/>
      <c r="K1808" s="34" t="n"/>
      <c r="L1808" s="26">
        <f>IF(A1808="","",MONTH(A1808))</f>
        <v/>
      </c>
      <c r="M1808" s="26">
        <f>IF(A1808="","",YEAR(A1808))</f>
        <v/>
      </c>
      <c r="N1808" s="26">
        <f>IF(A1808="","",CHOOSE(WEEKDAY(A1808,2),"Segunda","Terça","Quarta","Quinta","Sexta","Sábado","Domingo"))</f>
        <v/>
      </c>
      <c r="O1808" s="26">
        <f>IF(B1808="","",IF(B1808&lt;TIME(12,0,0),"Manhã",IF(B1808&lt;TIME(18,0,0),"Tarde","Noite")))</f>
        <v/>
      </c>
      <c r="P1808" s="32">
        <f>IF(G1808="","",IFERROR(INDEX(Config!$I$5:$I$16,MATCH(G1808,Config!$H$5:$H$16,0)),0))</f>
        <v/>
      </c>
      <c r="Q1808" s="30">
        <f>IF(OR(H1808&lt;&gt;"Realizado",P1808="",P1808=0),"",A1808+P1808)</f>
        <v/>
      </c>
      <c r="R1808" s="26">
        <f>IF(Q1808="","",IF(COUNTIFS($E$5:$E$3004,E1808,$A$5:$A$3004,"&gt;"&amp;A1808,$H$5:$H$3004,"&lt;&gt;Falta",$H$5:$H$3004,"&lt;&gt;Cancelado",$H$5:$H$3004,"&lt;&gt;Remarcado")&gt;0,"Sim","Não"))</f>
        <v/>
      </c>
      <c r="S1808" s="32">
        <f>IF(R1808&lt;&gt;"Não","",IF(Q1808+Config!$B$9&lt;=Config!$B$8,Config!$B$8-Q1808,""))</f>
        <v/>
      </c>
      <c r="T1808" s="26">
        <f>IF(S1808="","","Sim")</f>
        <v/>
      </c>
      <c r="U1808" s="41">
        <f>IF(T1808="Sim",S1808+ROW()/100000,0)</f>
        <v>0</v>
      </c>
      <c r="V1808" s="41">
        <f>IF(AND(H1808="Falta",L1808=Config!$B$7,M1808=Config!$B$5,COUNTIFS($E$5:E1808,E1808,$H$5:H1808,"Falta",$L$5:L1808,Config!$B$7,$M$5:M1808,Config!$B$5)=1),COUNTIFS($E$5:$E$3004,E1808,$H$5:$H$3004,"Falta",$L$5:$L$3004,Config!$B$7,$M$5:$M$3004,Config!$B$5)*1000-ROW()/100000,0)</f>
        <v>0</v>
      </c>
    </row>
    <row r="1809">
      <c r="A1809" s="39" t="n"/>
      <c r="B1809" s="40" t="n"/>
      <c r="C1809" s="35" t="n"/>
      <c r="D1809" s="35" t="n"/>
      <c r="E1809" s="34" t="n"/>
      <c r="F1809" s="35" t="n"/>
      <c r="G1809" s="35" t="n"/>
      <c r="H1809" s="35" t="n"/>
      <c r="I1809" s="35" t="n"/>
      <c r="J1809" s="35" t="n"/>
      <c r="K1809" s="34" t="n"/>
      <c r="L1809" s="26">
        <f>IF(A1809="","",MONTH(A1809))</f>
        <v/>
      </c>
      <c r="M1809" s="26">
        <f>IF(A1809="","",YEAR(A1809))</f>
        <v/>
      </c>
      <c r="N1809" s="26">
        <f>IF(A1809="","",CHOOSE(WEEKDAY(A1809,2),"Segunda","Terça","Quarta","Quinta","Sexta","Sábado","Domingo"))</f>
        <v/>
      </c>
      <c r="O1809" s="26">
        <f>IF(B1809="","",IF(B1809&lt;TIME(12,0,0),"Manhã",IF(B1809&lt;TIME(18,0,0),"Tarde","Noite")))</f>
        <v/>
      </c>
      <c r="P1809" s="32">
        <f>IF(G1809="","",IFERROR(INDEX(Config!$I$5:$I$16,MATCH(G1809,Config!$H$5:$H$16,0)),0))</f>
        <v/>
      </c>
      <c r="Q1809" s="30">
        <f>IF(OR(H1809&lt;&gt;"Realizado",P1809="",P1809=0),"",A1809+P1809)</f>
        <v/>
      </c>
      <c r="R1809" s="26">
        <f>IF(Q1809="","",IF(COUNTIFS($E$5:$E$3004,E1809,$A$5:$A$3004,"&gt;"&amp;A1809,$H$5:$H$3004,"&lt;&gt;Falta",$H$5:$H$3004,"&lt;&gt;Cancelado",$H$5:$H$3004,"&lt;&gt;Remarcado")&gt;0,"Sim","Não"))</f>
        <v/>
      </c>
      <c r="S1809" s="32">
        <f>IF(R1809&lt;&gt;"Não","",IF(Q1809+Config!$B$9&lt;=Config!$B$8,Config!$B$8-Q1809,""))</f>
        <v/>
      </c>
      <c r="T1809" s="26">
        <f>IF(S1809="","","Sim")</f>
        <v/>
      </c>
      <c r="U1809" s="41">
        <f>IF(T1809="Sim",S1809+ROW()/100000,0)</f>
        <v>0</v>
      </c>
      <c r="V1809" s="41">
        <f>IF(AND(H1809="Falta",L1809=Config!$B$7,M1809=Config!$B$5,COUNTIFS($E$5:E1809,E1809,$H$5:H1809,"Falta",$L$5:L1809,Config!$B$7,$M$5:M1809,Config!$B$5)=1),COUNTIFS($E$5:$E$3004,E1809,$H$5:$H$3004,"Falta",$L$5:$L$3004,Config!$B$7,$M$5:$M$3004,Config!$B$5)*1000-ROW()/100000,0)</f>
        <v>0</v>
      </c>
    </row>
    <row r="1810">
      <c r="A1810" s="39" t="n"/>
      <c r="B1810" s="40" t="n"/>
      <c r="C1810" s="35" t="n"/>
      <c r="D1810" s="35" t="n"/>
      <c r="E1810" s="34" t="n"/>
      <c r="F1810" s="35" t="n"/>
      <c r="G1810" s="35" t="n"/>
      <c r="H1810" s="35" t="n"/>
      <c r="I1810" s="35" t="n"/>
      <c r="J1810" s="35" t="n"/>
      <c r="K1810" s="34" t="n"/>
      <c r="L1810" s="26">
        <f>IF(A1810="","",MONTH(A1810))</f>
        <v/>
      </c>
      <c r="M1810" s="26">
        <f>IF(A1810="","",YEAR(A1810))</f>
        <v/>
      </c>
      <c r="N1810" s="26">
        <f>IF(A1810="","",CHOOSE(WEEKDAY(A1810,2),"Segunda","Terça","Quarta","Quinta","Sexta","Sábado","Domingo"))</f>
        <v/>
      </c>
      <c r="O1810" s="26">
        <f>IF(B1810="","",IF(B1810&lt;TIME(12,0,0),"Manhã",IF(B1810&lt;TIME(18,0,0),"Tarde","Noite")))</f>
        <v/>
      </c>
      <c r="P1810" s="32">
        <f>IF(G1810="","",IFERROR(INDEX(Config!$I$5:$I$16,MATCH(G1810,Config!$H$5:$H$16,0)),0))</f>
        <v/>
      </c>
      <c r="Q1810" s="30">
        <f>IF(OR(H1810&lt;&gt;"Realizado",P1810="",P1810=0),"",A1810+P1810)</f>
        <v/>
      </c>
      <c r="R1810" s="26">
        <f>IF(Q1810="","",IF(COUNTIFS($E$5:$E$3004,E1810,$A$5:$A$3004,"&gt;"&amp;A1810,$H$5:$H$3004,"&lt;&gt;Falta",$H$5:$H$3004,"&lt;&gt;Cancelado",$H$5:$H$3004,"&lt;&gt;Remarcado")&gt;0,"Sim","Não"))</f>
        <v/>
      </c>
      <c r="S1810" s="32">
        <f>IF(R1810&lt;&gt;"Não","",IF(Q1810+Config!$B$9&lt;=Config!$B$8,Config!$B$8-Q1810,""))</f>
        <v/>
      </c>
      <c r="T1810" s="26">
        <f>IF(S1810="","","Sim")</f>
        <v/>
      </c>
      <c r="U1810" s="41">
        <f>IF(T1810="Sim",S1810+ROW()/100000,0)</f>
        <v>0</v>
      </c>
      <c r="V1810" s="41">
        <f>IF(AND(H1810="Falta",L1810=Config!$B$7,M1810=Config!$B$5,COUNTIFS($E$5:E1810,E1810,$H$5:H1810,"Falta",$L$5:L1810,Config!$B$7,$M$5:M1810,Config!$B$5)=1),COUNTIFS($E$5:$E$3004,E1810,$H$5:$H$3004,"Falta",$L$5:$L$3004,Config!$B$7,$M$5:$M$3004,Config!$B$5)*1000-ROW()/100000,0)</f>
        <v>0</v>
      </c>
    </row>
    <row r="1811">
      <c r="A1811" s="39" t="n"/>
      <c r="B1811" s="40" t="n"/>
      <c r="C1811" s="35" t="n"/>
      <c r="D1811" s="35" t="n"/>
      <c r="E1811" s="34" t="n"/>
      <c r="F1811" s="35" t="n"/>
      <c r="G1811" s="35" t="n"/>
      <c r="H1811" s="35" t="n"/>
      <c r="I1811" s="35" t="n"/>
      <c r="J1811" s="35" t="n"/>
      <c r="K1811" s="34" t="n"/>
      <c r="L1811" s="26">
        <f>IF(A1811="","",MONTH(A1811))</f>
        <v/>
      </c>
      <c r="M1811" s="26">
        <f>IF(A1811="","",YEAR(A1811))</f>
        <v/>
      </c>
      <c r="N1811" s="26">
        <f>IF(A1811="","",CHOOSE(WEEKDAY(A1811,2),"Segunda","Terça","Quarta","Quinta","Sexta","Sábado","Domingo"))</f>
        <v/>
      </c>
      <c r="O1811" s="26">
        <f>IF(B1811="","",IF(B1811&lt;TIME(12,0,0),"Manhã",IF(B1811&lt;TIME(18,0,0),"Tarde","Noite")))</f>
        <v/>
      </c>
      <c r="P1811" s="32">
        <f>IF(G1811="","",IFERROR(INDEX(Config!$I$5:$I$16,MATCH(G1811,Config!$H$5:$H$16,0)),0))</f>
        <v/>
      </c>
      <c r="Q1811" s="30">
        <f>IF(OR(H1811&lt;&gt;"Realizado",P1811="",P1811=0),"",A1811+P1811)</f>
        <v/>
      </c>
      <c r="R1811" s="26">
        <f>IF(Q1811="","",IF(COUNTIFS($E$5:$E$3004,E1811,$A$5:$A$3004,"&gt;"&amp;A1811,$H$5:$H$3004,"&lt;&gt;Falta",$H$5:$H$3004,"&lt;&gt;Cancelado",$H$5:$H$3004,"&lt;&gt;Remarcado")&gt;0,"Sim","Não"))</f>
        <v/>
      </c>
      <c r="S1811" s="32">
        <f>IF(R1811&lt;&gt;"Não","",IF(Q1811+Config!$B$9&lt;=Config!$B$8,Config!$B$8-Q1811,""))</f>
        <v/>
      </c>
      <c r="T1811" s="26">
        <f>IF(S1811="","","Sim")</f>
        <v/>
      </c>
      <c r="U1811" s="41">
        <f>IF(T1811="Sim",S1811+ROW()/100000,0)</f>
        <v>0</v>
      </c>
      <c r="V1811" s="41">
        <f>IF(AND(H1811="Falta",L1811=Config!$B$7,M1811=Config!$B$5,COUNTIFS($E$5:E1811,E1811,$H$5:H1811,"Falta",$L$5:L1811,Config!$B$7,$M$5:M1811,Config!$B$5)=1),COUNTIFS($E$5:$E$3004,E1811,$H$5:$H$3004,"Falta",$L$5:$L$3004,Config!$B$7,$M$5:$M$3004,Config!$B$5)*1000-ROW()/100000,0)</f>
        <v>0</v>
      </c>
    </row>
    <row r="1812">
      <c r="A1812" s="39" t="n"/>
      <c r="B1812" s="40" t="n"/>
      <c r="C1812" s="35" t="n"/>
      <c r="D1812" s="35" t="n"/>
      <c r="E1812" s="34" t="n"/>
      <c r="F1812" s="35" t="n"/>
      <c r="G1812" s="35" t="n"/>
      <c r="H1812" s="35" t="n"/>
      <c r="I1812" s="35" t="n"/>
      <c r="J1812" s="35" t="n"/>
      <c r="K1812" s="34" t="n"/>
      <c r="L1812" s="26">
        <f>IF(A1812="","",MONTH(A1812))</f>
        <v/>
      </c>
      <c r="M1812" s="26">
        <f>IF(A1812="","",YEAR(A1812))</f>
        <v/>
      </c>
      <c r="N1812" s="26">
        <f>IF(A1812="","",CHOOSE(WEEKDAY(A1812,2),"Segunda","Terça","Quarta","Quinta","Sexta","Sábado","Domingo"))</f>
        <v/>
      </c>
      <c r="O1812" s="26">
        <f>IF(B1812="","",IF(B1812&lt;TIME(12,0,0),"Manhã",IF(B1812&lt;TIME(18,0,0),"Tarde","Noite")))</f>
        <v/>
      </c>
      <c r="P1812" s="32">
        <f>IF(G1812="","",IFERROR(INDEX(Config!$I$5:$I$16,MATCH(G1812,Config!$H$5:$H$16,0)),0))</f>
        <v/>
      </c>
      <c r="Q1812" s="30">
        <f>IF(OR(H1812&lt;&gt;"Realizado",P1812="",P1812=0),"",A1812+P1812)</f>
        <v/>
      </c>
      <c r="R1812" s="26">
        <f>IF(Q1812="","",IF(COUNTIFS($E$5:$E$3004,E1812,$A$5:$A$3004,"&gt;"&amp;A1812,$H$5:$H$3004,"&lt;&gt;Falta",$H$5:$H$3004,"&lt;&gt;Cancelado",$H$5:$H$3004,"&lt;&gt;Remarcado")&gt;0,"Sim","Não"))</f>
        <v/>
      </c>
      <c r="S1812" s="32">
        <f>IF(R1812&lt;&gt;"Não","",IF(Q1812+Config!$B$9&lt;=Config!$B$8,Config!$B$8-Q1812,""))</f>
        <v/>
      </c>
      <c r="T1812" s="26">
        <f>IF(S1812="","","Sim")</f>
        <v/>
      </c>
      <c r="U1812" s="41">
        <f>IF(T1812="Sim",S1812+ROW()/100000,0)</f>
        <v>0</v>
      </c>
      <c r="V1812" s="41">
        <f>IF(AND(H1812="Falta",L1812=Config!$B$7,M1812=Config!$B$5,COUNTIFS($E$5:E1812,E1812,$H$5:H1812,"Falta",$L$5:L1812,Config!$B$7,$M$5:M1812,Config!$B$5)=1),COUNTIFS($E$5:$E$3004,E1812,$H$5:$H$3004,"Falta",$L$5:$L$3004,Config!$B$7,$M$5:$M$3004,Config!$B$5)*1000-ROW()/100000,0)</f>
        <v>0</v>
      </c>
    </row>
    <row r="1813">
      <c r="A1813" s="39" t="n"/>
      <c r="B1813" s="40" t="n"/>
      <c r="C1813" s="35" t="n"/>
      <c r="D1813" s="35" t="n"/>
      <c r="E1813" s="34" t="n"/>
      <c r="F1813" s="35" t="n"/>
      <c r="G1813" s="35" t="n"/>
      <c r="H1813" s="35" t="n"/>
      <c r="I1813" s="35" t="n"/>
      <c r="J1813" s="35" t="n"/>
      <c r="K1813" s="34" t="n"/>
      <c r="L1813" s="26">
        <f>IF(A1813="","",MONTH(A1813))</f>
        <v/>
      </c>
      <c r="M1813" s="26">
        <f>IF(A1813="","",YEAR(A1813))</f>
        <v/>
      </c>
      <c r="N1813" s="26">
        <f>IF(A1813="","",CHOOSE(WEEKDAY(A1813,2),"Segunda","Terça","Quarta","Quinta","Sexta","Sábado","Domingo"))</f>
        <v/>
      </c>
      <c r="O1813" s="26">
        <f>IF(B1813="","",IF(B1813&lt;TIME(12,0,0),"Manhã",IF(B1813&lt;TIME(18,0,0),"Tarde","Noite")))</f>
        <v/>
      </c>
      <c r="P1813" s="32">
        <f>IF(G1813="","",IFERROR(INDEX(Config!$I$5:$I$16,MATCH(G1813,Config!$H$5:$H$16,0)),0))</f>
        <v/>
      </c>
      <c r="Q1813" s="30">
        <f>IF(OR(H1813&lt;&gt;"Realizado",P1813="",P1813=0),"",A1813+P1813)</f>
        <v/>
      </c>
      <c r="R1813" s="26">
        <f>IF(Q1813="","",IF(COUNTIFS($E$5:$E$3004,E1813,$A$5:$A$3004,"&gt;"&amp;A1813,$H$5:$H$3004,"&lt;&gt;Falta",$H$5:$H$3004,"&lt;&gt;Cancelado",$H$5:$H$3004,"&lt;&gt;Remarcado")&gt;0,"Sim","Não"))</f>
        <v/>
      </c>
      <c r="S1813" s="32">
        <f>IF(R1813&lt;&gt;"Não","",IF(Q1813+Config!$B$9&lt;=Config!$B$8,Config!$B$8-Q1813,""))</f>
        <v/>
      </c>
      <c r="T1813" s="26">
        <f>IF(S1813="","","Sim")</f>
        <v/>
      </c>
      <c r="U1813" s="41">
        <f>IF(T1813="Sim",S1813+ROW()/100000,0)</f>
        <v>0</v>
      </c>
      <c r="V1813" s="41">
        <f>IF(AND(H1813="Falta",L1813=Config!$B$7,M1813=Config!$B$5,COUNTIFS($E$5:E1813,E1813,$H$5:H1813,"Falta",$L$5:L1813,Config!$B$7,$M$5:M1813,Config!$B$5)=1),COUNTIFS($E$5:$E$3004,E1813,$H$5:$H$3004,"Falta",$L$5:$L$3004,Config!$B$7,$M$5:$M$3004,Config!$B$5)*1000-ROW()/100000,0)</f>
        <v>0</v>
      </c>
    </row>
    <row r="1814">
      <c r="A1814" s="39" t="n"/>
      <c r="B1814" s="40" t="n"/>
      <c r="C1814" s="35" t="n"/>
      <c r="D1814" s="35" t="n"/>
      <c r="E1814" s="34" t="n"/>
      <c r="F1814" s="35" t="n"/>
      <c r="G1814" s="35" t="n"/>
      <c r="H1814" s="35" t="n"/>
      <c r="I1814" s="35" t="n"/>
      <c r="J1814" s="35" t="n"/>
      <c r="K1814" s="34" t="n"/>
      <c r="L1814" s="26">
        <f>IF(A1814="","",MONTH(A1814))</f>
        <v/>
      </c>
      <c r="M1814" s="26">
        <f>IF(A1814="","",YEAR(A1814))</f>
        <v/>
      </c>
      <c r="N1814" s="26">
        <f>IF(A1814="","",CHOOSE(WEEKDAY(A1814,2),"Segunda","Terça","Quarta","Quinta","Sexta","Sábado","Domingo"))</f>
        <v/>
      </c>
      <c r="O1814" s="26">
        <f>IF(B1814="","",IF(B1814&lt;TIME(12,0,0),"Manhã",IF(B1814&lt;TIME(18,0,0),"Tarde","Noite")))</f>
        <v/>
      </c>
      <c r="P1814" s="32">
        <f>IF(G1814="","",IFERROR(INDEX(Config!$I$5:$I$16,MATCH(G1814,Config!$H$5:$H$16,0)),0))</f>
        <v/>
      </c>
      <c r="Q1814" s="30">
        <f>IF(OR(H1814&lt;&gt;"Realizado",P1814="",P1814=0),"",A1814+P1814)</f>
        <v/>
      </c>
      <c r="R1814" s="26">
        <f>IF(Q1814="","",IF(COUNTIFS($E$5:$E$3004,E1814,$A$5:$A$3004,"&gt;"&amp;A1814,$H$5:$H$3004,"&lt;&gt;Falta",$H$5:$H$3004,"&lt;&gt;Cancelado",$H$5:$H$3004,"&lt;&gt;Remarcado")&gt;0,"Sim","Não"))</f>
        <v/>
      </c>
      <c r="S1814" s="32">
        <f>IF(R1814&lt;&gt;"Não","",IF(Q1814+Config!$B$9&lt;=Config!$B$8,Config!$B$8-Q1814,""))</f>
        <v/>
      </c>
      <c r="T1814" s="26">
        <f>IF(S1814="","","Sim")</f>
        <v/>
      </c>
      <c r="U1814" s="41">
        <f>IF(T1814="Sim",S1814+ROW()/100000,0)</f>
        <v>0</v>
      </c>
      <c r="V1814" s="41">
        <f>IF(AND(H1814="Falta",L1814=Config!$B$7,M1814=Config!$B$5,COUNTIFS($E$5:E1814,E1814,$H$5:H1814,"Falta",$L$5:L1814,Config!$B$7,$M$5:M1814,Config!$B$5)=1),COUNTIFS($E$5:$E$3004,E1814,$H$5:$H$3004,"Falta",$L$5:$L$3004,Config!$B$7,$M$5:$M$3004,Config!$B$5)*1000-ROW()/100000,0)</f>
        <v>0</v>
      </c>
    </row>
    <row r="1815">
      <c r="A1815" s="39" t="n"/>
      <c r="B1815" s="40" t="n"/>
      <c r="C1815" s="35" t="n"/>
      <c r="D1815" s="35" t="n"/>
      <c r="E1815" s="34" t="n"/>
      <c r="F1815" s="35" t="n"/>
      <c r="G1815" s="35" t="n"/>
      <c r="H1815" s="35" t="n"/>
      <c r="I1815" s="35" t="n"/>
      <c r="J1815" s="35" t="n"/>
      <c r="K1815" s="34" t="n"/>
      <c r="L1815" s="26">
        <f>IF(A1815="","",MONTH(A1815))</f>
        <v/>
      </c>
      <c r="M1815" s="26">
        <f>IF(A1815="","",YEAR(A1815))</f>
        <v/>
      </c>
      <c r="N1815" s="26">
        <f>IF(A1815="","",CHOOSE(WEEKDAY(A1815,2),"Segunda","Terça","Quarta","Quinta","Sexta","Sábado","Domingo"))</f>
        <v/>
      </c>
      <c r="O1815" s="26">
        <f>IF(B1815="","",IF(B1815&lt;TIME(12,0,0),"Manhã",IF(B1815&lt;TIME(18,0,0),"Tarde","Noite")))</f>
        <v/>
      </c>
      <c r="P1815" s="32">
        <f>IF(G1815="","",IFERROR(INDEX(Config!$I$5:$I$16,MATCH(G1815,Config!$H$5:$H$16,0)),0))</f>
        <v/>
      </c>
      <c r="Q1815" s="30">
        <f>IF(OR(H1815&lt;&gt;"Realizado",P1815="",P1815=0),"",A1815+P1815)</f>
        <v/>
      </c>
      <c r="R1815" s="26">
        <f>IF(Q1815="","",IF(COUNTIFS($E$5:$E$3004,E1815,$A$5:$A$3004,"&gt;"&amp;A1815,$H$5:$H$3004,"&lt;&gt;Falta",$H$5:$H$3004,"&lt;&gt;Cancelado",$H$5:$H$3004,"&lt;&gt;Remarcado")&gt;0,"Sim","Não"))</f>
        <v/>
      </c>
      <c r="S1815" s="32">
        <f>IF(R1815&lt;&gt;"Não","",IF(Q1815+Config!$B$9&lt;=Config!$B$8,Config!$B$8-Q1815,""))</f>
        <v/>
      </c>
      <c r="T1815" s="26">
        <f>IF(S1815="","","Sim")</f>
        <v/>
      </c>
      <c r="U1815" s="41">
        <f>IF(T1815="Sim",S1815+ROW()/100000,0)</f>
        <v>0</v>
      </c>
      <c r="V1815" s="41">
        <f>IF(AND(H1815="Falta",L1815=Config!$B$7,M1815=Config!$B$5,COUNTIFS($E$5:E1815,E1815,$H$5:H1815,"Falta",$L$5:L1815,Config!$B$7,$M$5:M1815,Config!$B$5)=1),COUNTIFS($E$5:$E$3004,E1815,$H$5:$H$3004,"Falta",$L$5:$L$3004,Config!$B$7,$M$5:$M$3004,Config!$B$5)*1000-ROW()/100000,0)</f>
        <v>0</v>
      </c>
    </row>
    <row r="1816">
      <c r="A1816" s="39" t="n"/>
      <c r="B1816" s="40" t="n"/>
      <c r="C1816" s="35" t="n"/>
      <c r="D1816" s="35" t="n"/>
      <c r="E1816" s="34" t="n"/>
      <c r="F1816" s="35" t="n"/>
      <c r="G1816" s="35" t="n"/>
      <c r="H1816" s="35" t="n"/>
      <c r="I1816" s="35" t="n"/>
      <c r="J1816" s="35" t="n"/>
      <c r="K1816" s="34" t="n"/>
      <c r="L1816" s="26">
        <f>IF(A1816="","",MONTH(A1816))</f>
        <v/>
      </c>
      <c r="M1816" s="26">
        <f>IF(A1816="","",YEAR(A1816))</f>
        <v/>
      </c>
      <c r="N1816" s="26">
        <f>IF(A1816="","",CHOOSE(WEEKDAY(A1816,2),"Segunda","Terça","Quarta","Quinta","Sexta","Sábado","Domingo"))</f>
        <v/>
      </c>
      <c r="O1816" s="26">
        <f>IF(B1816="","",IF(B1816&lt;TIME(12,0,0),"Manhã",IF(B1816&lt;TIME(18,0,0),"Tarde","Noite")))</f>
        <v/>
      </c>
      <c r="P1816" s="32">
        <f>IF(G1816="","",IFERROR(INDEX(Config!$I$5:$I$16,MATCH(G1816,Config!$H$5:$H$16,0)),0))</f>
        <v/>
      </c>
      <c r="Q1816" s="30">
        <f>IF(OR(H1816&lt;&gt;"Realizado",P1816="",P1816=0),"",A1816+P1816)</f>
        <v/>
      </c>
      <c r="R1816" s="26">
        <f>IF(Q1816="","",IF(COUNTIFS($E$5:$E$3004,E1816,$A$5:$A$3004,"&gt;"&amp;A1816,$H$5:$H$3004,"&lt;&gt;Falta",$H$5:$H$3004,"&lt;&gt;Cancelado",$H$5:$H$3004,"&lt;&gt;Remarcado")&gt;0,"Sim","Não"))</f>
        <v/>
      </c>
      <c r="S1816" s="32">
        <f>IF(R1816&lt;&gt;"Não","",IF(Q1816+Config!$B$9&lt;=Config!$B$8,Config!$B$8-Q1816,""))</f>
        <v/>
      </c>
      <c r="T1816" s="26">
        <f>IF(S1816="","","Sim")</f>
        <v/>
      </c>
      <c r="U1816" s="41">
        <f>IF(T1816="Sim",S1816+ROW()/100000,0)</f>
        <v>0</v>
      </c>
      <c r="V1816" s="41">
        <f>IF(AND(H1816="Falta",L1816=Config!$B$7,M1816=Config!$B$5,COUNTIFS($E$5:E1816,E1816,$H$5:H1816,"Falta",$L$5:L1816,Config!$B$7,$M$5:M1816,Config!$B$5)=1),COUNTIFS($E$5:$E$3004,E1816,$H$5:$H$3004,"Falta",$L$5:$L$3004,Config!$B$7,$M$5:$M$3004,Config!$B$5)*1000-ROW()/100000,0)</f>
        <v>0</v>
      </c>
    </row>
    <row r="1817">
      <c r="A1817" s="39" t="n"/>
      <c r="B1817" s="40" t="n"/>
      <c r="C1817" s="35" t="n"/>
      <c r="D1817" s="35" t="n"/>
      <c r="E1817" s="34" t="n"/>
      <c r="F1817" s="35" t="n"/>
      <c r="G1817" s="35" t="n"/>
      <c r="H1817" s="35" t="n"/>
      <c r="I1817" s="35" t="n"/>
      <c r="J1817" s="35" t="n"/>
      <c r="K1817" s="34" t="n"/>
      <c r="L1817" s="26">
        <f>IF(A1817="","",MONTH(A1817))</f>
        <v/>
      </c>
      <c r="M1817" s="26">
        <f>IF(A1817="","",YEAR(A1817))</f>
        <v/>
      </c>
      <c r="N1817" s="26">
        <f>IF(A1817="","",CHOOSE(WEEKDAY(A1817,2),"Segunda","Terça","Quarta","Quinta","Sexta","Sábado","Domingo"))</f>
        <v/>
      </c>
      <c r="O1817" s="26">
        <f>IF(B1817="","",IF(B1817&lt;TIME(12,0,0),"Manhã",IF(B1817&lt;TIME(18,0,0),"Tarde","Noite")))</f>
        <v/>
      </c>
      <c r="P1817" s="32">
        <f>IF(G1817="","",IFERROR(INDEX(Config!$I$5:$I$16,MATCH(G1817,Config!$H$5:$H$16,0)),0))</f>
        <v/>
      </c>
      <c r="Q1817" s="30">
        <f>IF(OR(H1817&lt;&gt;"Realizado",P1817="",P1817=0),"",A1817+P1817)</f>
        <v/>
      </c>
      <c r="R1817" s="26">
        <f>IF(Q1817="","",IF(COUNTIFS($E$5:$E$3004,E1817,$A$5:$A$3004,"&gt;"&amp;A1817,$H$5:$H$3004,"&lt;&gt;Falta",$H$5:$H$3004,"&lt;&gt;Cancelado",$H$5:$H$3004,"&lt;&gt;Remarcado")&gt;0,"Sim","Não"))</f>
        <v/>
      </c>
      <c r="S1817" s="32">
        <f>IF(R1817&lt;&gt;"Não","",IF(Q1817+Config!$B$9&lt;=Config!$B$8,Config!$B$8-Q1817,""))</f>
        <v/>
      </c>
      <c r="T1817" s="26">
        <f>IF(S1817="","","Sim")</f>
        <v/>
      </c>
      <c r="U1817" s="41">
        <f>IF(T1817="Sim",S1817+ROW()/100000,0)</f>
        <v>0</v>
      </c>
      <c r="V1817" s="41">
        <f>IF(AND(H1817="Falta",L1817=Config!$B$7,M1817=Config!$B$5,COUNTIFS($E$5:E1817,E1817,$H$5:H1817,"Falta",$L$5:L1817,Config!$B$7,$M$5:M1817,Config!$B$5)=1),COUNTIFS($E$5:$E$3004,E1817,$H$5:$H$3004,"Falta",$L$5:$L$3004,Config!$B$7,$M$5:$M$3004,Config!$B$5)*1000-ROW()/100000,0)</f>
        <v>0</v>
      </c>
    </row>
    <row r="1818">
      <c r="A1818" s="39" t="n"/>
      <c r="B1818" s="40" t="n"/>
      <c r="C1818" s="35" t="n"/>
      <c r="D1818" s="35" t="n"/>
      <c r="E1818" s="34" t="n"/>
      <c r="F1818" s="35" t="n"/>
      <c r="G1818" s="35" t="n"/>
      <c r="H1818" s="35" t="n"/>
      <c r="I1818" s="35" t="n"/>
      <c r="J1818" s="35" t="n"/>
      <c r="K1818" s="34" t="n"/>
      <c r="L1818" s="26">
        <f>IF(A1818="","",MONTH(A1818))</f>
        <v/>
      </c>
      <c r="M1818" s="26">
        <f>IF(A1818="","",YEAR(A1818))</f>
        <v/>
      </c>
      <c r="N1818" s="26">
        <f>IF(A1818="","",CHOOSE(WEEKDAY(A1818,2),"Segunda","Terça","Quarta","Quinta","Sexta","Sábado","Domingo"))</f>
        <v/>
      </c>
      <c r="O1818" s="26">
        <f>IF(B1818="","",IF(B1818&lt;TIME(12,0,0),"Manhã",IF(B1818&lt;TIME(18,0,0),"Tarde","Noite")))</f>
        <v/>
      </c>
      <c r="P1818" s="32">
        <f>IF(G1818="","",IFERROR(INDEX(Config!$I$5:$I$16,MATCH(G1818,Config!$H$5:$H$16,0)),0))</f>
        <v/>
      </c>
      <c r="Q1818" s="30">
        <f>IF(OR(H1818&lt;&gt;"Realizado",P1818="",P1818=0),"",A1818+P1818)</f>
        <v/>
      </c>
      <c r="R1818" s="26">
        <f>IF(Q1818="","",IF(COUNTIFS($E$5:$E$3004,E1818,$A$5:$A$3004,"&gt;"&amp;A1818,$H$5:$H$3004,"&lt;&gt;Falta",$H$5:$H$3004,"&lt;&gt;Cancelado",$H$5:$H$3004,"&lt;&gt;Remarcado")&gt;0,"Sim","Não"))</f>
        <v/>
      </c>
      <c r="S1818" s="32">
        <f>IF(R1818&lt;&gt;"Não","",IF(Q1818+Config!$B$9&lt;=Config!$B$8,Config!$B$8-Q1818,""))</f>
        <v/>
      </c>
      <c r="T1818" s="26">
        <f>IF(S1818="","","Sim")</f>
        <v/>
      </c>
      <c r="U1818" s="41">
        <f>IF(T1818="Sim",S1818+ROW()/100000,0)</f>
        <v>0</v>
      </c>
      <c r="V1818" s="41">
        <f>IF(AND(H1818="Falta",L1818=Config!$B$7,M1818=Config!$B$5,COUNTIFS($E$5:E1818,E1818,$H$5:H1818,"Falta",$L$5:L1818,Config!$B$7,$M$5:M1818,Config!$B$5)=1),COUNTIFS($E$5:$E$3004,E1818,$H$5:$H$3004,"Falta",$L$5:$L$3004,Config!$B$7,$M$5:$M$3004,Config!$B$5)*1000-ROW()/100000,0)</f>
        <v>0</v>
      </c>
    </row>
    <row r="1819">
      <c r="A1819" s="39" t="n"/>
      <c r="B1819" s="40" t="n"/>
      <c r="C1819" s="35" t="n"/>
      <c r="D1819" s="35" t="n"/>
      <c r="E1819" s="34" t="n"/>
      <c r="F1819" s="35" t="n"/>
      <c r="G1819" s="35" t="n"/>
      <c r="H1819" s="35" t="n"/>
      <c r="I1819" s="35" t="n"/>
      <c r="J1819" s="35" t="n"/>
      <c r="K1819" s="34" t="n"/>
      <c r="L1819" s="26">
        <f>IF(A1819="","",MONTH(A1819))</f>
        <v/>
      </c>
      <c r="M1819" s="26">
        <f>IF(A1819="","",YEAR(A1819))</f>
        <v/>
      </c>
      <c r="N1819" s="26">
        <f>IF(A1819="","",CHOOSE(WEEKDAY(A1819,2),"Segunda","Terça","Quarta","Quinta","Sexta","Sábado","Domingo"))</f>
        <v/>
      </c>
      <c r="O1819" s="26">
        <f>IF(B1819="","",IF(B1819&lt;TIME(12,0,0),"Manhã",IF(B1819&lt;TIME(18,0,0),"Tarde","Noite")))</f>
        <v/>
      </c>
      <c r="P1819" s="32">
        <f>IF(G1819="","",IFERROR(INDEX(Config!$I$5:$I$16,MATCH(G1819,Config!$H$5:$H$16,0)),0))</f>
        <v/>
      </c>
      <c r="Q1819" s="30">
        <f>IF(OR(H1819&lt;&gt;"Realizado",P1819="",P1819=0),"",A1819+P1819)</f>
        <v/>
      </c>
      <c r="R1819" s="26">
        <f>IF(Q1819="","",IF(COUNTIFS($E$5:$E$3004,E1819,$A$5:$A$3004,"&gt;"&amp;A1819,$H$5:$H$3004,"&lt;&gt;Falta",$H$5:$H$3004,"&lt;&gt;Cancelado",$H$5:$H$3004,"&lt;&gt;Remarcado")&gt;0,"Sim","Não"))</f>
        <v/>
      </c>
      <c r="S1819" s="32">
        <f>IF(R1819&lt;&gt;"Não","",IF(Q1819+Config!$B$9&lt;=Config!$B$8,Config!$B$8-Q1819,""))</f>
        <v/>
      </c>
      <c r="T1819" s="26">
        <f>IF(S1819="","","Sim")</f>
        <v/>
      </c>
      <c r="U1819" s="41">
        <f>IF(T1819="Sim",S1819+ROW()/100000,0)</f>
        <v>0</v>
      </c>
      <c r="V1819" s="41">
        <f>IF(AND(H1819="Falta",L1819=Config!$B$7,M1819=Config!$B$5,COUNTIFS($E$5:E1819,E1819,$H$5:H1819,"Falta",$L$5:L1819,Config!$B$7,$M$5:M1819,Config!$B$5)=1),COUNTIFS($E$5:$E$3004,E1819,$H$5:$H$3004,"Falta",$L$5:$L$3004,Config!$B$7,$M$5:$M$3004,Config!$B$5)*1000-ROW()/100000,0)</f>
        <v>0</v>
      </c>
    </row>
    <row r="1820">
      <c r="A1820" s="39" t="n"/>
      <c r="B1820" s="40" t="n"/>
      <c r="C1820" s="35" t="n"/>
      <c r="D1820" s="35" t="n"/>
      <c r="E1820" s="34" t="n"/>
      <c r="F1820" s="35" t="n"/>
      <c r="G1820" s="35" t="n"/>
      <c r="H1820" s="35" t="n"/>
      <c r="I1820" s="35" t="n"/>
      <c r="J1820" s="35" t="n"/>
      <c r="K1820" s="34" t="n"/>
      <c r="L1820" s="26">
        <f>IF(A1820="","",MONTH(A1820))</f>
        <v/>
      </c>
      <c r="M1820" s="26">
        <f>IF(A1820="","",YEAR(A1820))</f>
        <v/>
      </c>
      <c r="N1820" s="26">
        <f>IF(A1820="","",CHOOSE(WEEKDAY(A1820,2),"Segunda","Terça","Quarta","Quinta","Sexta","Sábado","Domingo"))</f>
        <v/>
      </c>
      <c r="O1820" s="26">
        <f>IF(B1820="","",IF(B1820&lt;TIME(12,0,0),"Manhã",IF(B1820&lt;TIME(18,0,0),"Tarde","Noite")))</f>
        <v/>
      </c>
      <c r="P1820" s="32">
        <f>IF(G1820="","",IFERROR(INDEX(Config!$I$5:$I$16,MATCH(G1820,Config!$H$5:$H$16,0)),0))</f>
        <v/>
      </c>
      <c r="Q1820" s="30">
        <f>IF(OR(H1820&lt;&gt;"Realizado",P1820="",P1820=0),"",A1820+P1820)</f>
        <v/>
      </c>
      <c r="R1820" s="26">
        <f>IF(Q1820="","",IF(COUNTIFS($E$5:$E$3004,E1820,$A$5:$A$3004,"&gt;"&amp;A1820,$H$5:$H$3004,"&lt;&gt;Falta",$H$5:$H$3004,"&lt;&gt;Cancelado",$H$5:$H$3004,"&lt;&gt;Remarcado")&gt;0,"Sim","Não"))</f>
        <v/>
      </c>
      <c r="S1820" s="32">
        <f>IF(R1820&lt;&gt;"Não","",IF(Q1820+Config!$B$9&lt;=Config!$B$8,Config!$B$8-Q1820,""))</f>
        <v/>
      </c>
      <c r="T1820" s="26">
        <f>IF(S1820="","","Sim")</f>
        <v/>
      </c>
      <c r="U1820" s="41">
        <f>IF(T1820="Sim",S1820+ROW()/100000,0)</f>
        <v>0</v>
      </c>
      <c r="V1820" s="41">
        <f>IF(AND(H1820="Falta",L1820=Config!$B$7,M1820=Config!$B$5,COUNTIFS($E$5:E1820,E1820,$H$5:H1820,"Falta",$L$5:L1820,Config!$B$7,$M$5:M1820,Config!$B$5)=1),COUNTIFS($E$5:$E$3004,E1820,$H$5:$H$3004,"Falta",$L$5:$L$3004,Config!$B$7,$M$5:$M$3004,Config!$B$5)*1000-ROW()/100000,0)</f>
        <v>0</v>
      </c>
    </row>
    <row r="1821">
      <c r="A1821" s="39" t="n"/>
      <c r="B1821" s="40" t="n"/>
      <c r="C1821" s="35" t="n"/>
      <c r="D1821" s="35" t="n"/>
      <c r="E1821" s="34" t="n"/>
      <c r="F1821" s="35" t="n"/>
      <c r="G1821" s="35" t="n"/>
      <c r="H1821" s="35" t="n"/>
      <c r="I1821" s="35" t="n"/>
      <c r="J1821" s="35" t="n"/>
      <c r="K1821" s="34" t="n"/>
      <c r="L1821" s="26">
        <f>IF(A1821="","",MONTH(A1821))</f>
        <v/>
      </c>
      <c r="M1821" s="26">
        <f>IF(A1821="","",YEAR(A1821))</f>
        <v/>
      </c>
      <c r="N1821" s="26">
        <f>IF(A1821="","",CHOOSE(WEEKDAY(A1821,2),"Segunda","Terça","Quarta","Quinta","Sexta","Sábado","Domingo"))</f>
        <v/>
      </c>
      <c r="O1821" s="26">
        <f>IF(B1821="","",IF(B1821&lt;TIME(12,0,0),"Manhã",IF(B1821&lt;TIME(18,0,0),"Tarde","Noite")))</f>
        <v/>
      </c>
      <c r="P1821" s="32">
        <f>IF(G1821="","",IFERROR(INDEX(Config!$I$5:$I$16,MATCH(G1821,Config!$H$5:$H$16,0)),0))</f>
        <v/>
      </c>
      <c r="Q1821" s="30">
        <f>IF(OR(H1821&lt;&gt;"Realizado",P1821="",P1821=0),"",A1821+P1821)</f>
        <v/>
      </c>
      <c r="R1821" s="26">
        <f>IF(Q1821="","",IF(COUNTIFS($E$5:$E$3004,E1821,$A$5:$A$3004,"&gt;"&amp;A1821,$H$5:$H$3004,"&lt;&gt;Falta",$H$5:$H$3004,"&lt;&gt;Cancelado",$H$5:$H$3004,"&lt;&gt;Remarcado")&gt;0,"Sim","Não"))</f>
        <v/>
      </c>
      <c r="S1821" s="32">
        <f>IF(R1821&lt;&gt;"Não","",IF(Q1821+Config!$B$9&lt;=Config!$B$8,Config!$B$8-Q1821,""))</f>
        <v/>
      </c>
      <c r="T1821" s="26">
        <f>IF(S1821="","","Sim")</f>
        <v/>
      </c>
      <c r="U1821" s="41">
        <f>IF(T1821="Sim",S1821+ROW()/100000,0)</f>
        <v>0</v>
      </c>
      <c r="V1821" s="41">
        <f>IF(AND(H1821="Falta",L1821=Config!$B$7,M1821=Config!$B$5,COUNTIFS($E$5:E1821,E1821,$H$5:H1821,"Falta",$L$5:L1821,Config!$B$7,$M$5:M1821,Config!$B$5)=1),COUNTIFS($E$5:$E$3004,E1821,$H$5:$H$3004,"Falta",$L$5:$L$3004,Config!$B$7,$M$5:$M$3004,Config!$B$5)*1000-ROW()/100000,0)</f>
        <v>0</v>
      </c>
    </row>
    <row r="1822">
      <c r="A1822" s="39" t="n"/>
      <c r="B1822" s="40" t="n"/>
      <c r="C1822" s="35" t="n"/>
      <c r="D1822" s="35" t="n"/>
      <c r="E1822" s="34" t="n"/>
      <c r="F1822" s="35" t="n"/>
      <c r="G1822" s="35" t="n"/>
      <c r="H1822" s="35" t="n"/>
      <c r="I1822" s="35" t="n"/>
      <c r="J1822" s="35" t="n"/>
      <c r="K1822" s="34" t="n"/>
      <c r="L1822" s="26">
        <f>IF(A1822="","",MONTH(A1822))</f>
        <v/>
      </c>
      <c r="M1822" s="26">
        <f>IF(A1822="","",YEAR(A1822))</f>
        <v/>
      </c>
      <c r="N1822" s="26">
        <f>IF(A1822="","",CHOOSE(WEEKDAY(A1822,2),"Segunda","Terça","Quarta","Quinta","Sexta","Sábado","Domingo"))</f>
        <v/>
      </c>
      <c r="O1822" s="26">
        <f>IF(B1822="","",IF(B1822&lt;TIME(12,0,0),"Manhã",IF(B1822&lt;TIME(18,0,0),"Tarde","Noite")))</f>
        <v/>
      </c>
      <c r="P1822" s="32">
        <f>IF(G1822="","",IFERROR(INDEX(Config!$I$5:$I$16,MATCH(G1822,Config!$H$5:$H$16,0)),0))</f>
        <v/>
      </c>
      <c r="Q1822" s="30">
        <f>IF(OR(H1822&lt;&gt;"Realizado",P1822="",P1822=0),"",A1822+P1822)</f>
        <v/>
      </c>
      <c r="R1822" s="26">
        <f>IF(Q1822="","",IF(COUNTIFS($E$5:$E$3004,E1822,$A$5:$A$3004,"&gt;"&amp;A1822,$H$5:$H$3004,"&lt;&gt;Falta",$H$5:$H$3004,"&lt;&gt;Cancelado",$H$5:$H$3004,"&lt;&gt;Remarcado")&gt;0,"Sim","Não"))</f>
        <v/>
      </c>
      <c r="S1822" s="32">
        <f>IF(R1822&lt;&gt;"Não","",IF(Q1822+Config!$B$9&lt;=Config!$B$8,Config!$B$8-Q1822,""))</f>
        <v/>
      </c>
      <c r="T1822" s="26">
        <f>IF(S1822="","","Sim")</f>
        <v/>
      </c>
      <c r="U1822" s="41">
        <f>IF(T1822="Sim",S1822+ROW()/100000,0)</f>
        <v>0</v>
      </c>
      <c r="V1822" s="41">
        <f>IF(AND(H1822="Falta",L1822=Config!$B$7,M1822=Config!$B$5,COUNTIFS($E$5:E1822,E1822,$H$5:H1822,"Falta",$L$5:L1822,Config!$B$7,$M$5:M1822,Config!$B$5)=1),COUNTIFS($E$5:$E$3004,E1822,$H$5:$H$3004,"Falta",$L$5:$L$3004,Config!$B$7,$M$5:$M$3004,Config!$B$5)*1000-ROW()/100000,0)</f>
        <v>0</v>
      </c>
    </row>
    <row r="1823">
      <c r="A1823" s="39" t="n"/>
      <c r="B1823" s="40" t="n"/>
      <c r="C1823" s="35" t="n"/>
      <c r="D1823" s="35" t="n"/>
      <c r="E1823" s="34" t="n"/>
      <c r="F1823" s="35" t="n"/>
      <c r="G1823" s="35" t="n"/>
      <c r="H1823" s="35" t="n"/>
      <c r="I1823" s="35" t="n"/>
      <c r="J1823" s="35" t="n"/>
      <c r="K1823" s="34" t="n"/>
      <c r="L1823" s="26">
        <f>IF(A1823="","",MONTH(A1823))</f>
        <v/>
      </c>
      <c r="M1823" s="26">
        <f>IF(A1823="","",YEAR(A1823))</f>
        <v/>
      </c>
      <c r="N1823" s="26">
        <f>IF(A1823="","",CHOOSE(WEEKDAY(A1823,2),"Segunda","Terça","Quarta","Quinta","Sexta","Sábado","Domingo"))</f>
        <v/>
      </c>
      <c r="O1823" s="26">
        <f>IF(B1823="","",IF(B1823&lt;TIME(12,0,0),"Manhã",IF(B1823&lt;TIME(18,0,0),"Tarde","Noite")))</f>
        <v/>
      </c>
      <c r="P1823" s="32">
        <f>IF(G1823="","",IFERROR(INDEX(Config!$I$5:$I$16,MATCH(G1823,Config!$H$5:$H$16,0)),0))</f>
        <v/>
      </c>
      <c r="Q1823" s="30">
        <f>IF(OR(H1823&lt;&gt;"Realizado",P1823="",P1823=0),"",A1823+P1823)</f>
        <v/>
      </c>
      <c r="R1823" s="26">
        <f>IF(Q1823="","",IF(COUNTIFS($E$5:$E$3004,E1823,$A$5:$A$3004,"&gt;"&amp;A1823,$H$5:$H$3004,"&lt;&gt;Falta",$H$5:$H$3004,"&lt;&gt;Cancelado",$H$5:$H$3004,"&lt;&gt;Remarcado")&gt;0,"Sim","Não"))</f>
        <v/>
      </c>
      <c r="S1823" s="32">
        <f>IF(R1823&lt;&gt;"Não","",IF(Q1823+Config!$B$9&lt;=Config!$B$8,Config!$B$8-Q1823,""))</f>
        <v/>
      </c>
      <c r="T1823" s="26">
        <f>IF(S1823="","","Sim")</f>
        <v/>
      </c>
      <c r="U1823" s="41">
        <f>IF(T1823="Sim",S1823+ROW()/100000,0)</f>
        <v>0</v>
      </c>
      <c r="V1823" s="41">
        <f>IF(AND(H1823="Falta",L1823=Config!$B$7,M1823=Config!$B$5,COUNTIFS($E$5:E1823,E1823,$H$5:H1823,"Falta",$L$5:L1823,Config!$B$7,$M$5:M1823,Config!$B$5)=1),COUNTIFS($E$5:$E$3004,E1823,$H$5:$H$3004,"Falta",$L$5:$L$3004,Config!$B$7,$M$5:$M$3004,Config!$B$5)*1000-ROW()/100000,0)</f>
        <v>0</v>
      </c>
    </row>
    <row r="1824">
      <c r="A1824" s="39" t="n"/>
      <c r="B1824" s="40" t="n"/>
      <c r="C1824" s="35" t="n"/>
      <c r="D1824" s="35" t="n"/>
      <c r="E1824" s="34" t="n"/>
      <c r="F1824" s="35" t="n"/>
      <c r="G1824" s="35" t="n"/>
      <c r="H1824" s="35" t="n"/>
      <c r="I1824" s="35" t="n"/>
      <c r="J1824" s="35" t="n"/>
      <c r="K1824" s="34" t="n"/>
      <c r="L1824" s="26">
        <f>IF(A1824="","",MONTH(A1824))</f>
        <v/>
      </c>
      <c r="M1824" s="26">
        <f>IF(A1824="","",YEAR(A1824))</f>
        <v/>
      </c>
      <c r="N1824" s="26">
        <f>IF(A1824="","",CHOOSE(WEEKDAY(A1824,2),"Segunda","Terça","Quarta","Quinta","Sexta","Sábado","Domingo"))</f>
        <v/>
      </c>
      <c r="O1824" s="26">
        <f>IF(B1824="","",IF(B1824&lt;TIME(12,0,0),"Manhã",IF(B1824&lt;TIME(18,0,0),"Tarde","Noite")))</f>
        <v/>
      </c>
      <c r="P1824" s="32">
        <f>IF(G1824="","",IFERROR(INDEX(Config!$I$5:$I$16,MATCH(G1824,Config!$H$5:$H$16,0)),0))</f>
        <v/>
      </c>
      <c r="Q1824" s="30">
        <f>IF(OR(H1824&lt;&gt;"Realizado",P1824="",P1824=0),"",A1824+P1824)</f>
        <v/>
      </c>
      <c r="R1824" s="26">
        <f>IF(Q1824="","",IF(COUNTIFS($E$5:$E$3004,E1824,$A$5:$A$3004,"&gt;"&amp;A1824,$H$5:$H$3004,"&lt;&gt;Falta",$H$5:$H$3004,"&lt;&gt;Cancelado",$H$5:$H$3004,"&lt;&gt;Remarcado")&gt;0,"Sim","Não"))</f>
        <v/>
      </c>
      <c r="S1824" s="32">
        <f>IF(R1824&lt;&gt;"Não","",IF(Q1824+Config!$B$9&lt;=Config!$B$8,Config!$B$8-Q1824,""))</f>
        <v/>
      </c>
      <c r="T1824" s="26">
        <f>IF(S1824="","","Sim")</f>
        <v/>
      </c>
      <c r="U1824" s="41">
        <f>IF(T1824="Sim",S1824+ROW()/100000,0)</f>
        <v>0</v>
      </c>
      <c r="V1824" s="41">
        <f>IF(AND(H1824="Falta",L1824=Config!$B$7,M1824=Config!$B$5,COUNTIFS($E$5:E1824,E1824,$H$5:H1824,"Falta",$L$5:L1824,Config!$B$7,$M$5:M1824,Config!$B$5)=1),COUNTIFS($E$5:$E$3004,E1824,$H$5:$H$3004,"Falta",$L$5:$L$3004,Config!$B$7,$M$5:$M$3004,Config!$B$5)*1000-ROW()/100000,0)</f>
        <v>0</v>
      </c>
    </row>
    <row r="1825">
      <c r="A1825" s="39" t="n"/>
      <c r="B1825" s="40" t="n"/>
      <c r="C1825" s="35" t="n"/>
      <c r="D1825" s="35" t="n"/>
      <c r="E1825" s="34" t="n"/>
      <c r="F1825" s="35" t="n"/>
      <c r="G1825" s="35" t="n"/>
      <c r="H1825" s="35" t="n"/>
      <c r="I1825" s="35" t="n"/>
      <c r="J1825" s="35" t="n"/>
      <c r="K1825" s="34" t="n"/>
      <c r="L1825" s="26">
        <f>IF(A1825="","",MONTH(A1825))</f>
        <v/>
      </c>
      <c r="M1825" s="26">
        <f>IF(A1825="","",YEAR(A1825))</f>
        <v/>
      </c>
      <c r="N1825" s="26">
        <f>IF(A1825="","",CHOOSE(WEEKDAY(A1825,2),"Segunda","Terça","Quarta","Quinta","Sexta","Sábado","Domingo"))</f>
        <v/>
      </c>
      <c r="O1825" s="26">
        <f>IF(B1825="","",IF(B1825&lt;TIME(12,0,0),"Manhã",IF(B1825&lt;TIME(18,0,0),"Tarde","Noite")))</f>
        <v/>
      </c>
      <c r="P1825" s="32">
        <f>IF(G1825="","",IFERROR(INDEX(Config!$I$5:$I$16,MATCH(G1825,Config!$H$5:$H$16,0)),0))</f>
        <v/>
      </c>
      <c r="Q1825" s="30">
        <f>IF(OR(H1825&lt;&gt;"Realizado",P1825="",P1825=0),"",A1825+P1825)</f>
        <v/>
      </c>
      <c r="R1825" s="26">
        <f>IF(Q1825="","",IF(COUNTIFS($E$5:$E$3004,E1825,$A$5:$A$3004,"&gt;"&amp;A1825,$H$5:$H$3004,"&lt;&gt;Falta",$H$5:$H$3004,"&lt;&gt;Cancelado",$H$5:$H$3004,"&lt;&gt;Remarcado")&gt;0,"Sim","Não"))</f>
        <v/>
      </c>
      <c r="S1825" s="32">
        <f>IF(R1825&lt;&gt;"Não","",IF(Q1825+Config!$B$9&lt;=Config!$B$8,Config!$B$8-Q1825,""))</f>
        <v/>
      </c>
      <c r="T1825" s="26">
        <f>IF(S1825="","","Sim")</f>
        <v/>
      </c>
      <c r="U1825" s="41">
        <f>IF(T1825="Sim",S1825+ROW()/100000,0)</f>
        <v>0</v>
      </c>
      <c r="V1825" s="41">
        <f>IF(AND(H1825="Falta",L1825=Config!$B$7,M1825=Config!$B$5,COUNTIFS($E$5:E1825,E1825,$H$5:H1825,"Falta",$L$5:L1825,Config!$B$7,$M$5:M1825,Config!$B$5)=1),COUNTIFS($E$5:$E$3004,E1825,$H$5:$H$3004,"Falta",$L$5:$L$3004,Config!$B$7,$M$5:$M$3004,Config!$B$5)*1000-ROW()/100000,0)</f>
        <v>0</v>
      </c>
    </row>
    <row r="1826">
      <c r="A1826" s="39" t="n"/>
      <c r="B1826" s="40" t="n"/>
      <c r="C1826" s="35" t="n"/>
      <c r="D1826" s="35" t="n"/>
      <c r="E1826" s="34" t="n"/>
      <c r="F1826" s="35" t="n"/>
      <c r="G1826" s="35" t="n"/>
      <c r="H1826" s="35" t="n"/>
      <c r="I1826" s="35" t="n"/>
      <c r="J1826" s="35" t="n"/>
      <c r="K1826" s="34" t="n"/>
      <c r="L1826" s="26">
        <f>IF(A1826="","",MONTH(A1826))</f>
        <v/>
      </c>
      <c r="M1826" s="26">
        <f>IF(A1826="","",YEAR(A1826))</f>
        <v/>
      </c>
      <c r="N1826" s="26">
        <f>IF(A1826="","",CHOOSE(WEEKDAY(A1826,2),"Segunda","Terça","Quarta","Quinta","Sexta","Sábado","Domingo"))</f>
        <v/>
      </c>
      <c r="O1826" s="26">
        <f>IF(B1826="","",IF(B1826&lt;TIME(12,0,0),"Manhã",IF(B1826&lt;TIME(18,0,0),"Tarde","Noite")))</f>
        <v/>
      </c>
      <c r="P1826" s="32">
        <f>IF(G1826="","",IFERROR(INDEX(Config!$I$5:$I$16,MATCH(G1826,Config!$H$5:$H$16,0)),0))</f>
        <v/>
      </c>
      <c r="Q1826" s="30">
        <f>IF(OR(H1826&lt;&gt;"Realizado",P1826="",P1826=0),"",A1826+P1826)</f>
        <v/>
      </c>
      <c r="R1826" s="26">
        <f>IF(Q1826="","",IF(COUNTIFS($E$5:$E$3004,E1826,$A$5:$A$3004,"&gt;"&amp;A1826,$H$5:$H$3004,"&lt;&gt;Falta",$H$5:$H$3004,"&lt;&gt;Cancelado",$H$5:$H$3004,"&lt;&gt;Remarcado")&gt;0,"Sim","Não"))</f>
        <v/>
      </c>
      <c r="S1826" s="32">
        <f>IF(R1826&lt;&gt;"Não","",IF(Q1826+Config!$B$9&lt;=Config!$B$8,Config!$B$8-Q1826,""))</f>
        <v/>
      </c>
      <c r="T1826" s="26">
        <f>IF(S1826="","","Sim")</f>
        <v/>
      </c>
      <c r="U1826" s="41">
        <f>IF(T1826="Sim",S1826+ROW()/100000,0)</f>
        <v>0</v>
      </c>
      <c r="V1826" s="41">
        <f>IF(AND(H1826="Falta",L1826=Config!$B$7,M1826=Config!$B$5,COUNTIFS($E$5:E1826,E1826,$H$5:H1826,"Falta",$L$5:L1826,Config!$B$7,$M$5:M1826,Config!$B$5)=1),COUNTIFS($E$5:$E$3004,E1826,$H$5:$H$3004,"Falta",$L$5:$L$3004,Config!$B$7,$M$5:$M$3004,Config!$B$5)*1000-ROW()/100000,0)</f>
        <v>0</v>
      </c>
    </row>
    <row r="1827">
      <c r="A1827" s="39" t="n"/>
      <c r="B1827" s="40" t="n"/>
      <c r="C1827" s="35" t="n"/>
      <c r="D1827" s="35" t="n"/>
      <c r="E1827" s="34" t="n"/>
      <c r="F1827" s="35" t="n"/>
      <c r="G1827" s="35" t="n"/>
      <c r="H1827" s="35" t="n"/>
      <c r="I1827" s="35" t="n"/>
      <c r="J1827" s="35" t="n"/>
      <c r="K1827" s="34" t="n"/>
      <c r="L1827" s="26">
        <f>IF(A1827="","",MONTH(A1827))</f>
        <v/>
      </c>
      <c r="M1827" s="26">
        <f>IF(A1827="","",YEAR(A1827))</f>
        <v/>
      </c>
      <c r="N1827" s="26">
        <f>IF(A1827="","",CHOOSE(WEEKDAY(A1827,2),"Segunda","Terça","Quarta","Quinta","Sexta","Sábado","Domingo"))</f>
        <v/>
      </c>
      <c r="O1827" s="26">
        <f>IF(B1827="","",IF(B1827&lt;TIME(12,0,0),"Manhã",IF(B1827&lt;TIME(18,0,0),"Tarde","Noite")))</f>
        <v/>
      </c>
      <c r="P1827" s="32">
        <f>IF(G1827="","",IFERROR(INDEX(Config!$I$5:$I$16,MATCH(G1827,Config!$H$5:$H$16,0)),0))</f>
        <v/>
      </c>
      <c r="Q1827" s="30">
        <f>IF(OR(H1827&lt;&gt;"Realizado",P1827="",P1827=0),"",A1827+P1827)</f>
        <v/>
      </c>
      <c r="R1827" s="26">
        <f>IF(Q1827="","",IF(COUNTIFS($E$5:$E$3004,E1827,$A$5:$A$3004,"&gt;"&amp;A1827,$H$5:$H$3004,"&lt;&gt;Falta",$H$5:$H$3004,"&lt;&gt;Cancelado",$H$5:$H$3004,"&lt;&gt;Remarcado")&gt;0,"Sim","Não"))</f>
        <v/>
      </c>
      <c r="S1827" s="32">
        <f>IF(R1827&lt;&gt;"Não","",IF(Q1827+Config!$B$9&lt;=Config!$B$8,Config!$B$8-Q1827,""))</f>
        <v/>
      </c>
      <c r="T1827" s="26">
        <f>IF(S1827="","","Sim")</f>
        <v/>
      </c>
      <c r="U1827" s="41">
        <f>IF(T1827="Sim",S1827+ROW()/100000,0)</f>
        <v>0</v>
      </c>
      <c r="V1827" s="41">
        <f>IF(AND(H1827="Falta",L1827=Config!$B$7,M1827=Config!$B$5,COUNTIFS($E$5:E1827,E1827,$H$5:H1827,"Falta",$L$5:L1827,Config!$B$7,$M$5:M1827,Config!$B$5)=1),COUNTIFS($E$5:$E$3004,E1827,$H$5:$H$3004,"Falta",$L$5:$L$3004,Config!$B$7,$M$5:$M$3004,Config!$B$5)*1000-ROW()/100000,0)</f>
        <v>0</v>
      </c>
    </row>
    <row r="1828">
      <c r="A1828" s="39" t="n"/>
      <c r="B1828" s="40" t="n"/>
      <c r="C1828" s="35" t="n"/>
      <c r="D1828" s="35" t="n"/>
      <c r="E1828" s="34" t="n"/>
      <c r="F1828" s="35" t="n"/>
      <c r="G1828" s="35" t="n"/>
      <c r="H1828" s="35" t="n"/>
      <c r="I1828" s="35" t="n"/>
      <c r="J1828" s="35" t="n"/>
      <c r="K1828" s="34" t="n"/>
      <c r="L1828" s="26">
        <f>IF(A1828="","",MONTH(A1828))</f>
        <v/>
      </c>
      <c r="M1828" s="26">
        <f>IF(A1828="","",YEAR(A1828))</f>
        <v/>
      </c>
      <c r="N1828" s="26">
        <f>IF(A1828="","",CHOOSE(WEEKDAY(A1828,2),"Segunda","Terça","Quarta","Quinta","Sexta","Sábado","Domingo"))</f>
        <v/>
      </c>
      <c r="O1828" s="26">
        <f>IF(B1828="","",IF(B1828&lt;TIME(12,0,0),"Manhã",IF(B1828&lt;TIME(18,0,0),"Tarde","Noite")))</f>
        <v/>
      </c>
      <c r="P1828" s="32">
        <f>IF(G1828="","",IFERROR(INDEX(Config!$I$5:$I$16,MATCH(G1828,Config!$H$5:$H$16,0)),0))</f>
        <v/>
      </c>
      <c r="Q1828" s="30">
        <f>IF(OR(H1828&lt;&gt;"Realizado",P1828="",P1828=0),"",A1828+P1828)</f>
        <v/>
      </c>
      <c r="R1828" s="26">
        <f>IF(Q1828="","",IF(COUNTIFS($E$5:$E$3004,E1828,$A$5:$A$3004,"&gt;"&amp;A1828,$H$5:$H$3004,"&lt;&gt;Falta",$H$5:$H$3004,"&lt;&gt;Cancelado",$H$5:$H$3004,"&lt;&gt;Remarcado")&gt;0,"Sim","Não"))</f>
        <v/>
      </c>
      <c r="S1828" s="32">
        <f>IF(R1828&lt;&gt;"Não","",IF(Q1828+Config!$B$9&lt;=Config!$B$8,Config!$B$8-Q1828,""))</f>
        <v/>
      </c>
      <c r="T1828" s="26">
        <f>IF(S1828="","","Sim")</f>
        <v/>
      </c>
      <c r="U1828" s="41">
        <f>IF(T1828="Sim",S1828+ROW()/100000,0)</f>
        <v>0</v>
      </c>
      <c r="V1828" s="41">
        <f>IF(AND(H1828="Falta",L1828=Config!$B$7,M1828=Config!$B$5,COUNTIFS($E$5:E1828,E1828,$H$5:H1828,"Falta",$L$5:L1828,Config!$B$7,$M$5:M1828,Config!$B$5)=1),COUNTIFS($E$5:$E$3004,E1828,$H$5:$H$3004,"Falta",$L$5:$L$3004,Config!$B$7,$M$5:$M$3004,Config!$B$5)*1000-ROW()/100000,0)</f>
        <v>0</v>
      </c>
    </row>
    <row r="1829">
      <c r="A1829" s="39" t="n"/>
      <c r="B1829" s="40" t="n"/>
      <c r="C1829" s="35" t="n"/>
      <c r="D1829" s="35" t="n"/>
      <c r="E1829" s="34" t="n"/>
      <c r="F1829" s="35" t="n"/>
      <c r="G1829" s="35" t="n"/>
      <c r="H1829" s="35" t="n"/>
      <c r="I1829" s="35" t="n"/>
      <c r="J1829" s="35" t="n"/>
      <c r="K1829" s="34" t="n"/>
      <c r="L1829" s="26">
        <f>IF(A1829="","",MONTH(A1829))</f>
        <v/>
      </c>
      <c r="M1829" s="26">
        <f>IF(A1829="","",YEAR(A1829))</f>
        <v/>
      </c>
      <c r="N1829" s="26">
        <f>IF(A1829="","",CHOOSE(WEEKDAY(A1829,2),"Segunda","Terça","Quarta","Quinta","Sexta","Sábado","Domingo"))</f>
        <v/>
      </c>
      <c r="O1829" s="26">
        <f>IF(B1829="","",IF(B1829&lt;TIME(12,0,0),"Manhã",IF(B1829&lt;TIME(18,0,0),"Tarde","Noite")))</f>
        <v/>
      </c>
      <c r="P1829" s="32">
        <f>IF(G1829="","",IFERROR(INDEX(Config!$I$5:$I$16,MATCH(G1829,Config!$H$5:$H$16,0)),0))</f>
        <v/>
      </c>
      <c r="Q1829" s="30">
        <f>IF(OR(H1829&lt;&gt;"Realizado",P1829="",P1829=0),"",A1829+P1829)</f>
        <v/>
      </c>
      <c r="R1829" s="26">
        <f>IF(Q1829="","",IF(COUNTIFS($E$5:$E$3004,E1829,$A$5:$A$3004,"&gt;"&amp;A1829,$H$5:$H$3004,"&lt;&gt;Falta",$H$5:$H$3004,"&lt;&gt;Cancelado",$H$5:$H$3004,"&lt;&gt;Remarcado")&gt;0,"Sim","Não"))</f>
        <v/>
      </c>
      <c r="S1829" s="32">
        <f>IF(R1829&lt;&gt;"Não","",IF(Q1829+Config!$B$9&lt;=Config!$B$8,Config!$B$8-Q1829,""))</f>
        <v/>
      </c>
      <c r="T1829" s="26">
        <f>IF(S1829="","","Sim")</f>
        <v/>
      </c>
      <c r="U1829" s="41">
        <f>IF(T1829="Sim",S1829+ROW()/100000,0)</f>
        <v>0</v>
      </c>
      <c r="V1829" s="41">
        <f>IF(AND(H1829="Falta",L1829=Config!$B$7,M1829=Config!$B$5,COUNTIFS($E$5:E1829,E1829,$H$5:H1829,"Falta",$L$5:L1829,Config!$B$7,$M$5:M1829,Config!$B$5)=1),COUNTIFS($E$5:$E$3004,E1829,$H$5:$H$3004,"Falta",$L$5:$L$3004,Config!$B$7,$M$5:$M$3004,Config!$B$5)*1000-ROW()/100000,0)</f>
        <v>0</v>
      </c>
    </row>
    <row r="1830">
      <c r="A1830" s="39" t="n"/>
      <c r="B1830" s="40" t="n"/>
      <c r="C1830" s="35" t="n"/>
      <c r="D1830" s="35" t="n"/>
      <c r="E1830" s="34" t="n"/>
      <c r="F1830" s="35" t="n"/>
      <c r="G1830" s="35" t="n"/>
      <c r="H1830" s="35" t="n"/>
      <c r="I1830" s="35" t="n"/>
      <c r="J1830" s="35" t="n"/>
      <c r="K1830" s="34" t="n"/>
      <c r="L1830" s="26">
        <f>IF(A1830="","",MONTH(A1830))</f>
        <v/>
      </c>
      <c r="M1830" s="26">
        <f>IF(A1830="","",YEAR(A1830))</f>
        <v/>
      </c>
      <c r="N1830" s="26">
        <f>IF(A1830="","",CHOOSE(WEEKDAY(A1830,2),"Segunda","Terça","Quarta","Quinta","Sexta","Sábado","Domingo"))</f>
        <v/>
      </c>
      <c r="O1830" s="26">
        <f>IF(B1830="","",IF(B1830&lt;TIME(12,0,0),"Manhã",IF(B1830&lt;TIME(18,0,0),"Tarde","Noite")))</f>
        <v/>
      </c>
      <c r="P1830" s="32">
        <f>IF(G1830="","",IFERROR(INDEX(Config!$I$5:$I$16,MATCH(G1830,Config!$H$5:$H$16,0)),0))</f>
        <v/>
      </c>
      <c r="Q1830" s="30">
        <f>IF(OR(H1830&lt;&gt;"Realizado",P1830="",P1830=0),"",A1830+P1830)</f>
        <v/>
      </c>
      <c r="R1830" s="26">
        <f>IF(Q1830="","",IF(COUNTIFS($E$5:$E$3004,E1830,$A$5:$A$3004,"&gt;"&amp;A1830,$H$5:$H$3004,"&lt;&gt;Falta",$H$5:$H$3004,"&lt;&gt;Cancelado",$H$5:$H$3004,"&lt;&gt;Remarcado")&gt;0,"Sim","Não"))</f>
        <v/>
      </c>
      <c r="S1830" s="32">
        <f>IF(R1830&lt;&gt;"Não","",IF(Q1830+Config!$B$9&lt;=Config!$B$8,Config!$B$8-Q1830,""))</f>
        <v/>
      </c>
      <c r="T1830" s="26">
        <f>IF(S1830="","","Sim")</f>
        <v/>
      </c>
      <c r="U1830" s="41">
        <f>IF(T1830="Sim",S1830+ROW()/100000,0)</f>
        <v>0</v>
      </c>
      <c r="V1830" s="41">
        <f>IF(AND(H1830="Falta",L1830=Config!$B$7,M1830=Config!$B$5,COUNTIFS($E$5:E1830,E1830,$H$5:H1830,"Falta",$L$5:L1830,Config!$B$7,$M$5:M1830,Config!$B$5)=1),COUNTIFS($E$5:$E$3004,E1830,$H$5:$H$3004,"Falta",$L$5:$L$3004,Config!$B$7,$M$5:$M$3004,Config!$B$5)*1000-ROW()/100000,0)</f>
        <v>0</v>
      </c>
    </row>
    <row r="1831">
      <c r="A1831" s="39" t="n"/>
      <c r="B1831" s="40" t="n"/>
      <c r="C1831" s="35" t="n"/>
      <c r="D1831" s="35" t="n"/>
      <c r="E1831" s="34" t="n"/>
      <c r="F1831" s="35" t="n"/>
      <c r="G1831" s="35" t="n"/>
      <c r="H1831" s="35" t="n"/>
      <c r="I1831" s="35" t="n"/>
      <c r="J1831" s="35" t="n"/>
      <c r="K1831" s="34" t="n"/>
      <c r="L1831" s="26">
        <f>IF(A1831="","",MONTH(A1831))</f>
        <v/>
      </c>
      <c r="M1831" s="26">
        <f>IF(A1831="","",YEAR(A1831))</f>
        <v/>
      </c>
      <c r="N1831" s="26">
        <f>IF(A1831="","",CHOOSE(WEEKDAY(A1831,2),"Segunda","Terça","Quarta","Quinta","Sexta","Sábado","Domingo"))</f>
        <v/>
      </c>
      <c r="O1831" s="26">
        <f>IF(B1831="","",IF(B1831&lt;TIME(12,0,0),"Manhã",IF(B1831&lt;TIME(18,0,0),"Tarde","Noite")))</f>
        <v/>
      </c>
      <c r="P1831" s="32">
        <f>IF(G1831="","",IFERROR(INDEX(Config!$I$5:$I$16,MATCH(G1831,Config!$H$5:$H$16,0)),0))</f>
        <v/>
      </c>
      <c r="Q1831" s="30">
        <f>IF(OR(H1831&lt;&gt;"Realizado",P1831="",P1831=0),"",A1831+P1831)</f>
        <v/>
      </c>
      <c r="R1831" s="26">
        <f>IF(Q1831="","",IF(COUNTIFS($E$5:$E$3004,E1831,$A$5:$A$3004,"&gt;"&amp;A1831,$H$5:$H$3004,"&lt;&gt;Falta",$H$5:$H$3004,"&lt;&gt;Cancelado",$H$5:$H$3004,"&lt;&gt;Remarcado")&gt;0,"Sim","Não"))</f>
        <v/>
      </c>
      <c r="S1831" s="32">
        <f>IF(R1831&lt;&gt;"Não","",IF(Q1831+Config!$B$9&lt;=Config!$B$8,Config!$B$8-Q1831,""))</f>
        <v/>
      </c>
      <c r="T1831" s="26">
        <f>IF(S1831="","","Sim")</f>
        <v/>
      </c>
      <c r="U1831" s="41">
        <f>IF(T1831="Sim",S1831+ROW()/100000,0)</f>
        <v>0</v>
      </c>
      <c r="V1831" s="41">
        <f>IF(AND(H1831="Falta",L1831=Config!$B$7,M1831=Config!$B$5,COUNTIFS($E$5:E1831,E1831,$H$5:H1831,"Falta",$L$5:L1831,Config!$B$7,$M$5:M1831,Config!$B$5)=1),COUNTIFS($E$5:$E$3004,E1831,$H$5:$H$3004,"Falta",$L$5:$L$3004,Config!$B$7,$M$5:$M$3004,Config!$B$5)*1000-ROW()/100000,0)</f>
        <v>0</v>
      </c>
    </row>
    <row r="1832">
      <c r="A1832" s="39" t="n"/>
      <c r="B1832" s="40" t="n"/>
      <c r="C1832" s="35" t="n"/>
      <c r="D1832" s="35" t="n"/>
      <c r="E1832" s="34" t="n"/>
      <c r="F1832" s="35" t="n"/>
      <c r="G1832" s="35" t="n"/>
      <c r="H1832" s="35" t="n"/>
      <c r="I1832" s="35" t="n"/>
      <c r="J1832" s="35" t="n"/>
      <c r="K1832" s="34" t="n"/>
      <c r="L1832" s="26">
        <f>IF(A1832="","",MONTH(A1832))</f>
        <v/>
      </c>
      <c r="M1832" s="26">
        <f>IF(A1832="","",YEAR(A1832))</f>
        <v/>
      </c>
      <c r="N1832" s="26">
        <f>IF(A1832="","",CHOOSE(WEEKDAY(A1832,2),"Segunda","Terça","Quarta","Quinta","Sexta","Sábado","Domingo"))</f>
        <v/>
      </c>
      <c r="O1832" s="26">
        <f>IF(B1832="","",IF(B1832&lt;TIME(12,0,0),"Manhã",IF(B1832&lt;TIME(18,0,0),"Tarde","Noite")))</f>
        <v/>
      </c>
      <c r="P1832" s="32">
        <f>IF(G1832="","",IFERROR(INDEX(Config!$I$5:$I$16,MATCH(G1832,Config!$H$5:$H$16,0)),0))</f>
        <v/>
      </c>
      <c r="Q1832" s="30">
        <f>IF(OR(H1832&lt;&gt;"Realizado",P1832="",P1832=0),"",A1832+P1832)</f>
        <v/>
      </c>
      <c r="R1832" s="26">
        <f>IF(Q1832="","",IF(COUNTIFS($E$5:$E$3004,E1832,$A$5:$A$3004,"&gt;"&amp;A1832,$H$5:$H$3004,"&lt;&gt;Falta",$H$5:$H$3004,"&lt;&gt;Cancelado",$H$5:$H$3004,"&lt;&gt;Remarcado")&gt;0,"Sim","Não"))</f>
        <v/>
      </c>
      <c r="S1832" s="32">
        <f>IF(R1832&lt;&gt;"Não","",IF(Q1832+Config!$B$9&lt;=Config!$B$8,Config!$B$8-Q1832,""))</f>
        <v/>
      </c>
      <c r="T1832" s="26">
        <f>IF(S1832="","","Sim")</f>
        <v/>
      </c>
      <c r="U1832" s="41">
        <f>IF(T1832="Sim",S1832+ROW()/100000,0)</f>
        <v>0</v>
      </c>
      <c r="V1832" s="41">
        <f>IF(AND(H1832="Falta",L1832=Config!$B$7,M1832=Config!$B$5,COUNTIFS($E$5:E1832,E1832,$H$5:H1832,"Falta",$L$5:L1832,Config!$B$7,$M$5:M1832,Config!$B$5)=1),COUNTIFS($E$5:$E$3004,E1832,$H$5:$H$3004,"Falta",$L$5:$L$3004,Config!$B$7,$M$5:$M$3004,Config!$B$5)*1000-ROW()/100000,0)</f>
        <v>0</v>
      </c>
    </row>
    <row r="1833">
      <c r="A1833" s="39" t="n"/>
      <c r="B1833" s="40" t="n"/>
      <c r="C1833" s="35" t="n"/>
      <c r="D1833" s="35" t="n"/>
      <c r="E1833" s="34" t="n"/>
      <c r="F1833" s="35" t="n"/>
      <c r="G1833" s="35" t="n"/>
      <c r="H1833" s="35" t="n"/>
      <c r="I1833" s="35" t="n"/>
      <c r="J1833" s="35" t="n"/>
      <c r="K1833" s="34" t="n"/>
      <c r="L1833" s="26">
        <f>IF(A1833="","",MONTH(A1833))</f>
        <v/>
      </c>
      <c r="M1833" s="26">
        <f>IF(A1833="","",YEAR(A1833))</f>
        <v/>
      </c>
      <c r="N1833" s="26">
        <f>IF(A1833="","",CHOOSE(WEEKDAY(A1833,2),"Segunda","Terça","Quarta","Quinta","Sexta","Sábado","Domingo"))</f>
        <v/>
      </c>
      <c r="O1833" s="26">
        <f>IF(B1833="","",IF(B1833&lt;TIME(12,0,0),"Manhã",IF(B1833&lt;TIME(18,0,0),"Tarde","Noite")))</f>
        <v/>
      </c>
      <c r="P1833" s="32">
        <f>IF(G1833="","",IFERROR(INDEX(Config!$I$5:$I$16,MATCH(G1833,Config!$H$5:$H$16,0)),0))</f>
        <v/>
      </c>
      <c r="Q1833" s="30">
        <f>IF(OR(H1833&lt;&gt;"Realizado",P1833="",P1833=0),"",A1833+P1833)</f>
        <v/>
      </c>
      <c r="R1833" s="26">
        <f>IF(Q1833="","",IF(COUNTIFS($E$5:$E$3004,E1833,$A$5:$A$3004,"&gt;"&amp;A1833,$H$5:$H$3004,"&lt;&gt;Falta",$H$5:$H$3004,"&lt;&gt;Cancelado",$H$5:$H$3004,"&lt;&gt;Remarcado")&gt;0,"Sim","Não"))</f>
        <v/>
      </c>
      <c r="S1833" s="32">
        <f>IF(R1833&lt;&gt;"Não","",IF(Q1833+Config!$B$9&lt;=Config!$B$8,Config!$B$8-Q1833,""))</f>
        <v/>
      </c>
      <c r="T1833" s="26">
        <f>IF(S1833="","","Sim")</f>
        <v/>
      </c>
      <c r="U1833" s="41">
        <f>IF(T1833="Sim",S1833+ROW()/100000,0)</f>
        <v>0</v>
      </c>
      <c r="V1833" s="41">
        <f>IF(AND(H1833="Falta",L1833=Config!$B$7,M1833=Config!$B$5,COUNTIFS($E$5:E1833,E1833,$H$5:H1833,"Falta",$L$5:L1833,Config!$B$7,$M$5:M1833,Config!$B$5)=1),COUNTIFS($E$5:$E$3004,E1833,$H$5:$H$3004,"Falta",$L$5:$L$3004,Config!$B$7,$M$5:$M$3004,Config!$B$5)*1000-ROW()/100000,0)</f>
        <v>0</v>
      </c>
    </row>
    <row r="1834">
      <c r="A1834" s="39" t="n"/>
      <c r="B1834" s="40" t="n"/>
      <c r="C1834" s="35" t="n"/>
      <c r="D1834" s="35" t="n"/>
      <c r="E1834" s="34" t="n"/>
      <c r="F1834" s="35" t="n"/>
      <c r="G1834" s="35" t="n"/>
      <c r="H1834" s="35" t="n"/>
      <c r="I1834" s="35" t="n"/>
      <c r="J1834" s="35" t="n"/>
      <c r="K1834" s="34" t="n"/>
      <c r="L1834" s="26">
        <f>IF(A1834="","",MONTH(A1834))</f>
        <v/>
      </c>
      <c r="M1834" s="26">
        <f>IF(A1834="","",YEAR(A1834))</f>
        <v/>
      </c>
      <c r="N1834" s="26">
        <f>IF(A1834="","",CHOOSE(WEEKDAY(A1834,2),"Segunda","Terça","Quarta","Quinta","Sexta","Sábado","Domingo"))</f>
        <v/>
      </c>
      <c r="O1834" s="26">
        <f>IF(B1834="","",IF(B1834&lt;TIME(12,0,0),"Manhã",IF(B1834&lt;TIME(18,0,0),"Tarde","Noite")))</f>
        <v/>
      </c>
      <c r="P1834" s="32">
        <f>IF(G1834="","",IFERROR(INDEX(Config!$I$5:$I$16,MATCH(G1834,Config!$H$5:$H$16,0)),0))</f>
        <v/>
      </c>
      <c r="Q1834" s="30">
        <f>IF(OR(H1834&lt;&gt;"Realizado",P1834="",P1834=0),"",A1834+P1834)</f>
        <v/>
      </c>
      <c r="R1834" s="26">
        <f>IF(Q1834="","",IF(COUNTIFS($E$5:$E$3004,E1834,$A$5:$A$3004,"&gt;"&amp;A1834,$H$5:$H$3004,"&lt;&gt;Falta",$H$5:$H$3004,"&lt;&gt;Cancelado",$H$5:$H$3004,"&lt;&gt;Remarcado")&gt;0,"Sim","Não"))</f>
        <v/>
      </c>
      <c r="S1834" s="32">
        <f>IF(R1834&lt;&gt;"Não","",IF(Q1834+Config!$B$9&lt;=Config!$B$8,Config!$B$8-Q1834,""))</f>
        <v/>
      </c>
      <c r="T1834" s="26">
        <f>IF(S1834="","","Sim")</f>
        <v/>
      </c>
      <c r="U1834" s="41">
        <f>IF(T1834="Sim",S1834+ROW()/100000,0)</f>
        <v>0</v>
      </c>
      <c r="V1834" s="41">
        <f>IF(AND(H1834="Falta",L1834=Config!$B$7,M1834=Config!$B$5,COUNTIFS($E$5:E1834,E1834,$H$5:H1834,"Falta",$L$5:L1834,Config!$B$7,$M$5:M1834,Config!$B$5)=1),COUNTIFS($E$5:$E$3004,E1834,$H$5:$H$3004,"Falta",$L$5:$L$3004,Config!$B$7,$M$5:$M$3004,Config!$B$5)*1000-ROW()/100000,0)</f>
        <v>0</v>
      </c>
    </row>
    <row r="1835">
      <c r="A1835" s="39" t="n"/>
      <c r="B1835" s="40" t="n"/>
      <c r="C1835" s="35" t="n"/>
      <c r="D1835" s="35" t="n"/>
      <c r="E1835" s="34" t="n"/>
      <c r="F1835" s="35" t="n"/>
      <c r="G1835" s="35" t="n"/>
      <c r="H1835" s="35" t="n"/>
      <c r="I1835" s="35" t="n"/>
      <c r="J1835" s="35" t="n"/>
      <c r="K1835" s="34" t="n"/>
      <c r="L1835" s="26">
        <f>IF(A1835="","",MONTH(A1835))</f>
        <v/>
      </c>
      <c r="M1835" s="26">
        <f>IF(A1835="","",YEAR(A1835))</f>
        <v/>
      </c>
      <c r="N1835" s="26">
        <f>IF(A1835="","",CHOOSE(WEEKDAY(A1835,2),"Segunda","Terça","Quarta","Quinta","Sexta","Sábado","Domingo"))</f>
        <v/>
      </c>
      <c r="O1835" s="26">
        <f>IF(B1835="","",IF(B1835&lt;TIME(12,0,0),"Manhã",IF(B1835&lt;TIME(18,0,0),"Tarde","Noite")))</f>
        <v/>
      </c>
      <c r="P1835" s="32">
        <f>IF(G1835="","",IFERROR(INDEX(Config!$I$5:$I$16,MATCH(G1835,Config!$H$5:$H$16,0)),0))</f>
        <v/>
      </c>
      <c r="Q1835" s="30">
        <f>IF(OR(H1835&lt;&gt;"Realizado",P1835="",P1835=0),"",A1835+P1835)</f>
        <v/>
      </c>
      <c r="R1835" s="26">
        <f>IF(Q1835="","",IF(COUNTIFS($E$5:$E$3004,E1835,$A$5:$A$3004,"&gt;"&amp;A1835,$H$5:$H$3004,"&lt;&gt;Falta",$H$5:$H$3004,"&lt;&gt;Cancelado",$H$5:$H$3004,"&lt;&gt;Remarcado")&gt;0,"Sim","Não"))</f>
        <v/>
      </c>
      <c r="S1835" s="32">
        <f>IF(R1835&lt;&gt;"Não","",IF(Q1835+Config!$B$9&lt;=Config!$B$8,Config!$B$8-Q1835,""))</f>
        <v/>
      </c>
      <c r="T1835" s="26">
        <f>IF(S1835="","","Sim")</f>
        <v/>
      </c>
      <c r="U1835" s="41">
        <f>IF(T1835="Sim",S1835+ROW()/100000,0)</f>
        <v>0</v>
      </c>
      <c r="V1835" s="41">
        <f>IF(AND(H1835="Falta",L1835=Config!$B$7,M1835=Config!$B$5,COUNTIFS($E$5:E1835,E1835,$H$5:H1835,"Falta",$L$5:L1835,Config!$B$7,$M$5:M1835,Config!$B$5)=1),COUNTIFS($E$5:$E$3004,E1835,$H$5:$H$3004,"Falta",$L$5:$L$3004,Config!$B$7,$M$5:$M$3004,Config!$B$5)*1000-ROW()/100000,0)</f>
        <v>0</v>
      </c>
    </row>
    <row r="1836">
      <c r="A1836" s="39" t="n"/>
      <c r="B1836" s="40" t="n"/>
      <c r="C1836" s="35" t="n"/>
      <c r="D1836" s="35" t="n"/>
      <c r="E1836" s="34" t="n"/>
      <c r="F1836" s="35" t="n"/>
      <c r="G1836" s="35" t="n"/>
      <c r="H1836" s="35" t="n"/>
      <c r="I1836" s="35" t="n"/>
      <c r="J1836" s="35" t="n"/>
      <c r="K1836" s="34" t="n"/>
      <c r="L1836" s="26">
        <f>IF(A1836="","",MONTH(A1836))</f>
        <v/>
      </c>
      <c r="M1836" s="26">
        <f>IF(A1836="","",YEAR(A1836))</f>
        <v/>
      </c>
      <c r="N1836" s="26">
        <f>IF(A1836="","",CHOOSE(WEEKDAY(A1836,2),"Segunda","Terça","Quarta","Quinta","Sexta","Sábado","Domingo"))</f>
        <v/>
      </c>
      <c r="O1836" s="26">
        <f>IF(B1836="","",IF(B1836&lt;TIME(12,0,0),"Manhã",IF(B1836&lt;TIME(18,0,0),"Tarde","Noite")))</f>
        <v/>
      </c>
      <c r="P1836" s="32">
        <f>IF(G1836="","",IFERROR(INDEX(Config!$I$5:$I$16,MATCH(G1836,Config!$H$5:$H$16,0)),0))</f>
        <v/>
      </c>
      <c r="Q1836" s="30">
        <f>IF(OR(H1836&lt;&gt;"Realizado",P1836="",P1836=0),"",A1836+P1836)</f>
        <v/>
      </c>
      <c r="R1836" s="26">
        <f>IF(Q1836="","",IF(COUNTIFS($E$5:$E$3004,E1836,$A$5:$A$3004,"&gt;"&amp;A1836,$H$5:$H$3004,"&lt;&gt;Falta",$H$5:$H$3004,"&lt;&gt;Cancelado",$H$5:$H$3004,"&lt;&gt;Remarcado")&gt;0,"Sim","Não"))</f>
        <v/>
      </c>
      <c r="S1836" s="32">
        <f>IF(R1836&lt;&gt;"Não","",IF(Q1836+Config!$B$9&lt;=Config!$B$8,Config!$B$8-Q1836,""))</f>
        <v/>
      </c>
      <c r="T1836" s="26">
        <f>IF(S1836="","","Sim")</f>
        <v/>
      </c>
      <c r="U1836" s="41">
        <f>IF(T1836="Sim",S1836+ROW()/100000,0)</f>
        <v>0</v>
      </c>
      <c r="V1836" s="41">
        <f>IF(AND(H1836="Falta",L1836=Config!$B$7,M1836=Config!$B$5,COUNTIFS($E$5:E1836,E1836,$H$5:H1836,"Falta",$L$5:L1836,Config!$B$7,$M$5:M1836,Config!$B$5)=1),COUNTIFS($E$5:$E$3004,E1836,$H$5:$H$3004,"Falta",$L$5:$L$3004,Config!$B$7,$M$5:$M$3004,Config!$B$5)*1000-ROW()/100000,0)</f>
        <v>0</v>
      </c>
    </row>
    <row r="1837">
      <c r="A1837" s="39" t="n"/>
      <c r="B1837" s="40" t="n"/>
      <c r="C1837" s="35" t="n"/>
      <c r="D1837" s="35" t="n"/>
      <c r="E1837" s="34" t="n"/>
      <c r="F1837" s="35" t="n"/>
      <c r="G1837" s="35" t="n"/>
      <c r="H1837" s="35" t="n"/>
      <c r="I1837" s="35" t="n"/>
      <c r="J1837" s="35" t="n"/>
      <c r="K1837" s="34" t="n"/>
      <c r="L1837" s="26">
        <f>IF(A1837="","",MONTH(A1837))</f>
        <v/>
      </c>
      <c r="M1837" s="26">
        <f>IF(A1837="","",YEAR(A1837))</f>
        <v/>
      </c>
      <c r="N1837" s="26">
        <f>IF(A1837="","",CHOOSE(WEEKDAY(A1837,2),"Segunda","Terça","Quarta","Quinta","Sexta","Sábado","Domingo"))</f>
        <v/>
      </c>
      <c r="O1837" s="26">
        <f>IF(B1837="","",IF(B1837&lt;TIME(12,0,0),"Manhã",IF(B1837&lt;TIME(18,0,0),"Tarde","Noite")))</f>
        <v/>
      </c>
      <c r="P1837" s="32">
        <f>IF(G1837="","",IFERROR(INDEX(Config!$I$5:$I$16,MATCH(G1837,Config!$H$5:$H$16,0)),0))</f>
        <v/>
      </c>
      <c r="Q1837" s="30">
        <f>IF(OR(H1837&lt;&gt;"Realizado",P1837="",P1837=0),"",A1837+P1837)</f>
        <v/>
      </c>
      <c r="R1837" s="26">
        <f>IF(Q1837="","",IF(COUNTIFS($E$5:$E$3004,E1837,$A$5:$A$3004,"&gt;"&amp;A1837,$H$5:$H$3004,"&lt;&gt;Falta",$H$5:$H$3004,"&lt;&gt;Cancelado",$H$5:$H$3004,"&lt;&gt;Remarcado")&gt;0,"Sim","Não"))</f>
        <v/>
      </c>
      <c r="S1837" s="32">
        <f>IF(R1837&lt;&gt;"Não","",IF(Q1837+Config!$B$9&lt;=Config!$B$8,Config!$B$8-Q1837,""))</f>
        <v/>
      </c>
      <c r="T1837" s="26">
        <f>IF(S1837="","","Sim")</f>
        <v/>
      </c>
      <c r="U1837" s="41">
        <f>IF(T1837="Sim",S1837+ROW()/100000,0)</f>
        <v>0</v>
      </c>
      <c r="V1837" s="41">
        <f>IF(AND(H1837="Falta",L1837=Config!$B$7,M1837=Config!$B$5,COUNTIFS($E$5:E1837,E1837,$H$5:H1837,"Falta",$L$5:L1837,Config!$B$7,$M$5:M1837,Config!$B$5)=1),COUNTIFS($E$5:$E$3004,E1837,$H$5:$H$3004,"Falta",$L$5:$L$3004,Config!$B$7,$M$5:$M$3004,Config!$B$5)*1000-ROW()/100000,0)</f>
        <v>0</v>
      </c>
    </row>
    <row r="1838">
      <c r="A1838" s="39" t="n"/>
      <c r="B1838" s="40" t="n"/>
      <c r="C1838" s="35" t="n"/>
      <c r="D1838" s="35" t="n"/>
      <c r="E1838" s="34" t="n"/>
      <c r="F1838" s="35" t="n"/>
      <c r="G1838" s="35" t="n"/>
      <c r="H1838" s="35" t="n"/>
      <c r="I1838" s="35" t="n"/>
      <c r="J1838" s="35" t="n"/>
      <c r="K1838" s="34" t="n"/>
      <c r="L1838" s="26">
        <f>IF(A1838="","",MONTH(A1838))</f>
        <v/>
      </c>
      <c r="M1838" s="26">
        <f>IF(A1838="","",YEAR(A1838))</f>
        <v/>
      </c>
      <c r="N1838" s="26">
        <f>IF(A1838="","",CHOOSE(WEEKDAY(A1838,2),"Segunda","Terça","Quarta","Quinta","Sexta","Sábado","Domingo"))</f>
        <v/>
      </c>
      <c r="O1838" s="26">
        <f>IF(B1838="","",IF(B1838&lt;TIME(12,0,0),"Manhã",IF(B1838&lt;TIME(18,0,0),"Tarde","Noite")))</f>
        <v/>
      </c>
      <c r="P1838" s="32">
        <f>IF(G1838="","",IFERROR(INDEX(Config!$I$5:$I$16,MATCH(G1838,Config!$H$5:$H$16,0)),0))</f>
        <v/>
      </c>
      <c r="Q1838" s="30">
        <f>IF(OR(H1838&lt;&gt;"Realizado",P1838="",P1838=0),"",A1838+P1838)</f>
        <v/>
      </c>
      <c r="R1838" s="26">
        <f>IF(Q1838="","",IF(COUNTIFS($E$5:$E$3004,E1838,$A$5:$A$3004,"&gt;"&amp;A1838,$H$5:$H$3004,"&lt;&gt;Falta",$H$5:$H$3004,"&lt;&gt;Cancelado",$H$5:$H$3004,"&lt;&gt;Remarcado")&gt;0,"Sim","Não"))</f>
        <v/>
      </c>
      <c r="S1838" s="32">
        <f>IF(R1838&lt;&gt;"Não","",IF(Q1838+Config!$B$9&lt;=Config!$B$8,Config!$B$8-Q1838,""))</f>
        <v/>
      </c>
      <c r="T1838" s="26">
        <f>IF(S1838="","","Sim")</f>
        <v/>
      </c>
      <c r="U1838" s="41">
        <f>IF(T1838="Sim",S1838+ROW()/100000,0)</f>
        <v>0</v>
      </c>
      <c r="V1838" s="41">
        <f>IF(AND(H1838="Falta",L1838=Config!$B$7,M1838=Config!$B$5,COUNTIFS($E$5:E1838,E1838,$H$5:H1838,"Falta",$L$5:L1838,Config!$B$7,$M$5:M1838,Config!$B$5)=1),COUNTIFS($E$5:$E$3004,E1838,$H$5:$H$3004,"Falta",$L$5:$L$3004,Config!$B$7,$M$5:$M$3004,Config!$B$5)*1000-ROW()/100000,0)</f>
        <v>0</v>
      </c>
    </row>
    <row r="1839">
      <c r="A1839" s="39" t="n"/>
      <c r="B1839" s="40" t="n"/>
      <c r="C1839" s="35" t="n"/>
      <c r="D1839" s="35" t="n"/>
      <c r="E1839" s="34" t="n"/>
      <c r="F1839" s="35" t="n"/>
      <c r="G1839" s="35" t="n"/>
      <c r="H1839" s="35" t="n"/>
      <c r="I1839" s="35" t="n"/>
      <c r="J1839" s="35" t="n"/>
      <c r="K1839" s="34" t="n"/>
      <c r="L1839" s="26">
        <f>IF(A1839="","",MONTH(A1839))</f>
        <v/>
      </c>
      <c r="M1839" s="26">
        <f>IF(A1839="","",YEAR(A1839))</f>
        <v/>
      </c>
      <c r="N1839" s="26">
        <f>IF(A1839="","",CHOOSE(WEEKDAY(A1839,2),"Segunda","Terça","Quarta","Quinta","Sexta","Sábado","Domingo"))</f>
        <v/>
      </c>
      <c r="O1839" s="26">
        <f>IF(B1839="","",IF(B1839&lt;TIME(12,0,0),"Manhã",IF(B1839&lt;TIME(18,0,0),"Tarde","Noite")))</f>
        <v/>
      </c>
      <c r="P1839" s="32">
        <f>IF(G1839="","",IFERROR(INDEX(Config!$I$5:$I$16,MATCH(G1839,Config!$H$5:$H$16,0)),0))</f>
        <v/>
      </c>
      <c r="Q1839" s="30">
        <f>IF(OR(H1839&lt;&gt;"Realizado",P1839="",P1839=0),"",A1839+P1839)</f>
        <v/>
      </c>
      <c r="R1839" s="26">
        <f>IF(Q1839="","",IF(COUNTIFS($E$5:$E$3004,E1839,$A$5:$A$3004,"&gt;"&amp;A1839,$H$5:$H$3004,"&lt;&gt;Falta",$H$5:$H$3004,"&lt;&gt;Cancelado",$H$5:$H$3004,"&lt;&gt;Remarcado")&gt;0,"Sim","Não"))</f>
        <v/>
      </c>
      <c r="S1839" s="32">
        <f>IF(R1839&lt;&gt;"Não","",IF(Q1839+Config!$B$9&lt;=Config!$B$8,Config!$B$8-Q1839,""))</f>
        <v/>
      </c>
      <c r="T1839" s="26">
        <f>IF(S1839="","","Sim")</f>
        <v/>
      </c>
      <c r="U1839" s="41">
        <f>IF(T1839="Sim",S1839+ROW()/100000,0)</f>
        <v>0</v>
      </c>
      <c r="V1839" s="41">
        <f>IF(AND(H1839="Falta",L1839=Config!$B$7,M1839=Config!$B$5,COUNTIFS($E$5:E1839,E1839,$H$5:H1839,"Falta",$L$5:L1839,Config!$B$7,$M$5:M1839,Config!$B$5)=1),COUNTIFS($E$5:$E$3004,E1839,$H$5:$H$3004,"Falta",$L$5:$L$3004,Config!$B$7,$M$5:$M$3004,Config!$B$5)*1000-ROW()/100000,0)</f>
        <v>0</v>
      </c>
    </row>
    <row r="1840">
      <c r="A1840" s="39" t="n"/>
      <c r="B1840" s="40" t="n"/>
      <c r="C1840" s="35" t="n"/>
      <c r="D1840" s="35" t="n"/>
      <c r="E1840" s="34" t="n"/>
      <c r="F1840" s="35" t="n"/>
      <c r="G1840" s="35" t="n"/>
      <c r="H1840" s="35" t="n"/>
      <c r="I1840" s="35" t="n"/>
      <c r="J1840" s="35" t="n"/>
      <c r="K1840" s="34" t="n"/>
      <c r="L1840" s="26">
        <f>IF(A1840="","",MONTH(A1840))</f>
        <v/>
      </c>
      <c r="M1840" s="26">
        <f>IF(A1840="","",YEAR(A1840))</f>
        <v/>
      </c>
      <c r="N1840" s="26">
        <f>IF(A1840="","",CHOOSE(WEEKDAY(A1840,2),"Segunda","Terça","Quarta","Quinta","Sexta","Sábado","Domingo"))</f>
        <v/>
      </c>
      <c r="O1840" s="26">
        <f>IF(B1840="","",IF(B1840&lt;TIME(12,0,0),"Manhã",IF(B1840&lt;TIME(18,0,0),"Tarde","Noite")))</f>
        <v/>
      </c>
      <c r="P1840" s="32">
        <f>IF(G1840="","",IFERROR(INDEX(Config!$I$5:$I$16,MATCH(G1840,Config!$H$5:$H$16,0)),0))</f>
        <v/>
      </c>
      <c r="Q1840" s="30">
        <f>IF(OR(H1840&lt;&gt;"Realizado",P1840="",P1840=0),"",A1840+P1840)</f>
        <v/>
      </c>
      <c r="R1840" s="26">
        <f>IF(Q1840="","",IF(COUNTIFS($E$5:$E$3004,E1840,$A$5:$A$3004,"&gt;"&amp;A1840,$H$5:$H$3004,"&lt;&gt;Falta",$H$5:$H$3004,"&lt;&gt;Cancelado",$H$5:$H$3004,"&lt;&gt;Remarcado")&gt;0,"Sim","Não"))</f>
        <v/>
      </c>
      <c r="S1840" s="32">
        <f>IF(R1840&lt;&gt;"Não","",IF(Q1840+Config!$B$9&lt;=Config!$B$8,Config!$B$8-Q1840,""))</f>
        <v/>
      </c>
      <c r="T1840" s="26">
        <f>IF(S1840="","","Sim")</f>
        <v/>
      </c>
      <c r="U1840" s="41">
        <f>IF(T1840="Sim",S1840+ROW()/100000,0)</f>
        <v>0</v>
      </c>
      <c r="V1840" s="41">
        <f>IF(AND(H1840="Falta",L1840=Config!$B$7,M1840=Config!$B$5,COUNTIFS($E$5:E1840,E1840,$H$5:H1840,"Falta",$L$5:L1840,Config!$B$7,$M$5:M1840,Config!$B$5)=1),COUNTIFS($E$5:$E$3004,E1840,$H$5:$H$3004,"Falta",$L$5:$L$3004,Config!$B$7,$M$5:$M$3004,Config!$B$5)*1000-ROW()/100000,0)</f>
        <v>0</v>
      </c>
    </row>
    <row r="1841">
      <c r="A1841" s="39" t="n"/>
      <c r="B1841" s="40" t="n"/>
      <c r="C1841" s="35" t="n"/>
      <c r="D1841" s="35" t="n"/>
      <c r="E1841" s="34" t="n"/>
      <c r="F1841" s="35" t="n"/>
      <c r="G1841" s="35" t="n"/>
      <c r="H1841" s="35" t="n"/>
      <c r="I1841" s="35" t="n"/>
      <c r="J1841" s="35" t="n"/>
      <c r="K1841" s="34" t="n"/>
      <c r="L1841" s="26">
        <f>IF(A1841="","",MONTH(A1841))</f>
        <v/>
      </c>
      <c r="M1841" s="26">
        <f>IF(A1841="","",YEAR(A1841))</f>
        <v/>
      </c>
      <c r="N1841" s="26">
        <f>IF(A1841="","",CHOOSE(WEEKDAY(A1841,2),"Segunda","Terça","Quarta","Quinta","Sexta","Sábado","Domingo"))</f>
        <v/>
      </c>
      <c r="O1841" s="26">
        <f>IF(B1841="","",IF(B1841&lt;TIME(12,0,0),"Manhã",IF(B1841&lt;TIME(18,0,0),"Tarde","Noite")))</f>
        <v/>
      </c>
      <c r="P1841" s="32">
        <f>IF(G1841="","",IFERROR(INDEX(Config!$I$5:$I$16,MATCH(G1841,Config!$H$5:$H$16,0)),0))</f>
        <v/>
      </c>
      <c r="Q1841" s="30">
        <f>IF(OR(H1841&lt;&gt;"Realizado",P1841="",P1841=0),"",A1841+P1841)</f>
        <v/>
      </c>
      <c r="R1841" s="26">
        <f>IF(Q1841="","",IF(COUNTIFS($E$5:$E$3004,E1841,$A$5:$A$3004,"&gt;"&amp;A1841,$H$5:$H$3004,"&lt;&gt;Falta",$H$5:$H$3004,"&lt;&gt;Cancelado",$H$5:$H$3004,"&lt;&gt;Remarcado")&gt;0,"Sim","Não"))</f>
        <v/>
      </c>
      <c r="S1841" s="32">
        <f>IF(R1841&lt;&gt;"Não","",IF(Q1841+Config!$B$9&lt;=Config!$B$8,Config!$B$8-Q1841,""))</f>
        <v/>
      </c>
      <c r="T1841" s="26">
        <f>IF(S1841="","","Sim")</f>
        <v/>
      </c>
      <c r="U1841" s="41">
        <f>IF(T1841="Sim",S1841+ROW()/100000,0)</f>
        <v>0</v>
      </c>
      <c r="V1841" s="41">
        <f>IF(AND(H1841="Falta",L1841=Config!$B$7,M1841=Config!$B$5,COUNTIFS($E$5:E1841,E1841,$H$5:H1841,"Falta",$L$5:L1841,Config!$B$7,$M$5:M1841,Config!$B$5)=1),COUNTIFS($E$5:$E$3004,E1841,$H$5:$H$3004,"Falta",$L$5:$L$3004,Config!$B$7,$M$5:$M$3004,Config!$B$5)*1000-ROW()/100000,0)</f>
        <v>0</v>
      </c>
    </row>
    <row r="1842">
      <c r="A1842" s="39" t="n"/>
      <c r="B1842" s="40" t="n"/>
      <c r="C1842" s="35" t="n"/>
      <c r="D1842" s="35" t="n"/>
      <c r="E1842" s="34" t="n"/>
      <c r="F1842" s="35" t="n"/>
      <c r="G1842" s="35" t="n"/>
      <c r="H1842" s="35" t="n"/>
      <c r="I1842" s="35" t="n"/>
      <c r="J1842" s="35" t="n"/>
      <c r="K1842" s="34" t="n"/>
      <c r="L1842" s="26">
        <f>IF(A1842="","",MONTH(A1842))</f>
        <v/>
      </c>
      <c r="M1842" s="26">
        <f>IF(A1842="","",YEAR(A1842))</f>
        <v/>
      </c>
      <c r="N1842" s="26">
        <f>IF(A1842="","",CHOOSE(WEEKDAY(A1842,2),"Segunda","Terça","Quarta","Quinta","Sexta","Sábado","Domingo"))</f>
        <v/>
      </c>
      <c r="O1842" s="26">
        <f>IF(B1842="","",IF(B1842&lt;TIME(12,0,0),"Manhã",IF(B1842&lt;TIME(18,0,0),"Tarde","Noite")))</f>
        <v/>
      </c>
      <c r="P1842" s="32">
        <f>IF(G1842="","",IFERROR(INDEX(Config!$I$5:$I$16,MATCH(G1842,Config!$H$5:$H$16,0)),0))</f>
        <v/>
      </c>
      <c r="Q1842" s="30">
        <f>IF(OR(H1842&lt;&gt;"Realizado",P1842="",P1842=0),"",A1842+P1842)</f>
        <v/>
      </c>
      <c r="R1842" s="26">
        <f>IF(Q1842="","",IF(COUNTIFS($E$5:$E$3004,E1842,$A$5:$A$3004,"&gt;"&amp;A1842,$H$5:$H$3004,"&lt;&gt;Falta",$H$5:$H$3004,"&lt;&gt;Cancelado",$H$5:$H$3004,"&lt;&gt;Remarcado")&gt;0,"Sim","Não"))</f>
        <v/>
      </c>
      <c r="S1842" s="32">
        <f>IF(R1842&lt;&gt;"Não","",IF(Q1842+Config!$B$9&lt;=Config!$B$8,Config!$B$8-Q1842,""))</f>
        <v/>
      </c>
      <c r="T1842" s="26">
        <f>IF(S1842="","","Sim")</f>
        <v/>
      </c>
      <c r="U1842" s="41">
        <f>IF(T1842="Sim",S1842+ROW()/100000,0)</f>
        <v>0</v>
      </c>
      <c r="V1842" s="41">
        <f>IF(AND(H1842="Falta",L1842=Config!$B$7,M1842=Config!$B$5,COUNTIFS($E$5:E1842,E1842,$H$5:H1842,"Falta",$L$5:L1842,Config!$B$7,$M$5:M1842,Config!$B$5)=1),COUNTIFS($E$5:$E$3004,E1842,$H$5:$H$3004,"Falta",$L$5:$L$3004,Config!$B$7,$M$5:$M$3004,Config!$B$5)*1000-ROW()/100000,0)</f>
        <v>0</v>
      </c>
    </row>
    <row r="1843">
      <c r="A1843" s="39" t="n"/>
      <c r="B1843" s="40" t="n"/>
      <c r="C1843" s="35" t="n"/>
      <c r="D1843" s="35" t="n"/>
      <c r="E1843" s="34" t="n"/>
      <c r="F1843" s="35" t="n"/>
      <c r="G1843" s="35" t="n"/>
      <c r="H1843" s="35" t="n"/>
      <c r="I1843" s="35" t="n"/>
      <c r="J1843" s="35" t="n"/>
      <c r="K1843" s="34" t="n"/>
      <c r="L1843" s="26">
        <f>IF(A1843="","",MONTH(A1843))</f>
        <v/>
      </c>
      <c r="M1843" s="26">
        <f>IF(A1843="","",YEAR(A1843))</f>
        <v/>
      </c>
      <c r="N1843" s="26">
        <f>IF(A1843="","",CHOOSE(WEEKDAY(A1843,2),"Segunda","Terça","Quarta","Quinta","Sexta","Sábado","Domingo"))</f>
        <v/>
      </c>
      <c r="O1843" s="26">
        <f>IF(B1843="","",IF(B1843&lt;TIME(12,0,0),"Manhã",IF(B1843&lt;TIME(18,0,0),"Tarde","Noite")))</f>
        <v/>
      </c>
      <c r="P1843" s="32">
        <f>IF(G1843="","",IFERROR(INDEX(Config!$I$5:$I$16,MATCH(G1843,Config!$H$5:$H$16,0)),0))</f>
        <v/>
      </c>
      <c r="Q1843" s="30">
        <f>IF(OR(H1843&lt;&gt;"Realizado",P1843="",P1843=0),"",A1843+P1843)</f>
        <v/>
      </c>
      <c r="R1843" s="26">
        <f>IF(Q1843="","",IF(COUNTIFS($E$5:$E$3004,E1843,$A$5:$A$3004,"&gt;"&amp;A1843,$H$5:$H$3004,"&lt;&gt;Falta",$H$5:$H$3004,"&lt;&gt;Cancelado",$H$5:$H$3004,"&lt;&gt;Remarcado")&gt;0,"Sim","Não"))</f>
        <v/>
      </c>
      <c r="S1843" s="32">
        <f>IF(R1843&lt;&gt;"Não","",IF(Q1843+Config!$B$9&lt;=Config!$B$8,Config!$B$8-Q1843,""))</f>
        <v/>
      </c>
      <c r="T1843" s="26">
        <f>IF(S1843="","","Sim")</f>
        <v/>
      </c>
      <c r="U1843" s="41">
        <f>IF(T1843="Sim",S1843+ROW()/100000,0)</f>
        <v>0</v>
      </c>
      <c r="V1843" s="41">
        <f>IF(AND(H1843="Falta",L1843=Config!$B$7,M1843=Config!$B$5,COUNTIFS($E$5:E1843,E1843,$H$5:H1843,"Falta",$L$5:L1843,Config!$B$7,$M$5:M1843,Config!$B$5)=1),COUNTIFS($E$5:$E$3004,E1843,$H$5:$H$3004,"Falta",$L$5:$L$3004,Config!$B$7,$M$5:$M$3004,Config!$B$5)*1000-ROW()/100000,0)</f>
        <v>0</v>
      </c>
    </row>
    <row r="1844">
      <c r="A1844" s="39" t="n"/>
      <c r="B1844" s="40" t="n"/>
      <c r="C1844" s="35" t="n"/>
      <c r="D1844" s="35" t="n"/>
      <c r="E1844" s="34" t="n"/>
      <c r="F1844" s="35" t="n"/>
      <c r="G1844" s="35" t="n"/>
      <c r="H1844" s="35" t="n"/>
      <c r="I1844" s="35" t="n"/>
      <c r="J1844" s="35" t="n"/>
      <c r="K1844" s="34" t="n"/>
      <c r="L1844" s="26">
        <f>IF(A1844="","",MONTH(A1844))</f>
        <v/>
      </c>
      <c r="M1844" s="26">
        <f>IF(A1844="","",YEAR(A1844))</f>
        <v/>
      </c>
      <c r="N1844" s="26">
        <f>IF(A1844="","",CHOOSE(WEEKDAY(A1844,2),"Segunda","Terça","Quarta","Quinta","Sexta","Sábado","Domingo"))</f>
        <v/>
      </c>
      <c r="O1844" s="26">
        <f>IF(B1844="","",IF(B1844&lt;TIME(12,0,0),"Manhã",IF(B1844&lt;TIME(18,0,0),"Tarde","Noite")))</f>
        <v/>
      </c>
      <c r="P1844" s="32">
        <f>IF(G1844="","",IFERROR(INDEX(Config!$I$5:$I$16,MATCH(G1844,Config!$H$5:$H$16,0)),0))</f>
        <v/>
      </c>
      <c r="Q1844" s="30">
        <f>IF(OR(H1844&lt;&gt;"Realizado",P1844="",P1844=0),"",A1844+P1844)</f>
        <v/>
      </c>
      <c r="R1844" s="26">
        <f>IF(Q1844="","",IF(COUNTIFS($E$5:$E$3004,E1844,$A$5:$A$3004,"&gt;"&amp;A1844,$H$5:$H$3004,"&lt;&gt;Falta",$H$5:$H$3004,"&lt;&gt;Cancelado",$H$5:$H$3004,"&lt;&gt;Remarcado")&gt;0,"Sim","Não"))</f>
        <v/>
      </c>
      <c r="S1844" s="32">
        <f>IF(R1844&lt;&gt;"Não","",IF(Q1844+Config!$B$9&lt;=Config!$B$8,Config!$B$8-Q1844,""))</f>
        <v/>
      </c>
      <c r="T1844" s="26">
        <f>IF(S1844="","","Sim")</f>
        <v/>
      </c>
      <c r="U1844" s="41">
        <f>IF(T1844="Sim",S1844+ROW()/100000,0)</f>
        <v>0</v>
      </c>
      <c r="V1844" s="41">
        <f>IF(AND(H1844="Falta",L1844=Config!$B$7,M1844=Config!$B$5,COUNTIFS($E$5:E1844,E1844,$H$5:H1844,"Falta",$L$5:L1844,Config!$B$7,$M$5:M1844,Config!$B$5)=1),COUNTIFS($E$5:$E$3004,E1844,$H$5:$H$3004,"Falta",$L$5:$L$3004,Config!$B$7,$M$5:$M$3004,Config!$B$5)*1000-ROW()/100000,0)</f>
        <v>0</v>
      </c>
    </row>
    <row r="1845">
      <c r="A1845" s="39" t="n"/>
      <c r="B1845" s="40" t="n"/>
      <c r="C1845" s="35" t="n"/>
      <c r="D1845" s="35" t="n"/>
      <c r="E1845" s="34" t="n"/>
      <c r="F1845" s="35" t="n"/>
      <c r="G1845" s="35" t="n"/>
      <c r="H1845" s="35" t="n"/>
      <c r="I1845" s="35" t="n"/>
      <c r="J1845" s="35" t="n"/>
      <c r="K1845" s="34" t="n"/>
      <c r="L1845" s="26">
        <f>IF(A1845="","",MONTH(A1845))</f>
        <v/>
      </c>
      <c r="M1845" s="26">
        <f>IF(A1845="","",YEAR(A1845))</f>
        <v/>
      </c>
      <c r="N1845" s="26">
        <f>IF(A1845="","",CHOOSE(WEEKDAY(A1845,2),"Segunda","Terça","Quarta","Quinta","Sexta","Sábado","Domingo"))</f>
        <v/>
      </c>
      <c r="O1845" s="26">
        <f>IF(B1845="","",IF(B1845&lt;TIME(12,0,0),"Manhã",IF(B1845&lt;TIME(18,0,0),"Tarde","Noite")))</f>
        <v/>
      </c>
      <c r="P1845" s="32">
        <f>IF(G1845="","",IFERROR(INDEX(Config!$I$5:$I$16,MATCH(G1845,Config!$H$5:$H$16,0)),0))</f>
        <v/>
      </c>
      <c r="Q1845" s="30">
        <f>IF(OR(H1845&lt;&gt;"Realizado",P1845="",P1845=0),"",A1845+P1845)</f>
        <v/>
      </c>
      <c r="R1845" s="26">
        <f>IF(Q1845="","",IF(COUNTIFS($E$5:$E$3004,E1845,$A$5:$A$3004,"&gt;"&amp;A1845,$H$5:$H$3004,"&lt;&gt;Falta",$H$5:$H$3004,"&lt;&gt;Cancelado",$H$5:$H$3004,"&lt;&gt;Remarcado")&gt;0,"Sim","Não"))</f>
        <v/>
      </c>
      <c r="S1845" s="32">
        <f>IF(R1845&lt;&gt;"Não","",IF(Q1845+Config!$B$9&lt;=Config!$B$8,Config!$B$8-Q1845,""))</f>
        <v/>
      </c>
      <c r="T1845" s="26">
        <f>IF(S1845="","","Sim")</f>
        <v/>
      </c>
      <c r="U1845" s="41">
        <f>IF(T1845="Sim",S1845+ROW()/100000,0)</f>
        <v>0</v>
      </c>
      <c r="V1845" s="41">
        <f>IF(AND(H1845="Falta",L1845=Config!$B$7,M1845=Config!$B$5,COUNTIFS($E$5:E1845,E1845,$H$5:H1845,"Falta",$L$5:L1845,Config!$B$7,$M$5:M1845,Config!$B$5)=1),COUNTIFS($E$5:$E$3004,E1845,$H$5:$H$3004,"Falta",$L$5:$L$3004,Config!$B$7,$M$5:$M$3004,Config!$B$5)*1000-ROW()/100000,0)</f>
        <v>0</v>
      </c>
    </row>
    <row r="1846">
      <c r="A1846" s="39" t="n"/>
      <c r="B1846" s="40" t="n"/>
      <c r="C1846" s="35" t="n"/>
      <c r="D1846" s="35" t="n"/>
      <c r="E1846" s="34" t="n"/>
      <c r="F1846" s="35" t="n"/>
      <c r="G1846" s="35" t="n"/>
      <c r="H1846" s="35" t="n"/>
      <c r="I1846" s="35" t="n"/>
      <c r="J1846" s="35" t="n"/>
      <c r="K1846" s="34" t="n"/>
      <c r="L1846" s="26">
        <f>IF(A1846="","",MONTH(A1846))</f>
        <v/>
      </c>
      <c r="M1846" s="26">
        <f>IF(A1846="","",YEAR(A1846))</f>
        <v/>
      </c>
      <c r="N1846" s="26">
        <f>IF(A1846="","",CHOOSE(WEEKDAY(A1846,2),"Segunda","Terça","Quarta","Quinta","Sexta","Sábado","Domingo"))</f>
        <v/>
      </c>
      <c r="O1846" s="26">
        <f>IF(B1846="","",IF(B1846&lt;TIME(12,0,0),"Manhã",IF(B1846&lt;TIME(18,0,0),"Tarde","Noite")))</f>
        <v/>
      </c>
      <c r="P1846" s="32">
        <f>IF(G1846="","",IFERROR(INDEX(Config!$I$5:$I$16,MATCH(G1846,Config!$H$5:$H$16,0)),0))</f>
        <v/>
      </c>
      <c r="Q1846" s="30">
        <f>IF(OR(H1846&lt;&gt;"Realizado",P1846="",P1846=0),"",A1846+P1846)</f>
        <v/>
      </c>
      <c r="R1846" s="26">
        <f>IF(Q1846="","",IF(COUNTIFS($E$5:$E$3004,E1846,$A$5:$A$3004,"&gt;"&amp;A1846,$H$5:$H$3004,"&lt;&gt;Falta",$H$5:$H$3004,"&lt;&gt;Cancelado",$H$5:$H$3004,"&lt;&gt;Remarcado")&gt;0,"Sim","Não"))</f>
        <v/>
      </c>
      <c r="S1846" s="32">
        <f>IF(R1846&lt;&gt;"Não","",IF(Q1846+Config!$B$9&lt;=Config!$B$8,Config!$B$8-Q1846,""))</f>
        <v/>
      </c>
      <c r="T1846" s="26">
        <f>IF(S1846="","","Sim")</f>
        <v/>
      </c>
      <c r="U1846" s="41">
        <f>IF(T1846="Sim",S1846+ROW()/100000,0)</f>
        <v>0</v>
      </c>
      <c r="V1846" s="41">
        <f>IF(AND(H1846="Falta",L1846=Config!$B$7,M1846=Config!$B$5,COUNTIFS($E$5:E1846,E1846,$H$5:H1846,"Falta",$L$5:L1846,Config!$B$7,$M$5:M1846,Config!$B$5)=1),COUNTIFS($E$5:$E$3004,E1846,$H$5:$H$3004,"Falta",$L$5:$L$3004,Config!$B$7,$M$5:$M$3004,Config!$B$5)*1000-ROW()/100000,0)</f>
        <v>0</v>
      </c>
    </row>
    <row r="1847">
      <c r="A1847" s="39" t="n"/>
      <c r="B1847" s="40" t="n"/>
      <c r="C1847" s="35" t="n"/>
      <c r="D1847" s="35" t="n"/>
      <c r="E1847" s="34" t="n"/>
      <c r="F1847" s="35" t="n"/>
      <c r="G1847" s="35" t="n"/>
      <c r="H1847" s="35" t="n"/>
      <c r="I1847" s="35" t="n"/>
      <c r="J1847" s="35" t="n"/>
      <c r="K1847" s="34" t="n"/>
      <c r="L1847" s="26">
        <f>IF(A1847="","",MONTH(A1847))</f>
        <v/>
      </c>
      <c r="M1847" s="26">
        <f>IF(A1847="","",YEAR(A1847))</f>
        <v/>
      </c>
      <c r="N1847" s="26">
        <f>IF(A1847="","",CHOOSE(WEEKDAY(A1847,2),"Segunda","Terça","Quarta","Quinta","Sexta","Sábado","Domingo"))</f>
        <v/>
      </c>
      <c r="O1847" s="26">
        <f>IF(B1847="","",IF(B1847&lt;TIME(12,0,0),"Manhã",IF(B1847&lt;TIME(18,0,0),"Tarde","Noite")))</f>
        <v/>
      </c>
      <c r="P1847" s="32">
        <f>IF(G1847="","",IFERROR(INDEX(Config!$I$5:$I$16,MATCH(G1847,Config!$H$5:$H$16,0)),0))</f>
        <v/>
      </c>
      <c r="Q1847" s="30">
        <f>IF(OR(H1847&lt;&gt;"Realizado",P1847="",P1847=0),"",A1847+P1847)</f>
        <v/>
      </c>
      <c r="R1847" s="26">
        <f>IF(Q1847="","",IF(COUNTIFS($E$5:$E$3004,E1847,$A$5:$A$3004,"&gt;"&amp;A1847,$H$5:$H$3004,"&lt;&gt;Falta",$H$5:$H$3004,"&lt;&gt;Cancelado",$H$5:$H$3004,"&lt;&gt;Remarcado")&gt;0,"Sim","Não"))</f>
        <v/>
      </c>
      <c r="S1847" s="32">
        <f>IF(R1847&lt;&gt;"Não","",IF(Q1847+Config!$B$9&lt;=Config!$B$8,Config!$B$8-Q1847,""))</f>
        <v/>
      </c>
      <c r="T1847" s="26">
        <f>IF(S1847="","","Sim")</f>
        <v/>
      </c>
      <c r="U1847" s="41">
        <f>IF(T1847="Sim",S1847+ROW()/100000,0)</f>
        <v>0</v>
      </c>
      <c r="V1847" s="41">
        <f>IF(AND(H1847="Falta",L1847=Config!$B$7,M1847=Config!$B$5,COUNTIFS($E$5:E1847,E1847,$H$5:H1847,"Falta",$L$5:L1847,Config!$B$7,$M$5:M1847,Config!$B$5)=1),COUNTIFS($E$5:$E$3004,E1847,$H$5:$H$3004,"Falta",$L$5:$L$3004,Config!$B$7,$M$5:$M$3004,Config!$B$5)*1000-ROW()/100000,0)</f>
        <v>0</v>
      </c>
    </row>
    <row r="1848">
      <c r="A1848" s="39" t="n"/>
      <c r="B1848" s="40" t="n"/>
      <c r="C1848" s="35" t="n"/>
      <c r="D1848" s="35" t="n"/>
      <c r="E1848" s="34" t="n"/>
      <c r="F1848" s="35" t="n"/>
      <c r="G1848" s="35" t="n"/>
      <c r="H1848" s="35" t="n"/>
      <c r="I1848" s="35" t="n"/>
      <c r="J1848" s="35" t="n"/>
      <c r="K1848" s="34" t="n"/>
      <c r="L1848" s="26">
        <f>IF(A1848="","",MONTH(A1848))</f>
        <v/>
      </c>
      <c r="M1848" s="26">
        <f>IF(A1848="","",YEAR(A1848))</f>
        <v/>
      </c>
      <c r="N1848" s="26">
        <f>IF(A1848="","",CHOOSE(WEEKDAY(A1848,2),"Segunda","Terça","Quarta","Quinta","Sexta","Sábado","Domingo"))</f>
        <v/>
      </c>
      <c r="O1848" s="26">
        <f>IF(B1848="","",IF(B1848&lt;TIME(12,0,0),"Manhã",IF(B1848&lt;TIME(18,0,0),"Tarde","Noite")))</f>
        <v/>
      </c>
      <c r="P1848" s="32">
        <f>IF(G1848="","",IFERROR(INDEX(Config!$I$5:$I$16,MATCH(G1848,Config!$H$5:$H$16,0)),0))</f>
        <v/>
      </c>
      <c r="Q1848" s="30">
        <f>IF(OR(H1848&lt;&gt;"Realizado",P1848="",P1848=0),"",A1848+P1848)</f>
        <v/>
      </c>
      <c r="R1848" s="26">
        <f>IF(Q1848="","",IF(COUNTIFS($E$5:$E$3004,E1848,$A$5:$A$3004,"&gt;"&amp;A1848,$H$5:$H$3004,"&lt;&gt;Falta",$H$5:$H$3004,"&lt;&gt;Cancelado",$H$5:$H$3004,"&lt;&gt;Remarcado")&gt;0,"Sim","Não"))</f>
        <v/>
      </c>
      <c r="S1848" s="32">
        <f>IF(R1848&lt;&gt;"Não","",IF(Q1848+Config!$B$9&lt;=Config!$B$8,Config!$B$8-Q1848,""))</f>
        <v/>
      </c>
      <c r="T1848" s="26">
        <f>IF(S1848="","","Sim")</f>
        <v/>
      </c>
      <c r="U1848" s="41">
        <f>IF(T1848="Sim",S1848+ROW()/100000,0)</f>
        <v>0</v>
      </c>
      <c r="V1848" s="41">
        <f>IF(AND(H1848="Falta",L1848=Config!$B$7,M1848=Config!$B$5,COUNTIFS($E$5:E1848,E1848,$H$5:H1848,"Falta",$L$5:L1848,Config!$B$7,$M$5:M1848,Config!$B$5)=1),COUNTIFS($E$5:$E$3004,E1848,$H$5:$H$3004,"Falta",$L$5:$L$3004,Config!$B$7,$M$5:$M$3004,Config!$B$5)*1000-ROW()/100000,0)</f>
        <v>0</v>
      </c>
    </row>
    <row r="1849">
      <c r="A1849" s="39" t="n"/>
      <c r="B1849" s="40" t="n"/>
      <c r="C1849" s="35" t="n"/>
      <c r="D1849" s="35" t="n"/>
      <c r="E1849" s="34" t="n"/>
      <c r="F1849" s="35" t="n"/>
      <c r="G1849" s="35" t="n"/>
      <c r="H1849" s="35" t="n"/>
      <c r="I1849" s="35" t="n"/>
      <c r="J1849" s="35" t="n"/>
      <c r="K1849" s="34" t="n"/>
      <c r="L1849" s="26">
        <f>IF(A1849="","",MONTH(A1849))</f>
        <v/>
      </c>
      <c r="M1849" s="26">
        <f>IF(A1849="","",YEAR(A1849))</f>
        <v/>
      </c>
      <c r="N1849" s="26">
        <f>IF(A1849="","",CHOOSE(WEEKDAY(A1849,2),"Segunda","Terça","Quarta","Quinta","Sexta","Sábado","Domingo"))</f>
        <v/>
      </c>
      <c r="O1849" s="26">
        <f>IF(B1849="","",IF(B1849&lt;TIME(12,0,0),"Manhã",IF(B1849&lt;TIME(18,0,0),"Tarde","Noite")))</f>
        <v/>
      </c>
      <c r="P1849" s="32">
        <f>IF(G1849="","",IFERROR(INDEX(Config!$I$5:$I$16,MATCH(G1849,Config!$H$5:$H$16,0)),0))</f>
        <v/>
      </c>
      <c r="Q1849" s="30">
        <f>IF(OR(H1849&lt;&gt;"Realizado",P1849="",P1849=0),"",A1849+P1849)</f>
        <v/>
      </c>
      <c r="R1849" s="26">
        <f>IF(Q1849="","",IF(COUNTIFS($E$5:$E$3004,E1849,$A$5:$A$3004,"&gt;"&amp;A1849,$H$5:$H$3004,"&lt;&gt;Falta",$H$5:$H$3004,"&lt;&gt;Cancelado",$H$5:$H$3004,"&lt;&gt;Remarcado")&gt;0,"Sim","Não"))</f>
        <v/>
      </c>
      <c r="S1849" s="32">
        <f>IF(R1849&lt;&gt;"Não","",IF(Q1849+Config!$B$9&lt;=Config!$B$8,Config!$B$8-Q1849,""))</f>
        <v/>
      </c>
      <c r="T1849" s="26">
        <f>IF(S1849="","","Sim")</f>
        <v/>
      </c>
      <c r="U1849" s="41">
        <f>IF(T1849="Sim",S1849+ROW()/100000,0)</f>
        <v>0</v>
      </c>
      <c r="V1849" s="41">
        <f>IF(AND(H1849="Falta",L1849=Config!$B$7,M1849=Config!$B$5,COUNTIFS($E$5:E1849,E1849,$H$5:H1849,"Falta",$L$5:L1849,Config!$B$7,$M$5:M1849,Config!$B$5)=1),COUNTIFS($E$5:$E$3004,E1849,$H$5:$H$3004,"Falta",$L$5:$L$3004,Config!$B$7,$M$5:$M$3004,Config!$B$5)*1000-ROW()/100000,0)</f>
        <v>0</v>
      </c>
    </row>
    <row r="1850">
      <c r="A1850" s="39" t="n"/>
      <c r="B1850" s="40" t="n"/>
      <c r="C1850" s="35" t="n"/>
      <c r="D1850" s="35" t="n"/>
      <c r="E1850" s="34" t="n"/>
      <c r="F1850" s="35" t="n"/>
      <c r="G1850" s="35" t="n"/>
      <c r="H1850" s="35" t="n"/>
      <c r="I1850" s="35" t="n"/>
      <c r="J1850" s="35" t="n"/>
      <c r="K1850" s="34" t="n"/>
      <c r="L1850" s="26">
        <f>IF(A1850="","",MONTH(A1850))</f>
        <v/>
      </c>
      <c r="M1850" s="26">
        <f>IF(A1850="","",YEAR(A1850))</f>
        <v/>
      </c>
      <c r="N1850" s="26">
        <f>IF(A1850="","",CHOOSE(WEEKDAY(A1850,2),"Segunda","Terça","Quarta","Quinta","Sexta","Sábado","Domingo"))</f>
        <v/>
      </c>
      <c r="O1850" s="26">
        <f>IF(B1850="","",IF(B1850&lt;TIME(12,0,0),"Manhã",IF(B1850&lt;TIME(18,0,0),"Tarde","Noite")))</f>
        <v/>
      </c>
      <c r="P1850" s="32">
        <f>IF(G1850="","",IFERROR(INDEX(Config!$I$5:$I$16,MATCH(G1850,Config!$H$5:$H$16,0)),0))</f>
        <v/>
      </c>
      <c r="Q1850" s="30">
        <f>IF(OR(H1850&lt;&gt;"Realizado",P1850="",P1850=0),"",A1850+P1850)</f>
        <v/>
      </c>
      <c r="R1850" s="26">
        <f>IF(Q1850="","",IF(COUNTIFS($E$5:$E$3004,E1850,$A$5:$A$3004,"&gt;"&amp;A1850,$H$5:$H$3004,"&lt;&gt;Falta",$H$5:$H$3004,"&lt;&gt;Cancelado",$H$5:$H$3004,"&lt;&gt;Remarcado")&gt;0,"Sim","Não"))</f>
        <v/>
      </c>
      <c r="S1850" s="32">
        <f>IF(R1850&lt;&gt;"Não","",IF(Q1850+Config!$B$9&lt;=Config!$B$8,Config!$B$8-Q1850,""))</f>
        <v/>
      </c>
      <c r="T1850" s="26">
        <f>IF(S1850="","","Sim")</f>
        <v/>
      </c>
      <c r="U1850" s="41">
        <f>IF(T1850="Sim",S1850+ROW()/100000,0)</f>
        <v>0</v>
      </c>
      <c r="V1850" s="41">
        <f>IF(AND(H1850="Falta",L1850=Config!$B$7,M1850=Config!$B$5,COUNTIFS($E$5:E1850,E1850,$H$5:H1850,"Falta",$L$5:L1850,Config!$B$7,$M$5:M1850,Config!$B$5)=1),COUNTIFS($E$5:$E$3004,E1850,$H$5:$H$3004,"Falta",$L$5:$L$3004,Config!$B$7,$M$5:$M$3004,Config!$B$5)*1000-ROW()/100000,0)</f>
        <v>0</v>
      </c>
    </row>
    <row r="1851">
      <c r="A1851" s="39" t="n"/>
      <c r="B1851" s="40" t="n"/>
      <c r="C1851" s="35" t="n"/>
      <c r="D1851" s="35" t="n"/>
      <c r="E1851" s="34" t="n"/>
      <c r="F1851" s="35" t="n"/>
      <c r="G1851" s="35" t="n"/>
      <c r="H1851" s="35" t="n"/>
      <c r="I1851" s="35" t="n"/>
      <c r="J1851" s="35" t="n"/>
      <c r="K1851" s="34" t="n"/>
      <c r="L1851" s="26">
        <f>IF(A1851="","",MONTH(A1851))</f>
        <v/>
      </c>
      <c r="M1851" s="26">
        <f>IF(A1851="","",YEAR(A1851))</f>
        <v/>
      </c>
      <c r="N1851" s="26">
        <f>IF(A1851="","",CHOOSE(WEEKDAY(A1851,2),"Segunda","Terça","Quarta","Quinta","Sexta","Sábado","Domingo"))</f>
        <v/>
      </c>
      <c r="O1851" s="26">
        <f>IF(B1851="","",IF(B1851&lt;TIME(12,0,0),"Manhã",IF(B1851&lt;TIME(18,0,0),"Tarde","Noite")))</f>
        <v/>
      </c>
      <c r="P1851" s="32">
        <f>IF(G1851="","",IFERROR(INDEX(Config!$I$5:$I$16,MATCH(G1851,Config!$H$5:$H$16,0)),0))</f>
        <v/>
      </c>
      <c r="Q1851" s="30">
        <f>IF(OR(H1851&lt;&gt;"Realizado",P1851="",P1851=0),"",A1851+P1851)</f>
        <v/>
      </c>
      <c r="R1851" s="26">
        <f>IF(Q1851="","",IF(COUNTIFS($E$5:$E$3004,E1851,$A$5:$A$3004,"&gt;"&amp;A1851,$H$5:$H$3004,"&lt;&gt;Falta",$H$5:$H$3004,"&lt;&gt;Cancelado",$H$5:$H$3004,"&lt;&gt;Remarcado")&gt;0,"Sim","Não"))</f>
        <v/>
      </c>
      <c r="S1851" s="32">
        <f>IF(R1851&lt;&gt;"Não","",IF(Q1851+Config!$B$9&lt;=Config!$B$8,Config!$B$8-Q1851,""))</f>
        <v/>
      </c>
      <c r="T1851" s="26">
        <f>IF(S1851="","","Sim")</f>
        <v/>
      </c>
      <c r="U1851" s="41">
        <f>IF(T1851="Sim",S1851+ROW()/100000,0)</f>
        <v>0</v>
      </c>
      <c r="V1851" s="41">
        <f>IF(AND(H1851="Falta",L1851=Config!$B$7,M1851=Config!$B$5,COUNTIFS($E$5:E1851,E1851,$H$5:H1851,"Falta",$L$5:L1851,Config!$B$7,$M$5:M1851,Config!$B$5)=1),COUNTIFS($E$5:$E$3004,E1851,$H$5:$H$3004,"Falta",$L$5:$L$3004,Config!$B$7,$M$5:$M$3004,Config!$B$5)*1000-ROW()/100000,0)</f>
        <v>0</v>
      </c>
    </row>
    <row r="1852">
      <c r="A1852" s="39" t="n"/>
      <c r="B1852" s="40" t="n"/>
      <c r="C1852" s="35" t="n"/>
      <c r="D1852" s="35" t="n"/>
      <c r="E1852" s="34" t="n"/>
      <c r="F1852" s="35" t="n"/>
      <c r="G1852" s="35" t="n"/>
      <c r="H1852" s="35" t="n"/>
      <c r="I1852" s="35" t="n"/>
      <c r="J1852" s="35" t="n"/>
      <c r="K1852" s="34" t="n"/>
      <c r="L1852" s="26">
        <f>IF(A1852="","",MONTH(A1852))</f>
        <v/>
      </c>
      <c r="M1852" s="26">
        <f>IF(A1852="","",YEAR(A1852))</f>
        <v/>
      </c>
      <c r="N1852" s="26">
        <f>IF(A1852="","",CHOOSE(WEEKDAY(A1852,2),"Segunda","Terça","Quarta","Quinta","Sexta","Sábado","Domingo"))</f>
        <v/>
      </c>
      <c r="O1852" s="26">
        <f>IF(B1852="","",IF(B1852&lt;TIME(12,0,0),"Manhã",IF(B1852&lt;TIME(18,0,0),"Tarde","Noite")))</f>
        <v/>
      </c>
      <c r="P1852" s="32">
        <f>IF(G1852="","",IFERROR(INDEX(Config!$I$5:$I$16,MATCH(G1852,Config!$H$5:$H$16,0)),0))</f>
        <v/>
      </c>
      <c r="Q1852" s="30">
        <f>IF(OR(H1852&lt;&gt;"Realizado",P1852="",P1852=0),"",A1852+P1852)</f>
        <v/>
      </c>
      <c r="R1852" s="26">
        <f>IF(Q1852="","",IF(COUNTIFS($E$5:$E$3004,E1852,$A$5:$A$3004,"&gt;"&amp;A1852,$H$5:$H$3004,"&lt;&gt;Falta",$H$5:$H$3004,"&lt;&gt;Cancelado",$H$5:$H$3004,"&lt;&gt;Remarcado")&gt;0,"Sim","Não"))</f>
        <v/>
      </c>
      <c r="S1852" s="32">
        <f>IF(R1852&lt;&gt;"Não","",IF(Q1852+Config!$B$9&lt;=Config!$B$8,Config!$B$8-Q1852,""))</f>
        <v/>
      </c>
      <c r="T1852" s="26">
        <f>IF(S1852="","","Sim")</f>
        <v/>
      </c>
      <c r="U1852" s="41">
        <f>IF(T1852="Sim",S1852+ROW()/100000,0)</f>
        <v>0</v>
      </c>
      <c r="V1852" s="41">
        <f>IF(AND(H1852="Falta",L1852=Config!$B$7,M1852=Config!$B$5,COUNTIFS($E$5:E1852,E1852,$H$5:H1852,"Falta",$L$5:L1852,Config!$B$7,$M$5:M1852,Config!$B$5)=1),COUNTIFS($E$5:$E$3004,E1852,$H$5:$H$3004,"Falta",$L$5:$L$3004,Config!$B$7,$M$5:$M$3004,Config!$B$5)*1000-ROW()/100000,0)</f>
        <v>0</v>
      </c>
    </row>
    <row r="1853">
      <c r="A1853" s="39" t="n"/>
      <c r="B1853" s="40" t="n"/>
      <c r="C1853" s="35" t="n"/>
      <c r="D1853" s="35" t="n"/>
      <c r="E1853" s="34" t="n"/>
      <c r="F1853" s="35" t="n"/>
      <c r="G1853" s="35" t="n"/>
      <c r="H1853" s="35" t="n"/>
      <c r="I1853" s="35" t="n"/>
      <c r="J1853" s="35" t="n"/>
      <c r="K1853" s="34" t="n"/>
      <c r="L1853" s="26">
        <f>IF(A1853="","",MONTH(A1853))</f>
        <v/>
      </c>
      <c r="M1853" s="26">
        <f>IF(A1853="","",YEAR(A1853))</f>
        <v/>
      </c>
      <c r="N1853" s="26">
        <f>IF(A1853="","",CHOOSE(WEEKDAY(A1853,2),"Segunda","Terça","Quarta","Quinta","Sexta","Sábado","Domingo"))</f>
        <v/>
      </c>
      <c r="O1853" s="26">
        <f>IF(B1853="","",IF(B1853&lt;TIME(12,0,0),"Manhã",IF(B1853&lt;TIME(18,0,0),"Tarde","Noite")))</f>
        <v/>
      </c>
      <c r="P1853" s="32">
        <f>IF(G1853="","",IFERROR(INDEX(Config!$I$5:$I$16,MATCH(G1853,Config!$H$5:$H$16,0)),0))</f>
        <v/>
      </c>
      <c r="Q1853" s="30">
        <f>IF(OR(H1853&lt;&gt;"Realizado",P1853="",P1853=0),"",A1853+P1853)</f>
        <v/>
      </c>
      <c r="R1853" s="26">
        <f>IF(Q1853="","",IF(COUNTIFS($E$5:$E$3004,E1853,$A$5:$A$3004,"&gt;"&amp;A1853,$H$5:$H$3004,"&lt;&gt;Falta",$H$5:$H$3004,"&lt;&gt;Cancelado",$H$5:$H$3004,"&lt;&gt;Remarcado")&gt;0,"Sim","Não"))</f>
        <v/>
      </c>
      <c r="S1853" s="32">
        <f>IF(R1853&lt;&gt;"Não","",IF(Q1853+Config!$B$9&lt;=Config!$B$8,Config!$B$8-Q1853,""))</f>
        <v/>
      </c>
      <c r="T1853" s="26">
        <f>IF(S1853="","","Sim")</f>
        <v/>
      </c>
      <c r="U1853" s="41">
        <f>IF(T1853="Sim",S1853+ROW()/100000,0)</f>
        <v>0</v>
      </c>
      <c r="V1853" s="41">
        <f>IF(AND(H1853="Falta",L1853=Config!$B$7,M1853=Config!$B$5,COUNTIFS($E$5:E1853,E1853,$H$5:H1853,"Falta",$L$5:L1853,Config!$B$7,$M$5:M1853,Config!$B$5)=1),COUNTIFS($E$5:$E$3004,E1853,$H$5:$H$3004,"Falta",$L$5:$L$3004,Config!$B$7,$M$5:$M$3004,Config!$B$5)*1000-ROW()/100000,0)</f>
        <v>0</v>
      </c>
    </row>
    <row r="1854">
      <c r="A1854" s="39" t="n"/>
      <c r="B1854" s="40" t="n"/>
      <c r="C1854" s="35" t="n"/>
      <c r="D1854" s="35" t="n"/>
      <c r="E1854" s="34" t="n"/>
      <c r="F1854" s="35" t="n"/>
      <c r="G1854" s="35" t="n"/>
      <c r="H1854" s="35" t="n"/>
      <c r="I1854" s="35" t="n"/>
      <c r="J1854" s="35" t="n"/>
      <c r="K1854" s="34" t="n"/>
      <c r="L1854" s="26">
        <f>IF(A1854="","",MONTH(A1854))</f>
        <v/>
      </c>
      <c r="M1854" s="26">
        <f>IF(A1854="","",YEAR(A1854))</f>
        <v/>
      </c>
      <c r="N1854" s="26">
        <f>IF(A1854="","",CHOOSE(WEEKDAY(A1854,2),"Segunda","Terça","Quarta","Quinta","Sexta","Sábado","Domingo"))</f>
        <v/>
      </c>
      <c r="O1854" s="26">
        <f>IF(B1854="","",IF(B1854&lt;TIME(12,0,0),"Manhã",IF(B1854&lt;TIME(18,0,0),"Tarde","Noite")))</f>
        <v/>
      </c>
      <c r="P1854" s="32">
        <f>IF(G1854="","",IFERROR(INDEX(Config!$I$5:$I$16,MATCH(G1854,Config!$H$5:$H$16,0)),0))</f>
        <v/>
      </c>
      <c r="Q1854" s="30">
        <f>IF(OR(H1854&lt;&gt;"Realizado",P1854="",P1854=0),"",A1854+P1854)</f>
        <v/>
      </c>
      <c r="R1854" s="26">
        <f>IF(Q1854="","",IF(COUNTIFS($E$5:$E$3004,E1854,$A$5:$A$3004,"&gt;"&amp;A1854,$H$5:$H$3004,"&lt;&gt;Falta",$H$5:$H$3004,"&lt;&gt;Cancelado",$H$5:$H$3004,"&lt;&gt;Remarcado")&gt;0,"Sim","Não"))</f>
        <v/>
      </c>
      <c r="S1854" s="32">
        <f>IF(R1854&lt;&gt;"Não","",IF(Q1854+Config!$B$9&lt;=Config!$B$8,Config!$B$8-Q1854,""))</f>
        <v/>
      </c>
      <c r="T1854" s="26">
        <f>IF(S1854="","","Sim")</f>
        <v/>
      </c>
      <c r="U1854" s="41">
        <f>IF(T1854="Sim",S1854+ROW()/100000,0)</f>
        <v>0</v>
      </c>
      <c r="V1854" s="41">
        <f>IF(AND(H1854="Falta",L1854=Config!$B$7,M1854=Config!$B$5,COUNTIFS($E$5:E1854,E1854,$H$5:H1854,"Falta",$L$5:L1854,Config!$B$7,$M$5:M1854,Config!$B$5)=1),COUNTIFS($E$5:$E$3004,E1854,$H$5:$H$3004,"Falta",$L$5:$L$3004,Config!$B$7,$M$5:$M$3004,Config!$B$5)*1000-ROW()/100000,0)</f>
        <v>0</v>
      </c>
    </row>
    <row r="1855">
      <c r="A1855" s="39" t="n"/>
      <c r="B1855" s="40" t="n"/>
      <c r="C1855" s="35" t="n"/>
      <c r="D1855" s="35" t="n"/>
      <c r="E1855" s="34" t="n"/>
      <c r="F1855" s="35" t="n"/>
      <c r="G1855" s="35" t="n"/>
      <c r="H1855" s="35" t="n"/>
      <c r="I1855" s="35" t="n"/>
      <c r="J1855" s="35" t="n"/>
      <c r="K1855" s="34" t="n"/>
      <c r="L1855" s="26">
        <f>IF(A1855="","",MONTH(A1855))</f>
        <v/>
      </c>
      <c r="M1855" s="26">
        <f>IF(A1855="","",YEAR(A1855))</f>
        <v/>
      </c>
      <c r="N1855" s="26">
        <f>IF(A1855="","",CHOOSE(WEEKDAY(A1855,2),"Segunda","Terça","Quarta","Quinta","Sexta","Sábado","Domingo"))</f>
        <v/>
      </c>
      <c r="O1855" s="26">
        <f>IF(B1855="","",IF(B1855&lt;TIME(12,0,0),"Manhã",IF(B1855&lt;TIME(18,0,0),"Tarde","Noite")))</f>
        <v/>
      </c>
      <c r="P1855" s="32">
        <f>IF(G1855="","",IFERROR(INDEX(Config!$I$5:$I$16,MATCH(G1855,Config!$H$5:$H$16,0)),0))</f>
        <v/>
      </c>
      <c r="Q1855" s="30">
        <f>IF(OR(H1855&lt;&gt;"Realizado",P1855="",P1855=0),"",A1855+P1855)</f>
        <v/>
      </c>
      <c r="R1855" s="26">
        <f>IF(Q1855="","",IF(COUNTIFS($E$5:$E$3004,E1855,$A$5:$A$3004,"&gt;"&amp;A1855,$H$5:$H$3004,"&lt;&gt;Falta",$H$5:$H$3004,"&lt;&gt;Cancelado",$H$5:$H$3004,"&lt;&gt;Remarcado")&gt;0,"Sim","Não"))</f>
        <v/>
      </c>
      <c r="S1855" s="32">
        <f>IF(R1855&lt;&gt;"Não","",IF(Q1855+Config!$B$9&lt;=Config!$B$8,Config!$B$8-Q1855,""))</f>
        <v/>
      </c>
      <c r="T1855" s="26">
        <f>IF(S1855="","","Sim")</f>
        <v/>
      </c>
      <c r="U1855" s="41">
        <f>IF(T1855="Sim",S1855+ROW()/100000,0)</f>
        <v>0</v>
      </c>
      <c r="V1855" s="41">
        <f>IF(AND(H1855="Falta",L1855=Config!$B$7,M1855=Config!$B$5,COUNTIFS($E$5:E1855,E1855,$H$5:H1855,"Falta",$L$5:L1855,Config!$B$7,$M$5:M1855,Config!$B$5)=1),COUNTIFS($E$5:$E$3004,E1855,$H$5:$H$3004,"Falta",$L$5:$L$3004,Config!$B$7,$M$5:$M$3004,Config!$B$5)*1000-ROW()/100000,0)</f>
        <v>0</v>
      </c>
    </row>
    <row r="1856">
      <c r="A1856" s="39" t="n"/>
      <c r="B1856" s="40" t="n"/>
      <c r="C1856" s="35" t="n"/>
      <c r="D1856" s="35" t="n"/>
      <c r="E1856" s="34" t="n"/>
      <c r="F1856" s="35" t="n"/>
      <c r="G1856" s="35" t="n"/>
      <c r="H1856" s="35" t="n"/>
      <c r="I1856" s="35" t="n"/>
      <c r="J1856" s="35" t="n"/>
      <c r="K1856" s="34" t="n"/>
      <c r="L1856" s="26">
        <f>IF(A1856="","",MONTH(A1856))</f>
        <v/>
      </c>
      <c r="M1856" s="26">
        <f>IF(A1856="","",YEAR(A1856))</f>
        <v/>
      </c>
      <c r="N1856" s="26">
        <f>IF(A1856="","",CHOOSE(WEEKDAY(A1856,2),"Segunda","Terça","Quarta","Quinta","Sexta","Sábado","Domingo"))</f>
        <v/>
      </c>
      <c r="O1856" s="26">
        <f>IF(B1856="","",IF(B1856&lt;TIME(12,0,0),"Manhã",IF(B1856&lt;TIME(18,0,0),"Tarde","Noite")))</f>
        <v/>
      </c>
      <c r="P1856" s="32">
        <f>IF(G1856="","",IFERROR(INDEX(Config!$I$5:$I$16,MATCH(G1856,Config!$H$5:$H$16,0)),0))</f>
        <v/>
      </c>
      <c r="Q1856" s="30">
        <f>IF(OR(H1856&lt;&gt;"Realizado",P1856="",P1856=0),"",A1856+P1856)</f>
        <v/>
      </c>
      <c r="R1856" s="26">
        <f>IF(Q1856="","",IF(COUNTIFS($E$5:$E$3004,E1856,$A$5:$A$3004,"&gt;"&amp;A1856,$H$5:$H$3004,"&lt;&gt;Falta",$H$5:$H$3004,"&lt;&gt;Cancelado",$H$5:$H$3004,"&lt;&gt;Remarcado")&gt;0,"Sim","Não"))</f>
        <v/>
      </c>
      <c r="S1856" s="32">
        <f>IF(R1856&lt;&gt;"Não","",IF(Q1856+Config!$B$9&lt;=Config!$B$8,Config!$B$8-Q1856,""))</f>
        <v/>
      </c>
      <c r="T1856" s="26">
        <f>IF(S1856="","","Sim")</f>
        <v/>
      </c>
      <c r="U1856" s="41">
        <f>IF(T1856="Sim",S1856+ROW()/100000,0)</f>
        <v>0</v>
      </c>
      <c r="V1856" s="41">
        <f>IF(AND(H1856="Falta",L1856=Config!$B$7,M1856=Config!$B$5,COUNTIFS($E$5:E1856,E1856,$H$5:H1856,"Falta",$L$5:L1856,Config!$B$7,$M$5:M1856,Config!$B$5)=1),COUNTIFS($E$5:$E$3004,E1856,$H$5:$H$3004,"Falta",$L$5:$L$3004,Config!$B$7,$M$5:$M$3004,Config!$B$5)*1000-ROW()/100000,0)</f>
        <v>0</v>
      </c>
    </row>
    <row r="1857">
      <c r="A1857" s="39" t="n"/>
      <c r="B1857" s="40" t="n"/>
      <c r="C1857" s="35" t="n"/>
      <c r="D1857" s="35" t="n"/>
      <c r="E1857" s="34" t="n"/>
      <c r="F1857" s="35" t="n"/>
      <c r="G1857" s="35" t="n"/>
      <c r="H1857" s="35" t="n"/>
      <c r="I1857" s="35" t="n"/>
      <c r="J1857" s="35" t="n"/>
      <c r="K1857" s="34" t="n"/>
      <c r="L1857" s="26">
        <f>IF(A1857="","",MONTH(A1857))</f>
        <v/>
      </c>
      <c r="M1857" s="26">
        <f>IF(A1857="","",YEAR(A1857))</f>
        <v/>
      </c>
      <c r="N1857" s="26">
        <f>IF(A1857="","",CHOOSE(WEEKDAY(A1857,2),"Segunda","Terça","Quarta","Quinta","Sexta","Sábado","Domingo"))</f>
        <v/>
      </c>
      <c r="O1857" s="26">
        <f>IF(B1857="","",IF(B1857&lt;TIME(12,0,0),"Manhã",IF(B1857&lt;TIME(18,0,0),"Tarde","Noite")))</f>
        <v/>
      </c>
      <c r="P1857" s="32">
        <f>IF(G1857="","",IFERROR(INDEX(Config!$I$5:$I$16,MATCH(G1857,Config!$H$5:$H$16,0)),0))</f>
        <v/>
      </c>
      <c r="Q1857" s="30">
        <f>IF(OR(H1857&lt;&gt;"Realizado",P1857="",P1857=0),"",A1857+P1857)</f>
        <v/>
      </c>
      <c r="R1857" s="26">
        <f>IF(Q1857="","",IF(COUNTIFS($E$5:$E$3004,E1857,$A$5:$A$3004,"&gt;"&amp;A1857,$H$5:$H$3004,"&lt;&gt;Falta",$H$5:$H$3004,"&lt;&gt;Cancelado",$H$5:$H$3004,"&lt;&gt;Remarcado")&gt;0,"Sim","Não"))</f>
        <v/>
      </c>
      <c r="S1857" s="32">
        <f>IF(R1857&lt;&gt;"Não","",IF(Q1857+Config!$B$9&lt;=Config!$B$8,Config!$B$8-Q1857,""))</f>
        <v/>
      </c>
      <c r="T1857" s="26">
        <f>IF(S1857="","","Sim")</f>
        <v/>
      </c>
      <c r="U1857" s="41">
        <f>IF(T1857="Sim",S1857+ROW()/100000,0)</f>
        <v>0</v>
      </c>
      <c r="V1857" s="41">
        <f>IF(AND(H1857="Falta",L1857=Config!$B$7,M1857=Config!$B$5,COUNTIFS($E$5:E1857,E1857,$H$5:H1857,"Falta",$L$5:L1857,Config!$B$7,$M$5:M1857,Config!$B$5)=1),COUNTIFS($E$5:$E$3004,E1857,$H$5:$H$3004,"Falta",$L$5:$L$3004,Config!$B$7,$M$5:$M$3004,Config!$B$5)*1000-ROW()/100000,0)</f>
        <v>0</v>
      </c>
    </row>
    <row r="1858">
      <c r="A1858" s="39" t="n"/>
      <c r="B1858" s="40" t="n"/>
      <c r="C1858" s="35" t="n"/>
      <c r="D1858" s="35" t="n"/>
      <c r="E1858" s="34" t="n"/>
      <c r="F1858" s="35" t="n"/>
      <c r="G1858" s="35" t="n"/>
      <c r="H1858" s="35" t="n"/>
      <c r="I1858" s="35" t="n"/>
      <c r="J1858" s="35" t="n"/>
      <c r="K1858" s="34" t="n"/>
      <c r="L1858" s="26">
        <f>IF(A1858="","",MONTH(A1858))</f>
        <v/>
      </c>
      <c r="M1858" s="26">
        <f>IF(A1858="","",YEAR(A1858))</f>
        <v/>
      </c>
      <c r="N1858" s="26">
        <f>IF(A1858="","",CHOOSE(WEEKDAY(A1858,2),"Segunda","Terça","Quarta","Quinta","Sexta","Sábado","Domingo"))</f>
        <v/>
      </c>
      <c r="O1858" s="26">
        <f>IF(B1858="","",IF(B1858&lt;TIME(12,0,0),"Manhã",IF(B1858&lt;TIME(18,0,0),"Tarde","Noite")))</f>
        <v/>
      </c>
      <c r="P1858" s="32">
        <f>IF(G1858="","",IFERROR(INDEX(Config!$I$5:$I$16,MATCH(G1858,Config!$H$5:$H$16,0)),0))</f>
        <v/>
      </c>
      <c r="Q1858" s="30">
        <f>IF(OR(H1858&lt;&gt;"Realizado",P1858="",P1858=0),"",A1858+P1858)</f>
        <v/>
      </c>
      <c r="R1858" s="26">
        <f>IF(Q1858="","",IF(COUNTIFS($E$5:$E$3004,E1858,$A$5:$A$3004,"&gt;"&amp;A1858,$H$5:$H$3004,"&lt;&gt;Falta",$H$5:$H$3004,"&lt;&gt;Cancelado",$H$5:$H$3004,"&lt;&gt;Remarcado")&gt;0,"Sim","Não"))</f>
        <v/>
      </c>
      <c r="S1858" s="32">
        <f>IF(R1858&lt;&gt;"Não","",IF(Q1858+Config!$B$9&lt;=Config!$B$8,Config!$B$8-Q1858,""))</f>
        <v/>
      </c>
      <c r="T1858" s="26">
        <f>IF(S1858="","","Sim")</f>
        <v/>
      </c>
      <c r="U1858" s="41">
        <f>IF(T1858="Sim",S1858+ROW()/100000,0)</f>
        <v>0</v>
      </c>
      <c r="V1858" s="41">
        <f>IF(AND(H1858="Falta",L1858=Config!$B$7,M1858=Config!$B$5,COUNTIFS($E$5:E1858,E1858,$H$5:H1858,"Falta",$L$5:L1858,Config!$B$7,$M$5:M1858,Config!$B$5)=1),COUNTIFS($E$5:$E$3004,E1858,$H$5:$H$3004,"Falta",$L$5:$L$3004,Config!$B$7,$M$5:$M$3004,Config!$B$5)*1000-ROW()/100000,0)</f>
        <v>0</v>
      </c>
    </row>
    <row r="1859">
      <c r="A1859" s="39" t="n"/>
      <c r="B1859" s="40" t="n"/>
      <c r="C1859" s="35" t="n"/>
      <c r="D1859" s="35" t="n"/>
      <c r="E1859" s="34" t="n"/>
      <c r="F1859" s="35" t="n"/>
      <c r="G1859" s="35" t="n"/>
      <c r="H1859" s="35" t="n"/>
      <c r="I1859" s="35" t="n"/>
      <c r="J1859" s="35" t="n"/>
      <c r="K1859" s="34" t="n"/>
      <c r="L1859" s="26">
        <f>IF(A1859="","",MONTH(A1859))</f>
        <v/>
      </c>
      <c r="M1859" s="26">
        <f>IF(A1859="","",YEAR(A1859))</f>
        <v/>
      </c>
      <c r="N1859" s="26">
        <f>IF(A1859="","",CHOOSE(WEEKDAY(A1859,2),"Segunda","Terça","Quarta","Quinta","Sexta","Sábado","Domingo"))</f>
        <v/>
      </c>
      <c r="O1859" s="26">
        <f>IF(B1859="","",IF(B1859&lt;TIME(12,0,0),"Manhã",IF(B1859&lt;TIME(18,0,0),"Tarde","Noite")))</f>
        <v/>
      </c>
      <c r="P1859" s="32">
        <f>IF(G1859="","",IFERROR(INDEX(Config!$I$5:$I$16,MATCH(G1859,Config!$H$5:$H$16,0)),0))</f>
        <v/>
      </c>
      <c r="Q1859" s="30">
        <f>IF(OR(H1859&lt;&gt;"Realizado",P1859="",P1859=0),"",A1859+P1859)</f>
        <v/>
      </c>
      <c r="R1859" s="26">
        <f>IF(Q1859="","",IF(COUNTIFS($E$5:$E$3004,E1859,$A$5:$A$3004,"&gt;"&amp;A1859,$H$5:$H$3004,"&lt;&gt;Falta",$H$5:$H$3004,"&lt;&gt;Cancelado",$H$5:$H$3004,"&lt;&gt;Remarcado")&gt;0,"Sim","Não"))</f>
        <v/>
      </c>
      <c r="S1859" s="32">
        <f>IF(R1859&lt;&gt;"Não","",IF(Q1859+Config!$B$9&lt;=Config!$B$8,Config!$B$8-Q1859,""))</f>
        <v/>
      </c>
      <c r="T1859" s="26">
        <f>IF(S1859="","","Sim")</f>
        <v/>
      </c>
      <c r="U1859" s="41">
        <f>IF(T1859="Sim",S1859+ROW()/100000,0)</f>
        <v>0</v>
      </c>
      <c r="V1859" s="41">
        <f>IF(AND(H1859="Falta",L1859=Config!$B$7,M1859=Config!$B$5,COUNTIFS($E$5:E1859,E1859,$H$5:H1859,"Falta",$L$5:L1859,Config!$B$7,$M$5:M1859,Config!$B$5)=1),COUNTIFS($E$5:$E$3004,E1859,$H$5:$H$3004,"Falta",$L$5:$L$3004,Config!$B$7,$M$5:$M$3004,Config!$B$5)*1000-ROW()/100000,0)</f>
        <v>0</v>
      </c>
    </row>
    <row r="1860">
      <c r="A1860" s="39" t="n"/>
      <c r="B1860" s="40" t="n"/>
      <c r="C1860" s="35" t="n"/>
      <c r="D1860" s="35" t="n"/>
      <c r="E1860" s="34" t="n"/>
      <c r="F1860" s="35" t="n"/>
      <c r="G1860" s="35" t="n"/>
      <c r="H1860" s="35" t="n"/>
      <c r="I1860" s="35" t="n"/>
      <c r="J1860" s="35" t="n"/>
      <c r="K1860" s="34" t="n"/>
      <c r="L1860" s="26">
        <f>IF(A1860="","",MONTH(A1860))</f>
        <v/>
      </c>
      <c r="M1860" s="26">
        <f>IF(A1860="","",YEAR(A1860))</f>
        <v/>
      </c>
      <c r="N1860" s="26">
        <f>IF(A1860="","",CHOOSE(WEEKDAY(A1860,2),"Segunda","Terça","Quarta","Quinta","Sexta","Sábado","Domingo"))</f>
        <v/>
      </c>
      <c r="O1860" s="26">
        <f>IF(B1860="","",IF(B1860&lt;TIME(12,0,0),"Manhã",IF(B1860&lt;TIME(18,0,0),"Tarde","Noite")))</f>
        <v/>
      </c>
      <c r="P1860" s="32">
        <f>IF(G1860="","",IFERROR(INDEX(Config!$I$5:$I$16,MATCH(G1860,Config!$H$5:$H$16,0)),0))</f>
        <v/>
      </c>
      <c r="Q1860" s="30">
        <f>IF(OR(H1860&lt;&gt;"Realizado",P1860="",P1860=0),"",A1860+P1860)</f>
        <v/>
      </c>
      <c r="R1860" s="26">
        <f>IF(Q1860="","",IF(COUNTIFS($E$5:$E$3004,E1860,$A$5:$A$3004,"&gt;"&amp;A1860,$H$5:$H$3004,"&lt;&gt;Falta",$H$5:$H$3004,"&lt;&gt;Cancelado",$H$5:$H$3004,"&lt;&gt;Remarcado")&gt;0,"Sim","Não"))</f>
        <v/>
      </c>
      <c r="S1860" s="32">
        <f>IF(R1860&lt;&gt;"Não","",IF(Q1860+Config!$B$9&lt;=Config!$B$8,Config!$B$8-Q1860,""))</f>
        <v/>
      </c>
      <c r="T1860" s="26">
        <f>IF(S1860="","","Sim")</f>
        <v/>
      </c>
      <c r="U1860" s="41">
        <f>IF(T1860="Sim",S1860+ROW()/100000,0)</f>
        <v>0</v>
      </c>
      <c r="V1860" s="41">
        <f>IF(AND(H1860="Falta",L1860=Config!$B$7,M1860=Config!$B$5,COUNTIFS($E$5:E1860,E1860,$H$5:H1860,"Falta",$L$5:L1860,Config!$B$7,$M$5:M1860,Config!$B$5)=1),COUNTIFS($E$5:$E$3004,E1860,$H$5:$H$3004,"Falta",$L$5:$L$3004,Config!$B$7,$M$5:$M$3004,Config!$B$5)*1000-ROW()/100000,0)</f>
        <v>0</v>
      </c>
    </row>
    <row r="1861">
      <c r="A1861" s="39" t="n"/>
      <c r="B1861" s="40" t="n"/>
      <c r="C1861" s="35" t="n"/>
      <c r="D1861" s="35" t="n"/>
      <c r="E1861" s="34" t="n"/>
      <c r="F1861" s="35" t="n"/>
      <c r="G1861" s="35" t="n"/>
      <c r="H1861" s="35" t="n"/>
      <c r="I1861" s="35" t="n"/>
      <c r="J1861" s="35" t="n"/>
      <c r="K1861" s="34" t="n"/>
      <c r="L1861" s="26">
        <f>IF(A1861="","",MONTH(A1861))</f>
        <v/>
      </c>
      <c r="M1861" s="26">
        <f>IF(A1861="","",YEAR(A1861))</f>
        <v/>
      </c>
      <c r="N1861" s="26">
        <f>IF(A1861="","",CHOOSE(WEEKDAY(A1861,2),"Segunda","Terça","Quarta","Quinta","Sexta","Sábado","Domingo"))</f>
        <v/>
      </c>
      <c r="O1861" s="26">
        <f>IF(B1861="","",IF(B1861&lt;TIME(12,0,0),"Manhã",IF(B1861&lt;TIME(18,0,0),"Tarde","Noite")))</f>
        <v/>
      </c>
      <c r="P1861" s="32">
        <f>IF(G1861="","",IFERROR(INDEX(Config!$I$5:$I$16,MATCH(G1861,Config!$H$5:$H$16,0)),0))</f>
        <v/>
      </c>
      <c r="Q1861" s="30">
        <f>IF(OR(H1861&lt;&gt;"Realizado",P1861="",P1861=0),"",A1861+P1861)</f>
        <v/>
      </c>
      <c r="R1861" s="26">
        <f>IF(Q1861="","",IF(COUNTIFS($E$5:$E$3004,E1861,$A$5:$A$3004,"&gt;"&amp;A1861,$H$5:$H$3004,"&lt;&gt;Falta",$H$5:$H$3004,"&lt;&gt;Cancelado",$H$5:$H$3004,"&lt;&gt;Remarcado")&gt;0,"Sim","Não"))</f>
        <v/>
      </c>
      <c r="S1861" s="32">
        <f>IF(R1861&lt;&gt;"Não","",IF(Q1861+Config!$B$9&lt;=Config!$B$8,Config!$B$8-Q1861,""))</f>
        <v/>
      </c>
      <c r="T1861" s="26">
        <f>IF(S1861="","","Sim")</f>
        <v/>
      </c>
      <c r="U1861" s="41">
        <f>IF(T1861="Sim",S1861+ROW()/100000,0)</f>
        <v>0</v>
      </c>
      <c r="V1861" s="41">
        <f>IF(AND(H1861="Falta",L1861=Config!$B$7,M1861=Config!$B$5,COUNTIFS($E$5:E1861,E1861,$H$5:H1861,"Falta",$L$5:L1861,Config!$B$7,$M$5:M1861,Config!$B$5)=1),COUNTIFS($E$5:$E$3004,E1861,$H$5:$H$3004,"Falta",$L$5:$L$3004,Config!$B$7,$M$5:$M$3004,Config!$B$5)*1000-ROW()/100000,0)</f>
        <v>0</v>
      </c>
    </row>
    <row r="1862">
      <c r="A1862" s="39" t="n"/>
      <c r="B1862" s="40" t="n"/>
      <c r="C1862" s="35" t="n"/>
      <c r="D1862" s="35" t="n"/>
      <c r="E1862" s="34" t="n"/>
      <c r="F1862" s="35" t="n"/>
      <c r="G1862" s="35" t="n"/>
      <c r="H1862" s="35" t="n"/>
      <c r="I1862" s="35" t="n"/>
      <c r="J1862" s="35" t="n"/>
      <c r="K1862" s="34" t="n"/>
      <c r="L1862" s="26">
        <f>IF(A1862="","",MONTH(A1862))</f>
        <v/>
      </c>
      <c r="M1862" s="26">
        <f>IF(A1862="","",YEAR(A1862))</f>
        <v/>
      </c>
      <c r="N1862" s="26">
        <f>IF(A1862="","",CHOOSE(WEEKDAY(A1862,2),"Segunda","Terça","Quarta","Quinta","Sexta","Sábado","Domingo"))</f>
        <v/>
      </c>
      <c r="O1862" s="26">
        <f>IF(B1862="","",IF(B1862&lt;TIME(12,0,0),"Manhã",IF(B1862&lt;TIME(18,0,0),"Tarde","Noite")))</f>
        <v/>
      </c>
      <c r="P1862" s="32">
        <f>IF(G1862="","",IFERROR(INDEX(Config!$I$5:$I$16,MATCH(G1862,Config!$H$5:$H$16,0)),0))</f>
        <v/>
      </c>
      <c r="Q1862" s="30">
        <f>IF(OR(H1862&lt;&gt;"Realizado",P1862="",P1862=0),"",A1862+P1862)</f>
        <v/>
      </c>
      <c r="R1862" s="26">
        <f>IF(Q1862="","",IF(COUNTIFS($E$5:$E$3004,E1862,$A$5:$A$3004,"&gt;"&amp;A1862,$H$5:$H$3004,"&lt;&gt;Falta",$H$5:$H$3004,"&lt;&gt;Cancelado",$H$5:$H$3004,"&lt;&gt;Remarcado")&gt;0,"Sim","Não"))</f>
        <v/>
      </c>
      <c r="S1862" s="32">
        <f>IF(R1862&lt;&gt;"Não","",IF(Q1862+Config!$B$9&lt;=Config!$B$8,Config!$B$8-Q1862,""))</f>
        <v/>
      </c>
      <c r="T1862" s="26">
        <f>IF(S1862="","","Sim")</f>
        <v/>
      </c>
      <c r="U1862" s="41">
        <f>IF(T1862="Sim",S1862+ROW()/100000,0)</f>
        <v>0</v>
      </c>
      <c r="V1862" s="41">
        <f>IF(AND(H1862="Falta",L1862=Config!$B$7,M1862=Config!$B$5,COUNTIFS($E$5:E1862,E1862,$H$5:H1862,"Falta",$L$5:L1862,Config!$B$7,$M$5:M1862,Config!$B$5)=1),COUNTIFS($E$5:$E$3004,E1862,$H$5:$H$3004,"Falta",$L$5:$L$3004,Config!$B$7,$M$5:$M$3004,Config!$B$5)*1000-ROW()/100000,0)</f>
        <v>0</v>
      </c>
    </row>
    <row r="1863">
      <c r="A1863" s="39" t="n"/>
      <c r="B1863" s="40" t="n"/>
      <c r="C1863" s="35" t="n"/>
      <c r="D1863" s="35" t="n"/>
      <c r="E1863" s="34" t="n"/>
      <c r="F1863" s="35" t="n"/>
      <c r="G1863" s="35" t="n"/>
      <c r="H1863" s="35" t="n"/>
      <c r="I1863" s="35" t="n"/>
      <c r="J1863" s="35" t="n"/>
      <c r="K1863" s="34" t="n"/>
      <c r="L1863" s="26">
        <f>IF(A1863="","",MONTH(A1863))</f>
        <v/>
      </c>
      <c r="M1863" s="26">
        <f>IF(A1863="","",YEAR(A1863))</f>
        <v/>
      </c>
      <c r="N1863" s="26">
        <f>IF(A1863="","",CHOOSE(WEEKDAY(A1863,2),"Segunda","Terça","Quarta","Quinta","Sexta","Sábado","Domingo"))</f>
        <v/>
      </c>
      <c r="O1863" s="26">
        <f>IF(B1863="","",IF(B1863&lt;TIME(12,0,0),"Manhã",IF(B1863&lt;TIME(18,0,0),"Tarde","Noite")))</f>
        <v/>
      </c>
      <c r="P1863" s="32">
        <f>IF(G1863="","",IFERROR(INDEX(Config!$I$5:$I$16,MATCH(G1863,Config!$H$5:$H$16,0)),0))</f>
        <v/>
      </c>
      <c r="Q1863" s="30">
        <f>IF(OR(H1863&lt;&gt;"Realizado",P1863="",P1863=0),"",A1863+P1863)</f>
        <v/>
      </c>
      <c r="R1863" s="26">
        <f>IF(Q1863="","",IF(COUNTIFS($E$5:$E$3004,E1863,$A$5:$A$3004,"&gt;"&amp;A1863,$H$5:$H$3004,"&lt;&gt;Falta",$H$5:$H$3004,"&lt;&gt;Cancelado",$H$5:$H$3004,"&lt;&gt;Remarcado")&gt;0,"Sim","Não"))</f>
        <v/>
      </c>
      <c r="S1863" s="32">
        <f>IF(R1863&lt;&gt;"Não","",IF(Q1863+Config!$B$9&lt;=Config!$B$8,Config!$B$8-Q1863,""))</f>
        <v/>
      </c>
      <c r="T1863" s="26">
        <f>IF(S1863="","","Sim")</f>
        <v/>
      </c>
      <c r="U1863" s="41">
        <f>IF(T1863="Sim",S1863+ROW()/100000,0)</f>
        <v>0</v>
      </c>
      <c r="V1863" s="41">
        <f>IF(AND(H1863="Falta",L1863=Config!$B$7,M1863=Config!$B$5,COUNTIFS($E$5:E1863,E1863,$H$5:H1863,"Falta",$L$5:L1863,Config!$B$7,$M$5:M1863,Config!$B$5)=1),COUNTIFS($E$5:$E$3004,E1863,$H$5:$H$3004,"Falta",$L$5:$L$3004,Config!$B$7,$M$5:$M$3004,Config!$B$5)*1000-ROW()/100000,0)</f>
        <v>0</v>
      </c>
    </row>
    <row r="1864">
      <c r="A1864" s="39" t="n"/>
      <c r="B1864" s="40" t="n"/>
      <c r="C1864" s="35" t="n"/>
      <c r="D1864" s="35" t="n"/>
      <c r="E1864" s="34" t="n"/>
      <c r="F1864" s="35" t="n"/>
      <c r="G1864" s="35" t="n"/>
      <c r="H1864" s="35" t="n"/>
      <c r="I1864" s="35" t="n"/>
      <c r="J1864" s="35" t="n"/>
      <c r="K1864" s="34" t="n"/>
      <c r="L1864" s="26">
        <f>IF(A1864="","",MONTH(A1864))</f>
        <v/>
      </c>
      <c r="M1864" s="26">
        <f>IF(A1864="","",YEAR(A1864))</f>
        <v/>
      </c>
      <c r="N1864" s="26">
        <f>IF(A1864="","",CHOOSE(WEEKDAY(A1864,2),"Segunda","Terça","Quarta","Quinta","Sexta","Sábado","Domingo"))</f>
        <v/>
      </c>
      <c r="O1864" s="26">
        <f>IF(B1864="","",IF(B1864&lt;TIME(12,0,0),"Manhã",IF(B1864&lt;TIME(18,0,0),"Tarde","Noite")))</f>
        <v/>
      </c>
      <c r="P1864" s="32">
        <f>IF(G1864="","",IFERROR(INDEX(Config!$I$5:$I$16,MATCH(G1864,Config!$H$5:$H$16,0)),0))</f>
        <v/>
      </c>
      <c r="Q1864" s="30">
        <f>IF(OR(H1864&lt;&gt;"Realizado",P1864="",P1864=0),"",A1864+P1864)</f>
        <v/>
      </c>
      <c r="R1864" s="26">
        <f>IF(Q1864="","",IF(COUNTIFS($E$5:$E$3004,E1864,$A$5:$A$3004,"&gt;"&amp;A1864,$H$5:$H$3004,"&lt;&gt;Falta",$H$5:$H$3004,"&lt;&gt;Cancelado",$H$5:$H$3004,"&lt;&gt;Remarcado")&gt;0,"Sim","Não"))</f>
        <v/>
      </c>
      <c r="S1864" s="32">
        <f>IF(R1864&lt;&gt;"Não","",IF(Q1864+Config!$B$9&lt;=Config!$B$8,Config!$B$8-Q1864,""))</f>
        <v/>
      </c>
      <c r="T1864" s="26">
        <f>IF(S1864="","","Sim")</f>
        <v/>
      </c>
      <c r="U1864" s="41">
        <f>IF(T1864="Sim",S1864+ROW()/100000,0)</f>
        <v>0</v>
      </c>
      <c r="V1864" s="41">
        <f>IF(AND(H1864="Falta",L1864=Config!$B$7,M1864=Config!$B$5,COUNTIFS($E$5:E1864,E1864,$H$5:H1864,"Falta",$L$5:L1864,Config!$B$7,$M$5:M1864,Config!$B$5)=1),COUNTIFS($E$5:$E$3004,E1864,$H$5:$H$3004,"Falta",$L$5:$L$3004,Config!$B$7,$M$5:$M$3004,Config!$B$5)*1000-ROW()/100000,0)</f>
        <v>0</v>
      </c>
    </row>
    <row r="1865">
      <c r="A1865" s="39" t="n"/>
      <c r="B1865" s="40" t="n"/>
      <c r="C1865" s="35" t="n"/>
      <c r="D1865" s="35" t="n"/>
      <c r="E1865" s="34" t="n"/>
      <c r="F1865" s="35" t="n"/>
      <c r="G1865" s="35" t="n"/>
      <c r="H1865" s="35" t="n"/>
      <c r="I1865" s="35" t="n"/>
      <c r="J1865" s="35" t="n"/>
      <c r="K1865" s="34" t="n"/>
      <c r="L1865" s="26">
        <f>IF(A1865="","",MONTH(A1865))</f>
        <v/>
      </c>
      <c r="M1865" s="26">
        <f>IF(A1865="","",YEAR(A1865))</f>
        <v/>
      </c>
      <c r="N1865" s="26">
        <f>IF(A1865="","",CHOOSE(WEEKDAY(A1865,2),"Segunda","Terça","Quarta","Quinta","Sexta","Sábado","Domingo"))</f>
        <v/>
      </c>
      <c r="O1865" s="26">
        <f>IF(B1865="","",IF(B1865&lt;TIME(12,0,0),"Manhã",IF(B1865&lt;TIME(18,0,0),"Tarde","Noite")))</f>
        <v/>
      </c>
      <c r="P1865" s="32">
        <f>IF(G1865="","",IFERROR(INDEX(Config!$I$5:$I$16,MATCH(G1865,Config!$H$5:$H$16,0)),0))</f>
        <v/>
      </c>
      <c r="Q1865" s="30">
        <f>IF(OR(H1865&lt;&gt;"Realizado",P1865="",P1865=0),"",A1865+P1865)</f>
        <v/>
      </c>
      <c r="R1865" s="26">
        <f>IF(Q1865="","",IF(COUNTIFS($E$5:$E$3004,E1865,$A$5:$A$3004,"&gt;"&amp;A1865,$H$5:$H$3004,"&lt;&gt;Falta",$H$5:$H$3004,"&lt;&gt;Cancelado",$H$5:$H$3004,"&lt;&gt;Remarcado")&gt;0,"Sim","Não"))</f>
        <v/>
      </c>
      <c r="S1865" s="32">
        <f>IF(R1865&lt;&gt;"Não","",IF(Q1865+Config!$B$9&lt;=Config!$B$8,Config!$B$8-Q1865,""))</f>
        <v/>
      </c>
      <c r="T1865" s="26">
        <f>IF(S1865="","","Sim")</f>
        <v/>
      </c>
      <c r="U1865" s="41">
        <f>IF(T1865="Sim",S1865+ROW()/100000,0)</f>
        <v>0</v>
      </c>
      <c r="V1865" s="41">
        <f>IF(AND(H1865="Falta",L1865=Config!$B$7,M1865=Config!$B$5,COUNTIFS($E$5:E1865,E1865,$H$5:H1865,"Falta",$L$5:L1865,Config!$B$7,$M$5:M1865,Config!$B$5)=1),COUNTIFS($E$5:$E$3004,E1865,$H$5:$H$3004,"Falta",$L$5:$L$3004,Config!$B$7,$M$5:$M$3004,Config!$B$5)*1000-ROW()/100000,0)</f>
        <v>0</v>
      </c>
    </row>
    <row r="1866">
      <c r="A1866" s="39" t="n"/>
      <c r="B1866" s="40" t="n"/>
      <c r="C1866" s="35" t="n"/>
      <c r="D1866" s="35" t="n"/>
      <c r="E1866" s="34" t="n"/>
      <c r="F1866" s="35" t="n"/>
      <c r="G1866" s="35" t="n"/>
      <c r="H1866" s="35" t="n"/>
      <c r="I1866" s="35" t="n"/>
      <c r="J1866" s="35" t="n"/>
      <c r="K1866" s="34" t="n"/>
      <c r="L1866" s="26">
        <f>IF(A1866="","",MONTH(A1866))</f>
        <v/>
      </c>
      <c r="M1866" s="26">
        <f>IF(A1866="","",YEAR(A1866))</f>
        <v/>
      </c>
      <c r="N1866" s="26">
        <f>IF(A1866="","",CHOOSE(WEEKDAY(A1866,2),"Segunda","Terça","Quarta","Quinta","Sexta","Sábado","Domingo"))</f>
        <v/>
      </c>
      <c r="O1866" s="26">
        <f>IF(B1866="","",IF(B1866&lt;TIME(12,0,0),"Manhã",IF(B1866&lt;TIME(18,0,0),"Tarde","Noite")))</f>
        <v/>
      </c>
      <c r="P1866" s="32">
        <f>IF(G1866="","",IFERROR(INDEX(Config!$I$5:$I$16,MATCH(G1866,Config!$H$5:$H$16,0)),0))</f>
        <v/>
      </c>
      <c r="Q1866" s="30">
        <f>IF(OR(H1866&lt;&gt;"Realizado",P1866="",P1866=0),"",A1866+P1866)</f>
        <v/>
      </c>
      <c r="R1866" s="26">
        <f>IF(Q1866="","",IF(COUNTIFS($E$5:$E$3004,E1866,$A$5:$A$3004,"&gt;"&amp;A1866,$H$5:$H$3004,"&lt;&gt;Falta",$H$5:$H$3004,"&lt;&gt;Cancelado",$H$5:$H$3004,"&lt;&gt;Remarcado")&gt;0,"Sim","Não"))</f>
        <v/>
      </c>
      <c r="S1866" s="32">
        <f>IF(R1866&lt;&gt;"Não","",IF(Q1866+Config!$B$9&lt;=Config!$B$8,Config!$B$8-Q1866,""))</f>
        <v/>
      </c>
      <c r="T1866" s="26">
        <f>IF(S1866="","","Sim")</f>
        <v/>
      </c>
      <c r="U1866" s="41">
        <f>IF(T1866="Sim",S1866+ROW()/100000,0)</f>
        <v>0</v>
      </c>
      <c r="V1866" s="41">
        <f>IF(AND(H1866="Falta",L1866=Config!$B$7,M1866=Config!$B$5,COUNTIFS($E$5:E1866,E1866,$H$5:H1866,"Falta",$L$5:L1866,Config!$B$7,$M$5:M1866,Config!$B$5)=1),COUNTIFS($E$5:$E$3004,E1866,$H$5:$H$3004,"Falta",$L$5:$L$3004,Config!$B$7,$M$5:$M$3004,Config!$B$5)*1000-ROW()/100000,0)</f>
        <v>0</v>
      </c>
    </row>
    <row r="1867">
      <c r="A1867" s="39" t="n"/>
      <c r="B1867" s="40" t="n"/>
      <c r="C1867" s="35" t="n"/>
      <c r="D1867" s="35" t="n"/>
      <c r="E1867" s="34" t="n"/>
      <c r="F1867" s="35" t="n"/>
      <c r="G1867" s="35" t="n"/>
      <c r="H1867" s="35" t="n"/>
      <c r="I1867" s="35" t="n"/>
      <c r="J1867" s="35" t="n"/>
      <c r="K1867" s="34" t="n"/>
      <c r="L1867" s="26">
        <f>IF(A1867="","",MONTH(A1867))</f>
        <v/>
      </c>
      <c r="M1867" s="26">
        <f>IF(A1867="","",YEAR(A1867))</f>
        <v/>
      </c>
      <c r="N1867" s="26">
        <f>IF(A1867="","",CHOOSE(WEEKDAY(A1867,2),"Segunda","Terça","Quarta","Quinta","Sexta","Sábado","Domingo"))</f>
        <v/>
      </c>
      <c r="O1867" s="26">
        <f>IF(B1867="","",IF(B1867&lt;TIME(12,0,0),"Manhã",IF(B1867&lt;TIME(18,0,0),"Tarde","Noite")))</f>
        <v/>
      </c>
      <c r="P1867" s="32">
        <f>IF(G1867="","",IFERROR(INDEX(Config!$I$5:$I$16,MATCH(G1867,Config!$H$5:$H$16,0)),0))</f>
        <v/>
      </c>
      <c r="Q1867" s="30">
        <f>IF(OR(H1867&lt;&gt;"Realizado",P1867="",P1867=0),"",A1867+P1867)</f>
        <v/>
      </c>
      <c r="R1867" s="26">
        <f>IF(Q1867="","",IF(COUNTIFS($E$5:$E$3004,E1867,$A$5:$A$3004,"&gt;"&amp;A1867,$H$5:$H$3004,"&lt;&gt;Falta",$H$5:$H$3004,"&lt;&gt;Cancelado",$H$5:$H$3004,"&lt;&gt;Remarcado")&gt;0,"Sim","Não"))</f>
        <v/>
      </c>
      <c r="S1867" s="32">
        <f>IF(R1867&lt;&gt;"Não","",IF(Q1867+Config!$B$9&lt;=Config!$B$8,Config!$B$8-Q1867,""))</f>
        <v/>
      </c>
      <c r="T1867" s="26">
        <f>IF(S1867="","","Sim")</f>
        <v/>
      </c>
      <c r="U1867" s="41">
        <f>IF(T1867="Sim",S1867+ROW()/100000,0)</f>
        <v>0</v>
      </c>
      <c r="V1867" s="41">
        <f>IF(AND(H1867="Falta",L1867=Config!$B$7,M1867=Config!$B$5,COUNTIFS($E$5:E1867,E1867,$H$5:H1867,"Falta",$L$5:L1867,Config!$B$7,$M$5:M1867,Config!$B$5)=1),COUNTIFS($E$5:$E$3004,E1867,$H$5:$H$3004,"Falta",$L$5:$L$3004,Config!$B$7,$M$5:$M$3004,Config!$B$5)*1000-ROW()/100000,0)</f>
        <v>0</v>
      </c>
    </row>
    <row r="1868">
      <c r="A1868" s="39" t="n"/>
      <c r="B1868" s="40" t="n"/>
      <c r="C1868" s="35" t="n"/>
      <c r="D1868" s="35" t="n"/>
      <c r="E1868" s="34" t="n"/>
      <c r="F1868" s="35" t="n"/>
      <c r="G1868" s="35" t="n"/>
      <c r="H1868" s="35" t="n"/>
      <c r="I1868" s="35" t="n"/>
      <c r="J1868" s="35" t="n"/>
      <c r="K1868" s="34" t="n"/>
      <c r="L1868" s="26">
        <f>IF(A1868="","",MONTH(A1868))</f>
        <v/>
      </c>
      <c r="M1868" s="26">
        <f>IF(A1868="","",YEAR(A1868))</f>
        <v/>
      </c>
      <c r="N1868" s="26">
        <f>IF(A1868="","",CHOOSE(WEEKDAY(A1868,2),"Segunda","Terça","Quarta","Quinta","Sexta","Sábado","Domingo"))</f>
        <v/>
      </c>
      <c r="O1868" s="26">
        <f>IF(B1868="","",IF(B1868&lt;TIME(12,0,0),"Manhã",IF(B1868&lt;TIME(18,0,0),"Tarde","Noite")))</f>
        <v/>
      </c>
      <c r="P1868" s="32">
        <f>IF(G1868="","",IFERROR(INDEX(Config!$I$5:$I$16,MATCH(G1868,Config!$H$5:$H$16,0)),0))</f>
        <v/>
      </c>
      <c r="Q1868" s="30">
        <f>IF(OR(H1868&lt;&gt;"Realizado",P1868="",P1868=0),"",A1868+P1868)</f>
        <v/>
      </c>
      <c r="R1868" s="26">
        <f>IF(Q1868="","",IF(COUNTIFS($E$5:$E$3004,E1868,$A$5:$A$3004,"&gt;"&amp;A1868,$H$5:$H$3004,"&lt;&gt;Falta",$H$5:$H$3004,"&lt;&gt;Cancelado",$H$5:$H$3004,"&lt;&gt;Remarcado")&gt;0,"Sim","Não"))</f>
        <v/>
      </c>
      <c r="S1868" s="32">
        <f>IF(R1868&lt;&gt;"Não","",IF(Q1868+Config!$B$9&lt;=Config!$B$8,Config!$B$8-Q1868,""))</f>
        <v/>
      </c>
      <c r="T1868" s="26">
        <f>IF(S1868="","","Sim")</f>
        <v/>
      </c>
      <c r="U1868" s="41">
        <f>IF(T1868="Sim",S1868+ROW()/100000,0)</f>
        <v>0</v>
      </c>
      <c r="V1868" s="41">
        <f>IF(AND(H1868="Falta",L1868=Config!$B$7,M1868=Config!$B$5,COUNTIFS($E$5:E1868,E1868,$H$5:H1868,"Falta",$L$5:L1868,Config!$B$7,$M$5:M1868,Config!$B$5)=1),COUNTIFS($E$5:$E$3004,E1868,$H$5:$H$3004,"Falta",$L$5:$L$3004,Config!$B$7,$M$5:$M$3004,Config!$B$5)*1000-ROW()/100000,0)</f>
        <v>0</v>
      </c>
    </row>
    <row r="1869">
      <c r="A1869" s="39" t="n"/>
      <c r="B1869" s="40" t="n"/>
      <c r="C1869" s="35" t="n"/>
      <c r="D1869" s="35" t="n"/>
      <c r="E1869" s="34" t="n"/>
      <c r="F1869" s="35" t="n"/>
      <c r="G1869" s="35" t="n"/>
      <c r="H1869" s="35" t="n"/>
      <c r="I1869" s="35" t="n"/>
      <c r="J1869" s="35" t="n"/>
      <c r="K1869" s="34" t="n"/>
      <c r="L1869" s="26">
        <f>IF(A1869="","",MONTH(A1869))</f>
        <v/>
      </c>
      <c r="M1869" s="26">
        <f>IF(A1869="","",YEAR(A1869))</f>
        <v/>
      </c>
      <c r="N1869" s="26">
        <f>IF(A1869="","",CHOOSE(WEEKDAY(A1869,2),"Segunda","Terça","Quarta","Quinta","Sexta","Sábado","Domingo"))</f>
        <v/>
      </c>
      <c r="O1869" s="26">
        <f>IF(B1869="","",IF(B1869&lt;TIME(12,0,0),"Manhã",IF(B1869&lt;TIME(18,0,0),"Tarde","Noite")))</f>
        <v/>
      </c>
      <c r="P1869" s="32">
        <f>IF(G1869="","",IFERROR(INDEX(Config!$I$5:$I$16,MATCH(G1869,Config!$H$5:$H$16,0)),0))</f>
        <v/>
      </c>
      <c r="Q1869" s="30">
        <f>IF(OR(H1869&lt;&gt;"Realizado",P1869="",P1869=0),"",A1869+P1869)</f>
        <v/>
      </c>
      <c r="R1869" s="26">
        <f>IF(Q1869="","",IF(COUNTIFS($E$5:$E$3004,E1869,$A$5:$A$3004,"&gt;"&amp;A1869,$H$5:$H$3004,"&lt;&gt;Falta",$H$5:$H$3004,"&lt;&gt;Cancelado",$H$5:$H$3004,"&lt;&gt;Remarcado")&gt;0,"Sim","Não"))</f>
        <v/>
      </c>
      <c r="S1869" s="32">
        <f>IF(R1869&lt;&gt;"Não","",IF(Q1869+Config!$B$9&lt;=Config!$B$8,Config!$B$8-Q1869,""))</f>
        <v/>
      </c>
      <c r="T1869" s="26">
        <f>IF(S1869="","","Sim")</f>
        <v/>
      </c>
      <c r="U1869" s="41">
        <f>IF(T1869="Sim",S1869+ROW()/100000,0)</f>
        <v>0</v>
      </c>
      <c r="V1869" s="41">
        <f>IF(AND(H1869="Falta",L1869=Config!$B$7,M1869=Config!$B$5,COUNTIFS($E$5:E1869,E1869,$H$5:H1869,"Falta",$L$5:L1869,Config!$B$7,$M$5:M1869,Config!$B$5)=1),COUNTIFS($E$5:$E$3004,E1869,$H$5:$H$3004,"Falta",$L$5:$L$3004,Config!$B$7,$M$5:$M$3004,Config!$B$5)*1000-ROW()/100000,0)</f>
        <v>0</v>
      </c>
    </row>
    <row r="1870">
      <c r="A1870" s="39" t="n"/>
      <c r="B1870" s="40" t="n"/>
      <c r="C1870" s="35" t="n"/>
      <c r="D1870" s="35" t="n"/>
      <c r="E1870" s="34" t="n"/>
      <c r="F1870" s="35" t="n"/>
      <c r="G1870" s="35" t="n"/>
      <c r="H1870" s="35" t="n"/>
      <c r="I1870" s="35" t="n"/>
      <c r="J1870" s="35" t="n"/>
      <c r="K1870" s="34" t="n"/>
      <c r="L1870" s="26">
        <f>IF(A1870="","",MONTH(A1870))</f>
        <v/>
      </c>
      <c r="M1870" s="26">
        <f>IF(A1870="","",YEAR(A1870))</f>
        <v/>
      </c>
      <c r="N1870" s="26">
        <f>IF(A1870="","",CHOOSE(WEEKDAY(A1870,2),"Segunda","Terça","Quarta","Quinta","Sexta","Sábado","Domingo"))</f>
        <v/>
      </c>
      <c r="O1870" s="26">
        <f>IF(B1870="","",IF(B1870&lt;TIME(12,0,0),"Manhã",IF(B1870&lt;TIME(18,0,0),"Tarde","Noite")))</f>
        <v/>
      </c>
      <c r="P1870" s="32">
        <f>IF(G1870="","",IFERROR(INDEX(Config!$I$5:$I$16,MATCH(G1870,Config!$H$5:$H$16,0)),0))</f>
        <v/>
      </c>
      <c r="Q1870" s="30">
        <f>IF(OR(H1870&lt;&gt;"Realizado",P1870="",P1870=0),"",A1870+P1870)</f>
        <v/>
      </c>
      <c r="R1870" s="26">
        <f>IF(Q1870="","",IF(COUNTIFS($E$5:$E$3004,E1870,$A$5:$A$3004,"&gt;"&amp;A1870,$H$5:$H$3004,"&lt;&gt;Falta",$H$5:$H$3004,"&lt;&gt;Cancelado",$H$5:$H$3004,"&lt;&gt;Remarcado")&gt;0,"Sim","Não"))</f>
        <v/>
      </c>
      <c r="S1870" s="32">
        <f>IF(R1870&lt;&gt;"Não","",IF(Q1870+Config!$B$9&lt;=Config!$B$8,Config!$B$8-Q1870,""))</f>
        <v/>
      </c>
      <c r="T1870" s="26">
        <f>IF(S1870="","","Sim")</f>
        <v/>
      </c>
      <c r="U1870" s="41">
        <f>IF(T1870="Sim",S1870+ROW()/100000,0)</f>
        <v>0</v>
      </c>
      <c r="V1870" s="41">
        <f>IF(AND(H1870="Falta",L1870=Config!$B$7,M1870=Config!$B$5,COUNTIFS($E$5:E1870,E1870,$H$5:H1870,"Falta",$L$5:L1870,Config!$B$7,$M$5:M1870,Config!$B$5)=1),COUNTIFS($E$5:$E$3004,E1870,$H$5:$H$3004,"Falta",$L$5:$L$3004,Config!$B$7,$M$5:$M$3004,Config!$B$5)*1000-ROW()/100000,0)</f>
        <v>0</v>
      </c>
    </row>
    <row r="1871">
      <c r="A1871" s="39" t="n"/>
      <c r="B1871" s="40" t="n"/>
      <c r="C1871" s="35" t="n"/>
      <c r="D1871" s="35" t="n"/>
      <c r="E1871" s="34" t="n"/>
      <c r="F1871" s="35" t="n"/>
      <c r="G1871" s="35" t="n"/>
      <c r="H1871" s="35" t="n"/>
      <c r="I1871" s="35" t="n"/>
      <c r="J1871" s="35" t="n"/>
      <c r="K1871" s="34" t="n"/>
      <c r="L1871" s="26">
        <f>IF(A1871="","",MONTH(A1871))</f>
        <v/>
      </c>
      <c r="M1871" s="26">
        <f>IF(A1871="","",YEAR(A1871))</f>
        <v/>
      </c>
      <c r="N1871" s="26">
        <f>IF(A1871="","",CHOOSE(WEEKDAY(A1871,2),"Segunda","Terça","Quarta","Quinta","Sexta","Sábado","Domingo"))</f>
        <v/>
      </c>
      <c r="O1871" s="26">
        <f>IF(B1871="","",IF(B1871&lt;TIME(12,0,0),"Manhã",IF(B1871&lt;TIME(18,0,0),"Tarde","Noite")))</f>
        <v/>
      </c>
      <c r="P1871" s="32">
        <f>IF(G1871="","",IFERROR(INDEX(Config!$I$5:$I$16,MATCH(G1871,Config!$H$5:$H$16,0)),0))</f>
        <v/>
      </c>
      <c r="Q1871" s="30">
        <f>IF(OR(H1871&lt;&gt;"Realizado",P1871="",P1871=0),"",A1871+P1871)</f>
        <v/>
      </c>
      <c r="R1871" s="26">
        <f>IF(Q1871="","",IF(COUNTIFS($E$5:$E$3004,E1871,$A$5:$A$3004,"&gt;"&amp;A1871,$H$5:$H$3004,"&lt;&gt;Falta",$H$5:$H$3004,"&lt;&gt;Cancelado",$H$5:$H$3004,"&lt;&gt;Remarcado")&gt;0,"Sim","Não"))</f>
        <v/>
      </c>
      <c r="S1871" s="32">
        <f>IF(R1871&lt;&gt;"Não","",IF(Q1871+Config!$B$9&lt;=Config!$B$8,Config!$B$8-Q1871,""))</f>
        <v/>
      </c>
      <c r="T1871" s="26">
        <f>IF(S1871="","","Sim")</f>
        <v/>
      </c>
      <c r="U1871" s="41">
        <f>IF(T1871="Sim",S1871+ROW()/100000,0)</f>
        <v>0</v>
      </c>
      <c r="V1871" s="41">
        <f>IF(AND(H1871="Falta",L1871=Config!$B$7,M1871=Config!$B$5,COUNTIFS($E$5:E1871,E1871,$H$5:H1871,"Falta",$L$5:L1871,Config!$B$7,$M$5:M1871,Config!$B$5)=1),COUNTIFS($E$5:$E$3004,E1871,$H$5:$H$3004,"Falta",$L$5:$L$3004,Config!$B$7,$M$5:$M$3004,Config!$B$5)*1000-ROW()/100000,0)</f>
        <v>0</v>
      </c>
    </row>
    <row r="1872">
      <c r="A1872" s="39" t="n"/>
      <c r="B1872" s="40" t="n"/>
      <c r="C1872" s="35" t="n"/>
      <c r="D1872" s="35" t="n"/>
      <c r="E1872" s="34" t="n"/>
      <c r="F1872" s="35" t="n"/>
      <c r="G1872" s="35" t="n"/>
      <c r="H1872" s="35" t="n"/>
      <c r="I1872" s="35" t="n"/>
      <c r="J1872" s="35" t="n"/>
      <c r="K1872" s="34" t="n"/>
      <c r="L1872" s="26">
        <f>IF(A1872="","",MONTH(A1872))</f>
        <v/>
      </c>
      <c r="M1872" s="26">
        <f>IF(A1872="","",YEAR(A1872))</f>
        <v/>
      </c>
      <c r="N1872" s="26">
        <f>IF(A1872="","",CHOOSE(WEEKDAY(A1872,2),"Segunda","Terça","Quarta","Quinta","Sexta","Sábado","Domingo"))</f>
        <v/>
      </c>
      <c r="O1872" s="26">
        <f>IF(B1872="","",IF(B1872&lt;TIME(12,0,0),"Manhã",IF(B1872&lt;TIME(18,0,0),"Tarde","Noite")))</f>
        <v/>
      </c>
      <c r="P1872" s="32">
        <f>IF(G1872="","",IFERROR(INDEX(Config!$I$5:$I$16,MATCH(G1872,Config!$H$5:$H$16,0)),0))</f>
        <v/>
      </c>
      <c r="Q1872" s="30">
        <f>IF(OR(H1872&lt;&gt;"Realizado",P1872="",P1872=0),"",A1872+P1872)</f>
        <v/>
      </c>
      <c r="R1872" s="26">
        <f>IF(Q1872="","",IF(COUNTIFS($E$5:$E$3004,E1872,$A$5:$A$3004,"&gt;"&amp;A1872,$H$5:$H$3004,"&lt;&gt;Falta",$H$5:$H$3004,"&lt;&gt;Cancelado",$H$5:$H$3004,"&lt;&gt;Remarcado")&gt;0,"Sim","Não"))</f>
        <v/>
      </c>
      <c r="S1872" s="32">
        <f>IF(R1872&lt;&gt;"Não","",IF(Q1872+Config!$B$9&lt;=Config!$B$8,Config!$B$8-Q1872,""))</f>
        <v/>
      </c>
      <c r="T1872" s="26">
        <f>IF(S1872="","","Sim")</f>
        <v/>
      </c>
      <c r="U1872" s="41">
        <f>IF(T1872="Sim",S1872+ROW()/100000,0)</f>
        <v>0</v>
      </c>
      <c r="V1872" s="41">
        <f>IF(AND(H1872="Falta",L1872=Config!$B$7,M1872=Config!$B$5,COUNTIFS($E$5:E1872,E1872,$H$5:H1872,"Falta",$L$5:L1872,Config!$B$7,$M$5:M1872,Config!$B$5)=1),COUNTIFS($E$5:$E$3004,E1872,$H$5:$H$3004,"Falta",$L$5:$L$3004,Config!$B$7,$M$5:$M$3004,Config!$B$5)*1000-ROW()/100000,0)</f>
        <v>0</v>
      </c>
    </row>
    <row r="1873">
      <c r="A1873" s="39" t="n"/>
      <c r="B1873" s="40" t="n"/>
      <c r="C1873" s="35" t="n"/>
      <c r="D1873" s="35" t="n"/>
      <c r="E1873" s="34" t="n"/>
      <c r="F1873" s="35" t="n"/>
      <c r="G1873" s="35" t="n"/>
      <c r="H1873" s="35" t="n"/>
      <c r="I1873" s="35" t="n"/>
      <c r="J1873" s="35" t="n"/>
      <c r="K1873" s="34" t="n"/>
      <c r="L1873" s="26">
        <f>IF(A1873="","",MONTH(A1873))</f>
        <v/>
      </c>
      <c r="M1873" s="26">
        <f>IF(A1873="","",YEAR(A1873))</f>
        <v/>
      </c>
      <c r="N1873" s="26">
        <f>IF(A1873="","",CHOOSE(WEEKDAY(A1873,2),"Segunda","Terça","Quarta","Quinta","Sexta","Sábado","Domingo"))</f>
        <v/>
      </c>
      <c r="O1873" s="26">
        <f>IF(B1873="","",IF(B1873&lt;TIME(12,0,0),"Manhã",IF(B1873&lt;TIME(18,0,0),"Tarde","Noite")))</f>
        <v/>
      </c>
      <c r="P1873" s="32">
        <f>IF(G1873="","",IFERROR(INDEX(Config!$I$5:$I$16,MATCH(G1873,Config!$H$5:$H$16,0)),0))</f>
        <v/>
      </c>
      <c r="Q1873" s="30">
        <f>IF(OR(H1873&lt;&gt;"Realizado",P1873="",P1873=0),"",A1873+P1873)</f>
        <v/>
      </c>
      <c r="R1873" s="26">
        <f>IF(Q1873="","",IF(COUNTIFS($E$5:$E$3004,E1873,$A$5:$A$3004,"&gt;"&amp;A1873,$H$5:$H$3004,"&lt;&gt;Falta",$H$5:$H$3004,"&lt;&gt;Cancelado",$H$5:$H$3004,"&lt;&gt;Remarcado")&gt;0,"Sim","Não"))</f>
        <v/>
      </c>
      <c r="S1873" s="32">
        <f>IF(R1873&lt;&gt;"Não","",IF(Q1873+Config!$B$9&lt;=Config!$B$8,Config!$B$8-Q1873,""))</f>
        <v/>
      </c>
      <c r="T1873" s="26">
        <f>IF(S1873="","","Sim")</f>
        <v/>
      </c>
      <c r="U1873" s="41">
        <f>IF(T1873="Sim",S1873+ROW()/100000,0)</f>
        <v>0</v>
      </c>
      <c r="V1873" s="41">
        <f>IF(AND(H1873="Falta",L1873=Config!$B$7,M1873=Config!$B$5,COUNTIFS($E$5:E1873,E1873,$H$5:H1873,"Falta",$L$5:L1873,Config!$B$7,$M$5:M1873,Config!$B$5)=1),COUNTIFS($E$5:$E$3004,E1873,$H$5:$H$3004,"Falta",$L$5:$L$3004,Config!$B$7,$M$5:$M$3004,Config!$B$5)*1000-ROW()/100000,0)</f>
        <v>0</v>
      </c>
    </row>
    <row r="1874">
      <c r="A1874" s="39" t="n"/>
      <c r="B1874" s="40" t="n"/>
      <c r="C1874" s="35" t="n"/>
      <c r="D1874" s="35" t="n"/>
      <c r="E1874" s="34" t="n"/>
      <c r="F1874" s="35" t="n"/>
      <c r="G1874" s="35" t="n"/>
      <c r="H1874" s="35" t="n"/>
      <c r="I1874" s="35" t="n"/>
      <c r="J1874" s="35" t="n"/>
      <c r="K1874" s="34" t="n"/>
      <c r="L1874" s="26">
        <f>IF(A1874="","",MONTH(A1874))</f>
        <v/>
      </c>
      <c r="M1874" s="26">
        <f>IF(A1874="","",YEAR(A1874))</f>
        <v/>
      </c>
      <c r="N1874" s="26">
        <f>IF(A1874="","",CHOOSE(WEEKDAY(A1874,2),"Segunda","Terça","Quarta","Quinta","Sexta","Sábado","Domingo"))</f>
        <v/>
      </c>
      <c r="O1874" s="26">
        <f>IF(B1874="","",IF(B1874&lt;TIME(12,0,0),"Manhã",IF(B1874&lt;TIME(18,0,0),"Tarde","Noite")))</f>
        <v/>
      </c>
      <c r="P1874" s="32">
        <f>IF(G1874="","",IFERROR(INDEX(Config!$I$5:$I$16,MATCH(G1874,Config!$H$5:$H$16,0)),0))</f>
        <v/>
      </c>
      <c r="Q1874" s="30">
        <f>IF(OR(H1874&lt;&gt;"Realizado",P1874="",P1874=0),"",A1874+P1874)</f>
        <v/>
      </c>
      <c r="R1874" s="26">
        <f>IF(Q1874="","",IF(COUNTIFS($E$5:$E$3004,E1874,$A$5:$A$3004,"&gt;"&amp;A1874,$H$5:$H$3004,"&lt;&gt;Falta",$H$5:$H$3004,"&lt;&gt;Cancelado",$H$5:$H$3004,"&lt;&gt;Remarcado")&gt;0,"Sim","Não"))</f>
        <v/>
      </c>
      <c r="S1874" s="32">
        <f>IF(R1874&lt;&gt;"Não","",IF(Q1874+Config!$B$9&lt;=Config!$B$8,Config!$B$8-Q1874,""))</f>
        <v/>
      </c>
      <c r="T1874" s="26">
        <f>IF(S1874="","","Sim")</f>
        <v/>
      </c>
      <c r="U1874" s="41">
        <f>IF(T1874="Sim",S1874+ROW()/100000,0)</f>
        <v>0</v>
      </c>
      <c r="V1874" s="41">
        <f>IF(AND(H1874="Falta",L1874=Config!$B$7,M1874=Config!$B$5,COUNTIFS($E$5:E1874,E1874,$H$5:H1874,"Falta",$L$5:L1874,Config!$B$7,$M$5:M1874,Config!$B$5)=1),COUNTIFS($E$5:$E$3004,E1874,$H$5:$H$3004,"Falta",$L$5:$L$3004,Config!$B$7,$M$5:$M$3004,Config!$B$5)*1000-ROW()/100000,0)</f>
        <v>0</v>
      </c>
    </row>
    <row r="1875">
      <c r="A1875" s="39" t="n"/>
      <c r="B1875" s="40" t="n"/>
      <c r="C1875" s="35" t="n"/>
      <c r="D1875" s="35" t="n"/>
      <c r="E1875" s="34" t="n"/>
      <c r="F1875" s="35" t="n"/>
      <c r="G1875" s="35" t="n"/>
      <c r="H1875" s="35" t="n"/>
      <c r="I1875" s="35" t="n"/>
      <c r="J1875" s="35" t="n"/>
      <c r="K1875" s="34" t="n"/>
      <c r="L1875" s="26">
        <f>IF(A1875="","",MONTH(A1875))</f>
        <v/>
      </c>
      <c r="M1875" s="26">
        <f>IF(A1875="","",YEAR(A1875))</f>
        <v/>
      </c>
      <c r="N1875" s="26">
        <f>IF(A1875="","",CHOOSE(WEEKDAY(A1875,2),"Segunda","Terça","Quarta","Quinta","Sexta","Sábado","Domingo"))</f>
        <v/>
      </c>
      <c r="O1875" s="26">
        <f>IF(B1875="","",IF(B1875&lt;TIME(12,0,0),"Manhã",IF(B1875&lt;TIME(18,0,0),"Tarde","Noite")))</f>
        <v/>
      </c>
      <c r="P1875" s="32">
        <f>IF(G1875="","",IFERROR(INDEX(Config!$I$5:$I$16,MATCH(G1875,Config!$H$5:$H$16,0)),0))</f>
        <v/>
      </c>
      <c r="Q1875" s="30">
        <f>IF(OR(H1875&lt;&gt;"Realizado",P1875="",P1875=0),"",A1875+P1875)</f>
        <v/>
      </c>
      <c r="R1875" s="26">
        <f>IF(Q1875="","",IF(COUNTIFS($E$5:$E$3004,E1875,$A$5:$A$3004,"&gt;"&amp;A1875,$H$5:$H$3004,"&lt;&gt;Falta",$H$5:$H$3004,"&lt;&gt;Cancelado",$H$5:$H$3004,"&lt;&gt;Remarcado")&gt;0,"Sim","Não"))</f>
        <v/>
      </c>
      <c r="S1875" s="32">
        <f>IF(R1875&lt;&gt;"Não","",IF(Q1875+Config!$B$9&lt;=Config!$B$8,Config!$B$8-Q1875,""))</f>
        <v/>
      </c>
      <c r="T1875" s="26">
        <f>IF(S1875="","","Sim")</f>
        <v/>
      </c>
      <c r="U1875" s="41">
        <f>IF(T1875="Sim",S1875+ROW()/100000,0)</f>
        <v>0</v>
      </c>
      <c r="V1875" s="41">
        <f>IF(AND(H1875="Falta",L1875=Config!$B$7,M1875=Config!$B$5,COUNTIFS($E$5:E1875,E1875,$H$5:H1875,"Falta",$L$5:L1875,Config!$B$7,$M$5:M1875,Config!$B$5)=1),COUNTIFS($E$5:$E$3004,E1875,$H$5:$H$3004,"Falta",$L$5:$L$3004,Config!$B$7,$M$5:$M$3004,Config!$B$5)*1000-ROW()/100000,0)</f>
        <v>0</v>
      </c>
    </row>
    <row r="1876">
      <c r="A1876" s="39" t="n"/>
      <c r="B1876" s="40" t="n"/>
      <c r="C1876" s="35" t="n"/>
      <c r="D1876" s="35" t="n"/>
      <c r="E1876" s="34" t="n"/>
      <c r="F1876" s="35" t="n"/>
      <c r="G1876" s="35" t="n"/>
      <c r="H1876" s="35" t="n"/>
      <c r="I1876" s="35" t="n"/>
      <c r="J1876" s="35" t="n"/>
      <c r="K1876" s="34" t="n"/>
      <c r="L1876" s="26">
        <f>IF(A1876="","",MONTH(A1876))</f>
        <v/>
      </c>
      <c r="M1876" s="26">
        <f>IF(A1876="","",YEAR(A1876))</f>
        <v/>
      </c>
      <c r="N1876" s="26">
        <f>IF(A1876="","",CHOOSE(WEEKDAY(A1876,2),"Segunda","Terça","Quarta","Quinta","Sexta","Sábado","Domingo"))</f>
        <v/>
      </c>
      <c r="O1876" s="26">
        <f>IF(B1876="","",IF(B1876&lt;TIME(12,0,0),"Manhã",IF(B1876&lt;TIME(18,0,0),"Tarde","Noite")))</f>
        <v/>
      </c>
      <c r="P1876" s="32">
        <f>IF(G1876="","",IFERROR(INDEX(Config!$I$5:$I$16,MATCH(G1876,Config!$H$5:$H$16,0)),0))</f>
        <v/>
      </c>
      <c r="Q1876" s="30">
        <f>IF(OR(H1876&lt;&gt;"Realizado",P1876="",P1876=0),"",A1876+P1876)</f>
        <v/>
      </c>
      <c r="R1876" s="26">
        <f>IF(Q1876="","",IF(COUNTIFS($E$5:$E$3004,E1876,$A$5:$A$3004,"&gt;"&amp;A1876,$H$5:$H$3004,"&lt;&gt;Falta",$H$5:$H$3004,"&lt;&gt;Cancelado",$H$5:$H$3004,"&lt;&gt;Remarcado")&gt;0,"Sim","Não"))</f>
        <v/>
      </c>
      <c r="S1876" s="32">
        <f>IF(R1876&lt;&gt;"Não","",IF(Q1876+Config!$B$9&lt;=Config!$B$8,Config!$B$8-Q1876,""))</f>
        <v/>
      </c>
      <c r="T1876" s="26">
        <f>IF(S1876="","","Sim")</f>
        <v/>
      </c>
      <c r="U1876" s="41">
        <f>IF(T1876="Sim",S1876+ROW()/100000,0)</f>
        <v>0</v>
      </c>
      <c r="V1876" s="41">
        <f>IF(AND(H1876="Falta",L1876=Config!$B$7,M1876=Config!$B$5,COUNTIFS($E$5:E1876,E1876,$H$5:H1876,"Falta",$L$5:L1876,Config!$B$7,$M$5:M1876,Config!$B$5)=1),COUNTIFS($E$5:$E$3004,E1876,$H$5:$H$3004,"Falta",$L$5:$L$3004,Config!$B$7,$M$5:$M$3004,Config!$B$5)*1000-ROW()/100000,0)</f>
        <v>0</v>
      </c>
    </row>
    <row r="1877">
      <c r="A1877" s="39" t="n"/>
      <c r="B1877" s="40" t="n"/>
      <c r="C1877" s="35" t="n"/>
      <c r="D1877" s="35" t="n"/>
      <c r="E1877" s="34" t="n"/>
      <c r="F1877" s="35" t="n"/>
      <c r="G1877" s="35" t="n"/>
      <c r="H1877" s="35" t="n"/>
      <c r="I1877" s="35" t="n"/>
      <c r="J1877" s="35" t="n"/>
      <c r="K1877" s="34" t="n"/>
      <c r="L1877" s="26">
        <f>IF(A1877="","",MONTH(A1877))</f>
        <v/>
      </c>
      <c r="M1877" s="26">
        <f>IF(A1877="","",YEAR(A1877))</f>
        <v/>
      </c>
      <c r="N1877" s="26">
        <f>IF(A1877="","",CHOOSE(WEEKDAY(A1877,2),"Segunda","Terça","Quarta","Quinta","Sexta","Sábado","Domingo"))</f>
        <v/>
      </c>
      <c r="O1877" s="26">
        <f>IF(B1877="","",IF(B1877&lt;TIME(12,0,0),"Manhã",IF(B1877&lt;TIME(18,0,0),"Tarde","Noite")))</f>
        <v/>
      </c>
      <c r="P1877" s="32">
        <f>IF(G1877="","",IFERROR(INDEX(Config!$I$5:$I$16,MATCH(G1877,Config!$H$5:$H$16,0)),0))</f>
        <v/>
      </c>
      <c r="Q1877" s="30">
        <f>IF(OR(H1877&lt;&gt;"Realizado",P1877="",P1877=0),"",A1877+P1877)</f>
        <v/>
      </c>
      <c r="R1877" s="26">
        <f>IF(Q1877="","",IF(COUNTIFS($E$5:$E$3004,E1877,$A$5:$A$3004,"&gt;"&amp;A1877,$H$5:$H$3004,"&lt;&gt;Falta",$H$5:$H$3004,"&lt;&gt;Cancelado",$H$5:$H$3004,"&lt;&gt;Remarcado")&gt;0,"Sim","Não"))</f>
        <v/>
      </c>
      <c r="S1877" s="32">
        <f>IF(R1877&lt;&gt;"Não","",IF(Q1877+Config!$B$9&lt;=Config!$B$8,Config!$B$8-Q1877,""))</f>
        <v/>
      </c>
      <c r="T1877" s="26">
        <f>IF(S1877="","","Sim")</f>
        <v/>
      </c>
      <c r="U1877" s="41">
        <f>IF(T1877="Sim",S1877+ROW()/100000,0)</f>
        <v>0</v>
      </c>
      <c r="V1877" s="41">
        <f>IF(AND(H1877="Falta",L1877=Config!$B$7,M1877=Config!$B$5,COUNTIFS($E$5:E1877,E1877,$H$5:H1877,"Falta",$L$5:L1877,Config!$B$7,$M$5:M1877,Config!$B$5)=1),COUNTIFS($E$5:$E$3004,E1877,$H$5:$H$3004,"Falta",$L$5:$L$3004,Config!$B$7,$M$5:$M$3004,Config!$B$5)*1000-ROW()/100000,0)</f>
        <v>0</v>
      </c>
    </row>
    <row r="1878">
      <c r="A1878" s="39" t="n"/>
      <c r="B1878" s="40" t="n"/>
      <c r="C1878" s="35" t="n"/>
      <c r="D1878" s="35" t="n"/>
      <c r="E1878" s="34" t="n"/>
      <c r="F1878" s="35" t="n"/>
      <c r="G1878" s="35" t="n"/>
      <c r="H1878" s="35" t="n"/>
      <c r="I1878" s="35" t="n"/>
      <c r="J1878" s="35" t="n"/>
      <c r="K1878" s="34" t="n"/>
      <c r="L1878" s="26">
        <f>IF(A1878="","",MONTH(A1878))</f>
        <v/>
      </c>
      <c r="M1878" s="26">
        <f>IF(A1878="","",YEAR(A1878))</f>
        <v/>
      </c>
      <c r="N1878" s="26">
        <f>IF(A1878="","",CHOOSE(WEEKDAY(A1878,2),"Segunda","Terça","Quarta","Quinta","Sexta","Sábado","Domingo"))</f>
        <v/>
      </c>
      <c r="O1878" s="26">
        <f>IF(B1878="","",IF(B1878&lt;TIME(12,0,0),"Manhã",IF(B1878&lt;TIME(18,0,0),"Tarde","Noite")))</f>
        <v/>
      </c>
      <c r="P1878" s="32">
        <f>IF(G1878="","",IFERROR(INDEX(Config!$I$5:$I$16,MATCH(G1878,Config!$H$5:$H$16,0)),0))</f>
        <v/>
      </c>
      <c r="Q1878" s="30">
        <f>IF(OR(H1878&lt;&gt;"Realizado",P1878="",P1878=0),"",A1878+P1878)</f>
        <v/>
      </c>
      <c r="R1878" s="26">
        <f>IF(Q1878="","",IF(COUNTIFS($E$5:$E$3004,E1878,$A$5:$A$3004,"&gt;"&amp;A1878,$H$5:$H$3004,"&lt;&gt;Falta",$H$5:$H$3004,"&lt;&gt;Cancelado",$H$5:$H$3004,"&lt;&gt;Remarcado")&gt;0,"Sim","Não"))</f>
        <v/>
      </c>
      <c r="S1878" s="32">
        <f>IF(R1878&lt;&gt;"Não","",IF(Q1878+Config!$B$9&lt;=Config!$B$8,Config!$B$8-Q1878,""))</f>
        <v/>
      </c>
      <c r="T1878" s="26">
        <f>IF(S1878="","","Sim")</f>
        <v/>
      </c>
      <c r="U1878" s="41">
        <f>IF(T1878="Sim",S1878+ROW()/100000,0)</f>
        <v>0</v>
      </c>
      <c r="V1878" s="41">
        <f>IF(AND(H1878="Falta",L1878=Config!$B$7,M1878=Config!$B$5,COUNTIFS($E$5:E1878,E1878,$H$5:H1878,"Falta",$L$5:L1878,Config!$B$7,$M$5:M1878,Config!$B$5)=1),COUNTIFS($E$5:$E$3004,E1878,$H$5:$H$3004,"Falta",$L$5:$L$3004,Config!$B$7,$M$5:$M$3004,Config!$B$5)*1000-ROW()/100000,0)</f>
        <v>0</v>
      </c>
    </row>
    <row r="1879">
      <c r="A1879" s="39" t="n"/>
      <c r="B1879" s="40" t="n"/>
      <c r="C1879" s="35" t="n"/>
      <c r="D1879" s="35" t="n"/>
      <c r="E1879" s="34" t="n"/>
      <c r="F1879" s="35" t="n"/>
      <c r="G1879" s="35" t="n"/>
      <c r="H1879" s="35" t="n"/>
      <c r="I1879" s="35" t="n"/>
      <c r="J1879" s="35" t="n"/>
      <c r="K1879" s="34" t="n"/>
      <c r="L1879" s="26">
        <f>IF(A1879="","",MONTH(A1879))</f>
        <v/>
      </c>
      <c r="M1879" s="26">
        <f>IF(A1879="","",YEAR(A1879))</f>
        <v/>
      </c>
      <c r="N1879" s="26">
        <f>IF(A1879="","",CHOOSE(WEEKDAY(A1879,2),"Segunda","Terça","Quarta","Quinta","Sexta","Sábado","Domingo"))</f>
        <v/>
      </c>
      <c r="O1879" s="26">
        <f>IF(B1879="","",IF(B1879&lt;TIME(12,0,0),"Manhã",IF(B1879&lt;TIME(18,0,0),"Tarde","Noite")))</f>
        <v/>
      </c>
      <c r="P1879" s="32">
        <f>IF(G1879="","",IFERROR(INDEX(Config!$I$5:$I$16,MATCH(G1879,Config!$H$5:$H$16,0)),0))</f>
        <v/>
      </c>
      <c r="Q1879" s="30">
        <f>IF(OR(H1879&lt;&gt;"Realizado",P1879="",P1879=0),"",A1879+P1879)</f>
        <v/>
      </c>
      <c r="R1879" s="26">
        <f>IF(Q1879="","",IF(COUNTIFS($E$5:$E$3004,E1879,$A$5:$A$3004,"&gt;"&amp;A1879,$H$5:$H$3004,"&lt;&gt;Falta",$H$5:$H$3004,"&lt;&gt;Cancelado",$H$5:$H$3004,"&lt;&gt;Remarcado")&gt;0,"Sim","Não"))</f>
        <v/>
      </c>
      <c r="S1879" s="32">
        <f>IF(R1879&lt;&gt;"Não","",IF(Q1879+Config!$B$9&lt;=Config!$B$8,Config!$B$8-Q1879,""))</f>
        <v/>
      </c>
      <c r="T1879" s="26">
        <f>IF(S1879="","","Sim")</f>
        <v/>
      </c>
      <c r="U1879" s="41">
        <f>IF(T1879="Sim",S1879+ROW()/100000,0)</f>
        <v>0</v>
      </c>
      <c r="V1879" s="41">
        <f>IF(AND(H1879="Falta",L1879=Config!$B$7,M1879=Config!$B$5,COUNTIFS($E$5:E1879,E1879,$H$5:H1879,"Falta",$L$5:L1879,Config!$B$7,$M$5:M1879,Config!$B$5)=1),COUNTIFS($E$5:$E$3004,E1879,$H$5:$H$3004,"Falta",$L$5:$L$3004,Config!$B$7,$M$5:$M$3004,Config!$B$5)*1000-ROW()/100000,0)</f>
        <v>0</v>
      </c>
    </row>
    <row r="1880">
      <c r="A1880" s="39" t="n"/>
      <c r="B1880" s="40" t="n"/>
      <c r="C1880" s="35" t="n"/>
      <c r="D1880" s="35" t="n"/>
      <c r="E1880" s="34" t="n"/>
      <c r="F1880" s="35" t="n"/>
      <c r="G1880" s="35" t="n"/>
      <c r="H1880" s="35" t="n"/>
      <c r="I1880" s="35" t="n"/>
      <c r="J1880" s="35" t="n"/>
      <c r="K1880" s="34" t="n"/>
      <c r="L1880" s="26">
        <f>IF(A1880="","",MONTH(A1880))</f>
        <v/>
      </c>
      <c r="M1880" s="26">
        <f>IF(A1880="","",YEAR(A1880))</f>
        <v/>
      </c>
      <c r="N1880" s="26">
        <f>IF(A1880="","",CHOOSE(WEEKDAY(A1880,2),"Segunda","Terça","Quarta","Quinta","Sexta","Sábado","Domingo"))</f>
        <v/>
      </c>
      <c r="O1880" s="26">
        <f>IF(B1880="","",IF(B1880&lt;TIME(12,0,0),"Manhã",IF(B1880&lt;TIME(18,0,0),"Tarde","Noite")))</f>
        <v/>
      </c>
      <c r="P1880" s="32">
        <f>IF(G1880="","",IFERROR(INDEX(Config!$I$5:$I$16,MATCH(G1880,Config!$H$5:$H$16,0)),0))</f>
        <v/>
      </c>
      <c r="Q1880" s="30">
        <f>IF(OR(H1880&lt;&gt;"Realizado",P1880="",P1880=0),"",A1880+P1880)</f>
        <v/>
      </c>
      <c r="R1880" s="26">
        <f>IF(Q1880="","",IF(COUNTIFS($E$5:$E$3004,E1880,$A$5:$A$3004,"&gt;"&amp;A1880,$H$5:$H$3004,"&lt;&gt;Falta",$H$5:$H$3004,"&lt;&gt;Cancelado",$H$5:$H$3004,"&lt;&gt;Remarcado")&gt;0,"Sim","Não"))</f>
        <v/>
      </c>
      <c r="S1880" s="32">
        <f>IF(R1880&lt;&gt;"Não","",IF(Q1880+Config!$B$9&lt;=Config!$B$8,Config!$B$8-Q1880,""))</f>
        <v/>
      </c>
      <c r="T1880" s="26">
        <f>IF(S1880="","","Sim")</f>
        <v/>
      </c>
      <c r="U1880" s="41">
        <f>IF(T1880="Sim",S1880+ROW()/100000,0)</f>
        <v>0</v>
      </c>
      <c r="V1880" s="41">
        <f>IF(AND(H1880="Falta",L1880=Config!$B$7,M1880=Config!$B$5,COUNTIFS($E$5:E1880,E1880,$H$5:H1880,"Falta",$L$5:L1880,Config!$B$7,$M$5:M1880,Config!$B$5)=1),COUNTIFS($E$5:$E$3004,E1880,$H$5:$H$3004,"Falta",$L$5:$L$3004,Config!$B$7,$M$5:$M$3004,Config!$B$5)*1000-ROW()/100000,0)</f>
        <v>0</v>
      </c>
    </row>
    <row r="1881">
      <c r="A1881" s="39" t="n"/>
      <c r="B1881" s="40" t="n"/>
      <c r="C1881" s="35" t="n"/>
      <c r="D1881" s="35" t="n"/>
      <c r="E1881" s="34" t="n"/>
      <c r="F1881" s="35" t="n"/>
      <c r="G1881" s="35" t="n"/>
      <c r="H1881" s="35" t="n"/>
      <c r="I1881" s="35" t="n"/>
      <c r="J1881" s="35" t="n"/>
      <c r="K1881" s="34" t="n"/>
      <c r="L1881" s="26">
        <f>IF(A1881="","",MONTH(A1881))</f>
        <v/>
      </c>
      <c r="M1881" s="26">
        <f>IF(A1881="","",YEAR(A1881))</f>
        <v/>
      </c>
      <c r="N1881" s="26">
        <f>IF(A1881="","",CHOOSE(WEEKDAY(A1881,2),"Segunda","Terça","Quarta","Quinta","Sexta","Sábado","Domingo"))</f>
        <v/>
      </c>
      <c r="O1881" s="26">
        <f>IF(B1881="","",IF(B1881&lt;TIME(12,0,0),"Manhã",IF(B1881&lt;TIME(18,0,0),"Tarde","Noite")))</f>
        <v/>
      </c>
      <c r="P1881" s="32">
        <f>IF(G1881="","",IFERROR(INDEX(Config!$I$5:$I$16,MATCH(G1881,Config!$H$5:$H$16,0)),0))</f>
        <v/>
      </c>
      <c r="Q1881" s="30">
        <f>IF(OR(H1881&lt;&gt;"Realizado",P1881="",P1881=0),"",A1881+P1881)</f>
        <v/>
      </c>
      <c r="R1881" s="26">
        <f>IF(Q1881="","",IF(COUNTIFS($E$5:$E$3004,E1881,$A$5:$A$3004,"&gt;"&amp;A1881,$H$5:$H$3004,"&lt;&gt;Falta",$H$5:$H$3004,"&lt;&gt;Cancelado",$H$5:$H$3004,"&lt;&gt;Remarcado")&gt;0,"Sim","Não"))</f>
        <v/>
      </c>
      <c r="S1881" s="32">
        <f>IF(R1881&lt;&gt;"Não","",IF(Q1881+Config!$B$9&lt;=Config!$B$8,Config!$B$8-Q1881,""))</f>
        <v/>
      </c>
      <c r="T1881" s="26">
        <f>IF(S1881="","","Sim")</f>
        <v/>
      </c>
      <c r="U1881" s="41">
        <f>IF(T1881="Sim",S1881+ROW()/100000,0)</f>
        <v>0</v>
      </c>
      <c r="V1881" s="41">
        <f>IF(AND(H1881="Falta",L1881=Config!$B$7,M1881=Config!$B$5,COUNTIFS($E$5:E1881,E1881,$H$5:H1881,"Falta",$L$5:L1881,Config!$B$7,$M$5:M1881,Config!$B$5)=1),COUNTIFS($E$5:$E$3004,E1881,$H$5:$H$3004,"Falta",$L$5:$L$3004,Config!$B$7,$M$5:$M$3004,Config!$B$5)*1000-ROW()/100000,0)</f>
        <v>0</v>
      </c>
    </row>
    <row r="1882">
      <c r="A1882" s="39" t="n"/>
      <c r="B1882" s="40" t="n"/>
      <c r="C1882" s="35" t="n"/>
      <c r="D1882" s="35" t="n"/>
      <c r="E1882" s="34" t="n"/>
      <c r="F1882" s="35" t="n"/>
      <c r="G1882" s="35" t="n"/>
      <c r="H1882" s="35" t="n"/>
      <c r="I1882" s="35" t="n"/>
      <c r="J1882" s="35" t="n"/>
      <c r="K1882" s="34" t="n"/>
      <c r="L1882" s="26">
        <f>IF(A1882="","",MONTH(A1882))</f>
        <v/>
      </c>
      <c r="M1882" s="26">
        <f>IF(A1882="","",YEAR(A1882))</f>
        <v/>
      </c>
      <c r="N1882" s="26">
        <f>IF(A1882="","",CHOOSE(WEEKDAY(A1882,2),"Segunda","Terça","Quarta","Quinta","Sexta","Sábado","Domingo"))</f>
        <v/>
      </c>
      <c r="O1882" s="26">
        <f>IF(B1882="","",IF(B1882&lt;TIME(12,0,0),"Manhã",IF(B1882&lt;TIME(18,0,0),"Tarde","Noite")))</f>
        <v/>
      </c>
      <c r="P1882" s="32">
        <f>IF(G1882="","",IFERROR(INDEX(Config!$I$5:$I$16,MATCH(G1882,Config!$H$5:$H$16,0)),0))</f>
        <v/>
      </c>
      <c r="Q1882" s="30">
        <f>IF(OR(H1882&lt;&gt;"Realizado",P1882="",P1882=0),"",A1882+P1882)</f>
        <v/>
      </c>
      <c r="R1882" s="26">
        <f>IF(Q1882="","",IF(COUNTIFS($E$5:$E$3004,E1882,$A$5:$A$3004,"&gt;"&amp;A1882,$H$5:$H$3004,"&lt;&gt;Falta",$H$5:$H$3004,"&lt;&gt;Cancelado",$H$5:$H$3004,"&lt;&gt;Remarcado")&gt;0,"Sim","Não"))</f>
        <v/>
      </c>
      <c r="S1882" s="32">
        <f>IF(R1882&lt;&gt;"Não","",IF(Q1882+Config!$B$9&lt;=Config!$B$8,Config!$B$8-Q1882,""))</f>
        <v/>
      </c>
      <c r="T1882" s="26">
        <f>IF(S1882="","","Sim")</f>
        <v/>
      </c>
      <c r="U1882" s="41">
        <f>IF(T1882="Sim",S1882+ROW()/100000,0)</f>
        <v>0</v>
      </c>
      <c r="V1882" s="41">
        <f>IF(AND(H1882="Falta",L1882=Config!$B$7,M1882=Config!$B$5,COUNTIFS($E$5:E1882,E1882,$H$5:H1882,"Falta",$L$5:L1882,Config!$B$7,$M$5:M1882,Config!$B$5)=1),COUNTIFS($E$5:$E$3004,E1882,$H$5:$H$3004,"Falta",$L$5:$L$3004,Config!$B$7,$M$5:$M$3004,Config!$B$5)*1000-ROW()/100000,0)</f>
        <v>0</v>
      </c>
    </row>
    <row r="1883">
      <c r="A1883" s="39" t="n"/>
      <c r="B1883" s="40" t="n"/>
      <c r="C1883" s="35" t="n"/>
      <c r="D1883" s="35" t="n"/>
      <c r="E1883" s="34" t="n"/>
      <c r="F1883" s="35" t="n"/>
      <c r="G1883" s="35" t="n"/>
      <c r="H1883" s="35" t="n"/>
      <c r="I1883" s="35" t="n"/>
      <c r="J1883" s="35" t="n"/>
      <c r="K1883" s="34" t="n"/>
      <c r="L1883" s="26">
        <f>IF(A1883="","",MONTH(A1883))</f>
        <v/>
      </c>
      <c r="M1883" s="26">
        <f>IF(A1883="","",YEAR(A1883))</f>
        <v/>
      </c>
      <c r="N1883" s="26">
        <f>IF(A1883="","",CHOOSE(WEEKDAY(A1883,2),"Segunda","Terça","Quarta","Quinta","Sexta","Sábado","Domingo"))</f>
        <v/>
      </c>
      <c r="O1883" s="26">
        <f>IF(B1883="","",IF(B1883&lt;TIME(12,0,0),"Manhã",IF(B1883&lt;TIME(18,0,0),"Tarde","Noite")))</f>
        <v/>
      </c>
      <c r="P1883" s="32">
        <f>IF(G1883="","",IFERROR(INDEX(Config!$I$5:$I$16,MATCH(G1883,Config!$H$5:$H$16,0)),0))</f>
        <v/>
      </c>
      <c r="Q1883" s="30">
        <f>IF(OR(H1883&lt;&gt;"Realizado",P1883="",P1883=0),"",A1883+P1883)</f>
        <v/>
      </c>
      <c r="R1883" s="26">
        <f>IF(Q1883="","",IF(COUNTIFS($E$5:$E$3004,E1883,$A$5:$A$3004,"&gt;"&amp;A1883,$H$5:$H$3004,"&lt;&gt;Falta",$H$5:$H$3004,"&lt;&gt;Cancelado",$H$5:$H$3004,"&lt;&gt;Remarcado")&gt;0,"Sim","Não"))</f>
        <v/>
      </c>
      <c r="S1883" s="32">
        <f>IF(R1883&lt;&gt;"Não","",IF(Q1883+Config!$B$9&lt;=Config!$B$8,Config!$B$8-Q1883,""))</f>
        <v/>
      </c>
      <c r="T1883" s="26">
        <f>IF(S1883="","","Sim")</f>
        <v/>
      </c>
      <c r="U1883" s="41">
        <f>IF(T1883="Sim",S1883+ROW()/100000,0)</f>
        <v>0</v>
      </c>
      <c r="V1883" s="41">
        <f>IF(AND(H1883="Falta",L1883=Config!$B$7,M1883=Config!$B$5,COUNTIFS($E$5:E1883,E1883,$H$5:H1883,"Falta",$L$5:L1883,Config!$B$7,$M$5:M1883,Config!$B$5)=1),COUNTIFS($E$5:$E$3004,E1883,$H$5:$H$3004,"Falta",$L$5:$L$3004,Config!$B$7,$M$5:$M$3004,Config!$B$5)*1000-ROW()/100000,0)</f>
        <v>0</v>
      </c>
    </row>
    <row r="1884">
      <c r="A1884" s="39" t="n"/>
      <c r="B1884" s="40" t="n"/>
      <c r="C1884" s="35" t="n"/>
      <c r="D1884" s="35" t="n"/>
      <c r="E1884" s="34" t="n"/>
      <c r="F1884" s="35" t="n"/>
      <c r="G1884" s="35" t="n"/>
      <c r="H1884" s="35" t="n"/>
      <c r="I1884" s="35" t="n"/>
      <c r="J1884" s="35" t="n"/>
      <c r="K1884" s="34" t="n"/>
      <c r="L1884" s="26">
        <f>IF(A1884="","",MONTH(A1884))</f>
        <v/>
      </c>
      <c r="M1884" s="26">
        <f>IF(A1884="","",YEAR(A1884))</f>
        <v/>
      </c>
      <c r="N1884" s="26">
        <f>IF(A1884="","",CHOOSE(WEEKDAY(A1884,2),"Segunda","Terça","Quarta","Quinta","Sexta","Sábado","Domingo"))</f>
        <v/>
      </c>
      <c r="O1884" s="26">
        <f>IF(B1884="","",IF(B1884&lt;TIME(12,0,0),"Manhã",IF(B1884&lt;TIME(18,0,0),"Tarde","Noite")))</f>
        <v/>
      </c>
      <c r="P1884" s="32">
        <f>IF(G1884="","",IFERROR(INDEX(Config!$I$5:$I$16,MATCH(G1884,Config!$H$5:$H$16,0)),0))</f>
        <v/>
      </c>
      <c r="Q1884" s="30">
        <f>IF(OR(H1884&lt;&gt;"Realizado",P1884="",P1884=0),"",A1884+P1884)</f>
        <v/>
      </c>
      <c r="R1884" s="26">
        <f>IF(Q1884="","",IF(COUNTIFS($E$5:$E$3004,E1884,$A$5:$A$3004,"&gt;"&amp;A1884,$H$5:$H$3004,"&lt;&gt;Falta",$H$5:$H$3004,"&lt;&gt;Cancelado",$H$5:$H$3004,"&lt;&gt;Remarcado")&gt;0,"Sim","Não"))</f>
        <v/>
      </c>
      <c r="S1884" s="32">
        <f>IF(R1884&lt;&gt;"Não","",IF(Q1884+Config!$B$9&lt;=Config!$B$8,Config!$B$8-Q1884,""))</f>
        <v/>
      </c>
      <c r="T1884" s="26">
        <f>IF(S1884="","","Sim")</f>
        <v/>
      </c>
      <c r="U1884" s="41">
        <f>IF(T1884="Sim",S1884+ROW()/100000,0)</f>
        <v>0</v>
      </c>
      <c r="V1884" s="41">
        <f>IF(AND(H1884="Falta",L1884=Config!$B$7,M1884=Config!$B$5,COUNTIFS($E$5:E1884,E1884,$H$5:H1884,"Falta",$L$5:L1884,Config!$B$7,$M$5:M1884,Config!$B$5)=1),COUNTIFS($E$5:$E$3004,E1884,$H$5:$H$3004,"Falta",$L$5:$L$3004,Config!$B$7,$M$5:$M$3004,Config!$B$5)*1000-ROW()/100000,0)</f>
        <v>0</v>
      </c>
    </row>
    <row r="1885">
      <c r="A1885" s="39" t="n"/>
      <c r="B1885" s="40" t="n"/>
      <c r="C1885" s="35" t="n"/>
      <c r="D1885" s="35" t="n"/>
      <c r="E1885" s="34" t="n"/>
      <c r="F1885" s="35" t="n"/>
      <c r="G1885" s="35" t="n"/>
      <c r="H1885" s="35" t="n"/>
      <c r="I1885" s="35" t="n"/>
      <c r="J1885" s="35" t="n"/>
      <c r="K1885" s="34" t="n"/>
      <c r="L1885" s="26">
        <f>IF(A1885="","",MONTH(A1885))</f>
        <v/>
      </c>
      <c r="M1885" s="26">
        <f>IF(A1885="","",YEAR(A1885))</f>
        <v/>
      </c>
      <c r="N1885" s="26">
        <f>IF(A1885="","",CHOOSE(WEEKDAY(A1885,2),"Segunda","Terça","Quarta","Quinta","Sexta","Sábado","Domingo"))</f>
        <v/>
      </c>
      <c r="O1885" s="26">
        <f>IF(B1885="","",IF(B1885&lt;TIME(12,0,0),"Manhã",IF(B1885&lt;TIME(18,0,0),"Tarde","Noite")))</f>
        <v/>
      </c>
      <c r="P1885" s="32">
        <f>IF(G1885="","",IFERROR(INDEX(Config!$I$5:$I$16,MATCH(G1885,Config!$H$5:$H$16,0)),0))</f>
        <v/>
      </c>
      <c r="Q1885" s="30">
        <f>IF(OR(H1885&lt;&gt;"Realizado",P1885="",P1885=0),"",A1885+P1885)</f>
        <v/>
      </c>
      <c r="R1885" s="26">
        <f>IF(Q1885="","",IF(COUNTIFS($E$5:$E$3004,E1885,$A$5:$A$3004,"&gt;"&amp;A1885,$H$5:$H$3004,"&lt;&gt;Falta",$H$5:$H$3004,"&lt;&gt;Cancelado",$H$5:$H$3004,"&lt;&gt;Remarcado")&gt;0,"Sim","Não"))</f>
        <v/>
      </c>
      <c r="S1885" s="32">
        <f>IF(R1885&lt;&gt;"Não","",IF(Q1885+Config!$B$9&lt;=Config!$B$8,Config!$B$8-Q1885,""))</f>
        <v/>
      </c>
      <c r="T1885" s="26">
        <f>IF(S1885="","","Sim")</f>
        <v/>
      </c>
      <c r="U1885" s="41">
        <f>IF(T1885="Sim",S1885+ROW()/100000,0)</f>
        <v>0</v>
      </c>
      <c r="V1885" s="41">
        <f>IF(AND(H1885="Falta",L1885=Config!$B$7,M1885=Config!$B$5,COUNTIFS($E$5:E1885,E1885,$H$5:H1885,"Falta",$L$5:L1885,Config!$B$7,$M$5:M1885,Config!$B$5)=1),COUNTIFS($E$5:$E$3004,E1885,$H$5:$H$3004,"Falta",$L$5:$L$3004,Config!$B$7,$M$5:$M$3004,Config!$B$5)*1000-ROW()/100000,0)</f>
        <v>0</v>
      </c>
    </row>
    <row r="1886">
      <c r="A1886" s="39" t="n"/>
      <c r="B1886" s="40" t="n"/>
      <c r="C1886" s="35" t="n"/>
      <c r="D1886" s="35" t="n"/>
      <c r="E1886" s="34" t="n"/>
      <c r="F1886" s="35" t="n"/>
      <c r="G1886" s="35" t="n"/>
      <c r="H1886" s="35" t="n"/>
      <c r="I1886" s="35" t="n"/>
      <c r="J1886" s="35" t="n"/>
      <c r="K1886" s="34" t="n"/>
      <c r="L1886" s="26">
        <f>IF(A1886="","",MONTH(A1886))</f>
        <v/>
      </c>
      <c r="M1886" s="26">
        <f>IF(A1886="","",YEAR(A1886))</f>
        <v/>
      </c>
      <c r="N1886" s="26">
        <f>IF(A1886="","",CHOOSE(WEEKDAY(A1886,2),"Segunda","Terça","Quarta","Quinta","Sexta","Sábado","Domingo"))</f>
        <v/>
      </c>
      <c r="O1886" s="26">
        <f>IF(B1886="","",IF(B1886&lt;TIME(12,0,0),"Manhã",IF(B1886&lt;TIME(18,0,0),"Tarde","Noite")))</f>
        <v/>
      </c>
      <c r="P1886" s="32">
        <f>IF(G1886="","",IFERROR(INDEX(Config!$I$5:$I$16,MATCH(G1886,Config!$H$5:$H$16,0)),0))</f>
        <v/>
      </c>
      <c r="Q1886" s="30">
        <f>IF(OR(H1886&lt;&gt;"Realizado",P1886="",P1886=0),"",A1886+P1886)</f>
        <v/>
      </c>
      <c r="R1886" s="26">
        <f>IF(Q1886="","",IF(COUNTIFS($E$5:$E$3004,E1886,$A$5:$A$3004,"&gt;"&amp;A1886,$H$5:$H$3004,"&lt;&gt;Falta",$H$5:$H$3004,"&lt;&gt;Cancelado",$H$5:$H$3004,"&lt;&gt;Remarcado")&gt;0,"Sim","Não"))</f>
        <v/>
      </c>
      <c r="S1886" s="32">
        <f>IF(R1886&lt;&gt;"Não","",IF(Q1886+Config!$B$9&lt;=Config!$B$8,Config!$B$8-Q1886,""))</f>
        <v/>
      </c>
      <c r="T1886" s="26">
        <f>IF(S1886="","","Sim")</f>
        <v/>
      </c>
      <c r="U1886" s="41">
        <f>IF(T1886="Sim",S1886+ROW()/100000,0)</f>
        <v>0</v>
      </c>
      <c r="V1886" s="41">
        <f>IF(AND(H1886="Falta",L1886=Config!$B$7,M1886=Config!$B$5,COUNTIFS($E$5:E1886,E1886,$H$5:H1886,"Falta",$L$5:L1886,Config!$B$7,$M$5:M1886,Config!$B$5)=1),COUNTIFS($E$5:$E$3004,E1886,$H$5:$H$3004,"Falta",$L$5:$L$3004,Config!$B$7,$M$5:$M$3004,Config!$B$5)*1000-ROW()/100000,0)</f>
        <v>0</v>
      </c>
    </row>
    <row r="1887">
      <c r="A1887" s="39" t="n"/>
      <c r="B1887" s="40" t="n"/>
      <c r="C1887" s="35" t="n"/>
      <c r="D1887" s="35" t="n"/>
      <c r="E1887" s="34" t="n"/>
      <c r="F1887" s="35" t="n"/>
      <c r="G1887" s="35" t="n"/>
      <c r="H1887" s="35" t="n"/>
      <c r="I1887" s="35" t="n"/>
      <c r="J1887" s="35" t="n"/>
      <c r="K1887" s="34" t="n"/>
      <c r="L1887" s="26">
        <f>IF(A1887="","",MONTH(A1887))</f>
        <v/>
      </c>
      <c r="M1887" s="26">
        <f>IF(A1887="","",YEAR(A1887))</f>
        <v/>
      </c>
      <c r="N1887" s="26">
        <f>IF(A1887="","",CHOOSE(WEEKDAY(A1887,2),"Segunda","Terça","Quarta","Quinta","Sexta","Sábado","Domingo"))</f>
        <v/>
      </c>
      <c r="O1887" s="26">
        <f>IF(B1887="","",IF(B1887&lt;TIME(12,0,0),"Manhã",IF(B1887&lt;TIME(18,0,0),"Tarde","Noite")))</f>
        <v/>
      </c>
      <c r="P1887" s="32">
        <f>IF(G1887="","",IFERROR(INDEX(Config!$I$5:$I$16,MATCH(G1887,Config!$H$5:$H$16,0)),0))</f>
        <v/>
      </c>
      <c r="Q1887" s="30">
        <f>IF(OR(H1887&lt;&gt;"Realizado",P1887="",P1887=0),"",A1887+P1887)</f>
        <v/>
      </c>
      <c r="R1887" s="26">
        <f>IF(Q1887="","",IF(COUNTIFS($E$5:$E$3004,E1887,$A$5:$A$3004,"&gt;"&amp;A1887,$H$5:$H$3004,"&lt;&gt;Falta",$H$5:$H$3004,"&lt;&gt;Cancelado",$H$5:$H$3004,"&lt;&gt;Remarcado")&gt;0,"Sim","Não"))</f>
        <v/>
      </c>
      <c r="S1887" s="32">
        <f>IF(R1887&lt;&gt;"Não","",IF(Q1887+Config!$B$9&lt;=Config!$B$8,Config!$B$8-Q1887,""))</f>
        <v/>
      </c>
      <c r="T1887" s="26">
        <f>IF(S1887="","","Sim")</f>
        <v/>
      </c>
      <c r="U1887" s="41">
        <f>IF(T1887="Sim",S1887+ROW()/100000,0)</f>
        <v>0</v>
      </c>
      <c r="V1887" s="41">
        <f>IF(AND(H1887="Falta",L1887=Config!$B$7,M1887=Config!$B$5,COUNTIFS($E$5:E1887,E1887,$H$5:H1887,"Falta",$L$5:L1887,Config!$B$7,$M$5:M1887,Config!$B$5)=1),COUNTIFS($E$5:$E$3004,E1887,$H$5:$H$3004,"Falta",$L$5:$L$3004,Config!$B$7,$M$5:$M$3004,Config!$B$5)*1000-ROW()/100000,0)</f>
        <v>0</v>
      </c>
    </row>
    <row r="1888">
      <c r="A1888" s="39" t="n"/>
      <c r="B1888" s="40" t="n"/>
      <c r="C1888" s="35" t="n"/>
      <c r="D1888" s="35" t="n"/>
      <c r="E1888" s="34" t="n"/>
      <c r="F1888" s="35" t="n"/>
      <c r="G1888" s="35" t="n"/>
      <c r="H1888" s="35" t="n"/>
      <c r="I1888" s="35" t="n"/>
      <c r="J1888" s="35" t="n"/>
      <c r="K1888" s="34" t="n"/>
      <c r="L1888" s="26">
        <f>IF(A1888="","",MONTH(A1888))</f>
        <v/>
      </c>
      <c r="M1888" s="26">
        <f>IF(A1888="","",YEAR(A1888))</f>
        <v/>
      </c>
      <c r="N1888" s="26">
        <f>IF(A1888="","",CHOOSE(WEEKDAY(A1888,2),"Segunda","Terça","Quarta","Quinta","Sexta","Sábado","Domingo"))</f>
        <v/>
      </c>
      <c r="O1888" s="26">
        <f>IF(B1888="","",IF(B1888&lt;TIME(12,0,0),"Manhã",IF(B1888&lt;TIME(18,0,0),"Tarde","Noite")))</f>
        <v/>
      </c>
      <c r="P1888" s="32">
        <f>IF(G1888="","",IFERROR(INDEX(Config!$I$5:$I$16,MATCH(G1888,Config!$H$5:$H$16,0)),0))</f>
        <v/>
      </c>
      <c r="Q1888" s="30">
        <f>IF(OR(H1888&lt;&gt;"Realizado",P1888="",P1888=0),"",A1888+P1888)</f>
        <v/>
      </c>
      <c r="R1888" s="26">
        <f>IF(Q1888="","",IF(COUNTIFS($E$5:$E$3004,E1888,$A$5:$A$3004,"&gt;"&amp;A1888,$H$5:$H$3004,"&lt;&gt;Falta",$H$5:$H$3004,"&lt;&gt;Cancelado",$H$5:$H$3004,"&lt;&gt;Remarcado")&gt;0,"Sim","Não"))</f>
        <v/>
      </c>
      <c r="S1888" s="32">
        <f>IF(R1888&lt;&gt;"Não","",IF(Q1888+Config!$B$9&lt;=Config!$B$8,Config!$B$8-Q1888,""))</f>
        <v/>
      </c>
      <c r="T1888" s="26">
        <f>IF(S1888="","","Sim")</f>
        <v/>
      </c>
      <c r="U1888" s="41">
        <f>IF(T1888="Sim",S1888+ROW()/100000,0)</f>
        <v>0</v>
      </c>
      <c r="V1888" s="41">
        <f>IF(AND(H1888="Falta",L1888=Config!$B$7,M1888=Config!$B$5,COUNTIFS($E$5:E1888,E1888,$H$5:H1888,"Falta",$L$5:L1888,Config!$B$7,$M$5:M1888,Config!$B$5)=1),COUNTIFS($E$5:$E$3004,E1888,$H$5:$H$3004,"Falta",$L$5:$L$3004,Config!$B$7,$M$5:$M$3004,Config!$B$5)*1000-ROW()/100000,0)</f>
        <v>0</v>
      </c>
    </row>
    <row r="1889">
      <c r="A1889" s="39" t="n"/>
      <c r="B1889" s="40" t="n"/>
      <c r="C1889" s="35" t="n"/>
      <c r="D1889" s="35" t="n"/>
      <c r="E1889" s="34" t="n"/>
      <c r="F1889" s="35" t="n"/>
      <c r="G1889" s="35" t="n"/>
      <c r="H1889" s="35" t="n"/>
      <c r="I1889" s="35" t="n"/>
      <c r="J1889" s="35" t="n"/>
      <c r="K1889" s="34" t="n"/>
      <c r="L1889" s="26">
        <f>IF(A1889="","",MONTH(A1889))</f>
        <v/>
      </c>
      <c r="M1889" s="26">
        <f>IF(A1889="","",YEAR(A1889))</f>
        <v/>
      </c>
      <c r="N1889" s="26">
        <f>IF(A1889="","",CHOOSE(WEEKDAY(A1889,2),"Segunda","Terça","Quarta","Quinta","Sexta","Sábado","Domingo"))</f>
        <v/>
      </c>
      <c r="O1889" s="26">
        <f>IF(B1889="","",IF(B1889&lt;TIME(12,0,0),"Manhã",IF(B1889&lt;TIME(18,0,0),"Tarde","Noite")))</f>
        <v/>
      </c>
      <c r="P1889" s="32">
        <f>IF(G1889="","",IFERROR(INDEX(Config!$I$5:$I$16,MATCH(G1889,Config!$H$5:$H$16,0)),0))</f>
        <v/>
      </c>
      <c r="Q1889" s="30">
        <f>IF(OR(H1889&lt;&gt;"Realizado",P1889="",P1889=0),"",A1889+P1889)</f>
        <v/>
      </c>
      <c r="R1889" s="26">
        <f>IF(Q1889="","",IF(COUNTIFS($E$5:$E$3004,E1889,$A$5:$A$3004,"&gt;"&amp;A1889,$H$5:$H$3004,"&lt;&gt;Falta",$H$5:$H$3004,"&lt;&gt;Cancelado",$H$5:$H$3004,"&lt;&gt;Remarcado")&gt;0,"Sim","Não"))</f>
        <v/>
      </c>
      <c r="S1889" s="32">
        <f>IF(R1889&lt;&gt;"Não","",IF(Q1889+Config!$B$9&lt;=Config!$B$8,Config!$B$8-Q1889,""))</f>
        <v/>
      </c>
      <c r="T1889" s="26">
        <f>IF(S1889="","","Sim")</f>
        <v/>
      </c>
      <c r="U1889" s="41">
        <f>IF(T1889="Sim",S1889+ROW()/100000,0)</f>
        <v>0</v>
      </c>
      <c r="V1889" s="41">
        <f>IF(AND(H1889="Falta",L1889=Config!$B$7,M1889=Config!$B$5,COUNTIFS($E$5:E1889,E1889,$H$5:H1889,"Falta",$L$5:L1889,Config!$B$7,$M$5:M1889,Config!$B$5)=1),COUNTIFS($E$5:$E$3004,E1889,$H$5:$H$3004,"Falta",$L$5:$L$3004,Config!$B$7,$M$5:$M$3004,Config!$B$5)*1000-ROW()/100000,0)</f>
        <v>0</v>
      </c>
    </row>
    <row r="1890">
      <c r="A1890" s="39" t="n"/>
      <c r="B1890" s="40" t="n"/>
      <c r="C1890" s="35" t="n"/>
      <c r="D1890" s="35" t="n"/>
      <c r="E1890" s="34" t="n"/>
      <c r="F1890" s="35" t="n"/>
      <c r="G1890" s="35" t="n"/>
      <c r="H1890" s="35" t="n"/>
      <c r="I1890" s="35" t="n"/>
      <c r="J1890" s="35" t="n"/>
      <c r="K1890" s="34" t="n"/>
      <c r="L1890" s="26">
        <f>IF(A1890="","",MONTH(A1890))</f>
        <v/>
      </c>
      <c r="M1890" s="26">
        <f>IF(A1890="","",YEAR(A1890))</f>
        <v/>
      </c>
      <c r="N1890" s="26">
        <f>IF(A1890="","",CHOOSE(WEEKDAY(A1890,2),"Segunda","Terça","Quarta","Quinta","Sexta","Sábado","Domingo"))</f>
        <v/>
      </c>
      <c r="O1890" s="26">
        <f>IF(B1890="","",IF(B1890&lt;TIME(12,0,0),"Manhã",IF(B1890&lt;TIME(18,0,0),"Tarde","Noite")))</f>
        <v/>
      </c>
      <c r="P1890" s="32">
        <f>IF(G1890="","",IFERROR(INDEX(Config!$I$5:$I$16,MATCH(G1890,Config!$H$5:$H$16,0)),0))</f>
        <v/>
      </c>
      <c r="Q1890" s="30">
        <f>IF(OR(H1890&lt;&gt;"Realizado",P1890="",P1890=0),"",A1890+P1890)</f>
        <v/>
      </c>
      <c r="R1890" s="26">
        <f>IF(Q1890="","",IF(COUNTIFS($E$5:$E$3004,E1890,$A$5:$A$3004,"&gt;"&amp;A1890,$H$5:$H$3004,"&lt;&gt;Falta",$H$5:$H$3004,"&lt;&gt;Cancelado",$H$5:$H$3004,"&lt;&gt;Remarcado")&gt;0,"Sim","Não"))</f>
        <v/>
      </c>
      <c r="S1890" s="32">
        <f>IF(R1890&lt;&gt;"Não","",IF(Q1890+Config!$B$9&lt;=Config!$B$8,Config!$B$8-Q1890,""))</f>
        <v/>
      </c>
      <c r="T1890" s="26">
        <f>IF(S1890="","","Sim")</f>
        <v/>
      </c>
      <c r="U1890" s="41">
        <f>IF(T1890="Sim",S1890+ROW()/100000,0)</f>
        <v>0</v>
      </c>
      <c r="V1890" s="41">
        <f>IF(AND(H1890="Falta",L1890=Config!$B$7,M1890=Config!$B$5,COUNTIFS($E$5:E1890,E1890,$H$5:H1890,"Falta",$L$5:L1890,Config!$B$7,$M$5:M1890,Config!$B$5)=1),COUNTIFS($E$5:$E$3004,E1890,$H$5:$H$3004,"Falta",$L$5:$L$3004,Config!$B$7,$M$5:$M$3004,Config!$B$5)*1000-ROW()/100000,0)</f>
        <v>0</v>
      </c>
    </row>
    <row r="1891">
      <c r="A1891" s="39" t="n"/>
      <c r="B1891" s="40" t="n"/>
      <c r="C1891" s="35" t="n"/>
      <c r="D1891" s="35" t="n"/>
      <c r="E1891" s="34" t="n"/>
      <c r="F1891" s="35" t="n"/>
      <c r="G1891" s="35" t="n"/>
      <c r="H1891" s="35" t="n"/>
      <c r="I1891" s="35" t="n"/>
      <c r="J1891" s="35" t="n"/>
      <c r="K1891" s="34" t="n"/>
      <c r="L1891" s="26">
        <f>IF(A1891="","",MONTH(A1891))</f>
        <v/>
      </c>
      <c r="M1891" s="26">
        <f>IF(A1891="","",YEAR(A1891))</f>
        <v/>
      </c>
      <c r="N1891" s="26">
        <f>IF(A1891="","",CHOOSE(WEEKDAY(A1891,2),"Segunda","Terça","Quarta","Quinta","Sexta","Sábado","Domingo"))</f>
        <v/>
      </c>
      <c r="O1891" s="26">
        <f>IF(B1891="","",IF(B1891&lt;TIME(12,0,0),"Manhã",IF(B1891&lt;TIME(18,0,0),"Tarde","Noite")))</f>
        <v/>
      </c>
      <c r="P1891" s="32">
        <f>IF(G1891="","",IFERROR(INDEX(Config!$I$5:$I$16,MATCH(G1891,Config!$H$5:$H$16,0)),0))</f>
        <v/>
      </c>
      <c r="Q1891" s="30">
        <f>IF(OR(H1891&lt;&gt;"Realizado",P1891="",P1891=0),"",A1891+P1891)</f>
        <v/>
      </c>
      <c r="R1891" s="26">
        <f>IF(Q1891="","",IF(COUNTIFS($E$5:$E$3004,E1891,$A$5:$A$3004,"&gt;"&amp;A1891,$H$5:$H$3004,"&lt;&gt;Falta",$H$5:$H$3004,"&lt;&gt;Cancelado",$H$5:$H$3004,"&lt;&gt;Remarcado")&gt;0,"Sim","Não"))</f>
        <v/>
      </c>
      <c r="S1891" s="32">
        <f>IF(R1891&lt;&gt;"Não","",IF(Q1891+Config!$B$9&lt;=Config!$B$8,Config!$B$8-Q1891,""))</f>
        <v/>
      </c>
      <c r="T1891" s="26">
        <f>IF(S1891="","","Sim")</f>
        <v/>
      </c>
      <c r="U1891" s="41">
        <f>IF(T1891="Sim",S1891+ROW()/100000,0)</f>
        <v>0</v>
      </c>
      <c r="V1891" s="41">
        <f>IF(AND(H1891="Falta",L1891=Config!$B$7,M1891=Config!$B$5,COUNTIFS($E$5:E1891,E1891,$H$5:H1891,"Falta",$L$5:L1891,Config!$B$7,$M$5:M1891,Config!$B$5)=1),COUNTIFS($E$5:$E$3004,E1891,$H$5:$H$3004,"Falta",$L$5:$L$3004,Config!$B$7,$M$5:$M$3004,Config!$B$5)*1000-ROW()/100000,0)</f>
        <v>0</v>
      </c>
    </row>
    <row r="1892">
      <c r="A1892" s="39" t="n"/>
      <c r="B1892" s="40" t="n"/>
      <c r="C1892" s="35" t="n"/>
      <c r="D1892" s="35" t="n"/>
      <c r="E1892" s="34" t="n"/>
      <c r="F1892" s="35" t="n"/>
      <c r="G1892" s="35" t="n"/>
      <c r="H1892" s="35" t="n"/>
      <c r="I1892" s="35" t="n"/>
      <c r="J1892" s="35" t="n"/>
      <c r="K1892" s="34" t="n"/>
      <c r="L1892" s="26">
        <f>IF(A1892="","",MONTH(A1892))</f>
        <v/>
      </c>
      <c r="M1892" s="26">
        <f>IF(A1892="","",YEAR(A1892))</f>
        <v/>
      </c>
      <c r="N1892" s="26">
        <f>IF(A1892="","",CHOOSE(WEEKDAY(A1892,2),"Segunda","Terça","Quarta","Quinta","Sexta","Sábado","Domingo"))</f>
        <v/>
      </c>
      <c r="O1892" s="26">
        <f>IF(B1892="","",IF(B1892&lt;TIME(12,0,0),"Manhã",IF(B1892&lt;TIME(18,0,0),"Tarde","Noite")))</f>
        <v/>
      </c>
      <c r="P1892" s="32">
        <f>IF(G1892="","",IFERROR(INDEX(Config!$I$5:$I$16,MATCH(G1892,Config!$H$5:$H$16,0)),0))</f>
        <v/>
      </c>
      <c r="Q1892" s="30">
        <f>IF(OR(H1892&lt;&gt;"Realizado",P1892="",P1892=0),"",A1892+P1892)</f>
        <v/>
      </c>
      <c r="R1892" s="26">
        <f>IF(Q1892="","",IF(COUNTIFS($E$5:$E$3004,E1892,$A$5:$A$3004,"&gt;"&amp;A1892,$H$5:$H$3004,"&lt;&gt;Falta",$H$5:$H$3004,"&lt;&gt;Cancelado",$H$5:$H$3004,"&lt;&gt;Remarcado")&gt;0,"Sim","Não"))</f>
        <v/>
      </c>
      <c r="S1892" s="32">
        <f>IF(R1892&lt;&gt;"Não","",IF(Q1892+Config!$B$9&lt;=Config!$B$8,Config!$B$8-Q1892,""))</f>
        <v/>
      </c>
      <c r="T1892" s="26">
        <f>IF(S1892="","","Sim")</f>
        <v/>
      </c>
      <c r="U1892" s="41">
        <f>IF(T1892="Sim",S1892+ROW()/100000,0)</f>
        <v>0</v>
      </c>
      <c r="V1892" s="41">
        <f>IF(AND(H1892="Falta",L1892=Config!$B$7,M1892=Config!$B$5,COUNTIFS($E$5:E1892,E1892,$H$5:H1892,"Falta",$L$5:L1892,Config!$B$7,$M$5:M1892,Config!$B$5)=1),COUNTIFS($E$5:$E$3004,E1892,$H$5:$H$3004,"Falta",$L$5:$L$3004,Config!$B$7,$M$5:$M$3004,Config!$B$5)*1000-ROW()/100000,0)</f>
        <v>0</v>
      </c>
    </row>
    <row r="1893">
      <c r="A1893" s="39" t="n"/>
      <c r="B1893" s="40" t="n"/>
      <c r="C1893" s="35" t="n"/>
      <c r="D1893" s="35" t="n"/>
      <c r="E1893" s="34" t="n"/>
      <c r="F1893" s="35" t="n"/>
      <c r="G1893" s="35" t="n"/>
      <c r="H1893" s="35" t="n"/>
      <c r="I1893" s="35" t="n"/>
      <c r="J1893" s="35" t="n"/>
      <c r="K1893" s="34" t="n"/>
      <c r="L1893" s="26">
        <f>IF(A1893="","",MONTH(A1893))</f>
        <v/>
      </c>
      <c r="M1893" s="26">
        <f>IF(A1893="","",YEAR(A1893))</f>
        <v/>
      </c>
      <c r="N1893" s="26">
        <f>IF(A1893="","",CHOOSE(WEEKDAY(A1893,2),"Segunda","Terça","Quarta","Quinta","Sexta","Sábado","Domingo"))</f>
        <v/>
      </c>
      <c r="O1893" s="26">
        <f>IF(B1893="","",IF(B1893&lt;TIME(12,0,0),"Manhã",IF(B1893&lt;TIME(18,0,0),"Tarde","Noite")))</f>
        <v/>
      </c>
      <c r="P1893" s="32">
        <f>IF(G1893="","",IFERROR(INDEX(Config!$I$5:$I$16,MATCH(G1893,Config!$H$5:$H$16,0)),0))</f>
        <v/>
      </c>
      <c r="Q1893" s="30">
        <f>IF(OR(H1893&lt;&gt;"Realizado",P1893="",P1893=0),"",A1893+P1893)</f>
        <v/>
      </c>
      <c r="R1893" s="26">
        <f>IF(Q1893="","",IF(COUNTIFS($E$5:$E$3004,E1893,$A$5:$A$3004,"&gt;"&amp;A1893,$H$5:$H$3004,"&lt;&gt;Falta",$H$5:$H$3004,"&lt;&gt;Cancelado",$H$5:$H$3004,"&lt;&gt;Remarcado")&gt;0,"Sim","Não"))</f>
        <v/>
      </c>
      <c r="S1893" s="32">
        <f>IF(R1893&lt;&gt;"Não","",IF(Q1893+Config!$B$9&lt;=Config!$B$8,Config!$B$8-Q1893,""))</f>
        <v/>
      </c>
      <c r="T1893" s="26">
        <f>IF(S1893="","","Sim")</f>
        <v/>
      </c>
      <c r="U1893" s="41">
        <f>IF(T1893="Sim",S1893+ROW()/100000,0)</f>
        <v>0</v>
      </c>
      <c r="V1893" s="41">
        <f>IF(AND(H1893="Falta",L1893=Config!$B$7,M1893=Config!$B$5,COUNTIFS($E$5:E1893,E1893,$H$5:H1893,"Falta",$L$5:L1893,Config!$B$7,$M$5:M1893,Config!$B$5)=1),COUNTIFS($E$5:$E$3004,E1893,$H$5:$H$3004,"Falta",$L$5:$L$3004,Config!$B$7,$M$5:$M$3004,Config!$B$5)*1000-ROW()/100000,0)</f>
        <v>0</v>
      </c>
    </row>
    <row r="1894">
      <c r="A1894" s="39" t="n"/>
      <c r="B1894" s="40" t="n"/>
      <c r="C1894" s="35" t="n"/>
      <c r="D1894" s="35" t="n"/>
      <c r="E1894" s="34" t="n"/>
      <c r="F1894" s="35" t="n"/>
      <c r="G1894" s="35" t="n"/>
      <c r="H1894" s="35" t="n"/>
      <c r="I1894" s="35" t="n"/>
      <c r="J1894" s="35" t="n"/>
      <c r="K1894" s="34" t="n"/>
      <c r="L1894" s="26">
        <f>IF(A1894="","",MONTH(A1894))</f>
        <v/>
      </c>
      <c r="M1894" s="26">
        <f>IF(A1894="","",YEAR(A1894))</f>
        <v/>
      </c>
      <c r="N1894" s="26">
        <f>IF(A1894="","",CHOOSE(WEEKDAY(A1894,2),"Segunda","Terça","Quarta","Quinta","Sexta","Sábado","Domingo"))</f>
        <v/>
      </c>
      <c r="O1894" s="26">
        <f>IF(B1894="","",IF(B1894&lt;TIME(12,0,0),"Manhã",IF(B1894&lt;TIME(18,0,0),"Tarde","Noite")))</f>
        <v/>
      </c>
      <c r="P1894" s="32">
        <f>IF(G1894="","",IFERROR(INDEX(Config!$I$5:$I$16,MATCH(G1894,Config!$H$5:$H$16,0)),0))</f>
        <v/>
      </c>
      <c r="Q1894" s="30">
        <f>IF(OR(H1894&lt;&gt;"Realizado",P1894="",P1894=0),"",A1894+P1894)</f>
        <v/>
      </c>
      <c r="R1894" s="26">
        <f>IF(Q1894="","",IF(COUNTIFS($E$5:$E$3004,E1894,$A$5:$A$3004,"&gt;"&amp;A1894,$H$5:$H$3004,"&lt;&gt;Falta",$H$5:$H$3004,"&lt;&gt;Cancelado",$H$5:$H$3004,"&lt;&gt;Remarcado")&gt;0,"Sim","Não"))</f>
        <v/>
      </c>
      <c r="S1894" s="32">
        <f>IF(R1894&lt;&gt;"Não","",IF(Q1894+Config!$B$9&lt;=Config!$B$8,Config!$B$8-Q1894,""))</f>
        <v/>
      </c>
      <c r="T1894" s="26">
        <f>IF(S1894="","","Sim")</f>
        <v/>
      </c>
      <c r="U1894" s="41">
        <f>IF(T1894="Sim",S1894+ROW()/100000,0)</f>
        <v>0</v>
      </c>
      <c r="V1894" s="41">
        <f>IF(AND(H1894="Falta",L1894=Config!$B$7,M1894=Config!$B$5,COUNTIFS($E$5:E1894,E1894,$H$5:H1894,"Falta",$L$5:L1894,Config!$B$7,$M$5:M1894,Config!$B$5)=1),COUNTIFS($E$5:$E$3004,E1894,$H$5:$H$3004,"Falta",$L$5:$L$3004,Config!$B$7,$M$5:$M$3004,Config!$B$5)*1000-ROW()/100000,0)</f>
        <v>0</v>
      </c>
    </row>
    <row r="1895">
      <c r="A1895" s="39" t="n"/>
      <c r="B1895" s="40" t="n"/>
      <c r="C1895" s="35" t="n"/>
      <c r="D1895" s="35" t="n"/>
      <c r="E1895" s="34" t="n"/>
      <c r="F1895" s="35" t="n"/>
      <c r="G1895" s="35" t="n"/>
      <c r="H1895" s="35" t="n"/>
      <c r="I1895" s="35" t="n"/>
      <c r="J1895" s="35" t="n"/>
      <c r="K1895" s="34" t="n"/>
      <c r="L1895" s="26">
        <f>IF(A1895="","",MONTH(A1895))</f>
        <v/>
      </c>
      <c r="M1895" s="26">
        <f>IF(A1895="","",YEAR(A1895))</f>
        <v/>
      </c>
      <c r="N1895" s="26">
        <f>IF(A1895="","",CHOOSE(WEEKDAY(A1895,2),"Segunda","Terça","Quarta","Quinta","Sexta","Sábado","Domingo"))</f>
        <v/>
      </c>
      <c r="O1895" s="26">
        <f>IF(B1895="","",IF(B1895&lt;TIME(12,0,0),"Manhã",IF(B1895&lt;TIME(18,0,0),"Tarde","Noite")))</f>
        <v/>
      </c>
      <c r="P1895" s="32">
        <f>IF(G1895="","",IFERROR(INDEX(Config!$I$5:$I$16,MATCH(G1895,Config!$H$5:$H$16,0)),0))</f>
        <v/>
      </c>
      <c r="Q1895" s="30">
        <f>IF(OR(H1895&lt;&gt;"Realizado",P1895="",P1895=0),"",A1895+P1895)</f>
        <v/>
      </c>
      <c r="R1895" s="26">
        <f>IF(Q1895="","",IF(COUNTIFS($E$5:$E$3004,E1895,$A$5:$A$3004,"&gt;"&amp;A1895,$H$5:$H$3004,"&lt;&gt;Falta",$H$5:$H$3004,"&lt;&gt;Cancelado",$H$5:$H$3004,"&lt;&gt;Remarcado")&gt;0,"Sim","Não"))</f>
        <v/>
      </c>
      <c r="S1895" s="32">
        <f>IF(R1895&lt;&gt;"Não","",IF(Q1895+Config!$B$9&lt;=Config!$B$8,Config!$B$8-Q1895,""))</f>
        <v/>
      </c>
      <c r="T1895" s="26">
        <f>IF(S1895="","","Sim")</f>
        <v/>
      </c>
      <c r="U1895" s="41">
        <f>IF(T1895="Sim",S1895+ROW()/100000,0)</f>
        <v>0</v>
      </c>
      <c r="V1895" s="41">
        <f>IF(AND(H1895="Falta",L1895=Config!$B$7,M1895=Config!$B$5,COUNTIFS($E$5:E1895,E1895,$H$5:H1895,"Falta",$L$5:L1895,Config!$B$7,$M$5:M1895,Config!$B$5)=1),COUNTIFS($E$5:$E$3004,E1895,$H$5:$H$3004,"Falta",$L$5:$L$3004,Config!$B$7,$M$5:$M$3004,Config!$B$5)*1000-ROW()/100000,0)</f>
        <v>0</v>
      </c>
    </row>
    <row r="1896">
      <c r="A1896" s="39" t="n"/>
      <c r="B1896" s="40" t="n"/>
      <c r="C1896" s="35" t="n"/>
      <c r="D1896" s="35" t="n"/>
      <c r="E1896" s="34" t="n"/>
      <c r="F1896" s="35" t="n"/>
      <c r="G1896" s="35" t="n"/>
      <c r="H1896" s="35" t="n"/>
      <c r="I1896" s="35" t="n"/>
      <c r="J1896" s="35" t="n"/>
      <c r="K1896" s="34" t="n"/>
      <c r="L1896" s="26">
        <f>IF(A1896="","",MONTH(A1896))</f>
        <v/>
      </c>
      <c r="M1896" s="26">
        <f>IF(A1896="","",YEAR(A1896))</f>
        <v/>
      </c>
      <c r="N1896" s="26">
        <f>IF(A1896="","",CHOOSE(WEEKDAY(A1896,2),"Segunda","Terça","Quarta","Quinta","Sexta","Sábado","Domingo"))</f>
        <v/>
      </c>
      <c r="O1896" s="26">
        <f>IF(B1896="","",IF(B1896&lt;TIME(12,0,0),"Manhã",IF(B1896&lt;TIME(18,0,0),"Tarde","Noite")))</f>
        <v/>
      </c>
      <c r="P1896" s="32">
        <f>IF(G1896="","",IFERROR(INDEX(Config!$I$5:$I$16,MATCH(G1896,Config!$H$5:$H$16,0)),0))</f>
        <v/>
      </c>
      <c r="Q1896" s="30">
        <f>IF(OR(H1896&lt;&gt;"Realizado",P1896="",P1896=0),"",A1896+P1896)</f>
        <v/>
      </c>
      <c r="R1896" s="26">
        <f>IF(Q1896="","",IF(COUNTIFS($E$5:$E$3004,E1896,$A$5:$A$3004,"&gt;"&amp;A1896,$H$5:$H$3004,"&lt;&gt;Falta",$H$5:$H$3004,"&lt;&gt;Cancelado",$H$5:$H$3004,"&lt;&gt;Remarcado")&gt;0,"Sim","Não"))</f>
        <v/>
      </c>
      <c r="S1896" s="32">
        <f>IF(R1896&lt;&gt;"Não","",IF(Q1896+Config!$B$9&lt;=Config!$B$8,Config!$B$8-Q1896,""))</f>
        <v/>
      </c>
      <c r="T1896" s="26">
        <f>IF(S1896="","","Sim")</f>
        <v/>
      </c>
      <c r="U1896" s="41">
        <f>IF(T1896="Sim",S1896+ROW()/100000,0)</f>
        <v>0</v>
      </c>
      <c r="V1896" s="41">
        <f>IF(AND(H1896="Falta",L1896=Config!$B$7,M1896=Config!$B$5,COUNTIFS($E$5:E1896,E1896,$H$5:H1896,"Falta",$L$5:L1896,Config!$B$7,$M$5:M1896,Config!$B$5)=1),COUNTIFS($E$5:$E$3004,E1896,$H$5:$H$3004,"Falta",$L$5:$L$3004,Config!$B$7,$M$5:$M$3004,Config!$B$5)*1000-ROW()/100000,0)</f>
        <v>0</v>
      </c>
    </row>
    <row r="1897">
      <c r="A1897" s="39" t="n"/>
      <c r="B1897" s="40" t="n"/>
      <c r="C1897" s="35" t="n"/>
      <c r="D1897" s="35" t="n"/>
      <c r="E1897" s="34" t="n"/>
      <c r="F1897" s="35" t="n"/>
      <c r="G1897" s="35" t="n"/>
      <c r="H1897" s="35" t="n"/>
      <c r="I1897" s="35" t="n"/>
      <c r="J1897" s="35" t="n"/>
      <c r="K1897" s="34" t="n"/>
      <c r="L1897" s="26">
        <f>IF(A1897="","",MONTH(A1897))</f>
        <v/>
      </c>
      <c r="M1897" s="26">
        <f>IF(A1897="","",YEAR(A1897))</f>
        <v/>
      </c>
      <c r="N1897" s="26">
        <f>IF(A1897="","",CHOOSE(WEEKDAY(A1897,2),"Segunda","Terça","Quarta","Quinta","Sexta","Sábado","Domingo"))</f>
        <v/>
      </c>
      <c r="O1897" s="26">
        <f>IF(B1897="","",IF(B1897&lt;TIME(12,0,0),"Manhã",IF(B1897&lt;TIME(18,0,0),"Tarde","Noite")))</f>
        <v/>
      </c>
      <c r="P1897" s="32">
        <f>IF(G1897="","",IFERROR(INDEX(Config!$I$5:$I$16,MATCH(G1897,Config!$H$5:$H$16,0)),0))</f>
        <v/>
      </c>
      <c r="Q1897" s="30">
        <f>IF(OR(H1897&lt;&gt;"Realizado",P1897="",P1897=0),"",A1897+P1897)</f>
        <v/>
      </c>
      <c r="R1897" s="26">
        <f>IF(Q1897="","",IF(COUNTIFS($E$5:$E$3004,E1897,$A$5:$A$3004,"&gt;"&amp;A1897,$H$5:$H$3004,"&lt;&gt;Falta",$H$5:$H$3004,"&lt;&gt;Cancelado",$H$5:$H$3004,"&lt;&gt;Remarcado")&gt;0,"Sim","Não"))</f>
        <v/>
      </c>
      <c r="S1897" s="32">
        <f>IF(R1897&lt;&gt;"Não","",IF(Q1897+Config!$B$9&lt;=Config!$B$8,Config!$B$8-Q1897,""))</f>
        <v/>
      </c>
      <c r="T1897" s="26">
        <f>IF(S1897="","","Sim")</f>
        <v/>
      </c>
      <c r="U1897" s="41">
        <f>IF(T1897="Sim",S1897+ROW()/100000,0)</f>
        <v>0</v>
      </c>
      <c r="V1897" s="41">
        <f>IF(AND(H1897="Falta",L1897=Config!$B$7,M1897=Config!$B$5,COUNTIFS($E$5:E1897,E1897,$H$5:H1897,"Falta",$L$5:L1897,Config!$B$7,$M$5:M1897,Config!$B$5)=1),COUNTIFS($E$5:$E$3004,E1897,$H$5:$H$3004,"Falta",$L$5:$L$3004,Config!$B$7,$M$5:$M$3004,Config!$B$5)*1000-ROW()/100000,0)</f>
        <v>0</v>
      </c>
    </row>
    <row r="1898">
      <c r="A1898" s="39" t="n"/>
      <c r="B1898" s="40" t="n"/>
      <c r="C1898" s="35" t="n"/>
      <c r="D1898" s="35" t="n"/>
      <c r="E1898" s="34" t="n"/>
      <c r="F1898" s="35" t="n"/>
      <c r="G1898" s="35" t="n"/>
      <c r="H1898" s="35" t="n"/>
      <c r="I1898" s="35" t="n"/>
      <c r="J1898" s="35" t="n"/>
      <c r="K1898" s="34" t="n"/>
      <c r="L1898" s="26">
        <f>IF(A1898="","",MONTH(A1898))</f>
        <v/>
      </c>
      <c r="M1898" s="26">
        <f>IF(A1898="","",YEAR(A1898))</f>
        <v/>
      </c>
      <c r="N1898" s="26">
        <f>IF(A1898="","",CHOOSE(WEEKDAY(A1898,2),"Segunda","Terça","Quarta","Quinta","Sexta","Sábado","Domingo"))</f>
        <v/>
      </c>
      <c r="O1898" s="26">
        <f>IF(B1898="","",IF(B1898&lt;TIME(12,0,0),"Manhã",IF(B1898&lt;TIME(18,0,0),"Tarde","Noite")))</f>
        <v/>
      </c>
      <c r="P1898" s="32">
        <f>IF(G1898="","",IFERROR(INDEX(Config!$I$5:$I$16,MATCH(G1898,Config!$H$5:$H$16,0)),0))</f>
        <v/>
      </c>
      <c r="Q1898" s="30">
        <f>IF(OR(H1898&lt;&gt;"Realizado",P1898="",P1898=0),"",A1898+P1898)</f>
        <v/>
      </c>
      <c r="R1898" s="26">
        <f>IF(Q1898="","",IF(COUNTIFS($E$5:$E$3004,E1898,$A$5:$A$3004,"&gt;"&amp;A1898,$H$5:$H$3004,"&lt;&gt;Falta",$H$5:$H$3004,"&lt;&gt;Cancelado",$H$5:$H$3004,"&lt;&gt;Remarcado")&gt;0,"Sim","Não"))</f>
        <v/>
      </c>
      <c r="S1898" s="32">
        <f>IF(R1898&lt;&gt;"Não","",IF(Q1898+Config!$B$9&lt;=Config!$B$8,Config!$B$8-Q1898,""))</f>
        <v/>
      </c>
      <c r="T1898" s="26">
        <f>IF(S1898="","","Sim")</f>
        <v/>
      </c>
      <c r="U1898" s="41">
        <f>IF(T1898="Sim",S1898+ROW()/100000,0)</f>
        <v>0</v>
      </c>
      <c r="V1898" s="41">
        <f>IF(AND(H1898="Falta",L1898=Config!$B$7,M1898=Config!$B$5,COUNTIFS($E$5:E1898,E1898,$H$5:H1898,"Falta",$L$5:L1898,Config!$B$7,$M$5:M1898,Config!$B$5)=1),COUNTIFS($E$5:$E$3004,E1898,$H$5:$H$3004,"Falta",$L$5:$L$3004,Config!$B$7,$M$5:$M$3004,Config!$B$5)*1000-ROW()/100000,0)</f>
        <v>0</v>
      </c>
    </row>
    <row r="1899">
      <c r="A1899" s="39" t="n"/>
      <c r="B1899" s="40" t="n"/>
      <c r="C1899" s="35" t="n"/>
      <c r="D1899" s="35" t="n"/>
      <c r="E1899" s="34" t="n"/>
      <c r="F1899" s="35" t="n"/>
      <c r="G1899" s="35" t="n"/>
      <c r="H1899" s="35" t="n"/>
      <c r="I1899" s="35" t="n"/>
      <c r="J1899" s="35" t="n"/>
      <c r="K1899" s="34" t="n"/>
      <c r="L1899" s="26">
        <f>IF(A1899="","",MONTH(A1899))</f>
        <v/>
      </c>
      <c r="M1899" s="26">
        <f>IF(A1899="","",YEAR(A1899))</f>
        <v/>
      </c>
      <c r="N1899" s="26">
        <f>IF(A1899="","",CHOOSE(WEEKDAY(A1899,2),"Segunda","Terça","Quarta","Quinta","Sexta","Sábado","Domingo"))</f>
        <v/>
      </c>
      <c r="O1899" s="26">
        <f>IF(B1899="","",IF(B1899&lt;TIME(12,0,0),"Manhã",IF(B1899&lt;TIME(18,0,0),"Tarde","Noite")))</f>
        <v/>
      </c>
      <c r="P1899" s="32">
        <f>IF(G1899="","",IFERROR(INDEX(Config!$I$5:$I$16,MATCH(G1899,Config!$H$5:$H$16,0)),0))</f>
        <v/>
      </c>
      <c r="Q1899" s="30">
        <f>IF(OR(H1899&lt;&gt;"Realizado",P1899="",P1899=0),"",A1899+P1899)</f>
        <v/>
      </c>
      <c r="R1899" s="26">
        <f>IF(Q1899="","",IF(COUNTIFS($E$5:$E$3004,E1899,$A$5:$A$3004,"&gt;"&amp;A1899,$H$5:$H$3004,"&lt;&gt;Falta",$H$5:$H$3004,"&lt;&gt;Cancelado",$H$5:$H$3004,"&lt;&gt;Remarcado")&gt;0,"Sim","Não"))</f>
        <v/>
      </c>
      <c r="S1899" s="32">
        <f>IF(R1899&lt;&gt;"Não","",IF(Q1899+Config!$B$9&lt;=Config!$B$8,Config!$B$8-Q1899,""))</f>
        <v/>
      </c>
      <c r="T1899" s="26">
        <f>IF(S1899="","","Sim")</f>
        <v/>
      </c>
      <c r="U1899" s="41">
        <f>IF(T1899="Sim",S1899+ROW()/100000,0)</f>
        <v>0</v>
      </c>
      <c r="V1899" s="41">
        <f>IF(AND(H1899="Falta",L1899=Config!$B$7,M1899=Config!$B$5,COUNTIFS($E$5:E1899,E1899,$H$5:H1899,"Falta",$L$5:L1899,Config!$B$7,$M$5:M1899,Config!$B$5)=1),COUNTIFS($E$5:$E$3004,E1899,$H$5:$H$3004,"Falta",$L$5:$L$3004,Config!$B$7,$M$5:$M$3004,Config!$B$5)*1000-ROW()/100000,0)</f>
        <v>0</v>
      </c>
    </row>
    <row r="1900">
      <c r="A1900" s="39" t="n"/>
      <c r="B1900" s="40" t="n"/>
      <c r="C1900" s="35" t="n"/>
      <c r="D1900" s="35" t="n"/>
      <c r="E1900" s="34" t="n"/>
      <c r="F1900" s="35" t="n"/>
      <c r="G1900" s="35" t="n"/>
      <c r="H1900" s="35" t="n"/>
      <c r="I1900" s="35" t="n"/>
      <c r="J1900" s="35" t="n"/>
      <c r="K1900" s="34" t="n"/>
      <c r="L1900" s="26">
        <f>IF(A1900="","",MONTH(A1900))</f>
        <v/>
      </c>
      <c r="M1900" s="26">
        <f>IF(A1900="","",YEAR(A1900))</f>
        <v/>
      </c>
      <c r="N1900" s="26">
        <f>IF(A1900="","",CHOOSE(WEEKDAY(A1900,2),"Segunda","Terça","Quarta","Quinta","Sexta","Sábado","Domingo"))</f>
        <v/>
      </c>
      <c r="O1900" s="26">
        <f>IF(B1900="","",IF(B1900&lt;TIME(12,0,0),"Manhã",IF(B1900&lt;TIME(18,0,0),"Tarde","Noite")))</f>
        <v/>
      </c>
      <c r="P1900" s="32">
        <f>IF(G1900="","",IFERROR(INDEX(Config!$I$5:$I$16,MATCH(G1900,Config!$H$5:$H$16,0)),0))</f>
        <v/>
      </c>
      <c r="Q1900" s="30">
        <f>IF(OR(H1900&lt;&gt;"Realizado",P1900="",P1900=0),"",A1900+P1900)</f>
        <v/>
      </c>
      <c r="R1900" s="26">
        <f>IF(Q1900="","",IF(COUNTIFS($E$5:$E$3004,E1900,$A$5:$A$3004,"&gt;"&amp;A1900,$H$5:$H$3004,"&lt;&gt;Falta",$H$5:$H$3004,"&lt;&gt;Cancelado",$H$5:$H$3004,"&lt;&gt;Remarcado")&gt;0,"Sim","Não"))</f>
        <v/>
      </c>
      <c r="S1900" s="32">
        <f>IF(R1900&lt;&gt;"Não","",IF(Q1900+Config!$B$9&lt;=Config!$B$8,Config!$B$8-Q1900,""))</f>
        <v/>
      </c>
      <c r="T1900" s="26">
        <f>IF(S1900="","","Sim")</f>
        <v/>
      </c>
      <c r="U1900" s="41">
        <f>IF(T1900="Sim",S1900+ROW()/100000,0)</f>
        <v>0</v>
      </c>
      <c r="V1900" s="41">
        <f>IF(AND(H1900="Falta",L1900=Config!$B$7,M1900=Config!$B$5,COUNTIFS($E$5:E1900,E1900,$H$5:H1900,"Falta",$L$5:L1900,Config!$B$7,$M$5:M1900,Config!$B$5)=1),COUNTIFS($E$5:$E$3004,E1900,$H$5:$H$3004,"Falta",$L$5:$L$3004,Config!$B$7,$M$5:$M$3004,Config!$B$5)*1000-ROW()/100000,0)</f>
        <v>0</v>
      </c>
    </row>
    <row r="1901">
      <c r="A1901" s="39" t="n"/>
      <c r="B1901" s="40" t="n"/>
      <c r="C1901" s="35" t="n"/>
      <c r="D1901" s="35" t="n"/>
      <c r="E1901" s="34" t="n"/>
      <c r="F1901" s="35" t="n"/>
      <c r="G1901" s="35" t="n"/>
      <c r="H1901" s="35" t="n"/>
      <c r="I1901" s="35" t="n"/>
      <c r="J1901" s="35" t="n"/>
      <c r="K1901" s="34" t="n"/>
      <c r="L1901" s="26">
        <f>IF(A1901="","",MONTH(A1901))</f>
        <v/>
      </c>
      <c r="M1901" s="26">
        <f>IF(A1901="","",YEAR(A1901))</f>
        <v/>
      </c>
      <c r="N1901" s="26">
        <f>IF(A1901="","",CHOOSE(WEEKDAY(A1901,2),"Segunda","Terça","Quarta","Quinta","Sexta","Sábado","Domingo"))</f>
        <v/>
      </c>
      <c r="O1901" s="26">
        <f>IF(B1901="","",IF(B1901&lt;TIME(12,0,0),"Manhã",IF(B1901&lt;TIME(18,0,0),"Tarde","Noite")))</f>
        <v/>
      </c>
      <c r="P1901" s="32">
        <f>IF(G1901="","",IFERROR(INDEX(Config!$I$5:$I$16,MATCH(G1901,Config!$H$5:$H$16,0)),0))</f>
        <v/>
      </c>
      <c r="Q1901" s="30">
        <f>IF(OR(H1901&lt;&gt;"Realizado",P1901="",P1901=0),"",A1901+P1901)</f>
        <v/>
      </c>
      <c r="R1901" s="26">
        <f>IF(Q1901="","",IF(COUNTIFS($E$5:$E$3004,E1901,$A$5:$A$3004,"&gt;"&amp;A1901,$H$5:$H$3004,"&lt;&gt;Falta",$H$5:$H$3004,"&lt;&gt;Cancelado",$H$5:$H$3004,"&lt;&gt;Remarcado")&gt;0,"Sim","Não"))</f>
        <v/>
      </c>
      <c r="S1901" s="32">
        <f>IF(R1901&lt;&gt;"Não","",IF(Q1901+Config!$B$9&lt;=Config!$B$8,Config!$B$8-Q1901,""))</f>
        <v/>
      </c>
      <c r="T1901" s="26">
        <f>IF(S1901="","","Sim")</f>
        <v/>
      </c>
      <c r="U1901" s="41">
        <f>IF(T1901="Sim",S1901+ROW()/100000,0)</f>
        <v>0</v>
      </c>
      <c r="V1901" s="41">
        <f>IF(AND(H1901="Falta",L1901=Config!$B$7,M1901=Config!$B$5,COUNTIFS($E$5:E1901,E1901,$H$5:H1901,"Falta",$L$5:L1901,Config!$B$7,$M$5:M1901,Config!$B$5)=1),COUNTIFS($E$5:$E$3004,E1901,$H$5:$H$3004,"Falta",$L$5:$L$3004,Config!$B$7,$M$5:$M$3004,Config!$B$5)*1000-ROW()/100000,0)</f>
        <v>0</v>
      </c>
    </row>
    <row r="1902">
      <c r="A1902" s="39" t="n"/>
      <c r="B1902" s="40" t="n"/>
      <c r="C1902" s="35" t="n"/>
      <c r="D1902" s="35" t="n"/>
      <c r="E1902" s="34" t="n"/>
      <c r="F1902" s="35" t="n"/>
      <c r="G1902" s="35" t="n"/>
      <c r="H1902" s="35" t="n"/>
      <c r="I1902" s="35" t="n"/>
      <c r="J1902" s="35" t="n"/>
      <c r="K1902" s="34" t="n"/>
      <c r="L1902" s="26">
        <f>IF(A1902="","",MONTH(A1902))</f>
        <v/>
      </c>
      <c r="M1902" s="26">
        <f>IF(A1902="","",YEAR(A1902))</f>
        <v/>
      </c>
      <c r="N1902" s="26">
        <f>IF(A1902="","",CHOOSE(WEEKDAY(A1902,2),"Segunda","Terça","Quarta","Quinta","Sexta","Sábado","Domingo"))</f>
        <v/>
      </c>
      <c r="O1902" s="26">
        <f>IF(B1902="","",IF(B1902&lt;TIME(12,0,0),"Manhã",IF(B1902&lt;TIME(18,0,0),"Tarde","Noite")))</f>
        <v/>
      </c>
      <c r="P1902" s="32">
        <f>IF(G1902="","",IFERROR(INDEX(Config!$I$5:$I$16,MATCH(G1902,Config!$H$5:$H$16,0)),0))</f>
        <v/>
      </c>
      <c r="Q1902" s="30">
        <f>IF(OR(H1902&lt;&gt;"Realizado",P1902="",P1902=0),"",A1902+P1902)</f>
        <v/>
      </c>
      <c r="R1902" s="26">
        <f>IF(Q1902="","",IF(COUNTIFS($E$5:$E$3004,E1902,$A$5:$A$3004,"&gt;"&amp;A1902,$H$5:$H$3004,"&lt;&gt;Falta",$H$5:$H$3004,"&lt;&gt;Cancelado",$H$5:$H$3004,"&lt;&gt;Remarcado")&gt;0,"Sim","Não"))</f>
        <v/>
      </c>
      <c r="S1902" s="32">
        <f>IF(R1902&lt;&gt;"Não","",IF(Q1902+Config!$B$9&lt;=Config!$B$8,Config!$B$8-Q1902,""))</f>
        <v/>
      </c>
      <c r="T1902" s="26">
        <f>IF(S1902="","","Sim")</f>
        <v/>
      </c>
      <c r="U1902" s="41">
        <f>IF(T1902="Sim",S1902+ROW()/100000,0)</f>
        <v>0</v>
      </c>
      <c r="V1902" s="41">
        <f>IF(AND(H1902="Falta",L1902=Config!$B$7,M1902=Config!$B$5,COUNTIFS($E$5:E1902,E1902,$H$5:H1902,"Falta",$L$5:L1902,Config!$B$7,$M$5:M1902,Config!$B$5)=1),COUNTIFS($E$5:$E$3004,E1902,$H$5:$H$3004,"Falta",$L$5:$L$3004,Config!$B$7,$M$5:$M$3004,Config!$B$5)*1000-ROW()/100000,0)</f>
        <v>0</v>
      </c>
    </row>
    <row r="1903">
      <c r="A1903" s="39" t="n"/>
      <c r="B1903" s="40" t="n"/>
      <c r="C1903" s="35" t="n"/>
      <c r="D1903" s="35" t="n"/>
      <c r="E1903" s="34" t="n"/>
      <c r="F1903" s="35" t="n"/>
      <c r="G1903" s="35" t="n"/>
      <c r="H1903" s="35" t="n"/>
      <c r="I1903" s="35" t="n"/>
      <c r="J1903" s="35" t="n"/>
      <c r="K1903" s="34" t="n"/>
      <c r="L1903" s="26">
        <f>IF(A1903="","",MONTH(A1903))</f>
        <v/>
      </c>
      <c r="M1903" s="26">
        <f>IF(A1903="","",YEAR(A1903))</f>
        <v/>
      </c>
      <c r="N1903" s="26">
        <f>IF(A1903="","",CHOOSE(WEEKDAY(A1903,2),"Segunda","Terça","Quarta","Quinta","Sexta","Sábado","Domingo"))</f>
        <v/>
      </c>
      <c r="O1903" s="26">
        <f>IF(B1903="","",IF(B1903&lt;TIME(12,0,0),"Manhã",IF(B1903&lt;TIME(18,0,0),"Tarde","Noite")))</f>
        <v/>
      </c>
      <c r="P1903" s="32">
        <f>IF(G1903="","",IFERROR(INDEX(Config!$I$5:$I$16,MATCH(G1903,Config!$H$5:$H$16,0)),0))</f>
        <v/>
      </c>
      <c r="Q1903" s="30">
        <f>IF(OR(H1903&lt;&gt;"Realizado",P1903="",P1903=0),"",A1903+P1903)</f>
        <v/>
      </c>
      <c r="R1903" s="26">
        <f>IF(Q1903="","",IF(COUNTIFS($E$5:$E$3004,E1903,$A$5:$A$3004,"&gt;"&amp;A1903,$H$5:$H$3004,"&lt;&gt;Falta",$H$5:$H$3004,"&lt;&gt;Cancelado",$H$5:$H$3004,"&lt;&gt;Remarcado")&gt;0,"Sim","Não"))</f>
        <v/>
      </c>
      <c r="S1903" s="32">
        <f>IF(R1903&lt;&gt;"Não","",IF(Q1903+Config!$B$9&lt;=Config!$B$8,Config!$B$8-Q1903,""))</f>
        <v/>
      </c>
      <c r="T1903" s="26">
        <f>IF(S1903="","","Sim")</f>
        <v/>
      </c>
      <c r="U1903" s="41">
        <f>IF(T1903="Sim",S1903+ROW()/100000,0)</f>
        <v>0</v>
      </c>
      <c r="V1903" s="41">
        <f>IF(AND(H1903="Falta",L1903=Config!$B$7,M1903=Config!$B$5,COUNTIFS($E$5:E1903,E1903,$H$5:H1903,"Falta",$L$5:L1903,Config!$B$7,$M$5:M1903,Config!$B$5)=1),COUNTIFS($E$5:$E$3004,E1903,$H$5:$H$3004,"Falta",$L$5:$L$3004,Config!$B$7,$M$5:$M$3004,Config!$B$5)*1000-ROW()/100000,0)</f>
        <v>0</v>
      </c>
    </row>
    <row r="1904">
      <c r="A1904" s="39" t="n"/>
      <c r="B1904" s="40" t="n"/>
      <c r="C1904" s="35" t="n"/>
      <c r="D1904" s="35" t="n"/>
      <c r="E1904" s="34" t="n"/>
      <c r="F1904" s="35" t="n"/>
      <c r="G1904" s="35" t="n"/>
      <c r="H1904" s="35" t="n"/>
      <c r="I1904" s="35" t="n"/>
      <c r="J1904" s="35" t="n"/>
      <c r="K1904" s="34" t="n"/>
      <c r="L1904" s="26">
        <f>IF(A1904="","",MONTH(A1904))</f>
        <v/>
      </c>
      <c r="M1904" s="26">
        <f>IF(A1904="","",YEAR(A1904))</f>
        <v/>
      </c>
      <c r="N1904" s="26">
        <f>IF(A1904="","",CHOOSE(WEEKDAY(A1904,2),"Segunda","Terça","Quarta","Quinta","Sexta","Sábado","Domingo"))</f>
        <v/>
      </c>
      <c r="O1904" s="26">
        <f>IF(B1904="","",IF(B1904&lt;TIME(12,0,0),"Manhã",IF(B1904&lt;TIME(18,0,0),"Tarde","Noite")))</f>
        <v/>
      </c>
      <c r="P1904" s="32">
        <f>IF(G1904="","",IFERROR(INDEX(Config!$I$5:$I$16,MATCH(G1904,Config!$H$5:$H$16,0)),0))</f>
        <v/>
      </c>
      <c r="Q1904" s="30">
        <f>IF(OR(H1904&lt;&gt;"Realizado",P1904="",P1904=0),"",A1904+P1904)</f>
        <v/>
      </c>
      <c r="R1904" s="26">
        <f>IF(Q1904="","",IF(COUNTIFS($E$5:$E$3004,E1904,$A$5:$A$3004,"&gt;"&amp;A1904,$H$5:$H$3004,"&lt;&gt;Falta",$H$5:$H$3004,"&lt;&gt;Cancelado",$H$5:$H$3004,"&lt;&gt;Remarcado")&gt;0,"Sim","Não"))</f>
        <v/>
      </c>
      <c r="S1904" s="32">
        <f>IF(R1904&lt;&gt;"Não","",IF(Q1904+Config!$B$9&lt;=Config!$B$8,Config!$B$8-Q1904,""))</f>
        <v/>
      </c>
      <c r="T1904" s="26">
        <f>IF(S1904="","","Sim")</f>
        <v/>
      </c>
      <c r="U1904" s="41">
        <f>IF(T1904="Sim",S1904+ROW()/100000,0)</f>
        <v>0</v>
      </c>
      <c r="V1904" s="41">
        <f>IF(AND(H1904="Falta",L1904=Config!$B$7,M1904=Config!$B$5,COUNTIFS($E$5:E1904,E1904,$H$5:H1904,"Falta",$L$5:L1904,Config!$B$7,$M$5:M1904,Config!$B$5)=1),COUNTIFS($E$5:$E$3004,E1904,$H$5:$H$3004,"Falta",$L$5:$L$3004,Config!$B$7,$M$5:$M$3004,Config!$B$5)*1000-ROW()/100000,0)</f>
        <v>0</v>
      </c>
    </row>
    <row r="1905">
      <c r="A1905" s="39" t="n"/>
      <c r="B1905" s="40" t="n"/>
      <c r="C1905" s="35" t="n"/>
      <c r="D1905" s="35" t="n"/>
      <c r="E1905" s="34" t="n"/>
      <c r="F1905" s="35" t="n"/>
      <c r="G1905" s="35" t="n"/>
      <c r="H1905" s="35" t="n"/>
      <c r="I1905" s="35" t="n"/>
      <c r="J1905" s="35" t="n"/>
      <c r="K1905" s="34" t="n"/>
      <c r="L1905" s="26">
        <f>IF(A1905="","",MONTH(A1905))</f>
        <v/>
      </c>
      <c r="M1905" s="26">
        <f>IF(A1905="","",YEAR(A1905))</f>
        <v/>
      </c>
      <c r="N1905" s="26">
        <f>IF(A1905="","",CHOOSE(WEEKDAY(A1905,2),"Segunda","Terça","Quarta","Quinta","Sexta","Sábado","Domingo"))</f>
        <v/>
      </c>
      <c r="O1905" s="26">
        <f>IF(B1905="","",IF(B1905&lt;TIME(12,0,0),"Manhã",IF(B1905&lt;TIME(18,0,0),"Tarde","Noite")))</f>
        <v/>
      </c>
      <c r="P1905" s="32">
        <f>IF(G1905="","",IFERROR(INDEX(Config!$I$5:$I$16,MATCH(G1905,Config!$H$5:$H$16,0)),0))</f>
        <v/>
      </c>
      <c r="Q1905" s="30">
        <f>IF(OR(H1905&lt;&gt;"Realizado",P1905="",P1905=0),"",A1905+P1905)</f>
        <v/>
      </c>
      <c r="R1905" s="26">
        <f>IF(Q1905="","",IF(COUNTIFS($E$5:$E$3004,E1905,$A$5:$A$3004,"&gt;"&amp;A1905,$H$5:$H$3004,"&lt;&gt;Falta",$H$5:$H$3004,"&lt;&gt;Cancelado",$H$5:$H$3004,"&lt;&gt;Remarcado")&gt;0,"Sim","Não"))</f>
        <v/>
      </c>
      <c r="S1905" s="32">
        <f>IF(R1905&lt;&gt;"Não","",IF(Q1905+Config!$B$9&lt;=Config!$B$8,Config!$B$8-Q1905,""))</f>
        <v/>
      </c>
      <c r="T1905" s="26">
        <f>IF(S1905="","","Sim")</f>
        <v/>
      </c>
      <c r="U1905" s="41">
        <f>IF(T1905="Sim",S1905+ROW()/100000,0)</f>
        <v>0</v>
      </c>
      <c r="V1905" s="41">
        <f>IF(AND(H1905="Falta",L1905=Config!$B$7,M1905=Config!$B$5,COUNTIFS($E$5:E1905,E1905,$H$5:H1905,"Falta",$L$5:L1905,Config!$B$7,$M$5:M1905,Config!$B$5)=1),COUNTIFS($E$5:$E$3004,E1905,$H$5:$H$3004,"Falta",$L$5:$L$3004,Config!$B$7,$M$5:$M$3004,Config!$B$5)*1000-ROW()/100000,0)</f>
        <v>0</v>
      </c>
    </row>
    <row r="1906">
      <c r="A1906" s="39" t="n"/>
      <c r="B1906" s="40" t="n"/>
      <c r="C1906" s="35" t="n"/>
      <c r="D1906" s="35" t="n"/>
      <c r="E1906" s="34" t="n"/>
      <c r="F1906" s="35" t="n"/>
      <c r="G1906" s="35" t="n"/>
      <c r="H1906" s="35" t="n"/>
      <c r="I1906" s="35" t="n"/>
      <c r="J1906" s="35" t="n"/>
      <c r="K1906" s="34" t="n"/>
      <c r="L1906" s="26">
        <f>IF(A1906="","",MONTH(A1906))</f>
        <v/>
      </c>
      <c r="M1906" s="26">
        <f>IF(A1906="","",YEAR(A1906))</f>
        <v/>
      </c>
      <c r="N1906" s="26">
        <f>IF(A1906="","",CHOOSE(WEEKDAY(A1906,2),"Segunda","Terça","Quarta","Quinta","Sexta","Sábado","Domingo"))</f>
        <v/>
      </c>
      <c r="O1906" s="26">
        <f>IF(B1906="","",IF(B1906&lt;TIME(12,0,0),"Manhã",IF(B1906&lt;TIME(18,0,0),"Tarde","Noite")))</f>
        <v/>
      </c>
      <c r="P1906" s="32">
        <f>IF(G1906="","",IFERROR(INDEX(Config!$I$5:$I$16,MATCH(G1906,Config!$H$5:$H$16,0)),0))</f>
        <v/>
      </c>
      <c r="Q1906" s="30">
        <f>IF(OR(H1906&lt;&gt;"Realizado",P1906="",P1906=0),"",A1906+P1906)</f>
        <v/>
      </c>
      <c r="R1906" s="26">
        <f>IF(Q1906="","",IF(COUNTIFS($E$5:$E$3004,E1906,$A$5:$A$3004,"&gt;"&amp;A1906,$H$5:$H$3004,"&lt;&gt;Falta",$H$5:$H$3004,"&lt;&gt;Cancelado",$H$5:$H$3004,"&lt;&gt;Remarcado")&gt;0,"Sim","Não"))</f>
        <v/>
      </c>
      <c r="S1906" s="32">
        <f>IF(R1906&lt;&gt;"Não","",IF(Q1906+Config!$B$9&lt;=Config!$B$8,Config!$B$8-Q1906,""))</f>
        <v/>
      </c>
      <c r="T1906" s="26">
        <f>IF(S1906="","","Sim")</f>
        <v/>
      </c>
      <c r="U1906" s="41">
        <f>IF(T1906="Sim",S1906+ROW()/100000,0)</f>
        <v>0</v>
      </c>
      <c r="V1906" s="41">
        <f>IF(AND(H1906="Falta",L1906=Config!$B$7,M1906=Config!$B$5,COUNTIFS($E$5:E1906,E1906,$H$5:H1906,"Falta",$L$5:L1906,Config!$B$7,$M$5:M1906,Config!$B$5)=1),COUNTIFS($E$5:$E$3004,E1906,$H$5:$H$3004,"Falta",$L$5:$L$3004,Config!$B$7,$M$5:$M$3004,Config!$B$5)*1000-ROW()/100000,0)</f>
        <v>0</v>
      </c>
    </row>
    <row r="1907">
      <c r="A1907" s="39" t="n"/>
      <c r="B1907" s="40" t="n"/>
      <c r="C1907" s="35" t="n"/>
      <c r="D1907" s="35" t="n"/>
      <c r="E1907" s="34" t="n"/>
      <c r="F1907" s="35" t="n"/>
      <c r="G1907" s="35" t="n"/>
      <c r="H1907" s="35" t="n"/>
      <c r="I1907" s="35" t="n"/>
      <c r="J1907" s="35" t="n"/>
      <c r="K1907" s="34" t="n"/>
      <c r="L1907" s="26">
        <f>IF(A1907="","",MONTH(A1907))</f>
        <v/>
      </c>
      <c r="M1907" s="26">
        <f>IF(A1907="","",YEAR(A1907))</f>
        <v/>
      </c>
      <c r="N1907" s="26">
        <f>IF(A1907="","",CHOOSE(WEEKDAY(A1907,2),"Segunda","Terça","Quarta","Quinta","Sexta","Sábado","Domingo"))</f>
        <v/>
      </c>
      <c r="O1907" s="26">
        <f>IF(B1907="","",IF(B1907&lt;TIME(12,0,0),"Manhã",IF(B1907&lt;TIME(18,0,0),"Tarde","Noite")))</f>
        <v/>
      </c>
      <c r="P1907" s="32">
        <f>IF(G1907="","",IFERROR(INDEX(Config!$I$5:$I$16,MATCH(G1907,Config!$H$5:$H$16,0)),0))</f>
        <v/>
      </c>
      <c r="Q1907" s="30">
        <f>IF(OR(H1907&lt;&gt;"Realizado",P1907="",P1907=0),"",A1907+P1907)</f>
        <v/>
      </c>
      <c r="R1907" s="26">
        <f>IF(Q1907="","",IF(COUNTIFS($E$5:$E$3004,E1907,$A$5:$A$3004,"&gt;"&amp;A1907,$H$5:$H$3004,"&lt;&gt;Falta",$H$5:$H$3004,"&lt;&gt;Cancelado",$H$5:$H$3004,"&lt;&gt;Remarcado")&gt;0,"Sim","Não"))</f>
        <v/>
      </c>
      <c r="S1907" s="32">
        <f>IF(R1907&lt;&gt;"Não","",IF(Q1907+Config!$B$9&lt;=Config!$B$8,Config!$B$8-Q1907,""))</f>
        <v/>
      </c>
      <c r="T1907" s="26">
        <f>IF(S1907="","","Sim")</f>
        <v/>
      </c>
      <c r="U1907" s="41">
        <f>IF(T1907="Sim",S1907+ROW()/100000,0)</f>
        <v>0</v>
      </c>
      <c r="V1907" s="41">
        <f>IF(AND(H1907="Falta",L1907=Config!$B$7,M1907=Config!$B$5,COUNTIFS($E$5:E1907,E1907,$H$5:H1907,"Falta",$L$5:L1907,Config!$B$7,$M$5:M1907,Config!$B$5)=1),COUNTIFS($E$5:$E$3004,E1907,$H$5:$H$3004,"Falta",$L$5:$L$3004,Config!$B$7,$M$5:$M$3004,Config!$B$5)*1000-ROW()/100000,0)</f>
        <v>0</v>
      </c>
    </row>
    <row r="1908">
      <c r="A1908" s="39" t="n"/>
      <c r="B1908" s="40" t="n"/>
      <c r="C1908" s="35" t="n"/>
      <c r="D1908" s="35" t="n"/>
      <c r="E1908" s="34" t="n"/>
      <c r="F1908" s="35" t="n"/>
      <c r="G1908" s="35" t="n"/>
      <c r="H1908" s="35" t="n"/>
      <c r="I1908" s="35" t="n"/>
      <c r="J1908" s="35" t="n"/>
      <c r="K1908" s="34" t="n"/>
      <c r="L1908" s="26">
        <f>IF(A1908="","",MONTH(A1908))</f>
        <v/>
      </c>
      <c r="M1908" s="26">
        <f>IF(A1908="","",YEAR(A1908))</f>
        <v/>
      </c>
      <c r="N1908" s="26">
        <f>IF(A1908="","",CHOOSE(WEEKDAY(A1908,2),"Segunda","Terça","Quarta","Quinta","Sexta","Sábado","Domingo"))</f>
        <v/>
      </c>
      <c r="O1908" s="26">
        <f>IF(B1908="","",IF(B1908&lt;TIME(12,0,0),"Manhã",IF(B1908&lt;TIME(18,0,0),"Tarde","Noite")))</f>
        <v/>
      </c>
      <c r="P1908" s="32">
        <f>IF(G1908="","",IFERROR(INDEX(Config!$I$5:$I$16,MATCH(G1908,Config!$H$5:$H$16,0)),0))</f>
        <v/>
      </c>
      <c r="Q1908" s="30">
        <f>IF(OR(H1908&lt;&gt;"Realizado",P1908="",P1908=0),"",A1908+P1908)</f>
        <v/>
      </c>
      <c r="R1908" s="26">
        <f>IF(Q1908="","",IF(COUNTIFS($E$5:$E$3004,E1908,$A$5:$A$3004,"&gt;"&amp;A1908,$H$5:$H$3004,"&lt;&gt;Falta",$H$5:$H$3004,"&lt;&gt;Cancelado",$H$5:$H$3004,"&lt;&gt;Remarcado")&gt;0,"Sim","Não"))</f>
        <v/>
      </c>
      <c r="S1908" s="32">
        <f>IF(R1908&lt;&gt;"Não","",IF(Q1908+Config!$B$9&lt;=Config!$B$8,Config!$B$8-Q1908,""))</f>
        <v/>
      </c>
      <c r="T1908" s="26">
        <f>IF(S1908="","","Sim")</f>
        <v/>
      </c>
      <c r="U1908" s="41">
        <f>IF(T1908="Sim",S1908+ROW()/100000,0)</f>
        <v>0</v>
      </c>
      <c r="V1908" s="41">
        <f>IF(AND(H1908="Falta",L1908=Config!$B$7,M1908=Config!$B$5,COUNTIFS($E$5:E1908,E1908,$H$5:H1908,"Falta",$L$5:L1908,Config!$B$7,$M$5:M1908,Config!$B$5)=1),COUNTIFS($E$5:$E$3004,E1908,$H$5:$H$3004,"Falta",$L$5:$L$3004,Config!$B$7,$M$5:$M$3004,Config!$B$5)*1000-ROW()/100000,0)</f>
        <v>0</v>
      </c>
    </row>
    <row r="1909">
      <c r="A1909" s="39" t="n"/>
      <c r="B1909" s="40" t="n"/>
      <c r="C1909" s="35" t="n"/>
      <c r="D1909" s="35" t="n"/>
      <c r="E1909" s="34" t="n"/>
      <c r="F1909" s="35" t="n"/>
      <c r="G1909" s="35" t="n"/>
      <c r="H1909" s="35" t="n"/>
      <c r="I1909" s="35" t="n"/>
      <c r="J1909" s="35" t="n"/>
      <c r="K1909" s="34" t="n"/>
      <c r="L1909" s="26">
        <f>IF(A1909="","",MONTH(A1909))</f>
        <v/>
      </c>
      <c r="M1909" s="26">
        <f>IF(A1909="","",YEAR(A1909))</f>
        <v/>
      </c>
      <c r="N1909" s="26">
        <f>IF(A1909="","",CHOOSE(WEEKDAY(A1909,2),"Segunda","Terça","Quarta","Quinta","Sexta","Sábado","Domingo"))</f>
        <v/>
      </c>
      <c r="O1909" s="26">
        <f>IF(B1909="","",IF(B1909&lt;TIME(12,0,0),"Manhã",IF(B1909&lt;TIME(18,0,0),"Tarde","Noite")))</f>
        <v/>
      </c>
      <c r="P1909" s="32">
        <f>IF(G1909="","",IFERROR(INDEX(Config!$I$5:$I$16,MATCH(G1909,Config!$H$5:$H$16,0)),0))</f>
        <v/>
      </c>
      <c r="Q1909" s="30">
        <f>IF(OR(H1909&lt;&gt;"Realizado",P1909="",P1909=0),"",A1909+P1909)</f>
        <v/>
      </c>
      <c r="R1909" s="26">
        <f>IF(Q1909="","",IF(COUNTIFS($E$5:$E$3004,E1909,$A$5:$A$3004,"&gt;"&amp;A1909,$H$5:$H$3004,"&lt;&gt;Falta",$H$5:$H$3004,"&lt;&gt;Cancelado",$H$5:$H$3004,"&lt;&gt;Remarcado")&gt;0,"Sim","Não"))</f>
        <v/>
      </c>
      <c r="S1909" s="32">
        <f>IF(R1909&lt;&gt;"Não","",IF(Q1909+Config!$B$9&lt;=Config!$B$8,Config!$B$8-Q1909,""))</f>
        <v/>
      </c>
      <c r="T1909" s="26">
        <f>IF(S1909="","","Sim")</f>
        <v/>
      </c>
      <c r="U1909" s="41">
        <f>IF(T1909="Sim",S1909+ROW()/100000,0)</f>
        <v>0</v>
      </c>
      <c r="V1909" s="41">
        <f>IF(AND(H1909="Falta",L1909=Config!$B$7,M1909=Config!$B$5,COUNTIFS($E$5:E1909,E1909,$H$5:H1909,"Falta",$L$5:L1909,Config!$B$7,$M$5:M1909,Config!$B$5)=1),COUNTIFS($E$5:$E$3004,E1909,$H$5:$H$3004,"Falta",$L$5:$L$3004,Config!$B$7,$M$5:$M$3004,Config!$B$5)*1000-ROW()/100000,0)</f>
        <v>0</v>
      </c>
    </row>
    <row r="1910">
      <c r="A1910" s="39" t="n"/>
      <c r="B1910" s="40" t="n"/>
      <c r="C1910" s="35" t="n"/>
      <c r="D1910" s="35" t="n"/>
      <c r="E1910" s="34" t="n"/>
      <c r="F1910" s="35" t="n"/>
      <c r="G1910" s="35" t="n"/>
      <c r="H1910" s="35" t="n"/>
      <c r="I1910" s="35" t="n"/>
      <c r="J1910" s="35" t="n"/>
      <c r="K1910" s="34" t="n"/>
      <c r="L1910" s="26">
        <f>IF(A1910="","",MONTH(A1910))</f>
        <v/>
      </c>
      <c r="M1910" s="26">
        <f>IF(A1910="","",YEAR(A1910))</f>
        <v/>
      </c>
      <c r="N1910" s="26">
        <f>IF(A1910="","",CHOOSE(WEEKDAY(A1910,2),"Segunda","Terça","Quarta","Quinta","Sexta","Sábado","Domingo"))</f>
        <v/>
      </c>
      <c r="O1910" s="26">
        <f>IF(B1910="","",IF(B1910&lt;TIME(12,0,0),"Manhã",IF(B1910&lt;TIME(18,0,0),"Tarde","Noite")))</f>
        <v/>
      </c>
      <c r="P1910" s="32">
        <f>IF(G1910="","",IFERROR(INDEX(Config!$I$5:$I$16,MATCH(G1910,Config!$H$5:$H$16,0)),0))</f>
        <v/>
      </c>
      <c r="Q1910" s="30">
        <f>IF(OR(H1910&lt;&gt;"Realizado",P1910="",P1910=0),"",A1910+P1910)</f>
        <v/>
      </c>
      <c r="R1910" s="26">
        <f>IF(Q1910="","",IF(COUNTIFS($E$5:$E$3004,E1910,$A$5:$A$3004,"&gt;"&amp;A1910,$H$5:$H$3004,"&lt;&gt;Falta",$H$5:$H$3004,"&lt;&gt;Cancelado",$H$5:$H$3004,"&lt;&gt;Remarcado")&gt;0,"Sim","Não"))</f>
        <v/>
      </c>
      <c r="S1910" s="32">
        <f>IF(R1910&lt;&gt;"Não","",IF(Q1910+Config!$B$9&lt;=Config!$B$8,Config!$B$8-Q1910,""))</f>
        <v/>
      </c>
      <c r="T1910" s="26">
        <f>IF(S1910="","","Sim")</f>
        <v/>
      </c>
      <c r="U1910" s="41">
        <f>IF(T1910="Sim",S1910+ROW()/100000,0)</f>
        <v>0</v>
      </c>
      <c r="V1910" s="41">
        <f>IF(AND(H1910="Falta",L1910=Config!$B$7,M1910=Config!$B$5,COUNTIFS($E$5:E1910,E1910,$H$5:H1910,"Falta",$L$5:L1910,Config!$B$7,$M$5:M1910,Config!$B$5)=1),COUNTIFS($E$5:$E$3004,E1910,$H$5:$H$3004,"Falta",$L$5:$L$3004,Config!$B$7,$M$5:$M$3004,Config!$B$5)*1000-ROW()/100000,0)</f>
        <v>0</v>
      </c>
    </row>
    <row r="1911">
      <c r="A1911" s="39" t="n"/>
      <c r="B1911" s="40" t="n"/>
      <c r="C1911" s="35" t="n"/>
      <c r="D1911" s="35" t="n"/>
      <c r="E1911" s="34" t="n"/>
      <c r="F1911" s="35" t="n"/>
      <c r="G1911" s="35" t="n"/>
      <c r="H1911" s="35" t="n"/>
      <c r="I1911" s="35" t="n"/>
      <c r="J1911" s="35" t="n"/>
      <c r="K1911" s="34" t="n"/>
      <c r="L1911" s="26">
        <f>IF(A1911="","",MONTH(A1911))</f>
        <v/>
      </c>
      <c r="M1911" s="26">
        <f>IF(A1911="","",YEAR(A1911))</f>
        <v/>
      </c>
      <c r="N1911" s="26">
        <f>IF(A1911="","",CHOOSE(WEEKDAY(A1911,2),"Segunda","Terça","Quarta","Quinta","Sexta","Sábado","Domingo"))</f>
        <v/>
      </c>
      <c r="O1911" s="26">
        <f>IF(B1911="","",IF(B1911&lt;TIME(12,0,0),"Manhã",IF(B1911&lt;TIME(18,0,0),"Tarde","Noite")))</f>
        <v/>
      </c>
      <c r="P1911" s="32">
        <f>IF(G1911="","",IFERROR(INDEX(Config!$I$5:$I$16,MATCH(G1911,Config!$H$5:$H$16,0)),0))</f>
        <v/>
      </c>
      <c r="Q1911" s="30">
        <f>IF(OR(H1911&lt;&gt;"Realizado",P1911="",P1911=0),"",A1911+P1911)</f>
        <v/>
      </c>
      <c r="R1911" s="26">
        <f>IF(Q1911="","",IF(COUNTIFS($E$5:$E$3004,E1911,$A$5:$A$3004,"&gt;"&amp;A1911,$H$5:$H$3004,"&lt;&gt;Falta",$H$5:$H$3004,"&lt;&gt;Cancelado",$H$5:$H$3004,"&lt;&gt;Remarcado")&gt;0,"Sim","Não"))</f>
        <v/>
      </c>
      <c r="S1911" s="32">
        <f>IF(R1911&lt;&gt;"Não","",IF(Q1911+Config!$B$9&lt;=Config!$B$8,Config!$B$8-Q1911,""))</f>
        <v/>
      </c>
      <c r="T1911" s="26">
        <f>IF(S1911="","","Sim")</f>
        <v/>
      </c>
      <c r="U1911" s="41">
        <f>IF(T1911="Sim",S1911+ROW()/100000,0)</f>
        <v>0</v>
      </c>
      <c r="V1911" s="41">
        <f>IF(AND(H1911="Falta",L1911=Config!$B$7,M1911=Config!$B$5,COUNTIFS($E$5:E1911,E1911,$H$5:H1911,"Falta",$L$5:L1911,Config!$B$7,$M$5:M1911,Config!$B$5)=1),COUNTIFS($E$5:$E$3004,E1911,$H$5:$H$3004,"Falta",$L$5:$L$3004,Config!$B$7,$M$5:$M$3004,Config!$B$5)*1000-ROW()/100000,0)</f>
        <v>0</v>
      </c>
    </row>
    <row r="1912">
      <c r="A1912" s="39" t="n"/>
      <c r="B1912" s="40" t="n"/>
      <c r="C1912" s="35" t="n"/>
      <c r="D1912" s="35" t="n"/>
      <c r="E1912" s="34" t="n"/>
      <c r="F1912" s="35" t="n"/>
      <c r="G1912" s="35" t="n"/>
      <c r="H1912" s="35" t="n"/>
      <c r="I1912" s="35" t="n"/>
      <c r="J1912" s="35" t="n"/>
      <c r="K1912" s="34" t="n"/>
      <c r="L1912" s="26">
        <f>IF(A1912="","",MONTH(A1912))</f>
        <v/>
      </c>
      <c r="M1912" s="26">
        <f>IF(A1912="","",YEAR(A1912))</f>
        <v/>
      </c>
      <c r="N1912" s="26">
        <f>IF(A1912="","",CHOOSE(WEEKDAY(A1912,2),"Segunda","Terça","Quarta","Quinta","Sexta","Sábado","Domingo"))</f>
        <v/>
      </c>
      <c r="O1912" s="26">
        <f>IF(B1912="","",IF(B1912&lt;TIME(12,0,0),"Manhã",IF(B1912&lt;TIME(18,0,0),"Tarde","Noite")))</f>
        <v/>
      </c>
      <c r="P1912" s="32">
        <f>IF(G1912="","",IFERROR(INDEX(Config!$I$5:$I$16,MATCH(G1912,Config!$H$5:$H$16,0)),0))</f>
        <v/>
      </c>
      <c r="Q1912" s="30">
        <f>IF(OR(H1912&lt;&gt;"Realizado",P1912="",P1912=0),"",A1912+P1912)</f>
        <v/>
      </c>
      <c r="R1912" s="26">
        <f>IF(Q1912="","",IF(COUNTIFS($E$5:$E$3004,E1912,$A$5:$A$3004,"&gt;"&amp;A1912,$H$5:$H$3004,"&lt;&gt;Falta",$H$5:$H$3004,"&lt;&gt;Cancelado",$H$5:$H$3004,"&lt;&gt;Remarcado")&gt;0,"Sim","Não"))</f>
        <v/>
      </c>
      <c r="S1912" s="32">
        <f>IF(R1912&lt;&gt;"Não","",IF(Q1912+Config!$B$9&lt;=Config!$B$8,Config!$B$8-Q1912,""))</f>
        <v/>
      </c>
      <c r="T1912" s="26">
        <f>IF(S1912="","","Sim")</f>
        <v/>
      </c>
      <c r="U1912" s="41">
        <f>IF(T1912="Sim",S1912+ROW()/100000,0)</f>
        <v>0</v>
      </c>
      <c r="V1912" s="41">
        <f>IF(AND(H1912="Falta",L1912=Config!$B$7,M1912=Config!$B$5,COUNTIFS($E$5:E1912,E1912,$H$5:H1912,"Falta",$L$5:L1912,Config!$B$7,$M$5:M1912,Config!$B$5)=1),COUNTIFS($E$5:$E$3004,E1912,$H$5:$H$3004,"Falta",$L$5:$L$3004,Config!$B$7,$M$5:$M$3004,Config!$B$5)*1000-ROW()/100000,0)</f>
        <v>0</v>
      </c>
    </row>
    <row r="1913">
      <c r="A1913" s="39" t="n"/>
      <c r="B1913" s="40" t="n"/>
      <c r="C1913" s="35" t="n"/>
      <c r="D1913" s="35" t="n"/>
      <c r="E1913" s="34" t="n"/>
      <c r="F1913" s="35" t="n"/>
      <c r="G1913" s="35" t="n"/>
      <c r="H1913" s="35" t="n"/>
      <c r="I1913" s="35" t="n"/>
      <c r="J1913" s="35" t="n"/>
      <c r="K1913" s="34" t="n"/>
      <c r="L1913" s="26">
        <f>IF(A1913="","",MONTH(A1913))</f>
        <v/>
      </c>
      <c r="M1913" s="26">
        <f>IF(A1913="","",YEAR(A1913))</f>
        <v/>
      </c>
      <c r="N1913" s="26">
        <f>IF(A1913="","",CHOOSE(WEEKDAY(A1913,2),"Segunda","Terça","Quarta","Quinta","Sexta","Sábado","Domingo"))</f>
        <v/>
      </c>
      <c r="O1913" s="26">
        <f>IF(B1913="","",IF(B1913&lt;TIME(12,0,0),"Manhã",IF(B1913&lt;TIME(18,0,0),"Tarde","Noite")))</f>
        <v/>
      </c>
      <c r="P1913" s="32">
        <f>IF(G1913="","",IFERROR(INDEX(Config!$I$5:$I$16,MATCH(G1913,Config!$H$5:$H$16,0)),0))</f>
        <v/>
      </c>
      <c r="Q1913" s="30">
        <f>IF(OR(H1913&lt;&gt;"Realizado",P1913="",P1913=0),"",A1913+P1913)</f>
        <v/>
      </c>
      <c r="R1913" s="26">
        <f>IF(Q1913="","",IF(COUNTIFS($E$5:$E$3004,E1913,$A$5:$A$3004,"&gt;"&amp;A1913,$H$5:$H$3004,"&lt;&gt;Falta",$H$5:$H$3004,"&lt;&gt;Cancelado",$H$5:$H$3004,"&lt;&gt;Remarcado")&gt;0,"Sim","Não"))</f>
        <v/>
      </c>
      <c r="S1913" s="32">
        <f>IF(R1913&lt;&gt;"Não","",IF(Q1913+Config!$B$9&lt;=Config!$B$8,Config!$B$8-Q1913,""))</f>
        <v/>
      </c>
      <c r="T1913" s="26">
        <f>IF(S1913="","","Sim")</f>
        <v/>
      </c>
      <c r="U1913" s="41">
        <f>IF(T1913="Sim",S1913+ROW()/100000,0)</f>
        <v>0</v>
      </c>
      <c r="V1913" s="41">
        <f>IF(AND(H1913="Falta",L1913=Config!$B$7,M1913=Config!$B$5,COUNTIFS($E$5:E1913,E1913,$H$5:H1913,"Falta",$L$5:L1913,Config!$B$7,$M$5:M1913,Config!$B$5)=1),COUNTIFS($E$5:$E$3004,E1913,$H$5:$H$3004,"Falta",$L$5:$L$3004,Config!$B$7,$M$5:$M$3004,Config!$B$5)*1000-ROW()/100000,0)</f>
        <v>0</v>
      </c>
    </row>
    <row r="1914">
      <c r="A1914" s="39" t="n"/>
      <c r="B1914" s="40" t="n"/>
      <c r="C1914" s="35" t="n"/>
      <c r="D1914" s="35" t="n"/>
      <c r="E1914" s="34" t="n"/>
      <c r="F1914" s="35" t="n"/>
      <c r="G1914" s="35" t="n"/>
      <c r="H1914" s="35" t="n"/>
      <c r="I1914" s="35" t="n"/>
      <c r="J1914" s="35" t="n"/>
      <c r="K1914" s="34" t="n"/>
      <c r="L1914" s="26">
        <f>IF(A1914="","",MONTH(A1914))</f>
        <v/>
      </c>
      <c r="M1914" s="26">
        <f>IF(A1914="","",YEAR(A1914))</f>
        <v/>
      </c>
      <c r="N1914" s="26">
        <f>IF(A1914="","",CHOOSE(WEEKDAY(A1914,2),"Segunda","Terça","Quarta","Quinta","Sexta","Sábado","Domingo"))</f>
        <v/>
      </c>
      <c r="O1914" s="26">
        <f>IF(B1914="","",IF(B1914&lt;TIME(12,0,0),"Manhã",IF(B1914&lt;TIME(18,0,0),"Tarde","Noite")))</f>
        <v/>
      </c>
      <c r="P1914" s="32">
        <f>IF(G1914="","",IFERROR(INDEX(Config!$I$5:$I$16,MATCH(G1914,Config!$H$5:$H$16,0)),0))</f>
        <v/>
      </c>
      <c r="Q1914" s="30">
        <f>IF(OR(H1914&lt;&gt;"Realizado",P1914="",P1914=0),"",A1914+P1914)</f>
        <v/>
      </c>
      <c r="R1914" s="26">
        <f>IF(Q1914="","",IF(COUNTIFS($E$5:$E$3004,E1914,$A$5:$A$3004,"&gt;"&amp;A1914,$H$5:$H$3004,"&lt;&gt;Falta",$H$5:$H$3004,"&lt;&gt;Cancelado",$H$5:$H$3004,"&lt;&gt;Remarcado")&gt;0,"Sim","Não"))</f>
        <v/>
      </c>
      <c r="S1914" s="32">
        <f>IF(R1914&lt;&gt;"Não","",IF(Q1914+Config!$B$9&lt;=Config!$B$8,Config!$B$8-Q1914,""))</f>
        <v/>
      </c>
      <c r="T1914" s="26">
        <f>IF(S1914="","","Sim")</f>
        <v/>
      </c>
      <c r="U1914" s="41">
        <f>IF(T1914="Sim",S1914+ROW()/100000,0)</f>
        <v>0</v>
      </c>
      <c r="V1914" s="41">
        <f>IF(AND(H1914="Falta",L1914=Config!$B$7,M1914=Config!$B$5,COUNTIFS($E$5:E1914,E1914,$H$5:H1914,"Falta",$L$5:L1914,Config!$B$7,$M$5:M1914,Config!$B$5)=1),COUNTIFS($E$5:$E$3004,E1914,$H$5:$H$3004,"Falta",$L$5:$L$3004,Config!$B$7,$M$5:$M$3004,Config!$B$5)*1000-ROW()/100000,0)</f>
        <v>0</v>
      </c>
    </row>
    <row r="1915">
      <c r="A1915" s="39" t="n"/>
      <c r="B1915" s="40" t="n"/>
      <c r="C1915" s="35" t="n"/>
      <c r="D1915" s="35" t="n"/>
      <c r="E1915" s="34" t="n"/>
      <c r="F1915" s="35" t="n"/>
      <c r="G1915" s="35" t="n"/>
      <c r="H1915" s="35" t="n"/>
      <c r="I1915" s="35" t="n"/>
      <c r="J1915" s="35" t="n"/>
      <c r="K1915" s="34" t="n"/>
      <c r="L1915" s="26">
        <f>IF(A1915="","",MONTH(A1915))</f>
        <v/>
      </c>
      <c r="M1915" s="26">
        <f>IF(A1915="","",YEAR(A1915))</f>
        <v/>
      </c>
      <c r="N1915" s="26">
        <f>IF(A1915="","",CHOOSE(WEEKDAY(A1915,2),"Segunda","Terça","Quarta","Quinta","Sexta","Sábado","Domingo"))</f>
        <v/>
      </c>
      <c r="O1915" s="26">
        <f>IF(B1915="","",IF(B1915&lt;TIME(12,0,0),"Manhã",IF(B1915&lt;TIME(18,0,0),"Tarde","Noite")))</f>
        <v/>
      </c>
      <c r="P1915" s="32">
        <f>IF(G1915="","",IFERROR(INDEX(Config!$I$5:$I$16,MATCH(G1915,Config!$H$5:$H$16,0)),0))</f>
        <v/>
      </c>
      <c r="Q1915" s="30">
        <f>IF(OR(H1915&lt;&gt;"Realizado",P1915="",P1915=0),"",A1915+P1915)</f>
        <v/>
      </c>
      <c r="R1915" s="26">
        <f>IF(Q1915="","",IF(COUNTIFS($E$5:$E$3004,E1915,$A$5:$A$3004,"&gt;"&amp;A1915,$H$5:$H$3004,"&lt;&gt;Falta",$H$5:$H$3004,"&lt;&gt;Cancelado",$H$5:$H$3004,"&lt;&gt;Remarcado")&gt;0,"Sim","Não"))</f>
        <v/>
      </c>
      <c r="S1915" s="32">
        <f>IF(R1915&lt;&gt;"Não","",IF(Q1915+Config!$B$9&lt;=Config!$B$8,Config!$B$8-Q1915,""))</f>
        <v/>
      </c>
      <c r="T1915" s="26">
        <f>IF(S1915="","","Sim")</f>
        <v/>
      </c>
      <c r="U1915" s="41">
        <f>IF(T1915="Sim",S1915+ROW()/100000,0)</f>
        <v>0</v>
      </c>
      <c r="V1915" s="41">
        <f>IF(AND(H1915="Falta",L1915=Config!$B$7,M1915=Config!$B$5,COUNTIFS($E$5:E1915,E1915,$H$5:H1915,"Falta",$L$5:L1915,Config!$B$7,$M$5:M1915,Config!$B$5)=1),COUNTIFS($E$5:$E$3004,E1915,$H$5:$H$3004,"Falta",$L$5:$L$3004,Config!$B$7,$M$5:$M$3004,Config!$B$5)*1000-ROW()/100000,0)</f>
        <v>0</v>
      </c>
    </row>
    <row r="1916">
      <c r="A1916" s="39" t="n"/>
      <c r="B1916" s="40" t="n"/>
      <c r="C1916" s="35" t="n"/>
      <c r="D1916" s="35" t="n"/>
      <c r="E1916" s="34" t="n"/>
      <c r="F1916" s="35" t="n"/>
      <c r="G1916" s="35" t="n"/>
      <c r="H1916" s="35" t="n"/>
      <c r="I1916" s="35" t="n"/>
      <c r="J1916" s="35" t="n"/>
      <c r="K1916" s="34" t="n"/>
      <c r="L1916" s="26">
        <f>IF(A1916="","",MONTH(A1916))</f>
        <v/>
      </c>
      <c r="M1916" s="26">
        <f>IF(A1916="","",YEAR(A1916))</f>
        <v/>
      </c>
      <c r="N1916" s="26">
        <f>IF(A1916="","",CHOOSE(WEEKDAY(A1916,2),"Segunda","Terça","Quarta","Quinta","Sexta","Sábado","Domingo"))</f>
        <v/>
      </c>
      <c r="O1916" s="26">
        <f>IF(B1916="","",IF(B1916&lt;TIME(12,0,0),"Manhã",IF(B1916&lt;TIME(18,0,0),"Tarde","Noite")))</f>
        <v/>
      </c>
      <c r="P1916" s="32">
        <f>IF(G1916="","",IFERROR(INDEX(Config!$I$5:$I$16,MATCH(G1916,Config!$H$5:$H$16,0)),0))</f>
        <v/>
      </c>
      <c r="Q1916" s="30">
        <f>IF(OR(H1916&lt;&gt;"Realizado",P1916="",P1916=0),"",A1916+P1916)</f>
        <v/>
      </c>
      <c r="R1916" s="26">
        <f>IF(Q1916="","",IF(COUNTIFS($E$5:$E$3004,E1916,$A$5:$A$3004,"&gt;"&amp;A1916,$H$5:$H$3004,"&lt;&gt;Falta",$H$5:$H$3004,"&lt;&gt;Cancelado",$H$5:$H$3004,"&lt;&gt;Remarcado")&gt;0,"Sim","Não"))</f>
        <v/>
      </c>
      <c r="S1916" s="32">
        <f>IF(R1916&lt;&gt;"Não","",IF(Q1916+Config!$B$9&lt;=Config!$B$8,Config!$B$8-Q1916,""))</f>
        <v/>
      </c>
      <c r="T1916" s="26">
        <f>IF(S1916="","","Sim")</f>
        <v/>
      </c>
      <c r="U1916" s="41">
        <f>IF(T1916="Sim",S1916+ROW()/100000,0)</f>
        <v>0</v>
      </c>
      <c r="V1916" s="41">
        <f>IF(AND(H1916="Falta",L1916=Config!$B$7,M1916=Config!$B$5,COUNTIFS($E$5:E1916,E1916,$H$5:H1916,"Falta",$L$5:L1916,Config!$B$7,$M$5:M1916,Config!$B$5)=1),COUNTIFS($E$5:$E$3004,E1916,$H$5:$H$3004,"Falta",$L$5:$L$3004,Config!$B$7,$M$5:$M$3004,Config!$B$5)*1000-ROW()/100000,0)</f>
        <v>0</v>
      </c>
    </row>
    <row r="1917">
      <c r="A1917" s="39" t="n"/>
      <c r="B1917" s="40" t="n"/>
      <c r="C1917" s="35" t="n"/>
      <c r="D1917" s="35" t="n"/>
      <c r="E1917" s="34" t="n"/>
      <c r="F1917" s="35" t="n"/>
      <c r="G1917" s="35" t="n"/>
      <c r="H1917" s="35" t="n"/>
      <c r="I1917" s="35" t="n"/>
      <c r="J1917" s="35" t="n"/>
      <c r="K1917" s="34" t="n"/>
      <c r="L1917" s="26">
        <f>IF(A1917="","",MONTH(A1917))</f>
        <v/>
      </c>
      <c r="M1917" s="26">
        <f>IF(A1917="","",YEAR(A1917))</f>
        <v/>
      </c>
      <c r="N1917" s="26">
        <f>IF(A1917="","",CHOOSE(WEEKDAY(A1917,2),"Segunda","Terça","Quarta","Quinta","Sexta","Sábado","Domingo"))</f>
        <v/>
      </c>
      <c r="O1917" s="26">
        <f>IF(B1917="","",IF(B1917&lt;TIME(12,0,0),"Manhã",IF(B1917&lt;TIME(18,0,0),"Tarde","Noite")))</f>
        <v/>
      </c>
      <c r="P1917" s="32">
        <f>IF(G1917="","",IFERROR(INDEX(Config!$I$5:$I$16,MATCH(G1917,Config!$H$5:$H$16,0)),0))</f>
        <v/>
      </c>
      <c r="Q1917" s="30">
        <f>IF(OR(H1917&lt;&gt;"Realizado",P1917="",P1917=0),"",A1917+P1917)</f>
        <v/>
      </c>
      <c r="R1917" s="26">
        <f>IF(Q1917="","",IF(COUNTIFS($E$5:$E$3004,E1917,$A$5:$A$3004,"&gt;"&amp;A1917,$H$5:$H$3004,"&lt;&gt;Falta",$H$5:$H$3004,"&lt;&gt;Cancelado",$H$5:$H$3004,"&lt;&gt;Remarcado")&gt;0,"Sim","Não"))</f>
        <v/>
      </c>
      <c r="S1917" s="32">
        <f>IF(R1917&lt;&gt;"Não","",IF(Q1917+Config!$B$9&lt;=Config!$B$8,Config!$B$8-Q1917,""))</f>
        <v/>
      </c>
      <c r="T1917" s="26">
        <f>IF(S1917="","","Sim")</f>
        <v/>
      </c>
      <c r="U1917" s="41">
        <f>IF(T1917="Sim",S1917+ROW()/100000,0)</f>
        <v>0</v>
      </c>
      <c r="V1917" s="41">
        <f>IF(AND(H1917="Falta",L1917=Config!$B$7,M1917=Config!$B$5,COUNTIFS($E$5:E1917,E1917,$H$5:H1917,"Falta",$L$5:L1917,Config!$B$7,$M$5:M1917,Config!$B$5)=1),COUNTIFS($E$5:$E$3004,E1917,$H$5:$H$3004,"Falta",$L$5:$L$3004,Config!$B$7,$M$5:$M$3004,Config!$B$5)*1000-ROW()/100000,0)</f>
        <v>0</v>
      </c>
    </row>
    <row r="1918">
      <c r="A1918" s="39" t="n"/>
      <c r="B1918" s="40" t="n"/>
      <c r="C1918" s="35" t="n"/>
      <c r="D1918" s="35" t="n"/>
      <c r="E1918" s="34" t="n"/>
      <c r="F1918" s="35" t="n"/>
      <c r="G1918" s="35" t="n"/>
      <c r="H1918" s="35" t="n"/>
      <c r="I1918" s="35" t="n"/>
      <c r="J1918" s="35" t="n"/>
      <c r="K1918" s="34" t="n"/>
      <c r="L1918" s="26">
        <f>IF(A1918="","",MONTH(A1918))</f>
        <v/>
      </c>
      <c r="M1918" s="26">
        <f>IF(A1918="","",YEAR(A1918))</f>
        <v/>
      </c>
      <c r="N1918" s="26">
        <f>IF(A1918="","",CHOOSE(WEEKDAY(A1918,2),"Segunda","Terça","Quarta","Quinta","Sexta","Sábado","Domingo"))</f>
        <v/>
      </c>
      <c r="O1918" s="26">
        <f>IF(B1918="","",IF(B1918&lt;TIME(12,0,0),"Manhã",IF(B1918&lt;TIME(18,0,0),"Tarde","Noite")))</f>
        <v/>
      </c>
      <c r="P1918" s="32">
        <f>IF(G1918="","",IFERROR(INDEX(Config!$I$5:$I$16,MATCH(G1918,Config!$H$5:$H$16,0)),0))</f>
        <v/>
      </c>
      <c r="Q1918" s="30">
        <f>IF(OR(H1918&lt;&gt;"Realizado",P1918="",P1918=0),"",A1918+P1918)</f>
        <v/>
      </c>
      <c r="R1918" s="26">
        <f>IF(Q1918="","",IF(COUNTIFS($E$5:$E$3004,E1918,$A$5:$A$3004,"&gt;"&amp;A1918,$H$5:$H$3004,"&lt;&gt;Falta",$H$5:$H$3004,"&lt;&gt;Cancelado",$H$5:$H$3004,"&lt;&gt;Remarcado")&gt;0,"Sim","Não"))</f>
        <v/>
      </c>
      <c r="S1918" s="32">
        <f>IF(R1918&lt;&gt;"Não","",IF(Q1918+Config!$B$9&lt;=Config!$B$8,Config!$B$8-Q1918,""))</f>
        <v/>
      </c>
      <c r="T1918" s="26">
        <f>IF(S1918="","","Sim")</f>
        <v/>
      </c>
      <c r="U1918" s="41">
        <f>IF(T1918="Sim",S1918+ROW()/100000,0)</f>
        <v>0</v>
      </c>
      <c r="V1918" s="41">
        <f>IF(AND(H1918="Falta",L1918=Config!$B$7,M1918=Config!$B$5,COUNTIFS($E$5:E1918,E1918,$H$5:H1918,"Falta",$L$5:L1918,Config!$B$7,$M$5:M1918,Config!$B$5)=1),COUNTIFS($E$5:$E$3004,E1918,$H$5:$H$3004,"Falta",$L$5:$L$3004,Config!$B$7,$M$5:$M$3004,Config!$B$5)*1000-ROW()/100000,0)</f>
        <v>0</v>
      </c>
    </row>
    <row r="1919">
      <c r="A1919" s="39" t="n"/>
      <c r="B1919" s="40" t="n"/>
      <c r="C1919" s="35" t="n"/>
      <c r="D1919" s="35" t="n"/>
      <c r="E1919" s="34" t="n"/>
      <c r="F1919" s="35" t="n"/>
      <c r="G1919" s="35" t="n"/>
      <c r="H1919" s="35" t="n"/>
      <c r="I1919" s="35" t="n"/>
      <c r="J1919" s="35" t="n"/>
      <c r="K1919" s="34" t="n"/>
      <c r="L1919" s="26">
        <f>IF(A1919="","",MONTH(A1919))</f>
        <v/>
      </c>
      <c r="M1919" s="26">
        <f>IF(A1919="","",YEAR(A1919))</f>
        <v/>
      </c>
      <c r="N1919" s="26">
        <f>IF(A1919="","",CHOOSE(WEEKDAY(A1919,2),"Segunda","Terça","Quarta","Quinta","Sexta","Sábado","Domingo"))</f>
        <v/>
      </c>
      <c r="O1919" s="26">
        <f>IF(B1919="","",IF(B1919&lt;TIME(12,0,0),"Manhã",IF(B1919&lt;TIME(18,0,0),"Tarde","Noite")))</f>
        <v/>
      </c>
      <c r="P1919" s="32">
        <f>IF(G1919="","",IFERROR(INDEX(Config!$I$5:$I$16,MATCH(G1919,Config!$H$5:$H$16,0)),0))</f>
        <v/>
      </c>
      <c r="Q1919" s="30">
        <f>IF(OR(H1919&lt;&gt;"Realizado",P1919="",P1919=0),"",A1919+P1919)</f>
        <v/>
      </c>
      <c r="R1919" s="26">
        <f>IF(Q1919="","",IF(COUNTIFS($E$5:$E$3004,E1919,$A$5:$A$3004,"&gt;"&amp;A1919,$H$5:$H$3004,"&lt;&gt;Falta",$H$5:$H$3004,"&lt;&gt;Cancelado",$H$5:$H$3004,"&lt;&gt;Remarcado")&gt;0,"Sim","Não"))</f>
        <v/>
      </c>
      <c r="S1919" s="32">
        <f>IF(R1919&lt;&gt;"Não","",IF(Q1919+Config!$B$9&lt;=Config!$B$8,Config!$B$8-Q1919,""))</f>
        <v/>
      </c>
      <c r="T1919" s="26">
        <f>IF(S1919="","","Sim")</f>
        <v/>
      </c>
      <c r="U1919" s="41">
        <f>IF(T1919="Sim",S1919+ROW()/100000,0)</f>
        <v>0</v>
      </c>
      <c r="V1919" s="41">
        <f>IF(AND(H1919="Falta",L1919=Config!$B$7,M1919=Config!$B$5,COUNTIFS($E$5:E1919,E1919,$H$5:H1919,"Falta",$L$5:L1919,Config!$B$7,$M$5:M1919,Config!$B$5)=1),COUNTIFS($E$5:$E$3004,E1919,$H$5:$H$3004,"Falta",$L$5:$L$3004,Config!$B$7,$M$5:$M$3004,Config!$B$5)*1000-ROW()/100000,0)</f>
        <v>0</v>
      </c>
    </row>
    <row r="1920">
      <c r="A1920" s="39" t="n"/>
      <c r="B1920" s="40" t="n"/>
      <c r="C1920" s="35" t="n"/>
      <c r="D1920" s="35" t="n"/>
      <c r="E1920" s="34" t="n"/>
      <c r="F1920" s="35" t="n"/>
      <c r="G1920" s="35" t="n"/>
      <c r="H1920" s="35" t="n"/>
      <c r="I1920" s="35" t="n"/>
      <c r="J1920" s="35" t="n"/>
      <c r="K1920" s="34" t="n"/>
      <c r="L1920" s="26">
        <f>IF(A1920="","",MONTH(A1920))</f>
        <v/>
      </c>
      <c r="M1920" s="26">
        <f>IF(A1920="","",YEAR(A1920))</f>
        <v/>
      </c>
      <c r="N1920" s="26">
        <f>IF(A1920="","",CHOOSE(WEEKDAY(A1920,2),"Segunda","Terça","Quarta","Quinta","Sexta","Sábado","Domingo"))</f>
        <v/>
      </c>
      <c r="O1920" s="26">
        <f>IF(B1920="","",IF(B1920&lt;TIME(12,0,0),"Manhã",IF(B1920&lt;TIME(18,0,0),"Tarde","Noite")))</f>
        <v/>
      </c>
      <c r="P1920" s="32">
        <f>IF(G1920="","",IFERROR(INDEX(Config!$I$5:$I$16,MATCH(G1920,Config!$H$5:$H$16,0)),0))</f>
        <v/>
      </c>
      <c r="Q1920" s="30">
        <f>IF(OR(H1920&lt;&gt;"Realizado",P1920="",P1920=0),"",A1920+P1920)</f>
        <v/>
      </c>
      <c r="R1920" s="26">
        <f>IF(Q1920="","",IF(COUNTIFS($E$5:$E$3004,E1920,$A$5:$A$3004,"&gt;"&amp;A1920,$H$5:$H$3004,"&lt;&gt;Falta",$H$5:$H$3004,"&lt;&gt;Cancelado",$H$5:$H$3004,"&lt;&gt;Remarcado")&gt;0,"Sim","Não"))</f>
        <v/>
      </c>
      <c r="S1920" s="32">
        <f>IF(R1920&lt;&gt;"Não","",IF(Q1920+Config!$B$9&lt;=Config!$B$8,Config!$B$8-Q1920,""))</f>
        <v/>
      </c>
      <c r="T1920" s="26">
        <f>IF(S1920="","","Sim")</f>
        <v/>
      </c>
      <c r="U1920" s="41">
        <f>IF(T1920="Sim",S1920+ROW()/100000,0)</f>
        <v>0</v>
      </c>
      <c r="V1920" s="41">
        <f>IF(AND(H1920="Falta",L1920=Config!$B$7,M1920=Config!$B$5,COUNTIFS($E$5:E1920,E1920,$H$5:H1920,"Falta",$L$5:L1920,Config!$B$7,$M$5:M1920,Config!$B$5)=1),COUNTIFS($E$5:$E$3004,E1920,$H$5:$H$3004,"Falta",$L$5:$L$3004,Config!$B$7,$M$5:$M$3004,Config!$B$5)*1000-ROW()/100000,0)</f>
        <v>0</v>
      </c>
    </row>
    <row r="1921">
      <c r="A1921" s="39" t="n"/>
      <c r="B1921" s="40" t="n"/>
      <c r="C1921" s="35" t="n"/>
      <c r="D1921" s="35" t="n"/>
      <c r="E1921" s="34" t="n"/>
      <c r="F1921" s="35" t="n"/>
      <c r="G1921" s="35" t="n"/>
      <c r="H1921" s="35" t="n"/>
      <c r="I1921" s="35" t="n"/>
      <c r="J1921" s="35" t="n"/>
      <c r="K1921" s="34" t="n"/>
      <c r="L1921" s="26">
        <f>IF(A1921="","",MONTH(A1921))</f>
        <v/>
      </c>
      <c r="M1921" s="26">
        <f>IF(A1921="","",YEAR(A1921))</f>
        <v/>
      </c>
      <c r="N1921" s="26">
        <f>IF(A1921="","",CHOOSE(WEEKDAY(A1921,2),"Segunda","Terça","Quarta","Quinta","Sexta","Sábado","Domingo"))</f>
        <v/>
      </c>
      <c r="O1921" s="26">
        <f>IF(B1921="","",IF(B1921&lt;TIME(12,0,0),"Manhã",IF(B1921&lt;TIME(18,0,0),"Tarde","Noite")))</f>
        <v/>
      </c>
      <c r="P1921" s="32">
        <f>IF(G1921="","",IFERROR(INDEX(Config!$I$5:$I$16,MATCH(G1921,Config!$H$5:$H$16,0)),0))</f>
        <v/>
      </c>
      <c r="Q1921" s="30">
        <f>IF(OR(H1921&lt;&gt;"Realizado",P1921="",P1921=0),"",A1921+P1921)</f>
        <v/>
      </c>
      <c r="R1921" s="26">
        <f>IF(Q1921="","",IF(COUNTIFS($E$5:$E$3004,E1921,$A$5:$A$3004,"&gt;"&amp;A1921,$H$5:$H$3004,"&lt;&gt;Falta",$H$5:$H$3004,"&lt;&gt;Cancelado",$H$5:$H$3004,"&lt;&gt;Remarcado")&gt;0,"Sim","Não"))</f>
        <v/>
      </c>
      <c r="S1921" s="32">
        <f>IF(R1921&lt;&gt;"Não","",IF(Q1921+Config!$B$9&lt;=Config!$B$8,Config!$B$8-Q1921,""))</f>
        <v/>
      </c>
      <c r="T1921" s="26">
        <f>IF(S1921="","","Sim")</f>
        <v/>
      </c>
      <c r="U1921" s="41">
        <f>IF(T1921="Sim",S1921+ROW()/100000,0)</f>
        <v>0</v>
      </c>
      <c r="V1921" s="41">
        <f>IF(AND(H1921="Falta",L1921=Config!$B$7,M1921=Config!$B$5,COUNTIFS($E$5:E1921,E1921,$H$5:H1921,"Falta",$L$5:L1921,Config!$B$7,$M$5:M1921,Config!$B$5)=1),COUNTIFS($E$5:$E$3004,E1921,$H$5:$H$3004,"Falta",$L$5:$L$3004,Config!$B$7,$M$5:$M$3004,Config!$B$5)*1000-ROW()/100000,0)</f>
        <v>0</v>
      </c>
    </row>
    <row r="1922">
      <c r="A1922" s="39" t="n"/>
      <c r="B1922" s="40" t="n"/>
      <c r="C1922" s="35" t="n"/>
      <c r="D1922" s="35" t="n"/>
      <c r="E1922" s="34" t="n"/>
      <c r="F1922" s="35" t="n"/>
      <c r="G1922" s="35" t="n"/>
      <c r="H1922" s="35" t="n"/>
      <c r="I1922" s="35" t="n"/>
      <c r="J1922" s="35" t="n"/>
      <c r="K1922" s="34" t="n"/>
      <c r="L1922" s="26">
        <f>IF(A1922="","",MONTH(A1922))</f>
        <v/>
      </c>
      <c r="M1922" s="26">
        <f>IF(A1922="","",YEAR(A1922))</f>
        <v/>
      </c>
      <c r="N1922" s="26">
        <f>IF(A1922="","",CHOOSE(WEEKDAY(A1922,2),"Segunda","Terça","Quarta","Quinta","Sexta","Sábado","Domingo"))</f>
        <v/>
      </c>
      <c r="O1922" s="26">
        <f>IF(B1922="","",IF(B1922&lt;TIME(12,0,0),"Manhã",IF(B1922&lt;TIME(18,0,0),"Tarde","Noite")))</f>
        <v/>
      </c>
      <c r="P1922" s="32">
        <f>IF(G1922="","",IFERROR(INDEX(Config!$I$5:$I$16,MATCH(G1922,Config!$H$5:$H$16,0)),0))</f>
        <v/>
      </c>
      <c r="Q1922" s="30">
        <f>IF(OR(H1922&lt;&gt;"Realizado",P1922="",P1922=0),"",A1922+P1922)</f>
        <v/>
      </c>
      <c r="R1922" s="26">
        <f>IF(Q1922="","",IF(COUNTIFS($E$5:$E$3004,E1922,$A$5:$A$3004,"&gt;"&amp;A1922,$H$5:$H$3004,"&lt;&gt;Falta",$H$5:$H$3004,"&lt;&gt;Cancelado",$H$5:$H$3004,"&lt;&gt;Remarcado")&gt;0,"Sim","Não"))</f>
        <v/>
      </c>
      <c r="S1922" s="32">
        <f>IF(R1922&lt;&gt;"Não","",IF(Q1922+Config!$B$9&lt;=Config!$B$8,Config!$B$8-Q1922,""))</f>
        <v/>
      </c>
      <c r="T1922" s="26">
        <f>IF(S1922="","","Sim")</f>
        <v/>
      </c>
      <c r="U1922" s="41">
        <f>IF(T1922="Sim",S1922+ROW()/100000,0)</f>
        <v>0</v>
      </c>
      <c r="V1922" s="41">
        <f>IF(AND(H1922="Falta",L1922=Config!$B$7,M1922=Config!$B$5,COUNTIFS($E$5:E1922,E1922,$H$5:H1922,"Falta",$L$5:L1922,Config!$B$7,$M$5:M1922,Config!$B$5)=1),COUNTIFS($E$5:$E$3004,E1922,$H$5:$H$3004,"Falta",$L$5:$L$3004,Config!$B$7,$M$5:$M$3004,Config!$B$5)*1000-ROW()/100000,0)</f>
        <v>0</v>
      </c>
    </row>
    <row r="1923">
      <c r="A1923" s="39" t="n"/>
      <c r="B1923" s="40" t="n"/>
      <c r="C1923" s="35" t="n"/>
      <c r="D1923" s="35" t="n"/>
      <c r="E1923" s="34" t="n"/>
      <c r="F1923" s="35" t="n"/>
      <c r="G1923" s="35" t="n"/>
      <c r="H1923" s="35" t="n"/>
      <c r="I1923" s="35" t="n"/>
      <c r="J1923" s="35" t="n"/>
      <c r="K1923" s="34" t="n"/>
      <c r="L1923" s="26">
        <f>IF(A1923="","",MONTH(A1923))</f>
        <v/>
      </c>
      <c r="M1923" s="26">
        <f>IF(A1923="","",YEAR(A1923))</f>
        <v/>
      </c>
      <c r="N1923" s="26">
        <f>IF(A1923="","",CHOOSE(WEEKDAY(A1923,2),"Segunda","Terça","Quarta","Quinta","Sexta","Sábado","Domingo"))</f>
        <v/>
      </c>
      <c r="O1923" s="26">
        <f>IF(B1923="","",IF(B1923&lt;TIME(12,0,0),"Manhã",IF(B1923&lt;TIME(18,0,0),"Tarde","Noite")))</f>
        <v/>
      </c>
      <c r="P1923" s="32">
        <f>IF(G1923="","",IFERROR(INDEX(Config!$I$5:$I$16,MATCH(G1923,Config!$H$5:$H$16,0)),0))</f>
        <v/>
      </c>
      <c r="Q1923" s="30">
        <f>IF(OR(H1923&lt;&gt;"Realizado",P1923="",P1923=0),"",A1923+P1923)</f>
        <v/>
      </c>
      <c r="R1923" s="26">
        <f>IF(Q1923="","",IF(COUNTIFS($E$5:$E$3004,E1923,$A$5:$A$3004,"&gt;"&amp;A1923,$H$5:$H$3004,"&lt;&gt;Falta",$H$5:$H$3004,"&lt;&gt;Cancelado",$H$5:$H$3004,"&lt;&gt;Remarcado")&gt;0,"Sim","Não"))</f>
        <v/>
      </c>
      <c r="S1923" s="32">
        <f>IF(R1923&lt;&gt;"Não","",IF(Q1923+Config!$B$9&lt;=Config!$B$8,Config!$B$8-Q1923,""))</f>
        <v/>
      </c>
      <c r="T1923" s="26">
        <f>IF(S1923="","","Sim")</f>
        <v/>
      </c>
      <c r="U1923" s="41">
        <f>IF(T1923="Sim",S1923+ROW()/100000,0)</f>
        <v>0</v>
      </c>
      <c r="V1923" s="41">
        <f>IF(AND(H1923="Falta",L1923=Config!$B$7,M1923=Config!$B$5,COUNTIFS($E$5:E1923,E1923,$H$5:H1923,"Falta",$L$5:L1923,Config!$B$7,$M$5:M1923,Config!$B$5)=1),COUNTIFS($E$5:$E$3004,E1923,$H$5:$H$3004,"Falta",$L$5:$L$3004,Config!$B$7,$M$5:$M$3004,Config!$B$5)*1000-ROW()/100000,0)</f>
        <v>0</v>
      </c>
    </row>
    <row r="1924">
      <c r="A1924" s="39" t="n"/>
      <c r="B1924" s="40" t="n"/>
      <c r="C1924" s="35" t="n"/>
      <c r="D1924" s="35" t="n"/>
      <c r="E1924" s="34" t="n"/>
      <c r="F1924" s="35" t="n"/>
      <c r="G1924" s="35" t="n"/>
      <c r="H1924" s="35" t="n"/>
      <c r="I1924" s="35" t="n"/>
      <c r="J1924" s="35" t="n"/>
      <c r="K1924" s="34" t="n"/>
      <c r="L1924" s="26">
        <f>IF(A1924="","",MONTH(A1924))</f>
        <v/>
      </c>
      <c r="M1924" s="26">
        <f>IF(A1924="","",YEAR(A1924))</f>
        <v/>
      </c>
      <c r="N1924" s="26">
        <f>IF(A1924="","",CHOOSE(WEEKDAY(A1924,2),"Segunda","Terça","Quarta","Quinta","Sexta","Sábado","Domingo"))</f>
        <v/>
      </c>
      <c r="O1924" s="26">
        <f>IF(B1924="","",IF(B1924&lt;TIME(12,0,0),"Manhã",IF(B1924&lt;TIME(18,0,0),"Tarde","Noite")))</f>
        <v/>
      </c>
      <c r="P1924" s="32">
        <f>IF(G1924="","",IFERROR(INDEX(Config!$I$5:$I$16,MATCH(G1924,Config!$H$5:$H$16,0)),0))</f>
        <v/>
      </c>
      <c r="Q1924" s="30">
        <f>IF(OR(H1924&lt;&gt;"Realizado",P1924="",P1924=0),"",A1924+P1924)</f>
        <v/>
      </c>
      <c r="R1924" s="26">
        <f>IF(Q1924="","",IF(COUNTIFS($E$5:$E$3004,E1924,$A$5:$A$3004,"&gt;"&amp;A1924,$H$5:$H$3004,"&lt;&gt;Falta",$H$5:$H$3004,"&lt;&gt;Cancelado",$H$5:$H$3004,"&lt;&gt;Remarcado")&gt;0,"Sim","Não"))</f>
        <v/>
      </c>
      <c r="S1924" s="32">
        <f>IF(R1924&lt;&gt;"Não","",IF(Q1924+Config!$B$9&lt;=Config!$B$8,Config!$B$8-Q1924,""))</f>
        <v/>
      </c>
      <c r="T1924" s="26">
        <f>IF(S1924="","","Sim")</f>
        <v/>
      </c>
      <c r="U1924" s="41">
        <f>IF(T1924="Sim",S1924+ROW()/100000,0)</f>
        <v>0</v>
      </c>
      <c r="V1924" s="41">
        <f>IF(AND(H1924="Falta",L1924=Config!$B$7,M1924=Config!$B$5,COUNTIFS($E$5:E1924,E1924,$H$5:H1924,"Falta",$L$5:L1924,Config!$B$7,$M$5:M1924,Config!$B$5)=1),COUNTIFS($E$5:$E$3004,E1924,$H$5:$H$3004,"Falta",$L$5:$L$3004,Config!$B$7,$M$5:$M$3004,Config!$B$5)*1000-ROW()/100000,0)</f>
        <v>0</v>
      </c>
    </row>
    <row r="1925">
      <c r="A1925" s="39" t="n"/>
      <c r="B1925" s="40" t="n"/>
      <c r="C1925" s="35" t="n"/>
      <c r="D1925" s="35" t="n"/>
      <c r="E1925" s="34" t="n"/>
      <c r="F1925" s="35" t="n"/>
      <c r="G1925" s="35" t="n"/>
      <c r="H1925" s="35" t="n"/>
      <c r="I1925" s="35" t="n"/>
      <c r="J1925" s="35" t="n"/>
      <c r="K1925" s="34" t="n"/>
      <c r="L1925" s="26">
        <f>IF(A1925="","",MONTH(A1925))</f>
        <v/>
      </c>
      <c r="M1925" s="26">
        <f>IF(A1925="","",YEAR(A1925))</f>
        <v/>
      </c>
      <c r="N1925" s="26">
        <f>IF(A1925="","",CHOOSE(WEEKDAY(A1925,2),"Segunda","Terça","Quarta","Quinta","Sexta","Sábado","Domingo"))</f>
        <v/>
      </c>
      <c r="O1925" s="26">
        <f>IF(B1925="","",IF(B1925&lt;TIME(12,0,0),"Manhã",IF(B1925&lt;TIME(18,0,0),"Tarde","Noite")))</f>
        <v/>
      </c>
      <c r="P1925" s="32">
        <f>IF(G1925="","",IFERROR(INDEX(Config!$I$5:$I$16,MATCH(G1925,Config!$H$5:$H$16,0)),0))</f>
        <v/>
      </c>
      <c r="Q1925" s="30">
        <f>IF(OR(H1925&lt;&gt;"Realizado",P1925="",P1925=0),"",A1925+P1925)</f>
        <v/>
      </c>
      <c r="R1925" s="26">
        <f>IF(Q1925="","",IF(COUNTIFS($E$5:$E$3004,E1925,$A$5:$A$3004,"&gt;"&amp;A1925,$H$5:$H$3004,"&lt;&gt;Falta",$H$5:$H$3004,"&lt;&gt;Cancelado",$H$5:$H$3004,"&lt;&gt;Remarcado")&gt;0,"Sim","Não"))</f>
        <v/>
      </c>
      <c r="S1925" s="32">
        <f>IF(R1925&lt;&gt;"Não","",IF(Q1925+Config!$B$9&lt;=Config!$B$8,Config!$B$8-Q1925,""))</f>
        <v/>
      </c>
      <c r="T1925" s="26">
        <f>IF(S1925="","","Sim")</f>
        <v/>
      </c>
      <c r="U1925" s="41">
        <f>IF(T1925="Sim",S1925+ROW()/100000,0)</f>
        <v>0</v>
      </c>
      <c r="V1925" s="41">
        <f>IF(AND(H1925="Falta",L1925=Config!$B$7,M1925=Config!$B$5,COUNTIFS($E$5:E1925,E1925,$H$5:H1925,"Falta",$L$5:L1925,Config!$B$7,$M$5:M1925,Config!$B$5)=1),COUNTIFS($E$5:$E$3004,E1925,$H$5:$H$3004,"Falta",$L$5:$L$3004,Config!$B$7,$M$5:$M$3004,Config!$B$5)*1000-ROW()/100000,0)</f>
        <v>0</v>
      </c>
    </row>
    <row r="1926">
      <c r="A1926" s="39" t="n"/>
      <c r="B1926" s="40" t="n"/>
      <c r="C1926" s="35" t="n"/>
      <c r="D1926" s="35" t="n"/>
      <c r="E1926" s="34" t="n"/>
      <c r="F1926" s="35" t="n"/>
      <c r="G1926" s="35" t="n"/>
      <c r="H1926" s="35" t="n"/>
      <c r="I1926" s="35" t="n"/>
      <c r="J1926" s="35" t="n"/>
      <c r="K1926" s="34" t="n"/>
      <c r="L1926" s="26">
        <f>IF(A1926="","",MONTH(A1926))</f>
        <v/>
      </c>
      <c r="M1926" s="26">
        <f>IF(A1926="","",YEAR(A1926))</f>
        <v/>
      </c>
      <c r="N1926" s="26">
        <f>IF(A1926="","",CHOOSE(WEEKDAY(A1926,2),"Segunda","Terça","Quarta","Quinta","Sexta","Sábado","Domingo"))</f>
        <v/>
      </c>
      <c r="O1926" s="26">
        <f>IF(B1926="","",IF(B1926&lt;TIME(12,0,0),"Manhã",IF(B1926&lt;TIME(18,0,0),"Tarde","Noite")))</f>
        <v/>
      </c>
      <c r="P1926" s="32">
        <f>IF(G1926="","",IFERROR(INDEX(Config!$I$5:$I$16,MATCH(G1926,Config!$H$5:$H$16,0)),0))</f>
        <v/>
      </c>
      <c r="Q1926" s="30">
        <f>IF(OR(H1926&lt;&gt;"Realizado",P1926="",P1926=0),"",A1926+P1926)</f>
        <v/>
      </c>
      <c r="R1926" s="26">
        <f>IF(Q1926="","",IF(COUNTIFS($E$5:$E$3004,E1926,$A$5:$A$3004,"&gt;"&amp;A1926,$H$5:$H$3004,"&lt;&gt;Falta",$H$5:$H$3004,"&lt;&gt;Cancelado",$H$5:$H$3004,"&lt;&gt;Remarcado")&gt;0,"Sim","Não"))</f>
        <v/>
      </c>
      <c r="S1926" s="32">
        <f>IF(R1926&lt;&gt;"Não","",IF(Q1926+Config!$B$9&lt;=Config!$B$8,Config!$B$8-Q1926,""))</f>
        <v/>
      </c>
      <c r="T1926" s="26">
        <f>IF(S1926="","","Sim")</f>
        <v/>
      </c>
      <c r="U1926" s="41">
        <f>IF(T1926="Sim",S1926+ROW()/100000,0)</f>
        <v>0</v>
      </c>
      <c r="V1926" s="41">
        <f>IF(AND(H1926="Falta",L1926=Config!$B$7,M1926=Config!$B$5,COUNTIFS($E$5:E1926,E1926,$H$5:H1926,"Falta",$L$5:L1926,Config!$B$7,$M$5:M1926,Config!$B$5)=1),COUNTIFS($E$5:$E$3004,E1926,$H$5:$H$3004,"Falta",$L$5:$L$3004,Config!$B$7,$M$5:$M$3004,Config!$B$5)*1000-ROW()/100000,0)</f>
        <v>0</v>
      </c>
    </row>
    <row r="1927">
      <c r="A1927" s="39" t="n"/>
      <c r="B1927" s="40" t="n"/>
      <c r="C1927" s="35" t="n"/>
      <c r="D1927" s="35" t="n"/>
      <c r="E1927" s="34" t="n"/>
      <c r="F1927" s="35" t="n"/>
      <c r="G1927" s="35" t="n"/>
      <c r="H1927" s="35" t="n"/>
      <c r="I1927" s="35" t="n"/>
      <c r="J1927" s="35" t="n"/>
      <c r="K1927" s="34" t="n"/>
      <c r="L1927" s="26">
        <f>IF(A1927="","",MONTH(A1927))</f>
        <v/>
      </c>
      <c r="M1927" s="26">
        <f>IF(A1927="","",YEAR(A1927))</f>
        <v/>
      </c>
      <c r="N1927" s="26">
        <f>IF(A1927="","",CHOOSE(WEEKDAY(A1927,2),"Segunda","Terça","Quarta","Quinta","Sexta","Sábado","Domingo"))</f>
        <v/>
      </c>
      <c r="O1927" s="26">
        <f>IF(B1927="","",IF(B1927&lt;TIME(12,0,0),"Manhã",IF(B1927&lt;TIME(18,0,0),"Tarde","Noite")))</f>
        <v/>
      </c>
      <c r="P1927" s="32">
        <f>IF(G1927="","",IFERROR(INDEX(Config!$I$5:$I$16,MATCH(G1927,Config!$H$5:$H$16,0)),0))</f>
        <v/>
      </c>
      <c r="Q1927" s="30">
        <f>IF(OR(H1927&lt;&gt;"Realizado",P1927="",P1927=0),"",A1927+P1927)</f>
        <v/>
      </c>
      <c r="R1927" s="26">
        <f>IF(Q1927="","",IF(COUNTIFS($E$5:$E$3004,E1927,$A$5:$A$3004,"&gt;"&amp;A1927,$H$5:$H$3004,"&lt;&gt;Falta",$H$5:$H$3004,"&lt;&gt;Cancelado",$H$5:$H$3004,"&lt;&gt;Remarcado")&gt;0,"Sim","Não"))</f>
        <v/>
      </c>
      <c r="S1927" s="32">
        <f>IF(R1927&lt;&gt;"Não","",IF(Q1927+Config!$B$9&lt;=Config!$B$8,Config!$B$8-Q1927,""))</f>
        <v/>
      </c>
      <c r="T1927" s="26">
        <f>IF(S1927="","","Sim")</f>
        <v/>
      </c>
      <c r="U1927" s="41">
        <f>IF(T1927="Sim",S1927+ROW()/100000,0)</f>
        <v>0</v>
      </c>
      <c r="V1927" s="41">
        <f>IF(AND(H1927="Falta",L1927=Config!$B$7,M1927=Config!$B$5,COUNTIFS($E$5:E1927,E1927,$H$5:H1927,"Falta",$L$5:L1927,Config!$B$7,$M$5:M1927,Config!$B$5)=1),COUNTIFS($E$5:$E$3004,E1927,$H$5:$H$3004,"Falta",$L$5:$L$3004,Config!$B$7,$M$5:$M$3004,Config!$B$5)*1000-ROW()/100000,0)</f>
        <v>0</v>
      </c>
    </row>
    <row r="1928">
      <c r="A1928" s="39" t="n"/>
      <c r="B1928" s="40" t="n"/>
      <c r="C1928" s="35" t="n"/>
      <c r="D1928" s="35" t="n"/>
      <c r="E1928" s="34" t="n"/>
      <c r="F1928" s="35" t="n"/>
      <c r="G1928" s="35" t="n"/>
      <c r="H1928" s="35" t="n"/>
      <c r="I1928" s="35" t="n"/>
      <c r="J1928" s="35" t="n"/>
      <c r="K1928" s="34" t="n"/>
      <c r="L1928" s="26">
        <f>IF(A1928="","",MONTH(A1928))</f>
        <v/>
      </c>
      <c r="M1928" s="26">
        <f>IF(A1928="","",YEAR(A1928))</f>
        <v/>
      </c>
      <c r="N1928" s="26">
        <f>IF(A1928="","",CHOOSE(WEEKDAY(A1928,2),"Segunda","Terça","Quarta","Quinta","Sexta","Sábado","Domingo"))</f>
        <v/>
      </c>
      <c r="O1928" s="26">
        <f>IF(B1928="","",IF(B1928&lt;TIME(12,0,0),"Manhã",IF(B1928&lt;TIME(18,0,0),"Tarde","Noite")))</f>
        <v/>
      </c>
      <c r="P1928" s="32">
        <f>IF(G1928="","",IFERROR(INDEX(Config!$I$5:$I$16,MATCH(G1928,Config!$H$5:$H$16,0)),0))</f>
        <v/>
      </c>
      <c r="Q1928" s="30">
        <f>IF(OR(H1928&lt;&gt;"Realizado",P1928="",P1928=0),"",A1928+P1928)</f>
        <v/>
      </c>
      <c r="R1928" s="26">
        <f>IF(Q1928="","",IF(COUNTIFS($E$5:$E$3004,E1928,$A$5:$A$3004,"&gt;"&amp;A1928,$H$5:$H$3004,"&lt;&gt;Falta",$H$5:$H$3004,"&lt;&gt;Cancelado",$H$5:$H$3004,"&lt;&gt;Remarcado")&gt;0,"Sim","Não"))</f>
        <v/>
      </c>
      <c r="S1928" s="32">
        <f>IF(R1928&lt;&gt;"Não","",IF(Q1928+Config!$B$9&lt;=Config!$B$8,Config!$B$8-Q1928,""))</f>
        <v/>
      </c>
      <c r="T1928" s="26">
        <f>IF(S1928="","","Sim")</f>
        <v/>
      </c>
      <c r="U1928" s="41">
        <f>IF(T1928="Sim",S1928+ROW()/100000,0)</f>
        <v>0</v>
      </c>
      <c r="V1928" s="41">
        <f>IF(AND(H1928="Falta",L1928=Config!$B$7,M1928=Config!$B$5,COUNTIFS($E$5:E1928,E1928,$H$5:H1928,"Falta",$L$5:L1928,Config!$B$7,$M$5:M1928,Config!$B$5)=1),COUNTIFS($E$5:$E$3004,E1928,$H$5:$H$3004,"Falta",$L$5:$L$3004,Config!$B$7,$M$5:$M$3004,Config!$B$5)*1000-ROW()/100000,0)</f>
        <v>0</v>
      </c>
    </row>
    <row r="1929">
      <c r="A1929" s="39" t="n"/>
      <c r="B1929" s="40" t="n"/>
      <c r="C1929" s="35" t="n"/>
      <c r="D1929" s="35" t="n"/>
      <c r="E1929" s="34" t="n"/>
      <c r="F1929" s="35" t="n"/>
      <c r="G1929" s="35" t="n"/>
      <c r="H1929" s="35" t="n"/>
      <c r="I1929" s="35" t="n"/>
      <c r="J1929" s="35" t="n"/>
      <c r="K1929" s="34" t="n"/>
      <c r="L1929" s="26">
        <f>IF(A1929="","",MONTH(A1929))</f>
        <v/>
      </c>
      <c r="M1929" s="26">
        <f>IF(A1929="","",YEAR(A1929))</f>
        <v/>
      </c>
      <c r="N1929" s="26">
        <f>IF(A1929="","",CHOOSE(WEEKDAY(A1929,2),"Segunda","Terça","Quarta","Quinta","Sexta","Sábado","Domingo"))</f>
        <v/>
      </c>
      <c r="O1929" s="26">
        <f>IF(B1929="","",IF(B1929&lt;TIME(12,0,0),"Manhã",IF(B1929&lt;TIME(18,0,0),"Tarde","Noite")))</f>
        <v/>
      </c>
      <c r="P1929" s="32">
        <f>IF(G1929="","",IFERROR(INDEX(Config!$I$5:$I$16,MATCH(G1929,Config!$H$5:$H$16,0)),0))</f>
        <v/>
      </c>
      <c r="Q1929" s="30">
        <f>IF(OR(H1929&lt;&gt;"Realizado",P1929="",P1929=0),"",A1929+P1929)</f>
        <v/>
      </c>
      <c r="R1929" s="26">
        <f>IF(Q1929="","",IF(COUNTIFS($E$5:$E$3004,E1929,$A$5:$A$3004,"&gt;"&amp;A1929,$H$5:$H$3004,"&lt;&gt;Falta",$H$5:$H$3004,"&lt;&gt;Cancelado",$H$5:$H$3004,"&lt;&gt;Remarcado")&gt;0,"Sim","Não"))</f>
        <v/>
      </c>
      <c r="S1929" s="32">
        <f>IF(R1929&lt;&gt;"Não","",IF(Q1929+Config!$B$9&lt;=Config!$B$8,Config!$B$8-Q1929,""))</f>
        <v/>
      </c>
      <c r="T1929" s="26">
        <f>IF(S1929="","","Sim")</f>
        <v/>
      </c>
      <c r="U1929" s="41">
        <f>IF(T1929="Sim",S1929+ROW()/100000,0)</f>
        <v>0</v>
      </c>
      <c r="V1929" s="41">
        <f>IF(AND(H1929="Falta",L1929=Config!$B$7,M1929=Config!$B$5,COUNTIFS($E$5:E1929,E1929,$H$5:H1929,"Falta",$L$5:L1929,Config!$B$7,$M$5:M1929,Config!$B$5)=1),COUNTIFS($E$5:$E$3004,E1929,$H$5:$H$3004,"Falta",$L$5:$L$3004,Config!$B$7,$M$5:$M$3004,Config!$B$5)*1000-ROW()/100000,0)</f>
        <v>0</v>
      </c>
    </row>
    <row r="1930">
      <c r="A1930" s="39" t="n"/>
      <c r="B1930" s="40" t="n"/>
      <c r="C1930" s="35" t="n"/>
      <c r="D1930" s="35" t="n"/>
      <c r="E1930" s="34" t="n"/>
      <c r="F1930" s="35" t="n"/>
      <c r="G1930" s="35" t="n"/>
      <c r="H1930" s="35" t="n"/>
      <c r="I1930" s="35" t="n"/>
      <c r="J1930" s="35" t="n"/>
      <c r="K1930" s="34" t="n"/>
      <c r="L1930" s="26">
        <f>IF(A1930="","",MONTH(A1930))</f>
        <v/>
      </c>
      <c r="M1930" s="26">
        <f>IF(A1930="","",YEAR(A1930))</f>
        <v/>
      </c>
      <c r="N1930" s="26">
        <f>IF(A1930="","",CHOOSE(WEEKDAY(A1930,2),"Segunda","Terça","Quarta","Quinta","Sexta","Sábado","Domingo"))</f>
        <v/>
      </c>
      <c r="O1930" s="26">
        <f>IF(B1930="","",IF(B1930&lt;TIME(12,0,0),"Manhã",IF(B1930&lt;TIME(18,0,0),"Tarde","Noite")))</f>
        <v/>
      </c>
      <c r="P1930" s="32">
        <f>IF(G1930="","",IFERROR(INDEX(Config!$I$5:$I$16,MATCH(G1930,Config!$H$5:$H$16,0)),0))</f>
        <v/>
      </c>
      <c r="Q1930" s="30">
        <f>IF(OR(H1930&lt;&gt;"Realizado",P1930="",P1930=0),"",A1930+P1930)</f>
        <v/>
      </c>
      <c r="R1930" s="26">
        <f>IF(Q1930="","",IF(COUNTIFS($E$5:$E$3004,E1930,$A$5:$A$3004,"&gt;"&amp;A1930,$H$5:$H$3004,"&lt;&gt;Falta",$H$5:$H$3004,"&lt;&gt;Cancelado",$H$5:$H$3004,"&lt;&gt;Remarcado")&gt;0,"Sim","Não"))</f>
        <v/>
      </c>
      <c r="S1930" s="32">
        <f>IF(R1930&lt;&gt;"Não","",IF(Q1930+Config!$B$9&lt;=Config!$B$8,Config!$B$8-Q1930,""))</f>
        <v/>
      </c>
      <c r="T1930" s="26">
        <f>IF(S1930="","","Sim")</f>
        <v/>
      </c>
      <c r="U1930" s="41">
        <f>IF(T1930="Sim",S1930+ROW()/100000,0)</f>
        <v>0</v>
      </c>
      <c r="V1930" s="41">
        <f>IF(AND(H1930="Falta",L1930=Config!$B$7,M1930=Config!$B$5,COUNTIFS($E$5:E1930,E1930,$H$5:H1930,"Falta",$L$5:L1930,Config!$B$7,$M$5:M1930,Config!$B$5)=1),COUNTIFS($E$5:$E$3004,E1930,$H$5:$H$3004,"Falta",$L$5:$L$3004,Config!$B$7,$M$5:$M$3004,Config!$B$5)*1000-ROW()/100000,0)</f>
        <v>0</v>
      </c>
    </row>
    <row r="1931">
      <c r="A1931" s="39" t="n"/>
      <c r="B1931" s="40" t="n"/>
      <c r="C1931" s="35" t="n"/>
      <c r="D1931" s="35" t="n"/>
      <c r="E1931" s="34" t="n"/>
      <c r="F1931" s="35" t="n"/>
      <c r="G1931" s="35" t="n"/>
      <c r="H1931" s="35" t="n"/>
      <c r="I1931" s="35" t="n"/>
      <c r="J1931" s="35" t="n"/>
      <c r="K1931" s="34" t="n"/>
      <c r="L1931" s="26">
        <f>IF(A1931="","",MONTH(A1931))</f>
        <v/>
      </c>
      <c r="M1931" s="26">
        <f>IF(A1931="","",YEAR(A1931))</f>
        <v/>
      </c>
      <c r="N1931" s="26">
        <f>IF(A1931="","",CHOOSE(WEEKDAY(A1931,2),"Segunda","Terça","Quarta","Quinta","Sexta","Sábado","Domingo"))</f>
        <v/>
      </c>
      <c r="O1931" s="26">
        <f>IF(B1931="","",IF(B1931&lt;TIME(12,0,0),"Manhã",IF(B1931&lt;TIME(18,0,0),"Tarde","Noite")))</f>
        <v/>
      </c>
      <c r="P1931" s="32">
        <f>IF(G1931="","",IFERROR(INDEX(Config!$I$5:$I$16,MATCH(G1931,Config!$H$5:$H$16,0)),0))</f>
        <v/>
      </c>
      <c r="Q1931" s="30">
        <f>IF(OR(H1931&lt;&gt;"Realizado",P1931="",P1931=0),"",A1931+P1931)</f>
        <v/>
      </c>
      <c r="R1931" s="26">
        <f>IF(Q1931="","",IF(COUNTIFS($E$5:$E$3004,E1931,$A$5:$A$3004,"&gt;"&amp;A1931,$H$5:$H$3004,"&lt;&gt;Falta",$H$5:$H$3004,"&lt;&gt;Cancelado",$H$5:$H$3004,"&lt;&gt;Remarcado")&gt;0,"Sim","Não"))</f>
        <v/>
      </c>
      <c r="S1931" s="32">
        <f>IF(R1931&lt;&gt;"Não","",IF(Q1931+Config!$B$9&lt;=Config!$B$8,Config!$B$8-Q1931,""))</f>
        <v/>
      </c>
      <c r="T1931" s="26">
        <f>IF(S1931="","","Sim")</f>
        <v/>
      </c>
      <c r="U1931" s="41">
        <f>IF(T1931="Sim",S1931+ROW()/100000,0)</f>
        <v>0</v>
      </c>
      <c r="V1931" s="41">
        <f>IF(AND(H1931="Falta",L1931=Config!$B$7,M1931=Config!$B$5,COUNTIFS($E$5:E1931,E1931,$H$5:H1931,"Falta",$L$5:L1931,Config!$B$7,$M$5:M1931,Config!$B$5)=1),COUNTIFS($E$5:$E$3004,E1931,$H$5:$H$3004,"Falta",$L$5:$L$3004,Config!$B$7,$M$5:$M$3004,Config!$B$5)*1000-ROW()/100000,0)</f>
        <v>0</v>
      </c>
    </row>
    <row r="1932">
      <c r="A1932" s="39" t="n"/>
      <c r="B1932" s="40" t="n"/>
      <c r="C1932" s="35" t="n"/>
      <c r="D1932" s="35" t="n"/>
      <c r="E1932" s="34" t="n"/>
      <c r="F1932" s="35" t="n"/>
      <c r="G1932" s="35" t="n"/>
      <c r="H1932" s="35" t="n"/>
      <c r="I1932" s="35" t="n"/>
      <c r="J1932" s="35" t="n"/>
      <c r="K1932" s="34" t="n"/>
      <c r="L1932" s="26">
        <f>IF(A1932="","",MONTH(A1932))</f>
        <v/>
      </c>
      <c r="M1932" s="26">
        <f>IF(A1932="","",YEAR(A1932))</f>
        <v/>
      </c>
      <c r="N1932" s="26">
        <f>IF(A1932="","",CHOOSE(WEEKDAY(A1932,2),"Segunda","Terça","Quarta","Quinta","Sexta","Sábado","Domingo"))</f>
        <v/>
      </c>
      <c r="O1932" s="26">
        <f>IF(B1932="","",IF(B1932&lt;TIME(12,0,0),"Manhã",IF(B1932&lt;TIME(18,0,0),"Tarde","Noite")))</f>
        <v/>
      </c>
      <c r="P1932" s="32">
        <f>IF(G1932="","",IFERROR(INDEX(Config!$I$5:$I$16,MATCH(G1932,Config!$H$5:$H$16,0)),0))</f>
        <v/>
      </c>
      <c r="Q1932" s="30">
        <f>IF(OR(H1932&lt;&gt;"Realizado",P1932="",P1932=0),"",A1932+P1932)</f>
        <v/>
      </c>
      <c r="R1932" s="26">
        <f>IF(Q1932="","",IF(COUNTIFS($E$5:$E$3004,E1932,$A$5:$A$3004,"&gt;"&amp;A1932,$H$5:$H$3004,"&lt;&gt;Falta",$H$5:$H$3004,"&lt;&gt;Cancelado",$H$5:$H$3004,"&lt;&gt;Remarcado")&gt;0,"Sim","Não"))</f>
        <v/>
      </c>
      <c r="S1932" s="32">
        <f>IF(R1932&lt;&gt;"Não","",IF(Q1932+Config!$B$9&lt;=Config!$B$8,Config!$B$8-Q1932,""))</f>
        <v/>
      </c>
      <c r="T1932" s="26">
        <f>IF(S1932="","","Sim")</f>
        <v/>
      </c>
      <c r="U1932" s="41">
        <f>IF(T1932="Sim",S1932+ROW()/100000,0)</f>
        <v>0</v>
      </c>
      <c r="V1932" s="41">
        <f>IF(AND(H1932="Falta",L1932=Config!$B$7,M1932=Config!$B$5,COUNTIFS($E$5:E1932,E1932,$H$5:H1932,"Falta",$L$5:L1932,Config!$B$7,$M$5:M1932,Config!$B$5)=1),COUNTIFS($E$5:$E$3004,E1932,$H$5:$H$3004,"Falta",$L$5:$L$3004,Config!$B$7,$M$5:$M$3004,Config!$B$5)*1000-ROW()/100000,0)</f>
        <v>0</v>
      </c>
    </row>
    <row r="1933">
      <c r="A1933" s="39" t="n"/>
      <c r="B1933" s="40" t="n"/>
      <c r="C1933" s="35" t="n"/>
      <c r="D1933" s="35" t="n"/>
      <c r="E1933" s="34" t="n"/>
      <c r="F1933" s="35" t="n"/>
      <c r="G1933" s="35" t="n"/>
      <c r="H1933" s="35" t="n"/>
      <c r="I1933" s="35" t="n"/>
      <c r="J1933" s="35" t="n"/>
      <c r="K1933" s="34" t="n"/>
      <c r="L1933" s="26">
        <f>IF(A1933="","",MONTH(A1933))</f>
        <v/>
      </c>
      <c r="M1933" s="26">
        <f>IF(A1933="","",YEAR(A1933))</f>
        <v/>
      </c>
      <c r="N1933" s="26">
        <f>IF(A1933="","",CHOOSE(WEEKDAY(A1933,2),"Segunda","Terça","Quarta","Quinta","Sexta","Sábado","Domingo"))</f>
        <v/>
      </c>
      <c r="O1933" s="26">
        <f>IF(B1933="","",IF(B1933&lt;TIME(12,0,0),"Manhã",IF(B1933&lt;TIME(18,0,0),"Tarde","Noite")))</f>
        <v/>
      </c>
      <c r="P1933" s="32">
        <f>IF(G1933="","",IFERROR(INDEX(Config!$I$5:$I$16,MATCH(G1933,Config!$H$5:$H$16,0)),0))</f>
        <v/>
      </c>
      <c r="Q1933" s="30">
        <f>IF(OR(H1933&lt;&gt;"Realizado",P1933="",P1933=0),"",A1933+P1933)</f>
        <v/>
      </c>
      <c r="R1933" s="26">
        <f>IF(Q1933="","",IF(COUNTIFS($E$5:$E$3004,E1933,$A$5:$A$3004,"&gt;"&amp;A1933,$H$5:$H$3004,"&lt;&gt;Falta",$H$5:$H$3004,"&lt;&gt;Cancelado",$H$5:$H$3004,"&lt;&gt;Remarcado")&gt;0,"Sim","Não"))</f>
        <v/>
      </c>
      <c r="S1933" s="32">
        <f>IF(R1933&lt;&gt;"Não","",IF(Q1933+Config!$B$9&lt;=Config!$B$8,Config!$B$8-Q1933,""))</f>
        <v/>
      </c>
      <c r="T1933" s="26">
        <f>IF(S1933="","","Sim")</f>
        <v/>
      </c>
      <c r="U1933" s="41">
        <f>IF(T1933="Sim",S1933+ROW()/100000,0)</f>
        <v>0</v>
      </c>
      <c r="V1933" s="41">
        <f>IF(AND(H1933="Falta",L1933=Config!$B$7,M1933=Config!$B$5,COUNTIFS($E$5:E1933,E1933,$H$5:H1933,"Falta",$L$5:L1933,Config!$B$7,$M$5:M1933,Config!$B$5)=1),COUNTIFS($E$5:$E$3004,E1933,$H$5:$H$3004,"Falta",$L$5:$L$3004,Config!$B$7,$M$5:$M$3004,Config!$B$5)*1000-ROW()/100000,0)</f>
        <v>0</v>
      </c>
    </row>
    <row r="1934">
      <c r="A1934" s="39" t="n"/>
      <c r="B1934" s="40" t="n"/>
      <c r="C1934" s="35" t="n"/>
      <c r="D1934" s="35" t="n"/>
      <c r="E1934" s="34" t="n"/>
      <c r="F1934" s="35" t="n"/>
      <c r="G1934" s="35" t="n"/>
      <c r="H1934" s="35" t="n"/>
      <c r="I1934" s="35" t="n"/>
      <c r="J1934" s="35" t="n"/>
      <c r="K1934" s="34" t="n"/>
      <c r="L1934" s="26">
        <f>IF(A1934="","",MONTH(A1934))</f>
        <v/>
      </c>
      <c r="M1934" s="26">
        <f>IF(A1934="","",YEAR(A1934))</f>
        <v/>
      </c>
      <c r="N1934" s="26">
        <f>IF(A1934="","",CHOOSE(WEEKDAY(A1934,2),"Segunda","Terça","Quarta","Quinta","Sexta","Sábado","Domingo"))</f>
        <v/>
      </c>
      <c r="O1934" s="26">
        <f>IF(B1934="","",IF(B1934&lt;TIME(12,0,0),"Manhã",IF(B1934&lt;TIME(18,0,0),"Tarde","Noite")))</f>
        <v/>
      </c>
      <c r="P1934" s="32">
        <f>IF(G1934="","",IFERROR(INDEX(Config!$I$5:$I$16,MATCH(G1934,Config!$H$5:$H$16,0)),0))</f>
        <v/>
      </c>
      <c r="Q1934" s="30">
        <f>IF(OR(H1934&lt;&gt;"Realizado",P1934="",P1934=0),"",A1934+P1934)</f>
        <v/>
      </c>
      <c r="R1934" s="26">
        <f>IF(Q1934="","",IF(COUNTIFS($E$5:$E$3004,E1934,$A$5:$A$3004,"&gt;"&amp;A1934,$H$5:$H$3004,"&lt;&gt;Falta",$H$5:$H$3004,"&lt;&gt;Cancelado",$H$5:$H$3004,"&lt;&gt;Remarcado")&gt;0,"Sim","Não"))</f>
        <v/>
      </c>
      <c r="S1934" s="32">
        <f>IF(R1934&lt;&gt;"Não","",IF(Q1934+Config!$B$9&lt;=Config!$B$8,Config!$B$8-Q1934,""))</f>
        <v/>
      </c>
      <c r="T1934" s="26">
        <f>IF(S1934="","","Sim")</f>
        <v/>
      </c>
      <c r="U1934" s="41">
        <f>IF(T1934="Sim",S1934+ROW()/100000,0)</f>
        <v>0</v>
      </c>
      <c r="V1934" s="41">
        <f>IF(AND(H1934="Falta",L1934=Config!$B$7,M1934=Config!$B$5,COUNTIFS($E$5:E1934,E1934,$H$5:H1934,"Falta",$L$5:L1934,Config!$B$7,$M$5:M1934,Config!$B$5)=1),COUNTIFS($E$5:$E$3004,E1934,$H$5:$H$3004,"Falta",$L$5:$L$3004,Config!$B$7,$M$5:$M$3004,Config!$B$5)*1000-ROW()/100000,0)</f>
        <v>0</v>
      </c>
    </row>
    <row r="1935">
      <c r="A1935" s="39" t="n"/>
      <c r="B1935" s="40" t="n"/>
      <c r="C1935" s="35" t="n"/>
      <c r="D1935" s="35" t="n"/>
      <c r="E1935" s="34" t="n"/>
      <c r="F1935" s="35" t="n"/>
      <c r="G1935" s="35" t="n"/>
      <c r="H1935" s="35" t="n"/>
      <c r="I1935" s="35" t="n"/>
      <c r="J1935" s="35" t="n"/>
      <c r="K1935" s="34" t="n"/>
      <c r="L1935" s="26">
        <f>IF(A1935="","",MONTH(A1935))</f>
        <v/>
      </c>
      <c r="M1935" s="26">
        <f>IF(A1935="","",YEAR(A1935))</f>
        <v/>
      </c>
      <c r="N1935" s="26">
        <f>IF(A1935="","",CHOOSE(WEEKDAY(A1935,2),"Segunda","Terça","Quarta","Quinta","Sexta","Sábado","Domingo"))</f>
        <v/>
      </c>
      <c r="O1935" s="26">
        <f>IF(B1935="","",IF(B1935&lt;TIME(12,0,0),"Manhã",IF(B1935&lt;TIME(18,0,0),"Tarde","Noite")))</f>
        <v/>
      </c>
      <c r="P1935" s="32">
        <f>IF(G1935="","",IFERROR(INDEX(Config!$I$5:$I$16,MATCH(G1935,Config!$H$5:$H$16,0)),0))</f>
        <v/>
      </c>
      <c r="Q1935" s="30">
        <f>IF(OR(H1935&lt;&gt;"Realizado",P1935="",P1935=0),"",A1935+P1935)</f>
        <v/>
      </c>
      <c r="R1935" s="26">
        <f>IF(Q1935="","",IF(COUNTIFS($E$5:$E$3004,E1935,$A$5:$A$3004,"&gt;"&amp;A1935,$H$5:$H$3004,"&lt;&gt;Falta",$H$5:$H$3004,"&lt;&gt;Cancelado",$H$5:$H$3004,"&lt;&gt;Remarcado")&gt;0,"Sim","Não"))</f>
        <v/>
      </c>
      <c r="S1935" s="32">
        <f>IF(R1935&lt;&gt;"Não","",IF(Q1935+Config!$B$9&lt;=Config!$B$8,Config!$B$8-Q1935,""))</f>
        <v/>
      </c>
      <c r="T1935" s="26">
        <f>IF(S1935="","","Sim")</f>
        <v/>
      </c>
      <c r="U1935" s="41">
        <f>IF(T1935="Sim",S1935+ROW()/100000,0)</f>
        <v>0</v>
      </c>
      <c r="V1935" s="41">
        <f>IF(AND(H1935="Falta",L1935=Config!$B$7,M1935=Config!$B$5,COUNTIFS($E$5:E1935,E1935,$H$5:H1935,"Falta",$L$5:L1935,Config!$B$7,$M$5:M1935,Config!$B$5)=1),COUNTIFS($E$5:$E$3004,E1935,$H$5:$H$3004,"Falta",$L$5:$L$3004,Config!$B$7,$M$5:$M$3004,Config!$B$5)*1000-ROW()/100000,0)</f>
        <v>0</v>
      </c>
    </row>
    <row r="1936">
      <c r="A1936" s="39" t="n"/>
      <c r="B1936" s="40" t="n"/>
      <c r="C1936" s="35" t="n"/>
      <c r="D1936" s="35" t="n"/>
      <c r="E1936" s="34" t="n"/>
      <c r="F1936" s="35" t="n"/>
      <c r="G1936" s="35" t="n"/>
      <c r="H1936" s="35" t="n"/>
      <c r="I1936" s="35" t="n"/>
      <c r="J1936" s="35" t="n"/>
      <c r="K1936" s="34" t="n"/>
      <c r="L1936" s="26">
        <f>IF(A1936="","",MONTH(A1936))</f>
        <v/>
      </c>
      <c r="M1936" s="26">
        <f>IF(A1936="","",YEAR(A1936))</f>
        <v/>
      </c>
      <c r="N1936" s="26">
        <f>IF(A1936="","",CHOOSE(WEEKDAY(A1936,2),"Segunda","Terça","Quarta","Quinta","Sexta","Sábado","Domingo"))</f>
        <v/>
      </c>
      <c r="O1936" s="26">
        <f>IF(B1936="","",IF(B1936&lt;TIME(12,0,0),"Manhã",IF(B1936&lt;TIME(18,0,0),"Tarde","Noite")))</f>
        <v/>
      </c>
      <c r="P1936" s="32">
        <f>IF(G1936="","",IFERROR(INDEX(Config!$I$5:$I$16,MATCH(G1936,Config!$H$5:$H$16,0)),0))</f>
        <v/>
      </c>
      <c r="Q1936" s="30">
        <f>IF(OR(H1936&lt;&gt;"Realizado",P1936="",P1936=0),"",A1936+P1936)</f>
        <v/>
      </c>
      <c r="R1936" s="26">
        <f>IF(Q1936="","",IF(COUNTIFS($E$5:$E$3004,E1936,$A$5:$A$3004,"&gt;"&amp;A1936,$H$5:$H$3004,"&lt;&gt;Falta",$H$5:$H$3004,"&lt;&gt;Cancelado",$H$5:$H$3004,"&lt;&gt;Remarcado")&gt;0,"Sim","Não"))</f>
        <v/>
      </c>
      <c r="S1936" s="32">
        <f>IF(R1936&lt;&gt;"Não","",IF(Q1936+Config!$B$9&lt;=Config!$B$8,Config!$B$8-Q1936,""))</f>
        <v/>
      </c>
      <c r="T1936" s="26">
        <f>IF(S1936="","","Sim")</f>
        <v/>
      </c>
      <c r="U1936" s="41">
        <f>IF(T1936="Sim",S1936+ROW()/100000,0)</f>
        <v>0</v>
      </c>
      <c r="V1936" s="41">
        <f>IF(AND(H1936="Falta",L1936=Config!$B$7,M1936=Config!$B$5,COUNTIFS($E$5:E1936,E1936,$H$5:H1936,"Falta",$L$5:L1936,Config!$B$7,$M$5:M1936,Config!$B$5)=1),COUNTIFS($E$5:$E$3004,E1936,$H$5:$H$3004,"Falta",$L$5:$L$3004,Config!$B$7,$M$5:$M$3004,Config!$B$5)*1000-ROW()/100000,0)</f>
        <v>0</v>
      </c>
    </row>
    <row r="1937">
      <c r="A1937" s="39" t="n"/>
      <c r="B1937" s="40" t="n"/>
      <c r="C1937" s="35" t="n"/>
      <c r="D1937" s="35" t="n"/>
      <c r="E1937" s="34" t="n"/>
      <c r="F1937" s="35" t="n"/>
      <c r="G1937" s="35" t="n"/>
      <c r="H1937" s="35" t="n"/>
      <c r="I1937" s="35" t="n"/>
      <c r="J1937" s="35" t="n"/>
      <c r="K1937" s="34" t="n"/>
      <c r="L1937" s="26">
        <f>IF(A1937="","",MONTH(A1937))</f>
        <v/>
      </c>
      <c r="M1937" s="26">
        <f>IF(A1937="","",YEAR(A1937))</f>
        <v/>
      </c>
      <c r="N1937" s="26">
        <f>IF(A1937="","",CHOOSE(WEEKDAY(A1937,2),"Segunda","Terça","Quarta","Quinta","Sexta","Sábado","Domingo"))</f>
        <v/>
      </c>
      <c r="O1937" s="26">
        <f>IF(B1937="","",IF(B1937&lt;TIME(12,0,0),"Manhã",IF(B1937&lt;TIME(18,0,0),"Tarde","Noite")))</f>
        <v/>
      </c>
      <c r="P1937" s="32">
        <f>IF(G1937="","",IFERROR(INDEX(Config!$I$5:$I$16,MATCH(G1937,Config!$H$5:$H$16,0)),0))</f>
        <v/>
      </c>
      <c r="Q1937" s="30">
        <f>IF(OR(H1937&lt;&gt;"Realizado",P1937="",P1937=0),"",A1937+P1937)</f>
        <v/>
      </c>
      <c r="R1937" s="26">
        <f>IF(Q1937="","",IF(COUNTIFS($E$5:$E$3004,E1937,$A$5:$A$3004,"&gt;"&amp;A1937,$H$5:$H$3004,"&lt;&gt;Falta",$H$5:$H$3004,"&lt;&gt;Cancelado",$H$5:$H$3004,"&lt;&gt;Remarcado")&gt;0,"Sim","Não"))</f>
        <v/>
      </c>
      <c r="S1937" s="32">
        <f>IF(R1937&lt;&gt;"Não","",IF(Q1937+Config!$B$9&lt;=Config!$B$8,Config!$B$8-Q1937,""))</f>
        <v/>
      </c>
      <c r="T1937" s="26">
        <f>IF(S1937="","","Sim")</f>
        <v/>
      </c>
      <c r="U1937" s="41">
        <f>IF(T1937="Sim",S1937+ROW()/100000,0)</f>
        <v>0</v>
      </c>
      <c r="V1937" s="41">
        <f>IF(AND(H1937="Falta",L1937=Config!$B$7,M1937=Config!$B$5,COUNTIFS($E$5:E1937,E1937,$H$5:H1937,"Falta",$L$5:L1937,Config!$B$7,$M$5:M1937,Config!$B$5)=1),COUNTIFS($E$5:$E$3004,E1937,$H$5:$H$3004,"Falta",$L$5:$L$3004,Config!$B$7,$M$5:$M$3004,Config!$B$5)*1000-ROW()/100000,0)</f>
        <v>0</v>
      </c>
    </row>
    <row r="1938">
      <c r="A1938" s="39" t="n"/>
      <c r="B1938" s="40" t="n"/>
      <c r="C1938" s="35" t="n"/>
      <c r="D1938" s="35" t="n"/>
      <c r="E1938" s="34" t="n"/>
      <c r="F1938" s="35" t="n"/>
      <c r="G1938" s="35" t="n"/>
      <c r="H1938" s="35" t="n"/>
      <c r="I1938" s="35" t="n"/>
      <c r="J1938" s="35" t="n"/>
      <c r="K1938" s="34" t="n"/>
      <c r="L1938" s="26">
        <f>IF(A1938="","",MONTH(A1938))</f>
        <v/>
      </c>
      <c r="M1938" s="26">
        <f>IF(A1938="","",YEAR(A1938))</f>
        <v/>
      </c>
      <c r="N1938" s="26">
        <f>IF(A1938="","",CHOOSE(WEEKDAY(A1938,2),"Segunda","Terça","Quarta","Quinta","Sexta","Sábado","Domingo"))</f>
        <v/>
      </c>
      <c r="O1938" s="26">
        <f>IF(B1938="","",IF(B1938&lt;TIME(12,0,0),"Manhã",IF(B1938&lt;TIME(18,0,0),"Tarde","Noite")))</f>
        <v/>
      </c>
      <c r="P1938" s="32">
        <f>IF(G1938="","",IFERROR(INDEX(Config!$I$5:$I$16,MATCH(G1938,Config!$H$5:$H$16,0)),0))</f>
        <v/>
      </c>
      <c r="Q1938" s="30">
        <f>IF(OR(H1938&lt;&gt;"Realizado",P1938="",P1938=0),"",A1938+P1938)</f>
        <v/>
      </c>
      <c r="R1938" s="26">
        <f>IF(Q1938="","",IF(COUNTIFS($E$5:$E$3004,E1938,$A$5:$A$3004,"&gt;"&amp;A1938,$H$5:$H$3004,"&lt;&gt;Falta",$H$5:$H$3004,"&lt;&gt;Cancelado",$H$5:$H$3004,"&lt;&gt;Remarcado")&gt;0,"Sim","Não"))</f>
        <v/>
      </c>
      <c r="S1938" s="32">
        <f>IF(R1938&lt;&gt;"Não","",IF(Q1938+Config!$B$9&lt;=Config!$B$8,Config!$B$8-Q1938,""))</f>
        <v/>
      </c>
      <c r="T1938" s="26">
        <f>IF(S1938="","","Sim")</f>
        <v/>
      </c>
      <c r="U1938" s="41">
        <f>IF(T1938="Sim",S1938+ROW()/100000,0)</f>
        <v>0</v>
      </c>
      <c r="V1938" s="41">
        <f>IF(AND(H1938="Falta",L1938=Config!$B$7,M1938=Config!$B$5,COUNTIFS($E$5:E1938,E1938,$H$5:H1938,"Falta",$L$5:L1938,Config!$B$7,$M$5:M1938,Config!$B$5)=1),COUNTIFS($E$5:$E$3004,E1938,$H$5:$H$3004,"Falta",$L$5:$L$3004,Config!$B$7,$M$5:$M$3004,Config!$B$5)*1000-ROW()/100000,0)</f>
        <v>0</v>
      </c>
    </row>
    <row r="1939">
      <c r="A1939" s="39" t="n"/>
      <c r="B1939" s="40" t="n"/>
      <c r="C1939" s="35" t="n"/>
      <c r="D1939" s="35" t="n"/>
      <c r="E1939" s="34" t="n"/>
      <c r="F1939" s="35" t="n"/>
      <c r="G1939" s="35" t="n"/>
      <c r="H1939" s="35" t="n"/>
      <c r="I1939" s="35" t="n"/>
      <c r="J1939" s="35" t="n"/>
      <c r="K1939" s="34" t="n"/>
      <c r="L1939" s="26">
        <f>IF(A1939="","",MONTH(A1939))</f>
        <v/>
      </c>
      <c r="M1939" s="26">
        <f>IF(A1939="","",YEAR(A1939))</f>
        <v/>
      </c>
      <c r="N1939" s="26">
        <f>IF(A1939="","",CHOOSE(WEEKDAY(A1939,2),"Segunda","Terça","Quarta","Quinta","Sexta","Sábado","Domingo"))</f>
        <v/>
      </c>
      <c r="O1939" s="26">
        <f>IF(B1939="","",IF(B1939&lt;TIME(12,0,0),"Manhã",IF(B1939&lt;TIME(18,0,0),"Tarde","Noite")))</f>
        <v/>
      </c>
      <c r="P1939" s="32">
        <f>IF(G1939="","",IFERROR(INDEX(Config!$I$5:$I$16,MATCH(G1939,Config!$H$5:$H$16,0)),0))</f>
        <v/>
      </c>
      <c r="Q1939" s="30">
        <f>IF(OR(H1939&lt;&gt;"Realizado",P1939="",P1939=0),"",A1939+P1939)</f>
        <v/>
      </c>
      <c r="R1939" s="26">
        <f>IF(Q1939="","",IF(COUNTIFS($E$5:$E$3004,E1939,$A$5:$A$3004,"&gt;"&amp;A1939,$H$5:$H$3004,"&lt;&gt;Falta",$H$5:$H$3004,"&lt;&gt;Cancelado",$H$5:$H$3004,"&lt;&gt;Remarcado")&gt;0,"Sim","Não"))</f>
        <v/>
      </c>
      <c r="S1939" s="32">
        <f>IF(R1939&lt;&gt;"Não","",IF(Q1939+Config!$B$9&lt;=Config!$B$8,Config!$B$8-Q1939,""))</f>
        <v/>
      </c>
      <c r="T1939" s="26">
        <f>IF(S1939="","","Sim")</f>
        <v/>
      </c>
      <c r="U1939" s="41">
        <f>IF(T1939="Sim",S1939+ROW()/100000,0)</f>
        <v>0</v>
      </c>
      <c r="V1939" s="41">
        <f>IF(AND(H1939="Falta",L1939=Config!$B$7,M1939=Config!$B$5,COUNTIFS($E$5:E1939,E1939,$H$5:H1939,"Falta",$L$5:L1939,Config!$B$7,$M$5:M1939,Config!$B$5)=1),COUNTIFS($E$5:$E$3004,E1939,$H$5:$H$3004,"Falta",$L$5:$L$3004,Config!$B$7,$M$5:$M$3004,Config!$B$5)*1000-ROW()/100000,0)</f>
        <v>0</v>
      </c>
    </row>
    <row r="1940">
      <c r="A1940" s="39" t="n"/>
      <c r="B1940" s="40" t="n"/>
      <c r="C1940" s="35" t="n"/>
      <c r="D1940" s="35" t="n"/>
      <c r="E1940" s="34" t="n"/>
      <c r="F1940" s="35" t="n"/>
      <c r="G1940" s="35" t="n"/>
      <c r="H1940" s="35" t="n"/>
      <c r="I1940" s="35" t="n"/>
      <c r="J1940" s="35" t="n"/>
      <c r="K1940" s="34" t="n"/>
      <c r="L1940" s="26">
        <f>IF(A1940="","",MONTH(A1940))</f>
        <v/>
      </c>
      <c r="M1940" s="26">
        <f>IF(A1940="","",YEAR(A1940))</f>
        <v/>
      </c>
      <c r="N1940" s="26">
        <f>IF(A1940="","",CHOOSE(WEEKDAY(A1940,2),"Segunda","Terça","Quarta","Quinta","Sexta","Sábado","Domingo"))</f>
        <v/>
      </c>
      <c r="O1940" s="26">
        <f>IF(B1940="","",IF(B1940&lt;TIME(12,0,0),"Manhã",IF(B1940&lt;TIME(18,0,0),"Tarde","Noite")))</f>
        <v/>
      </c>
      <c r="P1940" s="32">
        <f>IF(G1940="","",IFERROR(INDEX(Config!$I$5:$I$16,MATCH(G1940,Config!$H$5:$H$16,0)),0))</f>
        <v/>
      </c>
      <c r="Q1940" s="30">
        <f>IF(OR(H1940&lt;&gt;"Realizado",P1940="",P1940=0),"",A1940+P1940)</f>
        <v/>
      </c>
      <c r="R1940" s="26">
        <f>IF(Q1940="","",IF(COUNTIFS($E$5:$E$3004,E1940,$A$5:$A$3004,"&gt;"&amp;A1940,$H$5:$H$3004,"&lt;&gt;Falta",$H$5:$H$3004,"&lt;&gt;Cancelado",$H$5:$H$3004,"&lt;&gt;Remarcado")&gt;0,"Sim","Não"))</f>
        <v/>
      </c>
      <c r="S1940" s="32">
        <f>IF(R1940&lt;&gt;"Não","",IF(Q1940+Config!$B$9&lt;=Config!$B$8,Config!$B$8-Q1940,""))</f>
        <v/>
      </c>
      <c r="T1940" s="26">
        <f>IF(S1940="","","Sim")</f>
        <v/>
      </c>
      <c r="U1940" s="41">
        <f>IF(T1940="Sim",S1940+ROW()/100000,0)</f>
        <v>0</v>
      </c>
      <c r="V1940" s="41">
        <f>IF(AND(H1940="Falta",L1940=Config!$B$7,M1940=Config!$B$5,COUNTIFS($E$5:E1940,E1940,$H$5:H1940,"Falta",$L$5:L1940,Config!$B$7,$M$5:M1940,Config!$B$5)=1),COUNTIFS($E$5:$E$3004,E1940,$H$5:$H$3004,"Falta",$L$5:$L$3004,Config!$B$7,$M$5:$M$3004,Config!$B$5)*1000-ROW()/100000,0)</f>
        <v>0</v>
      </c>
    </row>
    <row r="1941">
      <c r="A1941" s="39" t="n"/>
      <c r="B1941" s="40" t="n"/>
      <c r="C1941" s="35" t="n"/>
      <c r="D1941" s="35" t="n"/>
      <c r="E1941" s="34" t="n"/>
      <c r="F1941" s="35" t="n"/>
      <c r="G1941" s="35" t="n"/>
      <c r="H1941" s="35" t="n"/>
      <c r="I1941" s="35" t="n"/>
      <c r="J1941" s="35" t="n"/>
      <c r="K1941" s="34" t="n"/>
      <c r="L1941" s="26">
        <f>IF(A1941="","",MONTH(A1941))</f>
        <v/>
      </c>
      <c r="M1941" s="26">
        <f>IF(A1941="","",YEAR(A1941))</f>
        <v/>
      </c>
      <c r="N1941" s="26">
        <f>IF(A1941="","",CHOOSE(WEEKDAY(A1941,2),"Segunda","Terça","Quarta","Quinta","Sexta","Sábado","Domingo"))</f>
        <v/>
      </c>
      <c r="O1941" s="26">
        <f>IF(B1941="","",IF(B1941&lt;TIME(12,0,0),"Manhã",IF(B1941&lt;TIME(18,0,0),"Tarde","Noite")))</f>
        <v/>
      </c>
      <c r="P1941" s="32">
        <f>IF(G1941="","",IFERROR(INDEX(Config!$I$5:$I$16,MATCH(G1941,Config!$H$5:$H$16,0)),0))</f>
        <v/>
      </c>
      <c r="Q1941" s="30">
        <f>IF(OR(H1941&lt;&gt;"Realizado",P1941="",P1941=0),"",A1941+P1941)</f>
        <v/>
      </c>
      <c r="R1941" s="26">
        <f>IF(Q1941="","",IF(COUNTIFS($E$5:$E$3004,E1941,$A$5:$A$3004,"&gt;"&amp;A1941,$H$5:$H$3004,"&lt;&gt;Falta",$H$5:$H$3004,"&lt;&gt;Cancelado",$H$5:$H$3004,"&lt;&gt;Remarcado")&gt;0,"Sim","Não"))</f>
        <v/>
      </c>
      <c r="S1941" s="32">
        <f>IF(R1941&lt;&gt;"Não","",IF(Q1941+Config!$B$9&lt;=Config!$B$8,Config!$B$8-Q1941,""))</f>
        <v/>
      </c>
      <c r="T1941" s="26">
        <f>IF(S1941="","","Sim")</f>
        <v/>
      </c>
      <c r="U1941" s="41">
        <f>IF(T1941="Sim",S1941+ROW()/100000,0)</f>
        <v>0</v>
      </c>
      <c r="V1941" s="41">
        <f>IF(AND(H1941="Falta",L1941=Config!$B$7,M1941=Config!$B$5,COUNTIFS($E$5:E1941,E1941,$H$5:H1941,"Falta",$L$5:L1941,Config!$B$7,$M$5:M1941,Config!$B$5)=1),COUNTIFS($E$5:$E$3004,E1941,$H$5:$H$3004,"Falta",$L$5:$L$3004,Config!$B$7,$M$5:$M$3004,Config!$B$5)*1000-ROW()/100000,0)</f>
        <v>0</v>
      </c>
    </row>
    <row r="1942">
      <c r="A1942" s="39" t="n"/>
      <c r="B1942" s="40" t="n"/>
      <c r="C1942" s="35" t="n"/>
      <c r="D1942" s="35" t="n"/>
      <c r="E1942" s="34" t="n"/>
      <c r="F1942" s="35" t="n"/>
      <c r="G1942" s="35" t="n"/>
      <c r="H1942" s="35" t="n"/>
      <c r="I1942" s="35" t="n"/>
      <c r="J1942" s="35" t="n"/>
      <c r="K1942" s="34" t="n"/>
      <c r="L1942" s="26">
        <f>IF(A1942="","",MONTH(A1942))</f>
        <v/>
      </c>
      <c r="M1942" s="26">
        <f>IF(A1942="","",YEAR(A1942))</f>
        <v/>
      </c>
      <c r="N1942" s="26">
        <f>IF(A1942="","",CHOOSE(WEEKDAY(A1942,2),"Segunda","Terça","Quarta","Quinta","Sexta","Sábado","Domingo"))</f>
        <v/>
      </c>
      <c r="O1942" s="26">
        <f>IF(B1942="","",IF(B1942&lt;TIME(12,0,0),"Manhã",IF(B1942&lt;TIME(18,0,0),"Tarde","Noite")))</f>
        <v/>
      </c>
      <c r="P1942" s="32">
        <f>IF(G1942="","",IFERROR(INDEX(Config!$I$5:$I$16,MATCH(G1942,Config!$H$5:$H$16,0)),0))</f>
        <v/>
      </c>
      <c r="Q1942" s="30">
        <f>IF(OR(H1942&lt;&gt;"Realizado",P1942="",P1942=0),"",A1942+P1942)</f>
        <v/>
      </c>
      <c r="R1942" s="26">
        <f>IF(Q1942="","",IF(COUNTIFS($E$5:$E$3004,E1942,$A$5:$A$3004,"&gt;"&amp;A1942,$H$5:$H$3004,"&lt;&gt;Falta",$H$5:$H$3004,"&lt;&gt;Cancelado",$H$5:$H$3004,"&lt;&gt;Remarcado")&gt;0,"Sim","Não"))</f>
        <v/>
      </c>
      <c r="S1942" s="32">
        <f>IF(R1942&lt;&gt;"Não","",IF(Q1942+Config!$B$9&lt;=Config!$B$8,Config!$B$8-Q1942,""))</f>
        <v/>
      </c>
      <c r="T1942" s="26">
        <f>IF(S1942="","","Sim")</f>
        <v/>
      </c>
      <c r="U1942" s="41">
        <f>IF(T1942="Sim",S1942+ROW()/100000,0)</f>
        <v>0</v>
      </c>
      <c r="V1942" s="41">
        <f>IF(AND(H1942="Falta",L1942=Config!$B$7,M1942=Config!$B$5,COUNTIFS($E$5:E1942,E1942,$H$5:H1942,"Falta",$L$5:L1942,Config!$B$7,$M$5:M1942,Config!$B$5)=1),COUNTIFS($E$5:$E$3004,E1942,$H$5:$H$3004,"Falta",$L$5:$L$3004,Config!$B$7,$M$5:$M$3004,Config!$B$5)*1000-ROW()/100000,0)</f>
        <v>0</v>
      </c>
    </row>
    <row r="1943">
      <c r="A1943" s="39" t="n"/>
      <c r="B1943" s="40" t="n"/>
      <c r="C1943" s="35" t="n"/>
      <c r="D1943" s="35" t="n"/>
      <c r="E1943" s="34" t="n"/>
      <c r="F1943" s="35" t="n"/>
      <c r="G1943" s="35" t="n"/>
      <c r="H1943" s="35" t="n"/>
      <c r="I1943" s="35" t="n"/>
      <c r="J1943" s="35" t="n"/>
      <c r="K1943" s="34" t="n"/>
      <c r="L1943" s="26">
        <f>IF(A1943="","",MONTH(A1943))</f>
        <v/>
      </c>
      <c r="M1943" s="26">
        <f>IF(A1943="","",YEAR(A1943))</f>
        <v/>
      </c>
      <c r="N1943" s="26">
        <f>IF(A1943="","",CHOOSE(WEEKDAY(A1943,2),"Segunda","Terça","Quarta","Quinta","Sexta","Sábado","Domingo"))</f>
        <v/>
      </c>
      <c r="O1943" s="26">
        <f>IF(B1943="","",IF(B1943&lt;TIME(12,0,0),"Manhã",IF(B1943&lt;TIME(18,0,0),"Tarde","Noite")))</f>
        <v/>
      </c>
      <c r="P1943" s="32">
        <f>IF(G1943="","",IFERROR(INDEX(Config!$I$5:$I$16,MATCH(G1943,Config!$H$5:$H$16,0)),0))</f>
        <v/>
      </c>
      <c r="Q1943" s="30">
        <f>IF(OR(H1943&lt;&gt;"Realizado",P1943="",P1943=0),"",A1943+P1943)</f>
        <v/>
      </c>
      <c r="R1943" s="26">
        <f>IF(Q1943="","",IF(COUNTIFS($E$5:$E$3004,E1943,$A$5:$A$3004,"&gt;"&amp;A1943,$H$5:$H$3004,"&lt;&gt;Falta",$H$5:$H$3004,"&lt;&gt;Cancelado",$H$5:$H$3004,"&lt;&gt;Remarcado")&gt;0,"Sim","Não"))</f>
        <v/>
      </c>
      <c r="S1943" s="32">
        <f>IF(R1943&lt;&gt;"Não","",IF(Q1943+Config!$B$9&lt;=Config!$B$8,Config!$B$8-Q1943,""))</f>
        <v/>
      </c>
      <c r="T1943" s="26">
        <f>IF(S1943="","","Sim")</f>
        <v/>
      </c>
      <c r="U1943" s="41">
        <f>IF(T1943="Sim",S1943+ROW()/100000,0)</f>
        <v>0</v>
      </c>
      <c r="V1943" s="41">
        <f>IF(AND(H1943="Falta",L1943=Config!$B$7,M1943=Config!$B$5,COUNTIFS($E$5:E1943,E1943,$H$5:H1943,"Falta",$L$5:L1943,Config!$B$7,$M$5:M1943,Config!$B$5)=1),COUNTIFS($E$5:$E$3004,E1943,$H$5:$H$3004,"Falta",$L$5:$L$3004,Config!$B$7,$M$5:$M$3004,Config!$B$5)*1000-ROW()/100000,0)</f>
        <v>0</v>
      </c>
    </row>
    <row r="1944">
      <c r="A1944" s="39" t="n"/>
      <c r="B1944" s="40" t="n"/>
      <c r="C1944" s="35" t="n"/>
      <c r="D1944" s="35" t="n"/>
      <c r="E1944" s="34" t="n"/>
      <c r="F1944" s="35" t="n"/>
      <c r="G1944" s="35" t="n"/>
      <c r="H1944" s="35" t="n"/>
      <c r="I1944" s="35" t="n"/>
      <c r="J1944" s="35" t="n"/>
      <c r="K1944" s="34" t="n"/>
      <c r="L1944" s="26">
        <f>IF(A1944="","",MONTH(A1944))</f>
        <v/>
      </c>
      <c r="M1944" s="26">
        <f>IF(A1944="","",YEAR(A1944))</f>
        <v/>
      </c>
      <c r="N1944" s="26">
        <f>IF(A1944="","",CHOOSE(WEEKDAY(A1944,2),"Segunda","Terça","Quarta","Quinta","Sexta","Sábado","Domingo"))</f>
        <v/>
      </c>
      <c r="O1944" s="26">
        <f>IF(B1944="","",IF(B1944&lt;TIME(12,0,0),"Manhã",IF(B1944&lt;TIME(18,0,0),"Tarde","Noite")))</f>
        <v/>
      </c>
      <c r="P1944" s="32">
        <f>IF(G1944="","",IFERROR(INDEX(Config!$I$5:$I$16,MATCH(G1944,Config!$H$5:$H$16,0)),0))</f>
        <v/>
      </c>
      <c r="Q1944" s="30">
        <f>IF(OR(H1944&lt;&gt;"Realizado",P1944="",P1944=0),"",A1944+P1944)</f>
        <v/>
      </c>
      <c r="R1944" s="26">
        <f>IF(Q1944="","",IF(COUNTIFS($E$5:$E$3004,E1944,$A$5:$A$3004,"&gt;"&amp;A1944,$H$5:$H$3004,"&lt;&gt;Falta",$H$5:$H$3004,"&lt;&gt;Cancelado",$H$5:$H$3004,"&lt;&gt;Remarcado")&gt;0,"Sim","Não"))</f>
        <v/>
      </c>
      <c r="S1944" s="32">
        <f>IF(R1944&lt;&gt;"Não","",IF(Q1944+Config!$B$9&lt;=Config!$B$8,Config!$B$8-Q1944,""))</f>
        <v/>
      </c>
      <c r="T1944" s="26">
        <f>IF(S1944="","","Sim")</f>
        <v/>
      </c>
      <c r="U1944" s="41">
        <f>IF(T1944="Sim",S1944+ROW()/100000,0)</f>
        <v>0</v>
      </c>
      <c r="V1944" s="41">
        <f>IF(AND(H1944="Falta",L1944=Config!$B$7,M1944=Config!$B$5,COUNTIFS($E$5:E1944,E1944,$H$5:H1944,"Falta",$L$5:L1944,Config!$B$7,$M$5:M1944,Config!$B$5)=1),COUNTIFS($E$5:$E$3004,E1944,$H$5:$H$3004,"Falta",$L$5:$L$3004,Config!$B$7,$M$5:$M$3004,Config!$B$5)*1000-ROW()/100000,0)</f>
        <v>0</v>
      </c>
    </row>
    <row r="1945">
      <c r="A1945" s="39" t="n"/>
      <c r="B1945" s="40" t="n"/>
      <c r="C1945" s="35" t="n"/>
      <c r="D1945" s="35" t="n"/>
      <c r="E1945" s="34" t="n"/>
      <c r="F1945" s="35" t="n"/>
      <c r="G1945" s="35" t="n"/>
      <c r="H1945" s="35" t="n"/>
      <c r="I1945" s="35" t="n"/>
      <c r="J1945" s="35" t="n"/>
      <c r="K1945" s="34" t="n"/>
      <c r="L1945" s="26">
        <f>IF(A1945="","",MONTH(A1945))</f>
        <v/>
      </c>
      <c r="M1945" s="26">
        <f>IF(A1945="","",YEAR(A1945))</f>
        <v/>
      </c>
      <c r="N1945" s="26">
        <f>IF(A1945="","",CHOOSE(WEEKDAY(A1945,2),"Segunda","Terça","Quarta","Quinta","Sexta","Sábado","Domingo"))</f>
        <v/>
      </c>
      <c r="O1945" s="26">
        <f>IF(B1945="","",IF(B1945&lt;TIME(12,0,0),"Manhã",IF(B1945&lt;TIME(18,0,0),"Tarde","Noite")))</f>
        <v/>
      </c>
      <c r="P1945" s="32">
        <f>IF(G1945="","",IFERROR(INDEX(Config!$I$5:$I$16,MATCH(G1945,Config!$H$5:$H$16,0)),0))</f>
        <v/>
      </c>
      <c r="Q1945" s="30">
        <f>IF(OR(H1945&lt;&gt;"Realizado",P1945="",P1945=0),"",A1945+P1945)</f>
        <v/>
      </c>
      <c r="R1945" s="26">
        <f>IF(Q1945="","",IF(COUNTIFS($E$5:$E$3004,E1945,$A$5:$A$3004,"&gt;"&amp;A1945,$H$5:$H$3004,"&lt;&gt;Falta",$H$5:$H$3004,"&lt;&gt;Cancelado",$H$5:$H$3004,"&lt;&gt;Remarcado")&gt;0,"Sim","Não"))</f>
        <v/>
      </c>
      <c r="S1945" s="32">
        <f>IF(R1945&lt;&gt;"Não","",IF(Q1945+Config!$B$9&lt;=Config!$B$8,Config!$B$8-Q1945,""))</f>
        <v/>
      </c>
      <c r="T1945" s="26">
        <f>IF(S1945="","","Sim")</f>
        <v/>
      </c>
      <c r="U1945" s="41">
        <f>IF(T1945="Sim",S1945+ROW()/100000,0)</f>
        <v>0</v>
      </c>
      <c r="V1945" s="41">
        <f>IF(AND(H1945="Falta",L1945=Config!$B$7,M1945=Config!$B$5,COUNTIFS($E$5:E1945,E1945,$H$5:H1945,"Falta",$L$5:L1945,Config!$B$7,$M$5:M1945,Config!$B$5)=1),COUNTIFS($E$5:$E$3004,E1945,$H$5:$H$3004,"Falta",$L$5:$L$3004,Config!$B$7,$M$5:$M$3004,Config!$B$5)*1000-ROW()/100000,0)</f>
        <v>0</v>
      </c>
    </row>
    <row r="1946">
      <c r="A1946" s="39" t="n"/>
      <c r="B1946" s="40" t="n"/>
      <c r="C1946" s="35" t="n"/>
      <c r="D1946" s="35" t="n"/>
      <c r="E1946" s="34" t="n"/>
      <c r="F1946" s="35" t="n"/>
      <c r="G1946" s="35" t="n"/>
      <c r="H1946" s="35" t="n"/>
      <c r="I1946" s="35" t="n"/>
      <c r="J1946" s="35" t="n"/>
      <c r="K1946" s="34" t="n"/>
      <c r="L1946" s="26">
        <f>IF(A1946="","",MONTH(A1946))</f>
        <v/>
      </c>
      <c r="M1946" s="26">
        <f>IF(A1946="","",YEAR(A1946))</f>
        <v/>
      </c>
      <c r="N1946" s="26">
        <f>IF(A1946="","",CHOOSE(WEEKDAY(A1946,2),"Segunda","Terça","Quarta","Quinta","Sexta","Sábado","Domingo"))</f>
        <v/>
      </c>
      <c r="O1946" s="26">
        <f>IF(B1946="","",IF(B1946&lt;TIME(12,0,0),"Manhã",IF(B1946&lt;TIME(18,0,0),"Tarde","Noite")))</f>
        <v/>
      </c>
      <c r="P1946" s="32">
        <f>IF(G1946="","",IFERROR(INDEX(Config!$I$5:$I$16,MATCH(G1946,Config!$H$5:$H$16,0)),0))</f>
        <v/>
      </c>
      <c r="Q1946" s="30">
        <f>IF(OR(H1946&lt;&gt;"Realizado",P1946="",P1946=0),"",A1946+P1946)</f>
        <v/>
      </c>
      <c r="R1946" s="26">
        <f>IF(Q1946="","",IF(COUNTIFS($E$5:$E$3004,E1946,$A$5:$A$3004,"&gt;"&amp;A1946,$H$5:$H$3004,"&lt;&gt;Falta",$H$5:$H$3004,"&lt;&gt;Cancelado",$H$5:$H$3004,"&lt;&gt;Remarcado")&gt;0,"Sim","Não"))</f>
        <v/>
      </c>
      <c r="S1946" s="32">
        <f>IF(R1946&lt;&gt;"Não","",IF(Q1946+Config!$B$9&lt;=Config!$B$8,Config!$B$8-Q1946,""))</f>
        <v/>
      </c>
      <c r="T1946" s="26">
        <f>IF(S1946="","","Sim")</f>
        <v/>
      </c>
      <c r="U1946" s="41">
        <f>IF(T1946="Sim",S1946+ROW()/100000,0)</f>
        <v>0</v>
      </c>
      <c r="V1946" s="41">
        <f>IF(AND(H1946="Falta",L1946=Config!$B$7,M1946=Config!$B$5,COUNTIFS($E$5:E1946,E1946,$H$5:H1946,"Falta",$L$5:L1946,Config!$B$7,$M$5:M1946,Config!$B$5)=1),COUNTIFS($E$5:$E$3004,E1946,$H$5:$H$3004,"Falta",$L$5:$L$3004,Config!$B$7,$M$5:$M$3004,Config!$B$5)*1000-ROW()/100000,0)</f>
        <v>0</v>
      </c>
    </row>
    <row r="1947">
      <c r="A1947" s="39" t="n"/>
      <c r="B1947" s="40" t="n"/>
      <c r="C1947" s="35" t="n"/>
      <c r="D1947" s="35" t="n"/>
      <c r="E1947" s="34" t="n"/>
      <c r="F1947" s="35" t="n"/>
      <c r="G1947" s="35" t="n"/>
      <c r="H1947" s="35" t="n"/>
      <c r="I1947" s="35" t="n"/>
      <c r="J1947" s="35" t="n"/>
      <c r="K1947" s="34" t="n"/>
      <c r="L1947" s="26">
        <f>IF(A1947="","",MONTH(A1947))</f>
        <v/>
      </c>
      <c r="M1947" s="26">
        <f>IF(A1947="","",YEAR(A1947))</f>
        <v/>
      </c>
      <c r="N1947" s="26">
        <f>IF(A1947="","",CHOOSE(WEEKDAY(A1947,2),"Segunda","Terça","Quarta","Quinta","Sexta","Sábado","Domingo"))</f>
        <v/>
      </c>
      <c r="O1947" s="26">
        <f>IF(B1947="","",IF(B1947&lt;TIME(12,0,0),"Manhã",IF(B1947&lt;TIME(18,0,0),"Tarde","Noite")))</f>
        <v/>
      </c>
      <c r="P1947" s="32">
        <f>IF(G1947="","",IFERROR(INDEX(Config!$I$5:$I$16,MATCH(G1947,Config!$H$5:$H$16,0)),0))</f>
        <v/>
      </c>
      <c r="Q1947" s="30">
        <f>IF(OR(H1947&lt;&gt;"Realizado",P1947="",P1947=0),"",A1947+P1947)</f>
        <v/>
      </c>
      <c r="R1947" s="26">
        <f>IF(Q1947="","",IF(COUNTIFS($E$5:$E$3004,E1947,$A$5:$A$3004,"&gt;"&amp;A1947,$H$5:$H$3004,"&lt;&gt;Falta",$H$5:$H$3004,"&lt;&gt;Cancelado",$H$5:$H$3004,"&lt;&gt;Remarcado")&gt;0,"Sim","Não"))</f>
        <v/>
      </c>
      <c r="S1947" s="32">
        <f>IF(R1947&lt;&gt;"Não","",IF(Q1947+Config!$B$9&lt;=Config!$B$8,Config!$B$8-Q1947,""))</f>
        <v/>
      </c>
      <c r="T1947" s="26">
        <f>IF(S1947="","","Sim")</f>
        <v/>
      </c>
      <c r="U1947" s="41">
        <f>IF(T1947="Sim",S1947+ROW()/100000,0)</f>
        <v>0</v>
      </c>
      <c r="V1947" s="41">
        <f>IF(AND(H1947="Falta",L1947=Config!$B$7,M1947=Config!$B$5,COUNTIFS($E$5:E1947,E1947,$H$5:H1947,"Falta",$L$5:L1947,Config!$B$7,$M$5:M1947,Config!$B$5)=1),COUNTIFS($E$5:$E$3004,E1947,$H$5:$H$3004,"Falta",$L$5:$L$3004,Config!$B$7,$M$5:$M$3004,Config!$B$5)*1000-ROW()/100000,0)</f>
        <v>0</v>
      </c>
    </row>
    <row r="1948">
      <c r="A1948" s="39" t="n"/>
      <c r="B1948" s="40" t="n"/>
      <c r="C1948" s="35" t="n"/>
      <c r="D1948" s="35" t="n"/>
      <c r="E1948" s="34" t="n"/>
      <c r="F1948" s="35" t="n"/>
      <c r="G1948" s="35" t="n"/>
      <c r="H1948" s="35" t="n"/>
      <c r="I1948" s="35" t="n"/>
      <c r="J1948" s="35" t="n"/>
      <c r="K1948" s="34" t="n"/>
      <c r="L1948" s="26">
        <f>IF(A1948="","",MONTH(A1948))</f>
        <v/>
      </c>
      <c r="M1948" s="26">
        <f>IF(A1948="","",YEAR(A1948))</f>
        <v/>
      </c>
      <c r="N1948" s="26">
        <f>IF(A1948="","",CHOOSE(WEEKDAY(A1948,2),"Segunda","Terça","Quarta","Quinta","Sexta","Sábado","Domingo"))</f>
        <v/>
      </c>
      <c r="O1948" s="26">
        <f>IF(B1948="","",IF(B1948&lt;TIME(12,0,0),"Manhã",IF(B1948&lt;TIME(18,0,0),"Tarde","Noite")))</f>
        <v/>
      </c>
      <c r="P1948" s="32">
        <f>IF(G1948="","",IFERROR(INDEX(Config!$I$5:$I$16,MATCH(G1948,Config!$H$5:$H$16,0)),0))</f>
        <v/>
      </c>
      <c r="Q1948" s="30">
        <f>IF(OR(H1948&lt;&gt;"Realizado",P1948="",P1948=0),"",A1948+P1948)</f>
        <v/>
      </c>
      <c r="R1948" s="26">
        <f>IF(Q1948="","",IF(COUNTIFS($E$5:$E$3004,E1948,$A$5:$A$3004,"&gt;"&amp;A1948,$H$5:$H$3004,"&lt;&gt;Falta",$H$5:$H$3004,"&lt;&gt;Cancelado",$H$5:$H$3004,"&lt;&gt;Remarcado")&gt;0,"Sim","Não"))</f>
        <v/>
      </c>
      <c r="S1948" s="32">
        <f>IF(R1948&lt;&gt;"Não","",IF(Q1948+Config!$B$9&lt;=Config!$B$8,Config!$B$8-Q1948,""))</f>
        <v/>
      </c>
      <c r="T1948" s="26">
        <f>IF(S1948="","","Sim")</f>
        <v/>
      </c>
      <c r="U1948" s="41">
        <f>IF(T1948="Sim",S1948+ROW()/100000,0)</f>
        <v>0</v>
      </c>
      <c r="V1948" s="41">
        <f>IF(AND(H1948="Falta",L1948=Config!$B$7,M1948=Config!$B$5,COUNTIFS($E$5:E1948,E1948,$H$5:H1948,"Falta",$L$5:L1948,Config!$B$7,$M$5:M1948,Config!$B$5)=1),COUNTIFS($E$5:$E$3004,E1948,$H$5:$H$3004,"Falta",$L$5:$L$3004,Config!$B$7,$M$5:$M$3004,Config!$B$5)*1000-ROW()/100000,0)</f>
        <v>0</v>
      </c>
    </row>
    <row r="1949">
      <c r="A1949" s="39" t="n"/>
      <c r="B1949" s="40" t="n"/>
      <c r="C1949" s="35" t="n"/>
      <c r="D1949" s="35" t="n"/>
      <c r="E1949" s="34" t="n"/>
      <c r="F1949" s="35" t="n"/>
      <c r="G1949" s="35" t="n"/>
      <c r="H1949" s="35" t="n"/>
      <c r="I1949" s="35" t="n"/>
      <c r="J1949" s="35" t="n"/>
      <c r="K1949" s="34" t="n"/>
      <c r="L1949" s="26">
        <f>IF(A1949="","",MONTH(A1949))</f>
        <v/>
      </c>
      <c r="M1949" s="26">
        <f>IF(A1949="","",YEAR(A1949))</f>
        <v/>
      </c>
      <c r="N1949" s="26">
        <f>IF(A1949="","",CHOOSE(WEEKDAY(A1949,2),"Segunda","Terça","Quarta","Quinta","Sexta","Sábado","Domingo"))</f>
        <v/>
      </c>
      <c r="O1949" s="26">
        <f>IF(B1949="","",IF(B1949&lt;TIME(12,0,0),"Manhã",IF(B1949&lt;TIME(18,0,0),"Tarde","Noite")))</f>
        <v/>
      </c>
      <c r="P1949" s="32">
        <f>IF(G1949="","",IFERROR(INDEX(Config!$I$5:$I$16,MATCH(G1949,Config!$H$5:$H$16,0)),0))</f>
        <v/>
      </c>
      <c r="Q1949" s="30">
        <f>IF(OR(H1949&lt;&gt;"Realizado",P1949="",P1949=0),"",A1949+P1949)</f>
        <v/>
      </c>
      <c r="R1949" s="26">
        <f>IF(Q1949="","",IF(COUNTIFS($E$5:$E$3004,E1949,$A$5:$A$3004,"&gt;"&amp;A1949,$H$5:$H$3004,"&lt;&gt;Falta",$H$5:$H$3004,"&lt;&gt;Cancelado",$H$5:$H$3004,"&lt;&gt;Remarcado")&gt;0,"Sim","Não"))</f>
        <v/>
      </c>
      <c r="S1949" s="32">
        <f>IF(R1949&lt;&gt;"Não","",IF(Q1949+Config!$B$9&lt;=Config!$B$8,Config!$B$8-Q1949,""))</f>
        <v/>
      </c>
      <c r="T1949" s="26">
        <f>IF(S1949="","","Sim")</f>
        <v/>
      </c>
      <c r="U1949" s="41">
        <f>IF(T1949="Sim",S1949+ROW()/100000,0)</f>
        <v>0</v>
      </c>
      <c r="V1949" s="41">
        <f>IF(AND(H1949="Falta",L1949=Config!$B$7,M1949=Config!$B$5,COUNTIFS($E$5:E1949,E1949,$H$5:H1949,"Falta",$L$5:L1949,Config!$B$7,$M$5:M1949,Config!$B$5)=1),COUNTIFS($E$5:$E$3004,E1949,$H$5:$H$3004,"Falta",$L$5:$L$3004,Config!$B$7,$M$5:$M$3004,Config!$B$5)*1000-ROW()/100000,0)</f>
        <v>0</v>
      </c>
    </row>
    <row r="1950">
      <c r="A1950" s="39" t="n"/>
      <c r="B1950" s="40" t="n"/>
      <c r="C1950" s="35" t="n"/>
      <c r="D1950" s="35" t="n"/>
      <c r="E1950" s="34" t="n"/>
      <c r="F1950" s="35" t="n"/>
      <c r="G1950" s="35" t="n"/>
      <c r="H1950" s="35" t="n"/>
      <c r="I1950" s="35" t="n"/>
      <c r="J1950" s="35" t="n"/>
      <c r="K1950" s="34" t="n"/>
      <c r="L1950" s="26">
        <f>IF(A1950="","",MONTH(A1950))</f>
        <v/>
      </c>
      <c r="M1950" s="26">
        <f>IF(A1950="","",YEAR(A1950))</f>
        <v/>
      </c>
      <c r="N1950" s="26">
        <f>IF(A1950="","",CHOOSE(WEEKDAY(A1950,2),"Segunda","Terça","Quarta","Quinta","Sexta","Sábado","Domingo"))</f>
        <v/>
      </c>
      <c r="O1950" s="26">
        <f>IF(B1950="","",IF(B1950&lt;TIME(12,0,0),"Manhã",IF(B1950&lt;TIME(18,0,0),"Tarde","Noite")))</f>
        <v/>
      </c>
      <c r="P1950" s="32">
        <f>IF(G1950="","",IFERROR(INDEX(Config!$I$5:$I$16,MATCH(G1950,Config!$H$5:$H$16,0)),0))</f>
        <v/>
      </c>
      <c r="Q1950" s="30">
        <f>IF(OR(H1950&lt;&gt;"Realizado",P1950="",P1950=0),"",A1950+P1950)</f>
        <v/>
      </c>
      <c r="R1950" s="26">
        <f>IF(Q1950="","",IF(COUNTIFS($E$5:$E$3004,E1950,$A$5:$A$3004,"&gt;"&amp;A1950,$H$5:$H$3004,"&lt;&gt;Falta",$H$5:$H$3004,"&lt;&gt;Cancelado",$H$5:$H$3004,"&lt;&gt;Remarcado")&gt;0,"Sim","Não"))</f>
        <v/>
      </c>
      <c r="S1950" s="32">
        <f>IF(R1950&lt;&gt;"Não","",IF(Q1950+Config!$B$9&lt;=Config!$B$8,Config!$B$8-Q1950,""))</f>
        <v/>
      </c>
      <c r="T1950" s="26">
        <f>IF(S1950="","","Sim")</f>
        <v/>
      </c>
      <c r="U1950" s="41">
        <f>IF(T1950="Sim",S1950+ROW()/100000,0)</f>
        <v>0</v>
      </c>
      <c r="V1950" s="41">
        <f>IF(AND(H1950="Falta",L1950=Config!$B$7,M1950=Config!$B$5,COUNTIFS($E$5:E1950,E1950,$H$5:H1950,"Falta",$L$5:L1950,Config!$B$7,$M$5:M1950,Config!$B$5)=1),COUNTIFS($E$5:$E$3004,E1950,$H$5:$H$3004,"Falta",$L$5:$L$3004,Config!$B$7,$M$5:$M$3004,Config!$B$5)*1000-ROW()/100000,0)</f>
        <v>0</v>
      </c>
    </row>
    <row r="1951">
      <c r="A1951" s="39" t="n"/>
      <c r="B1951" s="40" t="n"/>
      <c r="C1951" s="35" t="n"/>
      <c r="D1951" s="35" t="n"/>
      <c r="E1951" s="34" t="n"/>
      <c r="F1951" s="35" t="n"/>
      <c r="G1951" s="35" t="n"/>
      <c r="H1951" s="35" t="n"/>
      <c r="I1951" s="35" t="n"/>
      <c r="J1951" s="35" t="n"/>
      <c r="K1951" s="34" t="n"/>
      <c r="L1951" s="26">
        <f>IF(A1951="","",MONTH(A1951))</f>
        <v/>
      </c>
      <c r="M1951" s="26">
        <f>IF(A1951="","",YEAR(A1951))</f>
        <v/>
      </c>
      <c r="N1951" s="26">
        <f>IF(A1951="","",CHOOSE(WEEKDAY(A1951,2),"Segunda","Terça","Quarta","Quinta","Sexta","Sábado","Domingo"))</f>
        <v/>
      </c>
      <c r="O1951" s="26">
        <f>IF(B1951="","",IF(B1951&lt;TIME(12,0,0),"Manhã",IF(B1951&lt;TIME(18,0,0),"Tarde","Noite")))</f>
        <v/>
      </c>
      <c r="P1951" s="32">
        <f>IF(G1951="","",IFERROR(INDEX(Config!$I$5:$I$16,MATCH(G1951,Config!$H$5:$H$16,0)),0))</f>
        <v/>
      </c>
      <c r="Q1951" s="30">
        <f>IF(OR(H1951&lt;&gt;"Realizado",P1951="",P1951=0),"",A1951+P1951)</f>
        <v/>
      </c>
      <c r="R1951" s="26">
        <f>IF(Q1951="","",IF(COUNTIFS($E$5:$E$3004,E1951,$A$5:$A$3004,"&gt;"&amp;A1951,$H$5:$H$3004,"&lt;&gt;Falta",$H$5:$H$3004,"&lt;&gt;Cancelado",$H$5:$H$3004,"&lt;&gt;Remarcado")&gt;0,"Sim","Não"))</f>
        <v/>
      </c>
      <c r="S1951" s="32">
        <f>IF(R1951&lt;&gt;"Não","",IF(Q1951+Config!$B$9&lt;=Config!$B$8,Config!$B$8-Q1951,""))</f>
        <v/>
      </c>
      <c r="T1951" s="26">
        <f>IF(S1951="","","Sim")</f>
        <v/>
      </c>
      <c r="U1951" s="41">
        <f>IF(T1951="Sim",S1951+ROW()/100000,0)</f>
        <v>0</v>
      </c>
      <c r="V1951" s="41">
        <f>IF(AND(H1951="Falta",L1951=Config!$B$7,M1951=Config!$B$5,COUNTIFS($E$5:E1951,E1951,$H$5:H1951,"Falta",$L$5:L1951,Config!$B$7,$M$5:M1951,Config!$B$5)=1),COUNTIFS($E$5:$E$3004,E1951,$H$5:$H$3004,"Falta",$L$5:$L$3004,Config!$B$7,$M$5:$M$3004,Config!$B$5)*1000-ROW()/100000,0)</f>
        <v>0</v>
      </c>
    </row>
    <row r="1952">
      <c r="A1952" s="39" t="n"/>
      <c r="B1952" s="40" t="n"/>
      <c r="C1952" s="35" t="n"/>
      <c r="D1952" s="35" t="n"/>
      <c r="E1952" s="34" t="n"/>
      <c r="F1952" s="35" t="n"/>
      <c r="G1952" s="35" t="n"/>
      <c r="H1952" s="35" t="n"/>
      <c r="I1952" s="35" t="n"/>
      <c r="J1952" s="35" t="n"/>
      <c r="K1952" s="34" t="n"/>
      <c r="L1952" s="26">
        <f>IF(A1952="","",MONTH(A1952))</f>
        <v/>
      </c>
      <c r="M1952" s="26">
        <f>IF(A1952="","",YEAR(A1952))</f>
        <v/>
      </c>
      <c r="N1952" s="26">
        <f>IF(A1952="","",CHOOSE(WEEKDAY(A1952,2),"Segunda","Terça","Quarta","Quinta","Sexta","Sábado","Domingo"))</f>
        <v/>
      </c>
      <c r="O1952" s="26">
        <f>IF(B1952="","",IF(B1952&lt;TIME(12,0,0),"Manhã",IF(B1952&lt;TIME(18,0,0),"Tarde","Noite")))</f>
        <v/>
      </c>
      <c r="P1952" s="32">
        <f>IF(G1952="","",IFERROR(INDEX(Config!$I$5:$I$16,MATCH(G1952,Config!$H$5:$H$16,0)),0))</f>
        <v/>
      </c>
      <c r="Q1952" s="30">
        <f>IF(OR(H1952&lt;&gt;"Realizado",P1952="",P1952=0),"",A1952+P1952)</f>
        <v/>
      </c>
      <c r="R1952" s="26">
        <f>IF(Q1952="","",IF(COUNTIFS($E$5:$E$3004,E1952,$A$5:$A$3004,"&gt;"&amp;A1952,$H$5:$H$3004,"&lt;&gt;Falta",$H$5:$H$3004,"&lt;&gt;Cancelado",$H$5:$H$3004,"&lt;&gt;Remarcado")&gt;0,"Sim","Não"))</f>
        <v/>
      </c>
      <c r="S1952" s="32">
        <f>IF(R1952&lt;&gt;"Não","",IF(Q1952+Config!$B$9&lt;=Config!$B$8,Config!$B$8-Q1952,""))</f>
        <v/>
      </c>
      <c r="T1952" s="26">
        <f>IF(S1952="","","Sim")</f>
        <v/>
      </c>
      <c r="U1952" s="41">
        <f>IF(T1952="Sim",S1952+ROW()/100000,0)</f>
        <v>0</v>
      </c>
      <c r="V1952" s="41">
        <f>IF(AND(H1952="Falta",L1952=Config!$B$7,M1952=Config!$B$5,COUNTIFS($E$5:E1952,E1952,$H$5:H1952,"Falta",$L$5:L1952,Config!$B$7,$M$5:M1952,Config!$B$5)=1),COUNTIFS($E$5:$E$3004,E1952,$H$5:$H$3004,"Falta",$L$5:$L$3004,Config!$B$7,$M$5:$M$3004,Config!$B$5)*1000-ROW()/100000,0)</f>
        <v>0</v>
      </c>
    </row>
    <row r="1953">
      <c r="A1953" s="39" t="n"/>
      <c r="B1953" s="40" t="n"/>
      <c r="C1953" s="35" t="n"/>
      <c r="D1953" s="35" t="n"/>
      <c r="E1953" s="34" t="n"/>
      <c r="F1953" s="35" t="n"/>
      <c r="G1953" s="35" t="n"/>
      <c r="H1953" s="35" t="n"/>
      <c r="I1953" s="35" t="n"/>
      <c r="J1953" s="35" t="n"/>
      <c r="K1953" s="34" t="n"/>
      <c r="L1953" s="26">
        <f>IF(A1953="","",MONTH(A1953))</f>
        <v/>
      </c>
      <c r="M1953" s="26">
        <f>IF(A1953="","",YEAR(A1953))</f>
        <v/>
      </c>
      <c r="N1953" s="26">
        <f>IF(A1953="","",CHOOSE(WEEKDAY(A1953,2),"Segunda","Terça","Quarta","Quinta","Sexta","Sábado","Domingo"))</f>
        <v/>
      </c>
      <c r="O1953" s="26">
        <f>IF(B1953="","",IF(B1953&lt;TIME(12,0,0),"Manhã",IF(B1953&lt;TIME(18,0,0),"Tarde","Noite")))</f>
        <v/>
      </c>
      <c r="P1953" s="32">
        <f>IF(G1953="","",IFERROR(INDEX(Config!$I$5:$I$16,MATCH(G1953,Config!$H$5:$H$16,0)),0))</f>
        <v/>
      </c>
      <c r="Q1953" s="30">
        <f>IF(OR(H1953&lt;&gt;"Realizado",P1953="",P1953=0),"",A1953+P1953)</f>
        <v/>
      </c>
      <c r="R1953" s="26">
        <f>IF(Q1953="","",IF(COUNTIFS($E$5:$E$3004,E1953,$A$5:$A$3004,"&gt;"&amp;A1953,$H$5:$H$3004,"&lt;&gt;Falta",$H$5:$H$3004,"&lt;&gt;Cancelado",$H$5:$H$3004,"&lt;&gt;Remarcado")&gt;0,"Sim","Não"))</f>
        <v/>
      </c>
      <c r="S1953" s="32">
        <f>IF(R1953&lt;&gt;"Não","",IF(Q1953+Config!$B$9&lt;=Config!$B$8,Config!$B$8-Q1953,""))</f>
        <v/>
      </c>
      <c r="T1953" s="26">
        <f>IF(S1953="","","Sim")</f>
        <v/>
      </c>
      <c r="U1953" s="41">
        <f>IF(T1953="Sim",S1953+ROW()/100000,0)</f>
        <v>0</v>
      </c>
      <c r="V1953" s="41">
        <f>IF(AND(H1953="Falta",L1953=Config!$B$7,M1953=Config!$B$5,COUNTIFS($E$5:E1953,E1953,$H$5:H1953,"Falta",$L$5:L1953,Config!$B$7,$M$5:M1953,Config!$B$5)=1),COUNTIFS($E$5:$E$3004,E1953,$H$5:$H$3004,"Falta",$L$5:$L$3004,Config!$B$7,$M$5:$M$3004,Config!$B$5)*1000-ROW()/100000,0)</f>
        <v>0</v>
      </c>
    </row>
    <row r="1954">
      <c r="A1954" s="39" t="n"/>
      <c r="B1954" s="40" t="n"/>
      <c r="C1954" s="35" t="n"/>
      <c r="D1954" s="35" t="n"/>
      <c r="E1954" s="34" t="n"/>
      <c r="F1954" s="35" t="n"/>
      <c r="G1954" s="35" t="n"/>
      <c r="H1954" s="35" t="n"/>
      <c r="I1954" s="35" t="n"/>
      <c r="J1954" s="35" t="n"/>
      <c r="K1954" s="34" t="n"/>
      <c r="L1954" s="26">
        <f>IF(A1954="","",MONTH(A1954))</f>
        <v/>
      </c>
      <c r="M1954" s="26">
        <f>IF(A1954="","",YEAR(A1954))</f>
        <v/>
      </c>
      <c r="N1954" s="26">
        <f>IF(A1954="","",CHOOSE(WEEKDAY(A1954,2),"Segunda","Terça","Quarta","Quinta","Sexta","Sábado","Domingo"))</f>
        <v/>
      </c>
      <c r="O1954" s="26">
        <f>IF(B1954="","",IF(B1954&lt;TIME(12,0,0),"Manhã",IF(B1954&lt;TIME(18,0,0),"Tarde","Noite")))</f>
        <v/>
      </c>
      <c r="P1954" s="32">
        <f>IF(G1954="","",IFERROR(INDEX(Config!$I$5:$I$16,MATCH(G1954,Config!$H$5:$H$16,0)),0))</f>
        <v/>
      </c>
      <c r="Q1954" s="30">
        <f>IF(OR(H1954&lt;&gt;"Realizado",P1954="",P1954=0),"",A1954+P1954)</f>
        <v/>
      </c>
      <c r="R1954" s="26">
        <f>IF(Q1954="","",IF(COUNTIFS($E$5:$E$3004,E1954,$A$5:$A$3004,"&gt;"&amp;A1954,$H$5:$H$3004,"&lt;&gt;Falta",$H$5:$H$3004,"&lt;&gt;Cancelado",$H$5:$H$3004,"&lt;&gt;Remarcado")&gt;0,"Sim","Não"))</f>
        <v/>
      </c>
      <c r="S1954" s="32">
        <f>IF(R1954&lt;&gt;"Não","",IF(Q1954+Config!$B$9&lt;=Config!$B$8,Config!$B$8-Q1954,""))</f>
        <v/>
      </c>
      <c r="T1954" s="26">
        <f>IF(S1954="","","Sim")</f>
        <v/>
      </c>
      <c r="U1954" s="41">
        <f>IF(T1954="Sim",S1954+ROW()/100000,0)</f>
        <v>0</v>
      </c>
      <c r="V1954" s="41">
        <f>IF(AND(H1954="Falta",L1954=Config!$B$7,M1954=Config!$B$5,COUNTIFS($E$5:E1954,E1954,$H$5:H1954,"Falta",$L$5:L1954,Config!$B$7,$M$5:M1954,Config!$B$5)=1),COUNTIFS($E$5:$E$3004,E1954,$H$5:$H$3004,"Falta",$L$5:$L$3004,Config!$B$7,$M$5:$M$3004,Config!$B$5)*1000-ROW()/100000,0)</f>
        <v>0</v>
      </c>
    </row>
    <row r="1955">
      <c r="A1955" s="39" t="n"/>
      <c r="B1955" s="40" t="n"/>
      <c r="C1955" s="35" t="n"/>
      <c r="D1955" s="35" t="n"/>
      <c r="E1955" s="34" t="n"/>
      <c r="F1955" s="35" t="n"/>
      <c r="G1955" s="35" t="n"/>
      <c r="H1955" s="35" t="n"/>
      <c r="I1955" s="35" t="n"/>
      <c r="J1955" s="35" t="n"/>
      <c r="K1955" s="34" t="n"/>
      <c r="L1955" s="26">
        <f>IF(A1955="","",MONTH(A1955))</f>
        <v/>
      </c>
      <c r="M1955" s="26">
        <f>IF(A1955="","",YEAR(A1955))</f>
        <v/>
      </c>
      <c r="N1955" s="26">
        <f>IF(A1955="","",CHOOSE(WEEKDAY(A1955,2),"Segunda","Terça","Quarta","Quinta","Sexta","Sábado","Domingo"))</f>
        <v/>
      </c>
      <c r="O1955" s="26">
        <f>IF(B1955="","",IF(B1955&lt;TIME(12,0,0),"Manhã",IF(B1955&lt;TIME(18,0,0),"Tarde","Noite")))</f>
        <v/>
      </c>
      <c r="P1955" s="32">
        <f>IF(G1955="","",IFERROR(INDEX(Config!$I$5:$I$16,MATCH(G1955,Config!$H$5:$H$16,0)),0))</f>
        <v/>
      </c>
      <c r="Q1955" s="30">
        <f>IF(OR(H1955&lt;&gt;"Realizado",P1955="",P1955=0),"",A1955+P1955)</f>
        <v/>
      </c>
      <c r="R1955" s="26">
        <f>IF(Q1955="","",IF(COUNTIFS($E$5:$E$3004,E1955,$A$5:$A$3004,"&gt;"&amp;A1955,$H$5:$H$3004,"&lt;&gt;Falta",$H$5:$H$3004,"&lt;&gt;Cancelado",$H$5:$H$3004,"&lt;&gt;Remarcado")&gt;0,"Sim","Não"))</f>
        <v/>
      </c>
      <c r="S1955" s="32">
        <f>IF(R1955&lt;&gt;"Não","",IF(Q1955+Config!$B$9&lt;=Config!$B$8,Config!$B$8-Q1955,""))</f>
        <v/>
      </c>
      <c r="T1955" s="26">
        <f>IF(S1955="","","Sim")</f>
        <v/>
      </c>
      <c r="U1955" s="41">
        <f>IF(T1955="Sim",S1955+ROW()/100000,0)</f>
        <v>0</v>
      </c>
      <c r="V1955" s="41">
        <f>IF(AND(H1955="Falta",L1955=Config!$B$7,M1955=Config!$B$5,COUNTIFS($E$5:E1955,E1955,$H$5:H1955,"Falta",$L$5:L1955,Config!$B$7,$M$5:M1955,Config!$B$5)=1),COUNTIFS($E$5:$E$3004,E1955,$H$5:$H$3004,"Falta",$L$5:$L$3004,Config!$B$7,$M$5:$M$3004,Config!$B$5)*1000-ROW()/100000,0)</f>
        <v>0</v>
      </c>
    </row>
    <row r="1956">
      <c r="A1956" s="39" t="n"/>
      <c r="B1956" s="40" t="n"/>
      <c r="C1956" s="35" t="n"/>
      <c r="D1956" s="35" t="n"/>
      <c r="E1956" s="34" t="n"/>
      <c r="F1956" s="35" t="n"/>
      <c r="G1956" s="35" t="n"/>
      <c r="H1956" s="35" t="n"/>
      <c r="I1956" s="35" t="n"/>
      <c r="J1956" s="35" t="n"/>
      <c r="K1956" s="34" t="n"/>
      <c r="L1956" s="26">
        <f>IF(A1956="","",MONTH(A1956))</f>
        <v/>
      </c>
      <c r="M1956" s="26">
        <f>IF(A1956="","",YEAR(A1956))</f>
        <v/>
      </c>
      <c r="N1956" s="26">
        <f>IF(A1956="","",CHOOSE(WEEKDAY(A1956,2),"Segunda","Terça","Quarta","Quinta","Sexta","Sábado","Domingo"))</f>
        <v/>
      </c>
      <c r="O1956" s="26">
        <f>IF(B1956="","",IF(B1956&lt;TIME(12,0,0),"Manhã",IF(B1956&lt;TIME(18,0,0),"Tarde","Noite")))</f>
        <v/>
      </c>
      <c r="P1956" s="32">
        <f>IF(G1956="","",IFERROR(INDEX(Config!$I$5:$I$16,MATCH(G1956,Config!$H$5:$H$16,0)),0))</f>
        <v/>
      </c>
      <c r="Q1956" s="30">
        <f>IF(OR(H1956&lt;&gt;"Realizado",P1956="",P1956=0),"",A1956+P1956)</f>
        <v/>
      </c>
      <c r="R1956" s="26">
        <f>IF(Q1956="","",IF(COUNTIFS($E$5:$E$3004,E1956,$A$5:$A$3004,"&gt;"&amp;A1956,$H$5:$H$3004,"&lt;&gt;Falta",$H$5:$H$3004,"&lt;&gt;Cancelado",$H$5:$H$3004,"&lt;&gt;Remarcado")&gt;0,"Sim","Não"))</f>
        <v/>
      </c>
      <c r="S1956" s="32">
        <f>IF(R1956&lt;&gt;"Não","",IF(Q1956+Config!$B$9&lt;=Config!$B$8,Config!$B$8-Q1956,""))</f>
        <v/>
      </c>
      <c r="T1956" s="26">
        <f>IF(S1956="","","Sim")</f>
        <v/>
      </c>
      <c r="U1956" s="41">
        <f>IF(T1956="Sim",S1956+ROW()/100000,0)</f>
        <v>0</v>
      </c>
      <c r="V1956" s="41">
        <f>IF(AND(H1956="Falta",L1956=Config!$B$7,M1956=Config!$B$5,COUNTIFS($E$5:E1956,E1956,$H$5:H1956,"Falta",$L$5:L1956,Config!$B$7,$M$5:M1956,Config!$B$5)=1),COUNTIFS($E$5:$E$3004,E1956,$H$5:$H$3004,"Falta",$L$5:$L$3004,Config!$B$7,$M$5:$M$3004,Config!$B$5)*1000-ROW()/100000,0)</f>
        <v>0</v>
      </c>
    </row>
    <row r="1957">
      <c r="A1957" s="39" t="n"/>
      <c r="B1957" s="40" t="n"/>
      <c r="C1957" s="35" t="n"/>
      <c r="D1957" s="35" t="n"/>
      <c r="E1957" s="34" t="n"/>
      <c r="F1957" s="35" t="n"/>
      <c r="G1957" s="35" t="n"/>
      <c r="H1957" s="35" t="n"/>
      <c r="I1957" s="35" t="n"/>
      <c r="J1957" s="35" t="n"/>
      <c r="K1957" s="34" t="n"/>
      <c r="L1957" s="26">
        <f>IF(A1957="","",MONTH(A1957))</f>
        <v/>
      </c>
      <c r="M1957" s="26">
        <f>IF(A1957="","",YEAR(A1957))</f>
        <v/>
      </c>
      <c r="N1957" s="26">
        <f>IF(A1957="","",CHOOSE(WEEKDAY(A1957,2),"Segunda","Terça","Quarta","Quinta","Sexta","Sábado","Domingo"))</f>
        <v/>
      </c>
      <c r="O1957" s="26">
        <f>IF(B1957="","",IF(B1957&lt;TIME(12,0,0),"Manhã",IF(B1957&lt;TIME(18,0,0),"Tarde","Noite")))</f>
        <v/>
      </c>
      <c r="P1957" s="32">
        <f>IF(G1957="","",IFERROR(INDEX(Config!$I$5:$I$16,MATCH(G1957,Config!$H$5:$H$16,0)),0))</f>
        <v/>
      </c>
      <c r="Q1957" s="30">
        <f>IF(OR(H1957&lt;&gt;"Realizado",P1957="",P1957=0),"",A1957+P1957)</f>
        <v/>
      </c>
      <c r="R1957" s="26">
        <f>IF(Q1957="","",IF(COUNTIFS($E$5:$E$3004,E1957,$A$5:$A$3004,"&gt;"&amp;A1957,$H$5:$H$3004,"&lt;&gt;Falta",$H$5:$H$3004,"&lt;&gt;Cancelado",$H$5:$H$3004,"&lt;&gt;Remarcado")&gt;0,"Sim","Não"))</f>
        <v/>
      </c>
      <c r="S1957" s="32">
        <f>IF(R1957&lt;&gt;"Não","",IF(Q1957+Config!$B$9&lt;=Config!$B$8,Config!$B$8-Q1957,""))</f>
        <v/>
      </c>
      <c r="T1957" s="26">
        <f>IF(S1957="","","Sim")</f>
        <v/>
      </c>
      <c r="U1957" s="41">
        <f>IF(T1957="Sim",S1957+ROW()/100000,0)</f>
        <v>0</v>
      </c>
      <c r="V1957" s="41">
        <f>IF(AND(H1957="Falta",L1957=Config!$B$7,M1957=Config!$B$5,COUNTIFS($E$5:E1957,E1957,$H$5:H1957,"Falta",$L$5:L1957,Config!$B$7,$M$5:M1957,Config!$B$5)=1),COUNTIFS($E$5:$E$3004,E1957,$H$5:$H$3004,"Falta",$L$5:$L$3004,Config!$B$7,$M$5:$M$3004,Config!$B$5)*1000-ROW()/100000,0)</f>
        <v>0</v>
      </c>
    </row>
    <row r="1958">
      <c r="A1958" s="39" t="n"/>
      <c r="B1958" s="40" t="n"/>
      <c r="C1958" s="35" t="n"/>
      <c r="D1958" s="35" t="n"/>
      <c r="E1958" s="34" t="n"/>
      <c r="F1958" s="35" t="n"/>
      <c r="G1958" s="35" t="n"/>
      <c r="H1958" s="35" t="n"/>
      <c r="I1958" s="35" t="n"/>
      <c r="J1958" s="35" t="n"/>
      <c r="K1958" s="34" t="n"/>
      <c r="L1958" s="26">
        <f>IF(A1958="","",MONTH(A1958))</f>
        <v/>
      </c>
      <c r="M1958" s="26">
        <f>IF(A1958="","",YEAR(A1958))</f>
        <v/>
      </c>
      <c r="N1958" s="26">
        <f>IF(A1958="","",CHOOSE(WEEKDAY(A1958,2),"Segunda","Terça","Quarta","Quinta","Sexta","Sábado","Domingo"))</f>
        <v/>
      </c>
      <c r="O1958" s="26">
        <f>IF(B1958="","",IF(B1958&lt;TIME(12,0,0),"Manhã",IF(B1958&lt;TIME(18,0,0),"Tarde","Noite")))</f>
        <v/>
      </c>
      <c r="P1958" s="32">
        <f>IF(G1958="","",IFERROR(INDEX(Config!$I$5:$I$16,MATCH(G1958,Config!$H$5:$H$16,0)),0))</f>
        <v/>
      </c>
      <c r="Q1958" s="30">
        <f>IF(OR(H1958&lt;&gt;"Realizado",P1958="",P1958=0),"",A1958+P1958)</f>
        <v/>
      </c>
      <c r="R1958" s="26">
        <f>IF(Q1958="","",IF(COUNTIFS($E$5:$E$3004,E1958,$A$5:$A$3004,"&gt;"&amp;A1958,$H$5:$H$3004,"&lt;&gt;Falta",$H$5:$H$3004,"&lt;&gt;Cancelado",$H$5:$H$3004,"&lt;&gt;Remarcado")&gt;0,"Sim","Não"))</f>
        <v/>
      </c>
      <c r="S1958" s="32">
        <f>IF(R1958&lt;&gt;"Não","",IF(Q1958+Config!$B$9&lt;=Config!$B$8,Config!$B$8-Q1958,""))</f>
        <v/>
      </c>
      <c r="T1958" s="26">
        <f>IF(S1958="","","Sim")</f>
        <v/>
      </c>
      <c r="U1958" s="41">
        <f>IF(T1958="Sim",S1958+ROW()/100000,0)</f>
        <v>0</v>
      </c>
      <c r="V1958" s="41">
        <f>IF(AND(H1958="Falta",L1958=Config!$B$7,M1958=Config!$B$5,COUNTIFS($E$5:E1958,E1958,$H$5:H1958,"Falta",$L$5:L1958,Config!$B$7,$M$5:M1958,Config!$B$5)=1),COUNTIFS($E$5:$E$3004,E1958,$H$5:$H$3004,"Falta",$L$5:$L$3004,Config!$B$7,$M$5:$M$3004,Config!$B$5)*1000-ROW()/100000,0)</f>
        <v>0</v>
      </c>
    </row>
    <row r="1959">
      <c r="A1959" s="39" t="n"/>
      <c r="B1959" s="40" t="n"/>
      <c r="C1959" s="35" t="n"/>
      <c r="D1959" s="35" t="n"/>
      <c r="E1959" s="34" t="n"/>
      <c r="F1959" s="35" t="n"/>
      <c r="G1959" s="35" t="n"/>
      <c r="H1959" s="35" t="n"/>
      <c r="I1959" s="35" t="n"/>
      <c r="J1959" s="35" t="n"/>
      <c r="K1959" s="34" t="n"/>
      <c r="L1959" s="26">
        <f>IF(A1959="","",MONTH(A1959))</f>
        <v/>
      </c>
      <c r="M1959" s="26">
        <f>IF(A1959="","",YEAR(A1959))</f>
        <v/>
      </c>
      <c r="N1959" s="26">
        <f>IF(A1959="","",CHOOSE(WEEKDAY(A1959,2),"Segunda","Terça","Quarta","Quinta","Sexta","Sábado","Domingo"))</f>
        <v/>
      </c>
      <c r="O1959" s="26">
        <f>IF(B1959="","",IF(B1959&lt;TIME(12,0,0),"Manhã",IF(B1959&lt;TIME(18,0,0),"Tarde","Noite")))</f>
        <v/>
      </c>
      <c r="P1959" s="32">
        <f>IF(G1959="","",IFERROR(INDEX(Config!$I$5:$I$16,MATCH(G1959,Config!$H$5:$H$16,0)),0))</f>
        <v/>
      </c>
      <c r="Q1959" s="30">
        <f>IF(OR(H1959&lt;&gt;"Realizado",P1959="",P1959=0),"",A1959+P1959)</f>
        <v/>
      </c>
      <c r="R1959" s="26">
        <f>IF(Q1959="","",IF(COUNTIFS($E$5:$E$3004,E1959,$A$5:$A$3004,"&gt;"&amp;A1959,$H$5:$H$3004,"&lt;&gt;Falta",$H$5:$H$3004,"&lt;&gt;Cancelado",$H$5:$H$3004,"&lt;&gt;Remarcado")&gt;0,"Sim","Não"))</f>
        <v/>
      </c>
      <c r="S1959" s="32">
        <f>IF(R1959&lt;&gt;"Não","",IF(Q1959+Config!$B$9&lt;=Config!$B$8,Config!$B$8-Q1959,""))</f>
        <v/>
      </c>
      <c r="T1959" s="26">
        <f>IF(S1959="","","Sim")</f>
        <v/>
      </c>
      <c r="U1959" s="41">
        <f>IF(T1959="Sim",S1959+ROW()/100000,0)</f>
        <v>0</v>
      </c>
      <c r="V1959" s="41">
        <f>IF(AND(H1959="Falta",L1959=Config!$B$7,M1959=Config!$B$5,COUNTIFS($E$5:E1959,E1959,$H$5:H1959,"Falta",$L$5:L1959,Config!$B$7,$M$5:M1959,Config!$B$5)=1),COUNTIFS($E$5:$E$3004,E1959,$H$5:$H$3004,"Falta",$L$5:$L$3004,Config!$B$7,$M$5:$M$3004,Config!$B$5)*1000-ROW()/100000,0)</f>
        <v>0</v>
      </c>
    </row>
    <row r="1960">
      <c r="A1960" s="39" t="n"/>
      <c r="B1960" s="40" t="n"/>
      <c r="C1960" s="35" t="n"/>
      <c r="D1960" s="35" t="n"/>
      <c r="E1960" s="34" t="n"/>
      <c r="F1960" s="35" t="n"/>
      <c r="G1960" s="35" t="n"/>
      <c r="H1960" s="35" t="n"/>
      <c r="I1960" s="35" t="n"/>
      <c r="J1960" s="35" t="n"/>
      <c r="K1960" s="34" t="n"/>
      <c r="L1960" s="26">
        <f>IF(A1960="","",MONTH(A1960))</f>
        <v/>
      </c>
      <c r="M1960" s="26">
        <f>IF(A1960="","",YEAR(A1960))</f>
        <v/>
      </c>
      <c r="N1960" s="26">
        <f>IF(A1960="","",CHOOSE(WEEKDAY(A1960,2),"Segunda","Terça","Quarta","Quinta","Sexta","Sábado","Domingo"))</f>
        <v/>
      </c>
      <c r="O1960" s="26">
        <f>IF(B1960="","",IF(B1960&lt;TIME(12,0,0),"Manhã",IF(B1960&lt;TIME(18,0,0),"Tarde","Noite")))</f>
        <v/>
      </c>
      <c r="P1960" s="32">
        <f>IF(G1960="","",IFERROR(INDEX(Config!$I$5:$I$16,MATCH(G1960,Config!$H$5:$H$16,0)),0))</f>
        <v/>
      </c>
      <c r="Q1960" s="30">
        <f>IF(OR(H1960&lt;&gt;"Realizado",P1960="",P1960=0),"",A1960+P1960)</f>
        <v/>
      </c>
      <c r="R1960" s="26">
        <f>IF(Q1960="","",IF(COUNTIFS($E$5:$E$3004,E1960,$A$5:$A$3004,"&gt;"&amp;A1960,$H$5:$H$3004,"&lt;&gt;Falta",$H$5:$H$3004,"&lt;&gt;Cancelado",$H$5:$H$3004,"&lt;&gt;Remarcado")&gt;0,"Sim","Não"))</f>
        <v/>
      </c>
      <c r="S1960" s="32">
        <f>IF(R1960&lt;&gt;"Não","",IF(Q1960+Config!$B$9&lt;=Config!$B$8,Config!$B$8-Q1960,""))</f>
        <v/>
      </c>
      <c r="T1960" s="26">
        <f>IF(S1960="","","Sim")</f>
        <v/>
      </c>
      <c r="U1960" s="41">
        <f>IF(T1960="Sim",S1960+ROW()/100000,0)</f>
        <v>0</v>
      </c>
      <c r="V1960" s="41">
        <f>IF(AND(H1960="Falta",L1960=Config!$B$7,M1960=Config!$B$5,COUNTIFS($E$5:E1960,E1960,$H$5:H1960,"Falta",$L$5:L1960,Config!$B$7,$M$5:M1960,Config!$B$5)=1),COUNTIFS($E$5:$E$3004,E1960,$H$5:$H$3004,"Falta",$L$5:$L$3004,Config!$B$7,$M$5:$M$3004,Config!$B$5)*1000-ROW()/100000,0)</f>
        <v>0</v>
      </c>
    </row>
    <row r="1961">
      <c r="A1961" s="39" t="n"/>
      <c r="B1961" s="40" t="n"/>
      <c r="C1961" s="35" t="n"/>
      <c r="D1961" s="35" t="n"/>
      <c r="E1961" s="34" t="n"/>
      <c r="F1961" s="35" t="n"/>
      <c r="G1961" s="35" t="n"/>
      <c r="H1961" s="35" t="n"/>
      <c r="I1961" s="35" t="n"/>
      <c r="J1961" s="35" t="n"/>
      <c r="K1961" s="34" t="n"/>
      <c r="L1961" s="26">
        <f>IF(A1961="","",MONTH(A1961))</f>
        <v/>
      </c>
      <c r="M1961" s="26">
        <f>IF(A1961="","",YEAR(A1961))</f>
        <v/>
      </c>
      <c r="N1961" s="26">
        <f>IF(A1961="","",CHOOSE(WEEKDAY(A1961,2),"Segunda","Terça","Quarta","Quinta","Sexta","Sábado","Domingo"))</f>
        <v/>
      </c>
      <c r="O1961" s="26">
        <f>IF(B1961="","",IF(B1961&lt;TIME(12,0,0),"Manhã",IF(B1961&lt;TIME(18,0,0),"Tarde","Noite")))</f>
        <v/>
      </c>
      <c r="P1961" s="32">
        <f>IF(G1961="","",IFERROR(INDEX(Config!$I$5:$I$16,MATCH(G1961,Config!$H$5:$H$16,0)),0))</f>
        <v/>
      </c>
      <c r="Q1961" s="30">
        <f>IF(OR(H1961&lt;&gt;"Realizado",P1961="",P1961=0),"",A1961+P1961)</f>
        <v/>
      </c>
      <c r="R1961" s="26">
        <f>IF(Q1961="","",IF(COUNTIFS($E$5:$E$3004,E1961,$A$5:$A$3004,"&gt;"&amp;A1961,$H$5:$H$3004,"&lt;&gt;Falta",$H$5:$H$3004,"&lt;&gt;Cancelado",$H$5:$H$3004,"&lt;&gt;Remarcado")&gt;0,"Sim","Não"))</f>
        <v/>
      </c>
      <c r="S1961" s="32">
        <f>IF(R1961&lt;&gt;"Não","",IF(Q1961+Config!$B$9&lt;=Config!$B$8,Config!$B$8-Q1961,""))</f>
        <v/>
      </c>
      <c r="T1961" s="26">
        <f>IF(S1961="","","Sim")</f>
        <v/>
      </c>
      <c r="U1961" s="41">
        <f>IF(T1961="Sim",S1961+ROW()/100000,0)</f>
        <v>0</v>
      </c>
      <c r="V1961" s="41">
        <f>IF(AND(H1961="Falta",L1961=Config!$B$7,M1961=Config!$B$5,COUNTIFS($E$5:E1961,E1961,$H$5:H1961,"Falta",$L$5:L1961,Config!$B$7,$M$5:M1961,Config!$B$5)=1),COUNTIFS($E$5:$E$3004,E1961,$H$5:$H$3004,"Falta",$L$5:$L$3004,Config!$B$7,$M$5:$M$3004,Config!$B$5)*1000-ROW()/100000,0)</f>
        <v>0</v>
      </c>
    </row>
    <row r="1962">
      <c r="A1962" s="39" t="n"/>
      <c r="B1962" s="40" t="n"/>
      <c r="C1962" s="35" t="n"/>
      <c r="D1962" s="35" t="n"/>
      <c r="E1962" s="34" t="n"/>
      <c r="F1962" s="35" t="n"/>
      <c r="G1962" s="35" t="n"/>
      <c r="H1962" s="35" t="n"/>
      <c r="I1962" s="35" t="n"/>
      <c r="J1962" s="35" t="n"/>
      <c r="K1962" s="34" t="n"/>
      <c r="L1962" s="26">
        <f>IF(A1962="","",MONTH(A1962))</f>
        <v/>
      </c>
      <c r="M1962" s="26">
        <f>IF(A1962="","",YEAR(A1962))</f>
        <v/>
      </c>
      <c r="N1962" s="26">
        <f>IF(A1962="","",CHOOSE(WEEKDAY(A1962,2),"Segunda","Terça","Quarta","Quinta","Sexta","Sábado","Domingo"))</f>
        <v/>
      </c>
      <c r="O1962" s="26">
        <f>IF(B1962="","",IF(B1962&lt;TIME(12,0,0),"Manhã",IF(B1962&lt;TIME(18,0,0),"Tarde","Noite")))</f>
        <v/>
      </c>
      <c r="P1962" s="32">
        <f>IF(G1962="","",IFERROR(INDEX(Config!$I$5:$I$16,MATCH(G1962,Config!$H$5:$H$16,0)),0))</f>
        <v/>
      </c>
      <c r="Q1962" s="30">
        <f>IF(OR(H1962&lt;&gt;"Realizado",P1962="",P1962=0),"",A1962+P1962)</f>
        <v/>
      </c>
      <c r="R1962" s="26">
        <f>IF(Q1962="","",IF(COUNTIFS($E$5:$E$3004,E1962,$A$5:$A$3004,"&gt;"&amp;A1962,$H$5:$H$3004,"&lt;&gt;Falta",$H$5:$H$3004,"&lt;&gt;Cancelado",$H$5:$H$3004,"&lt;&gt;Remarcado")&gt;0,"Sim","Não"))</f>
        <v/>
      </c>
      <c r="S1962" s="32">
        <f>IF(R1962&lt;&gt;"Não","",IF(Q1962+Config!$B$9&lt;=Config!$B$8,Config!$B$8-Q1962,""))</f>
        <v/>
      </c>
      <c r="T1962" s="26">
        <f>IF(S1962="","","Sim")</f>
        <v/>
      </c>
      <c r="U1962" s="41">
        <f>IF(T1962="Sim",S1962+ROW()/100000,0)</f>
        <v>0</v>
      </c>
      <c r="V1962" s="41">
        <f>IF(AND(H1962="Falta",L1962=Config!$B$7,M1962=Config!$B$5,COUNTIFS($E$5:E1962,E1962,$H$5:H1962,"Falta",$L$5:L1962,Config!$B$7,$M$5:M1962,Config!$B$5)=1),COUNTIFS($E$5:$E$3004,E1962,$H$5:$H$3004,"Falta",$L$5:$L$3004,Config!$B$7,$M$5:$M$3004,Config!$B$5)*1000-ROW()/100000,0)</f>
        <v>0</v>
      </c>
    </row>
    <row r="1963">
      <c r="A1963" s="39" t="n"/>
      <c r="B1963" s="40" t="n"/>
      <c r="C1963" s="35" t="n"/>
      <c r="D1963" s="35" t="n"/>
      <c r="E1963" s="34" t="n"/>
      <c r="F1963" s="35" t="n"/>
      <c r="G1963" s="35" t="n"/>
      <c r="H1963" s="35" t="n"/>
      <c r="I1963" s="35" t="n"/>
      <c r="J1963" s="35" t="n"/>
      <c r="K1963" s="34" t="n"/>
      <c r="L1963" s="26">
        <f>IF(A1963="","",MONTH(A1963))</f>
        <v/>
      </c>
      <c r="M1963" s="26">
        <f>IF(A1963="","",YEAR(A1963))</f>
        <v/>
      </c>
      <c r="N1963" s="26">
        <f>IF(A1963="","",CHOOSE(WEEKDAY(A1963,2),"Segunda","Terça","Quarta","Quinta","Sexta","Sábado","Domingo"))</f>
        <v/>
      </c>
      <c r="O1963" s="26">
        <f>IF(B1963="","",IF(B1963&lt;TIME(12,0,0),"Manhã",IF(B1963&lt;TIME(18,0,0),"Tarde","Noite")))</f>
        <v/>
      </c>
      <c r="P1963" s="32">
        <f>IF(G1963="","",IFERROR(INDEX(Config!$I$5:$I$16,MATCH(G1963,Config!$H$5:$H$16,0)),0))</f>
        <v/>
      </c>
      <c r="Q1963" s="30">
        <f>IF(OR(H1963&lt;&gt;"Realizado",P1963="",P1963=0),"",A1963+P1963)</f>
        <v/>
      </c>
      <c r="R1963" s="26">
        <f>IF(Q1963="","",IF(COUNTIFS($E$5:$E$3004,E1963,$A$5:$A$3004,"&gt;"&amp;A1963,$H$5:$H$3004,"&lt;&gt;Falta",$H$5:$H$3004,"&lt;&gt;Cancelado",$H$5:$H$3004,"&lt;&gt;Remarcado")&gt;0,"Sim","Não"))</f>
        <v/>
      </c>
      <c r="S1963" s="32">
        <f>IF(R1963&lt;&gt;"Não","",IF(Q1963+Config!$B$9&lt;=Config!$B$8,Config!$B$8-Q1963,""))</f>
        <v/>
      </c>
      <c r="T1963" s="26">
        <f>IF(S1963="","","Sim")</f>
        <v/>
      </c>
      <c r="U1963" s="41">
        <f>IF(T1963="Sim",S1963+ROW()/100000,0)</f>
        <v>0</v>
      </c>
      <c r="V1963" s="41">
        <f>IF(AND(H1963="Falta",L1963=Config!$B$7,M1963=Config!$B$5,COUNTIFS($E$5:E1963,E1963,$H$5:H1963,"Falta",$L$5:L1963,Config!$B$7,$M$5:M1963,Config!$B$5)=1),COUNTIFS($E$5:$E$3004,E1963,$H$5:$H$3004,"Falta",$L$5:$L$3004,Config!$B$7,$M$5:$M$3004,Config!$B$5)*1000-ROW()/100000,0)</f>
        <v>0</v>
      </c>
    </row>
    <row r="1964">
      <c r="A1964" s="39" t="n"/>
      <c r="B1964" s="40" t="n"/>
      <c r="C1964" s="35" t="n"/>
      <c r="D1964" s="35" t="n"/>
      <c r="E1964" s="34" t="n"/>
      <c r="F1964" s="35" t="n"/>
      <c r="G1964" s="35" t="n"/>
      <c r="H1964" s="35" t="n"/>
      <c r="I1964" s="35" t="n"/>
      <c r="J1964" s="35" t="n"/>
      <c r="K1964" s="34" t="n"/>
      <c r="L1964" s="26">
        <f>IF(A1964="","",MONTH(A1964))</f>
        <v/>
      </c>
      <c r="M1964" s="26">
        <f>IF(A1964="","",YEAR(A1964))</f>
        <v/>
      </c>
      <c r="N1964" s="26">
        <f>IF(A1964="","",CHOOSE(WEEKDAY(A1964,2),"Segunda","Terça","Quarta","Quinta","Sexta","Sábado","Domingo"))</f>
        <v/>
      </c>
      <c r="O1964" s="26">
        <f>IF(B1964="","",IF(B1964&lt;TIME(12,0,0),"Manhã",IF(B1964&lt;TIME(18,0,0),"Tarde","Noite")))</f>
        <v/>
      </c>
      <c r="P1964" s="32">
        <f>IF(G1964="","",IFERROR(INDEX(Config!$I$5:$I$16,MATCH(G1964,Config!$H$5:$H$16,0)),0))</f>
        <v/>
      </c>
      <c r="Q1964" s="30">
        <f>IF(OR(H1964&lt;&gt;"Realizado",P1964="",P1964=0),"",A1964+P1964)</f>
        <v/>
      </c>
      <c r="R1964" s="26">
        <f>IF(Q1964="","",IF(COUNTIFS($E$5:$E$3004,E1964,$A$5:$A$3004,"&gt;"&amp;A1964,$H$5:$H$3004,"&lt;&gt;Falta",$H$5:$H$3004,"&lt;&gt;Cancelado",$H$5:$H$3004,"&lt;&gt;Remarcado")&gt;0,"Sim","Não"))</f>
        <v/>
      </c>
      <c r="S1964" s="32">
        <f>IF(R1964&lt;&gt;"Não","",IF(Q1964+Config!$B$9&lt;=Config!$B$8,Config!$B$8-Q1964,""))</f>
        <v/>
      </c>
      <c r="T1964" s="26">
        <f>IF(S1964="","","Sim")</f>
        <v/>
      </c>
      <c r="U1964" s="41">
        <f>IF(T1964="Sim",S1964+ROW()/100000,0)</f>
        <v>0</v>
      </c>
      <c r="V1964" s="41">
        <f>IF(AND(H1964="Falta",L1964=Config!$B$7,M1964=Config!$B$5,COUNTIFS($E$5:E1964,E1964,$H$5:H1964,"Falta",$L$5:L1964,Config!$B$7,$M$5:M1964,Config!$B$5)=1),COUNTIFS($E$5:$E$3004,E1964,$H$5:$H$3004,"Falta",$L$5:$L$3004,Config!$B$7,$M$5:$M$3004,Config!$B$5)*1000-ROW()/100000,0)</f>
        <v>0</v>
      </c>
    </row>
    <row r="1965">
      <c r="A1965" s="39" t="n"/>
      <c r="B1965" s="40" t="n"/>
      <c r="C1965" s="35" t="n"/>
      <c r="D1965" s="35" t="n"/>
      <c r="E1965" s="34" t="n"/>
      <c r="F1965" s="35" t="n"/>
      <c r="G1965" s="35" t="n"/>
      <c r="H1965" s="35" t="n"/>
      <c r="I1965" s="35" t="n"/>
      <c r="J1965" s="35" t="n"/>
      <c r="K1965" s="34" t="n"/>
      <c r="L1965" s="26">
        <f>IF(A1965="","",MONTH(A1965))</f>
        <v/>
      </c>
      <c r="M1965" s="26">
        <f>IF(A1965="","",YEAR(A1965))</f>
        <v/>
      </c>
      <c r="N1965" s="26">
        <f>IF(A1965="","",CHOOSE(WEEKDAY(A1965,2),"Segunda","Terça","Quarta","Quinta","Sexta","Sábado","Domingo"))</f>
        <v/>
      </c>
      <c r="O1965" s="26">
        <f>IF(B1965="","",IF(B1965&lt;TIME(12,0,0),"Manhã",IF(B1965&lt;TIME(18,0,0),"Tarde","Noite")))</f>
        <v/>
      </c>
      <c r="P1965" s="32">
        <f>IF(G1965="","",IFERROR(INDEX(Config!$I$5:$I$16,MATCH(G1965,Config!$H$5:$H$16,0)),0))</f>
        <v/>
      </c>
      <c r="Q1965" s="30">
        <f>IF(OR(H1965&lt;&gt;"Realizado",P1965="",P1965=0),"",A1965+P1965)</f>
        <v/>
      </c>
      <c r="R1965" s="26">
        <f>IF(Q1965="","",IF(COUNTIFS($E$5:$E$3004,E1965,$A$5:$A$3004,"&gt;"&amp;A1965,$H$5:$H$3004,"&lt;&gt;Falta",$H$5:$H$3004,"&lt;&gt;Cancelado",$H$5:$H$3004,"&lt;&gt;Remarcado")&gt;0,"Sim","Não"))</f>
        <v/>
      </c>
      <c r="S1965" s="32">
        <f>IF(R1965&lt;&gt;"Não","",IF(Q1965+Config!$B$9&lt;=Config!$B$8,Config!$B$8-Q1965,""))</f>
        <v/>
      </c>
      <c r="T1965" s="26">
        <f>IF(S1965="","","Sim")</f>
        <v/>
      </c>
      <c r="U1965" s="41">
        <f>IF(T1965="Sim",S1965+ROW()/100000,0)</f>
        <v>0</v>
      </c>
      <c r="V1965" s="41">
        <f>IF(AND(H1965="Falta",L1965=Config!$B$7,M1965=Config!$B$5,COUNTIFS($E$5:E1965,E1965,$H$5:H1965,"Falta",$L$5:L1965,Config!$B$7,$M$5:M1965,Config!$B$5)=1),COUNTIFS($E$5:$E$3004,E1965,$H$5:$H$3004,"Falta",$L$5:$L$3004,Config!$B$7,$M$5:$M$3004,Config!$B$5)*1000-ROW()/100000,0)</f>
        <v>0</v>
      </c>
    </row>
    <row r="1966">
      <c r="A1966" s="39" t="n"/>
      <c r="B1966" s="40" t="n"/>
      <c r="C1966" s="35" t="n"/>
      <c r="D1966" s="35" t="n"/>
      <c r="E1966" s="34" t="n"/>
      <c r="F1966" s="35" t="n"/>
      <c r="G1966" s="35" t="n"/>
      <c r="H1966" s="35" t="n"/>
      <c r="I1966" s="35" t="n"/>
      <c r="J1966" s="35" t="n"/>
      <c r="K1966" s="34" t="n"/>
      <c r="L1966" s="26">
        <f>IF(A1966="","",MONTH(A1966))</f>
        <v/>
      </c>
      <c r="M1966" s="26">
        <f>IF(A1966="","",YEAR(A1966))</f>
        <v/>
      </c>
      <c r="N1966" s="26">
        <f>IF(A1966="","",CHOOSE(WEEKDAY(A1966,2),"Segunda","Terça","Quarta","Quinta","Sexta","Sábado","Domingo"))</f>
        <v/>
      </c>
      <c r="O1966" s="26">
        <f>IF(B1966="","",IF(B1966&lt;TIME(12,0,0),"Manhã",IF(B1966&lt;TIME(18,0,0),"Tarde","Noite")))</f>
        <v/>
      </c>
      <c r="P1966" s="32">
        <f>IF(G1966="","",IFERROR(INDEX(Config!$I$5:$I$16,MATCH(G1966,Config!$H$5:$H$16,0)),0))</f>
        <v/>
      </c>
      <c r="Q1966" s="30">
        <f>IF(OR(H1966&lt;&gt;"Realizado",P1966="",P1966=0),"",A1966+P1966)</f>
        <v/>
      </c>
      <c r="R1966" s="26">
        <f>IF(Q1966="","",IF(COUNTIFS($E$5:$E$3004,E1966,$A$5:$A$3004,"&gt;"&amp;A1966,$H$5:$H$3004,"&lt;&gt;Falta",$H$5:$H$3004,"&lt;&gt;Cancelado",$H$5:$H$3004,"&lt;&gt;Remarcado")&gt;0,"Sim","Não"))</f>
        <v/>
      </c>
      <c r="S1966" s="32">
        <f>IF(R1966&lt;&gt;"Não","",IF(Q1966+Config!$B$9&lt;=Config!$B$8,Config!$B$8-Q1966,""))</f>
        <v/>
      </c>
      <c r="T1966" s="26">
        <f>IF(S1966="","","Sim")</f>
        <v/>
      </c>
      <c r="U1966" s="41">
        <f>IF(T1966="Sim",S1966+ROW()/100000,0)</f>
        <v>0</v>
      </c>
      <c r="V1966" s="41">
        <f>IF(AND(H1966="Falta",L1966=Config!$B$7,M1966=Config!$B$5,COUNTIFS($E$5:E1966,E1966,$H$5:H1966,"Falta",$L$5:L1966,Config!$B$7,$M$5:M1966,Config!$B$5)=1),COUNTIFS($E$5:$E$3004,E1966,$H$5:$H$3004,"Falta",$L$5:$L$3004,Config!$B$7,$M$5:$M$3004,Config!$B$5)*1000-ROW()/100000,0)</f>
        <v>0</v>
      </c>
    </row>
    <row r="1967">
      <c r="A1967" s="39" t="n"/>
      <c r="B1967" s="40" t="n"/>
      <c r="C1967" s="35" t="n"/>
      <c r="D1967" s="35" t="n"/>
      <c r="E1967" s="34" t="n"/>
      <c r="F1967" s="35" t="n"/>
      <c r="G1967" s="35" t="n"/>
      <c r="H1967" s="35" t="n"/>
      <c r="I1967" s="35" t="n"/>
      <c r="J1967" s="35" t="n"/>
      <c r="K1967" s="34" t="n"/>
      <c r="L1967" s="26">
        <f>IF(A1967="","",MONTH(A1967))</f>
        <v/>
      </c>
      <c r="M1967" s="26">
        <f>IF(A1967="","",YEAR(A1967))</f>
        <v/>
      </c>
      <c r="N1967" s="26">
        <f>IF(A1967="","",CHOOSE(WEEKDAY(A1967,2),"Segunda","Terça","Quarta","Quinta","Sexta","Sábado","Domingo"))</f>
        <v/>
      </c>
      <c r="O1967" s="26">
        <f>IF(B1967="","",IF(B1967&lt;TIME(12,0,0),"Manhã",IF(B1967&lt;TIME(18,0,0),"Tarde","Noite")))</f>
        <v/>
      </c>
      <c r="P1967" s="32">
        <f>IF(G1967="","",IFERROR(INDEX(Config!$I$5:$I$16,MATCH(G1967,Config!$H$5:$H$16,0)),0))</f>
        <v/>
      </c>
      <c r="Q1967" s="30">
        <f>IF(OR(H1967&lt;&gt;"Realizado",P1967="",P1967=0),"",A1967+P1967)</f>
        <v/>
      </c>
      <c r="R1967" s="26">
        <f>IF(Q1967="","",IF(COUNTIFS($E$5:$E$3004,E1967,$A$5:$A$3004,"&gt;"&amp;A1967,$H$5:$H$3004,"&lt;&gt;Falta",$H$5:$H$3004,"&lt;&gt;Cancelado",$H$5:$H$3004,"&lt;&gt;Remarcado")&gt;0,"Sim","Não"))</f>
        <v/>
      </c>
      <c r="S1967" s="32">
        <f>IF(R1967&lt;&gt;"Não","",IF(Q1967+Config!$B$9&lt;=Config!$B$8,Config!$B$8-Q1967,""))</f>
        <v/>
      </c>
      <c r="T1967" s="26">
        <f>IF(S1967="","","Sim")</f>
        <v/>
      </c>
      <c r="U1967" s="41">
        <f>IF(T1967="Sim",S1967+ROW()/100000,0)</f>
        <v>0</v>
      </c>
      <c r="V1967" s="41">
        <f>IF(AND(H1967="Falta",L1967=Config!$B$7,M1967=Config!$B$5,COUNTIFS($E$5:E1967,E1967,$H$5:H1967,"Falta",$L$5:L1967,Config!$B$7,$M$5:M1967,Config!$B$5)=1),COUNTIFS($E$5:$E$3004,E1967,$H$5:$H$3004,"Falta",$L$5:$L$3004,Config!$B$7,$M$5:$M$3004,Config!$B$5)*1000-ROW()/100000,0)</f>
        <v>0</v>
      </c>
    </row>
    <row r="1968">
      <c r="A1968" s="39" t="n"/>
      <c r="B1968" s="40" t="n"/>
      <c r="C1968" s="35" t="n"/>
      <c r="D1968" s="35" t="n"/>
      <c r="E1968" s="34" t="n"/>
      <c r="F1968" s="35" t="n"/>
      <c r="G1968" s="35" t="n"/>
      <c r="H1968" s="35" t="n"/>
      <c r="I1968" s="35" t="n"/>
      <c r="J1968" s="35" t="n"/>
      <c r="K1968" s="34" t="n"/>
      <c r="L1968" s="26">
        <f>IF(A1968="","",MONTH(A1968))</f>
        <v/>
      </c>
      <c r="M1968" s="26">
        <f>IF(A1968="","",YEAR(A1968))</f>
        <v/>
      </c>
      <c r="N1968" s="26">
        <f>IF(A1968="","",CHOOSE(WEEKDAY(A1968,2),"Segunda","Terça","Quarta","Quinta","Sexta","Sábado","Domingo"))</f>
        <v/>
      </c>
      <c r="O1968" s="26">
        <f>IF(B1968="","",IF(B1968&lt;TIME(12,0,0),"Manhã",IF(B1968&lt;TIME(18,0,0),"Tarde","Noite")))</f>
        <v/>
      </c>
      <c r="P1968" s="32">
        <f>IF(G1968="","",IFERROR(INDEX(Config!$I$5:$I$16,MATCH(G1968,Config!$H$5:$H$16,0)),0))</f>
        <v/>
      </c>
      <c r="Q1968" s="30">
        <f>IF(OR(H1968&lt;&gt;"Realizado",P1968="",P1968=0),"",A1968+P1968)</f>
        <v/>
      </c>
      <c r="R1968" s="26">
        <f>IF(Q1968="","",IF(COUNTIFS($E$5:$E$3004,E1968,$A$5:$A$3004,"&gt;"&amp;A1968,$H$5:$H$3004,"&lt;&gt;Falta",$H$5:$H$3004,"&lt;&gt;Cancelado",$H$5:$H$3004,"&lt;&gt;Remarcado")&gt;0,"Sim","Não"))</f>
        <v/>
      </c>
      <c r="S1968" s="32">
        <f>IF(R1968&lt;&gt;"Não","",IF(Q1968+Config!$B$9&lt;=Config!$B$8,Config!$B$8-Q1968,""))</f>
        <v/>
      </c>
      <c r="T1968" s="26">
        <f>IF(S1968="","","Sim")</f>
        <v/>
      </c>
      <c r="U1968" s="41">
        <f>IF(T1968="Sim",S1968+ROW()/100000,0)</f>
        <v>0</v>
      </c>
      <c r="V1968" s="41">
        <f>IF(AND(H1968="Falta",L1968=Config!$B$7,M1968=Config!$B$5,COUNTIFS($E$5:E1968,E1968,$H$5:H1968,"Falta",$L$5:L1968,Config!$B$7,$M$5:M1968,Config!$B$5)=1),COUNTIFS($E$5:$E$3004,E1968,$H$5:$H$3004,"Falta",$L$5:$L$3004,Config!$B$7,$M$5:$M$3004,Config!$B$5)*1000-ROW()/100000,0)</f>
        <v>0</v>
      </c>
    </row>
    <row r="1969">
      <c r="A1969" s="39" t="n"/>
      <c r="B1969" s="40" t="n"/>
      <c r="C1969" s="35" t="n"/>
      <c r="D1969" s="35" t="n"/>
      <c r="E1969" s="34" t="n"/>
      <c r="F1969" s="35" t="n"/>
      <c r="G1969" s="35" t="n"/>
      <c r="H1969" s="35" t="n"/>
      <c r="I1969" s="35" t="n"/>
      <c r="J1969" s="35" t="n"/>
      <c r="K1969" s="34" t="n"/>
      <c r="L1969" s="26">
        <f>IF(A1969="","",MONTH(A1969))</f>
        <v/>
      </c>
      <c r="M1969" s="26">
        <f>IF(A1969="","",YEAR(A1969))</f>
        <v/>
      </c>
      <c r="N1969" s="26">
        <f>IF(A1969="","",CHOOSE(WEEKDAY(A1969,2),"Segunda","Terça","Quarta","Quinta","Sexta","Sábado","Domingo"))</f>
        <v/>
      </c>
      <c r="O1969" s="26">
        <f>IF(B1969="","",IF(B1969&lt;TIME(12,0,0),"Manhã",IF(B1969&lt;TIME(18,0,0),"Tarde","Noite")))</f>
        <v/>
      </c>
      <c r="P1969" s="32">
        <f>IF(G1969="","",IFERROR(INDEX(Config!$I$5:$I$16,MATCH(G1969,Config!$H$5:$H$16,0)),0))</f>
        <v/>
      </c>
      <c r="Q1969" s="30">
        <f>IF(OR(H1969&lt;&gt;"Realizado",P1969="",P1969=0),"",A1969+P1969)</f>
        <v/>
      </c>
      <c r="R1969" s="26">
        <f>IF(Q1969="","",IF(COUNTIFS($E$5:$E$3004,E1969,$A$5:$A$3004,"&gt;"&amp;A1969,$H$5:$H$3004,"&lt;&gt;Falta",$H$5:$H$3004,"&lt;&gt;Cancelado",$H$5:$H$3004,"&lt;&gt;Remarcado")&gt;0,"Sim","Não"))</f>
        <v/>
      </c>
      <c r="S1969" s="32">
        <f>IF(R1969&lt;&gt;"Não","",IF(Q1969+Config!$B$9&lt;=Config!$B$8,Config!$B$8-Q1969,""))</f>
        <v/>
      </c>
      <c r="T1969" s="26">
        <f>IF(S1969="","","Sim")</f>
        <v/>
      </c>
      <c r="U1969" s="41">
        <f>IF(T1969="Sim",S1969+ROW()/100000,0)</f>
        <v>0</v>
      </c>
      <c r="V1969" s="41">
        <f>IF(AND(H1969="Falta",L1969=Config!$B$7,M1969=Config!$B$5,COUNTIFS($E$5:E1969,E1969,$H$5:H1969,"Falta",$L$5:L1969,Config!$B$7,$M$5:M1969,Config!$B$5)=1),COUNTIFS($E$5:$E$3004,E1969,$H$5:$H$3004,"Falta",$L$5:$L$3004,Config!$B$7,$M$5:$M$3004,Config!$B$5)*1000-ROW()/100000,0)</f>
        <v>0</v>
      </c>
    </row>
    <row r="1970">
      <c r="A1970" s="39" t="n"/>
      <c r="B1970" s="40" t="n"/>
      <c r="C1970" s="35" t="n"/>
      <c r="D1970" s="35" t="n"/>
      <c r="E1970" s="34" t="n"/>
      <c r="F1970" s="35" t="n"/>
      <c r="G1970" s="35" t="n"/>
      <c r="H1970" s="35" t="n"/>
      <c r="I1970" s="35" t="n"/>
      <c r="J1970" s="35" t="n"/>
      <c r="K1970" s="34" t="n"/>
      <c r="L1970" s="26">
        <f>IF(A1970="","",MONTH(A1970))</f>
        <v/>
      </c>
      <c r="M1970" s="26">
        <f>IF(A1970="","",YEAR(A1970))</f>
        <v/>
      </c>
      <c r="N1970" s="26">
        <f>IF(A1970="","",CHOOSE(WEEKDAY(A1970,2),"Segunda","Terça","Quarta","Quinta","Sexta","Sábado","Domingo"))</f>
        <v/>
      </c>
      <c r="O1970" s="26">
        <f>IF(B1970="","",IF(B1970&lt;TIME(12,0,0),"Manhã",IF(B1970&lt;TIME(18,0,0),"Tarde","Noite")))</f>
        <v/>
      </c>
      <c r="P1970" s="32">
        <f>IF(G1970="","",IFERROR(INDEX(Config!$I$5:$I$16,MATCH(G1970,Config!$H$5:$H$16,0)),0))</f>
        <v/>
      </c>
      <c r="Q1970" s="30">
        <f>IF(OR(H1970&lt;&gt;"Realizado",P1970="",P1970=0),"",A1970+P1970)</f>
        <v/>
      </c>
      <c r="R1970" s="26">
        <f>IF(Q1970="","",IF(COUNTIFS($E$5:$E$3004,E1970,$A$5:$A$3004,"&gt;"&amp;A1970,$H$5:$H$3004,"&lt;&gt;Falta",$H$5:$H$3004,"&lt;&gt;Cancelado",$H$5:$H$3004,"&lt;&gt;Remarcado")&gt;0,"Sim","Não"))</f>
        <v/>
      </c>
      <c r="S1970" s="32">
        <f>IF(R1970&lt;&gt;"Não","",IF(Q1970+Config!$B$9&lt;=Config!$B$8,Config!$B$8-Q1970,""))</f>
        <v/>
      </c>
      <c r="T1970" s="26">
        <f>IF(S1970="","","Sim")</f>
        <v/>
      </c>
      <c r="U1970" s="41">
        <f>IF(T1970="Sim",S1970+ROW()/100000,0)</f>
        <v>0</v>
      </c>
      <c r="V1970" s="41">
        <f>IF(AND(H1970="Falta",L1970=Config!$B$7,M1970=Config!$B$5,COUNTIFS($E$5:E1970,E1970,$H$5:H1970,"Falta",$L$5:L1970,Config!$B$7,$M$5:M1970,Config!$B$5)=1),COUNTIFS($E$5:$E$3004,E1970,$H$5:$H$3004,"Falta",$L$5:$L$3004,Config!$B$7,$M$5:$M$3004,Config!$B$5)*1000-ROW()/100000,0)</f>
        <v>0</v>
      </c>
    </row>
    <row r="1971">
      <c r="A1971" s="39" t="n"/>
      <c r="B1971" s="40" t="n"/>
      <c r="C1971" s="35" t="n"/>
      <c r="D1971" s="35" t="n"/>
      <c r="E1971" s="34" t="n"/>
      <c r="F1971" s="35" t="n"/>
      <c r="G1971" s="35" t="n"/>
      <c r="H1971" s="35" t="n"/>
      <c r="I1971" s="35" t="n"/>
      <c r="J1971" s="35" t="n"/>
      <c r="K1971" s="34" t="n"/>
      <c r="L1971" s="26">
        <f>IF(A1971="","",MONTH(A1971))</f>
        <v/>
      </c>
      <c r="M1971" s="26">
        <f>IF(A1971="","",YEAR(A1971))</f>
        <v/>
      </c>
      <c r="N1971" s="26">
        <f>IF(A1971="","",CHOOSE(WEEKDAY(A1971,2),"Segunda","Terça","Quarta","Quinta","Sexta","Sábado","Domingo"))</f>
        <v/>
      </c>
      <c r="O1971" s="26">
        <f>IF(B1971="","",IF(B1971&lt;TIME(12,0,0),"Manhã",IF(B1971&lt;TIME(18,0,0),"Tarde","Noite")))</f>
        <v/>
      </c>
      <c r="P1971" s="32">
        <f>IF(G1971="","",IFERROR(INDEX(Config!$I$5:$I$16,MATCH(G1971,Config!$H$5:$H$16,0)),0))</f>
        <v/>
      </c>
      <c r="Q1971" s="30">
        <f>IF(OR(H1971&lt;&gt;"Realizado",P1971="",P1971=0),"",A1971+P1971)</f>
        <v/>
      </c>
      <c r="R1971" s="26">
        <f>IF(Q1971="","",IF(COUNTIFS($E$5:$E$3004,E1971,$A$5:$A$3004,"&gt;"&amp;A1971,$H$5:$H$3004,"&lt;&gt;Falta",$H$5:$H$3004,"&lt;&gt;Cancelado",$H$5:$H$3004,"&lt;&gt;Remarcado")&gt;0,"Sim","Não"))</f>
        <v/>
      </c>
      <c r="S1971" s="32">
        <f>IF(R1971&lt;&gt;"Não","",IF(Q1971+Config!$B$9&lt;=Config!$B$8,Config!$B$8-Q1971,""))</f>
        <v/>
      </c>
      <c r="T1971" s="26">
        <f>IF(S1971="","","Sim")</f>
        <v/>
      </c>
      <c r="U1971" s="41">
        <f>IF(T1971="Sim",S1971+ROW()/100000,0)</f>
        <v>0</v>
      </c>
      <c r="V1971" s="41">
        <f>IF(AND(H1971="Falta",L1971=Config!$B$7,M1971=Config!$B$5,COUNTIFS($E$5:E1971,E1971,$H$5:H1971,"Falta",$L$5:L1971,Config!$B$7,$M$5:M1971,Config!$B$5)=1),COUNTIFS($E$5:$E$3004,E1971,$H$5:$H$3004,"Falta",$L$5:$L$3004,Config!$B$7,$M$5:$M$3004,Config!$B$5)*1000-ROW()/100000,0)</f>
        <v>0</v>
      </c>
    </row>
    <row r="1972">
      <c r="A1972" s="39" t="n"/>
      <c r="B1972" s="40" t="n"/>
      <c r="C1972" s="35" t="n"/>
      <c r="D1972" s="35" t="n"/>
      <c r="E1972" s="34" t="n"/>
      <c r="F1972" s="35" t="n"/>
      <c r="G1972" s="35" t="n"/>
      <c r="H1972" s="35" t="n"/>
      <c r="I1972" s="35" t="n"/>
      <c r="J1972" s="35" t="n"/>
      <c r="K1972" s="34" t="n"/>
      <c r="L1972" s="26">
        <f>IF(A1972="","",MONTH(A1972))</f>
        <v/>
      </c>
      <c r="M1972" s="26">
        <f>IF(A1972="","",YEAR(A1972))</f>
        <v/>
      </c>
      <c r="N1972" s="26">
        <f>IF(A1972="","",CHOOSE(WEEKDAY(A1972,2),"Segunda","Terça","Quarta","Quinta","Sexta","Sábado","Domingo"))</f>
        <v/>
      </c>
      <c r="O1972" s="26">
        <f>IF(B1972="","",IF(B1972&lt;TIME(12,0,0),"Manhã",IF(B1972&lt;TIME(18,0,0),"Tarde","Noite")))</f>
        <v/>
      </c>
      <c r="P1972" s="32">
        <f>IF(G1972="","",IFERROR(INDEX(Config!$I$5:$I$16,MATCH(G1972,Config!$H$5:$H$16,0)),0))</f>
        <v/>
      </c>
      <c r="Q1972" s="30">
        <f>IF(OR(H1972&lt;&gt;"Realizado",P1972="",P1972=0),"",A1972+P1972)</f>
        <v/>
      </c>
      <c r="R1972" s="26">
        <f>IF(Q1972="","",IF(COUNTIFS($E$5:$E$3004,E1972,$A$5:$A$3004,"&gt;"&amp;A1972,$H$5:$H$3004,"&lt;&gt;Falta",$H$5:$H$3004,"&lt;&gt;Cancelado",$H$5:$H$3004,"&lt;&gt;Remarcado")&gt;0,"Sim","Não"))</f>
        <v/>
      </c>
      <c r="S1972" s="32">
        <f>IF(R1972&lt;&gt;"Não","",IF(Q1972+Config!$B$9&lt;=Config!$B$8,Config!$B$8-Q1972,""))</f>
        <v/>
      </c>
      <c r="T1972" s="26">
        <f>IF(S1972="","","Sim")</f>
        <v/>
      </c>
      <c r="U1972" s="41">
        <f>IF(T1972="Sim",S1972+ROW()/100000,0)</f>
        <v>0</v>
      </c>
      <c r="V1972" s="41">
        <f>IF(AND(H1972="Falta",L1972=Config!$B$7,M1972=Config!$B$5,COUNTIFS($E$5:E1972,E1972,$H$5:H1972,"Falta",$L$5:L1972,Config!$B$7,$M$5:M1972,Config!$B$5)=1),COUNTIFS($E$5:$E$3004,E1972,$H$5:$H$3004,"Falta",$L$5:$L$3004,Config!$B$7,$M$5:$M$3004,Config!$B$5)*1000-ROW()/100000,0)</f>
        <v>0</v>
      </c>
    </row>
    <row r="1973">
      <c r="A1973" s="39" t="n"/>
      <c r="B1973" s="40" t="n"/>
      <c r="C1973" s="35" t="n"/>
      <c r="D1973" s="35" t="n"/>
      <c r="E1973" s="34" t="n"/>
      <c r="F1973" s="35" t="n"/>
      <c r="G1973" s="35" t="n"/>
      <c r="H1973" s="35" t="n"/>
      <c r="I1973" s="35" t="n"/>
      <c r="J1973" s="35" t="n"/>
      <c r="K1973" s="34" t="n"/>
      <c r="L1973" s="26">
        <f>IF(A1973="","",MONTH(A1973))</f>
        <v/>
      </c>
      <c r="M1973" s="26">
        <f>IF(A1973="","",YEAR(A1973))</f>
        <v/>
      </c>
      <c r="N1973" s="26">
        <f>IF(A1973="","",CHOOSE(WEEKDAY(A1973,2),"Segunda","Terça","Quarta","Quinta","Sexta","Sábado","Domingo"))</f>
        <v/>
      </c>
      <c r="O1973" s="26">
        <f>IF(B1973="","",IF(B1973&lt;TIME(12,0,0),"Manhã",IF(B1973&lt;TIME(18,0,0),"Tarde","Noite")))</f>
        <v/>
      </c>
      <c r="P1973" s="32">
        <f>IF(G1973="","",IFERROR(INDEX(Config!$I$5:$I$16,MATCH(G1973,Config!$H$5:$H$16,0)),0))</f>
        <v/>
      </c>
      <c r="Q1973" s="30">
        <f>IF(OR(H1973&lt;&gt;"Realizado",P1973="",P1973=0),"",A1973+P1973)</f>
        <v/>
      </c>
      <c r="R1973" s="26">
        <f>IF(Q1973="","",IF(COUNTIFS($E$5:$E$3004,E1973,$A$5:$A$3004,"&gt;"&amp;A1973,$H$5:$H$3004,"&lt;&gt;Falta",$H$5:$H$3004,"&lt;&gt;Cancelado",$H$5:$H$3004,"&lt;&gt;Remarcado")&gt;0,"Sim","Não"))</f>
        <v/>
      </c>
      <c r="S1973" s="32">
        <f>IF(R1973&lt;&gt;"Não","",IF(Q1973+Config!$B$9&lt;=Config!$B$8,Config!$B$8-Q1973,""))</f>
        <v/>
      </c>
      <c r="T1973" s="26">
        <f>IF(S1973="","","Sim")</f>
        <v/>
      </c>
      <c r="U1973" s="41">
        <f>IF(T1973="Sim",S1973+ROW()/100000,0)</f>
        <v>0</v>
      </c>
      <c r="V1973" s="41">
        <f>IF(AND(H1973="Falta",L1973=Config!$B$7,M1973=Config!$B$5,COUNTIFS($E$5:E1973,E1973,$H$5:H1973,"Falta",$L$5:L1973,Config!$B$7,$M$5:M1973,Config!$B$5)=1),COUNTIFS($E$5:$E$3004,E1973,$H$5:$H$3004,"Falta",$L$5:$L$3004,Config!$B$7,$M$5:$M$3004,Config!$B$5)*1000-ROW()/100000,0)</f>
        <v>0</v>
      </c>
    </row>
    <row r="1974">
      <c r="A1974" s="39" t="n"/>
      <c r="B1974" s="40" t="n"/>
      <c r="C1974" s="35" t="n"/>
      <c r="D1974" s="35" t="n"/>
      <c r="E1974" s="34" t="n"/>
      <c r="F1974" s="35" t="n"/>
      <c r="G1974" s="35" t="n"/>
      <c r="H1974" s="35" t="n"/>
      <c r="I1974" s="35" t="n"/>
      <c r="J1974" s="35" t="n"/>
      <c r="K1974" s="34" t="n"/>
      <c r="L1974" s="26">
        <f>IF(A1974="","",MONTH(A1974))</f>
        <v/>
      </c>
      <c r="M1974" s="26">
        <f>IF(A1974="","",YEAR(A1974))</f>
        <v/>
      </c>
      <c r="N1974" s="26">
        <f>IF(A1974="","",CHOOSE(WEEKDAY(A1974,2),"Segunda","Terça","Quarta","Quinta","Sexta","Sábado","Domingo"))</f>
        <v/>
      </c>
      <c r="O1974" s="26">
        <f>IF(B1974="","",IF(B1974&lt;TIME(12,0,0),"Manhã",IF(B1974&lt;TIME(18,0,0),"Tarde","Noite")))</f>
        <v/>
      </c>
      <c r="P1974" s="32">
        <f>IF(G1974="","",IFERROR(INDEX(Config!$I$5:$I$16,MATCH(G1974,Config!$H$5:$H$16,0)),0))</f>
        <v/>
      </c>
      <c r="Q1974" s="30">
        <f>IF(OR(H1974&lt;&gt;"Realizado",P1974="",P1974=0),"",A1974+P1974)</f>
        <v/>
      </c>
      <c r="R1974" s="26">
        <f>IF(Q1974="","",IF(COUNTIFS($E$5:$E$3004,E1974,$A$5:$A$3004,"&gt;"&amp;A1974,$H$5:$H$3004,"&lt;&gt;Falta",$H$5:$H$3004,"&lt;&gt;Cancelado",$H$5:$H$3004,"&lt;&gt;Remarcado")&gt;0,"Sim","Não"))</f>
        <v/>
      </c>
      <c r="S1974" s="32">
        <f>IF(R1974&lt;&gt;"Não","",IF(Q1974+Config!$B$9&lt;=Config!$B$8,Config!$B$8-Q1974,""))</f>
        <v/>
      </c>
      <c r="T1974" s="26">
        <f>IF(S1974="","","Sim")</f>
        <v/>
      </c>
      <c r="U1974" s="41">
        <f>IF(T1974="Sim",S1974+ROW()/100000,0)</f>
        <v>0</v>
      </c>
      <c r="V1974" s="41">
        <f>IF(AND(H1974="Falta",L1974=Config!$B$7,M1974=Config!$B$5,COUNTIFS($E$5:E1974,E1974,$H$5:H1974,"Falta",$L$5:L1974,Config!$B$7,$M$5:M1974,Config!$B$5)=1),COUNTIFS($E$5:$E$3004,E1974,$H$5:$H$3004,"Falta",$L$5:$L$3004,Config!$B$7,$M$5:$M$3004,Config!$B$5)*1000-ROW()/100000,0)</f>
        <v>0</v>
      </c>
    </row>
    <row r="1975">
      <c r="A1975" s="39" t="n"/>
      <c r="B1975" s="40" t="n"/>
      <c r="C1975" s="35" t="n"/>
      <c r="D1975" s="35" t="n"/>
      <c r="E1975" s="34" t="n"/>
      <c r="F1975" s="35" t="n"/>
      <c r="G1975" s="35" t="n"/>
      <c r="H1975" s="35" t="n"/>
      <c r="I1975" s="35" t="n"/>
      <c r="J1975" s="35" t="n"/>
      <c r="K1975" s="34" t="n"/>
      <c r="L1975" s="26">
        <f>IF(A1975="","",MONTH(A1975))</f>
        <v/>
      </c>
      <c r="M1975" s="26">
        <f>IF(A1975="","",YEAR(A1975))</f>
        <v/>
      </c>
      <c r="N1975" s="26">
        <f>IF(A1975="","",CHOOSE(WEEKDAY(A1975,2),"Segunda","Terça","Quarta","Quinta","Sexta","Sábado","Domingo"))</f>
        <v/>
      </c>
      <c r="O1975" s="26">
        <f>IF(B1975="","",IF(B1975&lt;TIME(12,0,0),"Manhã",IF(B1975&lt;TIME(18,0,0),"Tarde","Noite")))</f>
        <v/>
      </c>
      <c r="P1975" s="32">
        <f>IF(G1975="","",IFERROR(INDEX(Config!$I$5:$I$16,MATCH(G1975,Config!$H$5:$H$16,0)),0))</f>
        <v/>
      </c>
      <c r="Q1975" s="30">
        <f>IF(OR(H1975&lt;&gt;"Realizado",P1975="",P1975=0),"",A1975+P1975)</f>
        <v/>
      </c>
      <c r="R1975" s="26">
        <f>IF(Q1975="","",IF(COUNTIFS($E$5:$E$3004,E1975,$A$5:$A$3004,"&gt;"&amp;A1975,$H$5:$H$3004,"&lt;&gt;Falta",$H$5:$H$3004,"&lt;&gt;Cancelado",$H$5:$H$3004,"&lt;&gt;Remarcado")&gt;0,"Sim","Não"))</f>
        <v/>
      </c>
      <c r="S1975" s="32">
        <f>IF(R1975&lt;&gt;"Não","",IF(Q1975+Config!$B$9&lt;=Config!$B$8,Config!$B$8-Q1975,""))</f>
        <v/>
      </c>
      <c r="T1975" s="26">
        <f>IF(S1975="","","Sim")</f>
        <v/>
      </c>
      <c r="U1975" s="41">
        <f>IF(T1975="Sim",S1975+ROW()/100000,0)</f>
        <v>0</v>
      </c>
      <c r="V1975" s="41">
        <f>IF(AND(H1975="Falta",L1975=Config!$B$7,M1975=Config!$B$5,COUNTIFS($E$5:E1975,E1975,$H$5:H1975,"Falta",$L$5:L1975,Config!$B$7,$M$5:M1975,Config!$B$5)=1),COUNTIFS($E$5:$E$3004,E1975,$H$5:$H$3004,"Falta",$L$5:$L$3004,Config!$B$7,$M$5:$M$3004,Config!$B$5)*1000-ROW()/100000,0)</f>
        <v>0</v>
      </c>
    </row>
    <row r="1976">
      <c r="A1976" s="39" t="n"/>
      <c r="B1976" s="40" t="n"/>
      <c r="C1976" s="35" t="n"/>
      <c r="D1976" s="35" t="n"/>
      <c r="E1976" s="34" t="n"/>
      <c r="F1976" s="35" t="n"/>
      <c r="G1976" s="35" t="n"/>
      <c r="H1976" s="35" t="n"/>
      <c r="I1976" s="35" t="n"/>
      <c r="J1976" s="35" t="n"/>
      <c r="K1976" s="34" t="n"/>
      <c r="L1976" s="26">
        <f>IF(A1976="","",MONTH(A1976))</f>
        <v/>
      </c>
      <c r="M1976" s="26">
        <f>IF(A1976="","",YEAR(A1976))</f>
        <v/>
      </c>
      <c r="N1976" s="26">
        <f>IF(A1976="","",CHOOSE(WEEKDAY(A1976,2),"Segunda","Terça","Quarta","Quinta","Sexta","Sábado","Domingo"))</f>
        <v/>
      </c>
      <c r="O1976" s="26">
        <f>IF(B1976="","",IF(B1976&lt;TIME(12,0,0),"Manhã",IF(B1976&lt;TIME(18,0,0),"Tarde","Noite")))</f>
        <v/>
      </c>
      <c r="P1976" s="32">
        <f>IF(G1976="","",IFERROR(INDEX(Config!$I$5:$I$16,MATCH(G1976,Config!$H$5:$H$16,0)),0))</f>
        <v/>
      </c>
      <c r="Q1976" s="30">
        <f>IF(OR(H1976&lt;&gt;"Realizado",P1976="",P1976=0),"",A1976+P1976)</f>
        <v/>
      </c>
      <c r="R1976" s="26">
        <f>IF(Q1976="","",IF(COUNTIFS($E$5:$E$3004,E1976,$A$5:$A$3004,"&gt;"&amp;A1976,$H$5:$H$3004,"&lt;&gt;Falta",$H$5:$H$3004,"&lt;&gt;Cancelado",$H$5:$H$3004,"&lt;&gt;Remarcado")&gt;0,"Sim","Não"))</f>
        <v/>
      </c>
      <c r="S1976" s="32">
        <f>IF(R1976&lt;&gt;"Não","",IF(Q1976+Config!$B$9&lt;=Config!$B$8,Config!$B$8-Q1976,""))</f>
        <v/>
      </c>
      <c r="T1976" s="26">
        <f>IF(S1976="","","Sim")</f>
        <v/>
      </c>
      <c r="U1976" s="41">
        <f>IF(T1976="Sim",S1976+ROW()/100000,0)</f>
        <v>0</v>
      </c>
      <c r="V1976" s="41">
        <f>IF(AND(H1976="Falta",L1976=Config!$B$7,M1976=Config!$B$5,COUNTIFS($E$5:E1976,E1976,$H$5:H1976,"Falta",$L$5:L1976,Config!$B$7,$M$5:M1976,Config!$B$5)=1),COUNTIFS($E$5:$E$3004,E1976,$H$5:$H$3004,"Falta",$L$5:$L$3004,Config!$B$7,$M$5:$M$3004,Config!$B$5)*1000-ROW()/100000,0)</f>
        <v>0</v>
      </c>
    </row>
    <row r="1977">
      <c r="A1977" s="39" t="n"/>
      <c r="B1977" s="40" t="n"/>
      <c r="C1977" s="35" t="n"/>
      <c r="D1977" s="35" t="n"/>
      <c r="E1977" s="34" t="n"/>
      <c r="F1977" s="35" t="n"/>
      <c r="G1977" s="35" t="n"/>
      <c r="H1977" s="35" t="n"/>
      <c r="I1977" s="35" t="n"/>
      <c r="J1977" s="35" t="n"/>
      <c r="K1977" s="34" t="n"/>
      <c r="L1977" s="26">
        <f>IF(A1977="","",MONTH(A1977))</f>
        <v/>
      </c>
      <c r="M1977" s="26">
        <f>IF(A1977="","",YEAR(A1977))</f>
        <v/>
      </c>
      <c r="N1977" s="26">
        <f>IF(A1977="","",CHOOSE(WEEKDAY(A1977,2),"Segunda","Terça","Quarta","Quinta","Sexta","Sábado","Domingo"))</f>
        <v/>
      </c>
      <c r="O1977" s="26">
        <f>IF(B1977="","",IF(B1977&lt;TIME(12,0,0),"Manhã",IF(B1977&lt;TIME(18,0,0),"Tarde","Noite")))</f>
        <v/>
      </c>
      <c r="P1977" s="32">
        <f>IF(G1977="","",IFERROR(INDEX(Config!$I$5:$I$16,MATCH(G1977,Config!$H$5:$H$16,0)),0))</f>
        <v/>
      </c>
      <c r="Q1977" s="30">
        <f>IF(OR(H1977&lt;&gt;"Realizado",P1977="",P1977=0),"",A1977+P1977)</f>
        <v/>
      </c>
      <c r="R1977" s="26">
        <f>IF(Q1977="","",IF(COUNTIFS($E$5:$E$3004,E1977,$A$5:$A$3004,"&gt;"&amp;A1977,$H$5:$H$3004,"&lt;&gt;Falta",$H$5:$H$3004,"&lt;&gt;Cancelado",$H$5:$H$3004,"&lt;&gt;Remarcado")&gt;0,"Sim","Não"))</f>
        <v/>
      </c>
      <c r="S1977" s="32">
        <f>IF(R1977&lt;&gt;"Não","",IF(Q1977+Config!$B$9&lt;=Config!$B$8,Config!$B$8-Q1977,""))</f>
        <v/>
      </c>
      <c r="T1977" s="26">
        <f>IF(S1977="","","Sim")</f>
        <v/>
      </c>
      <c r="U1977" s="41">
        <f>IF(T1977="Sim",S1977+ROW()/100000,0)</f>
        <v>0</v>
      </c>
      <c r="V1977" s="41">
        <f>IF(AND(H1977="Falta",L1977=Config!$B$7,M1977=Config!$B$5,COUNTIFS($E$5:E1977,E1977,$H$5:H1977,"Falta",$L$5:L1977,Config!$B$7,$M$5:M1977,Config!$B$5)=1),COUNTIFS($E$5:$E$3004,E1977,$H$5:$H$3004,"Falta",$L$5:$L$3004,Config!$B$7,$M$5:$M$3004,Config!$B$5)*1000-ROW()/100000,0)</f>
        <v>0</v>
      </c>
    </row>
    <row r="1978">
      <c r="A1978" s="39" t="n"/>
      <c r="B1978" s="40" t="n"/>
      <c r="C1978" s="35" t="n"/>
      <c r="D1978" s="35" t="n"/>
      <c r="E1978" s="34" t="n"/>
      <c r="F1978" s="35" t="n"/>
      <c r="G1978" s="35" t="n"/>
      <c r="H1978" s="35" t="n"/>
      <c r="I1978" s="35" t="n"/>
      <c r="J1978" s="35" t="n"/>
      <c r="K1978" s="34" t="n"/>
      <c r="L1978" s="26">
        <f>IF(A1978="","",MONTH(A1978))</f>
        <v/>
      </c>
      <c r="M1978" s="26">
        <f>IF(A1978="","",YEAR(A1978))</f>
        <v/>
      </c>
      <c r="N1978" s="26">
        <f>IF(A1978="","",CHOOSE(WEEKDAY(A1978,2),"Segunda","Terça","Quarta","Quinta","Sexta","Sábado","Domingo"))</f>
        <v/>
      </c>
      <c r="O1978" s="26">
        <f>IF(B1978="","",IF(B1978&lt;TIME(12,0,0),"Manhã",IF(B1978&lt;TIME(18,0,0),"Tarde","Noite")))</f>
        <v/>
      </c>
      <c r="P1978" s="32">
        <f>IF(G1978="","",IFERROR(INDEX(Config!$I$5:$I$16,MATCH(G1978,Config!$H$5:$H$16,0)),0))</f>
        <v/>
      </c>
      <c r="Q1978" s="30">
        <f>IF(OR(H1978&lt;&gt;"Realizado",P1978="",P1978=0),"",A1978+P1978)</f>
        <v/>
      </c>
      <c r="R1978" s="26">
        <f>IF(Q1978="","",IF(COUNTIFS($E$5:$E$3004,E1978,$A$5:$A$3004,"&gt;"&amp;A1978,$H$5:$H$3004,"&lt;&gt;Falta",$H$5:$H$3004,"&lt;&gt;Cancelado",$H$5:$H$3004,"&lt;&gt;Remarcado")&gt;0,"Sim","Não"))</f>
        <v/>
      </c>
      <c r="S1978" s="32">
        <f>IF(R1978&lt;&gt;"Não","",IF(Q1978+Config!$B$9&lt;=Config!$B$8,Config!$B$8-Q1978,""))</f>
        <v/>
      </c>
      <c r="T1978" s="26">
        <f>IF(S1978="","","Sim")</f>
        <v/>
      </c>
      <c r="U1978" s="41">
        <f>IF(T1978="Sim",S1978+ROW()/100000,0)</f>
        <v>0</v>
      </c>
      <c r="V1978" s="41">
        <f>IF(AND(H1978="Falta",L1978=Config!$B$7,M1978=Config!$B$5,COUNTIFS($E$5:E1978,E1978,$H$5:H1978,"Falta",$L$5:L1978,Config!$B$7,$M$5:M1978,Config!$B$5)=1),COUNTIFS($E$5:$E$3004,E1978,$H$5:$H$3004,"Falta",$L$5:$L$3004,Config!$B$7,$M$5:$M$3004,Config!$B$5)*1000-ROW()/100000,0)</f>
        <v>0</v>
      </c>
    </row>
    <row r="1979">
      <c r="A1979" s="39" t="n"/>
      <c r="B1979" s="40" t="n"/>
      <c r="C1979" s="35" t="n"/>
      <c r="D1979" s="35" t="n"/>
      <c r="E1979" s="34" t="n"/>
      <c r="F1979" s="35" t="n"/>
      <c r="G1979" s="35" t="n"/>
      <c r="H1979" s="35" t="n"/>
      <c r="I1979" s="35" t="n"/>
      <c r="J1979" s="35" t="n"/>
      <c r="K1979" s="34" t="n"/>
      <c r="L1979" s="26">
        <f>IF(A1979="","",MONTH(A1979))</f>
        <v/>
      </c>
      <c r="M1979" s="26">
        <f>IF(A1979="","",YEAR(A1979))</f>
        <v/>
      </c>
      <c r="N1979" s="26">
        <f>IF(A1979="","",CHOOSE(WEEKDAY(A1979,2),"Segunda","Terça","Quarta","Quinta","Sexta","Sábado","Domingo"))</f>
        <v/>
      </c>
      <c r="O1979" s="26">
        <f>IF(B1979="","",IF(B1979&lt;TIME(12,0,0),"Manhã",IF(B1979&lt;TIME(18,0,0),"Tarde","Noite")))</f>
        <v/>
      </c>
      <c r="P1979" s="32">
        <f>IF(G1979="","",IFERROR(INDEX(Config!$I$5:$I$16,MATCH(G1979,Config!$H$5:$H$16,0)),0))</f>
        <v/>
      </c>
      <c r="Q1979" s="30">
        <f>IF(OR(H1979&lt;&gt;"Realizado",P1979="",P1979=0),"",A1979+P1979)</f>
        <v/>
      </c>
      <c r="R1979" s="26">
        <f>IF(Q1979="","",IF(COUNTIFS($E$5:$E$3004,E1979,$A$5:$A$3004,"&gt;"&amp;A1979,$H$5:$H$3004,"&lt;&gt;Falta",$H$5:$H$3004,"&lt;&gt;Cancelado",$H$5:$H$3004,"&lt;&gt;Remarcado")&gt;0,"Sim","Não"))</f>
        <v/>
      </c>
      <c r="S1979" s="32">
        <f>IF(R1979&lt;&gt;"Não","",IF(Q1979+Config!$B$9&lt;=Config!$B$8,Config!$B$8-Q1979,""))</f>
        <v/>
      </c>
      <c r="T1979" s="26">
        <f>IF(S1979="","","Sim")</f>
        <v/>
      </c>
      <c r="U1979" s="41">
        <f>IF(T1979="Sim",S1979+ROW()/100000,0)</f>
        <v>0</v>
      </c>
      <c r="V1979" s="41">
        <f>IF(AND(H1979="Falta",L1979=Config!$B$7,M1979=Config!$B$5,COUNTIFS($E$5:E1979,E1979,$H$5:H1979,"Falta",$L$5:L1979,Config!$B$7,$M$5:M1979,Config!$B$5)=1),COUNTIFS($E$5:$E$3004,E1979,$H$5:$H$3004,"Falta",$L$5:$L$3004,Config!$B$7,$M$5:$M$3004,Config!$B$5)*1000-ROW()/100000,0)</f>
        <v>0</v>
      </c>
    </row>
    <row r="1980">
      <c r="A1980" s="39" t="n"/>
      <c r="B1980" s="40" t="n"/>
      <c r="C1980" s="35" t="n"/>
      <c r="D1980" s="35" t="n"/>
      <c r="E1980" s="34" t="n"/>
      <c r="F1980" s="35" t="n"/>
      <c r="G1980" s="35" t="n"/>
      <c r="H1980" s="35" t="n"/>
      <c r="I1980" s="35" t="n"/>
      <c r="J1980" s="35" t="n"/>
      <c r="K1980" s="34" t="n"/>
      <c r="L1980" s="26">
        <f>IF(A1980="","",MONTH(A1980))</f>
        <v/>
      </c>
      <c r="M1980" s="26">
        <f>IF(A1980="","",YEAR(A1980))</f>
        <v/>
      </c>
      <c r="N1980" s="26">
        <f>IF(A1980="","",CHOOSE(WEEKDAY(A1980,2),"Segunda","Terça","Quarta","Quinta","Sexta","Sábado","Domingo"))</f>
        <v/>
      </c>
      <c r="O1980" s="26">
        <f>IF(B1980="","",IF(B1980&lt;TIME(12,0,0),"Manhã",IF(B1980&lt;TIME(18,0,0),"Tarde","Noite")))</f>
        <v/>
      </c>
      <c r="P1980" s="32">
        <f>IF(G1980="","",IFERROR(INDEX(Config!$I$5:$I$16,MATCH(G1980,Config!$H$5:$H$16,0)),0))</f>
        <v/>
      </c>
      <c r="Q1980" s="30">
        <f>IF(OR(H1980&lt;&gt;"Realizado",P1980="",P1980=0),"",A1980+P1980)</f>
        <v/>
      </c>
      <c r="R1980" s="26">
        <f>IF(Q1980="","",IF(COUNTIFS($E$5:$E$3004,E1980,$A$5:$A$3004,"&gt;"&amp;A1980,$H$5:$H$3004,"&lt;&gt;Falta",$H$5:$H$3004,"&lt;&gt;Cancelado",$H$5:$H$3004,"&lt;&gt;Remarcado")&gt;0,"Sim","Não"))</f>
        <v/>
      </c>
      <c r="S1980" s="32">
        <f>IF(R1980&lt;&gt;"Não","",IF(Q1980+Config!$B$9&lt;=Config!$B$8,Config!$B$8-Q1980,""))</f>
        <v/>
      </c>
      <c r="T1980" s="26">
        <f>IF(S1980="","","Sim")</f>
        <v/>
      </c>
      <c r="U1980" s="41">
        <f>IF(T1980="Sim",S1980+ROW()/100000,0)</f>
        <v>0</v>
      </c>
      <c r="V1980" s="41">
        <f>IF(AND(H1980="Falta",L1980=Config!$B$7,M1980=Config!$B$5,COUNTIFS($E$5:E1980,E1980,$H$5:H1980,"Falta",$L$5:L1980,Config!$B$7,$M$5:M1980,Config!$B$5)=1),COUNTIFS($E$5:$E$3004,E1980,$H$5:$H$3004,"Falta",$L$5:$L$3004,Config!$B$7,$M$5:$M$3004,Config!$B$5)*1000-ROW()/100000,0)</f>
        <v>0</v>
      </c>
    </row>
    <row r="1981">
      <c r="A1981" s="39" t="n"/>
      <c r="B1981" s="40" t="n"/>
      <c r="C1981" s="35" t="n"/>
      <c r="D1981" s="35" t="n"/>
      <c r="E1981" s="34" t="n"/>
      <c r="F1981" s="35" t="n"/>
      <c r="G1981" s="35" t="n"/>
      <c r="H1981" s="35" t="n"/>
      <c r="I1981" s="35" t="n"/>
      <c r="J1981" s="35" t="n"/>
      <c r="K1981" s="34" t="n"/>
      <c r="L1981" s="26">
        <f>IF(A1981="","",MONTH(A1981))</f>
        <v/>
      </c>
      <c r="M1981" s="26">
        <f>IF(A1981="","",YEAR(A1981))</f>
        <v/>
      </c>
      <c r="N1981" s="26">
        <f>IF(A1981="","",CHOOSE(WEEKDAY(A1981,2),"Segunda","Terça","Quarta","Quinta","Sexta","Sábado","Domingo"))</f>
        <v/>
      </c>
      <c r="O1981" s="26">
        <f>IF(B1981="","",IF(B1981&lt;TIME(12,0,0),"Manhã",IF(B1981&lt;TIME(18,0,0),"Tarde","Noite")))</f>
        <v/>
      </c>
      <c r="P1981" s="32">
        <f>IF(G1981="","",IFERROR(INDEX(Config!$I$5:$I$16,MATCH(G1981,Config!$H$5:$H$16,0)),0))</f>
        <v/>
      </c>
      <c r="Q1981" s="30">
        <f>IF(OR(H1981&lt;&gt;"Realizado",P1981="",P1981=0),"",A1981+P1981)</f>
        <v/>
      </c>
      <c r="R1981" s="26">
        <f>IF(Q1981="","",IF(COUNTIFS($E$5:$E$3004,E1981,$A$5:$A$3004,"&gt;"&amp;A1981,$H$5:$H$3004,"&lt;&gt;Falta",$H$5:$H$3004,"&lt;&gt;Cancelado",$H$5:$H$3004,"&lt;&gt;Remarcado")&gt;0,"Sim","Não"))</f>
        <v/>
      </c>
      <c r="S1981" s="32">
        <f>IF(R1981&lt;&gt;"Não","",IF(Q1981+Config!$B$9&lt;=Config!$B$8,Config!$B$8-Q1981,""))</f>
        <v/>
      </c>
      <c r="T1981" s="26">
        <f>IF(S1981="","","Sim")</f>
        <v/>
      </c>
      <c r="U1981" s="41">
        <f>IF(T1981="Sim",S1981+ROW()/100000,0)</f>
        <v>0</v>
      </c>
      <c r="V1981" s="41">
        <f>IF(AND(H1981="Falta",L1981=Config!$B$7,M1981=Config!$B$5,COUNTIFS($E$5:E1981,E1981,$H$5:H1981,"Falta",$L$5:L1981,Config!$B$7,$M$5:M1981,Config!$B$5)=1),COUNTIFS($E$5:$E$3004,E1981,$H$5:$H$3004,"Falta",$L$5:$L$3004,Config!$B$7,$M$5:$M$3004,Config!$B$5)*1000-ROW()/100000,0)</f>
        <v>0</v>
      </c>
    </row>
    <row r="1982">
      <c r="A1982" s="39" t="n"/>
      <c r="B1982" s="40" t="n"/>
      <c r="C1982" s="35" t="n"/>
      <c r="D1982" s="35" t="n"/>
      <c r="E1982" s="34" t="n"/>
      <c r="F1982" s="35" t="n"/>
      <c r="G1982" s="35" t="n"/>
      <c r="H1982" s="35" t="n"/>
      <c r="I1982" s="35" t="n"/>
      <c r="J1982" s="35" t="n"/>
      <c r="K1982" s="34" t="n"/>
      <c r="L1982" s="26">
        <f>IF(A1982="","",MONTH(A1982))</f>
        <v/>
      </c>
      <c r="M1982" s="26">
        <f>IF(A1982="","",YEAR(A1982))</f>
        <v/>
      </c>
      <c r="N1982" s="26">
        <f>IF(A1982="","",CHOOSE(WEEKDAY(A1982,2),"Segunda","Terça","Quarta","Quinta","Sexta","Sábado","Domingo"))</f>
        <v/>
      </c>
      <c r="O1982" s="26">
        <f>IF(B1982="","",IF(B1982&lt;TIME(12,0,0),"Manhã",IF(B1982&lt;TIME(18,0,0),"Tarde","Noite")))</f>
        <v/>
      </c>
      <c r="P1982" s="32">
        <f>IF(G1982="","",IFERROR(INDEX(Config!$I$5:$I$16,MATCH(G1982,Config!$H$5:$H$16,0)),0))</f>
        <v/>
      </c>
      <c r="Q1982" s="30">
        <f>IF(OR(H1982&lt;&gt;"Realizado",P1982="",P1982=0),"",A1982+P1982)</f>
        <v/>
      </c>
      <c r="R1982" s="26">
        <f>IF(Q1982="","",IF(COUNTIFS($E$5:$E$3004,E1982,$A$5:$A$3004,"&gt;"&amp;A1982,$H$5:$H$3004,"&lt;&gt;Falta",$H$5:$H$3004,"&lt;&gt;Cancelado",$H$5:$H$3004,"&lt;&gt;Remarcado")&gt;0,"Sim","Não"))</f>
        <v/>
      </c>
      <c r="S1982" s="32">
        <f>IF(R1982&lt;&gt;"Não","",IF(Q1982+Config!$B$9&lt;=Config!$B$8,Config!$B$8-Q1982,""))</f>
        <v/>
      </c>
      <c r="T1982" s="26">
        <f>IF(S1982="","","Sim")</f>
        <v/>
      </c>
      <c r="U1982" s="41">
        <f>IF(T1982="Sim",S1982+ROW()/100000,0)</f>
        <v>0</v>
      </c>
      <c r="V1982" s="41">
        <f>IF(AND(H1982="Falta",L1982=Config!$B$7,M1982=Config!$B$5,COUNTIFS($E$5:E1982,E1982,$H$5:H1982,"Falta",$L$5:L1982,Config!$B$7,$M$5:M1982,Config!$B$5)=1),COUNTIFS($E$5:$E$3004,E1982,$H$5:$H$3004,"Falta",$L$5:$L$3004,Config!$B$7,$M$5:$M$3004,Config!$B$5)*1000-ROW()/100000,0)</f>
        <v>0</v>
      </c>
    </row>
    <row r="1983">
      <c r="A1983" s="39" t="n"/>
      <c r="B1983" s="40" t="n"/>
      <c r="C1983" s="35" t="n"/>
      <c r="D1983" s="35" t="n"/>
      <c r="E1983" s="34" t="n"/>
      <c r="F1983" s="35" t="n"/>
      <c r="G1983" s="35" t="n"/>
      <c r="H1983" s="35" t="n"/>
      <c r="I1983" s="35" t="n"/>
      <c r="J1983" s="35" t="n"/>
      <c r="K1983" s="34" t="n"/>
      <c r="L1983" s="26">
        <f>IF(A1983="","",MONTH(A1983))</f>
        <v/>
      </c>
      <c r="M1983" s="26">
        <f>IF(A1983="","",YEAR(A1983))</f>
        <v/>
      </c>
      <c r="N1983" s="26">
        <f>IF(A1983="","",CHOOSE(WEEKDAY(A1983,2),"Segunda","Terça","Quarta","Quinta","Sexta","Sábado","Domingo"))</f>
        <v/>
      </c>
      <c r="O1983" s="26">
        <f>IF(B1983="","",IF(B1983&lt;TIME(12,0,0),"Manhã",IF(B1983&lt;TIME(18,0,0),"Tarde","Noite")))</f>
        <v/>
      </c>
      <c r="P1983" s="32">
        <f>IF(G1983="","",IFERROR(INDEX(Config!$I$5:$I$16,MATCH(G1983,Config!$H$5:$H$16,0)),0))</f>
        <v/>
      </c>
      <c r="Q1983" s="30">
        <f>IF(OR(H1983&lt;&gt;"Realizado",P1983="",P1983=0),"",A1983+P1983)</f>
        <v/>
      </c>
      <c r="R1983" s="26">
        <f>IF(Q1983="","",IF(COUNTIFS($E$5:$E$3004,E1983,$A$5:$A$3004,"&gt;"&amp;A1983,$H$5:$H$3004,"&lt;&gt;Falta",$H$5:$H$3004,"&lt;&gt;Cancelado",$H$5:$H$3004,"&lt;&gt;Remarcado")&gt;0,"Sim","Não"))</f>
        <v/>
      </c>
      <c r="S1983" s="32">
        <f>IF(R1983&lt;&gt;"Não","",IF(Q1983+Config!$B$9&lt;=Config!$B$8,Config!$B$8-Q1983,""))</f>
        <v/>
      </c>
      <c r="T1983" s="26">
        <f>IF(S1983="","","Sim")</f>
        <v/>
      </c>
      <c r="U1983" s="41">
        <f>IF(T1983="Sim",S1983+ROW()/100000,0)</f>
        <v>0</v>
      </c>
      <c r="V1983" s="41">
        <f>IF(AND(H1983="Falta",L1983=Config!$B$7,M1983=Config!$B$5,COUNTIFS($E$5:E1983,E1983,$H$5:H1983,"Falta",$L$5:L1983,Config!$B$7,$M$5:M1983,Config!$B$5)=1),COUNTIFS($E$5:$E$3004,E1983,$H$5:$H$3004,"Falta",$L$5:$L$3004,Config!$B$7,$M$5:$M$3004,Config!$B$5)*1000-ROW()/100000,0)</f>
        <v>0</v>
      </c>
    </row>
    <row r="1984">
      <c r="A1984" s="39" t="n"/>
      <c r="B1984" s="40" t="n"/>
      <c r="C1984" s="35" t="n"/>
      <c r="D1984" s="35" t="n"/>
      <c r="E1984" s="34" t="n"/>
      <c r="F1984" s="35" t="n"/>
      <c r="G1984" s="35" t="n"/>
      <c r="H1984" s="35" t="n"/>
      <c r="I1984" s="35" t="n"/>
      <c r="J1984" s="35" t="n"/>
      <c r="K1984" s="34" t="n"/>
      <c r="L1984" s="26">
        <f>IF(A1984="","",MONTH(A1984))</f>
        <v/>
      </c>
      <c r="M1984" s="26">
        <f>IF(A1984="","",YEAR(A1984))</f>
        <v/>
      </c>
      <c r="N1984" s="26">
        <f>IF(A1984="","",CHOOSE(WEEKDAY(A1984,2),"Segunda","Terça","Quarta","Quinta","Sexta","Sábado","Domingo"))</f>
        <v/>
      </c>
      <c r="O1984" s="26">
        <f>IF(B1984="","",IF(B1984&lt;TIME(12,0,0),"Manhã",IF(B1984&lt;TIME(18,0,0),"Tarde","Noite")))</f>
        <v/>
      </c>
      <c r="P1984" s="32">
        <f>IF(G1984="","",IFERROR(INDEX(Config!$I$5:$I$16,MATCH(G1984,Config!$H$5:$H$16,0)),0))</f>
        <v/>
      </c>
      <c r="Q1984" s="30">
        <f>IF(OR(H1984&lt;&gt;"Realizado",P1984="",P1984=0),"",A1984+P1984)</f>
        <v/>
      </c>
      <c r="R1984" s="26">
        <f>IF(Q1984="","",IF(COUNTIFS($E$5:$E$3004,E1984,$A$5:$A$3004,"&gt;"&amp;A1984,$H$5:$H$3004,"&lt;&gt;Falta",$H$5:$H$3004,"&lt;&gt;Cancelado",$H$5:$H$3004,"&lt;&gt;Remarcado")&gt;0,"Sim","Não"))</f>
        <v/>
      </c>
      <c r="S1984" s="32">
        <f>IF(R1984&lt;&gt;"Não","",IF(Q1984+Config!$B$9&lt;=Config!$B$8,Config!$B$8-Q1984,""))</f>
        <v/>
      </c>
      <c r="T1984" s="26">
        <f>IF(S1984="","","Sim")</f>
        <v/>
      </c>
      <c r="U1984" s="41">
        <f>IF(T1984="Sim",S1984+ROW()/100000,0)</f>
        <v>0</v>
      </c>
      <c r="V1984" s="41">
        <f>IF(AND(H1984="Falta",L1984=Config!$B$7,M1984=Config!$B$5,COUNTIFS($E$5:E1984,E1984,$H$5:H1984,"Falta",$L$5:L1984,Config!$B$7,$M$5:M1984,Config!$B$5)=1),COUNTIFS($E$5:$E$3004,E1984,$H$5:$H$3004,"Falta",$L$5:$L$3004,Config!$B$7,$M$5:$M$3004,Config!$B$5)*1000-ROW()/100000,0)</f>
        <v>0</v>
      </c>
    </row>
    <row r="1985">
      <c r="A1985" s="39" t="n"/>
      <c r="B1985" s="40" t="n"/>
      <c r="C1985" s="35" t="n"/>
      <c r="D1985" s="35" t="n"/>
      <c r="E1985" s="34" t="n"/>
      <c r="F1985" s="35" t="n"/>
      <c r="G1985" s="35" t="n"/>
      <c r="H1985" s="35" t="n"/>
      <c r="I1985" s="35" t="n"/>
      <c r="J1985" s="35" t="n"/>
      <c r="K1985" s="34" t="n"/>
      <c r="L1985" s="26">
        <f>IF(A1985="","",MONTH(A1985))</f>
        <v/>
      </c>
      <c r="M1985" s="26">
        <f>IF(A1985="","",YEAR(A1985))</f>
        <v/>
      </c>
      <c r="N1985" s="26">
        <f>IF(A1985="","",CHOOSE(WEEKDAY(A1985,2),"Segunda","Terça","Quarta","Quinta","Sexta","Sábado","Domingo"))</f>
        <v/>
      </c>
      <c r="O1985" s="26">
        <f>IF(B1985="","",IF(B1985&lt;TIME(12,0,0),"Manhã",IF(B1985&lt;TIME(18,0,0),"Tarde","Noite")))</f>
        <v/>
      </c>
      <c r="P1985" s="32">
        <f>IF(G1985="","",IFERROR(INDEX(Config!$I$5:$I$16,MATCH(G1985,Config!$H$5:$H$16,0)),0))</f>
        <v/>
      </c>
      <c r="Q1985" s="30">
        <f>IF(OR(H1985&lt;&gt;"Realizado",P1985="",P1985=0),"",A1985+P1985)</f>
        <v/>
      </c>
      <c r="R1985" s="26">
        <f>IF(Q1985="","",IF(COUNTIFS($E$5:$E$3004,E1985,$A$5:$A$3004,"&gt;"&amp;A1985,$H$5:$H$3004,"&lt;&gt;Falta",$H$5:$H$3004,"&lt;&gt;Cancelado",$H$5:$H$3004,"&lt;&gt;Remarcado")&gt;0,"Sim","Não"))</f>
        <v/>
      </c>
      <c r="S1985" s="32">
        <f>IF(R1985&lt;&gt;"Não","",IF(Q1985+Config!$B$9&lt;=Config!$B$8,Config!$B$8-Q1985,""))</f>
        <v/>
      </c>
      <c r="T1985" s="26">
        <f>IF(S1985="","","Sim")</f>
        <v/>
      </c>
      <c r="U1985" s="41">
        <f>IF(T1985="Sim",S1985+ROW()/100000,0)</f>
        <v>0</v>
      </c>
      <c r="V1985" s="41">
        <f>IF(AND(H1985="Falta",L1985=Config!$B$7,M1985=Config!$B$5,COUNTIFS($E$5:E1985,E1985,$H$5:H1985,"Falta",$L$5:L1985,Config!$B$7,$M$5:M1985,Config!$B$5)=1),COUNTIFS($E$5:$E$3004,E1985,$H$5:$H$3004,"Falta",$L$5:$L$3004,Config!$B$7,$M$5:$M$3004,Config!$B$5)*1000-ROW()/100000,0)</f>
        <v>0</v>
      </c>
    </row>
    <row r="1986">
      <c r="A1986" s="39" t="n"/>
      <c r="B1986" s="40" t="n"/>
      <c r="C1986" s="35" t="n"/>
      <c r="D1986" s="35" t="n"/>
      <c r="E1986" s="34" t="n"/>
      <c r="F1986" s="35" t="n"/>
      <c r="G1986" s="35" t="n"/>
      <c r="H1986" s="35" t="n"/>
      <c r="I1986" s="35" t="n"/>
      <c r="J1986" s="35" t="n"/>
      <c r="K1986" s="34" t="n"/>
      <c r="L1986" s="26">
        <f>IF(A1986="","",MONTH(A1986))</f>
        <v/>
      </c>
      <c r="M1986" s="26">
        <f>IF(A1986="","",YEAR(A1986))</f>
        <v/>
      </c>
      <c r="N1986" s="26">
        <f>IF(A1986="","",CHOOSE(WEEKDAY(A1986,2),"Segunda","Terça","Quarta","Quinta","Sexta","Sábado","Domingo"))</f>
        <v/>
      </c>
      <c r="O1986" s="26">
        <f>IF(B1986="","",IF(B1986&lt;TIME(12,0,0),"Manhã",IF(B1986&lt;TIME(18,0,0),"Tarde","Noite")))</f>
        <v/>
      </c>
      <c r="P1986" s="32">
        <f>IF(G1986="","",IFERROR(INDEX(Config!$I$5:$I$16,MATCH(G1986,Config!$H$5:$H$16,0)),0))</f>
        <v/>
      </c>
      <c r="Q1986" s="30">
        <f>IF(OR(H1986&lt;&gt;"Realizado",P1986="",P1986=0),"",A1986+P1986)</f>
        <v/>
      </c>
      <c r="R1986" s="26">
        <f>IF(Q1986="","",IF(COUNTIFS($E$5:$E$3004,E1986,$A$5:$A$3004,"&gt;"&amp;A1986,$H$5:$H$3004,"&lt;&gt;Falta",$H$5:$H$3004,"&lt;&gt;Cancelado",$H$5:$H$3004,"&lt;&gt;Remarcado")&gt;0,"Sim","Não"))</f>
        <v/>
      </c>
      <c r="S1986" s="32">
        <f>IF(R1986&lt;&gt;"Não","",IF(Q1986+Config!$B$9&lt;=Config!$B$8,Config!$B$8-Q1986,""))</f>
        <v/>
      </c>
      <c r="T1986" s="26">
        <f>IF(S1986="","","Sim")</f>
        <v/>
      </c>
      <c r="U1986" s="41">
        <f>IF(T1986="Sim",S1986+ROW()/100000,0)</f>
        <v>0</v>
      </c>
      <c r="V1986" s="41">
        <f>IF(AND(H1986="Falta",L1986=Config!$B$7,M1986=Config!$B$5,COUNTIFS($E$5:E1986,E1986,$H$5:H1986,"Falta",$L$5:L1986,Config!$B$7,$M$5:M1986,Config!$B$5)=1),COUNTIFS($E$5:$E$3004,E1986,$H$5:$H$3004,"Falta",$L$5:$L$3004,Config!$B$7,$M$5:$M$3004,Config!$B$5)*1000-ROW()/100000,0)</f>
        <v>0</v>
      </c>
    </row>
    <row r="1987">
      <c r="A1987" s="39" t="n"/>
      <c r="B1987" s="40" t="n"/>
      <c r="C1987" s="35" t="n"/>
      <c r="D1987" s="35" t="n"/>
      <c r="E1987" s="34" t="n"/>
      <c r="F1987" s="35" t="n"/>
      <c r="G1987" s="35" t="n"/>
      <c r="H1987" s="35" t="n"/>
      <c r="I1987" s="35" t="n"/>
      <c r="J1987" s="35" t="n"/>
      <c r="K1987" s="34" t="n"/>
      <c r="L1987" s="26">
        <f>IF(A1987="","",MONTH(A1987))</f>
        <v/>
      </c>
      <c r="M1987" s="26">
        <f>IF(A1987="","",YEAR(A1987))</f>
        <v/>
      </c>
      <c r="N1987" s="26">
        <f>IF(A1987="","",CHOOSE(WEEKDAY(A1987,2),"Segunda","Terça","Quarta","Quinta","Sexta","Sábado","Domingo"))</f>
        <v/>
      </c>
      <c r="O1987" s="26">
        <f>IF(B1987="","",IF(B1987&lt;TIME(12,0,0),"Manhã",IF(B1987&lt;TIME(18,0,0),"Tarde","Noite")))</f>
        <v/>
      </c>
      <c r="P1987" s="32">
        <f>IF(G1987="","",IFERROR(INDEX(Config!$I$5:$I$16,MATCH(G1987,Config!$H$5:$H$16,0)),0))</f>
        <v/>
      </c>
      <c r="Q1987" s="30">
        <f>IF(OR(H1987&lt;&gt;"Realizado",P1987="",P1987=0),"",A1987+P1987)</f>
        <v/>
      </c>
      <c r="R1987" s="26">
        <f>IF(Q1987="","",IF(COUNTIFS($E$5:$E$3004,E1987,$A$5:$A$3004,"&gt;"&amp;A1987,$H$5:$H$3004,"&lt;&gt;Falta",$H$5:$H$3004,"&lt;&gt;Cancelado",$H$5:$H$3004,"&lt;&gt;Remarcado")&gt;0,"Sim","Não"))</f>
        <v/>
      </c>
      <c r="S1987" s="32">
        <f>IF(R1987&lt;&gt;"Não","",IF(Q1987+Config!$B$9&lt;=Config!$B$8,Config!$B$8-Q1987,""))</f>
        <v/>
      </c>
      <c r="T1987" s="26">
        <f>IF(S1987="","","Sim")</f>
        <v/>
      </c>
      <c r="U1987" s="41">
        <f>IF(T1987="Sim",S1987+ROW()/100000,0)</f>
        <v>0</v>
      </c>
      <c r="V1987" s="41">
        <f>IF(AND(H1987="Falta",L1987=Config!$B$7,M1987=Config!$B$5,COUNTIFS($E$5:E1987,E1987,$H$5:H1987,"Falta",$L$5:L1987,Config!$B$7,$M$5:M1987,Config!$B$5)=1),COUNTIFS($E$5:$E$3004,E1987,$H$5:$H$3004,"Falta",$L$5:$L$3004,Config!$B$7,$M$5:$M$3004,Config!$B$5)*1000-ROW()/100000,0)</f>
        <v>0</v>
      </c>
    </row>
    <row r="1988">
      <c r="A1988" s="39" t="n"/>
      <c r="B1988" s="40" t="n"/>
      <c r="C1988" s="35" t="n"/>
      <c r="D1988" s="35" t="n"/>
      <c r="E1988" s="34" t="n"/>
      <c r="F1988" s="35" t="n"/>
      <c r="G1988" s="35" t="n"/>
      <c r="H1988" s="35" t="n"/>
      <c r="I1988" s="35" t="n"/>
      <c r="J1988" s="35" t="n"/>
      <c r="K1988" s="34" t="n"/>
      <c r="L1988" s="26">
        <f>IF(A1988="","",MONTH(A1988))</f>
        <v/>
      </c>
      <c r="M1988" s="26">
        <f>IF(A1988="","",YEAR(A1988))</f>
        <v/>
      </c>
      <c r="N1988" s="26">
        <f>IF(A1988="","",CHOOSE(WEEKDAY(A1988,2),"Segunda","Terça","Quarta","Quinta","Sexta","Sábado","Domingo"))</f>
        <v/>
      </c>
      <c r="O1988" s="26">
        <f>IF(B1988="","",IF(B1988&lt;TIME(12,0,0),"Manhã",IF(B1988&lt;TIME(18,0,0),"Tarde","Noite")))</f>
        <v/>
      </c>
      <c r="P1988" s="32">
        <f>IF(G1988="","",IFERROR(INDEX(Config!$I$5:$I$16,MATCH(G1988,Config!$H$5:$H$16,0)),0))</f>
        <v/>
      </c>
      <c r="Q1988" s="30">
        <f>IF(OR(H1988&lt;&gt;"Realizado",P1988="",P1988=0),"",A1988+P1988)</f>
        <v/>
      </c>
      <c r="R1988" s="26">
        <f>IF(Q1988="","",IF(COUNTIFS($E$5:$E$3004,E1988,$A$5:$A$3004,"&gt;"&amp;A1988,$H$5:$H$3004,"&lt;&gt;Falta",$H$5:$H$3004,"&lt;&gt;Cancelado",$H$5:$H$3004,"&lt;&gt;Remarcado")&gt;0,"Sim","Não"))</f>
        <v/>
      </c>
      <c r="S1988" s="32">
        <f>IF(R1988&lt;&gt;"Não","",IF(Q1988+Config!$B$9&lt;=Config!$B$8,Config!$B$8-Q1988,""))</f>
        <v/>
      </c>
      <c r="T1988" s="26">
        <f>IF(S1988="","","Sim")</f>
        <v/>
      </c>
      <c r="U1988" s="41">
        <f>IF(T1988="Sim",S1988+ROW()/100000,0)</f>
        <v>0</v>
      </c>
      <c r="V1988" s="41">
        <f>IF(AND(H1988="Falta",L1988=Config!$B$7,M1988=Config!$B$5,COUNTIFS($E$5:E1988,E1988,$H$5:H1988,"Falta",$L$5:L1988,Config!$B$7,$M$5:M1988,Config!$B$5)=1),COUNTIFS($E$5:$E$3004,E1988,$H$5:$H$3004,"Falta",$L$5:$L$3004,Config!$B$7,$M$5:$M$3004,Config!$B$5)*1000-ROW()/100000,0)</f>
        <v>0</v>
      </c>
    </row>
    <row r="1989">
      <c r="A1989" s="39" t="n"/>
      <c r="B1989" s="40" t="n"/>
      <c r="C1989" s="35" t="n"/>
      <c r="D1989" s="35" t="n"/>
      <c r="E1989" s="34" t="n"/>
      <c r="F1989" s="35" t="n"/>
      <c r="G1989" s="35" t="n"/>
      <c r="H1989" s="35" t="n"/>
      <c r="I1989" s="35" t="n"/>
      <c r="J1989" s="35" t="n"/>
      <c r="K1989" s="34" t="n"/>
      <c r="L1989" s="26">
        <f>IF(A1989="","",MONTH(A1989))</f>
        <v/>
      </c>
      <c r="M1989" s="26">
        <f>IF(A1989="","",YEAR(A1989))</f>
        <v/>
      </c>
      <c r="N1989" s="26">
        <f>IF(A1989="","",CHOOSE(WEEKDAY(A1989,2),"Segunda","Terça","Quarta","Quinta","Sexta","Sábado","Domingo"))</f>
        <v/>
      </c>
      <c r="O1989" s="26">
        <f>IF(B1989="","",IF(B1989&lt;TIME(12,0,0),"Manhã",IF(B1989&lt;TIME(18,0,0),"Tarde","Noite")))</f>
        <v/>
      </c>
      <c r="P1989" s="32">
        <f>IF(G1989="","",IFERROR(INDEX(Config!$I$5:$I$16,MATCH(G1989,Config!$H$5:$H$16,0)),0))</f>
        <v/>
      </c>
      <c r="Q1989" s="30">
        <f>IF(OR(H1989&lt;&gt;"Realizado",P1989="",P1989=0),"",A1989+P1989)</f>
        <v/>
      </c>
      <c r="R1989" s="26">
        <f>IF(Q1989="","",IF(COUNTIFS($E$5:$E$3004,E1989,$A$5:$A$3004,"&gt;"&amp;A1989,$H$5:$H$3004,"&lt;&gt;Falta",$H$5:$H$3004,"&lt;&gt;Cancelado",$H$5:$H$3004,"&lt;&gt;Remarcado")&gt;0,"Sim","Não"))</f>
        <v/>
      </c>
      <c r="S1989" s="32">
        <f>IF(R1989&lt;&gt;"Não","",IF(Q1989+Config!$B$9&lt;=Config!$B$8,Config!$B$8-Q1989,""))</f>
        <v/>
      </c>
      <c r="T1989" s="26">
        <f>IF(S1989="","","Sim")</f>
        <v/>
      </c>
      <c r="U1989" s="41">
        <f>IF(T1989="Sim",S1989+ROW()/100000,0)</f>
        <v>0</v>
      </c>
      <c r="V1989" s="41">
        <f>IF(AND(H1989="Falta",L1989=Config!$B$7,M1989=Config!$B$5,COUNTIFS($E$5:E1989,E1989,$H$5:H1989,"Falta",$L$5:L1989,Config!$B$7,$M$5:M1989,Config!$B$5)=1),COUNTIFS($E$5:$E$3004,E1989,$H$5:$H$3004,"Falta",$L$5:$L$3004,Config!$B$7,$M$5:$M$3004,Config!$B$5)*1000-ROW()/100000,0)</f>
        <v>0</v>
      </c>
    </row>
    <row r="1990">
      <c r="A1990" s="39" t="n"/>
      <c r="B1990" s="40" t="n"/>
      <c r="C1990" s="35" t="n"/>
      <c r="D1990" s="35" t="n"/>
      <c r="E1990" s="34" t="n"/>
      <c r="F1990" s="35" t="n"/>
      <c r="G1990" s="35" t="n"/>
      <c r="H1990" s="35" t="n"/>
      <c r="I1990" s="35" t="n"/>
      <c r="J1990" s="35" t="n"/>
      <c r="K1990" s="34" t="n"/>
      <c r="L1990" s="26">
        <f>IF(A1990="","",MONTH(A1990))</f>
        <v/>
      </c>
      <c r="M1990" s="26">
        <f>IF(A1990="","",YEAR(A1990))</f>
        <v/>
      </c>
      <c r="N1990" s="26">
        <f>IF(A1990="","",CHOOSE(WEEKDAY(A1990,2),"Segunda","Terça","Quarta","Quinta","Sexta","Sábado","Domingo"))</f>
        <v/>
      </c>
      <c r="O1990" s="26">
        <f>IF(B1990="","",IF(B1990&lt;TIME(12,0,0),"Manhã",IF(B1990&lt;TIME(18,0,0),"Tarde","Noite")))</f>
        <v/>
      </c>
      <c r="P1990" s="32">
        <f>IF(G1990="","",IFERROR(INDEX(Config!$I$5:$I$16,MATCH(G1990,Config!$H$5:$H$16,0)),0))</f>
        <v/>
      </c>
      <c r="Q1990" s="30">
        <f>IF(OR(H1990&lt;&gt;"Realizado",P1990="",P1990=0),"",A1990+P1990)</f>
        <v/>
      </c>
      <c r="R1990" s="26">
        <f>IF(Q1990="","",IF(COUNTIFS($E$5:$E$3004,E1990,$A$5:$A$3004,"&gt;"&amp;A1990,$H$5:$H$3004,"&lt;&gt;Falta",$H$5:$H$3004,"&lt;&gt;Cancelado",$H$5:$H$3004,"&lt;&gt;Remarcado")&gt;0,"Sim","Não"))</f>
        <v/>
      </c>
      <c r="S1990" s="32">
        <f>IF(R1990&lt;&gt;"Não","",IF(Q1990+Config!$B$9&lt;=Config!$B$8,Config!$B$8-Q1990,""))</f>
        <v/>
      </c>
      <c r="T1990" s="26">
        <f>IF(S1990="","","Sim")</f>
        <v/>
      </c>
      <c r="U1990" s="41">
        <f>IF(T1990="Sim",S1990+ROW()/100000,0)</f>
        <v>0</v>
      </c>
      <c r="V1990" s="41">
        <f>IF(AND(H1990="Falta",L1990=Config!$B$7,M1990=Config!$B$5,COUNTIFS($E$5:E1990,E1990,$H$5:H1990,"Falta",$L$5:L1990,Config!$B$7,$M$5:M1990,Config!$B$5)=1),COUNTIFS($E$5:$E$3004,E1990,$H$5:$H$3004,"Falta",$L$5:$L$3004,Config!$B$7,$M$5:$M$3004,Config!$B$5)*1000-ROW()/100000,0)</f>
        <v>0</v>
      </c>
    </row>
    <row r="1991">
      <c r="A1991" s="39" t="n"/>
      <c r="B1991" s="40" t="n"/>
      <c r="C1991" s="35" t="n"/>
      <c r="D1991" s="35" t="n"/>
      <c r="E1991" s="34" t="n"/>
      <c r="F1991" s="35" t="n"/>
      <c r="G1991" s="35" t="n"/>
      <c r="H1991" s="35" t="n"/>
      <c r="I1991" s="35" t="n"/>
      <c r="J1991" s="35" t="n"/>
      <c r="K1991" s="34" t="n"/>
      <c r="L1991" s="26">
        <f>IF(A1991="","",MONTH(A1991))</f>
        <v/>
      </c>
      <c r="M1991" s="26">
        <f>IF(A1991="","",YEAR(A1991))</f>
        <v/>
      </c>
      <c r="N1991" s="26">
        <f>IF(A1991="","",CHOOSE(WEEKDAY(A1991,2),"Segunda","Terça","Quarta","Quinta","Sexta","Sábado","Domingo"))</f>
        <v/>
      </c>
      <c r="O1991" s="26">
        <f>IF(B1991="","",IF(B1991&lt;TIME(12,0,0),"Manhã",IF(B1991&lt;TIME(18,0,0),"Tarde","Noite")))</f>
        <v/>
      </c>
      <c r="P1991" s="32">
        <f>IF(G1991="","",IFERROR(INDEX(Config!$I$5:$I$16,MATCH(G1991,Config!$H$5:$H$16,0)),0))</f>
        <v/>
      </c>
      <c r="Q1991" s="30">
        <f>IF(OR(H1991&lt;&gt;"Realizado",P1991="",P1991=0),"",A1991+P1991)</f>
        <v/>
      </c>
      <c r="R1991" s="26">
        <f>IF(Q1991="","",IF(COUNTIFS($E$5:$E$3004,E1991,$A$5:$A$3004,"&gt;"&amp;A1991,$H$5:$H$3004,"&lt;&gt;Falta",$H$5:$H$3004,"&lt;&gt;Cancelado",$H$5:$H$3004,"&lt;&gt;Remarcado")&gt;0,"Sim","Não"))</f>
        <v/>
      </c>
      <c r="S1991" s="32">
        <f>IF(R1991&lt;&gt;"Não","",IF(Q1991+Config!$B$9&lt;=Config!$B$8,Config!$B$8-Q1991,""))</f>
        <v/>
      </c>
      <c r="T1991" s="26">
        <f>IF(S1991="","","Sim")</f>
        <v/>
      </c>
      <c r="U1991" s="41">
        <f>IF(T1991="Sim",S1991+ROW()/100000,0)</f>
        <v>0</v>
      </c>
      <c r="V1991" s="41">
        <f>IF(AND(H1991="Falta",L1991=Config!$B$7,M1991=Config!$B$5,COUNTIFS($E$5:E1991,E1991,$H$5:H1991,"Falta",$L$5:L1991,Config!$B$7,$M$5:M1991,Config!$B$5)=1),COUNTIFS($E$5:$E$3004,E1991,$H$5:$H$3004,"Falta",$L$5:$L$3004,Config!$B$7,$M$5:$M$3004,Config!$B$5)*1000-ROW()/100000,0)</f>
        <v>0</v>
      </c>
    </row>
    <row r="1992">
      <c r="A1992" s="39" t="n"/>
      <c r="B1992" s="40" t="n"/>
      <c r="C1992" s="35" t="n"/>
      <c r="D1992" s="35" t="n"/>
      <c r="E1992" s="34" t="n"/>
      <c r="F1992" s="35" t="n"/>
      <c r="G1992" s="35" t="n"/>
      <c r="H1992" s="35" t="n"/>
      <c r="I1992" s="35" t="n"/>
      <c r="J1992" s="35" t="n"/>
      <c r="K1992" s="34" t="n"/>
      <c r="L1992" s="26">
        <f>IF(A1992="","",MONTH(A1992))</f>
        <v/>
      </c>
      <c r="M1992" s="26">
        <f>IF(A1992="","",YEAR(A1992))</f>
        <v/>
      </c>
      <c r="N1992" s="26">
        <f>IF(A1992="","",CHOOSE(WEEKDAY(A1992,2),"Segunda","Terça","Quarta","Quinta","Sexta","Sábado","Domingo"))</f>
        <v/>
      </c>
      <c r="O1992" s="26">
        <f>IF(B1992="","",IF(B1992&lt;TIME(12,0,0),"Manhã",IF(B1992&lt;TIME(18,0,0),"Tarde","Noite")))</f>
        <v/>
      </c>
      <c r="P1992" s="32">
        <f>IF(G1992="","",IFERROR(INDEX(Config!$I$5:$I$16,MATCH(G1992,Config!$H$5:$H$16,0)),0))</f>
        <v/>
      </c>
      <c r="Q1992" s="30">
        <f>IF(OR(H1992&lt;&gt;"Realizado",P1992="",P1992=0),"",A1992+P1992)</f>
        <v/>
      </c>
      <c r="R1992" s="26">
        <f>IF(Q1992="","",IF(COUNTIFS($E$5:$E$3004,E1992,$A$5:$A$3004,"&gt;"&amp;A1992,$H$5:$H$3004,"&lt;&gt;Falta",$H$5:$H$3004,"&lt;&gt;Cancelado",$H$5:$H$3004,"&lt;&gt;Remarcado")&gt;0,"Sim","Não"))</f>
        <v/>
      </c>
      <c r="S1992" s="32">
        <f>IF(R1992&lt;&gt;"Não","",IF(Q1992+Config!$B$9&lt;=Config!$B$8,Config!$B$8-Q1992,""))</f>
        <v/>
      </c>
      <c r="T1992" s="26">
        <f>IF(S1992="","","Sim")</f>
        <v/>
      </c>
      <c r="U1992" s="41">
        <f>IF(T1992="Sim",S1992+ROW()/100000,0)</f>
        <v>0</v>
      </c>
      <c r="V1992" s="41">
        <f>IF(AND(H1992="Falta",L1992=Config!$B$7,M1992=Config!$B$5,COUNTIFS($E$5:E1992,E1992,$H$5:H1992,"Falta",$L$5:L1992,Config!$B$7,$M$5:M1992,Config!$B$5)=1),COUNTIFS($E$5:$E$3004,E1992,$H$5:$H$3004,"Falta",$L$5:$L$3004,Config!$B$7,$M$5:$M$3004,Config!$B$5)*1000-ROW()/100000,0)</f>
        <v>0</v>
      </c>
    </row>
    <row r="1993">
      <c r="A1993" s="39" t="n"/>
      <c r="B1993" s="40" t="n"/>
      <c r="C1993" s="35" t="n"/>
      <c r="D1993" s="35" t="n"/>
      <c r="E1993" s="34" t="n"/>
      <c r="F1993" s="35" t="n"/>
      <c r="G1993" s="35" t="n"/>
      <c r="H1993" s="35" t="n"/>
      <c r="I1993" s="35" t="n"/>
      <c r="J1993" s="35" t="n"/>
      <c r="K1993" s="34" t="n"/>
      <c r="L1993" s="26">
        <f>IF(A1993="","",MONTH(A1993))</f>
        <v/>
      </c>
      <c r="M1993" s="26">
        <f>IF(A1993="","",YEAR(A1993))</f>
        <v/>
      </c>
      <c r="N1993" s="26">
        <f>IF(A1993="","",CHOOSE(WEEKDAY(A1993,2),"Segunda","Terça","Quarta","Quinta","Sexta","Sábado","Domingo"))</f>
        <v/>
      </c>
      <c r="O1993" s="26">
        <f>IF(B1993="","",IF(B1993&lt;TIME(12,0,0),"Manhã",IF(B1993&lt;TIME(18,0,0),"Tarde","Noite")))</f>
        <v/>
      </c>
      <c r="P1993" s="32">
        <f>IF(G1993="","",IFERROR(INDEX(Config!$I$5:$I$16,MATCH(G1993,Config!$H$5:$H$16,0)),0))</f>
        <v/>
      </c>
      <c r="Q1993" s="30">
        <f>IF(OR(H1993&lt;&gt;"Realizado",P1993="",P1993=0),"",A1993+P1993)</f>
        <v/>
      </c>
      <c r="R1993" s="26">
        <f>IF(Q1993="","",IF(COUNTIFS($E$5:$E$3004,E1993,$A$5:$A$3004,"&gt;"&amp;A1993,$H$5:$H$3004,"&lt;&gt;Falta",$H$5:$H$3004,"&lt;&gt;Cancelado",$H$5:$H$3004,"&lt;&gt;Remarcado")&gt;0,"Sim","Não"))</f>
        <v/>
      </c>
      <c r="S1993" s="32">
        <f>IF(R1993&lt;&gt;"Não","",IF(Q1993+Config!$B$9&lt;=Config!$B$8,Config!$B$8-Q1993,""))</f>
        <v/>
      </c>
      <c r="T1993" s="26">
        <f>IF(S1993="","","Sim")</f>
        <v/>
      </c>
      <c r="U1993" s="41">
        <f>IF(T1993="Sim",S1993+ROW()/100000,0)</f>
        <v>0</v>
      </c>
      <c r="V1993" s="41">
        <f>IF(AND(H1993="Falta",L1993=Config!$B$7,M1993=Config!$B$5,COUNTIFS($E$5:E1993,E1993,$H$5:H1993,"Falta",$L$5:L1993,Config!$B$7,$M$5:M1993,Config!$B$5)=1),COUNTIFS($E$5:$E$3004,E1993,$H$5:$H$3004,"Falta",$L$5:$L$3004,Config!$B$7,$M$5:$M$3004,Config!$B$5)*1000-ROW()/100000,0)</f>
        <v>0</v>
      </c>
    </row>
    <row r="1994">
      <c r="A1994" s="39" t="n"/>
      <c r="B1994" s="40" t="n"/>
      <c r="C1994" s="35" t="n"/>
      <c r="D1994" s="35" t="n"/>
      <c r="E1994" s="34" t="n"/>
      <c r="F1994" s="35" t="n"/>
      <c r="G1994" s="35" t="n"/>
      <c r="H1994" s="35" t="n"/>
      <c r="I1994" s="35" t="n"/>
      <c r="J1994" s="35" t="n"/>
      <c r="K1994" s="34" t="n"/>
      <c r="L1994" s="26">
        <f>IF(A1994="","",MONTH(A1994))</f>
        <v/>
      </c>
      <c r="M1994" s="26">
        <f>IF(A1994="","",YEAR(A1994))</f>
        <v/>
      </c>
      <c r="N1994" s="26">
        <f>IF(A1994="","",CHOOSE(WEEKDAY(A1994,2),"Segunda","Terça","Quarta","Quinta","Sexta","Sábado","Domingo"))</f>
        <v/>
      </c>
      <c r="O1994" s="26">
        <f>IF(B1994="","",IF(B1994&lt;TIME(12,0,0),"Manhã",IF(B1994&lt;TIME(18,0,0),"Tarde","Noite")))</f>
        <v/>
      </c>
      <c r="P1994" s="32">
        <f>IF(G1994="","",IFERROR(INDEX(Config!$I$5:$I$16,MATCH(G1994,Config!$H$5:$H$16,0)),0))</f>
        <v/>
      </c>
      <c r="Q1994" s="30">
        <f>IF(OR(H1994&lt;&gt;"Realizado",P1994="",P1994=0),"",A1994+P1994)</f>
        <v/>
      </c>
      <c r="R1994" s="26">
        <f>IF(Q1994="","",IF(COUNTIFS($E$5:$E$3004,E1994,$A$5:$A$3004,"&gt;"&amp;A1994,$H$5:$H$3004,"&lt;&gt;Falta",$H$5:$H$3004,"&lt;&gt;Cancelado",$H$5:$H$3004,"&lt;&gt;Remarcado")&gt;0,"Sim","Não"))</f>
        <v/>
      </c>
      <c r="S1994" s="32">
        <f>IF(R1994&lt;&gt;"Não","",IF(Q1994+Config!$B$9&lt;=Config!$B$8,Config!$B$8-Q1994,""))</f>
        <v/>
      </c>
      <c r="T1994" s="26">
        <f>IF(S1994="","","Sim")</f>
        <v/>
      </c>
      <c r="U1994" s="41">
        <f>IF(T1994="Sim",S1994+ROW()/100000,0)</f>
        <v>0</v>
      </c>
      <c r="V1994" s="41">
        <f>IF(AND(H1994="Falta",L1994=Config!$B$7,M1994=Config!$B$5,COUNTIFS($E$5:E1994,E1994,$H$5:H1994,"Falta",$L$5:L1994,Config!$B$7,$M$5:M1994,Config!$B$5)=1),COUNTIFS($E$5:$E$3004,E1994,$H$5:$H$3004,"Falta",$L$5:$L$3004,Config!$B$7,$M$5:$M$3004,Config!$B$5)*1000-ROW()/100000,0)</f>
        <v>0</v>
      </c>
    </row>
    <row r="1995">
      <c r="A1995" s="39" t="n"/>
      <c r="B1995" s="40" t="n"/>
      <c r="C1995" s="35" t="n"/>
      <c r="D1995" s="35" t="n"/>
      <c r="E1995" s="34" t="n"/>
      <c r="F1995" s="35" t="n"/>
      <c r="G1995" s="35" t="n"/>
      <c r="H1995" s="35" t="n"/>
      <c r="I1995" s="35" t="n"/>
      <c r="J1995" s="35" t="n"/>
      <c r="K1995" s="34" t="n"/>
      <c r="L1995" s="26">
        <f>IF(A1995="","",MONTH(A1995))</f>
        <v/>
      </c>
      <c r="M1995" s="26">
        <f>IF(A1995="","",YEAR(A1995))</f>
        <v/>
      </c>
      <c r="N1995" s="26">
        <f>IF(A1995="","",CHOOSE(WEEKDAY(A1995,2),"Segunda","Terça","Quarta","Quinta","Sexta","Sábado","Domingo"))</f>
        <v/>
      </c>
      <c r="O1995" s="26">
        <f>IF(B1995="","",IF(B1995&lt;TIME(12,0,0),"Manhã",IF(B1995&lt;TIME(18,0,0),"Tarde","Noite")))</f>
        <v/>
      </c>
      <c r="P1995" s="32">
        <f>IF(G1995="","",IFERROR(INDEX(Config!$I$5:$I$16,MATCH(G1995,Config!$H$5:$H$16,0)),0))</f>
        <v/>
      </c>
      <c r="Q1995" s="30">
        <f>IF(OR(H1995&lt;&gt;"Realizado",P1995="",P1995=0),"",A1995+P1995)</f>
        <v/>
      </c>
      <c r="R1995" s="26">
        <f>IF(Q1995="","",IF(COUNTIFS($E$5:$E$3004,E1995,$A$5:$A$3004,"&gt;"&amp;A1995,$H$5:$H$3004,"&lt;&gt;Falta",$H$5:$H$3004,"&lt;&gt;Cancelado",$H$5:$H$3004,"&lt;&gt;Remarcado")&gt;0,"Sim","Não"))</f>
        <v/>
      </c>
      <c r="S1995" s="32">
        <f>IF(R1995&lt;&gt;"Não","",IF(Q1995+Config!$B$9&lt;=Config!$B$8,Config!$B$8-Q1995,""))</f>
        <v/>
      </c>
      <c r="T1995" s="26">
        <f>IF(S1995="","","Sim")</f>
        <v/>
      </c>
      <c r="U1995" s="41">
        <f>IF(T1995="Sim",S1995+ROW()/100000,0)</f>
        <v>0</v>
      </c>
      <c r="V1995" s="41">
        <f>IF(AND(H1995="Falta",L1995=Config!$B$7,M1995=Config!$B$5,COUNTIFS($E$5:E1995,E1995,$H$5:H1995,"Falta",$L$5:L1995,Config!$B$7,$M$5:M1995,Config!$B$5)=1),COUNTIFS($E$5:$E$3004,E1995,$H$5:$H$3004,"Falta",$L$5:$L$3004,Config!$B$7,$M$5:$M$3004,Config!$B$5)*1000-ROW()/100000,0)</f>
        <v>0</v>
      </c>
    </row>
    <row r="1996">
      <c r="A1996" s="39" t="n"/>
      <c r="B1996" s="40" t="n"/>
      <c r="C1996" s="35" t="n"/>
      <c r="D1996" s="35" t="n"/>
      <c r="E1996" s="34" t="n"/>
      <c r="F1996" s="35" t="n"/>
      <c r="G1996" s="35" t="n"/>
      <c r="H1996" s="35" t="n"/>
      <c r="I1996" s="35" t="n"/>
      <c r="J1996" s="35" t="n"/>
      <c r="K1996" s="34" t="n"/>
      <c r="L1996" s="26">
        <f>IF(A1996="","",MONTH(A1996))</f>
        <v/>
      </c>
      <c r="M1996" s="26">
        <f>IF(A1996="","",YEAR(A1996))</f>
        <v/>
      </c>
      <c r="N1996" s="26">
        <f>IF(A1996="","",CHOOSE(WEEKDAY(A1996,2),"Segunda","Terça","Quarta","Quinta","Sexta","Sábado","Domingo"))</f>
        <v/>
      </c>
      <c r="O1996" s="26">
        <f>IF(B1996="","",IF(B1996&lt;TIME(12,0,0),"Manhã",IF(B1996&lt;TIME(18,0,0),"Tarde","Noite")))</f>
        <v/>
      </c>
      <c r="P1996" s="32">
        <f>IF(G1996="","",IFERROR(INDEX(Config!$I$5:$I$16,MATCH(G1996,Config!$H$5:$H$16,0)),0))</f>
        <v/>
      </c>
      <c r="Q1996" s="30">
        <f>IF(OR(H1996&lt;&gt;"Realizado",P1996="",P1996=0),"",A1996+P1996)</f>
        <v/>
      </c>
      <c r="R1996" s="26">
        <f>IF(Q1996="","",IF(COUNTIFS($E$5:$E$3004,E1996,$A$5:$A$3004,"&gt;"&amp;A1996,$H$5:$H$3004,"&lt;&gt;Falta",$H$5:$H$3004,"&lt;&gt;Cancelado",$H$5:$H$3004,"&lt;&gt;Remarcado")&gt;0,"Sim","Não"))</f>
        <v/>
      </c>
      <c r="S1996" s="32">
        <f>IF(R1996&lt;&gt;"Não","",IF(Q1996+Config!$B$9&lt;=Config!$B$8,Config!$B$8-Q1996,""))</f>
        <v/>
      </c>
      <c r="T1996" s="26">
        <f>IF(S1996="","","Sim")</f>
        <v/>
      </c>
      <c r="U1996" s="41">
        <f>IF(T1996="Sim",S1996+ROW()/100000,0)</f>
        <v>0</v>
      </c>
      <c r="V1996" s="41">
        <f>IF(AND(H1996="Falta",L1996=Config!$B$7,M1996=Config!$B$5,COUNTIFS($E$5:E1996,E1996,$H$5:H1996,"Falta",$L$5:L1996,Config!$B$7,$M$5:M1996,Config!$B$5)=1),COUNTIFS($E$5:$E$3004,E1996,$H$5:$H$3004,"Falta",$L$5:$L$3004,Config!$B$7,$M$5:$M$3004,Config!$B$5)*1000-ROW()/100000,0)</f>
        <v>0</v>
      </c>
    </row>
    <row r="1997">
      <c r="A1997" s="39" t="n"/>
      <c r="B1997" s="40" t="n"/>
      <c r="C1997" s="35" t="n"/>
      <c r="D1997" s="35" t="n"/>
      <c r="E1997" s="34" t="n"/>
      <c r="F1997" s="35" t="n"/>
      <c r="G1997" s="35" t="n"/>
      <c r="H1997" s="35" t="n"/>
      <c r="I1997" s="35" t="n"/>
      <c r="J1997" s="35" t="n"/>
      <c r="K1997" s="34" t="n"/>
      <c r="L1997" s="26">
        <f>IF(A1997="","",MONTH(A1997))</f>
        <v/>
      </c>
      <c r="M1997" s="26">
        <f>IF(A1997="","",YEAR(A1997))</f>
        <v/>
      </c>
      <c r="N1997" s="26">
        <f>IF(A1997="","",CHOOSE(WEEKDAY(A1997,2),"Segunda","Terça","Quarta","Quinta","Sexta","Sábado","Domingo"))</f>
        <v/>
      </c>
      <c r="O1997" s="26">
        <f>IF(B1997="","",IF(B1997&lt;TIME(12,0,0),"Manhã",IF(B1997&lt;TIME(18,0,0),"Tarde","Noite")))</f>
        <v/>
      </c>
      <c r="P1997" s="32">
        <f>IF(G1997="","",IFERROR(INDEX(Config!$I$5:$I$16,MATCH(G1997,Config!$H$5:$H$16,0)),0))</f>
        <v/>
      </c>
      <c r="Q1997" s="30">
        <f>IF(OR(H1997&lt;&gt;"Realizado",P1997="",P1997=0),"",A1997+P1997)</f>
        <v/>
      </c>
      <c r="R1997" s="26">
        <f>IF(Q1997="","",IF(COUNTIFS($E$5:$E$3004,E1997,$A$5:$A$3004,"&gt;"&amp;A1997,$H$5:$H$3004,"&lt;&gt;Falta",$H$5:$H$3004,"&lt;&gt;Cancelado",$H$5:$H$3004,"&lt;&gt;Remarcado")&gt;0,"Sim","Não"))</f>
        <v/>
      </c>
      <c r="S1997" s="32">
        <f>IF(R1997&lt;&gt;"Não","",IF(Q1997+Config!$B$9&lt;=Config!$B$8,Config!$B$8-Q1997,""))</f>
        <v/>
      </c>
      <c r="T1997" s="26">
        <f>IF(S1997="","","Sim")</f>
        <v/>
      </c>
      <c r="U1997" s="41">
        <f>IF(T1997="Sim",S1997+ROW()/100000,0)</f>
        <v>0</v>
      </c>
      <c r="V1997" s="41">
        <f>IF(AND(H1997="Falta",L1997=Config!$B$7,M1997=Config!$B$5,COUNTIFS($E$5:E1997,E1997,$H$5:H1997,"Falta",$L$5:L1997,Config!$B$7,$M$5:M1997,Config!$B$5)=1),COUNTIFS($E$5:$E$3004,E1997,$H$5:$H$3004,"Falta",$L$5:$L$3004,Config!$B$7,$M$5:$M$3004,Config!$B$5)*1000-ROW()/100000,0)</f>
        <v>0</v>
      </c>
    </row>
    <row r="1998">
      <c r="A1998" s="39" t="n"/>
      <c r="B1998" s="40" t="n"/>
      <c r="C1998" s="35" t="n"/>
      <c r="D1998" s="35" t="n"/>
      <c r="E1998" s="34" t="n"/>
      <c r="F1998" s="35" t="n"/>
      <c r="G1998" s="35" t="n"/>
      <c r="H1998" s="35" t="n"/>
      <c r="I1998" s="35" t="n"/>
      <c r="J1998" s="35" t="n"/>
      <c r="K1998" s="34" t="n"/>
      <c r="L1998" s="26">
        <f>IF(A1998="","",MONTH(A1998))</f>
        <v/>
      </c>
      <c r="M1998" s="26">
        <f>IF(A1998="","",YEAR(A1998))</f>
        <v/>
      </c>
      <c r="N1998" s="26">
        <f>IF(A1998="","",CHOOSE(WEEKDAY(A1998,2),"Segunda","Terça","Quarta","Quinta","Sexta","Sábado","Domingo"))</f>
        <v/>
      </c>
      <c r="O1998" s="26">
        <f>IF(B1998="","",IF(B1998&lt;TIME(12,0,0),"Manhã",IF(B1998&lt;TIME(18,0,0),"Tarde","Noite")))</f>
        <v/>
      </c>
      <c r="P1998" s="32">
        <f>IF(G1998="","",IFERROR(INDEX(Config!$I$5:$I$16,MATCH(G1998,Config!$H$5:$H$16,0)),0))</f>
        <v/>
      </c>
      <c r="Q1998" s="30">
        <f>IF(OR(H1998&lt;&gt;"Realizado",P1998="",P1998=0),"",A1998+P1998)</f>
        <v/>
      </c>
      <c r="R1998" s="26">
        <f>IF(Q1998="","",IF(COUNTIFS($E$5:$E$3004,E1998,$A$5:$A$3004,"&gt;"&amp;A1998,$H$5:$H$3004,"&lt;&gt;Falta",$H$5:$H$3004,"&lt;&gt;Cancelado",$H$5:$H$3004,"&lt;&gt;Remarcado")&gt;0,"Sim","Não"))</f>
        <v/>
      </c>
      <c r="S1998" s="32">
        <f>IF(R1998&lt;&gt;"Não","",IF(Q1998+Config!$B$9&lt;=Config!$B$8,Config!$B$8-Q1998,""))</f>
        <v/>
      </c>
      <c r="T1998" s="26">
        <f>IF(S1998="","","Sim")</f>
        <v/>
      </c>
      <c r="U1998" s="41">
        <f>IF(T1998="Sim",S1998+ROW()/100000,0)</f>
        <v>0</v>
      </c>
      <c r="V1998" s="41">
        <f>IF(AND(H1998="Falta",L1998=Config!$B$7,M1998=Config!$B$5,COUNTIFS($E$5:E1998,E1998,$H$5:H1998,"Falta",$L$5:L1998,Config!$B$7,$M$5:M1998,Config!$B$5)=1),COUNTIFS($E$5:$E$3004,E1998,$H$5:$H$3004,"Falta",$L$5:$L$3004,Config!$B$7,$M$5:$M$3004,Config!$B$5)*1000-ROW()/100000,0)</f>
        <v>0</v>
      </c>
    </row>
    <row r="1999">
      <c r="A1999" s="39" t="n"/>
      <c r="B1999" s="40" t="n"/>
      <c r="C1999" s="35" t="n"/>
      <c r="D1999" s="35" t="n"/>
      <c r="E1999" s="34" t="n"/>
      <c r="F1999" s="35" t="n"/>
      <c r="G1999" s="35" t="n"/>
      <c r="H1999" s="35" t="n"/>
      <c r="I1999" s="35" t="n"/>
      <c r="J1999" s="35" t="n"/>
      <c r="K1999" s="34" t="n"/>
      <c r="L1999" s="26">
        <f>IF(A1999="","",MONTH(A1999))</f>
        <v/>
      </c>
      <c r="M1999" s="26">
        <f>IF(A1999="","",YEAR(A1999))</f>
        <v/>
      </c>
      <c r="N1999" s="26">
        <f>IF(A1999="","",CHOOSE(WEEKDAY(A1999,2),"Segunda","Terça","Quarta","Quinta","Sexta","Sábado","Domingo"))</f>
        <v/>
      </c>
      <c r="O1999" s="26">
        <f>IF(B1999="","",IF(B1999&lt;TIME(12,0,0),"Manhã",IF(B1999&lt;TIME(18,0,0),"Tarde","Noite")))</f>
        <v/>
      </c>
      <c r="P1999" s="32">
        <f>IF(G1999="","",IFERROR(INDEX(Config!$I$5:$I$16,MATCH(G1999,Config!$H$5:$H$16,0)),0))</f>
        <v/>
      </c>
      <c r="Q1999" s="30">
        <f>IF(OR(H1999&lt;&gt;"Realizado",P1999="",P1999=0),"",A1999+P1999)</f>
        <v/>
      </c>
      <c r="R1999" s="26">
        <f>IF(Q1999="","",IF(COUNTIFS($E$5:$E$3004,E1999,$A$5:$A$3004,"&gt;"&amp;A1999,$H$5:$H$3004,"&lt;&gt;Falta",$H$5:$H$3004,"&lt;&gt;Cancelado",$H$5:$H$3004,"&lt;&gt;Remarcado")&gt;0,"Sim","Não"))</f>
        <v/>
      </c>
      <c r="S1999" s="32">
        <f>IF(R1999&lt;&gt;"Não","",IF(Q1999+Config!$B$9&lt;=Config!$B$8,Config!$B$8-Q1999,""))</f>
        <v/>
      </c>
      <c r="T1999" s="26">
        <f>IF(S1999="","","Sim")</f>
        <v/>
      </c>
      <c r="U1999" s="41">
        <f>IF(T1999="Sim",S1999+ROW()/100000,0)</f>
        <v>0</v>
      </c>
      <c r="V1999" s="41">
        <f>IF(AND(H1999="Falta",L1999=Config!$B$7,M1999=Config!$B$5,COUNTIFS($E$5:E1999,E1999,$H$5:H1999,"Falta",$L$5:L1999,Config!$B$7,$M$5:M1999,Config!$B$5)=1),COUNTIFS($E$5:$E$3004,E1999,$H$5:$H$3004,"Falta",$L$5:$L$3004,Config!$B$7,$M$5:$M$3004,Config!$B$5)*1000-ROW()/100000,0)</f>
        <v>0</v>
      </c>
    </row>
    <row r="2000">
      <c r="A2000" s="39" t="n"/>
      <c r="B2000" s="40" t="n"/>
      <c r="C2000" s="35" t="n"/>
      <c r="D2000" s="35" t="n"/>
      <c r="E2000" s="34" t="n"/>
      <c r="F2000" s="35" t="n"/>
      <c r="G2000" s="35" t="n"/>
      <c r="H2000" s="35" t="n"/>
      <c r="I2000" s="35" t="n"/>
      <c r="J2000" s="35" t="n"/>
      <c r="K2000" s="34" t="n"/>
      <c r="L2000" s="26">
        <f>IF(A2000="","",MONTH(A2000))</f>
        <v/>
      </c>
      <c r="M2000" s="26">
        <f>IF(A2000="","",YEAR(A2000))</f>
        <v/>
      </c>
      <c r="N2000" s="26">
        <f>IF(A2000="","",CHOOSE(WEEKDAY(A2000,2),"Segunda","Terça","Quarta","Quinta","Sexta","Sábado","Domingo"))</f>
        <v/>
      </c>
      <c r="O2000" s="26">
        <f>IF(B2000="","",IF(B2000&lt;TIME(12,0,0),"Manhã",IF(B2000&lt;TIME(18,0,0),"Tarde","Noite")))</f>
        <v/>
      </c>
      <c r="P2000" s="32">
        <f>IF(G2000="","",IFERROR(INDEX(Config!$I$5:$I$16,MATCH(G2000,Config!$H$5:$H$16,0)),0))</f>
        <v/>
      </c>
      <c r="Q2000" s="30">
        <f>IF(OR(H2000&lt;&gt;"Realizado",P2000="",P2000=0),"",A2000+P2000)</f>
        <v/>
      </c>
      <c r="R2000" s="26">
        <f>IF(Q2000="","",IF(COUNTIFS($E$5:$E$3004,E2000,$A$5:$A$3004,"&gt;"&amp;A2000,$H$5:$H$3004,"&lt;&gt;Falta",$H$5:$H$3004,"&lt;&gt;Cancelado",$H$5:$H$3004,"&lt;&gt;Remarcado")&gt;0,"Sim","Não"))</f>
        <v/>
      </c>
      <c r="S2000" s="32">
        <f>IF(R2000&lt;&gt;"Não","",IF(Q2000+Config!$B$9&lt;=Config!$B$8,Config!$B$8-Q2000,""))</f>
        <v/>
      </c>
      <c r="T2000" s="26">
        <f>IF(S2000="","","Sim")</f>
        <v/>
      </c>
      <c r="U2000" s="41">
        <f>IF(T2000="Sim",S2000+ROW()/100000,0)</f>
        <v>0</v>
      </c>
      <c r="V2000" s="41">
        <f>IF(AND(H2000="Falta",L2000=Config!$B$7,M2000=Config!$B$5,COUNTIFS($E$5:E2000,E2000,$H$5:H2000,"Falta",$L$5:L2000,Config!$B$7,$M$5:M2000,Config!$B$5)=1),COUNTIFS($E$5:$E$3004,E2000,$H$5:$H$3004,"Falta",$L$5:$L$3004,Config!$B$7,$M$5:$M$3004,Config!$B$5)*1000-ROW()/100000,0)</f>
        <v>0</v>
      </c>
    </row>
    <row r="2001">
      <c r="A2001" s="39" t="n"/>
      <c r="B2001" s="40" t="n"/>
      <c r="C2001" s="35" t="n"/>
      <c r="D2001" s="35" t="n"/>
      <c r="E2001" s="34" t="n"/>
      <c r="F2001" s="35" t="n"/>
      <c r="G2001" s="35" t="n"/>
      <c r="H2001" s="35" t="n"/>
      <c r="I2001" s="35" t="n"/>
      <c r="J2001" s="35" t="n"/>
      <c r="K2001" s="34" t="n"/>
      <c r="L2001" s="26">
        <f>IF(A2001="","",MONTH(A2001))</f>
        <v/>
      </c>
      <c r="M2001" s="26">
        <f>IF(A2001="","",YEAR(A2001))</f>
        <v/>
      </c>
      <c r="N2001" s="26">
        <f>IF(A2001="","",CHOOSE(WEEKDAY(A2001,2),"Segunda","Terça","Quarta","Quinta","Sexta","Sábado","Domingo"))</f>
        <v/>
      </c>
      <c r="O2001" s="26">
        <f>IF(B2001="","",IF(B2001&lt;TIME(12,0,0),"Manhã",IF(B2001&lt;TIME(18,0,0),"Tarde","Noite")))</f>
        <v/>
      </c>
      <c r="P2001" s="32">
        <f>IF(G2001="","",IFERROR(INDEX(Config!$I$5:$I$16,MATCH(G2001,Config!$H$5:$H$16,0)),0))</f>
        <v/>
      </c>
      <c r="Q2001" s="30">
        <f>IF(OR(H2001&lt;&gt;"Realizado",P2001="",P2001=0),"",A2001+P2001)</f>
        <v/>
      </c>
      <c r="R2001" s="26">
        <f>IF(Q2001="","",IF(COUNTIFS($E$5:$E$3004,E2001,$A$5:$A$3004,"&gt;"&amp;A2001,$H$5:$H$3004,"&lt;&gt;Falta",$H$5:$H$3004,"&lt;&gt;Cancelado",$H$5:$H$3004,"&lt;&gt;Remarcado")&gt;0,"Sim","Não"))</f>
        <v/>
      </c>
      <c r="S2001" s="32">
        <f>IF(R2001&lt;&gt;"Não","",IF(Q2001+Config!$B$9&lt;=Config!$B$8,Config!$B$8-Q2001,""))</f>
        <v/>
      </c>
      <c r="T2001" s="26">
        <f>IF(S2001="","","Sim")</f>
        <v/>
      </c>
      <c r="U2001" s="41">
        <f>IF(T2001="Sim",S2001+ROW()/100000,0)</f>
        <v>0</v>
      </c>
      <c r="V2001" s="41">
        <f>IF(AND(H2001="Falta",L2001=Config!$B$7,M2001=Config!$B$5,COUNTIFS($E$5:E2001,E2001,$H$5:H2001,"Falta",$L$5:L2001,Config!$B$7,$M$5:M2001,Config!$B$5)=1),COUNTIFS($E$5:$E$3004,E2001,$H$5:$H$3004,"Falta",$L$5:$L$3004,Config!$B$7,$M$5:$M$3004,Config!$B$5)*1000-ROW()/100000,0)</f>
        <v>0</v>
      </c>
    </row>
    <row r="2002">
      <c r="A2002" s="39" t="n"/>
      <c r="B2002" s="40" t="n"/>
      <c r="C2002" s="35" t="n"/>
      <c r="D2002" s="35" t="n"/>
      <c r="E2002" s="34" t="n"/>
      <c r="F2002" s="35" t="n"/>
      <c r="G2002" s="35" t="n"/>
      <c r="H2002" s="35" t="n"/>
      <c r="I2002" s="35" t="n"/>
      <c r="J2002" s="35" t="n"/>
      <c r="K2002" s="34" t="n"/>
      <c r="L2002" s="26">
        <f>IF(A2002="","",MONTH(A2002))</f>
        <v/>
      </c>
      <c r="M2002" s="26">
        <f>IF(A2002="","",YEAR(A2002))</f>
        <v/>
      </c>
      <c r="N2002" s="26">
        <f>IF(A2002="","",CHOOSE(WEEKDAY(A2002,2),"Segunda","Terça","Quarta","Quinta","Sexta","Sábado","Domingo"))</f>
        <v/>
      </c>
      <c r="O2002" s="26">
        <f>IF(B2002="","",IF(B2002&lt;TIME(12,0,0),"Manhã",IF(B2002&lt;TIME(18,0,0),"Tarde","Noite")))</f>
        <v/>
      </c>
      <c r="P2002" s="32">
        <f>IF(G2002="","",IFERROR(INDEX(Config!$I$5:$I$16,MATCH(G2002,Config!$H$5:$H$16,0)),0))</f>
        <v/>
      </c>
      <c r="Q2002" s="30">
        <f>IF(OR(H2002&lt;&gt;"Realizado",P2002="",P2002=0),"",A2002+P2002)</f>
        <v/>
      </c>
      <c r="R2002" s="26">
        <f>IF(Q2002="","",IF(COUNTIFS($E$5:$E$3004,E2002,$A$5:$A$3004,"&gt;"&amp;A2002,$H$5:$H$3004,"&lt;&gt;Falta",$H$5:$H$3004,"&lt;&gt;Cancelado",$H$5:$H$3004,"&lt;&gt;Remarcado")&gt;0,"Sim","Não"))</f>
        <v/>
      </c>
      <c r="S2002" s="32">
        <f>IF(R2002&lt;&gt;"Não","",IF(Q2002+Config!$B$9&lt;=Config!$B$8,Config!$B$8-Q2002,""))</f>
        <v/>
      </c>
      <c r="T2002" s="26">
        <f>IF(S2002="","","Sim")</f>
        <v/>
      </c>
      <c r="U2002" s="41">
        <f>IF(T2002="Sim",S2002+ROW()/100000,0)</f>
        <v>0</v>
      </c>
      <c r="V2002" s="41">
        <f>IF(AND(H2002="Falta",L2002=Config!$B$7,M2002=Config!$B$5,COUNTIFS($E$5:E2002,E2002,$H$5:H2002,"Falta",$L$5:L2002,Config!$B$7,$M$5:M2002,Config!$B$5)=1),COUNTIFS($E$5:$E$3004,E2002,$H$5:$H$3004,"Falta",$L$5:$L$3004,Config!$B$7,$M$5:$M$3004,Config!$B$5)*1000-ROW()/100000,0)</f>
        <v>0</v>
      </c>
    </row>
    <row r="2003">
      <c r="A2003" s="39" t="n"/>
      <c r="B2003" s="40" t="n"/>
      <c r="C2003" s="35" t="n"/>
      <c r="D2003" s="35" t="n"/>
      <c r="E2003" s="34" t="n"/>
      <c r="F2003" s="35" t="n"/>
      <c r="G2003" s="35" t="n"/>
      <c r="H2003" s="35" t="n"/>
      <c r="I2003" s="35" t="n"/>
      <c r="J2003" s="35" t="n"/>
      <c r="K2003" s="34" t="n"/>
      <c r="L2003" s="26">
        <f>IF(A2003="","",MONTH(A2003))</f>
        <v/>
      </c>
      <c r="M2003" s="26">
        <f>IF(A2003="","",YEAR(A2003))</f>
        <v/>
      </c>
      <c r="N2003" s="26">
        <f>IF(A2003="","",CHOOSE(WEEKDAY(A2003,2),"Segunda","Terça","Quarta","Quinta","Sexta","Sábado","Domingo"))</f>
        <v/>
      </c>
      <c r="O2003" s="26">
        <f>IF(B2003="","",IF(B2003&lt;TIME(12,0,0),"Manhã",IF(B2003&lt;TIME(18,0,0),"Tarde","Noite")))</f>
        <v/>
      </c>
      <c r="P2003" s="32">
        <f>IF(G2003="","",IFERROR(INDEX(Config!$I$5:$I$16,MATCH(G2003,Config!$H$5:$H$16,0)),0))</f>
        <v/>
      </c>
      <c r="Q2003" s="30">
        <f>IF(OR(H2003&lt;&gt;"Realizado",P2003="",P2003=0),"",A2003+P2003)</f>
        <v/>
      </c>
      <c r="R2003" s="26">
        <f>IF(Q2003="","",IF(COUNTIFS($E$5:$E$3004,E2003,$A$5:$A$3004,"&gt;"&amp;A2003,$H$5:$H$3004,"&lt;&gt;Falta",$H$5:$H$3004,"&lt;&gt;Cancelado",$H$5:$H$3004,"&lt;&gt;Remarcado")&gt;0,"Sim","Não"))</f>
        <v/>
      </c>
      <c r="S2003" s="32">
        <f>IF(R2003&lt;&gt;"Não","",IF(Q2003+Config!$B$9&lt;=Config!$B$8,Config!$B$8-Q2003,""))</f>
        <v/>
      </c>
      <c r="T2003" s="26">
        <f>IF(S2003="","","Sim")</f>
        <v/>
      </c>
      <c r="U2003" s="41">
        <f>IF(T2003="Sim",S2003+ROW()/100000,0)</f>
        <v>0</v>
      </c>
      <c r="V2003" s="41">
        <f>IF(AND(H2003="Falta",L2003=Config!$B$7,M2003=Config!$B$5,COUNTIFS($E$5:E2003,E2003,$H$5:H2003,"Falta",$L$5:L2003,Config!$B$7,$M$5:M2003,Config!$B$5)=1),COUNTIFS($E$5:$E$3004,E2003,$H$5:$H$3004,"Falta",$L$5:$L$3004,Config!$B$7,$M$5:$M$3004,Config!$B$5)*1000-ROW()/100000,0)</f>
        <v>0</v>
      </c>
    </row>
    <row r="2004">
      <c r="A2004" s="39" t="n"/>
      <c r="B2004" s="40" t="n"/>
      <c r="C2004" s="35" t="n"/>
      <c r="D2004" s="35" t="n"/>
      <c r="E2004" s="34" t="n"/>
      <c r="F2004" s="35" t="n"/>
      <c r="G2004" s="35" t="n"/>
      <c r="H2004" s="35" t="n"/>
      <c r="I2004" s="35" t="n"/>
      <c r="J2004" s="35" t="n"/>
      <c r="K2004" s="34" t="n"/>
      <c r="L2004" s="26">
        <f>IF(A2004="","",MONTH(A2004))</f>
        <v/>
      </c>
      <c r="M2004" s="26">
        <f>IF(A2004="","",YEAR(A2004))</f>
        <v/>
      </c>
      <c r="N2004" s="26">
        <f>IF(A2004="","",CHOOSE(WEEKDAY(A2004,2),"Segunda","Terça","Quarta","Quinta","Sexta","Sábado","Domingo"))</f>
        <v/>
      </c>
      <c r="O2004" s="26">
        <f>IF(B2004="","",IF(B2004&lt;TIME(12,0,0),"Manhã",IF(B2004&lt;TIME(18,0,0),"Tarde","Noite")))</f>
        <v/>
      </c>
      <c r="P2004" s="32">
        <f>IF(G2004="","",IFERROR(INDEX(Config!$I$5:$I$16,MATCH(G2004,Config!$H$5:$H$16,0)),0))</f>
        <v/>
      </c>
      <c r="Q2004" s="30">
        <f>IF(OR(H2004&lt;&gt;"Realizado",P2004="",P2004=0),"",A2004+P2004)</f>
        <v/>
      </c>
      <c r="R2004" s="26">
        <f>IF(Q2004="","",IF(COUNTIFS($E$5:$E$3004,E2004,$A$5:$A$3004,"&gt;"&amp;A2004,$H$5:$H$3004,"&lt;&gt;Falta",$H$5:$H$3004,"&lt;&gt;Cancelado",$H$5:$H$3004,"&lt;&gt;Remarcado")&gt;0,"Sim","Não"))</f>
        <v/>
      </c>
      <c r="S2004" s="32">
        <f>IF(R2004&lt;&gt;"Não","",IF(Q2004+Config!$B$9&lt;=Config!$B$8,Config!$B$8-Q2004,""))</f>
        <v/>
      </c>
      <c r="T2004" s="26">
        <f>IF(S2004="","","Sim")</f>
        <v/>
      </c>
      <c r="U2004" s="41">
        <f>IF(T2004="Sim",S2004+ROW()/100000,0)</f>
        <v>0</v>
      </c>
      <c r="V2004" s="41">
        <f>IF(AND(H2004="Falta",L2004=Config!$B$7,M2004=Config!$B$5,COUNTIFS($E$5:E2004,E2004,$H$5:H2004,"Falta",$L$5:L2004,Config!$B$7,$M$5:M2004,Config!$B$5)=1),COUNTIFS($E$5:$E$3004,E2004,$H$5:$H$3004,"Falta",$L$5:$L$3004,Config!$B$7,$M$5:$M$3004,Config!$B$5)*1000-ROW()/100000,0)</f>
        <v>0</v>
      </c>
    </row>
    <row r="2005">
      <c r="A2005" s="39" t="n"/>
      <c r="B2005" s="40" t="n"/>
      <c r="C2005" s="35" t="n"/>
      <c r="D2005" s="35" t="n"/>
      <c r="E2005" s="34" t="n"/>
      <c r="F2005" s="35" t="n"/>
      <c r="G2005" s="35" t="n"/>
      <c r="H2005" s="35" t="n"/>
      <c r="I2005" s="35" t="n"/>
      <c r="J2005" s="35" t="n"/>
      <c r="K2005" s="34" t="n"/>
      <c r="L2005" s="26">
        <f>IF(A2005="","",MONTH(A2005))</f>
        <v/>
      </c>
      <c r="M2005" s="26">
        <f>IF(A2005="","",YEAR(A2005))</f>
        <v/>
      </c>
      <c r="N2005" s="26">
        <f>IF(A2005="","",CHOOSE(WEEKDAY(A2005,2),"Segunda","Terça","Quarta","Quinta","Sexta","Sábado","Domingo"))</f>
        <v/>
      </c>
      <c r="O2005" s="26">
        <f>IF(B2005="","",IF(B2005&lt;TIME(12,0,0),"Manhã",IF(B2005&lt;TIME(18,0,0),"Tarde","Noite")))</f>
        <v/>
      </c>
      <c r="P2005" s="32">
        <f>IF(G2005="","",IFERROR(INDEX(Config!$I$5:$I$16,MATCH(G2005,Config!$H$5:$H$16,0)),0))</f>
        <v/>
      </c>
      <c r="Q2005" s="30">
        <f>IF(OR(H2005&lt;&gt;"Realizado",P2005="",P2005=0),"",A2005+P2005)</f>
        <v/>
      </c>
      <c r="R2005" s="26">
        <f>IF(Q2005="","",IF(COUNTIFS($E$5:$E$3004,E2005,$A$5:$A$3004,"&gt;"&amp;A2005,$H$5:$H$3004,"&lt;&gt;Falta",$H$5:$H$3004,"&lt;&gt;Cancelado",$H$5:$H$3004,"&lt;&gt;Remarcado")&gt;0,"Sim","Não"))</f>
        <v/>
      </c>
      <c r="S2005" s="32">
        <f>IF(R2005&lt;&gt;"Não","",IF(Q2005+Config!$B$9&lt;=Config!$B$8,Config!$B$8-Q2005,""))</f>
        <v/>
      </c>
      <c r="T2005" s="26">
        <f>IF(S2005="","","Sim")</f>
        <v/>
      </c>
      <c r="U2005" s="41">
        <f>IF(T2005="Sim",S2005+ROW()/100000,0)</f>
        <v>0</v>
      </c>
      <c r="V2005" s="41">
        <f>IF(AND(H2005="Falta",L2005=Config!$B$7,M2005=Config!$B$5,COUNTIFS($E$5:E2005,E2005,$H$5:H2005,"Falta",$L$5:L2005,Config!$B$7,$M$5:M2005,Config!$B$5)=1),COUNTIFS($E$5:$E$3004,E2005,$H$5:$H$3004,"Falta",$L$5:$L$3004,Config!$B$7,$M$5:$M$3004,Config!$B$5)*1000-ROW()/100000,0)</f>
        <v>0</v>
      </c>
    </row>
    <row r="2006">
      <c r="A2006" s="39" t="n"/>
      <c r="B2006" s="40" t="n"/>
      <c r="C2006" s="35" t="n"/>
      <c r="D2006" s="35" t="n"/>
      <c r="E2006" s="34" t="n"/>
      <c r="F2006" s="35" t="n"/>
      <c r="G2006" s="35" t="n"/>
      <c r="H2006" s="35" t="n"/>
      <c r="I2006" s="35" t="n"/>
      <c r="J2006" s="35" t="n"/>
      <c r="K2006" s="34" t="n"/>
      <c r="L2006" s="26">
        <f>IF(A2006="","",MONTH(A2006))</f>
        <v/>
      </c>
      <c r="M2006" s="26">
        <f>IF(A2006="","",YEAR(A2006))</f>
        <v/>
      </c>
      <c r="N2006" s="26">
        <f>IF(A2006="","",CHOOSE(WEEKDAY(A2006,2),"Segunda","Terça","Quarta","Quinta","Sexta","Sábado","Domingo"))</f>
        <v/>
      </c>
      <c r="O2006" s="26">
        <f>IF(B2006="","",IF(B2006&lt;TIME(12,0,0),"Manhã",IF(B2006&lt;TIME(18,0,0),"Tarde","Noite")))</f>
        <v/>
      </c>
      <c r="P2006" s="32">
        <f>IF(G2006="","",IFERROR(INDEX(Config!$I$5:$I$16,MATCH(G2006,Config!$H$5:$H$16,0)),0))</f>
        <v/>
      </c>
      <c r="Q2006" s="30">
        <f>IF(OR(H2006&lt;&gt;"Realizado",P2006="",P2006=0),"",A2006+P2006)</f>
        <v/>
      </c>
      <c r="R2006" s="26">
        <f>IF(Q2006="","",IF(COUNTIFS($E$5:$E$3004,E2006,$A$5:$A$3004,"&gt;"&amp;A2006,$H$5:$H$3004,"&lt;&gt;Falta",$H$5:$H$3004,"&lt;&gt;Cancelado",$H$5:$H$3004,"&lt;&gt;Remarcado")&gt;0,"Sim","Não"))</f>
        <v/>
      </c>
      <c r="S2006" s="32">
        <f>IF(R2006&lt;&gt;"Não","",IF(Q2006+Config!$B$9&lt;=Config!$B$8,Config!$B$8-Q2006,""))</f>
        <v/>
      </c>
      <c r="T2006" s="26">
        <f>IF(S2006="","","Sim")</f>
        <v/>
      </c>
      <c r="U2006" s="41">
        <f>IF(T2006="Sim",S2006+ROW()/100000,0)</f>
        <v>0</v>
      </c>
      <c r="V2006" s="41">
        <f>IF(AND(H2006="Falta",L2006=Config!$B$7,M2006=Config!$B$5,COUNTIFS($E$5:E2006,E2006,$H$5:H2006,"Falta",$L$5:L2006,Config!$B$7,$M$5:M2006,Config!$B$5)=1),COUNTIFS($E$5:$E$3004,E2006,$H$5:$H$3004,"Falta",$L$5:$L$3004,Config!$B$7,$M$5:$M$3004,Config!$B$5)*1000-ROW()/100000,0)</f>
        <v>0</v>
      </c>
    </row>
    <row r="2007">
      <c r="A2007" s="39" t="n"/>
      <c r="B2007" s="40" t="n"/>
      <c r="C2007" s="35" t="n"/>
      <c r="D2007" s="35" t="n"/>
      <c r="E2007" s="34" t="n"/>
      <c r="F2007" s="35" t="n"/>
      <c r="G2007" s="35" t="n"/>
      <c r="H2007" s="35" t="n"/>
      <c r="I2007" s="35" t="n"/>
      <c r="J2007" s="35" t="n"/>
      <c r="K2007" s="34" t="n"/>
      <c r="L2007" s="26">
        <f>IF(A2007="","",MONTH(A2007))</f>
        <v/>
      </c>
      <c r="M2007" s="26">
        <f>IF(A2007="","",YEAR(A2007))</f>
        <v/>
      </c>
      <c r="N2007" s="26">
        <f>IF(A2007="","",CHOOSE(WEEKDAY(A2007,2),"Segunda","Terça","Quarta","Quinta","Sexta","Sábado","Domingo"))</f>
        <v/>
      </c>
      <c r="O2007" s="26">
        <f>IF(B2007="","",IF(B2007&lt;TIME(12,0,0),"Manhã",IF(B2007&lt;TIME(18,0,0),"Tarde","Noite")))</f>
        <v/>
      </c>
      <c r="P2007" s="32">
        <f>IF(G2007="","",IFERROR(INDEX(Config!$I$5:$I$16,MATCH(G2007,Config!$H$5:$H$16,0)),0))</f>
        <v/>
      </c>
      <c r="Q2007" s="30">
        <f>IF(OR(H2007&lt;&gt;"Realizado",P2007="",P2007=0),"",A2007+P2007)</f>
        <v/>
      </c>
      <c r="R2007" s="26">
        <f>IF(Q2007="","",IF(COUNTIFS($E$5:$E$3004,E2007,$A$5:$A$3004,"&gt;"&amp;A2007,$H$5:$H$3004,"&lt;&gt;Falta",$H$5:$H$3004,"&lt;&gt;Cancelado",$H$5:$H$3004,"&lt;&gt;Remarcado")&gt;0,"Sim","Não"))</f>
        <v/>
      </c>
      <c r="S2007" s="32">
        <f>IF(R2007&lt;&gt;"Não","",IF(Q2007+Config!$B$9&lt;=Config!$B$8,Config!$B$8-Q2007,""))</f>
        <v/>
      </c>
      <c r="T2007" s="26">
        <f>IF(S2007="","","Sim")</f>
        <v/>
      </c>
      <c r="U2007" s="41">
        <f>IF(T2007="Sim",S2007+ROW()/100000,0)</f>
        <v>0</v>
      </c>
      <c r="V2007" s="41">
        <f>IF(AND(H2007="Falta",L2007=Config!$B$7,M2007=Config!$B$5,COUNTIFS($E$5:E2007,E2007,$H$5:H2007,"Falta",$L$5:L2007,Config!$B$7,$M$5:M2007,Config!$B$5)=1),COUNTIFS($E$5:$E$3004,E2007,$H$5:$H$3004,"Falta",$L$5:$L$3004,Config!$B$7,$M$5:$M$3004,Config!$B$5)*1000-ROW()/100000,0)</f>
        <v>0</v>
      </c>
    </row>
    <row r="2008">
      <c r="A2008" s="39" t="n"/>
      <c r="B2008" s="40" t="n"/>
      <c r="C2008" s="35" t="n"/>
      <c r="D2008" s="35" t="n"/>
      <c r="E2008" s="34" t="n"/>
      <c r="F2008" s="35" t="n"/>
      <c r="G2008" s="35" t="n"/>
      <c r="H2008" s="35" t="n"/>
      <c r="I2008" s="35" t="n"/>
      <c r="J2008" s="35" t="n"/>
      <c r="K2008" s="34" t="n"/>
      <c r="L2008" s="26">
        <f>IF(A2008="","",MONTH(A2008))</f>
        <v/>
      </c>
      <c r="M2008" s="26">
        <f>IF(A2008="","",YEAR(A2008))</f>
        <v/>
      </c>
      <c r="N2008" s="26">
        <f>IF(A2008="","",CHOOSE(WEEKDAY(A2008,2),"Segunda","Terça","Quarta","Quinta","Sexta","Sábado","Domingo"))</f>
        <v/>
      </c>
      <c r="O2008" s="26">
        <f>IF(B2008="","",IF(B2008&lt;TIME(12,0,0),"Manhã",IF(B2008&lt;TIME(18,0,0),"Tarde","Noite")))</f>
        <v/>
      </c>
      <c r="P2008" s="32">
        <f>IF(G2008="","",IFERROR(INDEX(Config!$I$5:$I$16,MATCH(G2008,Config!$H$5:$H$16,0)),0))</f>
        <v/>
      </c>
      <c r="Q2008" s="30">
        <f>IF(OR(H2008&lt;&gt;"Realizado",P2008="",P2008=0),"",A2008+P2008)</f>
        <v/>
      </c>
      <c r="R2008" s="26">
        <f>IF(Q2008="","",IF(COUNTIFS($E$5:$E$3004,E2008,$A$5:$A$3004,"&gt;"&amp;A2008,$H$5:$H$3004,"&lt;&gt;Falta",$H$5:$H$3004,"&lt;&gt;Cancelado",$H$5:$H$3004,"&lt;&gt;Remarcado")&gt;0,"Sim","Não"))</f>
        <v/>
      </c>
      <c r="S2008" s="32">
        <f>IF(R2008&lt;&gt;"Não","",IF(Q2008+Config!$B$9&lt;=Config!$B$8,Config!$B$8-Q2008,""))</f>
        <v/>
      </c>
      <c r="T2008" s="26">
        <f>IF(S2008="","","Sim")</f>
        <v/>
      </c>
      <c r="U2008" s="41">
        <f>IF(T2008="Sim",S2008+ROW()/100000,0)</f>
        <v>0</v>
      </c>
      <c r="V2008" s="41">
        <f>IF(AND(H2008="Falta",L2008=Config!$B$7,M2008=Config!$B$5,COUNTIFS($E$5:E2008,E2008,$H$5:H2008,"Falta",$L$5:L2008,Config!$B$7,$M$5:M2008,Config!$B$5)=1),COUNTIFS($E$5:$E$3004,E2008,$H$5:$H$3004,"Falta",$L$5:$L$3004,Config!$B$7,$M$5:$M$3004,Config!$B$5)*1000-ROW()/100000,0)</f>
        <v>0</v>
      </c>
    </row>
    <row r="2009">
      <c r="A2009" s="39" t="n"/>
      <c r="B2009" s="40" t="n"/>
      <c r="C2009" s="35" t="n"/>
      <c r="D2009" s="35" t="n"/>
      <c r="E2009" s="34" t="n"/>
      <c r="F2009" s="35" t="n"/>
      <c r="G2009" s="35" t="n"/>
      <c r="H2009" s="35" t="n"/>
      <c r="I2009" s="35" t="n"/>
      <c r="J2009" s="35" t="n"/>
      <c r="K2009" s="34" t="n"/>
      <c r="L2009" s="26">
        <f>IF(A2009="","",MONTH(A2009))</f>
        <v/>
      </c>
      <c r="M2009" s="26">
        <f>IF(A2009="","",YEAR(A2009))</f>
        <v/>
      </c>
      <c r="N2009" s="26">
        <f>IF(A2009="","",CHOOSE(WEEKDAY(A2009,2),"Segunda","Terça","Quarta","Quinta","Sexta","Sábado","Domingo"))</f>
        <v/>
      </c>
      <c r="O2009" s="26">
        <f>IF(B2009="","",IF(B2009&lt;TIME(12,0,0),"Manhã",IF(B2009&lt;TIME(18,0,0),"Tarde","Noite")))</f>
        <v/>
      </c>
      <c r="P2009" s="32">
        <f>IF(G2009="","",IFERROR(INDEX(Config!$I$5:$I$16,MATCH(G2009,Config!$H$5:$H$16,0)),0))</f>
        <v/>
      </c>
      <c r="Q2009" s="30">
        <f>IF(OR(H2009&lt;&gt;"Realizado",P2009="",P2009=0),"",A2009+P2009)</f>
        <v/>
      </c>
      <c r="R2009" s="26">
        <f>IF(Q2009="","",IF(COUNTIFS($E$5:$E$3004,E2009,$A$5:$A$3004,"&gt;"&amp;A2009,$H$5:$H$3004,"&lt;&gt;Falta",$H$5:$H$3004,"&lt;&gt;Cancelado",$H$5:$H$3004,"&lt;&gt;Remarcado")&gt;0,"Sim","Não"))</f>
        <v/>
      </c>
      <c r="S2009" s="32">
        <f>IF(R2009&lt;&gt;"Não","",IF(Q2009+Config!$B$9&lt;=Config!$B$8,Config!$B$8-Q2009,""))</f>
        <v/>
      </c>
      <c r="T2009" s="26">
        <f>IF(S2009="","","Sim")</f>
        <v/>
      </c>
      <c r="U2009" s="41">
        <f>IF(T2009="Sim",S2009+ROW()/100000,0)</f>
        <v>0</v>
      </c>
      <c r="V2009" s="41">
        <f>IF(AND(H2009="Falta",L2009=Config!$B$7,M2009=Config!$B$5,COUNTIFS($E$5:E2009,E2009,$H$5:H2009,"Falta",$L$5:L2009,Config!$B$7,$M$5:M2009,Config!$B$5)=1),COUNTIFS($E$5:$E$3004,E2009,$H$5:$H$3004,"Falta",$L$5:$L$3004,Config!$B$7,$M$5:$M$3004,Config!$B$5)*1000-ROW()/100000,0)</f>
        <v>0</v>
      </c>
    </row>
    <row r="2010">
      <c r="A2010" s="39" t="n"/>
      <c r="B2010" s="40" t="n"/>
      <c r="C2010" s="35" t="n"/>
      <c r="D2010" s="35" t="n"/>
      <c r="E2010" s="34" t="n"/>
      <c r="F2010" s="35" t="n"/>
      <c r="G2010" s="35" t="n"/>
      <c r="H2010" s="35" t="n"/>
      <c r="I2010" s="35" t="n"/>
      <c r="J2010" s="35" t="n"/>
      <c r="K2010" s="34" t="n"/>
      <c r="L2010" s="26">
        <f>IF(A2010="","",MONTH(A2010))</f>
        <v/>
      </c>
      <c r="M2010" s="26">
        <f>IF(A2010="","",YEAR(A2010))</f>
        <v/>
      </c>
      <c r="N2010" s="26">
        <f>IF(A2010="","",CHOOSE(WEEKDAY(A2010,2),"Segunda","Terça","Quarta","Quinta","Sexta","Sábado","Domingo"))</f>
        <v/>
      </c>
      <c r="O2010" s="26">
        <f>IF(B2010="","",IF(B2010&lt;TIME(12,0,0),"Manhã",IF(B2010&lt;TIME(18,0,0),"Tarde","Noite")))</f>
        <v/>
      </c>
      <c r="P2010" s="32">
        <f>IF(G2010="","",IFERROR(INDEX(Config!$I$5:$I$16,MATCH(G2010,Config!$H$5:$H$16,0)),0))</f>
        <v/>
      </c>
      <c r="Q2010" s="30">
        <f>IF(OR(H2010&lt;&gt;"Realizado",P2010="",P2010=0),"",A2010+P2010)</f>
        <v/>
      </c>
      <c r="R2010" s="26">
        <f>IF(Q2010="","",IF(COUNTIFS($E$5:$E$3004,E2010,$A$5:$A$3004,"&gt;"&amp;A2010,$H$5:$H$3004,"&lt;&gt;Falta",$H$5:$H$3004,"&lt;&gt;Cancelado",$H$5:$H$3004,"&lt;&gt;Remarcado")&gt;0,"Sim","Não"))</f>
        <v/>
      </c>
      <c r="S2010" s="32">
        <f>IF(R2010&lt;&gt;"Não","",IF(Q2010+Config!$B$9&lt;=Config!$B$8,Config!$B$8-Q2010,""))</f>
        <v/>
      </c>
      <c r="T2010" s="26">
        <f>IF(S2010="","","Sim")</f>
        <v/>
      </c>
      <c r="U2010" s="41">
        <f>IF(T2010="Sim",S2010+ROW()/100000,0)</f>
        <v>0</v>
      </c>
      <c r="V2010" s="41">
        <f>IF(AND(H2010="Falta",L2010=Config!$B$7,M2010=Config!$B$5,COUNTIFS($E$5:E2010,E2010,$H$5:H2010,"Falta",$L$5:L2010,Config!$B$7,$M$5:M2010,Config!$B$5)=1),COUNTIFS($E$5:$E$3004,E2010,$H$5:$H$3004,"Falta",$L$5:$L$3004,Config!$B$7,$M$5:$M$3004,Config!$B$5)*1000-ROW()/100000,0)</f>
        <v>0</v>
      </c>
    </row>
    <row r="2011">
      <c r="A2011" s="39" t="n"/>
      <c r="B2011" s="40" t="n"/>
      <c r="C2011" s="35" t="n"/>
      <c r="D2011" s="35" t="n"/>
      <c r="E2011" s="34" t="n"/>
      <c r="F2011" s="35" t="n"/>
      <c r="G2011" s="35" t="n"/>
      <c r="H2011" s="35" t="n"/>
      <c r="I2011" s="35" t="n"/>
      <c r="J2011" s="35" t="n"/>
      <c r="K2011" s="34" t="n"/>
      <c r="L2011" s="26">
        <f>IF(A2011="","",MONTH(A2011))</f>
        <v/>
      </c>
      <c r="M2011" s="26">
        <f>IF(A2011="","",YEAR(A2011))</f>
        <v/>
      </c>
      <c r="N2011" s="26">
        <f>IF(A2011="","",CHOOSE(WEEKDAY(A2011,2),"Segunda","Terça","Quarta","Quinta","Sexta","Sábado","Domingo"))</f>
        <v/>
      </c>
      <c r="O2011" s="26">
        <f>IF(B2011="","",IF(B2011&lt;TIME(12,0,0),"Manhã",IF(B2011&lt;TIME(18,0,0),"Tarde","Noite")))</f>
        <v/>
      </c>
      <c r="P2011" s="32">
        <f>IF(G2011="","",IFERROR(INDEX(Config!$I$5:$I$16,MATCH(G2011,Config!$H$5:$H$16,0)),0))</f>
        <v/>
      </c>
      <c r="Q2011" s="30">
        <f>IF(OR(H2011&lt;&gt;"Realizado",P2011="",P2011=0),"",A2011+P2011)</f>
        <v/>
      </c>
      <c r="R2011" s="26">
        <f>IF(Q2011="","",IF(COUNTIFS($E$5:$E$3004,E2011,$A$5:$A$3004,"&gt;"&amp;A2011,$H$5:$H$3004,"&lt;&gt;Falta",$H$5:$H$3004,"&lt;&gt;Cancelado",$H$5:$H$3004,"&lt;&gt;Remarcado")&gt;0,"Sim","Não"))</f>
        <v/>
      </c>
      <c r="S2011" s="32">
        <f>IF(R2011&lt;&gt;"Não","",IF(Q2011+Config!$B$9&lt;=Config!$B$8,Config!$B$8-Q2011,""))</f>
        <v/>
      </c>
      <c r="T2011" s="26">
        <f>IF(S2011="","","Sim")</f>
        <v/>
      </c>
      <c r="U2011" s="41">
        <f>IF(T2011="Sim",S2011+ROW()/100000,0)</f>
        <v>0</v>
      </c>
      <c r="V2011" s="41">
        <f>IF(AND(H2011="Falta",L2011=Config!$B$7,M2011=Config!$B$5,COUNTIFS($E$5:E2011,E2011,$H$5:H2011,"Falta",$L$5:L2011,Config!$B$7,$M$5:M2011,Config!$B$5)=1),COUNTIFS($E$5:$E$3004,E2011,$H$5:$H$3004,"Falta",$L$5:$L$3004,Config!$B$7,$M$5:$M$3004,Config!$B$5)*1000-ROW()/100000,0)</f>
        <v>0</v>
      </c>
    </row>
    <row r="2012">
      <c r="A2012" s="39" t="n"/>
      <c r="B2012" s="40" t="n"/>
      <c r="C2012" s="35" t="n"/>
      <c r="D2012" s="35" t="n"/>
      <c r="E2012" s="34" t="n"/>
      <c r="F2012" s="35" t="n"/>
      <c r="G2012" s="35" t="n"/>
      <c r="H2012" s="35" t="n"/>
      <c r="I2012" s="35" t="n"/>
      <c r="J2012" s="35" t="n"/>
      <c r="K2012" s="34" t="n"/>
      <c r="L2012" s="26">
        <f>IF(A2012="","",MONTH(A2012))</f>
        <v/>
      </c>
      <c r="M2012" s="26">
        <f>IF(A2012="","",YEAR(A2012))</f>
        <v/>
      </c>
      <c r="N2012" s="26">
        <f>IF(A2012="","",CHOOSE(WEEKDAY(A2012,2),"Segunda","Terça","Quarta","Quinta","Sexta","Sábado","Domingo"))</f>
        <v/>
      </c>
      <c r="O2012" s="26">
        <f>IF(B2012="","",IF(B2012&lt;TIME(12,0,0),"Manhã",IF(B2012&lt;TIME(18,0,0),"Tarde","Noite")))</f>
        <v/>
      </c>
      <c r="P2012" s="32">
        <f>IF(G2012="","",IFERROR(INDEX(Config!$I$5:$I$16,MATCH(G2012,Config!$H$5:$H$16,0)),0))</f>
        <v/>
      </c>
      <c r="Q2012" s="30">
        <f>IF(OR(H2012&lt;&gt;"Realizado",P2012="",P2012=0),"",A2012+P2012)</f>
        <v/>
      </c>
      <c r="R2012" s="26">
        <f>IF(Q2012="","",IF(COUNTIFS($E$5:$E$3004,E2012,$A$5:$A$3004,"&gt;"&amp;A2012,$H$5:$H$3004,"&lt;&gt;Falta",$H$5:$H$3004,"&lt;&gt;Cancelado",$H$5:$H$3004,"&lt;&gt;Remarcado")&gt;0,"Sim","Não"))</f>
        <v/>
      </c>
      <c r="S2012" s="32">
        <f>IF(R2012&lt;&gt;"Não","",IF(Q2012+Config!$B$9&lt;=Config!$B$8,Config!$B$8-Q2012,""))</f>
        <v/>
      </c>
      <c r="T2012" s="26">
        <f>IF(S2012="","","Sim")</f>
        <v/>
      </c>
      <c r="U2012" s="41">
        <f>IF(T2012="Sim",S2012+ROW()/100000,0)</f>
        <v>0</v>
      </c>
      <c r="V2012" s="41">
        <f>IF(AND(H2012="Falta",L2012=Config!$B$7,M2012=Config!$B$5,COUNTIFS($E$5:E2012,E2012,$H$5:H2012,"Falta",$L$5:L2012,Config!$B$7,$M$5:M2012,Config!$B$5)=1),COUNTIFS($E$5:$E$3004,E2012,$H$5:$H$3004,"Falta",$L$5:$L$3004,Config!$B$7,$M$5:$M$3004,Config!$B$5)*1000-ROW()/100000,0)</f>
        <v>0</v>
      </c>
    </row>
    <row r="2013">
      <c r="A2013" s="39" t="n"/>
      <c r="B2013" s="40" t="n"/>
      <c r="C2013" s="35" t="n"/>
      <c r="D2013" s="35" t="n"/>
      <c r="E2013" s="34" t="n"/>
      <c r="F2013" s="35" t="n"/>
      <c r="G2013" s="35" t="n"/>
      <c r="H2013" s="35" t="n"/>
      <c r="I2013" s="35" t="n"/>
      <c r="J2013" s="35" t="n"/>
      <c r="K2013" s="34" t="n"/>
      <c r="L2013" s="26">
        <f>IF(A2013="","",MONTH(A2013))</f>
        <v/>
      </c>
      <c r="M2013" s="26">
        <f>IF(A2013="","",YEAR(A2013))</f>
        <v/>
      </c>
      <c r="N2013" s="26">
        <f>IF(A2013="","",CHOOSE(WEEKDAY(A2013,2),"Segunda","Terça","Quarta","Quinta","Sexta","Sábado","Domingo"))</f>
        <v/>
      </c>
      <c r="O2013" s="26">
        <f>IF(B2013="","",IF(B2013&lt;TIME(12,0,0),"Manhã",IF(B2013&lt;TIME(18,0,0),"Tarde","Noite")))</f>
        <v/>
      </c>
      <c r="P2013" s="32">
        <f>IF(G2013="","",IFERROR(INDEX(Config!$I$5:$I$16,MATCH(G2013,Config!$H$5:$H$16,0)),0))</f>
        <v/>
      </c>
      <c r="Q2013" s="30">
        <f>IF(OR(H2013&lt;&gt;"Realizado",P2013="",P2013=0),"",A2013+P2013)</f>
        <v/>
      </c>
      <c r="R2013" s="26">
        <f>IF(Q2013="","",IF(COUNTIFS($E$5:$E$3004,E2013,$A$5:$A$3004,"&gt;"&amp;A2013,$H$5:$H$3004,"&lt;&gt;Falta",$H$5:$H$3004,"&lt;&gt;Cancelado",$H$5:$H$3004,"&lt;&gt;Remarcado")&gt;0,"Sim","Não"))</f>
        <v/>
      </c>
      <c r="S2013" s="32">
        <f>IF(R2013&lt;&gt;"Não","",IF(Q2013+Config!$B$9&lt;=Config!$B$8,Config!$B$8-Q2013,""))</f>
        <v/>
      </c>
      <c r="T2013" s="26">
        <f>IF(S2013="","","Sim")</f>
        <v/>
      </c>
      <c r="U2013" s="41">
        <f>IF(T2013="Sim",S2013+ROW()/100000,0)</f>
        <v>0</v>
      </c>
      <c r="V2013" s="41">
        <f>IF(AND(H2013="Falta",L2013=Config!$B$7,M2013=Config!$B$5,COUNTIFS($E$5:E2013,E2013,$H$5:H2013,"Falta",$L$5:L2013,Config!$B$7,$M$5:M2013,Config!$B$5)=1),COUNTIFS($E$5:$E$3004,E2013,$H$5:$H$3004,"Falta",$L$5:$L$3004,Config!$B$7,$M$5:$M$3004,Config!$B$5)*1000-ROW()/100000,0)</f>
        <v>0</v>
      </c>
    </row>
    <row r="2014">
      <c r="A2014" s="39" t="n"/>
      <c r="B2014" s="40" t="n"/>
      <c r="C2014" s="35" t="n"/>
      <c r="D2014" s="35" t="n"/>
      <c r="E2014" s="34" t="n"/>
      <c r="F2014" s="35" t="n"/>
      <c r="G2014" s="35" t="n"/>
      <c r="H2014" s="35" t="n"/>
      <c r="I2014" s="35" t="n"/>
      <c r="J2014" s="35" t="n"/>
      <c r="K2014" s="34" t="n"/>
      <c r="L2014" s="26">
        <f>IF(A2014="","",MONTH(A2014))</f>
        <v/>
      </c>
      <c r="M2014" s="26">
        <f>IF(A2014="","",YEAR(A2014))</f>
        <v/>
      </c>
      <c r="N2014" s="26">
        <f>IF(A2014="","",CHOOSE(WEEKDAY(A2014,2),"Segunda","Terça","Quarta","Quinta","Sexta","Sábado","Domingo"))</f>
        <v/>
      </c>
      <c r="O2014" s="26">
        <f>IF(B2014="","",IF(B2014&lt;TIME(12,0,0),"Manhã",IF(B2014&lt;TIME(18,0,0),"Tarde","Noite")))</f>
        <v/>
      </c>
      <c r="P2014" s="32">
        <f>IF(G2014="","",IFERROR(INDEX(Config!$I$5:$I$16,MATCH(G2014,Config!$H$5:$H$16,0)),0))</f>
        <v/>
      </c>
      <c r="Q2014" s="30">
        <f>IF(OR(H2014&lt;&gt;"Realizado",P2014="",P2014=0),"",A2014+P2014)</f>
        <v/>
      </c>
      <c r="R2014" s="26">
        <f>IF(Q2014="","",IF(COUNTIFS($E$5:$E$3004,E2014,$A$5:$A$3004,"&gt;"&amp;A2014,$H$5:$H$3004,"&lt;&gt;Falta",$H$5:$H$3004,"&lt;&gt;Cancelado",$H$5:$H$3004,"&lt;&gt;Remarcado")&gt;0,"Sim","Não"))</f>
        <v/>
      </c>
      <c r="S2014" s="32">
        <f>IF(R2014&lt;&gt;"Não","",IF(Q2014+Config!$B$9&lt;=Config!$B$8,Config!$B$8-Q2014,""))</f>
        <v/>
      </c>
      <c r="T2014" s="26">
        <f>IF(S2014="","","Sim")</f>
        <v/>
      </c>
      <c r="U2014" s="41">
        <f>IF(T2014="Sim",S2014+ROW()/100000,0)</f>
        <v>0</v>
      </c>
      <c r="V2014" s="41">
        <f>IF(AND(H2014="Falta",L2014=Config!$B$7,M2014=Config!$B$5,COUNTIFS($E$5:E2014,E2014,$H$5:H2014,"Falta",$L$5:L2014,Config!$B$7,$M$5:M2014,Config!$B$5)=1),COUNTIFS($E$5:$E$3004,E2014,$H$5:$H$3004,"Falta",$L$5:$L$3004,Config!$B$7,$M$5:$M$3004,Config!$B$5)*1000-ROW()/100000,0)</f>
        <v>0</v>
      </c>
    </row>
    <row r="2015">
      <c r="A2015" s="39" t="n"/>
      <c r="B2015" s="40" t="n"/>
      <c r="C2015" s="35" t="n"/>
      <c r="D2015" s="35" t="n"/>
      <c r="E2015" s="34" t="n"/>
      <c r="F2015" s="35" t="n"/>
      <c r="G2015" s="35" t="n"/>
      <c r="H2015" s="35" t="n"/>
      <c r="I2015" s="35" t="n"/>
      <c r="J2015" s="35" t="n"/>
      <c r="K2015" s="34" t="n"/>
      <c r="L2015" s="26">
        <f>IF(A2015="","",MONTH(A2015))</f>
        <v/>
      </c>
      <c r="M2015" s="26">
        <f>IF(A2015="","",YEAR(A2015))</f>
        <v/>
      </c>
      <c r="N2015" s="26">
        <f>IF(A2015="","",CHOOSE(WEEKDAY(A2015,2),"Segunda","Terça","Quarta","Quinta","Sexta","Sábado","Domingo"))</f>
        <v/>
      </c>
      <c r="O2015" s="26">
        <f>IF(B2015="","",IF(B2015&lt;TIME(12,0,0),"Manhã",IF(B2015&lt;TIME(18,0,0),"Tarde","Noite")))</f>
        <v/>
      </c>
      <c r="P2015" s="32">
        <f>IF(G2015="","",IFERROR(INDEX(Config!$I$5:$I$16,MATCH(G2015,Config!$H$5:$H$16,0)),0))</f>
        <v/>
      </c>
      <c r="Q2015" s="30">
        <f>IF(OR(H2015&lt;&gt;"Realizado",P2015="",P2015=0),"",A2015+P2015)</f>
        <v/>
      </c>
      <c r="R2015" s="26">
        <f>IF(Q2015="","",IF(COUNTIFS($E$5:$E$3004,E2015,$A$5:$A$3004,"&gt;"&amp;A2015,$H$5:$H$3004,"&lt;&gt;Falta",$H$5:$H$3004,"&lt;&gt;Cancelado",$H$5:$H$3004,"&lt;&gt;Remarcado")&gt;0,"Sim","Não"))</f>
        <v/>
      </c>
      <c r="S2015" s="32">
        <f>IF(R2015&lt;&gt;"Não","",IF(Q2015+Config!$B$9&lt;=Config!$B$8,Config!$B$8-Q2015,""))</f>
        <v/>
      </c>
      <c r="T2015" s="26">
        <f>IF(S2015="","","Sim")</f>
        <v/>
      </c>
      <c r="U2015" s="41">
        <f>IF(T2015="Sim",S2015+ROW()/100000,0)</f>
        <v>0</v>
      </c>
      <c r="V2015" s="41">
        <f>IF(AND(H2015="Falta",L2015=Config!$B$7,M2015=Config!$B$5,COUNTIFS($E$5:E2015,E2015,$H$5:H2015,"Falta",$L$5:L2015,Config!$B$7,$M$5:M2015,Config!$B$5)=1),COUNTIFS($E$5:$E$3004,E2015,$H$5:$H$3004,"Falta",$L$5:$L$3004,Config!$B$7,$M$5:$M$3004,Config!$B$5)*1000-ROW()/100000,0)</f>
        <v>0</v>
      </c>
    </row>
    <row r="2016">
      <c r="A2016" s="39" t="n"/>
      <c r="B2016" s="40" t="n"/>
      <c r="C2016" s="35" t="n"/>
      <c r="D2016" s="35" t="n"/>
      <c r="E2016" s="34" t="n"/>
      <c r="F2016" s="35" t="n"/>
      <c r="G2016" s="35" t="n"/>
      <c r="H2016" s="35" t="n"/>
      <c r="I2016" s="35" t="n"/>
      <c r="J2016" s="35" t="n"/>
      <c r="K2016" s="34" t="n"/>
      <c r="L2016" s="26">
        <f>IF(A2016="","",MONTH(A2016))</f>
        <v/>
      </c>
      <c r="M2016" s="26">
        <f>IF(A2016="","",YEAR(A2016))</f>
        <v/>
      </c>
      <c r="N2016" s="26">
        <f>IF(A2016="","",CHOOSE(WEEKDAY(A2016,2),"Segunda","Terça","Quarta","Quinta","Sexta","Sábado","Domingo"))</f>
        <v/>
      </c>
      <c r="O2016" s="26">
        <f>IF(B2016="","",IF(B2016&lt;TIME(12,0,0),"Manhã",IF(B2016&lt;TIME(18,0,0),"Tarde","Noite")))</f>
        <v/>
      </c>
      <c r="P2016" s="32">
        <f>IF(G2016="","",IFERROR(INDEX(Config!$I$5:$I$16,MATCH(G2016,Config!$H$5:$H$16,0)),0))</f>
        <v/>
      </c>
      <c r="Q2016" s="30">
        <f>IF(OR(H2016&lt;&gt;"Realizado",P2016="",P2016=0),"",A2016+P2016)</f>
        <v/>
      </c>
      <c r="R2016" s="26">
        <f>IF(Q2016="","",IF(COUNTIFS($E$5:$E$3004,E2016,$A$5:$A$3004,"&gt;"&amp;A2016,$H$5:$H$3004,"&lt;&gt;Falta",$H$5:$H$3004,"&lt;&gt;Cancelado",$H$5:$H$3004,"&lt;&gt;Remarcado")&gt;0,"Sim","Não"))</f>
        <v/>
      </c>
      <c r="S2016" s="32">
        <f>IF(R2016&lt;&gt;"Não","",IF(Q2016+Config!$B$9&lt;=Config!$B$8,Config!$B$8-Q2016,""))</f>
        <v/>
      </c>
      <c r="T2016" s="26">
        <f>IF(S2016="","","Sim")</f>
        <v/>
      </c>
      <c r="U2016" s="41">
        <f>IF(T2016="Sim",S2016+ROW()/100000,0)</f>
        <v>0</v>
      </c>
      <c r="V2016" s="41">
        <f>IF(AND(H2016="Falta",L2016=Config!$B$7,M2016=Config!$B$5,COUNTIFS($E$5:E2016,E2016,$H$5:H2016,"Falta",$L$5:L2016,Config!$B$7,$M$5:M2016,Config!$B$5)=1),COUNTIFS($E$5:$E$3004,E2016,$H$5:$H$3004,"Falta",$L$5:$L$3004,Config!$B$7,$M$5:$M$3004,Config!$B$5)*1000-ROW()/100000,0)</f>
        <v>0</v>
      </c>
    </row>
    <row r="2017">
      <c r="A2017" s="39" t="n"/>
      <c r="B2017" s="40" t="n"/>
      <c r="C2017" s="35" t="n"/>
      <c r="D2017" s="35" t="n"/>
      <c r="E2017" s="34" t="n"/>
      <c r="F2017" s="35" t="n"/>
      <c r="G2017" s="35" t="n"/>
      <c r="H2017" s="35" t="n"/>
      <c r="I2017" s="35" t="n"/>
      <c r="J2017" s="35" t="n"/>
      <c r="K2017" s="34" t="n"/>
      <c r="L2017" s="26">
        <f>IF(A2017="","",MONTH(A2017))</f>
        <v/>
      </c>
      <c r="M2017" s="26">
        <f>IF(A2017="","",YEAR(A2017))</f>
        <v/>
      </c>
      <c r="N2017" s="26">
        <f>IF(A2017="","",CHOOSE(WEEKDAY(A2017,2),"Segunda","Terça","Quarta","Quinta","Sexta","Sábado","Domingo"))</f>
        <v/>
      </c>
      <c r="O2017" s="26">
        <f>IF(B2017="","",IF(B2017&lt;TIME(12,0,0),"Manhã",IF(B2017&lt;TIME(18,0,0),"Tarde","Noite")))</f>
        <v/>
      </c>
      <c r="P2017" s="32">
        <f>IF(G2017="","",IFERROR(INDEX(Config!$I$5:$I$16,MATCH(G2017,Config!$H$5:$H$16,0)),0))</f>
        <v/>
      </c>
      <c r="Q2017" s="30">
        <f>IF(OR(H2017&lt;&gt;"Realizado",P2017="",P2017=0),"",A2017+P2017)</f>
        <v/>
      </c>
      <c r="R2017" s="26">
        <f>IF(Q2017="","",IF(COUNTIFS($E$5:$E$3004,E2017,$A$5:$A$3004,"&gt;"&amp;A2017,$H$5:$H$3004,"&lt;&gt;Falta",$H$5:$H$3004,"&lt;&gt;Cancelado",$H$5:$H$3004,"&lt;&gt;Remarcado")&gt;0,"Sim","Não"))</f>
        <v/>
      </c>
      <c r="S2017" s="32">
        <f>IF(R2017&lt;&gt;"Não","",IF(Q2017+Config!$B$9&lt;=Config!$B$8,Config!$B$8-Q2017,""))</f>
        <v/>
      </c>
      <c r="T2017" s="26">
        <f>IF(S2017="","","Sim")</f>
        <v/>
      </c>
      <c r="U2017" s="41">
        <f>IF(T2017="Sim",S2017+ROW()/100000,0)</f>
        <v>0</v>
      </c>
      <c r="V2017" s="41">
        <f>IF(AND(H2017="Falta",L2017=Config!$B$7,M2017=Config!$B$5,COUNTIFS($E$5:E2017,E2017,$H$5:H2017,"Falta",$L$5:L2017,Config!$B$7,$M$5:M2017,Config!$B$5)=1),COUNTIFS($E$5:$E$3004,E2017,$H$5:$H$3004,"Falta",$L$5:$L$3004,Config!$B$7,$M$5:$M$3004,Config!$B$5)*1000-ROW()/100000,0)</f>
        <v>0</v>
      </c>
    </row>
    <row r="2018">
      <c r="A2018" s="39" t="n"/>
      <c r="B2018" s="40" t="n"/>
      <c r="C2018" s="35" t="n"/>
      <c r="D2018" s="35" t="n"/>
      <c r="E2018" s="34" t="n"/>
      <c r="F2018" s="35" t="n"/>
      <c r="G2018" s="35" t="n"/>
      <c r="H2018" s="35" t="n"/>
      <c r="I2018" s="35" t="n"/>
      <c r="J2018" s="35" t="n"/>
      <c r="K2018" s="34" t="n"/>
      <c r="L2018" s="26">
        <f>IF(A2018="","",MONTH(A2018))</f>
        <v/>
      </c>
      <c r="M2018" s="26">
        <f>IF(A2018="","",YEAR(A2018))</f>
        <v/>
      </c>
      <c r="N2018" s="26">
        <f>IF(A2018="","",CHOOSE(WEEKDAY(A2018,2),"Segunda","Terça","Quarta","Quinta","Sexta","Sábado","Domingo"))</f>
        <v/>
      </c>
      <c r="O2018" s="26">
        <f>IF(B2018="","",IF(B2018&lt;TIME(12,0,0),"Manhã",IF(B2018&lt;TIME(18,0,0),"Tarde","Noite")))</f>
        <v/>
      </c>
      <c r="P2018" s="32">
        <f>IF(G2018="","",IFERROR(INDEX(Config!$I$5:$I$16,MATCH(G2018,Config!$H$5:$H$16,0)),0))</f>
        <v/>
      </c>
      <c r="Q2018" s="30">
        <f>IF(OR(H2018&lt;&gt;"Realizado",P2018="",P2018=0),"",A2018+P2018)</f>
        <v/>
      </c>
      <c r="R2018" s="26">
        <f>IF(Q2018="","",IF(COUNTIFS($E$5:$E$3004,E2018,$A$5:$A$3004,"&gt;"&amp;A2018,$H$5:$H$3004,"&lt;&gt;Falta",$H$5:$H$3004,"&lt;&gt;Cancelado",$H$5:$H$3004,"&lt;&gt;Remarcado")&gt;0,"Sim","Não"))</f>
        <v/>
      </c>
      <c r="S2018" s="32">
        <f>IF(R2018&lt;&gt;"Não","",IF(Q2018+Config!$B$9&lt;=Config!$B$8,Config!$B$8-Q2018,""))</f>
        <v/>
      </c>
      <c r="T2018" s="26">
        <f>IF(S2018="","","Sim")</f>
        <v/>
      </c>
      <c r="U2018" s="41">
        <f>IF(T2018="Sim",S2018+ROW()/100000,0)</f>
        <v>0</v>
      </c>
      <c r="V2018" s="41">
        <f>IF(AND(H2018="Falta",L2018=Config!$B$7,M2018=Config!$B$5,COUNTIFS($E$5:E2018,E2018,$H$5:H2018,"Falta",$L$5:L2018,Config!$B$7,$M$5:M2018,Config!$B$5)=1),COUNTIFS($E$5:$E$3004,E2018,$H$5:$H$3004,"Falta",$L$5:$L$3004,Config!$B$7,$M$5:$M$3004,Config!$B$5)*1000-ROW()/100000,0)</f>
        <v>0</v>
      </c>
    </row>
    <row r="2019">
      <c r="A2019" s="39" t="n"/>
      <c r="B2019" s="40" t="n"/>
      <c r="C2019" s="35" t="n"/>
      <c r="D2019" s="35" t="n"/>
      <c r="E2019" s="34" t="n"/>
      <c r="F2019" s="35" t="n"/>
      <c r="G2019" s="35" t="n"/>
      <c r="H2019" s="35" t="n"/>
      <c r="I2019" s="35" t="n"/>
      <c r="J2019" s="35" t="n"/>
      <c r="K2019" s="34" t="n"/>
      <c r="L2019" s="26">
        <f>IF(A2019="","",MONTH(A2019))</f>
        <v/>
      </c>
      <c r="M2019" s="26">
        <f>IF(A2019="","",YEAR(A2019))</f>
        <v/>
      </c>
      <c r="N2019" s="26">
        <f>IF(A2019="","",CHOOSE(WEEKDAY(A2019,2),"Segunda","Terça","Quarta","Quinta","Sexta","Sábado","Domingo"))</f>
        <v/>
      </c>
      <c r="O2019" s="26">
        <f>IF(B2019="","",IF(B2019&lt;TIME(12,0,0),"Manhã",IF(B2019&lt;TIME(18,0,0),"Tarde","Noite")))</f>
        <v/>
      </c>
      <c r="P2019" s="32">
        <f>IF(G2019="","",IFERROR(INDEX(Config!$I$5:$I$16,MATCH(G2019,Config!$H$5:$H$16,0)),0))</f>
        <v/>
      </c>
      <c r="Q2019" s="30">
        <f>IF(OR(H2019&lt;&gt;"Realizado",P2019="",P2019=0),"",A2019+P2019)</f>
        <v/>
      </c>
      <c r="R2019" s="26">
        <f>IF(Q2019="","",IF(COUNTIFS($E$5:$E$3004,E2019,$A$5:$A$3004,"&gt;"&amp;A2019,$H$5:$H$3004,"&lt;&gt;Falta",$H$5:$H$3004,"&lt;&gt;Cancelado",$H$5:$H$3004,"&lt;&gt;Remarcado")&gt;0,"Sim","Não"))</f>
        <v/>
      </c>
      <c r="S2019" s="32">
        <f>IF(R2019&lt;&gt;"Não","",IF(Q2019+Config!$B$9&lt;=Config!$B$8,Config!$B$8-Q2019,""))</f>
        <v/>
      </c>
      <c r="T2019" s="26">
        <f>IF(S2019="","","Sim")</f>
        <v/>
      </c>
      <c r="U2019" s="41">
        <f>IF(T2019="Sim",S2019+ROW()/100000,0)</f>
        <v>0</v>
      </c>
      <c r="V2019" s="41">
        <f>IF(AND(H2019="Falta",L2019=Config!$B$7,M2019=Config!$B$5,COUNTIFS($E$5:E2019,E2019,$H$5:H2019,"Falta",$L$5:L2019,Config!$B$7,$M$5:M2019,Config!$B$5)=1),COUNTIFS($E$5:$E$3004,E2019,$H$5:$H$3004,"Falta",$L$5:$L$3004,Config!$B$7,$M$5:$M$3004,Config!$B$5)*1000-ROW()/100000,0)</f>
        <v>0</v>
      </c>
    </row>
    <row r="2020">
      <c r="A2020" s="39" t="n"/>
      <c r="B2020" s="40" t="n"/>
      <c r="C2020" s="35" t="n"/>
      <c r="D2020" s="35" t="n"/>
      <c r="E2020" s="34" t="n"/>
      <c r="F2020" s="35" t="n"/>
      <c r="G2020" s="35" t="n"/>
      <c r="H2020" s="35" t="n"/>
      <c r="I2020" s="35" t="n"/>
      <c r="J2020" s="35" t="n"/>
      <c r="K2020" s="34" t="n"/>
      <c r="L2020" s="26">
        <f>IF(A2020="","",MONTH(A2020))</f>
        <v/>
      </c>
      <c r="M2020" s="26">
        <f>IF(A2020="","",YEAR(A2020))</f>
        <v/>
      </c>
      <c r="N2020" s="26">
        <f>IF(A2020="","",CHOOSE(WEEKDAY(A2020,2),"Segunda","Terça","Quarta","Quinta","Sexta","Sábado","Domingo"))</f>
        <v/>
      </c>
      <c r="O2020" s="26">
        <f>IF(B2020="","",IF(B2020&lt;TIME(12,0,0),"Manhã",IF(B2020&lt;TIME(18,0,0),"Tarde","Noite")))</f>
        <v/>
      </c>
      <c r="P2020" s="32">
        <f>IF(G2020="","",IFERROR(INDEX(Config!$I$5:$I$16,MATCH(G2020,Config!$H$5:$H$16,0)),0))</f>
        <v/>
      </c>
      <c r="Q2020" s="30">
        <f>IF(OR(H2020&lt;&gt;"Realizado",P2020="",P2020=0),"",A2020+P2020)</f>
        <v/>
      </c>
      <c r="R2020" s="26">
        <f>IF(Q2020="","",IF(COUNTIFS($E$5:$E$3004,E2020,$A$5:$A$3004,"&gt;"&amp;A2020,$H$5:$H$3004,"&lt;&gt;Falta",$H$5:$H$3004,"&lt;&gt;Cancelado",$H$5:$H$3004,"&lt;&gt;Remarcado")&gt;0,"Sim","Não"))</f>
        <v/>
      </c>
      <c r="S2020" s="32">
        <f>IF(R2020&lt;&gt;"Não","",IF(Q2020+Config!$B$9&lt;=Config!$B$8,Config!$B$8-Q2020,""))</f>
        <v/>
      </c>
      <c r="T2020" s="26">
        <f>IF(S2020="","","Sim")</f>
        <v/>
      </c>
      <c r="U2020" s="41">
        <f>IF(T2020="Sim",S2020+ROW()/100000,0)</f>
        <v>0</v>
      </c>
      <c r="V2020" s="41">
        <f>IF(AND(H2020="Falta",L2020=Config!$B$7,M2020=Config!$B$5,COUNTIFS($E$5:E2020,E2020,$H$5:H2020,"Falta",$L$5:L2020,Config!$B$7,$M$5:M2020,Config!$B$5)=1),COUNTIFS($E$5:$E$3004,E2020,$H$5:$H$3004,"Falta",$L$5:$L$3004,Config!$B$7,$M$5:$M$3004,Config!$B$5)*1000-ROW()/100000,0)</f>
        <v>0</v>
      </c>
    </row>
    <row r="2021">
      <c r="A2021" s="39" t="n"/>
      <c r="B2021" s="40" t="n"/>
      <c r="C2021" s="35" t="n"/>
      <c r="D2021" s="35" t="n"/>
      <c r="E2021" s="34" t="n"/>
      <c r="F2021" s="35" t="n"/>
      <c r="G2021" s="35" t="n"/>
      <c r="H2021" s="35" t="n"/>
      <c r="I2021" s="35" t="n"/>
      <c r="J2021" s="35" t="n"/>
      <c r="K2021" s="34" t="n"/>
      <c r="L2021" s="26">
        <f>IF(A2021="","",MONTH(A2021))</f>
        <v/>
      </c>
      <c r="M2021" s="26">
        <f>IF(A2021="","",YEAR(A2021))</f>
        <v/>
      </c>
      <c r="N2021" s="26">
        <f>IF(A2021="","",CHOOSE(WEEKDAY(A2021,2),"Segunda","Terça","Quarta","Quinta","Sexta","Sábado","Domingo"))</f>
        <v/>
      </c>
      <c r="O2021" s="26">
        <f>IF(B2021="","",IF(B2021&lt;TIME(12,0,0),"Manhã",IF(B2021&lt;TIME(18,0,0),"Tarde","Noite")))</f>
        <v/>
      </c>
      <c r="P2021" s="32">
        <f>IF(G2021="","",IFERROR(INDEX(Config!$I$5:$I$16,MATCH(G2021,Config!$H$5:$H$16,0)),0))</f>
        <v/>
      </c>
      <c r="Q2021" s="30">
        <f>IF(OR(H2021&lt;&gt;"Realizado",P2021="",P2021=0),"",A2021+P2021)</f>
        <v/>
      </c>
      <c r="R2021" s="26">
        <f>IF(Q2021="","",IF(COUNTIFS($E$5:$E$3004,E2021,$A$5:$A$3004,"&gt;"&amp;A2021,$H$5:$H$3004,"&lt;&gt;Falta",$H$5:$H$3004,"&lt;&gt;Cancelado",$H$5:$H$3004,"&lt;&gt;Remarcado")&gt;0,"Sim","Não"))</f>
        <v/>
      </c>
      <c r="S2021" s="32">
        <f>IF(R2021&lt;&gt;"Não","",IF(Q2021+Config!$B$9&lt;=Config!$B$8,Config!$B$8-Q2021,""))</f>
        <v/>
      </c>
      <c r="T2021" s="26">
        <f>IF(S2021="","","Sim")</f>
        <v/>
      </c>
      <c r="U2021" s="41">
        <f>IF(T2021="Sim",S2021+ROW()/100000,0)</f>
        <v>0</v>
      </c>
      <c r="V2021" s="41">
        <f>IF(AND(H2021="Falta",L2021=Config!$B$7,M2021=Config!$B$5,COUNTIFS($E$5:E2021,E2021,$H$5:H2021,"Falta",$L$5:L2021,Config!$B$7,$M$5:M2021,Config!$B$5)=1),COUNTIFS($E$5:$E$3004,E2021,$H$5:$H$3004,"Falta",$L$5:$L$3004,Config!$B$7,$M$5:$M$3004,Config!$B$5)*1000-ROW()/100000,0)</f>
        <v>0</v>
      </c>
    </row>
    <row r="2022">
      <c r="A2022" s="39" t="n"/>
      <c r="B2022" s="40" t="n"/>
      <c r="C2022" s="35" t="n"/>
      <c r="D2022" s="35" t="n"/>
      <c r="E2022" s="34" t="n"/>
      <c r="F2022" s="35" t="n"/>
      <c r="G2022" s="35" t="n"/>
      <c r="H2022" s="35" t="n"/>
      <c r="I2022" s="35" t="n"/>
      <c r="J2022" s="35" t="n"/>
      <c r="K2022" s="34" t="n"/>
      <c r="L2022" s="26">
        <f>IF(A2022="","",MONTH(A2022))</f>
        <v/>
      </c>
      <c r="M2022" s="26">
        <f>IF(A2022="","",YEAR(A2022))</f>
        <v/>
      </c>
      <c r="N2022" s="26">
        <f>IF(A2022="","",CHOOSE(WEEKDAY(A2022,2),"Segunda","Terça","Quarta","Quinta","Sexta","Sábado","Domingo"))</f>
        <v/>
      </c>
      <c r="O2022" s="26">
        <f>IF(B2022="","",IF(B2022&lt;TIME(12,0,0),"Manhã",IF(B2022&lt;TIME(18,0,0),"Tarde","Noite")))</f>
        <v/>
      </c>
      <c r="P2022" s="32">
        <f>IF(G2022="","",IFERROR(INDEX(Config!$I$5:$I$16,MATCH(G2022,Config!$H$5:$H$16,0)),0))</f>
        <v/>
      </c>
      <c r="Q2022" s="30">
        <f>IF(OR(H2022&lt;&gt;"Realizado",P2022="",P2022=0),"",A2022+P2022)</f>
        <v/>
      </c>
      <c r="R2022" s="26">
        <f>IF(Q2022="","",IF(COUNTIFS($E$5:$E$3004,E2022,$A$5:$A$3004,"&gt;"&amp;A2022,$H$5:$H$3004,"&lt;&gt;Falta",$H$5:$H$3004,"&lt;&gt;Cancelado",$H$5:$H$3004,"&lt;&gt;Remarcado")&gt;0,"Sim","Não"))</f>
        <v/>
      </c>
      <c r="S2022" s="32">
        <f>IF(R2022&lt;&gt;"Não","",IF(Q2022+Config!$B$9&lt;=Config!$B$8,Config!$B$8-Q2022,""))</f>
        <v/>
      </c>
      <c r="T2022" s="26">
        <f>IF(S2022="","","Sim")</f>
        <v/>
      </c>
      <c r="U2022" s="41">
        <f>IF(T2022="Sim",S2022+ROW()/100000,0)</f>
        <v>0</v>
      </c>
      <c r="V2022" s="41">
        <f>IF(AND(H2022="Falta",L2022=Config!$B$7,M2022=Config!$B$5,COUNTIFS($E$5:E2022,E2022,$H$5:H2022,"Falta",$L$5:L2022,Config!$B$7,$M$5:M2022,Config!$B$5)=1),COUNTIFS($E$5:$E$3004,E2022,$H$5:$H$3004,"Falta",$L$5:$L$3004,Config!$B$7,$M$5:$M$3004,Config!$B$5)*1000-ROW()/100000,0)</f>
        <v>0</v>
      </c>
    </row>
    <row r="2023">
      <c r="A2023" s="39" t="n"/>
      <c r="B2023" s="40" t="n"/>
      <c r="C2023" s="35" t="n"/>
      <c r="D2023" s="35" t="n"/>
      <c r="E2023" s="34" t="n"/>
      <c r="F2023" s="35" t="n"/>
      <c r="G2023" s="35" t="n"/>
      <c r="H2023" s="35" t="n"/>
      <c r="I2023" s="35" t="n"/>
      <c r="J2023" s="35" t="n"/>
      <c r="K2023" s="34" t="n"/>
      <c r="L2023" s="26">
        <f>IF(A2023="","",MONTH(A2023))</f>
        <v/>
      </c>
      <c r="M2023" s="26">
        <f>IF(A2023="","",YEAR(A2023))</f>
        <v/>
      </c>
      <c r="N2023" s="26">
        <f>IF(A2023="","",CHOOSE(WEEKDAY(A2023,2),"Segunda","Terça","Quarta","Quinta","Sexta","Sábado","Domingo"))</f>
        <v/>
      </c>
      <c r="O2023" s="26">
        <f>IF(B2023="","",IF(B2023&lt;TIME(12,0,0),"Manhã",IF(B2023&lt;TIME(18,0,0),"Tarde","Noite")))</f>
        <v/>
      </c>
      <c r="P2023" s="32">
        <f>IF(G2023="","",IFERROR(INDEX(Config!$I$5:$I$16,MATCH(G2023,Config!$H$5:$H$16,0)),0))</f>
        <v/>
      </c>
      <c r="Q2023" s="30">
        <f>IF(OR(H2023&lt;&gt;"Realizado",P2023="",P2023=0),"",A2023+P2023)</f>
        <v/>
      </c>
      <c r="R2023" s="26">
        <f>IF(Q2023="","",IF(COUNTIFS($E$5:$E$3004,E2023,$A$5:$A$3004,"&gt;"&amp;A2023,$H$5:$H$3004,"&lt;&gt;Falta",$H$5:$H$3004,"&lt;&gt;Cancelado",$H$5:$H$3004,"&lt;&gt;Remarcado")&gt;0,"Sim","Não"))</f>
        <v/>
      </c>
      <c r="S2023" s="32">
        <f>IF(R2023&lt;&gt;"Não","",IF(Q2023+Config!$B$9&lt;=Config!$B$8,Config!$B$8-Q2023,""))</f>
        <v/>
      </c>
      <c r="T2023" s="26">
        <f>IF(S2023="","","Sim")</f>
        <v/>
      </c>
      <c r="U2023" s="41">
        <f>IF(T2023="Sim",S2023+ROW()/100000,0)</f>
        <v>0</v>
      </c>
      <c r="V2023" s="41">
        <f>IF(AND(H2023="Falta",L2023=Config!$B$7,M2023=Config!$B$5,COUNTIFS($E$5:E2023,E2023,$H$5:H2023,"Falta",$L$5:L2023,Config!$B$7,$M$5:M2023,Config!$B$5)=1),COUNTIFS($E$5:$E$3004,E2023,$H$5:$H$3004,"Falta",$L$5:$L$3004,Config!$B$7,$M$5:$M$3004,Config!$B$5)*1000-ROW()/100000,0)</f>
        <v>0</v>
      </c>
    </row>
    <row r="2024">
      <c r="A2024" s="39" t="n"/>
      <c r="B2024" s="40" t="n"/>
      <c r="C2024" s="35" t="n"/>
      <c r="D2024" s="35" t="n"/>
      <c r="E2024" s="34" t="n"/>
      <c r="F2024" s="35" t="n"/>
      <c r="G2024" s="35" t="n"/>
      <c r="H2024" s="35" t="n"/>
      <c r="I2024" s="35" t="n"/>
      <c r="J2024" s="35" t="n"/>
      <c r="K2024" s="34" t="n"/>
      <c r="L2024" s="26">
        <f>IF(A2024="","",MONTH(A2024))</f>
        <v/>
      </c>
      <c r="M2024" s="26">
        <f>IF(A2024="","",YEAR(A2024))</f>
        <v/>
      </c>
      <c r="N2024" s="26">
        <f>IF(A2024="","",CHOOSE(WEEKDAY(A2024,2),"Segunda","Terça","Quarta","Quinta","Sexta","Sábado","Domingo"))</f>
        <v/>
      </c>
      <c r="O2024" s="26">
        <f>IF(B2024="","",IF(B2024&lt;TIME(12,0,0),"Manhã",IF(B2024&lt;TIME(18,0,0),"Tarde","Noite")))</f>
        <v/>
      </c>
      <c r="P2024" s="32">
        <f>IF(G2024="","",IFERROR(INDEX(Config!$I$5:$I$16,MATCH(G2024,Config!$H$5:$H$16,0)),0))</f>
        <v/>
      </c>
      <c r="Q2024" s="30">
        <f>IF(OR(H2024&lt;&gt;"Realizado",P2024="",P2024=0),"",A2024+P2024)</f>
        <v/>
      </c>
      <c r="R2024" s="26">
        <f>IF(Q2024="","",IF(COUNTIFS($E$5:$E$3004,E2024,$A$5:$A$3004,"&gt;"&amp;A2024,$H$5:$H$3004,"&lt;&gt;Falta",$H$5:$H$3004,"&lt;&gt;Cancelado",$H$5:$H$3004,"&lt;&gt;Remarcado")&gt;0,"Sim","Não"))</f>
        <v/>
      </c>
      <c r="S2024" s="32">
        <f>IF(R2024&lt;&gt;"Não","",IF(Q2024+Config!$B$9&lt;=Config!$B$8,Config!$B$8-Q2024,""))</f>
        <v/>
      </c>
      <c r="T2024" s="26">
        <f>IF(S2024="","","Sim")</f>
        <v/>
      </c>
      <c r="U2024" s="41">
        <f>IF(T2024="Sim",S2024+ROW()/100000,0)</f>
        <v>0</v>
      </c>
      <c r="V2024" s="41">
        <f>IF(AND(H2024="Falta",L2024=Config!$B$7,M2024=Config!$B$5,COUNTIFS($E$5:E2024,E2024,$H$5:H2024,"Falta",$L$5:L2024,Config!$B$7,$M$5:M2024,Config!$B$5)=1),COUNTIFS($E$5:$E$3004,E2024,$H$5:$H$3004,"Falta",$L$5:$L$3004,Config!$B$7,$M$5:$M$3004,Config!$B$5)*1000-ROW()/100000,0)</f>
        <v>0</v>
      </c>
    </row>
    <row r="2025">
      <c r="A2025" s="39" t="n"/>
      <c r="B2025" s="40" t="n"/>
      <c r="C2025" s="35" t="n"/>
      <c r="D2025" s="35" t="n"/>
      <c r="E2025" s="34" t="n"/>
      <c r="F2025" s="35" t="n"/>
      <c r="G2025" s="35" t="n"/>
      <c r="H2025" s="35" t="n"/>
      <c r="I2025" s="35" t="n"/>
      <c r="J2025" s="35" t="n"/>
      <c r="K2025" s="34" t="n"/>
      <c r="L2025" s="26">
        <f>IF(A2025="","",MONTH(A2025))</f>
        <v/>
      </c>
      <c r="M2025" s="26">
        <f>IF(A2025="","",YEAR(A2025))</f>
        <v/>
      </c>
      <c r="N2025" s="26">
        <f>IF(A2025="","",CHOOSE(WEEKDAY(A2025,2),"Segunda","Terça","Quarta","Quinta","Sexta","Sábado","Domingo"))</f>
        <v/>
      </c>
      <c r="O2025" s="26">
        <f>IF(B2025="","",IF(B2025&lt;TIME(12,0,0),"Manhã",IF(B2025&lt;TIME(18,0,0),"Tarde","Noite")))</f>
        <v/>
      </c>
      <c r="P2025" s="32">
        <f>IF(G2025="","",IFERROR(INDEX(Config!$I$5:$I$16,MATCH(G2025,Config!$H$5:$H$16,0)),0))</f>
        <v/>
      </c>
      <c r="Q2025" s="30">
        <f>IF(OR(H2025&lt;&gt;"Realizado",P2025="",P2025=0),"",A2025+P2025)</f>
        <v/>
      </c>
      <c r="R2025" s="26">
        <f>IF(Q2025="","",IF(COUNTIFS($E$5:$E$3004,E2025,$A$5:$A$3004,"&gt;"&amp;A2025,$H$5:$H$3004,"&lt;&gt;Falta",$H$5:$H$3004,"&lt;&gt;Cancelado",$H$5:$H$3004,"&lt;&gt;Remarcado")&gt;0,"Sim","Não"))</f>
        <v/>
      </c>
      <c r="S2025" s="32">
        <f>IF(R2025&lt;&gt;"Não","",IF(Q2025+Config!$B$9&lt;=Config!$B$8,Config!$B$8-Q2025,""))</f>
        <v/>
      </c>
      <c r="T2025" s="26">
        <f>IF(S2025="","","Sim")</f>
        <v/>
      </c>
      <c r="U2025" s="41">
        <f>IF(T2025="Sim",S2025+ROW()/100000,0)</f>
        <v>0</v>
      </c>
      <c r="V2025" s="41">
        <f>IF(AND(H2025="Falta",L2025=Config!$B$7,M2025=Config!$B$5,COUNTIFS($E$5:E2025,E2025,$H$5:H2025,"Falta",$L$5:L2025,Config!$B$7,$M$5:M2025,Config!$B$5)=1),COUNTIFS($E$5:$E$3004,E2025,$H$5:$H$3004,"Falta",$L$5:$L$3004,Config!$B$7,$M$5:$M$3004,Config!$B$5)*1000-ROW()/100000,0)</f>
        <v>0</v>
      </c>
    </row>
    <row r="2026">
      <c r="A2026" s="39" t="n"/>
      <c r="B2026" s="40" t="n"/>
      <c r="C2026" s="35" t="n"/>
      <c r="D2026" s="35" t="n"/>
      <c r="E2026" s="34" t="n"/>
      <c r="F2026" s="35" t="n"/>
      <c r="G2026" s="35" t="n"/>
      <c r="H2026" s="35" t="n"/>
      <c r="I2026" s="35" t="n"/>
      <c r="J2026" s="35" t="n"/>
      <c r="K2026" s="34" t="n"/>
      <c r="L2026" s="26">
        <f>IF(A2026="","",MONTH(A2026))</f>
        <v/>
      </c>
      <c r="M2026" s="26">
        <f>IF(A2026="","",YEAR(A2026))</f>
        <v/>
      </c>
      <c r="N2026" s="26">
        <f>IF(A2026="","",CHOOSE(WEEKDAY(A2026,2),"Segunda","Terça","Quarta","Quinta","Sexta","Sábado","Domingo"))</f>
        <v/>
      </c>
      <c r="O2026" s="26">
        <f>IF(B2026="","",IF(B2026&lt;TIME(12,0,0),"Manhã",IF(B2026&lt;TIME(18,0,0),"Tarde","Noite")))</f>
        <v/>
      </c>
      <c r="P2026" s="32">
        <f>IF(G2026="","",IFERROR(INDEX(Config!$I$5:$I$16,MATCH(G2026,Config!$H$5:$H$16,0)),0))</f>
        <v/>
      </c>
      <c r="Q2026" s="30">
        <f>IF(OR(H2026&lt;&gt;"Realizado",P2026="",P2026=0),"",A2026+P2026)</f>
        <v/>
      </c>
      <c r="R2026" s="26">
        <f>IF(Q2026="","",IF(COUNTIFS($E$5:$E$3004,E2026,$A$5:$A$3004,"&gt;"&amp;A2026,$H$5:$H$3004,"&lt;&gt;Falta",$H$5:$H$3004,"&lt;&gt;Cancelado",$H$5:$H$3004,"&lt;&gt;Remarcado")&gt;0,"Sim","Não"))</f>
        <v/>
      </c>
      <c r="S2026" s="32">
        <f>IF(R2026&lt;&gt;"Não","",IF(Q2026+Config!$B$9&lt;=Config!$B$8,Config!$B$8-Q2026,""))</f>
        <v/>
      </c>
      <c r="T2026" s="26">
        <f>IF(S2026="","","Sim")</f>
        <v/>
      </c>
      <c r="U2026" s="41">
        <f>IF(T2026="Sim",S2026+ROW()/100000,0)</f>
        <v>0</v>
      </c>
      <c r="V2026" s="41">
        <f>IF(AND(H2026="Falta",L2026=Config!$B$7,M2026=Config!$B$5,COUNTIFS($E$5:E2026,E2026,$H$5:H2026,"Falta",$L$5:L2026,Config!$B$7,$M$5:M2026,Config!$B$5)=1),COUNTIFS($E$5:$E$3004,E2026,$H$5:$H$3004,"Falta",$L$5:$L$3004,Config!$B$7,$M$5:$M$3004,Config!$B$5)*1000-ROW()/100000,0)</f>
        <v>0</v>
      </c>
    </row>
    <row r="2027">
      <c r="A2027" s="39" t="n"/>
      <c r="B2027" s="40" t="n"/>
      <c r="C2027" s="35" t="n"/>
      <c r="D2027" s="35" t="n"/>
      <c r="E2027" s="34" t="n"/>
      <c r="F2027" s="35" t="n"/>
      <c r="G2027" s="35" t="n"/>
      <c r="H2027" s="35" t="n"/>
      <c r="I2027" s="35" t="n"/>
      <c r="J2027" s="35" t="n"/>
      <c r="K2027" s="34" t="n"/>
      <c r="L2027" s="26">
        <f>IF(A2027="","",MONTH(A2027))</f>
        <v/>
      </c>
      <c r="M2027" s="26">
        <f>IF(A2027="","",YEAR(A2027))</f>
        <v/>
      </c>
      <c r="N2027" s="26">
        <f>IF(A2027="","",CHOOSE(WEEKDAY(A2027,2),"Segunda","Terça","Quarta","Quinta","Sexta","Sábado","Domingo"))</f>
        <v/>
      </c>
      <c r="O2027" s="26">
        <f>IF(B2027="","",IF(B2027&lt;TIME(12,0,0),"Manhã",IF(B2027&lt;TIME(18,0,0),"Tarde","Noite")))</f>
        <v/>
      </c>
      <c r="P2027" s="32">
        <f>IF(G2027="","",IFERROR(INDEX(Config!$I$5:$I$16,MATCH(G2027,Config!$H$5:$H$16,0)),0))</f>
        <v/>
      </c>
      <c r="Q2027" s="30">
        <f>IF(OR(H2027&lt;&gt;"Realizado",P2027="",P2027=0),"",A2027+P2027)</f>
        <v/>
      </c>
      <c r="R2027" s="26">
        <f>IF(Q2027="","",IF(COUNTIFS($E$5:$E$3004,E2027,$A$5:$A$3004,"&gt;"&amp;A2027,$H$5:$H$3004,"&lt;&gt;Falta",$H$5:$H$3004,"&lt;&gt;Cancelado",$H$5:$H$3004,"&lt;&gt;Remarcado")&gt;0,"Sim","Não"))</f>
        <v/>
      </c>
      <c r="S2027" s="32">
        <f>IF(R2027&lt;&gt;"Não","",IF(Q2027+Config!$B$9&lt;=Config!$B$8,Config!$B$8-Q2027,""))</f>
        <v/>
      </c>
      <c r="T2027" s="26">
        <f>IF(S2027="","","Sim")</f>
        <v/>
      </c>
      <c r="U2027" s="41">
        <f>IF(T2027="Sim",S2027+ROW()/100000,0)</f>
        <v>0</v>
      </c>
      <c r="V2027" s="41">
        <f>IF(AND(H2027="Falta",L2027=Config!$B$7,M2027=Config!$B$5,COUNTIFS($E$5:E2027,E2027,$H$5:H2027,"Falta",$L$5:L2027,Config!$B$7,$M$5:M2027,Config!$B$5)=1),COUNTIFS($E$5:$E$3004,E2027,$H$5:$H$3004,"Falta",$L$5:$L$3004,Config!$B$7,$M$5:$M$3004,Config!$B$5)*1000-ROW()/100000,0)</f>
        <v>0</v>
      </c>
    </row>
    <row r="2028">
      <c r="A2028" s="39" t="n"/>
      <c r="B2028" s="40" t="n"/>
      <c r="C2028" s="35" t="n"/>
      <c r="D2028" s="35" t="n"/>
      <c r="E2028" s="34" t="n"/>
      <c r="F2028" s="35" t="n"/>
      <c r="G2028" s="35" t="n"/>
      <c r="H2028" s="35" t="n"/>
      <c r="I2028" s="35" t="n"/>
      <c r="J2028" s="35" t="n"/>
      <c r="K2028" s="34" t="n"/>
      <c r="L2028" s="26">
        <f>IF(A2028="","",MONTH(A2028))</f>
        <v/>
      </c>
      <c r="M2028" s="26">
        <f>IF(A2028="","",YEAR(A2028))</f>
        <v/>
      </c>
      <c r="N2028" s="26">
        <f>IF(A2028="","",CHOOSE(WEEKDAY(A2028,2),"Segunda","Terça","Quarta","Quinta","Sexta","Sábado","Domingo"))</f>
        <v/>
      </c>
      <c r="O2028" s="26">
        <f>IF(B2028="","",IF(B2028&lt;TIME(12,0,0),"Manhã",IF(B2028&lt;TIME(18,0,0),"Tarde","Noite")))</f>
        <v/>
      </c>
      <c r="P2028" s="32">
        <f>IF(G2028="","",IFERROR(INDEX(Config!$I$5:$I$16,MATCH(G2028,Config!$H$5:$H$16,0)),0))</f>
        <v/>
      </c>
      <c r="Q2028" s="30">
        <f>IF(OR(H2028&lt;&gt;"Realizado",P2028="",P2028=0),"",A2028+P2028)</f>
        <v/>
      </c>
      <c r="R2028" s="26">
        <f>IF(Q2028="","",IF(COUNTIFS($E$5:$E$3004,E2028,$A$5:$A$3004,"&gt;"&amp;A2028,$H$5:$H$3004,"&lt;&gt;Falta",$H$5:$H$3004,"&lt;&gt;Cancelado",$H$5:$H$3004,"&lt;&gt;Remarcado")&gt;0,"Sim","Não"))</f>
        <v/>
      </c>
      <c r="S2028" s="32">
        <f>IF(R2028&lt;&gt;"Não","",IF(Q2028+Config!$B$9&lt;=Config!$B$8,Config!$B$8-Q2028,""))</f>
        <v/>
      </c>
      <c r="T2028" s="26">
        <f>IF(S2028="","","Sim")</f>
        <v/>
      </c>
      <c r="U2028" s="41">
        <f>IF(T2028="Sim",S2028+ROW()/100000,0)</f>
        <v>0</v>
      </c>
      <c r="V2028" s="41">
        <f>IF(AND(H2028="Falta",L2028=Config!$B$7,M2028=Config!$B$5,COUNTIFS($E$5:E2028,E2028,$H$5:H2028,"Falta",$L$5:L2028,Config!$B$7,$M$5:M2028,Config!$B$5)=1),COUNTIFS($E$5:$E$3004,E2028,$H$5:$H$3004,"Falta",$L$5:$L$3004,Config!$B$7,$M$5:$M$3004,Config!$B$5)*1000-ROW()/100000,0)</f>
        <v>0</v>
      </c>
    </row>
    <row r="2029">
      <c r="A2029" s="39" t="n"/>
      <c r="B2029" s="40" t="n"/>
      <c r="C2029" s="35" t="n"/>
      <c r="D2029" s="35" t="n"/>
      <c r="E2029" s="34" t="n"/>
      <c r="F2029" s="35" t="n"/>
      <c r="G2029" s="35" t="n"/>
      <c r="H2029" s="35" t="n"/>
      <c r="I2029" s="35" t="n"/>
      <c r="J2029" s="35" t="n"/>
      <c r="K2029" s="34" t="n"/>
      <c r="L2029" s="26">
        <f>IF(A2029="","",MONTH(A2029))</f>
        <v/>
      </c>
      <c r="M2029" s="26">
        <f>IF(A2029="","",YEAR(A2029))</f>
        <v/>
      </c>
      <c r="N2029" s="26">
        <f>IF(A2029="","",CHOOSE(WEEKDAY(A2029,2),"Segunda","Terça","Quarta","Quinta","Sexta","Sábado","Domingo"))</f>
        <v/>
      </c>
      <c r="O2029" s="26">
        <f>IF(B2029="","",IF(B2029&lt;TIME(12,0,0),"Manhã",IF(B2029&lt;TIME(18,0,0),"Tarde","Noite")))</f>
        <v/>
      </c>
      <c r="P2029" s="32">
        <f>IF(G2029="","",IFERROR(INDEX(Config!$I$5:$I$16,MATCH(G2029,Config!$H$5:$H$16,0)),0))</f>
        <v/>
      </c>
      <c r="Q2029" s="30">
        <f>IF(OR(H2029&lt;&gt;"Realizado",P2029="",P2029=0),"",A2029+P2029)</f>
        <v/>
      </c>
      <c r="R2029" s="26">
        <f>IF(Q2029="","",IF(COUNTIFS($E$5:$E$3004,E2029,$A$5:$A$3004,"&gt;"&amp;A2029,$H$5:$H$3004,"&lt;&gt;Falta",$H$5:$H$3004,"&lt;&gt;Cancelado",$H$5:$H$3004,"&lt;&gt;Remarcado")&gt;0,"Sim","Não"))</f>
        <v/>
      </c>
      <c r="S2029" s="32">
        <f>IF(R2029&lt;&gt;"Não","",IF(Q2029+Config!$B$9&lt;=Config!$B$8,Config!$B$8-Q2029,""))</f>
        <v/>
      </c>
      <c r="T2029" s="26">
        <f>IF(S2029="","","Sim")</f>
        <v/>
      </c>
      <c r="U2029" s="41">
        <f>IF(T2029="Sim",S2029+ROW()/100000,0)</f>
        <v>0</v>
      </c>
      <c r="V2029" s="41">
        <f>IF(AND(H2029="Falta",L2029=Config!$B$7,M2029=Config!$B$5,COUNTIFS($E$5:E2029,E2029,$H$5:H2029,"Falta",$L$5:L2029,Config!$B$7,$M$5:M2029,Config!$B$5)=1),COUNTIFS($E$5:$E$3004,E2029,$H$5:$H$3004,"Falta",$L$5:$L$3004,Config!$B$7,$M$5:$M$3004,Config!$B$5)*1000-ROW()/100000,0)</f>
        <v>0</v>
      </c>
    </row>
    <row r="2030">
      <c r="A2030" s="39" t="n"/>
      <c r="B2030" s="40" t="n"/>
      <c r="C2030" s="35" t="n"/>
      <c r="D2030" s="35" t="n"/>
      <c r="E2030" s="34" t="n"/>
      <c r="F2030" s="35" t="n"/>
      <c r="G2030" s="35" t="n"/>
      <c r="H2030" s="35" t="n"/>
      <c r="I2030" s="35" t="n"/>
      <c r="J2030" s="35" t="n"/>
      <c r="K2030" s="34" t="n"/>
      <c r="L2030" s="26">
        <f>IF(A2030="","",MONTH(A2030))</f>
        <v/>
      </c>
      <c r="M2030" s="26">
        <f>IF(A2030="","",YEAR(A2030))</f>
        <v/>
      </c>
      <c r="N2030" s="26">
        <f>IF(A2030="","",CHOOSE(WEEKDAY(A2030,2),"Segunda","Terça","Quarta","Quinta","Sexta","Sábado","Domingo"))</f>
        <v/>
      </c>
      <c r="O2030" s="26">
        <f>IF(B2030="","",IF(B2030&lt;TIME(12,0,0),"Manhã",IF(B2030&lt;TIME(18,0,0),"Tarde","Noite")))</f>
        <v/>
      </c>
      <c r="P2030" s="32">
        <f>IF(G2030="","",IFERROR(INDEX(Config!$I$5:$I$16,MATCH(G2030,Config!$H$5:$H$16,0)),0))</f>
        <v/>
      </c>
      <c r="Q2030" s="30">
        <f>IF(OR(H2030&lt;&gt;"Realizado",P2030="",P2030=0),"",A2030+P2030)</f>
        <v/>
      </c>
      <c r="R2030" s="26">
        <f>IF(Q2030="","",IF(COUNTIFS($E$5:$E$3004,E2030,$A$5:$A$3004,"&gt;"&amp;A2030,$H$5:$H$3004,"&lt;&gt;Falta",$H$5:$H$3004,"&lt;&gt;Cancelado",$H$5:$H$3004,"&lt;&gt;Remarcado")&gt;0,"Sim","Não"))</f>
        <v/>
      </c>
      <c r="S2030" s="32">
        <f>IF(R2030&lt;&gt;"Não","",IF(Q2030+Config!$B$9&lt;=Config!$B$8,Config!$B$8-Q2030,""))</f>
        <v/>
      </c>
      <c r="T2030" s="26">
        <f>IF(S2030="","","Sim")</f>
        <v/>
      </c>
      <c r="U2030" s="41">
        <f>IF(T2030="Sim",S2030+ROW()/100000,0)</f>
        <v>0</v>
      </c>
      <c r="V2030" s="41">
        <f>IF(AND(H2030="Falta",L2030=Config!$B$7,M2030=Config!$B$5,COUNTIFS($E$5:E2030,E2030,$H$5:H2030,"Falta",$L$5:L2030,Config!$B$7,$M$5:M2030,Config!$B$5)=1),COUNTIFS($E$5:$E$3004,E2030,$H$5:$H$3004,"Falta",$L$5:$L$3004,Config!$B$7,$M$5:$M$3004,Config!$B$5)*1000-ROW()/100000,0)</f>
        <v>0</v>
      </c>
    </row>
    <row r="2031">
      <c r="A2031" s="39" t="n"/>
      <c r="B2031" s="40" t="n"/>
      <c r="C2031" s="35" t="n"/>
      <c r="D2031" s="35" t="n"/>
      <c r="E2031" s="34" t="n"/>
      <c r="F2031" s="35" t="n"/>
      <c r="G2031" s="35" t="n"/>
      <c r="H2031" s="35" t="n"/>
      <c r="I2031" s="35" t="n"/>
      <c r="J2031" s="35" t="n"/>
      <c r="K2031" s="34" t="n"/>
      <c r="L2031" s="26">
        <f>IF(A2031="","",MONTH(A2031))</f>
        <v/>
      </c>
      <c r="M2031" s="26">
        <f>IF(A2031="","",YEAR(A2031))</f>
        <v/>
      </c>
      <c r="N2031" s="26">
        <f>IF(A2031="","",CHOOSE(WEEKDAY(A2031,2),"Segunda","Terça","Quarta","Quinta","Sexta","Sábado","Domingo"))</f>
        <v/>
      </c>
      <c r="O2031" s="26">
        <f>IF(B2031="","",IF(B2031&lt;TIME(12,0,0),"Manhã",IF(B2031&lt;TIME(18,0,0),"Tarde","Noite")))</f>
        <v/>
      </c>
      <c r="P2031" s="32">
        <f>IF(G2031="","",IFERROR(INDEX(Config!$I$5:$I$16,MATCH(G2031,Config!$H$5:$H$16,0)),0))</f>
        <v/>
      </c>
      <c r="Q2031" s="30">
        <f>IF(OR(H2031&lt;&gt;"Realizado",P2031="",P2031=0),"",A2031+P2031)</f>
        <v/>
      </c>
      <c r="R2031" s="26">
        <f>IF(Q2031="","",IF(COUNTIFS($E$5:$E$3004,E2031,$A$5:$A$3004,"&gt;"&amp;A2031,$H$5:$H$3004,"&lt;&gt;Falta",$H$5:$H$3004,"&lt;&gt;Cancelado",$H$5:$H$3004,"&lt;&gt;Remarcado")&gt;0,"Sim","Não"))</f>
        <v/>
      </c>
      <c r="S2031" s="32">
        <f>IF(R2031&lt;&gt;"Não","",IF(Q2031+Config!$B$9&lt;=Config!$B$8,Config!$B$8-Q2031,""))</f>
        <v/>
      </c>
      <c r="T2031" s="26">
        <f>IF(S2031="","","Sim")</f>
        <v/>
      </c>
      <c r="U2031" s="41">
        <f>IF(T2031="Sim",S2031+ROW()/100000,0)</f>
        <v>0</v>
      </c>
      <c r="V2031" s="41">
        <f>IF(AND(H2031="Falta",L2031=Config!$B$7,M2031=Config!$B$5,COUNTIFS($E$5:E2031,E2031,$H$5:H2031,"Falta",$L$5:L2031,Config!$B$7,$M$5:M2031,Config!$B$5)=1),COUNTIFS($E$5:$E$3004,E2031,$H$5:$H$3004,"Falta",$L$5:$L$3004,Config!$B$7,$M$5:$M$3004,Config!$B$5)*1000-ROW()/100000,0)</f>
        <v>0</v>
      </c>
    </row>
    <row r="2032">
      <c r="A2032" s="39" t="n"/>
      <c r="B2032" s="40" t="n"/>
      <c r="C2032" s="35" t="n"/>
      <c r="D2032" s="35" t="n"/>
      <c r="E2032" s="34" t="n"/>
      <c r="F2032" s="35" t="n"/>
      <c r="G2032" s="35" t="n"/>
      <c r="H2032" s="35" t="n"/>
      <c r="I2032" s="35" t="n"/>
      <c r="J2032" s="35" t="n"/>
      <c r="K2032" s="34" t="n"/>
      <c r="L2032" s="26">
        <f>IF(A2032="","",MONTH(A2032))</f>
        <v/>
      </c>
      <c r="M2032" s="26">
        <f>IF(A2032="","",YEAR(A2032))</f>
        <v/>
      </c>
      <c r="N2032" s="26">
        <f>IF(A2032="","",CHOOSE(WEEKDAY(A2032,2),"Segunda","Terça","Quarta","Quinta","Sexta","Sábado","Domingo"))</f>
        <v/>
      </c>
      <c r="O2032" s="26">
        <f>IF(B2032="","",IF(B2032&lt;TIME(12,0,0),"Manhã",IF(B2032&lt;TIME(18,0,0),"Tarde","Noite")))</f>
        <v/>
      </c>
      <c r="P2032" s="32">
        <f>IF(G2032="","",IFERROR(INDEX(Config!$I$5:$I$16,MATCH(G2032,Config!$H$5:$H$16,0)),0))</f>
        <v/>
      </c>
      <c r="Q2032" s="30">
        <f>IF(OR(H2032&lt;&gt;"Realizado",P2032="",P2032=0),"",A2032+P2032)</f>
        <v/>
      </c>
      <c r="R2032" s="26">
        <f>IF(Q2032="","",IF(COUNTIFS($E$5:$E$3004,E2032,$A$5:$A$3004,"&gt;"&amp;A2032,$H$5:$H$3004,"&lt;&gt;Falta",$H$5:$H$3004,"&lt;&gt;Cancelado",$H$5:$H$3004,"&lt;&gt;Remarcado")&gt;0,"Sim","Não"))</f>
        <v/>
      </c>
      <c r="S2032" s="32">
        <f>IF(R2032&lt;&gt;"Não","",IF(Q2032+Config!$B$9&lt;=Config!$B$8,Config!$B$8-Q2032,""))</f>
        <v/>
      </c>
      <c r="T2032" s="26">
        <f>IF(S2032="","","Sim")</f>
        <v/>
      </c>
      <c r="U2032" s="41">
        <f>IF(T2032="Sim",S2032+ROW()/100000,0)</f>
        <v>0</v>
      </c>
      <c r="V2032" s="41">
        <f>IF(AND(H2032="Falta",L2032=Config!$B$7,M2032=Config!$B$5,COUNTIFS($E$5:E2032,E2032,$H$5:H2032,"Falta",$L$5:L2032,Config!$B$7,$M$5:M2032,Config!$B$5)=1),COUNTIFS($E$5:$E$3004,E2032,$H$5:$H$3004,"Falta",$L$5:$L$3004,Config!$B$7,$M$5:$M$3004,Config!$B$5)*1000-ROW()/100000,0)</f>
        <v>0</v>
      </c>
    </row>
    <row r="2033">
      <c r="A2033" s="39" t="n"/>
      <c r="B2033" s="40" t="n"/>
      <c r="C2033" s="35" t="n"/>
      <c r="D2033" s="35" t="n"/>
      <c r="E2033" s="34" t="n"/>
      <c r="F2033" s="35" t="n"/>
      <c r="G2033" s="35" t="n"/>
      <c r="H2033" s="35" t="n"/>
      <c r="I2033" s="35" t="n"/>
      <c r="J2033" s="35" t="n"/>
      <c r="K2033" s="34" t="n"/>
      <c r="L2033" s="26">
        <f>IF(A2033="","",MONTH(A2033))</f>
        <v/>
      </c>
      <c r="M2033" s="26">
        <f>IF(A2033="","",YEAR(A2033))</f>
        <v/>
      </c>
      <c r="N2033" s="26">
        <f>IF(A2033="","",CHOOSE(WEEKDAY(A2033,2),"Segunda","Terça","Quarta","Quinta","Sexta","Sábado","Domingo"))</f>
        <v/>
      </c>
      <c r="O2033" s="26">
        <f>IF(B2033="","",IF(B2033&lt;TIME(12,0,0),"Manhã",IF(B2033&lt;TIME(18,0,0),"Tarde","Noite")))</f>
        <v/>
      </c>
      <c r="P2033" s="32">
        <f>IF(G2033="","",IFERROR(INDEX(Config!$I$5:$I$16,MATCH(G2033,Config!$H$5:$H$16,0)),0))</f>
        <v/>
      </c>
      <c r="Q2033" s="30">
        <f>IF(OR(H2033&lt;&gt;"Realizado",P2033="",P2033=0),"",A2033+P2033)</f>
        <v/>
      </c>
      <c r="R2033" s="26">
        <f>IF(Q2033="","",IF(COUNTIFS($E$5:$E$3004,E2033,$A$5:$A$3004,"&gt;"&amp;A2033,$H$5:$H$3004,"&lt;&gt;Falta",$H$5:$H$3004,"&lt;&gt;Cancelado",$H$5:$H$3004,"&lt;&gt;Remarcado")&gt;0,"Sim","Não"))</f>
        <v/>
      </c>
      <c r="S2033" s="32">
        <f>IF(R2033&lt;&gt;"Não","",IF(Q2033+Config!$B$9&lt;=Config!$B$8,Config!$B$8-Q2033,""))</f>
        <v/>
      </c>
      <c r="T2033" s="26">
        <f>IF(S2033="","","Sim")</f>
        <v/>
      </c>
      <c r="U2033" s="41">
        <f>IF(T2033="Sim",S2033+ROW()/100000,0)</f>
        <v>0</v>
      </c>
      <c r="V2033" s="41">
        <f>IF(AND(H2033="Falta",L2033=Config!$B$7,M2033=Config!$B$5,COUNTIFS($E$5:E2033,E2033,$H$5:H2033,"Falta",$L$5:L2033,Config!$B$7,$M$5:M2033,Config!$B$5)=1),COUNTIFS($E$5:$E$3004,E2033,$H$5:$H$3004,"Falta",$L$5:$L$3004,Config!$B$7,$M$5:$M$3004,Config!$B$5)*1000-ROW()/100000,0)</f>
        <v>0</v>
      </c>
    </row>
    <row r="2034">
      <c r="A2034" s="39" t="n"/>
      <c r="B2034" s="40" t="n"/>
      <c r="C2034" s="35" t="n"/>
      <c r="D2034" s="35" t="n"/>
      <c r="E2034" s="34" t="n"/>
      <c r="F2034" s="35" t="n"/>
      <c r="G2034" s="35" t="n"/>
      <c r="H2034" s="35" t="n"/>
      <c r="I2034" s="35" t="n"/>
      <c r="J2034" s="35" t="n"/>
      <c r="K2034" s="34" t="n"/>
      <c r="L2034" s="26">
        <f>IF(A2034="","",MONTH(A2034))</f>
        <v/>
      </c>
      <c r="M2034" s="26">
        <f>IF(A2034="","",YEAR(A2034))</f>
        <v/>
      </c>
      <c r="N2034" s="26">
        <f>IF(A2034="","",CHOOSE(WEEKDAY(A2034,2),"Segunda","Terça","Quarta","Quinta","Sexta","Sábado","Domingo"))</f>
        <v/>
      </c>
      <c r="O2034" s="26">
        <f>IF(B2034="","",IF(B2034&lt;TIME(12,0,0),"Manhã",IF(B2034&lt;TIME(18,0,0),"Tarde","Noite")))</f>
        <v/>
      </c>
      <c r="P2034" s="32">
        <f>IF(G2034="","",IFERROR(INDEX(Config!$I$5:$I$16,MATCH(G2034,Config!$H$5:$H$16,0)),0))</f>
        <v/>
      </c>
      <c r="Q2034" s="30">
        <f>IF(OR(H2034&lt;&gt;"Realizado",P2034="",P2034=0),"",A2034+P2034)</f>
        <v/>
      </c>
      <c r="R2034" s="26">
        <f>IF(Q2034="","",IF(COUNTIFS($E$5:$E$3004,E2034,$A$5:$A$3004,"&gt;"&amp;A2034,$H$5:$H$3004,"&lt;&gt;Falta",$H$5:$H$3004,"&lt;&gt;Cancelado",$H$5:$H$3004,"&lt;&gt;Remarcado")&gt;0,"Sim","Não"))</f>
        <v/>
      </c>
      <c r="S2034" s="32">
        <f>IF(R2034&lt;&gt;"Não","",IF(Q2034+Config!$B$9&lt;=Config!$B$8,Config!$B$8-Q2034,""))</f>
        <v/>
      </c>
      <c r="T2034" s="26">
        <f>IF(S2034="","","Sim")</f>
        <v/>
      </c>
      <c r="U2034" s="41">
        <f>IF(T2034="Sim",S2034+ROW()/100000,0)</f>
        <v>0</v>
      </c>
      <c r="V2034" s="41">
        <f>IF(AND(H2034="Falta",L2034=Config!$B$7,M2034=Config!$B$5,COUNTIFS($E$5:E2034,E2034,$H$5:H2034,"Falta",$L$5:L2034,Config!$B$7,$M$5:M2034,Config!$B$5)=1),COUNTIFS($E$5:$E$3004,E2034,$H$5:$H$3004,"Falta",$L$5:$L$3004,Config!$B$7,$M$5:$M$3004,Config!$B$5)*1000-ROW()/100000,0)</f>
        <v>0</v>
      </c>
    </row>
    <row r="2035">
      <c r="A2035" s="39" t="n"/>
      <c r="B2035" s="40" t="n"/>
      <c r="C2035" s="35" t="n"/>
      <c r="D2035" s="35" t="n"/>
      <c r="E2035" s="34" t="n"/>
      <c r="F2035" s="35" t="n"/>
      <c r="G2035" s="35" t="n"/>
      <c r="H2035" s="35" t="n"/>
      <c r="I2035" s="35" t="n"/>
      <c r="J2035" s="35" t="n"/>
      <c r="K2035" s="34" t="n"/>
      <c r="L2035" s="26">
        <f>IF(A2035="","",MONTH(A2035))</f>
        <v/>
      </c>
      <c r="M2035" s="26">
        <f>IF(A2035="","",YEAR(A2035))</f>
        <v/>
      </c>
      <c r="N2035" s="26">
        <f>IF(A2035="","",CHOOSE(WEEKDAY(A2035,2),"Segunda","Terça","Quarta","Quinta","Sexta","Sábado","Domingo"))</f>
        <v/>
      </c>
      <c r="O2035" s="26">
        <f>IF(B2035="","",IF(B2035&lt;TIME(12,0,0),"Manhã",IF(B2035&lt;TIME(18,0,0),"Tarde","Noite")))</f>
        <v/>
      </c>
      <c r="P2035" s="32">
        <f>IF(G2035="","",IFERROR(INDEX(Config!$I$5:$I$16,MATCH(G2035,Config!$H$5:$H$16,0)),0))</f>
        <v/>
      </c>
      <c r="Q2035" s="30">
        <f>IF(OR(H2035&lt;&gt;"Realizado",P2035="",P2035=0),"",A2035+P2035)</f>
        <v/>
      </c>
      <c r="R2035" s="26">
        <f>IF(Q2035="","",IF(COUNTIFS($E$5:$E$3004,E2035,$A$5:$A$3004,"&gt;"&amp;A2035,$H$5:$H$3004,"&lt;&gt;Falta",$H$5:$H$3004,"&lt;&gt;Cancelado",$H$5:$H$3004,"&lt;&gt;Remarcado")&gt;0,"Sim","Não"))</f>
        <v/>
      </c>
      <c r="S2035" s="32">
        <f>IF(R2035&lt;&gt;"Não","",IF(Q2035+Config!$B$9&lt;=Config!$B$8,Config!$B$8-Q2035,""))</f>
        <v/>
      </c>
      <c r="T2035" s="26">
        <f>IF(S2035="","","Sim")</f>
        <v/>
      </c>
      <c r="U2035" s="41">
        <f>IF(T2035="Sim",S2035+ROW()/100000,0)</f>
        <v>0</v>
      </c>
      <c r="V2035" s="41">
        <f>IF(AND(H2035="Falta",L2035=Config!$B$7,M2035=Config!$B$5,COUNTIFS($E$5:E2035,E2035,$H$5:H2035,"Falta",$L$5:L2035,Config!$B$7,$M$5:M2035,Config!$B$5)=1),COUNTIFS($E$5:$E$3004,E2035,$H$5:$H$3004,"Falta",$L$5:$L$3004,Config!$B$7,$M$5:$M$3004,Config!$B$5)*1000-ROW()/100000,0)</f>
        <v>0</v>
      </c>
    </row>
    <row r="2036">
      <c r="A2036" s="39" t="n"/>
      <c r="B2036" s="40" t="n"/>
      <c r="C2036" s="35" t="n"/>
      <c r="D2036" s="35" t="n"/>
      <c r="E2036" s="34" t="n"/>
      <c r="F2036" s="35" t="n"/>
      <c r="G2036" s="35" t="n"/>
      <c r="H2036" s="35" t="n"/>
      <c r="I2036" s="35" t="n"/>
      <c r="J2036" s="35" t="n"/>
      <c r="K2036" s="34" t="n"/>
      <c r="L2036" s="26">
        <f>IF(A2036="","",MONTH(A2036))</f>
        <v/>
      </c>
      <c r="M2036" s="26">
        <f>IF(A2036="","",YEAR(A2036))</f>
        <v/>
      </c>
      <c r="N2036" s="26">
        <f>IF(A2036="","",CHOOSE(WEEKDAY(A2036,2),"Segunda","Terça","Quarta","Quinta","Sexta","Sábado","Domingo"))</f>
        <v/>
      </c>
      <c r="O2036" s="26">
        <f>IF(B2036="","",IF(B2036&lt;TIME(12,0,0),"Manhã",IF(B2036&lt;TIME(18,0,0),"Tarde","Noite")))</f>
        <v/>
      </c>
      <c r="P2036" s="32">
        <f>IF(G2036="","",IFERROR(INDEX(Config!$I$5:$I$16,MATCH(G2036,Config!$H$5:$H$16,0)),0))</f>
        <v/>
      </c>
      <c r="Q2036" s="30">
        <f>IF(OR(H2036&lt;&gt;"Realizado",P2036="",P2036=0),"",A2036+P2036)</f>
        <v/>
      </c>
      <c r="R2036" s="26">
        <f>IF(Q2036="","",IF(COUNTIFS($E$5:$E$3004,E2036,$A$5:$A$3004,"&gt;"&amp;A2036,$H$5:$H$3004,"&lt;&gt;Falta",$H$5:$H$3004,"&lt;&gt;Cancelado",$H$5:$H$3004,"&lt;&gt;Remarcado")&gt;0,"Sim","Não"))</f>
        <v/>
      </c>
      <c r="S2036" s="32">
        <f>IF(R2036&lt;&gt;"Não","",IF(Q2036+Config!$B$9&lt;=Config!$B$8,Config!$B$8-Q2036,""))</f>
        <v/>
      </c>
      <c r="T2036" s="26">
        <f>IF(S2036="","","Sim")</f>
        <v/>
      </c>
      <c r="U2036" s="41">
        <f>IF(T2036="Sim",S2036+ROW()/100000,0)</f>
        <v>0</v>
      </c>
      <c r="V2036" s="41">
        <f>IF(AND(H2036="Falta",L2036=Config!$B$7,M2036=Config!$B$5,COUNTIFS($E$5:E2036,E2036,$H$5:H2036,"Falta",$L$5:L2036,Config!$B$7,$M$5:M2036,Config!$B$5)=1),COUNTIFS($E$5:$E$3004,E2036,$H$5:$H$3004,"Falta",$L$5:$L$3004,Config!$B$7,$M$5:$M$3004,Config!$B$5)*1000-ROW()/100000,0)</f>
        <v>0</v>
      </c>
    </row>
    <row r="2037">
      <c r="A2037" s="39" t="n"/>
      <c r="B2037" s="40" t="n"/>
      <c r="C2037" s="35" t="n"/>
      <c r="D2037" s="35" t="n"/>
      <c r="E2037" s="34" t="n"/>
      <c r="F2037" s="35" t="n"/>
      <c r="G2037" s="35" t="n"/>
      <c r="H2037" s="35" t="n"/>
      <c r="I2037" s="35" t="n"/>
      <c r="J2037" s="35" t="n"/>
      <c r="K2037" s="34" t="n"/>
      <c r="L2037" s="26">
        <f>IF(A2037="","",MONTH(A2037))</f>
        <v/>
      </c>
      <c r="M2037" s="26">
        <f>IF(A2037="","",YEAR(A2037))</f>
        <v/>
      </c>
      <c r="N2037" s="26">
        <f>IF(A2037="","",CHOOSE(WEEKDAY(A2037,2),"Segunda","Terça","Quarta","Quinta","Sexta","Sábado","Domingo"))</f>
        <v/>
      </c>
      <c r="O2037" s="26">
        <f>IF(B2037="","",IF(B2037&lt;TIME(12,0,0),"Manhã",IF(B2037&lt;TIME(18,0,0),"Tarde","Noite")))</f>
        <v/>
      </c>
      <c r="P2037" s="32">
        <f>IF(G2037="","",IFERROR(INDEX(Config!$I$5:$I$16,MATCH(G2037,Config!$H$5:$H$16,0)),0))</f>
        <v/>
      </c>
      <c r="Q2037" s="30">
        <f>IF(OR(H2037&lt;&gt;"Realizado",P2037="",P2037=0),"",A2037+P2037)</f>
        <v/>
      </c>
      <c r="R2037" s="26">
        <f>IF(Q2037="","",IF(COUNTIFS($E$5:$E$3004,E2037,$A$5:$A$3004,"&gt;"&amp;A2037,$H$5:$H$3004,"&lt;&gt;Falta",$H$5:$H$3004,"&lt;&gt;Cancelado",$H$5:$H$3004,"&lt;&gt;Remarcado")&gt;0,"Sim","Não"))</f>
        <v/>
      </c>
      <c r="S2037" s="32">
        <f>IF(R2037&lt;&gt;"Não","",IF(Q2037+Config!$B$9&lt;=Config!$B$8,Config!$B$8-Q2037,""))</f>
        <v/>
      </c>
      <c r="T2037" s="26">
        <f>IF(S2037="","","Sim")</f>
        <v/>
      </c>
      <c r="U2037" s="41">
        <f>IF(T2037="Sim",S2037+ROW()/100000,0)</f>
        <v>0</v>
      </c>
      <c r="V2037" s="41">
        <f>IF(AND(H2037="Falta",L2037=Config!$B$7,M2037=Config!$B$5,COUNTIFS($E$5:E2037,E2037,$H$5:H2037,"Falta",$L$5:L2037,Config!$B$7,$M$5:M2037,Config!$B$5)=1),COUNTIFS($E$5:$E$3004,E2037,$H$5:$H$3004,"Falta",$L$5:$L$3004,Config!$B$7,$M$5:$M$3004,Config!$B$5)*1000-ROW()/100000,0)</f>
        <v>0</v>
      </c>
    </row>
    <row r="2038">
      <c r="A2038" s="39" t="n"/>
      <c r="B2038" s="40" t="n"/>
      <c r="C2038" s="35" t="n"/>
      <c r="D2038" s="35" t="n"/>
      <c r="E2038" s="34" t="n"/>
      <c r="F2038" s="35" t="n"/>
      <c r="G2038" s="35" t="n"/>
      <c r="H2038" s="35" t="n"/>
      <c r="I2038" s="35" t="n"/>
      <c r="J2038" s="35" t="n"/>
      <c r="K2038" s="34" t="n"/>
      <c r="L2038" s="26">
        <f>IF(A2038="","",MONTH(A2038))</f>
        <v/>
      </c>
      <c r="M2038" s="26">
        <f>IF(A2038="","",YEAR(A2038))</f>
        <v/>
      </c>
      <c r="N2038" s="26">
        <f>IF(A2038="","",CHOOSE(WEEKDAY(A2038,2),"Segunda","Terça","Quarta","Quinta","Sexta","Sábado","Domingo"))</f>
        <v/>
      </c>
      <c r="O2038" s="26">
        <f>IF(B2038="","",IF(B2038&lt;TIME(12,0,0),"Manhã",IF(B2038&lt;TIME(18,0,0),"Tarde","Noite")))</f>
        <v/>
      </c>
      <c r="P2038" s="32">
        <f>IF(G2038="","",IFERROR(INDEX(Config!$I$5:$I$16,MATCH(G2038,Config!$H$5:$H$16,0)),0))</f>
        <v/>
      </c>
      <c r="Q2038" s="30">
        <f>IF(OR(H2038&lt;&gt;"Realizado",P2038="",P2038=0),"",A2038+P2038)</f>
        <v/>
      </c>
      <c r="R2038" s="26">
        <f>IF(Q2038="","",IF(COUNTIFS($E$5:$E$3004,E2038,$A$5:$A$3004,"&gt;"&amp;A2038,$H$5:$H$3004,"&lt;&gt;Falta",$H$5:$H$3004,"&lt;&gt;Cancelado",$H$5:$H$3004,"&lt;&gt;Remarcado")&gt;0,"Sim","Não"))</f>
        <v/>
      </c>
      <c r="S2038" s="32">
        <f>IF(R2038&lt;&gt;"Não","",IF(Q2038+Config!$B$9&lt;=Config!$B$8,Config!$B$8-Q2038,""))</f>
        <v/>
      </c>
      <c r="T2038" s="26">
        <f>IF(S2038="","","Sim")</f>
        <v/>
      </c>
      <c r="U2038" s="41">
        <f>IF(T2038="Sim",S2038+ROW()/100000,0)</f>
        <v>0</v>
      </c>
      <c r="V2038" s="41">
        <f>IF(AND(H2038="Falta",L2038=Config!$B$7,M2038=Config!$B$5,COUNTIFS($E$5:E2038,E2038,$H$5:H2038,"Falta",$L$5:L2038,Config!$B$7,$M$5:M2038,Config!$B$5)=1),COUNTIFS($E$5:$E$3004,E2038,$H$5:$H$3004,"Falta",$L$5:$L$3004,Config!$B$7,$M$5:$M$3004,Config!$B$5)*1000-ROW()/100000,0)</f>
        <v>0</v>
      </c>
    </row>
    <row r="2039">
      <c r="A2039" s="39" t="n"/>
      <c r="B2039" s="40" t="n"/>
      <c r="C2039" s="35" t="n"/>
      <c r="D2039" s="35" t="n"/>
      <c r="E2039" s="34" t="n"/>
      <c r="F2039" s="35" t="n"/>
      <c r="G2039" s="35" t="n"/>
      <c r="H2039" s="35" t="n"/>
      <c r="I2039" s="35" t="n"/>
      <c r="J2039" s="35" t="n"/>
      <c r="K2039" s="34" t="n"/>
      <c r="L2039" s="26">
        <f>IF(A2039="","",MONTH(A2039))</f>
        <v/>
      </c>
      <c r="M2039" s="26">
        <f>IF(A2039="","",YEAR(A2039))</f>
        <v/>
      </c>
      <c r="N2039" s="26">
        <f>IF(A2039="","",CHOOSE(WEEKDAY(A2039,2),"Segunda","Terça","Quarta","Quinta","Sexta","Sábado","Domingo"))</f>
        <v/>
      </c>
      <c r="O2039" s="26">
        <f>IF(B2039="","",IF(B2039&lt;TIME(12,0,0),"Manhã",IF(B2039&lt;TIME(18,0,0),"Tarde","Noite")))</f>
        <v/>
      </c>
      <c r="P2039" s="32">
        <f>IF(G2039="","",IFERROR(INDEX(Config!$I$5:$I$16,MATCH(G2039,Config!$H$5:$H$16,0)),0))</f>
        <v/>
      </c>
      <c r="Q2039" s="30">
        <f>IF(OR(H2039&lt;&gt;"Realizado",P2039="",P2039=0),"",A2039+P2039)</f>
        <v/>
      </c>
      <c r="R2039" s="26">
        <f>IF(Q2039="","",IF(COUNTIFS($E$5:$E$3004,E2039,$A$5:$A$3004,"&gt;"&amp;A2039,$H$5:$H$3004,"&lt;&gt;Falta",$H$5:$H$3004,"&lt;&gt;Cancelado",$H$5:$H$3004,"&lt;&gt;Remarcado")&gt;0,"Sim","Não"))</f>
        <v/>
      </c>
      <c r="S2039" s="32">
        <f>IF(R2039&lt;&gt;"Não","",IF(Q2039+Config!$B$9&lt;=Config!$B$8,Config!$B$8-Q2039,""))</f>
        <v/>
      </c>
      <c r="T2039" s="26">
        <f>IF(S2039="","","Sim")</f>
        <v/>
      </c>
      <c r="U2039" s="41">
        <f>IF(T2039="Sim",S2039+ROW()/100000,0)</f>
        <v>0</v>
      </c>
      <c r="V2039" s="41">
        <f>IF(AND(H2039="Falta",L2039=Config!$B$7,M2039=Config!$B$5,COUNTIFS($E$5:E2039,E2039,$H$5:H2039,"Falta",$L$5:L2039,Config!$B$7,$M$5:M2039,Config!$B$5)=1),COUNTIFS($E$5:$E$3004,E2039,$H$5:$H$3004,"Falta",$L$5:$L$3004,Config!$B$7,$M$5:$M$3004,Config!$B$5)*1000-ROW()/100000,0)</f>
        <v>0</v>
      </c>
    </row>
    <row r="2040">
      <c r="A2040" s="39" t="n"/>
      <c r="B2040" s="40" t="n"/>
      <c r="C2040" s="35" t="n"/>
      <c r="D2040" s="35" t="n"/>
      <c r="E2040" s="34" t="n"/>
      <c r="F2040" s="35" t="n"/>
      <c r="G2040" s="35" t="n"/>
      <c r="H2040" s="35" t="n"/>
      <c r="I2040" s="35" t="n"/>
      <c r="J2040" s="35" t="n"/>
      <c r="K2040" s="34" t="n"/>
      <c r="L2040" s="26">
        <f>IF(A2040="","",MONTH(A2040))</f>
        <v/>
      </c>
      <c r="M2040" s="26">
        <f>IF(A2040="","",YEAR(A2040))</f>
        <v/>
      </c>
      <c r="N2040" s="26">
        <f>IF(A2040="","",CHOOSE(WEEKDAY(A2040,2),"Segunda","Terça","Quarta","Quinta","Sexta","Sábado","Domingo"))</f>
        <v/>
      </c>
      <c r="O2040" s="26">
        <f>IF(B2040="","",IF(B2040&lt;TIME(12,0,0),"Manhã",IF(B2040&lt;TIME(18,0,0),"Tarde","Noite")))</f>
        <v/>
      </c>
      <c r="P2040" s="32">
        <f>IF(G2040="","",IFERROR(INDEX(Config!$I$5:$I$16,MATCH(G2040,Config!$H$5:$H$16,0)),0))</f>
        <v/>
      </c>
      <c r="Q2040" s="30">
        <f>IF(OR(H2040&lt;&gt;"Realizado",P2040="",P2040=0),"",A2040+P2040)</f>
        <v/>
      </c>
      <c r="R2040" s="26">
        <f>IF(Q2040="","",IF(COUNTIFS($E$5:$E$3004,E2040,$A$5:$A$3004,"&gt;"&amp;A2040,$H$5:$H$3004,"&lt;&gt;Falta",$H$5:$H$3004,"&lt;&gt;Cancelado",$H$5:$H$3004,"&lt;&gt;Remarcado")&gt;0,"Sim","Não"))</f>
        <v/>
      </c>
      <c r="S2040" s="32">
        <f>IF(R2040&lt;&gt;"Não","",IF(Q2040+Config!$B$9&lt;=Config!$B$8,Config!$B$8-Q2040,""))</f>
        <v/>
      </c>
      <c r="T2040" s="26">
        <f>IF(S2040="","","Sim")</f>
        <v/>
      </c>
      <c r="U2040" s="41">
        <f>IF(T2040="Sim",S2040+ROW()/100000,0)</f>
        <v>0</v>
      </c>
      <c r="V2040" s="41">
        <f>IF(AND(H2040="Falta",L2040=Config!$B$7,M2040=Config!$B$5,COUNTIFS($E$5:E2040,E2040,$H$5:H2040,"Falta",$L$5:L2040,Config!$B$7,$M$5:M2040,Config!$B$5)=1),COUNTIFS($E$5:$E$3004,E2040,$H$5:$H$3004,"Falta",$L$5:$L$3004,Config!$B$7,$M$5:$M$3004,Config!$B$5)*1000-ROW()/100000,0)</f>
        <v>0</v>
      </c>
    </row>
    <row r="2041">
      <c r="A2041" s="39" t="n"/>
      <c r="B2041" s="40" t="n"/>
      <c r="C2041" s="35" t="n"/>
      <c r="D2041" s="35" t="n"/>
      <c r="E2041" s="34" t="n"/>
      <c r="F2041" s="35" t="n"/>
      <c r="G2041" s="35" t="n"/>
      <c r="H2041" s="35" t="n"/>
      <c r="I2041" s="35" t="n"/>
      <c r="J2041" s="35" t="n"/>
      <c r="K2041" s="34" t="n"/>
      <c r="L2041" s="26">
        <f>IF(A2041="","",MONTH(A2041))</f>
        <v/>
      </c>
      <c r="M2041" s="26">
        <f>IF(A2041="","",YEAR(A2041))</f>
        <v/>
      </c>
      <c r="N2041" s="26">
        <f>IF(A2041="","",CHOOSE(WEEKDAY(A2041,2),"Segunda","Terça","Quarta","Quinta","Sexta","Sábado","Domingo"))</f>
        <v/>
      </c>
      <c r="O2041" s="26">
        <f>IF(B2041="","",IF(B2041&lt;TIME(12,0,0),"Manhã",IF(B2041&lt;TIME(18,0,0),"Tarde","Noite")))</f>
        <v/>
      </c>
      <c r="P2041" s="32">
        <f>IF(G2041="","",IFERROR(INDEX(Config!$I$5:$I$16,MATCH(G2041,Config!$H$5:$H$16,0)),0))</f>
        <v/>
      </c>
      <c r="Q2041" s="30">
        <f>IF(OR(H2041&lt;&gt;"Realizado",P2041="",P2041=0),"",A2041+P2041)</f>
        <v/>
      </c>
      <c r="R2041" s="26">
        <f>IF(Q2041="","",IF(COUNTIFS($E$5:$E$3004,E2041,$A$5:$A$3004,"&gt;"&amp;A2041,$H$5:$H$3004,"&lt;&gt;Falta",$H$5:$H$3004,"&lt;&gt;Cancelado",$H$5:$H$3004,"&lt;&gt;Remarcado")&gt;0,"Sim","Não"))</f>
        <v/>
      </c>
      <c r="S2041" s="32">
        <f>IF(R2041&lt;&gt;"Não","",IF(Q2041+Config!$B$9&lt;=Config!$B$8,Config!$B$8-Q2041,""))</f>
        <v/>
      </c>
      <c r="T2041" s="26">
        <f>IF(S2041="","","Sim")</f>
        <v/>
      </c>
      <c r="U2041" s="41">
        <f>IF(T2041="Sim",S2041+ROW()/100000,0)</f>
        <v>0</v>
      </c>
      <c r="V2041" s="41">
        <f>IF(AND(H2041="Falta",L2041=Config!$B$7,M2041=Config!$B$5,COUNTIFS($E$5:E2041,E2041,$H$5:H2041,"Falta",$L$5:L2041,Config!$B$7,$M$5:M2041,Config!$B$5)=1),COUNTIFS($E$5:$E$3004,E2041,$H$5:$H$3004,"Falta",$L$5:$L$3004,Config!$B$7,$M$5:$M$3004,Config!$B$5)*1000-ROW()/100000,0)</f>
        <v>0</v>
      </c>
    </row>
    <row r="2042">
      <c r="A2042" s="39" t="n"/>
      <c r="B2042" s="40" t="n"/>
      <c r="C2042" s="35" t="n"/>
      <c r="D2042" s="35" t="n"/>
      <c r="E2042" s="34" t="n"/>
      <c r="F2042" s="35" t="n"/>
      <c r="G2042" s="35" t="n"/>
      <c r="H2042" s="35" t="n"/>
      <c r="I2042" s="35" t="n"/>
      <c r="J2042" s="35" t="n"/>
      <c r="K2042" s="34" t="n"/>
      <c r="L2042" s="26">
        <f>IF(A2042="","",MONTH(A2042))</f>
        <v/>
      </c>
      <c r="M2042" s="26">
        <f>IF(A2042="","",YEAR(A2042))</f>
        <v/>
      </c>
      <c r="N2042" s="26">
        <f>IF(A2042="","",CHOOSE(WEEKDAY(A2042,2),"Segunda","Terça","Quarta","Quinta","Sexta","Sábado","Domingo"))</f>
        <v/>
      </c>
      <c r="O2042" s="26">
        <f>IF(B2042="","",IF(B2042&lt;TIME(12,0,0),"Manhã",IF(B2042&lt;TIME(18,0,0),"Tarde","Noite")))</f>
        <v/>
      </c>
      <c r="P2042" s="32">
        <f>IF(G2042="","",IFERROR(INDEX(Config!$I$5:$I$16,MATCH(G2042,Config!$H$5:$H$16,0)),0))</f>
        <v/>
      </c>
      <c r="Q2042" s="30">
        <f>IF(OR(H2042&lt;&gt;"Realizado",P2042="",P2042=0),"",A2042+P2042)</f>
        <v/>
      </c>
      <c r="R2042" s="26">
        <f>IF(Q2042="","",IF(COUNTIFS($E$5:$E$3004,E2042,$A$5:$A$3004,"&gt;"&amp;A2042,$H$5:$H$3004,"&lt;&gt;Falta",$H$5:$H$3004,"&lt;&gt;Cancelado",$H$5:$H$3004,"&lt;&gt;Remarcado")&gt;0,"Sim","Não"))</f>
        <v/>
      </c>
      <c r="S2042" s="32">
        <f>IF(R2042&lt;&gt;"Não","",IF(Q2042+Config!$B$9&lt;=Config!$B$8,Config!$B$8-Q2042,""))</f>
        <v/>
      </c>
      <c r="T2042" s="26">
        <f>IF(S2042="","","Sim")</f>
        <v/>
      </c>
      <c r="U2042" s="41">
        <f>IF(T2042="Sim",S2042+ROW()/100000,0)</f>
        <v>0</v>
      </c>
      <c r="V2042" s="41">
        <f>IF(AND(H2042="Falta",L2042=Config!$B$7,M2042=Config!$B$5,COUNTIFS($E$5:E2042,E2042,$H$5:H2042,"Falta",$L$5:L2042,Config!$B$7,$M$5:M2042,Config!$B$5)=1),COUNTIFS($E$5:$E$3004,E2042,$H$5:$H$3004,"Falta",$L$5:$L$3004,Config!$B$7,$M$5:$M$3004,Config!$B$5)*1000-ROW()/100000,0)</f>
        <v>0</v>
      </c>
    </row>
    <row r="2043">
      <c r="A2043" s="39" t="n"/>
      <c r="B2043" s="40" t="n"/>
      <c r="C2043" s="35" t="n"/>
      <c r="D2043" s="35" t="n"/>
      <c r="E2043" s="34" t="n"/>
      <c r="F2043" s="35" t="n"/>
      <c r="G2043" s="35" t="n"/>
      <c r="H2043" s="35" t="n"/>
      <c r="I2043" s="35" t="n"/>
      <c r="J2043" s="35" t="n"/>
      <c r="K2043" s="34" t="n"/>
      <c r="L2043" s="26">
        <f>IF(A2043="","",MONTH(A2043))</f>
        <v/>
      </c>
      <c r="M2043" s="26">
        <f>IF(A2043="","",YEAR(A2043))</f>
        <v/>
      </c>
      <c r="N2043" s="26">
        <f>IF(A2043="","",CHOOSE(WEEKDAY(A2043,2),"Segunda","Terça","Quarta","Quinta","Sexta","Sábado","Domingo"))</f>
        <v/>
      </c>
      <c r="O2043" s="26">
        <f>IF(B2043="","",IF(B2043&lt;TIME(12,0,0),"Manhã",IF(B2043&lt;TIME(18,0,0),"Tarde","Noite")))</f>
        <v/>
      </c>
      <c r="P2043" s="32">
        <f>IF(G2043="","",IFERROR(INDEX(Config!$I$5:$I$16,MATCH(G2043,Config!$H$5:$H$16,0)),0))</f>
        <v/>
      </c>
      <c r="Q2043" s="30">
        <f>IF(OR(H2043&lt;&gt;"Realizado",P2043="",P2043=0),"",A2043+P2043)</f>
        <v/>
      </c>
      <c r="R2043" s="26">
        <f>IF(Q2043="","",IF(COUNTIFS($E$5:$E$3004,E2043,$A$5:$A$3004,"&gt;"&amp;A2043,$H$5:$H$3004,"&lt;&gt;Falta",$H$5:$H$3004,"&lt;&gt;Cancelado",$H$5:$H$3004,"&lt;&gt;Remarcado")&gt;0,"Sim","Não"))</f>
        <v/>
      </c>
      <c r="S2043" s="32">
        <f>IF(R2043&lt;&gt;"Não","",IF(Q2043+Config!$B$9&lt;=Config!$B$8,Config!$B$8-Q2043,""))</f>
        <v/>
      </c>
      <c r="T2043" s="26">
        <f>IF(S2043="","","Sim")</f>
        <v/>
      </c>
      <c r="U2043" s="41">
        <f>IF(T2043="Sim",S2043+ROW()/100000,0)</f>
        <v>0</v>
      </c>
      <c r="V2043" s="41">
        <f>IF(AND(H2043="Falta",L2043=Config!$B$7,M2043=Config!$B$5,COUNTIFS($E$5:E2043,E2043,$H$5:H2043,"Falta",$L$5:L2043,Config!$B$7,$M$5:M2043,Config!$B$5)=1),COUNTIFS($E$5:$E$3004,E2043,$H$5:$H$3004,"Falta",$L$5:$L$3004,Config!$B$7,$M$5:$M$3004,Config!$B$5)*1000-ROW()/100000,0)</f>
        <v>0</v>
      </c>
    </row>
    <row r="2044">
      <c r="A2044" s="39" t="n"/>
      <c r="B2044" s="40" t="n"/>
      <c r="C2044" s="35" t="n"/>
      <c r="D2044" s="35" t="n"/>
      <c r="E2044" s="34" t="n"/>
      <c r="F2044" s="35" t="n"/>
      <c r="G2044" s="35" t="n"/>
      <c r="H2044" s="35" t="n"/>
      <c r="I2044" s="35" t="n"/>
      <c r="J2044" s="35" t="n"/>
      <c r="K2044" s="34" t="n"/>
      <c r="L2044" s="26">
        <f>IF(A2044="","",MONTH(A2044))</f>
        <v/>
      </c>
      <c r="M2044" s="26">
        <f>IF(A2044="","",YEAR(A2044))</f>
        <v/>
      </c>
      <c r="N2044" s="26">
        <f>IF(A2044="","",CHOOSE(WEEKDAY(A2044,2),"Segunda","Terça","Quarta","Quinta","Sexta","Sábado","Domingo"))</f>
        <v/>
      </c>
      <c r="O2044" s="26">
        <f>IF(B2044="","",IF(B2044&lt;TIME(12,0,0),"Manhã",IF(B2044&lt;TIME(18,0,0),"Tarde","Noite")))</f>
        <v/>
      </c>
      <c r="P2044" s="32">
        <f>IF(G2044="","",IFERROR(INDEX(Config!$I$5:$I$16,MATCH(G2044,Config!$H$5:$H$16,0)),0))</f>
        <v/>
      </c>
      <c r="Q2044" s="30">
        <f>IF(OR(H2044&lt;&gt;"Realizado",P2044="",P2044=0),"",A2044+P2044)</f>
        <v/>
      </c>
      <c r="R2044" s="26">
        <f>IF(Q2044="","",IF(COUNTIFS($E$5:$E$3004,E2044,$A$5:$A$3004,"&gt;"&amp;A2044,$H$5:$H$3004,"&lt;&gt;Falta",$H$5:$H$3004,"&lt;&gt;Cancelado",$H$5:$H$3004,"&lt;&gt;Remarcado")&gt;0,"Sim","Não"))</f>
        <v/>
      </c>
      <c r="S2044" s="32">
        <f>IF(R2044&lt;&gt;"Não","",IF(Q2044+Config!$B$9&lt;=Config!$B$8,Config!$B$8-Q2044,""))</f>
        <v/>
      </c>
      <c r="T2044" s="26">
        <f>IF(S2044="","","Sim")</f>
        <v/>
      </c>
      <c r="U2044" s="41">
        <f>IF(T2044="Sim",S2044+ROW()/100000,0)</f>
        <v>0</v>
      </c>
      <c r="V2044" s="41">
        <f>IF(AND(H2044="Falta",L2044=Config!$B$7,M2044=Config!$B$5,COUNTIFS($E$5:E2044,E2044,$H$5:H2044,"Falta",$L$5:L2044,Config!$B$7,$M$5:M2044,Config!$B$5)=1),COUNTIFS($E$5:$E$3004,E2044,$H$5:$H$3004,"Falta",$L$5:$L$3004,Config!$B$7,$M$5:$M$3004,Config!$B$5)*1000-ROW()/100000,0)</f>
        <v>0</v>
      </c>
    </row>
    <row r="2045">
      <c r="A2045" s="39" t="n"/>
      <c r="B2045" s="40" t="n"/>
      <c r="C2045" s="35" t="n"/>
      <c r="D2045" s="35" t="n"/>
      <c r="E2045" s="34" t="n"/>
      <c r="F2045" s="35" t="n"/>
      <c r="G2045" s="35" t="n"/>
      <c r="H2045" s="35" t="n"/>
      <c r="I2045" s="35" t="n"/>
      <c r="J2045" s="35" t="n"/>
      <c r="K2045" s="34" t="n"/>
      <c r="L2045" s="26">
        <f>IF(A2045="","",MONTH(A2045))</f>
        <v/>
      </c>
      <c r="M2045" s="26">
        <f>IF(A2045="","",YEAR(A2045))</f>
        <v/>
      </c>
      <c r="N2045" s="26">
        <f>IF(A2045="","",CHOOSE(WEEKDAY(A2045,2),"Segunda","Terça","Quarta","Quinta","Sexta","Sábado","Domingo"))</f>
        <v/>
      </c>
      <c r="O2045" s="26">
        <f>IF(B2045="","",IF(B2045&lt;TIME(12,0,0),"Manhã",IF(B2045&lt;TIME(18,0,0),"Tarde","Noite")))</f>
        <v/>
      </c>
      <c r="P2045" s="32">
        <f>IF(G2045="","",IFERROR(INDEX(Config!$I$5:$I$16,MATCH(G2045,Config!$H$5:$H$16,0)),0))</f>
        <v/>
      </c>
      <c r="Q2045" s="30">
        <f>IF(OR(H2045&lt;&gt;"Realizado",P2045="",P2045=0),"",A2045+P2045)</f>
        <v/>
      </c>
      <c r="R2045" s="26">
        <f>IF(Q2045="","",IF(COUNTIFS($E$5:$E$3004,E2045,$A$5:$A$3004,"&gt;"&amp;A2045,$H$5:$H$3004,"&lt;&gt;Falta",$H$5:$H$3004,"&lt;&gt;Cancelado",$H$5:$H$3004,"&lt;&gt;Remarcado")&gt;0,"Sim","Não"))</f>
        <v/>
      </c>
      <c r="S2045" s="32">
        <f>IF(R2045&lt;&gt;"Não","",IF(Q2045+Config!$B$9&lt;=Config!$B$8,Config!$B$8-Q2045,""))</f>
        <v/>
      </c>
      <c r="T2045" s="26">
        <f>IF(S2045="","","Sim")</f>
        <v/>
      </c>
      <c r="U2045" s="41">
        <f>IF(T2045="Sim",S2045+ROW()/100000,0)</f>
        <v>0</v>
      </c>
      <c r="V2045" s="41">
        <f>IF(AND(H2045="Falta",L2045=Config!$B$7,M2045=Config!$B$5,COUNTIFS($E$5:E2045,E2045,$H$5:H2045,"Falta",$L$5:L2045,Config!$B$7,$M$5:M2045,Config!$B$5)=1),COUNTIFS($E$5:$E$3004,E2045,$H$5:$H$3004,"Falta",$L$5:$L$3004,Config!$B$7,$M$5:$M$3004,Config!$B$5)*1000-ROW()/100000,0)</f>
        <v>0</v>
      </c>
    </row>
    <row r="2046">
      <c r="A2046" s="39" t="n"/>
      <c r="B2046" s="40" t="n"/>
      <c r="C2046" s="35" t="n"/>
      <c r="D2046" s="35" t="n"/>
      <c r="E2046" s="34" t="n"/>
      <c r="F2046" s="35" t="n"/>
      <c r="G2046" s="35" t="n"/>
      <c r="H2046" s="35" t="n"/>
      <c r="I2046" s="35" t="n"/>
      <c r="J2046" s="35" t="n"/>
      <c r="K2046" s="34" t="n"/>
      <c r="L2046" s="26">
        <f>IF(A2046="","",MONTH(A2046))</f>
        <v/>
      </c>
      <c r="M2046" s="26">
        <f>IF(A2046="","",YEAR(A2046))</f>
        <v/>
      </c>
      <c r="N2046" s="26">
        <f>IF(A2046="","",CHOOSE(WEEKDAY(A2046,2),"Segunda","Terça","Quarta","Quinta","Sexta","Sábado","Domingo"))</f>
        <v/>
      </c>
      <c r="O2046" s="26">
        <f>IF(B2046="","",IF(B2046&lt;TIME(12,0,0),"Manhã",IF(B2046&lt;TIME(18,0,0),"Tarde","Noite")))</f>
        <v/>
      </c>
      <c r="P2046" s="32">
        <f>IF(G2046="","",IFERROR(INDEX(Config!$I$5:$I$16,MATCH(G2046,Config!$H$5:$H$16,0)),0))</f>
        <v/>
      </c>
      <c r="Q2046" s="30">
        <f>IF(OR(H2046&lt;&gt;"Realizado",P2046="",P2046=0),"",A2046+P2046)</f>
        <v/>
      </c>
      <c r="R2046" s="26">
        <f>IF(Q2046="","",IF(COUNTIFS($E$5:$E$3004,E2046,$A$5:$A$3004,"&gt;"&amp;A2046,$H$5:$H$3004,"&lt;&gt;Falta",$H$5:$H$3004,"&lt;&gt;Cancelado",$H$5:$H$3004,"&lt;&gt;Remarcado")&gt;0,"Sim","Não"))</f>
        <v/>
      </c>
      <c r="S2046" s="32">
        <f>IF(R2046&lt;&gt;"Não","",IF(Q2046+Config!$B$9&lt;=Config!$B$8,Config!$B$8-Q2046,""))</f>
        <v/>
      </c>
      <c r="T2046" s="26">
        <f>IF(S2046="","","Sim")</f>
        <v/>
      </c>
      <c r="U2046" s="41">
        <f>IF(T2046="Sim",S2046+ROW()/100000,0)</f>
        <v>0</v>
      </c>
      <c r="V2046" s="41">
        <f>IF(AND(H2046="Falta",L2046=Config!$B$7,M2046=Config!$B$5,COUNTIFS($E$5:E2046,E2046,$H$5:H2046,"Falta",$L$5:L2046,Config!$B$7,$M$5:M2046,Config!$B$5)=1),COUNTIFS($E$5:$E$3004,E2046,$H$5:$H$3004,"Falta",$L$5:$L$3004,Config!$B$7,$M$5:$M$3004,Config!$B$5)*1000-ROW()/100000,0)</f>
        <v>0</v>
      </c>
    </row>
    <row r="2047">
      <c r="A2047" s="39" t="n"/>
      <c r="B2047" s="40" t="n"/>
      <c r="C2047" s="35" t="n"/>
      <c r="D2047" s="35" t="n"/>
      <c r="E2047" s="34" t="n"/>
      <c r="F2047" s="35" t="n"/>
      <c r="G2047" s="35" t="n"/>
      <c r="H2047" s="35" t="n"/>
      <c r="I2047" s="35" t="n"/>
      <c r="J2047" s="35" t="n"/>
      <c r="K2047" s="34" t="n"/>
      <c r="L2047" s="26">
        <f>IF(A2047="","",MONTH(A2047))</f>
        <v/>
      </c>
      <c r="M2047" s="26">
        <f>IF(A2047="","",YEAR(A2047))</f>
        <v/>
      </c>
      <c r="N2047" s="26">
        <f>IF(A2047="","",CHOOSE(WEEKDAY(A2047,2),"Segunda","Terça","Quarta","Quinta","Sexta","Sábado","Domingo"))</f>
        <v/>
      </c>
      <c r="O2047" s="26">
        <f>IF(B2047="","",IF(B2047&lt;TIME(12,0,0),"Manhã",IF(B2047&lt;TIME(18,0,0),"Tarde","Noite")))</f>
        <v/>
      </c>
      <c r="P2047" s="32">
        <f>IF(G2047="","",IFERROR(INDEX(Config!$I$5:$I$16,MATCH(G2047,Config!$H$5:$H$16,0)),0))</f>
        <v/>
      </c>
      <c r="Q2047" s="30">
        <f>IF(OR(H2047&lt;&gt;"Realizado",P2047="",P2047=0),"",A2047+P2047)</f>
        <v/>
      </c>
      <c r="R2047" s="26">
        <f>IF(Q2047="","",IF(COUNTIFS($E$5:$E$3004,E2047,$A$5:$A$3004,"&gt;"&amp;A2047,$H$5:$H$3004,"&lt;&gt;Falta",$H$5:$H$3004,"&lt;&gt;Cancelado",$H$5:$H$3004,"&lt;&gt;Remarcado")&gt;0,"Sim","Não"))</f>
        <v/>
      </c>
      <c r="S2047" s="32">
        <f>IF(R2047&lt;&gt;"Não","",IF(Q2047+Config!$B$9&lt;=Config!$B$8,Config!$B$8-Q2047,""))</f>
        <v/>
      </c>
      <c r="T2047" s="26">
        <f>IF(S2047="","","Sim")</f>
        <v/>
      </c>
      <c r="U2047" s="41">
        <f>IF(T2047="Sim",S2047+ROW()/100000,0)</f>
        <v>0</v>
      </c>
      <c r="V2047" s="41">
        <f>IF(AND(H2047="Falta",L2047=Config!$B$7,M2047=Config!$B$5,COUNTIFS($E$5:E2047,E2047,$H$5:H2047,"Falta",$L$5:L2047,Config!$B$7,$M$5:M2047,Config!$B$5)=1),COUNTIFS($E$5:$E$3004,E2047,$H$5:$H$3004,"Falta",$L$5:$L$3004,Config!$B$7,$M$5:$M$3004,Config!$B$5)*1000-ROW()/100000,0)</f>
        <v>0</v>
      </c>
    </row>
    <row r="2048">
      <c r="A2048" s="39" t="n"/>
      <c r="B2048" s="40" t="n"/>
      <c r="C2048" s="35" t="n"/>
      <c r="D2048" s="35" t="n"/>
      <c r="E2048" s="34" t="n"/>
      <c r="F2048" s="35" t="n"/>
      <c r="G2048" s="35" t="n"/>
      <c r="H2048" s="35" t="n"/>
      <c r="I2048" s="35" t="n"/>
      <c r="J2048" s="35" t="n"/>
      <c r="K2048" s="34" t="n"/>
      <c r="L2048" s="26">
        <f>IF(A2048="","",MONTH(A2048))</f>
        <v/>
      </c>
      <c r="M2048" s="26">
        <f>IF(A2048="","",YEAR(A2048))</f>
        <v/>
      </c>
      <c r="N2048" s="26">
        <f>IF(A2048="","",CHOOSE(WEEKDAY(A2048,2),"Segunda","Terça","Quarta","Quinta","Sexta","Sábado","Domingo"))</f>
        <v/>
      </c>
      <c r="O2048" s="26">
        <f>IF(B2048="","",IF(B2048&lt;TIME(12,0,0),"Manhã",IF(B2048&lt;TIME(18,0,0),"Tarde","Noite")))</f>
        <v/>
      </c>
      <c r="P2048" s="32">
        <f>IF(G2048="","",IFERROR(INDEX(Config!$I$5:$I$16,MATCH(G2048,Config!$H$5:$H$16,0)),0))</f>
        <v/>
      </c>
      <c r="Q2048" s="30">
        <f>IF(OR(H2048&lt;&gt;"Realizado",P2048="",P2048=0),"",A2048+P2048)</f>
        <v/>
      </c>
      <c r="R2048" s="26">
        <f>IF(Q2048="","",IF(COUNTIFS($E$5:$E$3004,E2048,$A$5:$A$3004,"&gt;"&amp;A2048,$H$5:$H$3004,"&lt;&gt;Falta",$H$5:$H$3004,"&lt;&gt;Cancelado",$H$5:$H$3004,"&lt;&gt;Remarcado")&gt;0,"Sim","Não"))</f>
        <v/>
      </c>
      <c r="S2048" s="32">
        <f>IF(R2048&lt;&gt;"Não","",IF(Q2048+Config!$B$9&lt;=Config!$B$8,Config!$B$8-Q2048,""))</f>
        <v/>
      </c>
      <c r="T2048" s="26">
        <f>IF(S2048="","","Sim")</f>
        <v/>
      </c>
      <c r="U2048" s="41">
        <f>IF(T2048="Sim",S2048+ROW()/100000,0)</f>
        <v>0</v>
      </c>
      <c r="V2048" s="41">
        <f>IF(AND(H2048="Falta",L2048=Config!$B$7,M2048=Config!$B$5,COUNTIFS($E$5:E2048,E2048,$H$5:H2048,"Falta",$L$5:L2048,Config!$B$7,$M$5:M2048,Config!$B$5)=1),COUNTIFS($E$5:$E$3004,E2048,$H$5:$H$3004,"Falta",$L$5:$L$3004,Config!$B$7,$M$5:$M$3004,Config!$B$5)*1000-ROW()/100000,0)</f>
        <v>0</v>
      </c>
    </row>
    <row r="2049">
      <c r="A2049" s="39" t="n"/>
      <c r="B2049" s="40" t="n"/>
      <c r="C2049" s="35" t="n"/>
      <c r="D2049" s="35" t="n"/>
      <c r="E2049" s="34" t="n"/>
      <c r="F2049" s="35" t="n"/>
      <c r="G2049" s="35" t="n"/>
      <c r="H2049" s="35" t="n"/>
      <c r="I2049" s="35" t="n"/>
      <c r="J2049" s="35" t="n"/>
      <c r="K2049" s="34" t="n"/>
      <c r="L2049" s="26">
        <f>IF(A2049="","",MONTH(A2049))</f>
        <v/>
      </c>
      <c r="M2049" s="26">
        <f>IF(A2049="","",YEAR(A2049))</f>
        <v/>
      </c>
      <c r="N2049" s="26">
        <f>IF(A2049="","",CHOOSE(WEEKDAY(A2049,2),"Segunda","Terça","Quarta","Quinta","Sexta","Sábado","Domingo"))</f>
        <v/>
      </c>
      <c r="O2049" s="26">
        <f>IF(B2049="","",IF(B2049&lt;TIME(12,0,0),"Manhã",IF(B2049&lt;TIME(18,0,0),"Tarde","Noite")))</f>
        <v/>
      </c>
      <c r="P2049" s="32">
        <f>IF(G2049="","",IFERROR(INDEX(Config!$I$5:$I$16,MATCH(G2049,Config!$H$5:$H$16,0)),0))</f>
        <v/>
      </c>
      <c r="Q2049" s="30">
        <f>IF(OR(H2049&lt;&gt;"Realizado",P2049="",P2049=0),"",A2049+P2049)</f>
        <v/>
      </c>
      <c r="R2049" s="26">
        <f>IF(Q2049="","",IF(COUNTIFS($E$5:$E$3004,E2049,$A$5:$A$3004,"&gt;"&amp;A2049,$H$5:$H$3004,"&lt;&gt;Falta",$H$5:$H$3004,"&lt;&gt;Cancelado",$H$5:$H$3004,"&lt;&gt;Remarcado")&gt;0,"Sim","Não"))</f>
        <v/>
      </c>
      <c r="S2049" s="32">
        <f>IF(R2049&lt;&gt;"Não","",IF(Q2049+Config!$B$9&lt;=Config!$B$8,Config!$B$8-Q2049,""))</f>
        <v/>
      </c>
      <c r="T2049" s="26">
        <f>IF(S2049="","","Sim")</f>
        <v/>
      </c>
      <c r="U2049" s="41">
        <f>IF(T2049="Sim",S2049+ROW()/100000,0)</f>
        <v>0</v>
      </c>
      <c r="V2049" s="41">
        <f>IF(AND(H2049="Falta",L2049=Config!$B$7,M2049=Config!$B$5,COUNTIFS($E$5:E2049,E2049,$H$5:H2049,"Falta",$L$5:L2049,Config!$B$7,$M$5:M2049,Config!$B$5)=1),COUNTIFS($E$5:$E$3004,E2049,$H$5:$H$3004,"Falta",$L$5:$L$3004,Config!$B$7,$M$5:$M$3004,Config!$B$5)*1000-ROW()/100000,0)</f>
        <v>0</v>
      </c>
    </row>
    <row r="2050">
      <c r="A2050" s="39" t="n"/>
      <c r="B2050" s="40" t="n"/>
      <c r="C2050" s="35" t="n"/>
      <c r="D2050" s="35" t="n"/>
      <c r="E2050" s="34" t="n"/>
      <c r="F2050" s="35" t="n"/>
      <c r="G2050" s="35" t="n"/>
      <c r="H2050" s="35" t="n"/>
      <c r="I2050" s="35" t="n"/>
      <c r="J2050" s="35" t="n"/>
      <c r="K2050" s="34" t="n"/>
      <c r="L2050" s="26">
        <f>IF(A2050="","",MONTH(A2050))</f>
        <v/>
      </c>
      <c r="M2050" s="26">
        <f>IF(A2050="","",YEAR(A2050))</f>
        <v/>
      </c>
      <c r="N2050" s="26">
        <f>IF(A2050="","",CHOOSE(WEEKDAY(A2050,2),"Segunda","Terça","Quarta","Quinta","Sexta","Sábado","Domingo"))</f>
        <v/>
      </c>
      <c r="O2050" s="26">
        <f>IF(B2050="","",IF(B2050&lt;TIME(12,0,0),"Manhã",IF(B2050&lt;TIME(18,0,0),"Tarde","Noite")))</f>
        <v/>
      </c>
      <c r="P2050" s="32">
        <f>IF(G2050="","",IFERROR(INDEX(Config!$I$5:$I$16,MATCH(G2050,Config!$H$5:$H$16,0)),0))</f>
        <v/>
      </c>
      <c r="Q2050" s="30">
        <f>IF(OR(H2050&lt;&gt;"Realizado",P2050="",P2050=0),"",A2050+P2050)</f>
        <v/>
      </c>
      <c r="R2050" s="26">
        <f>IF(Q2050="","",IF(COUNTIFS($E$5:$E$3004,E2050,$A$5:$A$3004,"&gt;"&amp;A2050,$H$5:$H$3004,"&lt;&gt;Falta",$H$5:$H$3004,"&lt;&gt;Cancelado",$H$5:$H$3004,"&lt;&gt;Remarcado")&gt;0,"Sim","Não"))</f>
        <v/>
      </c>
      <c r="S2050" s="32">
        <f>IF(R2050&lt;&gt;"Não","",IF(Q2050+Config!$B$9&lt;=Config!$B$8,Config!$B$8-Q2050,""))</f>
        <v/>
      </c>
      <c r="T2050" s="26">
        <f>IF(S2050="","","Sim")</f>
        <v/>
      </c>
      <c r="U2050" s="41">
        <f>IF(T2050="Sim",S2050+ROW()/100000,0)</f>
        <v>0</v>
      </c>
      <c r="V2050" s="41">
        <f>IF(AND(H2050="Falta",L2050=Config!$B$7,M2050=Config!$B$5,COUNTIFS($E$5:E2050,E2050,$H$5:H2050,"Falta",$L$5:L2050,Config!$B$7,$M$5:M2050,Config!$B$5)=1),COUNTIFS($E$5:$E$3004,E2050,$H$5:$H$3004,"Falta",$L$5:$L$3004,Config!$B$7,$M$5:$M$3004,Config!$B$5)*1000-ROW()/100000,0)</f>
        <v>0</v>
      </c>
    </row>
    <row r="2051">
      <c r="A2051" s="39" t="n"/>
      <c r="B2051" s="40" t="n"/>
      <c r="C2051" s="35" t="n"/>
      <c r="D2051" s="35" t="n"/>
      <c r="E2051" s="34" t="n"/>
      <c r="F2051" s="35" t="n"/>
      <c r="G2051" s="35" t="n"/>
      <c r="H2051" s="35" t="n"/>
      <c r="I2051" s="35" t="n"/>
      <c r="J2051" s="35" t="n"/>
      <c r="K2051" s="34" t="n"/>
      <c r="L2051" s="26">
        <f>IF(A2051="","",MONTH(A2051))</f>
        <v/>
      </c>
      <c r="M2051" s="26">
        <f>IF(A2051="","",YEAR(A2051))</f>
        <v/>
      </c>
      <c r="N2051" s="26">
        <f>IF(A2051="","",CHOOSE(WEEKDAY(A2051,2),"Segunda","Terça","Quarta","Quinta","Sexta","Sábado","Domingo"))</f>
        <v/>
      </c>
      <c r="O2051" s="26">
        <f>IF(B2051="","",IF(B2051&lt;TIME(12,0,0),"Manhã",IF(B2051&lt;TIME(18,0,0),"Tarde","Noite")))</f>
        <v/>
      </c>
      <c r="P2051" s="32">
        <f>IF(G2051="","",IFERROR(INDEX(Config!$I$5:$I$16,MATCH(G2051,Config!$H$5:$H$16,0)),0))</f>
        <v/>
      </c>
      <c r="Q2051" s="30">
        <f>IF(OR(H2051&lt;&gt;"Realizado",P2051="",P2051=0),"",A2051+P2051)</f>
        <v/>
      </c>
      <c r="R2051" s="26">
        <f>IF(Q2051="","",IF(COUNTIFS($E$5:$E$3004,E2051,$A$5:$A$3004,"&gt;"&amp;A2051,$H$5:$H$3004,"&lt;&gt;Falta",$H$5:$H$3004,"&lt;&gt;Cancelado",$H$5:$H$3004,"&lt;&gt;Remarcado")&gt;0,"Sim","Não"))</f>
        <v/>
      </c>
      <c r="S2051" s="32">
        <f>IF(R2051&lt;&gt;"Não","",IF(Q2051+Config!$B$9&lt;=Config!$B$8,Config!$B$8-Q2051,""))</f>
        <v/>
      </c>
      <c r="T2051" s="26">
        <f>IF(S2051="","","Sim")</f>
        <v/>
      </c>
      <c r="U2051" s="41">
        <f>IF(T2051="Sim",S2051+ROW()/100000,0)</f>
        <v>0</v>
      </c>
      <c r="V2051" s="41">
        <f>IF(AND(H2051="Falta",L2051=Config!$B$7,M2051=Config!$B$5,COUNTIFS($E$5:E2051,E2051,$H$5:H2051,"Falta",$L$5:L2051,Config!$B$7,$M$5:M2051,Config!$B$5)=1),COUNTIFS($E$5:$E$3004,E2051,$H$5:$H$3004,"Falta",$L$5:$L$3004,Config!$B$7,$M$5:$M$3004,Config!$B$5)*1000-ROW()/100000,0)</f>
        <v>0</v>
      </c>
    </row>
    <row r="2052">
      <c r="A2052" s="39" t="n"/>
      <c r="B2052" s="40" t="n"/>
      <c r="C2052" s="35" t="n"/>
      <c r="D2052" s="35" t="n"/>
      <c r="E2052" s="34" t="n"/>
      <c r="F2052" s="35" t="n"/>
      <c r="G2052" s="35" t="n"/>
      <c r="H2052" s="35" t="n"/>
      <c r="I2052" s="35" t="n"/>
      <c r="J2052" s="35" t="n"/>
      <c r="K2052" s="34" t="n"/>
      <c r="L2052" s="26">
        <f>IF(A2052="","",MONTH(A2052))</f>
        <v/>
      </c>
      <c r="M2052" s="26">
        <f>IF(A2052="","",YEAR(A2052))</f>
        <v/>
      </c>
      <c r="N2052" s="26">
        <f>IF(A2052="","",CHOOSE(WEEKDAY(A2052,2),"Segunda","Terça","Quarta","Quinta","Sexta","Sábado","Domingo"))</f>
        <v/>
      </c>
      <c r="O2052" s="26">
        <f>IF(B2052="","",IF(B2052&lt;TIME(12,0,0),"Manhã",IF(B2052&lt;TIME(18,0,0),"Tarde","Noite")))</f>
        <v/>
      </c>
      <c r="P2052" s="32">
        <f>IF(G2052="","",IFERROR(INDEX(Config!$I$5:$I$16,MATCH(G2052,Config!$H$5:$H$16,0)),0))</f>
        <v/>
      </c>
      <c r="Q2052" s="30">
        <f>IF(OR(H2052&lt;&gt;"Realizado",P2052="",P2052=0),"",A2052+P2052)</f>
        <v/>
      </c>
      <c r="R2052" s="26">
        <f>IF(Q2052="","",IF(COUNTIFS($E$5:$E$3004,E2052,$A$5:$A$3004,"&gt;"&amp;A2052,$H$5:$H$3004,"&lt;&gt;Falta",$H$5:$H$3004,"&lt;&gt;Cancelado",$H$5:$H$3004,"&lt;&gt;Remarcado")&gt;0,"Sim","Não"))</f>
        <v/>
      </c>
      <c r="S2052" s="32">
        <f>IF(R2052&lt;&gt;"Não","",IF(Q2052+Config!$B$9&lt;=Config!$B$8,Config!$B$8-Q2052,""))</f>
        <v/>
      </c>
      <c r="T2052" s="26">
        <f>IF(S2052="","","Sim")</f>
        <v/>
      </c>
      <c r="U2052" s="41">
        <f>IF(T2052="Sim",S2052+ROW()/100000,0)</f>
        <v>0</v>
      </c>
      <c r="V2052" s="41">
        <f>IF(AND(H2052="Falta",L2052=Config!$B$7,M2052=Config!$B$5,COUNTIFS($E$5:E2052,E2052,$H$5:H2052,"Falta",$L$5:L2052,Config!$B$7,$M$5:M2052,Config!$B$5)=1),COUNTIFS($E$5:$E$3004,E2052,$H$5:$H$3004,"Falta",$L$5:$L$3004,Config!$B$7,$M$5:$M$3004,Config!$B$5)*1000-ROW()/100000,0)</f>
        <v>0</v>
      </c>
    </row>
    <row r="2053">
      <c r="A2053" s="39" t="n"/>
      <c r="B2053" s="40" t="n"/>
      <c r="C2053" s="35" t="n"/>
      <c r="D2053" s="35" t="n"/>
      <c r="E2053" s="34" t="n"/>
      <c r="F2053" s="35" t="n"/>
      <c r="G2053" s="35" t="n"/>
      <c r="H2053" s="35" t="n"/>
      <c r="I2053" s="35" t="n"/>
      <c r="J2053" s="35" t="n"/>
      <c r="K2053" s="34" t="n"/>
      <c r="L2053" s="26">
        <f>IF(A2053="","",MONTH(A2053))</f>
        <v/>
      </c>
      <c r="M2053" s="26">
        <f>IF(A2053="","",YEAR(A2053))</f>
        <v/>
      </c>
      <c r="N2053" s="26">
        <f>IF(A2053="","",CHOOSE(WEEKDAY(A2053,2),"Segunda","Terça","Quarta","Quinta","Sexta","Sábado","Domingo"))</f>
        <v/>
      </c>
      <c r="O2053" s="26">
        <f>IF(B2053="","",IF(B2053&lt;TIME(12,0,0),"Manhã",IF(B2053&lt;TIME(18,0,0),"Tarde","Noite")))</f>
        <v/>
      </c>
      <c r="P2053" s="32">
        <f>IF(G2053="","",IFERROR(INDEX(Config!$I$5:$I$16,MATCH(G2053,Config!$H$5:$H$16,0)),0))</f>
        <v/>
      </c>
      <c r="Q2053" s="30">
        <f>IF(OR(H2053&lt;&gt;"Realizado",P2053="",P2053=0),"",A2053+P2053)</f>
        <v/>
      </c>
      <c r="R2053" s="26">
        <f>IF(Q2053="","",IF(COUNTIFS($E$5:$E$3004,E2053,$A$5:$A$3004,"&gt;"&amp;A2053,$H$5:$H$3004,"&lt;&gt;Falta",$H$5:$H$3004,"&lt;&gt;Cancelado",$H$5:$H$3004,"&lt;&gt;Remarcado")&gt;0,"Sim","Não"))</f>
        <v/>
      </c>
      <c r="S2053" s="32">
        <f>IF(R2053&lt;&gt;"Não","",IF(Q2053+Config!$B$9&lt;=Config!$B$8,Config!$B$8-Q2053,""))</f>
        <v/>
      </c>
      <c r="T2053" s="26">
        <f>IF(S2053="","","Sim")</f>
        <v/>
      </c>
      <c r="U2053" s="41">
        <f>IF(T2053="Sim",S2053+ROW()/100000,0)</f>
        <v>0</v>
      </c>
      <c r="V2053" s="41">
        <f>IF(AND(H2053="Falta",L2053=Config!$B$7,M2053=Config!$B$5,COUNTIFS($E$5:E2053,E2053,$H$5:H2053,"Falta",$L$5:L2053,Config!$B$7,$M$5:M2053,Config!$B$5)=1),COUNTIFS($E$5:$E$3004,E2053,$H$5:$H$3004,"Falta",$L$5:$L$3004,Config!$B$7,$M$5:$M$3004,Config!$B$5)*1000-ROW()/100000,0)</f>
        <v>0</v>
      </c>
    </row>
    <row r="2054">
      <c r="A2054" s="39" t="n"/>
      <c r="B2054" s="40" t="n"/>
      <c r="C2054" s="35" t="n"/>
      <c r="D2054" s="35" t="n"/>
      <c r="E2054" s="34" t="n"/>
      <c r="F2054" s="35" t="n"/>
      <c r="G2054" s="35" t="n"/>
      <c r="H2054" s="35" t="n"/>
      <c r="I2054" s="35" t="n"/>
      <c r="J2054" s="35" t="n"/>
      <c r="K2054" s="34" t="n"/>
      <c r="L2054" s="26">
        <f>IF(A2054="","",MONTH(A2054))</f>
        <v/>
      </c>
      <c r="M2054" s="26">
        <f>IF(A2054="","",YEAR(A2054))</f>
        <v/>
      </c>
      <c r="N2054" s="26">
        <f>IF(A2054="","",CHOOSE(WEEKDAY(A2054,2),"Segunda","Terça","Quarta","Quinta","Sexta","Sábado","Domingo"))</f>
        <v/>
      </c>
      <c r="O2054" s="26">
        <f>IF(B2054="","",IF(B2054&lt;TIME(12,0,0),"Manhã",IF(B2054&lt;TIME(18,0,0),"Tarde","Noite")))</f>
        <v/>
      </c>
      <c r="P2054" s="32">
        <f>IF(G2054="","",IFERROR(INDEX(Config!$I$5:$I$16,MATCH(G2054,Config!$H$5:$H$16,0)),0))</f>
        <v/>
      </c>
      <c r="Q2054" s="30">
        <f>IF(OR(H2054&lt;&gt;"Realizado",P2054="",P2054=0),"",A2054+P2054)</f>
        <v/>
      </c>
      <c r="R2054" s="26">
        <f>IF(Q2054="","",IF(COUNTIFS($E$5:$E$3004,E2054,$A$5:$A$3004,"&gt;"&amp;A2054,$H$5:$H$3004,"&lt;&gt;Falta",$H$5:$H$3004,"&lt;&gt;Cancelado",$H$5:$H$3004,"&lt;&gt;Remarcado")&gt;0,"Sim","Não"))</f>
        <v/>
      </c>
      <c r="S2054" s="32">
        <f>IF(R2054&lt;&gt;"Não","",IF(Q2054+Config!$B$9&lt;=Config!$B$8,Config!$B$8-Q2054,""))</f>
        <v/>
      </c>
      <c r="T2054" s="26">
        <f>IF(S2054="","","Sim")</f>
        <v/>
      </c>
      <c r="U2054" s="41">
        <f>IF(T2054="Sim",S2054+ROW()/100000,0)</f>
        <v>0</v>
      </c>
      <c r="V2054" s="41">
        <f>IF(AND(H2054="Falta",L2054=Config!$B$7,M2054=Config!$B$5,COUNTIFS($E$5:E2054,E2054,$H$5:H2054,"Falta",$L$5:L2054,Config!$B$7,$M$5:M2054,Config!$B$5)=1),COUNTIFS($E$5:$E$3004,E2054,$H$5:$H$3004,"Falta",$L$5:$L$3004,Config!$B$7,$M$5:$M$3004,Config!$B$5)*1000-ROW()/100000,0)</f>
        <v>0</v>
      </c>
    </row>
    <row r="2055">
      <c r="A2055" s="39" t="n"/>
      <c r="B2055" s="40" t="n"/>
      <c r="C2055" s="35" t="n"/>
      <c r="D2055" s="35" t="n"/>
      <c r="E2055" s="34" t="n"/>
      <c r="F2055" s="35" t="n"/>
      <c r="G2055" s="35" t="n"/>
      <c r="H2055" s="35" t="n"/>
      <c r="I2055" s="35" t="n"/>
      <c r="J2055" s="35" t="n"/>
      <c r="K2055" s="34" t="n"/>
      <c r="L2055" s="26">
        <f>IF(A2055="","",MONTH(A2055))</f>
        <v/>
      </c>
      <c r="M2055" s="26">
        <f>IF(A2055="","",YEAR(A2055))</f>
        <v/>
      </c>
      <c r="N2055" s="26">
        <f>IF(A2055="","",CHOOSE(WEEKDAY(A2055,2),"Segunda","Terça","Quarta","Quinta","Sexta","Sábado","Domingo"))</f>
        <v/>
      </c>
      <c r="O2055" s="26">
        <f>IF(B2055="","",IF(B2055&lt;TIME(12,0,0),"Manhã",IF(B2055&lt;TIME(18,0,0),"Tarde","Noite")))</f>
        <v/>
      </c>
      <c r="P2055" s="32">
        <f>IF(G2055="","",IFERROR(INDEX(Config!$I$5:$I$16,MATCH(G2055,Config!$H$5:$H$16,0)),0))</f>
        <v/>
      </c>
      <c r="Q2055" s="30">
        <f>IF(OR(H2055&lt;&gt;"Realizado",P2055="",P2055=0),"",A2055+P2055)</f>
        <v/>
      </c>
      <c r="R2055" s="26">
        <f>IF(Q2055="","",IF(COUNTIFS($E$5:$E$3004,E2055,$A$5:$A$3004,"&gt;"&amp;A2055,$H$5:$H$3004,"&lt;&gt;Falta",$H$5:$H$3004,"&lt;&gt;Cancelado",$H$5:$H$3004,"&lt;&gt;Remarcado")&gt;0,"Sim","Não"))</f>
        <v/>
      </c>
      <c r="S2055" s="32">
        <f>IF(R2055&lt;&gt;"Não","",IF(Q2055+Config!$B$9&lt;=Config!$B$8,Config!$B$8-Q2055,""))</f>
        <v/>
      </c>
      <c r="T2055" s="26">
        <f>IF(S2055="","","Sim")</f>
        <v/>
      </c>
      <c r="U2055" s="41">
        <f>IF(T2055="Sim",S2055+ROW()/100000,0)</f>
        <v>0</v>
      </c>
      <c r="V2055" s="41">
        <f>IF(AND(H2055="Falta",L2055=Config!$B$7,M2055=Config!$B$5,COUNTIFS($E$5:E2055,E2055,$H$5:H2055,"Falta",$L$5:L2055,Config!$B$7,$M$5:M2055,Config!$B$5)=1),COUNTIFS($E$5:$E$3004,E2055,$H$5:$H$3004,"Falta",$L$5:$L$3004,Config!$B$7,$M$5:$M$3004,Config!$B$5)*1000-ROW()/100000,0)</f>
        <v>0</v>
      </c>
    </row>
    <row r="2056">
      <c r="A2056" s="39" t="n"/>
      <c r="B2056" s="40" t="n"/>
      <c r="C2056" s="35" t="n"/>
      <c r="D2056" s="35" t="n"/>
      <c r="E2056" s="34" t="n"/>
      <c r="F2056" s="35" t="n"/>
      <c r="G2056" s="35" t="n"/>
      <c r="H2056" s="35" t="n"/>
      <c r="I2056" s="35" t="n"/>
      <c r="J2056" s="35" t="n"/>
      <c r="K2056" s="34" t="n"/>
      <c r="L2056" s="26">
        <f>IF(A2056="","",MONTH(A2056))</f>
        <v/>
      </c>
      <c r="M2056" s="26">
        <f>IF(A2056="","",YEAR(A2056))</f>
        <v/>
      </c>
      <c r="N2056" s="26">
        <f>IF(A2056="","",CHOOSE(WEEKDAY(A2056,2),"Segunda","Terça","Quarta","Quinta","Sexta","Sábado","Domingo"))</f>
        <v/>
      </c>
      <c r="O2056" s="26">
        <f>IF(B2056="","",IF(B2056&lt;TIME(12,0,0),"Manhã",IF(B2056&lt;TIME(18,0,0),"Tarde","Noite")))</f>
        <v/>
      </c>
      <c r="P2056" s="32">
        <f>IF(G2056="","",IFERROR(INDEX(Config!$I$5:$I$16,MATCH(G2056,Config!$H$5:$H$16,0)),0))</f>
        <v/>
      </c>
      <c r="Q2056" s="30">
        <f>IF(OR(H2056&lt;&gt;"Realizado",P2056="",P2056=0),"",A2056+P2056)</f>
        <v/>
      </c>
      <c r="R2056" s="26">
        <f>IF(Q2056="","",IF(COUNTIFS($E$5:$E$3004,E2056,$A$5:$A$3004,"&gt;"&amp;A2056,$H$5:$H$3004,"&lt;&gt;Falta",$H$5:$H$3004,"&lt;&gt;Cancelado",$H$5:$H$3004,"&lt;&gt;Remarcado")&gt;0,"Sim","Não"))</f>
        <v/>
      </c>
      <c r="S2056" s="32">
        <f>IF(R2056&lt;&gt;"Não","",IF(Q2056+Config!$B$9&lt;=Config!$B$8,Config!$B$8-Q2056,""))</f>
        <v/>
      </c>
      <c r="T2056" s="26">
        <f>IF(S2056="","","Sim")</f>
        <v/>
      </c>
      <c r="U2056" s="41">
        <f>IF(T2056="Sim",S2056+ROW()/100000,0)</f>
        <v>0</v>
      </c>
      <c r="V2056" s="41">
        <f>IF(AND(H2056="Falta",L2056=Config!$B$7,M2056=Config!$B$5,COUNTIFS($E$5:E2056,E2056,$H$5:H2056,"Falta",$L$5:L2056,Config!$B$7,$M$5:M2056,Config!$B$5)=1),COUNTIFS($E$5:$E$3004,E2056,$H$5:$H$3004,"Falta",$L$5:$L$3004,Config!$B$7,$M$5:$M$3004,Config!$B$5)*1000-ROW()/100000,0)</f>
        <v>0</v>
      </c>
    </row>
    <row r="2057">
      <c r="A2057" s="39" t="n"/>
      <c r="B2057" s="40" t="n"/>
      <c r="C2057" s="35" t="n"/>
      <c r="D2057" s="35" t="n"/>
      <c r="E2057" s="34" t="n"/>
      <c r="F2057" s="35" t="n"/>
      <c r="G2057" s="35" t="n"/>
      <c r="H2057" s="35" t="n"/>
      <c r="I2057" s="35" t="n"/>
      <c r="J2057" s="35" t="n"/>
      <c r="K2057" s="34" t="n"/>
      <c r="L2057" s="26">
        <f>IF(A2057="","",MONTH(A2057))</f>
        <v/>
      </c>
      <c r="M2057" s="26">
        <f>IF(A2057="","",YEAR(A2057))</f>
        <v/>
      </c>
      <c r="N2057" s="26">
        <f>IF(A2057="","",CHOOSE(WEEKDAY(A2057,2),"Segunda","Terça","Quarta","Quinta","Sexta","Sábado","Domingo"))</f>
        <v/>
      </c>
      <c r="O2057" s="26">
        <f>IF(B2057="","",IF(B2057&lt;TIME(12,0,0),"Manhã",IF(B2057&lt;TIME(18,0,0),"Tarde","Noite")))</f>
        <v/>
      </c>
      <c r="P2057" s="32">
        <f>IF(G2057="","",IFERROR(INDEX(Config!$I$5:$I$16,MATCH(G2057,Config!$H$5:$H$16,0)),0))</f>
        <v/>
      </c>
      <c r="Q2057" s="30">
        <f>IF(OR(H2057&lt;&gt;"Realizado",P2057="",P2057=0),"",A2057+P2057)</f>
        <v/>
      </c>
      <c r="R2057" s="26">
        <f>IF(Q2057="","",IF(COUNTIFS($E$5:$E$3004,E2057,$A$5:$A$3004,"&gt;"&amp;A2057,$H$5:$H$3004,"&lt;&gt;Falta",$H$5:$H$3004,"&lt;&gt;Cancelado",$H$5:$H$3004,"&lt;&gt;Remarcado")&gt;0,"Sim","Não"))</f>
        <v/>
      </c>
      <c r="S2057" s="32">
        <f>IF(R2057&lt;&gt;"Não","",IF(Q2057+Config!$B$9&lt;=Config!$B$8,Config!$B$8-Q2057,""))</f>
        <v/>
      </c>
      <c r="T2057" s="26">
        <f>IF(S2057="","","Sim")</f>
        <v/>
      </c>
      <c r="U2057" s="41">
        <f>IF(T2057="Sim",S2057+ROW()/100000,0)</f>
        <v>0</v>
      </c>
      <c r="V2057" s="41">
        <f>IF(AND(H2057="Falta",L2057=Config!$B$7,M2057=Config!$B$5,COUNTIFS($E$5:E2057,E2057,$H$5:H2057,"Falta",$L$5:L2057,Config!$B$7,$M$5:M2057,Config!$B$5)=1),COUNTIFS($E$5:$E$3004,E2057,$H$5:$H$3004,"Falta",$L$5:$L$3004,Config!$B$7,$M$5:$M$3004,Config!$B$5)*1000-ROW()/100000,0)</f>
        <v>0</v>
      </c>
    </row>
    <row r="2058">
      <c r="A2058" s="39" t="n"/>
      <c r="B2058" s="40" t="n"/>
      <c r="C2058" s="35" t="n"/>
      <c r="D2058" s="35" t="n"/>
      <c r="E2058" s="34" t="n"/>
      <c r="F2058" s="35" t="n"/>
      <c r="G2058" s="35" t="n"/>
      <c r="H2058" s="35" t="n"/>
      <c r="I2058" s="35" t="n"/>
      <c r="J2058" s="35" t="n"/>
      <c r="K2058" s="34" t="n"/>
      <c r="L2058" s="26">
        <f>IF(A2058="","",MONTH(A2058))</f>
        <v/>
      </c>
      <c r="M2058" s="26">
        <f>IF(A2058="","",YEAR(A2058))</f>
        <v/>
      </c>
      <c r="N2058" s="26">
        <f>IF(A2058="","",CHOOSE(WEEKDAY(A2058,2),"Segunda","Terça","Quarta","Quinta","Sexta","Sábado","Domingo"))</f>
        <v/>
      </c>
      <c r="O2058" s="26">
        <f>IF(B2058="","",IF(B2058&lt;TIME(12,0,0),"Manhã",IF(B2058&lt;TIME(18,0,0),"Tarde","Noite")))</f>
        <v/>
      </c>
      <c r="P2058" s="32">
        <f>IF(G2058="","",IFERROR(INDEX(Config!$I$5:$I$16,MATCH(G2058,Config!$H$5:$H$16,0)),0))</f>
        <v/>
      </c>
      <c r="Q2058" s="30">
        <f>IF(OR(H2058&lt;&gt;"Realizado",P2058="",P2058=0),"",A2058+P2058)</f>
        <v/>
      </c>
      <c r="R2058" s="26">
        <f>IF(Q2058="","",IF(COUNTIFS($E$5:$E$3004,E2058,$A$5:$A$3004,"&gt;"&amp;A2058,$H$5:$H$3004,"&lt;&gt;Falta",$H$5:$H$3004,"&lt;&gt;Cancelado",$H$5:$H$3004,"&lt;&gt;Remarcado")&gt;0,"Sim","Não"))</f>
        <v/>
      </c>
      <c r="S2058" s="32">
        <f>IF(R2058&lt;&gt;"Não","",IF(Q2058+Config!$B$9&lt;=Config!$B$8,Config!$B$8-Q2058,""))</f>
        <v/>
      </c>
      <c r="T2058" s="26">
        <f>IF(S2058="","","Sim")</f>
        <v/>
      </c>
      <c r="U2058" s="41">
        <f>IF(T2058="Sim",S2058+ROW()/100000,0)</f>
        <v>0</v>
      </c>
      <c r="V2058" s="41">
        <f>IF(AND(H2058="Falta",L2058=Config!$B$7,M2058=Config!$B$5,COUNTIFS($E$5:E2058,E2058,$H$5:H2058,"Falta",$L$5:L2058,Config!$B$7,$M$5:M2058,Config!$B$5)=1),COUNTIFS($E$5:$E$3004,E2058,$H$5:$H$3004,"Falta",$L$5:$L$3004,Config!$B$7,$M$5:$M$3004,Config!$B$5)*1000-ROW()/100000,0)</f>
        <v>0</v>
      </c>
    </row>
    <row r="2059">
      <c r="A2059" s="39" t="n"/>
      <c r="B2059" s="40" t="n"/>
      <c r="C2059" s="35" t="n"/>
      <c r="D2059" s="35" t="n"/>
      <c r="E2059" s="34" t="n"/>
      <c r="F2059" s="35" t="n"/>
      <c r="G2059" s="35" t="n"/>
      <c r="H2059" s="35" t="n"/>
      <c r="I2059" s="35" t="n"/>
      <c r="J2059" s="35" t="n"/>
      <c r="K2059" s="34" t="n"/>
      <c r="L2059" s="26">
        <f>IF(A2059="","",MONTH(A2059))</f>
        <v/>
      </c>
      <c r="M2059" s="26">
        <f>IF(A2059="","",YEAR(A2059))</f>
        <v/>
      </c>
      <c r="N2059" s="26">
        <f>IF(A2059="","",CHOOSE(WEEKDAY(A2059,2),"Segunda","Terça","Quarta","Quinta","Sexta","Sábado","Domingo"))</f>
        <v/>
      </c>
      <c r="O2059" s="26">
        <f>IF(B2059="","",IF(B2059&lt;TIME(12,0,0),"Manhã",IF(B2059&lt;TIME(18,0,0),"Tarde","Noite")))</f>
        <v/>
      </c>
      <c r="P2059" s="32">
        <f>IF(G2059="","",IFERROR(INDEX(Config!$I$5:$I$16,MATCH(G2059,Config!$H$5:$H$16,0)),0))</f>
        <v/>
      </c>
      <c r="Q2059" s="30">
        <f>IF(OR(H2059&lt;&gt;"Realizado",P2059="",P2059=0),"",A2059+P2059)</f>
        <v/>
      </c>
      <c r="R2059" s="26">
        <f>IF(Q2059="","",IF(COUNTIFS($E$5:$E$3004,E2059,$A$5:$A$3004,"&gt;"&amp;A2059,$H$5:$H$3004,"&lt;&gt;Falta",$H$5:$H$3004,"&lt;&gt;Cancelado",$H$5:$H$3004,"&lt;&gt;Remarcado")&gt;0,"Sim","Não"))</f>
        <v/>
      </c>
      <c r="S2059" s="32">
        <f>IF(R2059&lt;&gt;"Não","",IF(Q2059+Config!$B$9&lt;=Config!$B$8,Config!$B$8-Q2059,""))</f>
        <v/>
      </c>
      <c r="T2059" s="26">
        <f>IF(S2059="","","Sim")</f>
        <v/>
      </c>
      <c r="U2059" s="41">
        <f>IF(T2059="Sim",S2059+ROW()/100000,0)</f>
        <v>0</v>
      </c>
      <c r="V2059" s="41">
        <f>IF(AND(H2059="Falta",L2059=Config!$B$7,M2059=Config!$B$5,COUNTIFS($E$5:E2059,E2059,$H$5:H2059,"Falta",$L$5:L2059,Config!$B$7,$M$5:M2059,Config!$B$5)=1),COUNTIFS($E$5:$E$3004,E2059,$H$5:$H$3004,"Falta",$L$5:$L$3004,Config!$B$7,$M$5:$M$3004,Config!$B$5)*1000-ROW()/100000,0)</f>
        <v>0</v>
      </c>
    </row>
    <row r="2060">
      <c r="A2060" s="39" t="n"/>
      <c r="B2060" s="40" t="n"/>
      <c r="C2060" s="35" t="n"/>
      <c r="D2060" s="35" t="n"/>
      <c r="E2060" s="34" t="n"/>
      <c r="F2060" s="35" t="n"/>
      <c r="G2060" s="35" t="n"/>
      <c r="H2060" s="35" t="n"/>
      <c r="I2060" s="35" t="n"/>
      <c r="J2060" s="35" t="n"/>
      <c r="K2060" s="34" t="n"/>
      <c r="L2060" s="26">
        <f>IF(A2060="","",MONTH(A2060))</f>
        <v/>
      </c>
      <c r="M2060" s="26">
        <f>IF(A2060="","",YEAR(A2060))</f>
        <v/>
      </c>
      <c r="N2060" s="26">
        <f>IF(A2060="","",CHOOSE(WEEKDAY(A2060,2),"Segunda","Terça","Quarta","Quinta","Sexta","Sábado","Domingo"))</f>
        <v/>
      </c>
      <c r="O2060" s="26">
        <f>IF(B2060="","",IF(B2060&lt;TIME(12,0,0),"Manhã",IF(B2060&lt;TIME(18,0,0),"Tarde","Noite")))</f>
        <v/>
      </c>
      <c r="P2060" s="32">
        <f>IF(G2060="","",IFERROR(INDEX(Config!$I$5:$I$16,MATCH(G2060,Config!$H$5:$H$16,0)),0))</f>
        <v/>
      </c>
      <c r="Q2060" s="30">
        <f>IF(OR(H2060&lt;&gt;"Realizado",P2060="",P2060=0),"",A2060+P2060)</f>
        <v/>
      </c>
      <c r="R2060" s="26">
        <f>IF(Q2060="","",IF(COUNTIFS($E$5:$E$3004,E2060,$A$5:$A$3004,"&gt;"&amp;A2060,$H$5:$H$3004,"&lt;&gt;Falta",$H$5:$H$3004,"&lt;&gt;Cancelado",$H$5:$H$3004,"&lt;&gt;Remarcado")&gt;0,"Sim","Não"))</f>
        <v/>
      </c>
      <c r="S2060" s="32">
        <f>IF(R2060&lt;&gt;"Não","",IF(Q2060+Config!$B$9&lt;=Config!$B$8,Config!$B$8-Q2060,""))</f>
        <v/>
      </c>
      <c r="T2060" s="26">
        <f>IF(S2060="","","Sim")</f>
        <v/>
      </c>
      <c r="U2060" s="41">
        <f>IF(T2060="Sim",S2060+ROW()/100000,0)</f>
        <v>0</v>
      </c>
      <c r="V2060" s="41">
        <f>IF(AND(H2060="Falta",L2060=Config!$B$7,M2060=Config!$B$5,COUNTIFS($E$5:E2060,E2060,$H$5:H2060,"Falta",$L$5:L2060,Config!$B$7,$M$5:M2060,Config!$B$5)=1),COUNTIFS($E$5:$E$3004,E2060,$H$5:$H$3004,"Falta",$L$5:$L$3004,Config!$B$7,$M$5:$M$3004,Config!$B$5)*1000-ROW()/100000,0)</f>
        <v>0</v>
      </c>
    </row>
    <row r="2061">
      <c r="A2061" s="39" t="n"/>
      <c r="B2061" s="40" t="n"/>
      <c r="C2061" s="35" t="n"/>
      <c r="D2061" s="35" t="n"/>
      <c r="E2061" s="34" t="n"/>
      <c r="F2061" s="35" t="n"/>
      <c r="G2061" s="35" t="n"/>
      <c r="H2061" s="35" t="n"/>
      <c r="I2061" s="35" t="n"/>
      <c r="J2061" s="35" t="n"/>
      <c r="K2061" s="34" t="n"/>
      <c r="L2061" s="26">
        <f>IF(A2061="","",MONTH(A2061))</f>
        <v/>
      </c>
      <c r="M2061" s="26">
        <f>IF(A2061="","",YEAR(A2061))</f>
        <v/>
      </c>
      <c r="N2061" s="26">
        <f>IF(A2061="","",CHOOSE(WEEKDAY(A2061,2),"Segunda","Terça","Quarta","Quinta","Sexta","Sábado","Domingo"))</f>
        <v/>
      </c>
      <c r="O2061" s="26">
        <f>IF(B2061="","",IF(B2061&lt;TIME(12,0,0),"Manhã",IF(B2061&lt;TIME(18,0,0),"Tarde","Noite")))</f>
        <v/>
      </c>
      <c r="P2061" s="32">
        <f>IF(G2061="","",IFERROR(INDEX(Config!$I$5:$I$16,MATCH(G2061,Config!$H$5:$H$16,0)),0))</f>
        <v/>
      </c>
      <c r="Q2061" s="30">
        <f>IF(OR(H2061&lt;&gt;"Realizado",P2061="",P2061=0),"",A2061+P2061)</f>
        <v/>
      </c>
      <c r="R2061" s="26">
        <f>IF(Q2061="","",IF(COUNTIFS($E$5:$E$3004,E2061,$A$5:$A$3004,"&gt;"&amp;A2061,$H$5:$H$3004,"&lt;&gt;Falta",$H$5:$H$3004,"&lt;&gt;Cancelado",$H$5:$H$3004,"&lt;&gt;Remarcado")&gt;0,"Sim","Não"))</f>
        <v/>
      </c>
      <c r="S2061" s="32">
        <f>IF(R2061&lt;&gt;"Não","",IF(Q2061+Config!$B$9&lt;=Config!$B$8,Config!$B$8-Q2061,""))</f>
        <v/>
      </c>
      <c r="T2061" s="26">
        <f>IF(S2061="","","Sim")</f>
        <v/>
      </c>
      <c r="U2061" s="41">
        <f>IF(T2061="Sim",S2061+ROW()/100000,0)</f>
        <v>0</v>
      </c>
      <c r="V2061" s="41">
        <f>IF(AND(H2061="Falta",L2061=Config!$B$7,M2061=Config!$B$5,COUNTIFS($E$5:E2061,E2061,$H$5:H2061,"Falta",$L$5:L2061,Config!$B$7,$M$5:M2061,Config!$B$5)=1),COUNTIFS($E$5:$E$3004,E2061,$H$5:$H$3004,"Falta",$L$5:$L$3004,Config!$B$7,$M$5:$M$3004,Config!$B$5)*1000-ROW()/100000,0)</f>
        <v>0</v>
      </c>
    </row>
    <row r="2062">
      <c r="A2062" s="39" t="n"/>
      <c r="B2062" s="40" t="n"/>
      <c r="C2062" s="35" t="n"/>
      <c r="D2062" s="35" t="n"/>
      <c r="E2062" s="34" t="n"/>
      <c r="F2062" s="35" t="n"/>
      <c r="G2062" s="35" t="n"/>
      <c r="H2062" s="35" t="n"/>
      <c r="I2062" s="35" t="n"/>
      <c r="J2062" s="35" t="n"/>
      <c r="K2062" s="34" t="n"/>
      <c r="L2062" s="26">
        <f>IF(A2062="","",MONTH(A2062))</f>
        <v/>
      </c>
      <c r="M2062" s="26">
        <f>IF(A2062="","",YEAR(A2062))</f>
        <v/>
      </c>
      <c r="N2062" s="26">
        <f>IF(A2062="","",CHOOSE(WEEKDAY(A2062,2),"Segunda","Terça","Quarta","Quinta","Sexta","Sábado","Domingo"))</f>
        <v/>
      </c>
      <c r="O2062" s="26">
        <f>IF(B2062="","",IF(B2062&lt;TIME(12,0,0),"Manhã",IF(B2062&lt;TIME(18,0,0),"Tarde","Noite")))</f>
        <v/>
      </c>
      <c r="P2062" s="32">
        <f>IF(G2062="","",IFERROR(INDEX(Config!$I$5:$I$16,MATCH(G2062,Config!$H$5:$H$16,0)),0))</f>
        <v/>
      </c>
      <c r="Q2062" s="30">
        <f>IF(OR(H2062&lt;&gt;"Realizado",P2062="",P2062=0),"",A2062+P2062)</f>
        <v/>
      </c>
      <c r="R2062" s="26">
        <f>IF(Q2062="","",IF(COUNTIFS($E$5:$E$3004,E2062,$A$5:$A$3004,"&gt;"&amp;A2062,$H$5:$H$3004,"&lt;&gt;Falta",$H$5:$H$3004,"&lt;&gt;Cancelado",$H$5:$H$3004,"&lt;&gt;Remarcado")&gt;0,"Sim","Não"))</f>
        <v/>
      </c>
      <c r="S2062" s="32">
        <f>IF(R2062&lt;&gt;"Não","",IF(Q2062+Config!$B$9&lt;=Config!$B$8,Config!$B$8-Q2062,""))</f>
        <v/>
      </c>
      <c r="T2062" s="26">
        <f>IF(S2062="","","Sim")</f>
        <v/>
      </c>
      <c r="U2062" s="41">
        <f>IF(T2062="Sim",S2062+ROW()/100000,0)</f>
        <v>0</v>
      </c>
      <c r="V2062" s="41">
        <f>IF(AND(H2062="Falta",L2062=Config!$B$7,M2062=Config!$B$5,COUNTIFS($E$5:E2062,E2062,$H$5:H2062,"Falta",$L$5:L2062,Config!$B$7,$M$5:M2062,Config!$B$5)=1),COUNTIFS($E$5:$E$3004,E2062,$H$5:$H$3004,"Falta",$L$5:$L$3004,Config!$B$7,$M$5:$M$3004,Config!$B$5)*1000-ROW()/100000,0)</f>
        <v>0</v>
      </c>
    </row>
    <row r="2063">
      <c r="A2063" s="39" t="n"/>
      <c r="B2063" s="40" t="n"/>
      <c r="C2063" s="35" t="n"/>
      <c r="D2063" s="35" t="n"/>
      <c r="E2063" s="34" t="n"/>
      <c r="F2063" s="35" t="n"/>
      <c r="G2063" s="35" t="n"/>
      <c r="H2063" s="35" t="n"/>
      <c r="I2063" s="35" t="n"/>
      <c r="J2063" s="35" t="n"/>
      <c r="K2063" s="34" t="n"/>
      <c r="L2063" s="26">
        <f>IF(A2063="","",MONTH(A2063))</f>
        <v/>
      </c>
      <c r="M2063" s="26">
        <f>IF(A2063="","",YEAR(A2063))</f>
        <v/>
      </c>
      <c r="N2063" s="26">
        <f>IF(A2063="","",CHOOSE(WEEKDAY(A2063,2),"Segunda","Terça","Quarta","Quinta","Sexta","Sábado","Domingo"))</f>
        <v/>
      </c>
      <c r="O2063" s="26">
        <f>IF(B2063="","",IF(B2063&lt;TIME(12,0,0),"Manhã",IF(B2063&lt;TIME(18,0,0),"Tarde","Noite")))</f>
        <v/>
      </c>
      <c r="P2063" s="32">
        <f>IF(G2063="","",IFERROR(INDEX(Config!$I$5:$I$16,MATCH(G2063,Config!$H$5:$H$16,0)),0))</f>
        <v/>
      </c>
      <c r="Q2063" s="30">
        <f>IF(OR(H2063&lt;&gt;"Realizado",P2063="",P2063=0),"",A2063+P2063)</f>
        <v/>
      </c>
      <c r="R2063" s="26">
        <f>IF(Q2063="","",IF(COUNTIFS($E$5:$E$3004,E2063,$A$5:$A$3004,"&gt;"&amp;A2063,$H$5:$H$3004,"&lt;&gt;Falta",$H$5:$H$3004,"&lt;&gt;Cancelado",$H$5:$H$3004,"&lt;&gt;Remarcado")&gt;0,"Sim","Não"))</f>
        <v/>
      </c>
      <c r="S2063" s="32">
        <f>IF(R2063&lt;&gt;"Não","",IF(Q2063+Config!$B$9&lt;=Config!$B$8,Config!$B$8-Q2063,""))</f>
        <v/>
      </c>
      <c r="T2063" s="26">
        <f>IF(S2063="","","Sim")</f>
        <v/>
      </c>
      <c r="U2063" s="41">
        <f>IF(T2063="Sim",S2063+ROW()/100000,0)</f>
        <v>0</v>
      </c>
      <c r="V2063" s="41">
        <f>IF(AND(H2063="Falta",L2063=Config!$B$7,M2063=Config!$B$5,COUNTIFS($E$5:E2063,E2063,$H$5:H2063,"Falta",$L$5:L2063,Config!$B$7,$M$5:M2063,Config!$B$5)=1),COUNTIFS($E$5:$E$3004,E2063,$H$5:$H$3004,"Falta",$L$5:$L$3004,Config!$B$7,$M$5:$M$3004,Config!$B$5)*1000-ROW()/100000,0)</f>
        <v>0</v>
      </c>
    </row>
    <row r="2064">
      <c r="A2064" s="39" t="n"/>
      <c r="B2064" s="40" t="n"/>
      <c r="C2064" s="35" t="n"/>
      <c r="D2064" s="35" t="n"/>
      <c r="E2064" s="34" t="n"/>
      <c r="F2064" s="35" t="n"/>
      <c r="G2064" s="35" t="n"/>
      <c r="H2064" s="35" t="n"/>
      <c r="I2064" s="35" t="n"/>
      <c r="J2064" s="35" t="n"/>
      <c r="K2064" s="34" t="n"/>
      <c r="L2064" s="26">
        <f>IF(A2064="","",MONTH(A2064))</f>
        <v/>
      </c>
      <c r="M2064" s="26">
        <f>IF(A2064="","",YEAR(A2064))</f>
        <v/>
      </c>
      <c r="N2064" s="26">
        <f>IF(A2064="","",CHOOSE(WEEKDAY(A2064,2),"Segunda","Terça","Quarta","Quinta","Sexta","Sábado","Domingo"))</f>
        <v/>
      </c>
      <c r="O2064" s="26">
        <f>IF(B2064="","",IF(B2064&lt;TIME(12,0,0),"Manhã",IF(B2064&lt;TIME(18,0,0),"Tarde","Noite")))</f>
        <v/>
      </c>
      <c r="P2064" s="32">
        <f>IF(G2064="","",IFERROR(INDEX(Config!$I$5:$I$16,MATCH(G2064,Config!$H$5:$H$16,0)),0))</f>
        <v/>
      </c>
      <c r="Q2064" s="30">
        <f>IF(OR(H2064&lt;&gt;"Realizado",P2064="",P2064=0),"",A2064+P2064)</f>
        <v/>
      </c>
      <c r="R2064" s="26">
        <f>IF(Q2064="","",IF(COUNTIFS($E$5:$E$3004,E2064,$A$5:$A$3004,"&gt;"&amp;A2064,$H$5:$H$3004,"&lt;&gt;Falta",$H$5:$H$3004,"&lt;&gt;Cancelado",$H$5:$H$3004,"&lt;&gt;Remarcado")&gt;0,"Sim","Não"))</f>
        <v/>
      </c>
      <c r="S2064" s="32">
        <f>IF(R2064&lt;&gt;"Não","",IF(Q2064+Config!$B$9&lt;=Config!$B$8,Config!$B$8-Q2064,""))</f>
        <v/>
      </c>
      <c r="T2064" s="26">
        <f>IF(S2064="","","Sim")</f>
        <v/>
      </c>
      <c r="U2064" s="41">
        <f>IF(T2064="Sim",S2064+ROW()/100000,0)</f>
        <v>0</v>
      </c>
      <c r="V2064" s="41">
        <f>IF(AND(H2064="Falta",L2064=Config!$B$7,M2064=Config!$B$5,COUNTIFS($E$5:E2064,E2064,$H$5:H2064,"Falta",$L$5:L2064,Config!$B$7,$M$5:M2064,Config!$B$5)=1),COUNTIFS($E$5:$E$3004,E2064,$H$5:$H$3004,"Falta",$L$5:$L$3004,Config!$B$7,$M$5:$M$3004,Config!$B$5)*1000-ROW()/100000,0)</f>
        <v>0</v>
      </c>
    </row>
    <row r="2065">
      <c r="A2065" s="39" t="n"/>
      <c r="B2065" s="40" t="n"/>
      <c r="C2065" s="35" t="n"/>
      <c r="D2065" s="35" t="n"/>
      <c r="E2065" s="34" t="n"/>
      <c r="F2065" s="35" t="n"/>
      <c r="G2065" s="35" t="n"/>
      <c r="H2065" s="35" t="n"/>
      <c r="I2065" s="35" t="n"/>
      <c r="J2065" s="35" t="n"/>
      <c r="K2065" s="34" t="n"/>
      <c r="L2065" s="26">
        <f>IF(A2065="","",MONTH(A2065))</f>
        <v/>
      </c>
      <c r="M2065" s="26">
        <f>IF(A2065="","",YEAR(A2065))</f>
        <v/>
      </c>
      <c r="N2065" s="26">
        <f>IF(A2065="","",CHOOSE(WEEKDAY(A2065,2),"Segunda","Terça","Quarta","Quinta","Sexta","Sábado","Domingo"))</f>
        <v/>
      </c>
      <c r="O2065" s="26">
        <f>IF(B2065="","",IF(B2065&lt;TIME(12,0,0),"Manhã",IF(B2065&lt;TIME(18,0,0),"Tarde","Noite")))</f>
        <v/>
      </c>
      <c r="P2065" s="32">
        <f>IF(G2065="","",IFERROR(INDEX(Config!$I$5:$I$16,MATCH(G2065,Config!$H$5:$H$16,0)),0))</f>
        <v/>
      </c>
      <c r="Q2065" s="30">
        <f>IF(OR(H2065&lt;&gt;"Realizado",P2065="",P2065=0),"",A2065+P2065)</f>
        <v/>
      </c>
      <c r="R2065" s="26">
        <f>IF(Q2065="","",IF(COUNTIFS($E$5:$E$3004,E2065,$A$5:$A$3004,"&gt;"&amp;A2065,$H$5:$H$3004,"&lt;&gt;Falta",$H$5:$H$3004,"&lt;&gt;Cancelado",$H$5:$H$3004,"&lt;&gt;Remarcado")&gt;0,"Sim","Não"))</f>
        <v/>
      </c>
      <c r="S2065" s="32">
        <f>IF(R2065&lt;&gt;"Não","",IF(Q2065+Config!$B$9&lt;=Config!$B$8,Config!$B$8-Q2065,""))</f>
        <v/>
      </c>
      <c r="T2065" s="26">
        <f>IF(S2065="","","Sim")</f>
        <v/>
      </c>
      <c r="U2065" s="41">
        <f>IF(T2065="Sim",S2065+ROW()/100000,0)</f>
        <v>0</v>
      </c>
      <c r="V2065" s="41">
        <f>IF(AND(H2065="Falta",L2065=Config!$B$7,M2065=Config!$B$5,COUNTIFS($E$5:E2065,E2065,$H$5:H2065,"Falta",$L$5:L2065,Config!$B$7,$M$5:M2065,Config!$B$5)=1),COUNTIFS($E$5:$E$3004,E2065,$H$5:$H$3004,"Falta",$L$5:$L$3004,Config!$B$7,$M$5:$M$3004,Config!$B$5)*1000-ROW()/100000,0)</f>
        <v>0</v>
      </c>
    </row>
    <row r="2066">
      <c r="A2066" s="39" t="n"/>
      <c r="B2066" s="40" t="n"/>
      <c r="C2066" s="35" t="n"/>
      <c r="D2066" s="35" t="n"/>
      <c r="E2066" s="34" t="n"/>
      <c r="F2066" s="35" t="n"/>
      <c r="G2066" s="35" t="n"/>
      <c r="H2066" s="35" t="n"/>
      <c r="I2066" s="35" t="n"/>
      <c r="J2066" s="35" t="n"/>
      <c r="K2066" s="34" t="n"/>
      <c r="L2066" s="26">
        <f>IF(A2066="","",MONTH(A2066))</f>
        <v/>
      </c>
      <c r="M2066" s="26">
        <f>IF(A2066="","",YEAR(A2066))</f>
        <v/>
      </c>
      <c r="N2066" s="26">
        <f>IF(A2066="","",CHOOSE(WEEKDAY(A2066,2),"Segunda","Terça","Quarta","Quinta","Sexta","Sábado","Domingo"))</f>
        <v/>
      </c>
      <c r="O2066" s="26">
        <f>IF(B2066="","",IF(B2066&lt;TIME(12,0,0),"Manhã",IF(B2066&lt;TIME(18,0,0),"Tarde","Noite")))</f>
        <v/>
      </c>
      <c r="P2066" s="32">
        <f>IF(G2066="","",IFERROR(INDEX(Config!$I$5:$I$16,MATCH(G2066,Config!$H$5:$H$16,0)),0))</f>
        <v/>
      </c>
      <c r="Q2066" s="30">
        <f>IF(OR(H2066&lt;&gt;"Realizado",P2066="",P2066=0),"",A2066+P2066)</f>
        <v/>
      </c>
      <c r="R2066" s="26">
        <f>IF(Q2066="","",IF(COUNTIFS($E$5:$E$3004,E2066,$A$5:$A$3004,"&gt;"&amp;A2066,$H$5:$H$3004,"&lt;&gt;Falta",$H$5:$H$3004,"&lt;&gt;Cancelado",$H$5:$H$3004,"&lt;&gt;Remarcado")&gt;0,"Sim","Não"))</f>
        <v/>
      </c>
      <c r="S2066" s="32">
        <f>IF(R2066&lt;&gt;"Não","",IF(Q2066+Config!$B$9&lt;=Config!$B$8,Config!$B$8-Q2066,""))</f>
        <v/>
      </c>
      <c r="T2066" s="26">
        <f>IF(S2066="","","Sim")</f>
        <v/>
      </c>
      <c r="U2066" s="41">
        <f>IF(T2066="Sim",S2066+ROW()/100000,0)</f>
        <v>0</v>
      </c>
      <c r="V2066" s="41">
        <f>IF(AND(H2066="Falta",L2066=Config!$B$7,M2066=Config!$B$5,COUNTIFS($E$5:E2066,E2066,$H$5:H2066,"Falta",$L$5:L2066,Config!$B$7,$M$5:M2066,Config!$B$5)=1),COUNTIFS($E$5:$E$3004,E2066,$H$5:$H$3004,"Falta",$L$5:$L$3004,Config!$B$7,$M$5:$M$3004,Config!$B$5)*1000-ROW()/100000,0)</f>
        <v>0</v>
      </c>
    </row>
    <row r="2067">
      <c r="A2067" s="39" t="n"/>
      <c r="B2067" s="40" t="n"/>
      <c r="C2067" s="35" t="n"/>
      <c r="D2067" s="35" t="n"/>
      <c r="E2067" s="34" t="n"/>
      <c r="F2067" s="35" t="n"/>
      <c r="G2067" s="35" t="n"/>
      <c r="H2067" s="35" t="n"/>
      <c r="I2067" s="35" t="n"/>
      <c r="J2067" s="35" t="n"/>
      <c r="K2067" s="34" t="n"/>
      <c r="L2067" s="26">
        <f>IF(A2067="","",MONTH(A2067))</f>
        <v/>
      </c>
      <c r="M2067" s="26">
        <f>IF(A2067="","",YEAR(A2067))</f>
        <v/>
      </c>
      <c r="N2067" s="26">
        <f>IF(A2067="","",CHOOSE(WEEKDAY(A2067,2),"Segunda","Terça","Quarta","Quinta","Sexta","Sábado","Domingo"))</f>
        <v/>
      </c>
      <c r="O2067" s="26">
        <f>IF(B2067="","",IF(B2067&lt;TIME(12,0,0),"Manhã",IF(B2067&lt;TIME(18,0,0),"Tarde","Noite")))</f>
        <v/>
      </c>
      <c r="P2067" s="32">
        <f>IF(G2067="","",IFERROR(INDEX(Config!$I$5:$I$16,MATCH(G2067,Config!$H$5:$H$16,0)),0))</f>
        <v/>
      </c>
      <c r="Q2067" s="30">
        <f>IF(OR(H2067&lt;&gt;"Realizado",P2067="",P2067=0),"",A2067+P2067)</f>
        <v/>
      </c>
      <c r="R2067" s="26">
        <f>IF(Q2067="","",IF(COUNTIFS($E$5:$E$3004,E2067,$A$5:$A$3004,"&gt;"&amp;A2067,$H$5:$H$3004,"&lt;&gt;Falta",$H$5:$H$3004,"&lt;&gt;Cancelado",$H$5:$H$3004,"&lt;&gt;Remarcado")&gt;0,"Sim","Não"))</f>
        <v/>
      </c>
      <c r="S2067" s="32">
        <f>IF(R2067&lt;&gt;"Não","",IF(Q2067+Config!$B$9&lt;=Config!$B$8,Config!$B$8-Q2067,""))</f>
        <v/>
      </c>
      <c r="T2067" s="26">
        <f>IF(S2067="","","Sim")</f>
        <v/>
      </c>
      <c r="U2067" s="41">
        <f>IF(T2067="Sim",S2067+ROW()/100000,0)</f>
        <v>0</v>
      </c>
      <c r="V2067" s="41">
        <f>IF(AND(H2067="Falta",L2067=Config!$B$7,M2067=Config!$B$5,COUNTIFS($E$5:E2067,E2067,$H$5:H2067,"Falta",$L$5:L2067,Config!$B$7,$M$5:M2067,Config!$B$5)=1),COUNTIFS($E$5:$E$3004,E2067,$H$5:$H$3004,"Falta",$L$5:$L$3004,Config!$B$7,$M$5:$M$3004,Config!$B$5)*1000-ROW()/100000,0)</f>
        <v>0</v>
      </c>
    </row>
    <row r="2068">
      <c r="A2068" s="39" t="n"/>
      <c r="B2068" s="40" t="n"/>
      <c r="C2068" s="35" t="n"/>
      <c r="D2068" s="35" t="n"/>
      <c r="E2068" s="34" t="n"/>
      <c r="F2068" s="35" t="n"/>
      <c r="G2068" s="35" t="n"/>
      <c r="H2068" s="35" t="n"/>
      <c r="I2068" s="35" t="n"/>
      <c r="J2068" s="35" t="n"/>
      <c r="K2068" s="34" t="n"/>
      <c r="L2068" s="26">
        <f>IF(A2068="","",MONTH(A2068))</f>
        <v/>
      </c>
      <c r="M2068" s="26">
        <f>IF(A2068="","",YEAR(A2068))</f>
        <v/>
      </c>
      <c r="N2068" s="26">
        <f>IF(A2068="","",CHOOSE(WEEKDAY(A2068,2),"Segunda","Terça","Quarta","Quinta","Sexta","Sábado","Domingo"))</f>
        <v/>
      </c>
      <c r="O2068" s="26">
        <f>IF(B2068="","",IF(B2068&lt;TIME(12,0,0),"Manhã",IF(B2068&lt;TIME(18,0,0),"Tarde","Noite")))</f>
        <v/>
      </c>
      <c r="P2068" s="32">
        <f>IF(G2068="","",IFERROR(INDEX(Config!$I$5:$I$16,MATCH(G2068,Config!$H$5:$H$16,0)),0))</f>
        <v/>
      </c>
      <c r="Q2068" s="30">
        <f>IF(OR(H2068&lt;&gt;"Realizado",P2068="",P2068=0),"",A2068+P2068)</f>
        <v/>
      </c>
      <c r="R2068" s="26">
        <f>IF(Q2068="","",IF(COUNTIFS($E$5:$E$3004,E2068,$A$5:$A$3004,"&gt;"&amp;A2068,$H$5:$H$3004,"&lt;&gt;Falta",$H$5:$H$3004,"&lt;&gt;Cancelado",$H$5:$H$3004,"&lt;&gt;Remarcado")&gt;0,"Sim","Não"))</f>
        <v/>
      </c>
      <c r="S2068" s="32">
        <f>IF(R2068&lt;&gt;"Não","",IF(Q2068+Config!$B$9&lt;=Config!$B$8,Config!$B$8-Q2068,""))</f>
        <v/>
      </c>
      <c r="T2068" s="26">
        <f>IF(S2068="","","Sim")</f>
        <v/>
      </c>
      <c r="U2068" s="41">
        <f>IF(T2068="Sim",S2068+ROW()/100000,0)</f>
        <v>0</v>
      </c>
      <c r="V2068" s="41">
        <f>IF(AND(H2068="Falta",L2068=Config!$B$7,M2068=Config!$B$5,COUNTIFS($E$5:E2068,E2068,$H$5:H2068,"Falta",$L$5:L2068,Config!$B$7,$M$5:M2068,Config!$B$5)=1),COUNTIFS($E$5:$E$3004,E2068,$H$5:$H$3004,"Falta",$L$5:$L$3004,Config!$B$7,$M$5:$M$3004,Config!$B$5)*1000-ROW()/100000,0)</f>
        <v>0</v>
      </c>
    </row>
    <row r="2069">
      <c r="A2069" s="39" t="n"/>
      <c r="B2069" s="40" t="n"/>
      <c r="C2069" s="35" t="n"/>
      <c r="D2069" s="35" t="n"/>
      <c r="E2069" s="34" t="n"/>
      <c r="F2069" s="35" t="n"/>
      <c r="G2069" s="35" t="n"/>
      <c r="H2069" s="35" t="n"/>
      <c r="I2069" s="35" t="n"/>
      <c r="J2069" s="35" t="n"/>
      <c r="K2069" s="34" t="n"/>
      <c r="L2069" s="26">
        <f>IF(A2069="","",MONTH(A2069))</f>
        <v/>
      </c>
      <c r="M2069" s="26">
        <f>IF(A2069="","",YEAR(A2069))</f>
        <v/>
      </c>
      <c r="N2069" s="26">
        <f>IF(A2069="","",CHOOSE(WEEKDAY(A2069,2),"Segunda","Terça","Quarta","Quinta","Sexta","Sábado","Domingo"))</f>
        <v/>
      </c>
      <c r="O2069" s="26">
        <f>IF(B2069="","",IF(B2069&lt;TIME(12,0,0),"Manhã",IF(B2069&lt;TIME(18,0,0),"Tarde","Noite")))</f>
        <v/>
      </c>
      <c r="P2069" s="32">
        <f>IF(G2069="","",IFERROR(INDEX(Config!$I$5:$I$16,MATCH(G2069,Config!$H$5:$H$16,0)),0))</f>
        <v/>
      </c>
      <c r="Q2069" s="30">
        <f>IF(OR(H2069&lt;&gt;"Realizado",P2069="",P2069=0),"",A2069+P2069)</f>
        <v/>
      </c>
      <c r="R2069" s="26">
        <f>IF(Q2069="","",IF(COUNTIFS($E$5:$E$3004,E2069,$A$5:$A$3004,"&gt;"&amp;A2069,$H$5:$H$3004,"&lt;&gt;Falta",$H$5:$H$3004,"&lt;&gt;Cancelado",$H$5:$H$3004,"&lt;&gt;Remarcado")&gt;0,"Sim","Não"))</f>
        <v/>
      </c>
      <c r="S2069" s="32">
        <f>IF(R2069&lt;&gt;"Não","",IF(Q2069+Config!$B$9&lt;=Config!$B$8,Config!$B$8-Q2069,""))</f>
        <v/>
      </c>
      <c r="T2069" s="26">
        <f>IF(S2069="","","Sim")</f>
        <v/>
      </c>
      <c r="U2069" s="41">
        <f>IF(T2069="Sim",S2069+ROW()/100000,0)</f>
        <v>0</v>
      </c>
      <c r="V2069" s="41">
        <f>IF(AND(H2069="Falta",L2069=Config!$B$7,M2069=Config!$B$5,COUNTIFS($E$5:E2069,E2069,$H$5:H2069,"Falta",$L$5:L2069,Config!$B$7,$M$5:M2069,Config!$B$5)=1),COUNTIFS($E$5:$E$3004,E2069,$H$5:$H$3004,"Falta",$L$5:$L$3004,Config!$B$7,$M$5:$M$3004,Config!$B$5)*1000-ROW()/100000,0)</f>
        <v>0</v>
      </c>
    </row>
    <row r="2070">
      <c r="A2070" s="39" t="n"/>
      <c r="B2070" s="40" t="n"/>
      <c r="C2070" s="35" t="n"/>
      <c r="D2070" s="35" t="n"/>
      <c r="E2070" s="34" t="n"/>
      <c r="F2070" s="35" t="n"/>
      <c r="G2070" s="35" t="n"/>
      <c r="H2070" s="35" t="n"/>
      <c r="I2070" s="35" t="n"/>
      <c r="J2070" s="35" t="n"/>
      <c r="K2070" s="34" t="n"/>
      <c r="L2070" s="26">
        <f>IF(A2070="","",MONTH(A2070))</f>
        <v/>
      </c>
      <c r="M2070" s="26">
        <f>IF(A2070="","",YEAR(A2070))</f>
        <v/>
      </c>
      <c r="N2070" s="26">
        <f>IF(A2070="","",CHOOSE(WEEKDAY(A2070,2),"Segunda","Terça","Quarta","Quinta","Sexta","Sábado","Domingo"))</f>
        <v/>
      </c>
      <c r="O2070" s="26">
        <f>IF(B2070="","",IF(B2070&lt;TIME(12,0,0),"Manhã",IF(B2070&lt;TIME(18,0,0),"Tarde","Noite")))</f>
        <v/>
      </c>
      <c r="P2070" s="32">
        <f>IF(G2070="","",IFERROR(INDEX(Config!$I$5:$I$16,MATCH(G2070,Config!$H$5:$H$16,0)),0))</f>
        <v/>
      </c>
      <c r="Q2070" s="30">
        <f>IF(OR(H2070&lt;&gt;"Realizado",P2070="",P2070=0),"",A2070+P2070)</f>
        <v/>
      </c>
      <c r="R2070" s="26">
        <f>IF(Q2070="","",IF(COUNTIFS($E$5:$E$3004,E2070,$A$5:$A$3004,"&gt;"&amp;A2070,$H$5:$H$3004,"&lt;&gt;Falta",$H$5:$H$3004,"&lt;&gt;Cancelado",$H$5:$H$3004,"&lt;&gt;Remarcado")&gt;0,"Sim","Não"))</f>
        <v/>
      </c>
      <c r="S2070" s="32">
        <f>IF(R2070&lt;&gt;"Não","",IF(Q2070+Config!$B$9&lt;=Config!$B$8,Config!$B$8-Q2070,""))</f>
        <v/>
      </c>
      <c r="T2070" s="26">
        <f>IF(S2070="","","Sim")</f>
        <v/>
      </c>
      <c r="U2070" s="41">
        <f>IF(T2070="Sim",S2070+ROW()/100000,0)</f>
        <v>0</v>
      </c>
      <c r="V2070" s="41">
        <f>IF(AND(H2070="Falta",L2070=Config!$B$7,M2070=Config!$B$5,COUNTIFS($E$5:E2070,E2070,$H$5:H2070,"Falta",$L$5:L2070,Config!$B$7,$M$5:M2070,Config!$B$5)=1),COUNTIFS($E$5:$E$3004,E2070,$H$5:$H$3004,"Falta",$L$5:$L$3004,Config!$B$7,$M$5:$M$3004,Config!$B$5)*1000-ROW()/100000,0)</f>
        <v>0</v>
      </c>
    </row>
    <row r="2071">
      <c r="A2071" s="39" t="n"/>
      <c r="B2071" s="40" t="n"/>
      <c r="C2071" s="35" t="n"/>
      <c r="D2071" s="35" t="n"/>
      <c r="E2071" s="34" t="n"/>
      <c r="F2071" s="35" t="n"/>
      <c r="G2071" s="35" t="n"/>
      <c r="H2071" s="35" t="n"/>
      <c r="I2071" s="35" t="n"/>
      <c r="J2071" s="35" t="n"/>
      <c r="K2071" s="34" t="n"/>
      <c r="L2071" s="26">
        <f>IF(A2071="","",MONTH(A2071))</f>
        <v/>
      </c>
      <c r="M2071" s="26">
        <f>IF(A2071="","",YEAR(A2071))</f>
        <v/>
      </c>
      <c r="N2071" s="26">
        <f>IF(A2071="","",CHOOSE(WEEKDAY(A2071,2),"Segunda","Terça","Quarta","Quinta","Sexta","Sábado","Domingo"))</f>
        <v/>
      </c>
      <c r="O2071" s="26">
        <f>IF(B2071="","",IF(B2071&lt;TIME(12,0,0),"Manhã",IF(B2071&lt;TIME(18,0,0),"Tarde","Noite")))</f>
        <v/>
      </c>
      <c r="P2071" s="32">
        <f>IF(G2071="","",IFERROR(INDEX(Config!$I$5:$I$16,MATCH(G2071,Config!$H$5:$H$16,0)),0))</f>
        <v/>
      </c>
      <c r="Q2071" s="30">
        <f>IF(OR(H2071&lt;&gt;"Realizado",P2071="",P2071=0),"",A2071+P2071)</f>
        <v/>
      </c>
      <c r="R2071" s="26">
        <f>IF(Q2071="","",IF(COUNTIFS($E$5:$E$3004,E2071,$A$5:$A$3004,"&gt;"&amp;A2071,$H$5:$H$3004,"&lt;&gt;Falta",$H$5:$H$3004,"&lt;&gt;Cancelado",$H$5:$H$3004,"&lt;&gt;Remarcado")&gt;0,"Sim","Não"))</f>
        <v/>
      </c>
      <c r="S2071" s="32">
        <f>IF(R2071&lt;&gt;"Não","",IF(Q2071+Config!$B$9&lt;=Config!$B$8,Config!$B$8-Q2071,""))</f>
        <v/>
      </c>
      <c r="T2071" s="26">
        <f>IF(S2071="","","Sim")</f>
        <v/>
      </c>
      <c r="U2071" s="41">
        <f>IF(T2071="Sim",S2071+ROW()/100000,0)</f>
        <v>0</v>
      </c>
      <c r="V2071" s="41">
        <f>IF(AND(H2071="Falta",L2071=Config!$B$7,M2071=Config!$B$5,COUNTIFS($E$5:E2071,E2071,$H$5:H2071,"Falta",$L$5:L2071,Config!$B$7,$M$5:M2071,Config!$B$5)=1),COUNTIFS($E$5:$E$3004,E2071,$H$5:$H$3004,"Falta",$L$5:$L$3004,Config!$B$7,$M$5:$M$3004,Config!$B$5)*1000-ROW()/100000,0)</f>
        <v>0</v>
      </c>
    </row>
    <row r="2072">
      <c r="A2072" s="39" t="n"/>
      <c r="B2072" s="40" t="n"/>
      <c r="C2072" s="35" t="n"/>
      <c r="D2072" s="35" t="n"/>
      <c r="E2072" s="34" t="n"/>
      <c r="F2072" s="35" t="n"/>
      <c r="G2072" s="35" t="n"/>
      <c r="H2072" s="35" t="n"/>
      <c r="I2072" s="35" t="n"/>
      <c r="J2072" s="35" t="n"/>
      <c r="K2072" s="34" t="n"/>
      <c r="L2072" s="26">
        <f>IF(A2072="","",MONTH(A2072))</f>
        <v/>
      </c>
      <c r="M2072" s="26">
        <f>IF(A2072="","",YEAR(A2072))</f>
        <v/>
      </c>
      <c r="N2072" s="26">
        <f>IF(A2072="","",CHOOSE(WEEKDAY(A2072,2),"Segunda","Terça","Quarta","Quinta","Sexta","Sábado","Domingo"))</f>
        <v/>
      </c>
      <c r="O2072" s="26">
        <f>IF(B2072="","",IF(B2072&lt;TIME(12,0,0),"Manhã",IF(B2072&lt;TIME(18,0,0),"Tarde","Noite")))</f>
        <v/>
      </c>
      <c r="P2072" s="32">
        <f>IF(G2072="","",IFERROR(INDEX(Config!$I$5:$I$16,MATCH(G2072,Config!$H$5:$H$16,0)),0))</f>
        <v/>
      </c>
      <c r="Q2072" s="30">
        <f>IF(OR(H2072&lt;&gt;"Realizado",P2072="",P2072=0),"",A2072+P2072)</f>
        <v/>
      </c>
      <c r="R2072" s="26">
        <f>IF(Q2072="","",IF(COUNTIFS($E$5:$E$3004,E2072,$A$5:$A$3004,"&gt;"&amp;A2072,$H$5:$H$3004,"&lt;&gt;Falta",$H$5:$H$3004,"&lt;&gt;Cancelado",$H$5:$H$3004,"&lt;&gt;Remarcado")&gt;0,"Sim","Não"))</f>
        <v/>
      </c>
      <c r="S2072" s="32">
        <f>IF(R2072&lt;&gt;"Não","",IF(Q2072+Config!$B$9&lt;=Config!$B$8,Config!$B$8-Q2072,""))</f>
        <v/>
      </c>
      <c r="T2072" s="26">
        <f>IF(S2072="","","Sim")</f>
        <v/>
      </c>
      <c r="U2072" s="41">
        <f>IF(T2072="Sim",S2072+ROW()/100000,0)</f>
        <v>0</v>
      </c>
      <c r="V2072" s="41">
        <f>IF(AND(H2072="Falta",L2072=Config!$B$7,M2072=Config!$B$5,COUNTIFS($E$5:E2072,E2072,$H$5:H2072,"Falta",$L$5:L2072,Config!$B$7,$M$5:M2072,Config!$B$5)=1),COUNTIFS($E$5:$E$3004,E2072,$H$5:$H$3004,"Falta",$L$5:$L$3004,Config!$B$7,$M$5:$M$3004,Config!$B$5)*1000-ROW()/100000,0)</f>
        <v>0</v>
      </c>
    </row>
    <row r="2073">
      <c r="A2073" s="39" t="n"/>
      <c r="B2073" s="40" t="n"/>
      <c r="C2073" s="35" t="n"/>
      <c r="D2073" s="35" t="n"/>
      <c r="E2073" s="34" t="n"/>
      <c r="F2073" s="35" t="n"/>
      <c r="G2073" s="35" t="n"/>
      <c r="H2073" s="35" t="n"/>
      <c r="I2073" s="35" t="n"/>
      <c r="J2073" s="35" t="n"/>
      <c r="K2073" s="34" t="n"/>
      <c r="L2073" s="26">
        <f>IF(A2073="","",MONTH(A2073))</f>
        <v/>
      </c>
      <c r="M2073" s="26">
        <f>IF(A2073="","",YEAR(A2073))</f>
        <v/>
      </c>
      <c r="N2073" s="26">
        <f>IF(A2073="","",CHOOSE(WEEKDAY(A2073,2),"Segunda","Terça","Quarta","Quinta","Sexta","Sábado","Domingo"))</f>
        <v/>
      </c>
      <c r="O2073" s="26">
        <f>IF(B2073="","",IF(B2073&lt;TIME(12,0,0),"Manhã",IF(B2073&lt;TIME(18,0,0),"Tarde","Noite")))</f>
        <v/>
      </c>
      <c r="P2073" s="32">
        <f>IF(G2073="","",IFERROR(INDEX(Config!$I$5:$I$16,MATCH(G2073,Config!$H$5:$H$16,0)),0))</f>
        <v/>
      </c>
      <c r="Q2073" s="30">
        <f>IF(OR(H2073&lt;&gt;"Realizado",P2073="",P2073=0),"",A2073+P2073)</f>
        <v/>
      </c>
      <c r="R2073" s="26">
        <f>IF(Q2073="","",IF(COUNTIFS($E$5:$E$3004,E2073,$A$5:$A$3004,"&gt;"&amp;A2073,$H$5:$H$3004,"&lt;&gt;Falta",$H$5:$H$3004,"&lt;&gt;Cancelado",$H$5:$H$3004,"&lt;&gt;Remarcado")&gt;0,"Sim","Não"))</f>
        <v/>
      </c>
      <c r="S2073" s="32">
        <f>IF(R2073&lt;&gt;"Não","",IF(Q2073+Config!$B$9&lt;=Config!$B$8,Config!$B$8-Q2073,""))</f>
        <v/>
      </c>
      <c r="T2073" s="26">
        <f>IF(S2073="","","Sim")</f>
        <v/>
      </c>
      <c r="U2073" s="41">
        <f>IF(T2073="Sim",S2073+ROW()/100000,0)</f>
        <v>0</v>
      </c>
      <c r="V2073" s="41">
        <f>IF(AND(H2073="Falta",L2073=Config!$B$7,M2073=Config!$B$5,COUNTIFS($E$5:E2073,E2073,$H$5:H2073,"Falta",$L$5:L2073,Config!$B$7,$M$5:M2073,Config!$B$5)=1),COUNTIFS($E$5:$E$3004,E2073,$H$5:$H$3004,"Falta",$L$5:$L$3004,Config!$B$7,$M$5:$M$3004,Config!$B$5)*1000-ROW()/100000,0)</f>
        <v>0</v>
      </c>
    </row>
    <row r="2074">
      <c r="A2074" s="39" t="n"/>
      <c r="B2074" s="40" t="n"/>
      <c r="C2074" s="35" t="n"/>
      <c r="D2074" s="35" t="n"/>
      <c r="E2074" s="34" t="n"/>
      <c r="F2074" s="35" t="n"/>
      <c r="G2074" s="35" t="n"/>
      <c r="H2074" s="35" t="n"/>
      <c r="I2074" s="35" t="n"/>
      <c r="J2074" s="35" t="n"/>
      <c r="K2074" s="34" t="n"/>
      <c r="L2074" s="26">
        <f>IF(A2074="","",MONTH(A2074))</f>
        <v/>
      </c>
      <c r="M2074" s="26">
        <f>IF(A2074="","",YEAR(A2074))</f>
        <v/>
      </c>
      <c r="N2074" s="26">
        <f>IF(A2074="","",CHOOSE(WEEKDAY(A2074,2),"Segunda","Terça","Quarta","Quinta","Sexta","Sábado","Domingo"))</f>
        <v/>
      </c>
      <c r="O2074" s="26">
        <f>IF(B2074="","",IF(B2074&lt;TIME(12,0,0),"Manhã",IF(B2074&lt;TIME(18,0,0),"Tarde","Noite")))</f>
        <v/>
      </c>
      <c r="P2074" s="32">
        <f>IF(G2074="","",IFERROR(INDEX(Config!$I$5:$I$16,MATCH(G2074,Config!$H$5:$H$16,0)),0))</f>
        <v/>
      </c>
      <c r="Q2074" s="30">
        <f>IF(OR(H2074&lt;&gt;"Realizado",P2074="",P2074=0),"",A2074+P2074)</f>
        <v/>
      </c>
      <c r="R2074" s="26">
        <f>IF(Q2074="","",IF(COUNTIFS($E$5:$E$3004,E2074,$A$5:$A$3004,"&gt;"&amp;A2074,$H$5:$H$3004,"&lt;&gt;Falta",$H$5:$H$3004,"&lt;&gt;Cancelado",$H$5:$H$3004,"&lt;&gt;Remarcado")&gt;0,"Sim","Não"))</f>
        <v/>
      </c>
      <c r="S2074" s="32">
        <f>IF(R2074&lt;&gt;"Não","",IF(Q2074+Config!$B$9&lt;=Config!$B$8,Config!$B$8-Q2074,""))</f>
        <v/>
      </c>
      <c r="T2074" s="26">
        <f>IF(S2074="","","Sim")</f>
        <v/>
      </c>
      <c r="U2074" s="41">
        <f>IF(T2074="Sim",S2074+ROW()/100000,0)</f>
        <v>0</v>
      </c>
      <c r="V2074" s="41">
        <f>IF(AND(H2074="Falta",L2074=Config!$B$7,M2074=Config!$B$5,COUNTIFS($E$5:E2074,E2074,$H$5:H2074,"Falta",$L$5:L2074,Config!$B$7,$M$5:M2074,Config!$B$5)=1),COUNTIFS($E$5:$E$3004,E2074,$H$5:$H$3004,"Falta",$L$5:$L$3004,Config!$B$7,$M$5:$M$3004,Config!$B$5)*1000-ROW()/100000,0)</f>
        <v>0</v>
      </c>
    </row>
    <row r="2075">
      <c r="A2075" s="39" t="n"/>
      <c r="B2075" s="40" t="n"/>
      <c r="C2075" s="35" t="n"/>
      <c r="D2075" s="35" t="n"/>
      <c r="E2075" s="34" t="n"/>
      <c r="F2075" s="35" t="n"/>
      <c r="G2075" s="35" t="n"/>
      <c r="H2075" s="35" t="n"/>
      <c r="I2075" s="35" t="n"/>
      <c r="J2075" s="35" t="n"/>
      <c r="K2075" s="34" t="n"/>
      <c r="L2075" s="26">
        <f>IF(A2075="","",MONTH(A2075))</f>
        <v/>
      </c>
      <c r="M2075" s="26">
        <f>IF(A2075="","",YEAR(A2075))</f>
        <v/>
      </c>
      <c r="N2075" s="26">
        <f>IF(A2075="","",CHOOSE(WEEKDAY(A2075,2),"Segunda","Terça","Quarta","Quinta","Sexta","Sábado","Domingo"))</f>
        <v/>
      </c>
      <c r="O2075" s="26">
        <f>IF(B2075="","",IF(B2075&lt;TIME(12,0,0),"Manhã",IF(B2075&lt;TIME(18,0,0),"Tarde","Noite")))</f>
        <v/>
      </c>
      <c r="P2075" s="32">
        <f>IF(G2075="","",IFERROR(INDEX(Config!$I$5:$I$16,MATCH(G2075,Config!$H$5:$H$16,0)),0))</f>
        <v/>
      </c>
      <c r="Q2075" s="30">
        <f>IF(OR(H2075&lt;&gt;"Realizado",P2075="",P2075=0),"",A2075+P2075)</f>
        <v/>
      </c>
      <c r="R2075" s="26">
        <f>IF(Q2075="","",IF(COUNTIFS($E$5:$E$3004,E2075,$A$5:$A$3004,"&gt;"&amp;A2075,$H$5:$H$3004,"&lt;&gt;Falta",$H$5:$H$3004,"&lt;&gt;Cancelado",$H$5:$H$3004,"&lt;&gt;Remarcado")&gt;0,"Sim","Não"))</f>
        <v/>
      </c>
      <c r="S2075" s="32">
        <f>IF(R2075&lt;&gt;"Não","",IF(Q2075+Config!$B$9&lt;=Config!$B$8,Config!$B$8-Q2075,""))</f>
        <v/>
      </c>
      <c r="T2075" s="26">
        <f>IF(S2075="","","Sim")</f>
        <v/>
      </c>
      <c r="U2075" s="41">
        <f>IF(T2075="Sim",S2075+ROW()/100000,0)</f>
        <v>0</v>
      </c>
      <c r="V2075" s="41">
        <f>IF(AND(H2075="Falta",L2075=Config!$B$7,M2075=Config!$B$5,COUNTIFS($E$5:E2075,E2075,$H$5:H2075,"Falta",$L$5:L2075,Config!$B$7,$M$5:M2075,Config!$B$5)=1),COUNTIFS($E$5:$E$3004,E2075,$H$5:$H$3004,"Falta",$L$5:$L$3004,Config!$B$7,$M$5:$M$3004,Config!$B$5)*1000-ROW()/100000,0)</f>
        <v>0</v>
      </c>
    </row>
    <row r="2076">
      <c r="A2076" s="39" t="n"/>
      <c r="B2076" s="40" t="n"/>
      <c r="C2076" s="35" t="n"/>
      <c r="D2076" s="35" t="n"/>
      <c r="E2076" s="34" t="n"/>
      <c r="F2076" s="35" t="n"/>
      <c r="G2076" s="35" t="n"/>
      <c r="H2076" s="35" t="n"/>
      <c r="I2076" s="35" t="n"/>
      <c r="J2076" s="35" t="n"/>
      <c r="K2076" s="34" t="n"/>
      <c r="L2076" s="26">
        <f>IF(A2076="","",MONTH(A2076))</f>
        <v/>
      </c>
      <c r="M2076" s="26">
        <f>IF(A2076="","",YEAR(A2076))</f>
        <v/>
      </c>
      <c r="N2076" s="26">
        <f>IF(A2076="","",CHOOSE(WEEKDAY(A2076,2),"Segunda","Terça","Quarta","Quinta","Sexta","Sábado","Domingo"))</f>
        <v/>
      </c>
      <c r="O2076" s="26">
        <f>IF(B2076="","",IF(B2076&lt;TIME(12,0,0),"Manhã",IF(B2076&lt;TIME(18,0,0),"Tarde","Noite")))</f>
        <v/>
      </c>
      <c r="P2076" s="32">
        <f>IF(G2076="","",IFERROR(INDEX(Config!$I$5:$I$16,MATCH(G2076,Config!$H$5:$H$16,0)),0))</f>
        <v/>
      </c>
      <c r="Q2076" s="30">
        <f>IF(OR(H2076&lt;&gt;"Realizado",P2076="",P2076=0),"",A2076+P2076)</f>
        <v/>
      </c>
      <c r="R2076" s="26">
        <f>IF(Q2076="","",IF(COUNTIFS($E$5:$E$3004,E2076,$A$5:$A$3004,"&gt;"&amp;A2076,$H$5:$H$3004,"&lt;&gt;Falta",$H$5:$H$3004,"&lt;&gt;Cancelado",$H$5:$H$3004,"&lt;&gt;Remarcado")&gt;0,"Sim","Não"))</f>
        <v/>
      </c>
      <c r="S2076" s="32">
        <f>IF(R2076&lt;&gt;"Não","",IF(Q2076+Config!$B$9&lt;=Config!$B$8,Config!$B$8-Q2076,""))</f>
        <v/>
      </c>
      <c r="T2076" s="26">
        <f>IF(S2076="","","Sim")</f>
        <v/>
      </c>
      <c r="U2076" s="41">
        <f>IF(T2076="Sim",S2076+ROW()/100000,0)</f>
        <v>0</v>
      </c>
      <c r="V2076" s="41">
        <f>IF(AND(H2076="Falta",L2076=Config!$B$7,M2076=Config!$B$5,COUNTIFS($E$5:E2076,E2076,$H$5:H2076,"Falta",$L$5:L2076,Config!$B$7,$M$5:M2076,Config!$B$5)=1),COUNTIFS($E$5:$E$3004,E2076,$H$5:$H$3004,"Falta",$L$5:$L$3004,Config!$B$7,$M$5:$M$3004,Config!$B$5)*1000-ROW()/100000,0)</f>
        <v>0</v>
      </c>
    </row>
    <row r="2077">
      <c r="A2077" s="39" t="n"/>
      <c r="B2077" s="40" t="n"/>
      <c r="C2077" s="35" t="n"/>
      <c r="D2077" s="35" t="n"/>
      <c r="E2077" s="34" t="n"/>
      <c r="F2077" s="35" t="n"/>
      <c r="G2077" s="35" t="n"/>
      <c r="H2077" s="35" t="n"/>
      <c r="I2077" s="35" t="n"/>
      <c r="J2077" s="35" t="n"/>
      <c r="K2077" s="34" t="n"/>
      <c r="L2077" s="26">
        <f>IF(A2077="","",MONTH(A2077))</f>
        <v/>
      </c>
      <c r="M2077" s="26">
        <f>IF(A2077="","",YEAR(A2077))</f>
        <v/>
      </c>
      <c r="N2077" s="26">
        <f>IF(A2077="","",CHOOSE(WEEKDAY(A2077,2),"Segunda","Terça","Quarta","Quinta","Sexta","Sábado","Domingo"))</f>
        <v/>
      </c>
      <c r="O2077" s="26">
        <f>IF(B2077="","",IF(B2077&lt;TIME(12,0,0),"Manhã",IF(B2077&lt;TIME(18,0,0),"Tarde","Noite")))</f>
        <v/>
      </c>
      <c r="P2077" s="32">
        <f>IF(G2077="","",IFERROR(INDEX(Config!$I$5:$I$16,MATCH(G2077,Config!$H$5:$H$16,0)),0))</f>
        <v/>
      </c>
      <c r="Q2077" s="30">
        <f>IF(OR(H2077&lt;&gt;"Realizado",P2077="",P2077=0),"",A2077+P2077)</f>
        <v/>
      </c>
      <c r="R2077" s="26">
        <f>IF(Q2077="","",IF(COUNTIFS($E$5:$E$3004,E2077,$A$5:$A$3004,"&gt;"&amp;A2077,$H$5:$H$3004,"&lt;&gt;Falta",$H$5:$H$3004,"&lt;&gt;Cancelado",$H$5:$H$3004,"&lt;&gt;Remarcado")&gt;0,"Sim","Não"))</f>
        <v/>
      </c>
      <c r="S2077" s="32">
        <f>IF(R2077&lt;&gt;"Não","",IF(Q2077+Config!$B$9&lt;=Config!$B$8,Config!$B$8-Q2077,""))</f>
        <v/>
      </c>
      <c r="T2077" s="26">
        <f>IF(S2077="","","Sim")</f>
        <v/>
      </c>
      <c r="U2077" s="41">
        <f>IF(T2077="Sim",S2077+ROW()/100000,0)</f>
        <v>0</v>
      </c>
      <c r="V2077" s="41">
        <f>IF(AND(H2077="Falta",L2077=Config!$B$7,M2077=Config!$B$5,COUNTIFS($E$5:E2077,E2077,$H$5:H2077,"Falta",$L$5:L2077,Config!$B$7,$M$5:M2077,Config!$B$5)=1),COUNTIFS($E$5:$E$3004,E2077,$H$5:$H$3004,"Falta",$L$5:$L$3004,Config!$B$7,$M$5:$M$3004,Config!$B$5)*1000-ROW()/100000,0)</f>
        <v>0</v>
      </c>
    </row>
    <row r="2078">
      <c r="A2078" s="39" t="n"/>
      <c r="B2078" s="40" t="n"/>
      <c r="C2078" s="35" t="n"/>
      <c r="D2078" s="35" t="n"/>
      <c r="E2078" s="34" t="n"/>
      <c r="F2078" s="35" t="n"/>
      <c r="G2078" s="35" t="n"/>
      <c r="H2078" s="35" t="n"/>
      <c r="I2078" s="35" t="n"/>
      <c r="J2078" s="35" t="n"/>
      <c r="K2078" s="34" t="n"/>
      <c r="L2078" s="26">
        <f>IF(A2078="","",MONTH(A2078))</f>
        <v/>
      </c>
      <c r="M2078" s="26">
        <f>IF(A2078="","",YEAR(A2078))</f>
        <v/>
      </c>
      <c r="N2078" s="26">
        <f>IF(A2078="","",CHOOSE(WEEKDAY(A2078,2),"Segunda","Terça","Quarta","Quinta","Sexta","Sábado","Domingo"))</f>
        <v/>
      </c>
      <c r="O2078" s="26">
        <f>IF(B2078="","",IF(B2078&lt;TIME(12,0,0),"Manhã",IF(B2078&lt;TIME(18,0,0),"Tarde","Noite")))</f>
        <v/>
      </c>
      <c r="P2078" s="32">
        <f>IF(G2078="","",IFERROR(INDEX(Config!$I$5:$I$16,MATCH(G2078,Config!$H$5:$H$16,0)),0))</f>
        <v/>
      </c>
      <c r="Q2078" s="30">
        <f>IF(OR(H2078&lt;&gt;"Realizado",P2078="",P2078=0),"",A2078+P2078)</f>
        <v/>
      </c>
      <c r="R2078" s="26">
        <f>IF(Q2078="","",IF(COUNTIFS($E$5:$E$3004,E2078,$A$5:$A$3004,"&gt;"&amp;A2078,$H$5:$H$3004,"&lt;&gt;Falta",$H$5:$H$3004,"&lt;&gt;Cancelado",$H$5:$H$3004,"&lt;&gt;Remarcado")&gt;0,"Sim","Não"))</f>
        <v/>
      </c>
      <c r="S2078" s="32">
        <f>IF(R2078&lt;&gt;"Não","",IF(Q2078+Config!$B$9&lt;=Config!$B$8,Config!$B$8-Q2078,""))</f>
        <v/>
      </c>
      <c r="T2078" s="26">
        <f>IF(S2078="","","Sim")</f>
        <v/>
      </c>
      <c r="U2078" s="41">
        <f>IF(T2078="Sim",S2078+ROW()/100000,0)</f>
        <v>0</v>
      </c>
      <c r="V2078" s="41">
        <f>IF(AND(H2078="Falta",L2078=Config!$B$7,M2078=Config!$B$5,COUNTIFS($E$5:E2078,E2078,$H$5:H2078,"Falta",$L$5:L2078,Config!$B$7,$M$5:M2078,Config!$B$5)=1),COUNTIFS($E$5:$E$3004,E2078,$H$5:$H$3004,"Falta",$L$5:$L$3004,Config!$B$7,$M$5:$M$3004,Config!$B$5)*1000-ROW()/100000,0)</f>
        <v>0</v>
      </c>
    </row>
    <row r="2079">
      <c r="A2079" s="39" t="n"/>
      <c r="B2079" s="40" t="n"/>
      <c r="C2079" s="35" t="n"/>
      <c r="D2079" s="35" t="n"/>
      <c r="E2079" s="34" t="n"/>
      <c r="F2079" s="35" t="n"/>
      <c r="G2079" s="35" t="n"/>
      <c r="H2079" s="35" t="n"/>
      <c r="I2079" s="35" t="n"/>
      <c r="J2079" s="35" t="n"/>
      <c r="K2079" s="34" t="n"/>
      <c r="L2079" s="26">
        <f>IF(A2079="","",MONTH(A2079))</f>
        <v/>
      </c>
      <c r="M2079" s="26">
        <f>IF(A2079="","",YEAR(A2079))</f>
        <v/>
      </c>
      <c r="N2079" s="26">
        <f>IF(A2079="","",CHOOSE(WEEKDAY(A2079,2),"Segunda","Terça","Quarta","Quinta","Sexta","Sábado","Domingo"))</f>
        <v/>
      </c>
      <c r="O2079" s="26">
        <f>IF(B2079="","",IF(B2079&lt;TIME(12,0,0),"Manhã",IF(B2079&lt;TIME(18,0,0),"Tarde","Noite")))</f>
        <v/>
      </c>
      <c r="P2079" s="32">
        <f>IF(G2079="","",IFERROR(INDEX(Config!$I$5:$I$16,MATCH(G2079,Config!$H$5:$H$16,0)),0))</f>
        <v/>
      </c>
      <c r="Q2079" s="30">
        <f>IF(OR(H2079&lt;&gt;"Realizado",P2079="",P2079=0),"",A2079+P2079)</f>
        <v/>
      </c>
      <c r="R2079" s="26">
        <f>IF(Q2079="","",IF(COUNTIFS($E$5:$E$3004,E2079,$A$5:$A$3004,"&gt;"&amp;A2079,$H$5:$H$3004,"&lt;&gt;Falta",$H$5:$H$3004,"&lt;&gt;Cancelado",$H$5:$H$3004,"&lt;&gt;Remarcado")&gt;0,"Sim","Não"))</f>
        <v/>
      </c>
      <c r="S2079" s="32">
        <f>IF(R2079&lt;&gt;"Não","",IF(Q2079+Config!$B$9&lt;=Config!$B$8,Config!$B$8-Q2079,""))</f>
        <v/>
      </c>
      <c r="T2079" s="26">
        <f>IF(S2079="","","Sim")</f>
        <v/>
      </c>
      <c r="U2079" s="41">
        <f>IF(T2079="Sim",S2079+ROW()/100000,0)</f>
        <v>0</v>
      </c>
      <c r="V2079" s="41">
        <f>IF(AND(H2079="Falta",L2079=Config!$B$7,M2079=Config!$B$5,COUNTIFS($E$5:E2079,E2079,$H$5:H2079,"Falta",$L$5:L2079,Config!$B$7,$M$5:M2079,Config!$B$5)=1),COUNTIFS($E$5:$E$3004,E2079,$H$5:$H$3004,"Falta",$L$5:$L$3004,Config!$B$7,$M$5:$M$3004,Config!$B$5)*1000-ROW()/100000,0)</f>
        <v>0</v>
      </c>
    </row>
    <row r="2080">
      <c r="A2080" s="39" t="n"/>
      <c r="B2080" s="40" t="n"/>
      <c r="C2080" s="35" t="n"/>
      <c r="D2080" s="35" t="n"/>
      <c r="E2080" s="34" t="n"/>
      <c r="F2080" s="35" t="n"/>
      <c r="G2080" s="35" t="n"/>
      <c r="H2080" s="35" t="n"/>
      <c r="I2080" s="35" t="n"/>
      <c r="J2080" s="35" t="n"/>
      <c r="K2080" s="34" t="n"/>
      <c r="L2080" s="26">
        <f>IF(A2080="","",MONTH(A2080))</f>
        <v/>
      </c>
      <c r="M2080" s="26">
        <f>IF(A2080="","",YEAR(A2080))</f>
        <v/>
      </c>
      <c r="N2080" s="26">
        <f>IF(A2080="","",CHOOSE(WEEKDAY(A2080,2),"Segunda","Terça","Quarta","Quinta","Sexta","Sábado","Domingo"))</f>
        <v/>
      </c>
      <c r="O2080" s="26">
        <f>IF(B2080="","",IF(B2080&lt;TIME(12,0,0),"Manhã",IF(B2080&lt;TIME(18,0,0),"Tarde","Noite")))</f>
        <v/>
      </c>
      <c r="P2080" s="32">
        <f>IF(G2080="","",IFERROR(INDEX(Config!$I$5:$I$16,MATCH(G2080,Config!$H$5:$H$16,0)),0))</f>
        <v/>
      </c>
      <c r="Q2080" s="30">
        <f>IF(OR(H2080&lt;&gt;"Realizado",P2080="",P2080=0),"",A2080+P2080)</f>
        <v/>
      </c>
      <c r="R2080" s="26">
        <f>IF(Q2080="","",IF(COUNTIFS($E$5:$E$3004,E2080,$A$5:$A$3004,"&gt;"&amp;A2080,$H$5:$H$3004,"&lt;&gt;Falta",$H$5:$H$3004,"&lt;&gt;Cancelado",$H$5:$H$3004,"&lt;&gt;Remarcado")&gt;0,"Sim","Não"))</f>
        <v/>
      </c>
      <c r="S2080" s="32">
        <f>IF(R2080&lt;&gt;"Não","",IF(Q2080+Config!$B$9&lt;=Config!$B$8,Config!$B$8-Q2080,""))</f>
        <v/>
      </c>
      <c r="T2080" s="26">
        <f>IF(S2080="","","Sim")</f>
        <v/>
      </c>
      <c r="U2080" s="41">
        <f>IF(T2080="Sim",S2080+ROW()/100000,0)</f>
        <v>0</v>
      </c>
      <c r="V2080" s="41">
        <f>IF(AND(H2080="Falta",L2080=Config!$B$7,M2080=Config!$B$5,COUNTIFS($E$5:E2080,E2080,$H$5:H2080,"Falta",$L$5:L2080,Config!$B$7,$M$5:M2080,Config!$B$5)=1),COUNTIFS($E$5:$E$3004,E2080,$H$5:$H$3004,"Falta",$L$5:$L$3004,Config!$B$7,$M$5:$M$3004,Config!$B$5)*1000-ROW()/100000,0)</f>
        <v>0</v>
      </c>
    </row>
    <row r="2081">
      <c r="A2081" s="39" t="n"/>
      <c r="B2081" s="40" t="n"/>
      <c r="C2081" s="35" t="n"/>
      <c r="D2081" s="35" t="n"/>
      <c r="E2081" s="34" t="n"/>
      <c r="F2081" s="35" t="n"/>
      <c r="G2081" s="35" t="n"/>
      <c r="H2081" s="35" t="n"/>
      <c r="I2081" s="35" t="n"/>
      <c r="J2081" s="35" t="n"/>
      <c r="K2081" s="34" t="n"/>
      <c r="L2081" s="26">
        <f>IF(A2081="","",MONTH(A2081))</f>
        <v/>
      </c>
      <c r="M2081" s="26">
        <f>IF(A2081="","",YEAR(A2081))</f>
        <v/>
      </c>
      <c r="N2081" s="26">
        <f>IF(A2081="","",CHOOSE(WEEKDAY(A2081,2),"Segunda","Terça","Quarta","Quinta","Sexta","Sábado","Domingo"))</f>
        <v/>
      </c>
      <c r="O2081" s="26">
        <f>IF(B2081="","",IF(B2081&lt;TIME(12,0,0),"Manhã",IF(B2081&lt;TIME(18,0,0),"Tarde","Noite")))</f>
        <v/>
      </c>
      <c r="P2081" s="32">
        <f>IF(G2081="","",IFERROR(INDEX(Config!$I$5:$I$16,MATCH(G2081,Config!$H$5:$H$16,0)),0))</f>
        <v/>
      </c>
      <c r="Q2081" s="30">
        <f>IF(OR(H2081&lt;&gt;"Realizado",P2081="",P2081=0),"",A2081+P2081)</f>
        <v/>
      </c>
      <c r="R2081" s="26">
        <f>IF(Q2081="","",IF(COUNTIFS($E$5:$E$3004,E2081,$A$5:$A$3004,"&gt;"&amp;A2081,$H$5:$H$3004,"&lt;&gt;Falta",$H$5:$H$3004,"&lt;&gt;Cancelado",$H$5:$H$3004,"&lt;&gt;Remarcado")&gt;0,"Sim","Não"))</f>
        <v/>
      </c>
      <c r="S2081" s="32">
        <f>IF(R2081&lt;&gt;"Não","",IF(Q2081+Config!$B$9&lt;=Config!$B$8,Config!$B$8-Q2081,""))</f>
        <v/>
      </c>
      <c r="T2081" s="26">
        <f>IF(S2081="","","Sim")</f>
        <v/>
      </c>
      <c r="U2081" s="41">
        <f>IF(T2081="Sim",S2081+ROW()/100000,0)</f>
        <v>0</v>
      </c>
      <c r="V2081" s="41">
        <f>IF(AND(H2081="Falta",L2081=Config!$B$7,M2081=Config!$B$5,COUNTIFS($E$5:E2081,E2081,$H$5:H2081,"Falta",$L$5:L2081,Config!$B$7,$M$5:M2081,Config!$B$5)=1),COUNTIFS($E$5:$E$3004,E2081,$H$5:$H$3004,"Falta",$L$5:$L$3004,Config!$B$7,$M$5:$M$3004,Config!$B$5)*1000-ROW()/100000,0)</f>
        <v>0</v>
      </c>
    </row>
    <row r="2082">
      <c r="A2082" s="39" t="n"/>
      <c r="B2082" s="40" t="n"/>
      <c r="C2082" s="35" t="n"/>
      <c r="D2082" s="35" t="n"/>
      <c r="E2082" s="34" t="n"/>
      <c r="F2082" s="35" t="n"/>
      <c r="G2082" s="35" t="n"/>
      <c r="H2082" s="35" t="n"/>
      <c r="I2082" s="35" t="n"/>
      <c r="J2082" s="35" t="n"/>
      <c r="K2082" s="34" t="n"/>
      <c r="L2082" s="26">
        <f>IF(A2082="","",MONTH(A2082))</f>
        <v/>
      </c>
      <c r="M2082" s="26">
        <f>IF(A2082="","",YEAR(A2082))</f>
        <v/>
      </c>
      <c r="N2082" s="26">
        <f>IF(A2082="","",CHOOSE(WEEKDAY(A2082,2),"Segunda","Terça","Quarta","Quinta","Sexta","Sábado","Domingo"))</f>
        <v/>
      </c>
      <c r="O2082" s="26">
        <f>IF(B2082="","",IF(B2082&lt;TIME(12,0,0),"Manhã",IF(B2082&lt;TIME(18,0,0),"Tarde","Noite")))</f>
        <v/>
      </c>
      <c r="P2082" s="32">
        <f>IF(G2082="","",IFERROR(INDEX(Config!$I$5:$I$16,MATCH(G2082,Config!$H$5:$H$16,0)),0))</f>
        <v/>
      </c>
      <c r="Q2082" s="30">
        <f>IF(OR(H2082&lt;&gt;"Realizado",P2082="",P2082=0),"",A2082+P2082)</f>
        <v/>
      </c>
      <c r="R2082" s="26">
        <f>IF(Q2082="","",IF(COUNTIFS($E$5:$E$3004,E2082,$A$5:$A$3004,"&gt;"&amp;A2082,$H$5:$H$3004,"&lt;&gt;Falta",$H$5:$H$3004,"&lt;&gt;Cancelado",$H$5:$H$3004,"&lt;&gt;Remarcado")&gt;0,"Sim","Não"))</f>
        <v/>
      </c>
      <c r="S2082" s="32">
        <f>IF(R2082&lt;&gt;"Não","",IF(Q2082+Config!$B$9&lt;=Config!$B$8,Config!$B$8-Q2082,""))</f>
        <v/>
      </c>
      <c r="T2082" s="26">
        <f>IF(S2082="","","Sim")</f>
        <v/>
      </c>
      <c r="U2082" s="41">
        <f>IF(T2082="Sim",S2082+ROW()/100000,0)</f>
        <v>0</v>
      </c>
      <c r="V2082" s="41">
        <f>IF(AND(H2082="Falta",L2082=Config!$B$7,M2082=Config!$B$5,COUNTIFS($E$5:E2082,E2082,$H$5:H2082,"Falta",$L$5:L2082,Config!$B$7,$M$5:M2082,Config!$B$5)=1),COUNTIFS($E$5:$E$3004,E2082,$H$5:$H$3004,"Falta",$L$5:$L$3004,Config!$B$7,$M$5:$M$3004,Config!$B$5)*1000-ROW()/100000,0)</f>
        <v>0</v>
      </c>
    </row>
    <row r="2083">
      <c r="A2083" s="39" t="n"/>
      <c r="B2083" s="40" t="n"/>
      <c r="C2083" s="35" t="n"/>
      <c r="D2083" s="35" t="n"/>
      <c r="E2083" s="34" t="n"/>
      <c r="F2083" s="35" t="n"/>
      <c r="G2083" s="35" t="n"/>
      <c r="H2083" s="35" t="n"/>
      <c r="I2083" s="35" t="n"/>
      <c r="J2083" s="35" t="n"/>
      <c r="K2083" s="34" t="n"/>
      <c r="L2083" s="26">
        <f>IF(A2083="","",MONTH(A2083))</f>
        <v/>
      </c>
      <c r="M2083" s="26">
        <f>IF(A2083="","",YEAR(A2083))</f>
        <v/>
      </c>
      <c r="N2083" s="26">
        <f>IF(A2083="","",CHOOSE(WEEKDAY(A2083,2),"Segunda","Terça","Quarta","Quinta","Sexta","Sábado","Domingo"))</f>
        <v/>
      </c>
      <c r="O2083" s="26">
        <f>IF(B2083="","",IF(B2083&lt;TIME(12,0,0),"Manhã",IF(B2083&lt;TIME(18,0,0),"Tarde","Noite")))</f>
        <v/>
      </c>
      <c r="P2083" s="32">
        <f>IF(G2083="","",IFERROR(INDEX(Config!$I$5:$I$16,MATCH(G2083,Config!$H$5:$H$16,0)),0))</f>
        <v/>
      </c>
      <c r="Q2083" s="30">
        <f>IF(OR(H2083&lt;&gt;"Realizado",P2083="",P2083=0),"",A2083+P2083)</f>
        <v/>
      </c>
      <c r="R2083" s="26">
        <f>IF(Q2083="","",IF(COUNTIFS($E$5:$E$3004,E2083,$A$5:$A$3004,"&gt;"&amp;A2083,$H$5:$H$3004,"&lt;&gt;Falta",$H$5:$H$3004,"&lt;&gt;Cancelado",$H$5:$H$3004,"&lt;&gt;Remarcado")&gt;0,"Sim","Não"))</f>
        <v/>
      </c>
      <c r="S2083" s="32">
        <f>IF(R2083&lt;&gt;"Não","",IF(Q2083+Config!$B$9&lt;=Config!$B$8,Config!$B$8-Q2083,""))</f>
        <v/>
      </c>
      <c r="T2083" s="26">
        <f>IF(S2083="","","Sim")</f>
        <v/>
      </c>
      <c r="U2083" s="41">
        <f>IF(T2083="Sim",S2083+ROW()/100000,0)</f>
        <v>0</v>
      </c>
      <c r="V2083" s="41">
        <f>IF(AND(H2083="Falta",L2083=Config!$B$7,M2083=Config!$B$5,COUNTIFS($E$5:E2083,E2083,$H$5:H2083,"Falta",$L$5:L2083,Config!$B$7,$M$5:M2083,Config!$B$5)=1),COUNTIFS($E$5:$E$3004,E2083,$H$5:$H$3004,"Falta",$L$5:$L$3004,Config!$B$7,$M$5:$M$3004,Config!$B$5)*1000-ROW()/100000,0)</f>
        <v>0</v>
      </c>
    </row>
    <row r="2084">
      <c r="A2084" s="39" t="n"/>
      <c r="B2084" s="40" t="n"/>
      <c r="C2084" s="35" t="n"/>
      <c r="D2084" s="35" t="n"/>
      <c r="E2084" s="34" t="n"/>
      <c r="F2084" s="35" t="n"/>
      <c r="G2084" s="35" t="n"/>
      <c r="H2084" s="35" t="n"/>
      <c r="I2084" s="35" t="n"/>
      <c r="J2084" s="35" t="n"/>
      <c r="K2084" s="34" t="n"/>
      <c r="L2084" s="26">
        <f>IF(A2084="","",MONTH(A2084))</f>
        <v/>
      </c>
      <c r="M2084" s="26">
        <f>IF(A2084="","",YEAR(A2084))</f>
        <v/>
      </c>
      <c r="N2084" s="26">
        <f>IF(A2084="","",CHOOSE(WEEKDAY(A2084,2),"Segunda","Terça","Quarta","Quinta","Sexta","Sábado","Domingo"))</f>
        <v/>
      </c>
      <c r="O2084" s="26">
        <f>IF(B2084="","",IF(B2084&lt;TIME(12,0,0),"Manhã",IF(B2084&lt;TIME(18,0,0),"Tarde","Noite")))</f>
        <v/>
      </c>
      <c r="P2084" s="32">
        <f>IF(G2084="","",IFERROR(INDEX(Config!$I$5:$I$16,MATCH(G2084,Config!$H$5:$H$16,0)),0))</f>
        <v/>
      </c>
      <c r="Q2084" s="30">
        <f>IF(OR(H2084&lt;&gt;"Realizado",P2084="",P2084=0),"",A2084+P2084)</f>
        <v/>
      </c>
      <c r="R2084" s="26">
        <f>IF(Q2084="","",IF(COUNTIFS($E$5:$E$3004,E2084,$A$5:$A$3004,"&gt;"&amp;A2084,$H$5:$H$3004,"&lt;&gt;Falta",$H$5:$H$3004,"&lt;&gt;Cancelado",$H$5:$H$3004,"&lt;&gt;Remarcado")&gt;0,"Sim","Não"))</f>
        <v/>
      </c>
      <c r="S2084" s="32">
        <f>IF(R2084&lt;&gt;"Não","",IF(Q2084+Config!$B$9&lt;=Config!$B$8,Config!$B$8-Q2084,""))</f>
        <v/>
      </c>
      <c r="T2084" s="26">
        <f>IF(S2084="","","Sim")</f>
        <v/>
      </c>
      <c r="U2084" s="41">
        <f>IF(T2084="Sim",S2084+ROW()/100000,0)</f>
        <v>0</v>
      </c>
      <c r="V2084" s="41">
        <f>IF(AND(H2084="Falta",L2084=Config!$B$7,M2084=Config!$B$5,COUNTIFS($E$5:E2084,E2084,$H$5:H2084,"Falta",$L$5:L2084,Config!$B$7,$M$5:M2084,Config!$B$5)=1),COUNTIFS($E$5:$E$3004,E2084,$H$5:$H$3004,"Falta",$L$5:$L$3004,Config!$B$7,$M$5:$M$3004,Config!$B$5)*1000-ROW()/100000,0)</f>
        <v>0</v>
      </c>
    </row>
    <row r="2085">
      <c r="A2085" s="39" t="n"/>
      <c r="B2085" s="40" t="n"/>
      <c r="C2085" s="35" t="n"/>
      <c r="D2085" s="35" t="n"/>
      <c r="E2085" s="34" t="n"/>
      <c r="F2085" s="35" t="n"/>
      <c r="G2085" s="35" t="n"/>
      <c r="H2085" s="35" t="n"/>
      <c r="I2085" s="35" t="n"/>
      <c r="J2085" s="35" t="n"/>
      <c r="K2085" s="34" t="n"/>
      <c r="L2085" s="26">
        <f>IF(A2085="","",MONTH(A2085))</f>
        <v/>
      </c>
      <c r="M2085" s="26">
        <f>IF(A2085="","",YEAR(A2085))</f>
        <v/>
      </c>
      <c r="N2085" s="26">
        <f>IF(A2085="","",CHOOSE(WEEKDAY(A2085,2),"Segunda","Terça","Quarta","Quinta","Sexta","Sábado","Domingo"))</f>
        <v/>
      </c>
      <c r="O2085" s="26">
        <f>IF(B2085="","",IF(B2085&lt;TIME(12,0,0),"Manhã",IF(B2085&lt;TIME(18,0,0),"Tarde","Noite")))</f>
        <v/>
      </c>
      <c r="P2085" s="32">
        <f>IF(G2085="","",IFERROR(INDEX(Config!$I$5:$I$16,MATCH(G2085,Config!$H$5:$H$16,0)),0))</f>
        <v/>
      </c>
      <c r="Q2085" s="30">
        <f>IF(OR(H2085&lt;&gt;"Realizado",P2085="",P2085=0),"",A2085+P2085)</f>
        <v/>
      </c>
      <c r="R2085" s="26">
        <f>IF(Q2085="","",IF(COUNTIFS($E$5:$E$3004,E2085,$A$5:$A$3004,"&gt;"&amp;A2085,$H$5:$H$3004,"&lt;&gt;Falta",$H$5:$H$3004,"&lt;&gt;Cancelado",$H$5:$H$3004,"&lt;&gt;Remarcado")&gt;0,"Sim","Não"))</f>
        <v/>
      </c>
      <c r="S2085" s="32">
        <f>IF(R2085&lt;&gt;"Não","",IF(Q2085+Config!$B$9&lt;=Config!$B$8,Config!$B$8-Q2085,""))</f>
        <v/>
      </c>
      <c r="T2085" s="26">
        <f>IF(S2085="","","Sim")</f>
        <v/>
      </c>
      <c r="U2085" s="41">
        <f>IF(T2085="Sim",S2085+ROW()/100000,0)</f>
        <v>0</v>
      </c>
      <c r="V2085" s="41">
        <f>IF(AND(H2085="Falta",L2085=Config!$B$7,M2085=Config!$B$5,COUNTIFS($E$5:E2085,E2085,$H$5:H2085,"Falta",$L$5:L2085,Config!$B$7,$M$5:M2085,Config!$B$5)=1),COUNTIFS($E$5:$E$3004,E2085,$H$5:$H$3004,"Falta",$L$5:$L$3004,Config!$B$7,$M$5:$M$3004,Config!$B$5)*1000-ROW()/100000,0)</f>
        <v>0</v>
      </c>
    </row>
    <row r="2086">
      <c r="A2086" s="39" t="n"/>
      <c r="B2086" s="40" t="n"/>
      <c r="C2086" s="35" t="n"/>
      <c r="D2086" s="35" t="n"/>
      <c r="E2086" s="34" t="n"/>
      <c r="F2086" s="35" t="n"/>
      <c r="G2086" s="35" t="n"/>
      <c r="H2086" s="35" t="n"/>
      <c r="I2086" s="35" t="n"/>
      <c r="J2086" s="35" t="n"/>
      <c r="K2086" s="34" t="n"/>
      <c r="L2086" s="26">
        <f>IF(A2086="","",MONTH(A2086))</f>
        <v/>
      </c>
      <c r="M2086" s="26">
        <f>IF(A2086="","",YEAR(A2086))</f>
        <v/>
      </c>
      <c r="N2086" s="26">
        <f>IF(A2086="","",CHOOSE(WEEKDAY(A2086,2),"Segunda","Terça","Quarta","Quinta","Sexta","Sábado","Domingo"))</f>
        <v/>
      </c>
      <c r="O2086" s="26">
        <f>IF(B2086="","",IF(B2086&lt;TIME(12,0,0),"Manhã",IF(B2086&lt;TIME(18,0,0),"Tarde","Noite")))</f>
        <v/>
      </c>
      <c r="P2086" s="32">
        <f>IF(G2086="","",IFERROR(INDEX(Config!$I$5:$I$16,MATCH(G2086,Config!$H$5:$H$16,0)),0))</f>
        <v/>
      </c>
      <c r="Q2086" s="30">
        <f>IF(OR(H2086&lt;&gt;"Realizado",P2086="",P2086=0),"",A2086+P2086)</f>
        <v/>
      </c>
      <c r="R2086" s="26">
        <f>IF(Q2086="","",IF(COUNTIFS($E$5:$E$3004,E2086,$A$5:$A$3004,"&gt;"&amp;A2086,$H$5:$H$3004,"&lt;&gt;Falta",$H$5:$H$3004,"&lt;&gt;Cancelado",$H$5:$H$3004,"&lt;&gt;Remarcado")&gt;0,"Sim","Não"))</f>
        <v/>
      </c>
      <c r="S2086" s="32">
        <f>IF(R2086&lt;&gt;"Não","",IF(Q2086+Config!$B$9&lt;=Config!$B$8,Config!$B$8-Q2086,""))</f>
        <v/>
      </c>
      <c r="T2086" s="26">
        <f>IF(S2086="","","Sim")</f>
        <v/>
      </c>
      <c r="U2086" s="41">
        <f>IF(T2086="Sim",S2086+ROW()/100000,0)</f>
        <v>0</v>
      </c>
      <c r="V2086" s="41">
        <f>IF(AND(H2086="Falta",L2086=Config!$B$7,M2086=Config!$B$5,COUNTIFS($E$5:E2086,E2086,$H$5:H2086,"Falta",$L$5:L2086,Config!$B$7,$M$5:M2086,Config!$B$5)=1),COUNTIFS($E$5:$E$3004,E2086,$H$5:$H$3004,"Falta",$L$5:$L$3004,Config!$B$7,$M$5:$M$3004,Config!$B$5)*1000-ROW()/100000,0)</f>
        <v>0</v>
      </c>
    </row>
    <row r="2087">
      <c r="A2087" s="39" t="n"/>
      <c r="B2087" s="40" t="n"/>
      <c r="C2087" s="35" t="n"/>
      <c r="D2087" s="35" t="n"/>
      <c r="E2087" s="34" t="n"/>
      <c r="F2087" s="35" t="n"/>
      <c r="G2087" s="35" t="n"/>
      <c r="H2087" s="35" t="n"/>
      <c r="I2087" s="35" t="n"/>
      <c r="J2087" s="35" t="n"/>
      <c r="K2087" s="34" t="n"/>
      <c r="L2087" s="26">
        <f>IF(A2087="","",MONTH(A2087))</f>
        <v/>
      </c>
      <c r="M2087" s="26">
        <f>IF(A2087="","",YEAR(A2087))</f>
        <v/>
      </c>
      <c r="N2087" s="26">
        <f>IF(A2087="","",CHOOSE(WEEKDAY(A2087,2),"Segunda","Terça","Quarta","Quinta","Sexta","Sábado","Domingo"))</f>
        <v/>
      </c>
      <c r="O2087" s="26">
        <f>IF(B2087="","",IF(B2087&lt;TIME(12,0,0),"Manhã",IF(B2087&lt;TIME(18,0,0),"Tarde","Noite")))</f>
        <v/>
      </c>
      <c r="P2087" s="32">
        <f>IF(G2087="","",IFERROR(INDEX(Config!$I$5:$I$16,MATCH(G2087,Config!$H$5:$H$16,0)),0))</f>
        <v/>
      </c>
      <c r="Q2087" s="30">
        <f>IF(OR(H2087&lt;&gt;"Realizado",P2087="",P2087=0),"",A2087+P2087)</f>
        <v/>
      </c>
      <c r="R2087" s="26">
        <f>IF(Q2087="","",IF(COUNTIFS($E$5:$E$3004,E2087,$A$5:$A$3004,"&gt;"&amp;A2087,$H$5:$H$3004,"&lt;&gt;Falta",$H$5:$H$3004,"&lt;&gt;Cancelado",$H$5:$H$3004,"&lt;&gt;Remarcado")&gt;0,"Sim","Não"))</f>
        <v/>
      </c>
      <c r="S2087" s="32">
        <f>IF(R2087&lt;&gt;"Não","",IF(Q2087+Config!$B$9&lt;=Config!$B$8,Config!$B$8-Q2087,""))</f>
        <v/>
      </c>
      <c r="T2087" s="26">
        <f>IF(S2087="","","Sim")</f>
        <v/>
      </c>
      <c r="U2087" s="41">
        <f>IF(T2087="Sim",S2087+ROW()/100000,0)</f>
        <v>0</v>
      </c>
      <c r="V2087" s="41">
        <f>IF(AND(H2087="Falta",L2087=Config!$B$7,M2087=Config!$B$5,COUNTIFS($E$5:E2087,E2087,$H$5:H2087,"Falta",$L$5:L2087,Config!$B$7,$M$5:M2087,Config!$B$5)=1),COUNTIFS($E$5:$E$3004,E2087,$H$5:$H$3004,"Falta",$L$5:$L$3004,Config!$B$7,$M$5:$M$3004,Config!$B$5)*1000-ROW()/100000,0)</f>
        <v>0</v>
      </c>
    </row>
    <row r="2088">
      <c r="A2088" s="39" t="n"/>
      <c r="B2088" s="40" t="n"/>
      <c r="C2088" s="35" t="n"/>
      <c r="D2088" s="35" t="n"/>
      <c r="E2088" s="34" t="n"/>
      <c r="F2088" s="35" t="n"/>
      <c r="G2088" s="35" t="n"/>
      <c r="H2088" s="35" t="n"/>
      <c r="I2088" s="35" t="n"/>
      <c r="J2088" s="35" t="n"/>
      <c r="K2088" s="34" t="n"/>
      <c r="L2088" s="26">
        <f>IF(A2088="","",MONTH(A2088))</f>
        <v/>
      </c>
      <c r="M2088" s="26">
        <f>IF(A2088="","",YEAR(A2088))</f>
        <v/>
      </c>
      <c r="N2088" s="26">
        <f>IF(A2088="","",CHOOSE(WEEKDAY(A2088,2),"Segunda","Terça","Quarta","Quinta","Sexta","Sábado","Domingo"))</f>
        <v/>
      </c>
      <c r="O2088" s="26">
        <f>IF(B2088="","",IF(B2088&lt;TIME(12,0,0),"Manhã",IF(B2088&lt;TIME(18,0,0),"Tarde","Noite")))</f>
        <v/>
      </c>
      <c r="P2088" s="32">
        <f>IF(G2088="","",IFERROR(INDEX(Config!$I$5:$I$16,MATCH(G2088,Config!$H$5:$H$16,0)),0))</f>
        <v/>
      </c>
      <c r="Q2088" s="30">
        <f>IF(OR(H2088&lt;&gt;"Realizado",P2088="",P2088=0),"",A2088+P2088)</f>
        <v/>
      </c>
      <c r="R2088" s="26">
        <f>IF(Q2088="","",IF(COUNTIFS($E$5:$E$3004,E2088,$A$5:$A$3004,"&gt;"&amp;A2088,$H$5:$H$3004,"&lt;&gt;Falta",$H$5:$H$3004,"&lt;&gt;Cancelado",$H$5:$H$3004,"&lt;&gt;Remarcado")&gt;0,"Sim","Não"))</f>
        <v/>
      </c>
      <c r="S2088" s="32">
        <f>IF(R2088&lt;&gt;"Não","",IF(Q2088+Config!$B$9&lt;=Config!$B$8,Config!$B$8-Q2088,""))</f>
        <v/>
      </c>
      <c r="T2088" s="26">
        <f>IF(S2088="","","Sim")</f>
        <v/>
      </c>
      <c r="U2088" s="41">
        <f>IF(T2088="Sim",S2088+ROW()/100000,0)</f>
        <v>0</v>
      </c>
      <c r="V2088" s="41">
        <f>IF(AND(H2088="Falta",L2088=Config!$B$7,M2088=Config!$B$5,COUNTIFS($E$5:E2088,E2088,$H$5:H2088,"Falta",$L$5:L2088,Config!$B$7,$M$5:M2088,Config!$B$5)=1),COUNTIFS($E$5:$E$3004,E2088,$H$5:$H$3004,"Falta",$L$5:$L$3004,Config!$B$7,$M$5:$M$3004,Config!$B$5)*1000-ROW()/100000,0)</f>
        <v>0</v>
      </c>
    </row>
    <row r="2089">
      <c r="A2089" s="39" t="n"/>
      <c r="B2089" s="40" t="n"/>
      <c r="C2089" s="35" t="n"/>
      <c r="D2089" s="35" t="n"/>
      <c r="E2089" s="34" t="n"/>
      <c r="F2089" s="35" t="n"/>
      <c r="G2089" s="35" t="n"/>
      <c r="H2089" s="35" t="n"/>
      <c r="I2089" s="35" t="n"/>
      <c r="J2089" s="35" t="n"/>
      <c r="K2089" s="34" t="n"/>
      <c r="L2089" s="26">
        <f>IF(A2089="","",MONTH(A2089))</f>
        <v/>
      </c>
      <c r="M2089" s="26">
        <f>IF(A2089="","",YEAR(A2089))</f>
        <v/>
      </c>
      <c r="N2089" s="26">
        <f>IF(A2089="","",CHOOSE(WEEKDAY(A2089,2),"Segunda","Terça","Quarta","Quinta","Sexta","Sábado","Domingo"))</f>
        <v/>
      </c>
      <c r="O2089" s="26">
        <f>IF(B2089="","",IF(B2089&lt;TIME(12,0,0),"Manhã",IF(B2089&lt;TIME(18,0,0),"Tarde","Noite")))</f>
        <v/>
      </c>
      <c r="P2089" s="32">
        <f>IF(G2089="","",IFERROR(INDEX(Config!$I$5:$I$16,MATCH(G2089,Config!$H$5:$H$16,0)),0))</f>
        <v/>
      </c>
      <c r="Q2089" s="30">
        <f>IF(OR(H2089&lt;&gt;"Realizado",P2089="",P2089=0),"",A2089+P2089)</f>
        <v/>
      </c>
      <c r="R2089" s="26">
        <f>IF(Q2089="","",IF(COUNTIFS($E$5:$E$3004,E2089,$A$5:$A$3004,"&gt;"&amp;A2089,$H$5:$H$3004,"&lt;&gt;Falta",$H$5:$H$3004,"&lt;&gt;Cancelado",$H$5:$H$3004,"&lt;&gt;Remarcado")&gt;0,"Sim","Não"))</f>
        <v/>
      </c>
      <c r="S2089" s="32">
        <f>IF(R2089&lt;&gt;"Não","",IF(Q2089+Config!$B$9&lt;=Config!$B$8,Config!$B$8-Q2089,""))</f>
        <v/>
      </c>
      <c r="T2089" s="26">
        <f>IF(S2089="","","Sim")</f>
        <v/>
      </c>
      <c r="U2089" s="41">
        <f>IF(T2089="Sim",S2089+ROW()/100000,0)</f>
        <v>0</v>
      </c>
      <c r="V2089" s="41">
        <f>IF(AND(H2089="Falta",L2089=Config!$B$7,M2089=Config!$B$5,COUNTIFS($E$5:E2089,E2089,$H$5:H2089,"Falta",$L$5:L2089,Config!$B$7,$M$5:M2089,Config!$B$5)=1),COUNTIFS($E$5:$E$3004,E2089,$H$5:$H$3004,"Falta",$L$5:$L$3004,Config!$B$7,$M$5:$M$3004,Config!$B$5)*1000-ROW()/100000,0)</f>
        <v>0</v>
      </c>
    </row>
    <row r="2090">
      <c r="A2090" s="39" t="n"/>
      <c r="B2090" s="40" t="n"/>
      <c r="C2090" s="35" t="n"/>
      <c r="D2090" s="35" t="n"/>
      <c r="E2090" s="34" t="n"/>
      <c r="F2090" s="35" t="n"/>
      <c r="G2090" s="35" t="n"/>
      <c r="H2090" s="35" t="n"/>
      <c r="I2090" s="35" t="n"/>
      <c r="J2090" s="35" t="n"/>
      <c r="K2090" s="34" t="n"/>
      <c r="L2090" s="26">
        <f>IF(A2090="","",MONTH(A2090))</f>
        <v/>
      </c>
      <c r="M2090" s="26">
        <f>IF(A2090="","",YEAR(A2090))</f>
        <v/>
      </c>
      <c r="N2090" s="26">
        <f>IF(A2090="","",CHOOSE(WEEKDAY(A2090,2),"Segunda","Terça","Quarta","Quinta","Sexta","Sábado","Domingo"))</f>
        <v/>
      </c>
      <c r="O2090" s="26">
        <f>IF(B2090="","",IF(B2090&lt;TIME(12,0,0),"Manhã",IF(B2090&lt;TIME(18,0,0),"Tarde","Noite")))</f>
        <v/>
      </c>
      <c r="P2090" s="32">
        <f>IF(G2090="","",IFERROR(INDEX(Config!$I$5:$I$16,MATCH(G2090,Config!$H$5:$H$16,0)),0))</f>
        <v/>
      </c>
      <c r="Q2090" s="30">
        <f>IF(OR(H2090&lt;&gt;"Realizado",P2090="",P2090=0),"",A2090+P2090)</f>
        <v/>
      </c>
      <c r="R2090" s="26">
        <f>IF(Q2090="","",IF(COUNTIFS($E$5:$E$3004,E2090,$A$5:$A$3004,"&gt;"&amp;A2090,$H$5:$H$3004,"&lt;&gt;Falta",$H$5:$H$3004,"&lt;&gt;Cancelado",$H$5:$H$3004,"&lt;&gt;Remarcado")&gt;0,"Sim","Não"))</f>
        <v/>
      </c>
      <c r="S2090" s="32">
        <f>IF(R2090&lt;&gt;"Não","",IF(Q2090+Config!$B$9&lt;=Config!$B$8,Config!$B$8-Q2090,""))</f>
        <v/>
      </c>
      <c r="T2090" s="26">
        <f>IF(S2090="","","Sim")</f>
        <v/>
      </c>
      <c r="U2090" s="41">
        <f>IF(T2090="Sim",S2090+ROW()/100000,0)</f>
        <v>0</v>
      </c>
      <c r="V2090" s="41">
        <f>IF(AND(H2090="Falta",L2090=Config!$B$7,M2090=Config!$B$5,COUNTIFS($E$5:E2090,E2090,$H$5:H2090,"Falta",$L$5:L2090,Config!$B$7,$M$5:M2090,Config!$B$5)=1),COUNTIFS($E$5:$E$3004,E2090,$H$5:$H$3004,"Falta",$L$5:$L$3004,Config!$B$7,$M$5:$M$3004,Config!$B$5)*1000-ROW()/100000,0)</f>
        <v>0</v>
      </c>
    </row>
    <row r="2091">
      <c r="A2091" s="39" t="n"/>
      <c r="B2091" s="40" t="n"/>
      <c r="C2091" s="35" t="n"/>
      <c r="D2091" s="35" t="n"/>
      <c r="E2091" s="34" t="n"/>
      <c r="F2091" s="35" t="n"/>
      <c r="G2091" s="35" t="n"/>
      <c r="H2091" s="35" t="n"/>
      <c r="I2091" s="35" t="n"/>
      <c r="J2091" s="35" t="n"/>
      <c r="K2091" s="34" t="n"/>
      <c r="L2091" s="26">
        <f>IF(A2091="","",MONTH(A2091))</f>
        <v/>
      </c>
      <c r="M2091" s="26">
        <f>IF(A2091="","",YEAR(A2091))</f>
        <v/>
      </c>
      <c r="N2091" s="26">
        <f>IF(A2091="","",CHOOSE(WEEKDAY(A2091,2),"Segunda","Terça","Quarta","Quinta","Sexta","Sábado","Domingo"))</f>
        <v/>
      </c>
      <c r="O2091" s="26">
        <f>IF(B2091="","",IF(B2091&lt;TIME(12,0,0),"Manhã",IF(B2091&lt;TIME(18,0,0),"Tarde","Noite")))</f>
        <v/>
      </c>
      <c r="P2091" s="32">
        <f>IF(G2091="","",IFERROR(INDEX(Config!$I$5:$I$16,MATCH(G2091,Config!$H$5:$H$16,0)),0))</f>
        <v/>
      </c>
      <c r="Q2091" s="30">
        <f>IF(OR(H2091&lt;&gt;"Realizado",P2091="",P2091=0),"",A2091+P2091)</f>
        <v/>
      </c>
      <c r="R2091" s="26">
        <f>IF(Q2091="","",IF(COUNTIFS($E$5:$E$3004,E2091,$A$5:$A$3004,"&gt;"&amp;A2091,$H$5:$H$3004,"&lt;&gt;Falta",$H$5:$H$3004,"&lt;&gt;Cancelado",$H$5:$H$3004,"&lt;&gt;Remarcado")&gt;0,"Sim","Não"))</f>
        <v/>
      </c>
      <c r="S2091" s="32">
        <f>IF(R2091&lt;&gt;"Não","",IF(Q2091+Config!$B$9&lt;=Config!$B$8,Config!$B$8-Q2091,""))</f>
        <v/>
      </c>
      <c r="T2091" s="26">
        <f>IF(S2091="","","Sim")</f>
        <v/>
      </c>
      <c r="U2091" s="41">
        <f>IF(T2091="Sim",S2091+ROW()/100000,0)</f>
        <v>0</v>
      </c>
      <c r="V2091" s="41">
        <f>IF(AND(H2091="Falta",L2091=Config!$B$7,M2091=Config!$B$5,COUNTIFS($E$5:E2091,E2091,$H$5:H2091,"Falta",$L$5:L2091,Config!$B$7,$M$5:M2091,Config!$B$5)=1),COUNTIFS($E$5:$E$3004,E2091,$H$5:$H$3004,"Falta",$L$5:$L$3004,Config!$B$7,$M$5:$M$3004,Config!$B$5)*1000-ROW()/100000,0)</f>
        <v>0</v>
      </c>
    </row>
    <row r="2092">
      <c r="A2092" s="39" t="n"/>
      <c r="B2092" s="40" t="n"/>
      <c r="C2092" s="35" t="n"/>
      <c r="D2092" s="35" t="n"/>
      <c r="E2092" s="34" t="n"/>
      <c r="F2092" s="35" t="n"/>
      <c r="G2092" s="35" t="n"/>
      <c r="H2092" s="35" t="n"/>
      <c r="I2092" s="35" t="n"/>
      <c r="J2092" s="35" t="n"/>
      <c r="K2092" s="34" t="n"/>
      <c r="L2092" s="26">
        <f>IF(A2092="","",MONTH(A2092))</f>
        <v/>
      </c>
      <c r="M2092" s="26">
        <f>IF(A2092="","",YEAR(A2092))</f>
        <v/>
      </c>
      <c r="N2092" s="26">
        <f>IF(A2092="","",CHOOSE(WEEKDAY(A2092,2),"Segunda","Terça","Quarta","Quinta","Sexta","Sábado","Domingo"))</f>
        <v/>
      </c>
      <c r="O2092" s="26">
        <f>IF(B2092="","",IF(B2092&lt;TIME(12,0,0),"Manhã",IF(B2092&lt;TIME(18,0,0),"Tarde","Noite")))</f>
        <v/>
      </c>
      <c r="P2092" s="32">
        <f>IF(G2092="","",IFERROR(INDEX(Config!$I$5:$I$16,MATCH(G2092,Config!$H$5:$H$16,0)),0))</f>
        <v/>
      </c>
      <c r="Q2092" s="30">
        <f>IF(OR(H2092&lt;&gt;"Realizado",P2092="",P2092=0),"",A2092+P2092)</f>
        <v/>
      </c>
      <c r="R2092" s="26">
        <f>IF(Q2092="","",IF(COUNTIFS($E$5:$E$3004,E2092,$A$5:$A$3004,"&gt;"&amp;A2092,$H$5:$H$3004,"&lt;&gt;Falta",$H$5:$H$3004,"&lt;&gt;Cancelado",$H$5:$H$3004,"&lt;&gt;Remarcado")&gt;0,"Sim","Não"))</f>
        <v/>
      </c>
      <c r="S2092" s="32">
        <f>IF(R2092&lt;&gt;"Não","",IF(Q2092+Config!$B$9&lt;=Config!$B$8,Config!$B$8-Q2092,""))</f>
        <v/>
      </c>
      <c r="T2092" s="26">
        <f>IF(S2092="","","Sim")</f>
        <v/>
      </c>
      <c r="U2092" s="41">
        <f>IF(T2092="Sim",S2092+ROW()/100000,0)</f>
        <v>0</v>
      </c>
      <c r="V2092" s="41">
        <f>IF(AND(H2092="Falta",L2092=Config!$B$7,M2092=Config!$B$5,COUNTIFS($E$5:E2092,E2092,$H$5:H2092,"Falta",$L$5:L2092,Config!$B$7,$M$5:M2092,Config!$B$5)=1),COUNTIFS($E$5:$E$3004,E2092,$H$5:$H$3004,"Falta",$L$5:$L$3004,Config!$B$7,$M$5:$M$3004,Config!$B$5)*1000-ROW()/100000,0)</f>
        <v>0</v>
      </c>
    </row>
    <row r="2093">
      <c r="A2093" s="39" t="n"/>
      <c r="B2093" s="40" t="n"/>
      <c r="C2093" s="35" t="n"/>
      <c r="D2093" s="35" t="n"/>
      <c r="E2093" s="34" t="n"/>
      <c r="F2093" s="35" t="n"/>
      <c r="G2093" s="35" t="n"/>
      <c r="H2093" s="35" t="n"/>
      <c r="I2093" s="35" t="n"/>
      <c r="J2093" s="35" t="n"/>
      <c r="K2093" s="34" t="n"/>
      <c r="L2093" s="26">
        <f>IF(A2093="","",MONTH(A2093))</f>
        <v/>
      </c>
      <c r="M2093" s="26">
        <f>IF(A2093="","",YEAR(A2093))</f>
        <v/>
      </c>
      <c r="N2093" s="26">
        <f>IF(A2093="","",CHOOSE(WEEKDAY(A2093,2),"Segunda","Terça","Quarta","Quinta","Sexta","Sábado","Domingo"))</f>
        <v/>
      </c>
      <c r="O2093" s="26">
        <f>IF(B2093="","",IF(B2093&lt;TIME(12,0,0),"Manhã",IF(B2093&lt;TIME(18,0,0),"Tarde","Noite")))</f>
        <v/>
      </c>
      <c r="P2093" s="32">
        <f>IF(G2093="","",IFERROR(INDEX(Config!$I$5:$I$16,MATCH(G2093,Config!$H$5:$H$16,0)),0))</f>
        <v/>
      </c>
      <c r="Q2093" s="30">
        <f>IF(OR(H2093&lt;&gt;"Realizado",P2093="",P2093=0),"",A2093+P2093)</f>
        <v/>
      </c>
      <c r="R2093" s="26">
        <f>IF(Q2093="","",IF(COUNTIFS($E$5:$E$3004,E2093,$A$5:$A$3004,"&gt;"&amp;A2093,$H$5:$H$3004,"&lt;&gt;Falta",$H$5:$H$3004,"&lt;&gt;Cancelado",$H$5:$H$3004,"&lt;&gt;Remarcado")&gt;0,"Sim","Não"))</f>
        <v/>
      </c>
      <c r="S2093" s="32">
        <f>IF(R2093&lt;&gt;"Não","",IF(Q2093+Config!$B$9&lt;=Config!$B$8,Config!$B$8-Q2093,""))</f>
        <v/>
      </c>
      <c r="T2093" s="26">
        <f>IF(S2093="","","Sim")</f>
        <v/>
      </c>
      <c r="U2093" s="41">
        <f>IF(T2093="Sim",S2093+ROW()/100000,0)</f>
        <v>0</v>
      </c>
      <c r="V2093" s="41">
        <f>IF(AND(H2093="Falta",L2093=Config!$B$7,M2093=Config!$B$5,COUNTIFS($E$5:E2093,E2093,$H$5:H2093,"Falta",$L$5:L2093,Config!$B$7,$M$5:M2093,Config!$B$5)=1),COUNTIFS($E$5:$E$3004,E2093,$H$5:$H$3004,"Falta",$L$5:$L$3004,Config!$B$7,$M$5:$M$3004,Config!$B$5)*1000-ROW()/100000,0)</f>
        <v>0</v>
      </c>
    </row>
    <row r="2094">
      <c r="A2094" s="39" t="n"/>
      <c r="B2094" s="40" t="n"/>
      <c r="C2094" s="35" t="n"/>
      <c r="D2094" s="35" t="n"/>
      <c r="E2094" s="34" t="n"/>
      <c r="F2094" s="35" t="n"/>
      <c r="G2094" s="35" t="n"/>
      <c r="H2094" s="35" t="n"/>
      <c r="I2094" s="35" t="n"/>
      <c r="J2094" s="35" t="n"/>
      <c r="K2094" s="34" t="n"/>
      <c r="L2094" s="26">
        <f>IF(A2094="","",MONTH(A2094))</f>
        <v/>
      </c>
      <c r="M2094" s="26">
        <f>IF(A2094="","",YEAR(A2094))</f>
        <v/>
      </c>
      <c r="N2094" s="26">
        <f>IF(A2094="","",CHOOSE(WEEKDAY(A2094,2),"Segunda","Terça","Quarta","Quinta","Sexta","Sábado","Domingo"))</f>
        <v/>
      </c>
      <c r="O2094" s="26">
        <f>IF(B2094="","",IF(B2094&lt;TIME(12,0,0),"Manhã",IF(B2094&lt;TIME(18,0,0),"Tarde","Noite")))</f>
        <v/>
      </c>
      <c r="P2094" s="32">
        <f>IF(G2094="","",IFERROR(INDEX(Config!$I$5:$I$16,MATCH(G2094,Config!$H$5:$H$16,0)),0))</f>
        <v/>
      </c>
      <c r="Q2094" s="30">
        <f>IF(OR(H2094&lt;&gt;"Realizado",P2094="",P2094=0),"",A2094+P2094)</f>
        <v/>
      </c>
      <c r="R2094" s="26">
        <f>IF(Q2094="","",IF(COUNTIFS($E$5:$E$3004,E2094,$A$5:$A$3004,"&gt;"&amp;A2094,$H$5:$H$3004,"&lt;&gt;Falta",$H$5:$H$3004,"&lt;&gt;Cancelado",$H$5:$H$3004,"&lt;&gt;Remarcado")&gt;0,"Sim","Não"))</f>
        <v/>
      </c>
      <c r="S2094" s="32">
        <f>IF(R2094&lt;&gt;"Não","",IF(Q2094+Config!$B$9&lt;=Config!$B$8,Config!$B$8-Q2094,""))</f>
        <v/>
      </c>
      <c r="T2094" s="26">
        <f>IF(S2094="","","Sim")</f>
        <v/>
      </c>
      <c r="U2094" s="41">
        <f>IF(T2094="Sim",S2094+ROW()/100000,0)</f>
        <v>0</v>
      </c>
      <c r="V2094" s="41">
        <f>IF(AND(H2094="Falta",L2094=Config!$B$7,M2094=Config!$B$5,COUNTIFS($E$5:E2094,E2094,$H$5:H2094,"Falta",$L$5:L2094,Config!$B$7,$M$5:M2094,Config!$B$5)=1),COUNTIFS($E$5:$E$3004,E2094,$H$5:$H$3004,"Falta",$L$5:$L$3004,Config!$B$7,$M$5:$M$3004,Config!$B$5)*1000-ROW()/100000,0)</f>
        <v>0</v>
      </c>
    </row>
    <row r="2095">
      <c r="A2095" s="39" t="n"/>
      <c r="B2095" s="40" t="n"/>
      <c r="C2095" s="35" t="n"/>
      <c r="D2095" s="35" t="n"/>
      <c r="E2095" s="34" t="n"/>
      <c r="F2095" s="35" t="n"/>
      <c r="G2095" s="35" t="n"/>
      <c r="H2095" s="35" t="n"/>
      <c r="I2095" s="35" t="n"/>
      <c r="J2095" s="35" t="n"/>
      <c r="K2095" s="34" t="n"/>
      <c r="L2095" s="26">
        <f>IF(A2095="","",MONTH(A2095))</f>
        <v/>
      </c>
      <c r="M2095" s="26">
        <f>IF(A2095="","",YEAR(A2095))</f>
        <v/>
      </c>
      <c r="N2095" s="26">
        <f>IF(A2095="","",CHOOSE(WEEKDAY(A2095,2),"Segunda","Terça","Quarta","Quinta","Sexta","Sábado","Domingo"))</f>
        <v/>
      </c>
      <c r="O2095" s="26">
        <f>IF(B2095="","",IF(B2095&lt;TIME(12,0,0),"Manhã",IF(B2095&lt;TIME(18,0,0),"Tarde","Noite")))</f>
        <v/>
      </c>
      <c r="P2095" s="32">
        <f>IF(G2095="","",IFERROR(INDEX(Config!$I$5:$I$16,MATCH(G2095,Config!$H$5:$H$16,0)),0))</f>
        <v/>
      </c>
      <c r="Q2095" s="30">
        <f>IF(OR(H2095&lt;&gt;"Realizado",P2095="",P2095=0),"",A2095+P2095)</f>
        <v/>
      </c>
      <c r="R2095" s="26">
        <f>IF(Q2095="","",IF(COUNTIFS($E$5:$E$3004,E2095,$A$5:$A$3004,"&gt;"&amp;A2095,$H$5:$H$3004,"&lt;&gt;Falta",$H$5:$H$3004,"&lt;&gt;Cancelado",$H$5:$H$3004,"&lt;&gt;Remarcado")&gt;0,"Sim","Não"))</f>
        <v/>
      </c>
      <c r="S2095" s="32">
        <f>IF(R2095&lt;&gt;"Não","",IF(Q2095+Config!$B$9&lt;=Config!$B$8,Config!$B$8-Q2095,""))</f>
        <v/>
      </c>
      <c r="T2095" s="26">
        <f>IF(S2095="","","Sim")</f>
        <v/>
      </c>
      <c r="U2095" s="41">
        <f>IF(T2095="Sim",S2095+ROW()/100000,0)</f>
        <v>0</v>
      </c>
      <c r="V2095" s="41">
        <f>IF(AND(H2095="Falta",L2095=Config!$B$7,M2095=Config!$B$5,COUNTIFS($E$5:E2095,E2095,$H$5:H2095,"Falta",$L$5:L2095,Config!$B$7,$M$5:M2095,Config!$B$5)=1),COUNTIFS($E$5:$E$3004,E2095,$H$5:$H$3004,"Falta",$L$5:$L$3004,Config!$B$7,$M$5:$M$3004,Config!$B$5)*1000-ROW()/100000,0)</f>
        <v>0</v>
      </c>
    </row>
    <row r="2096">
      <c r="A2096" s="39" t="n"/>
      <c r="B2096" s="40" t="n"/>
      <c r="C2096" s="35" t="n"/>
      <c r="D2096" s="35" t="n"/>
      <c r="E2096" s="34" t="n"/>
      <c r="F2096" s="35" t="n"/>
      <c r="G2096" s="35" t="n"/>
      <c r="H2096" s="35" t="n"/>
      <c r="I2096" s="35" t="n"/>
      <c r="J2096" s="35" t="n"/>
      <c r="K2096" s="34" t="n"/>
      <c r="L2096" s="26">
        <f>IF(A2096="","",MONTH(A2096))</f>
        <v/>
      </c>
      <c r="M2096" s="26">
        <f>IF(A2096="","",YEAR(A2096))</f>
        <v/>
      </c>
      <c r="N2096" s="26">
        <f>IF(A2096="","",CHOOSE(WEEKDAY(A2096,2),"Segunda","Terça","Quarta","Quinta","Sexta","Sábado","Domingo"))</f>
        <v/>
      </c>
      <c r="O2096" s="26">
        <f>IF(B2096="","",IF(B2096&lt;TIME(12,0,0),"Manhã",IF(B2096&lt;TIME(18,0,0),"Tarde","Noite")))</f>
        <v/>
      </c>
      <c r="P2096" s="32">
        <f>IF(G2096="","",IFERROR(INDEX(Config!$I$5:$I$16,MATCH(G2096,Config!$H$5:$H$16,0)),0))</f>
        <v/>
      </c>
      <c r="Q2096" s="30">
        <f>IF(OR(H2096&lt;&gt;"Realizado",P2096="",P2096=0),"",A2096+P2096)</f>
        <v/>
      </c>
      <c r="R2096" s="26">
        <f>IF(Q2096="","",IF(COUNTIFS($E$5:$E$3004,E2096,$A$5:$A$3004,"&gt;"&amp;A2096,$H$5:$H$3004,"&lt;&gt;Falta",$H$5:$H$3004,"&lt;&gt;Cancelado",$H$5:$H$3004,"&lt;&gt;Remarcado")&gt;0,"Sim","Não"))</f>
        <v/>
      </c>
      <c r="S2096" s="32">
        <f>IF(R2096&lt;&gt;"Não","",IF(Q2096+Config!$B$9&lt;=Config!$B$8,Config!$B$8-Q2096,""))</f>
        <v/>
      </c>
      <c r="T2096" s="26">
        <f>IF(S2096="","","Sim")</f>
        <v/>
      </c>
      <c r="U2096" s="41">
        <f>IF(T2096="Sim",S2096+ROW()/100000,0)</f>
        <v>0</v>
      </c>
      <c r="V2096" s="41">
        <f>IF(AND(H2096="Falta",L2096=Config!$B$7,M2096=Config!$B$5,COUNTIFS($E$5:E2096,E2096,$H$5:H2096,"Falta",$L$5:L2096,Config!$B$7,$M$5:M2096,Config!$B$5)=1),COUNTIFS($E$5:$E$3004,E2096,$H$5:$H$3004,"Falta",$L$5:$L$3004,Config!$B$7,$M$5:$M$3004,Config!$B$5)*1000-ROW()/100000,0)</f>
        <v>0</v>
      </c>
    </row>
    <row r="2097">
      <c r="A2097" s="39" t="n"/>
      <c r="B2097" s="40" t="n"/>
      <c r="C2097" s="35" t="n"/>
      <c r="D2097" s="35" t="n"/>
      <c r="E2097" s="34" t="n"/>
      <c r="F2097" s="35" t="n"/>
      <c r="G2097" s="35" t="n"/>
      <c r="H2097" s="35" t="n"/>
      <c r="I2097" s="35" t="n"/>
      <c r="J2097" s="35" t="n"/>
      <c r="K2097" s="34" t="n"/>
      <c r="L2097" s="26">
        <f>IF(A2097="","",MONTH(A2097))</f>
        <v/>
      </c>
      <c r="M2097" s="26">
        <f>IF(A2097="","",YEAR(A2097))</f>
        <v/>
      </c>
      <c r="N2097" s="26">
        <f>IF(A2097="","",CHOOSE(WEEKDAY(A2097,2),"Segunda","Terça","Quarta","Quinta","Sexta","Sábado","Domingo"))</f>
        <v/>
      </c>
      <c r="O2097" s="26">
        <f>IF(B2097="","",IF(B2097&lt;TIME(12,0,0),"Manhã",IF(B2097&lt;TIME(18,0,0),"Tarde","Noite")))</f>
        <v/>
      </c>
      <c r="P2097" s="32">
        <f>IF(G2097="","",IFERROR(INDEX(Config!$I$5:$I$16,MATCH(G2097,Config!$H$5:$H$16,0)),0))</f>
        <v/>
      </c>
      <c r="Q2097" s="30">
        <f>IF(OR(H2097&lt;&gt;"Realizado",P2097="",P2097=0),"",A2097+P2097)</f>
        <v/>
      </c>
      <c r="R2097" s="26">
        <f>IF(Q2097="","",IF(COUNTIFS($E$5:$E$3004,E2097,$A$5:$A$3004,"&gt;"&amp;A2097,$H$5:$H$3004,"&lt;&gt;Falta",$H$5:$H$3004,"&lt;&gt;Cancelado",$H$5:$H$3004,"&lt;&gt;Remarcado")&gt;0,"Sim","Não"))</f>
        <v/>
      </c>
      <c r="S2097" s="32">
        <f>IF(R2097&lt;&gt;"Não","",IF(Q2097+Config!$B$9&lt;=Config!$B$8,Config!$B$8-Q2097,""))</f>
        <v/>
      </c>
      <c r="T2097" s="26">
        <f>IF(S2097="","","Sim")</f>
        <v/>
      </c>
      <c r="U2097" s="41">
        <f>IF(T2097="Sim",S2097+ROW()/100000,0)</f>
        <v>0</v>
      </c>
      <c r="V2097" s="41">
        <f>IF(AND(H2097="Falta",L2097=Config!$B$7,M2097=Config!$B$5,COUNTIFS($E$5:E2097,E2097,$H$5:H2097,"Falta",$L$5:L2097,Config!$B$7,$M$5:M2097,Config!$B$5)=1),COUNTIFS($E$5:$E$3004,E2097,$H$5:$H$3004,"Falta",$L$5:$L$3004,Config!$B$7,$M$5:$M$3004,Config!$B$5)*1000-ROW()/100000,0)</f>
        <v>0</v>
      </c>
    </row>
    <row r="2098">
      <c r="A2098" s="39" t="n"/>
      <c r="B2098" s="40" t="n"/>
      <c r="C2098" s="35" t="n"/>
      <c r="D2098" s="35" t="n"/>
      <c r="E2098" s="34" t="n"/>
      <c r="F2098" s="35" t="n"/>
      <c r="G2098" s="35" t="n"/>
      <c r="H2098" s="35" t="n"/>
      <c r="I2098" s="35" t="n"/>
      <c r="J2098" s="35" t="n"/>
      <c r="K2098" s="34" t="n"/>
      <c r="L2098" s="26">
        <f>IF(A2098="","",MONTH(A2098))</f>
        <v/>
      </c>
      <c r="M2098" s="26">
        <f>IF(A2098="","",YEAR(A2098))</f>
        <v/>
      </c>
      <c r="N2098" s="26">
        <f>IF(A2098="","",CHOOSE(WEEKDAY(A2098,2),"Segunda","Terça","Quarta","Quinta","Sexta","Sábado","Domingo"))</f>
        <v/>
      </c>
      <c r="O2098" s="26">
        <f>IF(B2098="","",IF(B2098&lt;TIME(12,0,0),"Manhã",IF(B2098&lt;TIME(18,0,0),"Tarde","Noite")))</f>
        <v/>
      </c>
      <c r="P2098" s="32">
        <f>IF(G2098="","",IFERROR(INDEX(Config!$I$5:$I$16,MATCH(G2098,Config!$H$5:$H$16,0)),0))</f>
        <v/>
      </c>
      <c r="Q2098" s="30">
        <f>IF(OR(H2098&lt;&gt;"Realizado",P2098="",P2098=0),"",A2098+P2098)</f>
        <v/>
      </c>
      <c r="R2098" s="26">
        <f>IF(Q2098="","",IF(COUNTIFS($E$5:$E$3004,E2098,$A$5:$A$3004,"&gt;"&amp;A2098,$H$5:$H$3004,"&lt;&gt;Falta",$H$5:$H$3004,"&lt;&gt;Cancelado",$H$5:$H$3004,"&lt;&gt;Remarcado")&gt;0,"Sim","Não"))</f>
        <v/>
      </c>
      <c r="S2098" s="32">
        <f>IF(R2098&lt;&gt;"Não","",IF(Q2098+Config!$B$9&lt;=Config!$B$8,Config!$B$8-Q2098,""))</f>
        <v/>
      </c>
      <c r="T2098" s="26">
        <f>IF(S2098="","","Sim")</f>
        <v/>
      </c>
      <c r="U2098" s="41">
        <f>IF(T2098="Sim",S2098+ROW()/100000,0)</f>
        <v>0</v>
      </c>
      <c r="V2098" s="41">
        <f>IF(AND(H2098="Falta",L2098=Config!$B$7,M2098=Config!$B$5,COUNTIFS($E$5:E2098,E2098,$H$5:H2098,"Falta",$L$5:L2098,Config!$B$7,$M$5:M2098,Config!$B$5)=1),COUNTIFS($E$5:$E$3004,E2098,$H$5:$H$3004,"Falta",$L$5:$L$3004,Config!$B$7,$M$5:$M$3004,Config!$B$5)*1000-ROW()/100000,0)</f>
        <v>0</v>
      </c>
    </row>
    <row r="2099">
      <c r="A2099" s="39" t="n"/>
      <c r="B2099" s="40" t="n"/>
      <c r="C2099" s="35" t="n"/>
      <c r="D2099" s="35" t="n"/>
      <c r="E2099" s="34" t="n"/>
      <c r="F2099" s="35" t="n"/>
      <c r="G2099" s="35" t="n"/>
      <c r="H2099" s="35" t="n"/>
      <c r="I2099" s="35" t="n"/>
      <c r="J2099" s="35" t="n"/>
      <c r="K2099" s="34" t="n"/>
      <c r="L2099" s="26">
        <f>IF(A2099="","",MONTH(A2099))</f>
        <v/>
      </c>
      <c r="M2099" s="26">
        <f>IF(A2099="","",YEAR(A2099))</f>
        <v/>
      </c>
      <c r="N2099" s="26">
        <f>IF(A2099="","",CHOOSE(WEEKDAY(A2099,2),"Segunda","Terça","Quarta","Quinta","Sexta","Sábado","Domingo"))</f>
        <v/>
      </c>
      <c r="O2099" s="26">
        <f>IF(B2099="","",IF(B2099&lt;TIME(12,0,0),"Manhã",IF(B2099&lt;TIME(18,0,0),"Tarde","Noite")))</f>
        <v/>
      </c>
      <c r="P2099" s="32">
        <f>IF(G2099="","",IFERROR(INDEX(Config!$I$5:$I$16,MATCH(G2099,Config!$H$5:$H$16,0)),0))</f>
        <v/>
      </c>
      <c r="Q2099" s="30">
        <f>IF(OR(H2099&lt;&gt;"Realizado",P2099="",P2099=0),"",A2099+P2099)</f>
        <v/>
      </c>
      <c r="R2099" s="26">
        <f>IF(Q2099="","",IF(COUNTIFS($E$5:$E$3004,E2099,$A$5:$A$3004,"&gt;"&amp;A2099,$H$5:$H$3004,"&lt;&gt;Falta",$H$5:$H$3004,"&lt;&gt;Cancelado",$H$5:$H$3004,"&lt;&gt;Remarcado")&gt;0,"Sim","Não"))</f>
        <v/>
      </c>
      <c r="S2099" s="32">
        <f>IF(R2099&lt;&gt;"Não","",IF(Q2099+Config!$B$9&lt;=Config!$B$8,Config!$B$8-Q2099,""))</f>
        <v/>
      </c>
      <c r="T2099" s="26">
        <f>IF(S2099="","","Sim")</f>
        <v/>
      </c>
      <c r="U2099" s="41">
        <f>IF(T2099="Sim",S2099+ROW()/100000,0)</f>
        <v>0</v>
      </c>
      <c r="V2099" s="41">
        <f>IF(AND(H2099="Falta",L2099=Config!$B$7,M2099=Config!$B$5,COUNTIFS($E$5:E2099,E2099,$H$5:H2099,"Falta",$L$5:L2099,Config!$B$7,$M$5:M2099,Config!$B$5)=1),COUNTIFS($E$5:$E$3004,E2099,$H$5:$H$3004,"Falta",$L$5:$L$3004,Config!$B$7,$M$5:$M$3004,Config!$B$5)*1000-ROW()/100000,0)</f>
        <v>0</v>
      </c>
    </row>
    <row r="2100">
      <c r="A2100" s="39" t="n"/>
      <c r="B2100" s="40" t="n"/>
      <c r="C2100" s="35" t="n"/>
      <c r="D2100" s="35" t="n"/>
      <c r="E2100" s="34" t="n"/>
      <c r="F2100" s="35" t="n"/>
      <c r="G2100" s="35" t="n"/>
      <c r="H2100" s="35" t="n"/>
      <c r="I2100" s="35" t="n"/>
      <c r="J2100" s="35" t="n"/>
      <c r="K2100" s="34" t="n"/>
      <c r="L2100" s="26">
        <f>IF(A2100="","",MONTH(A2100))</f>
        <v/>
      </c>
      <c r="M2100" s="26">
        <f>IF(A2100="","",YEAR(A2100))</f>
        <v/>
      </c>
      <c r="N2100" s="26">
        <f>IF(A2100="","",CHOOSE(WEEKDAY(A2100,2),"Segunda","Terça","Quarta","Quinta","Sexta","Sábado","Domingo"))</f>
        <v/>
      </c>
      <c r="O2100" s="26">
        <f>IF(B2100="","",IF(B2100&lt;TIME(12,0,0),"Manhã",IF(B2100&lt;TIME(18,0,0),"Tarde","Noite")))</f>
        <v/>
      </c>
      <c r="P2100" s="32">
        <f>IF(G2100="","",IFERROR(INDEX(Config!$I$5:$I$16,MATCH(G2100,Config!$H$5:$H$16,0)),0))</f>
        <v/>
      </c>
      <c r="Q2100" s="30">
        <f>IF(OR(H2100&lt;&gt;"Realizado",P2100="",P2100=0),"",A2100+P2100)</f>
        <v/>
      </c>
      <c r="R2100" s="26">
        <f>IF(Q2100="","",IF(COUNTIFS($E$5:$E$3004,E2100,$A$5:$A$3004,"&gt;"&amp;A2100,$H$5:$H$3004,"&lt;&gt;Falta",$H$5:$H$3004,"&lt;&gt;Cancelado",$H$5:$H$3004,"&lt;&gt;Remarcado")&gt;0,"Sim","Não"))</f>
        <v/>
      </c>
      <c r="S2100" s="32">
        <f>IF(R2100&lt;&gt;"Não","",IF(Q2100+Config!$B$9&lt;=Config!$B$8,Config!$B$8-Q2100,""))</f>
        <v/>
      </c>
      <c r="T2100" s="26">
        <f>IF(S2100="","","Sim")</f>
        <v/>
      </c>
      <c r="U2100" s="41">
        <f>IF(T2100="Sim",S2100+ROW()/100000,0)</f>
        <v>0</v>
      </c>
      <c r="V2100" s="41">
        <f>IF(AND(H2100="Falta",L2100=Config!$B$7,M2100=Config!$B$5,COUNTIFS($E$5:E2100,E2100,$H$5:H2100,"Falta",$L$5:L2100,Config!$B$7,$M$5:M2100,Config!$B$5)=1),COUNTIFS($E$5:$E$3004,E2100,$H$5:$H$3004,"Falta",$L$5:$L$3004,Config!$B$7,$M$5:$M$3004,Config!$B$5)*1000-ROW()/100000,0)</f>
        <v>0</v>
      </c>
    </row>
    <row r="2101">
      <c r="A2101" s="39" t="n"/>
      <c r="B2101" s="40" t="n"/>
      <c r="C2101" s="35" t="n"/>
      <c r="D2101" s="35" t="n"/>
      <c r="E2101" s="34" t="n"/>
      <c r="F2101" s="35" t="n"/>
      <c r="G2101" s="35" t="n"/>
      <c r="H2101" s="35" t="n"/>
      <c r="I2101" s="35" t="n"/>
      <c r="J2101" s="35" t="n"/>
      <c r="K2101" s="34" t="n"/>
      <c r="L2101" s="26">
        <f>IF(A2101="","",MONTH(A2101))</f>
        <v/>
      </c>
      <c r="M2101" s="26">
        <f>IF(A2101="","",YEAR(A2101))</f>
        <v/>
      </c>
      <c r="N2101" s="26">
        <f>IF(A2101="","",CHOOSE(WEEKDAY(A2101,2),"Segunda","Terça","Quarta","Quinta","Sexta","Sábado","Domingo"))</f>
        <v/>
      </c>
      <c r="O2101" s="26">
        <f>IF(B2101="","",IF(B2101&lt;TIME(12,0,0),"Manhã",IF(B2101&lt;TIME(18,0,0),"Tarde","Noite")))</f>
        <v/>
      </c>
      <c r="P2101" s="32">
        <f>IF(G2101="","",IFERROR(INDEX(Config!$I$5:$I$16,MATCH(G2101,Config!$H$5:$H$16,0)),0))</f>
        <v/>
      </c>
      <c r="Q2101" s="30">
        <f>IF(OR(H2101&lt;&gt;"Realizado",P2101="",P2101=0),"",A2101+P2101)</f>
        <v/>
      </c>
      <c r="R2101" s="26">
        <f>IF(Q2101="","",IF(COUNTIFS($E$5:$E$3004,E2101,$A$5:$A$3004,"&gt;"&amp;A2101,$H$5:$H$3004,"&lt;&gt;Falta",$H$5:$H$3004,"&lt;&gt;Cancelado",$H$5:$H$3004,"&lt;&gt;Remarcado")&gt;0,"Sim","Não"))</f>
        <v/>
      </c>
      <c r="S2101" s="32">
        <f>IF(R2101&lt;&gt;"Não","",IF(Q2101+Config!$B$9&lt;=Config!$B$8,Config!$B$8-Q2101,""))</f>
        <v/>
      </c>
      <c r="T2101" s="26">
        <f>IF(S2101="","","Sim")</f>
        <v/>
      </c>
      <c r="U2101" s="41">
        <f>IF(T2101="Sim",S2101+ROW()/100000,0)</f>
        <v>0</v>
      </c>
      <c r="V2101" s="41">
        <f>IF(AND(H2101="Falta",L2101=Config!$B$7,M2101=Config!$B$5,COUNTIFS($E$5:E2101,E2101,$H$5:H2101,"Falta",$L$5:L2101,Config!$B$7,$M$5:M2101,Config!$B$5)=1),COUNTIFS($E$5:$E$3004,E2101,$H$5:$H$3004,"Falta",$L$5:$L$3004,Config!$B$7,$M$5:$M$3004,Config!$B$5)*1000-ROW()/100000,0)</f>
        <v>0</v>
      </c>
    </row>
    <row r="2102">
      <c r="A2102" s="39" t="n"/>
      <c r="B2102" s="40" t="n"/>
      <c r="C2102" s="35" t="n"/>
      <c r="D2102" s="35" t="n"/>
      <c r="E2102" s="34" t="n"/>
      <c r="F2102" s="35" t="n"/>
      <c r="G2102" s="35" t="n"/>
      <c r="H2102" s="35" t="n"/>
      <c r="I2102" s="35" t="n"/>
      <c r="J2102" s="35" t="n"/>
      <c r="K2102" s="34" t="n"/>
      <c r="L2102" s="26">
        <f>IF(A2102="","",MONTH(A2102))</f>
        <v/>
      </c>
      <c r="M2102" s="26">
        <f>IF(A2102="","",YEAR(A2102))</f>
        <v/>
      </c>
      <c r="N2102" s="26">
        <f>IF(A2102="","",CHOOSE(WEEKDAY(A2102,2),"Segunda","Terça","Quarta","Quinta","Sexta","Sábado","Domingo"))</f>
        <v/>
      </c>
      <c r="O2102" s="26">
        <f>IF(B2102="","",IF(B2102&lt;TIME(12,0,0),"Manhã",IF(B2102&lt;TIME(18,0,0),"Tarde","Noite")))</f>
        <v/>
      </c>
      <c r="P2102" s="32">
        <f>IF(G2102="","",IFERROR(INDEX(Config!$I$5:$I$16,MATCH(G2102,Config!$H$5:$H$16,0)),0))</f>
        <v/>
      </c>
      <c r="Q2102" s="30">
        <f>IF(OR(H2102&lt;&gt;"Realizado",P2102="",P2102=0),"",A2102+P2102)</f>
        <v/>
      </c>
      <c r="R2102" s="26">
        <f>IF(Q2102="","",IF(COUNTIFS($E$5:$E$3004,E2102,$A$5:$A$3004,"&gt;"&amp;A2102,$H$5:$H$3004,"&lt;&gt;Falta",$H$5:$H$3004,"&lt;&gt;Cancelado",$H$5:$H$3004,"&lt;&gt;Remarcado")&gt;0,"Sim","Não"))</f>
        <v/>
      </c>
      <c r="S2102" s="32">
        <f>IF(R2102&lt;&gt;"Não","",IF(Q2102+Config!$B$9&lt;=Config!$B$8,Config!$B$8-Q2102,""))</f>
        <v/>
      </c>
      <c r="T2102" s="26">
        <f>IF(S2102="","","Sim")</f>
        <v/>
      </c>
      <c r="U2102" s="41">
        <f>IF(T2102="Sim",S2102+ROW()/100000,0)</f>
        <v>0</v>
      </c>
      <c r="V2102" s="41">
        <f>IF(AND(H2102="Falta",L2102=Config!$B$7,M2102=Config!$B$5,COUNTIFS($E$5:E2102,E2102,$H$5:H2102,"Falta",$L$5:L2102,Config!$B$7,$M$5:M2102,Config!$B$5)=1),COUNTIFS($E$5:$E$3004,E2102,$H$5:$H$3004,"Falta",$L$5:$L$3004,Config!$B$7,$M$5:$M$3004,Config!$B$5)*1000-ROW()/100000,0)</f>
        <v>0</v>
      </c>
    </row>
    <row r="2103">
      <c r="A2103" s="39" t="n"/>
      <c r="B2103" s="40" t="n"/>
      <c r="C2103" s="35" t="n"/>
      <c r="D2103" s="35" t="n"/>
      <c r="E2103" s="34" t="n"/>
      <c r="F2103" s="35" t="n"/>
      <c r="G2103" s="35" t="n"/>
      <c r="H2103" s="35" t="n"/>
      <c r="I2103" s="35" t="n"/>
      <c r="J2103" s="35" t="n"/>
      <c r="K2103" s="34" t="n"/>
      <c r="L2103" s="26">
        <f>IF(A2103="","",MONTH(A2103))</f>
        <v/>
      </c>
      <c r="M2103" s="26">
        <f>IF(A2103="","",YEAR(A2103))</f>
        <v/>
      </c>
      <c r="N2103" s="26">
        <f>IF(A2103="","",CHOOSE(WEEKDAY(A2103,2),"Segunda","Terça","Quarta","Quinta","Sexta","Sábado","Domingo"))</f>
        <v/>
      </c>
      <c r="O2103" s="26">
        <f>IF(B2103="","",IF(B2103&lt;TIME(12,0,0),"Manhã",IF(B2103&lt;TIME(18,0,0),"Tarde","Noite")))</f>
        <v/>
      </c>
      <c r="P2103" s="32">
        <f>IF(G2103="","",IFERROR(INDEX(Config!$I$5:$I$16,MATCH(G2103,Config!$H$5:$H$16,0)),0))</f>
        <v/>
      </c>
      <c r="Q2103" s="30">
        <f>IF(OR(H2103&lt;&gt;"Realizado",P2103="",P2103=0),"",A2103+P2103)</f>
        <v/>
      </c>
      <c r="R2103" s="26">
        <f>IF(Q2103="","",IF(COUNTIFS($E$5:$E$3004,E2103,$A$5:$A$3004,"&gt;"&amp;A2103,$H$5:$H$3004,"&lt;&gt;Falta",$H$5:$H$3004,"&lt;&gt;Cancelado",$H$5:$H$3004,"&lt;&gt;Remarcado")&gt;0,"Sim","Não"))</f>
        <v/>
      </c>
      <c r="S2103" s="32">
        <f>IF(R2103&lt;&gt;"Não","",IF(Q2103+Config!$B$9&lt;=Config!$B$8,Config!$B$8-Q2103,""))</f>
        <v/>
      </c>
      <c r="T2103" s="26">
        <f>IF(S2103="","","Sim")</f>
        <v/>
      </c>
      <c r="U2103" s="41">
        <f>IF(T2103="Sim",S2103+ROW()/100000,0)</f>
        <v>0</v>
      </c>
      <c r="V2103" s="41">
        <f>IF(AND(H2103="Falta",L2103=Config!$B$7,M2103=Config!$B$5,COUNTIFS($E$5:E2103,E2103,$H$5:H2103,"Falta",$L$5:L2103,Config!$B$7,$M$5:M2103,Config!$B$5)=1),COUNTIFS($E$5:$E$3004,E2103,$H$5:$H$3004,"Falta",$L$5:$L$3004,Config!$B$7,$M$5:$M$3004,Config!$B$5)*1000-ROW()/100000,0)</f>
        <v>0</v>
      </c>
    </row>
    <row r="2104">
      <c r="A2104" s="39" t="n"/>
      <c r="B2104" s="40" t="n"/>
      <c r="C2104" s="35" t="n"/>
      <c r="D2104" s="35" t="n"/>
      <c r="E2104" s="34" t="n"/>
      <c r="F2104" s="35" t="n"/>
      <c r="G2104" s="35" t="n"/>
      <c r="H2104" s="35" t="n"/>
      <c r="I2104" s="35" t="n"/>
      <c r="J2104" s="35" t="n"/>
      <c r="K2104" s="34" t="n"/>
      <c r="L2104" s="26">
        <f>IF(A2104="","",MONTH(A2104))</f>
        <v/>
      </c>
      <c r="M2104" s="26">
        <f>IF(A2104="","",YEAR(A2104))</f>
        <v/>
      </c>
      <c r="N2104" s="26">
        <f>IF(A2104="","",CHOOSE(WEEKDAY(A2104,2),"Segunda","Terça","Quarta","Quinta","Sexta","Sábado","Domingo"))</f>
        <v/>
      </c>
      <c r="O2104" s="26">
        <f>IF(B2104="","",IF(B2104&lt;TIME(12,0,0),"Manhã",IF(B2104&lt;TIME(18,0,0),"Tarde","Noite")))</f>
        <v/>
      </c>
      <c r="P2104" s="32">
        <f>IF(G2104="","",IFERROR(INDEX(Config!$I$5:$I$16,MATCH(G2104,Config!$H$5:$H$16,0)),0))</f>
        <v/>
      </c>
      <c r="Q2104" s="30">
        <f>IF(OR(H2104&lt;&gt;"Realizado",P2104="",P2104=0),"",A2104+P2104)</f>
        <v/>
      </c>
      <c r="R2104" s="26">
        <f>IF(Q2104="","",IF(COUNTIFS($E$5:$E$3004,E2104,$A$5:$A$3004,"&gt;"&amp;A2104,$H$5:$H$3004,"&lt;&gt;Falta",$H$5:$H$3004,"&lt;&gt;Cancelado",$H$5:$H$3004,"&lt;&gt;Remarcado")&gt;0,"Sim","Não"))</f>
        <v/>
      </c>
      <c r="S2104" s="32">
        <f>IF(R2104&lt;&gt;"Não","",IF(Q2104+Config!$B$9&lt;=Config!$B$8,Config!$B$8-Q2104,""))</f>
        <v/>
      </c>
      <c r="T2104" s="26">
        <f>IF(S2104="","","Sim")</f>
        <v/>
      </c>
      <c r="U2104" s="41">
        <f>IF(T2104="Sim",S2104+ROW()/100000,0)</f>
        <v>0</v>
      </c>
      <c r="V2104" s="41">
        <f>IF(AND(H2104="Falta",L2104=Config!$B$7,M2104=Config!$B$5,COUNTIFS($E$5:E2104,E2104,$H$5:H2104,"Falta",$L$5:L2104,Config!$B$7,$M$5:M2104,Config!$B$5)=1),COUNTIFS($E$5:$E$3004,E2104,$H$5:$H$3004,"Falta",$L$5:$L$3004,Config!$B$7,$M$5:$M$3004,Config!$B$5)*1000-ROW()/100000,0)</f>
        <v>0</v>
      </c>
    </row>
    <row r="2105">
      <c r="A2105" s="39" t="n"/>
      <c r="B2105" s="40" t="n"/>
      <c r="C2105" s="35" t="n"/>
      <c r="D2105" s="35" t="n"/>
      <c r="E2105" s="34" t="n"/>
      <c r="F2105" s="35" t="n"/>
      <c r="G2105" s="35" t="n"/>
      <c r="H2105" s="35" t="n"/>
      <c r="I2105" s="35" t="n"/>
      <c r="J2105" s="35" t="n"/>
      <c r="K2105" s="34" t="n"/>
      <c r="L2105" s="26">
        <f>IF(A2105="","",MONTH(A2105))</f>
        <v/>
      </c>
      <c r="M2105" s="26">
        <f>IF(A2105="","",YEAR(A2105))</f>
        <v/>
      </c>
      <c r="N2105" s="26">
        <f>IF(A2105="","",CHOOSE(WEEKDAY(A2105,2),"Segunda","Terça","Quarta","Quinta","Sexta","Sábado","Domingo"))</f>
        <v/>
      </c>
      <c r="O2105" s="26">
        <f>IF(B2105="","",IF(B2105&lt;TIME(12,0,0),"Manhã",IF(B2105&lt;TIME(18,0,0),"Tarde","Noite")))</f>
        <v/>
      </c>
      <c r="P2105" s="32">
        <f>IF(G2105="","",IFERROR(INDEX(Config!$I$5:$I$16,MATCH(G2105,Config!$H$5:$H$16,0)),0))</f>
        <v/>
      </c>
      <c r="Q2105" s="30">
        <f>IF(OR(H2105&lt;&gt;"Realizado",P2105="",P2105=0),"",A2105+P2105)</f>
        <v/>
      </c>
      <c r="R2105" s="26">
        <f>IF(Q2105="","",IF(COUNTIFS($E$5:$E$3004,E2105,$A$5:$A$3004,"&gt;"&amp;A2105,$H$5:$H$3004,"&lt;&gt;Falta",$H$5:$H$3004,"&lt;&gt;Cancelado",$H$5:$H$3004,"&lt;&gt;Remarcado")&gt;0,"Sim","Não"))</f>
        <v/>
      </c>
      <c r="S2105" s="32">
        <f>IF(R2105&lt;&gt;"Não","",IF(Q2105+Config!$B$9&lt;=Config!$B$8,Config!$B$8-Q2105,""))</f>
        <v/>
      </c>
      <c r="T2105" s="26">
        <f>IF(S2105="","","Sim")</f>
        <v/>
      </c>
      <c r="U2105" s="41">
        <f>IF(T2105="Sim",S2105+ROW()/100000,0)</f>
        <v>0</v>
      </c>
      <c r="V2105" s="41">
        <f>IF(AND(H2105="Falta",L2105=Config!$B$7,M2105=Config!$B$5,COUNTIFS($E$5:E2105,E2105,$H$5:H2105,"Falta",$L$5:L2105,Config!$B$7,$M$5:M2105,Config!$B$5)=1),COUNTIFS($E$5:$E$3004,E2105,$H$5:$H$3004,"Falta",$L$5:$L$3004,Config!$B$7,$M$5:$M$3004,Config!$B$5)*1000-ROW()/100000,0)</f>
        <v>0</v>
      </c>
    </row>
    <row r="2106">
      <c r="A2106" s="39" t="n"/>
      <c r="B2106" s="40" t="n"/>
      <c r="C2106" s="35" t="n"/>
      <c r="D2106" s="35" t="n"/>
      <c r="E2106" s="34" t="n"/>
      <c r="F2106" s="35" t="n"/>
      <c r="G2106" s="35" t="n"/>
      <c r="H2106" s="35" t="n"/>
      <c r="I2106" s="35" t="n"/>
      <c r="J2106" s="35" t="n"/>
      <c r="K2106" s="34" t="n"/>
      <c r="L2106" s="26">
        <f>IF(A2106="","",MONTH(A2106))</f>
        <v/>
      </c>
      <c r="M2106" s="26">
        <f>IF(A2106="","",YEAR(A2106))</f>
        <v/>
      </c>
      <c r="N2106" s="26">
        <f>IF(A2106="","",CHOOSE(WEEKDAY(A2106,2),"Segunda","Terça","Quarta","Quinta","Sexta","Sábado","Domingo"))</f>
        <v/>
      </c>
      <c r="O2106" s="26">
        <f>IF(B2106="","",IF(B2106&lt;TIME(12,0,0),"Manhã",IF(B2106&lt;TIME(18,0,0),"Tarde","Noite")))</f>
        <v/>
      </c>
      <c r="P2106" s="32">
        <f>IF(G2106="","",IFERROR(INDEX(Config!$I$5:$I$16,MATCH(G2106,Config!$H$5:$H$16,0)),0))</f>
        <v/>
      </c>
      <c r="Q2106" s="30">
        <f>IF(OR(H2106&lt;&gt;"Realizado",P2106="",P2106=0),"",A2106+P2106)</f>
        <v/>
      </c>
      <c r="R2106" s="26">
        <f>IF(Q2106="","",IF(COUNTIFS($E$5:$E$3004,E2106,$A$5:$A$3004,"&gt;"&amp;A2106,$H$5:$H$3004,"&lt;&gt;Falta",$H$5:$H$3004,"&lt;&gt;Cancelado",$H$5:$H$3004,"&lt;&gt;Remarcado")&gt;0,"Sim","Não"))</f>
        <v/>
      </c>
      <c r="S2106" s="32">
        <f>IF(R2106&lt;&gt;"Não","",IF(Q2106+Config!$B$9&lt;=Config!$B$8,Config!$B$8-Q2106,""))</f>
        <v/>
      </c>
      <c r="T2106" s="26">
        <f>IF(S2106="","","Sim")</f>
        <v/>
      </c>
      <c r="U2106" s="41">
        <f>IF(T2106="Sim",S2106+ROW()/100000,0)</f>
        <v>0</v>
      </c>
      <c r="V2106" s="41">
        <f>IF(AND(H2106="Falta",L2106=Config!$B$7,M2106=Config!$B$5,COUNTIFS($E$5:E2106,E2106,$H$5:H2106,"Falta",$L$5:L2106,Config!$B$7,$M$5:M2106,Config!$B$5)=1),COUNTIFS($E$5:$E$3004,E2106,$H$5:$H$3004,"Falta",$L$5:$L$3004,Config!$B$7,$M$5:$M$3004,Config!$B$5)*1000-ROW()/100000,0)</f>
        <v>0</v>
      </c>
    </row>
    <row r="2107">
      <c r="A2107" s="39" t="n"/>
      <c r="B2107" s="40" t="n"/>
      <c r="C2107" s="35" t="n"/>
      <c r="D2107" s="35" t="n"/>
      <c r="E2107" s="34" t="n"/>
      <c r="F2107" s="35" t="n"/>
      <c r="G2107" s="35" t="n"/>
      <c r="H2107" s="35" t="n"/>
      <c r="I2107" s="35" t="n"/>
      <c r="J2107" s="35" t="n"/>
      <c r="K2107" s="34" t="n"/>
      <c r="L2107" s="26">
        <f>IF(A2107="","",MONTH(A2107))</f>
        <v/>
      </c>
      <c r="M2107" s="26">
        <f>IF(A2107="","",YEAR(A2107))</f>
        <v/>
      </c>
      <c r="N2107" s="26">
        <f>IF(A2107="","",CHOOSE(WEEKDAY(A2107,2),"Segunda","Terça","Quarta","Quinta","Sexta","Sábado","Domingo"))</f>
        <v/>
      </c>
      <c r="O2107" s="26">
        <f>IF(B2107="","",IF(B2107&lt;TIME(12,0,0),"Manhã",IF(B2107&lt;TIME(18,0,0),"Tarde","Noite")))</f>
        <v/>
      </c>
      <c r="P2107" s="32">
        <f>IF(G2107="","",IFERROR(INDEX(Config!$I$5:$I$16,MATCH(G2107,Config!$H$5:$H$16,0)),0))</f>
        <v/>
      </c>
      <c r="Q2107" s="30">
        <f>IF(OR(H2107&lt;&gt;"Realizado",P2107="",P2107=0),"",A2107+P2107)</f>
        <v/>
      </c>
      <c r="R2107" s="26">
        <f>IF(Q2107="","",IF(COUNTIFS($E$5:$E$3004,E2107,$A$5:$A$3004,"&gt;"&amp;A2107,$H$5:$H$3004,"&lt;&gt;Falta",$H$5:$H$3004,"&lt;&gt;Cancelado",$H$5:$H$3004,"&lt;&gt;Remarcado")&gt;0,"Sim","Não"))</f>
        <v/>
      </c>
      <c r="S2107" s="32">
        <f>IF(R2107&lt;&gt;"Não","",IF(Q2107+Config!$B$9&lt;=Config!$B$8,Config!$B$8-Q2107,""))</f>
        <v/>
      </c>
      <c r="T2107" s="26">
        <f>IF(S2107="","","Sim")</f>
        <v/>
      </c>
      <c r="U2107" s="41">
        <f>IF(T2107="Sim",S2107+ROW()/100000,0)</f>
        <v>0</v>
      </c>
      <c r="V2107" s="41">
        <f>IF(AND(H2107="Falta",L2107=Config!$B$7,M2107=Config!$B$5,COUNTIFS($E$5:E2107,E2107,$H$5:H2107,"Falta",$L$5:L2107,Config!$B$7,$M$5:M2107,Config!$B$5)=1),COUNTIFS($E$5:$E$3004,E2107,$H$5:$H$3004,"Falta",$L$5:$L$3004,Config!$B$7,$M$5:$M$3004,Config!$B$5)*1000-ROW()/100000,0)</f>
        <v>0</v>
      </c>
    </row>
    <row r="2108">
      <c r="A2108" s="39" t="n"/>
      <c r="B2108" s="40" t="n"/>
      <c r="C2108" s="35" t="n"/>
      <c r="D2108" s="35" t="n"/>
      <c r="E2108" s="34" t="n"/>
      <c r="F2108" s="35" t="n"/>
      <c r="G2108" s="35" t="n"/>
      <c r="H2108" s="35" t="n"/>
      <c r="I2108" s="35" t="n"/>
      <c r="J2108" s="35" t="n"/>
      <c r="K2108" s="34" t="n"/>
      <c r="L2108" s="26">
        <f>IF(A2108="","",MONTH(A2108))</f>
        <v/>
      </c>
      <c r="M2108" s="26">
        <f>IF(A2108="","",YEAR(A2108))</f>
        <v/>
      </c>
      <c r="N2108" s="26">
        <f>IF(A2108="","",CHOOSE(WEEKDAY(A2108,2),"Segunda","Terça","Quarta","Quinta","Sexta","Sábado","Domingo"))</f>
        <v/>
      </c>
      <c r="O2108" s="26">
        <f>IF(B2108="","",IF(B2108&lt;TIME(12,0,0),"Manhã",IF(B2108&lt;TIME(18,0,0),"Tarde","Noite")))</f>
        <v/>
      </c>
      <c r="P2108" s="32">
        <f>IF(G2108="","",IFERROR(INDEX(Config!$I$5:$I$16,MATCH(G2108,Config!$H$5:$H$16,0)),0))</f>
        <v/>
      </c>
      <c r="Q2108" s="30">
        <f>IF(OR(H2108&lt;&gt;"Realizado",P2108="",P2108=0),"",A2108+P2108)</f>
        <v/>
      </c>
      <c r="R2108" s="26">
        <f>IF(Q2108="","",IF(COUNTIFS($E$5:$E$3004,E2108,$A$5:$A$3004,"&gt;"&amp;A2108,$H$5:$H$3004,"&lt;&gt;Falta",$H$5:$H$3004,"&lt;&gt;Cancelado",$H$5:$H$3004,"&lt;&gt;Remarcado")&gt;0,"Sim","Não"))</f>
        <v/>
      </c>
      <c r="S2108" s="32">
        <f>IF(R2108&lt;&gt;"Não","",IF(Q2108+Config!$B$9&lt;=Config!$B$8,Config!$B$8-Q2108,""))</f>
        <v/>
      </c>
      <c r="T2108" s="26">
        <f>IF(S2108="","","Sim")</f>
        <v/>
      </c>
      <c r="U2108" s="41">
        <f>IF(T2108="Sim",S2108+ROW()/100000,0)</f>
        <v>0</v>
      </c>
      <c r="V2108" s="41">
        <f>IF(AND(H2108="Falta",L2108=Config!$B$7,M2108=Config!$B$5,COUNTIFS($E$5:E2108,E2108,$H$5:H2108,"Falta",$L$5:L2108,Config!$B$7,$M$5:M2108,Config!$B$5)=1),COUNTIFS($E$5:$E$3004,E2108,$H$5:$H$3004,"Falta",$L$5:$L$3004,Config!$B$7,$M$5:$M$3004,Config!$B$5)*1000-ROW()/100000,0)</f>
        <v>0</v>
      </c>
    </row>
    <row r="2109">
      <c r="A2109" s="39" t="n"/>
      <c r="B2109" s="40" t="n"/>
      <c r="C2109" s="35" t="n"/>
      <c r="D2109" s="35" t="n"/>
      <c r="E2109" s="34" t="n"/>
      <c r="F2109" s="35" t="n"/>
      <c r="G2109" s="35" t="n"/>
      <c r="H2109" s="35" t="n"/>
      <c r="I2109" s="35" t="n"/>
      <c r="J2109" s="35" t="n"/>
      <c r="K2109" s="34" t="n"/>
      <c r="L2109" s="26">
        <f>IF(A2109="","",MONTH(A2109))</f>
        <v/>
      </c>
      <c r="M2109" s="26">
        <f>IF(A2109="","",YEAR(A2109))</f>
        <v/>
      </c>
      <c r="N2109" s="26">
        <f>IF(A2109="","",CHOOSE(WEEKDAY(A2109,2),"Segunda","Terça","Quarta","Quinta","Sexta","Sábado","Domingo"))</f>
        <v/>
      </c>
      <c r="O2109" s="26">
        <f>IF(B2109="","",IF(B2109&lt;TIME(12,0,0),"Manhã",IF(B2109&lt;TIME(18,0,0),"Tarde","Noite")))</f>
        <v/>
      </c>
      <c r="P2109" s="32">
        <f>IF(G2109="","",IFERROR(INDEX(Config!$I$5:$I$16,MATCH(G2109,Config!$H$5:$H$16,0)),0))</f>
        <v/>
      </c>
      <c r="Q2109" s="30">
        <f>IF(OR(H2109&lt;&gt;"Realizado",P2109="",P2109=0),"",A2109+P2109)</f>
        <v/>
      </c>
      <c r="R2109" s="26">
        <f>IF(Q2109="","",IF(COUNTIFS($E$5:$E$3004,E2109,$A$5:$A$3004,"&gt;"&amp;A2109,$H$5:$H$3004,"&lt;&gt;Falta",$H$5:$H$3004,"&lt;&gt;Cancelado",$H$5:$H$3004,"&lt;&gt;Remarcado")&gt;0,"Sim","Não"))</f>
        <v/>
      </c>
      <c r="S2109" s="32">
        <f>IF(R2109&lt;&gt;"Não","",IF(Q2109+Config!$B$9&lt;=Config!$B$8,Config!$B$8-Q2109,""))</f>
        <v/>
      </c>
      <c r="T2109" s="26">
        <f>IF(S2109="","","Sim")</f>
        <v/>
      </c>
      <c r="U2109" s="41">
        <f>IF(T2109="Sim",S2109+ROW()/100000,0)</f>
        <v>0</v>
      </c>
      <c r="V2109" s="41">
        <f>IF(AND(H2109="Falta",L2109=Config!$B$7,M2109=Config!$B$5,COUNTIFS($E$5:E2109,E2109,$H$5:H2109,"Falta",$L$5:L2109,Config!$B$7,$M$5:M2109,Config!$B$5)=1),COUNTIFS($E$5:$E$3004,E2109,$H$5:$H$3004,"Falta",$L$5:$L$3004,Config!$B$7,$M$5:$M$3004,Config!$B$5)*1000-ROW()/100000,0)</f>
        <v>0</v>
      </c>
    </row>
    <row r="2110">
      <c r="A2110" s="39" t="n"/>
      <c r="B2110" s="40" t="n"/>
      <c r="C2110" s="35" t="n"/>
      <c r="D2110" s="35" t="n"/>
      <c r="E2110" s="34" t="n"/>
      <c r="F2110" s="35" t="n"/>
      <c r="G2110" s="35" t="n"/>
      <c r="H2110" s="35" t="n"/>
      <c r="I2110" s="35" t="n"/>
      <c r="J2110" s="35" t="n"/>
      <c r="K2110" s="34" t="n"/>
      <c r="L2110" s="26">
        <f>IF(A2110="","",MONTH(A2110))</f>
        <v/>
      </c>
      <c r="M2110" s="26">
        <f>IF(A2110="","",YEAR(A2110))</f>
        <v/>
      </c>
      <c r="N2110" s="26">
        <f>IF(A2110="","",CHOOSE(WEEKDAY(A2110,2),"Segunda","Terça","Quarta","Quinta","Sexta","Sábado","Domingo"))</f>
        <v/>
      </c>
      <c r="O2110" s="26">
        <f>IF(B2110="","",IF(B2110&lt;TIME(12,0,0),"Manhã",IF(B2110&lt;TIME(18,0,0),"Tarde","Noite")))</f>
        <v/>
      </c>
      <c r="P2110" s="32">
        <f>IF(G2110="","",IFERROR(INDEX(Config!$I$5:$I$16,MATCH(G2110,Config!$H$5:$H$16,0)),0))</f>
        <v/>
      </c>
      <c r="Q2110" s="30">
        <f>IF(OR(H2110&lt;&gt;"Realizado",P2110="",P2110=0),"",A2110+P2110)</f>
        <v/>
      </c>
      <c r="R2110" s="26">
        <f>IF(Q2110="","",IF(COUNTIFS($E$5:$E$3004,E2110,$A$5:$A$3004,"&gt;"&amp;A2110,$H$5:$H$3004,"&lt;&gt;Falta",$H$5:$H$3004,"&lt;&gt;Cancelado",$H$5:$H$3004,"&lt;&gt;Remarcado")&gt;0,"Sim","Não"))</f>
        <v/>
      </c>
      <c r="S2110" s="32">
        <f>IF(R2110&lt;&gt;"Não","",IF(Q2110+Config!$B$9&lt;=Config!$B$8,Config!$B$8-Q2110,""))</f>
        <v/>
      </c>
      <c r="T2110" s="26">
        <f>IF(S2110="","","Sim")</f>
        <v/>
      </c>
      <c r="U2110" s="41">
        <f>IF(T2110="Sim",S2110+ROW()/100000,0)</f>
        <v>0</v>
      </c>
      <c r="V2110" s="41">
        <f>IF(AND(H2110="Falta",L2110=Config!$B$7,M2110=Config!$B$5,COUNTIFS($E$5:E2110,E2110,$H$5:H2110,"Falta",$L$5:L2110,Config!$B$7,$M$5:M2110,Config!$B$5)=1),COUNTIFS($E$5:$E$3004,E2110,$H$5:$H$3004,"Falta",$L$5:$L$3004,Config!$B$7,$M$5:$M$3004,Config!$B$5)*1000-ROW()/100000,0)</f>
        <v>0</v>
      </c>
    </row>
    <row r="2111">
      <c r="A2111" s="39" t="n"/>
      <c r="B2111" s="40" t="n"/>
      <c r="C2111" s="35" t="n"/>
      <c r="D2111" s="35" t="n"/>
      <c r="E2111" s="34" t="n"/>
      <c r="F2111" s="35" t="n"/>
      <c r="G2111" s="35" t="n"/>
      <c r="H2111" s="35" t="n"/>
      <c r="I2111" s="35" t="n"/>
      <c r="J2111" s="35" t="n"/>
      <c r="K2111" s="34" t="n"/>
      <c r="L2111" s="26">
        <f>IF(A2111="","",MONTH(A2111))</f>
        <v/>
      </c>
      <c r="M2111" s="26">
        <f>IF(A2111="","",YEAR(A2111))</f>
        <v/>
      </c>
      <c r="N2111" s="26">
        <f>IF(A2111="","",CHOOSE(WEEKDAY(A2111,2),"Segunda","Terça","Quarta","Quinta","Sexta","Sábado","Domingo"))</f>
        <v/>
      </c>
      <c r="O2111" s="26">
        <f>IF(B2111="","",IF(B2111&lt;TIME(12,0,0),"Manhã",IF(B2111&lt;TIME(18,0,0),"Tarde","Noite")))</f>
        <v/>
      </c>
      <c r="P2111" s="32">
        <f>IF(G2111="","",IFERROR(INDEX(Config!$I$5:$I$16,MATCH(G2111,Config!$H$5:$H$16,0)),0))</f>
        <v/>
      </c>
      <c r="Q2111" s="30">
        <f>IF(OR(H2111&lt;&gt;"Realizado",P2111="",P2111=0),"",A2111+P2111)</f>
        <v/>
      </c>
      <c r="R2111" s="26">
        <f>IF(Q2111="","",IF(COUNTIFS($E$5:$E$3004,E2111,$A$5:$A$3004,"&gt;"&amp;A2111,$H$5:$H$3004,"&lt;&gt;Falta",$H$5:$H$3004,"&lt;&gt;Cancelado",$H$5:$H$3004,"&lt;&gt;Remarcado")&gt;0,"Sim","Não"))</f>
        <v/>
      </c>
      <c r="S2111" s="32">
        <f>IF(R2111&lt;&gt;"Não","",IF(Q2111+Config!$B$9&lt;=Config!$B$8,Config!$B$8-Q2111,""))</f>
        <v/>
      </c>
      <c r="T2111" s="26">
        <f>IF(S2111="","","Sim")</f>
        <v/>
      </c>
      <c r="U2111" s="41">
        <f>IF(T2111="Sim",S2111+ROW()/100000,0)</f>
        <v>0</v>
      </c>
      <c r="V2111" s="41">
        <f>IF(AND(H2111="Falta",L2111=Config!$B$7,M2111=Config!$B$5,COUNTIFS($E$5:E2111,E2111,$H$5:H2111,"Falta",$L$5:L2111,Config!$B$7,$M$5:M2111,Config!$B$5)=1),COUNTIFS($E$5:$E$3004,E2111,$H$5:$H$3004,"Falta",$L$5:$L$3004,Config!$B$7,$M$5:$M$3004,Config!$B$5)*1000-ROW()/100000,0)</f>
        <v>0</v>
      </c>
    </row>
    <row r="2112">
      <c r="A2112" s="39" t="n"/>
      <c r="B2112" s="40" t="n"/>
      <c r="C2112" s="35" t="n"/>
      <c r="D2112" s="35" t="n"/>
      <c r="E2112" s="34" t="n"/>
      <c r="F2112" s="35" t="n"/>
      <c r="G2112" s="35" t="n"/>
      <c r="H2112" s="35" t="n"/>
      <c r="I2112" s="35" t="n"/>
      <c r="J2112" s="35" t="n"/>
      <c r="K2112" s="34" t="n"/>
      <c r="L2112" s="26">
        <f>IF(A2112="","",MONTH(A2112))</f>
        <v/>
      </c>
      <c r="M2112" s="26">
        <f>IF(A2112="","",YEAR(A2112))</f>
        <v/>
      </c>
      <c r="N2112" s="26">
        <f>IF(A2112="","",CHOOSE(WEEKDAY(A2112,2),"Segunda","Terça","Quarta","Quinta","Sexta","Sábado","Domingo"))</f>
        <v/>
      </c>
      <c r="O2112" s="26">
        <f>IF(B2112="","",IF(B2112&lt;TIME(12,0,0),"Manhã",IF(B2112&lt;TIME(18,0,0),"Tarde","Noite")))</f>
        <v/>
      </c>
      <c r="P2112" s="32">
        <f>IF(G2112="","",IFERROR(INDEX(Config!$I$5:$I$16,MATCH(G2112,Config!$H$5:$H$16,0)),0))</f>
        <v/>
      </c>
      <c r="Q2112" s="30">
        <f>IF(OR(H2112&lt;&gt;"Realizado",P2112="",P2112=0),"",A2112+P2112)</f>
        <v/>
      </c>
      <c r="R2112" s="26">
        <f>IF(Q2112="","",IF(COUNTIFS($E$5:$E$3004,E2112,$A$5:$A$3004,"&gt;"&amp;A2112,$H$5:$H$3004,"&lt;&gt;Falta",$H$5:$H$3004,"&lt;&gt;Cancelado",$H$5:$H$3004,"&lt;&gt;Remarcado")&gt;0,"Sim","Não"))</f>
        <v/>
      </c>
      <c r="S2112" s="32">
        <f>IF(R2112&lt;&gt;"Não","",IF(Q2112+Config!$B$9&lt;=Config!$B$8,Config!$B$8-Q2112,""))</f>
        <v/>
      </c>
      <c r="T2112" s="26">
        <f>IF(S2112="","","Sim")</f>
        <v/>
      </c>
      <c r="U2112" s="41">
        <f>IF(T2112="Sim",S2112+ROW()/100000,0)</f>
        <v>0</v>
      </c>
      <c r="V2112" s="41">
        <f>IF(AND(H2112="Falta",L2112=Config!$B$7,M2112=Config!$B$5,COUNTIFS($E$5:E2112,E2112,$H$5:H2112,"Falta",$L$5:L2112,Config!$B$7,$M$5:M2112,Config!$B$5)=1),COUNTIFS($E$5:$E$3004,E2112,$H$5:$H$3004,"Falta",$L$5:$L$3004,Config!$B$7,$M$5:$M$3004,Config!$B$5)*1000-ROW()/100000,0)</f>
        <v>0</v>
      </c>
    </row>
    <row r="2113">
      <c r="A2113" s="39" t="n"/>
      <c r="B2113" s="40" t="n"/>
      <c r="C2113" s="35" t="n"/>
      <c r="D2113" s="35" t="n"/>
      <c r="E2113" s="34" t="n"/>
      <c r="F2113" s="35" t="n"/>
      <c r="G2113" s="35" t="n"/>
      <c r="H2113" s="35" t="n"/>
      <c r="I2113" s="35" t="n"/>
      <c r="J2113" s="35" t="n"/>
      <c r="K2113" s="34" t="n"/>
      <c r="L2113" s="26">
        <f>IF(A2113="","",MONTH(A2113))</f>
        <v/>
      </c>
      <c r="M2113" s="26">
        <f>IF(A2113="","",YEAR(A2113))</f>
        <v/>
      </c>
      <c r="N2113" s="26">
        <f>IF(A2113="","",CHOOSE(WEEKDAY(A2113,2),"Segunda","Terça","Quarta","Quinta","Sexta","Sábado","Domingo"))</f>
        <v/>
      </c>
      <c r="O2113" s="26">
        <f>IF(B2113="","",IF(B2113&lt;TIME(12,0,0),"Manhã",IF(B2113&lt;TIME(18,0,0),"Tarde","Noite")))</f>
        <v/>
      </c>
      <c r="P2113" s="32">
        <f>IF(G2113="","",IFERROR(INDEX(Config!$I$5:$I$16,MATCH(G2113,Config!$H$5:$H$16,0)),0))</f>
        <v/>
      </c>
      <c r="Q2113" s="30">
        <f>IF(OR(H2113&lt;&gt;"Realizado",P2113="",P2113=0),"",A2113+P2113)</f>
        <v/>
      </c>
      <c r="R2113" s="26">
        <f>IF(Q2113="","",IF(COUNTIFS($E$5:$E$3004,E2113,$A$5:$A$3004,"&gt;"&amp;A2113,$H$5:$H$3004,"&lt;&gt;Falta",$H$5:$H$3004,"&lt;&gt;Cancelado",$H$5:$H$3004,"&lt;&gt;Remarcado")&gt;0,"Sim","Não"))</f>
        <v/>
      </c>
      <c r="S2113" s="32">
        <f>IF(R2113&lt;&gt;"Não","",IF(Q2113+Config!$B$9&lt;=Config!$B$8,Config!$B$8-Q2113,""))</f>
        <v/>
      </c>
      <c r="T2113" s="26">
        <f>IF(S2113="","","Sim")</f>
        <v/>
      </c>
      <c r="U2113" s="41">
        <f>IF(T2113="Sim",S2113+ROW()/100000,0)</f>
        <v>0</v>
      </c>
      <c r="V2113" s="41">
        <f>IF(AND(H2113="Falta",L2113=Config!$B$7,M2113=Config!$B$5,COUNTIFS($E$5:E2113,E2113,$H$5:H2113,"Falta",$L$5:L2113,Config!$B$7,$M$5:M2113,Config!$B$5)=1),COUNTIFS($E$5:$E$3004,E2113,$H$5:$H$3004,"Falta",$L$5:$L$3004,Config!$B$7,$M$5:$M$3004,Config!$B$5)*1000-ROW()/100000,0)</f>
        <v>0</v>
      </c>
    </row>
    <row r="2114">
      <c r="A2114" s="39" t="n"/>
      <c r="B2114" s="40" t="n"/>
      <c r="C2114" s="35" t="n"/>
      <c r="D2114" s="35" t="n"/>
      <c r="E2114" s="34" t="n"/>
      <c r="F2114" s="35" t="n"/>
      <c r="G2114" s="35" t="n"/>
      <c r="H2114" s="35" t="n"/>
      <c r="I2114" s="35" t="n"/>
      <c r="J2114" s="35" t="n"/>
      <c r="K2114" s="34" t="n"/>
      <c r="L2114" s="26">
        <f>IF(A2114="","",MONTH(A2114))</f>
        <v/>
      </c>
      <c r="M2114" s="26">
        <f>IF(A2114="","",YEAR(A2114))</f>
        <v/>
      </c>
      <c r="N2114" s="26">
        <f>IF(A2114="","",CHOOSE(WEEKDAY(A2114,2),"Segunda","Terça","Quarta","Quinta","Sexta","Sábado","Domingo"))</f>
        <v/>
      </c>
      <c r="O2114" s="26">
        <f>IF(B2114="","",IF(B2114&lt;TIME(12,0,0),"Manhã",IF(B2114&lt;TIME(18,0,0),"Tarde","Noite")))</f>
        <v/>
      </c>
      <c r="P2114" s="32">
        <f>IF(G2114="","",IFERROR(INDEX(Config!$I$5:$I$16,MATCH(G2114,Config!$H$5:$H$16,0)),0))</f>
        <v/>
      </c>
      <c r="Q2114" s="30">
        <f>IF(OR(H2114&lt;&gt;"Realizado",P2114="",P2114=0),"",A2114+P2114)</f>
        <v/>
      </c>
      <c r="R2114" s="26">
        <f>IF(Q2114="","",IF(COUNTIFS($E$5:$E$3004,E2114,$A$5:$A$3004,"&gt;"&amp;A2114,$H$5:$H$3004,"&lt;&gt;Falta",$H$5:$H$3004,"&lt;&gt;Cancelado",$H$5:$H$3004,"&lt;&gt;Remarcado")&gt;0,"Sim","Não"))</f>
        <v/>
      </c>
      <c r="S2114" s="32">
        <f>IF(R2114&lt;&gt;"Não","",IF(Q2114+Config!$B$9&lt;=Config!$B$8,Config!$B$8-Q2114,""))</f>
        <v/>
      </c>
      <c r="T2114" s="26">
        <f>IF(S2114="","","Sim")</f>
        <v/>
      </c>
      <c r="U2114" s="41">
        <f>IF(T2114="Sim",S2114+ROW()/100000,0)</f>
        <v>0</v>
      </c>
      <c r="V2114" s="41">
        <f>IF(AND(H2114="Falta",L2114=Config!$B$7,M2114=Config!$B$5,COUNTIFS($E$5:E2114,E2114,$H$5:H2114,"Falta",$L$5:L2114,Config!$B$7,$M$5:M2114,Config!$B$5)=1),COUNTIFS($E$5:$E$3004,E2114,$H$5:$H$3004,"Falta",$L$5:$L$3004,Config!$B$7,$M$5:$M$3004,Config!$B$5)*1000-ROW()/100000,0)</f>
        <v>0</v>
      </c>
    </row>
    <row r="2115">
      <c r="A2115" s="39" t="n"/>
      <c r="B2115" s="40" t="n"/>
      <c r="C2115" s="35" t="n"/>
      <c r="D2115" s="35" t="n"/>
      <c r="E2115" s="34" t="n"/>
      <c r="F2115" s="35" t="n"/>
      <c r="G2115" s="35" t="n"/>
      <c r="H2115" s="35" t="n"/>
      <c r="I2115" s="35" t="n"/>
      <c r="J2115" s="35" t="n"/>
      <c r="K2115" s="34" t="n"/>
      <c r="L2115" s="26">
        <f>IF(A2115="","",MONTH(A2115))</f>
        <v/>
      </c>
      <c r="M2115" s="26">
        <f>IF(A2115="","",YEAR(A2115))</f>
        <v/>
      </c>
      <c r="N2115" s="26">
        <f>IF(A2115="","",CHOOSE(WEEKDAY(A2115,2),"Segunda","Terça","Quarta","Quinta","Sexta","Sábado","Domingo"))</f>
        <v/>
      </c>
      <c r="O2115" s="26">
        <f>IF(B2115="","",IF(B2115&lt;TIME(12,0,0),"Manhã",IF(B2115&lt;TIME(18,0,0),"Tarde","Noite")))</f>
        <v/>
      </c>
      <c r="P2115" s="32">
        <f>IF(G2115="","",IFERROR(INDEX(Config!$I$5:$I$16,MATCH(G2115,Config!$H$5:$H$16,0)),0))</f>
        <v/>
      </c>
      <c r="Q2115" s="30">
        <f>IF(OR(H2115&lt;&gt;"Realizado",P2115="",P2115=0),"",A2115+P2115)</f>
        <v/>
      </c>
      <c r="R2115" s="26">
        <f>IF(Q2115="","",IF(COUNTIFS($E$5:$E$3004,E2115,$A$5:$A$3004,"&gt;"&amp;A2115,$H$5:$H$3004,"&lt;&gt;Falta",$H$5:$H$3004,"&lt;&gt;Cancelado",$H$5:$H$3004,"&lt;&gt;Remarcado")&gt;0,"Sim","Não"))</f>
        <v/>
      </c>
      <c r="S2115" s="32">
        <f>IF(R2115&lt;&gt;"Não","",IF(Q2115+Config!$B$9&lt;=Config!$B$8,Config!$B$8-Q2115,""))</f>
        <v/>
      </c>
      <c r="T2115" s="26">
        <f>IF(S2115="","","Sim")</f>
        <v/>
      </c>
      <c r="U2115" s="41">
        <f>IF(T2115="Sim",S2115+ROW()/100000,0)</f>
        <v>0</v>
      </c>
      <c r="V2115" s="41">
        <f>IF(AND(H2115="Falta",L2115=Config!$B$7,M2115=Config!$B$5,COUNTIFS($E$5:E2115,E2115,$H$5:H2115,"Falta",$L$5:L2115,Config!$B$7,$M$5:M2115,Config!$B$5)=1),COUNTIFS($E$5:$E$3004,E2115,$H$5:$H$3004,"Falta",$L$5:$L$3004,Config!$B$7,$M$5:$M$3004,Config!$B$5)*1000-ROW()/100000,0)</f>
        <v>0</v>
      </c>
    </row>
    <row r="2116">
      <c r="A2116" s="39" t="n"/>
      <c r="B2116" s="40" t="n"/>
      <c r="C2116" s="35" t="n"/>
      <c r="D2116" s="35" t="n"/>
      <c r="E2116" s="34" t="n"/>
      <c r="F2116" s="35" t="n"/>
      <c r="G2116" s="35" t="n"/>
      <c r="H2116" s="35" t="n"/>
      <c r="I2116" s="35" t="n"/>
      <c r="J2116" s="35" t="n"/>
      <c r="K2116" s="34" t="n"/>
      <c r="L2116" s="26">
        <f>IF(A2116="","",MONTH(A2116))</f>
        <v/>
      </c>
      <c r="M2116" s="26">
        <f>IF(A2116="","",YEAR(A2116))</f>
        <v/>
      </c>
      <c r="N2116" s="26">
        <f>IF(A2116="","",CHOOSE(WEEKDAY(A2116,2),"Segunda","Terça","Quarta","Quinta","Sexta","Sábado","Domingo"))</f>
        <v/>
      </c>
      <c r="O2116" s="26">
        <f>IF(B2116="","",IF(B2116&lt;TIME(12,0,0),"Manhã",IF(B2116&lt;TIME(18,0,0),"Tarde","Noite")))</f>
        <v/>
      </c>
      <c r="P2116" s="32">
        <f>IF(G2116="","",IFERROR(INDEX(Config!$I$5:$I$16,MATCH(G2116,Config!$H$5:$H$16,0)),0))</f>
        <v/>
      </c>
      <c r="Q2116" s="30">
        <f>IF(OR(H2116&lt;&gt;"Realizado",P2116="",P2116=0),"",A2116+P2116)</f>
        <v/>
      </c>
      <c r="R2116" s="26">
        <f>IF(Q2116="","",IF(COUNTIFS($E$5:$E$3004,E2116,$A$5:$A$3004,"&gt;"&amp;A2116,$H$5:$H$3004,"&lt;&gt;Falta",$H$5:$H$3004,"&lt;&gt;Cancelado",$H$5:$H$3004,"&lt;&gt;Remarcado")&gt;0,"Sim","Não"))</f>
        <v/>
      </c>
      <c r="S2116" s="32">
        <f>IF(R2116&lt;&gt;"Não","",IF(Q2116+Config!$B$9&lt;=Config!$B$8,Config!$B$8-Q2116,""))</f>
        <v/>
      </c>
      <c r="T2116" s="26">
        <f>IF(S2116="","","Sim")</f>
        <v/>
      </c>
      <c r="U2116" s="41">
        <f>IF(T2116="Sim",S2116+ROW()/100000,0)</f>
        <v>0</v>
      </c>
      <c r="V2116" s="41">
        <f>IF(AND(H2116="Falta",L2116=Config!$B$7,M2116=Config!$B$5,COUNTIFS($E$5:E2116,E2116,$H$5:H2116,"Falta",$L$5:L2116,Config!$B$7,$M$5:M2116,Config!$B$5)=1),COUNTIFS($E$5:$E$3004,E2116,$H$5:$H$3004,"Falta",$L$5:$L$3004,Config!$B$7,$M$5:$M$3004,Config!$B$5)*1000-ROW()/100000,0)</f>
        <v>0</v>
      </c>
    </row>
    <row r="2117">
      <c r="A2117" s="39" t="n"/>
      <c r="B2117" s="40" t="n"/>
      <c r="C2117" s="35" t="n"/>
      <c r="D2117" s="35" t="n"/>
      <c r="E2117" s="34" t="n"/>
      <c r="F2117" s="35" t="n"/>
      <c r="G2117" s="35" t="n"/>
      <c r="H2117" s="35" t="n"/>
      <c r="I2117" s="35" t="n"/>
      <c r="J2117" s="35" t="n"/>
      <c r="K2117" s="34" t="n"/>
      <c r="L2117" s="26">
        <f>IF(A2117="","",MONTH(A2117))</f>
        <v/>
      </c>
      <c r="M2117" s="26">
        <f>IF(A2117="","",YEAR(A2117))</f>
        <v/>
      </c>
      <c r="N2117" s="26">
        <f>IF(A2117="","",CHOOSE(WEEKDAY(A2117,2),"Segunda","Terça","Quarta","Quinta","Sexta","Sábado","Domingo"))</f>
        <v/>
      </c>
      <c r="O2117" s="26">
        <f>IF(B2117="","",IF(B2117&lt;TIME(12,0,0),"Manhã",IF(B2117&lt;TIME(18,0,0),"Tarde","Noite")))</f>
        <v/>
      </c>
      <c r="P2117" s="32">
        <f>IF(G2117="","",IFERROR(INDEX(Config!$I$5:$I$16,MATCH(G2117,Config!$H$5:$H$16,0)),0))</f>
        <v/>
      </c>
      <c r="Q2117" s="30">
        <f>IF(OR(H2117&lt;&gt;"Realizado",P2117="",P2117=0),"",A2117+P2117)</f>
        <v/>
      </c>
      <c r="R2117" s="26">
        <f>IF(Q2117="","",IF(COUNTIFS($E$5:$E$3004,E2117,$A$5:$A$3004,"&gt;"&amp;A2117,$H$5:$H$3004,"&lt;&gt;Falta",$H$5:$H$3004,"&lt;&gt;Cancelado",$H$5:$H$3004,"&lt;&gt;Remarcado")&gt;0,"Sim","Não"))</f>
        <v/>
      </c>
      <c r="S2117" s="32">
        <f>IF(R2117&lt;&gt;"Não","",IF(Q2117+Config!$B$9&lt;=Config!$B$8,Config!$B$8-Q2117,""))</f>
        <v/>
      </c>
      <c r="T2117" s="26">
        <f>IF(S2117="","","Sim")</f>
        <v/>
      </c>
      <c r="U2117" s="41">
        <f>IF(T2117="Sim",S2117+ROW()/100000,0)</f>
        <v>0</v>
      </c>
      <c r="V2117" s="41">
        <f>IF(AND(H2117="Falta",L2117=Config!$B$7,M2117=Config!$B$5,COUNTIFS($E$5:E2117,E2117,$H$5:H2117,"Falta",$L$5:L2117,Config!$B$7,$M$5:M2117,Config!$B$5)=1),COUNTIFS($E$5:$E$3004,E2117,$H$5:$H$3004,"Falta",$L$5:$L$3004,Config!$B$7,$M$5:$M$3004,Config!$B$5)*1000-ROW()/100000,0)</f>
        <v>0</v>
      </c>
    </row>
    <row r="2118">
      <c r="A2118" s="39" t="n"/>
      <c r="B2118" s="40" t="n"/>
      <c r="C2118" s="35" t="n"/>
      <c r="D2118" s="35" t="n"/>
      <c r="E2118" s="34" t="n"/>
      <c r="F2118" s="35" t="n"/>
      <c r="G2118" s="35" t="n"/>
      <c r="H2118" s="35" t="n"/>
      <c r="I2118" s="35" t="n"/>
      <c r="J2118" s="35" t="n"/>
      <c r="K2118" s="34" t="n"/>
      <c r="L2118" s="26">
        <f>IF(A2118="","",MONTH(A2118))</f>
        <v/>
      </c>
      <c r="M2118" s="26">
        <f>IF(A2118="","",YEAR(A2118))</f>
        <v/>
      </c>
      <c r="N2118" s="26">
        <f>IF(A2118="","",CHOOSE(WEEKDAY(A2118,2),"Segunda","Terça","Quarta","Quinta","Sexta","Sábado","Domingo"))</f>
        <v/>
      </c>
      <c r="O2118" s="26">
        <f>IF(B2118="","",IF(B2118&lt;TIME(12,0,0),"Manhã",IF(B2118&lt;TIME(18,0,0),"Tarde","Noite")))</f>
        <v/>
      </c>
      <c r="P2118" s="32">
        <f>IF(G2118="","",IFERROR(INDEX(Config!$I$5:$I$16,MATCH(G2118,Config!$H$5:$H$16,0)),0))</f>
        <v/>
      </c>
      <c r="Q2118" s="30">
        <f>IF(OR(H2118&lt;&gt;"Realizado",P2118="",P2118=0),"",A2118+P2118)</f>
        <v/>
      </c>
      <c r="R2118" s="26">
        <f>IF(Q2118="","",IF(COUNTIFS($E$5:$E$3004,E2118,$A$5:$A$3004,"&gt;"&amp;A2118,$H$5:$H$3004,"&lt;&gt;Falta",$H$5:$H$3004,"&lt;&gt;Cancelado",$H$5:$H$3004,"&lt;&gt;Remarcado")&gt;0,"Sim","Não"))</f>
        <v/>
      </c>
      <c r="S2118" s="32">
        <f>IF(R2118&lt;&gt;"Não","",IF(Q2118+Config!$B$9&lt;=Config!$B$8,Config!$B$8-Q2118,""))</f>
        <v/>
      </c>
      <c r="T2118" s="26">
        <f>IF(S2118="","","Sim")</f>
        <v/>
      </c>
      <c r="U2118" s="41">
        <f>IF(T2118="Sim",S2118+ROW()/100000,0)</f>
        <v>0</v>
      </c>
      <c r="V2118" s="41">
        <f>IF(AND(H2118="Falta",L2118=Config!$B$7,M2118=Config!$B$5,COUNTIFS($E$5:E2118,E2118,$H$5:H2118,"Falta",$L$5:L2118,Config!$B$7,$M$5:M2118,Config!$B$5)=1),COUNTIFS($E$5:$E$3004,E2118,$H$5:$H$3004,"Falta",$L$5:$L$3004,Config!$B$7,$M$5:$M$3004,Config!$B$5)*1000-ROW()/100000,0)</f>
        <v>0</v>
      </c>
    </row>
    <row r="2119">
      <c r="A2119" s="39" t="n"/>
      <c r="B2119" s="40" t="n"/>
      <c r="C2119" s="35" t="n"/>
      <c r="D2119" s="35" t="n"/>
      <c r="E2119" s="34" t="n"/>
      <c r="F2119" s="35" t="n"/>
      <c r="G2119" s="35" t="n"/>
      <c r="H2119" s="35" t="n"/>
      <c r="I2119" s="35" t="n"/>
      <c r="J2119" s="35" t="n"/>
      <c r="K2119" s="34" t="n"/>
      <c r="L2119" s="26">
        <f>IF(A2119="","",MONTH(A2119))</f>
        <v/>
      </c>
      <c r="M2119" s="26">
        <f>IF(A2119="","",YEAR(A2119))</f>
        <v/>
      </c>
      <c r="N2119" s="26">
        <f>IF(A2119="","",CHOOSE(WEEKDAY(A2119,2),"Segunda","Terça","Quarta","Quinta","Sexta","Sábado","Domingo"))</f>
        <v/>
      </c>
      <c r="O2119" s="26">
        <f>IF(B2119="","",IF(B2119&lt;TIME(12,0,0),"Manhã",IF(B2119&lt;TIME(18,0,0),"Tarde","Noite")))</f>
        <v/>
      </c>
      <c r="P2119" s="32">
        <f>IF(G2119="","",IFERROR(INDEX(Config!$I$5:$I$16,MATCH(G2119,Config!$H$5:$H$16,0)),0))</f>
        <v/>
      </c>
      <c r="Q2119" s="30">
        <f>IF(OR(H2119&lt;&gt;"Realizado",P2119="",P2119=0),"",A2119+P2119)</f>
        <v/>
      </c>
      <c r="R2119" s="26">
        <f>IF(Q2119="","",IF(COUNTIFS($E$5:$E$3004,E2119,$A$5:$A$3004,"&gt;"&amp;A2119,$H$5:$H$3004,"&lt;&gt;Falta",$H$5:$H$3004,"&lt;&gt;Cancelado",$H$5:$H$3004,"&lt;&gt;Remarcado")&gt;0,"Sim","Não"))</f>
        <v/>
      </c>
      <c r="S2119" s="32">
        <f>IF(R2119&lt;&gt;"Não","",IF(Q2119+Config!$B$9&lt;=Config!$B$8,Config!$B$8-Q2119,""))</f>
        <v/>
      </c>
      <c r="T2119" s="26">
        <f>IF(S2119="","","Sim")</f>
        <v/>
      </c>
      <c r="U2119" s="41">
        <f>IF(T2119="Sim",S2119+ROW()/100000,0)</f>
        <v>0</v>
      </c>
      <c r="V2119" s="41">
        <f>IF(AND(H2119="Falta",L2119=Config!$B$7,M2119=Config!$B$5,COUNTIFS($E$5:E2119,E2119,$H$5:H2119,"Falta",$L$5:L2119,Config!$B$7,$M$5:M2119,Config!$B$5)=1),COUNTIFS($E$5:$E$3004,E2119,$H$5:$H$3004,"Falta",$L$5:$L$3004,Config!$B$7,$M$5:$M$3004,Config!$B$5)*1000-ROW()/100000,0)</f>
        <v>0</v>
      </c>
    </row>
    <row r="2120">
      <c r="A2120" s="39" t="n"/>
      <c r="B2120" s="40" t="n"/>
      <c r="C2120" s="35" t="n"/>
      <c r="D2120" s="35" t="n"/>
      <c r="E2120" s="34" t="n"/>
      <c r="F2120" s="35" t="n"/>
      <c r="G2120" s="35" t="n"/>
      <c r="H2120" s="35" t="n"/>
      <c r="I2120" s="35" t="n"/>
      <c r="J2120" s="35" t="n"/>
      <c r="K2120" s="34" t="n"/>
      <c r="L2120" s="26">
        <f>IF(A2120="","",MONTH(A2120))</f>
        <v/>
      </c>
      <c r="M2120" s="26">
        <f>IF(A2120="","",YEAR(A2120))</f>
        <v/>
      </c>
      <c r="N2120" s="26">
        <f>IF(A2120="","",CHOOSE(WEEKDAY(A2120,2),"Segunda","Terça","Quarta","Quinta","Sexta","Sábado","Domingo"))</f>
        <v/>
      </c>
      <c r="O2120" s="26">
        <f>IF(B2120="","",IF(B2120&lt;TIME(12,0,0),"Manhã",IF(B2120&lt;TIME(18,0,0),"Tarde","Noite")))</f>
        <v/>
      </c>
      <c r="P2120" s="32">
        <f>IF(G2120="","",IFERROR(INDEX(Config!$I$5:$I$16,MATCH(G2120,Config!$H$5:$H$16,0)),0))</f>
        <v/>
      </c>
      <c r="Q2120" s="30">
        <f>IF(OR(H2120&lt;&gt;"Realizado",P2120="",P2120=0),"",A2120+P2120)</f>
        <v/>
      </c>
      <c r="R2120" s="26">
        <f>IF(Q2120="","",IF(COUNTIFS($E$5:$E$3004,E2120,$A$5:$A$3004,"&gt;"&amp;A2120,$H$5:$H$3004,"&lt;&gt;Falta",$H$5:$H$3004,"&lt;&gt;Cancelado",$H$5:$H$3004,"&lt;&gt;Remarcado")&gt;0,"Sim","Não"))</f>
        <v/>
      </c>
      <c r="S2120" s="32">
        <f>IF(R2120&lt;&gt;"Não","",IF(Q2120+Config!$B$9&lt;=Config!$B$8,Config!$B$8-Q2120,""))</f>
        <v/>
      </c>
      <c r="T2120" s="26">
        <f>IF(S2120="","","Sim")</f>
        <v/>
      </c>
      <c r="U2120" s="41">
        <f>IF(T2120="Sim",S2120+ROW()/100000,0)</f>
        <v>0</v>
      </c>
      <c r="V2120" s="41">
        <f>IF(AND(H2120="Falta",L2120=Config!$B$7,M2120=Config!$B$5,COUNTIFS($E$5:E2120,E2120,$H$5:H2120,"Falta",$L$5:L2120,Config!$B$7,$M$5:M2120,Config!$B$5)=1),COUNTIFS($E$5:$E$3004,E2120,$H$5:$H$3004,"Falta",$L$5:$L$3004,Config!$B$7,$M$5:$M$3004,Config!$B$5)*1000-ROW()/100000,0)</f>
        <v>0</v>
      </c>
    </row>
    <row r="2121">
      <c r="A2121" s="39" t="n"/>
      <c r="B2121" s="40" t="n"/>
      <c r="C2121" s="35" t="n"/>
      <c r="D2121" s="35" t="n"/>
      <c r="E2121" s="34" t="n"/>
      <c r="F2121" s="35" t="n"/>
      <c r="G2121" s="35" t="n"/>
      <c r="H2121" s="35" t="n"/>
      <c r="I2121" s="35" t="n"/>
      <c r="J2121" s="35" t="n"/>
      <c r="K2121" s="34" t="n"/>
      <c r="L2121" s="26">
        <f>IF(A2121="","",MONTH(A2121))</f>
        <v/>
      </c>
      <c r="M2121" s="26">
        <f>IF(A2121="","",YEAR(A2121))</f>
        <v/>
      </c>
      <c r="N2121" s="26">
        <f>IF(A2121="","",CHOOSE(WEEKDAY(A2121,2),"Segunda","Terça","Quarta","Quinta","Sexta","Sábado","Domingo"))</f>
        <v/>
      </c>
      <c r="O2121" s="26">
        <f>IF(B2121="","",IF(B2121&lt;TIME(12,0,0),"Manhã",IF(B2121&lt;TIME(18,0,0),"Tarde","Noite")))</f>
        <v/>
      </c>
      <c r="P2121" s="32">
        <f>IF(G2121="","",IFERROR(INDEX(Config!$I$5:$I$16,MATCH(G2121,Config!$H$5:$H$16,0)),0))</f>
        <v/>
      </c>
      <c r="Q2121" s="30">
        <f>IF(OR(H2121&lt;&gt;"Realizado",P2121="",P2121=0),"",A2121+P2121)</f>
        <v/>
      </c>
      <c r="R2121" s="26">
        <f>IF(Q2121="","",IF(COUNTIFS($E$5:$E$3004,E2121,$A$5:$A$3004,"&gt;"&amp;A2121,$H$5:$H$3004,"&lt;&gt;Falta",$H$5:$H$3004,"&lt;&gt;Cancelado",$H$5:$H$3004,"&lt;&gt;Remarcado")&gt;0,"Sim","Não"))</f>
        <v/>
      </c>
      <c r="S2121" s="32">
        <f>IF(R2121&lt;&gt;"Não","",IF(Q2121+Config!$B$9&lt;=Config!$B$8,Config!$B$8-Q2121,""))</f>
        <v/>
      </c>
      <c r="T2121" s="26">
        <f>IF(S2121="","","Sim")</f>
        <v/>
      </c>
      <c r="U2121" s="41">
        <f>IF(T2121="Sim",S2121+ROW()/100000,0)</f>
        <v>0</v>
      </c>
      <c r="V2121" s="41">
        <f>IF(AND(H2121="Falta",L2121=Config!$B$7,M2121=Config!$B$5,COUNTIFS($E$5:E2121,E2121,$H$5:H2121,"Falta",$L$5:L2121,Config!$B$7,$M$5:M2121,Config!$B$5)=1),COUNTIFS($E$5:$E$3004,E2121,$H$5:$H$3004,"Falta",$L$5:$L$3004,Config!$B$7,$M$5:$M$3004,Config!$B$5)*1000-ROW()/100000,0)</f>
        <v>0</v>
      </c>
    </row>
    <row r="2122">
      <c r="A2122" s="39" t="n"/>
      <c r="B2122" s="40" t="n"/>
      <c r="C2122" s="35" t="n"/>
      <c r="D2122" s="35" t="n"/>
      <c r="E2122" s="34" t="n"/>
      <c r="F2122" s="35" t="n"/>
      <c r="G2122" s="35" t="n"/>
      <c r="H2122" s="35" t="n"/>
      <c r="I2122" s="35" t="n"/>
      <c r="J2122" s="35" t="n"/>
      <c r="K2122" s="34" t="n"/>
      <c r="L2122" s="26">
        <f>IF(A2122="","",MONTH(A2122))</f>
        <v/>
      </c>
      <c r="M2122" s="26">
        <f>IF(A2122="","",YEAR(A2122))</f>
        <v/>
      </c>
      <c r="N2122" s="26">
        <f>IF(A2122="","",CHOOSE(WEEKDAY(A2122,2),"Segunda","Terça","Quarta","Quinta","Sexta","Sábado","Domingo"))</f>
        <v/>
      </c>
      <c r="O2122" s="26">
        <f>IF(B2122="","",IF(B2122&lt;TIME(12,0,0),"Manhã",IF(B2122&lt;TIME(18,0,0),"Tarde","Noite")))</f>
        <v/>
      </c>
      <c r="P2122" s="32">
        <f>IF(G2122="","",IFERROR(INDEX(Config!$I$5:$I$16,MATCH(G2122,Config!$H$5:$H$16,0)),0))</f>
        <v/>
      </c>
      <c r="Q2122" s="30">
        <f>IF(OR(H2122&lt;&gt;"Realizado",P2122="",P2122=0),"",A2122+P2122)</f>
        <v/>
      </c>
      <c r="R2122" s="26">
        <f>IF(Q2122="","",IF(COUNTIFS($E$5:$E$3004,E2122,$A$5:$A$3004,"&gt;"&amp;A2122,$H$5:$H$3004,"&lt;&gt;Falta",$H$5:$H$3004,"&lt;&gt;Cancelado",$H$5:$H$3004,"&lt;&gt;Remarcado")&gt;0,"Sim","Não"))</f>
        <v/>
      </c>
      <c r="S2122" s="32">
        <f>IF(R2122&lt;&gt;"Não","",IF(Q2122+Config!$B$9&lt;=Config!$B$8,Config!$B$8-Q2122,""))</f>
        <v/>
      </c>
      <c r="T2122" s="26">
        <f>IF(S2122="","","Sim")</f>
        <v/>
      </c>
      <c r="U2122" s="41">
        <f>IF(T2122="Sim",S2122+ROW()/100000,0)</f>
        <v>0</v>
      </c>
      <c r="V2122" s="41">
        <f>IF(AND(H2122="Falta",L2122=Config!$B$7,M2122=Config!$B$5,COUNTIFS($E$5:E2122,E2122,$H$5:H2122,"Falta",$L$5:L2122,Config!$B$7,$M$5:M2122,Config!$B$5)=1),COUNTIFS($E$5:$E$3004,E2122,$H$5:$H$3004,"Falta",$L$5:$L$3004,Config!$B$7,$M$5:$M$3004,Config!$B$5)*1000-ROW()/100000,0)</f>
        <v>0</v>
      </c>
    </row>
    <row r="2123">
      <c r="A2123" s="39" t="n"/>
      <c r="B2123" s="40" t="n"/>
      <c r="C2123" s="35" t="n"/>
      <c r="D2123" s="35" t="n"/>
      <c r="E2123" s="34" t="n"/>
      <c r="F2123" s="35" t="n"/>
      <c r="G2123" s="35" t="n"/>
      <c r="H2123" s="35" t="n"/>
      <c r="I2123" s="35" t="n"/>
      <c r="J2123" s="35" t="n"/>
      <c r="K2123" s="34" t="n"/>
      <c r="L2123" s="26">
        <f>IF(A2123="","",MONTH(A2123))</f>
        <v/>
      </c>
      <c r="M2123" s="26">
        <f>IF(A2123="","",YEAR(A2123))</f>
        <v/>
      </c>
      <c r="N2123" s="26">
        <f>IF(A2123="","",CHOOSE(WEEKDAY(A2123,2),"Segunda","Terça","Quarta","Quinta","Sexta","Sábado","Domingo"))</f>
        <v/>
      </c>
      <c r="O2123" s="26">
        <f>IF(B2123="","",IF(B2123&lt;TIME(12,0,0),"Manhã",IF(B2123&lt;TIME(18,0,0),"Tarde","Noite")))</f>
        <v/>
      </c>
      <c r="P2123" s="32">
        <f>IF(G2123="","",IFERROR(INDEX(Config!$I$5:$I$16,MATCH(G2123,Config!$H$5:$H$16,0)),0))</f>
        <v/>
      </c>
      <c r="Q2123" s="30">
        <f>IF(OR(H2123&lt;&gt;"Realizado",P2123="",P2123=0),"",A2123+P2123)</f>
        <v/>
      </c>
      <c r="R2123" s="26">
        <f>IF(Q2123="","",IF(COUNTIFS($E$5:$E$3004,E2123,$A$5:$A$3004,"&gt;"&amp;A2123,$H$5:$H$3004,"&lt;&gt;Falta",$H$5:$H$3004,"&lt;&gt;Cancelado",$H$5:$H$3004,"&lt;&gt;Remarcado")&gt;0,"Sim","Não"))</f>
        <v/>
      </c>
      <c r="S2123" s="32">
        <f>IF(R2123&lt;&gt;"Não","",IF(Q2123+Config!$B$9&lt;=Config!$B$8,Config!$B$8-Q2123,""))</f>
        <v/>
      </c>
      <c r="T2123" s="26">
        <f>IF(S2123="","","Sim")</f>
        <v/>
      </c>
      <c r="U2123" s="41">
        <f>IF(T2123="Sim",S2123+ROW()/100000,0)</f>
        <v>0</v>
      </c>
      <c r="V2123" s="41">
        <f>IF(AND(H2123="Falta",L2123=Config!$B$7,M2123=Config!$B$5,COUNTIFS($E$5:E2123,E2123,$H$5:H2123,"Falta",$L$5:L2123,Config!$B$7,$M$5:M2123,Config!$B$5)=1),COUNTIFS($E$5:$E$3004,E2123,$H$5:$H$3004,"Falta",$L$5:$L$3004,Config!$B$7,$M$5:$M$3004,Config!$B$5)*1000-ROW()/100000,0)</f>
        <v>0</v>
      </c>
    </row>
    <row r="2124">
      <c r="A2124" s="39" t="n"/>
      <c r="B2124" s="40" t="n"/>
      <c r="C2124" s="35" t="n"/>
      <c r="D2124" s="35" t="n"/>
      <c r="E2124" s="34" t="n"/>
      <c r="F2124" s="35" t="n"/>
      <c r="G2124" s="35" t="n"/>
      <c r="H2124" s="35" t="n"/>
      <c r="I2124" s="35" t="n"/>
      <c r="J2124" s="35" t="n"/>
      <c r="K2124" s="34" t="n"/>
      <c r="L2124" s="26">
        <f>IF(A2124="","",MONTH(A2124))</f>
        <v/>
      </c>
      <c r="M2124" s="26">
        <f>IF(A2124="","",YEAR(A2124))</f>
        <v/>
      </c>
      <c r="N2124" s="26">
        <f>IF(A2124="","",CHOOSE(WEEKDAY(A2124,2),"Segunda","Terça","Quarta","Quinta","Sexta","Sábado","Domingo"))</f>
        <v/>
      </c>
      <c r="O2124" s="26">
        <f>IF(B2124="","",IF(B2124&lt;TIME(12,0,0),"Manhã",IF(B2124&lt;TIME(18,0,0),"Tarde","Noite")))</f>
        <v/>
      </c>
      <c r="P2124" s="32">
        <f>IF(G2124="","",IFERROR(INDEX(Config!$I$5:$I$16,MATCH(G2124,Config!$H$5:$H$16,0)),0))</f>
        <v/>
      </c>
      <c r="Q2124" s="30">
        <f>IF(OR(H2124&lt;&gt;"Realizado",P2124="",P2124=0),"",A2124+P2124)</f>
        <v/>
      </c>
      <c r="R2124" s="26">
        <f>IF(Q2124="","",IF(COUNTIFS($E$5:$E$3004,E2124,$A$5:$A$3004,"&gt;"&amp;A2124,$H$5:$H$3004,"&lt;&gt;Falta",$H$5:$H$3004,"&lt;&gt;Cancelado",$H$5:$H$3004,"&lt;&gt;Remarcado")&gt;0,"Sim","Não"))</f>
        <v/>
      </c>
      <c r="S2124" s="32">
        <f>IF(R2124&lt;&gt;"Não","",IF(Q2124+Config!$B$9&lt;=Config!$B$8,Config!$B$8-Q2124,""))</f>
        <v/>
      </c>
      <c r="T2124" s="26">
        <f>IF(S2124="","","Sim")</f>
        <v/>
      </c>
      <c r="U2124" s="41">
        <f>IF(T2124="Sim",S2124+ROW()/100000,0)</f>
        <v>0</v>
      </c>
      <c r="V2124" s="41">
        <f>IF(AND(H2124="Falta",L2124=Config!$B$7,M2124=Config!$B$5,COUNTIFS($E$5:E2124,E2124,$H$5:H2124,"Falta",$L$5:L2124,Config!$B$7,$M$5:M2124,Config!$B$5)=1),COUNTIFS($E$5:$E$3004,E2124,$H$5:$H$3004,"Falta",$L$5:$L$3004,Config!$B$7,$M$5:$M$3004,Config!$B$5)*1000-ROW()/100000,0)</f>
        <v>0</v>
      </c>
    </row>
    <row r="2125">
      <c r="A2125" s="39" t="n"/>
      <c r="B2125" s="40" t="n"/>
      <c r="C2125" s="35" t="n"/>
      <c r="D2125" s="35" t="n"/>
      <c r="E2125" s="34" t="n"/>
      <c r="F2125" s="35" t="n"/>
      <c r="G2125" s="35" t="n"/>
      <c r="H2125" s="35" t="n"/>
      <c r="I2125" s="35" t="n"/>
      <c r="J2125" s="35" t="n"/>
      <c r="K2125" s="34" t="n"/>
      <c r="L2125" s="26">
        <f>IF(A2125="","",MONTH(A2125))</f>
        <v/>
      </c>
      <c r="M2125" s="26">
        <f>IF(A2125="","",YEAR(A2125))</f>
        <v/>
      </c>
      <c r="N2125" s="26">
        <f>IF(A2125="","",CHOOSE(WEEKDAY(A2125,2),"Segunda","Terça","Quarta","Quinta","Sexta","Sábado","Domingo"))</f>
        <v/>
      </c>
      <c r="O2125" s="26">
        <f>IF(B2125="","",IF(B2125&lt;TIME(12,0,0),"Manhã",IF(B2125&lt;TIME(18,0,0),"Tarde","Noite")))</f>
        <v/>
      </c>
      <c r="P2125" s="32">
        <f>IF(G2125="","",IFERROR(INDEX(Config!$I$5:$I$16,MATCH(G2125,Config!$H$5:$H$16,0)),0))</f>
        <v/>
      </c>
      <c r="Q2125" s="30">
        <f>IF(OR(H2125&lt;&gt;"Realizado",P2125="",P2125=0),"",A2125+P2125)</f>
        <v/>
      </c>
      <c r="R2125" s="26">
        <f>IF(Q2125="","",IF(COUNTIFS($E$5:$E$3004,E2125,$A$5:$A$3004,"&gt;"&amp;A2125,$H$5:$H$3004,"&lt;&gt;Falta",$H$5:$H$3004,"&lt;&gt;Cancelado",$H$5:$H$3004,"&lt;&gt;Remarcado")&gt;0,"Sim","Não"))</f>
        <v/>
      </c>
      <c r="S2125" s="32">
        <f>IF(R2125&lt;&gt;"Não","",IF(Q2125+Config!$B$9&lt;=Config!$B$8,Config!$B$8-Q2125,""))</f>
        <v/>
      </c>
      <c r="T2125" s="26">
        <f>IF(S2125="","","Sim")</f>
        <v/>
      </c>
      <c r="U2125" s="41">
        <f>IF(T2125="Sim",S2125+ROW()/100000,0)</f>
        <v>0</v>
      </c>
      <c r="V2125" s="41">
        <f>IF(AND(H2125="Falta",L2125=Config!$B$7,M2125=Config!$B$5,COUNTIFS($E$5:E2125,E2125,$H$5:H2125,"Falta",$L$5:L2125,Config!$B$7,$M$5:M2125,Config!$B$5)=1),COUNTIFS($E$5:$E$3004,E2125,$H$5:$H$3004,"Falta",$L$5:$L$3004,Config!$B$7,$M$5:$M$3004,Config!$B$5)*1000-ROW()/100000,0)</f>
        <v>0</v>
      </c>
    </row>
    <row r="2126">
      <c r="A2126" s="39" t="n"/>
      <c r="B2126" s="40" t="n"/>
      <c r="C2126" s="35" t="n"/>
      <c r="D2126" s="35" t="n"/>
      <c r="E2126" s="34" t="n"/>
      <c r="F2126" s="35" t="n"/>
      <c r="G2126" s="35" t="n"/>
      <c r="H2126" s="35" t="n"/>
      <c r="I2126" s="35" t="n"/>
      <c r="J2126" s="35" t="n"/>
      <c r="K2126" s="34" t="n"/>
      <c r="L2126" s="26">
        <f>IF(A2126="","",MONTH(A2126))</f>
        <v/>
      </c>
      <c r="M2126" s="26">
        <f>IF(A2126="","",YEAR(A2126))</f>
        <v/>
      </c>
      <c r="N2126" s="26">
        <f>IF(A2126="","",CHOOSE(WEEKDAY(A2126,2),"Segunda","Terça","Quarta","Quinta","Sexta","Sábado","Domingo"))</f>
        <v/>
      </c>
      <c r="O2126" s="26">
        <f>IF(B2126="","",IF(B2126&lt;TIME(12,0,0),"Manhã",IF(B2126&lt;TIME(18,0,0),"Tarde","Noite")))</f>
        <v/>
      </c>
      <c r="P2126" s="32">
        <f>IF(G2126="","",IFERROR(INDEX(Config!$I$5:$I$16,MATCH(G2126,Config!$H$5:$H$16,0)),0))</f>
        <v/>
      </c>
      <c r="Q2126" s="30">
        <f>IF(OR(H2126&lt;&gt;"Realizado",P2126="",P2126=0),"",A2126+P2126)</f>
        <v/>
      </c>
      <c r="R2126" s="26">
        <f>IF(Q2126="","",IF(COUNTIFS($E$5:$E$3004,E2126,$A$5:$A$3004,"&gt;"&amp;A2126,$H$5:$H$3004,"&lt;&gt;Falta",$H$5:$H$3004,"&lt;&gt;Cancelado",$H$5:$H$3004,"&lt;&gt;Remarcado")&gt;0,"Sim","Não"))</f>
        <v/>
      </c>
      <c r="S2126" s="32">
        <f>IF(R2126&lt;&gt;"Não","",IF(Q2126+Config!$B$9&lt;=Config!$B$8,Config!$B$8-Q2126,""))</f>
        <v/>
      </c>
      <c r="T2126" s="26">
        <f>IF(S2126="","","Sim")</f>
        <v/>
      </c>
      <c r="U2126" s="41">
        <f>IF(T2126="Sim",S2126+ROW()/100000,0)</f>
        <v>0</v>
      </c>
      <c r="V2126" s="41">
        <f>IF(AND(H2126="Falta",L2126=Config!$B$7,M2126=Config!$B$5,COUNTIFS($E$5:E2126,E2126,$H$5:H2126,"Falta",$L$5:L2126,Config!$B$7,$M$5:M2126,Config!$B$5)=1),COUNTIFS($E$5:$E$3004,E2126,$H$5:$H$3004,"Falta",$L$5:$L$3004,Config!$B$7,$M$5:$M$3004,Config!$B$5)*1000-ROW()/100000,0)</f>
        <v>0</v>
      </c>
    </row>
    <row r="2127">
      <c r="A2127" s="39" t="n"/>
      <c r="B2127" s="40" t="n"/>
      <c r="C2127" s="35" t="n"/>
      <c r="D2127" s="35" t="n"/>
      <c r="E2127" s="34" t="n"/>
      <c r="F2127" s="35" t="n"/>
      <c r="G2127" s="35" t="n"/>
      <c r="H2127" s="35" t="n"/>
      <c r="I2127" s="35" t="n"/>
      <c r="J2127" s="35" t="n"/>
      <c r="K2127" s="34" t="n"/>
      <c r="L2127" s="26">
        <f>IF(A2127="","",MONTH(A2127))</f>
        <v/>
      </c>
      <c r="M2127" s="26">
        <f>IF(A2127="","",YEAR(A2127))</f>
        <v/>
      </c>
      <c r="N2127" s="26">
        <f>IF(A2127="","",CHOOSE(WEEKDAY(A2127,2),"Segunda","Terça","Quarta","Quinta","Sexta","Sábado","Domingo"))</f>
        <v/>
      </c>
      <c r="O2127" s="26">
        <f>IF(B2127="","",IF(B2127&lt;TIME(12,0,0),"Manhã",IF(B2127&lt;TIME(18,0,0),"Tarde","Noite")))</f>
        <v/>
      </c>
      <c r="P2127" s="32">
        <f>IF(G2127="","",IFERROR(INDEX(Config!$I$5:$I$16,MATCH(G2127,Config!$H$5:$H$16,0)),0))</f>
        <v/>
      </c>
      <c r="Q2127" s="30">
        <f>IF(OR(H2127&lt;&gt;"Realizado",P2127="",P2127=0),"",A2127+P2127)</f>
        <v/>
      </c>
      <c r="R2127" s="26">
        <f>IF(Q2127="","",IF(COUNTIFS($E$5:$E$3004,E2127,$A$5:$A$3004,"&gt;"&amp;A2127,$H$5:$H$3004,"&lt;&gt;Falta",$H$5:$H$3004,"&lt;&gt;Cancelado",$H$5:$H$3004,"&lt;&gt;Remarcado")&gt;0,"Sim","Não"))</f>
        <v/>
      </c>
      <c r="S2127" s="32">
        <f>IF(R2127&lt;&gt;"Não","",IF(Q2127+Config!$B$9&lt;=Config!$B$8,Config!$B$8-Q2127,""))</f>
        <v/>
      </c>
      <c r="T2127" s="26">
        <f>IF(S2127="","","Sim")</f>
        <v/>
      </c>
      <c r="U2127" s="41">
        <f>IF(T2127="Sim",S2127+ROW()/100000,0)</f>
        <v>0</v>
      </c>
      <c r="V2127" s="41">
        <f>IF(AND(H2127="Falta",L2127=Config!$B$7,M2127=Config!$B$5,COUNTIFS($E$5:E2127,E2127,$H$5:H2127,"Falta",$L$5:L2127,Config!$B$7,$M$5:M2127,Config!$B$5)=1),COUNTIFS($E$5:$E$3004,E2127,$H$5:$H$3004,"Falta",$L$5:$L$3004,Config!$B$7,$M$5:$M$3004,Config!$B$5)*1000-ROW()/100000,0)</f>
        <v>0</v>
      </c>
    </row>
    <row r="2128">
      <c r="A2128" s="39" t="n"/>
      <c r="B2128" s="40" t="n"/>
      <c r="C2128" s="35" t="n"/>
      <c r="D2128" s="35" t="n"/>
      <c r="E2128" s="34" t="n"/>
      <c r="F2128" s="35" t="n"/>
      <c r="G2128" s="35" t="n"/>
      <c r="H2128" s="35" t="n"/>
      <c r="I2128" s="35" t="n"/>
      <c r="J2128" s="35" t="n"/>
      <c r="K2128" s="34" t="n"/>
      <c r="L2128" s="26">
        <f>IF(A2128="","",MONTH(A2128))</f>
        <v/>
      </c>
      <c r="M2128" s="26">
        <f>IF(A2128="","",YEAR(A2128))</f>
        <v/>
      </c>
      <c r="N2128" s="26">
        <f>IF(A2128="","",CHOOSE(WEEKDAY(A2128,2),"Segunda","Terça","Quarta","Quinta","Sexta","Sábado","Domingo"))</f>
        <v/>
      </c>
      <c r="O2128" s="26">
        <f>IF(B2128="","",IF(B2128&lt;TIME(12,0,0),"Manhã",IF(B2128&lt;TIME(18,0,0),"Tarde","Noite")))</f>
        <v/>
      </c>
      <c r="P2128" s="32">
        <f>IF(G2128="","",IFERROR(INDEX(Config!$I$5:$I$16,MATCH(G2128,Config!$H$5:$H$16,0)),0))</f>
        <v/>
      </c>
      <c r="Q2128" s="30">
        <f>IF(OR(H2128&lt;&gt;"Realizado",P2128="",P2128=0),"",A2128+P2128)</f>
        <v/>
      </c>
      <c r="R2128" s="26">
        <f>IF(Q2128="","",IF(COUNTIFS($E$5:$E$3004,E2128,$A$5:$A$3004,"&gt;"&amp;A2128,$H$5:$H$3004,"&lt;&gt;Falta",$H$5:$H$3004,"&lt;&gt;Cancelado",$H$5:$H$3004,"&lt;&gt;Remarcado")&gt;0,"Sim","Não"))</f>
        <v/>
      </c>
      <c r="S2128" s="32">
        <f>IF(R2128&lt;&gt;"Não","",IF(Q2128+Config!$B$9&lt;=Config!$B$8,Config!$B$8-Q2128,""))</f>
        <v/>
      </c>
      <c r="T2128" s="26">
        <f>IF(S2128="","","Sim")</f>
        <v/>
      </c>
      <c r="U2128" s="41">
        <f>IF(T2128="Sim",S2128+ROW()/100000,0)</f>
        <v>0</v>
      </c>
      <c r="V2128" s="41">
        <f>IF(AND(H2128="Falta",L2128=Config!$B$7,M2128=Config!$B$5,COUNTIFS($E$5:E2128,E2128,$H$5:H2128,"Falta",$L$5:L2128,Config!$B$7,$M$5:M2128,Config!$B$5)=1),COUNTIFS($E$5:$E$3004,E2128,$H$5:$H$3004,"Falta",$L$5:$L$3004,Config!$B$7,$M$5:$M$3004,Config!$B$5)*1000-ROW()/100000,0)</f>
        <v>0</v>
      </c>
    </row>
    <row r="2129">
      <c r="A2129" s="39" t="n"/>
      <c r="B2129" s="40" t="n"/>
      <c r="C2129" s="35" t="n"/>
      <c r="D2129" s="35" t="n"/>
      <c r="E2129" s="34" t="n"/>
      <c r="F2129" s="35" t="n"/>
      <c r="G2129" s="35" t="n"/>
      <c r="H2129" s="35" t="n"/>
      <c r="I2129" s="35" t="n"/>
      <c r="J2129" s="35" t="n"/>
      <c r="K2129" s="34" t="n"/>
      <c r="L2129" s="26">
        <f>IF(A2129="","",MONTH(A2129))</f>
        <v/>
      </c>
      <c r="M2129" s="26">
        <f>IF(A2129="","",YEAR(A2129))</f>
        <v/>
      </c>
      <c r="N2129" s="26">
        <f>IF(A2129="","",CHOOSE(WEEKDAY(A2129,2),"Segunda","Terça","Quarta","Quinta","Sexta","Sábado","Domingo"))</f>
        <v/>
      </c>
      <c r="O2129" s="26">
        <f>IF(B2129="","",IF(B2129&lt;TIME(12,0,0),"Manhã",IF(B2129&lt;TIME(18,0,0),"Tarde","Noite")))</f>
        <v/>
      </c>
      <c r="P2129" s="32">
        <f>IF(G2129="","",IFERROR(INDEX(Config!$I$5:$I$16,MATCH(G2129,Config!$H$5:$H$16,0)),0))</f>
        <v/>
      </c>
      <c r="Q2129" s="30">
        <f>IF(OR(H2129&lt;&gt;"Realizado",P2129="",P2129=0),"",A2129+P2129)</f>
        <v/>
      </c>
      <c r="R2129" s="26">
        <f>IF(Q2129="","",IF(COUNTIFS($E$5:$E$3004,E2129,$A$5:$A$3004,"&gt;"&amp;A2129,$H$5:$H$3004,"&lt;&gt;Falta",$H$5:$H$3004,"&lt;&gt;Cancelado",$H$5:$H$3004,"&lt;&gt;Remarcado")&gt;0,"Sim","Não"))</f>
        <v/>
      </c>
      <c r="S2129" s="32">
        <f>IF(R2129&lt;&gt;"Não","",IF(Q2129+Config!$B$9&lt;=Config!$B$8,Config!$B$8-Q2129,""))</f>
        <v/>
      </c>
      <c r="T2129" s="26">
        <f>IF(S2129="","","Sim")</f>
        <v/>
      </c>
      <c r="U2129" s="41">
        <f>IF(T2129="Sim",S2129+ROW()/100000,0)</f>
        <v>0</v>
      </c>
      <c r="V2129" s="41">
        <f>IF(AND(H2129="Falta",L2129=Config!$B$7,M2129=Config!$B$5,COUNTIFS($E$5:E2129,E2129,$H$5:H2129,"Falta",$L$5:L2129,Config!$B$7,$M$5:M2129,Config!$B$5)=1),COUNTIFS($E$5:$E$3004,E2129,$H$5:$H$3004,"Falta",$L$5:$L$3004,Config!$B$7,$M$5:$M$3004,Config!$B$5)*1000-ROW()/100000,0)</f>
        <v>0</v>
      </c>
    </row>
    <row r="2130">
      <c r="A2130" s="39" t="n"/>
      <c r="B2130" s="40" t="n"/>
      <c r="C2130" s="35" t="n"/>
      <c r="D2130" s="35" t="n"/>
      <c r="E2130" s="34" t="n"/>
      <c r="F2130" s="35" t="n"/>
      <c r="G2130" s="35" t="n"/>
      <c r="H2130" s="35" t="n"/>
      <c r="I2130" s="35" t="n"/>
      <c r="J2130" s="35" t="n"/>
      <c r="K2130" s="34" t="n"/>
      <c r="L2130" s="26">
        <f>IF(A2130="","",MONTH(A2130))</f>
        <v/>
      </c>
      <c r="M2130" s="26">
        <f>IF(A2130="","",YEAR(A2130))</f>
        <v/>
      </c>
      <c r="N2130" s="26">
        <f>IF(A2130="","",CHOOSE(WEEKDAY(A2130,2),"Segunda","Terça","Quarta","Quinta","Sexta","Sábado","Domingo"))</f>
        <v/>
      </c>
      <c r="O2130" s="26">
        <f>IF(B2130="","",IF(B2130&lt;TIME(12,0,0),"Manhã",IF(B2130&lt;TIME(18,0,0),"Tarde","Noite")))</f>
        <v/>
      </c>
      <c r="P2130" s="32">
        <f>IF(G2130="","",IFERROR(INDEX(Config!$I$5:$I$16,MATCH(G2130,Config!$H$5:$H$16,0)),0))</f>
        <v/>
      </c>
      <c r="Q2130" s="30">
        <f>IF(OR(H2130&lt;&gt;"Realizado",P2130="",P2130=0),"",A2130+P2130)</f>
        <v/>
      </c>
      <c r="R2130" s="26">
        <f>IF(Q2130="","",IF(COUNTIFS($E$5:$E$3004,E2130,$A$5:$A$3004,"&gt;"&amp;A2130,$H$5:$H$3004,"&lt;&gt;Falta",$H$5:$H$3004,"&lt;&gt;Cancelado",$H$5:$H$3004,"&lt;&gt;Remarcado")&gt;0,"Sim","Não"))</f>
        <v/>
      </c>
      <c r="S2130" s="32">
        <f>IF(R2130&lt;&gt;"Não","",IF(Q2130+Config!$B$9&lt;=Config!$B$8,Config!$B$8-Q2130,""))</f>
        <v/>
      </c>
      <c r="T2130" s="26">
        <f>IF(S2130="","","Sim")</f>
        <v/>
      </c>
      <c r="U2130" s="41">
        <f>IF(T2130="Sim",S2130+ROW()/100000,0)</f>
        <v>0</v>
      </c>
      <c r="V2130" s="41">
        <f>IF(AND(H2130="Falta",L2130=Config!$B$7,M2130=Config!$B$5,COUNTIFS($E$5:E2130,E2130,$H$5:H2130,"Falta",$L$5:L2130,Config!$B$7,$M$5:M2130,Config!$B$5)=1),COUNTIFS($E$5:$E$3004,E2130,$H$5:$H$3004,"Falta",$L$5:$L$3004,Config!$B$7,$M$5:$M$3004,Config!$B$5)*1000-ROW()/100000,0)</f>
        <v>0</v>
      </c>
    </row>
    <row r="2131">
      <c r="A2131" s="39" t="n"/>
      <c r="B2131" s="40" t="n"/>
      <c r="C2131" s="35" t="n"/>
      <c r="D2131" s="35" t="n"/>
      <c r="E2131" s="34" t="n"/>
      <c r="F2131" s="35" t="n"/>
      <c r="G2131" s="35" t="n"/>
      <c r="H2131" s="35" t="n"/>
      <c r="I2131" s="35" t="n"/>
      <c r="J2131" s="35" t="n"/>
      <c r="K2131" s="34" t="n"/>
      <c r="L2131" s="26">
        <f>IF(A2131="","",MONTH(A2131))</f>
        <v/>
      </c>
      <c r="M2131" s="26">
        <f>IF(A2131="","",YEAR(A2131))</f>
        <v/>
      </c>
      <c r="N2131" s="26">
        <f>IF(A2131="","",CHOOSE(WEEKDAY(A2131,2),"Segunda","Terça","Quarta","Quinta","Sexta","Sábado","Domingo"))</f>
        <v/>
      </c>
      <c r="O2131" s="26">
        <f>IF(B2131="","",IF(B2131&lt;TIME(12,0,0),"Manhã",IF(B2131&lt;TIME(18,0,0),"Tarde","Noite")))</f>
        <v/>
      </c>
      <c r="P2131" s="32">
        <f>IF(G2131="","",IFERROR(INDEX(Config!$I$5:$I$16,MATCH(G2131,Config!$H$5:$H$16,0)),0))</f>
        <v/>
      </c>
      <c r="Q2131" s="30">
        <f>IF(OR(H2131&lt;&gt;"Realizado",P2131="",P2131=0),"",A2131+P2131)</f>
        <v/>
      </c>
      <c r="R2131" s="26">
        <f>IF(Q2131="","",IF(COUNTIFS($E$5:$E$3004,E2131,$A$5:$A$3004,"&gt;"&amp;A2131,$H$5:$H$3004,"&lt;&gt;Falta",$H$5:$H$3004,"&lt;&gt;Cancelado",$H$5:$H$3004,"&lt;&gt;Remarcado")&gt;0,"Sim","Não"))</f>
        <v/>
      </c>
      <c r="S2131" s="32">
        <f>IF(R2131&lt;&gt;"Não","",IF(Q2131+Config!$B$9&lt;=Config!$B$8,Config!$B$8-Q2131,""))</f>
        <v/>
      </c>
      <c r="T2131" s="26">
        <f>IF(S2131="","","Sim")</f>
        <v/>
      </c>
      <c r="U2131" s="41">
        <f>IF(T2131="Sim",S2131+ROW()/100000,0)</f>
        <v>0</v>
      </c>
      <c r="V2131" s="41">
        <f>IF(AND(H2131="Falta",L2131=Config!$B$7,M2131=Config!$B$5,COUNTIFS($E$5:E2131,E2131,$H$5:H2131,"Falta",$L$5:L2131,Config!$B$7,$M$5:M2131,Config!$B$5)=1),COUNTIFS($E$5:$E$3004,E2131,$H$5:$H$3004,"Falta",$L$5:$L$3004,Config!$B$7,$M$5:$M$3004,Config!$B$5)*1000-ROW()/100000,0)</f>
        <v>0</v>
      </c>
    </row>
    <row r="2132">
      <c r="A2132" s="39" t="n"/>
      <c r="B2132" s="40" t="n"/>
      <c r="C2132" s="35" t="n"/>
      <c r="D2132" s="35" t="n"/>
      <c r="E2132" s="34" t="n"/>
      <c r="F2132" s="35" t="n"/>
      <c r="G2132" s="35" t="n"/>
      <c r="H2132" s="35" t="n"/>
      <c r="I2132" s="35" t="n"/>
      <c r="J2132" s="35" t="n"/>
      <c r="K2132" s="34" t="n"/>
      <c r="L2132" s="26">
        <f>IF(A2132="","",MONTH(A2132))</f>
        <v/>
      </c>
      <c r="M2132" s="26">
        <f>IF(A2132="","",YEAR(A2132))</f>
        <v/>
      </c>
      <c r="N2132" s="26">
        <f>IF(A2132="","",CHOOSE(WEEKDAY(A2132,2),"Segunda","Terça","Quarta","Quinta","Sexta","Sábado","Domingo"))</f>
        <v/>
      </c>
      <c r="O2132" s="26">
        <f>IF(B2132="","",IF(B2132&lt;TIME(12,0,0),"Manhã",IF(B2132&lt;TIME(18,0,0),"Tarde","Noite")))</f>
        <v/>
      </c>
      <c r="P2132" s="32">
        <f>IF(G2132="","",IFERROR(INDEX(Config!$I$5:$I$16,MATCH(G2132,Config!$H$5:$H$16,0)),0))</f>
        <v/>
      </c>
      <c r="Q2132" s="30">
        <f>IF(OR(H2132&lt;&gt;"Realizado",P2132="",P2132=0),"",A2132+P2132)</f>
        <v/>
      </c>
      <c r="R2132" s="26">
        <f>IF(Q2132="","",IF(COUNTIFS($E$5:$E$3004,E2132,$A$5:$A$3004,"&gt;"&amp;A2132,$H$5:$H$3004,"&lt;&gt;Falta",$H$5:$H$3004,"&lt;&gt;Cancelado",$H$5:$H$3004,"&lt;&gt;Remarcado")&gt;0,"Sim","Não"))</f>
        <v/>
      </c>
      <c r="S2132" s="32">
        <f>IF(R2132&lt;&gt;"Não","",IF(Q2132+Config!$B$9&lt;=Config!$B$8,Config!$B$8-Q2132,""))</f>
        <v/>
      </c>
      <c r="T2132" s="26">
        <f>IF(S2132="","","Sim")</f>
        <v/>
      </c>
      <c r="U2132" s="41">
        <f>IF(T2132="Sim",S2132+ROW()/100000,0)</f>
        <v>0</v>
      </c>
      <c r="V2132" s="41">
        <f>IF(AND(H2132="Falta",L2132=Config!$B$7,M2132=Config!$B$5,COUNTIFS($E$5:E2132,E2132,$H$5:H2132,"Falta",$L$5:L2132,Config!$B$7,$M$5:M2132,Config!$B$5)=1),COUNTIFS($E$5:$E$3004,E2132,$H$5:$H$3004,"Falta",$L$5:$L$3004,Config!$B$7,$M$5:$M$3004,Config!$B$5)*1000-ROW()/100000,0)</f>
        <v>0</v>
      </c>
    </row>
    <row r="2133">
      <c r="A2133" s="39" t="n"/>
      <c r="B2133" s="40" t="n"/>
      <c r="C2133" s="35" t="n"/>
      <c r="D2133" s="35" t="n"/>
      <c r="E2133" s="34" t="n"/>
      <c r="F2133" s="35" t="n"/>
      <c r="G2133" s="35" t="n"/>
      <c r="H2133" s="35" t="n"/>
      <c r="I2133" s="35" t="n"/>
      <c r="J2133" s="35" t="n"/>
      <c r="K2133" s="34" t="n"/>
      <c r="L2133" s="26">
        <f>IF(A2133="","",MONTH(A2133))</f>
        <v/>
      </c>
      <c r="M2133" s="26">
        <f>IF(A2133="","",YEAR(A2133))</f>
        <v/>
      </c>
      <c r="N2133" s="26">
        <f>IF(A2133="","",CHOOSE(WEEKDAY(A2133,2),"Segunda","Terça","Quarta","Quinta","Sexta","Sábado","Domingo"))</f>
        <v/>
      </c>
      <c r="O2133" s="26">
        <f>IF(B2133="","",IF(B2133&lt;TIME(12,0,0),"Manhã",IF(B2133&lt;TIME(18,0,0),"Tarde","Noite")))</f>
        <v/>
      </c>
      <c r="P2133" s="32">
        <f>IF(G2133="","",IFERROR(INDEX(Config!$I$5:$I$16,MATCH(G2133,Config!$H$5:$H$16,0)),0))</f>
        <v/>
      </c>
      <c r="Q2133" s="30">
        <f>IF(OR(H2133&lt;&gt;"Realizado",P2133="",P2133=0),"",A2133+P2133)</f>
        <v/>
      </c>
      <c r="R2133" s="26">
        <f>IF(Q2133="","",IF(COUNTIFS($E$5:$E$3004,E2133,$A$5:$A$3004,"&gt;"&amp;A2133,$H$5:$H$3004,"&lt;&gt;Falta",$H$5:$H$3004,"&lt;&gt;Cancelado",$H$5:$H$3004,"&lt;&gt;Remarcado")&gt;0,"Sim","Não"))</f>
        <v/>
      </c>
      <c r="S2133" s="32">
        <f>IF(R2133&lt;&gt;"Não","",IF(Q2133+Config!$B$9&lt;=Config!$B$8,Config!$B$8-Q2133,""))</f>
        <v/>
      </c>
      <c r="T2133" s="26">
        <f>IF(S2133="","","Sim")</f>
        <v/>
      </c>
      <c r="U2133" s="41">
        <f>IF(T2133="Sim",S2133+ROW()/100000,0)</f>
        <v>0</v>
      </c>
      <c r="V2133" s="41">
        <f>IF(AND(H2133="Falta",L2133=Config!$B$7,M2133=Config!$B$5,COUNTIFS($E$5:E2133,E2133,$H$5:H2133,"Falta",$L$5:L2133,Config!$B$7,$M$5:M2133,Config!$B$5)=1),COUNTIFS($E$5:$E$3004,E2133,$H$5:$H$3004,"Falta",$L$5:$L$3004,Config!$B$7,$M$5:$M$3004,Config!$B$5)*1000-ROW()/100000,0)</f>
        <v>0</v>
      </c>
    </row>
    <row r="2134">
      <c r="A2134" s="39" t="n"/>
      <c r="B2134" s="40" t="n"/>
      <c r="C2134" s="35" t="n"/>
      <c r="D2134" s="35" t="n"/>
      <c r="E2134" s="34" t="n"/>
      <c r="F2134" s="35" t="n"/>
      <c r="G2134" s="35" t="n"/>
      <c r="H2134" s="35" t="n"/>
      <c r="I2134" s="35" t="n"/>
      <c r="J2134" s="35" t="n"/>
      <c r="K2134" s="34" t="n"/>
      <c r="L2134" s="26">
        <f>IF(A2134="","",MONTH(A2134))</f>
        <v/>
      </c>
      <c r="M2134" s="26">
        <f>IF(A2134="","",YEAR(A2134))</f>
        <v/>
      </c>
      <c r="N2134" s="26">
        <f>IF(A2134="","",CHOOSE(WEEKDAY(A2134,2),"Segunda","Terça","Quarta","Quinta","Sexta","Sábado","Domingo"))</f>
        <v/>
      </c>
      <c r="O2134" s="26">
        <f>IF(B2134="","",IF(B2134&lt;TIME(12,0,0),"Manhã",IF(B2134&lt;TIME(18,0,0),"Tarde","Noite")))</f>
        <v/>
      </c>
      <c r="P2134" s="32">
        <f>IF(G2134="","",IFERROR(INDEX(Config!$I$5:$I$16,MATCH(G2134,Config!$H$5:$H$16,0)),0))</f>
        <v/>
      </c>
      <c r="Q2134" s="30">
        <f>IF(OR(H2134&lt;&gt;"Realizado",P2134="",P2134=0),"",A2134+P2134)</f>
        <v/>
      </c>
      <c r="R2134" s="26">
        <f>IF(Q2134="","",IF(COUNTIFS($E$5:$E$3004,E2134,$A$5:$A$3004,"&gt;"&amp;A2134,$H$5:$H$3004,"&lt;&gt;Falta",$H$5:$H$3004,"&lt;&gt;Cancelado",$H$5:$H$3004,"&lt;&gt;Remarcado")&gt;0,"Sim","Não"))</f>
        <v/>
      </c>
      <c r="S2134" s="32">
        <f>IF(R2134&lt;&gt;"Não","",IF(Q2134+Config!$B$9&lt;=Config!$B$8,Config!$B$8-Q2134,""))</f>
        <v/>
      </c>
      <c r="T2134" s="26">
        <f>IF(S2134="","","Sim")</f>
        <v/>
      </c>
      <c r="U2134" s="41">
        <f>IF(T2134="Sim",S2134+ROW()/100000,0)</f>
        <v>0</v>
      </c>
      <c r="V2134" s="41">
        <f>IF(AND(H2134="Falta",L2134=Config!$B$7,M2134=Config!$B$5,COUNTIFS($E$5:E2134,E2134,$H$5:H2134,"Falta",$L$5:L2134,Config!$B$7,$M$5:M2134,Config!$B$5)=1),COUNTIFS($E$5:$E$3004,E2134,$H$5:$H$3004,"Falta",$L$5:$L$3004,Config!$B$7,$M$5:$M$3004,Config!$B$5)*1000-ROW()/100000,0)</f>
        <v>0</v>
      </c>
    </row>
    <row r="2135">
      <c r="A2135" s="39" t="n"/>
      <c r="B2135" s="40" t="n"/>
      <c r="C2135" s="35" t="n"/>
      <c r="D2135" s="35" t="n"/>
      <c r="E2135" s="34" t="n"/>
      <c r="F2135" s="35" t="n"/>
      <c r="G2135" s="35" t="n"/>
      <c r="H2135" s="35" t="n"/>
      <c r="I2135" s="35" t="n"/>
      <c r="J2135" s="35" t="n"/>
      <c r="K2135" s="34" t="n"/>
      <c r="L2135" s="26">
        <f>IF(A2135="","",MONTH(A2135))</f>
        <v/>
      </c>
      <c r="M2135" s="26">
        <f>IF(A2135="","",YEAR(A2135))</f>
        <v/>
      </c>
      <c r="N2135" s="26">
        <f>IF(A2135="","",CHOOSE(WEEKDAY(A2135,2),"Segunda","Terça","Quarta","Quinta","Sexta","Sábado","Domingo"))</f>
        <v/>
      </c>
      <c r="O2135" s="26">
        <f>IF(B2135="","",IF(B2135&lt;TIME(12,0,0),"Manhã",IF(B2135&lt;TIME(18,0,0),"Tarde","Noite")))</f>
        <v/>
      </c>
      <c r="P2135" s="32">
        <f>IF(G2135="","",IFERROR(INDEX(Config!$I$5:$I$16,MATCH(G2135,Config!$H$5:$H$16,0)),0))</f>
        <v/>
      </c>
      <c r="Q2135" s="30">
        <f>IF(OR(H2135&lt;&gt;"Realizado",P2135="",P2135=0),"",A2135+P2135)</f>
        <v/>
      </c>
      <c r="R2135" s="26">
        <f>IF(Q2135="","",IF(COUNTIFS($E$5:$E$3004,E2135,$A$5:$A$3004,"&gt;"&amp;A2135,$H$5:$H$3004,"&lt;&gt;Falta",$H$5:$H$3004,"&lt;&gt;Cancelado",$H$5:$H$3004,"&lt;&gt;Remarcado")&gt;0,"Sim","Não"))</f>
        <v/>
      </c>
      <c r="S2135" s="32">
        <f>IF(R2135&lt;&gt;"Não","",IF(Q2135+Config!$B$9&lt;=Config!$B$8,Config!$B$8-Q2135,""))</f>
        <v/>
      </c>
      <c r="T2135" s="26">
        <f>IF(S2135="","","Sim")</f>
        <v/>
      </c>
      <c r="U2135" s="41">
        <f>IF(T2135="Sim",S2135+ROW()/100000,0)</f>
        <v>0</v>
      </c>
      <c r="V2135" s="41">
        <f>IF(AND(H2135="Falta",L2135=Config!$B$7,M2135=Config!$B$5,COUNTIFS($E$5:E2135,E2135,$H$5:H2135,"Falta",$L$5:L2135,Config!$B$7,$M$5:M2135,Config!$B$5)=1),COUNTIFS($E$5:$E$3004,E2135,$H$5:$H$3004,"Falta",$L$5:$L$3004,Config!$B$7,$M$5:$M$3004,Config!$B$5)*1000-ROW()/100000,0)</f>
        <v>0</v>
      </c>
    </row>
    <row r="2136">
      <c r="A2136" s="39" t="n"/>
      <c r="B2136" s="40" t="n"/>
      <c r="C2136" s="35" t="n"/>
      <c r="D2136" s="35" t="n"/>
      <c r="E2136" s="34" t="n"/>
      <c r="F2136" s="35" t="n"/>
      <c r="G2136" s="35" t="n"/>
      <c r="H2136" s="35" t="n"/>
      <c r="I2136" s="35" t="n"/>
      <c r="J2136" s="35" t="n"/>
      <c r="K2136" s="34" t="n"/>
      <c r="L2136" s="26">
        <f>IF(A2136="","",MONTH(A2136))</f>
        <v/>
      </c>
      <c r="M2136" s="26">
        <f>IF(A2136="","",YEAR(A2136))</f>
        <v/>
      </c>
      <c r="N2136" s="26">
        <f>IF(A2136="","",CHOOSE(WEEKDAY(A2136,2),"Segunda","Terça","Quarta","Quinta","Sexta","Sábado","Domingo"))</f>
        <v/>
      </c>
      <c r="O2136" s="26">
        <f>IF(B2136="","",IF(B2136&lt;TIME(12,0,0),"Manhã",IF(B2136&lt;TIME(18,0,0),"Tarde","Noite")))</f>
        <v/>
      </c>
      <c r="P2136" s="32">
        <f>IF(G2136="","",IFERROR(INDEX(Config!$I$5:$I$16,MATCH(G2136,Config!$H$5:$H$16,0)),0))</f>
        <v/>
      </c>
      <c r="Q2136" s="30">
        <f>IF(OR(H2136&lt;&gt;"Realizado",P2136="",P2136=0),"",A2136+P2136)</f>
        <v/>
      </c>
      <c r="R2136" s="26">
        <f>IF(Q2136="","",IF(COUNTIFS($E$5:$E$3004,E2136,$A$5:$A$3004,"&gt;"&amp;A2136,$H$5:$H$3004,"&lt;&gt;Falta",$H$5:$H$3004,"&lt;&gt;Cancelado",$H$5:$H$3004,"&lt;&gt;Remarcado")&gt;0,"Sim","Não"))</f>
        <v/>
      </c>
      <c r="S2136" s="32">
        <f>IF(R2136&lt;&gt;"Não","",IF(Q2136+Config!$B$9&lt;=Config!$B$8,Config!$B$8-Q2136,""))</f>
        <v/>
      </c>
      <c r="T2136" s="26">
        <f>IF(S2136="","","Sim")</f>
        <v/>
      </c>
      <c r="U2136" s="41">
        <f>IF(T2136="Sim",S2136+ROW()/100000,0)</f>
        <v>0</v>
      </c>
      <c r="V2136" s="41">
        <f>IF(AND(H2136="Falta",L2136=Config!$B$7,M2136=Config!$B$5,COUNTIFS($E$5:E2136,E2136,$H$5:H2136,"Falta",$L$5:L2136,Config!$B$7,$M$5:M2136,Config!$B$5)=1),COUNTIFS($E$5:$E$3004,E2136,$H$5:$H$3004,"Falta",$L$5:$L$3004,Config!$B$7,$M$5:$M$3004,Config!$B$5)*1000-ROW()/100000,0)</f>
        <v>0</v>
      </c>
    </row>
    <row r="2137">
      <c r="A2137" s="39" t="n"/>
      <c r="B2137" s="40" t="n"/>
      <c r="C2137" s="35" t="n"/>
      <c r="D2137" s="35" t="n"/>
      <c r="E2137" s="34" t="n"/>
      <c r="F2137" s="35" t="n"/>
      <c r="G2137" s="35" t="n"/>
      <c r="H2137" s="35" t="n"/>
      <c r="I2137" s="35" t="n"/>
      <c r="J2137" s="35" t="n"/>
      <c r="K2137" s="34" t="n"/>
      <c r="L2137" s="26">
        <f>IF(A2137="","",MONTH(A2137))</f>
        <v/>
      </c>
      <c r="M2137" s="26">
        <f>IF(A2137="","",YEAR(A2137))</f>
        <v/>
      </c>
      <c r="N2137" s="26">
        <f>IF(A2137="","",CHOOSE(WEEKDAY(A2137,2),"Segunda","Terça","Quarta","Quinta","Sexta","Sábado","Domingo"))</f>
        <v/>
      </c>
      <c r="O2137" s="26">
        <f>IF(B2137="","",IF(B2137&lt;TIME(12,0,0),"Manhã",IF(B2137&lt;TIME(18,0,0),"Tarde","Noite")))</f>
        <v/>
      </c>
      <c r="P2137" s="32">
        <f>IF(G2137="","",IFERROR(INDEX(Config!$I$5:$I$16,MATCH(G2137,Config!$H$5:$H$16,0)),0))</f>
        <v/>
      </c>
      <c r="Q2137" s="30">
        <f>IF(OR(H2137&lt;&gt;"Realizado",P2137="",P2137=0),"",A2137+P2137)</f>
        <v/>
      </c>
      <c r="R2137" s="26">
        <f>IF(Q2137="","",IF(COUNTIFS($E$5:$E$3004,E2137,$A$5:$A$3004,"&gt;"&amp;A2137,$H$5:$H$3004,"&lt;&gt;Falta",$H$5:$H$3004,"&lt;&gt;Cancelado",$H$5:$H$3004,"&lt;&gt;Remarcado")&gt;0,"Sim","Não"))</f>
        <v/>
      </c>
      <c r="S2137" s="32">
        <f>IF(R2137&lt;&gt;"Não","",IF(Q2137+Config!$B$9&lt;=Config!$B$8,Config!$B$8-Q2137,""))</f>
        <v/>
      </c>
      <c r="T2137" s="26">
        <f>IF(S2137="","","Sim")</f>
        <v/>
      </c>
      <c r="U2137" s="41">
        <f>IF(T2137="Sim",S2137+ROW()/100000,0)</f>
        <v>0</v>
      </c>
      <c r="V2137" s="41">
        <f>IF(AND(H2137="Falta",L2137=Config!$B$7,M2137=Config!$B$5,COUNTIFS($E$5:E2137,E2137,$H$5:H2137,"Falta",$L$5:L2137,Config!$B$7,$M$5:M2137,Config!$B$5)=1),COUNTIFS($E$5:$E$3004,E2137,$H$5:$H$3004,"Falta",$L$5:$L$3004,Config!$B$7,$M$5:$M$3004,Config!$B$5)*1000-ROW()/100000,0)</f>
        <v>0</v>
      </c>
    </row>
    <row r="2138">
      <c r="A2138" s="39" t="n"/>
      <c r="B2138" s="40" t="n"/>
      <c r="C2138" s="35" t="n"/>
      <c r="D2138" s="35" t="n"/>
      <c r="E2138" s="34" t="n"/>
      <c r="F2138" s="35" t="n"/>
      <c r="G2138" s="35" t="n"/>
      <c r="H2138" s="35" t="n"/>
      <c r="I2138" s="35" t="n"/>
      <c r="J2138" s="35" t="n"/>
      <c r="K2138" s="34" t="n"/>
      <c r="L2138" s="26">
        <f>IF(A2138="","",MONTH(A2138))</f>
        <v/>
      </c>
      <c r="M2138" s="26">
        <f>IF(A2138="","",YEAR(A2138))</f>
        <v/>
      </c>
      <c r="N2138" s="26">
        <f>IF(A2138="","",CHOOSE(WEEKDAY(A2138,2),"Segunda","Terça","Quarta","Quinta","Sexta","Sábado","Domingo"))</f>
        <v/>
      </c>
      <c r="O2138" s="26">
        <f>IF(B2138="","",IF(B2138&lt;TIME(12,0,0),"Manhã",IF(B2138&lt;TIME(18,0,0),"Tarde","Noite")))</f>
        <v/>
      </c>
      <c r="P2138" s="32">
        <f>IF(G2138="","",IFERROR(INDEX(Config!$I$5:$I$16,MATCH(G2138,Config!$H$5:$H$16,0)),0))</f>
        <v/>
      </c>
      <c r="Q2138" s="30">
        <f>IF(OR(H2138&lt;&gt;"Realizado",P2138="",P2138=0),"",A2138+P2138)</f>
        <v/>
      </c>
      <c r="R2138" s="26">
        <f>IF(Q2138="","",IF(COUNTIFS($E$5:$E$3004,E2138,$A$5:$A$3004,"&gt;"&amp;A2138,$H$5:$H$3004,"&lt;&gt;Falta",$H$5:$H$3004,"&lt;&gt;Cancelado",$H$5:$H$3004,"&lt;&gt;Remarcado")&gt;0,"Sim","Não"))</f>
        <v/>
      </c>
      <c r="S2138" s="32">
        <f>IF(R2138&lt;&gt;"Não","",IF(Q2138+Config!$B$9&lt;=Config!$B$8,Config!$B$8-Q2138,""))</f>
        <v/>
      </c>
      <c r="T2138" s="26">
        <f>IF(S2138="","","Sim")</f>
        <v/>
      </c>
      <c r="U2138" s="41">
        <f>IF(T2138="Sim",S2138+ROW()/100000,0)</f>
        <v>0</v>
      </c>
      <c r="V2138" s="41">
        <f>IF(AND(H2138="Falta",L2138=Config!$B$7,M2138=Config!$B$5,COUNTIFS($E$5:E2138,E2138,$H$5:H2138,"Falta",$L$5:L2138,Config!$B$7,$M$5:M2138,Config!$B$5)=1),COUNTIFS($E$5:$E$3004,E2138,$H$5:$H$3004,"Falta",$L$5:$L$3004,Config!$B$7,$M$5:$M$3004,Config!$B$5)*1000-ROW()/100000,0)</f>
        <v>0</v>
      </c>
    </row>
    <row r="2139">
      <c r="A2139" s="39" t="n"/>
      <c r="B2139" s="40" t="n"/>
      <c r="C2139" s="35" t="n"/>
      <c r="D2139" s="35" t="n"/>
      <c r="E2139" s="34" t="n"/>
      <c r="F2139" s="35" t="n"/>
      <c r="G2139" s="35" t="n"/>
      <c r="H2139" s="35" t="n"/>
      <c r="I2139" s="35" t="n"/>
      <c r="J2139" s="35" t="n"/>
      <c r="K2139" s="34" t="n"/>
      <c r="L2139" s="26">
        <f>IF(A2139="","",MONTH(A2139))</f>
        <v/>
      </c>
      <c r="M2139" s="26">
        <f>IF(A2139="","",YEAR(A2139))</f>
        <v/>
      </c>
      <c r="N2139" s="26">
        <f>IF(A2139="","",CHOOSE(WEEKDAY(A2139,2),"Segunda","Terça","Quarta","Quinta","Sexta","Sábado","Domingo"))</f>
        <v/>
      </c>
      <c r="O2139" s="26">
        <f>IF(B2139="","",IF(B2139&lt;TIME(12,0,0),"Manhã",IF(B2139&lt;TIME(18,0,0),"Tarde","Noite")))</f>
        <v/>
      </c>
      <c r="P2139" s="32">
        <f>IF(G2139="","",IFERROR(INDEX(Config!$I$5:$I$16,MATCH(G2139,Config!$H$5:$H$16,0)),0))</f>
        <v/>
      </c>
      <c r="Q2139" s="30">
        <f>IF(OR(H2139&lt;&gt;"Realizado",P2139="",P2139=0),"",A2139+P2139)</f>
        <v/>
      </c>
      <c r="R2139" s="26">
        <f>IF(Q2139="","",IF(COUNTIFS($E$5:$E$3004,E2139,$A$5:$A$3004,"&gt;"&amp;A2139,$H$5:$H$3004,"&lt;&gt;Falta",$H$5:$H$3004,"&lt;&gt;Cancelado",$H$5:$H$3004,"&lt;&gt;Remarcado")&gt;0,"Sim","Não"))</f>
        <v/>
      </c>
      <c r="S2139" s="32">
        <f>IF(R2139&lt;&gt;"Não","",IF(Q2139+Config!$B$9&lt;=Config!$B$8,Config!$B$8-Q2139,""))</f>
        <v/>
      </c>
      <c r="T2139" s="26">
        <f>IF(S2139="","","Sim")</f>
        <v/>
      </c>
      <c r="U2139" s="41">
        <f>IF(T2139="Sim",S2139+ROW()/100000,0)</f>
        <v>0</v>
      </c>
      <c r="V2139" s="41">
        <f>IF(AND(H2139="Falta",L2139=Config!$B$7,M2139=Config!$B$5,COUNTIFS($E$5:E2139,E2139,$H$5:H2139,"Falta",$L$5:L2139,Config!$B$7,$M$5:M2139,Config!$B$5)=1),COUNTIFS($E$5:$E$3004,E2139,$H$5:$H$3004,"Falta",$L$5:$L$3004,Config!$B$7,$M$5:$M$3004,Config!$B$5)*1000-ROW()/100000,0)</f>
        <v>0</v>
      </c>
    </row>
    <row r="2140">
      <c r="A2140" s="39" t="n"/>
      <c r="B2140" s="40" t="n"/>
      <c r="C2140" s="35" t="n"/>
      <c r="D2140" s="35" t="n"/>
      <c r="E2140" s="34" t="n"/>
      <c r="F2140" s="35" t="n"/>
      <c r="G2140" s="35" t="n"/>
      <c r="H2140" s="35" t="n"/>
      <c r="I2140" s="35" t="n"/>
      <c r="J2140" s="35" t="n"/>
      <c r="K2140" s="34" t="n"/>
      <c r="L2140" s="26">
        <f>IF(A2140="","",MONTH(A2140))</f>
        <v/>
      </c>
      <c r="M2140" s="26">
        <f>IF(A2140="","",YEAR(A2140))</f>
        <v/>
      </c>
      <c r="N2140" s="26">
        <f>IF(A2140="","",CHOOSE(WEEKDAY(A2140,2),"Segunda","Terça","Quarta","Quinta","Sexta","Sábado","Domingo"))</f>
        <v/>
      </c>
      <c r="O2140" s="26">
        <f>IF(B2140="","",IF(B2140&lt;TIME(12,0,0),"Manhã",IF(B2140&lt;TIME(18,0,0),"Tarde","Noite")))</f>
        <v/>
      </c>
      <c r="P2140" s="32">
        <f>IF(G2140="","",IFERROR(INDEX(Config!$I$5:$I$16,MATCH(G2140,Config!$H$5:$H$16,0)),0))</f>
        <v/>
      </c>
      <c r="Q2140" s="30">
        <f>IF(OR(H2140&lt;&gt;"Realizado",P2140="",P2140=0),"",A2140+P2140)</f>
        <v/>
      </c>
      <c r="R2140" s="26">
        <f>IF(Q2140="","",IF(COUNTIFS($E$5:$E$3004,E2140,$A$5:$A$3004,"&gt;"&amp;A2140,$H$5:$H$3004,"&lt;&gt;Falta",$H$5:$H$3004,"&lt;&gt;Cancelado",$H$5:$H$3004,"&lt;&gt;Remarcado")&gt;0,"Sim","Não"))</f>
        <v/>
      </c>
      <c r="S2140" s="32">
        <f>IF(R2140&lt;&gt;"Não","",IF(Q2140+Config!$B$9&lt;=Config!$B$8,Config!$B$8-Q2140,""))</f>
        <v/>
      </c>
      <c r="T2140" s="26">
        <f>IF(S2140="","","Sim")</f>
        <v/>
      </c>
      <c r="U2140" s="41">
        <f>IF(T2140="Sim",S2140+ROW()/100000,0)</f>
        <v>0</v>
      </c>
      <c r="V2140" s="41">
        <f>IF(AND(H2140="Falta",L2140=Config!$B$7,M2140=Config!$B$5,COUNTIFS($E$5:E2140,E2140,$H$5:H2140,"Falta",$L$5:L2140,Config!$B$7,$M$5:M2140,Config!$B$5)=1),COUNTIFS($E$5:$E$3004,E2140,$H$5:$H$3004,"Falta",$L$5:$L$3004,Config!$B$7,$M$5:$M$3004,Config!$B$5)*1000-ROW()/100000,0)</f>
        <v>0</v>
      </c>
    </row>
    <row r="2141">
      <c r="A2141" s="39" t="n"/>
      <c r="B2141" s="40" t="n"/>
      <c r="C2141" s="35" t="n"/>
      <c r="D2141" s="35" t="n"/>
      <c r="E2141" s="34" t="n"/>
      <c r="F2141" s="35" t="n"/>
      <c r="G2141" s="35" t="n"/>
      <c r="H2141" s="35" t="n"/>
      <c r="I2141" s="35" t="n"/>
      <c r="J2141" s="35" t="n"/>
      <c r="K2141" s="34" t="n"/>
      <c r="L2141" s="26">
        <f>IF(A2141="","",MONTH(A2141))</f>
        <v/>
      </c>
      <c r="M2141" s="26">
        <f>IF(A2141="","",YEAR(A2141))</f>
        <v/>
      </c>
      <c r="N2141" s="26">
        <f>IF(A2141="","",CHOOSE(WEEKDAY(A2141,2),"Segunda","Terça","Quarta","Quinta","Sexta","Sábado","Domingo"))</f>
        <v/>
      </c>
      <c r="O2141" s="26">
        <f>IF(B2141="","",IF(B2141&lt;TIME(12,0,0),"Manhã",IF(B2141&lt;TIME(18,0,0),"Tarde","Noite")))</f>
        <v/>
      </c>
      <c r="P2141" s="32">
        <f>IF(G2141="","",IFERROR(INDEX(Config!$I$5:$I$16,MATCH(G2141,Config!$H$5:$H$16,0)),0))</f>
        <v/>
      </c>
      <c r="Q2141" s="30">
        <f>IF(OR(H2141&lt;&gt;"Realizado",P2141="",P2141=0),"",A2141+P2141)</f>
        <v/>
      </c>
      <c r="R2141" s="26">
        <f>IF(Q2141="","",IF(COUNTIFS($E$5:$E$3004,E2141,$A$5:$A$3004,"&gt;"&amp;A2141,$H$5:$H$3004,"&lt;&gt;Falta",$H$5:$H$3004,"&lt;&gt;Cancelado",$H$5:$H$3004,"&lt;&gt;Remarcado")&gt;0,"Sim","Não"))</f>
        <v/>
      </c>
      <c r="S2141" s="32">
        <f>IF(R2141&lt;&gt;"Não","",IF(Q2141+Config!$B$9&lt;=Config!$B$8,Config!$B$8-Q2141,""))</f>
        <v/>
      </c>
      <c r="T2141" s="26">
        <f>IF(S2141="","","Sim")</f>
        <v/>
      </c>
      <c r="U2141" s="41">
        <f>IF(T2141="Sim",S2141+ROW()/100000,0)</f>
        <v>0</v>
      </c>
      <c r="V2141" s="41">
        <f>IF(AND(H2141="Falta",L2141=Config!$B$7,M2141=Config!$B$5,COUNTIFS($E$5:E2141,E2141,$H$5:H2141,"Falta",$L$5:L2141,Config!$B$7,$M$5:M2141,Config!$B$5)=1),COUNTIFS($E$5:$E$3004,E2141,$H$5:$H$3004,"Falta",$L$5:$L$3004,Config!$B$7,$M$5:$M$3004,Config!$B$5)*1000-ROW()/100000,0)</f>
        <v>0</v>
      </c>
    </row>
    <row r="2142">
      <c r="A2142" s="39" t="n"/>
      <c r="B2142" s="40" t="n"/>
      <c r="C2142" s="35" t="n"/>
      <c r="D2142" s="35" t="n"/>
      <c r="E2142" s="34" t="n"/>
      <c r="F2142" s="35" t="n"/>
      <c r="G2142" s="35" t="n"/>
      <c r="H2142" s="35" t="n"/>
      <c r="I2142" s="35" t="n"/>
      <c r="J2142" s="35" t="n"/>
      <c r="K2142" s="34" t="n"/>
      <c r="L2142" s="26">
        <f>IF(A2142="","",MONTH(A2142))</f>
        <v/>
      </c>
      <c r="M2142" s="26">
        <f>IF(A2142="","",YEAR(A2142))</f>
        <v/>
      </c>
      <c r="N2142" s="26">
        <f>IF(A2142="","",CHOOSE(WEEKDAY(A2142,2),"Segunda","Terça","Quarta","Quinta","Sexta","Sábado","Domingo"))</f>
        <v/>
      </c>
      <c r="O2142" s="26">
        <f>IF(B2142="","",IF(B2142&lt;TIME(12,0,0),"Manhã",IF(B2142&lt;TIME(18,0,0),"Tarde","Noite")))</f>
        <v/>
      </c>
      <c r="P2142" s="32">
        <f>IF(G2142="","",IFERROR(INDEX(Config!$I$5:$I$16,MATCH(G2142,Config!$H$5:$H$16,0)),0))</f>
        <v/>
      </c>
      <c r="Q2142" s="30">
        <f>IF(OR(H2142&lt;&gt;"Realizado",P2142="",P2142=0),"",A2142+P2142)</f>
        <v/>
      </c>
      <c r="R2142" s="26">
        <f>IF(Q2142="","",IF(COUNTIFS($E$5:$E$3004,E2142,$A$5:$A$3004,"&gt;"&amp;A2142,$H$5:$H$3004,"&lt;&gt;Falta",$H$5:$H$3004,"&lt;&gt;Cancelado",$H$5:$H$3004,"&lt;&gt;Remarcado")&gt;0,"Sim","Não"))</f>
        <v/>
      </c>
      <c r="S2142" s="32">
        <f>IF(R2142&lt;&gt;"Não","",IF(Q2142+Config!$B$9&lt;=Config!$B$8,Config!$B$8-Q2142,""))</f>
        <v/>
      </c>
      <c r="T2142" s="26">
        <f>IF(S2142="","","Sim")</f>
        <v/>
      </c>
      <c r="U2142" s="41">
        <f>IF(T2142="Sim",S2142+ROW()/100000,0)</f>
        <v>0</v>
      </c>
      <c r="V2142" s="41">
        <f>IF(AND(H2142="Falta",L2142=Config!$B$7,M2142=Config!$B$5,COUNTIFS($E$5:E2142,E2142,$H$5:H2142,"Falta",$L$5:L2142,Config!$B$7,$M$5:M2142,Config!$B$5)=1),COUNTIFS($E$5:$E$3004,E2142,$H$5:$H$3004,"Falta",$L$5:$L$3004,Config!$B$7,$M$5:$M$3004,Config!$B$5)*1000-ROW()/100000,0)</f>
        <v>0</v>
      </c>
    </row>
    <row r="2143">
      <c r="A2143" s="39" t="n"/>
      <c r="B2143" s="40" t="n"/>
      <c r="C2143" s="35" t="n"/>
      <c r="D2143" s="35" t="n"/>
      <c r="E2143" s="34" t="n"/>
      <c r="F2143" s="35" t="n"/>
      <c r="G2143" s="35" t="n"/>
      <c r="H2143" s="35" t="n"/>
      <c r="I2143" s="35" t="n"/>
      <c r="J2143" s="35" t="n"/>
      <c r="K2143" s="34" t="n"/>
      <c r="L2143" s="26">
        <f>IF(A2143="","",MONTH(A2143))</f>
        <v/>
      </c>
      <c r="M2143" s="26">
        <f>IF(A2143="","",YEAR(A2143))</f>
        <v/>
      </c>
      <c r="N2143" s="26">
        <f>IF(A2143="","",CHOOSE(WEEKDAY(A2143,2),"Segunda","Terça","Quarta","Quinta","Sexta","Sábado","Domingo"))</f>
        <v/>
      </c>
      <c r="O2143" s="26">
        <f>IF(B2143="","",IF(B2143&lt;TIME(12,0,0),"Manhã",IF(B2143&lt;TIME(18,0,0),"Tarde","Noite")))</f>
        <v/>
      </c>
      <c r="P2143" s="32">
        <f>IF(G2143="","",IFERROR(INDEX(Config!$I$5:$I$16,MATCH(G2143,Config!$H$5:$H$16,0)),0))</f>
        <v/>
      </c>
      <c r="Q2143" s="30">
        <f>IF(OR(H2143&lt;&gt;"Realizado",P2143="",P2143=0),"",A2143+P2143)</f>
        <v/>
      </c>
      <c r="R2143" s="26">
        <f>IF(Q2143="","",IF(COUNTIFS($E$5:$E$3004,E2143,$A$5:$A$3004,"&gt;"&amp;A2143,$H$5:$H$3004,"&lt;&gt;Falta",$H$5:$H$3004,"&lt;&gt;Cancelado",$H$5:$H$3004,"&lt;&gt;Remarcado")&gt;0,"Sim","Não"))</f>
        <v/>
      </c>
      <c r="S2143" s="32">
        <f>IF(R2143&lt;&gt;"Não","",IF(Q2143+Config!$B$9&lt;=Config!$B$8,Config!$B$8-Q2143,""))</f>
        <v/>
      </c>
      <c r="T2143" s="26">
        <f>IF(S2143="","","Sim")</f>
        <v/>
      </c>
      <c r="U2143" s="41">
        <f>IF(T2143="Sim",S2143+ROW()/100000,0)</f>
        <v>0</v>
      </c>
      <c r="V2143" s="41">
        <f>IF(AND(H2143="Falta",L2143=Config!$B$7,M2143=Config!$B$5,COUNTIFS($E$5:E2143,E2143,$H$5:H2143,"Falta",$L$5:L2143,Config!$B$7,$M$5:M2143,Config!$B$5)=1),COUNTIFS($E$5:$E$3004,E2143,$H$5:$H$3004,"Falta",$L$5:$L$3004,Config!$B$7,$M$5:$M$3004,Config!$B$5)*1000-ROW()/100000,0)</f>
        <v>0</v>
      </c>
    </row>
    <row r="2144">
      <c r="A2144" s="39" t="n"/>
      <c r="B2144" s="40" t="n"/>
      <c r="C2144" s="35" t="n"/>
      <c r="D2144" s="35" t="n"/>
      <c r="E2144" s="34" t="n"/>
      <c r="F2144" s="35" t="n"/>
      <c r="G2144" s="35" t="n"/>
      <c r="H2144" s="35" t="n"/>
      <c r="I2144" s="35" t="n"/>
      <c r="J2144" s="35" t="n"/>
      <c r="K2144" s="34" t="n"/>
      <c r="L2144" s="26">
        <f>IF(A2144="","",MONTH(A2144))</f>
        <v/>
      </c>
      <c r="M2144" s="26">
        <f>IF(A2144="","",YEAR(A2144))</f>
        <v/>
      </c>
      <c r="N2144" s="26">
        <f>IF(A2144="","",CHOOSE(WEEKDAY(A2144,2),"Segunda","Terça","Quarta","Quinta","Sexta","Sábado","Domingo"))</f>
        <v/>
      </c>
      <c r="O2144" s="26">
        <f>IF(B2144="","",IF(B2144&lt;TIME(12,0,0),"Manhã",IF(B2144&lt;TIME(18,0,0),"Tarde","Noite")))</f>
        <v/>
      </c>
      <c r="P2144" s="32">
        <f>IF(G2144="","",IFERROR(INDEX(Config!$I$5:$I$16,MATCH(G2144,Config!$H$5:$H$16,0)),0))</f>
        <v/>
      </c>
      <c r="Q2144" s="30">
        <f>IF(OR(H2144&lt;&gt;"Realizado",P2144="",P2144=0),"",A2144+P2144)</f>
        <v/>
      </c>
      <c r="R2144" s="26">
        <f>IF(Q2144="","",IF(COUNTIFS($E$5:$E$3004,E2144,$A$5:$A$3004,"&gt;"&amp;A2144,$H$5:$H$3004,"&lt;&gt;Falta",$H$5:$H$3004,"&lt;&gt;Cancelado",$H$5:$H$3004,"&lt;&gt;Remarcado")&gt;0,"Sim","Não"))</f>
        <v/>
      </c>
      <c r="S2144" s="32">
        <f>IF(R2144&lt;&gt;"Não","",IF(Q2144+Config!$B$9&lt;=Config!$B$8,Config!$B$8-Q2144,""))</f>
        <v/>
      </c>
      <c r="T2144" s="26">
        <f>IF(S2144="","","Sim")</f>
        <v/>
      </c>
      <c r="U2144" s="41">
        <f>IF(T2144="Sim",S2144+ROW()/100000,0)</f>
        <v>0</v>
      </c>
      <c r="V2144" s="41">
        <f>IF(AND(H2144="Falta",L2144=Config!$B$7,M2144=Config!$B$5,COUNTIFS($E$5:E2144,E2144,$H$5:H2144,"Falta",$L$5:L2144,Config!$B$7,$M$5:M2144,Config!$B$5)=1),COUNTIFS($E$5:$E$3004,E2144,$H$5:$H$3004,"Falta",$L$5:$L$3004,Config!$B$7,$M$5:$M$3004,Config!$B$5)*1000-ROW()/100000,0)</f>
        <v>0</v>
      </c>
    </row>
    <row r="2145">
      <c r="A2145" s="39" t="n"/>
      <c r="B2145" s="40" t="n"/>
      <c r="C2145" s="35" t="n"/>
      <c r="D2145" s="35" t="n"/>
      <c r="E2145" s="34" t="n"/>
      <c r="F2145" s="35" t="n"/>
      <c r="G2145" s="35" t="n"/>
      <c r="H2145" s="35" t="n"/>
      <c r="I2145" s="35" t="n"/>
      <c r="J2145" s="35" t="n"/>
      <c r="K2145" s="34" t="n"/>
      <c r="L2145" s="26">
        <f>IF(A2145="","",MONTH(A2145))</f>
        <v/>
      </c>
      <c r="M2145" s="26">
        <f>IF(A2145="","",YEAR(A2145))</f>
        <v/>
      </c>
      <c r="N2145" s="26">
        <f>IF(A2145="","",CHOOSE(WEEKDAY(A2145,2),"Segunda","Terça","Quarta","Quinta","Sexta","Sábado","Domingo"))</f>
        <v/>
      </c>
      <c r="O2145" s="26">
        <f>IF(B2145="","",IF(B2145&lt;TIME(12,0,0),"Manhã",IF(B2145&lt;TIME(18,0,0),"Tarde","Noite")))</f>
        <v/>
      </c>
      <c r="P2145" s="32">
        <f>IF(G2145="","",IFERROR(INDEX(Config!$I$5:$I$16,MATCH(G2145,Config!$H$5:$H$16,0)),0))</f>
        <v/>
      </c>
      <c r="Q2145" s="30">
        <f>IF(OR(H2145&lt;&gt;"Realizado",P2145="",P2145=0),"",A2145+P2145)</f>
        <v/>
      </c>
      <c r="R2145" s="26">
        <f>IF(Q2145="","",IF(COUNTIFS($E$5:$E$3004,E2145,$A$5:$A$3004,"&gt;"&amp;A2145,$H$5:$H$3004,"&lt;&gt;Falta",$H$5:$H$3004,"&lt;&gt;Cancelado",$H$5:$H$3004,"&lt;&gt;Remarcado")&gt;0,"Sim","Não"))</f>
        <v/>
      </c>
      <c r="S2145" s="32">
        <f>IF(R2145&lt;&gt;"Não","",IF(Q2145+Config!$B$9&lt;=Config!$B$8,Config!$B$8-Q2145,""))</f>
        <v/>
      </c>
      <c r="T2145" s="26">
        <f>IF(S2145="","","Sim")</f>
        <v/>
      </c>
      <c r="U2145" s="41">
        <f>IF(T2145="Sim",S2145+ROW()/100000,0)</f>
        <v>0</v>
      </c>
      <c r="V2145" s="41">
        <f>IF(AND(H2145="Falta",L2145=Config!$B$7,M2145=Config!$B$5,COUNTIFS($E$5:E2145,E2145,$H$5:H2145,"Falta",$L$5:L2145,Config!$B$7,$M$5:M2145,Config!$B$5)=1),COUNTIFS($E$5:$E$3004,E2145,$H$5:$H$3004,"Falta",$L$5:$L$3004,Config!$B$7,$M$5:$M$3004,Config!$B$5)*1000-ROW()/100000,0)</f>
        <v>0</v>
      </c>
    </row>
    <row r="2146">
      <c r="A2146" s="39" t="n"/>
      <c r="B2146" s="40" t="n"/>
      <c r="C2146" s="35" t="n"/>
      <c r="D2146" s="35" t="n"/>
      <c r="E2146" s="34" t="n"/>
      <c r="F2146" s="35" t="n"/>
      <c r="G2146" s="35" t="n"/>
      <c r="H2146" s="35" t="n"/>
      <c r="I2146" s="35" t="n"/>
      <c r="J2146" s="35" t="n"/>
      <c r="K2146" s="34" t="n"/>
      <c r="L2146" s="26">
        <f>IF(A2146="","",MONTH(A2146))</f>
        <v/>
      </c>
      <c r="M2146" s="26">
        <f>IF(A2146="","",YEAR(A2146))</f>
        <v/>
      </c>
      <c r="N2146" s="26">
        <f>IF(A2146="","",CHOOSE(WEEKDAY(A2146,2),"Segunda","Terça","Quarta","Quinta","Sexta","Sábado","Domingo"))</f>
        <v/>
      </c>
      <c r="O2146" s="26">
        <f>IF(B2146="","",IF(B2146&lt;TIME(12,0,0),"Manhã",IF(B2146&lt;TIME(18,0,0),"Tarde","Noite")))</f>
        <v/>
      </c>
      <c r="P2146" s="32">
        <f>IF(G2146="","",IFERROR(INDEX(Config!$I$5:$I$16,MATCH(G2146,Config!$H$5:$H$16,0)),0))</f>
        <v/>
      </c>
      <c r="Q2146" s="30">
        <f>IF(OR(H2146&lt;&gt;"Realizado",P2146="",P2146=0),"",A2146+P2146)</f>
        <v/>
      </c>
      <c r="R2146" s="26">
        <f>IF(Q2146="","",IF(COUNTIFS($E$5:$E$3004,E2146,$A$5:$A$3004,"&gt;"&amp;A2146,$H$5:$H$3004,"&lt;&gt;Falta",$H$5:$H$3004,"&lt;&gt;Cancelado",$H$5:$H$3004,"&lt;&gt;Remarcado")&gt;0,"Sim","Não"))</f>
        <v/>
      </c>
      <c r="S2146" s="32">
        <f>IF(R2146&lt;&gt;"Não","",IF(Q2146+Config!$B$9&lt;=Config!$B$8,Config!$B$8-Q2146,""))</f>
        <v/>
      </c>
      <c r="T2146" s="26">
        <f>IF(S2146="","","Sim")</f>
        <v/>
      </c>
      <c r="U2146" s="41">
        <f>IF(T2146="Sim",S2146+ROW()/100000,0)</f>
        <v>0</v>
      </c>
      <c r="V2146" s="41">
        <f>IF(AND(H2146="Falta",L2146=Config!$B$7,M2146=Config!$B$5,COUNTIFS($E$5:E2146,E2146,$H$5:H2146,"Falta",$L$5:L2146,Config!$B$7,$M$5:M2146,Config!$B$5)=1),COUNTIFS($E$5:$E$3004,E2146,$H$5:$H$3004,"Falta",$L$5:$L$3004,Config!$B$7,$M$5:$M$3004,Config!$B$5)*1000-ROW()/100000,0)</f>
        <v>0</v>
      </c>
    </row>
    <row r="2147">
      <c r="A2147" s="39" t="n"/>
      <c r="B2147" s="40" t="n"/>
      <c r="C2147" s="35" t="n"/>
      <c r="D2147" s="35" t="n"/>
      <c r="E2147" s="34" t="n"/>
      <c r="F2147" s="35" t="n"/>
      <c r="G2147" s="35" t="n"/>
      <c r="H2147" s="35" t="n"/>
      <c r="I2147" s="35" t="n"/>
      <c r="J2147" s="35" t="n"/>
      <c r="K2147" s="34" t="n"/>
      <c r="L2147" s="26">
        <f>IF(A2147="","",MONTH(A2147))</f>
        <v/>
      </c>
      <c r="M2147" s="26">
        <f>IF(A2147="","",YEAR(A2147))</f>
        <v/>
      </c>
      <c r="N2147" s="26">
        <f>IF(A2147="","",CHOOSE(WEEKDAY(A2147,2),"Segunda","Terça","Quarta","Quinta","Sexta","Sábado","Domingo"))</f>
        <v/>
      </c>
      <c r="O2147" s="26">
        <f>IF(B2147="","",IF(B2147&lt;TIME(12,0,0),"Manhã",IF(B2147&lt;TIME(18,0,0),"Tarde","Noite")))</f>
        <v/>
      </c>
      <c r="P2147" s="32">
        <f>IF(G2147="","",IFERROR(INDEX(Config!$I$5:$I$16,MATCH(G2147,Config!$H$5:$H$16,0)),0))</f>
        <v/>
      </c>
      <c r="Q2147" s="30">
        <f>IF(OR(H2147&lt;&gt;"Realizado",P2147="",P2147=0),"",A2147+P2147)</f>
        <v/>
      </c>
      <c r="R2147" s="26">
        <f>IF(Q2147="","",IF(COUNTIFS($E$5:$E$3004,E2147,$A$5:$A$3004,"&gt;"&amp;A2147,$H$5:$H$3004,"&lt;&gt;Falta",$H$5:$H$3004,"&lt;&gt;Cancelado",$H$5:$H$3004,"&lt;&gt;Remarcado")&gt;0,"Sim","Não"))</f>
        <v/>
      </c>
      <c r="S2147" s="32">
        <f>IF(R2147&lt;&gt;"Não","",IF(Q2147+Config!$B$9&lt;=Config!$B$8,Config!$B$8-Q2147,""))</f>
        <v/>
      </c>
      <c r="T2147" s="26">
        <f>IF(S2147="","","Sim")</f>
        <v/>
      </c>
      <c r="U2147" s="41">
        <f>IF(T2147="Sim",S2147+ROW()/100000,0)</f>
        <v>0</v>
      </c>
      <c r="V2147" s="41">
        <f>IF(AND(H2147="Falta",L2147=Config!$B$7,M2147=Config!$B$5,COUNTIFS($E$5:E2147,E2147,$H$5:H2147,"Falta",$L$5:L2147,Config!$B$7,$M$5:M2147,Config!$B$5)=1),COUNTIFS($E$5:$E$3004,E2147,$H$5:$H$3004,"Falta",$L$5:$L$3004,Config!$B$7,$M$5:$M$3004,Config!$B$5)*1000-ROW()/100000,0)</f>
        <v>0</v>
      </c>
    </row>
    <row r="2148">
      <c r="A2148" s="39" t="n"/>
      <c r="B2148" s="40" t="n"/>
      <c r="C2148" s="35" t="n"/>
      <c r="D2148" s="35" t="n"/>
      <c r="E2148" s="34" t="n"/>
      <c r="F2148" s="35" t="n"/>
      <c r="G2148" s="35" t="n"/>
      <c r="H2148" s="35" t="n"/>
      <c r="I2148" s="35" t="n"/>
      <c r="J2148" s="35" t="n"/>
      <c r="K2148" s="34" t="n"/>
      <c r="L2148" s="26">
        <f>IF(A2148="","",MONTH(A2148))</f>
        <v/>
      </c>
      <c r="M2148" s="26">
        <f>IF(A2148="","",YEAR(A2148))</f>
        <v/>
      </c>
      <c r="N2148" s="26">
        <f>IF(A2148="","",CHOOSE(WEEKDAY(A2148,2),"Segunda","Terça","Quarta","Quinta","Sexta","Sábado","Domingo"))</f>
        <v/>
      </c>
      <c r="O2148" s="26">
        <f>IF(B2148="","",IF(B2148&lt;TIME(12,0,0),"Manhã",IF(B2148&lt;TIME(18,0,0),"Tarde","Noite")))</f>
        <v/>
      </c>
      <c r="P2148" s="32">
        <f>IF(G2148="","",IFERROR(INDEX(Config!$I$5:$I$16,MATCH(G2148,Config!$H$5:$H$16,0)),0))</f>
        <v/>
      </c>
      <c r="Q2148" s="30">
        <f>IF(OR(H2148&lt;&gt;"Realizado",P2148="",P2148=0),"",A2148+P2148)</f>
        <v/>
      </c>
      <c r="R2148" s="26">
        <f>IF(Q2148="","",IF(COUNTIFS($E$5:$E$3004,E2148,$A$5:$A$3004,"&gt;"&amp;A2148,$H$5:$H$3004,"&lt;&gt;Falta",$H$5:$H$3004,"&lt;&gt;Cancelado",$H$5:$H$3004,"&lt;&gt;Remarcado")&gt;0,"Sim","Não"))</f>
        <v/>
      </c>
      <c r="S2148" s="32">
        <f>IF(R2148&lt;&gt;"Não","",IF(Q2148+Config!$B$9&lt;=Config!$B$8,Config!$B$8-Q2148,""))</f>
        <v/>
      </c>
      <c r="T2148" s="26">
        <f>IF(S2148="","","Sim")</f>
        <v/>
      </c>
      <c r="U2148" s="41">
        <f>IF(T2148="Sim",S2148+ROW()/100000,0)</f>
        <v>0</v>
      </c>
      <c r="V2148" s="41">
        <f>IF(AND(H2148="Falta",L2148=Config!$B$7,M2148=Config!$B$5,COUNTIFS($E$5:E2148,E2148,$H$5:H2148,"Falta",$L$5:L2148,Config!$B$7,$M$5:M2148,Config!$B$5)=1),COUNTIFS($E$5:$E$3004,E2148,$H$5:$H$3004,"Falta",$L$5:$L$3004,Config!$B$7,$M$5:$M$3004,Config!$B$5)*1000-ROW()/100000,0)</f>
        <v>0</v>
      </c>
    </row>
    <row r="2149">
      <c r="A2149" s="39" t="n"/>
      <c r="B2149" s="40" t="n"/>
      <c r="C2149" s="35" t="n"/>
      <c r="D2149" s="35" t="n"/>
      <c r="E2149" s="34" t="n"/>
      <c r="F2149" s="35" t="n"/>
      <c r="G2149" s="35" t="n"/>
      <c r="H2149" s="35" t="n"/>
      <c r="I2149" s="35" t="n"/>
      <c r="J2149" s="35" t="n"/>
      <c r="K2149" s="34" t="n"/>
      <c r="L2149" s="26">
        <f>IF(A2149="","",MONTH(A2149))</f>
        <v/>
      </c>
      <c r="M2149" s="26">
        <f>IF(A2149="","",YEAR(A2149))</f>
        <v/>
      </c>
      <c r="N2149" s="26">
        <f>IF(A2149="","",CHOOSE(WEEKDAY(A2149,2),"Segunda","Terça","Quarta","Quinta","Sexta","Sábado","Domingo"))</f>
        <v/>
      </c>
      <c r="O2149" s="26">
        <f>IF(B2149="","",IF(B2149&lt;TIME(12,0,0),"Manhã",IF(B2149&lt;TIME(18,0,0),"Tarde","Noite")))</f>
        <v/>
      </c>
      <c r="P2149" s="32">
        <f>IF(G2149="","",IFERROR(INDEX(Config!$I$5:$I$16,MATCH(G2149,Config!$H$5:$H$16,0)),0))</f>
        <v/>
      </c>
      <c r="Q2149" s="30">
        <f>IF(OR(H2149&lt;&gt;"Realizado",P2149="",P2149=0),"",A2149+P2149)</f>
        <v/>
      </c>
      <c r="R2149" s="26">
        <f>IF(Q2149="","",IF(COUNTIFS($E$5:$E$3004,E2149,$A$5:$A$3004,"&gt;"&amp;A2149,$H$5:$H$3004,"&lt;&gt;Falta",$H$5:$H$3004,"&lt;&gt;Cancelado",$H$5:$H$3004,"&lt;&gt;Remarcado")&gt;0,"Sim","Não"))</f>
        <v/>
      </c>
      <c r="S2149" s="32">
        <f>IF(R2149&lt;&gt;"Não","",IF(Q2149+Config!$B$9&lt;=Config!$B$8,Config!$B$8-Q2149,""))</f>
        <v/>
      </c>
      <c r="T2149" s="26">
        <f>IF(S2149="","","Sim")</f>
        <v/>
      </c>
      <c r="U2149" s="41">
        <f>IF(T2149="Sim",S2149+ROW()/100000,0)</f>
        <v>0</v>
      </c>
      <c r="V2149" s="41">
        <f>IF(AND(H2149="Falta",L2149=Config!$B$7,M2149=Config!$B$5,COUNTIFS($E$5:E2149,E2149,$H$5:H2149,"Falta",$L$5:L2149,Config!$B$7,$M$5:M2149,Config!$B$5)=1),COUNTIFS($E$5:$E$3004,E2149,$H$5:$H$3004,"Falta",$L$5:$L$3004,Config!$B$7,$M$5:$M$3004,Config!$B$5)*1000-ROW()/100000,0)</f>
        <v>0</v>
      </c>
    </row>
    <row r="2150">
      <c r="A2150" s="39" t="n"/>
      <c r="B2150" s="40" t="n"/>
      <c r="C2150" s="35" t="n"/>
      <c r="D2150" s="35" t="n"/>
      <c r="E2150" s="34" t="n"/>
      <c r="F2150" s="35" t="n"/>
      <c r="G2150" s="35" t="n"/>
      <c r="H2150" s="35" t="n"/>
      <c r="I2150" s="35" t="n"/>
      <c r="J2150" s="35" t="n"/>
      <c r="K2150" s="34" t="n"/>
      <c r="L2150" s="26">
        <f>IF(A2150="","",MONTH(A2150))</f>
        <v/>
      </c>
      <c r="M2150" s="26">
        <f>IF(A2150="","",YEAR(A2150))</f>
        <v/>
      </c>
      <c r="N2150" s="26">
        <f>IF(A2150="","",CHOOSE(WEEKDAY(A2150,2),"Segunda","Terça","Quarta","Quinta","Sexta","Sábado","Domingo"))</f>
        <v/>
      </c>
      <c r="O2150" s="26">
        <f>IF(B2150="","",IF(B2150&lt;TIME(12,0,0),"Manhã",IF(B2150&lt;TIME(18,0,0),"Tarde","Noite")))</f>
        <v/>
      </c>
      <c r="P2150" s="32">
        <f>IF(G2150="","",IFERROR(INDEX(Config!$I$5:$I$16,MATCH(G2150,Config!$H$5:$H$16,0)),0))</f>
        <v/>
      </c>
      <c r="Q2150" s="30">
        <f>IF(OR(H2150&lt;&gt;"Realizado",P2150="",P2150=0),"",A2150+P2150)</f>
        <v/>
      </c>
      <c r="R2150" s="26">
        <f>IF(Q2150="","",IF(COUNTIFS($E$5:$E$3004,E2150,$A$5:$A$3004,"&gt;"&amp;A2150,$H$5:$H$3004,"&lt;&gt;Falta",$H$5:$H$3004,"&lt;&gt;Cancelado",$H$5:$H$3004,"&lt;&gt;Remarcado")&gt;0,"Sim","Não"))</f>
        <v/>
      </c>
      <c r="S2150" s="32">
        <f>IF(R2150&lt;&gt;"Não","",IF(Q2150+Config!$B$9&lt;=Config!$B$8,Config!$B$8-Q2150,""))</f>
        <v/>
      </c>
      <c r="T2150" s="26">
        <f>IF(S2150="","","Sim")</f>
        <v/>
      </c>
      <c r="U2150" s="41">
        <f>IF(T2150="Sim",S2150+ROW()/100000,0)</f>
        <v>0</v>
      </c>
      <c r="V2150" s="41">
        <f>IF(AND(H2150="Falta",L2150=Config!$B$7,M2150=Config!$B$5,COUNTIFS($E$5:E2150,E2150,$H$5:H2150,"Falta",$L$5:L2150,Config!$B$7,$M$5:M2150,Config!$B$5)=1),COUNTIFS($E$5:$E$3004,E2150,$H$5:$H$3004,"Falta",$L$5:$L$3004,Config!$B$7,$M$5:$M$3004,Config!$B$5)*1000-ROW()/100000,0)</f>
        <v>0</v>
      </c>
    </row>
    <row r="2151">
      <c r="A2151" s="39" t="n"/>
      <c r="B2151" s="40" t="n"/>
      <c r="C2151" s="35" t="n"/>
      <c r="D2151" s="35" t="n"/>
      <c r="E2151" s="34" t="n"/>
      <c r="F2151" s="35" t="n"/>
      <c r="G2151" s="35" t="n"/>
      <c r="H2151" s="35" t="n"/>
      <c r="I2151" s="35" t="n"/>
      <c r="J2151" s="35" t="n"/>
      <c r="K2151" s="34" t="n"/>
      <c r="L2151" s="26">
        <f>IF(A2151="","",MONTH(A2151))</f>
        <v/>
      </c>
      <c r="M2151" s="26">
        <f>IF(A2151="","",YEAR(A2151))</f>
        <v/>
      </c>
      <c r="N2151" s="26">
        <f>IF(A2151="","",CHOOSE(WEEKDAY(A2151,2),"Segunda","Terça","Quarta","Quinta","Sexta","Sábado","Domingo"))</f>
        <v/>
      </c>
      <c r="O2151" s="26">
        <f>IF(B2151="","",IF(B2151&lt;TIME(12,0,0),"Manhã",IF(B2151&lt;TIME(18,0,0),"Tarde","Noite")))</f>
        <v/>
      </c>
      <c r="P2151" s="32">
        <f>IF(G2151="","",IFERROR(INDEX(Config!$I$5:$I$16,MATCH(G2151,Config!$H$5:$H$16,0)),0))</f>
        <v/>
      </c>
      <c r="Q2151" s="30">
        <f>IF(OR(H2151&lt;&gt;"Realizado",P2151="",P2151=0),"",A2151+P2151)</f>
        <v/>
      </c>
      <c r="R2151" s="26">
        <f>IF(Q2151="","",IF(COUNTIFS($E$5:$E$3004,E2151,$A$5:$A$3004,"&gt;"&amp;A2151,$H$5:$H$3004,"&lt;&gt;Falta",$H$5:$H$3004,"&lt;&gt;Cancelado",$H$5:$H$3004,"&lt;&gt;Remarcado")&gt;0,"Sim","Não"))</f>
        <v/>
      </c>
      <c r="S2151" s="32">
        <f>IF(R2151&lt;&gt;"Não","",IF(Q2151+Config!$B$9&lt;=Config!$B$8,Config!$B$8-Q2151,""))</f>
        <v/>
      </c>
      <c r="T2151" s="26">
        <f>IF(S2151="","","Sim")</f>
        <v/>
      </c>
      <c r="U2151" s="41">
        <f>IF(T2151="Sim",S2151+ROW()/100000,0)</f>
        <v>0</v>
      </c>
      <c r="V2151" s="41">
        <f>IF(AND(H2151="Falta",L2151=Config!$B$7,M2151=Config!$B$5,COUNTIFS($E$5:E2151,E2151,$H$5:H2151,"Falta",$L$5:L2151,Config!$B$7,$M$5:M2151,Config!$B$5)=1),COUNTIFS($E$5:$E$3004,E2151,$H$5:$H$3004,"Falta",$L$5:$L$3004,Config!$B$7,$M$5:$M$3004,Config!$B$5)*1000-ROW()/100000,0)</f>
        <v>0</v>
      </c>
    </row>
    <row r="2152">
      <c r="A2152" s="39" t="n"/>
      <c r="B2152" s="40" t="n"/>
      <c r="C2152" s="35" t="n"/>
      <c r="D2152" s="35" t="n"/>
      <c r="E2152" s="34" t="n"/>
      <c r="F2152" s="35" t="n"/>
      <c r="G2152" s="35" t="n"/>
      <c r="H2152" s="35" t="n"/>
      <c r="I2152" s="35" t="n"/>
      <c r="J2152" s="35" t="n"/>
      <c r="K2152" s="34" t="n"/>
      <c r="L2152" s="26">
        <f>IF(A2152="","",MONTH(A2152))</f>
        <v/>
      </c>
      <c r="M2152" s="26">
        <f>IF(A2152="","",YEAR(A2152))</f>
        <v/>
      </c>
      <c r="N2152" s="26">
        <f>IF(A2152="","",CHOOSE(WEEKDAY(A2152,2),"Segunda","Terça","Quarta","Quinta","Sexta","Sábado","Domingo"))</f>
        <v/>
      </c>
      <c r="O2152" s="26">
        <f>IF(B2152="","",IF(B2152&lt;TIME(12,0,0),"Manhã",IF(B2152&lt;TIME(18,0,0),"Tarde","Noite")))</f>
        <v/>
      </c>
      <c r="P2152" s="32">
        <f>IF(G2152="","",IFERROR(INDEX(Config!$I$5:$I$16,MATCH(G2152,Config!$H$5:$H$16,0)),0))</f>
        <v/>
      </c>
      <c r="Q2152" s="30">
        <f>IF(OR(H2152&lt;&gt;"Realizado",P2152="",P2152=0),"",A2152+P2152)</f>
        <v/>
      </c>
      <c r="R2152" s="26">
        <f>IF(Q2152="","",IF(COUNTIFS($E$5:$E$3004,E2152,$A$5:$A$3004,"&gt;"&amp;A2152,$H$5:$H$3004,"&lt;&gt;Falta",$H$5:$H$3004,"&lt;&gt;Cancelado",$H$5:$H$3004,"&lt;&gt;Remarcado")&gt;0,"Sim","Não"))</f>
        <v/>
      </c>
      <c r="S2152" s="32">
        <f>IF(R2152&lt;&gt;"Não","",IF(Q2152+Config!$B$9&lt;=Config!$B$8,Config!$B$8-Q2152,""))</f>
        <v/>
      </c>
      <c r="T2152" s="26">
        <f>IF(S2152="","","Sim")</f>
        <v/>
      </c>
      <c r="U2152" s="41">
        <f>IF(T2152="Sim",S2152+ROW()/100000,0)</f>
        <v>0</v>
      </c>
      <c r="V2152" s="41">
        <f>IF(AND(H2152="Falta",L2152=Config!$B$7,M2152=Config!$B$5,COUNTIFS($E$5:E2152,E2152,$H$5:H2152,"Falta",$L$5:L2152,Config!$B$7,$M$5:M2152,Config!$B$5)=1),COUNTIFS($E$5:$E$3004,E2152,$H$5:$H$3004,"Falta",$L$5:$L$3004,Config!$B$7,$M$5:$M$3004,Config!$B$5)*1000-ROW()/100000,0)</f>
        <v>0</v>
      </c>
    </row>
    <row r="2153">
      <c r="A2153" s="39" t="n"/>
      <c r="B2153" s="40" t="n"/>
      <c r="C2153" s="35" t="n"/>
      <c r="D2153" s="35" t="n"/>
      <c r="E2153" s="34" t="n"/>
      <c r="F2153" s="35" t="n"/>
      <c r="G2153" s="35" t="n"/>
      <c r="H2153" s="35" t="n"/>
      <c r="I2153" s="35" t="n"/>
      <c r="J2153" s="35" t="n"/>
      <c r="K2153" s="34" t="n"/>
      <c r="L2153" s="26">
        <f>IF(A2153="","",MONTH(A2153))</f>
        <v/>
      </c>
      <c r="M2153" s="26">
        <f>IF(A2153="","",YEAR(A2153))</f>
        <v/>
      </c>
      <c r="N2153" s="26">
        <f>IF(A2153="","",CHOOSE(WEEKDAY(A2153,2),"Segunda","Terça","Quarta","Quinta","Sexta","Sábado","Domingo"))</f>
        <v/>
      </c>
      <c r="O2153" s="26">
        <f>IF(B2153="","",IF(B2153&lt;TIME(12,0,0),"Manhã",IF(B2153&lt;TIME(18,0,0),"Tarde","Noite")))</f>
        <v/>
      </c>
      <c r="P2153" s="32">
        <f>IF(G2153="","",IFERROR(INDEX(Config!$I$5:$I$16,MATCH(G2153,Config!$H$5:$H$16,0)),0))</f>
        <v/>
      </c>
      <c r="Q2153" s="30">
        <f>IF(OR(H2153&lt;&gt;"Realizado",P2153="",P2153=0),"",A2153+P2153)</f>
        <v/>
      </c>
      <c r="R2153" s="26">
        <f>IF(Q2153="","",IF(COUNTIFS($E$5:$E$3004,E2153,$A$5:$A$3004,"&gt;"&amp;A2153,$H$5:$H$3004,"&lt;&gt;Falta",$H$5:$H$3004,"&lt;&gt;Cancelado",$H$5:$H$3004,"&lt;&gt;Remarcado")&gt;0,"Sim","Não"))</f>
        <v/>
      </c>
      <c r="S2153" s="32">
        <f>IF(R2153&lt;&gt;"Não","",IF(Q2153+Config!$B$9&lt;=Config!$B$8,Config!$B$8-Q2153,""))</f>
        <v/>
      </c>
      <c r="T2153" s="26">
        <f>IF(S2153="","","Sim")</f>
        <v/>
      </c>
      <c r="U2153" s="41">
        <f>IF(T2153="Sim",S2153+ROW()/100000,0)</f>
        <v>0</v>
      </c>
      <c r="V2153" s="41">
        <f>IF(AND(H2153="Falta",L2153=Config!$B$7,M2153=Config!$B$5,COUNTIFS($E$5:E2153,E2153,$H$5:H2153,"Falta",$L$5:L2153,Config!$B$7,$M$5:M2153,Config!$B$5)=1),COUNTIFS($E$5:$E$3004,E2153,$H$5:$H$3004,"Falta",$L$5:$L$3004,Config!$B$7,$M$5:$M$3004,Config!$B$5)*1000-ROW()/100000,0)</f>
        <v>0</v>
      </c>
    </row>
    <row r="2154">
      <c r="A2154" s="39" t="n"/>
      <c r="B2154" s="40" t="n"/>
      <c r="C2154" s="35" t="n"/>
      <c r="D2154" s="35" t="n"/>
      <c r="E2154" s="34" t="n"/>
      <c r="F2154" s="35" t="n"/>
      <c r="G2154" s="35" t="n"/>
      <c r="H2154" s="35" t="n"/>
      <c r="I2154" s="35" t="n"/>
      <c r="J2154" s="35" t="n"/>
      <c r="K2154" s="34" t="n"/>
      <c r="L2154" s="26">
        <f>IF(A2154="","",MONTH(A2154))</f>
        <v/>
      </c>
      <c r="M2154" s="26">
        <f>IF(A2154="","",YEAR(A2154))</f>
        <v/>
      </c>
      <c r="N2154" s="26">
        <f>IF(A2154="","",CHOOSE(WEEKDAY(A2154,2),"Segunda","Terça","Quarta","Quinta","Sexta","Sábado","Domingo"))</f>
        <v/>
      </c>
      <c r="O2154" s="26">
        <f>IF(B2154="","",IF(B2154&lt;TIME(12,0,0),"Manhã",IF(B2154&lt;TIME(18,0,0),"Tarde","Noite")))</f>
        <v/>
      </c>
      <c r="P2154" s="32">
        <f>IF(G2154="","",IFERROR(INDEX(Config!$I$5:$I$16,MATCH(G2154,Config!$H$5:$H$16,0)),0))</f>
        <v/>
      </c>
      <c r="Q2154" s="30">
        <f>IF(OR(H2154&lt;&gt;"Realizado",P2154="",P2154=0),"",A2154+P2154)</f>
        <v/>
      </c>
      <c r="R2154" s="26">
        <f>IF(Q2154="","",IF(COUNTIFS($E$5:$E$3004,E2154,$A$5:$A$3004,"&gt;"&amp;A2154,$H$5:$H$3004,"&lt;&gt;Falta",$H$5:$H$3004,"&lt;&gt;Cancelado",$H$5:$H$3004,"&lt;&gt;Remarcado")&gt;0,"Sim","Não"))</f>
        <v/>
      </c>
      <c r="S2154" s="32">
        <f>IF(R2154&lt;&gt;"Não","",IF(Q2154+Config!$B$9&lt;=Config!$B$8,Config!$B$8-Q2154,""))</f>
        <v/>
      </c>
      <c r="T2154" s="26">
        <f>IF(S2154="","","Sim")</f>
        <v/>
      </c>
      <c r="U2154" s="41">
        <f>IF(T2154="Sim",S2154+ROW()/100000,0)</f>
        <v>0</v>
      </c>
      <c r="V2154" s="41">
        <f>IF(AND(H2154="Falta",L2154=Config!$B$7,M2154=Config!$B$5,COUNTIFS($E$5:E2154,E2154,$H$5:H2154,"Falta",$L$5:L2154,Config!$B$7,$M$5:M2154,Config!$B$5)=1),COUNTIFS($E$5:$E$3004,E2154,$H$5:$H$3004,"Falta",$L$5:$L$3004,Config!$B$7,$M$5:$M$3004,Config!$B$5)*1000-ROW()/100000,0)</f>
        <v>0</v>
      </c>
    </row>
    <row r="2155">
      <c r="A2155" s="39" t="n"/>
      <c r="B2155" s="40" t="n"/>
      <c r="C2155" s="35" t="n"/>
      <c r="D2155" s="35" t="n"/>
      <c r="E2155" s="34" t="n"/>
      <c r="F2155" s="35" t="n"/>
      <c r="G2155" s="35" t="n"/>
      <c r="H2155" s="35" t="n"/>
      <c r="I2155" s="35" t="n"/>
      <c r="J2155" s="35" t="n"/>
      <c r="K2155" s="34" t="n"/>
      <c r="L2155" s="26">
        <f>IF(A2155="","",MONTH(A2155))</f>
        <v/>
      </c>
      <c r="M2155" s="26">
        <f>IF(A2155="","",YEAR(A2155))</f>
        <v/>
      </c>
      <c r="N2155" s="26">
        <f>IF(A2155="","",CHOOSE(WEEKDAY(A2155,2),"Segunda","Terça","Quarta","Quinta","Sexta","Sábado","Domingo"))</f>
        <v/>
      </c>
      <c r="O2155" s="26">
        <f>IF(B2155="","",IF(B2155&lt;TIME(12,0,0),"Manhã",IF(B2155&lt;TIME(18,0,0),"Tarde","Noite")))</f>
        <v/>
      </c>
      <c r="P2155" s="32">
        <f>IF(G2155="","",IFERROR(INDEX(Config!$I$5:$I$16,MATCH(G2155,Config!$H$5:$H$16,0)),0))</f>
        <v/>
      </c>
      <c r="Q2155" s="30">
        <f>IF(OR(H2155&lt;&gt;"Realizado",P2155="",P2155=0),"",A2155+P2155)</f>
        <v/>
      </c>
      <c r="R2155" s="26">
        <f>IF(Q2155="","",IF(COUNTIFS($E$5:$E$3004,E2155,$A$5:$A$3004,"&gt;"&amp;A2155,$H$5:$H$3004,"&lt;&gt;Falta",$H$5:$H$3004,"&lt;&gt;Cancelado",$H$5:$H$3004,"&lt;&gt;Remarcado")&gt;0,"Sim","Não"))</f>
        <v/>
      </c>
      <c r="S2155" s="32">
        <f>IF(R2155&lt;&gt;"Não","",IF(Q2155+Config!$B$9&lt;=Config!$B$8,Config!$B$8-Q2155,""))</f>
        <v/>
      </c>
      <c r="T2155" s="26">
        <f>IF(S2155="","","Sim")</f>
        <v/>
      </c>
      <c r="U2155" s="41">
        <f>IF(T2155="Sim",S2155+ROW()/100000,0)</f>
        <v>0</v>
      </c>
      <c r="V2155" s="41">
        <f>IF(AND(H2155="Falta",L2155=Config!$B$7,M2155=Config!$B$5,COUNTIFS($E$5:E2155,E2155,$H$5:H2155,"Falta",$L$5:L2155,Config!$B$7,$M$5:M2155,Config!$B$5)=1),COUNTIFS($E$5:$E$3004,E2155,$H$5:$H$3004,"Falta",$L$5:$L$3004,Config!$B$7,$M$5:$M$3004,Config!$B$5)*1000-ROW()/100000,0)</f>
        <v>0</v>
      </c>
    </row>
    <row r="2156">
      <c r="A2156" s="39" t="n"/>
      <c r="B2156" s="40" t="n"/>
      <c r="C2156" s="35" t="n"/>
      <c r="D2156" s="35" t="n"/>
      <c r="E2156" s="34" t="n"/>
      <c r="F2156" s="35" t="n"/>
      <c r="G2156" s="35" t="n"/>
      <c r="H2156" s="35" t="n"/>
      <c r="I2156" s="35" t="n"/>
      <c r="J2156" s="35" t="n"/>
      <c r="K2156" s="34" t="n"/>
      <c r="L2156" s="26">
        <f>IF(A2156="","",MONTH(A2156))</f>
        <v/>
      </c>
      <c r="M2156" s="26">
        <f>IF(A2156="","",YEAR(A2156))</f>
        <v/>
      </c>
      <c r="N2156" s="26">
        <f>IF(A2156="","",CHOOSE(WEEKDAY(A2156,2),"Segunda","Terça","Quarta","Quinta","Sexta","Sábado","Domingo"))</f>
        <v/>
      </c>
      <c r="O2156" s="26">
        <f>IF(B2156="","",IF(B2156&lt;TIME(12,0,0),"Manhã",IF(B2156&lt;TIME(18,0,0),"Tarde","Noite")))</f>
        <v/>
      </c>
      <c r="P2156" s="32">
        <f>IF(G2156="","",IFERROR(INDEX(Config!$I$5:$I$16,MATCH(G2156,Config!$H$5:$H$16,0)),0))</f>
        <v/>
      </c>
      <c r="Q2156" s="30">
        <f>IF(OR(H2156&lt;&gt;"Realizado",P2156="",P2156=0),"",A2156+P2156)</f>
        <v/>
      </c>
      <c r="R2156" s="26">
        <f>IF(Q2156="","",IF(COUNTIFS($E$5:$E$3004,E2156,$A$5:$A$3004,"&gt;"&amp;A2156,$H$5:$H$3004,"&lt;&gt;Falta",$H$5:$H$3004,"&lt;&gt;Cancelado",$H$5:$H$3004,"&lt;&gt;Remarcado")&gt;0,"Sim","Não"))</f>
        <v/>
      </c>
      <c r="S2156" s="32">
        <f>IF(R2156&lt;&gt;"Não","",IF(Q2156+Config!$B$9&lt;=Config!$B$8,Config!$B$8-Q2156,""))</f>
        <v/>
      </c>
      <c r="T2156" s="26">
        <f>IF(S2156="","","Sim")</f>
        <v/>
      </c>
      <c r="U2156" s="41">
        <f>IF(T2156="Sim",S2156+ROW()/100000,0)</f>
        <v>0</v>
      </c>
      <c r="V2156" s="41">
        <f>IF(AND(H2156="Falta",L2156=Config!$B$7,M2156=Config!$B$5,COUNTIFS($E$5:E2156,E2156,$H$5:H2156,"Falta",$L$5:L2156,Config!$B$7,$M$5:M2156,Config!$B$5)=1),COUNTIFS($E$5:$E$3004,E2156,$H$5:$H$3004,"Falta",$L$5:$L$3004,Config!$B$7,$M$5:$M$3004,Config!$B$5)*1000-ROW()/100000,0)</f>
        <v>0</v>
      </c>
    </row>
    <row r="2157">
      <c r="A2157" s="39" t="n"/>
      <c r="B2157" s="40" t="n"/>
      <c r="C2157" s="35" t="n"/>
      <c r="D2157" s="35" t="n"/>
      <c r="E2157" s="34" t="n"/>
      <c r="F2157" s="35" t="n"/>
      <c r="G2157" s="35" t="n"/>
      <c r="H2157" s="35" t="n"/>
      <c r="I2157" s="35" t="n"/>
      <c r="J2157" s="35" t="n"/>
      <c r="K2157" s="34" t="n"/>
      <c r="L2157" s="26">
        <f>IF(A2157="","",MONTH(A2157))</f>
        <v/>
      </c>
      <c r="M2157" s="26">
        <f>IF(A2157="","",YEAR(A2157))</f>
        <v/>
      </c>
      <c r="N2157" s="26">
        <f>IF(A2157="","",CHOOSE(WEEKDAY(A2157,2),"Segunda","Terça","Quarta","Quinta","Sexta","Sábado","Domingo"))</f>
        <v/>
      </c>
      <c r="O2157" s="26">
        <f>IF(B2157="","",IF(B2157&lt;TIME(12,0,0),"Manhã",IF(B2157&lt;TIME(18,0,0),"Tarde","Noite")))</f>
        <v/>
      </c>
      <c r="P2157" s="32">
        <f>IF(G2157="","",IFERROR(INDEX(Config!$I$5:$I$16,MATCH(G2157,Config!$H$5:$H$16,0)),0))</f>
        <v/>
      </c>
      <c r="Q2157" s="30">
        <f>IF(OR(H2157&lt;&gt;"Realizado",P2157="",P2157=0),"",A2157+P2157)</f>
        <v/>
      </c>
      <c r="R2157" s="26">
        <f>IF(Q2157="","",IF(COUNTIFS($E$5:$E$3004,E2157,$A$5:$A$3004,"&gt;"&amp;A2157,$H$5:$H$3004,"&lt;&gt;Falta",$H$5:$H$3004,"&lt;&gt;Cancelado",$H$5:$H$3004,"&lt;&gt;Remarcado")&gt;0,"Sim","Não"))</f>
        <v/>
      </c>
      <c r="S2157" s="32">
        <f>IF(R2157&lt;&gt;"Não","",IF(Q2157+Config!$B$9&lt;=Config!$B$8,Config!$B$8-Q2157,""))</f>
        <v/>
      </c>
      <c r="T2157" s="26">
        <f>IF(S2157="","","Sim")</f>
        <v/>
      </c>
      <c r="U2157" s="41">
        <f>IF(T2157="Sim",S2157+ROW()/100000,0)</f>
        <v>0</v>
      </c>
      <c r="V2157" s="41">
        <f>IF(AND(H2157="Falta",L2157=Config!$B$7,M2157=Config!$B$5,COUNTIFS($E$5:E2157,E2157,$H$5:H2157,"Falta",$L$5:L2157,Config!$B$7,$M$5:M2157,Config!$B$5)=1),COUNTIFS($E$5:$E$3004,E2157,$H$5:$H$3004,"Falta",$L$5:$L$3004,Config!$B$7,$M$5:$M$3004,Config!$B$5)*1000-ROW()/100000,0)</f>
        <v>0</v>
      </c>
    </row>
    <row r="2158">
      <c r="A2158" s="39" t="n"/>
      <c r="B2158" s="40" t="n"/>
      <c r="C2158" s="35" t="n"/>
      <c r="D2158" s="35" t="n"/>
      <c r="E2158" s="34" t="n"/>
      <c r="F2158" s="35" t="n"/>
      <c r="G2158" s="35" t="n"/>
      <c r="H2158" s="35" t="n"/>
      <c r="I2158" s="35" t="n"/>
      <c r="J2158" s="35" t="n"/>
      <c r="K2158" s="34" t="n"/>
      <c r="L2158" s="26">
        <f>IF(A2158="","",MONTH(A2158))</f>
        <v/>
      </c>
      <c r="M2158" s="26">
        <f>IF(A2158="","",YEAR(A2158))</f>
        <v/>
      </c>
      <c r="N2158" s="26">
        <f>IF(A2158="","",CHOOSE(WEEKDAY(A2158,2),"Segunda","Terça","Quarta","Quinta","Sexta","Sábado","Domingo"))</f>
        <v/>
      </c>
      <c r="O2158" s="26">
        <f>IF(B2158="","",IF(B2158&lt;TIME(12,0,0),"Manhã",IF(B2158&lt;TIME(18,0,0),"Tarde","Noite")))</f>
        <v/>
      </c>
      <c r="P2158" s="32">
        <f>IF(G2158="","",IFERROR(INDEX(Config!$I$5:$I$16,MATCH(G2158,Config!$H$5:$H$16,0)),0))</f>
        <v/>
      </c>
      <c r="Q2158" s="30">
        <f>IF(OR(H2158&lt;&gt;"Realizado",P2158="",P2158=0),"",A2158+P2158)</f>
        <v/>
      </c>
      <c r="R2158" s="26">
        <f>IF(Q2158="","",IF(COUNTIFS($E$5:$E$3004,E2158,$A$5:$A$3004,"&gt;"&amp;A2158,$H$5:$H$3004,"&lt;&gt;Falta",$H$5:$H$3004,"&lt;&gt;Cancelado",$H$5:$H$3004,"&lt;&gt;Remarcado")&gt;0,"Sim","Não"))</f>
        <v/>
      </c>
      <c r="S2158" s="32">
        <f>IF(R2158&lt;&gt;"Não","",IF(Q2158+Config!$B$9&lt;=Config!$B$8,Config!$B$8-Q2158,""))</f>
        <v/>
      </c>
      <c r="T2158" s="26">
        <f>IF(S2158="","","Sim")</f>
        <v/>
      </c>
      <c r="U2158" s="41">
        <f>IF(T2158="Sim",S2158+ROW()/100000,0)</f>
        <v>0</v>
      </c>
      <c r="V2158" s="41">
        <f>IF(AND(H2158="Falta",L2158=Config!$B$7,M2158=Config!$B$5,COUNTIFS($E$5:E2158,E2158,$H$5:H2158,"Falta",$L$5:L2158,Config!$B$7,$M$5:M2158,Config!$B$5)=1),COUNTIFS($E$5:$E$3004,E2158,$H$5:$H$3004,"Falta",$L$5:$L$3004,Config!$B$7,$M$5:$M$3004,Config!$B$5)*1000-ROW()/100000,0)</f>
        <v>0</v>
      </c>
    </row>
    <row r="2159">
      <c r="A2159" s="39" t="n"/>
      <c r="B2159" s="40" t="n"/>
      <c r="C2159" s="35" t="n"/>
      <c r="D2159" s="35" t="n"/>
      <c r="E2159" s="34" t="n"/>
      <c r="F2159" s="35" t="n"/>
      <c r="G2159" s="35" t="n"/>
      <c r="H2159" s="35" t="n"/>
      <c r="I2159" s="35" t="n"/>
      <c r="J2159" s="35" t="n"/>
      <c r="K2159" s="34" t="n"/>
      <c r="L2159" s="26">
        <f>IF(A2159="","",MONTH(A2159))</f>
        <v/>
      </c>
      <c r="M2159" s="26">
        <f>IF(A2159="","",YEAR(A2159))</f>
        <v/>
      </c>
      <c r="N2159" s="26">
        <f>IF(A2159="","",CHOOSE(WEEKDAY(A2159,2),"Segunda","Terça","Quarta","Quinta","Sexta","Sábado","Domingo"))</f>
        <v/>
      </c>
      <c r="O2159" s="26">
        <f>IF(B2159="","",IF(B2159&lt;TIME(12,0,0),"Manhã",IF(B2159&lt;TIME(18,0,0),"Tarde","Noite")))</f>
        <v/>
      </c>
      <c r="P2159" s="32">
        <f>IF(G2159="","",IFERROR(INDEX(Config!$I$5:$I$16,MATCH(G2159,Config!$H$5:$H$16,0)),0))</f>
        <v/>
      </c>
      <c r="Q2159" s="30">
        <f>IF(OR(H2159&lt;&gt;"Realizado",P2159="",P2159=0),"",A2159+P2159)</f>
        <v/>
      </c>
      <c r="R2159" s="26">
        <f>IF(Q2159="","",IF(COUNTIFS($E$5:$E$3004,E2159,$A$5:$A$3004,"&gt;"&amp;A2159,$H$5:$H$3004,"&lt;&gt;Falta",$H$5:$H$3004,"&lt;&gt;Cancelado",$H$5:$H$3004,"&lt;&gt;Remarcado")&gt;0,"Sim","Não"))</f>
        <v/>
      </c>
      <c r="S2159" s="32">
        <f>IF(R2159&lt;&gt;"Não","",IF(Q2159+Config!$B$9&lt;=Config!$B$8,Config!$B$8-Q2159,""))</f>
        <v/>
      </c>
      <c r="T2159" s="26">
        <f>IF(S2159="","","Sim")</f>
        <v/>
      </c>
      <c r="U2159" s="41">
        <f>IF(T2159="Sim",S2159+ROW()/100000,0)</f>
        <v>0</v>
      </c>
      <c r="V2159" s="41">
        <f>IF(AND(H2159="Falta",L2159=Config!$B$7,M2159=Config!$B$5,COUNTIFS($E$5:E2159,E2159,$H$5:H2159,"Falta",$L$5:L2159,Config!$B$7,$M$5:M2159,Config!$B$5)=1),COUNTIFS($E$5:$E$3004,E2159,$H$5:$H$3004,"Falta",$L$5:$L$3004,Config!$B$7,$M$5:$M$3004,Config!$B$5)*1000-ROW()/100000,0)</f>
        <v>0</v>
      </c>
    </row>
    <row r="2160">
      <c r="A2160" s="39" t="n"/>
      <c r="B2160" s="40" t="n"/>
      <c r="C2160" s="35" t="n"/>
      <c r="D2160" s="35" t="n"/>
      <c r="E2160" s="34" t="n"/>
      <c r="F2160" s="35" t="n"/>
      <c r="G2160" s="35" t="n"/>
      <c r="H2160" s="35" t="n"/>
      <c r="I2160" s="35" t="n"/>
      <c r="J2160" s="35" t="n"/>
      <c r="K2160" s="34" t="n"/>
      <c r="L2160" s="26">
        <f>IF(A2160="","",MONTH(A2160))</f>
        <v/>
      </c>
      <c r="M2160" s="26">
        <f>IF(A2160="","",YEAR(A2160))</f>
        <v/>
      </c>
      <c r="N2160" s="26">
        <f>IF(A2160="","",CHOOSE(WEEKDAY(A2160,2),"Segunda","Terça","Quarta","Quinta","Sexta","Sábado","Domingo"))</f>
        <v/>
      </c>
      <c r="O2160" s="26">
        <f>IF(B2160="","",IF(B2160&lt;TIME(12,0,0),"Manhã",IF(B2160&lt;TIME(18,0,0),"Tarde","Noite")))</f>
        <v/>
      </c>
      <c r="P2160" s="32">
        <f>IF(G2160="","",IFERROR(INDEX(Config!$I$5:$I$16,MATCH(G2160,Config!$H$5:$H$16,0)),0))</f>
        <v/>
      </c>
      <c r="Q2160" s="30">
        <f>IF(OR(H2160&lt;&gt;"Realizado",P2160="",P2160=0),"",A2160+P2160)</f>
        <v/>
      </c>
      <c r="R2160" s="26">
        <f>IF(Q2160="","",IF(COUNTIFS($E$5:$E$3004,E2160,$A$5:$A$3004,"&gt;"&amp;A2160,$H$5:$H$3004,"&lt;&gt;Falta",$H$5:$H$3004,"&lt;&gt;Cancelado",$H$5:$H$3004,"&lt;&gt;Remarcado")&gt;0,"Sim","Não"))</f>
        <v/>
      </c>
      <c r="S2160" s="32">
        <f>IF(R2160&lt;&gt;"Não","",IF(Q2160+Config!$B$9&lt;=Config!$B$8,Config!$B$8-Q2160,""))</f>
        <v/>
      </c>
      <c r="T2160" s="26">
        <f>IF(S2160="","","Sim")</f>
        <v/>
      </c>
      <c r="U2160" s="41">
        <f>IF(T2160="Sim",S2160+ROW()/100000,0)</f>
        <v>0</v>
      </c>
      <c r="V2160" s="41">
        <f>IF(AND(H2160="Falta",L2160=Config!$B$7,M2160=Config!$B$5,COUNTIFS($E$5:E2160,E2160,$H$5:H2160,"Falta",$L$5:L2160,Config!$B$7,$M$5:M2160,Config!$B$5)=1),COUNTIFS($E$5:$E$3004,E2160,$H$5:$H$3004,"Falta",$L$5:$L$3004,Config!$B$7,$M$5:$M$3004,Config!$B$5)*1000-ROW()/100000,0)</f>
        <v>0</v>
      </c>
    </row>
    <row r="2161">
      <c r="A2161" s="39" t="n"/>
      <c r="B2161" s="40" t="n"/>
      <c r="C2161" s="35" t="n"/>
      <c r="D2161" s="35" t="n"/>
      <c r="E2161" s="34" t="n"/>
      <c r="F2161" s="35" t="n"/>
      <c r="G2161" s="35" t="n"/>
      <c r="H2161" s="35" t="n"/>
      <c r="I2161" s="35" t="n"/>
      <c r="J2161" s="35" t="n"/>
      <c r="K2161" s="34" t="n"/>
      <c r="L2161" s="26">
        <f>IF(A2161="","",MONTH(A2161))</f>
        <v/>
      </c>
      <c r="M2161" s="26">
        <f>IF(A2161="","",YEAR(A2161))</f>
        <v/>
      </c>
      <c r="N2161" s="26">
        <f>IF(A2161="","",CHOOSE(WEEKDAY(A2161,2),"Segunda","Terça","Quarta","Quinta","Sexta","Sábado","Domingo"))</f>
        <v/>
      </c>
      <c r="O2161" s="26">
        <f>IF(B2161="","",IF(B2161&lt;TIME(12,0,0),"Manhã",IF(B2161&lt;TIME(18,0,0),"Tarde","Noite")))</f>
        <v/>
      </c>
      <c r="P2161" s="32">
        <f>IF(G2161="","",IFERROR(INDEX(Config!$I$5:$I$16,MATCH(G2161,Config!$H$5:$H$16,0)),0))</f>
        <v/>
      </c>
      <c r="Q2161" s="30">
        <f>IF(OR(H2161&lt;&gt;"Realizado",P2161="",P2161=0),"",A2161+P2161)</f>
        <v/>
      </c>
      <c r="R2161" s="26">
        <f>IF(Q2161="","",IF(COUNTIFS($E$5:$E$3004,E2161,$A$5:$A$3004,"&gt;"&amp;A2161,$H$5:$H$3004,"&lt;&gt;Falta",$H$5:$H$3004,"&lt;&gt;Cancelado",$H$5:$H$3004,"&lt;&gt;Remarcado")&gt;0,"Sim","Não"))</f>
        <v/>
      </c>
      <c r="S2161" s="32">
        <f>IF(R2161&lt;&gt;"Não","",IF(Q2161+Config!$B$9&lt;=Config!$B$8,Config!$B$8-Q2161,""))</f>
        <v/>
      </c>
      <c r="T2161" s="26">
        <f>IF(S2161="","","Sim")</f>
        <v/>
      </c>
      <c r="U2161" s="41">
        <f>IF(T2161="Sim",S2161+ROW()/100000,0)</f>
        <v>0</v>
      </c>
      <c r="V2161" s="41">
        <f>IF(AND(H2161="Falta",L2161=Config!$B$7,M2161=Config!$B$5,COUNTIFS($E$5:E2161,E2161,$H$5:H2161,"Falta",$L$5:L2161,Config!$B$7,$M$5:M2161,Config!$B$5)=1),COUNTIFS($E$5:$E$3004,E2161,$H$5:$H$3004,"Falta",$L$5:$L$3004,Config!$B$7,$M$5:$M$3004,Config!$B$5)*1000-ROW()/100000,0)</f>
        <v>0</v>
      </c>
    </row>
    <row r="2162">
      <c r="A2162" s="39" t="n"/>
      <c r="B2162" s="40" t="n"/>
      <c r="C2162" s="35" t="n"/>
      <c r="D2162" s="35" t="n"/>
      <c r="E2162" s="34" t="n"/>
      <c r="F2162" s="35" t="n"/>
      <c r="G2162" s="35" t="n"/>
      <c r="H2162" s="35" t="n"/>
      <c r="I2162" s="35" t="n"/>
      <c r="J2162" s="35" t="n"/>
      <c r="K2162" s="34" t="n"/>
      <c r="L2162" s="26">
        <f>IF(A2162="","",MONTH(A2162))</f>
        <v/>
      </c>
      <c r="M2162" s="26">
        <f>IF(A2162="","",YEAR(A2162))</f>
        <v/>
      </c>
      <c r="N2162" s="26">
        <f>IF(A2162="","",CHOOSE(WEEKDAY(A2162,2),"Segunda","Terça","Quarta","Quinta","Sexta","Sábado","Domingo"))</f>
        <v/>
      </c>
      <c r="O2162" s="26">
        <f>IF(B2162="","",IF(B2162&lt;TIME(12,0,0),"Manhã",IF(B2162&lt;TIME(18,0,0),"Tarde","Noite")))</f>
        <v/>
      </c>
      <c r="P2162" s="32">
        <f>IF(G2162="","",IFERROR(INDEX(Config!$I$5:$I$16,MATCH(G2162,Config!$H$5:$H$16,0)),0))</f>
        <v/>
      </c>
      <c r="Q2162" s="30">
        <f>IF(OR(H2162&lt;&gt;"Realizado",P2162="",P2162=0),"",A2162+P2162)</f>
        <v/>
      </c>
      <c r="R2162" s="26">
        <f>IF(Q2162="","",IF(COUNTIFS($E$5:$E$3004,E2162,$A$5:$A$3004,"&gt;"&amp;A2162,$H$5:$H$3004,"&lt;&gt;Falta",$H$5:$H$3004,"&lt;&gt;Cancelado",$H$5:$H$3004,"&lt;&gt;Remarcado")&gt;0,"Sim","Não"))</f>
        <v/>
      </c>
      <c r="S2162" s="32">
        <f>IF(R2162&lt;&gt;"Não","",IF(Q2162+Config!$B$9&lt;=Config!$B$8,Config!$B$8-Q2162,""))</f>
        <v/>
      </c>
      <c r="T2162" s="26">
        <f>IF(S2162="","","Sim")</f>
        <v/>
      </c>
      <c r="U2162" s="41">
        <f>IF(T2162="Sim",S2162+ROW()/100000,0)</f>
        <v>0</v>
      </c>
      <c r="V2162" s="41">
        <f>IF(AND(H2162="Falta",L2162=Config!$B$7,M2162=Config!$B$5,COUNTIFS($E$5:E2162,E2162,$H$5:H2162,"Falta",$L$5:L2162,Config!$B$7,$M$5:M2162,Config!$B$5)=1),COUNTIFS($E$5:$E$3004,E2162,$H$5:$H$3004,"Falta",$L$5:$L$3004,Config!$B$7,$M$5:$M$3004,Config!$B$5)*1000-ROW()/100000,0)</f>
        <v>0</v>
      </c>
    </row>
    <row r="2163">
      <c r="A2163" s="39" t="n"/>
      <c r="B2163" s="40" t="n"/>
      <c r="C2163" s="35" t="n"/>
      <c r="D2163" s="35" t="n"/>
      <c r="E2163" s="34" t="n"/>
      <c r="F2163" s="35" t="n"/>
      <c r="G2163" s="35" t="n"/>
      <c r="H2163" s="35" t="n"/>
      <c r="I2163" s="35" t="n"/>
      <c r="J2163" s="35" t="n"/>
      <c r="K2163" s="34" t="n"/>
      <c r="L2163" s="26">
        <f>IF(A2163="","",MONTH(A2163))</f>
        <v/>
      </c>
      <c r="M2163" s="26">
        <f>IF(A2163="","",YEAR(A2163))</f>
        <v/>
      </c>
      <c r="N2163" s="26">
        <f>IF(A2163="","",CHOOSE(WEEKDAY(A2163,2),"Segunda","Terça","Quarta","Quinta","Sexta","Sábado","Domingo"))</f>
        <v/>
      </c>
      <c r="O2163" s="26">
        <f>IF(B2163="","",IF(B2163&lt;TIME(12,0,0),"Manhã",IF(B2163&lt;TIME(18,0,0),"Tarde","Noite")))</f>
        <v/>
      </c>
      <c r="P2163" s="32">
        <f>IF(G2163="","",IFERROR(INDEX(Config!$I$5:$I$16,MATCH(G2163,Config!$H$5:$H$16,0)),0))</f>
        <v/>
      </c>
      <c r="Q2163" s="30">
        <f>IF(OR(H2163&lt;&gt;"Realizado",P2163="",P2163=0),"",A2163+P2163)</f>
        <v/>
      </c>
      <c r="R2163" s="26">
        <f>IF(Q2163="","",IF(COUNTIFS($E$5:$E$3004,E2163,$A$5:$A$3004,"&gt;"&amp;A2163,$H$5:$H$3004,"&lt;&gt;Falta",$H$5:$H$3004,"&lt;&gt;Cancelado",$H$5:$H$3004,"&lt;&gt;Remarcado")&gt;0,"Sim","Não"))</f>
        <v/>
      </c>
      <c r="S2163" s="32">
        <f>IF(R2163&lt;&gt;"Não","",IF(Q2163+Config!$B$9&lt;=Config!$B$8,Config!$B$8-Q2163,""))</f>
        <v/>
      </c>
      <c r="T2163" s="26">
        <f>IF(S2163="","","Sim")</f>
        <v/>
      </c>
      <c r="U2163" s="41">
        <f>IF(T2163="Sim",S2163+ROW()/100000,0)</f>
        <v>0</v>
      </c>
      <c r="V2163" s="41">
        <f>IF(AND(H2163="Falta",L2163=Config!$B$7,M2163=Config!$B$5,COUNTIFS($E$5:E2163,E2163,$H$5:H2163,"Falta",$L$5:L2163,Config!$B$7,$M$5:M2163,Config!$B$5)=1),COUNTIFS($E$5:$E$3004,E2163,$H$5:$H$3004,"Falta",$L$5:$L$3004,Config!$B$7,$M$5:$M$3004,Config!$B$5)*1000-ROW()/100000,0)</f>
        <v>0</v>
      </c>
    </row>
    <row r="2164">
      <c r="A2164" s="39" t="n"/>
      <c r="B2164" s="40" t="n"/>
      <c r="C2164" s="35" t="n"/>
      <c r="D2164" s="35" t="n"/>
      <c r="E2164" s="34" t="n"/>
      <c r="F2164" s="35" t="n"/>
      <c r="G2164" s="35" t="n"/>
      <c r="H2164" s="35" t="n"/>
      <c r="I2164" s="35" t="n"/>
      <c r="J2164" s="35" t="n"/>
      <c r="K2164" s="34" t="n"/>
      <c r="L2164" s="26">
        <f>IF(A2164="","",MONTH(A2164))</f>
        <v/>
      </c>
      <c r="M2164" s="26">
        <f>IF(A2164="","",YEAR(A2164))</f>
        <v/>
      </c>
      <c r="N2164" s="26">
        <f>IF(A2164="","",CHOOSE(WEEKDAY(A2164,2),"Segunda","Terça","Quarta","Quinta","Sexta","Sábado","Domingo"))</f>
        <v/>
      </c>
      <c r="O2164" s="26">
        <f>IF(B2164="","",IF(B2164&lt;TIME(12,0,0),"Manhã",IF(B2164&lt;TIME(18,0,0),"Tarde","Noite")))</f>
        <v/>
      </c>
      <c r="P2164" s="32">
        <f>IF(G2164="","",IFERROR(INDEX(Config!$I$5:$I$16,MATCH(G2164,Config!$H$5:$H$16,0)),0))</f>
        <v/>
      </c>
      <c r="Q2164" s="30">
        <f>IF(OR(H2164&lt;&gt;"Realizado",P2164="",P2164=0),"",A2164+P2164)</f>
        <v/>
      </c>
      <c r="R2164" s="26">
        <f>IF(Q2164="","",IF(COUNTIFS($E$5:$E$3004,E2164,$A$5:$A$3004,"&gt;"&amp;A2164,$H$5:$H$3004,"&lt;&gt;Falta",$H$5:$H$3004,"&lt;&gt;Cancelado",$H$5:$H$3004,"&lt;&gt;Remarcado")&gt;0,"Sim","Não"))</f>
        <v/>
      </c>
      <c r="S2164" s="32">
        <f>IF(R2164&lt;&gt;"Não","",IF(Q2164+Config!$B$9&lt;=Config!$B$8,Config!$B$8-Q2164,""))</f>
        <v/>
      </c>
      <c r="T2164" s="26">
        <f>IF(S2164="","","Sim")</f>
        <v/>
      </c>
      <c r="U2164" s="41">
        <f>IF(T2164="Sim",S2164+ROW()/100000,0)</f>
        <v>0</v>
      </c>
      <c r="V2164" s="41">
        <f>IF(AND(H2164="Falta",L2164=Config!$B$7,M2164=Config!$B$5,COUNTIFS($E$5:E2164,E2164,$H$5:H2164,"Falta",$L$5:L2164,Config!$B$7,$M$5:M2164,Config!$B$5)=1),COUNTIFS($E$5:$E$3004,E2164,$H$5:$H$3004,"Falta",$L$5:$L$3004,Config!$B$7,$M$5:$M$3004,Config!$B$5)*1000-ROW()/100000,0)</f>
        <v>0</v>
      </c>
    </row>
    <row r="2165">
      <c r="A2165" s="39" t="n"/>
      <c r="B2165" s="40" t="n"/>
      <c r="C2165" s="35" t="n"/>
      <c r="D2165" s="35" t="n"/>
      <c r="E2165" s="34" t="n"/>
      <c r="F2165" s="35" t="n"/>
      <c r="G2165" s="35" t="n"/>
      <c r="H2165" s="35" t="n"/>
      <c r="I2165" s="35" t="n"/>
      <c r="J2165" s="35" t="n"/>
      <c r="K2165" s="34" t="n"/>
      <c r="L2165" s="26">
        <f>IF(A2165="","",MONTH(A2165))</f>
        <v/>
      </c>
      <c r="M2165" s="26">
        <f>IF(A2165="","",YEAR(A2165))</f>
        <v/>
      </c>
      <c r="N2165" s="26">
        <f>IF(A2165="","",CHOOSE(WEEKDAY(A2165,2),"Segunda","Terça","Quarta","Quinta","Sexta","Sábado","Domingo"))</f>
        <v/>
      </c>
      <c r="O2165" s="26">
        <f>IF(B2165="","",IF(B2165&lt;TIME(12,0,0),"Manhã",IF(B2165&lt;TIME(18,0,0),"Tarde","Noite")))</f>
        <v/>
      </c>
      <c r="P2165" s="32">
        <f>IF(G2165="","",IFERROR(INDEX(Config!$I$5:$I$16,MATCH(G2165,Config!$H$5:$H$16,0)),0))</f>
        <v/>
      </c>
      <c r="Q2165" s="30">
        <f>IF(OR(H2165&lt;&gt;"Realizado",P2165="",P2165=0),"",A2165+P2165)</f>
        <v/>
      </c>
      <c r="R2165" s="26">
        <f>IF(Q2165="","",IF(COUNTIFS($E$5:$E$3004,E2165,$A$5:$A$3004,"&gt;"&amp;A2165,$H$5:$H$3004,"&lt;&gt;Falta",$H$5:$H$3004,"&lt;&gt;Cancelado",$H$5:$H$3004,"&lt;&gt;Remarcado")&gt;0,"Sim","Não"))</f>
        <v/>
      </c>
      <c r="S2165" s="32">
        <f>IF(R2165&lt;&gt;"Não","",IF(Q2165+Config!$B$9&lt;=Config!$B$8,Config!$B$8-Q2165,""))</f>
        <v/>
      </c>
      <c r="T2165" s="26">
        <f>IF(S2165="","","Sim")</f>
        <v/>
      </c>
      <c r="U2165" s="41">
        <f>IF(T2165="Sim",S2165+ROW()/100000,0)</f>
        <v>0</v>
      </c>
      <c r="V2165" s="41">
        <f>IF(AND(H2165="Falta",L2165=Config!$B$7,M2165=Config!$B$5,COUNTIFS($E$5:E2165,E2165,$H$5:H2165,"Falta",$L$5:L2165,Config!$B$7,$M$5:M2165,Config!$B$5)=1),COUNTIFS($E$5:$E$3004,E2165,$H$5:$H$3004,"Falta",$L$5:$L$3004,Config!$B$7,$M$5:$M$3004,Config!$B$5)*1000-ROW()/100000,0)</f>
        <v>0</v>
      </c>
    </row>
    <row r="2166">
      <c r="A2166" s="39" t="n"/>
      <c r="B2166" s="40" t="n"/>
      <c r="C2166" s="35" t="n"/>
      <c r="D2166" s="35" t="n"/>
      <c r="E2166" s="34" t="n"/>
      <c r="F2166" s="35" t="n"/>
      <c r="G2166" s="35" t="n"/>
      <c r="H2166" s="35" t="n"/>
      <c r="I2166" s="35" t="n"/>
      <c r="J2166" s="35" t="n"/>
      <c r="K2166" s="34" t="n"/>
      <c r="L2166" s="26">
        <f>IF(A2166="","",MONTH(A2166))</f>
        <v/>
      </c>
      <c r="M2166" s="26">
        <f>IF(A2166="","",YEAR(A2166))</f>
        <v/>
      </c>
      <c r="N2166" s="26">
        <f>IF(A2166="","",CHOOSE(WEEKDAY(A2166,2),"Segunda","Terça","Quarta","Quinta","Sexta","Sábado","Domingo"))</f>
        <v/>
      </c>
      <c r="O2166" s="26">
        <f>IF(B2166="","",IF(B2166&lt;TIME(12,0,0),"Manhã",IF(B2166&lt;TIME(18,0,0),"Tarde","Noite")))</f>
        <v/>
      </c>
      <c r="P2166" s="32">
        <f>IF(G2166="","",IFERROR(INDEX(Config!$I$5:$I$16,MATCH(G2166,Config!$H$5:$H$16,0)),0))</f>
        <v/>
      </c>
      <c r="Q2166" s="30">
        <f>IF(OR(H2166&lt;&gt;"Realizado",P2166="",P2166=0),"",A2166+P2166)</f>
        <v/>
      </c>
      <c r="R2166" s="26">
        <f>IF(Q2166="","",IF(COUNTIFS($E$5:$E$3004,E2166,$A$5:$A$3004,"&gt;"&amp;A2166,$H$5:$H$3004,"&lt;&gt;Falta",$H$5:$H$3004,"&lt;&gt;Cancelado",$H$5:$H$3004,"&lt;&gt;Remarcado")&gt;0,"Sim","Não"))</f>
        <v/>
      </c>
      <c r="S2166" s="32">
        <f>IF(R2166&lt;&gt;"Não","",IF(Q2166+Config!$B$9&lt;=Config!$B$8,Config!$B$8-Q2166,""))</f>
        <v/>
      </c>
      <c r="T2166" s="26">
        <f>IF(S2166="","","Sim")</f>
        <v/>
      </c>
      <c r="U2166" s="41">
        <f>IF(T2166="Sim",S2166+ROW()/100000,0)</f>
        <v>0</v>
      </c>
      <c r="V2166" s="41">
        <f>IF(AND(H2166="Falta",L2166=Config!$B$7,M2166=Config!$B$5,COUNTIFS($E$5:E2166,E2166,$H$5:H2166,"Falta",$L$5:L2166,Config!$B$7,$M$5:M2166,Config!$B$5)=1),COUNTIFS($E$5:$E$3004,E2166,$H$5:$H$3004,"Falta",$L$5:$L$3004,Config!$B$7,$M$5:$M$3004,Config!$B$5)*1000-ROW()/100000,0)</f>
        <v>0</v>
      </c>
    </row>
    <row r="2167">
      <c r="A2167" s="39" t="n"/>
      <c r="B2167" s="40" t="n"/>
      <c r="C2167" s="35" t="n"/>
      <c r="D2167" s="35" t="n"/>
      <c r="E2167" s="34" t="n"/>
      <c r="F2167" s="35" t="n"/>
      <c r="G2167" s="35" t="n"/>
      <c r="H2167" s="35" t="n"/>
      <c r="I2167" s="35" t="n"/>
      <c r="J2167" s="35" t="n"/>
      <c r="K2167" s="34" t="n"/>
      <c r="L2167" s="26">
        <f>IF(A2167="","",MONTH(A2167))</f>
        <v/>
      </c>
      <c r="M2167" s="26">
        <f>IF(A2167="","",YEAR(A2167))</f>
        <v/>
      </c>
      <c r="N2167" s="26">
        <f>IF(A2167="","",CHOOSE(WEEKDAY(A2167,2),"Segunda","Terça","Quarta","Quinta","Sexta","Sábado","Domingo"))</f>
        <v/>
      </c>
      <c r="O2167" s="26">
        <f>IF(B2167="","",IF(B2167&lt;TIME(12,0,0),"Manhã",IF(B2167&lt;TIME(18,0,0),"Tarde","Noite")))</f>
        <v/>
      </c>
      <c r="P2167" s="32">
        <f>IF(G2167="","",IFERROR(INDEX(Config!$I$5:$I$16,MATCH(G2167,Config!$H$5:$H$16,0)),0))</f>
        <v/>
      </c>
      <c r="Q2167" s="30">
        <f>IF(OR(H2167&lt;&gt;"Realizado",P2167="",P2167=0),"",A2167+P2167)</f>
        <v/>
      </c>
      <c r="R2167" s="26">
        <f>IF(Q2167="","",IF(COUNTIFS($E$5:$E$3004,E2167,$A$5:$A$3004,"&gt;"&amp;A2167,$H$5:$H$3004,"&lt;&gt;Falta",$H$5:$H$3004,"&lt;&gt;Cancelado",$H$5:$H$3004,"&lt;&gt;Remarcado")&gt;0,"Sim","Não"))</f>
        <v/>
      </c>
      <c r="S2167" s="32">
        <f>IF(R2167&lt;&gt;"Não","",IF(Q2167+Config!$B$9&lt;=Config!$B$8,Config!$B$8-Q2167,""))</f>
        <v/>
      </c>
      <c r="T2167" s="26">
        <f>IF(S2167="","","Sim")</f>
        <v/>
      </c>
      <c r="U2167" s="41">
        <f>IF(T2167="Sim",S2167+ROW()/100000,0)</f>
        <v>0</v>
      </c>
      <c r="V2167" s="41">
        <f>IF(AND(H2167="Falta",L2167=Config!$B$7,M2167=Config!$B$5,COUNTIFS($E$5:E2167,E2167,$H$5:H2167,"Falta",$L$5:L2167,Config!$B$7,$M$5:M2167,Config!$B$5)=1),COUNTIFS($E$5:$E$3004,E2167,$H$5:$H$3004,"Falta",$L$5:$L$3004,Config!$B$7,$M$5:$M$3004,Config!$B$5)*1000-ROW()/100000,0)</f>
        <v>0</v>
      </c>
    </row>
    <row r="2168">
      <c r="A2168" s="39" t="n"/>
      <c r="B2168" s="40" t="n"/>
      <c r="C2168" s="35" t="n"/>
      <c r="D2168" s="35" t="n"/>
      <c r="E2168" s="34" t="n"/>
      <c r="F2168" s="35" t="n"/>
      <c r="G2168" s="35" t="n"/>
      <c r="H2168" s="35" t="n"/>
      <c r="I2168" s="35" t="n"/>
      <c r="J2168" s="35" t="n"/>
      <c r="K2168" s="34" t="n"/>
      <c r="L2168" s="26">
        <f>IF(A2168="","",MONTH(A2168))</f>
        <v/>
      </c>
      <c r="M2168" s="26">
        <f>IF(A2168="","",YEAR(A2168))</f>
        <v/>
      </c>
      <c r="N2168" s="26">
        <f>IF(A2168="","",CHOOSE(WEEKDAY(A2168,2),"Segunda","Terça","Quarta","Quinta","Sexta","Sábado","Domingo"))</f>
        <v/>
      </c>
      <c r="O2168" s="26">
        <f>IF(B2168="","",IF(B2168&lt;TIME(12,0,0),"Manhã",IF(B2168&lt;TIME(18,0,0),"Tarde","Noite")))</f>
        <v/>
      </c>
      <c r="P2168" s="32">
        <f>IF(G2168="","",IFERROR(INDEX(Config!$I$5:$I$16,MATCH(G2168,Config!$H$5:$H$16,0)),0))</f>
        <v/>
      </c>
      <c r="Q2168" s="30">
        <f>IF(OR(H2168&lt;&gt;"Realizado",P2168="",P2168=0),"",A2168+P2168)</f>
        <v/>
      </c>
      <c r="R2168" s="26">
        <f>IF(Q2168="","",IF(COUNTIFS($E$5:$E$3004,E2168,$A$5:$A$3004,"&gt;"&amp;A2168,$H$5:$H$3004,"&lt;&gt;Falta",$H$5:$H$3004,"&lt;&gt;Cancelado",$H$5:$H$3004,"&lt;&gt;Remarcado")&gt;0,"Sim","Não"))</f>
        <v/>
      </c>
      <c r="S2168" s="32">
        <f>IF(R2168&lt;&gt;"Não","",IF(Q2168+Config!$B$9&lt;=Config!$B$8,Config!$B$8-Q2168,""))</f>
        <v/>
      </c>
      <c r="T2168" s="26">
        <f>IF(S2168="","","Sim")</f>
        <v/>
      </c>
      <c r="U2168" s="41">
        <f>IF(T2168="Sim",S2168+ROW()/100000,0)</f>
        <v>0</v>
      </c>
      <c r="V2168" s="41">
        <f>IF(AND(H2168="Falta",L2168=Config!$B$7,M2168=Config!$B$5,COUNTIFS($E$5:E2168,E2168,$H$5:H2168,"Falta",$L$5:L2168,Config!$B$7,$M$5:M2168,Config!$B$5)=1),COUNTIFS($E$5:$E$3004,E2168,$H$5:$H$3004,"Falta",$L$5:$L$3004,Config!$B$7,$M$5:$M$3004,Config!$B$5)*1000-ROW()/100000,0)</f>
        <v>0</v>
      </c>
    </row>
    <row r="2169">
      <c r="A2169" s="39" t="n"/>
      <c r="B2169" s="40" t="n"/>
      <c r="C2169" s="35" t="n"/>
      <c r="D2169" s="35" t="n"/>
      <c r="E2169" s="34" t="n"/>
      <c r="F2169" s="35" t="n"/>
      <c r="G2169" s="35" t="n"/>
      <c r="H2169" s="35" t="n"/>
      <c r="I2169" s="35" t="n"/>
      <c r="J2169" s="35" t="n"/>
      <c r="K2169" s="34" t="n"/>
      <c r="L2169" s="26">
        <f>IF(A2169="","",MONTH(A2169))</f>
        <v/>
      </c>
      <c r="M2169" s="26">
        <f>IF(A2169="","",YEAR(A2169))</f>
        <v/>
      </c>
      <c r="N2169" s="26">
        <f>IF(A2169="","",CHOOSE(WEEKDAY(A2169,2),"Segunda","Terça","Quarta","Quinta","Sexta","Sábado","Domingo"))</f>
        <v/>
      </c>
      <c r="O2169" s="26">
        <f>IF(B2169="","",IF(B2169&lt;TIME(12,0,0),"Manhã",IF(B2169&lt;TIME(18,0,0),"Tarde","Noite")))</f>
        <v/>
      </c>
      <c r="P2169" s="32">
        <f>IF(G2169="","",IFERROR(INDEX(Config!$I$5:$I$16,MATCH(G2169,Config!$H$5:$H$16,0)),0))</f>
        <v/>
      </c>
      <c r="Q2169" s="30">
        <f>IF(OR(H2169&lt;&gt;"Realizado",P2169="",P2169=0),"",A2169+P2169)</f>
        <v/>
      </c>
      <c r="R2169" s="26">
        <f>IF(Q2169="","",IF(COUNTIFS($E$5:$E$3004,E2169,$A$5:$A$3004,"&gt;"&amp;A2169,$H$5:$H$3004,"&lt;&gt;Falta",$H$5:$H$3004,"&lt;&gt;Cancelado",$H$5:$H$3004,"&lt;&gt;Remarcado")&gt;0,"Sim","Não"))</f>
        <v/>
      </c>
      <c r="S2169" s="32">
        <f>IF(R2169&lt;&gt;"Não","",IF(Q2169+Config!$B$9&lt;=Config!$B$8,Config!$B$8-Q2169,""))</f>
        <v/>
      </c>
      <c r="T2169" s="26">
        <f>IF(S2169="","","Sim")</f>
        <v/>
      </c>
      <c r="U2169" s="41">
        <f>IF(T2169="Sim",S2169+ROW()/100000,0)</f>
        <v>0</v>
      </c>
      <c r="V2169" s="41">
        <f>IF(AND(H2169="Falta",L2169=Config!$B$7,M2169=Config!$B$5,COUNTIFS($E$5:E2169,E2169,$H$5:H2169,"Falta",$L$5:L2169,Config!$B$7,$M$5:M2169,Config!$B$5)=1),COUNTIFS($E$5:$E$3004,E2169,$H$5:$H$3004,"Falta",$L$5:$L$3004,Config!$B$7,$M$5:$M$3004,Config!$B$5)*1000-ROW()/100000,0)</f>
        <v>0</v>
      </c>
    </row>
    <row r="2170">
      <c r="A2170" s="39" t="n"/>
      <c r="B2170" s="40" t="n"/>
      <c r="C2170" s="35" t="n"/>
      <c r="D2170" s="35" t="n"/>
      <c r="E2170" s="34" t="n"/>
      <c r="F2170" s="35" t="n"/>
      <c r="G2170" s="35" t="n"/>
      <c r="H2170" s="35" t="n"/>
      <c r="I2170" s="35" t="n"/>
      <c r="J2170" s="35" t="n"/>
      <c r="K2170" s="34" t="n"/>
      <c r="L2170" s="26">
        <f>IF(A2170="","",MONTH(A2170))</f>
        <v/>
      </c>
      <c r="M2170" s="26">
        <f>IF(A2170="","",YEAR(A2170))</f>
        <v/>
      </c>
      <c r="N2170" s="26">
        <f>IF(A2170="","",CHOOSE(WEEKDAY(A2170,2),"Segunda","Terça","Quarta","Quinta","Sexta","Sábado","Domingo"))</f>
        <v/>
      </c>
      <c r="O2170" s="26">
        <f>IF(B2170="","",IF(B2170&lt;TIME(12,0,0),"Manhã",IF(B2170&lt;TIME(18,0,0),"Tarde","Noite")))</f>
        <v/>
      </c>
      <c r="P2170" s="32">
        <f>IF(G2170="","",IFERROR(INDEX(Config!$I$5:$I$16,MATCH(G2170,Config!$H$5:$H$16,0)),0))</f>
        <v/>
      </c>
      <c r="Q2170" s="30">
        <f>IF(OR(H2170&lt;&gt;"Realizado",P2170="",P2170=0),"",A2170+P2170)</f>
        <v/>
      </c>
      <c r="R2170" s="26">
        <f>IF(Q2170="","",IF(COUNTIFS($E$5:$E$3004,E2170,$A$5:$A$3004,"&gt;"&amp;A2170,$H$5:$H$3004,"&lt;&gt;Falta",$H$5:$H$3004,"&lt;&gt;Cancelado",$H$5:$H$3004,"&lt;&gt;Remarcado")&gt;0,"Sim","Não"))</f>
        <v/>
      </c>
      <c r="S2170" s="32">
        <f>IF(R2170&lt;&gt;"Não","",IF(Q2170+Config!$B$9&lt;=Config!$B$8,Config!$B$8-Q2170,""))</f>
        <v/>
      </c>
      <c r="T2170" s="26">
        <f>IF(S2170="","","Sim")</f>
        <v/>
      </c>
      <c r="U2170" s="41">
        <f>IF(T2170="Sim",S2170+ROW()/100000,0)</f>
        <v>0</v>
      </c>
      <c r="V2170" s="41">
        <f>IF(AND(H2170="Falta",L2170=Config!$B$7,M2170=Config!$B$5,COUNTIFS($E$5:E2170,E2170,$H$5:H2170,"Falta",$L$5:L2170,Config!$B$7,$M$5:M2170,Config!$B$5)=1),COUNTIFS($E$5:$E$3004,E2170,$H$5:$H$3004,"Falta",$L$5:$L$3004,Config!$B$7,$M$5:$M$3004,Config!$B$5)*1000-ROW()/100000,0)</f>
        <v>0</v>
      </c>
    </row>
    <row r="2171">
      <c r="A2171" s="39" t="n"/>
      <c r="B2171" s="40" t="n"/>
      <c r="C2171" s="35" t="n"/>
      <c r="D2171" s="35" t="n"/>
      <c r="E2171" s="34" t="n"/>
      <c r="F2171" s="35" t="n"/>
      <c r="G2171" s="35" t="n"/>
      <c r="H2171" s="35" t="n"/>
      <c r="I2171" s="35" t="n"/>
      <c r="J2171" s="35" t="n"/>
      <c r="K2171" s="34" t="n"/>
      <c r="L2171" s="26">
        <f>IF(A2171="","",MONTH(A2171))</f>
        <v/>
      </c>
      <c r="M2171" s="26">
        <f>IF(A2171="","",YEAR(A2171))</f>
        <v/>
      </c>
      <c r="N2171" s="26">
        <f>IF(A2171="","",CHOOSE(WEEKDAY(A2171,2),"Segunda","Terça","Quarta","Quinta","Sexta","Sábado","Domingo"))</f>
        <v/>
      </c>
      <c r="O2171" s="26">
        <f>IF(B2171="","",IF(B2171&lt;TIME(12,0,0),"Manhã",IF(B2171&lt;TIME(18,0,0),"Tarde","Noite")))</f>
        <v/>
      </c>
      <c r="P2171" s="32">
        <f>IF(G2171="","",IFERROR(INDEX(Config!$I$5:$I$16,MATCH(G2171,Config!$H$5:$H$16,0)),0))</f>
        <v/>
      </c>
      <c r="Q2171" s="30">
        <f>IF(OR(H2171&lt;&gt;"Realizado",P2171="",P2171=0),"",A2171+P2171)</f>
        <v/>
      </c>
      <c r="R2171" s="26">
        <f>IF(Q2171="","",IF(COUNTIFS($E$5:$E$3004,E2171,$A$5:$A$3004,"&gt;"&amp;A2171,$H$5:$H$3004,"&lt;&gt;Falta",$H$5:$H$3004,"&lt;&gt;Cancelado",$H$5:$H$3004,"&lt;&gt;Remarcado")&gt;0,"Sim","Não"))</f>
        <v/>
      </c>
      <c r="S2171" s="32">
        <f>IF(R2171&lt;&gt;"Não","",IF(Q2171+Config!$B$9&lt;=Config!$B$8,Config!$B$8-Q2171,""))</f>
        <v/>
      </c>
      <c r="T2171" s="26">
        <f>IF(S2171="","","Sim")</f>
        <v/>
      </c>
      <c r="U2171" s="41">
        <f>IF(T2171="Sim",S2171+ROW()/100000,0)</f>
        <v>0</v>
      </c>
      <c r="V2171" s="41">
        <f>IF(AND(H2171="Falta",L2171=Config!$B$7,M2171=Config!$B$5,COUNTIFS($E$5:E2171,E2171,$H$5:H2171,"Falta",$L$5:L2171,Config!$B$7,$M$5:M2171,Config!$B$5)=1),COUNTIFS($E$5:$E$3004,E2171,$H$5:$H$3004,"Falta",$L$5:$L$3004,Config!$B$7,$M$5:$M$3004,Config!$B$5)*1000-ROW()/100000,0)</f>
        <v>0</v>
      </c>
    </row>
    <row r="2172">
      <c r="A2172" s="39" t="n"/>
      <c r="B2172" s="40" t="n"/>
      <c r="C2172" s="35" t="n"/>
      <c r="D2172" s="35" t="n"/>
      <c r="E2172" s="34" t="n"/>
      <c r="F2172" s="35" t="n"/>
      <c r="G2172" s="35" t="n"/>
      <c r="H2172" s="35" t="n"/>
      <c r="I2172" s="35" t="n"/>
      <c r="J2172" s="35" t="n"/>
      <c r="K2172" s="34" t="n"/>
      <c r="L2172" s="26">
        <f>IF(A2172="","",MONTH(A2172))</f>
        <v/>
      </c>
      <c r="M2172" s="26">
        <f>IF(A2172="","",YEAR(A2172))</f>
        <v/>
      </c>
      <c r="N2172" s="26">
        <f>IF(A2172="","",CHOOSE(WEEKDAY(A2172,2),"Segunda","Terça","Quarta","Quinta","Sexta","Sábado","Domingo"))</f>
        <v/>
      </c>
      <c r="O2172" s="26">
        <f>IF(B2172="","",IF(B2172&lt;TIME(12,0,0),"Manhã",IF(B2172&lt;TIME(18,0,0),"Tarde","Noite")))</f>
        <v/>
      </c>
      <c r="P2172" s="32">
        <f>IF(G2172="","",IFERROR(INDEX(Config!$I$5:$I$16,MATCH(G2172,Config!$H$5:$H$16,0)),0))</f>
        <v/>
      </c>
      <c r="Q2172" s="30">
        <f>IF(OR(H2172&lt;&gt;"Realizado",P2172="",P2172=0),"",A2172+P2172)</f>
        <v/>
      </c>
      <c r="R2172" s="26">
        <f>IF(Q2172="","",IF(COUNTIFS($E$5:$E$3004,E2172,$A$5:$A$3004,"&gt;"&amp;A2172,$H$5:$H$3004,"&lt;&gt;Falta",$H$5:$H$3004,"&lt;&gt;Cancelado",$H$5:$H$3004,"&lt;&gt;Remarcado")&gt;0,"Sim","Não"))</f>
        <v/>
      </c>
      <c r="S2172" s="32">
        <f>IF(R2172&lt;&gt;"Não","",IF(Q2172+Config!$B$9&lt;=Config!$B$8,Config!$B$8-Q2172,""))</f>
        <v/>
      </c>
      <c r="T2172" s="26">
        <f>IF(S2172="","","Sim")</f>
        <v/>
      </c>
      <c r="U2172" s="41">
        <f>IF(T2172="Sim",S2172+ROW()/100000,0)</f>
        <v>0</v>
      </c>
      <c r="V2172" s="41">
        <f>IF(AND(H2172="Falta",L2172=Config!$B$7,M2172=Config!$B$5,COUNTIFS($E$5:E2172,E2172,$H$5:H2172,"Falta",$L$5:L2172,Config!$B$7,$M$5:M2172,Config!$B$5)=1),COUNTIFS($E$5:$E$3004,E2172,$H$5:$H$3004,"Falta",$L$5:$L$3004,Config!$B$7,$M$5:$M$3004,Config!$B$5)*1000-ROW()/100000,0)</f>
        <v>0</v>
      </c>
    </row>
    <row r="2173">
      <c r="A2173" s="39" t="n"/>
      <c r="B2173" s="40" t="n"/>
      <c r="C2173" s="35" t="n"/>
      <c r="D2173" s="35" t="n"/>
      <c r="E2173" s="34" t="n"/>
      <c r="F2173" s="35" t="n"/>
      <c r="G2173" s="35" t="n"/>
      <c r="H2173" s="35" t="n"/>
      <c r="I2173" s="35" t="n"/>
      <c r="J2173" s="35" t="n"/>
      <c r="K2173" s="34" t="n"/>
      <c r="L2173" s="26">
        <f>IF(A2173="","",MONTH(A2173))</f>
        <v/>
      </c>
      <c r="M2173" s="26">
        <f>IF(A2173="","",YEAR(A2173))</f>
        <v/>
      </c>
      <c r="N2173" s="26">
        <f>IF(A2173="","",CHOOSE(WEEKDAY(A2173,2),"Segunda","Terça","Quarta","Quinta","Sexta","Sábado","Domingo"))</f>
        <v/>
      </c>
      <c r="O2173" s="26">
        <f>IF(B2173="","",IF(B2173&lt;TIME(12,0,0),"Manhã",IF(B2173&lt;TIME(18,0,0),"Tarde","Noite")))</f>
        <v/>
      </c>
      <c r="P2173" s="32">
        <f>IF(G2173="","",IFERROR(INDEX(Config!$I$5:$I$16,MATCH(G2173,Config!$H$5:$H$16,0)),0))</f>
        <v/>
      </c>
      <c r="Q2173" s="30">
        <f>IF(OR(H2173&lt;&gt;"Realizado",P2173="",P2173=0),"",A2173+P2173)</f>
        <v/>
      </c>
      <c r="R2173" s="26">
        <f>IF(Q2173="","",IF(COUNTIFS($E$5:$E$3004,E2173,$A$5:$A$3004,"&gt;"&amp;A2173,$H$5:$H$3004,"&lt;&gt;Falta",$H$5:$H$3004,"&lt;&gt;Cancelado",$H$5:$H$3004,"&lt;&gt;Remarcado")&gt;0,"Sim","Não"))</f>
        <v/>
      </c>
      <c r="S2173" s="32">
        <f>IF(R2173&lt;&gt;"Não","",IF(Q2173+Config!$B$9&lt;=Config!$B$8,Config!$B$8-Q2173,""))</f>
        <v/>
      </c>
      <c r="T2173" s="26">
        <f>IF(S2173="","","Sim")</f>
        <v/>
      </c>
      <c r="U2173" s="41">
        <f>IF(T2173="Sim",S2173+ROW()/100000,0)</f>
        <v>0</v>
      </c>
      <c r="V2173" s="41">
        <f>IF(AND(H2173="Falta",L2173=Config!$B$7,M2173=Config!$B$5,COUNTIFS($E$5:E2173,E2173,$H$5:H2173,"Falta",$L$5:L2173,Config!$B$7,$M$5:M2173,Config!$B$5)=1),COUNTIFS($E$5:$E$3004,E2173,$H$5:$H$3004,"Falta",$L$5:$L$3004,Config!$B$7,$M$5:$M$3004,Config!$B$5)*1000-ROW()/100000,0)</f>
        <v>0</v>
      </c>
    </row>
    <row r="2174">
      <c r="A2174" s="39" t="n"/>
      <c r="B2174" s="40" t="n"/>
      <c r="C2174" s="35" t="n"/>
      <c r="D2174" s="35" t="n"/>
      <c r="E2174" s="34" t="n"/>
      <c r="F2174" s="35" t="n"/>
      <c r="G2174" s="35" t="n"/>
      <c r="H2174" s="35" t="n"/>
      <c r="I2174" s="35" t="n"/>
      <c r="J2174" s="35" t="n"/>
      <c r="K2174" s="34" t="n"/>
      <c r="L2174" s="26">
        <f>IF(A2174="","",MONTH(A2174))</f>
        <v/>
      </c>
      <c r="M2174" s="26">
        <f>IF(A2174="","",YEAR(A2174))</f>
        <v/>
      </c>
      <c r="N2174" s="26">
        <f>IF(A2174="","",CHOOSE(WEEKDAY(A2174,2),"Segunda","Terça","Quarta","Quinta","Sexta","Sábado","Domingo"))</f>
        <v/>
      </c>
      <c r="O2174" s="26">
        <f>IF(B2174="","",IF(B2174&lt;TIME(12,0,0),"Manhã",IF(B2174&lt;TIME(18,0,0),"Tarde","Noite")))</f>
        <v/>
      </c>
      <c r="P2174" s="32">
        <f>IF(G2174="","",IFERROR(INDEX(Config!$I$5:$I$16,MATCH(G2174,Config!$H$5:$H$16,0)),0))</f>
        <v/>
      </c>
      <c r="Q2174" s="30">
        <f>IF(OR(H2174&lt;&gt;"Realizado",P2174="",P2174=0),"",A2174+P2174)</f>
        <v/>
      </c>
      <c r="R2174" s="26">
        <f>IF(Q2174="","",IF(COUNTIFS($E$5:$E$3004,E2174,$A$5:$A$3004,"&gt;"&amp;A2174,$H$5:$H$3004,"&lt;&gt;Falta",$H$5:$H$3004,"&lt;&gt;Cancelado",$H$5:$H$3004,"&lt;&gt;Remarcado")&gt;0,"Sim","Não"))</f>
        <v/>
      </c>
      <c r="S2174" s="32">
        <f>IF(R2174&lt;&gt;"Não","",IF(Q2174+Config!$B$9&lt;=Config!$B$8,Config!$B$8-Q2174,""))</f>
        <v/>
      </c>
      <c r="T2174" s="26">
        <f>IF(S2174="","","Sim")</f>
        <v/>
      </c>
      <c r="U2174" s="41">
        <f>IF(T2174="Sim",S2174+ROW()/100000,0)</f>
        <v>0</v>
      </c>
      <c r="V2174" s="41">
        <f>IF(AND(H2174="Falta",L2174=Config!$B$7,M2174=Config!$B$5,COUNTIFS($E$5:E2174,E2174,$H$5:H2174,"Falta",$L$5:L2174,Config!$B$7,$M$5:M2174,Config!$B$5)=1),COUNTIFS($E$5:$E$3004,E2174,$H$5:$H$3004,"Falta",$L$5:$L$3004,Config!$B$7,$M$5:$M$3004,Config!$B$5)*1000-ROW()/100000,0)</f>
        <v>0</v>
      </c>
    </row>
    <row r="2175">
      <c r="A2175" s="39" t="n"/>
      <c r="B2175" s="40" t="n"/>
      <c r="C2175" s="35" t="n"/>
      <c r="D2175" s="35" t="n"/>
      <c r="E2175" s="34" t="n"/>
      <c r="F2175" s="35" t="n"/>
      <c r="G2175" s="35" t="n"/>
      <c r="H2175" s="35" t="n"/>
      <c r="I2175" s="35" t="n"/>
      <c r="J2175" s="35" t="n"/>
      <c r="K2175" s="34" t="n"/>
      <c r="L2175" s="26">
        <f>IF(A2175="","",MONTH(A2175))</f>
        <v/>
      </c>
      <c r="M2175" s="26">
        <f>IF(A2175="","",YEAR(A2175))</f>
        <v/>
      </c>
      <c r="N2175" s="26">
        <f>IF(A2175="","",CHOOSE(WEEKDAY(A2175,2),"Segunda","Terça","Quarta","Quinta","Sexta","Sábado","Domingo"))</f>
        <v/>
      </c>
      <c r="O2175" s="26">
        <f>IF(B2175="","",IF(B2175&lt;TIME(12,0,0),"Manhã",IF(B2175&lt;TIME(18,0,0),"Tarde","Noite")))</f>
        <v/>
      </c>
      <c r="P2175" s="32">
        <f>IF(G2175="","",IFERROR(INDEX(Config!$I$5:$I$16,MATCH(G2175,Config!$H$5:$H$16,0)),0))</f>
        <v/>
      </c>
      <c r="Q2175" s="30">
        <f>IF(OR(H2175&lt;&gt;"Realizado",P2175="",P2175=0),"",A2175+P2175)</f>
        <v/>
      </c>
      <c r="R2175" s="26">
        <f>IF(Q2175="","",IF(COUNTIFS($E$5:$E$3004,E2175,$A$5:$A$3004,"&gt;"&amp;A2175,$H$5:$H$3004,"&lt;&gt;Falta",$H$5:$H$3004,"&lt;&gt;Cancelado",$H$5:$H$3004,"&lt;&gt;Remarcado")&gt;0,"Sim","Não"))</f>
        <v/>
      </c>
      <c r="S2175" s="32">
        <f>IF(R2175&lt;&gt;"Não","",IF(Q2175+Config!$B$9&lt;=Config!$B$8,Config!$B$8-Q2175,""))</f>
        <v/>
      </c>
      <c r="T2175" s="26">
        <f>IF(S2175="","","Sim")</f>
        <v/>
      </c>
      <c r="U2175" s="41">
        <f>IF(T2175="Sim",S2175+ROW()/100000,0)</f>
        <v>0</v>
      </c>
      <c r="V2175" s="41">
        <f>IF(AND(H2175="Falta",L2175=Config!$B$7,M2175=Config!$B$5,COUNTIFS($E$5:E2175,E2175,$H$5:H2175,"Falta",$L$5:L2175,Config!$B$7,$M$5:M2175,Config!$B$5)=1),COUNTIFS($E$5:$E$3004,E2175,$H$5:$H$3004,"Falta",$L$5:$L$3004,Config!$B$7,$M$5:$M$3004,Config!$B$5)*1000-ROW()/100000,0)</f>
        <v>0</v>
      </c>
    </row>
    <row r="2176">
      <c r="A2176" s="39" t="n"/>
      <c r="B2176" s="40" t="n"/>
      <c r="C2176" s="35" t="n"/>
      <c r="D2176" s="35" t="n"/>
      <c r="E2176" s="34" t="n"/>
      <c r="F2176" s="35" t="n"/>
      <c r="G2176" s="35" t="n"/>
      <c r="H2176" s="35" t="n"/>
      <c r="I2176" s="35" t="n"/>
      <c r="J2176" s="35" t="n"/>
      <c r="K2176" s="34" t="n"/>
      <c r="L2176" s="26">
        <f>IF(A2176="","",MONTH(A2176))</f>
        <v/>
      </c>
      <c r="M2176" s="26">
        <f>IF(A2176="","",YEAR(A2176))</f>
        <v/>
      </c>
      <c r="N2176" s="26">
        <f>IF(A2176="","",CHOOSE(WEEKDAY(A2176,2),"Segunda","Terça","Quarta","Quinta","Sexta","Sábado","Domingo"))</f>
        <v/>
      </c>
      <c r="O2176" s="26">
        <f>IF(B2176="","",IF(B2176&lt;TIME(12,0,0),"Manhã",IF(B2176&lt;TIME(18,0,0),"Tarde","Noite")))</f>
        <v/>
      </c>
      <c r="P2176" s="32">
        <f>IF(G2176="","",IFERROR(INDEX(Config!$I$5:$I$16,MATCH(G2176,Config!$H$5:$H$16,0)),0))</f>
        <v/>
      </c>
      <c r="Q2176" s="30">
        <f>IF(OR(H2176&lt;&gt;"Realizado",P2176="",P2176=0),"",A2176+P2176)</f>
        <v/>
      </c>
      <c r="R2176" s="26">
        <f>IF(Q2176="","",IF(COUNTIFS($E$5:$E$3004,E2176,$A$5:$A$3004,"&gt;"&amp;A2176,$H$5:$H$3004,"&lt;&gt;Falta",$H$5:$H$3004,"&lt;&gt;Cancelado",$H$5:$H$3004,"&lt;&gt;Remarcado")&gt;0,"Sim","Não"))</f>
        <v/>
      </c>
      <c r="S2176" s="32">
        <f>IF(R2176&lt;&gt;"Não","",IF(Q2176+Config!$B$9&lt;=Config!$B$8,Config!$B$8-Q2176,""))</f>
        <v/>
      </c>
      <c r="T2176" s="26">
        <f>IF(S2176="","","Sim")</f>
        <v/>
      </c>
      <c r="U2176" s="41">
        <f>IF(T2176="Sim",S2176+ROW()/100000,0)</f>
        <v>0</v>
      </c>
      <c r="V2176" s="41">
        <f>IF(AND(H2176="Falta",L2176=Config!$B$7,M2176=Config!$B$5,COUNTIFS($E$5:E2176,E2176,$H$5:H2176,"Falta",$L$5:L2176,Config!$B$7,$M$5:M2176,Config!$B$5)=1),COUNTIFS($E$5:$E$3004,E2176,$H$5:$H$3004,"Falta",$L$5:$L$3004,Config!$B$7,$M$5:$M$3004,Config!$B$5)*1000-ROW()/100000,0)</f>
        <v>0</v>
      </c>
    </row>
    <row r="2177">
      <c r="A2177" s="39" t="n"/>
      <c r="B2177" s="40" t="n"/>
      <c r="C2177" s="35" t="n"/>
      <c r="D2177" s="35" t="n"/>
      <c r="E2177" s="34" t="n"/>
      <c r="F2177" s="35" t="n"/>
      <c r="G2177" s="35" t="n"/>
      <c r="H2177" s="35" t="n"/>
      <c r="I2177" s="35" t="n"/>
      <c r="J2177" s="35" t="n"/>
      <c r="K2177" s="34" t="n"/>
      <c r="L2177" s="26">
        <f>IF(A2177="","",MONTH(A2177))</f>
        <v/>
      </c>
      <c r="M2177" s="26">
        <f>IF(A2177="","",YEAR(A2177))</f>
        <v/>
      </c>
      <c r="N2177" s="26">
        <f>IF(A2177="","",CHOOSE(WEEKDAY(A2177,2),"Segunda","Terça","Quarta","Quinta","Sexta","Sábado","Domingo"))</f>
        <v/>
      </c>
      <c r="O2177" s="26">
        <f>IF(B2177="","",IF(B2177&lt;TIME(12,0,0),"Manhã",IF(B2177&lt;TIME(18,0,0),"Tarde","Noite")))</f>
        <v/>
      </c>
      <c r="P2177" s="32">
        <f>IF(G2177="","",IFERROR(INDEX(Config!$I$5:$I$16,MATCH(G2177,Config!$H$5:$H$16,0)),0))</f>
        <v/>
      </c>
      <c r="Q2177" s="30">
        <f>IF(OR(H2177&lt;&gt;"Realizado",P2177="",P2177=0),"",A2177+P2177)</f>
        <v/>
      </c>
      <c r="R2177" s="26">
        <f>IF(Q2177="","",IF(COUNTIFS($E$5:$E$3004,E2177,$A$5:$A$3004,"&gt;"&amp;A2177,$H$5:$H$3004,"&lt;&gt;Falta",$H$5:$H$3004,"&lt;&gt;Cancelado",$H$5:$H$3004,"&lt;&gt;Remarcado")&gt;0,"Sim","Não"))</f>
        <v/>
      </c>
      <c r="S2177" s="32">
        <f>IF(R2177&lt;&gt;"Não","",IF(Q2177+Config!$B$9&lt;=Config!$B$8,Config!$B$8-Q2177,""))</f>
        <v/>
      </c>
      <c r="T2177" s="26">
        <f>IF(S2177="","","Sim")</f>
        <v/>
      </c>
      <c r="U2177" s="41">
        <f>IF(T2177="Sim",S2177+ROW()/100000,0)</f>
        <v>0</v>
      </c>
      <c r="V2177" s="41">
        <f>IF(AND(H2177="Falta",L2177=Config!$B$7,M2177=Config!$B$5,COUNTIFS($E$5:E2177,E2177,$H$5:H2177,"Falta",$L$5:L2177,Config!$B$7,$M$5:M2177,Config!$B$5)=1),COUNTIFS($E$5:$E$3004,E2177,$H$5:$H$3004,"Falta",$L$5:$L$3004,Config!$B$7,$M$5:$M$3004,Config!$B$5)*1000-ROW()/100000,0)</f>
        <v>0</v>
      </c>
    </row>
    <row r="2178">
      <c r="A2178" s="39" t="n"/>
      <c r="B2178" s="40" t="n"/>
      <c r="C2178" s="35" t="n"/>
      <c r="D2178" s="35" t="n"/>
      <c r="E2178" s="34" t="n"/>
      <c r="F2178" s="35" t="n"/>
      <c r="G2178" s="35" t="n"/>
      <c r="H2178" s="35" t="n"/>
      <c r="I2178" s="35" t="n"/>
      <c r="J2178" s="35" t="n"/>
      <c r="K2178" s="34" t="n"/>
      <c r="L2178" s="26">
        <f>IF(A2178="","",MONTH(A2178))</f>
        <v/>
      </c>
      <c r="M2178" s="26">
        <f>IF(A2178="","",YEAR(A2178))</f>
        <v/>
      </c>
      <c r="N2178" s="26">
        <f>IF(A2178="","",CHOOSE(WEEKDAY(A2178,2),"Segunda","Terça","Quarta","Quinta","Sexta","Sábado","Domingo"))</f>
        <v/>
      </c>
      <c r="O2178" s="26">
        <f>IF(B2178="","",IF(B2178&lt;TIME(12,0,0),"Manhã",IF(B2178&lt;TIME(18,0,0),"Tarde","Noite")))</f>
        <v/>
      </c>
      <c r="P2178" s="32">
        <f>IF(G2178="","",IFERROR(INDEX(Config!$I$5:$I$16,MATCH(G2178,Config!$H$5:$H$16,0)),0))</f>
        <v/>
      </c>
      <c r="Q2178" s="30">
        <f>IF(OR(H2178&lt;&gt;"Realizado",P2178="",P2178=0),"",A2178+P2178)</f>
        <v/>
      </c>
      <c r="R2178" s="26">
        <f>IF(Q2178="","",IF(COUNTIFS($E$5:$E$3004,E2178,$A$5:$A$3004,"&gt;"&amp;A2178,$H$5:$H$3004,"&lt;&gt;Falta",$H$5:$H$3004,"&lt;&gt;Cancelado",$H$5:$H$3004,"&lt;&gt;Remarcado")&gt;0,"Sim","Não"))</f>
        <v/>
      </c>
      <c r="S2178" s="32">
        <f>IF(R2178&lt;&gt;"Não","",IF(Q2178+Config!$B$9&lt;=Config!$B$8,Config!$B$8-Q2178,""))</f>
        <v/>
      </c>
      <c r="T2178" s="26">
        <f>IF(S2178="","","Sim")</f>
        <v/>
      </c>
      <c r="U2178" s="41">
        <f>IF(T2178="Sim",S2178+ROW()/100000,0)</f>
        <v>0</v>
      </c>
      <c r="V2178" s="41">
        <f>IF(AND(H2178="Falta",L2178=Config!$B$7,M2178=Config!$B$5,COUNTIFS($E$5:E2178,E2178,$H$5:H2178,"Falta",$L$5:L2178,Config!$B$7,$M$5:M2178,Config!$B$5)=1),COUNTIFS($E$5:$E$3004,E2178,$H$5:$H$3004,"Falta",$L$5:$L$3004,Config!$B$7,$M$5:$M$3004,Config!$B$5)*1000-ROW()/100000,0)</f>
        <v>0</v>
      </c>
    </row>
    <row r="2179">
      <c r="A2179" s="39" t="n"/>
      <c r="B2179" s="40" t="n"/>
      <c r="C2179" s="35" t="n"/>
      <c r="D2179" s="35" t="n"/>
      <c r="E2179" s="34" t="n"/>
      <c r="F2179" s="35" t="n"/>
      <c r="G2179" s="35" t="n"/>
      <c r="H2179" s="35" t="n"/>
      <c r="I2179" s="35" t="n"/>
      <c r="J2179" s="35" t="n"/>
      <c r="K2179" s="34" t="n"/>
      <c r="L2179" s="26">
        <f>IF(A2179="","",MONTH(A2179))</f>
        <v/>
      </c>
      <c r="M2179" s="26">
        <f>IF(A2179="","",YEAR(A2179))</f>
        <v/>
      </c>
      <c r="N2179" s="26">
        <f>IF(A2179="","",CHOOSE(WEEKDAY(A2179,2),"Segunda","Terça","Quarta","Quinta","Sexta","Sábado","Domingo"))</f>
        <v/>
      </c>
      <c r="O2179" s="26">
        <f>IF(B2179="","",IF(B2179&lt;TIME(12,0,0),"Manhã",IF(B2179&lt;TIME(18,0,0),"Tarde","Noite")))</f>
        <v/>
      </c>
      <c r="P2179" s="32">
        <f>IF(G2179="","",IFERROR(INDEX(Config!$I$5:$I$16,MATCH(G2179,Config!$H$5:$H$16,0)),0))</f>
        <v/>
      </c>
      <c r="Q2179" s="30">
        <f>IF(OR(H2179&lt;&gt;"Realizado",P2179="",P2179=0),"",A2179+P2179)</f>
        <v/>
      </c>
      <c r="R2179" s="26">
        <f>IF(Q2179="","",IF(COUNTIFS($E$5:$E$3004,E2179,$A$5:$A$3004,"&gt;"&amp;A2179,$H$5:$H$3004,"&lt;&gt;Falta",$H$5:$H$3004,"&lt;&gt;Cancelado",$H$5:$H$3004,"&lt;&gt;Remarcado")&gt;0,"Sim","Não"))</f>
        <v/>
      </c>
      <c r="S2179" s="32">
        <f>IF(R2179&lt;&gt;"Não","",IF(Q2179+Config!$B$9&lt;=Config!$B$8,Config!$B$8-Q2179,""))</f>
        <v/>
      </c>
      <c r="T2179" s="26">
        <f>IF(S2179="","","Sim")</f>
        <v/>
      </c>
      <c r="U2179" s="41">
        <f>IF(T2179="Sim",S2179+ROW()/100000,0)</f>
        <v>0</v>
      </c>
      <c r="V2179" s="41">
        <f>IF(AND(H2179="Falta",L2179=Config!$B$7,M2179=Config!$B$5,COUNTIFS($E$5:E2179,E2179,$H$5:H2179,"Falta",$L$5:L2179,Config!$B$7,$M$5:M2179,Config!$B$5)=1),COUNTIFS($E$5:$E$3004,E2179,$H$5:$H$3004,"Falta",$L$5:$L$3004,Config!$B$7,$M$5:$M$3004,Config!$B$5)*1000-ROW()/100000,0)</f>
        <v>0</v>
      </c>
    </row>
    <row r="2180">
      <c r="A2180" s="39" t="n"/>
      <c r="B2180" s="40" t="n"/>
      <c r="C2180" s="35" t="n"/>
      <c r="D2180" s="35" t="n"/>
      <c r="E2180" s="34" t="n"/>
      <c r="F2180" s="35" t="n"/>
      <c r="G2180" s="35" t="n"/>
      <c r="H2180" s="35" t="n"/>
      <c r="I2180" s="35" t="n"/>
      <c r="J2180" s="35" t="n"/>
      <c r="K2180" s="34" t="n"/>
      <c r="L2180" s="26">
        <f>IF(A2180="","",MONTH(A2180))</f>
        <v/>
      </c>
      <c r="M2180" s="26">
        <f>IF(A2180="","",YEAR(A2180))</f>
        <v/>
      </c>
      <c r="N2180" s="26">
        <f>IF(A2180="","",CHOOSE(WEEKDAY(A2180,2),"Segunda","Terça","Quarta","Quinta","Sexta","Sábado","Domingo"))</f>
        <v/>
      </c>
      <c r="O2180" s="26">
        <f>IF(B2180="","",IF(B2180&lt;TIME(12,0,0),"Manhã",IF(B2180&lt;TIME(18,0,0),"Tarde","Noite")))</f>
        <v/>
      </c>
      <c r="P2180" s="32">
        <f>IF(G2180="","",IFERROR(INDEX(Config!$I$5:$I$16,MATCH(G2180,Config!$H$5:$H$16,0)),0))</f>
        <v/>
      </c>
      <c r="Q2180" s="30">
        <f>IF(OR(H2180&lt;&gt;"Realizado",P2180="",P2180=0),"",A2180+P2180)</f>
        <v/>
      </c>
      <c r="R2180" s="26">
        <f>IF(Q2180="","",IF(COUNTIFS($E$5:$E$3004,E2180,$A$5:$A$3004,"&gt;"&amp;A2180,$H$5:$H$3004,"&lt;&gt;Falta",$H$5:$H$3004,"&lt;&gt;Cancelado",$H$5:$H$3004,"&lt;&gt;Remarcado")&gt;0,"Sim","Não"))</f>
        <v/>
      </c>
      <c r="S2180" s="32">
        <f>IF(R2180&lt;&gt;"Não","",IF(Q2180+Config!$B$9&lt;=Config!$B$8,Config!$B$8-Q2180,""))</f>
        <v/>
      </c>
      <c r="T2180" s="26">
        <f>IF(S2180="","","Sim")</f>
        <v/>
      </c>
      <c r="U2180" s="41">
        <f>IF(T2180="Sim",S2180+ROW()/100000,0)</f>
        <v>0</v>
      </c>
      <c r="V2180" s="41">
        <f>IF(AND(H2180="Falta",L2180=Config!$B$7,M2180=Config!$B$5,COUNTIFS($E$5:E2180,E2180,$H$5:H2180,"Falta",$L$5:L2180,Config!$B$7,$M$5:M2180,Config!$B$5)=1),COUNTIFS($E$5:$E$3004,E2180,$H$5:$H$3004,"Falta",$L$5:$L$3004,Config!$B$7,$M$5:$M$3004,Config!$B$5)*1000-ROW()/100000,0)</f>
        <v>0</v>
      </c>
    </row>
    <row r="2181">
      <c r="A2181" s="39" t="n"/>
      <c r="B2181" s="40" t="n"/>
      <c r="C2181" s="35" t="n"/>
      <c r="D2181" s="35" t="n"/>
      <c r="E2181" s="34" t="n"/>
      <c r="F2181" s="35" t="n"/>
      <c r="G2181" s="35" t="n"/>
      <c r="H2181" s="35" t="n"/>
      <c r="I2181" s="35" t="n"/>
      <c r="J2181" s="35" t="n"/>
      <c r="K2181" s="34" t="n"/>
      <c r="L2181" s="26">
        <f>IF(A2181="","",MONTH(A2181))</f>
        <v/>
      </c>
      <c r="M2181" s="26">
        <f>IF(A2181="","",YEAR(A2181))</f>
        <v/>
      </c>
      <c r="N2181" s="26">
        <f>IF(A2181="","",CHOOSE(WEEKDAY(A2181,2),"Segunda","Terça","Quarta","Quinta","Sexta","Sábado","Domingo"))</f>
        <v/>
      </c>
      <c r="O2181" s="26">
        <f>IF(B2181="","",IF(B2181&lt;TIME(12,0,0),"Manhã",IF(B2181&lt;TIME(18,0,0),"Tarde","Noite")))</f>
        <v/>
      </c>
      <c r="P2181" s="32">
        <f>IF(G2181="","",IFERROR(INDEX(Config!$I$5:$I$16,MATCH(G2181,Config!$H$5:$H$16,0)),0))</f>
        <v/>
      </c>
      <c r="Q2181" s="30">
        <f>IF(OR(H2181&lt;&gt;"Realizado",P2181="",P2181=0),"",A2181+P2181)</f>
        <v/>
      </c>
      <c r="R2181" s="26">
        <f>IF(Q2181="","",IF(COUNTIFS($E$5:$E$3004,E2181,$A$5:$A$3004,"&gt;"&amp;A2181,$H$5:$H$3004,"&lt;&gt;Falta",$H$5:$H$3004,"&lt;&gt;Cancelado",$H$5:$H$3004,"&lt;&gt;Remarcado")&gt;0,"Sim","Não"))</f>
        <v/>
      </c>
      <c r="S2181" s="32">
        <f>IF(R2181&lt;&gt;"Não","",IF(Q2181+Config!$B$9&lt;=Config!$B$8,Config!$B$8-Q2181,""))</f>
        <v/>
      </c>
      <c r="T2181" s="26">
        <f>IF(S2181="","","Sim")</f>
        <v/>
      </c>
      <c r="U2181" s="41">
        <f>IF(T2181="Sim",S2181+ROW()/100000,0)</f>
        <v>0</v>
      </c>
      <c r="V2181" s="41">
        <f>IF(AND(H2181="Falta",L2181=Config!$B$7,M2181=Config!$B$5,COUNTIFS($E$5:E2181,E2181,$H$5:H2181,"Falta",$L$5:L2181,Config!$B$7,$M$5:M2181,Config!$B$5)=1),COUNTIFS($E$5:$E$3004,E2181,$H$5:$H$3004,"Falta",$L$5:$L$3004,Config!$B$7,$M$5:$M$3004,Config!$B$5)*1000-ROW()/100000,0)</f>
        <v>0</v>
      </c>
    </row>
    <row r="2182">
      <c r="A2182" s="39" t="n"/>
      <c r="B2182" s="40" t="n"/>
      <c r="C2182" s="35" t="n"/>
      <c r="D2182" s="35" t="n"/>
      <c r="E2182" s="34" t="n"/>
      <c r="F2182" s="35" t="n"/>
      <c r="G2182" s="35" t="n"/>
      <c r="H2182" s="35" t="n"/>
      <c r="I2182" s="35" t="n"/>
      <c r="J2182" s="35" t="n"/>
      <c r="K2182" s="34" t="n"/>
      <c r="L2182" s="26">
        <f>IF(A2182="","",MONTH(A2182))</f>
        <v/>
      </c>
      <c r="M2182" s="26">
        <f>IF(A2182="","",YEAR(A2182))</f>
        <v/>
      </c>
      <c r="N2182" s="26">
        <f>IF(A2182="","",CHOOSE(WEEKDAY(A2182,2),"Segunda","Terça","Quarta","Quinta","Sexta","Sábado","Domingo"))</f>
        <v/>
      </c>
      <c r="O2182" s="26">
        <f>IF(B2182="","",IF(B2182&lt;TIME(12,0,0),"Manhã",IF(B2182&lt;TIME(18,0,0),"Tarde","Noite")))</f>
        <v/>
      </c>
      <c r="P2182" s="32">
        <f>IF(G2182="","",IFERROR(INDEX(Config!$I$5:$I$16,MATCH(G2182,Config!$H$5:$H$16,0)),0))</f>
        <v/>
      </c>
      <c r="Q2182" s="30">
        <f>IF(OR(H2182&lt;&gt;"Realizado",P2182="",P2182=0),"",A2182+P2182)</f>
        <v/>
      </c>
      <c r="R2182" s="26">
        <f>IF(Q2182="","",IF(COUNTIFS($E$5:$E$3004,E2182,$A$5:$A$3004,"&gt;"&amp;A2182,$H$5:$H$3004,"&lt;&gt;Falta",$H$5:$H$3004,"&lt;&gt;Cancelado",$H$5:$H$3004,"&lt;&gt;Remarcado")&gt;0,"Sim","Não"))</f>
        <v/>
      </c>
      <c r="S2182" s="32">
        <f>IF(R2182&lt;&gt;"Não","",IF(Q2182+Config!$B$9&lt;=Config!$B$8,Config!$B$8-Q2182,""))</f>
        <v/>
      </c>
      <c r="T2182" s="26">
        <f>IF(S2182="","","Sim")</f>
        <v/>
      </c>
      <c r="U2182" s="41">
        <f>IF(T2182="Sim",S2182+ROW()/100000,0)</f>
        <v>0</v>
      </c>
      <c r="V2182" s="41">
        <f>IF(AND(H2182="Falta",L2182=Config!$B$7,M2182=Config!$B$5,COUNTIFS($E$5:E2182,E2182,$H$5:H2182,"Falta",$L$5:L2182,Config!$B$7,$M$5:M2182,Config!$B$5)=1),COUNTIFS($E$5:$E$3004,E2182,$H$5:$H$3004,"Falta",$L$5:$L$3004,Config!$B$7,$M$5:$M$3004,Config!$B$5)*1000-ROW()/100000,0)</f>
        <v>0</v>
      </c>
    </row>
    <row r="2183">
      <c r="A2183" s="39" t="n"/>
      <c r="B2183" s="40" t="n"/>
      <c r="C2183" s="35" t="n"/>
      <c r="D2183" s="35" t="n"/>
      <c r="E2183" s="34" t="n"/>
      <c r="F2183" s="35" t="n"/>
      <c r="G2183" s="35" t="n"/>
      <c r="H2183" s="35" t="n"/>
      <c r="I2183" s="35" t="n"/>
      <c r="J2183" s="35" t="n"/>
      <c r="K2183" s="34" t="n"/>
      <c r="L2183" s="26">
        <f>IF(A2183="","",MONTH(A2183))</f>
        <v/>
      </c>
      <c r="M2183" s="26">
        <f>IF(A2183="","",YEAR(A2183))</f>
        <v/>
      </c>
      <c r="N2183" s="26">
        <f>IF(A2183="","",CHOOSE(WEEKDAY(A2183,2),"Segunda","Terça","Quarta","Quinta","Sexta","Sábado","Domingo"))</f>
        <v/>
      </c>
      <c r="O2183" s="26">
        <f>IF(B2183="","",IF(B2183&lt;TIME(12,0,0),"Manhã",IF(B2183&lt;TIME(18,0,0),"Tarde","Noite")))</f>
        <v/>
      </c>
      <c r="P2183" s="32">
        <f>IF(G2183="","",IFERROR(INDEX(Config!$I$5:$I$16,MATCH(G2183,Config!$H$5:$H$16,0)),0))</f>
        <v/>
      </c>
      <c r="Q2183" s="30">
        <f>IF(OR(H2183&lt;&gt;"Realizado",P2183="",P2183=0),"",A2183+P2183)</f>
        <v/>
      </c>
      <c r="R2183" s="26">
        <f>IF(Q2183="","",IF(COUNTIFS($E$5:$E$3004,E2183,$A$5:$A$3004,"&gt;"&amp;A2183,$H$5:$H$3004,"&lt;&gt;Falta",$H$5:$H$3004,"&lt;&gt;Cancelado",$H$5:$H$3004,"&lt;&gt;Remarcado")&gt;0,"Sim","Não"))</f>
        <v/>
      </c>
      <c r="S2183" s="32">
        <f>IF(R2183&lt;&gt;"Não","",IF(Q2183+Config!$B$9&lt;=Config!$B$8,Config!$B$8-Q2183,""))</f>
        <v/>
      </c>
      <c r="T2183" s="26">
        <f>IF(S2183="","","Sim")</f>
        <v/>
      </c>
      <c r="U2183" s="41">
        <f>IF(T2183="Sim",S2183+ROW()/100000,0)</f>
        <v>0</v>
      </c>
      <c r="V2183" s="41">
        <f>IF(AND(H2183="Falta",L2183=Config!$B$7,M2183=Config!$B$5,COUNTIFS($E$5:E2183,E2183,$H$5:H2183,"Falta",$L$5:L2183,Config!$B$7,$M$5:M2183,Config!$B$5)=1),COUNTIFS($E$5:$E$3004,E2183,$H$5:$H$3004,"Falta",$L$5:$L$3004,Config!$B$7,$M$5:$M$3004,Config!$B$5)*1000-ROW()/100000,0)</f>
        <v>0</v>
      </c>
    </row>
    <row r="2184">
      <c r="A2184" s="39" t="n"/>
      <c r="B2184" s="40" t="n"/>
      <c r="C2184" s="35" t="n"/>
      <c r="D2184" s="35" t="n"/>
      <c r="E2184" s="34" t="n"/>
      <c r="F2184" s="35" t="n"/>
      <c r="G2184" s="35" t="n"/>
      <c r="H2184" s="35" t="n"/>
      <c r="I2184" s="35" t="n"/>
      <c r="J2184" s="35" t="n"/>
      <c r="K2184" s="34" t="n"/>
      <c r="L2184" s="26">
        <f>IF(A2184="","",MONTH(A2184))</f>
        <v/>
      </c>
      <c r="M2184" s="26">
        <f>IF(A2184="","",YEAR(A2184))</f>
        <v/>
      </c>
      <c r="N2184" s="26">
        <f>IF(A2184="","",CHOOSE(WEEKDAY(A2184,2),"Segunda","Terça","Quarta","Quinta","Sexta","Sábado","Domingo"))</f>
        <v/>
      </c>
      <c r="O2184" s="26">
        <f>IF(B2184="","",IF(B2184&lt;TIME(12,0,0),"Manhã",IF(B2184&lt;TIME(18,0,0),"Tarde","Noite")))</f>
        <v/>
      </c>
      <c r="P2184" s="32">
        <f>IF(G2184="","",IFERROR(INDEX(Config!$I$5:$I$16,MATCH(G2184,Config!$H$5:$H$16,0)),0))</f>
        <v/>
      </c>
      <c r="Q2184" s="30">
        <f>IF(OR(H2184&lt;&gt;"Realizado",P2184="",P2184=0),"",A2184+P2184)</f>
        <v/>
      </c>
      <c r="R2184" s="26">
        <f>IF(Q2184="","",IF(COUNTIFS($E$5:$E$3004,E2184,$A$5:$A$3004,"&gt;"&amp;A2184,$H$5:$H$3004,"&lt;&gt;Falta",$H$5:$H$3004,"&lt;&gt;Cancelado",$H$5:$H$3004,"&lt;&gt;Remarcado")&gt;0,"Sim","Não"))</f>
        <v/>
      </c>
      <c r="S2184" s="32">
        <f>IF(R2184&lt;&gt;"Não","",IF(Q2184+Config!$B$9&lt;=Config!$B$8,Config!$B$8-Q2184,""))</f>
        <v/>
      </c>
      <c r="T2184" s="26">
        <f>IF(S2184="","","Sim")</f>
        <v/>
      </c>
      <c r="U2184" s="41">
        <f>IF(T2184="Sim",S2184+ROW()/100000,0)</f>
        <v>0</v>
      </c>
      <c r="V2184" s="41">
        <f>IF(AND(H2184="Falta",L2184=Config!$B$7,M2184=Config!$B$5,COUNTIFS($E$5:E2184,E2184,$H$5:H2184,"Falta",$L$5:L2184,Config!$B$7,$M$5:M2184,Config!$B$5)=1),COUNTIFS($E$5:$E$3004,E2184,$H$5:$H$3004,"Falta",$L$5:$L$3004,Config!$B$7,$M$5:$M$3004,Config!$B$5)*1000-ROW()/100000,0)</f>
        <v>0</v>
      </c>
    </row>
    <row r="2185">
      <c r="A2185" s="39" t="n"/>
      <c r="B2185" s="40" t="n"/>
      <c r="C2185" s="35" t="n"/>
      <c r="D2185" s="35" t="n"/>
      <c r="E2185" s="34" t="n"/>
      <c r="F2185" s="35" t="n"/>
      <c r="G2185" s="35" t="n"/>
      <c r="H2185" s="35" t="n"/>
      <c r="I2185" s="35" t="n"/>
      <c r="J2185" s="35" t="n"/>
      <c r="K2185" s="34" t="n"/>
      <c r="L2185" s="26">
        <f>IF(A2185="","",MONTH(A2185))</f>
        <v/>
      </c>
      <c r="M2185" s="26">
        <f>IF(A2185="","",YEAR(A2185))</f>
        <v/>
      </c>
      <c r="N2185" s="26">
        <f>IF(A2185="","",CHOOSE(WEEKDAY(A2185,2),"Segunda","Terça","Quarta","Quinta","Sexta","Sábado","Domingo"))</f>
        <v/>
      </c>
      <c r="O2185" s="26">
        <f>IF(B2185="","",IF(B2185&lt;TIME(12,0,0),"Manhã",IF(B2185&lt;TIME(18,0,0),"Tarde","Noite")))</f>
        <v/>
      </c>
      <c r="P2185" s="32">
        <f>IF(G2185="","",IFERROR(INDEX(Config!$I$5:$I$16,MATCH(G2185,Config!$H$5:$H$16,0)),0))</f>
        <v/>
      </c>
      <c r="Q2185" s="30">
        <f>IF(OR(H2185&lt;&gt;"Realizado",P2185="",P2185=0),"",A2185+P2185)</f>
        <v/>
      </c>
      <c r="R2185" s="26">
        <f>IF(Q2185="","",IF(COUNTIFS($E$5:$E$3004,E2185,$A$5:$A$3004,"&gt;"&amp;A2185,$H$5:$H$3004,"&lt;&gt;Falta",$H$5:$H$3004,"&lt;&gt;Cancelado",$H$5:$H$3004,"&lt;&gt;Remarcado")&gt;0,"Sim","Não"))</f>
        <v/>
      </c>
      <c r="S2185" s="32">
        <f>IF(R2185&lt;&gt;"Não","",IF(Q2185+Config!$B$9&lt;=Config!$B$8,Config!$B$8-Q2185,""))</f>
        <v/>
      </c>
      <c r="T2185" s="26">
        <f>IF(S2185="","","Sim")</f>
        <v/>
      </c>
      <c r="U2185" s="41">
        <f>IF(T2185="Sim",S2185+ROW()/100000,0)</f>
        <v>0</v>
      </c>
      <c r="V2185" s="41">
        <f>IF(AND(H2185="Falta",L2185=Config!$B$7,M2185=Config!$B$5,COUNTIFS($E$5:E2185,E2185,$H$5:H2185,"Falta",$L$5:L2185,Config!$B$7,$M$5:M2185,Config!$B$5)=1),COUNTIFS($E$5:$E$3004,E2185,$H$5:$H$3004,"Falta",$L$5:$L$3004,Config!$B$7,$M$5:$M$3004,Config!$B$5)*1000-ROW()/100000,0)</f>
        <v>0</v>
      </c>
    </row>
    <row r="2186">
      <c r="A2186" s="39" t="n"/>
      <c r="B2186" s="40" t="n"/>
      <c r="C2186" s="35" t="n"/>
      <c r="D2186" s="35" t="n"/>
      <c r="E2186" s="34" t="n"/>
      <c r="F2186" s="35" t="n"/>
      <c r="G2186" s="35" t="n"/>
      <c r="H2186" s="35" t="n"/>
      <c r="I2186" s="35" t="n"/>
      <c r="J2186" s="35" t="n"/>
      <c r="K2186" s="34" t="n"/>
      <c r="L2186" s="26">
        <f>IF(A2186="","",MONTH(A2186))</f>
        <v/>
      </c>
      <c r="M2186" s="26">
        <f>IF(A2186="","",YEAR(A2186))</f>
        <v/>
      </c>
      <c r="N2186" s="26">
        <f>IF(A2186="","",CHOOSE(WEEKDAY(A2186,2),"Segunda","Terça","Quarta","Quinta","Sexta","Sábado","Domingo"))</f>
        <v/>
      </c>
      <c r="O2186" s="26">
        <f>IF(B2186="","",IF(B2186&lt;TIME(12,0,0),"Manhã",IF(B2186&lt;TIME(18,0,0),"Tarde","Noite")))</f>
        <v/>
      </c>
      <c r="P2186" s="32">
        <f>IF(G2186="","",IFERROR(INDEX(Config!$I$5:$I$16,MATCH(G2186,Config!$H$5:$H$16,0)),0))</f>
        <v/>
      </c>
      <c r="Q2186" s="30">
        <f>IF(OR(H2186&lt;&gt;"Realizado",P2186="",P2186=0),"",A2186+P2186)</f>
        <v/>
      </c>
      <c r="R2186" s="26">
        <f>IF(Q2186="","",IF(COUNTIFS($E$5:$E$3004,E2186,$A$5:$A$3004,"&gt;"&amp;A2186,$H$5:$H$3004,"&lt;&gt;Falta",$H$5:$H$3004,"&lt;&gt;Cancelado",$H$5:$H$3004,"&lt;&gt;Remarcado")&gt;0,"Sim","Não"))</f>
        <v/>
      </c>
      <c r="S2186" s="32">
        <f>IF(R2186&lt;&gt;"Não","",IF(Q2186+Config!$B$9&lt;=Config!$B$8,Config!$B$8-Q2186,""))</f>
        <v/>
      </c>
      <c r="T2186" s="26">
        <f>IF(S2186="","","Sim")</f>
        <v/>
      </c>
      <c r="U2186" s="41">
        <f>IF(T2186="Sim",S2186+ROW()/100000,0)</f>
        <v>0</v>
      </c>
      <c r="V2186" s="41">
        <f>IF(AND(H2186="Falta",L2186=Config!$B$7,M2186=Config!$B$5,COUNTIFS($E$5:E2186,E2186,$H$5:H2186,"Falta",$L$5:L2186,Config!$B$7,$M$5:M2186,Config!$B$5)=1),COUNTIFS($E$5:$E$3004,E2186,$H$5:$H$3004,"Falta",$L$5:$L$3004,Config!$B$7,$M$5:$M$3004,Config!$B$5)*1000-ROW()/100000,0)</f>
        <v>0</v>
      </c>
    </row>
    <row r="2187">
      <c r="A2187" s="39" t="n"/>
      <c r="B2187" s="40" t="n"/>
      <c r="C2187" s="35" t="n"/>
      <c r="D2187" s="35" t="n"/>
      <c r="E2187" s="34" t="n"/>
      <c r="F2187" s="35" t="n"/>
      <c r="G2187" s="35" t="n"/>
      <c r="H2187" s="35" t="n"/>
      <c r="I2187" s="35" t="n"/>
      <c r="J2187" s="35" t="n"/>
      <c r="K2187" s="34" t="n"/>
      <c r="L2187" s="26">
        <f>IF(A2187="","",MONTH(A2187))</f>
        <v/>
      </c>
      <c r="M2187" s="26">
        <f>IF(A2187="","",YEAR(A2187))</f>
        <v/>
      </c>
      <c r="N2187" s="26">
        <f>IF(A2187="","",CHOOSE(WEEKDAY(A2187,2),"Segunda","Terça","Quarta","Quinta","Sexta","Sábado","Domingo"))</f>
        <v/>
      </c>
      <c r="O2187" s="26">
        <f>IF(B2187="","",IF(B2187&lt;TIME(12,0,0),"Manhã",IF(B2187&lt;TIME(18,0,0),"Tarde","Noite")))</f>
        <v/>
      </c>
      <c r="P2187" s="32">
        <f>IF(G2187="","",IFERROR(INDEX(Config!$I$5:$I$16,MATCH(G2187,Config!$H$5:$H$16,0)),0))</f>
        <v/>
      </c>
      <c r="Q2187" s="30">
        <f>IF(OR(H2187&lt;&gt;"Realizado",P2187="",P2187=0),"",A2187+P2187)</f>
        <v/>
      </c>
      <c r="R2187" s="26">
        <f>IF(Q2187="","",IF(COUNTIFS($E$5:$E$3004,E2187,$A$5:$A$3004,"&gt;"&amp;A2187,$H$5:$H$3004,"&lt;&gt;Falta",$H$5:$H$3004,"&lt;&gt;Cancelado",$H$5:$H$3004,"&lt;&gt;Remarcado")&gt;0,"Sim","Não"))</f>
        <v/>
      </c>
      <c r="S2187" s="32">
        <f>IF(R2187&lt;&gt;"Não","",IF(Q2187+Config!$B$9&lt;=Config!$B$8,Config!$B$8-Q2187,""))</f>
        <v/>
      </c>
      <c r="T2187" s="26">
        <f>IF(S2187="","","Sim")</f>
        <v/>
      </c>
      <c r="U2187" s="41">
        <f>IF(T2187="Sim",S2187+ROW()/100000,0)</f>
        <v>0</v>
      </c>
      <c r="V2187" s="41">
        <f>IF(AND(H2187="Falta",L2187=Config!$B$7,M2187=Config!$B$5,COUNTIFS($E$5:E2187,E2187,$H$5:H2187,"Falta",$L$5:L2187,Config!$B$7,$M$5:M2187,Config!$B$5)=1),COUNTIFS($E$5:$E$3004,E2187,$H$5:$H$3004,"Falta",$L$5:$L$3004,Config!$B$7,$M$5:$M$3004,Config!$B$5)*1000-ROW()/100000,0)</f>
        <v>0</v>
      </c>
    </row>
    <row r="2188">
      <c r="A2188" s="39" t="n"/>
      <c r="B2188" s="40" t="n"/>
      <c r="C2188" s="35" t="n"/>
      <c r="D2188" s="35" t="n"/>
      <c r="E2188" s="34" t="n"/>
      <c r="F2188" s="35" t="n"/>
      <c r="G2188" s="35" t="n"/>
      <c r="H2188" s="35" t="n"/>
      <c r="I2188" s="35" t="n"/>
      <c r="J2188" s="35" t="n"/>
      <c r="K2188" s="34" t="n"/>
      <c r="L2188" s="26">
        <f>IF(A2188="","",MONTH(A2188))</f>
        <v/>
      </c>
      <c r="M2188" s="26">
        <f>IF(A2188="","",YEAR(A2188))</f>
        <v/>
      </c>
      <c r="N2188" s="26">
        <f>IF(A2188="","",CHOOSE(WEEKDAY(A2188,2),"Segunda","Terça","Quarta","Quinta","Sexta","Sábado","Domingo"))</f>
        <v/>
      </c>
      <c r="O2188" s="26">
        <f>IF(B2188="","",IF(B2188&lt;TIME(12,0,0),"Manhã",IF(B2188&lt;TIME(18,0,0),"Tarde","Noite")))</f>
        <v/>
      </c>
      <c r="P2188" s="32">
        <f>IF(G2188="","",IFERROR(INDEX(Config!$I$5:$I$16,MATCH(G2188,Config!$H$5:$H$16,0)),0))</f>
        <v/>
      </c>
      <c r="Q2188" s="30">
        <f>IF(OR(H2188&lt;&gt;"Realizado",P2188="",P2188=0),"",A2188+P2188)</f>
        <v/>
      </c>
      <c r="R2188" s="26">
        <f>IF(Q2188="","",IF(COUNTIFS($E$5:$E$3004,E2188,$A$5:$A$3004,"&gt;"&amp;A2188,$H$5:$H$3004,"&lt;&gt;Falta",$H$5:$H$3004,"&lt;&gt;Cancelado",$H$5:$H$3004,"&lt;&gt;Remarcado")&gt;0,"Sim","Não"))</f>
        <v/>
      </c>
      <c r="S2188" s="32">
        <f>IF(R2188&lt;&gt;"Não","",IF(Q2188+Config!$B$9&lt;=Config!$B$8,Config!$B$8-Q2188,""))</f>
        <v/>
      </c>
      <c r="T2188" s="26">
        <f>IF(S2188="","","Sim")</f>
        <v/>
      </c>
      <c r="U2188" s="41">
        <f>IF(T2188="Sim",S2188+ROW()/100000,0)</f>
        <v>0</v>
      </c>
      <c r="V2188" s="41">
        <f>IF(AND(H2188="Falta",L2188=Config!$B$7,M2188=Config!$B$5,COUNTIFS($E$5:E2188,E2188,$H$5:H2188,"Falta",$L$5:L2188,Config!$B$7,$M$5:M2188,Config!$B$5)=1),COUNTIFS($E$5:$E$3004,E2188,$H$5:$H$3004,"Falta",$L$5:$L$3004,Config!$B$7,$M$5:$M$3004,Config!$B$5)*1000-ROW()/100000,0)</f>
        <v>0</v>
      </c>
    </row>
    <row r="2189">
      <c r="A2189" s="39" t="n"/>
      <c r="B2189" s="40" t="n"/>
      <c r="C2189" s="35" t="n"/>
      <c r="D2189" s="35" t="n"/>
      <c r="E2189" s="34" t="n"/>
      <c r="F2189" s="35" t="n"/>
      <c r="G2189" s="35" t="n"/>
      <c r="H2189" s="35" t="n"/>
      <c r="I2189" s="35" t="n"/>
      <c r="J2189" s="35" t="n"/>
      <c r="K2189" s="34" t="n"/>
      <c r="L2189" s="26">
        <f>IF(A2189="","",MONTH(A2189))</f>
        <v/>
      </c>
      <c r="M2189" s="26">
        <f>IF(A2189="","",YEAR(A2189))</f>
        <v/>
      </c>
      <c r="N2189" s="26">
        <f>IF(A2189="","",CHOOSE(WEEKDAY(A2189,2),"Segunda","Terça","Quarta","Quinta","Sexta","Sábado","Domingo"))</f>
        <v/>
      </c>
      <c r="O2189" s="26">
        <f>IF(B2189="","",IF(B2189&lt;TIME(12,0,0),"Manhã",IF(B2189&lt;TIME(18,0,0),"Tarde","Noite")))</f>
        <v/>
      </c>
      <c r="P2189" s="32">
        <f>IF(G2189="","",IFERROR(INDEX(Config!$I$5:$I$16,MATCH(G2189,Config!$H$5:$H$16,0)),0))</f>
        <v/>
      </c>
      <c r="Q2189" s="30">
        <f>IF(OR(H2189&lt;&gt;"Realizado",P2189="",P2189=0),"",A2189+P2189)</f>
        <v/>
      </c>
      <c r="R2189" s="26">
        <f>IF(Q2189="","",IF(COUNTIFS($E$5:$E$3004,E2189,$A$5:$A$3004,"&gt;"&amp;A2189,$H$5:$H$3004,"&lt;&gt;Falta",$H$5:$H$3004,"&lt;&gt;Cancelado",$H$5:$H$3004,"&lt;&gt;Remarcado")&gt;0,"Sim","Não"))</f>
        <v/>
      </c>
      <c r="S2189" s="32">
        <f>IF(R2189&lt;&gt;"Não","",IF(Q2189+Config!$B$9&lt;=Config!$B$8,Config!$B$8-Q2189,""))</f>
        <v/>
      </c>
      <c r="T2189" s="26">
        <f>IF(S2189="","","Sim")</f>
        <v/>
      </c>
      <c r="U2189" s="41">
        <f>IF(T2189="Sim",S2189+ROW()/100000,0)</f>
        <v>0</v>
      </c>
      <c r="V2189" s="41">
        <f>IF(AND(H2189="Falta",L2189=Config!$B$7,M2189=Config!$B$5,COUNTIFS($E$5:E2189,E2189,$H$5:H2189,"Falta",$L$5:L2189,Config!$B$7,$M$5:M2189,Config!$B$5)=1),COUNTIFS($E$5:$E$3004,E2189,$H$5:$H$3004,"Falta",$L$5:$L$3004,Config!$B$7,$M$5:$M$3004,Config!$B$5)*1000-ROW()/100000,0)</f>
        <v>0</v>
      </c>
    </row>
    <row r="2190">
      <c r="A2190" s="39" t="n"/>
      <c r="B2190" s="40" t="n"/>
      <c r="C2190" s="35" t="n"/>
      <c r="D2190" s="35" t="n"/>
      <c r="E2190" s="34" t="n"/>
      <c r="F2190" s="35" t="n"/>
      <c r="G2190" s="35" t="n"/>
      <c r="H2190" s="35" t="n"/>
      <c r="I2190" s="35" t="n"/>
      <c r="J2190" s="35" t="n"/>
      <c r="K2190" s="34" t="n"/>
      <c r="L2190" s="26">
        <f>IF(A2190="","",MONTH(A2190))</f>
        <v/>
      </c>
      <c r="M2190" s="26">
        <f>IF(A2190="","",YEAR(A2190))</f>
        <v/>
      </c>
      <c r="N2190" s="26">
        <f>IF(A2190="","",CHOOSE(WEEKDAY(A2190,2),"Segunda","Terça","Quarta","Quinta","Sexta","Sábado","Domingo"))</f>
        <v/>
      </c>
      <c r="O2190" s="26">
        <f>IF(B2190="","",IF(B2190&lt;TIME(12,0,0),"Manhã",IF(B2190&lt;TIME(18,0,0),"Tarde","Noite")))</f>
        <v/>
      </c>
      <c r="P2190" s="32">
        <f>IF(G2190="","",IFERROR(INDEX(Config!$I$5:$I$16,MATCH(G2190,Config!$H$5:$H$16,0)),0))</f>
        <v/>
      </c>
      <c r="Q2190" s="30">
        <f>IF(OR(H2190&lt;&gt;"Realizado",P2190="",P2190=0),"",A2190+P2190)</f>
        <v/>
      </c>
      <c r="R2190" s="26">
        <f>IF(Q2190="","",IF(COUNTIFS($E$5:$E$3004,E2190,$A$5:$A$3004,"&gt;"&amp;A2190,$H$5:$H$3004,"&lt;&gt;Falta",$H$5:$H$3004,"&lt;&gt;Cancelado",$H$5:$H$3004,"&lt;&gt;Remarcado")&gt;0,"Sim","Não"))</f>
        <v/>
      </c>
      <c r="S2190" s="32">
        <f>IF(R2190&lt;&gt;"Não","",IF(Q2190+Config!$B$9&lt;=Config!$B$8,Config!$B$8-Q2190,""))</f>
        <v/>
      </c>
      <c r="T2190" s="26">
        <f>IF(S2190="","","Sim")</f>
        <v/>
      </c>
      <c r="U2190" s="41">
        <f>IF(T2190="Sim",S2190+ROW()/100000,0)</f>
        <v>0</v>
      </c>
      <c r="V2190" s="41">
        <f>IF(AND(H2190="Falta",L2190=Config!$B$7,M2190=Config!$B$5,COUNTIFS($E$5:E2190,E2190,$H$5:H2190,"Falta",$L$5:L2190,Config!$B$7,$M$5:M2190,Config!$B$5)=1),COUNTIFS($E$5:$E$3004,E2190,$H$5:$H$3004,"Falta",$L$5:$L$3004,Config!$B$7,$M$5:$M$3004,Config!$B$5)*1000-ROW()/100000,0)</f>
        <v>0</v>
      </c>
    </row>
    <row r="2191">
      <c r="A2191" s="39" t="n"/>
      <c r="B2191" s="40" t="n"/>
      <c r="C2191" s="35" t="n"/>
      <c r="D2191" s="35" t="n"/>
      <c r="E2191" s="34" t="n"/>
      <c r="F2191" s="35" t="n"/>
      <c r="G2191" s="35" t="n"/>
      <c r="H2191" s="35" t="n"/>
      <c r="I2191" s="35" t="n"/>
      <c r="J2191" s="35" t="n"/>
      <c r="K2191" s="34" t="n"/>
      <c r="L2191" s="26">
        <f>IF(A2191="","",MONTH(A2191))</f>
        <v/>
      </c>
      <c r="M2191" s="26">
        <f>IF(A2191="","",YEAR(A2191))</f>
        <v/>
      </c>
      <c r="N2191" s="26">
        <f>IF(A2191="","",CHOOSE(WEEKDAY(A2191,2),"Segunda","Terça","Quarta","Quinta","Sexta","Sábado","Domingo"))</f>
        <v/>
      </c>
      <c r="O2191" s="26">
        <f>IF(B2191="","",IF(B2191&lt;TIME(12,0,0),"Manhã",IF(B2191&lt;TIME(18,0,0),"Tarde","Noite")))</f>
        <v/>
      </c>
      <c r="P2191" s="32">
        <f>IF(G2191="","",IFERROR(INDEX(Config!$I$5:$I$16,MATCH(G2191,Config!$H$5:$H$16,0)),0))</f>
        <v/>
      </c>
      <c r="Q2191" s="30">
        <f>IF(OR(H2191&lt;&gt;"Realizado",P2191="",P2191=0),"",A2191+P2191)</f>
        <v/>
      </c>
      <c r="R2191" s="26">
        <f>IF(Q2191="","",IF(COUNTIFS($E$5:$E$3004,E2191,$A$5:$A$3004,"&gt;"&amp;A2191,$H$5:$H$3004,"&lt;&gt;Falta",$H$5:$H$3004,"&lt;&gt;Cancelado",$H$5:$H$3004,"&lt;&gt;Remarcado")&gt;0,"Sim","Não"))</f>
        <v/>
      </c>
      <c r="S2191" s="32">
        <f>IF(R2191&lt;&gt;"Não","",IF(Q2191+Config!$B$9&lt;=Config!$B$8,Config!$B$8-Q2191,""))</f>
        <v/>
      </c>
      <c r="T2191" s="26">
        <f>IF(S2191="","","Sim")</f>
        <v/>
      </c>
      <c r="U2191" s="41">
        <f>IF(T2191="Sim",S2191+ROW()/100000,0)</f>
        <v>0</v>
      </c>
      <c r="V2191" s="41">
        <f>IF(AND(H2191="Falta",L2191=Config!$B$7,M2191=Config!$B$5,COUNTIFS($E$5:E2191,E2191,$H$5:H2191,"Falta",$L$5:L2191,Config!$B$7,$M$5:M2191,Config!$B$5)=1),COUNTIFS($E$5:$E$3004,E2191,$H$5:$H$3004,"Falta",$L$5:$L$3004,Config!$B$7,$M$5:$M$3004,Config!$B$5)*1000-ROW()/100000,0)</f>
        <v>0</v>
      </c>
    </row>
    <row r="2192">
      <c r="A2192" s="39" t="n"/>
      <c r="B2192" s="40" t="n"/>
      <c r="C2192" s="35" t="n"/>
      <c r="D2192" s="35" t="n"/>
      <c r="E2192" s="34" t="n"/>
      <c r="F2192" s="35" t="n"/>
      <c r="G2192" s="35" t="n"/>
      <c r="H2192" s="35" t="n"/>
      <c r="I2192" s="35" t="n"/>
      <c r="J2192" s="35" t="n"/>
      <c r="K2192" s="34" t="n"/>
      <c r="L2192" s="26">
        <f>IF(A2192="","",MONTH(A2192))</f>
        <v/>
      </c>
      <c r="M2192" s="26">
        <f>IF(A2192="","",YEAR(A2192))</f>
        <v/>
      </c>
      <c r="N2192" s="26">
        <f>IF(A2192="","",CHOOSE(WEEKDAY(A2192,2),"Segunda","Terça","Quarta","Quinta","Sexta","Sábado","Domingo"))</f>
        <v/>
      </c>
      <c r="O2192" s="26">
        <f>IF(B2192="","",IF(B2192&lt;TIME(12,0,0),"Manhã",IF(B2192&lt;TIME(18,0,0),"Tarde","Noite")))</f>
        <v/>
      </c>
      <c r="P2192" s="32">
        <f>IF(G2192="","",IFERROR(INDEX(Config!$I$5:$I$16,MATCH(G2192,Config!$H$5:$H$16,0)),0))</f>
        <v/>
      </c>
      <c r="Q2192" s="30">
        <f>IF(OR(H2192&lt;&gt;"Realizado",P2192="",P2192=0),"",A2192+P2192)</f>
        <v/>
      </c>
      <c r="R2192" s="26">
        <f>IF(Q2192="","",IF(COUNTIFS($E$5:$E$3004,E2192,$A$5:$A$3004,"&gt;"&amp;A2192,$H$5:$H$3004,"&lt;&gt;Falta",$H$5:$H$3004,"&lt;&gt;Cancelado",$H$5:$H$3004,"&lt;&gt;Remarcado")&gt;0,"Sim","Não"))</f>
        <v/>
      </c>
      <c r="S2192" s="32">
        <f>IF(R2192&lt;&gt;"Não","",IF(Q2192+Config!$B$9&lt;=Config!$B$8,Config!$B$8-Q2192,""))</f>
        <v/>
      </c>
      <c r="T2192" s="26">
        <f>IF(S2192="","","Sim")</f>
        <v/>
      </c>
      <c r="U2192" s="41">
        <f>IF(T2192="Sim",S2192+ROW()/100000,0)</f>
        <v>0</v>
      </c>
      <c r="V2192" s="41">
        <f>IF(AND(H2192="Falta",L2192=Config!$B$7,M2192=Config!$B$5,COUNTIFS($E$5:E2192,E2192,$H$5:H2192,"Falta",$L$5:L2192,Config!$B$7,$M$5:M2192,Config!$B$5)=1),COUNTIFS($E$5:$E$3004,E2192,$H$5:$H$3004,"Falta",$L$5:$L$3004,Config!$B$7,$M$5:$M$3004,Config!$B$5)*1000-ROW()/100000,0)</f>
        <v>0</v>
      </c>
    </row>
    <row r="2193">
      <c r="A2193" s="39" t="n"/>
      <c r="B2193" s="40" t="n"/>
      <c r="C2193" s="35" t="n"/>
      <c r="D2193" s="35" t="n"/>
      <c r="E2193" s="34" t="n"/>
      <c r="F2193" s="35" t="n"/>
      <c r="G2193" s="35" t="n"/>
      <c r="H2193" s="35" t="n"/>
      <c r="I2193" s="35" t="n"/>
      <c r="J2193" s="35" t="n"/>
      <c r="K2193" s="34" t="n"/>
      <c r="L2193" s="26">
        <f>IF(A2193="","",MONTH(A2193))</f>
        <v/>
      </c>
      <c r="M2193" s="26">
        <f>IF(A2193="","",YEAR(A2193))</f>
        <v/>
      </c>
      <c r="N2193" s="26">
        <f>IF(A2193="","",CHOOSE(WEEKDAY(A2193,2),"Segunda","Terça","Quarta","Quinta","Sexta","Sábado","Domingo"))</f>
        <v/>
      </c>
      <c r="O2193" s="26">
        <f>IF(B2193="","",IF(B2193&lt;TIME(12,0,0),"Manhã",IF(B2193&lt;TIME(18,0,0),"Tarde","Noite")))</f>
        <v/>
      </c>
      <c r="P2193" s="32">
        <f>IF(G2193="","",IFERROR(INDEX(Config!$I$5:$I$16,MATCH(G2193,Config!$H$5:$H$16,0)),0))</f>
        <v/>
      </c>
      <c r="Q2193" s="30">
        <f>IF(OR(H2193&lt;&gt;"Realizado",P2193="",P2193=0),"",A2193+P2193)</f>
        <v/>
      </c>
      <c r="R2193" s="26">
        <f>IF(Q2193="","",IF(COUNTIFS($E$5:$E$3004,E2193,$A$5:$A$3004,"&gt;"&amp;A2193,$H$5:$H$3004,"&lt;&gt;Falta",$H$5:$H$3004,"&lt;&gt;Cancelado",$H$5:$H$3004,"&lt;&gt;Remarcado")&gt;0,"Sim","Não"))</f>
        <v/>
      </c>
      <c r="S2193" s="32">
        <f>IF(R2193&lt;&gt;"Não","",IF(Q2193+Config!$B$9&lt;=Config!$B$8,Config!$B$8-Q2193,""))</f>
        <v/>
      </c>
      <c r="T2193" s="26">
        <f>IF(S2193="","","Sim")</f>
        <v/>
      </c>
      <c r="U2193" s="41">
        <f>IF(T2193="Sim",S2193+ROW()/100000,0)</f>
        <v>0</v>
      </c>
      <c r="V2193" s="41">
        <f>IF(AND(H2193="Falta",L2193=Config!$B$7,M2193=Config!$B$5,COUNTIFS($E$5:E2193,E2193,$H$5:H2193,"Falta",$L$5:L2193,Config!$B$7,$M$5:M2193,Config!$B$5)=1),COUNTIFS($E$5:$E$3004,E2193,$H$5:$H$3004,"Falta",$L$5:$L$3004,Config!$B$7,$M$5:$M$3004,Config!$B$5)*1000-ROW()/100000,0)</f>
        <v>0</v>
      </c>
    </row>
    <row r="2194">
      <c r="A2194" s="39" t="n"/>
      <c r="B2194" s="40" t="n"/>
      <c r="C2194" s="35" t="n"/>
      <c r="D2194" s="35" t="n"/>
      <c r="E2194" s="34" t="n"/>
      <c r="F2194" s="35" t="n"/>
      <c r="G2194" s="35" t="n"/>
      <c r="H2194" s="35" t="n"/>
      <c r="I2194" s="35" t="n"/>
      <c r="J2194" s="35" t="n"/>
      <c r="K2194" s="34" t="n"/>
      <c r="L2194" s="26">
        <f>IF(A2194="","",MONTH(A2194))</f>
        <v/>
      </c>
      <c r="M2194" s="26">
        <f>IF(A2194="","",YEAR(A2194))</f>
        <v/>
      </c>
      <c r="N2194" s="26">
        <f>IF(A2194="","",CHOOSE(WEEKDAY(A2194,2),"Segunda","Terça","Quarta","Quinta","Sexta","Sábado","Domingo"))</f>
        <v/>
      </c>
      <c r="O2194" s="26">
        <f>IF(B2194="","",IF(B2194&lt;TIME(12,0,0),"Manhã",IF(B2194&lt;TIME(18,0,0),"Tarde","Noite")))</f>
        <v/>
      </c>
      <c r="P2194" s="32">
        <f>IF(G2194="","",IFERROR(INDEX(Config!$I$5:$I$16,MATCH(G2194,Config!$H$5:$H$16,0)),0))</f>
        <v/>
      </c>
      <c r="Q2194" s="30">
        <f>IF(OR(H2194&lt;&gt;"Realizado",P2194="",P2194=0),"",A2194+P2194)</f>
        <v/>
      </c>
      <c r="R2194" s="26">
        <f>IF(Q2194="","",IF(COUNTIFS($E$5:$E$3004,E2194,$A$5:$A$3004,"&gt;"&amp;A2194,$H$5:$H$3004,"&lt;&gt;Falta",$H$5:$H$3004,"&lt;&gt;Cancelado",$H$5:$H$3004,"&lt;&gt;Remarcado")&gt;0,"Sim","Não"))</f>
        <v/>
      </c>
      <c r="S2194" s="32">
        <f>IF(R2194&lt;&gt;"Não","",IF(Q2194+Config!$B$9&lt;=Config!$B$8,Config!$B$8-Q2194,""))</f>
        <v/>
      </c>
      <c r="T2194" s="26">
        <f>IF(S2194="","","Sim")</f>
        <v/>
      </c>
      <c r="U2194" s="41">
        <f>IF(T2194="Sim",S2194+ROW()/100000,0)</f>
        <v>0</v>
      </c>
      <c r="V2194" s="41">
        <f>IF(AND(H2194="Falta",L2194=Config!$B$7,M2194=Config!$B$5,COUNTIFS($E$5:E2194,E2194,$H$5:H2194,"Falta",$L$5:L2194,Config!$B$7,$M$5:M2194,Config!$B$5)=1),COUNTIFS($E$5:$E$3004,E2194,$H$5:$H$3004,"Falta",$L$5:$L$3004,Config!$B$7,$M$5:$M$3004,Config!$B$5)*1000-ROW()/100000,0)</f>
        <v>0</v>
      </c>
    </row>
    <row r="2195">
      <c r="A2195" s="39" t="n"/>
      <c r="B2195" s="40" t="n"/>
      <c r="C2195" s="35" t="n"/>
      <c r="D2195" s="35" t="n"/>
      <c r="E2195" s="34" t="n"/>
      <c r="F2195" s="35" t="n"/>
      <c r="G2195" s="35" t="n"/>
      <c r="H2195" s="35" t="n"/>
      <c r="I2195" s="35" t="n"/>
      <c r="J2195" s="35" t="n"/>
      <c r="K2195" s="34" t="n"/>
      <c r="L2195" s="26">
        <f>IF(A2195="","",MONTH(A2195))</f>
        <v/>
      </c>
      <c r="M2195" s="26">
        <f>IF(A2195="","",YEAR(A2195))</f>
        <v/>
      </c>
      <c r="N2195" s="26">
        <f>IF(A2195="","",CHOOSE(WEEKDAY(A2195,2),"Segunda","Terça","Quarta","Quinta","Sexta","Sábado","Domingo"))</f>
        <v/>
      </c>
      <c r="O2195" s="26">
        <f>IF(B2195="","",IF(B2195&lt;TIME(12,0,0),"Manhã",IF(B2195&lt;TIME(18,0,0),"Tarde","Noite")))</f>
        <v/>
      </c>
      <c r="P2195" s="32">
        <f>IF(G2195="","",IFERROR(INDEX(Config!$I$5:$I$16,MATCH(G2195,Config!$H$5:$H$16,0)),0))</f>
        <v/>
      </c>
      <c r="Q2195" s="30">
        <f>IF(OR(H2195&lt;&gt;"Realizado",P2195="",P2195=0),"",A2195+P2195)</f>
        <v/>
      </c>
      <c r="R2195" s="26">
        <f>IF(Q2195="","",IF(COUNTIFS($E$5:$E$3004,E2195,$A$5:$A$3004,"&gt;"&amp;A2195,$H$5:$H$3004,"&lt;&gt;Falta",$H$5:$H$3004,"&lt;&gt;Cancelado",$H$5:$H$3004,"&lt;&gt;Remarcado")&gt;0,"Sim","Não"))</f>
        <v/>
      </c>
      <c r="S2195" s="32">
        <f>IF(R2195&lt;&gt;"Não","",IF(Q2195+Config!$B$9&lt;=Config!$B$8,Config!$B$8-Q2195,""))</f>
        <v/>
      </c>
      <c r="T2195" s="26">
        <f>IF(S2195="","","Sim")</f>
        <v/>
      </c>
      <c r="U2195" s="41">
        <f>IF(T2195="Sim",S2195+ROW()/100000,0)</f>
        <v>0</v>
      </c>
      <c r="V2195" s="41">
        <f>IF(AND(H2195="Falta",L2195=Config!$B$7,M2195=Config!$B$5,COUNTIFS($E$5:E2195,E2195,$H$5:H2195,"Falta",$L$5:L2195,Config!$B$7,$M$5:M2195,Config!$B$5)=1),COUNTIFS($E$5:$E$3004,E2195,$H$5:$H$3004,"Falta",$L$5:$L$3004,Config!$B$7,$M$5:$M$3004,Config!$B$5)*1000-ROW()/100000,0)</f>
        <v>0</v>
      </c>
    </row>
    <row r="2196">
      <c r="A2196" s="39" t="n"/>
      <c r="B2196" s="40" t="n"/>
      <c r="C2196" s="35" t="n"/>
      <c r="D2196" s="35" t="n"/>
      <c r="E2196" s="34" t="n"/>
      <c r="F2196" s="35" t="n"/>
      <c r="G2196" s="35" t="n"/>
      <c r="H2196" s="35" t="n"/>
      <c r="I2196" s="35" t="n"/>
      <c r="J2196" s="35" t="n"/>
      <c r="K2196" s="34" t="n"/>
      <c r="L2196" s="26">
        <f>IF(A2196="","",MONTH(A2196))</f>
        <v/>
      </c>
      <c r="M2196" s="26">
        <f>IF(A2196="","",YEAR(A2196))</f>
        <v/>
      </c>
      <c r="N2196" s="26">
        <f>IF(A2196="","",CHOOSE(WEEKDAY(A2196,2),"Segunda","Terça","Quarta","Quinta","Sexta","Sábado","Domingo"))</f>
        <v/>
      </c>
      <c r="O2196" s="26">
        <f>IF(B2196="","",IF(B2196&lt;TIME(12,0,0),"Manhã",IF(B2196&lt;TIME(18,0,0),"Tarde","Noite")))</f>
        <v/>
      </c>
      <c r="P2196" s="32">
        <f>IF(G2196="","",IFERROR(INDEX(Config!$I$5:$I$16,MATCH(G2196,Config!$H$5:$H$16,0)),0))</f>
        <v/>
      </c>
      <c r="Q2196" s="30">
        <f>IF(OR(H2196&lt;&gt;"Realizado",P2196="",P2196=0),"",A2196+P2196)</f>
        <v/>
      </c>
      <c r="R2196" s="26">
        <f>IF(Q2196="","",IF(COUNTIFS($E$5:$E$3004,E2196,$A$5:$A$3004,"&gt;"&amp;A2196,$H$5:$H$3004,"&lt;&gt;Falta",$H$5:$H$3004,"&lt;&gt;Cancelado",$H$5:$H$3004,"&lt;&gt;Remarcado")&gt;0,"Sim","Não"))</f>
        <v/>
      </c>
      <c r="S2196" s="32">
        <f>IF(R2196&lt;&gt;"Não","",IF(Q2196+Config!$B$9&lt;=Config!$B$8,Config!$B$8-Q2196,""))</f>
        <v/>
      </c>
      <c r="T2196" s="26">
        <f>IF(S2196="","","Sim")</f>
        <v/>
      </c>
      <c r="U2196" s="41">
        <f>IF(T2196="Sim",S2196+ROW()/100000,0)</f>
        <v>0</v>
      </c>
      <c r="V2196" s="41">
        <f>IF(AND(H2196="Falta",L2196=Config!$B$7,M2196=Config!$B$5,COUNTIFS($E$5:E2196,E2196,$H$5:H2196,"Falta",$L$5:L2196,Config!$B$7,$M$5:M2196,Config!$B$5)=1),COUNTIFS($E$5:$E$3004,E2196,$H$5:$H$3004,"Falta",$L$5:$L$3004,Config!$B$7,$M$5:$M$3004,Config!$B$5)*1000-ROW()/100000,0)</f>
        <v>0</v>
      </c>
    </row>
    <row r="2197">
      <c r="A2197" s="39" t="n"/>
      <c r="B2197" s="40" t="n"/>
      <c r="C2197" s="35" t="n"/>
      <c r="D2197" s="35" t="n"/>
      <c r="E2197" s="34" t="n"/>
      <c r="F2197" s="35" t="n"/>
      <c r="G2197" s="35" t="n"/>
      <c r="H2197" s="35" t="n"/>
      <c r="I2197" s="35" t="n"/>
      <c r="J2197" s="35" t="n"/>
      <c r="K2197" s="34" t="n"/>
      <c r="L2197" s="26">
        <f>IF(A2197="","",MONTH(A2197))</f>
        <v/>
      </c>
      <c r="M2197" s="26">
        <f>IF(A2197="","",YEAR(A2197))</f>
        <v/>
      </c>
      <c r="N2197" s="26">
        <f>IF(A2197="","",CHOOSE(WEEKDAY(A2197,2),"Segunda","Terça","Quarta","Quinta","Sexta","Sábado","Domingo"))</f>
        <v/>
      </c>
      <c r="O2197" s="26">
        <f>IF(B2197="","",IF(B2197&lt;TIME(12,0,0),"Manhã",IF(B2197&lt;TIME(18,0,0),"Tarde","Noite")))</f>
        <v/>
      </c>
      <c r="P2197" s="32">
        <f>IF(G2197="","",IFERROR(INDEX(Config!$I$5:$I$16,MATCH(G2197,Config!$H$5:$H$16,0)),0))</f>
        <v/>
      </c>
      <c r="Q2197" s="30">
        <f>IF(OR(H2197&lt;&gt;"Realizado",P2197="",P2197=0),"",A2197+P2197)</f>
        <v/>
      </c>
      <c r="R2197" s="26">
        <f>IF(Q2197="","",IF(COUNTIFS($E$5:$E$3004,E2197,$A$5:$A$3004,"&gt;"&amp;A2197,$H$5:$H$3004,"&lt;&gt;Falta",$H$5:$H$3004,"&lt;&gt;Cancelado",$H$5:$H$3004,"&lt;&gt;Remarcado")&gt;0,"Sim","Não"))</f>
        <v/>
      </c>
      <c r="S2197" s="32">
        <f>IF(R2197&lt;&gt;"Não","",IF(Q2197+Config!$B$9&lt;=Config!$B$8,Config!$B$8-Q2197,""))</f>
        <v/>
      </c>
      <c r="T2197" s="26">
        <f>IF(S2197="","","Sim")</f>
        <v/>
      </c>
      <c r="U2197" s="41">
        <f>IF(T2197="Sim",S2197+ROW()/100000,0)</f>
        <v>0</v>
      </c>
      <c r="V2197" s="41">
        <f>IF(AND(H2197="Falta",L2197=Config!$B$7,M2197=Config!$B$5,COUNTIFS($E$5:E2197,E2197,$H$5:H2197,"Falta",$L$5:L2197,Config!$B$7,$M$5:M2197,Config!$B$5)=1),COUNTIFS($E$5:$E$3004,E2197,$H$5:$H$3004,"Falta",$L$5:$L$3004,Config!$B$7,$M$5:$M$3004,Config!$B$5)*1000-ROW()/100000,0)</f>
        <v>0</v>
      </c>
    </row>
    <row r="2198">
      <c r="A2198" s="39" t="n"/>
      <c r="B2198" s="40" t="n"/>
      <c r="C2198" s="35" t="n"/>
      <c r="D2198" s="35" t="n"/>
      <c r="E2198" s="34" t="n"/>
      <c r="F2198" s="35" t="n"/>
      <c r="G2198" s="35" t="n"/>
      <c r="H2198" s="35" t="n"/>
      <c r="I2198" s="35" t="n"/>
      <c r="J2198" s="35" t="n"/>
      <c r="K2198" s="34" t="n"/>
      <c r="L2198" s="26">
        <f>IF(A2198="","",MONTH(A2198))</f>
        <v/>
      </c>
      <c r="M2198" s="26">
        <f>IF(A2198="","",YEAR(A2198))</f>
        <v/>
      </c>
      <c r="N2198" s="26">
        <f>IF(A2198="","",CHOOSE(WEEKDAY(A2198,2),"Segunda","Terça","Quarta","Quinta","Sexta","Sábado","Domingo"))</f>
        <v/>
      </c>
      <c r="O2198" s="26">
        <f>IF(B2198="","",IF(B2198&lt;TIME(12,0,0),"Manhã",IF(B2198&lt;TIME(18,0,0),"Tarde","Noite")))</f>
        <v/>
      </c>
      <c r="P2198" s="32">
        <f>IF(G2198="","",IFERROR(INDEX(Config!$I$5:$I$16,MATCH(G2198,Config!$H$5:$H$16,0)),0))</f>
        <v/>
      </c>
      <c r="Q2198" s="30">
        <f>IF(OR(H2198&lt;&gt;"Realizado",P2198="",P2198=0),"",A2198+P2198)</f>
        <v/>
      </c>
      <c r="R2198" s="26">
        <f>IF(Q2198="","",IF(COUNTIFS($E$5:$E$3004,E2198,$A$5:$A$3004,"&gt;"&amp;A2198,$H$5:$H$3004,"&lt;&gt;Falta",$H$5:$H$3004,"&lt;&gt;Cancelado",$H$5:$H$3004,"&lt;&gt;Remarcado")&gt;0,"Sim","Não"))</f>
        <v/>
      </c>
      <c r="S2198" s="32">
        <f>IF(R2198&lt;&gt;"Não","",IF(Q2198+Config!$B$9&lt;=Config!$B$8,Config!$B$8-Q2198,""))</f>
        <v/>
      </c>
      <c r="T2198" s="26">
        <f>IF(S2198="","","Sim")</f>
        <v/>
      </c>
      <c r="U2198" s="41">
        <f>IF(T2198="Sim",S2198+ROW()/100000,0)</f>
        <v>0</v>
      </c>
      <c r="V2198" s="41">
        <f>IF(AND(H2198="Falta",L2198=Config!$B$7,M2198=Config!$B$5,COUNTIFS($E$5:E2198,E2198,$H$5:H2198,"Falta",$L$5:L2198,Config!$B$7,$M$5:M2198,Config!$B$5)=1),COUNTIFS($E$5:$E$3004,E2198,$H$5:$H$3004,"Falta",$L$5:$L$3004,Config!$B$7,$M$5:$M$3004,Config!$B$5)*1000-ROW()/100000,0)</f>
        <v>0</v>
      </c>
    </row>
    <row r="2199">
      <c r="A2199" s="39" t="n"/>
      <c r="B2199" s="40" t="n"/>
      <c r="C2199" s="35" t="n"/>
      <c r="D2199" s="35" t="n"/>
      <c r="E2199" s="34" t="n"/>
      <c r="F2199" s="35" t="n"/>
      <c r="G2199" s="35" t="n"/>
      <c r="H2199" s="35" t="n"/>
      <c r="I2199" s="35" t="n"/>
      <c r="J2199" s="35" t="n"/>
      <c r="K2199" s="34" t="n"/>
      <c r="L2199" s="26">
        <f>IF(A2199="","",MONTH(A2199))</f>
        <v/>
      </c>
      <c r="M2199" s="26">
        <f>IF(A2199="","",YEAR(A2199))</f>
        <v/>
      </c>
      <c r="N2199" s="26">
        <f>IF(A2199="","",CHOOSE(WEEKDAY(A2199,2),"Segunda","Terça","Quarta","Quinta","Sexta","Sábado","Domingo"))</f>
        <v/>
      </c>
      <c r="O2199" s="26">
        <f>IF(B2199="","",IF(B2199&lt;TIME(12,0,0),"Manhã",IF(B2199&lt;TIME(18,0,0),"Tarde","Noite")))</f>
        <v/>
      </c>
      <c r="P2199" s="32">
        <f>IF(G2199="","",IFERROR(INDEX(Config!$I$5:$I$16,MATCH(G2199,Config!$H$5:$H$16,0)),0))</f>
        <v/>
      </c>
      <c r="Q2199" s="30">
        <f>IF(OR(H2199&lt;&gt;"Realizado",P2199="",P2199=0),"",A2199+P2199)</f>
        <v/>
      </c>
      <c r="R2199" s="26">
        <f>IF(Q2199="","",IF(COUNTIFS($E$5:$E$3004,E2199,$A$5:$A$3004,"&gt;"&amp;A2199,$H$5:$H$3004,"&lt;&gt;Falta",$H$5:$H$3004,"&lt;&gt;Cancelado",$H$5:$H$3004,"&lt;&gt;Remarcado")&gt;0,"Sim","Não"))</f>
        <v/>
      </c>
      <c r="S2199" s="32">
        <f>IF(R2199&lt;&gt;"Não","",IF(Q2199+Config!$B$9&lt;=Config!$B$8,Config!$B$8-Q2199,""))</f>
        <v/>
      </c>
      <c r="T2199" s="26">
        <f>IF(S2199="","","Sim")</f>
        <v/>
      </c>
      <c r="U2199" s="41">
        <f>IF(T2199="Sim",S2199+ROW()/100000,0)</f>
        <v>0</v>
      </c>
      <c r="V2199" s="41">
        <f>IF(AND(H2199="Falta",L2199=Config!$B$7,M2199=Config!$B$5,COUNTIFS($E$5:E2199,E2199,$H$5:H2199,"Falta",$L$5:L2199,Config!$B$7,$M$5:M2199,Config!$B$5)=1),COUNTIFS($E$5:$E$3004,E2199,$H$5:$H$3004,"Falta",$L$5:$L$3004,Config!$B$7,$M$5:$M$3004,Config!$B$5)*1000-ROW()/100000,0)</f>
        <v>0</v>
      </c>
    </row>
    <row r="2200">
      <c r="A2200" s="39" t="n"/>
      <c r="B2200" s="40" t="n"/>
      <c r="C2200" s="35" t="n"/>
      <c r="D2200" s="35" t="n"/>
      <c r="E2200" s="34" t="n"/>
      <c r="F2200" s="35" t="n"/>
      <c r="G2200" s="35" t="n"/>
      <c r="H2200" s="35" t="n"/>
      <c r="I2200" s="35" t="n"/>
      <c r="J2200" s="35" t="n"/>
      <c r="K2200" s="34" t="n"/>
      <c r="L2200" s="26">
        <f>IF(A2200="","",MONTH(A2200))</f>
        <v/>
      </c>
      <c r="M2200" s="26">
        <f>IF(A2200="","",YEAR(A2200))</f>
        <v/>
      </c>
      <c r="N2200" s="26">
        <f>IF(A2200="","",CHOOSE(WEEKDAY(A2200,2),"Segunda","Terça","Quarta","Quinta","Sexta","Sábado","Domingo"))</f>
        <v/>
      </c>
      <c r="O2200" s="26">
        <f>IF(B2200="","",IF(B2200&lt;TIME(12,0,0),"Manhã",IF(B2200&lt;TIME(18,0,0),"Tarde","Noite")))</f>
        <v/>
      </c>
      <c r="P2200" s="32">
        <f>IF(G2200="","",IFERROR(INDEX(Config!$I$5:$I$16,MATCH(G2200,Config!$H$5:$H$16,0)),0))</f>
        <v/>
      </c>
      <c r="Q2200" s="30">
        <f>IF(OR(H2200&lt;&gt;"Realizado",P2200="",P2200=0),"",A2200+P2200)</f>
        <v/>
      </c>
      <c r="R2200" s="26">
        <f>IF(Q2200="","",IF(COUNTIFS($E$5:$E$3004,E2200,$A$5:$A$3004,"&gt;"&amp;A2200,$H$5:$H$3004,"&lt;&gt;Falta",$H$5:$H$3004,"&lt;&gt;Cancelado",$H$5:$H$3004,"&lt;&gt;Remarcado")&gt;0,"Sim","Não"))</f>
        <v/>
      </c>
      <c r="S2200" s="32">
        <f>IF(R2200&lt;&gt;"Não","",IF(Q2200+Config!$B$9&lt;=Config!$B$8,Config!$B$8-Q2200,""))</f>
        <v/>
      </c>
      <c r="T2200" s="26">
        <f>IF(S2200="","","Sim")</f>
        <v/>
      </c>
      <c r="U2200" s="41">
        <f>IF(T2200="Sim",S2200+ROW()/100000,0)</f>
        <v>0</v>
      </c>
      <c r="V2200" s="41">
        <f>IF(AND(H2200="Falta",L2200=Config!$B$7,M2200=Config!$B$5,COUNTIFS($E$5:E2200,E2200,$H$5:H2200,"Falta",$L$5:L2200,Config!$B$7,$M$5:M2200,Config!$B$5)=1),COUNTIFS($E$5:$E$3004,E2200,$H$5:$H$3004,"Falta",$L$5:$L$3004,Config!$B$7,$M$5:$M$3004,Config!$B$5)*1000-ROW()/100000,0)</f>
        <v>0</v>
      </c>
    </row>
    <row r="2201">
      <c r="A2201" s="39" t="n"/>
      <c r="B2201" s="40" t="n"/>
      <c r="C2201" s="35" t="n"/>
      <c r="D2201" s="35" t="n"/>
      <c r="E2201" s="34" t="n"/>
      <c r="F2201" s="35" t="n"/>
      <c r="G2201" s="35" t="n"/>
      <c r="H2201" s="35" t="n"/>
      <c r="I2201" s="35" t="n"/>
      <c r="J2201" s="35" t="n"/>
      <c r="K2201" s="34" t="n"/>
      <c r="L2201" s="26">
        <f>IF(A2201="","",MONTH(A2201))</f>
        <v/>
      </c>
      <c r="M2201" s="26">
        <f>IF(A2201="","",YEAR(A2201))</f>
        <v/>
      </c>
      <c r="N2201" s="26">
        <f>IF(A2201="","",CHOOSE(WEEKDAY(A2201,2),"Segunda","Terça","Quarta","Quinta","Sexta","Sábado","Domingo"))</f>
        <v/>
      </c>
      <c r="O2201" s="26">
        <f>IF(B2201="","",IF(B2201&lt;TIME(12,0,0),"Manhã",IF(B2201&lt;TIME(18,0,0),"Tarde","Noite")))</f>
        <v/>
      </c>
      <c r="P2201" s="32">
        <f>IF(G2201="","",IFERROR(INDEX(Config!$I$5:$I$16,MATCH(G2201,Config!$H$5:$H$16,0)),0))</f>
        <v/>
      </c>
      <c r="Q2201" s="30">
        <f>IF(OR(H2201&lt;&gt;"Realizado",P2201="",P2201=0),"",A2201+P2201)</f>
        <v/>
      </c>
      <c r="R2201" s="26">
        <f>IF(Q2201="","",IF(COUNTIFS($E$5:$E$3004,E2201,$A$5:$A$3004,"&gt;"&amp;A2201,$H$5:$H$3004,"&lt;&gt;Falta",$H$5:$H$3004,"&lt;&gt;Cancelado",$H$5:$H$3004,"&lt;&gt;Remarcado")&gt;0,"Sim","Não"))</f>
        <v/>
      </c>
      <c r="S2201" s="32">
        <f>IF(R2201&lt;&gt;"Não","",IF(Q2201+Config!$B$9&lt;=Config!$B$8,Config!$B$8-Q2201,""))</f>
        <v/>
      </c>
      <c r="T2201" s="26">
        <f>IF(S2201="","","Sim")</f>
        <v/>
      </c>
      <c r="U2201" s="41">
        <f>IF(T2201="Sim",S2201+ROW()/100000,0)</f>
        <v>0</v>
      </c>
      <c r="V2201" s="41">
        <f>IF(AND(H2201="Falta",L2201=Config!$B$7,M2201=Config!$B$5,COUNTIFS($E$5:E2201,E2201,$H$5:H2201,"Falta",$L$5:L2201,Config!$B$7,$M$5:M2201,Config!$B$5)=1),COUNTIFS($E$5:$E$3004,E2201,$H$5:$H$3004,"Falta",$L$5:$L$3004,Config!$B$7,$M$5:$M$3004,Config!$B$5)*1000-ROW()/100000,0)</f>
        <v>0</v>
      </c>
    </row>
    <row r="2202">
      <c r="A2202" s="39" t="n"/>
      <c r="B2202" s="40" t="n"/>
      <c r="C2202" s="35" t="n"/>
      <c r="D2202" s="35" t="n"/>
      <c r="E2202" s="34" t="n"/>
      <c r="F2202" s="35" t="n"/>
      <c r="G2202" s="35" t="n"/>
      <c r="H2202" s="35" t="n"/>
      <c r="I2202" s="35" t="n"/>
      <c r="J2202" s="35" t="n"/>
      <c r="K2202" s="34" t="n"/>
      <c r="L2202" s="26">
        <f>IF(A2202="","",MONTH(A2202))</f>
        <v/>
      </c>
      <c r="M2202" s="26">
        <f>IF(A2202="","",YEAR(A2202))</f>
        <v/>
      </c>
      <c r="N2202" s="26">
        <f>IF(A2202="","",CHOOSE(WEEKDAY(A2202,2),"Segunda","Terça","Quarta","Quinta","Sexta","Sábado","Domingo"))</f>
        <v/>
      </c>
      <c r="O2202" s="26">
        <f>IF(B2202="","",IF(B2202&lt;TIME(12,0,0),"Manhã",IF(B2202&lt;TIME(18,0,0),"Tarde","Noite")))</f>
        <v/>
      </c>
      <c r="P2202" s="32">
        <f>IF(G2202="","",IFERROR(INDEX(Config!$I$5:$I$16,MATCH(G2202,Config!$H$5:$H$16,0)),0))</f>
        <v/>
      </c>
      <c r="Q2202" s="30">
        <f>IF(OR(H2202&lt;&gt;"Realizado",P2202="",P2202=0),"",A2202+P2202)</f>
        <v/>
      </c>
      <c r="R2202" s="26">
        <f>IF(Q2202="","",IF(COUNTIFS($E$5:$E$3004,E2202,$A$5:$A$3004,"&gt;"&amp;A2202,$H$5:$H$3004,"&lt;&gt;Falta",$H$5:$H$3004,"&lt;&gt;Cancelado",$H$5:$H$3004,"&lt;&gt;Remarcado")&gt;0,"Sim","Não"))</f>
        <v/>
      </c>
      <c r="S2202" s="32">
        <f>IF(R2202&lt;&gt;"Não","",IF(Q2202+Config!$B$9&lt;=Config!$B$8,Config!$B$8-Q2202,""))</f>
        <v/>
      </c>
      <c r="T2202" s="26">
        <f>IF(S2202="","","Sim")</f>
        <v/>
      </c>
      <c r="U2202" s="41">
        <f>IF(T2202="Sim",S2202+ROW()/100000,0)</f>
        <v>0</v>
      </c>
      <c r="V2202" s="41">
        <f>IF(AND(H2202="Falta",L2202=Config!$B$7,M2202=Config!$B$5,COUNTIFS($E$5:E2202,E2202,$H$5:H2202,"Falta",$L$5:L2202,Config!$B$7,$M$5:M2202,Config!$B$5)=1),COUNTIFS($E$5:$E$3004,E2202,$H$5:$H$3004,"Falta",$L$5:$L$3004,Config!$B$7,$M$5:$M$3004,Config!$B$5)*1000-ROW()/100000,0)</f>
        <v>0</v>
      </c>
    </row>
    <row r="2203">
      <c r="A2203" s="39" t="n"/>
      <c r="B2203" s="40" t="n"/>
      <c r="C2203" s="35" t="n"/>
      <c r="D2203" s="35" t="n"/>
      <c r="E2203" s="34" t="n"/>
      <c r="F2203" s="35" t="n"/>
      <c r="G2203" s="35" t="n"/>
      <c r="H2203" s="35" t="n"/>
      <c r="I2203" s="35" t="n"/>
      <c r="J2203" s="35" t="n"/>
      <c r="K2203" s="34" t="n"/>
      <c r="L2203" s="26">
        <f>IF(A2203="","",MONTH(A2203))</f>
        <v/>
      </c>
      <c r="M2203" s="26">
        <f>IF(A2203="","",YEAR(A2203))</f>
        <v/>
      </c>
      <c r="N2203" s="26">
        <f>IF(A2203="","",CHOOSE(WEEKDAY(A2203,2),"Segunda","Terça","Quarta","Quinta","Sexta","Sábado","Domingo"))</f>
        <v/>
      </c>
      <c r="O2203" s="26">
        <f>IF(B2203="","",IF(B2203&lt;TIME(12,0,0),"Manhã",IF(B2203&lt;TIME(18,0,0),"Tarde","Noite")))</f>
        <v/>
      </c>
      <c r="P2203" s="32">
        <f>IF(G2203="","",IFERROR(INDEX(Config!$I$5:$I$16,MATCH(G2203,Config!$H$5:$H$16,0)),0))</f>
        <v/>
      </c>
      <c r="Q2203" s="30">
        <f>IF(OR(H2203&lt;&gt;"Realizado",P2203="",P2203=0),"",A2203+P2203)</f>
        <v/>
      </c>
      <c r="R2203" s="26">
        <f>IF(Q2203="","",IF(COUNTIFS($E$5:$E$3004,E2203,$A$5:$A$3004,"&gt;"&amp;A2203,$H$5:$H$3004,"&lt;&gt;Falta",$H$5:$H$3004,"&lt;&gt;Cancelado",$H$5:$H$3004,"&lt;&gt;Remarcado")&gt;0,"Sim","Não"))</f>
        <v/>
      </c>
      <c r="S2203" s="32">
        <f>IF(R2203&lt;&gt;"Não","",IF(Q2203+Config!$B$9&lt;=Config!$B$8,Config!$B$8-Q2203,""))</f>
        <v/>
      </c>
      <c r="T2203" s="26">
        <f>IF(S2203="","","Sim")</f>
        <v/>
      </c>
      <c r="U2203" s="41">
        <f>IF(T2203="Sim",S2203+ROW()/100000,0)</f>
        <v>0</v>
      </c>
      <c r="V2203" s="41">
        <f>IF(AND(H2203="Falta",L2203=Config!$B$7,M2203=Config!$B$5,COUNTIFS($E$5:E2203,E2203,$H$5:H2203,"Falta",$L$5:L2203,Config!$B$7,$M$5:M2203,Config!$B$5)=1),COUNTIFS($E$5:$E$3004,E2203,$H$5:$H$3004,"Falta",$L$5:$L$3004,Config!$B$7,$M$5:$M$3004,Config!$B$5)*1000-ROW()/100000,0)</f>
        <v>0</v>
      </c>
    </row>
    <row r="2204">
      <c r="A2204" s="39" t="n"/>
      <c r="B2204" s="40" t="n"/>
      <c r="C2204" s="35" t="n"/>
      <c r="D2204" s="35" t="n"/>
      <c r="E2204" s="34" t="n"/>
      <c r="F2204" s="35" t="n"/>
      <c r="G2204" s="35" t="n"/>
      <c r="H2204" s="35" t="n"/>
      <c r="I2204" s="35" t="n"/>
      <c r="J2204" s="35" t="n"/>
      <c r="K2204" s="34" t="n"/>
      <c r="L2204" s="26">
        <f>IF(A2204="","",MONTH(A2204))</f>
        <v/>
      </c>
      <c r="M2204" s="26">
        <f>IF(A2204="","",YEAR(A2204))</f>
        <v/>
      </c>
      <c r="N2204" s="26">
        <f>IF(A2204="","",CHOOSE(WEEKDAY(A2204,2),"Segunda","Terça","Quarta","Quinta","Sexta","Sábado","Domingo"))</f>
        <v/>
      </c>
      <c r="O2204" s="26">
        <f>IF(B2204="","",IF(B2204&lt;TIME(12,0,0),"Manhã",IF(B2204&lt;TIME(18,0,0),"Tarde","Noite")))</f>
        <v/>
      </c>
      <c r="P2204" s="32">
        <f>IF(G2204="","",IFERROR(INDEX(Config!$I$5:$I$16,MATCH(G2204,Config!$H$5:$H$16,0)),0))</f>
        <v/>
      </c>
      <c r="Q2204" s="30">
        <f>IF(OR(H2204&lt;&gt;"Realizado",P2204="",P2204=0),"",A2204+P2204)</f>
        <v/>
      </c>
      <c r="R2204" s="26">
        <f>IF(Q2204="","",IF(COUNTIFS($E$5:$E$3004,E2204,$A$5:$A$3004,"&gt;"&amp;A2204,$H$5:$H$3004,"&lt;&gt;Falta",$H$5:$H$3004,"&lt;&gt;Cancelado",$H$5:$H$3004,"&lt;&gt;Remarcado")&gt;0,"Sim","Não"))</f>
        <v/>
      </c>
      <c r="S2204" s="32">
        <f>IF(R2204&lt;&gt;"Não","",IF(Q2204+Config!$B$9&lt;=Config!$B$8,Config!$B$8-Q2204,""))</f>
        <v/>
      </c>
      <c r="T2204" s="26">
        <f>IF(S2204="","","Sim")</f>
        <v/>
      </c>
      <c r="U2204" s="41">
        <f>IF(T2204="Sim",S2204+ROW()/100000,0)</f>
        <v>0</v>
      </c>
      <c r="V2204" s="41">
        <f>IF(AND(H2204="Falta",L2204=Config!$B$7,M2204=Config!$B$5,COUNTIFS($E$5:E2204,E2204,$H$5:H2204,"Falta",$L$5:L2204,Config!$B$7,$M$5:M2204,Config!$B$5)=1),COUNTIFS($E$5:$E$3004,E2204,$H$5:$H$3004,"Falta",$L$5:$L$3004,Config!$B$7,$M$5:$M$3004,Config!$B$5)*1000-ROW()/100000,0)</f>
        <v>0</v>
      </c>
    </row>
    <row r="2205">
      <c r="A2205" s="39" t="n"/>
      <c r="B2205" s="40" t="n"/>
      <c r="C2205" s="35" t="n"/>
      <c r="D2205" s="35" t="n"/>
      <c r="E2205" s="34" t="n"/>
      <c r="F2205" s="35" t="n"/>
      <c r="G2205" s="35" t="n"/>
      <c r="H2205" s="35" t="n"/>
      <c r="I2205" s="35" t="n"/>
      <c r="J2205" s="35" t="n"/>
      <c r="K2205" s="34" t="n"/>
      <c r="L2205" s="26">
        <f>IF(A2205="","",MONTH(A2205))</f>
        <v/>
      </c>
      <c r="M2205" s="26">
        <f>IF(A2205="","",YEAR(A2205))</f>
        <v/>
      </c>
      <c r="N2205" s="26">
        <f>IF(A2205="","",CHOOSE(WEEKDAY(A2205,2),"Segunda","Terça","Quarta","Quinta","Sexta","Sábado","Domingo"))</f>
        <v/>
      </c>
      <c r="O2205" s="26">
        <f>IF(B2205="","",IF(B2205&lt;TIME(12,0,0),"Manhã",IF(B2205&lt;TIME(18,0,0),"Tarde","Noite")))</f>
        <v/>
      </c>
      <c r="P2205" s="32">
        <f>IF(G2205="","",IFERROR(INDEX(Config!$I$5:$I$16,MATCH(G2205,Config!$H$5:$H$16,0)),0))</f>
        <v/>
      </c>
      <c r="Q2205" s="30">
        <f>IF(OR(H2205&lt;&gt;"Realizado",P2205="",P2205=0),"",A2205+P2205)</f>
        <v/>
      </c>
      <c r="R2205" s="26">
        <f>IF(Q2205="","",IF(COUNTIFS($E$5:$E$3004,E2205,$A$5:$A$3004,"&gt;"&amp;A2205,$H$5:$H$3004,"&lt;&gt;Falta",$H$5:$H$3004,"&lt;&gt;Cancelado",$H$5:$H$3004,"&lt;&gt;Remarcado")&gt;0,"Sim","Não"))</f>
        <v/>
      </c>
      <c r="S2205" s="32">
        <f>IF(R2205&lt;&gt;"Não","",IF(Q2205+Config!$B$9&lt;=Config!$B$8,Config!$B$8-Q2205,""))</f>
        <v/>
      </c>
      <c r="T2205" s="26">
        <f>IF(S2205="","","Sim")</f>
        <v/>
      </c>
      <c r="U2205" s="41">
        <f>IF(T2205="Sim",S2205+ROW()/100000,0)</f>
        <v>0</v>
      </c>
      <c r="V2205" s="41">
        <f>IF(AND(H2205="Falta",L2205=Config!$B$7,M2205=Config!$B$5,COUNTIFS($E$5:E2205,E2205,$H$5:H2205,"Falta",$L$5:L2205,Config!$B$7,$M$5:M2205,Config!$B$5)=1),COUNTIFS($E$5:$E$3004,E2205,$H$5:$H$3004,"Falta",$L$5:$L$3004,Config!$B$7,$M$5:$M$3004,Config!$B$5)*1000-ROW()/100000,0)</f>
        <v>0</v>
      </c>
    </row>
    <row r="2206">
      <c r="A2206" s="39" t="n"/>
      <c r="B2206" s="40" t="n"/>
      <c r="C2206" s="35" t="n"/>
      <c r="D2206" s="35" t="n"/>
      <c r="E2206" s="34" t="n"/>
      <c r="F2206" s="35" t="n"/>
      <c r="G2206" s="35" t="n"/>
      <c r="H2206" s="35" t="n"/>
      <c r="I2206" s="35" t="n"/>
      <c r="J2206" s="35" t="n"/>
      <c r="K2206" s="34" t="n"/>
      <c r="L2206" s="26">
        <f>IF(A2206="","",MONTH(A2206))</f>
        <v/>
      </c>
      <c r="M2206" s="26">
        <f>IF(A2206="","",YEAR(A2206))</f>
        <v/>
      </c>
      <c r="N2206" s="26">
        <f>IF(A2206="","",CHOOSE(WEEKDAY(A2206,2),"Segunda","Terça","Quarta","Quinta","Sexta","Sábado","Domingo"))</f>
        <v/>
      </c>
      <c r="O2206" s="26">
        <f>IF(B2206="","",IF(B2206&lt;TIME(12,0,0),"Manhã",IF(B2206&lt;TIME(18,0,0),"Tarde","Noite")))</f>
        <v/>
      </c>
      <c r="P2206" s="32">
        <f>IF(G2206="","",IFERROR(INDEX(Config!$I$5:$I$16,MATCH(G2206,Config!$H$5:$H$16,0)),0))</f>
        <v/>
      </c>
      <c r="Q2206" s="30">
        <f>IF(OR(H2206&lt;&gt;"Realizado",P2206="",P2206=0),"",A2206+P2206)</f>
        <v/>
      </c>
      <c r="R2206" s="26">
        <f>IF(Q2206="","",IF(COUNTIFS($E$5:$E$3004,E2206,$A$5:$A$3004,"&gt;"&amp;A2206,$H$5:$H$3004,"&lt;&gt;Falta",$H$5:$H$3004,"&lt;&gt;Cancelado",$H$5:$H$3004,"&lt;&gt;Remarcado")&gt;0,"Sim","Não"))</f>
        <v/>
      </c>
      <c r="S2206" s="32">
        <f>IF(R2206&lt;&gt;"Não","",IF(Q2206+Config!$B$9&lt;=Config!$B$8,Config!$B$8-Q2206,""))</f>
        <v/>
      </c>
      <c r="T2206" s="26">
        <f>IF(S2206="","","Sim")</f>
        <v/>
      </c>
      <c r="U2206" s="41">
        <f>IF(T2206="Sim",S2206+ROW()/100000,0)</f>
        <v>0</v>
      </c>
      <c r="V2206" s="41">
        <f>IF(AND(H2206="Falta",L2206=Config!$B$7,M2206=Config!$B$5,COUNTIFS($E$5:E2206,E2206,$H$5:H2206,"Falta",$L$5:L2206,Config!$B$7,$M$5:M2206,Config!$B$5)=1),COUNTIFS($E$5:$E$3004,E2206,$H$5:$H$3004,"Falta",$L$5:$L$3004,Config!$B$7,$M$5:$M$3004,Config!$B$5)*1000-ROW()/100000,0)</f>
        <v>0</v>
      </c>
    </row>
    <row r="2207">
      <c r="A2207" s="39" t="n"/>
      <c r="B2207" s="40" t="n"/>
      <c r="C2207" s="35" t="n"/>
      <c r="D2207" s="35" t="n"/>
      <c r="E2207" s="34" t="n"/>
      <c r="F2207" s="35" t="n"/>
      <c r="G2207" s="35" t="n"/>
      <c r="H2207" s="35" t="n"/>
      <c r="I2207" s="35" t="n"/>
      <c r="J2207" s="35" t="n"/>
      <c r="K2207" s="34" t="n"/>
      <c r="L2207" s="26">
        <f>IF(A2207="","",MONTH(A2207))</f>
        <v/>
      </c>
      <c r="M2207" s="26">
        <f>IF(A2207="","",YEAR(A2207))</f>
        <v/>
      </c>
      <c r="N2207" s="26">
        <f>IF(A2207="","",CHOOSE(WEEKDAY(A2207,2),"Segunda","Terça","Quarta","Quinta","Sexta","Sábado","Domingo"))</f>
        <v/>
      </c>
      <c r="O2207" s="26">
        <f>IF(B2207="","",IF(B2207&lt;TIME(12,0,0),"Manhã",IF(B2207&lt;TIME(18,0,0),"Tarde","Noite")))</f>
        <v/>
      </c>
      <c r="P2207" s="32">
        <f>IF(G2207="","",IFERROR(INDEX(Config!$I$5:$I$16,MATCH(G2207,Config!$H$5:$H$16,0)),0))</f>
        <v/>
      </c>
      <c r="Q2207" s="30">
        <f>IF(OR(H2207&lt;&gt;"Realizado",P2207="",P2207=0),"",A2207+P2207)</f>
        <v/>
      </c>
      <c r="R2207" s="26">
        <f>IF(Q2207="","",IF(COUNTIFS($E$5:$E$3004,E2207,$A$5:$A$3004,"&gt;"&amp;A2207,$H$5:$H$3004,"&lt;&gt;Falta",$H$5:$H$3004,"&lt;&gt;Cancelado",$H$5:$H$3004,"&lt;&gt;Remarcado")&gt;0,"Sim","Não"))</f>
        <v/>
      </c>
      <c r="S2207" s="32">
        <f>IF(R2207&lt;&gt;"Não","",IF(Q2207+Config!$B$9&lt;=Config!$B$8,Config!$B$8-Q2207,""))</f>
        <v/>
      </c>
      <c r="T2207" s="26">
        <f>IF(S2207="","","Sim")</f>
        <v/>
      </c>
      <c r="U2207" s="41">
        <f>IF(T2207="Sim",S2207+ROW()/100000,0)</f>
        <v>0</v>
      </c>
      <c r="V2207" s="41">
        <f>IF(AND(H2207="Falta",L2207=Config!$B$7,M2207=Config!$B$5,COUNTIFS($E$5:E2207,E2207,$H$5:H2207,"Falta",$L$5:L2207,Config!$B$7,$M$5:M2207,Config!$B$5)=1),COUNTIFS($E$5:$E$3004,E2207,$H$5:$H$3004,"Falta",$L$5:$L$3004,Config!$B$7,$M$5:$M$3004,Config!$B$5)*1000-ROW()/100000,0)</f>
        <v>0</v>
      </c>
    </row>
    <row r="2208">
      <c r="A2208" s="39" t="n"/>
      <c r="B2208" s="40" t="n"/>
      <c r="C2208" s="35" t="n"/>
      <c r="D2208" s="35" t="n"/>
      <c r="E2208" s="34" t="n"/>
      <c r="F2208" s="35" t="n"/>
      <c r="G2208" s="35" t="n"/>
      <c r="H2208" s="35" t="n"/>
      <c r="I2208" s="35" t="n"/>
      <c r="J2208" s="35" t="n"/>
      <c r="K2208" s="34" t="n"/>
      <c r="L2208" s="26">
        <f>IF(A2208="","",MONTH(A2208))</f>
        <v/>
      </c>
      <c r="M2208" s="26">
        <f>IF(A2208="","",YEAR(A2208))</f>
        <v/>
      </c>
      <c r="N2208" s="26">
        <f>IF(A2208="","",CHOOSE(WEEKDAY(A2208,2),"Segunda","Terça","Quarta","Quinta","Sexta","Sábado","Domingo"))</f>
        <v/>
      </c>
      <c r="O2208" s="26">
        <f>IF(B2208="","",IF(B2208&lt;TIME(12,0,0),"Manhã",IF(B2208&lt;TIME(18,0,0),"Tarde","Noite")))</f>
        <v/>
      </c>
      <c r="P2208" s="32">
        <f>IF(G2208="","",IFERROR(INDEX(Config!$I$5:$I$16,MATCH(G2208,Config!$H$5:$H$16,0)),0))</f>
        <v/>
      </c>
      <c r="Q2208" s="30">
        <f>IF(OR(H2208&lt;&gt;"Realizado",P2208="",P2208=0),"",A2208+P2208)</f>
        <v/>
      </c>
      <c r="R2208" s="26">
        <f>IF(Q2208="","",IF(COUNTIFS($E$5:$E$3004,E2208,$A$5:$A$3004,"&gt;"&amp;A2208,$H$5:$H$3004,"&lt;&gt;Falta",$H$5:$H$3004,"&lt;&gt;Cancelado",$H$5:$H$3004,"&lt;&gt;Remarcado")&gt;0,"Sim","Não"))</f>
        <v/>
      </c>
      <c r="S2208" s="32">
        <f>IF(R2208&lt;&gt;"Não","",IF(Q2208+Config!$B$9&lt;=Config!$B$8,Config!$B$8-Q2208,""))</f>
        <v/>
      </c>
      <c r="T2208" s="26">
        <f>IF(S2208="","","Sim")</f>
        <v/>
      </c>
      <c r="U2208" s="41">
        <f>IF(T2208="Sim",S2208+ROW()/100000,0)</f>
        <v>0</v>
      </c>
      <c r="V2208" s="41">
        <f>IF(AND(H2208="Falta",L2208=Config!$B$7,M2208=Config!$B$5,COUNTIFS($E$5:E2208,E2208,$H$5:H2208,"Falta",$L$5:L2208,Config!$B$7,$M$5:M2208,Config!$B$5)=1),COUNTIFS($E$5:$E$3004,E2208,$H$5:$H$3004,"Falta",$L$5:$L$3004,Config!$B$7,$M$5:$M$3004,Config!$B$5)*1000-ROW()/100000,0)</f>
        <v>0</v>
      </c>
    </row>
    <row r="2209">
      <c r="A2209" s="39" t="n"/>
      <c r="B2209" s="40" t="n"/>
      <c r="C2209" s="35" t="n"/>
      <c r="D2209" s="35" t="n"/>
      <c r="E2209" s="34" t="n"/>
      <c r="F2209" s="35" t="n"/>
      <c r="G2209" s="35" t="n"/>
      <c r="H2209" s="35" t="n"/>
      <c r="I2209" s="35" t="n"/>
      <c r="J2209" s="35" t="n"/>
      <c r="K2209" s="34" t="n"/>
      <c r="L2209" s="26">
        <f>IF(A2209="","",MONTH(A2209))</f>
        <v/>
      </c>
      <c r="M2209" s="26">
        <f>IF(A2209="","",YEAR(A2209))</f>
        <v/>
      </c>
      <c r="N2209" s="26">
        <f>IF(A2209="","",CHOOSE(WEEKDAY(A2209,2),"Segunda","Terça","Quarta","Quinta","Sexta","Sábado","Domingo"))</f>
        <v/>
      </c>
      <c r="O2209" s="26">
        <f>IF(B2209="","",IF(B2209&lt;TIME(12,0,0),"Manhã",IF(B2209&lt;TIME(18,0,0),"Tarde","Noite")))</f>
        <v/>
      </c>
      <c r="P2209" s="32">
        <f>IF(G2209="","",IFERROR(INDEX(Config!$I$5:$I$16,MATCH(G2209,Config!$H$5:$H$16,0)),0))</f>
        <v/>
      </c>
      <c r="Q2209" s="30">
        <f>IF(OR(H2209&lt;&gt;"Realizado",P2209="",P2209=0),"",A2209+P2209)</f>
        <v/>
      </c>
      <c r="R2209" s="26">
        <f>IF(Q2209="","",IF(COUNTIFS($E$5:$E$3004,E2209,$A$5:$A$3004,"&gt;"&amp;A2209,$H$5:$H$3004,"&lt;&gt;Falta",$H$5:$H$3004,"&lt;&gt;Cancelado",$H$5:$H$3004,"&lt;&gt;Remarcado")&gt;0,"Sim","Não"))</f>
        <v/>
      </c>
      <c r="S2209" s="32">
        <f>IF(R2209&lt;&gt;"Não","",IF(Q2209+Config!$B$9&lt;=Config!$B$8,Config!$B$8-Q2209,""))</f>
        <v/>
      </c>
      <c r="T2209" s="26">
        <f>IF(S2209="","","Sim")</f>
        <v/>
      </c>
      <c r="U2209" s="41">
        <f>IF(T2209="Sim",S2209+ROW()/100000,0)</f>
        <v>0</v>
      </c>
      <c r="V2209" s="41">
        <f>IF(AND(H2209="Falta",L2209=Config!$B$7,M2209=Config!$B$5,COUNTIFS($E$5:E2209,E2209,$H$5:H2209,"Falta",$L$5:L2209,Config!$B$7,$M$5:M2209,Config!$B$5)=1),COUNTIFS($E$5:$E$3004,E2209,$H$5:$H$3004,"Falta",$L$5:$L$3004,Config!$B$7,$M$5:$M$3004,Config!$B$5)*1000-ROW()/100000,0)</f>
        <v>0</v>
      </c>
    </row>
    <row r="2210">
      <c r="A2210" s="39" t="n"/>
      <c r="B2210" s="40" t="n"/>
      <c r="C2210" s="35" t="n"/>
      <c r="D2210" s="35" t="n"/>
      <c r="E2210" s="34" t="n"/>
      <c r="F2210" s="35" t="n"/>
      <c r="G2210" s="35" t="n"/>
      <c r="H2210" s="35" t="n"/>
      <c r="I2210" s="35" t="n"/>
      <c r="J2210" s="35" t="n"/>
      <c r="K2210" s="34" t="n"/>
      <c r="L2210" s="26">
        <f>IF(A2210="","",MONTH(A2210))</f>
        <v/>
      </c>
      <c r="M2210" s="26">
        <f>IF(A2210="","",YEAR(A2210))</f>
        <v/>
      </c>
      <c r="N2210" s="26">
        <f>IF(A2210="","",CHOOSE(WEEKDAY(A2210,2),"Segunda","Terça","Quarta","Quinta","Sexta","Sábado","Domingo"))</f>
        <v/>
      </c>
      <c r="O2210" s="26">
        <f>IF(B2210="","",IF(B2210&lt;TIME(12,0,0),"Manhã",IF(B2210&lt;TIME(18,0,0),"Tarde","Noite")))</f>
        <v/>
      </c>
      <c r="P2210" s="32">
        <f>IF(G2210="","",IFERROR(INDEX(Config!$I$5:$I$16,MATCH(G2210,Config!$H$5:$H$16,0)),0))</f>
        <v/>
      </c>
      <c r="Q2210" s="30">
        <f>IF(OR(H2210&lt;&gt;"Realizado",P2210="",P2210=0),"",A2210+P2210)</f>
        <v/>
      </c>
      <c r="R2210" s="26">
        <f>IF(Q2210="","",IF(COUNTIFS($E$5:$E$3004,E2210,$A$5:$A$3004,"&gt;"&amp;A2210,$H$5:$H$3004,"&lt;&gt;Falta",$H$5:$H$3004,"&lt;&gt;Cancelado",$H$5:$H$3004,"&lt;&gt;Remarcado")&gt;0,"Sim","Não"))</f>
        <v/>
      </c>
      <c r="S2210" s="32">
        <f>IF(R2210&lt;&gt;"Não","",IF(Q2210+Config!$B$9&lt;=Config!$B$8,Config!$B$8-Q2210,""))</f>
        <v/>
      </c>
      <c r="T2210" s="26">
        <f>IF(S2210="","","Sim")</f>
        <v/>
      </c>
      <c r="U2210" s="41">
        <f>IF(T2210="Sim",S2210+ROW()/100000,0)</f>
        <v>0</v>
      </c>
      <c r="V2210" s="41">
        <f>IF(AND(H2210="Falta",L2210=Config!$B$7,M2210=Config!$B$5,COUNTIFS($E$5:E2210,E2210,$H$5:H2210,"Falta",$L$5:L2210,Config!$B$7,$M$5:M2210,Config!$B$5)=1),COUNTIFS($E$5:$E$3004,E2210,$H$5:$H$3004,"Falta",$L$5:$L$3004,Config!$B$7,$M$5:$M$3004,Config!$B$5)*1000-ROW()/100000,0)</f>
        <v>0</v>
      </c>
    </row>
    <row r="2211">
      <c r="A2211" s="39" t="n"/>
      <c r="B2211" s="40" t="n"/>
      <c r="C2211" s="35" t="n"/>
      <c r="D2211" s="35" t="n"/>
      <c r="E2211" s="34" t="n"/>
      <c r="F2211" s="35" t="n"/>
      <c r="G2211" s="35" t="n"/>
      <c r="H2211" s="35" t="n"/>
      <c r="I2211" s="35" t="n"/>
      <c r="J2211" s="35" t="n"/>
      <c r="K2211" s="34" t="n"/>
      <c r="L2211" s="26">
        <f>IF(A2211="","",MONTH(A2211))</f>
        <v/>
      </c>
      <c r="M2211" s="26">
        <f>IF(A2211="","",YEAR(A2211))</f>
        <v/>
      </c>
      <c r="N2211" s="26">
        <f>IF(A2211="","",CHOOSE(WEEKDAY(A2211,2),"Segunda","Terça","Quarta","Quinta","Sexta","Sábado","Domingo"))</f>
        <v/>
      </c>
      <c r="O2211" s="26">
        <f>IF(B2211="","",IF(B2211&lt;TIME(12,0,0),"Manhã",IF(B2211&lt;TIME(18,0,0),"Tarde","Noite")))</f>
        <v/>
      </c>
      <c r="P2211" s="32">
        <f>IF(G2211="","",IFERROR(INDEX(Config!$I$5:$I$16,MATCH(G2211,Config!$H$5:$H$16,0)),0))</f>
        <v/>
      </c>
      <c r="Q2211" s="30">
        <f>IF(OR(H2211&lt;&gt;"Realizado",P2211="",P2211=0),"",A2211+P2211)</f>
        <v/>
      </c>
      <c r="R2211" s="26">
        <f>IF(Q2211="","",IF(COUNTIFS($E$5:$E$3004,E2211,$A$5:$A$3004,"&gt;"&amp;A2211,$H$5:$H$3004,"&lt;&gt;Falta",$H$5:$H$3004,"&lt;&gt;Cancelado",$H$5:$H$3004,"&lt;&gt;Remarcado")&gt;0,"Sim","Não"))</f>
        <v/>
      </c>
      <c r="S2211" s="32">
        <f>IF(R2211&lt;&gt;"Não","",IF(Q2211+Config!$B$9&lt;=Config!$B$8,Config!$B$8-Q2211,""))</f>
        <v/>
      </c>
      <c r="T2211" s="26">
        <f>IF(S2211="","","Sim")</f>
        <v/>
      </c>
      <c r="U2211" s="41">
        <f>IF(T2211="Sim",S2211+ROW()/100000,0)</f>
        <v>0</v>
      </c>
      <c r="V2211" s="41">
        <f>IF(AND(H2211="Falta",L2211=Config!$B$7,M2211=Config!$B$5,COUNTIFS($E$5:E2211,E2211,$H$5:H2211,"Falta",$L$5:L2211,Config!$B$7,$M$5:M2211,Config!$B$5)=1),COUNTIFS($E$5:$E$3004,E2211,$H$5:$H$3004,"Falta",$L$5:$L$3004,Config!$B$7,$M$5:$M$3004,Config!$B$5)*1000-ROW()/100000,0)</f>
        <v>0</v>
      </c>
    </row>
    <row r="2212">
      <c r="A2212" s="39" t="n"/>
      <c r="B2212" s="40" t="n"/>
      <c r="C2212" s="35" t="n"/>
      <c r="D2212" s="35" t="n"/>
      <c r="E2212" s="34" t="n"/>
      <c r="F2212" s="35" t="n"/>
      <c r="G2212" s="35" t="n"/>
      <c r="H2212" s="35" t="n"/>
      <c r="I2212" s="35" t="n"/>
      <c r="J2212" s="35" t="n"/>
      <c r="K2212" s="34" t="n"/>
      <c r="L2212" s="26">
        <f>IF(A2212="","",MONTH(A2212))</f>
        <v/>
      </c>
      <c r="M2212" s="26">
        <f>IF(A2212="","",YEAR(A2212))</f>
        <v/>
      </c>
      <c r="N2212" s="26">
        <f>IF(A2212="","",CHOOSE(WEEKDAY(A2212,2),"Segunda","Terça","Quarta","Quinta","Sexta","Sábado","Domingo"))</f>
        <v/>
      </c>
      <c r="O2212" s="26">
        <f>IF(B2212="","",IF(B2212&lt;TIME(12,0,0),"Manhã",IF(B2212&lt;TIME(18,0,0),"Tarde","Noite")))</f>
        <v/>
      </c>
      <c r="P2212" s="32">
        <f>IF(G2212="","",IFERROR(INDEX(Config!$I$5:$I$16,MATCH(G2212,Config!$H$5:$H$16,0)),0))</f>
        <v/>
      </c>
      <c r="Q2212" s="30">
        <f>IF(OR(H2212&lt;&gt;"Realizado",P2212="",P2212=0),"",A2212+P2212)</f>
        <v/>
      </c>
      <c r="R2212" s="26">
        <f>IF(Q2212="","",IF(COUNTIFS($E$5:$E$3004,E2212,$A$5:$A$3004,"&gt;"&amp;A2212,$H$5:$H$3004,"&lt;&gt;Falta",$H$5:$H$3004,"&lt;&gt;Cancelado",$H$5:$H$3004,"&lt;&gt;Remarcado")&gt;0,"Sim","Não"))</f>
        <v/>
      </c>
      <c r="S2212" s="32">
        <f>IF(R2212&lt;&gt;"Não","",IF(Q2212+Config!$B$9&lt;=Config!$B$8,Config!$B$8-Q2212,""))</f>
        <v/>
      </c>
      <c r="T2212" s="26">
        <f>IF(S2212="","","Sim")</f>
        <v/>
      </c>
      <c r="U2212" s="41">
        <f>IF(T2212="Sim",S2212+ROW()/100000,0)</f>
        <v>0</v>
      </c>
      <c r="V2212" s="41">
        <f>IF(AND(H2212="Falta",L2212=Config!$B$7,M2212=Config!$B$5,COUNTIFS($E$5:E2212,E2212,$H$5:H2212,"Falta",$L$5:L2212,Config!$B$7,$M$5:M2212,Config!$B$5)=1),COUNTIFS($E$5:$E$3004,E2212,$H$5:$H$3004,"Falta",$L$5:$L$3004,Config!$B$7,$M$5:$M$3004,Config!$B$5)*1000-ROW()/100000,0)</f>
        <v>0</v>
      </c>
    </row>
    <row r="2213">
      <c r="A2213" s="39" t="n"/>
      <c r="B2213" s="40" t="n"/>
      <c r="C2213" s="35" t="n"/>
      <c r="D2213" s="35" t="n"/>
      <c r="E2213" s="34" t="n"/>
      <c r="F2213" s="35" t="n"/>
      <c r="G2213" s="35" t="n"/>
      <c r="H2213" s="35" t="n"/>
      <c r="I2213" s="35" t="n"/>
      <c r="J2213" s="35" t="n"/>
      <c r="K2213" s="34" t="n"/>
      <c r="L2213" s="26">
        <f>IF(A2213="","",MONTH(A2213))</f>
        <v/>
      </c>
      <c r="M2213" s="26">
        <f>IF(A2213="","",YEAR(A2213))</f>
        <v/>
      </c>
      <c r="N2213" s="26">
        <f>IF(A2213="","",CHOOSE(WEEKDAY(A2213,2),"Segunda","Terça","Quarta","Quinta","Sexta","Sábado","Domingo"))</f>
        <v/>
      </c>
      <c r="O2213" s="26">
        <f>IF(B2213="","",IF(B2213&lt;TIME(12,0,0),"Manhã",IF(B2213&lt;TIME(18,0,0),"Tarde","Noite")))</f>
        <v/>
      </c>
      <c r="P2213" s="32">
        <f>IF(G2213="","",IFERROR(INDEX(Config!$I$5:$I$16,MATCH(G2213,Config!$H$5:$H$16,0)),0))</f>
        <v/>
      </c>
      <c r="Q2213" s="30">
        <f>IF(OR(H2213&lt;&gt;"Realizado",P2213="",P2213=0),"",A2213+P2213)</f>
        <v/>
      </c>
      <c r="R2213" s="26">
        <f>IF(Q2213="","",IF(COUNTIFS($E$5:$E$3004,E2213,$A$5:$A$3004,"&gt;"&amp;A2213,$H$5:$H$3004,"&lt;&gt;Falta",$H$5:$H$3004,"&lt;&gt;Cancelado",$H$5:$H$3004,"&lt;&gt;Remarcado")&gt;0,"Sim","Não"))</f>
        <v/>
      </c>
      <c r="S2213" s="32">
        <f>IF(R2213&lt;&gt;"Não","",IF(Q2213+Config!$B$9&lt;=Config!$B$8,Config!$B$8-Q2213,""))</f>
        <v/>
      </c>
      <c r="T2213" s="26">
        <f>IF(S2213="","","Sim")</f>
        <v/>
      </c>
      <c r="U2213" s="41">
        <f>IF(T2213="Sim",S2213+ROW()/100000,0)</f>
        <v>0</v>
      </c>
      <c r="V2213" s="41">
        <f>IF(AND(H2213="Falta",L2213=Config!$B$7,M2213=Config!$B$5,COUNTIFS($E$5:E2213,E2213,$H$5:H2213,"Falta",$L$5:L2213,Config!$B$7,$M$5:M2213,Config!$B$5)=1),COUNTIFS($E$5:$E$3004,E2213,$H$5:$H$3004,"Falta",$L$5:$L$3004,Config!$B$7,$M$5:$M$3004,Config!$B$5)*1000-ROW()/100000,0)</f>
        <v>0</v>
      </c>
    </row>
    <row r="2214">
      <c r="A2214" s="39" t="n"/>
      <c r="B2214" s="40" t="n"/>
      <c r="C2214" s="35" t="n"/>
      <c r="D2214" s="35" t="n"/>
      <c r="E2214" s="34" t="n"/>
      <c r="F2214" s="35" t="n"/>
      <c r="G2214" s="35" t="n"/>
      <c r="H2214" s="35" t="n"/>
      <c r="I2214" s="35" t="n"/>
      <c r="J2214" s="35" t="n"/>
      <c r="K2214" s="34" t="n"/>
      <c r="L2214" s="26">
        <f>IF(A2214="","",MONTH(A2214))</f>
        <v/>
      </c>
      <c r="M2214" s="26">
        <f>IF(A2214="","",YEAR(A2214))</f>
        <v/>
      </c>
      <c r="N2214" s="26">
        <f>IF(A2214="","",CHOOSE(WEEKDAY(A2214,2),"Segunda","Terça","Quarta","Quinta","Sexta","Sábado","Domingo"))</f>
        <v/>
      </c>
      <c r="O2214" s="26">
        <f>IF(B2214="","",IF(B2214&lt;TIME(12,0,0),"Manhã",IF(B2214&lt;TIME(18,0,0),"Tarde","Noite")))</f>
        <v/>
      </c>
      <c r="P2214" s="32">
        <f>IF(G2214="","",IFERROR(INDEX(Config!$I$5:$I$16,MATCH(G2214,Config!$H$5:$H$16,0)),0))</f>
        <v/>
      </c>
      <c r="Q2214" s="30">
        <f>IF(OR(H2214&lt;&gt;"Realizado",P2214="",P2214=0),"",A2214+P2214)</f>
        <v/>
      </c>
      <c r="R2214" s="26">
        <f>IF(Q2214="","",IF(COUNTIFS($E$5:$E$3004,E2214,$A$5:$A$3004,"&gt;"&amp;A2214,$H$5:$H$3004,"&lt;&gt;Falta",$H$5:$H$3004,"&lt;&gt;Cancelado",$H$5:$H$3004,"&lt;&gt;Remarcado")&gt;0,"Sim","Não"))</f>
        <v/>
      </c>
      <c r="S2214" s="32">
        <f>IF(R2214&lt;&gt;"Não","",IF(Q2214+Config!$B$9&lt;=Config!$B$8,Config!$B$8-Q2214,""))</f>
        <v/>
      </c>
      <c r="T2214" s="26">
        <f>IF(S2214="","","Sim")</f>
        <v/>
      </c>
      <c r="U2214" s="41">
        <f>IF(T2214="Sim",S2214+ROW()/100000,0)</f>
        <v>0</v>
      </c>
      <c r="V2214" s="41">
        <f>IF(AND(H2214="Falta",L2214=Config!$B$7,M2214=Config!$B$5,COUNTIFS($E$5:E2214,E2214,$H$5:H2214,"Falta",$L$5:L2214,Config!$B$7,$M$5:M2214,Config!$B$5)=1),COUNTIFS($E$5:$E$3004,E2214,$H$5:$H$3004,"Falta",$L$5:$L$3004,Config!$B$7,$M$5:$M$3004,Config!$B$5)*1000-ROW()/100000,0)</f>
        <v>0</v>
      </c>
    </row>
    <row r="2215">
      <c r="A2215" s="39" t="n"/>
      <c r="B2215" s="40" t="n"/>
      <c r="C2215" s="35" t="n"/>
      <c r="D2215" s="35" t="n"/>
      <c r="E2215" s="34" t="n"/>
      <c r="F2215" s="35" t="n"/>
      <c r="G2215" s="35" t="n"/>
      <c r="H2215" s="35" t="n"/>
      <c r="I2215" s="35" t="n"/>
      <c r="J2215" s="35" t="n"/>
      <c r="K2215" s="34" t="n"/>
      <c r="L2215" s="26">
        <f>IF(A2215="","",MONTH(A2215))</f>
        <v/>
      </c>
      <c r="M2215" s="26">
        <f>IF(A2215="","",YEAR(A2215))</f>
        <v/>
      </c>
      <c r="N2215" s="26">
        <f>IF(A2215="","",CHOOSE(WEEKDAY(A2215,2),"Segunda","Terça","Quarta","Quinta","Sexta","Sábado","Domingo"))</f>
        <v/>
      </c>
      <c r="O2215" s="26">
        <f>IF(B2215="","",IF(B2215&lt;TIME(12,0,0),"Manhã",IF(B2215&lt;TIME(18,0,0),"Tarde","Noite")))</f>
        <v/>
      </c>
      <c r="P2215" s="32">
        <f>IF(G2215="","",IFERROR(INDEX(Config!$I$5:$I$16,MATCH(G2215,Config!$H$5:$H$16,0)),0))</f>
        <v/>
      </c>
      <c r="Q2215" s="30">
        <f>IF(OR(H2215&lt;&gt;"Realizado",P2215="",P2215=0),"",A2215+P2215)</f>
        <v/>
      </c>
      <c r="R2215" s="26">
        <f>IF(Q2215="","",IF(COUNTIFS($E$5:$E$3004,E2215,$A$5:$A$3004,"&gt;"&amp;A2215,$H$5:$H$3004,"&lt;&gt;Falta",$H$5:$H$3004,"&lt;&gt;Cancelado",$H$5:$H$3004,"&lt;&gt;Remarcado")&gt;0,"Sim","Não"))</f>
        <v/>
      </c>
      <c r="S2215" s="32">
        <f>IF(R2215&lt;&gt;"Não","",IF(Q2215+Config!$B$9&lt;=Config!$B$8,Config!$B$8-Q2215,""))</f>
        <v/>
      </c>
      <c r="T2215" s="26">
        <f>IF(S2215="","","Sim")</f>
        <v/>
      </c>
      <c r="U2215" s="41">
        <f>IF(T2215="Sim",S2215+ROW()/100000,0)</f>
        <v>0</v>
      </c>
      <c r="V2215" s="41">
        <f>IF(AND(H2215="Falta",L2215=Config!$B$7,M2215=Config!$B$5,COUNTIFS($E$5:E2215,E2215,$H$5:H2215,"Falta",$L$5:L2215,Config!$B$7,$M$5:M2215,Config!$B$5)=1),COUNTIFS($E$5:$E$3004,E2215,$H$5:$H$3004,"Falta",$L$5:$L$3004,Config!$B$7,$M$5:$M$3004,Config!$B$5)*1000-ROW()/100000,0)</f>
        <v>0</v>
      </c>
    </row>
    <row r="2216">
      <c r="A2216" s="39" t="n"/>
      <c r="B2216" s="40" t="n"/>
      <c r="C2216" s="35" t="n"/>
      <c r="D2216" s="35" t="n"/>
      <c r="E2216" s="34" t="n"/>
      <c r="F2216" s="35" t="n"/>
      <c r="G2216" s="35" t="n"/>
      <c r="H2216" s="35" t="n"/>
      <c r="I2216" s="35" t="n"/>
      <c r="J2216" s="35" t="n"/>
      <c r="K2216" s="34" t="n"/>
      <c r="L2216" s="26">
        <f>IF(A2216="","",MONTH(A2216))</f>
        <v/>
      </c>
      <c r="M2216" s="26">
        <f>IF(A2216="","",YEAR(A2216))</f>
        <v/>
      </c>
      <c r="N2216" s="26">
        <f>IF(A2216="","",CHOOSE(WEEKDAY(A2216,2),"Segunda","Terça","Quarta","Quinta","Sexta","Sábado","Domingo"))</f>
        <v/>
      </c>
      <c r="O2216" s="26">
        <f>IF(B2216="","",IF(B2216&lt;TIME(12,0,0),"Manhã",IF(B2216&lt;TIME(18,0,0),"Tarde","Noite")))</f>
        <v/>
      </c>
      <c r="P2216" s="32">
        <f>IF(G2216="","",IFERROR(INDEX(Config!$I$5:$I$16,MATCH(G2216,Config!$H$5:$H$16,0)),0))</f>
        <v/>
      </c>
      <c r="Q2216" s="30">
        <f>IF(OR(H2216&lt;&gt;"Realizado",P2216="",P2216=0),"",A2216+P2216)</f>
        <v/>
      </c>
      <c r="R2216" s="26">
        <f>IF(Q2216="","",IF(COUNTIFS($E$5:$E$3004,E2216,$A$5:$A$3004,"&gt;"&amp;A2216,$H$5:$H$3004,"&lt;&gt;Falta",$H$5:$H$3004,"&lt;&gt;Cancelado",$H$5:$H$3004,"&lt;&gt;Remarcado")&gt;0,"Sim","Não"))</f>
        <v/>
      </c>
      <c r="S2216" s="32">
        <f>IF(R2216&lt;&gt;"Não","",IF(Q2216+Config!$B$9&lt;=Config!$B$8,Config!$B$8-Q2216,""))</f>
        <v/>
      </c>
      <c r="T2216" s="26">
        <f>IF(S2216="","","Sim")</f>
        <v/>
      </c>
      <c r="U2216" s="41">
        <f>IF(T2216="Sim",S2216+ROW()/100000,0)</f>
        <v>0</v>
      </c>
      <c r="V2216" s="41">
        <f>IF(AND(H2216="Falta",L2216=Config!$B$7,M2216=Config!$B$5,COUNTIFS($E$5:E2216,E2216,$H$5:H2216,"Falta",$L$5:L2216,Config!$B$7,$M$5:M2216,Config!$B$5)=1),COUNTIFS($E$5:$E$3004,E2216,$H$5:$H$3004,"Falta",$L$5:$L$3004,Config!$B$7,$M$5:$M$3004,Config!$B$5)*1000-ROW()/100000,0)</f>
        <v>0</v>
      </c>
    </row>
    <row r="2217">
      <c r="A2217" s="39" t="n"/>
      <c r="B2217" s="40" t="n"/>
      <c r="C2217" s="35" t="n"/>
      <c r="D2217" s="35" t="n"/>
      <c r="E2217" s="34" t="n"/>
      <c r="F2217" s="35" t="n"/>
      <c r="G2217" s="35" t="n"/>
      <c r="H2217" s="35" t="n"/>
      <c r="I2217" s="35" t="n"/>
      <c r="J2217" s="35" t="n"/>
      <c r="K2217" s="34" t="n"/>
      <c r="L2217" s="26">
        <f>IF(A2217="","",MONTH(A2217))</f>
        <v/>
      </c>
      <c r="M2217" s="26">
        <f>IF(A2217="","",YEAR(A2217))</f>
        <v/>
      </c>
      <c r="N2217" s="26">
        <f>IF(A2217="","",CHOOSE(WEEKDAY(A2217,2),"Segunda","Terça","Quarta","Quinta","Sexta","Sábado","Domingo"))</f>
        <v/>
      </c>
      <c r="O2217" s="26">
        <f>IF(B2217="","",IF(B2217&lt;TIME(12,0,0),"Manhã",IF(B2217&lt;TIME(18,0,0),"Tarde","Noite")))</f>
        <v/>
      </c>
      <c r="P2217" s="32">
        <f>IF(G2217="","",IFERROR(INDEX(Config!$I$5:$I$16,MATCH(G2217,Config!$H$5:$H$16,0)),0))</f>
        <v/>
      </c>
      <c r="Q2217" s="30">
        <f>IF(OR(H2217&lt;&gt;"Realizado",P2217="",P2217=0),"",A2217+P2217)</f>
        <v/>
      </c>
      <c r="R2217" s="26">
        <f>IF(Q2217="","",IF(COUNTIFS($E$5:$E$3004,E2217,$A$5:$A$3004,"&gt;"&amp;A2217,$H$5:$H$3004,"&lt;&gt;Falta",$H$5:$H$3004,"&lt;&gt;Cancelado",$H$5:$H$3004,"&lt;&gt;Remarcado")&gt;0,"Sim","Não"))</f>
        <v/>
      </c>
      <c r="S2217" s="32">
        <f>IF(R2217&lt;&gt;"Não","",IF(Q2217+Config!$B$9&lt;=Config!$B$8,Config!$B$8-Q2217,""))</f>
        <v/>
      </c>
      <c r="T2217" s="26">
        <f>IF(S2217="","","Sim")</f>
        <v/>
      </c>
      <c r="U2217" s="41">
        <f>IF(T2217="Sim",S2217+ROW()/100000,0)</f>
        <v>0</v>
      </c>
      <c r="V2217" s="41">
        <f>IF(AND(H2217="Falta",L2217=Config!$B$7,M2217=Config!$B$5,COUNTIFS($E$5:E2217,E2217,$H$5:H2217,"Falta",$L$5:L2217,Config!$B$7,$M$5:M2217,Config!$B$5)=1),COUNTIFS($E$5:$E$3004,E2217,$H$5:$H$3004,"Falta",$L$5:$L$3004,Config!$B$7,$M$5:$M$3004,Config!$B$5)*1000-ROW()/100000,0)</f>
        <v>0</v>
      </c>
    </row>
    <row r="2218">
      <c r="A2218" s="39" t="n"/>
      <c r="B2218" s="40" t="n"/>
      <c r="C2218" s="35" t="n"/>
      <c r="D2218" s="35" t="n"/>
      <c r="E2218" s="34" t="n"/>
      <c r="F2218" s="35" t="n"/>
      <c r="G2218" s="35" t="n"/>
      <c r="H2218" s="35" t="n"/>
      <c r="I2218" s="35" t="n"/>
      <c r="J2218" s="35" t="n"/>
      <c r="K2218" s="34" t="n"/>
      <c r="L2218" s="26">
        <f>IF(A2218="","",MONTH(A2218))</f>
        <v/>
      </c>
      <c r="M2218" s="26">
        <f>IF(A2218="","",YEAR(A2218))</f>
        <v/>
      </c>
      <c r="N2218" s="26">
        <f>IF(A2218="","",CHOOSE(WEEKDAY(A2218,2),"Segunda","Terça","Quarta","Quinta","Sexta","Sábado","Domingo"))</f>
        <v/>
      </c>
      <c r="O2218" s="26">
        <f>IF(B2218="","",IF(B2218&lt;TIME(12,0,0),"Manhã",IF(B2218&lt;TIME(18,0,0),"Tarde","Noite")))</f>
        <v/>
      </c>
      <c r="P2218" s="32">
        <f>IF(G2218="","",IFERROR(INDEX(Config!$I$5:$I$16,MATCH(G2218,Config!$H$5:$H$16,0)),0))</f>
        <v/>
      </c>
      <c r="Q2218" s="30">
        <f>IF(OR(H2218&lt;&gt;"Realizado",P2218="",P2218=0),"",A2218+P2218)</f>
        <v/>
      </c>
      <c r="R2218" s="26">
        <f>IF(Q2218="","",IF(COUNTIFS($E$5:$E$3004,E2218,$A$5:$A$3004,"&gt;"&amp;A2218,$H$5:$H$3004,"&lt;&gt;Falta",$H$5:$H$3004,"&lt;&gt;Cancelado",$H$5:$H$3004,"&lt;&gt;Remarcado")&gt;0,"Sim","Não"))</f>
        <v/>
      </c>
      <c r="S2218" s="32">
        <f>IF(R2218&lt;&gt;"Não","",IF(Q2218+Config!$B$9&lt;=Config!$B$8,Config!$B$8-Q2218,""))</f>
        <v/>
      </c>
      <c r="T2218" s="26">
        <f>IF(S2218="","","Sim")</f>
        <v/>
      </c>
      <c r="U2218" s="41">
        <f>IF(T2218="Sim",S2218+ROW()/100000,0)</f>
        <v>0</v>
      </c>
      <c r="V2218" s="41">
        <f>IF(AND(H2218="Falta",L2218=Config!$B$7,M2218=Config!$B$5,COUNTIFS($E$5:E2218,E2218,$H$5:H2218,"Falta",$L$5:L2218,Config!$B$7,$M$5:M2218,Config!$B$5)=1),COUNTIFS($E$5:$E$3004,E2218,$H$5:$H$3004,"Falta",$L$5:$L$3004,Config!$B$7,$M$5:$M$3004,Config!$B$5)*1000-ROW()/100000,0)</f>
        <v>0</v>
      </c>
    </row>
    <row r="2219">
      <c r="A2219" s="39" t="n"/>
      <c r="B2219" s="40" t="n"/>
      <c r="C2219" s="35" t="n"/>
      <c r="D2219" s="35" t="n"/>
      <c r="E2219" s="34" t="n"/>
      <c r="F2219" s="35" t="n"/>
      <c r="G2219" s="35" t="n"/>
      <c r="H2219" s="35" t="n"/>
      <c r="I2219" s="35" t="n"/>
      <c r="J2219" s="35" t="n"/>
      <c r="K2219" s="34" t="n"/>
      <c r="L2219" s="26">
        <f>IF(A2219="","",MONTH(A2219))</f>
        <v/>
      </c>
      <c r="M2219" s="26">
        <f>IF(A2219="","",YEAR(A2219))</f>
        <v/>
      </c>
      <c r="N2219" s="26">
        <f>IF(A2219="","",CHOOSE(WEEKDAY(A2219,2),"Segunda","Terça","Quarta","Quinta","Sexta","Sábado","Domingo"))</f>
        <v/>
      </c>
      <c r="O2219" s="26">
        <f>IF(B2219="","",IF(B2219&lt;TIME(12,0,0),"Manhã",IF(B2219&lt;TIME(18,0,0),"Tarde","Noite")))</f>
        <v/>
      </c>
      <c r="P2219" s="32">
        <f>IF(G2219="","",IFERROR(INDEX(Config!$I$5:$I$16,MATCH(G2219,Config!$H$5:$H$16,0)),0))</f>
        <v/>
      </c>
      <c r="Q2219" s="30">
        <f>IF(OR(H2219&lt;&gt;"Realizado",P2219="",P2219=0),"",A2219+P2219)</f>
        <v/>
      </c>
      <c r="R2219" s="26">
        <f>IF(Q2219="","",IF(COUNTIFS($E$5:$E$3004,E2219,$A$5:$A$3004,"&gt;"&amp;A2219,$H$5:$H$3004,"&lt;&gt;Falta",$H$5:$H$3004,"&lt;&gt;Cancelado",$H$5:$H$3004,"&lt;&gt;Remarcado")&gt;0,"Sim","Não"))</f>
        <v/>
      </c>
      <c r="S2219" s="32">
        <f>IF(R2219&lt;&gt;"Não","",IF(Q2219+Config!$B$9&lt;=Config!$B$8,Config!$B$8-Q2219,""))</f>
        <v/>
      </c>
      <c r="T2219" s="26">
        <f>IF(S2219="","","Sim")</f>
        <v/>
      </c>
      <c r="U2219" s="41">
        <f>IF(T2219="Sim",S2219+ROW()/100000,0)</f>
        <v>0</v>
      </c>
      <c r="V2219" s="41">
        <f>IF(AND(H2219="Falta",L2219=Config!$B$7,M2219=Config!$B$5,COUNTIFS($E$5:E2219,E2219,$H$5:H2219,"Falta",$L$5:L2219,Config!$B$7,$M$5:M2219,Config!$B$5)=1),COUNTIFS($E$5:$E$3004,E2219,$H$5:$H$3004,"Falta",$L$5:$L$3004,Config!$B$7,$M$5:$M$3004,Config!$B$5)*1000-ROW()/100000,0)</f>
        <v>0</v>
      </c>
    </row>
    <row r="2220">
      <c r="A2220" s="39" t="n"/>
      <c r="B2220" s="40" t="n"/>
      <c r="C2220" s="35" t="n"/>
      <c r="D2220" s="35" t="n"/>
      <c r="E2220" s="34" t="n"/>
      <c r="F2220" s="35" t="n"/>
      <c r="G2220" s="35" t="n"/>
      <c r="H2220" s="35" t="n"/>
      <c r="I2220" s="35" t="n"/>
      <c r="J2220" s="35" t="n"/>
      <c r="K2220" s="34" t="n"/>
      <c r="L2220" s="26">
        <f>IF(A2220="","",MONTH(A2220))</f>
        <v/>
      </c>
      <c r="M2220" s="26">
        <f>IF(A2220="","",YEAR(A2220))</f>
        <v/>
      </c>
      <c r="N2220" s="26">
        <f>IF(A2220="","",CHOOSE(WEEKDAY(A2220,2),"Segunda","Terça","Quarta","Quinta","Sexta","Sábado","Domingo"))</f>
        <v/>
      </c>
      <c r="O2220" s="26">
        <f>IF(B2220="","",IF(B2220&lt;TIME(12,0,0),"Manhã",IF(B2220&lt;TIME(18,0,0),"Tarde","Noite")))</f>
        <v/>
      </c>
      <c r="P2220" s="32">
        <f>IF(G2220="","",IFERROR(INDEX(Config!$I$5:$I$16,MATCH(G2220,Config!$H$5:$H$16,0)),0))</f>
        <v/>
      </c>
      <c r="Q2220" s="30">
        <f>IF(OR(H2220&lt;&gt;"Realizado",P2220="",P2220=0),"",A2220+P2220)</f>
        <v/>
      </c>
      <c r="R2220" s="26">
        <f>IF(Q2220="","",IF(COUNTIFS($E$5:$E$3004,E2220,$A$5:$A$3004,"&gt;"&amp;A2220,$H$5:$H$3004,"&lt;&gt;Falta",$H$5:$H$3004,"&lt;&gt;Cancelado",$H$5:$H$3004,"&lt;&gt;Remarcado")&gt;0,"Sim","Não"))</f>
        <v/>
      </c>
      <c r="S2220" s="32">
        <f>IF(R2220&lt;&gt;"Não","",IF(Q2220+Config!$B$9&lt;=Config!$B$8,Config!$B$8-Q2220,""))</f>
        <v/>
      </c>
      <c r="T2220" s="26">
        <f>IF(S2220="","","Sim")</f>
        <v/>
      </c>
      <c r="U2220" s="41">
        <f>IF(T2220="Sim",S2220+ROW()/100000,0)</f>
        <v>0</v>
      </c>
      <c r="V2220" s="41">
        <f>IF(AND(H2220="Falta",L2220=Config!$B$7,M2220=Config!$B$5,COUNTIFS($E$5:E2220,E2220,$H$5:H2220,"Falta",$L$5:L2220,Config!$B$7,$M$5:M2220,Config!$B$5)=1),COUNTIFS($E$5:$E$3004,E2220,$H$5:$H$3004,"Falta",$L$5:$L$3004,Config!$B$7,$M$5:$M$3004,Config!$B$5)*1000-ROW()/100000,0)</f>
        <v>0</v>
      </c>
    </row>
    <row r="2221">
      <c r="A2221" s="39" t="n"/>
      <c r="B2221" s="40" t="n"/>
      <c r="C2221" s="35" t="n"/>
      <c r="D2221" s="35" t="n"/>
      <c r="E2221" s="34" t="n"/>
      <c r="F2221" s="35" t="n"/>
      <c r="G2221" s="35" t="n"/>
      <c r="H2221" s="35" t="n"/>
      <c r="I2221" s="35" t="n"/>
      <c r="J2221" s="35" t="n"/>
      <c r="K2221" s="34" t="n"/>
      <c r="L2221" s="26">
        <f>IF(A2221="","",MONTH(A2221))</f>
        <v/>
      </c>
      <c r="M2221" s="26">
        <f>IF(A2221="","",YEAR(A2221))</f>
        <v/>
      </c>
      <c r="N2221" s="26">
        <f>IF(A2221="","",CHOOSE(WEEKDAY(A2221,2),"Segunda","Terça","Quarta","Quinta","Sexta","Sábado","Domingo"))</f>
        <v/>
      </c>
      <c r="O2221" s="26">
        <f>IF(B2221="","",IF(B2221&lt;TIME(12,0,0),"Manhã",IF(B2221&lt;TIME(18,0,0),"Tarde","Noite")))</f>
        <v/>
      </c>
      <c r="P2221" s="32">
        <f>IF(G2221="","",IFERROR(INDEX(Config!$I$5:$I$16,MATCH(G2221,Config!$H$5:$H$16,0)),0))</f>
        <v/>
      </c>
      <c r="Q2221" s="30">
        <f>IF(OR(H2221&lt;&gt;"Realizado",P2221="",P2221=0),"",A2221+P2221)</f>
        <v/>
      </c>
      <c r="R2221" s="26">
        <f>IF(Q2221="","",IF(COUNTIFS($E$5:$E$3004,E2221,$A$5:$A$3004,"&gt;"&amp;A2221,$H$5:$H$3004,"&lt;&gt;Falta",$H$5:$H$3004,"&lt;&gt;Cancelado",$H$5:$H$3004,"&lt;&gt;Remarcado")&gt;0,"Sim","Não"))</f>
        <v/>
      </c>
      <c r="S2221" s="32">
        <f>IF(R2221&lt;&gt;"Não","",IF(Q2221+Config!$B$9&lt;=Config!$B$8,Config!$B$8-Q2221,""))</f>
        <v/>
      </c>
      <c r="T2221" s="26">
        <f>IF(S2221="","","Sim")</f>
        <v/>
      </c>
      <c r="U2221" s="41">
        <f>IF(T2221="Sim",S2221+ROW()/100000,0)</f>
        <v>0</v>
      </c>
      <c r="V2221" s="41">
        <f>IF(AND(H2221="Falta",L2221=Config!$B$7,M2221=Config!$B$5,COUNTIFS($E$5:E2221,E2221,$H$5:H2221,"Falta",$L$5:L2221,Config!$B$7,$M$5:M2221,Config!$B$5)=1),COUNTIFS($E$5:$E$3004,E2221,$H$5:$H$3004,"Falta",$L$5:$L$3004,Config!$B$7,$M$5:$M$3004,Config!$B$5)*1000-ROW()/100000,0)</f>
        <v>0</v>
      </c>
    </row>
    <row r="2222">
      <c r="A2222" s="39" t="n"/>
      <c r="B2222" s="40" t="n"/>
      <c r="C2222" s="35" t="n"/>
      <c r="D2222" s="35" t="n"/>
      <c r="E2222" s="34" t="n"/>
      <c r="F2222" s="35" t="n"/>
      <c r="G2222" s="35" t="n"/>
      <c r="H2222" s="35" t="n"/>
      <c r="I2222" s="35" t="n"/>
      <c r="J2222" s="35" t="n"/>
      <c r="K2222" s="34" t="n"/>
      <c r="L2222" s="26">
        <f>IF(A2222="","",MONTH(A2222))</f>
        <v/>
      </c>
      <c r="M2222" s="26">
        <f>IF(A2222="","",YEAR(A2222))</f>
        <v/>
      </c>
      <c r="N2222" s="26">
        <f>IF(A2222="","",CHOOSE(WEEKDAY(A2222,2),"Segunda","Terça","Quarta","Quinta","Sexta","Sábado","Domingo"))</f>
        <v/>
      </c>
      <c r="O2222" s="26">
        <f>IF(B2222="","",IF(B2222&lt;TIME(12,0,0),"Manhã",IF(B2222&lt;TIME(18,0,0),"Tarde","Noite")))</f>
        <v/>
      </c>
      <c r="P2222" s="32">
        <f>IF(G2222="","",IFERROR(INDEX(Config!$I$5:$I$16,MATCH(G2222,Config!$H$5:$H$16,0)),0))</f>
        <v/>
      </c>
      <c r="Q2222" s="30">
        <f>IF(OR(H2222&lt;&gt;"Realizado",P2222="",P2222=0),"",A2222+P2222)</f>
        <v/>
      </c>
      <c r="R2222" s="26">
        <f>IF(Q2222="","",IF(COUNTIFS($E$5:$E$3004,E2222,$A$5:$A$3004,"&gt;"&amp;A2222,$H$5:$H$3004,"&lt;&gt;Falta",$H$5:$H$3004,"&lt;&gt;Cancelado",$H$5:$H$3004,"&lt;&gt;Remarcado")&gt;0,"Sim","Não"))</f>
        <v/>
      </c>
      <c r="S2222" s="32">
        <f>IF(R2222&lt;&gt;"Não","",IF(Q2222+Config!$B$9&lt;=Config!$B$8,Config!$B$8-Q2222,""))</f>
        <v/>
      </c>
      <c r="T2222" s="26">
        <f>IF(S2222="","","Sim")</f>
        <v/>
      </c>
      <c r="U2222" s="41">
        <f>IF(T2222="Sim",S2222+ROW()/100000,0)</f>
        <v>0</v>
      </c>
      <c r="V2222" s="41">
        <f>IF(AND(H2222="Falta",L2222=Config!$B$7,M2222=Config!$B$5,COUNTIFS($E$5:E2222,E2222,$H$5:H2222,"Falta",$L$5:L2222,Config!$B$7,$M$5:M2222,Config!$B$5)=1),COUNTIFS($E$5:$E$3004,E2222,$H$5:$H$3004,"Falta",$L$5:$L$3004,Config!$B$7,$M$5:$M$3004,Config!$B$5)*1000-ROW()/100000,0)</f>
        <v>0</v>
      </c>
    </row>
    <row r="2223">
      <c r="A2223" s="39" t="n"/>
      <c r="B2223" s="40" t="n"/>
      <c r="C2223" s="35" t="n"/>
      <c r="D2223" s="35" t="n"/>
      <c r="E2223" s="34" t="n"/>
      <c r="F2223" s="35" t="n"/>
      <c r="G2223" s="35" t="n"/>
      <c r="H2223" s="35" t="n"/>
      <c r="I2223" s="35" t="n"/>
      <c r="J2223" s="35" t="n"/>
      <c r="K2223" s="34" t="n"/>
      <c r="L2223" s="26">
        <f>IF(A2223="","",MONTH(A2223))</f>
        <v/>
      </c>
      <c r="M2223" s="26">
        <f>IF(A2223="","",YEAR(A2223))</f>
        <v/>
      </c>
      <c r="N2223" s="26">
        <f>IF(A2223="","",CHOOSE(WEEKDAY(A2223,2),"Segunda","Terça","Quarta","Quinta","Sexta","Sábado","Domingo"))</f>
        <v/>
      </c>
      <c r="O2223" s="26">
        <f>IF(B2223="","",IF(B2223&lt;TIME(12,0,0),"Manhã",IF(B2223&lt;TIME(18,0,0),"Tarde","Noite")))</f>
        <v/>
      </c>
      <c r="P2223" s="32">
        <f>IF(G2223="","",IFERROR(INDEX(Config!$I$5:$I$16,MATCH(G2223,Config!$H$5:$H$16,0)),0))</f>
        <v/>
      </c>
      <c r="Q2223" s="30">
        <f>IF(OR(H2223&lt;&gt;"Realizado",P2223="",P2223=0),"",A2223+P2223)</f>
        <v/>
      </c>
      <c r="R2223" s="26">
        <f>IF(Q2223="","",IF(COUNTIFS($E$5:$E$3004,E2223,$A$5:$A$3004,"&gt;"&amp;A2223,$H$5:$H$3004,"&lt;&gt;Falta",$H$5:$H$3004,"&lt;&gt;Cancelado",$H$5:$H$3004,"&lt;&gt;Remarcado")&gt;0,"Sim","Não"))</f>
        <v/>
      </c>
      <c r="S2223" s="32">
        <f>IF(R2223&lt;&gt;"Não","",IF(Q2223+Config!$B$9&lt;=Config!$B$8,Config!$B$8-Q2223,""))</f>
        <v/>
      </c>
      <c r="T2223" s="26">
        <f>IF(S2223="","","Sim")</f>
        <v/>
      </c>
      <c r="U2223" s="41">
        <f>IF(T2223="Sim",S2223+ROW()/100000,0)</f>
        <v>0</v>
      </c>
      <c r="V2223" s="41">
        <f>IF(AND(H2223="Falta",L2223=Config!$B$7,M2223=Config!$B$5,COUNTIFS($E$5:E2223,E2223,$H$5:H2223,"Falta",$L$5:L2223,Config!$B$7,$M$5:M2223,Config!$B$5)=1),COUNTIFS($E$5:$E$3004,E2223,$H$5:$H$3004,"Falta",$L$5:$L$3004,Config!$B$7,$M$5:$M$3004,Config!$B$5)*1000-ROW()/100000,0)</f>
        <v>0</v>
      </c>
    </row>
    <row r="2224">
      <c r="A2224" s="39" t="n"/>
      <c r="B2224" s="40" t="n"/>
      <c r="C2224" s="35" t="n"/>
      <c r="D2224" s="35" t="n"/>
      <c r="E2224" s="34" t="n"/>
      <c r="F2224" s="35" t="n"/>
      <c r="G2224" s="35" t="n"/>
      <c r="H2224" s="35" t="n"/>
      <c r="I2224" s="35" t="n"/>
      <c r="J2224" s="35" t="n"/>
      <c r="K2224" s="34" t="n"/>
      <c r="L2224" s="26">
        <f>IF(A2224="","",MONTH(A2224))</f>
        <v/>
      </c>
      <c r="M2224" s="26">
        <f>IF(A2224="","",YEAR(A2224))</f>
        <v/>
      </c>
      <c r="N2224" s="26">
        <f>IF(A2224="","",CHOOSE(WEEKDAY(A2224,2),"Segunda","Terça","Quarta","Quinta","Sexta","Sábado","Domingo"))</f>
        <v/>
      </c>
      <c r="O2224" s="26">
        <f>IF(B2224="","",IF(B2224&lt;TIME(12,0,0),"Manhã",IF(B2224&lt;TIME(18,0,0),"Tarde","Noite")))</f>
        <v/>
      </c>
      <c r="P2224" s="32">
        <f>IF(G2224="","",IFERROR(INDEX(Config!$I$5:$I$16,MATCH(G2224,Config!$H$5:$H$16,0)),0))</f>
        <v/>
      </c>
      <c r="Q2224" s="30">
        <f>IF(OR(H2224&lt;&gt;"Realizado",P2224="",P2224=0),"",A2224+P2224)</f>
        <v/>
      </c>
      <c r="R2224" s="26">
        <f>IF(Q2224="","",IF(COUNTIFS($E$5:$E$3004,E2224,$A$5:$A$3004,"&gt;"&amp;A2224,$H$5:$H$3004,"&lt;&gt;Falta",$H$5:$H$3004,"&lt;&gt;Cancelado",$H$5:$H$3004,"&lt;&gt;Remarcado")&gt;0,"Sim","Não"))</f>
        <v/>
      </c>
      <c r="S2224" s="32">
        <f>IF(R2224&lt;&gt;"Não","",IF(Q2224+Config!$B$9&lt;=Config!$B$8,Config!$B$8-Q2224,""))</f>
        <v/>
      </c>
      <c r="T2224" s="26">
        <f>IF(S2224="","","Sim")</f>
        <v/>
      </c>
      <c r="U2224" s="41">
        <f>IF(T2224="Sim",S2224+ROW()/100000,0)</f>
        <v>0</v>
      </c>
      <c r="V2224" s="41">
        <f>IF(AND(H2224="Falta",L2224=Config!$B$7,M2224=Config!$B$5,COUNTIFS($E$5:E2224,E2224,$H$5:H2224,"Falta",$L$5:L2224,Config!$B$7,$M$5:M2224,Config!$B$5)=1),COUNTIFS($E$5:$E$3004,E2224,$H$5:$H$3004,"Falta",$L$5:$L$3004,Config!$B$7,$M$5:$M$3004,Config!$B$5)*1000-ROW()/100000,0)</f>
        <v>0</v>
      </c>
    </row>
    <row r="2225">
      <c r="A2225" s="39" t="n"/>
      <c r="B2225" s="40" t="n"/>
      <c r="C2225" s="35" t="n"/>
      <c r="D2225" s="35" t="n"/>
      <c r="E2225" s="34" t="n"/>
      <c r="F2225" s="35" t="n"/>
      <c r="G2225" s="35" t="n"/>
      <c r="H2225" s="35" t="n"/>
      <c r="I2225" s="35" t="n"/>
      <c r="J2225" s="35" t="n"/>
      <c r="K2225" s="34" t="n"/>
      <c r="L2225" s="26">
        <f>IF(A2225="","",MONTH(A2225))</f>
        <v/>
      </c>
      <c r="M2225" s="26">
        <f>IF(A2225="","",YEAR(A2225))</f>
        <v/>
      </c>
      <c r="N2225" s="26">
        <f>IF(A2225="","",CHOOSE(WEEKDAY(A2225,2),"Segunda","Terça","Quarta","Quinta","Sexta","Sábado","Domingo"))</f>
        <v/>
      </c>
      <c r="O2225" s="26">
        <f>IF(B2225="","",IF(B2225&lt;TIME(12,0,0),"Manhã",IF(B2225&lt;TIME(18,0,0),"Tarde","Noite")))</f>
        <v/>
      </c>
      <c r="P2225" s="32">
        <f>IF(G2225="","",IFERROR(INDEX(Config!$I$5:$I$16,MATCH(G2225,Config!$H$5:$H$16,0)),0))</f>
        <v/>
      </c>
      <c r="Q2225" s="30">
        <f>IF(OR(H2225&lt;&gt;"Realizado",P2225="",P2225=0),"",A2225+P2225)</f>
        <v/>
      </c>
      <c r="R2225" s="26">
        <f>IF(Q2225="","",IF(COUNTIFS($E$5:$E$3004,E2225,$A$5:$A$3004,"&gt;"&amp;A2225,$H$5:$H$3004,"&lt;&gt;Falta",$H$5:$H$3004,"&lt;&gt;Cancelado",$H$5:$H$3004,"&lt;&gt;Remarcado")&gt;0,"Sim","Não"))</f>
        <v/>
      </c>
      <c r="S2225" s="32">
        <f>IF(R2225&lt;&gt;"Não","",IF(Q2225+Config!$B$9&lt;=Config!$B$8,Config!$B$8-Q2225,""))</f>
        <v/>
      </c>
      <c r="T2225" s="26">
        <f>IF(S2225="","","Sim")</f>
        <v/>
      </c>
      <c r="U2225" s="41">
        <f>IF(T2225="Sim",S2225+ROW()/100000,0)</f>
        <v>0</v>
      </c>
      <c r="V2225" s="41">
        <f>IF(AND(H2225="Falta",L2225=Config!$B$7,M2225=Config!$B$5,COUNTIFS($E$5:E2225,E2225,$H$5:H2225,"Falta",$L$5:L2225,Config!$B$7,$M$5:M2225,Config!$B$5)=1),COUNTIFS($E$5:$E$3004,E2225,$H$5:$H$3004,"Falta",$L$5:$L$3004,Config!$B$7,$M$5:$M$3004,Config!$B$5)*1000-ROW()/100000,0)</f>
        <v>0</v>
      </c>
    </row>
    <row r="2226">
      <c r="A2226" s="39" t="n"/>
      <c r="B2226" s="40" t="n"/>
      <c r="C2226" s="35" t="n"/>
      <c r="D2226" s="35" t="n"/>
      <c r="E2226" s="34" t="n"/>
      <c r="F2226" s="35" t="n"/>
      <c r="G2226" s="35" t="n"/>
      <c r="H2226" s="35" t="n"/>
      <c r="I2226" s="35" t="n"/>
      <c r="J2226" s="35" t="n"/>
      <c r="K2226" s="34" t="n"/>
      <c r="L2226" s="26">
        <f>IF(A2226="","",MONTH(A2226))</f>
        <v/>
      </c>
      <c r="M2226" s="26">
        <f>IF(A2226="","",YEAR(A2226))</f>
        <v/>
      </c>
      <c r="N2226" s="26">
        <f>IF(A2226="","",CHOOSE(WEEKDAY(A2226,2),"Segunda","Terça","Quarta","Quinta","Sexta","Sábado","Domingo"))</f>
        <v/>
      </c>
      <c r="O2226" s="26">
        <f>IF(B2226="","",IF(B2226&lt;TIME(12,0,0),"Manhã",IF(B2226&lt;TIME(18,0,0),"Tarde","Noite")))</f>
        <v/>
      </c>
      <c r="P2226" s="32">
        <f>IF(G2226="","",IFERROR(INDEX(Config!$I$5:$I$16,MATCH(G2226,Config!$H$5:$H$16,0)),0))</f>
        <v/>
      </c>
      <c r="Q2226" s="30">
        <f>IF(OR(H2226&lt;&gt;"Realizado",P2226="",P2226=0),"",A2226+P2226)</f>
        <v/>
      </c>
      <c r="R2226" s="26">
        <f>IF(Q2226="","",IF(COUNTIFS($E$5:$E$3004,E2226,$A$5:$A$3004,"&gt;"&amp;A2226,$H$5:$H$3004,"&lt;&gt;Falta",$H$5:$H$3004,"&lt;&gt;Cancelado",$H$5:$H$3004,"&lt;&gt;Remarcado")&gt;0,"Sim","Não"))</f>
        <v/>
      </c>
      <c r="S2226" s="32">
        <f>IF(R2226&lt;&gt;"Não","",IF(Q2226+Config!$B$9&lt;=Config!$B$8,Config!$B$8-Q2226,""))</f>
        <v/>
      </c>
      <c r="T2226" s="26">
        <f>IF(S2226="","","Sim")</f>
        <v/>
      </c>
      <c r="U2226" s="41">
        <f>IF(T2226="Sim",S2226+ROW()/100000,0)</f>
        <v>0</v>
      </c>
      <c r="V2226" s="41">
        <f>IF(AND(H2226="Falta",L2226=Config!$B$7,M2226=Config!$B$5,COUNTIFS($E$5:E2226,E2226,$H$5:H2226,"Falta",$L$5:L2226,Config!$B$7,$M$5:M2226,Config!$B$5)=1),COUNTIFS($E$5:$E$3004,E2226,$H$5:$H$3004,"Falta",$L$5:$L$3004,Config!$B$7,$M$5:$M$3004,Config!$B$5)*1000-ROW()/100000,0)</f>
        <v>0</v>
      </c>
    </row>
    <row r="2227">
      <c r="A2227" s="39" t="n"/>
      <c r="B2227" s="40" t="n"/>
      <c r="C2227" s="35" t="n"/>
      <c r="D2227" s="35" t="n"/>
      <c r="E2227" s="34" t="n"/>
      <c r="F2227" s="35" t="n"/>
      <c r="G2227" s="35" t="n"/>
      <c r="H2227" s="35" t="n"/>
      <c r="I2227" s="35" t="n"/>
      <c r="J2227" s="35" t="n"/>
      <c r="K2227" s="34" t="n"/>
      <c r="L2227" s="26">
        <f>IF(A2227="","",MONTH(A2227))</f>
        <v/>
      </c>
      <c r="M2227" s="26">
        <f>IF(A2227="","",YEAR(A2227))</f>
        <v/>
      </c>
      <c r="N2227" s="26">
        <f>IF(A2227="","",CHOOSE(WEEKDAY(A2227,2),"Segunda","Terça","Quarta","Quinta","Sexta","Sábado","Domingo"))</f>
        <v/>
      </c>
      <c r="O2227" s="26">
        <f>IF(B2227="","",IF(B2227&lt;TIME(12,0,0),"Manhã",IF(B2227&lt;TIME(18,0,0),"Tarde","Noite")))</f>
        <v/>
      </c>
      <c r="P2227" s="32">
        <f>IF(G2227="","",IFERROR(INDEX(Config!$I$5:$I$16,MATCH(G2227,Config!$H$5:$H$16,0)),0))</f>
        <v/>
      </c>
      <c r="Q2227" s="30">
        <f>IF(OR(H2227&lt;&gt;"Realizado",P2227="",P2227=0),"",A2227+P2227)</f>
        <v/>
      </c>
      <c r="R2227" s="26">
        <f>IF(Q2227="","",IF(COUNTIFS($E$5:$E$3004,E2227,$A$5:$A$3004,"&gt;"&amp;A2227,$H$5:$H$3004,"&lt;&gt;Falta",$H$5:$H$3004,"&lt;&gt;Cancelado",$H$5:$H$3004,"&lt;&gt;Remarcado")&gt;0,"Sim","Não"))</f>
        <v/>
      </c>
      <c r="S2227" s="32">
        <f>IF(R2227&lt;&gt;"Não","",IF(Q2227+Config!$B$9&lt;=Config!$B$8,Config!$B$8-Q2227,""))</f>
        <v/>
      </c>
      <c r="T2227" s="26">
        <f>IF(S2227="","","Sim")</f>
        <v/>
      </c>
      <c r="U2227" s="41">
        <f>IF(T2227="Sim",S2227+ROW()/100000,0)</f>
        <v>0</v>
      </c>
      <c r="V2227" s="41">
        <f>IF(AND(H2227="Falta",L2227=Config!$B$7,M2227=Config!$B$5,COUNTIFS($E$5:E2227,E2227,$H$5:H2227,"Falta",$L$5:L2227,Config!$B$7,$M$5:M2227,Config!$B$5)=1),COUNTIFS($E$5:$E$3004,E2227,$H$5:$H$3004,"Falta",$L$5:$L$3004,Config!$B$7,$M$5:$M$3004,Config!$B$5)*1000-ROW()/100000,0)</f>
        <v>0</v>
      </c>
    </row>
    <row r="2228">
      <c r="A2228" s="39" t="n"/>
      <c r="B2228" s="40" t="n"/>
      <c r="C2228" s="35" t="n"/>
      <c r="D2228" s="35" t="n"/>
      <c r="E2228" s="34" t="n"/>
      <c r="F2228" s="35" t="n"/>
      <c r="G2228" s="35" t="n"/>
      <c r="H2228" s="35" t="n"/>
      <c r="I2228" s="35" t="n"/>
      <c r="J2228" s="35" t="n"/>
      <c r="K2228" s="34" t="n"/>
      <c r="L2228" s="26">
        <f>IF(A2228="","",MONTH(A2228))</f>
        <v/>
      </c>
      <c r="M2228" s="26">
        <f>IF(A2228="","",YEAR(A2228))</f>
        <v/>
      </c>
      <c r="N2228" s="26">
        <f>IF(A2228="","",CHOOSE(WEEKDAY(A2228,2),"Segunda","Terça","Quarta","Quinta","Sexta","Sábado","Domingo"))</f>
        <v/>
      </c>
      <c r="O2228" s="26">
        <f>IF(B2228="","",IF(B2228&lt;TIME(12,0,0),"Manhã",IF(B2228&lt;TIME(18,0,0),"Tarde","Noite")))</f>
        <v/>
      </c>
      <c r="P2228" s="32">
        <f>IF(G2228="","",IFERROR(INDEX(Config!$I$5:$I$16,MATCH(G2228,Config!$H$5:$H$16,0)),0))</f>
        <v/>
      </c>
      <c r="Q2228" s="30">
        <f>IF(OR(H2228&lt;&gt;"Realizado",P2228="",P2228=0),"",A2228+P2228)</f>
        <v/>
      </c>
      <c r="R2228" s="26">
        <f>IF(Q2228="","",IF(COUNTIFS($E$5:$E$3004,E2228,$A$5:$A$3004,"&gt;"&amp;A2228,$H$5:$H$3004,"&lt;&gt;Falta",$H$5:$H$3004,"&lt;&gt;Cancelado",$H$5:$H$3004,"&lt;&gt;Remarcado")&gt;0,"Sim","Não"))</f>
        <v/>
      </c>
      <c r="S2228" s="32">
        <f>IF(R2228&lt;&gt;"Não","",IF(Q2228+Config!$B$9&lt;=Config!$B$8,Config!$B$8-Q2228,""))</f>
        <v/>
      </c>
      <c r="T2228" s="26">
        <f>IF(S2228="","","Sim")</f>
        <v/>
      </c>
      <c r="U2228" s="41">
        <f>IF(T2228="Sim",S2228+ROW()/100000,0)</f>
        <v>0</v>
      </c>
      <c r="V2228" s="41">
        <f>IF(AND(H2228="Falta",L2228=Config!$B$7,M2228=Config!$B$5,COUNTIFS($E$5:E2228,E2228,$H$5:H2228,"Falta",$L$5:L2228,Config!$B$7,$M$5:M2228,Config!$B$5)=1),COUNTIFS($E$5:$E$3004,E2228,$H$5:$H$3004,"Falta",$L$5:$L$3004,Config!$B$7,$M$5:$M$3004,Config!$B$5)*1000-ROW()/100000,0)</f>
        <v>0</v>
      </c>
    </row>
    <row r="2229">
      <c r="A2229" s="39" t="n"/>
      <c r="B2229" s="40" t="n"/>
      <c r="C2229" s="35" t="n"/>
      <c r="D2229" s="35" t="n"/>
      <c r="E2229" s="34" t="n"/>
      <c r="F2229" s="35" t="n"/>
      <c r="G2229" s="35" t="n"/>
      <c r="H2229" s="35" t="n"/>
      <c r="I2229" s="35" t="n"/>
      <c r="J2229" s="35" t="n"/>
      <c r="K2229" s="34" t="n"/>
      <c r="L2229" s="26">
        <f>IF(A2229="","",MONTH(A2229))</f>
        <v/>
      </c>
      <c r="M2229" s="26">
        <f>IF(A2229="","",YEAR(A2229))</f>
        <v/>
      </c>
      <c r="N2229" s="26">
        <f>IF(A2229="","",CHOOSE(WEEKDAY(A2229,2),"Segunda","Terça","Quarta","Quinta","Sexta","Sábado","Domingo"))</f>
        <v/>
      </c>
      <c r="O2229" s="26">
        <f>IF(B2229="","",IF(B2229&lt;TIME(12,0,0),"Manhã",IF(B2229&lt;TIME(18,0,0),"Tarde","Noite")))</f>
        <v/>
      </c>
      <c r="P2229" s="32">
        <f>IF(G2229="","",IFERROR(INDEX(Config!$I$5:$I$16,MATCH(G2229,Config!$H$5:$H$16,0)),0))</f>
        <v/>
      </c>
      <c r="Q2229" s="30">
        <f>IF(OR(H2229&lt;&gt;"Realizado",P2229="",P2229=0),"",A2229+P2229)</f>
        <v/>
      </c>
      <c r="R2229" s="26">
        <f>IF(Q2229="","",IF(COUNTIFS($E$5:$E$3004,E2229,$A$5:$A$3004,"&gt;"&amp;A2229,$H$5:$H$3004,"&lt;&gt;Falta",$H$5:$H$3004,"&lt;&gt;Cancelado",$H$5:$H$3004,"&lt;&gt;Remarcado")&gt;0,"Sim","Não"))</f>
        <v/>
      </c>
      <c r="S2229" s="32">
        <f>IF(R2229&lt;&gt;"Não","",IF(Q2229+Config!$B$9&lt;=Config!$B$8,Config!$B$8-Q2229,""))</f>
        <v/>
      </c>
      <c r="T2229" s="26">
        <f>IF(S2229="","","Sim")</f>
        <v/>
      </c>
      <c r="U2229" s="41">
        <f>IF(T2229="Sim",S2229+ROW()/100000,0)</f>
        <v>0</v>
      </c>
      <c r="V2229" s="41">
        <f>IF(AND(H2229="Falta",L2229=Config!$B$7,M2229=Config!$B$5,COUNTIFS($E$5:E2229,E2229,$H$5:H2229,"Falta",$L$5:L2229,Config!$B$7,$M$5:M2229,Config!$B$5)=1),COUNTIFS($E$5:$E$3004,E2229,$H$5:$H$3004,"Falta",$L$5:$L$3004,Config!$B$7,$M$5:$M$3004,Config!$B$5)*1000-ROW()/100000,0)</f>
        <v>0</v>
      </c>
    </row>
    <row r="2230">
      <c r="A2230" s="39" t="n"/>
      <c r="B2230" s="40" t="n"/>
      <c r="C2230" s="35" t="n"/>
      <c r="D2230" s="35" t="n"/>
      <c r="E2230" s="34" t="n"/>
      <c r="F2230" s="35" t="n"/>
      <c r="G2230" s="35" t="n"/>
      <c r="H2230" s="35" t="n"/>
      <c r="I2230" s="35" t="n"/>
      <c r="J2230" s="35" t="n"/>
      <c r="K2230" s="34" t="n"/>
      <c r="L2230" s="26">
        <f>IF(A2230="","",MONTH(A2230))</f>
        <v/>
      </c>
      <c r="M2230" s="26">
        <f>IF(A2230="","",YEAR(A2230))</f>
        <v/>
      </c>
      <c r="N2230" s="26">
        <f>IF(A2230="","",CHOOSE(WEEKDAY(A2230,2),"Segunda","Terça","Quarta","Quinta","Sexta","Sábado","Domingo"))</f>
        <v/>
      </c>
      <c r="O2230" s="26">
        <f>IF(B2230="","",IF(B2230&lt;TIME(12,0,0),"Manhã",IF(B2230&lt;TIME(18,0,0),"Tarde","Noite")))</f>
        <v/>
      </c>
      <c r="P2230" s="32">
        <f>IF(G2230="","",IFERROR(INDEX(Config!$I$5:$I$16,MATCH(G2230,Config!$H$5:$H$16,0)),0))</f>
        <v/>
      </c>
      <c r="Q2230" s="30">
        <f>IF(OR(H2230&lt;&gt;"Realizado",P2230="",P2230=0),"",A2230+P2230)</f>
        <v/>
      </c>
      <c r="R2230" s="26">
        <f>IF(Q2230="","",IF(COUNTIFS($E$5:$E$3004,E2230,$A$5:$A$3004,"&gt;"&amp;A2230,$H$5:$H$3004,"&lt;&gt;Falta",$H$5:$H$3004,"&lt;&gt;Cancelado",$H$5:$H$3004,"&lt;&gt;Remarcado")&gt;0,"Sim","Não"))</f>
        <v/>
      </c>
      <c r="S2230" s="32">
        <f>IF(R2230&lt;&gt;"Não","",IF(Q2230+Config!$B$9&lt;=Config!$B$8,Config!$B$8-Q2230,""))</f>
        <v/>
      </c>
      <c r="T2230" s="26">
        <f>IF(S2230="","","Sim")</f>
        <v/>
      </c>
      <c r="U2230" s="41">
        <f>IF(T2230="Sim",S2230+ROW()/100000,0)</f>
        <v>0</v>
      </c>
      <c r="V2230" s="41">
        <f>IF(AND(H2230="Falta",L2230=Config!$B$7,M2230=Config!$B$5,COUNTIFS($E$5:E2230,E2230,$H$5:H2230,"Falta",$L$5:L2230,Config!$B$7,$M$5:M2230,Config!$B$5)=1),COUNTIFS($E$5:$E$3004,E2230,$H$5:$H$3004,"Falta",$L$5:$L$3004,Config!$B$7,$M$5:$M$3004,Config!$B$5)*1000-ROW()/100000,0)</f>
        <v>0</v>
      </c>
    </row>
    <row r="2231">
      <c r="A2231" s="39" t="n"/>
      <c r="B2231" s="40" t="n"/>
      <c r="C2231" s="35" t="n"/>
      <c r="D2231" s="35" t="n"/>
      <c r="E2231" s="34" t="n"/>
      <c r="F2231" s="35" t="n"/>
      <c r="G2231" s="35" t="n"/>
      <c r="H2231" s="35" t="n"/>
      <c r="I2231" s="35" t="n"/>
      <c r="J2231" s="35" t="n"/>
      <c r="K2231" s="34" t="n"/>
      <c r="L2231" s="26">
        <f>IF(A2231="","",MONTH(A2231))</f>
        <v/>
      </c>
      <c r="M2231" s="26">
        <f>IF(A2231="","",YEAR(A2231))</f>
        <v/>
      </c>
      <c r="N2231" s="26">
        <f>IF(A2231="","",CHOOSE(WEEKDAY(A2231,2),"Segunda","Terça","Quarta","Quinta","Sexta","Sábado","Domingo"))</f>
        <v/>
      </c>
      <c r="O2231" s="26">
        <f>IF(B2231="","",IF(B2231&lt;TIME(12,0,0),"Manhã",IF(B2231&lt;TIME(18,0,0),"Tarde","Noite")))</f>
        <v/>
      </c>
      <c r="P2231" s="32">
        <f>IF(G2231="","",IFERROR(INDEX(Config!$I$5:$I$16,MATCH(G2231,Config!$H$5:$H$16,0)),0))</f>
        <v/>
      </c>
      <c r="Q2231" s="30">
        <f>IF(OR(H2231&lt;&gt;"Realizado",P2231="",P2231=0),"",A2231+P2231)</f>
        <v/>
      </c>
      <c r="R2231" s="26">
        <f>IF(Q2231="","",IF(COUNTIFS($E$5:$E$3004,E2231,$A$5:$A$3004,"&gt;"&amp;A2231,$H$5:$H$3004,"&lt;&gt;Falta",$H$5:$H$3004,"&lt;&gt;Cancelado",$H$5:$H$3004,"&lt;&gt;Remarcado")&gt;0,"Sim","Não"))</f>
        <v/>
      </c>
      <c r="S2231" s="32">
        <f>IF(R2231&lt;&gt;"Não","",IF(Q2231+Config!$B$9&lt;=Config!$B$8,Config!$B$8-Q2231,""))</f>
        <v/>
      </c>
      <c r="T2231" s="26">
        <f>IF(S2231="","","Sim")</f>
        <v/>
      </c>
      <c r="U2231" s="41">
        <f>IF(T2231="Sim",S2231+ROW()/100000,0)</f>
        <v>0</v>
      </c>
      <c r="V2231" s="41">
        <f>IF(AND(H2231="Falta",L2231=Config!$B$7,M2231=Config!$B$5,COUNTIFS($E$5:E2231,E2231,$H$5:H2231,"Falta",$L$5:L2231,Config!$B$7,$M$5:M2231,Config!$B$5)=1),COUNTIFS($E$5:$E$3004,E2231,$H$5:$H$3004,"Falta",$L$5:$L$3004,Config!$B$7,$M$5:$M$3004,Config!$B$5)*1000-ROW()/100000,0)</f>
        <v>0</v>
      </c>
    </row>
    <row r="2232">
      <c r="A2232" s="39" t="n"/>
      <c r="B2232" s="40" t="n"/>
      <c r="C2232" s="35" t="n"/>
      <c r="D2232" s="35" t="n"/>
      <c r="E2232" s="34" t="n"/>
      <c r="F2232" s="35" t="n"/>
      <c r="G2232" s="35" t="n"/>
      <c r="H2232" s="35" t="n"/>
      <c r="I2232" s="35" t="n"/>
      <c r="J2232" s="35" t="n"/>
      <c r="K2232" s="34" t="n"/>
      <c r="L2232" s="26">
        <f>IF(A2232="","",MONTH(A2232))</f>
        <v/>
      </c>
      <c r="M2232" s="26">
        <f>IF(A2232="","",YEAR(A2232))</f>
        <v/>
      </c>
      <c r="N2232" s="26">
        <f>IF(A2232="","",CHOOSE(WEEKDAY(A2232,2),"Segunda","Terça","Quarta","Quinta","Sexta","Sábado","Domingo"))</f>
        <v/>
      </c>
      <c r="O2232" s="26">
        <f>IF(B2232="","",IF(B2232&lt;TIME(12,0,0),"Manhã",IF(B2232&lt;TIME(18,0,0),"Tarde","Noite")))</f>
        <v/>
      </c>
      <c r="P2232" s="32">
        <f>IF(G2232="","",IFERROR(INDEX(Config!$I$5:$I$16,MATCH(G2232,Config!$H$5:$H$16,0)),0))</f>
        <v/>
      </c>
      <c r="Q2232" s="30">
        <f>IF(OR(H2232&lt;&gt;"Realizado",P2232="",P2232=0),"",A2232+P2232)</f>
        <v/>
      </c>
      <c r="R2232" s="26">
        <f>IF(Q2232="","",IF(COUNTIFS($E$5:$E$3004,E2232,$A$5:$A$3004,"&gt;"&amp;A2232,$H$5:$H$3004,"&lt;&gt;Falta",$H$5:$H$3004,"&lt;&gt;Cancelado",$H$5:$H$3004,"&lt;&gt;Remarcado")&gt;0,"Sim","Não"))</f>
        <v/>
      </c>
      <c r="S2232" s="32">
        <f>IF(R2232&lt;&gt;"Não","",IF(Q2232+Config!$B$9&lt;=Config!$B$8,Config!$B$8-Q2232,""))</f>
        <v/>
      </c>
      <c r="T2232" s="26">
        <f>IF(S2232="","","Sim")</f>
        <v/>
      </c>
      <c r="U2232" s="41">
        <f>IF(T2232="Sim",S2232+ROW()/100000,0)</f>
        <v>0</v>
      </c>
      <c r="V2232" s="41">
        <f>IF(AND(H2232="Falta",L2232=Config!$B$7,M2232=Config!$B$5,COUNTIFS($E$5:E2232,E2232,$H$5:H2232,"Falta",$L$5:L2232,Config!$B$7,$M$5:M2232,Config!$B$5)=1),COUNTIFS($E$5:$E$3004,E2232,$H$5:$H$3004,"Falta",$L$5:$L$3004,Config!$B$7,$M$5:$M$3004,Config!$B$5)*1000-ROW()/100000,0)</f>
        <v>0</v>
      </c>
    </row>
    <row r="2233">
      <c r="A2233" s="39" t="n"/>
      <c r="B2233" s="40" t="n"/>
      <c r="C2233" s="35" t="n"/>
      <c r="D2233" s="35" t="n"/>
      <c r="E2233" s="34" t="n"/>
      <c r="F2233" s="35" t="n"/>
      <c r="G2233" s="35" t="n"/>
      <c r="H2233" s="35" t="n"/>
      <c r="I2233" s="35" t="n"/>
      <c r="J2233" s="35" t="n"/>
      <c r="K2233" s="34" t="n"/>
      <c r="L2233" s="26">
        <f>IF(A2233="","",MONTH(A2233))</f>
        <v/>
      </c>
      <c r="M2233" s="26">
        <f>IF(A2233="","",YEAR(A2233))</f>
        <v/>
      </c>
      <c r="N2233" s="26">
        <f>IF(A2233="","",CHOOSE(WEEKDAY(A2233,2),"Segunda","Terça","Quarta","Quinta","Sexta","Sábado","Domingo"))</f>
        <v/>
      </c>
      <c r="O2233" s="26">
        <f>IF(B2233="","",IF(B2233&lt;TIME(12,0,0),"Manhã",IF(B2233&lt;TIME(18,0,0),"Tarde","Noite")))</f>
        <v/>
      </c>
      <c r="P2233" s="32">
        <f>IF(G2233="","",IFERROR(INDEX(Config!$I$5:$I$16,MATCH(G2233,Config!$H$5:$H$16,0)),0))</f>
        <v/>
      </c>
      <c r="Q2233" s="30">
        <f>IF(OR(H2233&lt;&gt;"Realizado",P2233="",P2233=0),"",A2233+P2233)</f>
        <v/>
      </c>
      <c r="R2233" s="26">
        <f>IF(Q2233="","",IF(COUNTIFS($E$5:$E$3004,E2233,$A$5:$A$3004,"&gt;"&amp;A2233,$H$5:$H$3004,"&lt;&gt;Falta",$H$5:$H$3004,"&lt;&gt;Cancelado",$H$5:$H$3004,"&lt;&gt;Remarcado")&gt;0,"Sim","Não"))</f>
        <v/>
      </c>
      <c r="S2233" s="32">
        <f>IF(R2233&lt;&gt;"Não","",IF(Q2233+Config!$B$9&lt;=Config!$B$8,Config!$B$8-Q2233,""))</f>
        <v/>
      </c>
      <c r="T2233" s="26">
        <f>IF(S2233="","","Sim")</f>
        <v/>
      </c>
      <c r="U2233" s="41">
        <f>IF(T2233="Sim",S2233+ROW()/100000,0)</f>
        <v>0</v>
      </c>
      <c r="V2233" s="41">
        <f>IF(AND(H2233="Falta",L2233=Config!$B$7,M2233=Config!$B$5,COUNTIFS($E$5:E2233,E2233,$H$5:H2233,"Falta",$L$5:L2233,Config!$B$7,$M$5:M2233,Config!$B$5)=1),COUNTIFS($E$5:$E$3004,E2233,$H$5:$H$3004,"Falta",$L$5:$L$3004,Config!$B$7,$M$5:$M$3004,Config!$B$5)*1000-ROW()/100000,0)</f>
        <v>0</v>
      </c>
    </row>
    <row r="2234">
      <c r="A2234" s="39" t="n"/>
      <c r="B2234" s="40" t="n"/>
      <c r="C2234" s="35" t="n"/>
      <c r="D2234" s="35" t="n"/>
      <c r="E2234" s="34" t="n"/>
      <c r="F2234" s="35" t="n"/>
      <c r="G2234" s="35" t="n"/>
      <c r="H2234" s="35" t="n"/>
      <c r="I2234" s="35" t="n"/>
      <c r="J2234" s="35" t="n"/>
      <c r="K2234" s="34" t="n"/>
      <c r="L2234" s="26">
        <f>IF(A2234="","",MONTH(A2234))</f>
        <v/>
      </c>
      <c r="M2234" s="26">
        <f>IF(A2234="","",YEAR(A2234))</f>
        <v/>
      </c>
      <c r="N2234" s="26">
        <f>IF(A2234="","",CHOOSE(WEEKDAY(A2234,2),"Segunda","Terça","Quarta","Quinta","Sexta","Sábado","Domingo"))</f>
        <v/>
      </c>
      <c r="O2234" s="26">
        <f>IF(B2234="","",IF(B2234&lt;TIME(12,0,0),"Manhã",IF(B2234&lt;TIME(18,0,0),"Tarde","Noite")))</f>
        <v/>
      </c>
      <c r="P2234" s="32">
        <f>IF(G2234="","",IFERROR(INDEX(Config!$I$5:$I$16,MATCH(G2234,Config!$H$5:$H$16,0)),0))</f>
        <v/>
      </c>
      <c r="Q2234" s="30">
        <f>IF(OR(H2234&lt;&gt;"Realizado",P2234="",P2234=0),"",A2234+P2234)</f>
        <v/>
      </c>
      <c r="R2234" s="26">
        <f>IF(Q2234="","",IF(COUNTIFS($E$5:$E$3004,E2234,$A$5:$A$3004,"&gt;"&amp;A2234,$H$5:$H$3004,"&lt;&gt;Falta",$H$5:$H$3004,"&lt;&gt;Cancelado",$H$5:$H$3004,"&lt;&gt;Remarcado")&gt;0,"Sim","Não"))</f>
        <v/>
      </c>
      <c r="S2234" s="32">
        <f>IF(R2234&lt;&gt;"Não","",IF(Q2234+Config!$B$9&lt;=Config!$B$8,Config!$B$8-Q2234,""))</f>
        <v/>
      </c>
      <c r="T2234" s="26">
        <f>IF(S2234="","","Sim")</f>
        <v/>
      </c>
      <c r="U2234" s="41">
        <f>IF(T2234="Sim",S2234+ROW()/100000,0)</f>
        <v>0</v>
      </c>
      <c r="V2234" s="41">
        <f>IF(AND(H2234="Falta",L2234=Config!$B$7,M2234=Config!$B$5,COUNTIFS($E$5:E2234,E2234,$H$5:H2234,"Falta",$L$5:L2234,Config!$B$7,$M$5:M2234,Config!$B$5)=1),COUNTIFS($E$5:$E$3004,E2234,$H$5:$H$3004,"Falta",$L$5:$L$3004,Config!$B$7,$M$5:$M$3004,Config!$B$5)*1000-ROW()/100000,0)</f>
        <v>0</v>
      </c>
    </row>
    <row r="2235">
      <c r="A2235" s="39" t="n"/>
      <c r="B2235" s="40" t="n"/>
      <c r="C2235" s="35" t="n"/>
      <c r="D2235" s="35" t="n"/>
      <c r="E2235" s="34" t="n"/>
      <c r="F2235" s="35" t="n"/>
      <c r="G2235" s="35" t="n"/>
      <c r="H2235" s="35" t="n"/>
      <c r="I2235" s="35" t="n"/>
      <c r="J2235" s="35" t="n"/>
      <c r="K2235" s="34" t="n"/>
      <c r="L2235" s="26">
        <f>IF(A2235="","",MONTH(A2235))</f>
        <v/>
      </c>
      <c r="M2235" s="26">
        <f>IF(A2235="","",YEAR(A2235))</f>
        <v/>
      </c>
      <c r="N2235" s="26">
        <f>IF(A2235="","",CHOOSE(WEEKDAY(A2235,2),"Segunda","Terça","Quarta","Quinta","Sexta","Sábado","Domingo"))</f>
        <v/>
      </c>
      <c r="O2235" s="26">
        <f>IF(B2235="","",IF(B2235&lt;TIME(12,0,0),"Manhã",IF(B2235&lt;TIME(18,0,0),"Tarde","Noite")))</f>
        <v/>
      </c>
      <c r="P2235" s="32">
        <f>IF(G2235="","",IFERROR(INDEX(Config!$I$5:$I$16,MATCH(G2235,Config!$H$5:$H$16,0)),0))</f>
        <v/>
      </c>
      <c r="Q2235" s="30">
        <f>IF(OR(H2235&lt;&gt;"Realizado",P2235="",P2235=0),"",A2235+P2235)</f>
        <v/>
      </c>
      <c r="R2235" s="26">
        <f>IF(Q2235="","",IF(COUNTIFS($E$5:$E$3004,E2235,$A$5:$A$3004,"&gt;"&amp;A2235,$H$5:$H$3004,"&lt;&gt;Falta",$H$5:$H$3004,"&lt;&gt;Cancelado",$H$5:$H$3004,"&lt;&gt;Remarcado")&gt;0,"Sim","Não"))</f>
        <v/>
      </c>
      <c r="S2235" s="32">
        <f>IF(R2235&lt;&gt;"Não","",IF(Q2235+Config!$B$9&lt;=Config!$B$8,Config!$B$8-Q2235,""))</f>
        <v/>
      </c>
      <c r="T2235" s="26">
        <f>IF(S2235="","","Sim")</f>
        <v/>
      </c>
      <c r="U2235" s="41">
        <f>IF(T2235="Sim",S2235+ROW()/100000,0)</f>
        <v>0</v>
      </c>
      <c r="V2235" s="41">
        <f>IF(AND(H2235="Falta",L2235=Config!$B$7,M2235=Config!$B$5,COUNTIFS($E$5:E2235,E2235,$H$5:H2235,"Falta",$L$5:L2235,Config!$B$7,$M$5:M2235,Config!$B$5)=1),COUNTIFS($E$5:$E$3004,E2235,$H$5:$H$3004,"Falta",$L$5:$L$3004,Config!$B$7,$M$5:$M$3004,Config!$B$5)*1000-ROW()/100000,0)</f>
        <v>0</v>
      </c>
    </row>
    <row r="2236">
      <c r="A2236" s="39" t="n"/>
      <c r="B2236" s="40" t="n"/>
      <c r="C2236" s="35" t="n"/>
      <c r="D2236" s="35" t="n"/>
      <c r="E2236" s="34" t="n"/>
      <c r="F2236" s="35" t="n"/>
      <c r="G2236" s="35" t="n"/>
      <c r="H2236" s="35" t="n"/>
      <c r="I2236" s="35" t="n"/>
      <c r="J2236" s="35" t="n"/>
      <c r="K2236" s="34" t="n"/>
      <c r="L2236" s="26">
        <f>IF(A2236="","",MONTH(A2236))</f>
        <v/>
      </c>
      <c r="M2236" s="26">
        <f>IF(A2236="","",YEAR(A2236))</f>
        <v/>
      </c>
      <c r="N2236" s="26">
        <f>IF(A2236="","",CHOOSE(WEEKDAY(A2236,2),"Segunda","Terça","Quarta","Quinta","Sexta","Sábado","Domingo"))</f>
        <v/>
      </c>
      <c r="O2236" s="26">
        <f>IF(B2236="","",IF(B2236&lt;TIME(12,0,0),"Manhã",IF(B2236&lt;TIME(18,0,0),"Tarde","Noite")))</f>
        <v/>
      </c>
      <c r="P2236" s="32">
        <f>IF(G2236="","",IFERROR(INDEX(Config!$I$5:$I$16,MATCH(G2236,Config!$H$5:$H$16,0)),0))</f>
        <v/>
      </c>
      <c r="Q2236" s="30">
        <f>IF(OR(H2236&lt;&gt;"Realizado",P2236="",P2236=0),"",A2236+P2236)</f>
        <v/>
      </c>
      <c r="R2236" s="26">
        <f>IF(Q2236="","",IF(COUNTIFS($E$5:$E$3004,E2236,$A$5:$A$3004,"&gt;"&amp;A2236,$H$5:$H$3004,"&lt;&gt;Falta",$H$5:$H$3004,"&lt;&gt;Cancelado",$H$5:$H$3004,"&lt;&gt;Remarcado")&gt;0,"Sim","Não"))</f>
        <v/>
      </c>
      <c r="S2236" s="32">
        <f>IF(R2236&lt;&gt;"Não","",IF(Q2236+Config!$B$9&lt;=Config!$B$8,Config!$B$8-Q2236,""))</f>
        <v/>
      </c>
      <c r="T2236" s="26">
        <f>IF(S2236="","","Sim")</f>
        <v/>
      </c>
      <c r="U2236" s="41">
        <f>IF(T2236="Sim",S2236+ROW()/100000,0)</f>
        <v>0</v>
      </c>
      <c r="V2236" s="41">
        <f>IF(AND(H2236="Falta",L2236=Config!$B$7,M2236=Config!$B$5,COUNTIFS($E$5:E2236,E2236,$H$5:H2236,"Falta",$L$5:L2236,Config!$B$7,$M$5:M2236,Config!$B$5)=1),COUNTIFS($E$5:$E$3004,E2236,$H$5:$H$3004,"Falta",$L$5:$L$3004,Config!$B$7,$M$5:$M$3004,Config!$B$5)*1000-ROW()/100000,0)</f>
        <v>0</v>
      </c>
    </row>
    <row r="2237">
      <c r="A2237" s="39" t="n"/>
      <c r="B2237" s="40" t="n"/>
      <c r="C2237" s="35" t="n"/>
      <c r="D2237" s="35" t="n"/>
      <c r="E2237" s="34" t="n"/>
      <c r="F2237" s="35" t="n"/>
      <c r="G2237" s="35" t="n"/>
      <c r="H2237" s="35" t="n"/>
      <c r="I2237" s="35" t="n"/>
      <c r="J2237" s="35" t="n"/>
      <c r="K2237" s="34" t="n"/>
      <c r="L2237" s="26">
        <f>IF(A2237="","",MONTH(A2237))</f>
        <v/>
      </c>
      <c r="M2237" s="26">
        <f>IF(A2237="","",YEAR(A2237))</f>
        <v/>
      </c>
      <c r="N2237" s="26">
        <f>IF(A2237="","",CHOOSE(WEEKDAY(A2237,2),"Segunda","Terça","Quarta","Quinta","Sexta","Sábado","Domingo"))</f>
        <v/>
      </c>
      <c r="O2237" s="26">
        <f>IF(B2237="","",IF(B2237&lt;TIME(12,0,0),"Manhã",IF(B2237&lt;TIME(18,0,0),"Tarde","Noite")))</f>
        <v/>
      </c>
      <c r="P2237" s="32">
        <f>IF(G2237="","",IFERROR(INDEX(Config!$I$5:$I$16,MATCH(G2237,Config!$H$5:$H$16,0)),0))</f>
        <v/>
      </c>
      <c r="Q2237" s="30">
        <f>IF(OR(H2237&lt;&gt;"Realizado",P2237="",P2237=0),"",A2237+P2237)</f>
        <v/>
      </c>
      <c r="R2237" s="26">
        <f>IF(Q2237="","",IF(COUNTIFS($E$5:$E$3004,E2237,$A$5:$A$3004,"&gt;"&amp;A2237,$H$5:$H$3004,"&lt;&gt;Falta",$H$5:$H$3004,"&lt;&gt;Cancelado",$H$5:$H$3004,"&lt;&gt;Remarcado")&gt;0,"Sim","Não"))</f>
        <v/>
      </c>
      <c r="S2237" s="32">
        <f>IF(R2237&lt;&gt;"Não","",IF(Q2237+Config!$B$9&lt;=Config!$B$8,Config!$B$8-Q2237,""))</f>
        <v/>
      </c>
      <c r="T2237" s="26">
        <f>IF(S2237="","","Sim")</f>
        <v/>
      </c>
      <c r="U2237" s="41">
        <f>IF(T2237="Sim",S2237+ROW()/100000,0)</f>
        <v>0</v>
      </c>
      <c r="V2237" s="41">
        <f>IF(AND(H2237="Falta",L2237=Config!$B$7,M2237=Config!$B$5,COUNTIFS($E$5:E2237,E2237,$H$5:H2237,"Falta",$L$5:L2237,Config!$B$7,$M$5:M2237,Config!$B$5)=1),COUNTIFS($E$5:$E$3004,E2237,$H$5:$H$3004,"Falta",$L$5:$L$3004,Config!$B$7,$M$5:$M$3004,Config!$B$5)*1000-ROW()/100000,0)</f>
        <v>0</v>
      </c>
    </row>
    <row r="2238">
      <c r="A2238" s="39" t="n"/>
      <c r="B2238" s="40" t="n"/>
      <c r="C2238" s="35" t="n"/>
      <c r="D2238" s="35" t="n"/>
      <c r="E2238" s="34" t="n"/>
      <c r="F2238" s="35" t="n"/>
      <c r="G2238" s="35" t="n"/>
      <c r="H2238" s="35" t="n"/>
      <c r="I2238" s="35" t="n"/>
      <c r="J2238" s="35" t="n"/>
      <c r="K2238" s="34" t="n"/>
      <c r="L2238" s="26">
        <f>IF(A2238="","",MONTH(A2238))</f>
        <v/>
      </c>
      <c r="M2238" s="26">
        <f>IF(A2238="","",YEAR(A2238))</f>
        <v/>
      </c>
      <c r="N2238" s="26">
        <f>IF(A2238="","",CHOOSE(WEEKDAY(A2238,2),"Segunda","Terça","Quarta","Quinta","Sexta","Sábado","Domingo"))</f>
        <v/>
      </c>
      <c r="O2238" s="26">
        <f>IF(B2238="","",IF(B2238&lt;TIME(12,0,0),"Manhã",IF(B2238&lt;TIME(18,0,0),"Tarde","Noite")))</f>
        <v/>
      </c>
      <c r="P2238" s="32">
        <f>IF(G2238="","",IFERROR(INDEX(Config!$I$5:$I$16,MATCH(G2238,Config!$H$5:$H$16,0)),0))</f>
        <v/>
      </c>
      <c r="Q2238" s="30">
        <f>IF(OR(H2238&lt;&gt;"Realizado",P2238="",P2238=0),"",A2238+P2238)</f>
        <v/>
      </c>
      <c r="R2238" s="26">
        <f>IF(Q2238="","",IF(COUNTIFS($E$5:$E$3004,E2238,$A$5:$A$3004,"&gt;"&amp;A2238,$H$5:$H$3004,"&lt;&gt;Falta",$H$5:$H$3004,"&lt;&gt;Cancelado",$H$5:$H$3004,"&lt;&gt;Remarcado")&gt;0,"Sim","Não"))</f>
        <v/>
      </c>
      <c r="S2238" s="32">
        <f>IF(R2238&lt;&gt;"Não","",IF(Q2238+Config!$B$9&lt;=Config!$B$8,Config!$B$8-Q2238,""))</f>
        <v/>
      </c>
      <c r="T2238" s="26">
        <f>IF(S2238="","","Sim")</f>
        <v/>
      </c>
      <c r="U2238" s="41">
        <f>IF(T2238="Sim",S2238+ROW()/100000,0)</f>
        <v>0</v>
      </c>
      <c r="V2238" s="41">
        <f>IF(AND(H2238="Falta",L2238=Config!$B$7,M2238=Config!$B$5,COUNTIFS($E$5:E2238,E2238,$H$5:H2238,"Falta",$L$5:L2238,Config!$B$7,$M$5:M2238,Config!$B$5)=1),COUNTIFS($E$5:$E$3004,E2238,$H$5:$H$3004,"Falta",$L$5:$L$3004,Config!$B$7,$M$5:$M$3004,Config!$B$5)*1000-ROW()/100000,0)</f>
        <v>0</v>
      </c>
    </row>
    <row r="2239">
      <c r="A2239" s="39" t="n"/>
      <c r="B2239" s="40" t="n"/>
      <c r="C2239" s="35" t="n"/>
      <c r="D2239" s="35" t="n"/>
      <c r="E2239" s="34" t="n"/>
      <c r="F2239" s="35" t="n"/>
      <c r="G2239" s="35" t="n"/>
      <c r="H2239" s="35" t="n"/>
      <c r="I2239" s="35" t="n"/>
      <c r="J2239" s="35" t="n"/>
      <c r="K2239" s="34" t="n"/>
      <c r="L2239" s="26">
        <f>IF(A2239="","",MONTH(A2239))</f>
        <v/>
      </c>
      <c r="M2239" s="26">
        <f>IF(A2239="","",YEAR(A2239))</f>
        <v/>
      </c>
      <c r="N2239" s="26">
        <f>IF(A2239="","",CHOOSE(WEEKDAY(A2239,2),"Segunda","Terça","Quarta","Quinta","Sexta","Sábado","Domingo"))</f>
        <v/>
      </c>
      <c r="O2239" s="26">
        <f>IF(B2239="","",IF(B2239&lt;TIME(12,0,0),"Manhã",IF(B2239&lt;TIME(18,0,0),"Tarde","Noite")))</f>
        <v/>
      </c>
      <c r="P2239" s="32">
        <f>IF(G2239="","",IFERROR(INDEX(Config!$I$5:$I$16,MATCH(G2239,Config!$H$5:$H$16,0)),0))</f>
        <v/>
      </c>
      <c r="Q2239" s="30">
        <f>IF(OR(H2239&lt;&gt;"Realizado",P2239="",P2239=0),"",A2239+P2239)</f>
        <v/>
      </c>
      <c r="R2239" s="26">
        <f>IF(Q2239="","",IF(COUNTIFS($E$5:$E$3004,E2239,$A$5:$A$3004,"&gt;"&amp;A2239,$H$5:$H$3004,"&lt;&gt;Falta",$H$5:$H$3004,"&lt;&gt;Cancelado",$H$5:$H$3004,"&lt;&gt;Remarcado")&gt;0,"Sim","Não"))</f>
        <v/>
      </c>
      <c r="S2239" s="32">
        <f>IF(R2239&lt;&gt;"Não","",IF(Q2239+Config!$B$9&lt;=Config!$B$8,Config!$B$8-Q2239,""))</f>
        <v/>
      </c>
      <c r="T2239" s="26">
        <f>IF(S2239="","","Sim")</f>
        <v/>
      </c>
      <c r="U2239" s="41">
        <f>IF(T2239="Sim",S2239+ROW()/100000,0)</f>
        <v>0</v>
      </c>
      <c r="V2239" s="41">
        <f>IF(AND(H2239="Falta",L2239=Config!$B$7,M2239=Config!$B$5,COUNTIFS($E$5:E2239,E2239,$H$5:H2239,"Falta",$L$5:L2239,Config!$B$7,$M$5:M2239,Config!$B$5)=1),COUNTIFS($E$5:$E$3004,E2239,$H$5:$H$3004,"Falta",$L$5:$L$3004,Config!$B$7,$M$5:$M$3004,Config!$B$5)*1000-ROW()/100000,0)</f>
        <v>0</v>
      </c>
    </row>
    <row r="2240">
      <c r="A2240" s="39" t="n"/>
      <c r="B2240" s="40" t="n"/>
      <c r="C2240" s="35" t="n"/>
      <c r="D2240" s="35" t="n"/>
      <c r="E2240" s="34" t="n"/>
      <c r="F2240" s="35" t="n"/>
      <c r="G2240" s="35" t="n"/>
      <c r="H2240" s="35" t="n"/>
      <c r="I2240" s="35" t="n"/>
      <c r="J2240" s="35" t="n"/>
      <c r="K2240" s="34" t="n"/>
      <c r="L2240" s="26">
        <f>IF(A2240="","",MONTH(A2240))</f>
        <v/>
      </c>
      <c r="M2240" s="26">
        <f>IF(A2240="","",YEAR(A2240))</f>
        <v/>
      </c>
      <c r="N2240" s="26">
        <f>IF(A2240="","",CHOOSE(WEEKDAY(A2240,2),"Segunda","Terça","Quarta","Quinta","Sexta","Sábado","Domingo"))</f>
        <v/>
      </c>
      <c r="O2240" s="26">
        <f>IF(B2240="","",IF(B2240&lt;TIME(12,0,0),"Manhã",IF(B2240&lt;TIME(18,0,0),"Tarde","Noite")))</f>
        <v/>
      </c>
      <c r="P2240" s="32">
        <f>IF(G2240="","",IFERROR(INDEX(Config!$I$5:$I$16,MATCH(G2240,Config!$H$5:$H$16,0)),0))</f>
        <v/>
      </c>
      <c r="Q2240" s="30">
        <f>IF(OR(H2240&lt;&gt;"Realizado",P2240="",P2240=0),"",A2240+P2240)</f>
        <v/>
      </c>
      <c r="R2240" s="26">
        <f>IF(Q2240="","",IF(COUNTIFS($E$5:$E$3004,E2240,$A$5:$A$3004,"&gt;"&amp;A2240,$H$5:$H$3004,"&lt;&gt;Falta",$H$5:$H$3004,"&lt;&gt;Cancelado",$H$5:$H$3004,"&lt;&gt;Remarcado")&gt;0,"Sim","Não"))</f>
        <v/>
      </c>
      <c r="S2240" s="32">
        <f>IF(R2240&lt;&gt;"Não","",IF(Q2240+Config!$B$9&lt;=Config!$B$8,Config!$B$8-Q2240,""))</f>
        <v/>
      </c>
      <c r="T2240" s="26">
        <f>IF(S2240="","","Sim")</f>
        <v/>
      </c>
      <c r="U2240" s="41">
        <f>IF(T2240="Sim",S2240+ROW()/100000,0)</f>
        <v>0</v>
      </c>
      <c r="V2240" s="41">
        <f>IF(AND(H2240="Falta",L2240=Config!$B$7,M2240=Config!$B$5,COUNTIFS($E$5:E2240,E2240,$H$5:H2240,"Falta",$L$5:L2240,Config!$B$7,$M$5:M2240,Config!$B$5)=1),COUNTIFS($E$5:$E$3004,E2240,$H$5:$H$3004,"Falta",$L$5:$L$3004,Config!$B$7,$M$5:$M$3004,Config!$B$5)*1000-ROW()/100000,0)</f>
        <v>0</v>
      </c>
    </row>
    <row r="2241">
      <c r="A2241" s="39" t="n"/>
      <c r="B2241" s="40" t="n"/>
      <c r="C2241" s="35" t="n"/>
      <c r="D2241" s="35" t="n"/>
      <c r="E2241" s="34" t="n"/>
      <c r="F2241" s="35" t="n"/>
      <c r="G2241" s="35" t="n"/>
      <c r="H2241" s="35" t="n"/>
      <c r="I2241" s="35" t="n"/>
      <c r="J2241" s="35" t="n"/>
      <c r="K2241" s="34" t="n"/>
      <c r="L2241" s="26">
        <f>IF(A2241="","",MONTH(A2241))</f>
        <v/>
      </c>
      <c r="M2241" s="26">
        <f>IF(A2241="","",YEAR(A2241))</f>
        <v/>
      </c>
      <c r="N2241" s="26">
        <f>IF(A2241="","",CHOOSE(WEEKDAY(A2241,2),"Segunda","Terça","Quarta","Quinta","Sexta","Sábado","Domingo"))</f>
        <v/>
      </c>
      <c r="O2241" s="26">
        <f>IF(B2241="","",IF(B2241&lt;TIME(12,0,0),"Manhã",IF(B2241&lt;TIME(18,0,0),"Tarde","Noite")))</f>
        <v/>
      </c>
      <c r="P2241" s="32">
        <f>IF(G2241="","",IFERROR(INDEX(Config!$I$5:$I$16,MATCH(G2241,Config!$H$5:$H$16,0)),0))</f>
        <v/>
      </c>
      <c r="Q2241" s="30">
        <f>IF(OR(H2241&lt;&gt;"Realizado",P2241="",P2241=0),"",A2241+P2241)</f>
        <v/>
      </c>
      <c r="R2241" s="26">
        <f>IF(Q2241="","",IF(COUNTIFS($E$5:$E$3004,E2241,$A$5:$A$3004,"&gt;"&amp;A2241,$H$5:$H$3004,"&lt;&gt;Falta",$H$5:$H$3004,"&lt;&gt;Cancelado",$H$5:$H$3004,"&lt;&gt;Remarcado")&gt;0,"Sim","Não"))</f>
        <v/>
      </c>
      <c r="S2241" s="32">
        <f>IF(R2241&lt;&gt;"Não","",IF(Q2241+Config!$B$9&lt;=Config!$B$8,Config!$B$8-Q2241,""))</f>
        <v/>
      </c>
      <c r="T2241" s="26">
        <f>IF(S2241="","","Sim")</f>
        <v/>
      </c>
      <c r="U2241" s="41">
        <f>IF(T2241="Sim",S2241+ROW()/100000,0)</f>
        <v>0</v>
      </c>
      <c r="V2241" s="41">
        <f>IF(AND(H2241="Falta",L2241=Config!$B$7,M2241=Config!$B$5,COUNTIFS($E$5:E2241,E2241,$H$5:H2241,"Falta",$L$5:L2241,Config!$B$7,$M$5:M2241,Config!$B$5)=1),COUNTIFS($E$5:$E$3004,E2241,$H$5:$H$3004,"Falta",$L$5:$L$3004,Config!$B$7,$M$5:$M$3004,Config!$B$5)*1000-ROW()/100000,0)</f>
        <v>0</v>
      </c>
    </row>
    <row r="2242">
      <c r="A2242" s="39" t="n"/>
      <c r="B2242" s="40" t="n"/>
      <c r="C2242" s="35" t="n"/>
      <c r="D2242" s="35" t="n"/>
      <c r="E2242" s="34" t="n"/>
      <c r="F2242" s="35" t="n"/>
      <c r="G2242" s="35" t="n"/>
      <c r="H2242" s="35" t="n"/>
      <c r="I2242" s="35" t="n"/>
      <c r="J2242" s="35" t="n"/>
      <c r="K2242" s="34" t="n"/>
      <c r="L2242" s="26">
        <f>IF(A2242="","",MONTH(A2242))</f>
        <v/>
      </c>
      <c r="M2242" s="26">
        <f>IF(A2242="","",YEAR(A2242))</f>
        <v/>
      </c>
      <c r="N2242" s="26">
        <f>IF(A2242="","",CHOOSE(WEEKDAY(A2242,2),"Segunda","Terça","Quarta","Quinta","Sexta","Sábado","Domingo"))</f>
        <v/>
      </c>
      <c r="O2242" s="26">
        <f>IF(B2242="","",IF(B2242&lt;TIME(12,0,0),"Manhã",IF(B2242&lt;TIME(18,0,0),"Tarde","Noite")))</f>
        <v/>
      </c>
      <c r="P2242" s="32">
        <f>IF(G2242="","",IFERROR(INDEX(Config!$I$5:$I$16,MATCH(G2242,Config!$H$5:$H$16,0)),0))</f>
        <v/>
      </c>
      <c r="Q2242" s="30">
        <f>IF(OR(H2242&lt;&gt;"Realizado",P2242="",P2242=0),"",A2242+P2242)</f>
        <v/>
      </c>
      <c r="R2242" s="26">
        <f>IF(Q2242="","",IF(COUNTIFS($E$5:$E$3004,E2242,$A$5:$A$3004,"&gt;"&amp;A2242,$H$5:$H$3004,"&lt;&gt;Falta",$H$5:$H$3004,"&lt;&gt;Cancelado",$H$5:$H$3004,"&lt;&gt;Remarcado")&gt;0,"Sim","Não"))</f>
        <v/>
      </c>
      <c r="S2242" s="32">
        <f>IF(R2242&lt;&gt;"Não","",IF(Q2242+Config!$B$9&lt;=Config!$B$8,Config!$B$8-Q2242,""))</f>
        <v/>
      </c>
      <c r="T2242" s="26">
        <f>IF(S2242="","","Sim")</f>
        <v/>
      </c>
      <c r="U2242" s="41">
        <f>IF(T2242="Sim",S2242+ROW()/100000,0)</f>
        <v>0</v>
      </c>
      <c r="V2242" s="41">
        <f>IF(AND(H2242="Falta",L2242=Config!$B$7,M2242=Config!$B$5,COUNTIFS($E$5:E2242,E2242,$H$5:H2242,"Falta",$L$5:L2242,Config!$B$7,$M$5:M2242,Config!$B$5)=1),COUNTIFS($E$5:$E$3004,E2242,$H$5:$H$3004,"Falta",$L$5:$L$3004,Config!$B$7,$M$5:$M$3004,Config!$B$5)*1000-ROW()/100000,0)</f>
        <v>0</v>
      </c>
    </row>
    <row r="2243">
      <c r="A2243" s="39" t="n"/>
      <c r="B2243" s="40" t="n"/>
      <c r="C2243" s="35" t="n"/>
      <c r="D2243" s="35" t="n"/>
      <c r="E2243" s="34" t="n"/>
      <c r="F2243" s="35" t="n"/>
      <c r="G2243" s="35" t="n"/>
      <c r="H2243" s="35" t="n"/>
      <c r="I2243" s="35" t="n"/>
      <c r="J2243" s="35" t="n"/>
      <c r="K2243" s="34" t="n"/>
      <c r="L2243" s="26">
        <f>IF(A2243="","",MONTH(A2243))</f>
        <v/>
      </c>
      <c r="M2243" s="26">
        <f>IF(A2243="","",YEAR(A2243))</f>
        <v/>
      </c>
      <c r="N2243" s="26">
        <f>IF(A2243="","",CHOOSE(WEEKDAY(A2243,2),"Segunda","Terça","Quarta","Quinta","Sexta","Sábado","Domingo"))</f>
        <v/>
      </c>
      <c r="O2243" s="26">
        <f>IF(B2243="","",IF(B2243&lt;TIME(12,0,0),"Manhã",IF(B2243&lt;TIME(18,0,0),"Tarde","Noite")))</f>
        <v/>
      </c>
      <c r="P2243" s="32">
        <f>IF(G2243="","",IFERROR(INDEX(Config!$I$5:$I$16,MATCH(G2243,Config!$H$5:$H$16,0)),0))</f>
        <v/>
      </c>
      <c r="Q2243" s="30">
        <f>IF(OR(H2243&lt;&gt;"Realizado",P2243="",P2243=0),"",A2243+P2243)</f>
        <v/>
      </c>
      <c r="R2243" s="26">
        <f>IF(Q2243="","",IF(COUNTIFS($E$5:$E$3004,E2243,$A$5:$A$3004,"&gt;"&amp;A2243,$H$5:$H$3004,"&lt;&gt;Falta",$H$5:$H$3004,"&lt;&gt;Cancelado",$H$5:$H$3004,"&lt;&gt;Remarcado")&gt;0,"Sim","Não"))</f>
        <v/>
      </c>
      <c r="S2243" s="32">
        <f>IF(R2243&lt;&gt;"Não","",IF(Q2243+Config!$B$9&lt;=Config!$B$8,Config!$B$8-Q2243,""))</f>
        <v/>
      </c>
      <c r="T2243" s="26">
        <f>IF(S2243="","","Sim")</f>
        <v/>
      </c>
      <c r="U2243" s="41">
        <f>IF(T2243="Sim",S2243+ROW()/100000,0)</f>
        <v>0</v>
      </c>
      <c r="V2243" s="41">
        <f>IF(AND(H2243="Falta",L2243=Config!$B$7,M2243=Config!$B$5,COUNTIFS($E$5:E2243,E2243,$H$5:H2243,"Falta",$L$5:L2243,Config!$B$7,$M$5:M2243,Config!$B$5)=1),COUNTIFS($E$5:$E$3004,E2243,$H$5:$H$3004,"Falta",$L$5:$L$3004,Config!$B$7,$M$5:$M$3004,Config!$B$5)*1000-ROW()/100000,0)</f>
        <v>0</v>
      </c>
    </row>
    <row r="2244">
      <c r="A2244" s="39" t="n"/>
      <c r="B2244" s="40" t="n"/>
      <c r="C2244" s="35" t="n"/>
      <c r="D2244" s="35" t="n"/>
      <c r="E2244" s="34" t="n"/>
      <c r="F2244" s="35" t="n"/>
      <c r="G2244" s="35" t="n"/>
      <c r="H2244" s="35" t="n"/>
      <c r="I2244" s="35" t="n"/>
      <c r="J2244" s="35" t="n"/>
      <c r="K2244" s="34" t="n"/>
      <c r="L2244" s="26">
        <f>IF(A2244="","",MONTH(A2244))</f>
        <v/>
      </c>
      <c r="M2244" s="26">
        <f>IF(A2244="","",YEAR(A2244))</f>
        <v/>
      </c>
      <c r="N2244" s="26">
        <f>IF(A2244="","",CHOOSE(WEEKDAY(A2244,2),"Segunda","Terça","Quarta","Quinta","Sexta","Sábado","Domingo"))</f>
        <v/>
      </c>
      <c r="O2244" s="26">
        <f>IF(B2244="","",IF(B2244&lt;TIME(12,0,0),"Manhã",IF(B2244&lt;TIME(18,0,0),"Tarde","Noite")))</f>
        <v/>
      </c>
      <c r="P2244" s="32">
        <f>IF(G2244="","",IFERROR(INDEX(Config!$I$5:$I$16,MATCH(G2244,Config!$H$5:$H$16,0)),0))</f>
        <v/>
      </c>
      <c r="Q2244" s="30">
        <f>IF(OR(H2244&lt;&gt;"Realizado",P2244="",P2244=0),"",A2244+P2244)</f>
        <v/>
      </c>
      <c r="R2244" s="26">
        <f>IF(Q2244="","",IF(COUNTIFS($E$5:$E$3004,E2244,$A$5:$A$3004,"&gt;"&amp;A2244,$H$5:$H$3004,"&lt;&gt;Falta",$H$5:$H$3004,"&lt;&gt;Cancelado",$H$5:$H$3004,"&lt;&gt;Remarcado")&gt;0,"Sim","Não"))</f>
        <v/>
      </c>
      <c r="S2244" s="32">
        <f>IF(R2244&lt;&gt;"Não","",IF(Q2244+Config!$B$9&lt;=Config!$B$8,Config!$B$8-Q2244,""))</f>
        <v/>
      </c>
      <c r="T2244" s="26">
        <f>IF(S2244="","","Sim")</f>
        <v/>
      </c>
      <c r="U2244" s="41">
        <f>IF(T2244="Sim",S2244+ROW()/100000,0)</f>
        <v>0</v>
      </c>
      <c r="V2244" s="41">
        <f>IF(AND(H2244="Falta",L2244=Config!$B$7,M2244=Config!$B$5,COUNTIFS($E$5:E2244,E2244,$H$5:H2244,"Falta",$L$5:L2244,Config!$B$7,$M$5:M2244,Config!$B$5)=1),COUNTIFS($E$5:$E$3004,E2244,$H$5:$H$3004,"Falta",$L$5:$L$3004,Config!$B$7,$M$5:$M$3004,Config!$B$5)*1000-ROW()/100000,0)</f>
        <v>0</v>
      </c>
    </row>
    <row r="2245">
      <c r="A2245" s="39" t="n"/>
      <c r="B2245" s="40" t="n"/>
      <c r="C2245" s="35" t="n"/>
      <c r="D2245" s="35" t="n"/>
      <c r="E2245" s="34" t="n"/>
      <c r="F2245" s="35" t="n"/>
      <c r="G2245" s="35" t="n"/>
      <c r="H2245" s="35" t="n"/>
      <c r="I2245" s="35" t="n"/>
      <c r="J2245" s="35" t="n"/>
      <c r="K2245" s="34" t="n"/>
      <c r="L2245" s="26">
        <f>IF(A2245="","",MONTH(A2245))</f>
        <v/>
      </c>
      <c r="M2245" s="26">
        <f>IF(A2245="","",YEAR(A2245))</f>
        <v/>
      </c>
      <c r="N2245" s="26">
        <f>IF(A2245="","",CHOOSE(WEEKDAY(A2245,2),"Segunda","Terça","Quarta","Quinta","Sexta","Sábado","Domingo"))</f>
        <v/>
      </c>
      <c r="O2245" s="26">
        <f>IF(B2245="","",IF(B2245&lt;TIME(12,0,0),"Manhã",IF(B2245&lt;TIME(18,0,0),"Tarde","Noite")))</f>
        <v/>
      </c>
      <c r="P2245" s="32">
        <f>IF(G2245="","",IFERROR(INDEX(Config!$I$5:$I$16,MATCH(G2245,Config!$H$5:$H$16,0)),0))</f>
        <v/>
      </c>
      <c r="Q2245" s="30">
        <f>IF(OR(H2245&lt;&gt;"Realizado",P2245="",P2245=0),"",A2245+P2245)</f>
        <v/>
      </c>
      <c r="R2245" s="26">
        <f>IF(Q2245="","",IF(COUNTIFS($E$5:$E$3004,E2245,$A$5:$A$3004,"&gt;"&amp;A2245,$H$5:$H$3004,"&lt;&gt;Falta",$H$5:$H$3004,"&lt;&gt;Cancelado",$H$5:$H$3004,"&lt;&gt;Remarcado")&gt;0,"Sim","Não"))</f>
        <v/>
      </c>
      <c r="S2245" s="32">
        <f>IF(R2245&lt;&gt;"Não","",IF(Q2245+Config!$B$9&lt;=Config!$B$8,Config!$B$8-Q2245,""))</f>
        <v/>
      </c>
      <c r="T2245" s="26">
        <f>IF(S2245="","","Sim")</f>
        <v/>
      </c>
      <c r="U2245" s="41">
        <f>IF(T2245="Sim",S2245+ROW()/100000,0)</f>
        <v>0</v>
      </c>
      <c r="V2245" s="41">
        <f>IF(AND(H2245="Falta",L2245=Config!$B$7,M2245=Config!$B$5,COUNTIFS($E$5:E2245,E2245,$H$5:H2245,"Falta",$L$5:L2245,Config!$B$7,$M$5:M2245,Config!$B$5)=1),COUNTIFS($E$5:$E$3004,E2245,$H$5:$H$3004,"Falta",$L$5:$L$3004,Config!$B$7,$M$5:$M$3004,Config!$B$5)*1000-ROW()/100000,0)</f>
        <v>0</v>
      </c>
    </row>
    <row r="2246">
      <c r="A2246" s="39" t="n"/>
      <c r="B2246" s="40" t="n"/>
      <c r="C2246" s="35" t="n"/>
      <c r="D2246" s="35" t="n"/>
      <c r="E2246" s="34" t="n"/>
      <c r="F2246" s="35" t="n"/>
      <c r="G2246" s="35" t="n"/>
      <c r="H2246" s="35" t="n"/>
      <c r="I2246" s="35" t="n"/>
      <c r="J2246" s="35" t="n"/>
      <c r="K2246" s="34" t="n"/>
      <c r="L2246" s="26">
        <f>IF(A2246="","",MONTH(A2246))</f>
        <v/>
      </c>
      <c r="M2246" s="26">
        <f>IF(A2246="","",YEAR(A2246))</f>
        <v/>
      </c>
      <c r="N2246" s="26">
        <f>IF(A2246="","",CHOOSE(WEEKDAY(A2246,2),"Segunda","Terça","Quarta","Quinta","Sexta","Sábado","Domingo"))</f>
        <v/>
      </c>
      <c r="O2246" s="26">
        <f>IF(B2246="","",IF(B2246&lt;TIME(12,0,0),"Manhã",IF(B2246&lt;TIME(18,0,0),"Tarde","Noite")))</f>
        <v/>
      </c>
      <c r="P2246" s="32">
        <f>IF(G2246="","",IFERROR(INDEX(Config!$I$5:$I$16,MATCH(G2246,Config!$H$5:$H$16,0)),0))</f>
        <v/>
      </c>
      <c r="Q2246" s="30">
        <f>IF(OR(H2246&lt;&gt;"Realizado",P2246="",P2246=0),"",A2246+P2246)</f>
        <v/>
      </c>
      <c r="R2246" s="26">
        <f>IF(Q2246="","",IF(COUNTIFS($E$5:$E$3004,E2246,$A$5:$A$3004,"&gt;"&amp;A2246,$H$5:$H$3004,"&lt;&gt;Falta",$H$5:$H$3004,"&lt;&gt;Cancelado",$H$5:$H$3004,"&lt;&gt;Remarcado")&gt;0,"Sim","Não"))</f>
        <v/>
      </c>
      <c r="S2246" s="32">
        <f>IF(R2246&lt;&gt;"Não","",IF(Q2246+Config!$B$9&lt;=Config!$B$8,Config!$B$8-Q2246,""))</f>
        <v/>
      </c>
      <c r="T2246" s="26">
        <f>IF(S2246="","","Sim")</f>
        <v/>
      </c>
      <c r="U2246" s="41">
        <f>IF(T2246="Sim",S2246+ROW()/100000,0)</f>
        <v>0</v>
      </c>
      <c r="V2246" s="41">
        <f>IF(AND(H2246="Falta",L2246=Config!$B$7,M2246=Config!$B$5,COUNTIFS($E$5:E2246,E2246,$H$5:H2246,"Falta",$L$5:L2246,Config!$B$7,$M$5:M2246,Config!$B$5)=1),COUNTIFS($E$5:$E$3004,E2246,$H$5:$H$3004,"Falta",$L$5:$L$3004,Config!$B$7,$M$5:$M$3004,Config!$B$5)*1000-ROW()/100000,0)</f>
        <v>0</v>
      </c>
    </row>
    <row r="2247">
      <c r="A2247" s="39" t="n"/>
      <c r="B2247" s="40" t="n"/>
      <c r="C2247" s="35" t="n"/>
      <c r="D2247" s="35" t="n"/>
      <c r="E2247" s="34" t="n"/>
      <c r="F2247" s="35" t="n"/>
      <c r="G2247" s="35" t="n"/>
      <c r="H2247" s="35" t="n"/>
      <c r="I2247" s="35" t="n"/>
      <c r="J2247" s="35" t="n"/>
      <c r="K2247" s="34" t="n"/>
      <c r="L2247" s="26">
        <f>IF(A2247="","",MONTH(A2247))</f>
        <v/>
      </c>
      <c r="M2247" s="26">
        <f>IF(A2247="","",YEAR(A2247))</f>
        <v/>
      </c>
      <c r="N2247" s="26">
        <f>IF(A2247="","",CHOOSE(WEEKDAY(A2247,2),"Segunda","Terça","Quarta","Quinta","Sexta","Sábado","Domingo"))</f>
        <v/>
      </c>
      <c r="O2247" s="26">
        <f>IF(B2247="","",IF(B2247&lt;TIME(12,0,0),"Manhã",IF(B2247&lt;TIME(18,0,0),"Tarde","Noite")))</f>
        <v/>
      </c>
      <c r="P2247" s="32">
        <f>IF(G2247="","",IFERROR(INDEX(Config!$I$5:$I$16,MATCH(G2247,Config!$H$5:$H$16,0)),0))</f>
        <v/>
      </c>
      <c r="Q2247" s="30">
        <f>IF(OR(H2247&lt;&gt;"Realizado",P2247="",P2247=0),"",A2247+P2247)</f>
        <v/>
      </c>
      <c r="R2247" s="26">
        <f>IF(Q2247="","",IF(COUNTIFS($E$5:$E$3004,E2247,$A$5:$A$3004,"&gt;"&amp;A2247,$H$5:$H$3004,"&lt;&gt;Falta",$H$5:$H$3004,"&lt;&gt;Cancelado",$H$5:$H$3004,"&lt;&gt;Remarcado")&gt;0,"Sim","Não"))</f>
        <v/>
      </c>
      <c r="S2247" s="32">
        <f>IF(R2247&lt;&gt;"Não","",IF(Q2247+Config!$B$9&lt;=Config!$B$8,Config!$B$8-Q2247,""))</f>
        <v/>
      </c>
      <c r="T2247" s="26">
        <f>IF(S2247="","","Sim")</f>
        <v/>
      </c>
      <c r="U2247" s="41">
        <f>IF(T2247="Sim",S2247+ROW()/100000,0)</f>
        <v>0</v>
      </c>
      <c r="V2247" s="41">
        <f>IF(AND(H2247="Falta",L2247=Config!$B$7,M2247=Config!$B$5,COUNTIFS($E$5:E2247,E2247,$H$5:H2247,"Falta",$L$5:L2247,Config!$B$7,$M$5:M2247,Config!$B$5)=1),COUNTIFS($E$5:$E$3004,E2247,$H$5:$H$3004,"Falta",$L$5:$L$3004,Config!$B$7,$M$5:$M$3004,Config!$B$5)*1000-ROW()/100000,0)</f>
        <v>0</v>
      </c>
    </row>
    <row r="2248">
      <c r="A2248" s="39" t="n"/>
      <c r="B2248" s="40" t="n"/>
      <c r="C2248" s="35" t="n"/>
      <c r="D2248" s="35" t="n"/>
      <c r="E2248" s="34" t="n"/>
      <c r="F2248" s="35" t="n"/>
      <c r="G2248" s="35" t="n"/>
      <c r="H2248" s="35" t="n"/>
      <c r="I2248" s="35" t="n"/>
      <c r="J2248" s="35" t="n"/>
      <c r="K2248" s="34" t="n"/>
      <c r="L2248" s="26">
        <f>IF(A2248="","",MONTH(A2248))</f>
        <v/>
      </c>
      <c r="M2248" s="26">
        <f>IF(A2248="","",YEAR(A2248))</f>
        <v/>
      </c>
      <c r="N2248" s="26">
        <f>IF(A2248="","",CHOOSE(WEEKDAY(A2248,2),"Segunda","Terça","Quarta","Quinta","Sexta","Sábado","Domingo"))</f>
        <v/>
      </c>
      <c r="O2248" s="26">
        <f>IF(B2248="","",IF(B2248&lt;TIME(12,0,0),"Manhã",IF(B2248&lt;TIME(18,0,0),"Tarde","Noite")))</f>
        <v/>
      </c>
      <c r="P2248" s="32">
        <f>IF(G2248="","",IFERROR(INDEX(Config!$I$5:$I$16,MATCH(G2248,Config!$H$5:$H$16,0)),0))</f>
        <v/>
      </c>
      <c r="Q2248" s="30">
        <f>IF(OR(H2248&lt;&gt;"Realizado",P2248="",P2248=0),"",A2248+P2248)</f>
        <v/>
      </c>
      <c r="R2248" s="26">
        <f>IF(Q2248="","",IF(COUNTIFS($E$5:$E$3004,E2248,$A$5:$A$3004,"&gt;"&amp;A2248,$H$5:$H$3004,"&lt;&gt;Falta",$H$5:$H$3004,"&lt;&gt;Cancelado",$H$5:$H$3004,"&lt;&gt;Remarcado")&gt;0,"Sim","Não"))</f>
        <v/>
      </c>
      <c r="S2248" s="32">
        <f>IF(R2248&lt;&gt;"Não","",IF(Q2248+Config!$B$9&lt;=Config!$B$8,Config!$B$8-Q2248,""))</f>
        <v/>
      </c>
      <c r="T2248" s="26">
        <f>IF(S2248="","","Sim")</f>
        <v/>
      </c>
      <c r="U2248" s="41">
        <f>IF(T2248="Sim",S2248+ROW()/100000,0)</f>
        <v>0</v>
      </c>
      <c r="V2248" s="41">
        <f>IF(AND(H2248="Falta",L2248=Config!$B$7,M2248=Config!$B$5,COUNTIFS($E$5:E2248,E2248,$H$5:H2248,"Falta",$L$5:L2248,Config!$B$7,$M$5:M2248,Config!$B$5)=1),COUNTIFS($E$5:$E$3004,E2248,$H$5:$H$3004,"Falta",$L$5:$L$3004,Config!$B$7,$M$5:$M$3004,Config!$B$5)*1000-ROW()/100000,0)</f>
        <v>0</v>
      </c>
    </row>
    <row r="2249">
      <c r="A2249" s="39" t="n"/>
      <c r="B2249" s="40" t="n"/>
      <c r="C2249" s="35" t="n"/>
      <c r="D2249" s="35" t="n"/>
      <c r="E2249" s="34" t="n"/>
      <c r="F2249" s="35" t="n"/>
      <c r="G2249" s="35" t="n"/>
      <c r="H2249" s="35" t="n"/>
      <c r="I2249" s="35" t="n"/>
      <c r="J2249" s="35" t="n"/>
      <c r="K2249" s="34" t="n"/>
      <c r="L2249" s="26">
        <f>IF(A2249="","",MONTH(A2249))</f>
        <v/>
      </c>
      <c r="M2249" s="26">
        <f>IF(A2249="","",YEAR(A2249))</f>
        <v/>
      </c>
      <c r="N2249" s="26">
        <f>IF(A2249="","",CHOOSE(WEEKDAY(A2249,2),"Segunda","Terça","Quarta","Quinta","Sexta","Sábado","Domingo"))</f>
        <v/>
      </c>
      <c r="O2249" s="26">
        <f>IF(B2249="","",IF(B2249&lt;TIME(12,0,0),"Manhã",IF(B2249&lt;TIME(18,0,0),"Tarde","Noite")))</f>
        <v/>
      </c>
      <c r="P2249" s="32">
        <f>IF(G2249="","",IFERROR(INDEX(Config!$I$5:$I$16,MATCH(G2249,Config!$H$5:$H$16,0)),0))</f>
        <v/>
      </c>
      <c r="Q2249" s="30">
        <f>IF(OR(H2249&lt;&gt;"Realizado",P2249="",P2249=0),"",A2249+P2249)</f>
        <v/>
      </c>
      <c r="R2249" s="26">
        <f>IF(Q2249="","",IF(COUNTIFS($E$5:$E$3004,E2249,$A$5:$A$3004,"&gt;"&amp;A2249,$H$5:$H$3004,"&lt;&gt;Falta",$H$5:$H$3004,"&lt;&gt;Cancelado",$H$5:$H$3004,"&lt;&gt;Remarcado")&gt;0,"Sim","Não"))</f>
        <v/>
      </c>
      <c r="S2249" s="32">
        <f>IF(R2249&lt;&gt;"Não","",IF(Q2249+Config!$B$9&lt;=Config!$B$8,Config!$B$8-Q2249,""))</f>
        <v/>
      </c>
      <c r="T2249" s="26">
        <f>IF(S2249="","","Sim")</f>
        <v/>
      </c>
      <c r="U2249" s="41">
        <f>IF(T2249="Sim",S2249+ROW()/100000,0)</f>
        <v>0</v>
      </c>
      <c r="V2249" s="41">
        <f>IF(AND(H2249="Falta",L2249=Config!$B$7,M2249=Config!$B$5,COUNTIFS($E$5:E2249,E2249,$H$5:H2249,"Falta",$L$5:L2249,Config!$B$7,$M$5:M2249,Config!$B$5)=1),COUNTIFS($E$5:$E$3004,E2249,$H$5:$H$3004,"Falta",$L$5:$L$3004,Config!$B$7,$M$5:$M$3004,Config!$B$5)*1000-ROW()/100000,0)</f>
        <v>0</v>
      </c>
    </row>
    <row r="2250">
      <c r="A2250" s="39" t="n"/>
      <c r="B2250" s="40" t="n"/>
      <c r="C2250" s="35" t="n"/>
      <c r="D2250" s="35" t="n"/>
      <c r="E2250" s="34" t="n"/>
      <c r="F2250" s="35" t="n"/>
      <c r="G2250" s="35" t="n"/>
      <c r="H2250" s="35" t="n"/>
      <c r="I2250" s="35" t="n"/>
      <c r="J2250" s="35" t="n"/>
      <c r="K2250" s="34" t="n"/>
      <c r="L2250" s="26">
        <f>IF(A2250="","",MONTH(A2250))</f>
        <v/>
      </c>
      <c r="M2250" s="26">
        <f>IF(A2250="","",YEAR(A2250))</f>
        <v/>
      </c>
      <c r="N2250" s="26">
        <f>IF(A2250="","",CHOOSE(WEEKDAY(A2250,2),"Segunda","Terça","Quarta","Quinta","Sexta","Sábado","Domingo"))</f>
        <v/>
      </c>
      <c r="O2250" s="26">
        <f>IF(B2250="","",IF(B2250&lt;TIME(12,0,0),"Manhã",IF(B2250&lt;TIME(18,0,0),"Tarde","Noite")))</f>
        <v/>
      </c>
      <c r="P2250" s="32">
        <f>IF(G2250="","",IFERROR(INDEX(Config!$I$5:$I$16,MATCH(G2250,Config!$H$5:$H$16,0)),0))</f>
        <v/>
      </c>
      <c r="Q2250" s="30">
        <f>IF(OR(H2250&lt;&gt;"Realizado",P2250="",P2250=0),"",A2250+P2250)</f>
        <v/>
      </c>
      <c r="R2250" s="26">
        <f>IF(Q2250="","",IF(COUNTIFS($E$5:$E$3004,E2250,$A$5:$A$3004,"&gt;"&amp;A2250,$H$5:$H$3004,"&lt;&gt;Falta",$H$5:$H$3004,"&lt;&gt;Cancelado",$H$5:$H$3004,"&lt;&gt;Remarcado")&gt;0,"Sim","Não"))</f>
        <v/>
      </c>
      <c r="S2250" s="32">
        <f>IF(R2250&lt;&gt;"Não","",IF(Q2250+Config!$B$9&lt;=Config!$B$8,Config!$B$8-Q2250,""))</f>
        <v/>
      </c>
      <c r="T2250" s="26">
        <f>IF(S2250="","","Sim")</f>
        <v/>
      </c>
      <c r="U2250" s="41">
        <f>IF(T2250="Sim",S2250+ROW()/100000,0)</f>
        <v>0</v>
      </c>
      <c r="V2250" s="41">
        <f>IF(AND(H2250="Falta",L2250=Config!$B$7,M2250=Config!$B$5,COUNTIFS($E$5:E2250,E2250,$H$5:H2250,"Falta",$L$5:L2250,Config!$B$7,$M$5:M2250,Config!$B$5)=1),COUNTIFS($E$5:$E$3004,E2250,$H$5:$H$3004,"Falta",$L$5:$L$3004,Config!$B$7,$M$5:$M$3004,Config!$B$5)*1000-ROW()/100000,0)</f>
        <v>0</v>
      </c>
    </row>
    <row r="2251">
      <c r="A2251" s="39" t="n"/>
      <c r="B2251" s="40" t="n"/>
      <c r="C2251" s="35" t="n"/>
      <c r="D2251" s="35" t="n"/>
      <c r="E2251" s="34" t="n"/>
      <c r="F2251" s="35" t="n"/>
      <c r="G2251" s="35" t="n"/>
      <c r="H2251" s="35" t="n"/>
      <c r="I2251" s="35" t="n"/>
      <c r="J2251" s="35" t="n"/>
      <c r="K2251" s="34" t="n"/>
      <c r="L2251" s="26">
        <f>IF(A2251="","",MONTH(A2251))</f>
        <v/>
      </c>
      <c r="M2251" s="26">
        <f>IF(A2251="","",YEAR(A2251))</f>
        <v/>
      </c>
      <c r="N2251" s="26">
        <f>IF(A2251="","",CHOOSE(WEEKDAY(A2251,2),"Segunda","Terça","Quarta","Quinta","Sexta","Sábado","Domingo"))</f>
        <v/>
      </c>
      <c r="O2251" s="26">
        <f>IF(B2251="","",IF(B2251&lt;TIME(12,0,0),"Manhã",IF(B2251&lt;TIME(18,0,0),"Tarde","Noite")))</f>
        <v/>
      </c>
      <c r="P2251" s="32">
        <f>IF(G2251="","",IFERROR(INDEX(Config!$I$5:$I$16,MATCH(G2251,Config!$H$5:$H$16,0)),0))</f>
        <v/>
      </c>
      <c r="Q2251" s="30">
        <f>IF(OR(H2251&lt;&gt;"Realizado",P2251="",P2251=0),"",A2251+P2251)</f>
        <v/>
      </c>
      <c r="R2251" s="26">
        <f>IF(Q2251="","",IF(COUNTIFS($E$5:$E$3004,E2251,$A$5:$A$3004,"&gt;"&amp;A2251,$H$5:$H$3004,"&lt;&gt;Falta",$H$5:$H$3004,"&lt;&gt;Cancelado",$H$5:$H$3004,"&lt;&gt;Remarcado")&gt;0,"Sim","Não"))</f>
        <v/>
      </c>
      <c r="S2251" s="32">
        <f>IF(R2251&lt;&gt;"Não","",IF(Q2251+Config!$B$9&lt;=Config!$B$8,Config!$B$8-Q2251,""))</f>
        <v/>
      </c>
      <c r="T2251" s="26">
        <f>IF(S2251="","","Sim")</f>
        <v/>
      </c>
      <c r="U2251" s="41">
        <f>IF(T2251="Sim",S2251+ROW()/100000,0)</f>
        <v>0</v>
      </c>
      <c r="V2251" s="41">
        <f>IF(AND(H2251="Falta",L2251=Config!$B$7,M2251=Config!$B$5,COUNTIFS($E$5:E2251,E2251,$H$5:H2251,"Falta",$L$5:L2251,Config!$B$7,$M$5:M2251,Config!$B$5)=1),COUNTIFS($E$5:$E$3004,E2251,$H$5:$H$3004,"Falta",$L$5:$L$3004,Config!$B$7,$M$5:$M$3004,Config!$B$5)*1000-ROW()/100000,0)</f>
        <v>0</v>
      </c>
    </row>
    <row r="2252">
      <c r="A2252" s="39" t="n"/>
      <c r="B2252" s="40" t="n"/>
      <c r="C2252" s="35" t="n"/>
      <c r="D2252" s="35" t="n"/>
      <c r="E2252" s="34" t="n"/>
      <c r="F2252" s="35" t="n"/>
      <c r="G2252" s="35" t="n"/>
      <c r="H2252" s="35" t="n"/>
      <c r="I2252" s="35" t="n"/>
      <c r="J2252" s="35" t="n"/>
      <c r="K2252" s="34" t="n"/>
      <c r="L2252" s="26">
        <f>IF(A2252="","",MONTH(A2252))</f>
        <v/>
      </c>
      <c r="M2252" s="26">
        <f>IF(A2252="","",YEAR(A2252))</f>
        <v/>
      </c>
      <c r="N2252" s="26">
        <f>IF(A2252="","",CHOOSE(WEEKDAY(A2252,2),"Segunda","Terça","Quarta","Quinta","Sexta","Sábado","Domingo"))</f>
        <v/>
      </c>
      <c r="O2252" s="26">
        <f>IF(B2252="","",IF(B2252&lt;TIME(12,0,0),"Manhã",IF(B2252&lt;TIME(18,0,0),"Tarde","Noite")))</f>
        <v/>
      </c>
      <c r="P2252" s="32">
        <f>IF(G2252="","",IFERROR(INDEX(Config!$I$5:$I$16,MATCH(G2252,Config!$H$5:$H$16,0)),0))</f>
        <v/>
      </c>
      <c r="Q2252" s="30">
        <f>IF(OR(H2252&lt;&gt;"Realizado",P2252="",P2252=0),"",A2252+P2252)</f>
        <v/>
      </c>
      <c r="R2252" s="26">
        <f>IF(Q2252="","",IF(COUNTIFS($E$5:$E$3004,E2252,$A$5:$A$3004,"&gt;"&amp;A2252,$H$5:$H$3004,"&lt;&gt;Falta",$H$5:$H$3004,"&lt;&gt;Cancelado",$H$5:$H$3004,"&lt;&gt;Remarcado")&gt;0,"Sim","Não"))</f>
        <v/>
      </c>
      <c r="S2252" s="32">
        <f>IF(R2252&lt;&gt;"Não","",IF(Q2252+Config!$B$9&lt;=Config!$B$8,Config!$B$8-Q2252,""))</f>
        <v/>
      </c>
      <c r="T2252" s="26">
        <f>IF(S2252="","","Sim")</f>
        <v/>
      </c>
      <c r="U2252" s="41">
        <f>IF(T2252="Sim",S2252+ROW()/100000,0)</f>
        <v>0</v>
      </c>
      <c r="V2252" s="41">
        <f>IF(AND(H2252="Falta",L2252=Config!$B$7,M2252=Config!$B$5,COUNTIFS($E$5:E2252,E2252,$H$5:H2252,"Falta",$L$5:L2252,Config!$B$7,$M$5:M2252,Config!$B$5)=1),COUNTIFS($E$5:$E$3004,E2252,$H$5:$H$3004,"Falta",$L$5:$L$3004,Config!$B$7,$M$5:$M$3004,Config!$B$5)*1000-ROW()/100000,0)</f>
        <v>0</v>
      </c>
    </row>
    <row r="2253">
      <c r="A2253" s="39" t="n"/>
      <c r="B2253" s="40" t="n"/>
      <c r="C2253" s="35" t="n"/>
      <c r="D2253" s="35" t="n"/>
      <c r="E2253" s="34" t="n"/>
      <c r="F2253" s="35" t="n"/>
      <c r="G2253" s="35" t="n"/>
      <c r="H2253" s="35" t="n"/>
      <c r="I2253" s="35" t="n"/>
      <c r="J2253" s="35" t="n"/>
      <c r="K2253" s="34" t="n"/>
      <c r="L2253" s="26">
        <f>IF(A2253="","",MONTH(A2253))</f>
        <v/>
      </c>
      <c r="M2253" s="26">
        <f>IF(A2253="","",YEAR(A2253))</f>
        <v/>
      </c>
      <c r="N2253" s="26">
        <f>IF(A2253="","",CHOOSE(WEEKDAY(A2253,2),"Segunda","Terça","Quarta","Quinta","Sexta","Sábado","Domingo"))</f>
        <v/>
      </c>
      <c r="O2253" s="26">
        <f>IF(B2253="","",IF(B2253&lt;TIME(12,0,0),"Manhã",IF(B2253&lt;TIME(18,0,0),"Tarde","Noite")))</f>
        <v/>
      </c>
      <c r="P2253" s="32">
        <f>IF(G2253="","",IFERROR(INDEX(Config!$I$5:$I$16,MATCH(G2253,Config!$H$5:$H$16,0)),0))</f>
        <v/>
      </c>
      <c r="Q2253" s="30">
        <f>IF(OR(H2253&lt;&gt;"Realizado",P2253="",P2253=0),"",A2253+P2253)</f>
        <v/>
      </c>
      <c r="R2253" s="26">
        <f>IF(Q2253="","",IF(COUNTIFS($E$5:$E$3004,E2253,$A$5:$A$3004,"&gt;"&amp;A2253,$H$5:$H$3004,"&lt;&gt;Falta",$H$5:$H$3004,"&lt;&gt;Cancelado",$H$5:$H$3004,"&lt;&gt;Remarcado")&gt;0,"Sim","Não"))</f>
        <v/>
      </c>
      <c r="S2253" s="32">
        <f>IF(R2253&lt;&gt;"Não","",IF(Q2253+Config!$B$9&lt;=Config!$B$8,Config!$B$8-Q2253,""))</f>
        <v/>
      </c>
      <c r="T2253" s="26">
        <f>IF(S2253="","","Sim")</f>
        <v/>
      </c>
      <c r="U2253" s="41">
        <f>IF(T2253="Sim",S2253+ROW()/100000,0)</f>
        <v>0</v>
      </c>
      <c r="V2253" s="41">
        <f>IF(AND(H2253="Falta",L2253=Config!$B$7,M2253=Config!$B$5,COUNTIFS($E$5:E2253,E2253,$H$5:H2253,"Falta",$L$5:L2253,Config!$B$7,$M$5:M2253,Config!$B$5)=1),COUNTIFS($E$5:$E$3004,E2253,$H$5:$H$3004,"Falta",$L$5:$L$3004,Config!$B$7,$M$5:$M$3004,Config!$B$5)*1000-ROW()/100000,0)</f>
        <v>0</v>
      </c>
    </row>
    <row r="2254">
      <c r="A2254" s="39" t="n"/>
      <c r="B2254" s="40" t="n"/>
      <c r="C2254" s="35" t="n"/>
      <c r="D2254" s="35" t="n"/>
      <c r="E2254" s="34" t="n"/>
      <c r="F2254" s="35" t="n"/>
      <c r="G2254" s="35" t="n"/>
      <c r="H2254" s="35" t="n"/>
      <c r="I2254" s="35" t="n"/>
      <c r="J2254" s="35" t="n"/>
      <c r="K2254" s="34" t="n"/>
      <c r="L2254" s="26">
        <f>IF(A2254="","",MONTH(A2254))</f>
        <v/>
      </c>
      <c r="M2254" s="26">
        <f>IF(A2254="","",YEAR(A2254))</f>
        <v/>
      </c>
      <c r="N2254" s="26">
        <f>IF(A2254="","",CHOOSE(WEEKDAY(A2254,2),"Segunda","Terça","Quarta","Quinta","Sexta","Sábado","Domingo"))</f>
        <v/>
      </c>
      <c r="O2254" s="26">
        <f>IF(B2254="","",IF(B2254&lt;TIME(12,0,0),"Manhã",IF(B2254&lt;TIME(18,0,0),"Tarde","Noite")))</f>
        <v/>
      </c>
      <c r="P2254" s="32">
        <f>IF(G2254="","",IFERROR(INDEX(Config!$I$5:$I$16,MATCH(G2254,Config!$H$5:$H$16,0)),0))</f>
        <v/>
      </c>
      <c r="Q2254" s="30">
        <f>IF(OR(H2254&lt;&gt;"Realizado",P2254="",P2254=0),"",A2254+P2254)</f>
        <v/>
      </c>
      <c r="R2254" s="26">
        <f>IF(Q2254="","",IF(COUNTIFS($E$5:$E$3004,E2254,$A$5:$A$3004,"&gt;"&amp;A2254,$H$5:$H$3004,"&lt;&gt;Falta",$H$5:$H$3004,"&lt;&gt;Cancelado",$H$5:$H$3004,"&lt;&gt;Remarcado")&gt;0,"Sim","Não"))</f>
        <v/>
      </c>
      <c r="S2254" s="32">
        <f>IF(R2254&lt;&gt;"Não","",IF(Q2254+Config!$B$9&lt;=Config!$B$8,Config!$B$8-Q2254,""))</f>
        <v/>
      </c>
      <c r="T2254" s="26">
        <f>IF(S2254="","","Sim")</f>
        <v/>
      </c>
      <c r="U2254" s="41">
        <f>IF(T2254="Sim",S2254+ROW()/100000,0)</f>
        <v>0</v>
      </c>
      <c r="V2254" s="41">
        <f>IF(AND(H2254="Falta",L2254=Config!$B$7,M2254=Config!$B$5,COUNTIFS($E$5:E2254,E2254,$H$5:H2254,"Falta",$L$5:L2254,Config!$B$7,$M$5:M2254,Config!$B$5)=1),COUNTIFS($E$5:$E$3004,E2254,$H$5:$H$3004,"Falta",$L$5:$L$3004,Config!$B$7,$M$5:$M$3004,Config!$B$5)*1000-ROW()/100000,0)</f>
        <v>0</v>
      </c>
    </row>
    <row r="2255">
      <c r="A2255" s="39" t="n"/>
      <c r="B2255" s="40" t="n"/>
      <c r="C2255" s="35" t="n"/>
      <c r="D2255" s="35" t="n"/>
      <c r="E2255" s="34" t="n"/>
      <c r="F2255" s="35" t="n"/>
      <c r="G2255" s="35" t="n"/>
      <c r="H2255" s="35" t="n"/>
      <c r="I2255" s="35" t="n"/>
      <c r="J2255" s="35" t="n"/>
      <c r="K2255" s="34" t="n"/>
      <c r="L2255" s="26">
        <f>IF(A2255="","",MONTH(A2255))</f>
        <v/>
      </c>
      <c r="M2255" s="26">
        <f>IF(A2255="","",YEAR(A2255))</f>
        <v/>
      </c>
      <c r="N2255" s="26">
        <f>IF(A2255="","",CHOOSE(WEEKDAY(A2255,2),"Segunda","Terça","Quarta","Quinta","Sexta","Sábado","Domingo"))</f>
        <v/>
      </c>
      <c r="O2255" s="26">
        <f>IF(B2255="","",IF(B2255&lt;TIME(12,0,0),"Manhã",IF(B2255&lt;TIME(18,0,0),"Tarde","Noite")))</f>
        <v/>
      </c>
      <c r="P2255" s="32">
        <f>IF(G2255="","",IFERROR(INDEX(Config!$I$5:$I$16,MATCH(G2255,Config!$H$5:$H$16,0)),0))</f>
        <v/>
      </c>
      <c r="Q2255" s="30">
        <f>IF(OR(H2255&lt;&gt;"Realizado",P2255="",P2255=0),"",A2255+P2255)</f>
        <v/>
      </c>
      <c r="R2255" s="26">
        <f>IF(Q2255="","",IF(COUNTIFS($E$5:$E$3004,E2255,$A$5:$A$3004,"&gt;"&amp;A2255,$H$5:$H$3004,"&lt;&gt;Falta",$H$5:$H$3004,"&lt;&gt;Cancelado",$H$5:$H$3004,"&lt;&gt;Remarcado")&gt;0,"Sim","Não"))</f>
        <v/>
      </c>
      <c r="S2255" s="32">
        <f>IF(R2255&lt;&gt;"Não","",IF(Q2255+Config!$B$9&lt;=Config!$B$8,Config!$B$8-Q2255,""))</f>
        <v/>
      </c>
      <c r="T2255" s="26">
        <f>IF(S2255="","","Sim")</f>
        <v/>
      </c>
      <c r="U2255" s="41">
        <f>IF(T2255="Sim",S2255+ROW()/100000,0)</f>
        <v>0</v>
      </c>
      <c r="V2255" s="41">
        <f>IF(AND(H2255="Falta",L2255=Config!$B$7,M2255=Config!$B$5,COUNTIFS($E$5:E2255,E2255,$H$5:H2255,"Falta",$L$5:L2255,Config!$B$7,$M$5:M2255,Config!$B$5)=1),COUNTIFS($E$5:$E$3004,E2255,$H$5:$H$3004,"Falta",$L$5:$L$3004,Config!$B$7,$M$5:$M$3004,Config!$B$5)*1000-ROW()/100000,0)</f>
        <v>0</v>
      </c>
    </row>
    <row r="2256">
      <c r="A2256" s="39" t="n"/>
      <c r="B2256" s="40" t="n"/>
      <c r="C2256" s="35" t="n"/>
      <c r="D2256" s="35" t="n"/>
      <c r="E2256" s="34" t="n"/>
      <c r="F2256" s="35" t="n"/>
      <c r="G2256" s="35" t="n"/>
      <c r="H2256" s="35" t="n"/>
      <c r="I2256" s="35" t="n"/>
      <c r="J2256" s="35" t="n"/>
      <c r="K2256" s="34" t="n"/>
      <c r="L2256" s="26">
        <f>IF(A2256="","",MONTH(A2256))</f>
        <v/>
      </c>
      <c r="M2256" s="26">
        <f>IF(A2256="","",YEAR(A2256))</f>
        <v/>
      </c>
      <c r="N2256" s="26">
        <f>IF(A2256="","",CHOOSE(WEEKDAY(A2256,2),"Segunda","Terça","Quarta","Quinta","Sexta","Sábado","Domingo"))</f>
        <v/>
      </c>
      <c r="O2256" s="26">
        <f>IF(B2256="","",IF(B2256&lt;TIME(12,0,0),"Manhã",IF(B2256&lt;TIME(18,0,0),"Tarde","Noite")))</f>
        <v/>
      </c>
      <c r="P2256" s="32">
        <f>IF(G2256="","",IFERROR(INDEX(Config!$I$5:$I$16,MATCH(G2256,Config!$H$5:$H$16,0)),0))</f>
        <v/>
      </c>
      <c r="Q2256" s="30">
        <f>IF(OR(H2256&lt;&gt;"Realizado",P2256="",P2256=0),"",A2256+P2256)</f>
        <v/>
      </c>
      <c r="R2256" s="26">
        <f>IF(Q2256="","",IF(COUNTIFS($E$5:$E$3004,E2256,$A$5:$A$3004,"&gt;"&amp;A2256,$H$5:$H$3004,"&lt;&gt;Falta",$H$5:$H$3004,"&lt;&gt;Cancelado",$H$5:$H$3004,"&lt;&gt;Remarcado")&gt;0,"Sim","Não"))</f>
        <v/>
      </c>
      <c r="S2256" s="32">
        <f>IF(R2256&lt;&gt;"Não","",IF(Q2256+Config!$B$9&lt;=Config!$B$8,Config!$B$8-Q2256,""))</f>
        <v/>
      </c>
      <c r="T2256" s="26">
        <f>IF(S2256="","","Sim")</f>
        <v/>
      </c>
      <c r="U2256" s="41">
        <f>IF(T2256="Sim",S2256+ROW()/100000,0)</f>
        <v>0</v>
      </c>
      <c r="V2256" s="41">
        <f>IF(AND(H2256="Falta",L2256=Config!$B$7,M2256=Config!$B$5,COUNTIFS($E$5:E2256,E2256,$H$5:H2256,"Falta",$L$5:L2256,Config!$B$7,$M$5:M2256,Config!$B$5)=1),COUNTIFS($E$5:$E$3004,E2256,$H$5:$H$3004,"Falta",$L$5:$L$3004,Config!$B$7,$M$5:$M$3004,Config!$B$5)*1000-ROW()/100000,0)</f>
        <v>0</v>
      </c>
    </row>
    <row r="2257">
      <c r="A2257" s="39" t="n"/>
      <c r="B2257" s="40" t="n"/>
      <c r="C2257" s="35" t="n"/>
      <c r="D2257" s="35" t="n"/>
      <c r="E2257" s="34" t="n"/>
      <c r="F2257" s="35" t="n"/>
      <c r="G2257" s="35" t="n"/>
      <c r="H2257" s="35" t="n"/>
      <c r="I2257" s="35" t="n"/>
      <c r="J2257" s="35" t="n"/>
      <c r="K2257" s="34" t="n"/>
      <c r="L2257" s="26">
        <f>IF(A2257="","",MONTH(A2257))</f>
        <v/>
      </c>
      <c r="M2257" s="26">
        <f>IF(A2257="","",YEAR(A2257))</f>
        <v/>
      </c>
      <c r="N2257" s="26">
        <f>IF(A2257="","",CHOOSE(WEEKDAY(A2257,2),"Segunda","Terça","Quarta","Quinta","Sexta","Sábado","Domingo"))</f>
        <v/>
      </c>
      <c r="O2257" s="26">
        <f>IF(B2257="","",IF(B2257&lt;TIME(12,0,0),"Manhã",IF(B2257&lt;TIME(18,0,0),"Tarde","Noite")))</f>
        <v/>
      </c>
      <c r="P2257" s="32">
        <f>IF(G2257="","",IFERROR(INDEX(Config!$I$5:$I$16,MATCH(G2257,Config!$H$5:$H$16,0)),0))</f>
        <v/>
      </c>
      <c r="Q2257" s="30">
        <f>IF(OR(H2257&lt;&gt;"Realizado",P2257="",P2257=0),"",A2257+P2257)</f>
        <v/>
      </c>
      <c r="R2257" s="26">
        <f>IF(Q2257="","",IF(COUNTIFS($E$5:$E$3004,E2257,$A$5:$A$3004,"&gt;"&amp;A2257,$H$5:$H$3004,"&lt;&gt;Falta",$H$5:$H$3004,"&lt;&gt;Cancelado",$H$5:$H$3004,"&lt;&gt;Remarcado")&gt;0,"Sim","Não"))</f>
        <v/>
      </c>
      <c r="S2257" s="32">
        <f>IF(R2257&lt;&gt;"Não","",IF(Q2257+Config!$B$9&lt;=Config!$B$8,Config!$B$8-Q2257,""))</f>
        <v/>
      </c>
      <c r="T2257" s="26">
        <f>IF(S2257="","","Sim")</f>
        <v/>
      </c>
      <c r="U2257" s="41">
        <f>IF(T2257="Sim",S2257+ROW()/100000,0)</f>
        <v>0</v>
      </c>
      <c r="V2257" s="41">
        <f>IF(AND(H2257="Falta",L2257=Config!$B$7,M2257=Config!$B$5,COUNTIFS($E$5:E2257,E2257,$H$5:H2257,"Falta",$L$5:L2257,Config!$B$7,$M$5:M2257,Config!$B$5)=1),COUNTIFS($E$5:$E$3004,E2257,$H$5:$H$3004,"Falta",$L$5:$L$3004,Config!$B$7,$M$5:$M$3004,Config!$B$5)*1000-ROW()/100000,0)</f>
        <v>0</v>
      </c>
    </row>
    <row r="2258">
      <c r="A2258" s="39" t="n"/>
      <c r="B2258" s="40" t="n"/>
      <c r="C2258" s="35" t="n"/>
      <c r="D2258" s="35" t="n"/>
      <c r="E2258" s="34" t="n"/>
      <c r="F2258" s="35" t="n"/>
      <c r="G2258" s="35" t="n"/>
      <c r="H2258" s="35" t="n"/>
      <c r="I2258" s="35" t="n"/>
      <c r="J2258" s="35" t="n"/>
      <c r="K2258" s="34" t="n"/>
      <c r="L2258" s="26">
        <f>IF(A2258="","",MONTH(A2258))</f>
        <v/>
      </c>
      <c r="M2258" s="26">
        <f>IF(A2258="","",YEAR(A2258))</f>
        <v/>
      </c>
      <c r="N2258" s="26">
        <f>IF(A2258="","",CHOOSE(WEEKDAY(A2258,2),"Segunda","Terça","Quarta","Quinta","Sexta","Sábado","Domingo"))</f>
        <v/>
      </c>
      <c r="O2258" s="26">
        <f>IF(B2258="","",IF(B2258&lt;TIME(12,0,0),"Manhã",IF(B2258&lt;TIME(18,0,0),"Tarde","Noite")))</f>
        <v/>
      </c>
      <c r="P2258" s="32">
        <f>IF(G2258="","",IFERROR(INDEX(Config!$I$5:$I$16,MATCH(G2258,Config!$H$5:$H$16,0)),0))</f>
        <v/>
      </c>
      <c r="Q2258" s="30">
        <f>IF(OR(H2258&lt;&gt;"Realizado",P2258="",P2258=0),"",A2258+P2258)</f>
        <v/>
      </c>
      <c r="R2258" s="26">
        <f>IF(Q2258="","",IF(COUNTIFS($E$5:$E$3004,E2258,$A$5:$A$3004,"&gt;"&amp;A2258,$H$5:$H$3004,"&lt;&gt;Falta",$H$5:$H$3004,"&lt;&gt;Cancelado",$H$5:$H$3004,"&lt;&gt;Remarcado")&gt;0,"Sim","Não"))</f>
        <v/>
      </c>
      <c r="S2258" s="32">
        <f>IF(R2258&lt;&gt;"Não","",IF(Q2258+Config!$B$9&lt;=Config!$B$8,Config!$B$8-Q2258,""))</f>
        <v/>
      </c>
      <c r="T2258" s="26">
        <f>IF(S2258="","","Sim")</f>
        <v/>
      </c>
      <c r="U2258" s="41">
        <f>IF(T2258="Sim",S2258+ROW()/100000,0)</f>
        <v>0</v>
      </c>
      <c r="V2258" s="41">
        <f>IF(AND(H2258="Falta",L2258=Config!$B$7,M2258=Config!$B$5,COUNTIFS($E$5:E2258,E2258,$H$5:H2258,"Falta",$L$5:L2258,Config!$B$7,$M$5:M2258,Config!$B$5)=1),COUNTIFS($E$5:$E$3004,E2258,$H$5:$H$3004,"Falta",$L$5:$L$3004,Config!$B$7,$M$5:$M$3004,Config!$B$5)*1000-ROW()/100000,0)</f>
        <v>0</v>
      </c>
    </row>
    <row r="2259">
      <c r="A2259" s="39" t="n"/>
      <c r="B2259" s="40" t="n"/>
      <c r="C2259" s="35" t="n"/>
      <c r="D2259" s="35" t="n"/>
      <c r="E2259" s="34" t="n"/>
      <c r="F2259" s="35" t="n"/>
      <c r="G2259" s="35" t="n"/>
      <c r="H2259" s="35" t="n"/>
      <c r="I2259" s="35" t="n"/>
      <c r="J2259" s="35" t="n"/>
      <c r="K2259" s="34" t="n"/>
      <c r="L2259" s="26">
        <f>IF(A2259="","",MONTH(A2259))</f>
        <v/>
      </c>
      <c r="M2259" s="26">
        <f>IF(A2259="","",YEAR(A2259))</f>
        <v/>
      </c>
      <c r="N2259" s="26">
        <f>IF(A2259="","",CHOOSE(WEEKDAY(A2259,2),"Segunda","Terça","Quarta","Quinta","Sexta","Sábado","Domingo"))</f>
        <v/>
      </c>
      <c r="O2259" s="26">
        <f>IF(B2259="","",IF(B2259&lt;TIME(12,0,0),"Manhã",IF(B2259&lt;TIME(18,0,0),"Tarde","Noite")))</f>
        <v/>
      </c>
      <c r="P2259" s="32">
        <f>IF(G2259="","",IFERROR(INDEX(Config!$I$5:$I$16,MATCH(G2259,Config!$H$5:$H$16,0)),0))</f>
        <v/>
      </c>
      <c r="Q2259" s="30">
        <f>IF(OR(H2259&lt;&gt;"Realizado",P2259="",P2259=0),"",A2259+P2259)</f>
        <v/>
      </c>
      <c r="R2259" s="26">
        <f>IF(Q2259="","",IF(COUNTIFS($E$5:$E$3004,E2259,$A$5:$A$3004,"&gt;"&amp;A2259,$H$5:$H$3004,"&lt;&gt;Falta",$H$5:$H$3004,"&lt;&gt;Cancelado",$H$5:$H$3004,"&lt;&gt;Remarcado")&gt;0,"Sim","Não"))</f>
        <v/>
      </c>
      <c r="S2259" s="32">
        <f>IF(R2259&lt;&gt;"Não","",IF(Q2259+Config!$B$9&lt;=Config!$B$8,Config!$B$8-Q2259,""))</f>
        <v/>
      </c>
      <c r="T2259" s="26">
        <f>IF(S2259="","","Sim")</f>
        <v/>
      </c>
      <c r="U2259" s="41">
        <f>IF(T2259="Sim",S2259+ROW()/100000,0)</f>
        <v>0</v>
      </c>
      <c r="V2259" s="41">
        <f>IF(AND(H2259="Falta",L2259=Config!$B$7,M2259=Config!$B$5,COUNTIFS($E$5:E2259,E2259,$H$5:H2259,"Falta",$L$5:L2259,Config!$B$7,$M$5:M2259,Config!$B$5)=1),COUNTIFS($E$5:$E$3004,E2259,$H$5:$H$3004,"Falta",$L$5:$L$3004,Config!$B$7,$M$5:$M$3004,Config!$B$5)*1000-ROW()/100000,0)</f>
        <v>0</v>
      </c>
    </row>
    <row r="2260">
      <c r="A2260" s="39" t="n"/>
      <c r="B2260" s="40" t="n"/>
      <c r="C2260" s="35" t="n"/>
      <c r="D2260" s="35" t="n"/>
      <c r="E2260" s="34" t="n"/>
      <c r="F2260" s="35" t="n"/>
      <c r="G2260" s="35" t="n"/>
      <c r="H2260" s="35" t="n"/>
      <c r="I2260" s="35" t="n"/>
      <c r="J2260" s="35" t="n"/>
      <c r="K2260" s="34" t="n"/>
      <c r="L2260" s="26">
        <f>IF(A2260="","",MONTH(A2260))</f>
        <v/>
      </c>
      <c r="M2260" s="26">
        <f>IF(A2260="","",YEAR(A2260))</f>
        <v/>
      </c>
      <c r="N2260" s="26">
        <f>IF(A2260="","",CHOOSE(WEEKDAY(A2260,2),"Segunda","Terça","Quarta","Quinta","Sexta","Sábado","Domingo"))</f>
        <v/>
      </c>
      <c r="O2260" s="26">
        <f>IF(B2260="","",IF(B2260&lt;TIME(12,0,0),"Manhã",IF(B2260&lt;TIME(18,0,0),"Tarde","Noite")))</f>
        <v/>
      </c>
      <c r="P2260" s="32">
        <f>IF(G2260="","",IFERROR(INDEX(Config!$I$5:$I$16,MATCH(G2260,Config!$H$5:$H$16,0)),0))</f>
        <v/>
      </c>
      <c r="Q2260" s="30">
        <f>IF(OR(H2260&lt;&gt;"Realizado",P2260="",P2260=0),"",A2260+P2260)</f>
        <v/>
      </c>
      <c r="R2260" s="26">
        <f>IF(Q2260="","",IF(COUNTIFS($E$5:$E$3004,E2260,$A$5:$A$3004,"&gt;"&amp;A2260,$H$5:$H$3004,"&lt;&gt;Falta",$H$5:$H$3004,"&lt;&gt;Cancelado",$H$5:$H$3004,"&lt;&gt;Remarcado")&gt;0,"Sim","Não"))</f>
        <v/>
      </c>
      <c r="S2260" s="32">
        <f>IF(R2260&lt;&gt;"Não","",IF(Q2260+Config!$B$9&lt;=Config!$B$8,Config!$B$8-Q2260,""))</f>
        <v/>
      </c>
      <c r="T2260" s="26">
        <f>IF(S2260="","","Sim")</f>
        <v/>
      </c>
      <c r="U2260" s="41">
        <f>IF(T2260="Sim",S2260+ROW()/100000,0)</f>
        <v>0</v>
      </c>
      <c r="V2260" s="41">
        <f>IF(AND(H2260="Falta",L2260=Config!$B$7,M2260=Config!$B$5,COUNTIFS($E$5:E2260,E2260,$H$5:H2260,"Falta",$L$5:L2260,Config!$B$7,$M$5:M2260,Config!$B$5)=1),COUNTIFS($E$5:$E$3004,E2260,$H$5:$H$3004,"Falta",$L$5:$L$3004,Config!$B$7,$M$5:$M$3004,Config!$B$5)*1000-ROW()/100000,0)</f>
        <v>0</v>
      </c>
    </row>
    <row r="2261">
      <c r="A2261" s="39" t="n"/>
      <c r="B2261" s="40" t="n"/>
      <c r="C2261" s="35" t="n"/>
      <c r="D2261" s="35" t="n"/>
      <c r="E2261" s="34" t="n"/>
      <c r="F2261" s="35" t="n"/>
      <c r="G2261" s="35" t="n"/>
      <c r="H2261" s="35" t="n"/>
      <c r="I2261" s="35" t="n"/>
      <c r="J2261" s="35" t="n"/>
      <c r="K2261" s="34" t="n"/>
      <c r="L2261" s="26">
        <f>IF(A2261="","",MONTH(A2261))</f>
        <v/>
      </c>
      <c r="M2261" s="26">
        <f>IF(A2261="","",YEAR(A2261))</f>
        <v/>
      </c>
      <c r="N2261" s="26">
        <f>IF(A2261="","",CHOOSE(WEEKDAY(A2261,2),"Segunda","Terça","Quarta","Quinta","Sexta","Sábado","Domingo"))</f>
        <v/>
      </c>
      <c r="O2261" s="26">
        <f>IF(B2261="","",IF(B2261&lt;TIME(12,0,0),"Manhã",IF(B2261&lt;TIME(18,0,0),"Tarde","Noite")))</f>
        <v/>
      </c>
      <c r="P2261" s="32">
        <f>IF(G2261="","",IFERROR(INDEX(Config!$I$5:$I$16,MATCH(G2261,Config!$H$5:$H$16,0)),0))</f>
        <v/>
      </c>
      <c r="Q2261" s="30">
        <f>IF(OR(H2261&lt;&gt;"Realizado",P2261="",P2261=0),"",A2261+P2261)</f>
        <v/>
      </c>
      <c r="R2261" s="26">
        <f>IF(Q2261="","",IF(COUNTIFS($E$5:$E$3004,E2261,$A$5:$A$3004,"&gt;"&amp;A2261,$H$5:$H$3004,"&lt;&gt;Falta",$H$5:$H$3004,"&lt;&gt;Cancelado",$H$5:$H$3004,"&lt;&gt;Remarcado")&gt;0,"Sim","Não"))</f>
        <v/>
      </c>
      <c r="S2261" s="32">
        <f>IF(R2261&lt;&gt;"Não","",IF(Q2261+Config!$B$9&lt;=Config!$B$8,Config!$B$8-Q2261,""))</f>
        <v/>
      </c>
      <c r="T2261" s="26">
        <f>IF(S2261="","","Sim")</f>
        <v/>
      </c>
      <c r="U2261" s="41">
        <f>IF(T2261="Sim",S2261+ROW()/100000,0)</f>
        <v>0</v>
      </c>
      <c r="V2261" s="41">
        <f>IF(AND(H2261="Falta",L2261=Config!$B$7,M2261=Config!$B$5,COUNTIFS($E$5:E2261,E2261,$H$5:H2261,"Falta",$L$5:L2261,Config!$B$7,$M$5:M2261,Config!$B$5)=1),COUNTIFS($E$5:$E$3004,E2261,$H$5:$H$3004,"Falta",$L$5:$L$3004,Config!$B$7,$M$5:$M$3004,Config!$B$5)*1000-ROW()/100000,0)</f>
        <v>0</v>
      </c>
    </row>
    <row r="2262">
      <c r="A2262" s="39" t="n"/>
      <c r="B2262" s="40" t="n"/>
      <c r="C2262" s="35" t="n"/>
      <c r="D2262" s="35" t="n"/>
      <c r="E2262" s="34" t="n"/>
      <c r="F2262" s="35" t="n"/>
      <c r="G2262" s="35" t="n"/>
      <c r="H2262" s="35" t="n"/>
      <c r="I2262" s="35" t="n"/>
      <c r="J2262" s="35" t="n"/>
      <c r="K2262" s="34" t="n"/>
      <c r="L2262" s="26">
        <f>IF(A2262="","",MONTH(A2262))</f>
        <v/>
      </c>
      <c r="M2262" s="26">
        <f>IF(A2262="","",YEAR(A2262))</f>
        <v/>
      </c>
      <c r="N2262" s="26">
        <f>IF(A2262="","",CHOOSE(WEEKDAY(A2262,2),"Segunda","Terça","Quarta","Quinta","Sexta","Sábado","Domingo"))</f>
        <v/>
      </c>
      <c r="O2262" s="26">
        <f>IF(B2262="","",IF(B2262&lt;TIME(12,0,0),"Manhã",IF(B2262&lt;TIME(18,0,0),"Tarde","Noite")))</f>
        <v/>
      </c>
      <c r="P2262" s="32">
        <f>IF(G2262="","",IFERROR(INDEX(Config!$I$5:$I$16,MATCH(G2262,Config!$H$5:$H$16,0)),0))</f>
        <v/>
      </c>
      <c r="Q2262" s="30">
        <f>IF(OR(H2262&lt;&gt;"Realizado",P2262="",P2262=0),"",A2262+P2262)</f>
        <v/>
      </c>
      <c r="R2262" s="26">
        <f>IF(Q2262="","",IF(COUNTIFS($E$5:$E$3004,E2262,$A$5:$A$3004,"&gt;"&amp;A2262,$H$5:$H$3004,"&lt;&gt;Falta",$H$5:$H$3004,"&lt;&gt;Cancelado",$H$5:$H$3004,"&lt;&gt;Remarcado")&gt;0,"Sim","Não"))</f>
        <v/>
      </c>
      <c r="S2262" s="32">
        <f>IF(R2262&lt;&gt;"Não","",IF(Q2262+Config!$B$9&lt;=Config!$B$8,Config!$B$8-Q2262,""))</f>
        <v/>
      </c>
      <c r="T2262" s="26">
        <f>IF(S2262="","","Sim")</f>
        <v/>
      </c>
      <c r="U2262" s="41">
        <f>IF(T2262="Sim",S2262+ROW()/100000,0)</f>
        <v>0</v>
      </c>
      <c r="V2262" s="41">
        <f>IF(AND(H2262="Falta",L2262=Config!$B$7,M2262=Config!$B$5,COUNTIFS($E$5:E2262,E2262,$H$5:H2262,"Falta",$L$5:L2262,Config!$B$7,$M$5:M2262,Config!$B$5)=1),COUNTIFS($E$5:$E$3004,E2262,$H$5:$H$3004,"Falta",$L$5:$L$3004,Config!$B$7,$M$5:$M$3004,Config!$B$5)*1000-ROW()/100000,0)</f>
        <v>0</v>
      </c>
    </row>
    <row r="2263">
      <c r="A2263" s="39" t="n"/>
      <c r="B2263" s="40" t="n"/>
      <c r="C2263" s="35" t="n"/>
      <c r="D2263" s="35" t="n"/>
      <c r="E2263" s="34" t="n"/>
      <c r="F2263" s="35" t="n"/>
      <c r="G2263" s="35" t="n"/>
      <c r="H2263" s="35" t="n"/>
      <c r="I2263" s="35" t="n"/>
      <c r="J2263" s="35" t="n"/>
      <c r="K2263" s="34" t="n"/>
      <c r="L2263" s="26">
        <f>IF(A2263="","",MONTH(A2263))</f>
        <v/>
      </c>
      <c r="M2263" s="26">
        <f>IF(A2263="","",YEAR(A2263))</f>
        <v/>
      </c>
      <c r="N2263" s="26">
        <f>IF(A2263="","",CHOOSE(WEEKDAY(A2263,2),"Segunda","Terça","Quarta","Quinta","Sexta","Sábado","Domingo"))</f>
        <v/>
      </c>
      <c r="O2263" s="26">
        <f>IF(B2263="","",IF(B2263&lt;TIME(12,0,0),"Manhã",IF(B2263&lt;TIME(18,0,0),"Tarde","Noite")))</f>
        <v/>
      </c>
      <c r="P2263" s="32">
        <f>IF(G2263="","",IFERROR(INDEX(Config!$I$5:$I$16,MATCH(G2263,Config!$H$5:$H$16,0)),0))</f>
        <v/>
      </c>
      <c r="Q2263" s="30">
        <f>IF(OR(H2263&lt;&gt;"Realizado",P2263="",P2263=0),"",A2263+P2263)</f>
        <v/>
      </c>
      <c r="R2263" s="26">
        <f>IF(Q2263="","",IF(COUNTIFS($E$5:$E$3004,E2263,$A$5:$A$3004,"&gt;"&amp;A2263,$H$5:$H$3004,"&lt;&gt;Falta",$H$5:$H$3004,"&lt;&gt;Cancelado",$H$5:$H$3004,"&lt;&gt;Remarcado")&gt;0,"Sim","Não"))</f>
        <v/>
      </c>
      <c r="S2263" s="32">
        <f>IF(R2263&lt;&gt;"Não","",IF(Q2263+Config!$B$9&lt;=Config!$B$8,Config!$B$8-Q2263,""))</f>
        <v/>
      </c>
      <c r="T2263" s="26">
        <f>IF(S2263="","","Sim")</f>
        <v/>
      </c>
      <c r="U2263" s="41">
        <f>IF(T2263="Sim",S2263+ROW()/100000,0)</f>
        <v>0</v>
      </c>
      <c r="V2263" s="41">
        <f>IF(AND(H2263="Falta",L2263=Config!$B$7,M2263=Config!$B$5,COUNTIFS($E$5:E2263,E2263,$H$5:H2263,"Falta",$L$5:L2263,Config!$B$7,$M$5:M2263,Config!$B$5)=1),COUNTIFS($E$5:$E$3004,E2263,$H$5:$H$3004,"Falta",$L$5:$L$3004,Config!$B$7,$M$5:$M$3004,Config!$B$5)*1000-ROW()/100000,0)</f>
        <v>0</v>
      </c>
    </row>
    <row r="2264">
      <c r="A2264" s="39" t="n"/>
      <c r="B2264" s="40" t="n"/>
      <c r="C2264" s="35" t="n"/>
      <c r="D2264" s="35" t="n"/>
      <c r="E2264" s="34" t="n"/>
      <c r="F2264" s="35" t="n"/>
      <c r="G2264" s="35" t="n"/>
      <c r="H2264" s="35" t="n"/>
      <c r="I2264" s="35" t="n"/>
      <c r="J2264" s="35" t="n"/>
      <c r="K2264" s="34" t="n"/>
      <c r="L2264" s="26">
        <f>IF(A2264="","",MONTH(A2264))</f>
        <v/>
      </c>
      <c r="M2264" s="26">
        <f>IF(A2264="","",YEAR(A2264))</f>
        <v/>
      </c>
      <c r="N2264" s="26">
        <f>IF(A2264="","",CHOOSE(WEEKDAY(A2264,2),"Segunda","Terça","Quarta","Quinta","Sexta","Sábado","Domingo"))</f>
        <v/>
      </c>
      <c r="O2264" s="26">
        <f>IF(B2264="","",IF(B2264&lt;TIME(12,0,0),"Manhã",IF(B2264&lt;TIME(18,0,0),"Tarde","Noite")))</f>
        <v/>
      </c>
      <c r="P2264" s="32">
        <f>IF(G2264="","",IFERROR(INDEX(Config!$I$5:$I$16,MATCH(G2264,Config!$H$5:$H$16,0)),0))</f>
        <v/>
      </c>
      <c r="Q2264" s="30">
        <f>IF(OR(H2264&lt;&gt;"Realizado",P2264="",P2264=0),"",A2264+P2264)</f>
        <v/>
      </c>
      <c r="R2264" s="26">
        <f>IF(Q2264="","",IF(COUNTIFS($E$5:$E$3004,E2264,$A$5:$A$3004,"&gt;"&amp;A2264,$H$5:$H$3004,"&lt;&gt;Falta",$H$5:$H$3004,"&lt;&gt;Cancelado",$H$5:$H$3004,"&lt;&gt;Remarcado")&gt;0,"Sim","Não"))</f>
        <v/>
      </c>
      <c r="S2264" s="32">
        <f>IF(R2264&lt;&gt;"Não","",IF(Q2264+Config!$B$9&lt;=Config!$B$8,Config!$B$8-Q2264,""))</f>
        <v/>
      </c>
      <c r="T2264" s="26">
        <f>IF(S2264="","","Sim")</f>
        <v/>
      </c>
      <c r="U2264" s="41">
        <f>IF(T2264="Sim",S2264+ROW()/100000,0)</f>
        <v>0</v>
      </c>
      <c r="V2264" s="41">
        <f>IF(AND(H2264="Falta",L2264=Config!$B$7,M2264=Config!$B$5,COUNTIFS($E$5:E2264,E2264,$H$5:H2264,"Falta",$L$5:L2264,Config!$B$7,$M$5:M2264,Config!$B$5)=1),COUNTIFS($E$5:$E$3004,E2264,$H$5:$H$3004,"Falta",$L$5:$L$3004,Config!$B$7,$M$5:$M$3004,Config!$B$5)*1000-ROW()/100000,0)</f>
        <v>0</v>
      </c>
    </row>
    <row r="2265">
      <c r="A2265" s="39" t="n"/>
      <c r="B2265" s="40" t="n"/>
      <c r="C2265" s="35" t="n"/>
      <c r="D2265" s="35" t="n"/>
      <c r="E2265" s="34" t="n"/>
      <c r="F2265" s="35" t="n"/>
      <c r="G2265" s="35" t="n"/>
      <c r="H2265" s="35" t="n"/>
      <c r="I2265" s="35" t="n"/>
      <c r="J2265" s="35" t="n"/>
      <c r="K2265" s="34" t="n"/>
      <c r="L2265" s="26">
        <f>IF(A2265="","",MONTH(A2265))</f>
        <v/>
      </c>
      <c r="M2265" s="26">
        <f>IF(A2265="","",YEAR(A2265))</f>
        <v/>
      </c>
      <c r="N2265" s="26">
        <f>IF(A2265="","",CHOOSE(WEEKDAY(A2265,2),"Segunda","Terça","Quarta","Quinta","Sexta","Sábado","Domingo"))</f>
        <v/>
      </c>
      <c r="O2265" s="26">
        <f>IF(B2265="","",IF(B2265&lt;TIME(12,0,0),"Manhã",IF(B2265&lt;TIME(18,0,0),"Tarde","Noite")))</f>
        <v/>
      </c>
      <c r="P2265" s="32">
        <f>IF(G2265="","",IFERROR(INDEX(Config!$I$5:$I$16,MATCH(G2265,Config!$H$5:$H$16,0)),0))</f>
        <v/>
      </c>
      <c r="Q2265" s="30">
        <f>IF(OR(H2265&lt;&gt;"Realizado",P2265="",P2265=0),"",A2265+P2265)</f>
        <v/>
      </c>
      <c r="R2265" s="26">
        <f>IF(Q2265="","",IF(COUNTIFS($E$5:$E$3004,E2265,$A$5:$A$3004,"&gt;"&amp;A2265,$H$5:$H$3004,"&lt;&gt;Falta",$H$5:$H$3004,"&lt;&gt;Cancelado",$H$5:$H$3004,"&lt;&gt;Remarcado")&gt;0,"Sim","Não"))</f>
        <v/>
      </c>
      <c r="S2265" s="32">
        <f>IF(R2265&lt;&gt;"Não","",IF(Q2265+Config!$B$9&lt;=Config!$B$8,Config!$B$8-Q2265,""))</f>
        <v/>
      </c>
      <c r="T2265" s="26">
        <f>IF(S2265="","","Sim")</f>
        <v/>
      </c>
      <c r="U2265" s="41">
        <f>IF(T2265="Sim",S2265+ROW()/100000,0)</f>
        <v>0</v>
      </c>
      <c r="V2265" s="41">
        <f>IF(AND(H2265="Falta",L2265=Config!$B$7,M2265=Config!$B$5,COUNTIFS($E$5:E2265,E2265,$H$5:H2265,"Falta",$L$5:L2265,Config!$B$7,$M$5:M2265,Config!$B$5)=1),COUNTIFS($E$5:$E$3004,E2265,$H$5:$H$3004,"Falta",$L$5:$L$3004,Config!$B$7,$M$5:$M$3004,Config!$B$5)*1000-ROW()/100000,0)</f>
        <v>0</v>
      </c>
    </row>
    <row r="2266">
      <c r="A2266" s="39" t="n"/>
      <c r="B2266" s="40" t="n"/>
      <c r="C2266" s="35" t="n"/>
      <c r="D2266" s="35" t="n"/>
      <c r="E2266" s="34" t="n"/>
      <c r="F2266" s="35" t="n"/>
      <c r="G2266" s="35" t="n"/>
      <c r="H2266" s="35" t="n"/>
      <c r="I2266" s="35" t="n"/>
      <c r="J2266" s="35" t="n"/>
      <c r="K2266" s="34" t="n"/>
      <c r="L2266" s="26">
        <f>IF(A2266="","",MONTH(A2266))</f>
        <v/>
      </c>
      <c r="M2266" s="26">
        <f>IF(A2266="","",YEAR(A2266))</f>
        <v/>
      </c>
      <c r="N2266" s="26">
        <f>IF(A2266="","",CHOOSE(WEEKDAY(A2266,2),"Segunda","Terça","Quarta","Quinta","Sexta","Sábado","Domingo"))</f>
        <v/>
      </c>
      <c r="O2266" s="26">
        <f>IF(B2266="","",IF(B2266&lt;TIME(12,0,0),"Manhã",IF(B2266&lt;TIME(18,0,0),"Tarde","Noite")))</f>
        <v/>
      </c>
      <c r="P2266" s="32">
        <f>IF(G2266="","",IFERROR(INDEX(Config!$I$5:$I$16,MATCH(G2266,Config!$H$5:$H$16,0)),0))</f>
        <v/>
      </c>
      <c r="Q2266" s="30">
        <f>IF(OR(H2266&lt;&gt;"Realizado",P2266="",P2266=0),"",A2266+P2266)</f>
        <v/>
      </c>
      <c r="R2266" s="26">
        <f>IF(Q2266="","",IF(COUNTIFS($E$5:$E$3004,E2266,$A$5:$A$3004,"&gt;"&amp;A2266,$H$5:$H$3004,"&lt;&gt;Falta",$H$5:$H$3004,"&lt;&gt;Cancelado",$H$5:$H$3004,"&lt;&gt;Remarcado")&gt;0,"Sim","Não"))</f>
        <v/>
      </c>
      <c r="S2266" s="32">
        <f>IF(R2266&lt;&gt;"Não","",IF(Q2266+Config!$B$9&lt;=Config!$B$8,Config!$B$8-Q2266,""))</f>
        <v/>
      </c>
      <c r="T2266" s="26">
        <f>IF(S2266="","","Sim")</f>
        <v/>
      </c>
      <c r="U2266" s="41">
        <f>IF(T2266="Sim",S2266+ROW()/100000,0)</f>
        <v>0</v>
      </c>
      <c r="V2266" s="41">
        <f>IF(AND(H2266="Falta",L2266=Config!$B$7,M2266=Config!$B$5,COUNTIFS($E$5:E2266,E2266,$H$5:H2266,"Falta",$L$5:L2266,Config!$B$7,$M$5:M2266,Config!$B$5)=1),COUNTIFS($E$5:$E$3004,E2266,$H$5:$H$3004,"Falta",$L$5:$L$3004,Config!$B$7,$M$5:$M$3004,Config!$B$5)*1000-ROW()/100000,0)</f>
        <v>0</v>
      </c>
    </row>
    <row r="2267">
      <c r="A2267" s="39" t="n"/>
      <c r="B2267" s="40" t="n"/>
      <c r="C2267" s="35" t="n"/>
      <c r="D2267" s="35" t="n"/>
      <c r="E2267" s="34" t="n"/>
      <c r="F2267" s="35" t="n"/>
      <c r="G2267" s="35" t="n"/>
      <c r="H2267" s="35" t="n"/>
      <c r="I2267" s="35" t="n"/>
      <c r="J2267" s="35" t="n"/>
      <c r="K2267" s="34" t="n"/>
      <c r="L2267" s="26">
        <f>IF(A2267="","",MONTH(A2267))</f>
        <v/>
      </c>
      <c r="M2267" s="26">
        <f>IF(A2267="","",YEAR(A2267))</f>
        <v/>
      </c>
      <c r="N2267" s="26">
        <f>IF(A2267="","",CHOOSE(WEEKDAY(A2267,2),"Segunda","Terça","Quarta","Quinta","Sexta","Sábado","Domingo"))</f>
        <v/>
      </c>
      <c r="O2267" s="26">
        <f>IF(B2267="","",IF(B2267&lt;TIME(12,0,0),"Manhã",IF(B2267&lt;TIME(18,0,0),"Tarde","Noite")))</f>
        <v/>
      </c>
      <c r="P2267" s="32">
        <f>IF(G2267="","",IFERROR(INDEX(Config!$I$5:$I$16,MATCH(G2267,Config!$H$5:$H$16,0)),0))</f>
        <v/>
      </c>
      <c r="Q2267" s="30">
        <f>IF(OR(H2267&lt;&gt;"Realizado",P2267="",P2267=0),"",A2267+P2267)</f>
        <v/>
      </c>
      <c r="R2267" s="26">
        <f>IF(Q2267="","",IF(COUNTIFS($E$5:$E$3004,E2267,$A$5:$A$3004,"&gt;"&amp;A2267,$H$5:$H$3004,"&lt;&gt;Falta",$H$5:$H$3004,"&lt;&gt;Cancelado",$H$5:$H$3004,"&lt;&gt;Remarcado")&gt;0,"Sim","Não"))</f>
        <v/>
      </c>
      <c r="S2267" s="32">
        <f>IF(R2267&lt;&gt;"Não","",IF(Q2267+Config!$B$9&lt;=Config!$B$8,Config!$B$8-Q2267,""))</f>
        <v/>
      </c>
      <c r="T2267" s="26">
        <f>IF(S2267="","","Sim")</f>
        <v/>
      </c>
      <c r="U2267" s="41">
        <f>IF(T2267="Sim",S2267+ROW()/100000,0)</f>
        <v>0</v>
      </c>
      <c r="V2267" s="41">
        <f>IF(AND(H2267="Falta",L2267=Config!$B$7,M2267=Config!$B$5,COUNTIFS($E$5:E2267,E2267,$H$5:H2267,"Falta",$L$5:L2267,Config!$B$7,$M$5:M2267,Config!$B$5)=1),COUNTIFS($E$5:$E$3004,E2267,$H$5:$H$3004,"Falta",$L$5:$L$3004,Config!$B$7,$M$5:$M$3004,Config!$B$5)*1000-ROW()/100000,0)</f>
        <v>0</v>
      </c>
    </row>
    <row r="2268">
      <c r="A2268" s="39" t="n"/>
      <c r="B2268" s="40" t="n"/>
      <c r="C2268" s="35" t="n"/>
      <c r="D2268" s="35" t="n"/>
      <c r="E2268" s="34" t="n"/>
      <c r="F2268" s="35" t="n"/>
      <c r="G2268" s="35" t="n"/>
      <c r="H2268" s="35" t="n"/>
      <c r="I2268" s="35" t="n"/>
      <c r="J2268" s="35" t="n"/>
      <c r="K2268" s="34" t="n"/>
      <c r="L2268" s="26">
        <f>IF(A2268="","",MONTH(A2268))</f>
        <v/>
      </c>
      <c r="M2268" s="26">
        <f>IF(A2268="","",YEAR(A2268))</f>
        <v/>
      </c>
      <c r="N2268" s="26">
        <f>IF(A2268="","",CHOOSE(WEEKDAY(A2268,2),"Segunda","Terça","Quarta","Quinta","Sexta","Sábado","Domingo"))</f>
        <v/>
      </c>
      <c r="O2268" s="26">
        <f>IF(B2268="","",IF(B2268&lt;TIME(12,0,0),"Manhã",IF(B2268&lt;TIME(18,0,0),"Tarde","Noite")))</f>
        <v/>
      </c>
      <c r="P2268" s="32">
        <f>IF(G2268="","",IFERROR(INDEX(Config!$I$5:$I$16,MATCH(G2268,Config!$H$5:$H$16,0)),0))</f>
        <v/>
      </c>
      <c r="Q2268" s="30">
        <f>IF(OR(H2268&lt;&gt;"Realizado",P2268="",P2268=0),"",A2268+P2268)</f>
        <v/>
      </c>
      <c r="R2268" s="26">
        <f>IF(Q2268="","",IF(COUNTIFS($E$5:$E$3004,E2268,$A$5:$A$3004,"&gt;"&amp;A2268,$H$5:$H$3004,"&lt;&gt;Falta",$H$5:$H$3004,"&lt;&gt;Cancelado",$H$5:$H$3004,"&lt;&gt;Remarcado")&gt;0,"Sim","Não"))</f>
        <v/>
      </c>
      <c r="S2268" s="32">
        <f>IF(R2268&lt;&gt;"Não","",IF(Q2268+Config!$B$9&lt;=Config!$B$8,Config!$B$8-Q2268,""))</f>
        <v/>
      </c>
      <c r="T2268" s="26">
        <f>IF(S2268="","","Sim")</f>
        <v/>
      </c>
      <c r="U2268" s="41">
        <f>IF(T2268="Sim",S2268+ROW()/100000,0)</f>
        <v>0</v>
      </c>
      <c r="V2268" s="41">
        <f>IF(AND(H2268="Falta",L2268=Config!$B$7,M2268=Config!$B$5,COUNTIFS($E$5:E2268,E2268,$H$5:H2268,"Falta",$L$5:L2268,Config!$B$7,$M$5:M2268,Config!$B$5)=1),COUNTIFS($E$5:$E$3004,E2268,$H$5:$H$3004,"Falta",$L$5:$L$3004,Config!$B$7,$M$5:$M$3004,Config!$B$5)*1000-ROW()/100000,0)</f>
        <v>0</v>
      </c>
    </row>
    <row r="2269">
      <c r="A2269" s="39" t="n"/>
      <c r="B2269" s="40" t="n"/>
      <c r="C2269" s="35" t="n"/>
      <c r="D2269" s="35" t="n"/>
      <c r="E2269" s="34" t="n"/>
      <c r="F2269" s="35" t="n"/>
      <c r="G2269" s="35" t="n"/>
      <c r="H2269" s="35" t="n"/>
      <c r="I2269" s="35" t="n"/>
      <c r="J2269" s="35" t="n"/>
      <c r="K2269" s="34" t="n"/>
      <c r="L2269" s="26">
        <f>IF(A2269="","",MONTH(A2269))</f>
        <v/>
      </c>
      <c r="M2269" s="26">
        <f>IF(A2269="","",YEAR(A2269))</f>
        <v/>
      </c>
      <c r="N2269" s="26">
        <f>IF(A2269="","",CHOOSE(WEEKDAY(A2269,2),"Segunda","Terça","Quarta","Quinta","Sexta","Sábado","Domingo"))</f>
        <v/>
      </c>
      <c r="O2269" s="26">
        <f>IF(B2269="","",IF(B2269&lt;TIME(12,0,0),"Manhã",IF(B2269&lt;TIME(18,0,0),"Tarde","Noite")))</f>
        <v/>
      </c>
      <c r="P2269" s="32">
        <f>IF(G2269="","",IFERROR(INDEX(Config!$I$5:$I$16,MATCH(G2269,Config!$H$5:$H$16,0)),0))</f>
        <v/>
      </c>
      <c r="Q2269" s="30">
        <f>IF(OR(H2269&lt;&gt;"Realizado",P2269="",P2269=0),"",A2269+P2269)</f>
        <v/>
      </c>
      <c r="R2269" s="26">
        <f>IF(Q2269="","",IF(COUNTIFS($E$5:$E$3004,E2269,$A$5:$A$3004,"&gt;"&amp;A2269,$H$5:$H$3004,"&lt;&gt;Falta",$H$5:$H$3004,"&lt;&gt;Cancelado",$H$5:$H$3004,"&lt;&gt;Remarcado")&gt;0,"Sim","Não"))</f>
        <v/>
      </c>
      <c r="S2269" s="32">
        <f>IF(R2269&lt;&gt;"Não","",IF(Q2269+Config!$B$9&lt;=Config!$B$8,Config!$B$8-Q2269,""))</f>
        <v/>
      </c>
      <c r="T2269" s="26">
        <f>IF(S2269="","","Sim")</f>
        <v/>
      </c>
      <c r="U2269" s="41">
        <f>IF(T2269="Sim",S2269+ROW()/100000,0)</f>
        <v>0</v>
      </c>
      <c r="V2269" s="41">
        <f>IF(AND(H2269="Falta",L2269=Config!$B$7,M2269=Config!$B$5,COUNTIFS($E$5:E2269,E2269,$H$5:H2269,"Falta",$L$5:L2269,Config!$B$7,$M$5:M2269,Config!$B$5)=1),COUNTIFS($E$5:$E$3004,E2269,$H$5:$H$3004,"Falta",$L$5:$L$3004,Config!$B$7,$M$5:$M$3004,Config!$B$5)*1000-ROW()/100000,0)</f>
        <v>0</v>
      </c>
    </row>
    <row r="2270">
      <c r="A2270" s="39" t="n"/>
      <c r="B2270" s="40" t="n"/>
      <c r="C2270" s="35" t="n"/>
      <c r="D2270" s="35" t="n"/>
      <c r="E2270" s="34" t="n"/>
      <c r="F2270" s="35" t="n"/>
      <c r="G2270" s="35" t="n"/>
      <c r="H2270" s="35" t="n"/>
      <c r="I2270" s="35" t="n"/>
      <c r="J2270" s="35" t="n"/>
      <c r="K2270" s="34" t="n"/>
      <c r="L2270" s="26">
        <f>IF(A2270="","",MONTH(A2270))</f>
        <v/>
      </c>
      <c r="M2270" s="26">
        <f>IF(A2270="","",YEAR(A2270))</f>
        <v/>
      </c>
      <c r="N2270" s="26">
        <f>IF(A2270="","",CHOOSE(WEEKDAY(A2270,2),"Segunda","Terça","Quarta","Quinta","Sexta","Sábado","Domingo"))</f>
        <v/>
      </c>
      <c r="O2270" s="26">
        <f>IF(B2270="","",IF(B2270&lt;TIME(12,0,0),"Manhã",IF(B2270&lt;TIME(18,0,0),"Tarde","Noite")))</f>
        <v/>
      </c>
      <c r="P2270" s="32">
        <f>IF(G2270="","",IFERROR(INDEX(Config!$I$5:$I$16,MATCH(G2270,Config!$H$5:$H$16,0)),0))</f>
        <v/>
      </c>
      <c r="Q2270" s="30">
        <f>IF(OR(H2270&lt;&gt;"Realizado",P2270="",P2270=0),"",A2270+P2270)</f>
        <v/>
      </c>
      <c r="R2270" s="26">
        <f>IF(Q2270="","",IF(COUNTIFS($E$5:$E$3004,E2270,$A$5:$A$3004,"&gt;"&amp;A2270,$H$5:$H$3004,"&lt;&gt;Falta",$H$5:$H$3004,"&lt;&gt;Cancelado",$H$5:$H$3004,"&lt;&gt;Remarcado")&gt;0,"Sim","Não"))</f>
        <v/>
      </c>
      <c r="S2270" s="32">
        <f>IF(R2270&lt;&gt;"Não","",IF(Q2270+Config!$B$9&lt;=Config!$B$8,Config!$B$8-Q2270,""))</f>
        <v/>
      </c>
      <c r="T2270" s="26">
        <f>IF(S2270="","","Sim")</f>
        <v/>
      </c>
      <c r="U2270" s="41">
        <f>IF(T2270="Sim",S2270+ROW()/100000,0)</f>
        <v>0</v>
      </c>
      <c r="V2270" s="41">
        <f>IF(AND(H2270="Falta",L2270=Config!$B$7,M2270=Config!$B$5,COUNTIFS($E$5:E2270,E2270,$H$5:H2270,"Falta",$L$5:L2270,Config!$B$7,$M$5:M2270,Config!$B$5)=1),COUNTIFS($E$5:$E$3004,E2270,$H$5:$H$3004,"Falta",$L$5:$L$3004,Config!$B$7,$M$5:$M$3004,Config!$B$5)*1000-ROW()/100000,0)</f>
        <v>0</v>
      </c>
    </row>
    <row r="2271">
      <c r="A2271" s="39" t="n"/>
      <c r="B2271" s="40" t="n"/>
      <c r="C2271" s="35" t="n"/>
      <c r="D2271" s="35" t="n"/>
      <c r="E2271" s="34" t="n"/>
      <c r="F2271" s="35" t="n"/>
      <c r="G2271" s="35" t="n"/>
      <c r="H2271" s="35" t="n"/>
      <c r="I2271" s="35" t="n"/>
      <c r="J2271" s="35" t="n"/>
      <c r="K2271" s="34" t="n"/>
      <c r="L2271" s="26">
        <f>IF(A2271="","",MONTH(A2271))</f>
        <v/>
      </c>
      <c r="M2271" s="26">
        <f>IF(A2271="","",YEAR(A2271))</f>
        <v/>
      </c>
      <c r="N2271" s="26">
        <f>IF(A2271="","",CHOOSE(WEEKDAY(A2271,2),"Segunda","Terça","Quarta","Quinta","Sexta","Sábado","Domingo"))</f>
        <v/>
      </c>
      <c r="O2271" s="26">
        <f>IF(B2271="","",IF(B2271&lt;TIME(12,0,0),"Manhã",IF(B2271&lt;TIME(18,0,0),"Tarde","Noite")))</f>
        <v/>
      </c>
      <c r="P2271" s="32">
        <f>IF(G2271="","",IFERROR(INDEX(Config!$I$5:$I$16,MATCH(G2271,Config!$H$5:$H$16,0)),0))</f>
        <v/>
      </c>
      <c r="Q2271" s="30">
        <f>IF(OR(H2271&lt;&gt;"Realizado",P2271="",P2271=0),"",A2271+P2271)</f>
        <v/>
      </c>
      <c r="R2271" s="26">
        <f>IF(Q2271="","",IF(COUNTIFS($E$5:$E$3004,E2271,$A$5:$A$3004,"&gt;"&amp;A2271,$H$5:$H$3004,"&lt;&gt;Falta",$H$5:$H$3004,"&lt;&gt;Cancelado",$H$5:$H$3004,"&lt;&gt;Remarcado")&gt;0,"Sim","Não"))</f>
        <v/>
      </c>
      <c r="S2271" s="32">
        <f>IF(R2271&lt;&gt;"Não","",IF(Q2271+Config!$B$9&lt;=Config!$B$8,Config!$B$8-Q2271,""))</f>
        <v/>
      </c>
      <c r="T2271" s="26">
        <f>IF(S2271="","","Sim")</f>
        <v/>
      </c>
      <c r="U2271" s="41">
        <f>IF(T2271="Sim",S2271+ROW()/100000,0)</f>
        <v>0</v>
      </c>
      <c r="V2271" s="41">
        <f>IF(AND(H2271="Falta",L2271=Config!$B$7,M2271=Config!$B$5,COUNTIFS($E$5:E2271,E2271,$H$5:H2271,"Falta",$L$5:L2271,Config!$B$7,$M$5:M2271,Config!$B$5)=1),COUNTIFS($E$5:$E$3004,E2271,$H$5:$H$3004,"Falta",$L$5:$L$3004,Config!$B$7,$M$5:$M$3004,Config!$B$5)*1000-ROW()/100000,0)</f>
        <v>0</v>
      </c>
    </row>
    <row r="2272">
      <c r="A2272" s="39" t="n"/>
      <c r="B2272" s="40" t="n"/>
      <c r="C2272" s="35" t="n"/>
      <c r="D2272" s="35" t="n"/>
      <c r="E2272" s="34" t="n"/>
      <c r="F2272" s="35" t="n"/>
      <c r="G2272" s="35" t="n"/>
      <c r="H2272" s="35" t="n"/>
      <c r="I2272" s="35" t="n"/>
      <c r="J2272" s="35" t="n"/>
      <c r="K2272" s="34" t="n"/>
      <c r="L2272" s="26">
        <f>IF(A2272="","",MONTH(A2272))</f>
        <v/>
      </c>
      <c r="M2272" s="26">
        <f>IF(A2272="","",YEAR(A2272))</f>
        <v/>
      </c>
      <c r="N2272" s="26">
        <f>IF(A2272="","",CHOOSE(WEEKDAY(A2272,2),"Segunda","Terça","Quarta","Quinta","Sexta","Sábado","Domingo"))</f>
        <v/>
      </c>
      <c r="O2272" s="26">
        <f>IF(B2272="","",IF(B2272&lt;TIME(12,0,0),"Manhã",IF(B2272&lt;TIME(18,0,0),"Tarde","Noite")))</f>
        <v/>
      </c>
      <c r="P2272" s="32">
        <f>IF(G2272="","",IFERROR(INDEX(Config!$I$5:$I$16,MATCH(G2272,Config!$H$5:$H$16,0)),0))</f>
        <v/>
      </c>
      <c r="Q2272" s="30">
        <f>IF(OR(H2272&lt;&gt;"Realizado",P2272="",P2272=0),"",A2272+P2272)</f>
        <v/>
      </c>
      <c r="R2272" s="26">
        <f>IF(Q2272="","",IF(COUNTIFS($E$5:$E$3004,E2272,$A$5:$A$3004,"&gt;"&amp;A2272,$H$5:$H$3004,"&lt;&gt;Falta",$H$5:$H$3004,"&lt;&gt;Cancelado",$H$5:$H$3004,"&lt;&gt;Remarcado")&gt;0,"Sim","Não"))</f>
        <v/>
      </c>
      <c r="S2272" s="32">
        <f>IF(R2272&lt;&gt;"Não","",IF(Q2272+Config!$B$9&lt;=Config!$B$8,Config!$B$8-Q2272,""))</f>
        <v/>
      </c>
      <c r="T2272" s="26">
        <f>IF(S2272="","","Sim")</f>
        <v/>
      </c>
      <c r="U2272" s="41">
        <f>IF(T2272="Sim",S2272+ROW()/100000,0)</f>
        <v>0</v>
      </c>
      <c r="V2272" s="41">
        <f>IF(AND(H2272="Falta",L2272=Config!$B$7,M2272=Config!$B$5,COUNTIFS($E$5:E2272,E2272,$H$5:H2272,"Falta",$L$5:L2272,Config!$B$7,$M$5:M2272,Config!$B$5)=1),COUNTIFS($E$5:$E$3004,E2272,$H$5:$H$3004,"Falta",$L$5:$L$3004,Config!$B$7,$M$5:$M$3004,Config!$B$5)*1000-ROW()/100000,0)</f>
        <v>0</v>
      </c>
    </row>
    <row r="2273">
      <c r="A2273" s="39" t="n"/>
      <c r="B2273" s="40" t="n"/>
      <c r="C2273" s="35" t="n"/>
      <c r="D2273" s="35" t="n"/>
      <c r="E2273" s="34" t="n"/>
      <c r="F2273" s="35" t="n"/>
      <c r="G2273" s="35" t="n"/>
      <c r="H2273" s="35" t="n"/>
      <c r="I2273" s="35" t="n"/>
      <c r="J2273" s="35" t="n"/>
      <c r="K2273" s="34" t="n"/>
      <c r="L2273" s="26">
        <f>IF(A2273="","",MONTH(A2273))</f>
        <v/>
      </c>
      <c r="M2273" s="26">
        <f>IF(A2273="","",YEAR(A2273))</f>
        <v/>
      </c>
      <c r="N2273" s="26">
        <f>IF(A2273="","",CHOOSE(WEEKDAY(A2273,2),"Segunda","Terça","Quarta","Quinta","Sexta","Sábado","Domingo"))</f>
        <v/>
      </c>
      <c r="O2273" s="26">
        <f>IF(B2273="","",IF(B2273&lt;TIME(12,0,0),"Manhã",IF(B2273&lt;TIME(18,0,0),"Tarde","Noite")))</f>
        <v/>
      </c>
      <c r="P2273" s="32">
        <f>IF(G2273="","",IFERROR(INDEX(Config!$I$5:$I$16,MATCH(G2273,Config!$H$5:$H$16,0)),0))</f>
        <v/>
      </c>
      <c r="Q2273" s="30">
        <f>IF(OR(H2273&lt;&gt;"Realizado",P2273="",P2273=0),"",A2273+P2273)</f>
        <v/>
      </c>
      <c r="R2273" s="26">
        <f>IF(Q2273="","",IF(COUNTIFS($E$5:$E$3004,E2273,$A$5:$A$3004,"&gt;"&amp;A2273,$H$5:$H$3004,"&lt;&gt;Falta",$H$5:$H$3004,"&lt;&gt;Cancelado",$H$5:$H$3004,"&lt;&gt;Remarcado")&gt;0,"Sim","Não"))</f>
        <v/>
      </c>
      <c r="S2273" s="32">
        <f>IF(R2273&lt;&gt;"Não","",IF(Q2273+Config!$B$9&lt;=Config!$B$8,Config!$B$8-Q2273,""))</f>
        <v/>
      </c>
      <c r="T2273" s="26">
        <f>IF(S2273="","","Sim")</f>
        <v/>
      </c>
      <c r="U2273" s="41">
        <f>IF(T2273="Sim",S2273+ROW()/100000,0)</f>
        <v>0</v>
      </c>
      <c r="V2273" s="41">
        <f>IF(AND(H2273="Falta",L2273=Config!$B$7,M2273=Config!$B$5,COUNTIFS($E$5:E2273,E2273,$H$5:H2273,"Falta",$L$5:L2273,Config!$B$7,$M$5:M2273,Config!$B$5)=1),COUNTIFS($E$5:$E$3004,E2273,$H$5:$H$3004,"Falta",$L$5:$L$3004,Config!$B$7,$M$5:$M$3004,Config!$B$5)*1000-ROW()/100000,0)</f>
        <v>0</v>
      </c>
    </row>
    <row r="2274">
      <c r="A2274" s="39" t="n"/>
      <c r="B2274" s="40" t="n"/>
      <c r="C2274" s="35" t="n"/>
      <c r="D2274" s="35" t="n"/>
      <c r="E2274" s="34" t="n"/>
      <c r="F2274" s="35" t="n"/>
      <c r="G2274" s="35" t="n"/>
      <c r="H2274" s="35" t="n"/>
      <c r="I2274" s="35" t="n"/>
      <c r="J2274" s="35" t="n"/>
      <c r="K2274" s="34" t="n"/>
      <c r="L2274" s="26">
        <f>IF(A2274="","",MONTH(A2274))</f>
        <v/>
      </c>
      <c r="M2274" s="26">
        <f>IF(A2274="","",YEAR(A2274))</f>
        <v/>
      </c>
      <c r="N2274" s="26">
        <f>IF(A2274="","",CHOOSE(WEEKDAY(A2274,2),"Segunda","Terça","Quarta","Quinta","Sexta","Sábado","Domingo"))</f>
        <v/>
      </c>
      <c r="O2274" s="26">
        <f>IF(B2274="","",IF(B2274&lt;TIME(12,0,0),"Manhã",IF(B2274&lt;TIME(18,0,0),"Tarde","Noite")))</f>
        <v/>
      </c>
      <c r="P2274" s="32">
        <f>IF(G2274="","",IFERROR(INDEX(Config!$I$5:$I$16,MATCH(G2274,Config!$H$5:$H$16,0)),0))</f>
        <v/>
      </c>
      <c r="Q2274" s="30">
        <f>IF(OR(H2274&lt;&gt;"Realizado",P2274="",P2274=0),"",A2274+P2274)</f>
        <v/>
      </c>
      <c r="R2274" s="26">
        <f>IF(Q2274="","",IF(COUNTIFS($E$5:$E$3004,E2274,$A$5:$A$3004,"&gt;"&amp;A2274,$H$5:$H$3004,"&lt;&gt;Falta",$H$5:$H$3004,"&lt;&gt;Cancelado",$H$5:$H$3004,"&lt;&gt;Remarcado")&gt;0,"Sim","Não"))</f>
        <v/>
      </c>
      <c r="S2274" s="32">
        <f>IF(R2274&lt;&gt;"Não","",IF(Q2274+Config!$B$9&lt;=Config!$B$8,Config!$B$8-Q2274,""))</f>
        <v/>
      </c>
      <c r="T2274" s="26">
        <f>IF(S2274="","","Sim")</f>
        <v/>
      </c>
      <c r="U2274" s="41">
        <f>IF(T2274="Sim",S2274+ROW()/100000,0)</f>
        <v>0</v>
      </c>
      <c r="V2274" s="41">
        <f>IF(AND(H2274="Falta",L2274=Config!$B$7,M2274=Config!$B$5,COUNTIFS($E$5:E2274,E2274,$H$5:H2274,"Falta",$L$5:L2274,Config!$B$7,$M$5:M2274,Config!$B$5)=1),COUNTIFS($E$5:$E$3004,E2274,$H$5:$H$3004,"Falta",$L$5:$L$3004,Config!$B$7,$M$5:$M$3004,Config!$B$5)*1000-ROW()/100000,0)</f>
        <v>0</v>
      </c>
    </row>
    <row r="2275">
      <c r="A2275" s="39" t="n"/>
      <c r="B2275" s="40" t="n"/>
      <c r="C2275" s="35" t="n"/>
      <c r="D2275" s="35" t="n"/>
      <c r="E2275" s="34" t="n"/>
      <c r="F2275" s="35" t="n"/>
      <c r="G2275" s="35" t="n"/>
      <c r="H2275" s="35" t="n"/>
      <c r="I2275" s="35" t="n"/>
      <c r="J2275" s="35" t="n"/>
      <c r="K2275" s="34" t="n"/>
      <c r="L2275" s="26">
        <f>IF(A2275="","",MONTH(A2275))</f>
        <v/>
      </c>
      <c r="M2275" s="26">
        <f>IF(A2275="","",YEAR(A2275))</f>
        <v/>
      </c>
      <c r="N2275" s="26">
        <f>IF(A2275="","",CHOOSE(WEEKDAY(A2275,2),"Segunda","Terça","Quarta","Quinta","Sexta","Sábado","Domingo"))</f>
        <v/>
      </c>
      <c r="O2275" s="26">
        <f>IF(B2275="","",IF(B2275&lt;TIME(12,0,0),"Manhã",IF(B2275&lt;TIME(18,0,0),"Tarde","Noite")))</f>
        <v/>
      </c>
      <c r="P2275" s="32">
        <f>IF(G2275="","",IFERROR(INDEX(Config!$I$5:$I$16,MATCH(G2275,Config!$H$5:$H$16,0)),0))</f>
        <v/>
      </c>
      <c r="Q2275" s="30">
        <f>IF(OR(H2275&lt;&gt;"Realizado",P2275="",P2275=0),"",A2275+P2275)</f>
        <v/>
      </c>
      <c r="R2275" s="26">
        <f>IF(Q2275="","",IF(COUNTIFS($E$5:$E$3004,E2275,$A$5:$A$3004,"&gt;"&amp;A2275,$H$5:$H$3004,"&lt;&gt;Falta",$H$5:$H$3004,"&lt;&gt;Cancelado",$H$5:$H$3004,"&lt;&gt;Remarcado")&gt;0,"Sim","Não"))</f>
        <v/>
      </c>
      <c r="S2275" s="32">
        <f>IF(R2275&lt;&gt;"Não","",IF(Q2275+Config!$B$9&lt;=Config!$B$8,Config!$B$8-Q2275,""))</f>
        <v/>
      </c>
      <c r="T2275" s="26">
        <f>IF(S2275="","","Sim")</f>
        <v/>
      </c>
      <c r="U2275" s="41">
        <f>IF(T2275="Sim",S2275+ROW()/100000,0)</f>
        <v>0</v>
      </c>
      <c r="V2275" s="41">
        <f>IF(AND(H2275="Falta",L2275=Config!$B$7,M2275=Config!$B$5,COUNTIFS($E$5:E2275,E2275,$H$5:H2275,"Falta",$L$5:L2275,Config!$B$7,$M$5:M2275,Config!$B$5)=1),COUNTIFS($E$5:$E$3004,E2275,$H$5:$H$3004,"Falta",$L$5:$L$3004,Config!$B$7,$M$5:$M$3004,Config!$B$5)*1000-ROW()/100000,0)</f>
        <v>0</v>
      </c>
    </row>
    <row r="2276">
      <c r="A2276" s="39" t="n"/>
      <c r="B2276" s="40" t="n"/>
      <c r="C2276" s="35" t="n"/>
      <c r="D2276" s="35" t="n"/>
      <c r="E2276" s="34" t="n"/>
      <c r="F2276" s="35" t="n"/>
      <c r="G2276" s="35" t="n"/>
      <c r="H2276" s="35" t="n"/>
      <c r="I2276" s="35" t="n"/>
      <c r="J2276" s="35" t="n"/>
      <c r="K2276" s="34" t="n"/>
      <c r="L2276" s="26">
        <f>IF(A2276="","",MONTH(A2276))</f>
        <v/>
      </c>
      <c r="M2276" s="26">
        <f>IF(A2276="","",YEAR(A2276))</f>
        <v/>
      </c>
      <c r="N2276" s="26">
        <f>IF(A2276="","",CHOOSE(WEEKDAY(A2276,2),"Segunda","Terça","Quarta","Quinta","Sexta","Sábado","Domingo"))</f>
        <v/>
      </c>
      <c r="O2276" s="26">
        <f>IF(B2276="","",IF(B2276&lt;TIME(12,0,0),"Manhã",IF(B2276&lt;TIME(18,0,0),"Tarde","Noite")))</f>
        <v/>
      </c>
      <c r="P2276" s="32">
        <f>IF(G2276="","",IFERROR(INDEX(Config!$I$5:$I$16,MATCH(G2276,Config!$H$5:$H$16,0)),0))</f>
        <v/>
      </c>
      <c r="Q2276" s="30">
        <f>IF(OR(H2276&lt;&gt;"Realizado",P2276="",P2276=0),"",A2276+P2276)</f>
        <v/>
      </c>
      <c r="R2276" s="26">
        <f>IF(Q2276="","",IF(COUNTIFS($E$5:$E$3004,E2276,$A$5:$A$3004,"&gt;"&amp;A2276,$H$5:$H$3004,"&lt;&gt;Falta",$H$5:$H$3004,"&lt;&gt;Cancelado",$H$5:$H$3004,"&lt;&gt;Remarcado")&gt;0,"Sim","Não"))</f>
        <v/>
      </c>
      <c r="S2276" s="32">
        <f>IF(R2276&lt;&gt;"Não","",IF(Q2276+Config!$B$9&lt;=Config!$B$8,Config!$B$8-Q2276,""))</f>
        <v/>
      </c>
      <c r="T2276" s="26">
        <f>IF(S2276="","","Sim")</f>
        <v/>
      </c>
      <c r="U2276" s="41">
        <f>IF(T2276="Sim",S2276+ROW()/100000,0)</f>
        <v>0</v>
      </c>
      <c r="V2276" s="41">
        <f>IF(AND(H2276="Falta",L2276=Config!$B$7,M2276=Config!$B$5,COUNTIFS($E$5:E2276,E2276,$H$5:H2276,"Falta",$L$5:L2276,Config!$B$7,$M$5:M2276,Config!$B$5)=1),COUNTIFS($E$5:$E$3004,E2276,$H$5:$H$3004,"Falta",$L$5:$L$3004,Config!$B$7,$M$5:$M$3004,Config!$B$5)*1000-ROW()/100000,0)</f>
        <v>0</v>
      </c>
    </row>
    <row r="2277">
      <c r="A2277" s="39" t="n"/>
      <c r="B2277" s="40" t="n"/>
      <c r="C2277" s="35" t="n"/>
      <c r="D2277" s="35" t="n"/>
      <c r="E2277" s="34" t="n"/>
      <c r="F2277" s="35" t="n"/>
      <c r="G2277" s="35" t="n"/>
      <c r="H2277" s="35" t="n"/>
      <c r="I2277" s="35" t="n"/>
      <c r="J2277" s="35" t="n"/>
      <c r="K2277" s="34" t="n"/>
      <c r="L2277" s="26">
        <f>IF(A2277="","",MONTH(A2277))</f>
        <v/>
      </c>
      <c r="M2277" s="26">
        <f>IF(A2277="","",YEAR(A2277))</f>
        <v/>
      </c>
      <c r="N2277" s="26">
        <f>IF(A2277="","",CHOOSE(WEEKDAY(A2277,2),"Segunda","Terça","Quarta","Quinta","Sexta","Sábado","Domingo"))</f>
        <v/>
      </c>
      <c r="O2277" s="26">
        <f>IF(B2277="","",IF(B2277&lt;TIME(12,0,0),"Manhã",IF(B2277&lt;TIME(18,0,0),"Tarde","Noite")))</f>
        <v/>
      </c>
      <c r="P2277" s="32">
        <f>IF(G2277="","",IFERROR(INDEX(Config!$I$5:$I$16,MATCH(G2277,Config!$H$5:$H$16,0)),0))</f>
        <v/>
      </c>
      <c r="Q2277" s="30">
        <f>IF(OR(H2277&lt;&gt;"Realizado",P2277="",P2277=0),"",A2277+P2277)</f>
        <v/>
      </c>
      <c r="R2277" s="26">
        <f>IF(Q2277="","",IF(COUNTIFS($E$5:$E$3004,E2277,$A$5:$A$3004,"&gt;"&amp;A2277,$H$5:$H$3004,"&lt;&gt;Falta",$H$5:$H$3004,"&lt;&gt;Cancelado",$H$5:$H$3004,"&lt;&gt;Remarcado")&gt;0,"Sim","Não"))</f>
        <v/>
      </c>
      <c r="S2277" s="32">
        <f>IF(R2277&lt;&gt;"Não","",IF(Q2277+Config!$B$9&lt;=Config!$B$8,Config!$B$8-Q2277,""))</f>
        <v/>
      </c>
      <c r="T2277" s="26">
        <f>IF(S2277="","","Sim")</f>
        <v/>
      </c>
      <c r="U2277" s="41">
        <f>IF(T2277="Sim",S2277+ROW()/100000,0)</f>
        <v>0</v>
      </c>
      <c r="V2277" s="41">
        <f>IF(AND(H2277="Falta",L2277=Config!$B$7,M2277=Config!$B$5,COUNTIFS($E$5:E2277,E2277,$H$5:H2277,"Falta",$L$5:L2277,Config!$B$7,$M$5:M2277,Config!$B$5)=1),COUNTIFS($E$5:$E$3004,E2277,$H$5:$H$3004,"Falta",$L$5:$L$3004,Config!$B$7,$M$5:$M$3004,Config!$B$5)*1000-ROW()/100000,0)</f>
        <v>0</v>
      </c>
    </row>
    <row r="2278">
      <c r="A2278" s="39" t="n"/>
      <c r="B2278" s="40" t="n"/>
      <c r="C2278" s="35" t="n"/>
      <c r="D2278" s="35" t="n"/>
      <c r="E2278" s="34" t="n"/>
      <c r="F2278" s="35" t="n"/>
      <c r="G2278" s="35" t="n"/>
      <c r="H2278" s="35" t="n"/>
      <c r="I2278" s="35" t="n"/>
      <c r="J2278" s="35" t="n"/>
      <c r="K2278" s="34" t="n"/>
      <c r="L2278" s="26">
        <f>IF(A2278="","",MONTH(A2278))</f>
        <v/>
      </c>
      <c r="M2278" s="26">
        <f>IF(A2278="","",YEAR(A2278))</f>
        <v/>
      </c>
      <c r="N2278" s="26">
        <f>IF(A2278="","",CHOOSE(WEEKDAY(A2278,2),"Segunda","Terça","Quarta","Quinta","Sexta","Sábado","Domingo"))</f>
        <v/>
      </c>
      <c r="O2278" s="26">
        <f>IF(B2278="","",IF(B2278&lt;TIME(12,0,0),"Manhã",IF(B2278&lt;TIME(18,0,0),"Tarde","Noite")))</f>
        <v/>
      </c>
      <c r="P2278" s="32">
        <f>IF(G2278="","",IFERROR(INDEX(Config!$I$5:$I$16,MATCH(G2278,Config!$H$5:$H$16,0)),0))</f>
        <v/>
      </c>
      <c r="Q2278" s="30">
        <f>IF(OR(H2278&lt;&gt;"Realizado",P2278="",P2278=0),"",A2278+P2278)</f>
        <v/>
      </c>
      <c r="R2278" s="26">
        <f>IF(Q2278="","",IF(COUNTIFS($E$5:$E$3004,E2278,$A$5:$A$3004,"&gt;"&amp;A2278,$H$5:$H$3004,"&lt;&gt;Falta",$H$5:$H$3004,"&lt;&gt;Cancelado",$H$5:$H$3004,"&lt;&gt;Remarcado")&gt;0,"Sim","Não"))</f>
        <v/>
      </c>
      <c r="S2278" s="32">
        <f>IF(R2278&lt;&gt;"Não","",IF(Q2278+Config!$B$9&lt;=Config!$B$8,Config!$B$8-Q2278,""))</f>
        <v/>
      </c>
      <c r="T2278" s="26">
        <f>IF(S2278="","","Sim")</f>
        <v/>
      </c>
      <c r="U2278" s="41">
        <f>IF(T2278="Sim",S2278+ROW()/100000,0)</f>
        <v>0</v>
      </c>
      <c r="V2278" s="41">
        <f>IF(AND(H2278="Falta",L2278=Config!$B$7,M2278=Config!$B$5,COUNTIFS($E$5:E2278,E2278,$H$5:H2278,"Falta",$L$5:L2278,Config!$B$7,$M$5:M2278,Config!$B$5)=1),COUNTIFS($E$5:$E$3004,E2278,$H$5:$H$3004,"Falta",$L$5:$L$3004,Config!$B$7,$M$5:$M$3004,Config!$B$5)*1000-ROW()/100000,0)</f>
        <v>0</v>
      </c>
    </row>
    <row r="2279">
      <c r="A2279" s="39" t="n"/>
      <c r="B2279" s="40" t="n"/>
      <c r="C2279" s="35" t="n"/>
      <c r="D2279" s="35" t="n"/>
      <c r="E2279" s="34" t="n"/>
      <c r="F2279" s="35" t="n"/>
      <c r="G2279" s="35" t="n"/>
      <c r="H2279" s="35" t="n"/>
      <c r="I2279" s="35" t="n"/>
      <c r="J2279" s="35" t="n"/>
      <c r="K2279" s="34" t="n"/>
      <c r="L2279" s="26">
        <f>IF(A2279="","",MONTH(A2279))</f>
        <v/>
      </c>
      <c r="M2279" s="26">
        <f>IF(A2279="","",YEAR(A2279))</f>
        <v/>
      </c>
      <c r="N2279" s="26">
        <f>IF(A2279="","",CHOOSE(WEEKDAY(A2279,2),"Segunda","Terça","Quarta","Quinta","Sexta","Sábado","Domingo"))</f>
        <v/>
      </c>
      <c r="O2279" s="26">
        <f>IF(B2279="","",IF(B2279&lt;TIME(12,0,0),"Manhã",IF(B2279&lt;TIME(18,0,0),"Tarde","Noite")))</f>
        <v/>
      </c>
      <c r="P2279" s="32">
        <f>IF(G2279="","",IFERROR(INDEX(Config!$I$5:$I$16,MATCH(G2279,Config!$H$5:$H$16,0)),0))</f>
        <v/>
      </c>
      <c r="Q2279" s="30">
        <f>IF(OR(H2279&lt;&gt;"Realizado",P2279="",P2279=0),"",A2279+P2279)</f>
        <v/>
      </c>
      <c r="R2279" s="26">
        <f>IF(Q2279="","",IF(COUNTIFS($E$5:$E$3004,E2279,$A$5:$A$3004,"&gt;"&amp;A2279,$H$5:$H$3004,"&lt;&gt;Falta",$H$5:$H$3004,"&lt;&gt;Cancelado",$H$5:$H$3004,"&lt;&gt;Remarcado")&gt;0,"Sim","Não"))</f>
        <v/>
      </c>
      <c r="S2279" s="32">
        <f>IF(R2279&lt;&gt;"Não","",IF(Q2279+Config!$B$9&lt;=Config!$B$8,Config!$B$8-Q2279,""))</f>
        <v/>
      </c>
      <c r="T2279" s="26">
        <f>IF(S2279="","","Sim")</f>
        <v/>
      </c>
      <c r="U2279" s="41">
        <f>IF(T2279="Sim",S2279+ROW()/100000,0)</f>
        <v>0</v>
      </c>
      <c r="V2279" s="41">
        <f>IF(AND(H2279="Falta",L2279=Config!$B$7,M2279=Config!$B$5,COUNTIFS($E$5:E2279,E2279,$H$5:H2279,"Falta",$L$5:L2279,Config!$B$7,$M$5:M2279,Config!$B$5)=1),COUNTIFS($E$5:$E$3004,E2279,$H$5:$H$3004,"Falta",$L$5:$L$3004,Config!$B$7,$M$5:$M$3004,Config!$B$5)*1000-ROW()/100000,0)</f>
        <v>0</v>
      </c>
    </row>
    <row r="2280">
      <c r="A2280" s="39" t="n"/>
      <c r="B2280" s="40" t="n"/>
      <c r="C2280" s="35" t="n"/>
      <c r="D2280" s="35" t="n"/>
      <c r="E2280" s="34" t="n"/>
      <c r="F2280" s="35" t="n"/>
      <c r="G2280" s="35" t="n"/>
      <c r="H2280" s="35" t="n"/>
      <c r="I2280" s="35" t="n"/>
      <c r="J2280" s="35" t="n"/>
      <c r="K2280" s="34" t="n"/>
      <c r="L2280" s="26">
        <f>IF(A2280="","",MONTH(A2280))</f>
        <v/>
      </c>
      <c r="M2280" s="26">
        <f>IF(A2280="","",YEAR(A2280))</f>
        <v/>
      </c>
      <c r="N2280" s="26">
        <f>IF(A2280="","",CHOOSE(WEEKDAY(A2280,2),"Segunda","Terça","Quarta","Quinta","Sexta","Sábado","Domingo"))</f>
        <v/>
      </c>
      <c r="O2280" s="26">
        <f>IF(B2280="","",IF(B2280&lt;TIME(12,0,0),"Manhã",IF(B2280&lt;TIME(18,0,0),"Tarde","Noite")))</f>
        <v/>
      </c>
      <c r="P2280" s="32">
        <f>IF(G2280="","",IFERROR(INDEX(Config!$I$5:$I$16,MATCH(G2280,Config!$H$5:$H$16,0)),0))</f>
        <v/>
      </c>
      <c r="Q2280" s="30">
        <f>IF(OR(H2280&lt;&gt;"Realizado",P2280="",P2280=0),"",A2280+P2280)</f>
        <v/>
      </c>
      <c r="R2280" s="26">
        <f>IF(Q2280="","",IF(COUNTIFS($E$5:$E$3004,E2280,$A$5:$A$3004,"&gt;"&amp;A2280,$H$5:$H$3004,"&lt;&gt;Falta",$H$5:$H$3004,"&lt;&gt;Cancelado",$H$5:$H$3004,"&lt;&gt;Remarcado")&gt;0,"Sim","Não"))</f>
        <v/>
      </c>
      <c r="S2280" s="32">
        <f>IF(R2280&lt;&gt;"Não","",IF(Q2280+Config!$B$9&lt;=Config!$B$8,Config!$B$8-Q2280,""))</f>
        <v/>
      </c>
      <c r="T2280" s="26">
        <f>IF(S2280="","","Sim")</f>
        <v/>
      </c>
      <c r="U2280" s="41">
        <f>IF(T2280="Sim",S2280+ROW()/100000,0)</f>
        <v>0</v>
      </c>
      <c r="V2280" s="41">
        <f>IF(AND(H2280="Falta",L2280=Config!$B$7,M2280=Config!$B$5,COUNTIFS($E$5:E2280,E2280,$H$5:H2280,"Falta",$L$5:L2280,Config!$B$7,$M$5:M2280,Config!$B$5)=1),COUNTIFS($E$5:$E$3004,E2280,$H$5:$H$3004,"Falta",$L$5:$L$3004,Config!$B$7,$M$5:$M$3004,Config!$B$5)*1000-ROW()/100000,0)</f>
        <v>0</v>
      </c>
    </row>
    <row r="2281">
      <c r="A2281" s="39" t="n"/>
      <c r="B2281" s="40" t="n"/>
      <c r="C2281" s="35" t="n"/>
      <c r="D2281" s="35" t="n"/>
      <c r="E2281" s="34" t="n"/>
      <c r="F2281" s="35" t="n"/>
      <c r="G2281" s="35" t="n"/>
      <c r="H2281" s="35" t="n"/>
      <c r="I2281" s="35" t="n"/>
      <c r="J2281" s="35" t="n"/>
      <c r="K2281" s="34" t="n"/>
      <c r="L2281" s="26">
        <f>IF(A2281="","",MONTH(A2281))</f>
        <v/>
      </c>
      <c r="M2281" s="26">
        <f>IF(A2281="","",YEAR(A2281))</f>
        <v/>
      </c>
      <c r="N2281" s="26">
        <f>IF(A2281="","",CHOOSE(WEEKDAY(A2281,2),"Segunda","Terça","Quarta","Quinta","Sexta","Sábado","Domingo"))</f>
        <v/>
      </c>
      <c r="O2281" s="26">
        <f>IF(B2281="","",IF(B2281&lt;TIME(12,0,0),"Manhã",IF(B2281&lt;TIME(18,0,0),"Tarde","Noite")))</f>
        <v/>
      </c>
      <c r="P2281" s="32">
        <f>IF(G2281="","",IFERROR(INDEX(Config!$I$5:$I$16,MATCH(G2281,Config!$H$5:$H$16,0)),0))</f>
        <v/>
      </c>
      <c r="Q2281" s="30">
        <f>IF(OR(H2281&lt;&gt;"Realizado",P2281="",P2281=0),"",A2281+P2281)</f>
        <v/>
      </c>
      <c r="R2281" s="26">
        <f>IF(Q2281="","",IF(COUNTIFS($E$5:$E$3004,E2281,$A$5:$A$3004,"&gt;"&amp;A2281,$H$5:$H$3004,"&lt;&gt;Falta",$H$5:$H$3004,"&lt;&gt;Cancelado",$H$5:$H$3004,"&lt;&gt;Remarcado")&gt;0,"Sim","Não"))</f>
        <v/>
      </c>
      <c r="S2281" s="32">
        <f>IF(R2281&lt;&gt;"Não","",IF(Q2281+Config!$B$9&lt;=Config!$B$8,Config!$B$8-Q2281,""))</f>
        <v/>
      </c>
      <c r="T2281" s="26">
        <f>IF(S2281="","","Sim")</f>
        <v/>
      </c>
      <c r="U2281" s="41">
        <f>IF(T2281="Sim",S2281+ROW()/100000,0)</f>
        <v>0</v>
      </c>
      <c r="V2281" s="41">
        <f>IF(AND(H2281="Falta",L2281=Config!$B$7,M2281=Config!$B$5,COUNTIFS($E$5:E2281,E2281,$H$5:H2281,"Falta",$L$5:L2281,Config!$B$7,$M$5:M2281,Config!$B$5)=1),COUNTIFS($E$5:$E$3004,E2281,$H$5:$H$3004,"Falta",$L$5:$L$3004,Config!$B$7,$M$5:$M$3004,Config!$B$5)*1000-ROW()/100000,0)</f>
        <v>0</v>
      </c>
    </row>
    <row r="2282">
      <c r="A2282" s="39" t="n"/>
      <c r="B2282" s="40" t="n"/>
      <c r="C2282" s="35" t="n"/>
      <c r="D2282" s="35" t="n"/>
      <c r="E2282" s="34" t="n"/>
      <c r="F2282" s="35" t="n"/>
      <c r="G2282" s="35" t="n"/>
      <c r="H2282" s="35" t="n"/>
      <c r="I2282" s="35" t="n"/>
      <c r="J2282" s="35" t="n"/>
      <c r="K2282" s="34" t="n"/>
      <c r="L2282" s="26">
        <f>IF(A2282="","",MONTH(A2282))</f>
        <v/>
      </c>
      <c r="M2282" s="26">
        <f>IF(A2282="","",YEAR(A2282))</f>
        <v/>
      </c>
      <c r="N2282" s="26">
        <f>IF(A2282="","",CHOOSE(WEEKDAY(A2282,2),"Segunda","Terça","Quarta","Quinta","Sexta","Sábado","Domingo"))</f>
        <v/>
      </c>
      <c r="O2282" s="26">
        <f>IF(B2282="","",IF(B2282&lt;TIME(12,0,0),"Manhã",IF(B2282&lt;TIME(18,0,0),"Tarde","Noite")))</f>
        <v/>
      </c>
      <c r="P2282" s="32">
        <f>IF(G2282="","",IFERROR(INDEX(Config!$I$5:$I$16,MATCH(G2282,Config!$H$5:$H$16,0)),0))</f>
        <v/>
      </c>
      <c r="Q2282" s="30">
        <f>IF(OR(H2282&lt;&gt;"Realizado",P2282="",P2282=0),"",A2282+P2282)</f>
        <v/>
      </c>
      <c r="R2282" s="26">
        <f>IF(Q2282="","",IF(COUNTIFS($E$5:$E$3004,E2282,$A$5:$A$3004,"&gt;"&amp;A2282,$H$5:$H$3004,"&lt;&gt;Falta",$H$5:$H$3004,"&lt;&gt;Cancelado",$H$5:$H$3004,"&lt;&gt;Remarcado")&gt;0,"Sim","Não"))</f>
        <v/>
      </c>
      <c r="S2282" s="32">
        <f>IF(R2282&lt;&gt;"Não","",IF(Q2282+Config!$B$9&lt;=Config!$B$8,Config!$B$8-Q2282,""))</f>
        <v/>
      </c>
      <c r="T2282" s="26">
        <f>IF(S2282="","","Sim")</f>
        <v/>
      </c>
      <c r="U2282" s="41">
        <f>IF(T2282="Sim",S2282+ROW()/100000,0)</f>
        <v>0</v>
      </c>
      <c r="V2282" s="41">
        <f>IF(AND(H2282="Falta",L2282=Config!$B$7,M2282=Config!$B$5,COUNTIFS($E$5:E2282,E2282,$H$5:H2282,"Falta",$L$5:L2282,Config!$B$7,$M$5:M2282,Config!$B$5)=1),COUNTIFS($E$5:$E$3004,E2282,$H$5:$H$3004,"Falta",$L$5:$L$3004,Config!$B$7,$M$5:$M$3004,Config!$B$5)*1000-ROW()/100000,0)</f>
        <v>0</v>
      </c>
    </row>
    <row r="2283">
      <c r="A2283" s="39" t="n"/>
      <c r="B2283" s="40" t="n"/>
      <c r="C2283" s="35" t="n"/>
      <c r="D2283" s="35" t="n"/>
      <c r="E2283" s="34" t="n"/>
      <c r="F2283" s="35" t="n"/>
      <c r="G2283" s="35" t="n"/>
      <c r="H2283" s="35" t="n"/>
      <c r="I2283" s="35" t="n"/>
      <c r="J2283" s="35" t="n"/>
      <c r="K2283" s="34" t="n"/>
      <c r="L2283" s="26">
        <f>IF(A2283="","",MONTH(A2283))</f>
        <v/>
      </c>
      <c r="M2283" s="26">
        <f>IF(A2283="","",YEAR(A2283))</f>
        <v/>
      </c>
      <c r="N2283" s="26">
        <f>IF(A2283="","",CHOOSE(WEEKDAY(A2283,2),"Segunda","Terça","Quarta","Quinta","Sexta","Sábado","Domingo"))</f>
        <v/>
      </c>
      <c r="O2283" s="26">
        <f>IF(B2283="","",IF(B2283&lt;TIME(12,0,0),"Manhã",IF(B2283&lt;TIME(18,0,0),"Tarde","Noite")))</f>
        <v/>
      </c>
      <c r="P2283" s="32">
        <f>IF(G2283="","",IFERROR(INDEX(Config!$I$5:$I$16,MATCH(G2283,Config!$H$5:$H$16,0)),0))</f>
        <v/>
      </c>
      <c r="Q2283" s="30">
        <f>IF(OR(H2283&lt;&gt;"Realizado",P2283="",P2283=0),"",A2283+P2283)</f>
        <v/>
      </c>
      <c r="R2283" s="26">
        <f>IF(Q2283="","",IF(COUNTIFS($E$5:$E$3004,E2283,$A$5:$A$3004,"&gt;"&amp;A2283,$H$5:$H$3004,"&lt;&gt;Falta",$H$5:$H$3004,"&lt;&gt;Cancelado",$H$5:$H$3004,"&lt;&gt;Remarcado")&gt;0,"Sim","Não"))</f>
        <v/>
      </c>
      <c r="S2283" s="32">
        <f>IF(R2283&lt;&gt;"Não","",IF(Q2283+Config!$B$9&lt;=Config!$B$8,Config!$B$8-Q2283,""))</f>
        <v/>
      </c>
      <c r="T2283" s="26">
        <f>IF(S2283="","","Sim")</f>
        <v/>
      </c>
      <c r="U2283" s="41">
        <f>IF(T2283="Sim",S2283+ROW()/100000,0)</f>
        <v>0</v>
      </c>
      <c r="V2283" s="41">
        <f>IF(AND(H2283="Falta",L2283=Config!$B$7,M2283=Config!$B$5,COUNTIFS($E$5:E2283,E2283,$H$5:H2283,"Falta",$L$5:L2283,Config!$B$7,$M$5:M2283,Config!$B$5)=1),COUNTIFS($E$5:$E$3004,E2283,$H$5:$H$3004,"Falta",$L$5:$L$3004,Config!$B$7,$M$5:$M$3004,Config!$B$5)*1000-ROW()/100000,0)</f>
        <v>0</v>
      </c>
    </row>
    <row r="2284">
      <c r="A2284" s="39" t="n"/>
      <c r="B2284" s="40" t="n"/>
      <c r="C2284" s="35" t="n"/>
      <c r="D2284" s="35" t="n"/>
      <c r="E2284" s="34" t="n"/>
      <c r="F2284" s="35" t="n"/>
      <c r="G2284" s="35" t="n"/>
      <c r="H2284" s="35" t="n"/>
      <c r="I2284" s="35" t="n"/>
      <c r="J2284" s="35" t="n"/>
      <c r="K2284" s="34" t="n"/>
      <c r="L2284" s="26">
        <f>IF(A2284="","",MONTH(A2284))</f>
        <v/>
      </c>
      <c r="M2284" s="26">
        <f>IF(A2284="","",YEAR(A2284))</f>
        <v/>
      </c>
      <c r="N2284" s="26">
        <f>IF(A2284="","",CHOOSE(WEEKDAY(A2284,2),"Segunda","Terça","Quarta","Quinta","Sexta","Sábado","Domingo"))</f>
        <v/>
      </c>
      <c r="O2284" s="26">
        <f>IF(B2284="","",IF(B2284&lt;TIME(12,0,0),"Manhã",IF(B2284&lt;TIME(18,0,0),"Tarde","Noite")))</f>
        <v/>
      </c>
      <c r="P2284" s="32">
        <f>IF(G2284="","",IFERROR(INDEX(Config!$I$5:$I$16,MATCH(G2284,Config!$H$5:$H$16,0)),0))</f>
        <v/>
      </c>
      <c r="Q2284" s="30">
        <f>IF(OR(H2284&lt;&gt;"Realizado",P2284="",P2284=0),"",A2284+P2284)</f>
        <v/>
      </c>
      <c r="R2284" s="26">
        <f>IF(Q2284="","",IF(COUNTIFS($E$5:$E$3004,E2284,$A$5:$A$3004,"&gt;"&amp;A2284,$H$5:$H$3004,"&lt;&gt;Falta",$H$5:$H$3004,"&lt;&gt;Cancelado",$H$5:$H$3004,"&lt;&gt;Remarcado")&gt;0,"Sim","Não"))</f>
        <v/>
      </c>
      <c r="S2284" s="32">
        <f>IF(R2284&lt;&gt;"Não","",IF(Q2284+Config!$B$9&lt;=Config!$B$8,Config!$B$8-Q2284,""))</f>
        <v/>
      </c>
      <c r="T2284" s="26">
        <f>IF(S2284="","","Sim")</f>
        <v/>
      </c>
      <c r="U2284" s="41">
        <f>IF(T2284="Sim",S2284+ROW()/100000,0)</f>
        <v>0</v>
      </c>
      <c r="V2284" s="41">
        <f>IF(AND(H2284="Falta",L2284=Config!$B$7,M2284=Config!$B$5,COUNTIFS($E$5:E2284,E2284,$H$5:H2284,"Falta",$L$5:L2284,Config!$B$7,$M$5:M2284,Config!$B$5)=1),COUNTIFS($E$5:$E$3004,E2284,$H$5:$H$3004,"Falta",$L$5:$L$3004,Config!$B$7,$M$5:$M$3004,Config!$B$5)*1000-ROW()/100000,0)</f>
        <v>0</v>
      </c>
    </row>
    <row r="2285">
      <c r="A2285" s="39" t="n"/>
      <c r="B2285" s="40" t="n"/>
      <c r="C2285" s="35" t="n"/>
      <c r="D2285" s="35" t="n"/>
      <c r="E2285" s="34" t="n"/>
      <c r="F2285" s="35" t="n"/>
      <c r="G2285" s="35" t="n"/>
      <c r="H2285" s="35" t="n"/>
      <c r="I2285" s="35" t="n"/>
      <c r="J2285" s="35" t="n"/>
      <c r="K2285" s="34" t="n"/>
      <c r="L2285" s="26">
        <f>IF(A2285="","",MONTH(A2285))</f>
        <v/>
      </c>
      <c r="M2285" s="26">
        <f>IF(A2285="","",YEAR(A2285))</f>
        <v/>
      </c>
      <c r="N2285" s="26">
        <f>IF(A2285="","",CHOOSE(WEEKDAY(A2285,2),"Segunda","Terça","Quarta","Quinta","Sexta","Sábado","Domingo"))</f>
        <v/>
      </c>
      <c r="O2285" s="26">
        <f>IF(B2285="","",IF(B2285&lt;TIME(12,0,0),"Manhã",IF(B2285&lt;TIME(18,0,0),"Tarde","Noite")))</f>
        <v/>
      </c>
      <c r="P2285" s="32">
        <f>IF(G2285="","",IFERROR(INDEX(Config!$I$5:$I$16,MATCH(G2285,Config!$H$5:$H$16,0)),0))</f>
        <v/>
      </c>
      <c r="Q2285" s="30">
        <f>IF(OR(H2285&lt;&gt;"Realizado",P2285="",P2285=0),"",A2285+P2285)</f>
        <v/>
      </c>
      <c r="R2285" s="26">
        <f>IF(Q2285="","",IF(COUNTIFS($E$5:$E$3004,E2285,$A$5:$A$3004,"&gt;"&amp;A2285,$H$5:$H$3004,"&lt;&gt;Falta",$H$5:$H$3004,"&lt;&gt;Cancelado",$H$5:$H$3004,"&lt;&gt;Remarcado")&gt;0,"Sim","Não"))</f>
        <v/>
      </c>
      <c r="S2285" s="32">
        <f>IF(R2285&lt;&gt;"Não","",IF(Q2285+Config!$B$9&lt;=Config!$B$8,Config!$B$8-Q2285,""))</f>
        <v/>
      </c>
      <c r="T2285" s="26">
        <f>IF(S2285="","","Sim")</f>
        <v/>
      </c>
      <c r="U2285" s="41">
        <f>IF(T2285="Sim",S2285+ROW()/100000,0)</f>
        <v>0</v>
      </c>
      <c r="V2285" s="41">
        <f>IF(AND(H2285="Falta",L2285=Config!$B$7,M2285=Config!$B$5,COUNTIFS($E$5:E2285,E2285,$H$5:H2285,"Falta",$L$5:L2285,Config!$B$7,$M$5:M2285,Config!$B$5)=1),COUNTIFS($E$5:$E$3004,E2285,$H$5:$H$3004,"Falta",$L$5:$L$3004,Config!$B$7,$M$5:$M$3004,Config!$B$5)*1000-ROW()/100000,0)</f>
        <v>0</v>
      </c>
    </row>
    <row r="2286">
      <c r="A2286" s="39" t="n"/>
      <c r="B2286" s="40" t="n"/>
      <c r="C2286" s="35" t="n"/>
      <c r="D2286" s="35" t="n"/>
      <c r="E2286" s="34" t="n"/>
      <c r="F2286" s="35" t="n"/>
      <c r="G2286" s="35" t="n"/>
      <c r="H2286" s="35" t="n"/>
      <c r="I2286" s="35" t="n"/>
      <c r="J2286" s="35" t="n"/>
      <c r="K2286" s="34" t="n"/>
      <c r="L2286" s="26">
        <f>IF(A2286="","",MONTH(A2286))</f>
        <v/>
      </c>
      <c r="M2286" s="26">
        <f>IF(A2286="","",YEAR(A2286))</f>
        <v/>
      </c>
      <c r="N2286" s="26">
        <f>IF(A2286="","",CHOOSE(WEEKDAY(A2286,2),"Segunda","Terça","Quarta","Quinta","Sexta","Sábado","Domingo"))</f>
        <v/>
      </c>
      <c r="O2286" s="26">
        <f>IF(B2286="","",IF(B2286&lt;TIME(12,0,0),"Manhã",IF(B2286&lt;TIME(18,0,0),"Tarde","Noite")))</f>
        <v/>
      </c>
      <c r="P2286" s="32">
        <f>IF(G2286="","",IFERROR(INDEX(Config!$I$5:$I$16,MATCH(G2286,Config!$H$5:$H$16,0)),0))</f>
        <v/>
      </c>
      <c r="Q2286" s="30">
        <f>IF(OR(H2286&lt;&gt;"Realizado",P2286="",P2286=0),"",A2286+P2286)</f>
        <v/>
      </c>
      <c r="R2286" s="26">
        <f>IF(Q2286="","",IF(COUNTIFS($E$5:$E$3004,E2286,$A$5:$A$3004,"&gt;"&amp;A2286,$H$5:$H$3004,"&lt;&gt;Falta",$H$5:$H$3004,"&lt;&gt;Cancelado",$H$5:$H$3004,"&lt;&gt;Remarcado")&gt;0,"Sim","Não"))</f>
        <v/>
      </c>
      <c r="S2286" s="32">
        <f>IF(R2286&lt;&gt;"Não","",IF(Q2286+Config!$B$9&lt;=Config!$B$8,Config!$B$8-Q2286,""))</f>
        <v/>
      </c>
      <c r="T2286" s="26">
        <f>IF(S2286="","","Sim")</f>
        <v/>
      </c>
      <c r="U2286" s="41">
        <f>IF(T2286="Sim",S2286+ROW()/100000,0)</f>
        <v>0</v>
      </c>
      <c r="V2286" s="41">
        <f>IF(AND(H2286="Falta",L2286=Config!$B$7,M2286=Config!$B$5,COUNTIFS($E$5:E2286,E2286,$H$5:H2286,"Falta",$L$5:L2286,Config!$B$7,$M$5:M2286,Config!$B$5)=1),COUNTIFS($E$5:$E$3004,E2286,$H$5:$H$3004,"Falta",$L$5:$L$3004,Config!$B$7,$M$5:$M$3004,Config!$B$5)*1000-ROW()/100000,0)</f>
        <v>0</v>
      </c>
    </row>
    <row r="2287">
      <c r="A2287" s="39" t="n"/>
      <c r="B2287" s="40" t="n"/>
      <c r="C2287" s="35" t="n"/>
      <c r="D2287" s="35" t="n"/>
      <c r="E2287" s="34" t="n"/>
      <c r="F2287" s="35" t="n"/>
      <c r="G2287" s="35" t="n"/>
      <c r="H2287" s="35" t="n"/>
      <c r="I2287" s="35" t="n"/>
      <c r="J2287" s="35" t="n"/>
      <c r="K2287" s="34" t="n"/>
      <c r="L2287" s="26">
        <f>IF(A2287="","",MONTH(A2287))</f>
        <v/>
      </c>
      <c r="M2287" s="26">
        <f>IF(A2287="","",YEAR(A2287))</f>
        <v/>
      </c>
      <c r="N2287" s="26">
        <f>IF(A2287="","",CHOOSE(WEEKDAY(A2287,2),"Segunda","Terça","Quarta","Quinta","Sexta","Sábado","Domingo"))</f>
        <v/>
      </c>
      <c r="O2287" s="26">
        <f>IF(B2287="","",IF(B2287&lt;TIME(12,0,0),"Manhã",IF(B2287&lt;TIME(18,0,0),"Tarde","Noite")))</f>
        <v/>
      </c>
      <c r="P2287" s="32">
        <f>IF(G2287="","",IFERROR(INDEX(Config!$I$5:$I$16,MATCH(G2287,Config!$H$5:$H$16,0)),0))</f>
        <v/>
      </c>
      <c r="Q2287" s="30">
        <f>IF(OR(H2287&lt;&gt;"Realizado",P2287="",P2287=0),"",A2287+P2287)</f>
        <v/>
      </c>
      <c r="R2287" s="26">
        <f>IF(Q2287="","",IF(COUNTIFS($E$5:$E$3004,E2287,$A$5:$A$3004,"&gt;"&amp;A2287,$H$5:$H$3004,"&lt;&gt;Falta",$H$5:$H$3004,"&lt;&gt;Cancelado",$H$5:$H$3004,"&lt;&gt;Remarcado")&gt;0,"Sim","Não"))</f>
        <v/>
      </c>
      <c r="S2287" s="32">
        <f>IF(R2287&lt;&gt;"Não","",IF(Q2287+Config!$B$9&lt;=Config!$B$8,Config!$B$8-Q2287,""))</f>
        <v/>
      </c>
      <c r="T2287" s="26">
        <f>IF(S2287="","","Sim")</f>
        <v/>
      </c>
      <c r="U2287" s="41">
        <f>IF(T2287="Sim",S2287+ROW()/100000,0)</f>
        <v>0</v>
      </c>
      <c r="V2287" s="41">
        <f>IF(AND(H2287="Falta",L2287=Config!$B$7,M2287=Config!$B$5,COUNTIFS($E$5:E2287,E2287,$H$5:H2287,"Falta",$L$5:L2287,Config!$B$7,$M$5:M2287,Config!$B$5)=1),COUNTIFS($E$5:$E$3004,E2287,$H$5:$H$3004,"Falta",$L$5:$L$3004,Config!$B$7,$M$5:$M$3004,Config!$B$5)*1000-ROW()/100000,0)</f>
        <v>0</v>
      </c>
    </row>
    <row r="2288">
      <c r="A2288" s="39" t="n"/>
      <c r="B2288" s="40" t="n"/>
      <c r="C2288" s="35" t="n"/>
      <c r="D2288" s="35" t="n"/>
      <c r="E2288" s="34" t="n"/>
      <c r="F2288" s="35" t="n"/>
      <c r="G2288" s="35" t="n"/>
      <c r="H2288" s="35" t="n"/>
      <c r="I2288" s="35" t="n"/>
      <c r="J2288" s="35" t="n"/>
      <c r="K2288" s="34" t="n"/>
      <c r="L2288" s="26">
        <f>IF(A2288="","",MONTH(A2288))</f>
        <v/>
      </c>
      <c r="M2288" s="26">
        <f>IF(A2288="","",YEAR(A2288))</f>
        <v/>
      </c>
      <c r="N2288" s="26">
        <f>IF(A2288="","",CHOOSE(WEEKDAY(A2288,2),"Segunda","Terça","Quarta","Quinta","Sexta","Sábado","Domingo"))</f>
        <v/>
      </c>
      <c r="O2288" s="26">
        <f>IF(B2288="","",IF(B2288&lt;TIME(12,0,0),"Manhã",IF(B2288&lt;TIME(18,0,0),"Tarde","Noite")))</f>
        <v/>
      </c>
      <c r="P2288" s="32">
        <f>IF(G2288="","",IFERROR(INDEX(Config!$I$5:$I$16,MATCH(G2288,Config!$H$5:$H$16,0)),0))</f>
        <v/>
      </c>
      <c r="Q2288" s="30">
        <f>IF(OR(H2288&lt;&gt;"Realizado",P2288="",P2288=0),"",A2288+P2288)</f>
        <v/>
      </c>
      <c r="R2288" s="26">
        <f>IF(Q2288="","",IF(COUNTIFS($E$5:$E$3004,E2288,$A$5:$A$3004,"&gt;"&amp;A2288,$H$5:$H$3004,"&lt;&gt;Falta",$H$5:$H$3004,"&lt;&gt;Cancelado",$H$5:$H$3004,"&lt;&gt;Remarcado")&gt;0,"Sim","Não"))</f>
        <v/>
      </c>
      <c r="S2288" s="32">
        <f>IF(R2288&lt;&gt;"Não","",IF(Q2288+Config!$B$9&lt;=Config!$B$8,Config!$B$8-Q2288,""))</f>
        <v/>
      </c>
      <c r="T2288" s="26">
        <f>IF(S2288="","","Sim")</f>
        <v/>
      </c>
      <c r="U2288" s="41">
        <f>IF(T2288="Sim",S2288+ROW()/100000,0)</f>
        <v>0</v>
      </c>
      <c r="V2288" s="41">
        <f>IF(AND(H2288="Falta",L2288=Config!$B$7,M2288=Config!$B$5,COUNTIFS($E$5:E2288,E2288,$H$5:H2288,"Falta",$L$5:L2288,Config!$B$7,$M$5:M2288,Config!$B$5)=1),COUNTIFS($E$5:$E$3004,E2288,$H$5:$H$3004,"Falta",$L$5:$L$3004,Config!$B$7,$M$5:$M$3004,Config!$B$5)*1000-ROW()/100000,0)</f>
        <v>0</v>
      </c>
    </row>
    <row r="2289">
      <c r="A2289" s="39" t="n"/>
      <c r="B2289" s="40" t="n"/>
      <c r="C2289" s="35" t="n"/>
      <c r="D2289" s="35" t="n"/>
      <c r="E2289" s="34" t="n"/>
      <c r="F2289" s="35" t="n"/>
      <c r="G2289" s="35" t="n"/>
      <c r="H2289" s="35" t="n"/>
      <c r="I2289" s="35" t="n"/>
      <c r="J2289" s="35" t="n"/>
      <c r="K2289" s="34" t="n"/>
      <c r="L2289" s="26">
        <f>IF(A2289="","",MONTH(A2289))</f>
        <v/>
      </c>
      <c r="M2289" s="26">
        <f>IF(A2289="","",YEAR(A2289))</f>
        <v/>
      </c>
      <c r="N2289" s="26">
        <f>IF(A2289="","",CHOOSE(WEEKDAY(A2289,2),"Segunda","Terça","Quarta","Quinta","Sexta","Sábado","Domingo"))</f>
        <v/>
      </c>
      <c r="O2289" s="26">
        <f>IF(B2289="","",IF(B2289&lt;TIME(12,0,0),"Manhã",IF(B2289&lt;TIME(18,0,0),"Tarde","Noite")))</f>
        <v/>
      </c>
      <c r="P2289" s="32">
        <f>IF(G2289="","",IFERROR(INDEX(Config!$I$5:$I$16,MATCH(G2289,Config!$H$5:$H$16,0)),0))</f>
        <v/>
      </c>
      <c r="Q2289" s="30">
        <f>IF(OR(H2289&lt;&gt;"Realizado",P2289="",P2289=0),"",A2289+P2289)</f>
        <v/>
      </c>
      <c r="R2289" s="26">
        <f>IF(Q2289="","",IF(COUNTIFS($E$5:$E$3004,E2289,$A$5:$A$3004,"&gt;"&amp;A2289,$H$5:$H$3004,"&lt;&gt;Falta",$H$5:$H$3004,"&lt;&gt;Cancelado",$H$5:$H$3004,"&lt;&gt;Remarcado")&gt;0,"Sim","Não"))</f>
        <v/>
      </c>
      <c r="S2289" s="32">
        <f>IF(R2289&lt;&gt;"Não","",IF(Q2289+Config!$B$9&lt;=Config!$B$8,Config!$B$8-Q2289,""))</f>
        <v/>
      </c>
      <c r="T2289" s="26">
        <f>IF(S2289="","","Sim")</f>
        <v/>
      </c>
      <c r="U2289" s="41">
        <f>IF(T2289="Sim",S2289+ROW()/100000,0)</f>
        <v>0</v>
      </c>
      <c r="V2289" s="41">
        <f>IF(AND(H2289="Falta",L2289=Config!$B$7,M2289=Config!$B$5,COUNTIFS($E$5:E2289,E2289,$H$5:H2289,"Falta",$L$5:L2289,Config!$B$7,$M$5:M2289,Config!$B$5)=1),COUNTIFS($E$5:$E$3004,E2289,$H$5:$H$3004,"Falta",$L$5:$L$3004,Config!$B$7,$M$5:$M$3004,Config!$B$5)*1000-ROW()/100000,0)</f>
        <v>0</v>
      </c>
    </row>
    <row r="2290">
      <c r="A2290" s="39" t="n"/>
      <c r="B2290" s="40" t="n"/>
      <c r="C2290" s="35" t="n"/>
      <c r="D2290" s="35" t="n"/>
      <c r="E2290" s="34" t="n"/>
      <c r="F2290" s="35" t="n"/>
      <c r="G2290" s="35" t="n"/>
      <c r="H2290" s="35" t="n"/>
      <c r="I2290" s="35" t="n"/>
      <c r="J2290" s="35" t="n"/>
      <c r="K2290" s="34" t="n"/>
      <c r="L2290" s="26">
        <f>IF(A2290="","",MONTH(A2290))</f>
        <v/>
      </c>
      <c r="M2290" s="26">
        <f>IF(A2290="","",YEAR(A2290))</f>
        <v/>
      </c>
      <c r="N2290" s="26">
        <f>IF(A2290="","",CHOOSE(WEEKDAY(A2290,2),"Segunda","Terça","Quarta","Quinta","Sexta","Sábado","Domingo"))</f>
        <v/>
      </c>
      <c r="O2290" s="26">
        <f>IF(B2290="","",IF(B2290&lt;TIME(12,0,0),"Manhã",IF(B2290&lt;TIME(18,0,0),"Tarde","Noite")))</f>
        <v/>
      </c>
      <c r="P2290" s="32">
        <f>IF(G2290="","",IFERROR(INDEX(Config!$I$5:$I$16,MATCH(G2290,Config!$H$5:$H$16,0)),0))</f>
        <v/>
      </c>
      <c r="Q2290" s="30">
        <f>IF(OR(H2290&lt;&gt;"Realizado",P2290="",P2290=0),"",A2290+P2290)</f>
        <v/>
      </c>
      <c r="R2290" s="26">
        <f>IF(Q2290="","",IF(COUNTIFS($E$5:$E$3004,E2290,$A$5:$A$3004,"&gt;"&amp;A2290,$H$5:$H$3004,"&lt;&gt;Falta",$H$5:$H$3004,"&lt;&gt;Cancelado",$H$5:$H$3004,"&lt;&gt;Remarcado")&gt;0,"Sim","Não"))</f>
        <v/>
      </c>
      <c r="S2290" s="32">
        <f>IF(R2290&lt;&gt;"Não","",IF(Q2290+Config!$B$9&lt;=Config!$B$8,Config!$B$8-Q2290,""))</f>
        <v/>
      </c>
      <c r="T2290" s="26">
        <f>IF(S2290="","","Sim")</f>
        <v/>
      </c>
      <c r="U2290" s="41">
        <f>IF(T2290="Sim",S2290+ROW()/100000,0)</f>
        <v>0</v>
      </c>
      <c r="V2290" s="41">
        <f>IF(AND(H2290="Falta",L2290=Config!$B$7,M2290=Config!$B$5,COUNTIFS($E$5:E2290,E2290,$H$5:H2290,"Falta",$L$5:L2290,Config!$B$7,$M$5:M2290,Config!$B$5)=1),COUNTIFS($E$5:$E$3004,E2290,$H$5:$H$3004,"Falta",$L$5:$L$3004,Config!$B$7,$M$5:$M$3004,Config!$B$5)*1000-ROW()/100000,0)</f>
        <v>0</v>
      </c>
    </row>
    <row r="2291">
      <c r="A2291" s="39" t="n"/>
      <c r="B2291" s="40" t="n"/>
      <c r="C2291" s="35" t="n"/>
      <c r="D2291" s="35" t="n"/>
      <c r="E2291" s="34" t="n"/>
      <c r="F2291" s="35" t="n"/>
      <c r="G2291" s="35" t="n"/>
      <c r="H2291" s="35" t="n"/>
      <c r="I2291" s="35" t="n"/>
      <c r="J2291" s="35" t="n"/>
      <c r="K2291" s="34" t="n"/>
      <c r="L2291" s="26">
        <f>IF(A2291="","",MONTH(A2291))</f>
        <v/>
      </c>
      <c r="M2291" s="26">
        <f>IF(A2291="","",YEAR(A2291))</f>
        <v/>
      </c>
      <c r="N2291" s="26">
        <f>IF(A2291="","",CHOOSE(WEEKDAY(A2291,2),"Segunda","Terça","Quarta","Quinta","Sexta","Sábado","Domingo"))</f>
        <v/>
      </c>
      <c r="O2291" s="26">
        <f>IF(B2291="","",IF(B2291&lt;TIME(12,0,0),"Manhã",IF(B2291&lt;TIME(18,0,0),"Tarde","Noite")))</f>
        <v/>
      </c>
      <c r="P2291" s="32">
        <f>IF(G2291="","",IFERROR(INDEX(Config!$I$5:$I$16,MATCH(G2291,Config!$H$5:$H$16,0)),0))</f>
        <v/>
      </c>
      <c r="Q2291" s="30">
        <f>IF(OR(H2291&lt;&gt;"Realizado",P2291="",P2291=0),"",A2291+P2291)</f>
        <v/>
      </c>
      <c r="R2291" s="26">
        <f>IF(Q2291="","",IF(COUNTIFS($E$5:$E$3004,E2291,$A$5:$A$3004,"&gt;"&amp;A2291,$H$5:$H$3004,"&lt;&gt;Falta",$H$5:$H$3004,"&lt;&gt;Cancelado",$H$5:$H$3004,"&lt;&gt;Remarcado")&gt;0,"Sim","Não"))</f>
        <v/>
      </c>
      <c r="S2291" s="32">
        <f>IF(R2291&lt;&gt;"Não","",IF(Q2291+Config!$B$9&lt;=Config!$B$8,Config!$B$8-Q2291,""))</f>
        <v/>
      </c>
      <c r="T2291" s="26">
        <f>IF(S2291="","","Sim")</f>
        <v/>
      </c>
      <c r="U2291" s="41">
        <f>IF(T2291="Sim",S2291+ROW()/100000,0)</f>
        <v>0</v>
      </c>
      <c r="V2291" s="41">
        <f>IF(AND(H2291="Falta",L2291=Config!$B$7,M2291=Config!$B$5,COUNTIFS($E$5:E2291,E2291,$H$5:H2291,"Falta",$L$5:L2291,Config!$B$7,$M$5:M2291,Config!$B$5)=1),COUNTIFS($E$5:$E$3004,E2291,$H$5:$H$3004,"Falta",$L$5:$L$3004,Config!$B$7,$M$5:$M$3004,Config!$B$5)*1000-ROW()/100000,0)</f>
        <v>0</v>
      </c>
    </row>
    <row r="2292">
      <c r="A2292" s="39" t="n"/>
      <c r="B2292" s="40" t="n"/>
      <c r="C2292" s="35" t="n"/>
      <c r="D2292" s="35" t="n"/>
      <c r="E2292" s="34" t="n"/>
      <c r="F2292" s="35" t="n"/>
      <c r="G2292" s="35" t="n"/>
      <c r="H2292" s="35" t="n"/>
      <c r="I2292" s="35" t="n"/>
      <c r="J2292" s="35" t="n"/>
      <c r="K2292" s="34" t="n"/>
      <c r="L2292" s="26">
        <f>IF(A2292="","",MONTH(A2292))</f>
        <v/>
      </c>
      <c r="M2292" s="26">
        <f>IF(A2292="","",YEAR(A2292))</f>
        <v/>
      </c>
      <c r="N2292" s="26">
        <f>IF(A2292="","",CHOOSE(WEEKDAY(A2292,2),"Segunda","Terça","Quarta","Quinta","Sexta","Sábado","Domingo"))</f>
        <v/>
      </c>
      <c r="O2292" s="26">
        <f>IF(B2292="","",IF(B2292&lt;TIME(12,0,0),"Manhã",IF(B2292&lt;TIME(18,0,0),"Tarde","Noite")))</f>
        <v/>
      </c>
      <c r="P2292" s="32">
        <f>IF(G2292="","",IFERROR(INDEX(Config!$I$5:$I$16,MATCH(G2292,Config!$H$5:$H$16,0)),0))</f>
        <v/>
      </c>
      <c r="Q2292" s="30">
        <f>IF(OR(H2292&lt;&gt;"Realizado",P2292="",P2292=0),"",A2292+P2292)</f>
        <v/>
      </c>
      <c r="R2292" s="26">
        <f>IF(Q2292="","",IF(COUNTIFS($E$5:$E$3004,E2292,$A$5:$A$3004,"&gt;"&amp;A2292,$H$5:$H$3004,"&lt;&gt;Falta",$H$5:$H$3004,"&lt;&gt;Cancelado",$H$5:$H$3004,"&lt;&gt;Remarcado")&gt;0,"Sim","Não"))</f>
        <v/>
      </c>
      <c r="S2292" s="32">
        <f>IF(R2292&lt;&gt;"Não","",IF(Q2292+Config!$B$9&lt;=Config!$B$8,Config!$B$8-Q2292,""))</f>
        <v/>
      </c>
      <c r="T2292" s="26">
        <f>IF(S2292="","","Sim")</f>
        <v/>
      </c>
      <c r="U2292" s="41">
        <f>IF(T2292="Sim",S2292+ROW()/100000,0)</f>
        <v>0</v>
      </c>
      <c r="V2292" s="41">
        <f>IF(AND(H2292="Falta",L2292=Config!$B$7,M2292=Config!$B$5,COUNTIFS($E$5:E2292,E2292,$H$5:H2292,"Falta",$L$5:L2292,Config!$B$7,$M$5:M2292,Config!$B$5)=1),COUNTIFS($E$5:$E$3004,E2292,$H$5:$H$3004,"Falta",$L$5:$L$3004,Config!$B$7,$M$5:$M$3004,Config!$B$5)*1000-ROW()/100000,0)</f>
        <v>0</v>
      </c>
    </row>
    <row r="2293">
      <c r="A2293" s="39" t="n"/>
      <c r="B2293" s="40" t="n"/>
      <c r="C2293" s="35" t="n"/>
      <c r="D2293" s="35" t="n"/>
      <c r="E2293" s="34" t="n"/>
      <c r="F2293" s="35" t="n"/>
      <c r="G2293" s="35" t="n"/>
      <c r="H2293" s="35" t="n"/>
      <c r="I2293" s="35" t="n"/>
      <c r="J2293" s="35" t="n"/>
      <c r="K2293" s="34" t="n"/>
      <c r="L2293" s="26">
        <f>IF(A2293="","",MONTH(A2293))</f>
        <v/>
      </c>
      <c r="M2293" s="26">
        <f>IF(A2293="","",YEAR(A2293))</f>
        <v/>
      </c>
      <c r="N2293" s="26">
        <f>IF(A2293="","",CHOOSE(WEEKDAY(A2293,2),"Segunda","Terça","Quarta","Quinta","Sexta","Sábado","Domingo"))</f>
        <v/>
      </c>
      <c r="O2293" s="26">
        <f>IF(B2293="","",IF(B2293&lt;TIME(12,0,0),"Manhã",IF(B2293&lt;TIME(18,0,0),"Tarde","Noite")))</f>
        <v/>
      </c>
      <c r="P2293" s="32">
        <f>IF(G2293="","",IFERROR(INDEX(Config!$I$5:$I$16,MATCH(G2293,Config!$H$5:$H$16,0)),0))</f>
        <v/>
      </c>
      <c r="Q2293" s="30">
        <f>IF(OR(H2293&lt;&gt;"Realizado",P2293="",P2293=0),"",A2293+P2293)</f>
        <v/>
      </c>
      <c r="R2293" s="26">
        <f>IF(Q2293="","",IF(COUNTIFS($E$5:$E$3004,E2293,$A$5:$A$3004,"&gt;"&amp;A2293,$H$5:$H$3004,"&lt;&gt;Falta",$H$5:$H$3004,"&lt;&gt;Cancelado",$H$5:$H$3004,"&lt;&gt;Remarcado")&gt;0,"Sim","Não"))</f>
        <v/>
      </c>
      <c r="S2293" s="32">
        <f>IF(R2293&lt;&gt;"Não","",IF(Q2293+Config!$B$9&lt;=Config!$B$8,Config!$B$8-Q2293,""))</f>
        <v/>
      </c>
      <c r="T2293" s="26">
        <f>IF(S2293="","","Sim")</f>
        <v/>
      </c>
      <c r="U2293" s="41">
        <f>IF(T2293="Sim",S2293+ROW()/100000,0)</f>
        <v>0</v>
      </c>
      <c r="V2293" s="41">
        <f>IF(AND(H2293="Falta",L2293=Config!$B$7,M2293=Config!$B$5,COUNTIFS($E$5:E2293,E2293,$H$5:H2293,"Falta",$L$5:L2293,Config!$B$7,$M$5:M2293,Config!$B$5)=1),COUNTIFS($E$5:$E$3004,E2293,$H$5:$H$3004,"Falta",$L$5:$L$3004,Config!$B$7,$M$5:$M$3004,Config!$B$5)*1000-ROW()/100000,0)</f>
        <v>0</v>
      </c>
    </row>
    <row r="2294">
      <c r="A2294" s="39" t="n"/>
      <c r="B2294" s="40" t="n"/>
      <c r="C2294" s="35" t="n"/>
      <c r="D2294" s="35" t="n"/>
      <c r="E2294" s="34" t="n"/>
      <c r="F2294" s="35" t="n"/>
      <c r="G2294" s="35" t="n"/>
      <c r="H2294" s="35" t="n"/>
      <c r="I2294" s="35" t="n"/>
      <c r="J2294" s="35" t="n"/>
      <c r="K2294" s="34" t="n"/>
      <c r="L2294" s="26">
        <f>IF(A2294="","",MONTH(A2294))</f>
        <v/>
      </c>
      <c r="M2294" s="26">
        <f>IF(A2294="","",YEAR(A2294))</f>
        <v/>
      </c>
      <c r="N2294" s="26">
        <f>IF(A2294="","",CHOOSE(WEEKDAY(A2294,2),"Segunda","Terça","Quarta","Quinta","Sexta","Sábado","Domingo"))</f>
        <v/>
      </c>
      <c r="O2294" s="26">
        <f>IF(B2294="","",IF(B2294&lt;TIME(12,0,0),"Manhã",IF(B2294&lt;TIME(18,0,0),"Tarde","Noite")))</f>
        <v/>
      </c>
      <c r="P2294" s="32">
        <f>IF(G2294="","",IFERROR(INDEX(Config!$I$5:$I$16,MATCH(G2294,Config!$H$5:$H$16,0)),0))</f>
        <v/>
      </c>
      <c r="Q2294" s="30">
        <f>IF(OR(H2294&lt;&gt;"Realizado",P2294="",P2294=0),"",A2294+P2294)</f>
        <v/>
      </c>
      <c r="R2294" s="26">
        <f>IF(Q2294="","",IF(COUNTIFS($E$5:$E$3004,E2294,$A$5:$A$3004,"&gt;"&amp;A2294,$H$5:$H$3004,"&lt;&gt;Falta",$H$5:$H$3004,"&lt;&gt;Cancelado",$H$5:$H$3004,"&lt;&gt;Remarcado")&gt;0,"Sim","Não"))</f>
        <v/>
      </c>
      <c r="S2294" s="32">
        <f>IF(R2294&lt;&gt;"Não","",IF(Q2294+Config!$B$9&lt;=Config!$B$8,Config!$B$8-Q2294,""))</f>
        <v/>
      </c>
      <c r="T2294" s="26">
        <f>IF(S2294="","","Sim")</f>
        <v/>
      </c>
      <c r="U2294" s="41">
        <f>IF(T2294="Sim",S2294+ROW()/100000,0)</f>
        <v>0</v>
      </c>
      <c r="V2294" s="41">
        <f>IF(AND(H2294="Falta",L2294=Config!$B$7,M2294=Config!$B$5,COUNTIFS($E$5:E2294,E2294,$H$5:H2294,"Falta",$L$5:L2294,Config!$B$7,$M$5:M2294,Config!$B$5)=1),COUNTIFS($E$5:$E$3004,E2294,$H$5:$H$3004,"Falta",$L$5:$L$3004,Config!$B$7,$M$5:$M$3004,Config!$B$5)*1000-ROW()/100000,0)</f>
        <v>0</v>
      </c>
    </row>
    <row r="2295">
      <c r="A2295" s="39" t="n"/>
      <c r="B2295" s="40" t="n"/>
      <c r="C2295" s="35" t="n"/>
      <c r="D2295" s="35" t="n"/>
      <c r="E2295" s="34" t="n"/>
      <c r="F2295" s="35" t="n"/>
      <c r="G2295" s="35" t="n"/>
      <c r="H2295" s="35" t="n"/>
      <c r="I2295" s="35" t="n"/>
      <c r="J2295" s="35" t="n"/>
      <c r="K2295" s="34" t="n"/>
      <c r="L2295" s="26">
        <f>IF(A2295="","",MONTH(A2295))</f>
        <v/>
      </c>
      <c r="M2295" s="26">
        <f>IF(A2295="","",YEAR(A2295))</f>
        <v/>
      </c>
      <c r="N2295" s="26">
        <f>IF(A2295="","",CHOOSE(WEEKDAY(A2295,2),"Segunda","Terça","Quarta","Quinta","Sexta","Sábado","Domingo"))</f>
        <v/>
      </c>
      <c r="O2295" s="26">
        <f>IF(B2295="","",IF(B2295&lt;TIME(12,0,0),"Manhã",IF(B2295&lt;TIME(18,0,0),"Tarde","Noite")))</f>
        <v/>
      </c>
      <c r="P2295" s="32">
        <f>IF(G2295="","",IFERROR(INDEX(Config!$I$5:$I$16,MATCH(G2295,Config!$H$5:$H$16,0)),0))</f>
        <v/>
      </c>
      <c r="Q2295" s="30">
        <f>IF(OR(H2295&lt;&gt;"Realizado",P2295="",P2295=0),"",A2295+P2295)</f>
        <v/>
      </c>
      <c r="R2295" s="26">
        <f>IF(Q2295="","",IF(COUNTIFS($E$5:$E$3004,E2295,$A$5:$A$3004,"&gt;"&amp;A2295,$H$5:$H$3004,"&lt;&gt;Falta",$H$5:$H$3004,"&lt;&gt;Cancelado",$H$5:$H$3004,"&lt;&gt;Remarcado")&gt;0,"Sim","Não"))</f>
        <v/>
      </c>
      <c r="S2295" s="32">
        <f>IF(R2295&lt;&gt;"Não","",IF(Q2295+Config!$B$9&lt;=Config!$B$8,Config!$B$8-Q2295,""))</f>
        <v/>
      </c>
      <c r="T2295" s="26">
        <f>IF(S2295="","","Sim")</f>
        <v/>
      </c>
      <c r="U2295" s="41">
        <f>IF(T2295="Sim",S2295+ROW()/100000,0)</f>
        <v>0</v>
      </c>
      <c r="V2295" s="41">
        <f>IF(AND(H2295="Falta",L2295=Config!$B$7,M2295=Config!$B$5,COUNTIFS($E$5:E2295,E2295,$H$5:H2295,"Falta",$L$5:L2295,Config!$B$7,$M$5:M2295,Config!$B$5)=1),COUNTIFS($E$5:$E$3004,E2295,$H$5:$H$3004,"Falta",$L$5:$L$3004,Config!$B$7,$M$5:$M$3004,Config!$B$5)*1000-ROW()/100000,0)</f>
        <v>0</v>
      </c>
    </row>
    <row r="2296">
      <c r="A2296" s="39" t="n"/>
      <c r="B2296" s="40" t="n"/>
      <c r="C2296" s="35" t="n"/>
      <c r="D2296" s="35" t="n"/>
      <c r="E2296" s="34" t="n"/>
      <c r="F2296" s="35" t="n"/>
      <c r="G2296" s="35" t="n"/>
      <c r="H2296" s="35" t="n"/>
      <c r="I2296" s="35" t="n"/>
      <c r="J2296" s="35" t="n"/>
      <c r="K2296" s="34" t="n"/>
      <c r="L2296" s="26">
        <f>IF(A2296="","",MONTH(A2296))</f>
        <v/>
      </c>
      <c r="M2296" s="26">
        <f>IF(A2296="","",YEAR(A2296))</f>
        <v/>
      </c>
      <c r="N2296" s="26">
        <f>IF(A2296="","",CHOOSE(WEEKDAY(A2296,2),"Segunda","Terça","Quarta","Quinta","Sexta","Sábado","Domingo"))</f>
        <v/>
      </c>
      <c r="O2296" s="26">
        <f>IF(B2296="","",IF(B2296&lt;TIME(12,0,0),"Manhã",IF(B2296&lt;TIME(18,0,0),"Tarde","Noite")))</f>
        <v/>
      </c>
      <c r="P2296" s="32">
        <f>IF(G2296="","",IFERROR(INDEX(Config!$I$5:$I$16,MATCH(G2296,Config!$H$5:$H$16,0)),0))</f>
        <v/>
      </c>
      <c r="Q2296" s="30">
        <f>IF(OR(H2296&lt;&gt;"Realizado",P2296="",P2296=0),"",A2296+P2296)</f>
        <v/>
      </c>
      <c r="R2296" s="26">
        <f>IF(Q2296="","",IF(COUNTIFS($E$5:$E$3004,E2296,$A$5:$A$3004,"&gt;"&amp;A2296,$H$5:$H$3004,"&lt;&gt;Falta",$H$5:$H$3004,"&lt;&gt;Cancelado",$H$5:$H$3004,"&lt;&gt;Remarcado")&gt;0,"Sim","Não"))</f>
        <v/>
      </c>
      <c r="S2296" s="32">
        <f>IF(R2296&lt;&gt;"Não","",IF(Q2296+Config!$B$9&lt;=Config!$B$8,Config!$B$8-Q2296,""))</f>
        <v/>
      </c>
      <c r="T2296" s="26">
        <f>IF(S2296="","","Sim")</f>
        <v/>
      </c>
      <c r="U2296" s="41">
        <f>IF(T2296="Sim",S2296+ROW()/100000,0)</f>
        <v>0</v>
      </c>
      <c r="V2296" s="41">
        <f>IF(AND(H2296="Falta",L2296=Config!$B$7,M2296=Config!$B$5,COUNTIFS($E$5:E2296,E2296,$H$5:H2296,"Falta",$L$5:L2296,Config!$B$7,$M$5:M2296,Config!$B$5)=1),COUNTIFS($E$5:$E$3004,E2296,$H$5:$H$3004,"Falta",$L$5:$L$3004,Config!$B$7,$M$5:$M$3004,Config!$B$5)*1000-ROW()/100000,0)</f>
        <v>0</v>
      </c>
    </row>
    <row r="2297">
      <c r="A2297" s="39" t="n"/>
      <c r="B2297" s="40" t="n"/>
      <c r="C2297" s="35" t="n"/>
      <c r="D2297" s="35" t="n"/>
      <c r="E2297" s="34" t="n"/>
      <c r="F2297" s="35" t="n"/>
      <c r="G2297" s="35" t="n"/>
      <c r="H2297" s="35" t="n"/>
      <c r="I2297" s="35" t="n"/>
      <c r="J2297" s="35" t="n"/>
      <c r="K2297" s="34" t="n"/>
      <c r="L2297" s="26">
        <f>IF(A2297="","",MONTH(A2297))</f>
        <v/>
      </c>
      <c r="M2297" s="26">
        <f>IF(A2297="","",YEAR(A2297))</f>
        <v/>
      </c>
      <c r="N2297" s="26">
        <f>IF(A2297="","",CHOOSE(WEEKDAY(A2297,2),"Segunda","Terça","Quarta","Quinta","Sexta","Sábado","Domingo"))</f>
        <v/>
      </c>
      <c r="O2297" s="26">
        <f>IF(B2297="","",IF(B2297&lt;TIME(12,0,0),"Manhã",IF(B2297&lt;TIME(18,0,0),"Tarde","Noite")))</f>
        <v/>
      </c>
      <c r="P2297" s="32">
        <f>IF(G2297="","",IFERROR(INDEX(Config!$I$5:$I$16,MATCH(G2297,Config!$H$5:$H$16,0)),0))</f>
        <v/>
      </c>
      <c r="Q2297" s="30">
        <f>IF(OR(H2297&lt;&gt;"Realizado",P2297="",P2297=0),"",A2297+P2297)</f>
        <v/>
      </c>
      <c r="R2297" s="26">
        <f>IF(Q2297="","",IF(COUNTIFS($E$5:$E$3004,E2297,$A$5:$A$3004,"&gt;"&amp;A2297,$H$5:$H$3004,"&lt;&gt;Falta",$H$5:$H$3004,"&lt;&gt;Cancelado",$H$5:$H$3004,"&lt;&gt;Remarcado")&gt;0,"Sim","Não"))</f>
        <v/>
      </c>
      <c r="S2297" s="32">
        <f>IF(R2297&lt;&gt;"Não","",IF(Q2297+Config!$B$9&lt;=Config!$B$8,Config!$B$8-Q2297,""))</f>
        <v/>
      </c>
      <c r="T2297" s="26">
        <f>IF(S2297="","","Sim")</f>
        <v/>
      </c>
      <c r="U2297" s="41">
        <f>IF(T2297="Sim",S2297+ROW()/100000,0)</f>
        <v>0</v>
      </c>
      <c r="V2297" s="41">
        <f>IF(AND(H2297="Falta",L2297=Config!$B$7,M2297=Config!$B$5,COUNTIFS($E$5:E2297,E2297,$H$5:H2297,"Falta",$L$5:L2297,Config!$B$7,$M$5:M2297,Config!$B$5)=1),COUNTIFS($E$5:$E$3004,E2297,$H$5:$H$3004,"Falta",$L$5:$L$3004,Config!$B$7,$M$5:$M$3004,Config!$B$5)*1000-ROW()/100000,0)</f>
        <v>0</v>
      </c>
    </row>
    <row r="2298">
      <c r="A2298" s="39" t="n"/>
      <c r="B2298" s="40" t="n"/>
      <c r="C2298" s="35" t="n"/>
      <c r="D2298" s="35" t="n"/>
      <c r="E2298" s="34" t="n"/>
      <c r="F2298" s="35" t="n"/>
      <c r="G2298" s="35" t="n"/>
      <c r="H2298" s="35" t="n"/>
      <c r="I2298" s="35" t="n"/>
      <c r="J2298" s="35" t="n"/>
      <c r="K2298" s="34" t="n"/>
      <c r="L2298" s="26">
        <f>IF(A2298="","",MONTH(A2298))</f>
        <v/>
      </c>
      <c r="M2298" s="26">
        <f>IF(A2298="","",YEAR(A2298))</f>
        <v/>
      </c>
      <c r="N2298" s="26">
        <f>IF(A2298="","",CHOOSE(WEEKDAY(A2298,2),"Segunda","Terça","Quarta","Quinta","Sexta","Sábado","Domingo"))</f>
        <v/>
      </c>
      <c r="O2298" s="26">
        <f>IF(B2298="","",IF(B2298&lt;TIME(12,0,0),"Manhã",IF(B2298&lt;TIME(18,0,0),"Tarde","Noite")))</f>
        <v/>
      </c>
      <c r="P2298" s="32">
        <f>IF(G2298="","",IFERROR(INDEX(Config!$I$5:$I$16,MATCH(G2298,Config!$H$5:$H$16,0)),0))</f>
        <v/>
      </c>
      <c r="Q2298" s="30">
        <f>IF(OR(H2298&lt;&gt;"Realizado",P2298="",P2298=0),"",A2298+P2298)</f>
        <v/>
      </c>
      <c r="R2298" s="26">
        <f>IF(Q2298="","",IF(COUNTIFS($E$5:$E$3004,E2298,$A$5:$A$3004,"&gt;"&amp;A2298,$H$5:$H$3004,"&lt;&gt;Falta",$H$5:$H$3004,"&lt;&gt;Cancelado",$H$5:$H$3004,"&lt;&gt;Remarcado")&gt;0,"Sim","Não"))</f>
        <v/>
      </c>
      <c r="S2298" s="32">
        <f>IF(R2298&lt;&gt;"Não","",IF(Q2298+Config!$B$9&lt;=Config!$B$8,Config!$B$8-Q2298,""))</f>
        <v/>
      </c>
      <c r="T2298" s="26">
        <f>IF(S2298="","","Sim")</f>
        <v/>
      </c>
      <c r="U2298" s="41">
        <f>IF(T2298="Sim",S2298+ROW()/100000,0)</f>
        <v>0</v>
      </c>
      <c r="V2298" s="41">
        <f>IF(AND(H2298="Falta",L2298=Config!$B$7,M2298=Config!$B$5,COUNTIFS($E$5:E2298,E2298,$H$5:H2298,"Falta",$L$5:L2298,Config!$B$7,$M$5:M2298,Config!$B$5)=1),COUNTIFS($E$5:$E$3004,E2298,$H$5:$H$3004,"Falta",$L$5:$L$3004,Config!$B$7,$M$5:$M$3004,Config!$B$5)*1000-ROW()/100000,0)</f>
        <v>0</v>
      </c>
    </row>
    <row r="2299">
      <c r="A2299" s="39" t="n"/>
      <c r="B2299" s="40" t="n"/>
      <c r="C2299" s="35" t="n"/>
      <c r="D2299" s="35" t="n"/>
      <c r="E2299" s="34" t="n"/>
      <c r="F2299" s="35" t="n"/>
      <c r="G2299" s="35" t="n"/>
      <c r="H2299" s="35" t="n"/>
      <c r="I2299" s="35" t="n"/>
      <c r="J2299" s="35" t="n"/>
      <c r="K2299" s="34" t="n"/>
      <c r="L2299" s="26">
        <f>IF(A2299="","",MONTH(A2299))</f>
        <v/>
      </c>
      <c r="M2299" s="26">
        <f>IF(A2299="","",YEAR(A2299))</f>
        <v/>
      </c>
      <c r="N2299" s="26">
        <f>IF(A2299="","",CHOOSE(WEEKDAY(A2299,2),"Segunda","Terça","Quarta","Quinta","Sexta","Sábado","Domingo"))</f>
        <v/>
      </c>
      <c r="O2299" s="26">
        <f>IF(B2299="","",IF(B2299&lt;TIME(12,0,0),"Manhã",IF(B2299&lt;TIME(18,0,0),"Tarde","Noite")))</f>
        <v/>
      </c>
      <c r="P2299" s="32">
        <f>IF(G2299="","",IFERROR(INDEX(Config!$I$5:$I$16,MATCH(G2299,Config!$H$5:$H$16,0)),0))</f>
        <v/>
      </c>
      <c r="Q2299" s="30">
        <f>IF(OR(H2299&lt;&gt;"Realizado",P2299="",P2299=0),"",A2299+P2299)</f>
        <v/>
      </c>
      <c r="R2299" s="26">
        <f>IF(Q2299="","",IF(COUNTIFS($E$5:$E$3004,E2299,$A$5:$A$3004,"&gt;"&amp;A2299,$H$5:$H$3004,"&lt;&gt;Falta",$H$5:$H$3004,"&lt;&gt;Cancelado",$H$5:$H$3004,"&lt;&gt;Remarcado")&gt;0,"Sim","Não"))</f>
        <v/>
      </c>
      <c r="S2299" s="32">
        <f>IF(R2299&lt;&gt;"Não","",IF(Q2299+Config!$B$9&lt;=Config!$B$8,Config!$B$8-Q2299,""))</f>
        <v/>
      </c>
      <c r="T2299" s="26">
        <f>IF(S2299="","","Sim")</f>
        <v/>
      </c>
      <c r="U2299" s="41">
        <f>IF(T2299="Sim",S2299+ROW()/100000,0)</f>
        <v>0</v>
      </c>
      <c r="V2299" s="41">
        <f>IF(AND(H2299="Falta",L2299=Config!$B$7,M2299=Config!$B$5,COUNTIFS($E$5:E2299,E2299,$H$5:H2299,"Falta",$L$5:L2299,Config!$B$7,$M$5:M2299,Config!$B$5)=1),COUNTIFS($E$5:$E$3004,E2299,$H$5:$H$3004,"Falta",$L$5:$L$3004,Config!$B$7,$M$5:$M$3004,Config!$B$5)*1000-ROW()/100000,0)</f>
        <v>0</v>
      </c>
    </row>
    <row r="2300">
      <c r="A2300" s="39" t="n"/>
      <c r="B2300" s="40" t="n"/>
      <c r="C2300" s="35" t="n"/>
      <c r="D2300" s="35" t="n"/>
      <c r="E2300" s="34" t="n"/>
      <c r="F2300" s="35" t="n"/>
      <c r="G2300" s="35" t="n"/>
      <c r="H2300" s="35" t="n"/>
      <c r="I2300" s="35" t="n"/>
      <c r="J2300" s="35" t="n"/>
      <c r="K2300" s="34" t="n"/>
      <c r="L2300" s="26">
        <f>IF(A2300="","",MONTH(A2300))</f>
        <v/>
      </c>
      <c r="M2300" s="26">
        <f>IF(A2300="","",YEAR(A2300))</f>
        <v/>
      </c>
      <c r="N2300" s="26">
        <f>IF(A2300="","",CHOOSE(WEEKDAY(A2300,2),"Segunda","Terça","Quarta","Quinta","Sexta","Sábado","Domingo"))</f>
        <v/>
      </c>
      <c r="O2300" s="26">
        <f>IF(B2300="","",IF(B2300&lt;TIME(12,0,0),"Manhã",IF(B2300&lt;TIME(18,0,0),"Tarde","Noite")))</f>
        <v/>
      </c>
      <c r="P2300" s="32">
        <f>IF(G2300="","",IFERROR(INDEX(Config!$I$5:$I$16,MATCH(G2300,Config!$H$5:$H$16,0)),0))</f>
        <v/>
      </c>
      <c r="Q2300" s="30">
        <f>IF(OR(H2300&lt;&gt;"Realizado",P2300="",P2300=0),"",A2300+P2300)</f>
        <v/>
      </c>
      <c r="R2300" s="26">
        <f>IF(Q2300="","",IF(COUNTIFS($E$5:$E$3004,E2300,$A$5:$A$3004,"&gt;"&amp;A2300,$H$5:$H$3004,"&lt;&gt;Falta",$H$5:$H$3004,"&lt;&gt;Cancelado",$H$5:$H$3004,"&lt;&gt;Remarcado")&gt;0,"Sim","Não"))</f>
        <v/>
      </c>
      <c r="S2300" s="32">
        <f>IF(R2300&lt;&gt;"Não","",IF(Q2300+Config!$B$9&lt;=Config!$B$8,Config!$B$8-Q2300,""))</f>
        <v/>
      </c>
      <c r="T2300" s="26">
        <f>IF(S2300="","","Sim")</f>
        <v/>
      </c>
      <c r="U2300" s="41">
        <f>IF(T2300="Sim",S2300+ROW()/100000,0)</f>
        <v>0</v>
      </c>
      <c r="V2300" s="41">
        <f>IF(AND(H2300="Falta",L2300=Config!$B$7,M2300=Config!$B$5,COUNTIFS($E$5:E2300,E2300,$H$5:H2300,"Falta",$L$5:L2300,Config!$B$7,$M$5:M2300,Config!$B$5)=1),COUNTIFS($E$5:$E$3004,E2300,$H$5:$H$3004,"Falta",$L$5:$L$3004,Config!$B$7,$M$5:$M$3004,Config!$B$5)*1000-ROW()/100000,0)</f>
        <v>0</v>
      </c>
    </row>
    <row r="2301">
      <c r="A2301" s="39" t="n"/>
      <c r="B2301" s="40" t="n"/>
      <c r="C2301" s="35" t="n"/>
      <c r="D2301" s="35" t="n"/>
      <c r="E2301" s="34" t="n"/>
      <c r="F2301" s="35" t="n"/>
      <c r="G2301" s="35" t="n"/>
      <c r="H2301" s="35" t="n"/>
      <c r="I2301" s="35" t="n"/>
      <c r="J2301" s="35" t="n"/>
      <c r="K2301" s="34" t="n"/>
      <c r="L2301" s="26">
        <f>IF(A2301="","",MONTH(A2301))</f>
        <v/>
      </c>
      <c r="M2301" s="26">
        <f>IF(A2301="","",YEAR(A2301))</f>
        <v/>
      </c>
      <c r="N2301" s="26">
        <f>IF(A2301="","",CHOOSE(WEEKDAY(A2301,2),"Segunda","Terça","Quarta","Quinta","Sexta","Sábado","Domingo"))</f>
        <v/>
      </c>
      <c r="O2301" s="26">
        <f>IF(B2301="","",IF(B2301&lt;TIME(12,0,0),"Manhã",IF(B2301&lt;TIME(18,0,0),"Tarde","Noite")))</f>
        <v/>
      </c>
      <c r="P2301" s="32">
        <f>IF(G2301="","",IFERROR(INDEX(Config!$I$5:$I$16,MATCH(G2301,Config!$H$5:$H$16,0)),0))</f>
        <v/>
      </c>
      <c r="Q2301" s="30">
        <f>IF(OR(H2301&lt;&gt;"Realizado",P2301="",P2301=0),"",A2301+P2301)</f>
        <v/>
      </c>
      <c r="R2301" s="26">
        <f>IF(Q2301="","",IF(COUNTIFS($E$5:$E$3004,E2301,$A$5:$A$3004,"&gt;"&amp;A2301,$H$5:$H$3004,"&lt;&gt;Falta",$H$5:$H$3004,"&lt;&gt;Cancelado",$H$5:$H$3004,"&lt;&gt;Remarcado")&gt;0,"Sim","Não"))</f>
        <v/>
      </c>
      <c r="S2301" s="32">
        <f>IF(R2301&lt;&gt;"Não","",IF(Q2301+Config!$B$9&lt;=Config!$B$8,Config!$B$8-Q2301,""))</f>
        <v/>
      </c>
      <c r="T2301" s="26">
        <f>IF(S2301="","","Sim")</f>
        <v/>
      </c>
      <c r="U2301" s="41">
        <f>IF(T2301="Sim",S2301+ROW()/100000,0)</f>
        <v>0</v>
      </c>
      <c r="V2301" s="41">
        <f>IF(AND(H2301="Falta",L2301=Config!$B$7,M2301=Config!$B$5,COUNTIFS($E$5:E2301,E2301,$H$5:H2301,"Falta",$L$5:L2301,Config!$B$7,$M$5:M2301,Config!$B$5)=1),COUNTIFS($E$5:$E$3004,E2301,$H$5:$H$3004,"Falta",$L$5:$L$3004,Config!$B$7,$M$5:$M$3004,Config!$B$5)*1000-ROW()/100000,0)</f>
        <v>0</v>
      </c>
    </row>
    <row r="2302">
      <c r="A2302" s="39" t="n"/>
      <c r="B2302" s="40" t="n"/>
      <c r="C2302" s="35" t="n"/>
      <c r="D2302" s="35" t="n"/>
      <c r="E2302" s="34" t="n"/>
      <c r="F2302" s="35" t="n"/>
      <c r="G2302" s="35" t="n"/>
      <c r="H2302" s="35" t="n"/>
      <c r="I2302" s="35" t="n"/>
      <c r="J2302" s="35" t="n"/>
      <c r="K2302" s="34" t="n"/>
      <c r="L2302" s="26">
        <f>IF(A2302="","",MONTH(A2302))</f>
        <v/>
      </c>
      <c r="M2302" s="26">
        <f>IF(A2302="","",YEAR(A2302))</f>
        <v/>
      </c>
      <c r="N2302" s="26">
        <f>IF(A2302="","",CHOOSE(WEEKDAY(A2302,2),"Segunda","Terça","Quarta","Quinta","Sexta","Sábado","Domingo"))</f>
        <v/>
      </c>
      <c r="O2302" s="26">
        <f>IF(B2302="","",IF(B2302&lt;TIME(12,0,0),"Manhã",IF(B2302&lt;TIME(18,0,0),"Tarde","Noite")))</f>
        <v/>
      </c>
      <c r="P2302" s="32">
        <f>IF(G2302="","",IFERROR(INDEX(Config!$I$5:$I$16,MATCH(G2302,Config!$H$5:$H$16,0)),0))</f>
        <v/>
      </c>
      <c r="Q2302" s="30">
        <f>IF(OR(H2302&lt;&gt;"Realizado",P2302="",P2302=0),"",A2302+P2302)</f>
        <v/>
      </c>
      <c r="R2302" s="26">
        <f>IF(Q2302="","",IF(COUNTIFS($E$5:$E$3004,E2302,$A$5:$A$3004,"&gt;"&amp;A2302,$H$5:$H$3004,"&lt;&gt;Falta",$H$5:$H$3004,"&lt;&gt;Cancelado",$H$5:$H$3004,"&lt;&gt;Remarcado")&gt;0,"Sim","Não"))</f>
        <v/>
      </c>
      <c r="S2302" s="32">
        <f>IF(R2302&lt;&gt;"Não","",IF(Q2302+Config!$B$9&lt;=Config!$B$8,Config!$B$8-Q2302,""))</f>
        <v/>
      </c>
      <c r="T2302" s="26">
        <f>IF(S2302="","","Sim")</f>
        <v/>
      </c>
      <c r="U2302" s="41">
        <f>IF(T2302="Sim",S2302+ROW()/100000,0)</f>
        <v>0</v>
      </c>
      <c r="V2302" s="41">
        <f>IF(AND(H2302="Falta",L2302=Config!$B$7,M2302=Config!$B$5,COUNTIFS($E$5:E2302,E2302,$H$5:H2302,"Falta",$L$5:L2302,Config!$B$7,$M$5:M2302,Config!$B$5)=1),COUNTIFS($E$5:$E$3004,E2302,$H$5:$H$3004,"Falta",$L$5:$L$3004,Config!$B$7,$M$5:$M$3004,Config!$B$5)*1000-ROW()/100000,0)</f>
        <v>0</v>
      </c>
    </row>
    <row r="2303">
      <c r="A2303" s="39" t="n"/>
      <c r="B2303" s="40" t="n"/>
      <c r="C2303" s="35" t="n"/>
      <c r="D2303" s="35" t="n"/>
      <c r="E2303" s="34" t="n"/>
      <c r="F2303" s="35" t="n"/>
      <c r="G2303" s="35" t="n"/>
      <c r="H2303" s="35" t="n"/>
      <c r="I2303" s="35" t="n"/>
      <c r="J2303" s="35" t="n"/>
      <c r="K2303" s="34" t="n"/>
      <c r="L2303" s="26">
        <f>IF(A2303="","",MONTH(A2303))</f>
        <v/>
      </c>
      <c r="M2303" s="26">
        <f>IF(A2303="","",YEAR(A2303))</f>
        <v/>
      </c>
      <c r="N2303" s="26">
        <f>IF(A2303="","",CHOOSE(WEEKDAY(A2303,2),"Segunda","Terça","Quarta","Quinta","Sexta","Sábado","Domingo"))</f>
        <v/>
      </c>
      <c r="O2303" s="26">
        <f>IF(B2303="","",IF(B2303&lt;TIME(12,0,0),"Manhã",IF(B2303&lt;TIME(18,0,0),"Tarde","Noite")))</f>
        <v/>
      </c>
      <c r="P2303" s="32">
        <f>IF(G2303="","",IFERROR(INDEX(Config!$I$5:$I$16,MATCH(G2303,Config!$H$5:$H$16,0)),0))</f>
        <v/>
      </c>
      <c r="Q2303" s="30">
        <f>IF(OR(H2303&lt;&gt;"Realizado",P2303="",P2303=0),"",A2303+P2303)</f>
        <v/>
      </c>
      <c r="R2303" s="26">
        <f>IF(Q2303="","",IF(COUNTIFS($E$5:$E$3004,E2303,$A$5:$A$3004,"&gt;"&amp;A2303,$H$5:$H$3004,"&lt;&gt;Falta",$H$5:$H$3004,"&lt;&gt;Cancelado",$H$5:$H$3004,"&lt;&gt;Remarcado")&gt;0,"Sim","Não"))</f>
        <v/>
      </c>
      <c r="S2303" s="32">
        <f>IF(R2303&lt;&gt;"Não","",IF(Q2303+Config!$B$9&lt;=Config!$B$8,Config!$B$8-Q2303,""))</f>
        <v/>
      </c>
      <c r="T2303" s="26">
        <f>IF(S2303="","","Sim")</f>
        <v/>
      </c>
      <c r="U2303" s="41">
        <f>IF(T2303="Sim",S2303+ROW()/100000,0)</f>
        <v>0</v>
      </c>
      <c r="V2303" s="41">
        <f>IF(AND(H2303="Falta",L2303=Config!$B$7,M2303=Config!$B$5,COUNTIFS($E$5:E2303,E2303,$H$5:H2303,"Falta",$L$5:L2303,Config!$B$7,$M$5:M2303,Config!$B$5)=1),COUNTIFS($E$5:$E$3004,E2303,$H$5:$H$3004,"Falta",$L$5:$L$3004,Config!$B$7,$M$5:$M$3004,Config!$B$5)*1000-ROW()/100000,0)</f>
        <v>0</v>
      </c>
    </row>
    <row r="2304">
      <c r="A2304" s="39" t="n"/>
      <c r="B2304" s="40" t="n"/>
      <c r="C2304" s="35" t="n"/>
      <c r="D2304" s="35" t="n"/>
      <c r="E2304" s="34" t="n"/>
      <c r="F2304" s="35" t="n"/>
      <c r="G2304" s="35" t="n"/>
      <c r="H2304" s="35" t="n"/>
      <c r="I2304" s="35" t="n"/>
      <c r="J2304" s="35" t="n"/>
      <c r="K2304" s="34" t="n"/>
      <c r="L2304" s="26">
        <f>IF(A2304="","",MONTH(A2304))</f>
        <v/>
      </c>
      <c r="M2304" s="26">
        <f>IF(A2304="","",YEAR(A2304))</f>
        <v/>
      </c>
      <c r="N2304" s="26">
        <f>IF(A2304="","",CHOOSE(WEEKDAY(A2304,2),"Segunda","Terça","Quarta","Quinta","Sexta","Sábado","Domingo"))</f>
        <v/>
      </c>
      <c r="O2304" s="26">
        <f>IF(B2304="","",IF(B2304&lt;TIME(12,0,0),"Manhã",IF(B2304&lt;TIME(18,0,0),"Tarde","Noite")))</f>
        <v/>
      </c>
      <c r="P2304" s="32">
        <f>IF(G2304="","",IFERROR(INDEX(Config!$I$5:$I$16,MATCH(G2304,Config!$H$5:$H$16,0)),0))</f>
        <v/>
      </c>
      <c r="Q2304" s="30">
        <f>IF(OR(H2304&lt;&gt;"Realizado",P2304="",P2304=0),"",A2304+P2304)</f>
        <v/>
      </c>
      <c r="R2304" s="26">
        <f>IF(Q2304="","",IF(COUNTIFS($E$5:$E$3004,E2304,$A$5:$A$3004,"&gt;"&amp;A2304,$H$5:$H$3004,"&lt;&gt;Falta",$H$5:$H$3004,"&lt;&gt;Cancelado",$H$5:$H$3004,"&lt;&gt;Remarcado")&gt;0,"Sim","Não"))</f>
        <v/>
      </c>
      <c r="S2304" s="32">
        <f>IF(R2304&lt;&gt;"Não","",IF(Q2304+Config!$B$9&lt;=Config!$B$8,Config!$B$8-Q2304,""))</f>
        <v/>
      </c>
      <c r="T2304" s="26">
        <f>IF(S2304="","","Sim")</f>
        <v/>
      </c>
      <c r="U2304" s="41">
        <f>IF(T2304="Sim",S2304+ROW()/100000,0)</f>
        <v>0</v>
      </c>
      <c r="V2304" s="41">
        <f>IF(AND(H2304="Falta",L2304=Config!$B$7,M2304=Config!$B$5,COUNTIFS($E$5:E2304,E2304,$H$5:H2304,"Falta",$L$5:L2304,Config!$B$7,$M$5:M2304,Config!$B$5)=1),COUNTIFS($E$5:$E$3004,E2304,$H$5:$H$3004,"Falta",$L$5:$L$3004,Config!$B$7,$M$5:$M$3004,Config!$B$5)*1000-ROW()/100000,0)</f>
        <v>0</v>
      </c>
    </row>
    <row r="2305">
      <c r="A2305" s="39" t="n"/>
      <c r="B2305" s="40" t="n"/>
      <c r="C2305" s="35" t="n"/>
      <c r="D2305" s="35" t="n"/>
      <c r="E2305" s="34" t="n"/>
      <c r="F2305" s="35" t="n"/>
      <c r="G2305" s="35" t="n"/>
      <c r="H2305" s="35" t="n"/>
      <c r="I2305" s="35" t="n"/>
      <c r="J2305" s="35" t="n"/>
      <c r="K2305" s="34" t="n"/>
      <c r="L2305" s="26">
        <f>IF(A2305="","",MONTH(A2305))</f>
        <v/>
      </c>
      <c r="M2305" s="26">
        <f>IF(A2305="","",YEAR(A2305))</f>
        <v/>
      </c>
      <c r="N2305" s="26">
        <f>IF(A2305="","",CHOOSE(WEEKDAY(A2305,2),"Segunda","Terça","Quarta","Quinta","Sexta","Sábado","Domingo"))</f>
        <v/>
      </c>
      <c r="O2305" s="26">
        <f>IF(B2305="","",IF(B2305&lt;TIME(12,0,0),"Manhã",IF(B2305&lt;TIME(18,0,0),"Tarde","Noite")))</f>
        <v/>
      </c>
      <c r="P2305" s="32">
        <f>IF(G2305="","",IFERROR(INDEX(Config!$I$5:$I$16,MATCH(G2305,Config!$H$5:$H$16,0)),0))</f>
        <v/>
      </c>
      <c r="Q2305" s="30">
        <f>IF(OR(H2305&lt;&gt;"Realizado",P2305="",P2305=0),"",A2305+P2305)</f>
        <v/>
      </c>
      <c r="R2305" s="26">
        <f>IF(Q2305="","",IF(COUNTIFS($E$5:$E$3004,E2305,$A$5:$A$3004,"&gt;"&amp;A2305,$H$5:$H$3004,"&lt;&gt;Falta",$H$5:$H$3004,"&lt;&gt;Cancelado",$H$5:$H$3004,"&lt;&gt;Remarcado")&gt;0,"Sim","Não"))</f>
        <v/>
      </c>
      <c r="S2305" s="32">
        <f>IF(R2305&lt;&gt;"Não","",IF(Q2305+Config!$B$9&lt;=Config!$B$8,Config!$B$8-Q2305,""))</f>
        <v/>
      </c>
      <c r="T2305" s="26">
        <f>IF(S2305="","","Sim")</f>
        <v/>
      </c>
      <c r="U2305" s="41">
        <f>IF(T2305="Sim",S2305+ROW()/100000,0)</f>
        <v>0</v>
      </c>
      <c r="V2305" s="41">
        <f>IF(AND(H2305="Falta",L2305=Config!$B$7,M2305=Config!$B$5,COUNTIFS($E$5:E2305,E2305,$H$5:H2305,"Falta",$L$5:L2305,Config!$B$7,$M$5:M2305,Config!$B$5)=1),COUNTIFS($E$5:$E$3004,E2305,$H$5:$H$3004,"Falta",$L$5:$L$3004,Config!$B$7,$M$5:$M$3004,Config!$B$5)*1000-ROW()/100000,0)</f>
        <v>0</v>
      </c>
    </row>
    <row r="2306">
      <c r="A2306" s="39" t="n"/>
      <c r="B2306" s="40" t="n"/>
      <c r="C2306" s="35" t="n"/>
      <c r="D2306" s="35" t="n"/>
      <c r="E2306" s="34" t="n"/>
      <c r="F2306" s="35" t="n"/>
      <c r="G2306" s="35" t="n"/>
      <c r="H2306" s="35" t="n"/>
      <c r="I2306" s="35" t="n"/>
      <c r="J2306" s="35" t="n"/>
      <c r="K2306" s="34" t="n"/>
      <c r="L2306" s="26">
        <f>IF(A2306="","",MONTH(A2306))</f>
        <v/>
      </c>
      <c r="M2306" s="26">
        <f>IF(A2306="","",YEAR(A2306))</f>
        <v/>
      </c>
      <c r="N2306" s="26">
        <f>IF(A2306="","",CHOOSE(WEEKDAY(A2306,2),"Segunda","Terça","Quarta","Quinta","Sexta","Sábado","Domingo"))</f>
        <v/>
      </c>
      <c r="O2306" s="26">
        <f>IF(B2306="","",IF(B2306&lt;TIME(12,0,0),"Manhã",IF(B2306&lt;TIME(18,0,0),"Tarde","Noite")))</f>
        <v/>
      </c>
      <c r="P2306" s="32">
        <f>IF(G2306="","",IFERROR(INDEX(Config!$I$5:$I$16,MATCH(G2306,Config!$H$5:$H$16,0)),0))</f>
        <v/>
      </c>
      <c r="Q2306" s="30">
        <f>IF(OR(H2306&lt;&gt;"Realizado",P2306="",P2306=0),"",A2306+P2306)</f>
        <v/>
      </c>
      <c r="R2306" s="26">
        <f>IF(Q2306="","",IF(COUNTIFS($E$5:$E$3004,E2306,$A$5:$A$3004,"&gt;"&amp;A2306,$H$5:$H$3004,"&lt;&gt;Falta",$H$5:$H$3004,"&lt;&gt;Cancelado",$H$5:$H$3004,"&lt;&gt;Remarcado")&gt;0,"Sim","Não"))</f>
        <v/>
      </c>
      <c r="S2306" s="32">
        <f>IF(R2306&lt;&gt;"Não","",IF(Q2306+Config!$B$9&lt;=Config!$B$8,Config!$B$8-Q2306,""))</f>
        <v/>
      </c>
      <c r="T2306" s="26">
        <f>IF(S2306="","","Sim")</f>
        <v/>
      </c>
      <c r="U2306" s="41">
        <f>IF(T2306="Sim",S2306+ROW()/100000,0)</f>
        <v>0</v>
      </c>
      <c r="V2306" s="41">
        <f>IF(AND(H2306="Falta",L2306=Config!$B$7,M2306=Config!$B$5,COUNTIFS($E$5:E2306,E2306,$H$5:H2306,"Falta",$L$5:L2306,Config!$B$7,$M$5:M2306,Config!$B$5)=1),COUNTIFS($E$5:$E$3004,E2306,$H$5:$H$3004,"Falta",$L$5:$L$3004,Config!$B$7,$M$5:$M$3004,Config!$B$5)*1000-ROW()/100000,0)</f>
        <v>0</v>
      </c>
    </row>
    <row r="2307">
      <c r="A2307" s="39" t="n"/>
      <c r="B2307" s="40" t="n"/>
      <c r="C2307" s="35" t="n"/>
      <c r="D2307" s="35" t="n"/>
      <c r="E2307" s="34" t="n"/>
      <c r="F2307" s="35" t="n"/>
      <c r="G2307" s="35" t="n"/>
      <c r="H2307" s="35" t="n"/>
      <c r="I2307" s="35" t="n"/>
      <c r="J2307" s="35" t="n"/>
      <c r="K2307" s="34" t="n"/>
      <c r="L2307" s="26">
        <f>IF(A2307="","",MONTH(A2307))</f>
        <v/>
      </c>
      <c r="M2307" s="26">
        <f>IF(A2307="","",YEAR(A2307))</f>
        <v/>
      </c>
      <c r="N2307" s="26">
        <f>IF(A2307="","",CHOOSE(WEEKDAY(A2307,2),"Segunda","Terça","Quarta","Quinta","Sexta","Sábado","Domingo"))</f>
        <v/>
      </c>
      <c r="O2307" s="26">
        <f>IF(B2307="","",IF(B2307&lt;TIME(12,0,0),"Manhã",IF(B2307&lt;TIME(18,0,0),"Tarde","Noite")))</f>
        <v/>
      </c>
      <c r="P2307" s="32">
        <f>IF(G2307="","",IFERROR(INDEX(Config!$I$5:$I$16,MATCH(G2307,Config!$H$5:$H$16,0)),0))</f>
        <v/>
      </c>
      <c r="Q2307" s="30">
        <f>IF(OR(H2307&lt;&gt;"Realizado",P2307="",P2307=0),"",A2307+P2307)</f>
        <v/>
      </c>
      <c r="R2307" s="26">
        <f>IF(Q2307="","",IF(COUNTIFS($E$5:$E$3004,E2307,$A$5:$A$3004,"&gt;"&amp;A2307,$H$5:$H$3004,"&lt;&gt;Falta",$H$5:$H$3004,"&lt;&gt;Cancelado",$H$5:$H$3004,"&lt;&gt;Remarcado")&gt;0,"Sim","Não"))</f>
        <v/>
      </c>
      <c r="S2307" s="32">
        <f>IF(R2307&lt;&gt;"Não","",IF(Q2307+Config!$B$9&lt;=Config!$B$8,Config!$B$8-Q2307,""))</f>
        <v/>
      </c>
      <c r="T2307" s="26">
        <f>IF(S2307="","","Sim")</f>
        <v/>
      </c>
      <c r="U2307" s="41">
        <f>IF(T2307="Sim",S2307+ROW()/100000,0)</f>
        <v>0</v>
      </c>
      <c r="V2307" s="41">
        <f>IF(AND(H2307="Falta",L2307=Config!$B$7,M2307=Config!$B$5,COUNTIFS($E$5:E2307,E2307,$H$5:H2307,"Falta",$L$5:L2307,Config!$B$7,$M$5:M2307,Config!$B$5)=1),COUNTIFS($E$5:$E$3004,E2307,$H$5:$H$3004,"Falta",$L$5:$L$3004,Config!$B$7,$M$5:$M$3004,Config!$B$5)*1000-ROW()/100000,0)</f>
        <v>0</v>
      </c>
    </row>
    <row r="2308">
      <c r="A2308" s="39" t="n"/>
      <c r="B2308" s="40" t="n"/>
      <c r="C2308" s="35" t="n"/>
      <c r="D2308" s="35" t="n"/>
      <c r="E2308" s="34" t="n"/>
      <c r="F2308" s="35" t="n"/>
      <c r="G2308" s="35" t="n"/>
      <c r="H2308" s="35" t="n"/>
      <c r="I2308" s="35" t="n"/>
      <c r="J2308" s="35" t="n"/>
      <c r="K2308" s="34" t="n"/>
      <c r="L2308" s="26">
        <f>IF(A2308="","",MONTH(A2308))</f>
        <v/>
      </c>
      <c r="M2308" s="26">
        <f>IF(A2308="","",YEAR(A2308))</f>
        <v/>
      </c>
      <c r="N2308" s="26">
        <f>IF(A2308="","",CHOOSE(WEEKDAY(A2308,2),"Segunda","Terça","Quarta","Quinta","Sexta","Sábado","Domingo"))</f>
        <v/>
      </c>
      <c r="O2308" s="26">
        <f>IF(B2308="","",IF(B2308&lt;TIME(12,0,0),"Manhã",IF(B2308&lt;TIME(18,0,0),"Tarde","Noite")))</f>
        <v/>
      </c>
      <c r="P2308" s="32">
        <f>IF(G2308="","",IFERROR(INDEX(Config!$I$5:$I$16,MATCH(G2308,Config!$H$5:$H$16,0)),0))</f>
        <v/>
      </c>
      <c r="Q2308" s="30">
        <f>IF(OR(H2308&lt;&gt;"Realizado",P2308="",P2308=0),"",A2308+P2308)</f>
        <v/>
      </c>
      <c r="R2308" s="26">
        <f>IF(Q2308="","",IF(COUNTIFS($E$5:$E$3004,E2308,$A$5:$A$3004,"&gt;"&amp;A2308,$H$5:$H$3004,"&lt;&gt;Falta",$H$5:$H$3004,"&lt;&gt;Cancelado",$H$5:$H$3004,"&lt;&gt;Remarcado")&gt;0,"Sim","Não"))</f>
        <v/>
      </c>
      <c r="S2308" s="32">
        <f>IF(R2308&lt;&gt;"Não","",IF(Q2308+Config!$B$9&lt;=Config!$B$8,Config!$B$8-Q2308,""))</f>
        <v/>
      </c>
      <c r="T2308" s="26">
        <f>IF(S2308="","","Sim")</f>
        <v/>
      </c>
      <c r="U2308" s="41">
        <f>IF(T2308="Sim",S2308+ROW()/100000,0)</f>
        <v>0</v>
      </c>
      <c r="V2308" s="41">
        <f>IF(AND(H2308="Falta",L2308=Config!$B$7,M2308=Config!$B$5,COUNTIFS($E$5:E2308,E2308,$H$5:H2308,"Falta",$L$5:L2308,Config!$B$7,$M$5:M2308,Config!$B$5)=1),COUNTIFS($E$5:$E$3004,E2308,$H$5:$H$3004,"Falta",$L$5:$L$3004,Config!$B$7,$M$5:$M$3004,Config!$B$5)*1000-ROW()/100000,0)</f>
        <v>0</v>
      </c>
    </row>
    <row r="2309">
      <c r="A2309" s="39" t="n"/>
      <c r="B2309" s="40" t="n"/>
      <c r="C2309" s="35" t="n"/>
      <c r="D2309" s="35" t="n"/>
      <c r="E2309" s="34" t="n"/>
      <c r="F2309" s="35" t="n"/>
      <c r="G2309" s="35" t="n"/>
      <c r="H2309" s="35" t="n"/>
      <c r="I2309" s="35" t="n"/>
      <c r="J2309" s="35" t="n"/>
      <c r="K2309" s="34" t="n"/>
      <c r="L2309" s="26">
        <f>IF(A2309="","",MONTH(A2309))</f>
        <v/>
      </c>
      <c r="M2309" s="26">
        <f>IF(A2309="","",YEAR(A2309))</f>
        <v/>
      </c>
      <c r="N2309" s="26">
        <f>IF(A2309="","",CHOOSE(WEEKDAY(A2309,2),"Segunda","Terça","Quarta","Quinta","Sexta","Sábado","Domingo"))</f>
        <v/>
      </c>
      <c r="O2309" s="26">
        <f>IF(B2309="","",IF(B2309&lt;TIME(12,0,0),"Manhã",IF(B2309&lt;TIME(18,0,0),"Tarde","Noite")))</f>
        <v/>
      </c>
      <c r="P2309" s="32">
        <f>IF(G2309="","",IFERROR(INDEX(Config!$I$5:$I$16,MATCH(G2309,Config!$H$5:$H$16,0)),0))</f>
        <v/>
      </c>
      <c r="Q2309" s="30">
        <f>IF(OR(H2309&lt;&gt;"Realizado",P2309="",P2309=0),"",A2309+P2309)</f>
        <v/>
      </c>
      <c r="R2309" s="26">
        <f>IF(Q2309="","",IF(COUNTIFS($E$5:$E$3004,E2309,$A$5:$A$3004,"&gt;"&amp;A2309,$H$5:$H$3004,"&lt;&gt;Falta",$H$5:$H$3004,"&lt;&gt;Cancelado",$H$5:$H$3004,"&lt;&gt;Remarcado")&gt;0,"Sim","Não"))</f>
        <v/>
      </c>
      <c r="S2309" s="32">
        <f>IF(R2309&lt;&gt;"Não","",IF(Q2309+Config!$B$9&lt;=Config!$B$8,Config!$B$8-Q2309,""))</f>
        <v/>
      </c>
      <c r="T2309" s="26">
        <f>IF(S2309="","","Sim")</f>
        <v/>
      </c>
      <c r="U2309" s="41">
        <f>IF(T2309="Sim",S2309+ROW()/100000,0)</f>
        <v>0</v>
      </c>
      <c r="V2309" s="41">
        <f>IF(AND(H2309="Falta",L2309=Config!$B$7,M2309=Config!$B$5,COUNTIFS($E$5:E2309,E2309,$H$5:H2309,"Falta",$L$5:L2309,Config!$B$7,$M$5:M2309,Config!$B$5)=1),COUNTIFS($E$5:$E$3004,E2309,$H$5:$H$3004,"Falta",$L$5:$L$3004,Config!$B$7,$M$5:$M$3004,Config!$B$5)*1000-ROW()/100000,0)</f>
        <v>0</v>
      </c>
    </row>
    <row r="2310">
      <c r="A2310" s="39" t="n"/>
      <c r="B2310" s="40" t="n"/>
      <c r="C2310" s="35" t="n"/>
      <c r="D2310" s="35" t="n"/>
      <c r="E2310" s="34" t="n"/>
      <c r="F2310" s="35" t="n"/>
      <c r="G2310" s="35" t="n"/>
      <c r="H2310" s="35" t="n"/>
      <c r="I2310" s="35" t="n"/>
      <c r="J2310" s="35" t="n"/>
      <c r="K2310" s="34" t="n"/>
      <c r="L2310" s="26">
        <f>IF(A2310="","",MONTH(A2310))</f>
        <v/>
      </c>
      <c r="M2310" s="26">
        <f>IF(A2310="","",YEAR(A2310))</f>
        <v/>
      </c>
      <c r="N2310" s="26">
        <f>IF(A2310="","",CHOOSE(WEEKDAY(A2310,2),"Segunda","Terça","Quarta","Quinta","Sexta","Sábado","Domingo"))</f>
        <v/>
      </c>
      <c r="O2310" s="26">
        <f>IF(B2310="","",IF(B2310&lt;TIME(12,0,0),"Manhã",IF(B2310&lt;TIME(18,0,0),"Tarde","Noite")))</f>
        <v/>
      </c>
      <c r="P2310" s="32">
        <f>IF(G2310="","",IFERROR(INDEX(Config!$I$5:$I$16,MATCH(G2310,Config!$H$5:$H$16,0)),0))</f>
        <v/>
      </c>
      <c r="Q2310" s="30">
        <f>IF(OR(H2310&lt;&gt;"Realizado",P2310="",P2310=0),"",A2310+P2310)</f>
        <v/>
      </c>
      <c r="R2310" s="26">
        <f>IF(Q2310="","",IF(COUNTIFS($E$5:$E$3004,E2310,$A$5:$A$3004,"&gt;"&amp;A2310,$H$5:$H$3004,"&lt;&gt;Falta",$H$5:$H$3004,"&lt;&gt;Cancelado",$H$5:$H$3004,"&lt;&gt;Remarcado")&gt;0,"Sim","Não"))</f>
        <v/>
      </c>
      <c r="S2310" s="32">
        <f>IF(R2310&lt;&gt;"Não","",IF(Q2310+Config!$B$9&lt;=Config!$B$8,Config!$B$8-Q2310,""))</f>
        <v/>
      </c>
      <c r="T2310" s="26">
        <f>IF(S2310="","","Sim")</f>
        <v/>
      </c>
      <c r="U2310" s="41">
        <f>IF(T2310="Sim",S2310+ROW()/100000,0)</f>
        <v>0</v>
      </c>
      <c r="V2310" s="41">
        <f>IF(AND(H2310="Falta",L2310=Config!$B$7,M2310=Config!$B$5,COUNTIFS($E$5:E2310,E2310,$H$5:H2310,"Falta",$L$5:L2310,Config!$B$7,$M$5:M2310,Config!$B$5)=1),COUNTIFS($E$5:$E$3004,E2310,$H$5:$H$3004,"Falta",$L$5:$L$3004,Config!$B$7,$M$5:$M$3004,Config!$B$5)*1000-ROW()/100000,0)</f>
        <v>0</v>
      </c>
    </row>
    <row r="2311">
      <c r="A2311" s="39" t="n"/>
      <c r="B2311" s="40" t="n"/>
      <c r="C2311" s="35" t="n"/>
      <c r="D2311" s="35" t="n"/>
      <c r="E2311" s="34" t="n"/>
      <c r="F2311" s="35" t="n"/>
      <c r="G2311" s="35" t="n"/>
      <c r="H2311" s="35" t="n"/>
      <c r="I2311" s="35" t="n"/>
      <c r="J2311" s="35" t="n"/>
      <c r="K2311" s="34" t="n"/>
      <c r="L2311" s="26">
        <f>IF(A2311="","",MONTH(A2311))</f>
        <v/>
      </c>
      <c r="M2311" s="26">
        <f>IF(A2311="","",YEAR(A2311))</f>
        <v/>
      </c>
      <c r="N2311" s="26">
        <f>IF(A2311="","",CHOOSE(WEEKDAY(A2311,2),"Segunda","Terça","Quarta","Quinta","Sexta","Sábado","Domingo"))</f>
        <v/>
      </c>
      <c r="O2311" s="26">
        <f>IF(B2311="","",IF(B2311&lt;TIME(12,0,0),"Manhã",IF(B2311&lt;TIME(18,0,0),"Tarde","Noite")))</f>
        <v/>
      </c>
      <c r="P2311" s="32">
        <f>IF(G2311="","",IFERROR(INDEX(Config!$I$5:$I$16,MATCH(G2311,Config!$H$5:$H$16,0)),0))</f>
        <v/>
      </c>
      <c r="Q2311" s="30">
        <f>IF(OR(H2311&lt;&gt;"Realizado",P2311="",P2311=0),"",A2311+P2311)</f>
        <v/>
      </c>
      <c r="R2311" s="26">
        <f>IF(Q2311="","",IF(COUNTIFS($E$5:$E$3004,E2311,$A$5:$A$3004,"&gt;"&amp;A2311,$H$5:$H$3004,"&lt;&gt;Falta",$H$5:$H$3004,"&lt;&gt;Cancelado",$H$5:$H$3004,"&lt;&gt;Remarcado")&gt;0,"Sim","Não"))</f>
        <v/>
      </c>
      <c r="S2311" s="32">
        <f>IF(R2311&lt;&gt;"Não","",IF(Q2311+Config!$B$9&lt;=Config!$B$8,Config!$B$8-Q2311,""))</f>
        <v/>
      </c>
      <c r="T2311" s="26">
        <f>IF(S2311="","","Sim")</f>
        <v/>
      </c>
      <c r="U2311" s="41">
        <f>IF(T2311="Sim",S2311+ROW()/100000,0)</f>
        <v>0</v>
      </c>
      <c r="V2311" s="41">
        <f>IF(AND(H2311="Falta",L2311=Config!$B$7,M2311=Config!$B$5,COUNTIFS($E$5:E2311,E2311,$H$5:H2311,"Falta",$L$5:L2311,Config!$B$7,$M$5:M2311,Config!$B$5)=1),COUNTIFS($E$5:$E$3004,E2311,$H$5:$H$3004,"Falta",$L$5:$L$3004,Config!$B$7,$M$5:$M$3004,Config!$B$5)*1000-ROW()/100000,0)</f>
        <v>0</v>
      </c>
    </row>
    <row r="2312">
      <c r="A2312" s="39" t="n"/>
      <c r="B2312" s="40" t="n"/>
      <c r="C2312" s="35" t="n"/>
      <c r="D2312" s="35" t="n"/>
      <c r="E2312" s="34" t="n"/>
      <c r="F2312" s="35" t="n"/>
      <c r="G2312" s="35" t="n"/>
      <c r="H2312" s="35" t="n"/>
      <c r="I2312" s="35" t="n"/>
      <c r="J2312" s="35" t="n"/>
      <c r="K2312" s="34" t="n"/>
      <c r="L2312" s="26">
        <f>IF(A2312="","",MONTH(A2312))</f>
        <v/>
      </c>
      <c r="M2312" s="26">
        <f>IF(A2312="","",YEAR(A2312))</f>
        <v/>
      </c>
      <c r="N2312" s="26">
        <f>IF(A2312="","",CHOOSE(WEEKDAY(A2312,2),"Segunda","Terça","Quarta","Quinta","Sexta","Sábado","Domingo"))</f>
        <v/>
      </c>
      <c r="O2312" s="26">
        <f>IF(B2312="","",IF(B2312&lt;TIME(12,0,0),"Manhã",IF(B2312&lt;TIME(18,0,0),"Tarde","Noite")))</f>
        <v/>
      </c>
      <c r="P2312" s="32">
        <f>IF(G2312="","",IFERROR(INDEX(Config!$I$5:$I$16,MATCH(G2312,Config!$H$5:$H$16,0)),0))</f>
        <v/>
      </c>
      <c r="Q2312" s="30">
        <f>IF(OR(H2312&lt;&gt;"Realizado",P2312="",P2312=0),"",A2312+P2312)</f>
        <v/>
      </c>
      <c r="R2312" s="26">
        <f>IF(Q2312="","",IF(COUNTIFS($E$5:$E$3004,E2312,$A$5:$A$3004,"&gt;"&amp;A2312,$H$5:$H$3004,"&lt;&gt;Falta",$H$5:$H$3004,"&lt;&gt;Cancelado",$H$5:$H$3004,"&lt;&gt;Remarcado")&gt;0,"Sim","Não"))</f>
        <v/>
      </c>
      <c r="S2312" s="32">
        <f>IF(R2312&lt;&gt;"Não","",IF(Q2312+Config!$B$9&lt;=Config!$B$8,Config!$B$8-Q2312,""))</f>
        <v/>
      </c>
      <c r="T2312" s="26">
        <f>IF(S2312="","","Sim")</f>
        <v/>
      </c>
      <c r="U2312" s="41">
        <f>IF(T2312="Sim",S2312+ROW()/100000,0)</f>
        <v>0</v>
      </c>
      <c r="V2312" s="41">
        <f>IF(AND(H2312="Falta",L2312=Config!$B$7,M2312=Config!$B$5,COUNTIFS($E$5:E2312,E2312,$H$5:H2312,"Falta",$L$5:L2312,Config!$B$7,$M$5:M2312,Config!$B$5)=1),COUNTIFS($E$5:$E$3004,E2312,$H$5:$H$3004,"Falta",$L$5:$L$3004,Config!$B$7,$M$5:$M$3004,Config!$B$5)*1000-ROW()/100000,0)</f>
        <v>0</v>
      </c>
    </row>
    <row r="2313">
      <c r="A2313" s="39" t="n"/>
      <c r="B2313" s="40" t="n"/>
      <c r="C2313" s="35" t="n"/>
      <c r="D2313" s="35" t="n"/>
      <c r="E2313" s="34" t="n"/>
      <c r="F2313" s="35" t="n"/>
      <c r="G2313" s="35" t="n"/>
      <c r="H2313" s="35" t="n"/>
      <c r="I2313" s="35" t="n"/>
      <c r="J2313" s="35" t="n"/>
      <c r="K2313" s="34" t="n"/>
      <c r="L2313" s="26">
        <f>IF(A2313="","",MONTH(A2313))</f>
        <v/>
      </c>
      <c r="M2313" s="26">
        <f>IF(A2313="","",YEAR(A2313))</f>
        <v/>
      </c>
      <c r="N2313" s="26">
        <f>IF(A2313="","",CHOOSE(WEEKDAY(A2313,2),"Segunda","Terça","Quarta","Quinta","Sexta","Sábado","Domingo"))</f>
        <v/>
      </c>
      <c r="O2313" s="26">
        <f>IF(B2313="","",IF(B2313&lt;TIME(12,0,0),"Manhã",IF(B2313&lt;TIME(18,0,0),"Tarde","Noite")))</f>
        <v/>
      </c>
      <c r="P2313" s="32">
        <f>IF(G2313="","",IFERROR(INDEX(Config!$I$5:$I$16,MATCH(G2313,Config!$H$5:$H$16,0)),0))</f>
        <v/>
      </c>
      <c r="Q2313" s="30">
        <f>IF(OR(H2313&lt;&gt;"Realizado",P2313="",P2313=0),"",A2313+P2313)</f>
        <v/>
      </c>
      <c r="R2313" s="26">
        <f>IF(Q2313="","",IF(COUNTIFS($E$5:$E$3004,E2313,$A$5:$A$3004,"&gt;"&amp;A2313,$H$5:$H$3004,"&lt;&gt;Falta",$H$5:$H$3004,"&lt;&gt;Cancelado",$H$5:$H$3004,"&lt;&gt;Remarcado")&gt;0,"Sim","Não"))</f>
        <v/>
      </c>
      <c r="S2313" s="32">
        <f>IF(R2313&lt;&gt;"Não","",IF(Q2313+Config!$B$9&lt;=Config!$B$8,Config!$B$8-Q2313,""))</f>
        <v/>
      </c>
      <c r="T2313" s="26">
        <f>IF(S2313="","","Sim")</f>
        <v/>
      </c>
      <c r="U2313" s="41">
        <f>IF(T2313="Sim",S2313+ROW()/100000,0)</f>
        <v>0</v>
      </c>
      <c r="V2313" s="41">
        <f>IF(AND(H2313="Falta",L2313=Config!$B$7,M2313=Config!$B$5,COUNTIFS($E$5:E2313,E2313,$H$5:H2313,"Falta",$L$5:L2313,Config!$B$7,$M$5:M2313,Config!$B$5)=1),COUNTIFS($E$5:$E$3004,E2313,$H$5:$H$3004,"Falta",$L$5:$L$3004,Config!$B$7,$M$5:$M$3004,Config!$B$5)*1000-ROW()/100000,0)</f>
        <v>0</v>
      </c>
    </row>
    <row r="2314">
      <c r="A2314" s="39" t="n"/>
      <c r="B2314" s="40" t="n"/>
      <c r="C2314" s="35" t="n"/>
      <c r="D2314" s="35" t="n"/>
      <c r="E2314" s="34" t="n"/>
      <c r="F2314" s="35" t="n"/>
      <c r="G2314" s="35" t="n"/>
      <c r="H2314" s="35" t="n"/>
      <c r="I2314" s="35" t="n"/>
      <c r="J2314" s="35" t="n"/>
      <c r="K2314" s="34" t="n"/>
      <c r="L2314" s="26">
        <f>IF(A2314="","",MONTH(A2314))</f>
        <v/>
      </c>
      <c r="M2314" s="26">
        <f>IF(A2314="","",YEAR(A2314))</f>
        <v/>
      </c>
      <c r="N2314" s="26">
        <f>IF(A2314="","",CHOOSE(WEEKDAY(A2314,2),"Segunda","Terça","Quarta","Quinta","Sexta","Sábado","Domingo"))</f>
        <v/>
      </c>
      <c r="O2314" s="26">
        <f>IF(B2314="","",IF(B2314&lt;TIME(12,0,0),"Manhã",IF(B2314&lt;TIME(18,0,0),"Tarde","Noite")))</f>
        <v/>
      </c>
      <c r="P2314" s="32">
        <f>IF(G2314="","",IFERROR(INDEX(Config!$I$5:$I$16,MATCH(G2314,Config!$H$5:$H$16,0)),0))</f>
        <v/>
      </c>
      <c r="Q2314" s="30">
        <f>IF(OR(H2314&lt;&gt;"Realizado",P2314="",P2314=0),"",A2314+P2314)</f>
        <v/>
      </c>
      <c r="R2314" s="26">
        <f>IF(Q2314="","",IF(COUNTIFS($E$5:$E$3004,E2314,$A$5:$A$3004,"&gt;"&amp;A2314,$H$5:$H$3004,"&lt;&gt;Falta",$H$5:$H$3004,"&lt;&gt;Cancelado",$H$5:$H$3004,"&lt;&gt;Remarcado")&gt;0,"Sim","Não"))</f>
        <v/>
      </c>
      <c r="S2314" s="32">
        <f>IF(R2314&lt;&gt;"Não","",IF(Q2314+Config!$B$9&lt;=Config!$B$8,Config!$B$8-Q2314,""))</f>
        <v/>
      </c>
      <c r="T2314" s="26">
        <f>IF(S2314="","","Sim")</f>
        <v/>
      </c>
      <c r="U2314" s="41">
        <f>IF(T2314="Sim",S2314+ROW()/100000,0)</f>
        <v>0</v>
      </c>
      <c r="V2314" s="41">
        <f>IF(AND(H2314="Falta",L2314=Config!$B$7,M2314=Config!$B$5,COUNTIFS($E$5:E2314,E2314,$H$5:H2314,"Falta",$L$5:L2314,Config!$B$7,$M$5:M2314,Config!$B$5)=1),COUNTIFS($E$5:$E$3004,E2314,$H$5:$H$3004,"Falta",$L$5:$L$3004,Config!$B$7,$M$5:$M$3004,Config!$B$5)*1000-ROW()/100000,0)</f>
        <v>0</v>
      </c>
    </row>
    <row r="2315">
      <c r="A2315" s="39" t="n"/>
      <c r="B2315" s="40" t="n"/>
      <c r="C2315" s="35" t="n"/>
      <c r="D2315" s="35" t="n"/>
      <c r="E2315" s="34" t="n"/>
      <c r="F2315" s="35" t="n"/>
      <c r="G2315" s="35" t="n"/>
      <c r="H2315" s="35" t="n"/>
      <c r="I2315" s="35" t="n"/>
      <c r="J2315" s="35" t="n"/>
      <c r="K2315" s="34" t="n"/>
      <c r="L2315" s="26">
        <f>IF(A2315="","",MONTH(A2315))</f>
        <v/>
      </c>
      <c r="M2315" s="26">
        <f>IF(A2315="","",YEAR(A2315))</f>
        <v/>
      </c>
      <c r="N2315" s="26">
        <f>IF(A2315="","",CHOOSE(WEEKDAY(A2315,2),"Segunda","Terça","Quarta","Quinta","Sexta","Sábado","Domingo"))</f>
        <v/>
      </c>
      <c r="O2315" s="26">
        <f>IF(B2315="","",IF(B2315&lt;TIME(12,0,0),"Manhã",IF(B2315&lt;TIME(18,0,0),"Tarde","Noite")))</f>
        <v/>
      </c>
      <c r="P2315" s="32">
        <f>IF(G2315="","",IFERROR(INDEX(Config!$I$5:$I$16,MATCH(G2315,Config!$H$5:$H$16,0)),0))</f>
        <v/>
      </c>
      <c r="Q2315" s="30">
        <f>IF(OR(H2315&lt;&gt;"Realizado",P2315="",P2315=0),"",A2315+P2315)</f>
        <v/>
      </c>
      <c r="R2315" s="26">
        <f>IF(Q2315="","",IF(COUNTIFS($E$5:$E$3004,E2315,$A$5:$A$3004,"&gt;"&amp;A2315,$H$5:$H$3004,"&lt;&gt;Falta",$H$5:$H$3004,"&lt;&gt;Cancelado",$H$5:$H$3004,"&lt;&gt;Remarcado")&gt;0,"Sim","Não"))</f>
        <v/>
      </c>
      <c r="S2315" s="32">
        <f>IF(R2315&lt;&gt;"Não","",IF(Q2315+Config!$B$9&lt;=Config!$B$8,Config!$B$8-Q2315,""))</f>
        <v/>
      </c>
      <c r="T2315" s="26">
        <f>IF(S2315="","","Sim")</f>
        <v/>
      </c>
      <c r="U2315" s="41">
        <f>IF(T2315="Sim",S2315+ROW()/100000,0)</f>
        <v>0</v>
      </c>
      <c r="V2315" s="41">
        <f>IF(AND(H2315="Falta",L2315=Config!$B$7,M2315=Config!$B$5,COUNTIFS($E$5:E2315,E2315,$H$5:H2315,"Falta",$L$5:L2315,Config!$B$7,$M$5:M2315,Config!$B$5)=1),COUNTIFS($E$5:$E$3004,E2315,$H$5:$H$3004,"Falta",$L$5:$L$3004,Config!$B$7,$M$5:$M$3004,Config!$B$5)*1000-ROW()/100000,0)</f>
        <v>0</v>
      </c>
    </row>
    <row r="2316">
      <c r="A2316" s="39" t="n"/>
      <c r="B2316" s="40" t="n"/>
      <c r="C2316" s="35" t="n"/>
      <c r="D2316" s="35" t="n"/>
      <c r="E2316" s="34" t="n"/>
      <c r="F2316" s="35" t="n"/>
      <c r="G2316" s="35" t="n"/>
      <c r="H2316" s="35" t="n"/>
      <c r="I2316" s="35" t="n"/>
      <c r="J2316" s="35" t="n"/>
      <c r="K2316" s="34" t="n"/>
      <c r="L2316" s="26">
        <f>IF(A2316="","",MONTH(A2316))</f>
        <v/>
      </c>
      <c r="M2316" s="26">
        <f>IF(A2316="","",YEAR(A2316))</f>
        <v/>
      </c>
      <c r="N2316" s="26">
        <f>IF(A2316="","",CHOOSE(WEEKDAY(A2316,2),"Segunda","Terça","Quarta","Quinta","Sexta","Sábado","Domingo"))</f>
        <v/>
      </c>
      <c r="O2316" s="26">
        <f>IF(B2316="","",IF(B2316&lt;TIME(12,0,0),"Manhã",IF(B2316&lt;TIME(18,0,0),"Tarde","Noite")))</f>
        <v/>
      </c>
      <c r="P2316" s="32">
        <f>IF(G2316="","",IFERROR(INDEX(Config!$I$5:$I$16,MATCH(G2316,Config!$H$5:$H$16,0)),0))</f>
        <v/>
      </c>
      <c r="Q2316" s="30">
        <f>IF(OR(H2316&lt;&gt;"Realizado",P2316="",P2316=0),"",A2316+P2316)</f>
        <v/>
      </c>
      <c r="R2316" s="26">
        <f>IF(Q2316="","",IF(COUNTIFS($E$5:$E$3004,E2316,$A$5:$A$3004,"&gt;"&amp;A2316,$H$5:$H$3004,"&lt;&gt;Falta",$H$5:$H$3004,"&lt;&gt;Cancelado",$H$5:$H$3004,"&lt;&gt;Remarcado")&gt;0,"Sim","Não"))</f>
        <v/>
      </c>
      <c r="S2316" s="32">
        <f>IF(R2316&lt;&gt;"Não","",IF(Q2316+Config!$B$9&lt;=Config!$B$8,Config!$B$8-Q2316,""))</f>
        <v/>
      </c>
      <c r="T2316" s="26">
        <f>IF(S2316="","","Sim")</f>
        <v/>
      </c>
      <c r="U2316" s="41">
        <f>IF(T2316="Sim",S2316+ROW()/100000,0)</f>
        <v>0</v>
      </c>
      <c r="V2316" s="41">
        <f>IF(AND(H2316="Falta",L2316=Config!$B$7,M2316=Config!$B$5,COUNTIFS($E$5:E2316,E2316,$H$5:H2316,"Falta",$L$5:L2316,Config!$B$7,$M$5:M2316,Config!$B$5)=1),COUNTIFS($E$5:$E$3004,E2316,$H$5:$H$3004,"Falta",$L$5:$L$3004,Config!$B$7,$M$5:$M$3004,Config!$B$5)*1000-ROW()/100000,0)</f>
        <v>0</v>
      </c>
    </row>
    <row r="2317">
      <c r="A2317" s="39" t="n"/>
      <c r="B2317" s="40" t="n"/>
      <c r="C2317" s="35" t="n"/>
      <c r="D2317" s="35" t="n"/>
      <c r="E2317" s="34" t="n"/>
      <c r="F2317" s="35" t="n"/>
      <c r="G2317" s="35" t="n"/>
      <c r="H2317" s="35" t="n"/>
      <c r="I2317" s="35" t="n"/>
      <c r="J2317" s="35" t="n"/>
      <c r="K2317" s="34" t="n"/>
      <c r="L2317" s="26">
        <f>IF(A2317="","",MONTH(A2317))</f>
        <v/>
      </c>
      <c r="M2317" s="26">
        <f>IF(A2317="","",YEAR(A2317))</f>
        <v/>
      </c>
      <c r="N2317" s="26">
        <f>IF(A2317="","",CHOOSE(WEEKDAY(A2317,2),"Segunda","Terça","Quarta","Quinta","Sexta","Sábado","Domingo"))</f>
        <v/>
      </c>
      <c r="O2317" s="26">
        <f>IF(B2317="","",IF(B2317&lt;TIME(12,0,0),"Manhã",IF(B2317&lt;TIME(18,0,0),"Tarde","Noite")))</f>
        <v/>
      </c>
      <c r="P2317" s="32">
        <f>IF(G2317="","",IFERROR(INDEX(Config!$I$5:$I$16,MATCH(G2317,Config!$H$5:$H$16,0)),0))</f>
        <v/>
      </c>
      <c r="Q2317" s="30">
        <f>IF(OR(H2317&lt;&gt;"Realizado",P2317="",P2317=0),"",A2317+P2317)</f>
        <v/>
      </c>
      <c r="R2317" s="26">
        <f>IF(Q2317="","",IF(COUNTIFS($E$5:$E$3004,E2317,$A$5:$A$3004,"&gt;"&amp;A2317,$H$5:$H$3004,"&lt;&gt;Falta",$H$5:$H$3004,"&lt;&gt;Cancelado",$H$5:$H$3004,"&lt;&gt;Remarcado")&gt;0,"Sim","Não"))</f>
        <v/>
      </c>
      <c r="S2317" s="32">
        <f>IF(R2317&lt;&gt;"Não","",IF(Q2317+Config!$B$9&lt;=Config!$B$8,Config!$B$8-Q2317,""))</f>
        <v/>
      </c>
      <c r="T2317" s="26">
        <f>IF(S2317="","","Sim")</f>
        <v/>
      </c>
      <c r="U2317" s="41">
        <f>IF(T2317="Sim",S2317+ROW()/100000,0)</f>
        <v>0</v>
      </c>
      <c r="V2317" s="41">
        <f>IF(AND(H2317="Falta",L2317=Config!$B$7,M2317=Config!$B$5,COUNTIFS($E$5:E2317,E2317,$H$5:H2317,"Falta",$L$5:L2317,Config!$B$7,$M$5:M2317,Config!$B$5)=1),COUNTIFS($E$5:$E$3004,E2317,$H$5:$H$3004,"Falta",$L$5:$L$3004,Config!$B$7,$M$5:$M$3004,Config!$B$5)*1000-ROW()/100000,0)</f>
        <v>0</v>
      </c>
    </row>
    <row r="2318">
      <c r="A2318" s="39" t="n"/>
      <c r="B2318" s="40" t="n"/>
      <c r="C2318" s="35" t="n"/>
      <c r="D2318" s="35" t="n"/>
      <c r="E2318" s="34" t="n"/>
      <c r="F2318" s="35" t="n"/>
      <c r="G2318" s="35" t="n"/>
      <c r="H2318" s="35" t="n"/>
      <c r="I2318" s="35" t="n"/>
      <c r="J2318" s="35" t="n"/>
      <c r="K2318" s="34" t="n"/>
      <c r="L2318" s="26">
        <f>IF(A2318="","",MONTH(A2318))</f>
        <v/>
      </c>
      <c r="M2318" s="26">
        <f>IF(A2318="","",YEAR(A2318))</f>
        <v/>
      </c>
      <c r="N2318" s="26">
        <f>IF(A2318="","",CHOOSE(WEEKDAY(A2318,2),"Segunda","Terça","Quarta","Quinta","Sexta","Sábado","Domingo"))</f>
        <v/>
      </c>
      <c r="O2318" s="26">
        <f>IF(B2318="","",IF(B2318&lt;TIME(12,0,0),"Manhã",IF(B2318&lt;TIME(18,0,0),"Tarde","Noite")))</f>
        <v/>
      </c>
      <c r="P2318" s="32">
        <f>IF(G2318="","",IFERROR(INDEX(Config!$I$5:$I$16,MATCH(G2318,Config!$H$5:$H$16,0)),0))</f>
        <v/>
      </c>
      <c r="Q2318" s="30">
        <f>IF(OR(H2318&lt;&gt;"Realizado",P2318="",P2318=0),"",A2318+P2318)</f>
        <v/>
      </c>
      <c r="R2318" s="26">
        <f>IF(Q2318="","",IF(COUNTIFS($E$5:$E$3004,E2318,$A$5:$A$3004,"&gt;"&amp;A2318,$H$5:$H$3004,"&lt;&gt;Falta",$H$5:$H$3004,"&lt;&gt;Cancelado",$H$5:$H$3004,"&lt;&gt;Remarcado")&gt;0,"Sim","Não"))</f>
        <v/>
      </c>
      <c r="S2318" s="32">
        <f>IF(R2318&lt;&gt;"Não","",IF(Q2318+Config!$B$9&lt;=Config!$B$8,Config!$B$8-Q2318,""))</f>
        <v/>
      </c>
      <c r="T2318" s="26">
        <f>IF(S2318="","","Sim")</f>
        <v/>
      </c>
      <c r="U2318" s="41">
        <f>IF(T2318="Sim",S2318+ROW()/100000,0)</f>
        <v>0</v>
      </c>
      <c r="V2318" s="41">
        <f>IF(AND(H2318="Falta",L2318=Config!$B$7,M2318=Config!$B$5,COUNTIFS($E$5:E2318,E2318,$H$5:H2318,"Falta",$L$5:L2318,Config!$B$7,$M$5:M2318,Config!$B$5)=1),COUNTIFS($E$5:$E$3004,E2318,$H$5:$H$3004,"Falta",$L$5:$L$3004,Config!$B$7,$M$5:$M$3004,Config!$B$5)*1000-ROW()/100000,0)</f>
        <v>0</v>
      </c>
    </row>
    <row r="2319">
      <c r="A2319" s="39" t="n"/>
      <c r="B2319" s="40" t="n"/>
      <c r="C2319" s="35" t="n"/>
      <c r="D2319" s="35" t="n"/>
      <c r="E2319" s="34" t="n"/>
      <c r="F2319" s="35" t="n"/>
      <c r="G2319" s="35" t="n"/>
      <c r="H2319" s="35" t="n"/>
      <c r="I2319" s="35" t="n"/>
      <c r="J2319" s="35" t="n"/>
      <c r="K2319" s="34" t="n"/>
      <c r="L2319" s="26">
        <f>IF(A2319="","",MONTH(A2319))</f>
        <v/>
      </c>
      <c r="M2319" s="26">
        <f>IF(A2319="","",YEAR(A2319))</f>
        <v/>
      </c>
      <c r="N2319" s="26">
        <f>IF(A2319="","",CHOOSE(WEEKDAY(A2319,2),"Segunda","Terça","Quarta","Quinta","Sexta","Sábado","Domingo"))</f>
        <v/>
      </c>
      <c r="O2319" s="26">
        <f>IF(B2319="","",IF(B2319&lt;TIME(12,0,0),"Manhã",IF(B2319&lt;TIME(18,0,0),"Tarde","Noite")))</f>
        <v/>
      </c>
      <c r="P2319" s="32">
        <f>IF(G2319="","",IFERROR(INDEX(Config!$I$5:$I$16,MATCH(G2319,Config!$H$5:$H$16,0)),0))</f>
        <v/>
      </c>
      <c r="Q2319" s="30">
        <f>IF(OR(H2319&lt;&gt;"Realizado",P2319="",P2319=0),"",A2319+P2319)</f>
        <v/>
      </c>
      <c r="R2319" s="26">
        <f>IF(Q2319="","",IF(COUNTIFS($E$5:$E$3004,E2319,$A$5:$A$3004,"&gt;"&amp;A2319,$H$5:$H$3004,"&lt;&gt;Falta",$H$5:$H$3004,"&lt;&gt;Cancelado",$H$5:$H$3004,"&lt;&gt;Remarcado")&gt;0,"Sim","Não"))</f>
        <v/>
      </c>
      <c r="S2319" s="32">
        <f>IF(R2319&lt;&gt;"Não","",IF(Q2319+Config!$B$9&lt;=Config!$B$8,Config!$B$8-Q2319,""))</f>
        <v/>
      </c>
      <c r="T2319" s="26">
        <f>IF(S2319="","","Sim")</f>
        <v/>
      </c>
      <c r="U2319" s="41">
        <f>IF(T2319="Sim",S2319+ROW()/100000,0)</f>
        <v>0</v>
      </c>
      <c r="V2319" s="41">
        <f>IF(AND(H2319="Falta",L2319=Config!$B$7,M2319=Config!$B$5,COUNTIFS($E$5:E2319,E2319,$H$5:H2319,"Falta",$L$5:L2319,Config!$B$7,$M$5:M2319,Config!$B$5)=1),COUNTIFS($E$5:$E$3004,E2319,$H$5:$H$3004,"Falta",$L$5:$L$3004,Config!$B$7,$M$5:$M$3004,Config!$B$5)*1000-ROW()/100000,0)</f>
        <v>0</v>
      </c>
    </row>
    <row r="2320">
      <c r="A2320" s="39" t="n"/>
      <c r="B2320" s="40" t="n"/>
      <c r="C2320" s="35" t="n"/>
      <c r="D2320" s="35" t="n"/>
      <c r="E2320" s="34" t="n"/>
      <c r="F2320" s="35" t="n"/>
      <c r="G2320" s="35" t="n"/>
      <c r="H2320" s="35" t="n"/>
      <c r="I2320" s="35" t="n"/>
      <c r="J2320" s="35" t="n"/>
      <c r="K2320" s="34" t="n"/>
      <c r="L2320" s="26">
        <f>IF(A2320="","",MONTH(A2320))</f>
        <v/>
      </c>
      <c r="M2320" s="26">
        <f>IF(A2320="","",YEAR(A2320))</f>
        <v/>
      </c>
      <c r="N2320" s="26">
        <f>IF(A2320="","",CHOOSE(WEEKDAY(A2320,2),"Segunda","Terça","Quarta","Quinta","Sexta","Sábado","Domingo"))</f>
        <v/>
      </c>
      <c r="O2320" s="26">
        <f>IF(B2320="","",IF(B2320&lt;TIME(12,0,0),"Manhã",IF(B2320&lt;TIME(18,0,0),"Tarde","Noite")))</f>
        <v/>
      </c>
      <c r="P2320" s="32">
        <f>IF(G2320="","",IFERROR(INDEX(Config!$I$5:$I$16,MATCH(G2320,Config!$H$5:$H$16,0)),0))</f>
        <v/>
      </c>
      <c r="Q2320" s="30">
        <f>IF(OR(H2320&lt;&gt;"Realizado",P2320="",P2320=0),"",A2320+P2320)</f>
        <v/>
      </c>
      <c r="R2320" s="26">
        <f>IF(Q2320="","",IF(COUNTIFS($E$5:$E$3004,E2320,$A$5:$A$3004,"&gt;"&amp;A2320,$H$5:$H$3004,"&lt;&gt;Falta",$H$5:$H$3004,"&lt;&gt;Cancelado",$H$5:$H$3004,"&lt;&gt;Remarcado")&gt;0,"Sim","Não"))</f>
        <v/>
      </c>
      <c r="S2320" s="32">
        <f>IF(R2320&lt;&gt;"Não","",IF(Q2320+Config!$B$9&lt;=Config!$B$8,Config!$B$8-Q2320,""))</f>
        <v/>
      </c>
      <c r="T2320" s="26">
        <f>IF(S2320="","","Sim")</f>
        <v/>
      </c>
      <c r="U2320" s="41">
        <f>IF(T2320="Sim",S2320+ROW()/100000,0)</f>
        <v>0</v>
      </c>
      <c r="V2320" s="41">
        <f>IF(AND(H2320="Falta",L2320=Config!$B$7,M2320=Config!$B$5,COUNTIFS($E$5:E2320,E2320,$H$5:H2320,"Falta",$L$5:L2320,Config!$B$7,$M$5:M2320,Config!$B$5)=1),COUNTIFS($E$5:$E$3004,E2320,$H$5:$H$3004,"Falta",$L$5:$L$3004,Config!$B$7,$M$5:$M$3004,Config!$B$5)*1000-ROW()/100000,0)</f>
        <v>0</v>
      </c>
    </row>
    <row r="2321">
      <c r="A2321" s="39" t="n"/>
      <c r="B2321" s="40" t="n"/>
      <c r="C2321" s="35" t="n"/>
      <c r="D2321" s="35" t="n"/>
      <c r="E2321" s="34" t="n"/>
      <c r="F2321" s="35" t="n"/>
      <c r="G2321" s="35" t="n"/>
      <c r="H2321" s="35" t="n"/>
      <c r="I2321" s="35" t="n"/>
      <c r="J2321" s="35" t="n"/>
      <c r="K2321" s="34" t="n"/>
      <c r="L2321" s="26">
        <f>IF(A2321="","",MONTH(A2321))</f>
        <v/>
      </c>
      <c r="M2321" s="26">
        <f>IF(A2321="","",YEAR(A2321))</f>
        <v/>
      </c>
      <c r="N2321" s="26">
        <f>IF(A2321="","",CHOOSE(WEEKDAY(A2321,2),"Segunda","Terça","Quarta","Quinta","Sexta","Sábado","Domingo"))</f>
        <v/>
      </c>
      <c r="O2321" s="26">
        <f>IF(B2321="","",IF(B2321&lt;TIME(12,0,0),"Manhã",IF(B2321&lt;TIME(18,0,0),"Tarde","Noite")))</f>
        <v/>
      </c>
      <c r="P2321" s="32">
        <f>IF(G2321="","",IFERROR(INDEX(Config!$I$5:$I$16,MATCH(G2321,Config!$H$5:$H$16,0)),0))</f>
        <v/>
      </c>
      <c r="Q2321" s="30">
        <f>IF(OR(H2321&lt;&gt;"Realizado",P2321="",P2321=0),"",A2321+P2321)</f>
        <v/>
      </c>
      <c r="R2321" s="26">
        <f>IF(Q2321="","",IF(COUNTIFS($E$5:$E$3004,E2321,$A$5:$A$3004,"&gt;"&amp;A2321,$H$5:$H$3004,"&lt;&gt;Falta",$H$5:$H$3004,"&lt;&gt;Cancelado",$H$5:$H$3004,"&lt;&gt;Remarcado")&gt;0,"Sim","Não"))</f>
        <v/>
      </c>
      <c r="S2321" s="32">
        <f>IF(R2321&lt;&gt;"Não","",IF(Q2321+Config!$B$9&lt;=Config!$B$8,Config!$B$8-Q2321,""))</f>
        <v/>
      </c>
      <c r="T2321" s="26">
        <f>IF(S2321="","","Sim")</f>
        <v/>
      </c>
      <c r="U2321" s="41">
        <f>IF(T2321="Sim",S2321+ROW()/100000,0)</f>
        <v>0</v>
      </c>
      <c r="V2321" s="41">
        <f>IF(AND(H2321="Falta",L2321=Config!$B$7,M2321=Config!$B$5,COUNTIFS($E$5:E2321,E2321,$H$5:H2321,"Falta",$L$5:L2321,Config!$B$7,$M$5:M2321,Config!$B$5)=1),COUNTIFS($E$5:$E$3004,E2321,$H$5:$H$3004,"Falta",$L$5:$L$3004,Config!$B$7,$M$5:$M$3004,Config!$B$5)*1000-ROW()/100000,0)</f>
        <v>0</v>
      </c>
    </row>
    <row r="2322">
      <c r="A2322" s="39" t="n"/>
      <c r="B2322" s="40" t="n"/>
      <c r="C2322" s="35" t="n"/>
      <c r="D2322" s="35" t="n"/>
      <c r="E2322" s="34" t="n"/>
      <c r="F2322" s="35" t="n"/>
      <c r="G2322" s="35" t="n"/>
      <c r="H2322" s="35" t="n"/>
      <c r="I2322" s="35" t="n"/>
      <c r="J2322" s="35" t="n"/>
      <c r="K2322" s="34" t="n"/>
      <c r="L2322" s="26">
        <f>IF(A2322="","",MONTH(A2322))</f>
        <v/>
      </c>
      <c r="M2322" s="26">
        <f>IF(A2322="","",YEAR(A2322))</f>
        <v/>
      </c>
      <c r="N2322" s="26">
        <f>IF(A2322="","",CHOOSE(WEEKDAY(A2322,2),"Segunda","Terça","Quarta","Quinta","Sexta","Sábado","Domingo"))</f>
        <v/>
      </c>
      <c r="O2322" s="26">
        <f>IF(B2322="","",IF(B2322&lt;TIME(12,0,0),"Manhã",IF(B2322&lt;TIME(18,0,0),"Tarde","Noite")))</f>
        <v/>
      </c>
      <c r="P2322" s="32">
        <f>IF(G2322="","",IFERROR(INDEX(Config!$I$5:$I$16,MATCH(G2322,Config!$H$5:$H$16,0)),0))</f>
        <v/>
      </c>
      <c r="Q2322" s="30">
        <f>IF(OR(H2322&lt;&gt;"Realizado",P2322="",P2322=0),"",A2322+P2322)</f>
        <v/>
      </c>
      <c r="R2322" s="26">
        <f>IF(Q2322="","",IF(COUNTIFS($E$5:$E$3004,E2322,$A$5:$A$3004,"&gt;"&amp;A2322,$H$5:$H$3004,"&lt;&gt;Falta",$H$5:$H$3004,"&lt;&gt;Cancelado",$H$5:$H$3004,"&lt;&gt;Remarcado")&gt;0,"Sim","Não"))</f>
        <v/>
      </c>
      <c r="S2322" s="32">
        <f>IF(R2322&lt;&gt;"Não","",IF(Q2322+Config!$B$9&lt;=Config!$B$8,Config!$B$8-Q2322,""))</f>
        <v/>
      </c>
      <c r="T2322" s="26">
        <f>IF(S2322="","","Sim")</f>
        <v/>
      </c>
      <c r="U2322" s="41">
        <f>IF(T2322="Sim",S2322+ROW()/100000,0)</f>
        <v>0</v>
      </c>
      <c r="V2322" s="41">
        <f>IF(AND(H2322="Falta",L2322=Config!$B$7,M2322=Config!$B$5,COUNTIFS($E$5:E2322,E2322,$H$5:H2322,"Falta",$L$5:L2322,Config!$B$7,$M$5:M2322,Config!$B$5)=1),COUNTIFS($E$5:$E$3004,E2322,$H$5:$H$3004,"Falta",$L$5:$L$3004,Config!$B$7,$M$5:$M$3004,Config!$B$5)*1000-ROW()/100000,0)</f>
        <v>0</v>
      </c>
    </row>
    <row r="2323">
      <c r="A2323" s="39" t="n"/>
      <c r="B2323" s="40" t="n"/>
      <c r="C2323" s="35" t="n"/>
      <c r="D2323" s="35" t="n"/>
      <c r="E2323" s="34" t="n"/>
      <c r="F2323" s="35" t="n"/>
      <c r="G2323" s="35" t="n"/>
      <c r="H2323" s="35" t="n"/>
      <c r="I2323" s="35" t="n"/>
      <c r="J2323" s="35" t="n"/>
      <c r="K2323" s="34" t="n"/>
      <c r="L2323" s="26">
        <f>IF(A2323="","",MONTH(A2323))</f>
        <v/>
      </c>
      <c r="M2323" s="26">
        <f>IF(A2323="","",YEAR(A2323))</f>
        <v/>
      </c>
      <c r="N2323" s="26">
        <f>IF(A2323="","",CHOOSE(WEEKDAY(A2323,2),"Segunda","Terça","Quarta","Quinta","Sexta","Sábado","Domingo"))</f>
        <v/>
      </c>
      <c r="O2323" s="26">
        <f>IF(B2323="","",IF(B2323&lt;TIME(12,0,0),"Manhã",IF(B2323&lt;TIME(18,0,0),"Tarde","Noite")))</f>
        <v/>
      </c>
      <c r="P2323" s="32">
        <f>IF(G2323="","",IFERROR(INDEX(Config!$I$5:$I$16,MATCH(G2323,Config!$H$5:$H$16,0)),0))</f>
        <v/>
      </c>
      <c r="Q2323" s="30">
        <f>IF(OR(H2323&lt;&gt;"Realizado",P2323="",P2323=0),"",A2323+P2323)</f>
        <v/>
      </c>
      <c r="R2323" s="26">
        <f>IF(Q2323="","",IF(COUNTIFS($E$5:$E$3004,E2323,$A$5:$A$3004,"&gt;"&amp;A2323,$H$5:$H$3004,"&lt;&gt;Falta",$H$5:$H$3004,"&lt;&gt;Cancelado",$H$5:$H$3004,"&lt;&gt;Remarcado")&gt;0,"Sim","Não"))</f>
        <v/>
      </c>
      <c r="S2323" s="32">
        <f>IF(R2323&lt;&gt;"Não","",IF(Q2323+Config!$B$9&lt;=Config!$B$8,Config!$B$8-Q2323,""))</f>
        <v/>
      </c>
      <c r="T2323" s="26">
        <f>IF(S2323="","","Sim")</f>
        <v/>
      </c>
      <c r="U2323" s="41">
        <f>IF(T2323="Sim",S2323+ROW()/100000,0)</f>
        <v>0</v>
      </c>
      <c r="V2323" s="41">
        <f>IF(AND(H2323="Falta",L2323=Config!$B$7,M2323=Config!$B$5,COUNTIFS($E$5:E2323,E2323,$H$5:H2323,"Falta",$L$5:L2323,Config!$B$7,$M$5:M2323,Config!$B$5)=1),COUNTIFS($E$5:$E$3004,E2323,$H$5:$H$3004,"Falta",$L$5:$L$3004,Config!$B$7,$M$5:$M$3004,Config!$B$5)*1000-ROW()/100000,0)</f>
        <v>0</v>
      </c>
    </row>
    <row r="2324">
      <c r="A2324" s="39" t="n"/>
      <c r="B2324" s="40" t="n"/>
      <c r="C2324" s="35" t="n"/>
      <c r="D2324" s="35" t="n"/>
      <c r="E2324" s="34" t="n"/>
      <c r="F2324" s="35" t="n"/>
      <c r="G2324" s="35" t="n"/>
      <c r="H2324" s="35" t="n"/>
      <c r="I2324" s="35" t="n"/>
      <c r="J2324" s="35" t="n"/>
      <c r="K2324" s="34" t="n"/>
      <c r="L2324" s="26">
        <f>IF(A2324="","",MONTH(A2324))</f>
        <v/>
      </c>
      <c r="M2324" s="26">
        <f>IF(A2324="","",YEAR(A2324))</f>
        <v/>
      </c>
      <c r="N2324" s="26">
        <f>IF(A2324="","",CHOOSE(WEEKDAY(A2324,2),"Segunda","Terça","Quarta","Quinta","Sexta","Sábado","Domingo"))</f>
        <v/>
      </c>
      <c r="O2324" s="26">
        <f>IF(B2324="","",IF(B2324&lt;TIME(12,0,0),"Manhã",IF(B2324&lt;TIME(18,0,0),"Tarde","Noite")))</f>
        <v/>
      </c>
      <c r="P2324" s="32">
        <f>IF(G2324="","",IFERROR(INDEX(Config!$I$5:$I$16,MATCH(G2324,Config!$H$5:$H$16,0)),0))</f>
        <v/>
      </c>
      <c r="Q2324" s="30">
        <f>IF(OR(H2324&lt;&gt;"Realizado",P2324="",P2324=0),"",A2324+P2324)</f>
        <v/>
      </c>
      <c r="R2324" s="26">
        <f>IF(Q2324="","",IF(COUNTIFS($E$5:$E$3004,E2324,$A$5:$A$3004,"&gt;"&amp;A2324,$H$5:$H$3004,"&lt;&gt;Falta",$H$5:$H$3004,"&lt;&gt;Cancelado",$H$5:$H$3004,"&lt;&gt;Remarcado")&gt;0,"Sim","Não"))</f>
        <v/>
      </c>
      <c r="S2324" s="32">
        <f>IF(R2324&lt;&gt;"Não","",IF(Q2324+Config!$B$9&lt;=Config!$B$8,Config!$B$8-Q2324,""))</f>
        <v/>
      </c>
      <c r="T2324" s="26">
        <f>IF(S2324="","","Sim")</f>
        <v/>
      </c>
      <c r="U2324" s="41">
        <f>IF(T2324="Sim",S2324+ROW()/100000,0)</f>
        <v>0</v>
      </c>
      <c r="V2324" s="41">
        <f>IF(AND(H2324="Falta",L2324=Config!$B$7,M2324=Config!$B$5,COUNTIFS($E$5:E2324,E2324,$H$5:H2324,"Falta",$L$5:L2324,Config!$B$7,$M$5:M2324,Config!$B$5)=1),COUNTIFS($E$5:$E$3004,E2324,$H$5:$H$3004,"Falta",$L$5:$L$3004,Config!$B$7,$M$5:$M$3004,Config!$B$5)*1000-ROW()/100000,0)</f>
        <v>0</v>
      </c>
    </row>
    <row r="2325">
      <c r="A2325" s="39" t="n"/>
      <c r="B2325" s="40" t="n"/>
      <c r="C2325" s="35" t="n"/>
      <c r="D2325" s="35" t="n"/>
      <c r="E2325" s="34" t="n"/>
      <c r="F2325" s="35" t="n"/>
      <c r="G2325" s="35" t="n"/>
      <c r="H2325" s="35" t="n"/>
      <c r="I2325" s="35" t="n"/>
      <c r="J2325" s="35" t="n"/>
      <c r="K2325" s="34" t="n"/>
      <c r="L2325" s="26">
        <f>IF(A2325="","",MONTH(A2325))</f>
        <v/>
      </c>
      <c r="M2325" s="26">
        <f>IF(A2325="","",YEAR(A2325))</f>
        <v/>
      </c>
      <c r="N2325" s="26">
        <f>IF(A2325="","",CHOOSE(WEEKDAY(A2325,2),"Segunda","Terça","Quarta","Quinta","Sexta","Sábado","Domingo"))</f>
        <v/>
      </c>
      <c r="O2325" s="26">
        <f>IF(B2325="","",IF(B2325&lt;TIME(12,0,0),"Manhã",IF(B2325&lt;TIME(18,0,0),"Tarde","Noite")))</f>
        <v/>
      </c>
      <c r="P2325" s="32">
        <f>IF(G2325="","",IFERROR(INDEX(Config!$I$5:$I$16,MATCH(G2325,Config!$H$5:$H$16,0)),0))</f>
        <v/>
      </c>
      <c r="Q2325" s="30">
        <f>IF(OR(H2325&lt;&gt;"Realizado",P2325="",P2325=0),"",A2325+P2325)</f>
        <v/>
      </c>
      <c r="R2325" s="26">
        <f>IF(Q2325="","",IF(COUNTIFS($E$5:$E$3004,E2325,$A$5:$A$3004,"&gt;"&amp;A2325,$H$5:$H$3004,"&lt;&gt;Falta",$H$5:$H$3004,"&lt;&gt;Cancelado",$H$5:$H$3004,"&lt;&gt;Remarcado")&gt;0,"Sim","Não"))</f>
        <v/>
      </c>
      <c r="S2325" s="32">
        <f>IF(R2325&lt;&gt;"Não","",IF(Q2325+Config!$B$9&lt;=Config!$B$8,Config!$B$8-Q2325,""))</f>
        <v/>
      </c>
      <c r="T2325" s="26">
        <f>IF(S2325="","","Sim")</f>
        <v/>
      </c>
      <c r="U2325" s="41">
        <f>IF(T2325="Sim",S2325+ROW()/100000,0)</f>
        <v>0</v>
      </c>
      <c r="V2325" s="41">
        <f>IF(AND(H2325="Falta",L2325=Config!$B$7,M2325=Config!$B$5,COUNTIFS($E$5:E2325,E2325,$H$5:H2325,"Falta",$L$5:L2325,Config!$B$7,$M$5:M2325,Config!$B$5)=1),COUNTIFS($E$5:$E$3004,E2325,$H$5:$H$3004,"Falta",$L$5:$L$3004,Config!$B$7,$M$5:$M$3004,Config!$B$5)*1000-ROW()/100000,0)</f>
        <v>0</v>
      </c>
    </row>
    <row r="2326">
      <c r="A2326" s="39" t="n"/>
      <c r="B2326" s="40" t="n"/>
      <c r="C2326" s="35" t="n"/>
      <c r="D2326" s="35" t="n"/>
      <c r="E2326" s="34" t="n"/>
      <c r="F2326" s="35" t="n"/>
      <c r="G2326" s="35" t="n"/>
      <c r="H2326" s="35" t="n"/>
      <c r="I2326" s="35" t="n"/>
      <c r="J2326" s="35" t="n"/>
      <c r="K2326" s="34" t="n"/>
      <c r="L2326" s="26">
        <f>IF(A2326="","",MONTH(A2326))</f>
        <v/>
      </c>
      <c r="M2326" s="26">
        <f>IF(A2326="","",YEAR(A2326))</f>
        <v/>
      </c>
      <c r="N2326" s="26">
        <f>IF(A2326="","",CHOOSE(WEEKDAY(A2326,2),"Segunda","Terça","Quarta","Quinta","Sexta","Sábado","Domingo"))</f>
        <v/>
      </c>
      <c r="O2326" s="26">
        <f>IF(B2326="","",IF(B2326&lt;TIME(12,0,0),"Manhã",IF(B2326&lt;TIME(18,0,0),"Tarde","Noite")))</f>
        <v/>
      </c>
      <c r="P2326" s="32">
        <f>IF(G2326="","",IFERROR(INDEX(Config!$I$5:$I$16,MATCH(G2326,Config!$H$5:$H$16,0)),0))</f>
        <v/>
      </c>
      <c r="Q2326" s="30">
        <f>IF(OR(H2326&lt;&gt;"Realizado",P2326="",P2326=0),"",A2326+P2326)</f>
        <v/>
      </c>
      <c r="R2326" s="26">
        <f>IF(Q2326="","",IF(COUNTIFS($E$5:$E$3004,E2326,$A$5:$A$3004,"&gt;"&amp;A2326,$H$5:$H$3004,"&lt;&gt;Falta",$H$5:$H$3004,"&lt;&gt;Cancelado",$H$5:$H$3004,"&lt;&gt;Remarcado")&gt;0,"Sim","Não"))</f>
        <v/>
      </c>
      <c r="S2326" s="32">
        <f>IF(R2326&lt;&gt;"Não","",IF(Q2326+Config!$B$9&lt;=Config!$B$8,Config!$B$8-Q2326,""))</f>
        <v/>
      </c>
      <c r="T2326" s="26">
        <f>IF(S2326="","","Sim")</f>
        <v/>
      </c>
      <c r="U2326" s="41">
        <f>IF(T2326="Sim",S2326+ROW()/100000,0)</f>
        <v>0</v>
      </c>
      <c r="V2326" s="41">
        <f>IF(AND(H2326="Falta",L2326=Config!$B$7,M2326=Config!$B$5,COUNTIFS($E$5:E2326,E2326,$H$5:H2326,"Falta",$L$5:L2326,Config!$B$7,$M$5:M2326,Config!$B$5)=1),COUNTIFS($E$5:$E$3004,E2326,$H$5:$H$3004,"Falta",$L$5:$L$3004,Config!$B$7,$M$5:$M$3004,Config!$B$5)*1000-ROW()/100000,0)</f>
        <v>0</v>
      </c>
    </row>
    <row r="2327">
      <c r="A2327" s="39" t="n"/>
      <c r="B2327" s="40" t="n"/>
      <c r="C2327" s="35" t="n"/>
      <c r="D2327" s="35" t="n"/>
      <c r="E2327" s="34" t="n"/>
      <c r="F2327" s="35" t="n"/>
      <c r="G2327" s="35" t="n"/>
      <c r="H2327" s="35" t="n"/>
      <c r="I2327" s="35" t="n"/>
      <c r="J2327" s="35" t="n"/>
      <c r="K2327" s="34" t="n"/>
      <c r="L2327" s="26">
        <f>IF(A2327="","",MONTH(A2327))</f>
        <v/>
      </c>
      <c r="M2327" s="26">
        <f>IF(A2327="","",YEAR(A2327))</f>
        <v/>
      </c>
      <c r="N2327" s="26">
        <f>IF(A2327="","",CHOOSE(WEEKDAY(A2327,2),"Segunda","Terça","Quarta","Quinta","Sexta","Sábado","Domingo"))</f>
        <v/>
      </c>
      <c r="O2327" s="26">
        <f>IF(B2327="","",IF(B2327&lt;TIME(12,0,0),"Manhã",IF(B2327&lt;TIME(18,0,0),"Tarde","Noite")))</f>
        <v/>
      </c>
      <c r="P2327" s="32">
        <f>IF(G2327="","",IFERROR(INDEX(Config!$I$5:$I$16,MATCH(G2327,Config!$H$5:$H$16,0)),0))</f>
        <v/>
      </c>
      <c r="Q2327" s="30">
        <f>IF(OR(H2327&lt;&gt;"Realizado",P2327="",P2327=0),"",A2327+P2327)</f>
        <v/>
      </c>
      <c r="R2327" s="26">
        <f>IF(Q2327="","",IF(COUNTIFS($E$5:$E$3004,E2327,$A$5:$A$3004,"&gt;"&amp;A2327,$H$5:$H$3004,"&lt;&gt;Falta",$H$5:$H$3004,"&lt;&gt;Cancelado",$H$5:$H$3004,"&lt;&gt;Remarcado")&gt;0,"Sim","Não"))</f>
        <v/>
      </c>
      <c r="S2327" s="32">
        <f>IF(R2327&lt;&gt;"Não","",IF(Q2327+Config!$B$9&lt;=Config!$B$8,Config!$B$8-Q2327,""))</f>
        <v/>
      </c>
      <c r="T2327" s="26">
        <f>IF(S2327="","","Sim")</f>
        <v/>
      </c>
      <c r="U2327" s="41">
        <f>IF(T2327="Sim",S2327+ROW()/100000,0)</f>
        <v>0</v>
      </c>
      <c r="V2327" s="41">
        <f>IF(AND(H2327="Falta",L2327=Config!$B$7,M2327=Config!$B$5,COUNTIFS($E$5:E2327,E2327,$H$5:H2327,"Falta",$L$5:L2327,Config!$B$7,$M$5:M2327,Config!$B$5)=1),COUNTIFS($E$5:$E$3004,E2327,$H$5:$H$3004,"Falta",$L$5:$L$3004,Config!$B$7,$M$5:$M$3004,Config!$B$5)*1000-ROW()/100000,0)</f>
        <v>0</v>
      </c>
    </row>
    <row r="2328">
      <c r="A2328" s="39" t="n"/>
      <c r="B2328" s="40" t="n"/>
      <c r="C2328" s="35" t="n"/>
      <c r="D2328" s="35" t="n"/>
      <c r="E2328" s="34" t="n"/>
      <c r="F2328" s="35" t="n"/>
      <c r="G2328" s="35" t="n"/>
      <c r="H2328" s="35" t="n"/>
      <c r="I2328" s="35" t="n"/>
      <c r="J2328" s="35" t="n"/>
      <c r="K2328" s="34" t="n"/>
      <c r="L2328" s="26">
        <f>IF(A2328="","",MONTH(A2328))</f>
        <v/>
      </c>
      <c r="M2328" s="26">
        <f>IF(A2328="","",YEAR(A2328))</f>
        <v/>
      </c>
      <c r="N2328" s="26">
        <f>IF(A2328="","",CHOOSE(WEEKDAY(A2328,2),"Segunda","Terça","Quarta","Quinta","Sexta","Sábado","Domingo"))</f>
        <v/>
      </c>
      <c r="O2328" s="26">
        <f>IF(B2328="","",IF(B2328&lt;TIME(12,0,0),"Manhã",IF(B2328&lt;TIME(18,0,0),"Tarde","Noite")))</f>
        <v/>
      </c>
      <c r="P2328" s="32">
        <f>IF(G2328="","",IFERROR(INDEX(Config!$I$5:$I$16,MATCH(G2328,Config!$H$5:$H$16,0)),0))</f>
        <v/>
      </c>
      <c r="Q2328" s="30">
        <f>IF(OR(H2328&lt;&gt;"Realizado",P2328="",P2328=0),"",A2328+P2328)</f>
        <v/>
      </c>
      <c r="R2328" s="26">
        <f>IF(Q2328="","",IF(COUNTIFS($E$5:$E$3004,E2328,$A$5:$A$3004,"&gt;"&amp;A2328,$H$5:$H$3004,"&lt;&gt;Falta",$H$5:$H$3004,"&lt;&gt;Cancelado",$H$5:$H$3004,"&lt;&gt;Remarcado")&gt;0,"Sim","Não"))</f>
        <v/>
      </c>
      <c r="S2328" s="32">
        <f>IF(R2328&lt;&gt;"Não","",IF(Q2328+Config!$B$9&lt;=Config!$B$8,Config!$B$8-Q2328,""))</f>
        <v/>
      </c>
      <c r="T2328" s="26">
        <f>IF(S2328="","","Sim")</f>
        <v/>
      </c>
      <c r="U2328" s="41">
        <f>IF(T2328="Sim",S2328+ROW()/100000,0)</f>
        <v>0</v>
      </c>
      <c r="V2328" s="41">
        <f>IF(AND(H2328="Falta",L2328=Config!$B$7,M2328=Config!$B$5,COUNTIFS($E$5:E2328,E2328,$H$5:H2328,"Falta",$L$5:L2328,Config!$B$7,$M$5:M2328,Config!$B$5)=1),COUNTIFS($E$5:$E$3004,E2328,$H$5:$H$3004,"Falta",$L$5:$L$3004,Config!$B$7,$M$5:$M$3004,Config!$B$5)*1000-ROW()/100000,0)</f>
        <v>0</v>
      </c>
    </row>
    <row r="2329">
      <c r="A2329" s="39" t="n"/>
      <c r="B2329" s="40" t="n"/>
      <c r="C2329" s="35" t="n"/>
      <c r="D2329" s="35" t="n"/>
      <c r="E2329" s="34" t="n"/>
      <c r="F2329" s="35" t="n"/>
      <c r="G2329" s="35" t="n"/>
      <c r="H2329" s="35" t="n"/>
      <c r="I2329" s="35" t="n"/>
      <c r="J2329" s="35" t="n"/>
      <c r="K2329" s="34" t="n"/>
      <c r="L2329" s="26">
        <f>IF(A2329="","",MONTH(A2329))</f>
        <v/>
      </c>
      <c r="M2329" s="26">
        <f>IF(A2329="","",YEAR(A2329))</f>
        <v/>
      </c>
      <c r="N2329" s="26">
        <f>IF(A2329="","",CHOOSE(WEEKDAY(A2329,2),"Segunda","Terça","Quarta","Quinta","Sexta","Sábado","Domingo"))</f>
        <v/>
      </c>
      <c r="O2329" s="26">
        <f>IF(B2329="","",IF(B2329&lt;TIME(12,0,0),"Manhã",IF(B2329&lt;TIME(18,0,0),"Tarde","Noite")))</f>
        <v/>
      </c>
      <c r="P2329" s="32">
        <f>IF(G2329="","",IFERROR(INDEX(Config!$I$5:$I$16,MATCH(G2329,Config!$H$5:$H$16,0)),0))</f>
        <v/>
      </c>
      <c r="Q2329" s="30">
        <f>IF(OR(H2329&lt;&gt;"Realizado",P2329="",P2329=0),"",A2329+P2329)</f>
        <v/>
      </c>
      <c r="R2329" s="26">
        <f>IF(Q2329="","",IF(COUNTIFS($E$5:$E$3004,E2329,$A$5:$A$3004,"&gt;"&amp;A2329,$H$5:$H$3004,"&lt;&gt;Falta",$H$5:$H$3004,"&lt;&gt;Cancelado",$H$5:$H$3004,"&lt;&gt;Remarcado")&gt;0,"Sim","Não"))</f>
        <v/>
      </c>
      <c r="S2329" s="32">
        <f>IF(R2329&lt;&gt;"Não","",IF(Q2329+Config!$B$9&lt;=Config!$B$8,Config!$B$8-Q2329,""))</f>
        <v/>
      </c>
      <c r="T2329" s="26">
        <f>IF(S2329="","","Sim")</f>
        <v/>
      </c>
      <c r="U2329" s="41">
        <f>IF(T2329="Sim",S2329+ROW()/100000,0)</f>
        <v>0</v>
      </c>
      <c r="V2329" s="41">
        <f>IF(AND(H2329="Falta",L2329=Config!$B$7,M2329=Config!$B$5,COUNTIFS($E$5:E2329,E2329,$H$5:H2329,"Falta",$L$5:L2329,Config!$B$7,$M$5:M2329,Config!$B$5)=1),COUNTIFS($E$5:$E$3004,E2329,$H$5:$H$3004,"Falta",$L$5:$L$3004,Config!$B$7,$M$5:$M$3004,Config!$B$5)*1000-ROW()/100000,0)</f>
        <v>0</v>
      </c>
    </row>
    <row r="2330">
      <c r="A2330" s="39" t="n"/>
      <c r="B2330" s="40" t="n"/>
      <c r="C2330" s="35" t="n"/>
      <c r="D2330" s="35" t="n"/>
      <c r="E2330" s="34" t="n"/>
      <c r="F2330" s="35" t="n"/>
      <c r="G2330" s="35" t="n"/>
      <c r="H2330" s="35" t="n"/>
      <c r="I2330" s="35" t="n"/>
      <c r="J2330" s="35" t="n"/>
      <c r="K2330" s="34" t="n"/>
      <c r="L2330" s="26">
        <f>IF(A2330="","",MONTH(A2330))</f>
        <v/>
      </c>
      <c r="M2330" s="26">
        <f>IF(A2330="","",YEAR(A2330))</f>
        <v/>
      </c>
      <c r="N2330" s="26">
        <f>IF(A2330="","",CHOOSE(WEEKDAY(A2330,2),"Segunda","Terça","Quarta","Quinta","Sexta","Sábado","Domingo"))</f>
        <v/>
      </c>
      <c r="O2330" s="26">
        <f>IF(B2330="","",IF(B2330&lt;TIME(12,0,0),"Manhã",IF(B2330&lt;TIME(18,0,0),"Tarde","Noite")))</f>
        <v/>
      </c>
      <c r="P2330" s="32">
        <f>IF(G2330="","",IFERROR(INDEX(Config!$I$5:$I$16,MATCH(G2330,Config!$H$5:$H$16,0)),0))</f>
        <v/>
      </c>
      <c r="Q2330" s="30">
        <f>IF(OR(H2330&lt;&gt;"Realizado",P2330="",P2330=0),"",A2330+P2330)</f>
        <v/>
      </c>
      <c r="R2330" s="26">
        <f>IF(Q2330="","",IF(COUNTIFS($E$5:$E$3004,E2330,$A$5:$A$3004,"&gt;"&amp;A2330,$H$5:$H$3004,"&lt;&gt;Falta",$H$5:$H$3004,"&lt;&gt;Cancelado",$H$5:$H$3004,"&lt;&gt;Remarcado")&gt;0,"Sim","Não"))</f>
        <v/>
      </c>
      <c r="S2330" s="32">
        <f>IF(R2330&lt;&gt;"Não","",IF(Q2330+Config!$B$9&lt;=Config!$B$8,Config!$B$8-Q2330,""))</f>
        <v/>
      </c>
      <c r="T2330" s="26">
        <f>IF(S2330="","","Sim")</f>
        <v/>
      </c>
      <c r="U2330" s="41">
        <f>IF(T2330="Sim",S2330+ROW()/100000,0)</f>
        <v>0</v>
      </c>
      <c r="V2330" s="41">
        <f>IF(AND(H2330="Falta",L2330=Config!$B$7,M2330=Config!$B$5,COUNTIFS($E$5:E2330,E2330,$H$5:H2330,"Falta",$L$5:L2330,Config!$B$7,$M$5:M2330,Config!$B$5)=1),COUNTIFS($E$5:$E$3004,E2330,$H$5:$H$3004,"Falta",$L$5:$L$3004,Config!$B$7,$M$5:$M$3004,Config!$B$5)*1000-ROW()/100000,0)</f>
        <v>0</v>
      </c>
    </row>
    <row r="2331">
      <c r="A2331" s="39" t="n"/>
      <c r="B2331" s="40" t="n"/>
      <c r="C2331" s="35" t="n"/>
      <c r="D2331" s="35" t="n"/>
      <c r="E2331" s="34" t="n"/>
      <c r="F2331" s="35" t="n"/>
      <c r="G2331" s="35" t="n"/>
      <c r="H2331" s="35" t="n"/>
      <c r="I2331" s="35" t="n"/>
      <c r="J2331" s="35" t="n"/>
      <c r="K2331" s="34" t="n"/>
      <c r="L2331" s="26">
        <f>IF(A2331="","",MONTH(A2331))</f>
        <v/>
      </c>
      <c r="M2331" s="26">
        <f>IF(A2331="","",YEAR(A2331))</f>
        <v/>
      </c>
      <c r="N2331" s="26">
        <f>IF(A2331="","",CHOOSE(WEEKDAY(A2331,2),"Segunda","Terça","Quarta","Quinta","Sexta","Sábado","Domingo"))</f>
        <v/>
      </c>
      <c r="O2331" s="26">
        <f>IF(B2331="","",IF(B2331&lt;TIME(12,0,0),"Manhã",IF(B2331&lt;TIME(18,0,0),"Tarde","Noite")))</f>
        <v/>
      </c>
      <c r="P2331" s="32">
        <f>IF(G2331="","",IFERROR(INDEX(Config!$I$5:$I$16,MATCH(G2331,Config!$H$5:$H$16,0)),0))</f>
        <v/>
      </c>
      <c r="Q2331" s="30">
        <f>IF(OR(H2331&lt;&gt;"Realizado",P2331="",P2331=0),"",A2331+P2331)</f>
        <v/>
      </c>
      <c r="R2331" s="26">
        <f>IF(Q2331="","",IF(COUNTIFS($E$5:$E$3004,E2331,$A$5:$A$3004,"&gt;"&amp;A2331,$H$5:$H$3004,"&lt;&gt;Falta",$H$5:$H$3004,"&lt;&gt;Cancelado",$H$5:$H$3004,"&lt;&gt;Remarcado")&gt;0,"Sim","Não"))</f>
        <v/>
      </c>
      <c r="S2331" s="32">
        <f>IF(R2331&lt;&gt;"Não","",IF(Q2331+Config!$B$9&lt;=Config!$B$8,Config!$B$8-Q2331,""))</f>
        <v/>
      </c>
      <c r="T2331" s="26">
        <f>IF(S2331="","","Sim")</f>
        <v/>
      </c>
      <c r="U2331" s="41">
        <f>IF(T2331="Sim",S2331+ROW()/100000,0)</f>
        <v>0</v>
      </c>
      <c r="V2331" s="41">
        <f>IF(AND(H2331="Falta",L2331=Config!$B$7,M2331=Config!$B$5,COUNTIFS($E$5:E2331,E2331,$H$5:H2331,"Falta",$L$5:L2331,Config!$B$7,$M$5:M2331,Config!$B$5)=1),COUNTIFS($E$5:$E$3004,E2331,$H$5:$H$3004,"Falta",$L$5:$L$3004,Config!$B$7,$M$5:$M$3004,Config!$B$5)*1000-ROW()/100000,0)</f>
        <v>0</v>
      </c>
    </row>
    <row r="2332">
      <c r="A2332" s="39" t="n"/>
      <c r="B2332" s="40" t="n"/>
      <c r="C2332" s="35" t="n"/>
      <c r="D2332" s="35" t="n"/>
      <c r="E2332" s="34" t="n"/>
      <c r="F2332" s="35" t="n"/>
      <c r="G2332" s="35" t="n"/>
      <c r="H2332" s="35" t="n"/>
      <c r="I2332" s="35" t="n"/>
      <c r="J2332" s="35" t="n"/>
      <c r="K2332" s="34" t="n"/>
      <c r="L2332" s="26">
        <f>IF(A2332="","",MONTH(A2332))</f>
        <v/>
      </c>
      <c r="M2332" s="26">
        <f>IF(A2332="","",YEAR(A2332))</f>
        <v/>
      </c>
      <c r="N2332" s="26">
        <f>IF(A2332="","",CHOOSE(WEEKDAY(A2332,2),"Segunda","Terça","Quarta","Quinta","Sexta","Sábado","Domingo"))</f>
        <v/>
      </c>
      <c r="O2332" s="26">
        <f>IF(B2332="","",IF(B2332&lt;TIME(12,0,0),"Manhã",IF(B2332&lt;TIME(18,0,0),"Tarde","Noite")))</f>
        <v/>
      </c>
      <c r="P2332" s="32">
        <f>IF(G2332="","",IFERROR(INDEX(Config!$I$5:$I$16,MATCH(G2332,Config!$H$5:$H$16,0)),0))</f>
        <v/>
      </c>
      <c r="Q2332" s="30">
        <f>IF(OR(H2332&lt;&gt;"Realizado",P2332="",P2332=0),"",A2332+P2332)</f>
        <v/>
      </c>
      <c r="R2332" s="26">
        <f>IF(Q2332="","",IF(COUNTIFS($E$5:$E$3004,E2332,$A$5:$A$3004,"&gt;"&amp;A2332,$H$5:$H$3004,"&lt;&gt;Falta",$H$5:$H$3004,"&lt;&gt;Cancelado",$H$5:$H$3004,"&lt;&gt;Remarcado")&gt;0,"Sim","Não"))</f>
        <v/>
      </c>
      <c r="S2332" s="32">
        <f>IF(R2332&lt;&gt;"Não","",IF(Q2332+Config!$B$9&lt;=Config!$B$8,Config!$B$8-Q2332,""))</f>
        <v/>
      </c>
      <c r="T2332" s="26">
        <f>IF(S2332="","","Sim")</f>
        <v/>
      </c>
      <c r="U2332" s="41">
        <f>IF(T2332="Sim",S2332+ROW()/100000,0)</f>
        <v>0</v>
      </c>
      <c r="V2332" s="41">
        <f>IF(AND(H2332="Falta",L2332=Config!$B$7,M2332=Config!$B$5,COUNTIFS($E$5:E2332,E2332,$H$5:H2332,"Falta",$L$5:L2332,Config!$B$7,$M$5:M2332,Config!$B$5)=1),COUNTIFS($E$5:$E$3004,E2332,$H$5:$H$3004,"Falta",$L$5:$L$3004,Config!$B$7,$M$5:$M$3004,Config!$B$5)*1000-ROW()/100000,0)</f>
        <v>0</v>
      </c>
    </row>
    <row r="2333">
      <c r="A2333" s="39" t="n"/>
      <c r="B2333" s="40" t="n"/>
      <c r="C2333" s="35" t="n"/>
      <c r="D2333" s="35" t="n"/>
      <c r="E2333" s="34" t="n"/>
      <c r="F2333" s="35" t="n"/>
      <c r="G2333" s="35" t="n"/>
      <c r="H2333" s="35" t="n"/>
      <c r="I2333" s="35" t="n"/>
      <c r="J2333" s="35" t="n"/>
      <c r="K2333" s="34" t="n"/>
      <c r="L2333" s="26">
        <f>IF(A2333="","",MONTH(A2333))</f>
        <v/>
      </c>
      <c r="M2333" s="26">
        <f>IF(A2333="","",YEAR(A2333))</f>
        <v/>
      </c>
      <c r="N2333" s="26">
        <f>IF(A2333="","",CHOOSE(WEEKDAY(A2333,2),"Segunda","Terça","Quarta","Quinta","Sexta","Sábado","Domingo"))</f>
        <v/>
      </c>
      <c r="O2333" s="26">
        <f>IF(B2333="","",IF(B2333&lt;TIME(12,0,0),"Manhã",IF(B2333&lt;TIME(18,0,0),"Tarde","Noite")))</f>
        <v/>
      </c>
      <c r="P2333" s="32">
        <f>IF(G2333="","",IFERROR(INDEX(Config!$I$5:$I$16,MATCH(G2333,Config!$H$5:$H$16,0)),0))</f>
        <v/>
      </c>
      <c r="Q2333" s="30">
        <f>IF(OR(H2333&lt;&gt;"Realizado",P2333="",P2333=0),"",A2333+P2333)</f>
        <v/>
      </c>
      <c r="R2333" s="26">
        <f>IF(Q2333="","",IF(COUNTIFS($E$5:$E$3004,E2333,$A$5:$A$3004,"&gt;"&amp;A2333,$H$5:$H$3004,"&lt;&gt;Falta",$H$5:$H$3004,"&lt;&gt;Cancelado",$H$5:$H$3004,"&lt;&gt;Remarcado")&gt;0,"Sim","Não"))</f>
        <v/>
      </c>
      <c r="S2333" s="32">
        <f>IF(R2333&lt;&gt;"Não","",IF(Q2333+Config!$B$9&lt;=Config!$B$8,Config!$B$8-Q2333,""))</f>
        <v/>
      </c>
      <c r="T2333" s="26">
        <f>IF(S2333="","","Sim")</f>
        <v/>
      </c>
      <c r="U2333" s="41">
        <f>IF(T2333="Sim",S2333+ROW()/100000,0)</f>
        <v>0</v>
      </c>
      <c r="V2333" s="41">
        <f>IF(AND(H2333="Falta",L2333=Config!$B$7,M2333=Config!$B$5,COUNTIFS($E$5:E2333,E2333,$H$5:H2333,"Falta",$L$5:L2333,Config!$B$7,$M$5:M2333,Config!$B$5)=1),COUNTIFS($E$5:$E$3004,E2333,$H$5:$H$3004,"Falta",$L$5:$L$3004,Config!$B$7,$M$5:$M$3004,Config!$B$5)*1000-ROW()/100000,0)</f>
        <v>0</v>
      </c>
    </row>
    <row r="2334">
      <c r="A2334" s="39" t="n"/>
      <c r="B2334" s="40" t="n"/>
      <c r="C2334" s="35" t="n"/>
      <c r="D2334" s="35" t="n"/>
      <c r="E2334" s="34" t="n"/>
      <c r="F2334" s="35" t="n"/>
      <c r="G2334" s="35" t="n"/>
      <c r="H2334" s="35" t="n"/>
      <c r="I2334" s="35" t="n"/>
      <c r="J2334" s="35" t="n"/>
      <c r="K2334" s="34" t="n"/>
      <c r="L2334" s="26">
        <f>IF(A2334="","",MONTH(A2334))</f>
        <v/>
      </c>
      <c r="M2334" s="26">
        <f>IF(A2334="","",YEAR(A2334))</f>
        <v/>
      </c>
      <c r="N2334" s="26">
        <f>IF(A2334="","",CHOOSE(WEEKDAY(A2334,2),"Segunda","Terça","Quarta","Quinta","Sexta","Sábado","Domingo"))</f>
        <v/>
      </c>
      <c r="O2334" s="26">
        <f>IF(B2334="","",IF(B2334&lt;TIME(12,0,0),"Manhã",IF(B2334&lt;TIME(18,0,0),"Tarde","Noite")))</f>
        <v/>
      </c>
      <c r="P2334" s="32">
        <f>IF(G2334="","",IFERROR(INDEX(Config!$I$5:$I$16,MATCH(G2334,Config!$H$5:$H$16,0)),0))</f>
        <v/>
      </c>
      <c r="Q2334" s="30">
        <f>IF(OR(H2334&lt;&gt;"Realizado",P2334="",P2334=0),"",A2334+P2334)</f>
        <v/>
      </c>
      <c r="R2334" s="26">
        <f>IF(Q2334="","",IF(COUNTIFS($E$5:$E$3004,E2334,$A$5:$A$3004,"&gt;"&amp;A2334,$H$5:$H$3004,"&lt;&gt;Falta",$H$5:$H$3004,"&lt;&gt;Cancelado",$H$5:$H$3004,"&lt;&gt;Remarcado")&gt;0,"Sim","Não"))</f>
        <v/>
      </c>
      <c r="S2334" s="32">
        <f>IF(R2334&lt;&gt;"Não","",IF(Q2334+Config!$B$9&lt;=Config!$B$8,Config!$B$8-Q2334,""))</f>
        <v/>
      </c>
      <c r="T2334" s="26">
        <f>IF(S2334="","","Sim")</f>
        <v/>
      </c>
      <c r="U2334" s="41">
        <f>IF(T2334="Sim",S2334+ROW()/100000,0)</f>
        <v>0</v>
      </c>
      <c r="V2334" s="41">
        <f>IF(AND(H2334="Falta",L2334=Config!$B$7,M2334=Config!$B$5,COUNTIFS($E$5:E2334,E2334,$H$5:H2334,"Falta",$L$5:L2334,Config!$B$7,$M$5:M2334,Config!$B$5)=1),COUNTIFS($E$5:$E$3004,E2334,$H$5:$H$3004,"Falta",$L$5:$L$3004,Config!$B$7,$M$5:$M$3004,Config!$B$5)*1000-ROW()/100000,0)</f>
        <v>0</v>
      </c>
    </row>
    <row r="2335">
      <c r="A2335" s="39" t="n"/>
      <c r="B2335" s="40" t="n"/>
      <c r="C2335" s="35" t="n"/>
      <c r="D2335" s="35" t="n"/>
      <c r="E2335" s="34" t="n"/>
      <c r="F2335" s="35" t="n"/>
      <c r="G2335" s="35" t="n"/>
      <c r="H2335" s="35" t="n"/>
      <c r="I2335" s="35" t="n"/>
      <c r="J2335" s="35" t="n"/>
      <c r="K2335" s="34" t="n"/>
      <c r="L2335" s="26">
        <f>IF(A2335="","",MONTH(A2335))</f>
        <v/>
      </c>
      <c r="M2335" s="26">
        <f>IF(A2335="","",YEAR(A2335))</f>
        <v/>
      </c>
      <c r="N2335" s="26">
        <f>IF(A2335="","",CHOOSE(WEEKDAY(A2335,2),"Segunda","Terça","Quarta","Quinta","Sexta","Sábado","Domingo"))</f>
        <v/>
      </c>
      <c r="O2335" s="26">
        <f>IF(B2335="","",IF(B2335&lt;TIME(12,0,0),"Manhã",IF(B2335&lt;TIME(18,0,0),"Tarde","Noite")))</f>
        <v/>
      </c>
      <c r="P2335" s="32">
        <f>IF(G2335="","",IFERROR(INDEX(Config!$I$5:$I$16,MATCH(G2335,Config!$H$5:$H$16,0)),0))</f>
        <v/>
      </c>
      <c r="Q2335" s="30">
        <f>IF(OR(H2335&lt;&gt;"Realizado",P2335="",P2335=0),"",A2335+P2335)</f>
        <v/>
      </c>
      <c r="R2335" s="26">
        <f>IF(Q2335="","",IF(COUNTIFS($E$5:$E$3004,E2335,$A$5:$A$3004,"&gt;"&amp;A2335,$H$5:$H$3004,"&lt;&gt;Falta",$H$5:$H$3004,"&lt;&gt;Cancelado",$H$5:$H$3004,"&lt;&gt;Remarcado")&gt;0,"Sim","Não"))</f>
        <v/>
      </c>
      <c r="S2335" s="32">
        <f>IF(R2335&lt;&gt;"Não","",IF(Q2335+Config!$B$9&lt;=Config!$B$8,Config!$B$8-Q2335,""))</f>
        <v/>
      </c>
      <c r="T2335" s="26">
        <f>IF(S2335="","","Sim")</f>
        <v/>
      </c>
      <c r="U2335" s="41">
        <f>IF(T2335="Sim",S2335+ROW()/100000,0)</f>
        <v>0</v>
      </c>
      <c r="V2335" s="41">
        <f>IF(AND(H2335="Falta",L2335=Config!$B$7,M2335=Config!$B$5,COUNTIFS($E$5:E2335,E2335,$H$5:H2335,"Falta",$L$5:L2335,Config!$B$7,$M$5:M2335,Config!$B$5)=1),COUNTIFS($E$5:$E$3004,E2335,$H$5:$H$3004,"Falta",$L$5:$L$3004,Config!$B$7,$M$5:$M$3004,Config!$B$5)*1000-ROW()/100000,0)</f>
        <v>0</v>
      </c>
    </row>
    <row r="2336">
      <c r="A2336" s="39" t="n"/>
      <c r="B2336" s="40" t="n"/>
      <c r="C2336" s="35" t="n"/>
      <c r="D2336" s="35" t="n"/>
      <c r="E2336" s="34" t="n"/>
      <c r="F2336" s="35" t="n"/>
      <c r="G2336" s="35" t="n"/>
      <c r="H2336" s="35" t="n"/>
      <c r="I2336" s="35" t="n"/>
      <c r="J2336" s="35" t="n"/>
      <c r="K2336" s="34" t="n"/>
      <c r="L2336" s="26">
        <f>IF(A2336="","",MONTH(A2336))</f>
        <v/>
      </c>
      <c r="M2336" s="26">
        <f>IF(A2336="","",YEAR(A2336))</f>
        <v/>
      </c>
      <c r="N2336" s="26">
        <f>IF(A2336="","",CHOOSE(WEEKDAY(A2336,2),"Segunda","Terça","Quarta","Quinta","Sexta","Sábado","Domingo"))</f>
        <v/>
      </c>
      <c r="O2336" s="26">
        <f>IF(B2336="","",IF(B2336&lt;TIME(12,0,0),"Manhã",IF(B2336&lt;TIME(18,0,0),"Tarde","Noite")))</f>
        <v/>
      </c>
      <c r="P2336" s="32">
        <f>IF(G2336="","",IFERROR(INDEX(Config!$I$5:$I$16,MATCH(G2336,Config!$H$5:$H$16,0)),0))</f>
        <v/>
      </c>
      <c r="Q2336" s="30">
        <f>IF(OR(H2336&lt;&gt;"Realizado",P2336="",P2336=0),"",A2336+P2336)</f>
        <v/>
      </c>
      <c r="R2336" s="26">
        <f>IF(Q2336="","",IF(COUNTIFS($E$5:$E$3004,E2336,$A$5:$A$3004,"&gt;"&amp;A2336,$H$5:$H$3004,"&lt;&gt;Falta",$H$5:$H$3004,"&lt;&gt;Cancelado",$H$5:$H$3004,"&lt;&gt;Remarcado")&gt;0,"Sim","Não"))</f>
        <v/>
      </c>
      <c r="S2336" s="32">
        <f>IF(R2336&lt;&gt;"Não","",IF(Q2336+Config!$B$9&lt;=Config!$B$8,Config!$B$8-Q2336,""))</f>
        <v/>
      </c>
      <c r="T2336" s="26">
        <f>IF(S2336="","","Sim")</f>
        <v/>
      </c>
      <c r="U2336" s="41">
        <f>IF(T2336="Sim",S2336+ROW()/100000,0)</f>
        <v>0</v>
      </c>
      <c r="V2336" s="41">
        <f>IF(AND(H2336="Falta",L2336=Config!$B$7,M2336=Config!$B$5,COUNTIFS($E$5:E2336,E2336,$H$5:H2336,"Falta",$L$5:L2336,Config!$B$7,$M$5:M2336,Config!$B$5)=1),COUNTIFS($E$5:$E$3004,E2336,$H$5:$H$3004,"Falta",$L$5:$L$3004,Config!$B$7,$M$5:$M$3004,Config!$B$5)*1000-ROW()/100000,0)</f>
        <v>0</v>
      </c>
    </row>
    <row r="2337">
      <c r="A2337" s="39" t="n"/>
      <c r="B2337" s="40" t="n"/>
      <c r="C2337" s="35" t="n"/>
      <c r="D2337" s="35" t="n"/>
      <c r="E2337" s="34" t="n"/>
      <c r="F2337" s="35" t="n"/>
      <c r="G2337" s="35" t="n"/>
      <c r="H2337" s="35" t="n"/>
      <c r="I2337" s="35" t="n"/>
      <c r="J2337" s="35" t="n"/>
      <c r="K2337" s="34" t="n"/>
      <c r="L2337" s="26">
        <f>IF(A2337="","",MONTH(A2337))</f>
        <v/>
      </c>
      <c r="M2337" s="26">
        <f>IF(A2337="","",YEAR(A2337))</f>
        <v/>
      </c>
      <c r="N2337" s="26">
        <f>IF(A2337="","",CHOOSE(WEEKDAY(A2337,2),"Segunda","Terça","Quarta","Quinta","Sexta","Sábado","Domingo"))</f>
        <v/>
      </c>
      <c r="O2337" s="26">
        <f>IF(B2337="","",IF(B2337&lt;TIME(12,0,0),"Manhã",IF(B2337&lt;TIME(18,0,0),"Tarde","Noite")))</f>
        <v/>
      </c>
      <c r="P2337" s="32">
        <f>IF(G2337="","",IFERROR(INDEX(Config!$I$5:$I$16,MATCH(G2337,Config!$H$5:$H$16,0)),0))</f>
        <v/>
      </c>
      <c r="Q2337" s="30">
        <f>IF(OR(H2337&lt;&gt;"Realizado",P2337="",P2337=0),"",A2337+P2337)</f>
        <v/>
      </c>
      <c r="R2337" s="26">
        <f>IF(Q2337="","",IF(COUNTIFS($E$5:$E$3004,E2337,$A$5:$A$3004,"&gt;"&amp;A2337,$H$5:$H$3004,"&lt;&gt;Falta",$H$5:$H$3004,"&lt;&gt;Cancelado",$H$5:$H$3004,"&lt;&gt;Remarcado")&gt;0,"Sim","Não"))</f>
        <v/>
      </c>
      <c r="S2337" s="32">
        <f>IF(R2337&lt;&gt;"Não","",IF(Q2337+Config!$B$9&lt;=Config!$B$8,Config!$B$8-Q2337,""))</f>
        <v/>
      </c>
      <c r="T2337" s="26">
        <f>IF(S2337="","","Sim")</f>
        <v/>
      </c>
      <c r="U2337" s="41">
        <f>IF(T2337="Sim",S2337+ROW()/100000,0)</f>
        <v>0</v>
      </c>
      <c r="V2337" s="41">
        <f>IF(AND(H2337="Falta",L2337=Config!$B$7,M2337=Config!$B$5,COUNTIFS($E$5:E2337,E2337,$H$5:H2337,"Falta",$L$5:L2337,Config!$B$7,$M$5:M2337,Config!$B$5)=1),COUNTIFS($E$5:$E$3004,E2337,$H$5:$H$3004,"Falta",$L$5:$L$3004,Config!$B$7,$M$5:$M$3004,Config!$B$5)*1000-ROW()/100000,0)</f>
        <v>0</v>
      </c>
    </row>
    <row r="2338">
      <c r="A2338" s="39" t="n"/>
      <c r="B2338" s="40" t="n"/>
      <c r="C2338" s="35" t="n"/>
      <c r="D2338" s="35" t="n"/>
      <c r="E2338" s="34" t="n"/>
      <c r="F2338" s="35" t="n"/>
      <c r="G2338" s="35" t="n"/>
      <c r="H2338" s="35" t="n"/>
      <c r="I2338" s="35" t="n"/>
      <c r="J2338" s="35" t="n"/>
      <c r="K2338" s="34" t="n"/>
      <c r="L2338" s="26">
        <f>IF(A2338="","",MONTH(A2338))</f>
        <v/>
      </c>
      <c r="M2338" s="26">
        <f>IF(A2338="","",YEAR(A2338))</f>
        <v/>
      </c>
      <c r="N2338" s="26">
        <f>IF(A2338="","",CHOOSE(WEEKDAY(A2338,2),"Segunda","Terça","Quarta","Quinta","Sexta","Sábado","Domingo"))</f>
        <v/>
      </c>
      <c r="O2338" s="26">
        <f>IF(B2338="","",IF(B2338&lt;TIME(12,0,0),"Manhã",IF(B2338&lt;TIME(18,0,0),"Tarde","Noite")))</f>
        <v/>
      </c>
      <c r="P2338" s="32">
        <f>IF(G2338="","",IFERROR(INDEX(Config!$I$5:$I$16,MATCH(G2338,Config!$H$5:$H$16,0)),0))</f>
        <v/>
      </c>
      <c r="Q2338" s="30">
        <f>IF(OR(H2338&lt;&gt;"Realizado",P2338="",P2338=0),"",A2338+P2338)</f>
        <v/>
      </c>
      <c r="R2338" s="26">
        <f>IF(Q2338="","",IF(COUNTIFS($E$5:$E$3004,E2338,$A$5:$A$3004,"&gt;"&amp;A2338,$H$5:$H$3004,"&lt;&gt;Falta",$H$5:$H$3004,"&lt;&gt;Cancelado",$H$5:$H$3004,"&lt;&gt;Remarcado")&gt;0,"Sim","Não"))</f>
        <v/>
      </c>
      <c r="S2338" s="32">
        <f>IF(R2338&lt;&gt;"Não","",IF(Q2338+Config!$B$9&lt;=Config!$B$8,Config!$B$8-Q2338,""))</f>
        <v/>
      </c>
      <c r="T2338" s="26">
        <f>IF(S2338="","","Sim")</f>
        <v/>
      </c>
      <c r="U2338" s="41">
        <f>IF(T2338="Sim",S2338+ROW()/100000,0)</f>
        <v>0</v>
      </c>
      <c r="V2338" s="41">
        <f>IF(AND(H2338="Falta",L2338=Config!$B$7,M2338=Config!$B$5,COUNTIFS($E$5:E2338,E2338,$H$5:H2338,"Falta",$L$5:L2338,Config!$B$7,$M$5:M2338,Config!$B$5)=1),COUNTIFS($E$5:$E$3004,E2338,$H$5:$H$3004,"Falta",$L$5:$L$3004,Config!$B$7,$M$5:$M$3004,Config!$B$5)*1000-ROW()/100000,0)</f>
        <v>0</v>
      </c>
    </row>
    <row r="2339">
      <c r="A2339" s="39" t="n"/>
      <c r="B2339" s="40" t="n"/>
      <c r="C2339" s="35" t="n"/>
      <c r="D2339" s="35" t="n"/>
      <c r="E2339" s="34" t="n"/>
      <c r="F2339" s="35" t="n"/>
      <c r="G2339" s="35" t="n"/>
      <c r="H2339" s="35" t="n"/>
      <c r="I2339" s="35" t="n"/>
      <c r="J2339" s="35" t="n"/>
      <c r="K2339" s="34" t="n"/>
      <c r="L2339" s="26">
        <f>IF(A2339="","",MONTH(A2339))</f>
        <v/>
      </c>
      <c r="M2339" s="26">
        <f>IF(A2339="","",YEAR(A2339))</f>
        <v/>
      </c>
      <c r="N2339" s="26">
        <f>IF(A2339="","",CHOOSE(WEEKDAY(A2339,2),"Segunda","Terça","Quarta","Quinta","Sexta","Sábado","Domingo"))</f>
        <v/>
      </c>
      <c r="O2339" s="26">
        <f>IF(B2339="","",IF(B2339&lt;TIME(12,0,0),"Manhã",IF(B2339&lt;TIME(18,0,0),"Tarde","Noite")))</f>
        <v/>
      </c>
      <c r="P2339" s="32">
        <f>IF(G2339="","",IFERROR(INDEX(Config!$I$5:$I$16,MATCH(G2339,Config!$H$5:$H$16,0)),0))</f>
        <v/>
      </c>
      <c r="Q2339" s="30">
        <f>IF(OR(H2339&lt;&gt;"Realizado",P2339="",P2339=0),"",A2339+P2339)</f>
        <v/>
      </c>
      <c r="R2339" s="26">
        <f>IF(Q2339="","",IF(COUNTIFS($E$5:$E$3004,E2339,$A$5:$A$3004,"&gt;"&amp;A2339,$H$5:$H$3004,"&lt;&gt;Falta",$H$5:$H$3004,"&lt;&gt;Cancelado",$H$5:$H$3004,"&lt;&gt;Remarcado")&gt;0,"Sim","Não"))</f>
        <v/>
      </c>
      <c r="S2339" s="32">
        <f>IF(R2339&lt;&gt;"Não","",IF(Q2339+Config!$B$9&lt;=Config!$B$8,Config!$B$8-Q2339,""))</f>
        <v/>
      </c>
      <c r="T2339" s="26">
        <f>IF(S2339="","","Sim")</f>
        <v/>
      </c>
      <c r="U2339" s="41">
        <f>IF(T2339="Sim",S2339+ROW()/100000,0)</f>
        <v>0</v>
      </c>
      <c r="V2339" s="41">
        <f>IF(AND(H2339="Falta",L2339=Config!$B$7,M2339=Config!$B$5,COUNTIFS($E$5:E2339,E2339,$H$5:H2339,"Falta",$L$5:L2339,Config!$B$7,$M$5:M2339,Config!$B$5)=1),COUNTIFS($E$5:$E$3004,E2339,$H$5:$H$3004,"Falta",$L$5:$L$3004,Config!$B$7,$M$5:$M$3004,Config!$B$5)*1000-ROW()/100000,0)</f>
        <v>0</v>
      </c>
    </row>
    <row r="2340">
      <c r="A2340" s="39" t="n"/>
      <c r="B2340" s="40" t="n"/>
      <c r="C2340" s="35" t="n"/>
      <c r="D2340" s="35" t="n"/>
      <c r="E2340" s="34" t="n"/>
      <c r="F2340" s="35" t="n"/>
      <c r="G2340" s="35" t="n"/>
      <c r="H2340" s="35" t="n"/>
      <c r="I2340" s="35" t="n"/>
      <c r="J2340" s="35" t="n"/>
      <c r="K2340" s="34" t="n"/>
      <c r="L2340" s="26">
        <f>IF(A2340="","",MONTH(A2340))</f>
        <v/>
      </c>
      <c r="M2340" s="26">
        <f>IF(A2340="","",YEAR(A2340))</f>
        <v/>
      </c>
      <c r="N2340" s="26">
        <f>IF(A2340="","",CHOOSE(WEEKDAY(A2340,2),"Segunda","Terça","Quarta","Quinta","Sexta","Sábado","Domingo"))</f>
        <v/>
      </c>
      <c r="O2340" s="26">
        <f>IF(B2340="","",IF(B2340&lt;TIME(12,0,0),"Manhã",IF(B2340&lt;TIME(18,0,0),"Tarde","Noite")))</f>
        <v/>
      </c>
      <c r="P2340" s="32">
        <f>IF(G2340="","",IFERROR(INDEX(Config!$I$5:$I$16,MATCH(G2340,Config!$H$5:$H$16,0)),0))</f>
        <v/>
      </c>
      <c r="Q2340" s="30">
        <f>IF(OR(H2340&lt;&gt;"Realizado",P2340="",P2340=0),"",A2340+P2340)</f>
        <v/>
      </c>
      <c r="R2340" s="26">
        <f>IF(Q2340="","",IF(COUNTIFS($E$5:$E$3004,E2340,$A$5:$A$3004,"&gt;"&amp;A2340,$H$5:$H$3004,"&lt;&gt;Falta",$H$5:$H$3004,"&lt;&gt;Cancelado",$H$5:$H$3004,"&lt;&gt;Remarcado")&gt;0,"Sim","Não"))</f>
        <v/>
      </c>
      <c r="S2340" s="32">
        <f>IF(R2340&lt;&gt;"Não","",IF(Q2340+Config!$B$9&lt;=Config!$B$8,Config!$B$8-Q2340,""))</f>
        <v/>
      </c>
      <c r="T2340" s="26">
        <f>IF(S2340="","","Sim")</f>
        <v/>
      </c>
      <c r="U2340" s="41">
        <f>IF(T2340="Sim",S2340+ROW()/100000,0)</f>
        <v>0</v>
      </c>
      <c r="V2340" s="41">
        <f>IF(AND(H2340="Falta",L2340=Config!$B$7,M2340=Config!$B$5,COUNTIFS($E$5:E2340,E2340,$H$5:H2340,"Falta",$L$5:L2340,Config!$B$7,$M$5:M2340,Config!$B$5)=1),COUNTIFS($E$5:$E$3004,E2340,$H$5:$H$3004,"Falta",$L$5:$L$3004,Config!$B$7,$M$5:$M$3004,Config!$B$5)*1000-ROW()/100000,0)</f>
        <v>0</v>
      </c>
    </row>
    <row r="2341">
      <c r="A2341" s="39" t="n"/>
      <c r="B2341" s="40" t="n"/>
      <c r="C2341" s="35" t="n"/>
      <c r="D2341" s="35" t="n"/>
      <c r="E2341" s="34" t="n"/>
      <c r="F2341" s="35" t="n"/>
      <c r="G2341" s="35" t="n"/>
      <c r="H2341" s="35" t="n"/>
      <c r="I2341" s="35" t="n"/>
      <c r="J2341" s="35" t="n"/>
      <c r="K2341" s="34" t="n"/>
      <c r="L2341" s="26">
        <f>IF(A2341="","",MONTH(A2341))</f>
        <v/>
      </c>
      <c r="M2341" s="26">
        <f>IF(A2341="","",YEAR(A2341))</f>
        <v/>
      </c>
      <c r="N2341" s="26">
        <f>IF(A2341="","",CHOOSE(WEEKDAY(A2341,2),"Segunda","Terça","Quarta","Quinta","Sexta","Sábado","Domingo"))</f>
        <v/>
      </c>
      <c r="O2341" s="26">
        <f>IF(B2341="","",IF(B2341&lt;TIME(12,0,0),"Manhã",IF(B2341&lt;TIME(18,0,0),"Tarde","Noite")))</f>
        <v/>
      </c>
      <c r="P2341" s="32">
        <f>IF(G2341="","",IFERROR(INDEX(Config!$I$5:$I$16,MATCH(G2341,Config!$H$5:$H$16,0)),0))</f>
        <v/>
      </c>
      <c r="Q2341" s="30">
        <f>IF(OR(H2341&lt;&gt;"Realizado",P2341="",P2341=0),"",A2341+P2341)</f>
        <v/>
      </c>
      <c r="R2341" s="26">
        <f>IF(Q2341="","",IF(COUNTIFS($E$5:$E$3004,E2341,$A$5:$A$3004,"&gt;"&amp;A2341,$H$5:$H$3004,"&lt;&gt;Falta",$H$5:$H$3004,"&lt;&gt;Cancelado",$H$5:$H$3004,"&lt;&gt;Remarcado")&gt;0,"Sim","Não"))</f>
        <v/>
      </c>
      <c r="S2341" s="32">
        <f>IF(R2341&lt;&gt;"Não","",IF(Q2341+Config!$B$9&lt;=Config!$B$8,Config!$B$8-Q2341,""))</f>
        <v/>
      </c>
      <c r="T2341" s="26">
        <f>IF(S2341="","","Sim")</f>
        <v/>
      </c>
      <c r="U2341" s="41">
        <f>IF(T2341="Sim",S2341+ROW()/100000,0)</f>
        <v>0</v>
      </c>
      <c r="V2341" s="41">
        <f>IF(AND(H2341="Falta",L2341=Config!$B$7,M2341=Config!$B$5,COUNTIFS($E$5:E2341,E2341,$H$5:H2341,"Falta",$L$5:L2341,Config!$B$7,$M$5:M2341,Config!$B$5)=1),COUNTIFS($E$5:$E$3004,E2341,$H$5:$H$3004,"Falta",$L$5:$L$3004,Config!$B$7,$M$5:$M$3004,Config!$B$5)*1000-ROW()/100000,0)</f>
        <v>0</v>
      </c>
    </row>
    <row r="2342">
      <c r="A2342" s="39" t="n"/>
      <c r="B2342" s="40" t="n"/>
      <c r="C2342" s="35" t="n"/>
      <c r="D2342" s="35" t="n"/>
      <c r="E2342" s="34" t="n"/>
      <c r="F2342" s="35" t="n"/>
      <c r="G2342" s="35" t="n"/>
      <c r="H2342" s="35" t="n"/>
      <c r="I2342" s="35" t="n"/>
      <c r="J2342" s="35" t="n"/>
      <c r="K2342" s="34" t="n"/>
      <c r="L2342" s="26">
        <f>IF(A2342="","",MONTH(A2342))</f>
        <v/>
      </c>
      <c r="M2342" s="26">
        <f>IF(A2342="","",YEAR(A2342))</f>
        <v/>
      </c>
      <c r="N2342" s="26">
        <f>IF(A2342="","",CHOOSE(WEEKDAY(A2342,2),"Segunda","Terça","Quarta","Quinta","Sexta","Sábado","Domingo"))</f>
        <v/>
      </c>
      <c r="O2342" s="26">
        <f>IF(B2342="","",IF(B2342&lt;TIME(12,0,0),"Manhã",IF(B2342&lt;TIME(18,0,0),"Tarde","Noite")))</f>
        <v/>
      </c>
      <c r="P2342" s="32">
        <f>IF(G2342="","",IFERROR(INDEX(Config!$I$5:$I$16,MATCH(G2342,Config!$H$5:$H$16,0)),0))</f>
        <v/>
      </c>
      <c r="Q2342" s="30">
        <f>IF(OR(H2342&lt;&gt;"Realizado",P2342="",P2342=0),"",A2342+P2342)</f>
        <v/>
      </c>
      <c r="R2342" s="26">
        <f>IF(Q2342="","",IF(COUNTIFS($E$5:$E$3004,E2342,$A$5:$A$3004,"&gt;"&amp;A2342,$H$5:$H$3004,"&lt;&gt;Falta",$H$5:$H$3004,"&lt;&gt;Cancelado",$H$5:$H$3004,"&lt;&gt;Remarcado")&gt;0,"Sim","Não"))</f>
        <v/>
      </c>
      <c r="S2342" s="32">
        <f>IF(R2342&lt;&gt;"Não","",IF(Q2342+Config!$B$9&lt;=Config!$B$8,Config!$B$8-Q2342,""))</f>
        <v/>
      </c>
      <c r="T2342" s="26">
        <f>IF(S2342="","","Sim")</f>
        <v/>
      </c>
      <c r="U2342" s="41">
        <f>IF(T2342="Sim",S2342+ROW()/100000,0)</f>
        <v>0</v>
      </c>
      <c r="V2342" s="41">
        <f>IF(AND(H2342="Falta",L2342=Config!$B$7,M2342=Config!$B$5,COUNTIFS($E$5:E2342,E2342,$H$5:H2342,"Falta",$L$5:L2342,Config!$B$7,$M$5:M2342,Config!$B$5)=1),COUNTIFS($E$5:$E$3004,E2342,$H$5:$H$3004,"Falta",$L$5:$L$3004,Config!$B$7,$M$5:$M$3004,Config!$B$5)*1000-ROW()/100000,0)</f>
        <v>0</v>
      </c>
    </row>
    <row r="2343">
      <c r="A2343" s="39" t="n"/>
      <c r="B2343" s="40" t="n"/>
      <c r="C2343" s="35" t="n"/>
      <c r="D2343" s="35" t="n"/>
      <c r="E2343" s="34" t="n"/>
      <c r="F2343" s="35" t="n"/>
      <c r="G2343" s="35" t="n"/>
      <c r="H2343" s="35" t="n"/>
      <c r="I2343" s="35" t="n"/>
      <c r="J2343" s="35" t="n"/>
      <c r="K2343" s="34" t="n"/>
      <c r="L2343" s="26">
        <f>IF(A2343="","",MONTH(A2343))</f>
        <v/>
      </c>
      <c r="M2343" s="26">
        <f>IF(A2343="","",YEAR(A2343))</f>
        <v/>
      </c>
      <c r="N2343" s="26">
        <f>IF(A2343="","",CHOOSE(WEEKDAY(A2343,2),"Segunda","Terça","Quarta","Quinta","Sexta","Sábado","Domingo"))</f>
        <v/>
      </c>
      <c r="O2343" s="26">
        <f>IF(B2343="","",IF(B2343&lt;TIME(12,0,0),"Manhã",IF(B2343&lt;TIME(18,0,0),"Tarde","Noite")))</f>
        <v/>
      </c>
      <c r="P2343" s="32">
        <f>IF(G2343="","",IFERROR(INDEX(Config!$I$5:$I$16,MATCH(G2343,Config!$H$5:$H$16,0)),0))</f>
        <v/>
      </c>
      <c r="Q2343" s="30">
        <f>IF(OR(H2343&lt;&gt;"Realizado",P2343="",P2343=0),"",A2343+P2343)</f>
        <v/>
      </c>
      <c r="R2343" s="26">
        <f>IF(Q2343="","",IF(COUNTIFS($E$5:$E$3004,E2343,$A$5:$A$3004,"&gt;"&amp;A2343,$H$5:$H$3004,"&lt;&gt;Falta",$H$5:$H$3004,"&lt;&gt;Cancelado",$H$5:$H$3004,"&lt;&gt;Remarcado")&gt;0,"Sim","Não"))</f>
        <v/>
      </c>
      <c r="S2343" s="32">
        <f>IF(R2343&lt;&gt;"Não","",IF(Q2343+Config!$B$9&lt;=Config!$B$8,Config!$B$8-Q2343,""))</f>
        <v/>
      </c>
      <c r="T2343" s="26">
        <f>IF(S2343="","","Sim")</f>
        <v/>
      </c>
      <c r="U2343" s="41">
        <f>IF(T2343="Sim",S2343+ROW()/100000,0)</f>
        <v>0</v>
      </c>
      <c r="V2343" s="41">
        <f>IF(AND(H2343="Falta",L2343=Config!$B$7,M2343=Config!$B$5,COUNTIFS($E$5:E2343,E2343,$H$5:H2343,"Falta",$L$5:L2343,Config!$B$7,$M$5:M2343,Config!$B$5)=1),COUNTIFS($E$5:$E$3004,E2343,$H$5:$H$3004,"Falta",$L$5:$L$3004,Config!$B$7,$M$5:$M$3004,Config!$B$5)*1000-ROW()/100000,0)</f>
        <v>0</v>
      </c>
    </row>
    <row r="2344">
      <c r="A2344" s="39" t="n"/>
      <c r="B2344" s="40" t="n"/>
      <c r="C2344" s="35" t="n"/>
      <c r="D2344" s="35" t="n"/>
      <c r="E2344" s="34" t="n"/>
      <c r="F2344" s="35" t="n"/>
      <c r="G2344" s="35" t="n"/>
      <c r="H2344" s="35" t="n"/>
      <c r="I2344" s="35" t="n"/>
      <c r="J2344" s="35" t="n"/>
      <c r="K2344" s="34" t="n"/>
      <c r="L2344" s="26">
        <f>IF(A2344="","",MONTH(A2344))</f>
        <v/>
      </c>
      <c r="M2344" s="26">
        <f>IF(A2344="","",YEAR(A2344))</f>
        <v/>
      </c>
      <c r="N2344" s="26">
        <f>IF(A2344="","",CHOOSE(WEEKDAY(A2344,2),"Segunda","Terça","Quarta","Quinta","Sexta","Sábado","Domingo"))</f>
        <v/>
      </c>
      <c r="O2344" s="26">
        <f>IF(B2344="","",IF(B2344&lt;TIME(12,0,0),"Manhã",IF(B2344&lt;TIME(18,0,0),"Tarde","Noite")))</f>
        <v/>
      </c>
      <c r="P2344" s="32">
        <f>IF(G2344="","",IFERROR(INDEX(Config!$I$5:$I$16,MATCH(G2344,Config!$H$5:$H$16,0)),0))</f>
        <v/>
      </c>
      <c r="Q2344" s="30">
        <f>IF(OR(H2344&lt;&gt;"Realizado",P2344="",P2344=0),"",A2344+P2344)</f>
        <v/>
      </c>
      <c r="R2344" s="26">
        <f>IF(Q2344="","",IF(COUNTIFS($E$5:$E$3004,E2344,$A$5:$A$3004,"&gt;"&amp;A2344,$H$5:$H$3004,"&lt;&gt;Falta",$H$5:$H$3004,"&lt;&gt;Cancelado",$H$5:$H$3004,"&lt;&gt;Remarcado")&gt;0,"Sim","Não"))</f>
        <v/>
      </c>
      <c r="S2344" s="32">
        <f>IF(R2344&lt;&gt;"Não","",IF(Q2344+Config!$B$9&lt;=Config!$B$8,Config!$B$8-Q2344,""))</f>
        <v/>
      </c>
      <c r="T2344" s="26">
        <f>IF(S2344="","","Sim")</f>
        <v/>
      </c>
      <c r="U2344" s="41">
        <f>IF(T2344="Sim",S2344+ROW()/100000,0)</f>
        <v>0</v>
      </c>
      <c r="V2344" s="41">
        <f>IF(AND(H2344="Falta",L2344=Config!$B$7,M2344=Config!$B$5,COUNTIFS($E$5:E2344,E2344,$H$5:H2344,"Falta",$L$5:L2344,Config!$B$7,$M$5:M2344,Config!$B$5)=1),COUNTIFS($E$5:$E$3004,E2344,$H$5:$H$3004,"Falta",$L$5:$L$3004,Config!$B$7,$M$5:$M$3004,Config!$B$5)*1000-ROW()/100000,0)</f>
        <v>0</v>
      </c>
    </row>
    <row r="2345">
      <c r="A2345" s="39" t="n"/>
      <c r="B2345" s="40" t="n"/>
      <c r="C2345" s="35" t="n"/>
      <c r="D2345" s="35" t="n"/>
      <c r="E2345" s="34" t="n"/>
      <c r="F2345" s="35" t="n"/>
      <c r="G2345" s="35" t="n"/>
      <c r="H2345" s="35" t="n"/>
      <c r="I2345" s="35" t="n"/>
      <c r="J2345" s="35" t="n"/>
      <c r="K2345" s="34" t="n"/>
      <c r="L2345" s="26">
        <f>IF(A2345="","",MONTH(A2345))</f>
        <v/>
      </c>
      <c r="M2345" s="26">
        <f>IF(A2345="","",YEAR(A2345))</f>
        <v/>
      </c>
      <c r="N2345" s="26">
        <f>IF(A2345="","",CHOOSE(WEEKDAY(A2345,2),"Segunda","Terça","Quarta","Quinta","Sexta","Sábado","Domingo"))</f>
        <v/>
      </c>
      <c r="O2345" s="26">
        <f>IF(B2345="","",IF(B2345&lt;TIME(12,0,0),"Manhã",IF(B2345&lt;TIME(18,0,0),"Tarde","Noite")))</f>
        <v/>
      </c>
      <c r="P2345" s="32">
        <f>IF(G2345="","",IFERROR(INDEX(Config!$I$5:$I$16,MATCH(G2345,Config!$H$5:$H$16,0)),0))</f>
        <v/>
      </c>
      <c r="Q2345" s="30">
        <f>IF(OR(H2345&lt;&gt;"Realizado",P2345="",P2345=0),"",A2345+P2345)</f>
        <v/>
      </c>
      <c r="R2345" s="26">
        <f>IF(Q2345="","",IF(COUNTIFS($E$5:$E$3004,E2345,$A$5:$A$3004,"&gt;"&amp;A2345,$H$5:$H$3004,"&lt;&gt;Falta",$H$5:$H$3004,"&lt;&gt;Cancelado",$H$5:$H$3004,"&lt;&gt;Remarcado")&gt;0,"Sim","Não"))</f>
        <v/>
      </c>
      <c r="S2345" s="32">
        <f>IF(R2345&lt;&gt;"Não","",IF(Q2345+Config!$B$9&lt;=Config!$B$8,Config!$B$8-Q2345,""))</f>
        <v/>
      </c>
      <c r="T2345" s="26">
        <f>IF(S2345="","","Sim")</f>
        <v/>
      </c>
      <c r="U2345" s="41">
        <f>IF(T2345="Sim",S2345+ROW()/100000,0)</f>
        <v>0</v>
      </c>
      <c r="V2345" s="41">
        <f>IF(AND(H2345="Falta",L2345=Config!$B$7,M2345=Config!$B$5,COUNTIFS($E$5:E2345,E2345,$H$5:H2345,"Falta",$L$5:L2345,Config!$B$7,$M$5:M2345,Config!$B$5)=1),COUNTIFS($E$5:$E$3004,E2345,$H$5:$H$3004,"Falta",$L$5:$L$3004,Config!$B$7,$M$5:$M$3004,Config!$B$5)*1000-ROW()/100000,0)</f>
        <v>0</v>
      </c>
    </row>
    <row r="2346">
      <c r="A2346" s="39" t="n"/>
      <c r="B2346" s="40" t="n"/>
      <c r="C2346" s="35" t="n"/>
      <c r="D2346" s="35" t="n"/>
      <c r="E2346" s="34" t="n"/>
      <c r="F2346" s="35" t="n"/>
      <c r="G2346" s="35" t="n"/>
      <c r="H2346" s="35" t="n"/>
      <c r="I2346" s="35" t="n"/>
      <c r="J2346" s="35" t="n"/>
      <c r="K2346" s="34" t="n"/>
      <c r="L2346" s="26">
        <f>IF(A2346="","",MONTH(A2346))</f>
        <v/>
      </c>
      <c r="M2346" s="26">
        <f>IF(A2346="","",YEAR(A2346))</f>
        <v/>
      </c>
      <c r="N2346" s="26">
        <f>IF(A2346="","",CHOOSE(WEEKDAY(A2346,2),"Segunda","Terça","Quarta","Quinta","Sexta","Sábado","Domingo"))</f>
        <v/>
      </c>
      <c r="O2346" s="26">
        <f>IF(B2346="","",IF(B2346&lt;TIME(12,0,0),"Manhã",IF(B2346&lt;TIME(18,0,0),"Tarde","Noite")))</f>
        <v/>
      </c>
      <c r="P2346" s="32">
        <f>IF(G2346="","",IFERROR(INDEX(Config!$I$5:$I$16,MATCH(G2346,Config!$H$5:$H$16,0)),0))</f>
        <v/>
      </c>
      <c r="Q2346" s="30">
        <f>IF(OR(H2346&lt;&gt;"Realizado",P2346="",P2346=0),"",A2346+P2346)</f>
        <v/>
      </c>
      <c r="R2346" s="26">
        <f>IF(Q2346="","",IF(COUNTIFS($E$5:$E$3004,E2346,$A$5:$A$3004,"&gt;"&amp;A2346,$H$5:$H$3004,"&lt;&gt;Falta",$H$5:$H$3004,"&lt;&gt;Cancelado",$H$5:$H$3004,"&lt;&gt;Remarcado")&gt;0,"Sim","Não"))</f>
        <v/>
      </c>
      <c r="S2346" s="32">
        <f>IF(R2346&lt;&gt;"Não","",IF(Q2346+Config!$B$9&lt;=Config!$B$8,Config!$B$8-Q2346,""))</f>
        <v/>
      </c>
      <c r="T2346" s="26">
        <f>IF(S2346="","","Sim")</f>
        <v/>
      </c>
      <c r="U2346" s="41">
        <f>IF(T2346="Sim",S2346+ROW()/100000,0)</f>
        <v>0</v>
      </c>
      <c r="V2346" s="41">
        <f>IF(AND(H2346="Falta",L2346=Config!$B$7,M2346=Config!$B$5,COUNTIFS($E$5:E2346,E2346,$H$5:H2346,"Falta",$L$5:L2346,Config!$B$7,$M$5:M2346,Config!$B$5)=1),COUNTIFS($E$5:$E$3004,E2346,$H$5:$H$3004,"Falta",$L$5:$L$3004,Config!$B$7,$M$5:$M$3004,Config!$B$5)*1000-ROW()/100000,0)</f>
        <v>0</v>
      </c>
    </row>
    <row r="2347">
      <c r="A2347" s="39" t="n"/>
      <c r="B2347" s="40" t="n"/>
      <c r="C2347" s="35" t="n"/>
      <c r="D2347" s="35" t="n"/>
      <c r="E2347" s="34" t="n"/>
      <c r="F2347" s="35" t="n"/>
      <c r="G2347" s="35" t="n"/>
      <c r="H2347" s="35" t="n"/>
      <c r="I2347" s="35" t="n"/>
      <c r="J2347" s="35" t="n"/>
      <c r="K2347" s="34" t="n"/>
      <c r="L2347" s="26">
        <f>IF(A2347="","",MONTH(A2347))</f>
        <v/>
      </c>
      <c r="M2347" s="26">
        <f>IF(A2347="","",YEAR(A2347))</f>
        <v/>
      </c>
      <c r="N2347" s="26">
        <f>IF(A2347="","",CHOOSE(WEEKDAY(A2347,2),"Segunda","Terça","Quarta","Quinta","Sexta","Sábado","Domingo"))</f>
        <v/>
      </c>
      <c r="O2347" s="26">
        <f>IF(B2347="","",IF(B2347&lt;TIME(12,0,0),"Manhã",IF(B2347&lt;TIME(18,0,0),"Tarde","Noite")))</f>
        <v/>
      </c>
      <c r="P2347" s="32">
        <f>IF(G2347="","",IFERROR(INDEX(Config!$I$5:$I$16,MATCH(G2347,Config!$H$5:$H$16,0)),0))</f>
        <v/>
      </c>
      <c r="Q2347" s="30">
        <f>IF(OR(H2347&lt;&gt;"Realizado",P2347="",P2347=0),"",A2347+P2347)</f>
        <v/>
      </c>
      <c r="R2347" s="26">
        <f>IF(Q2347="","",IF(COUNTIFS($E$5:$E$3004,E2347,$A$5:$A$3004,"&gt;"&amp;A2347,$H$5:$H$3004,"&lt;&gt;Falta",$H$5:$H$3004,"&lt;&gt;Cancelado",$H$5:$H$3004,"&lt;&gt;Remarcado")&gt;0,"Sim","Não"))</f>
        <v/>
      </c>
      <c r="S2347" s="32">
        <f>IF(R2347&lt;&gt;"Não","",IF(Q2347+Config!$B$9&lt;=Config!$B$8,Config!$B$8-Q2347,""))</f>
        <v/>
      </c>
      <c r="T2347" s="26">
        <f>IF(S2347="","","Sim")</f>
        <v/>
      </c>
      <c r="U2347" s="41">
        <f>IF(T2347="Sim",S2347+ROW()/100000,0)</f>
        <v>0</v>
      </c>
      <c r="V2347" s="41">
        <f>IF(AND(H2347="Falta",L2347=Config!$B$7,M2347=Config!$B$5,COUNTIFS($E$5:E2347,E2347,$H$5:H2347,"Falta",$L$5:L2347,Config!$B$7,$M$5:M2347,Config!$B$5)=1),COUNTIFS($E$5:$E$3004,E2347,$H$5:$H$3004,"Falta",$L$5:$L$3004,Config!$B$7,$M$5:$M$3004,Config!$B$5)*1000-ROW()/100000,0)</f>
        <v>0</v>
      </c>
    </row>
    <row r="2348">
      <c r="A2348" s="39" t="n"/>
      <c r="B2348" s="40" t="n"/>
      <c r="C2348" s="35" t="n"/>
      <c r="D2348" s="35" t="n"/>
      <c r="E2348" s="34" t="n"/>
      <c r="F2348" s="35" t="n"/>
      <c r="G2348" s="35" t="n"/>
      <c r="H2348" s="35" t="n"/>
      <c r="I2348" s="35" t="n"/>
      <c r="J2348" s="35" t="n"/>
      <c r="K2348" s="34" t="n"/>
      <c r="L2348" s="26">
        <f>IF(A2348="","",MONTH(A2348))</f>
        <v/>
      </c>
      <c r="M2348" s="26">
        <f>IF(A2348="","",YEAR(A2348))</f>
        <v/>
      </c>
      <c r="N2348" s="26">
        <f>IF(A2348="","",CHOOSE(WEEKDAY(A2348,2),"Segunda","Terça","Quarta","Quinta","Sexta","Sábado","Domingo"))</f>
        <v/>
      </c>
      <c r="O2348" s="26">
        <f>IF(B2348="","",IF(B2348&lt;TIME(12,0,0),"Manhã",IF(B2348&lt;TIME(18,0,0),"Tarde","Noite")))</f>
        <v/>
      </c>
      <c r="P2348" s="32">
        <f>IF(G2348="","",IFERROR(INDEX(Config!$I$5:$I$16,MATCH(G2348,Config!$H$5:$H$16,0)),0))</f>
        <v/>
      </c>
      <c r="Q2348" s="30">
        <f>IF(OR(H2348&lt;&gt;"Realizado",P2348="",P2348=0),"",A2348+P2348)</f>
        <v/>
      </c>
      <c r="R2348" s="26">
        <f>IF(Q2348="","",IF(COUNTIFS($E$5:$E$3004,E2348,$A$5:$A$3004,"&gt;"&amp;A2348,$H$5:$H$3004,"&lt;&gt;Falta",$H$5:$H$3004,"&lt;&gt;Cancelado",$H$5:$H$3004,"&lt;&gt;Remarcado")&gt;0,"Sim","Não"))</f>
        <v/>
      </c>
      <c r="S2348" s="32">
        <f>IF(R2348&lt;&gt;"Não","",IF(Q2348+Config!$B$9&lt;=Config!$B$8,Config!$B$8-Q2348,""))</f>
        <v/>
      </c>
      <c r="T2348" s="26">
        <f>IF(S2348="","","Sim")</f>
        <v/>
      </c>
      <c r="U2348" s="41">
        <f>IF(T2348="Sim",S2348+ROW()/100000,0)</f>
        <v>0</v>
      </c>
      <c r="V2348" s="41">
        <f>IF(AND(H2348="Falta",L2348=Config!$B$7,M2348=Config!$B$5,COUNTIFS($E$5:E2348,E2348,$H$5:H2348,"Falta",$L$5:L2348,Config!$B$7,$M$5:M2348,Config!$B$5)=1),COUNTIFS($E$5:$E$3004,E2348,$H$5:$H$3004,"Falta",$L$5:$L$3004,Config!$B$7,$M$5:$M$3004,Config!$B$5)*1000-ROW()/100000,0)</f>
        <v>0</v>
      </c>
    </row>
    <row r="2349">
      <c r="A2349" s="39" t="n"/>
      <c r="B2349" s="40" t="n"/>
      <c r="C2349" s="35" t="n"/>
      <c r="D2349" s="35" t="n"/>
      <c r="E2349" s="34" t="n"/>
      <c r="F2349" s="35" t="n"/>
      <c r="G2349" s="35" t="n"/>
      <c r="H2349" s="35" t="n"/>
      <c r="I2349" s="35" t="n"/>
      <c r="J2349" s="35" t="n"/>
      <c r="K2349" s="34" t="n"/>
      <c r="L2349" s="26">
        <f>IF(A2349="","",MONTH(A2349))</f>
        <v/>
      </c>
      <c r="M2349" s="26">
        <f>IF(A2349="","",YEAR(A2349))</f>
        <v/>
      </c>
      <c r="N2349" s="26">
        <f>IF(A2349="","",CHOOSE(WEEKDAY(A2349,2),"Segunda","Terça","Quarta","Quinta","Sexta","Sábado","Domingo"))</f>
        <v/>
      </c>
      <c r="O2349" s="26">
        <f>IF(B2349="","",IF(B2349&lt;TIME(12,0,0),"Manhã",IF(B2349&lt;TIME(18,0,0),"Tarde","Noite")))</f>
        <v/>
      </c>
      <c r="P2349" s="32">
        <f>IF(G2349="","",IFERROR(INDEX(Config!$I$5:$I$16,MATCH(G2349,Config!$H$5:$H$16,0)),0))</f>
        <v/>
      </c>
      <c r="Q2349" s="30">
        <f>IF(OR(H2349&lt;&gt;"Realizado",P2349="",P2349=0),"",A2349+P2349)</f>
        <v/>
      </c>
      <c r="R2349" s="26">
        <f>IF(Q2349="","",IF(COUNTIFS($E$5:$E$3004,E2349,$A$5:$A$3004,"&gt;"&amp;A2349,$H$5:$H$3004,"&lt;&gt;Falta",$H$5:$H$3004,"&lt;&gt;Cancelado",$H$5:$H$3004,"&lt;&gt;Remarcado")&gt;0,"Sim","Não"))</f>
        <v/>
      </c>
      <c r="S2349" s="32">
        <f>IF(R2349&lt;&gt;"Não","",IF(Q2349+Config!$B$9&lt;=Config!$B$8,Config!$B$8-Q2349,""))</f>
        <v/>
      </c>
      <c r="T2349" s="26">
        <f>IF(S2349="","","Sim")</f>
        <v/>
      </c>
      <c r="U2349" s="41">
        <f>IF(T2349="Sim",S2349+ROW()/100000,0)</f>
        <v>0</v>
      </c>
      <c r="V2349" s="41">
        <f>IF(AND(H2349="Falta",L2349=Config!$B$7,M2349=Config!$B$5,COUNTIFS($E$5:E2349,E2349,$H$5:H2349,"Falta",$L$5:L2349,Config!$B$7,$M$5:M2349,Config!$B$5)=1),COUNTIFS($E$5:$E$3004,E2349,$H$5:$H$3004,"Falta",$L$5:$L$3004,Config!$B$7,$M$5:$M$3004,Config!$B$5)*1000-ROW()/100000,0)</f>
        <v>0</v>
      </c>
    </row>
    <row r="2350">
      <c r="A2350" s="39" t="n"/>
      <c r="B2350" s="40" t="n"/>
      <c r="C2350" s="35" t="n"/>
      <c r="D2350" s="35" t="n"/>
      <c r="E2350" s="34" t="n"/>
      <c r="F2350" s="35" t="n"/>
      <c r="G2350" s="35" t="n"/>
      <c r="H2350" s="35" t="n"/>
      <c r="I2350" s="35" t="n"/>
      <c r="J2350" s="35" t="n"/>
      <c r="K2350" s="34" t="n"/>
      <c r="L2350" s="26">
        <f>IF(A2350="","",MONTH(A2350))</f>
        <v/>
      </c>
      <c r="M2350" s="26">
        <f>IF(A2350="","",YEAR(A2350))</f>
        <v/>
      </c>
      <c r="N2350" s="26">
        <f>IF(A2350="","",CHOOSE(WEEKDAY(A2350,2),"Segunda","Terça","Quarta","Quinta","Sexta","Sábado","Domingo"))</f>
        <v/>
      </c>
      <c r="O2350" s="26">
        <f>IF(B2350="","",IF(B2350&lt;TIME(12,0,0),"Manhã",IF(B2350&lt;TIME(18,0,0),"Tarde","Noite")))</f>
        <v/>
      </c>
      <c r="P2350" s="32">
        <f>IF(G2350="","",IFERROR(INDEX(Config!$I$5:$I$16,MATCH(G2350,Config!$H$5:$H$16,0)),0))</f>
        <v/>
      </c>
      <c r="Q2350" s="30">
        <f>IF(OR(H2350&lt;&gt;"Realizado",P2350="",P2350=0),"",A2350+P2350)</f>
        <v/>
      </c>
      <c r="R2350" s="26">
        <f>IF(Q2350="","",IF(COUNTIFS($E$5:$E$3004,E2350,$A$5:$A$3004,"&gt;"&amp;A2350,$H$5:$H$3004,"&lt;&gt;Falta",$H$5:$H$3004,"&lt;&gt;Cancelado",$H$5:$H$3004,"&lt;&gt;Remarcado")&gt;0,"Sim","Não"))</f>
        <v/>
      </c>
      <c r="S2350" s="32">
        <f>IF(R2350&lt;&gt;"Não","",IF(Q2350+Config!$B$9&lt;=Config!$B$8,Config!$B$8-Q2350,""))</f>
        <v/>
      </c>
      <c r="T2350" s="26">
        <f>IF(S2350="","","Sim")</f>
        <v/>
      </c>
      <c r="U2350" s="41">
        <f>IF(T2350="Sim",S2350+ROW()/100000,0)</f>
        <v>0</v>
      </c>
      <c r="V2350" s="41">
        <f>IF(AND(H2350="Falta",L2350=Config!$B$7,M2350=Config!$B$5,COUNTIFS($E$5:E2350,E2350,$H$5:H2350,"Falta",$L$5:L2350,Config!$B$7,$M$5:M2350,Config!$B$5)=1),COUNTIFS($E$5:$E$3004,E2350,$H$5:$H$3004,"Falta",$L$5:$L$3004,Config!$B$7,$M$5:$M$3004,Config!$B$5)*1000-ROW()/100000,0)</f>
        <v>0</v>
      </c>
    </row>
    <row r="2351">
      <c r="A2351" s="39" t="n"/>
      <c r="B2351" s="40" t="n"/>
      <c r="C2351" s="35" t="n"/>
      <c r="D2351" s="35" t="n"/>
      <c r="E2351" s="34" t="n"/>
      <c r="F2351" s="35" t="n"/>
      <c r="G2351" s="35" t="n"/>
      <c r="H2351" s="35" t="n"/>
      <c r="I2351" s="35" t="n"/>
      <c r="J2351" s="35" t="n"/>
      <c r="K2351" s="34" t="n"/>
      <c r="L2351" s="26">
        <f>IF(A2351="","",MONTH(A2351))</f>
        <v/>
      </c>
      <c r="M2351" s="26">
        <f>IF(A2351="","",YEAR(A2351))</f>
        <v/>
      </c>
      <c r="N2351" s="26">
        <f>IF(A2351="","",CHOOSE(WEEKDAY(A2351,2),"Segunda","Terça","Quarta","Quinta","Sexta","Sábado","Domingo"))</f>
        <v/>
      </c>
      <c r="O2351" s="26">
        <f>IF(B2351="","",IF(B2351&lt;TIME(12,0,0),"Manhã",IF(B2351&lt;TIME(18,0,0),"Tarde","Noite")))</f>
        <v/>
      </c>
      <c r="P2351" s="32">
        <f>IF(G2351="","",IFERROR(INDEX(Config!$I$5:$I$16,MATCH(G2351,Config!$H$5:$H$16,0)),0))</f>
        <v/>
      </c>
      <c r="Q2351" s="30">
        <f>IF(OR(H2351&lt;&gt;"Realizado",P2351="",P2351=0),"",A2351+P2351)</f>
        <v/>
      </c>
      <c r="R2351" s="26">
        <f>IF(Q2351="","",IF(COUNTIFS($E$5:$E$3004,E2351,$A$5:$A$3004,"&gt;"&amp;A2351,$H$5:$H$3004,"&lt;&gt;Falta",$H$5:$H$3004,"&lt;&gt;Cancelado",$H$5:$H$3004,"&lt;&gt;Remarcado")&gt;0,"Sim","Não"))</f>
        <v/>
      </c>
      <c r="S2351" s="32">
        <f>IF(R2351&lt;&gt;"Não","",IF(Q2351+Config!$B$9&lt;=Config!$B$8,Config!$B$8-Q2351,""))</f>
        <v/>
      </c>
      <c r="T2351" s="26">
        <f>IF(S2351="","","Sim")</f>
        <v/>
      </c>
      <c r="U2351" s="41">
        <f>IF(T2351="Sim",S2351+ROW()/100000,0)</f>
        <v>0</v>
      </c>
      <c r="V2351" s="41">
        <f>IF(AND(H2351="Falta",L2351=Config!$B$7,M2351=Config!$B$5,COUNTIFS($E$5:E2351,E2351,$H$5:H2351,"Falta",$L$5:L2351,Config!$B$7,$M$5:M2351,Config!$B$5)=1),COUNTIFS($E$5:$E$3004,E2351,$H$5:$H$3004,"Falta",$L$5:$L$3004,Config!$B$7,$M$5:$M$3004,Config!$B$5)*1000-ROW()/100000,0)</f>
        <v>0</v>
      </c>
    </row>
    <row r="2352">
      <c r="A2352" s="39" t="n"/>
      <c r="B2352" s="40" t="n"/>
      <c r="C2352" s="35" t="n"/>
      <c r="D2352" s="35" t="n"/>
      <c r="E2352" s="34" t="n"/>
      <c r="F2352" s="35" t="n"/>
      <c r="G2352" s="35" t="n"/>
      <c r="H2352" s="35" t="n"/>
      <c r="I2352" s="35" t="n"/>
      <c r="J2352" s="35" t="n"/>
      <c r="K2352" s="34" t="n"/>
      <c r="L2352" s="26">
        <f>IF(A2352="","",MONTH(A2352))</f>
        <v/>
      </c>
      <c r="M2352" s="26">
        <f>IF(A2352="","",YEAR(A2352))</f>
        <v/>
      </c>
      <c r="N2352" s="26">
        <f>IF(A2352="","",CHOOSE(WEEKDAY(A2352,2),"Segunda","Terça","Quarta","Quinta","Sexta","Sábado","Domingo"))</f>
        <v/>
      </c>
      <c r="O2352" s="26">
        <f>IF(B2352="","",IF(B2352&lt;TIME(12,0,0),"Manhã",IF(B2352&lt;TIME(18,0,0),"Tarde","Noite")))</f>
        <v/>
      </c>
      <c r="P2352" s="32">
        <f>IF(G2352="","",IFERROR(INDEX(Config!$I$5:$I$16,MATCH(G2352,Config!$H$5:$H$16,0)),0))</f>
        <v/>
      </c>
      <c r="Q2352" s="30">
        <f>IF(OR(H2352&lt;&gt;"Realizado",P2352="",P2352=0),"",A2352+P2352)</f>
        <v/>
      </c>
      <c r="R2352" s="26">
        <f>IF(Q2352="","",IF(COUNTIFS($E$5:$E$3004,E2352,$A$5:$A$3004,"&gt;"&amp;A2352,$H$5:$H$3004,"&lt;&gt;Falta",$H$5:$H$3004,"&lt;&gt;Cancelado",$H$5:$H$3004,"&lt;&gt;Remarcado")&gt;0,"Sim","Não"))</f>
        <v/>
      </c>
      <c r="S2352" s="32">
        <f>IF(R2352&lt;&gt;"Não","",IF(Q2352+Config!$B$9&lt;=Config!$B$8,Config!$B$8-Q2352,""))</f>
        <v/>
      </c>
      <c r="T2352" s="26">
        <f>IF(S2352="","","Sim")</f>
        <v/>
      </c>
      <c r="U2352" s="41">
        <f>IF(T2352="Sim",S2352+ROW()/100000,0)</f>
        <v>0</v>
      </c>
      <c r="V2352" s="41">
        <f>IF(AND(H2352="Falta",L2352=Config!$B$7,M2352=Config!$B$5,COUNTIFS($E$5:E2352,E2352,$H$5:H2352,"Falta",$L$5:L2352,Config!$B$7,$M$5:M2352,Config!$B$5)=1),COUNTIFS($E$5:$E$3004,E2352,$H$5:$H$3004,"Falta",$L$5:$L$3004,Config!$B$7,$M$5:$M$3004,Config!$B$5)*1000-ROW()/100000,0)</f>
        <v>0</v>
      </c>
    </row>
    <row r="2353">
      <c r="A2353" s="39" t="n"/>
      <c r="B2353" s="40" t="n"/>
      <c r="C2353" s="35" t="n"/>
      <c r="D2353" s="35" t="n"/>
      <c r="E2353" s="34" t="n"/>
      <c r="F2353" s="35" t="n"/>
      <c r="G2353" s="35" t="n"/>
      <c r="H2353" s="35" t="n"/>
      <c r="I2353" s="35" t="n"/>
      <c r="J2353" s="35" t="n"/>
      <c r="K2353" s="34" t="n"/>
      <c r="L2353" s="26">
        <f>IF(A2353="","",MONTH(A2353))</f>
        <v/>
      </c>
      <c r="M2353" s="26">
        <f>IF(A2353="","",YEAR(A2353))</f>
        <v/>
      </c>
      <c r="N2353" s="26">
        <f>IF(A2353="","",CHOOSE(WEEKDAY(A2353,2),"Segunda","Terça","Quarta","Quinta","Sexta","Sábado","Domingo"))</f>
        <v/>
      </c>
      <c r="O2353" s="26">
        <f>IF(B2353="","",IF(B2353&lt;TIME(12,0,0),"Manhã",IF(B2353&lt;TIME(18,0,0),"Tarde","Noite")))</f>
        <v/>
      </c>
      <c r="P2353" s="32">
        <f>IF(G2353="","",IFERROR(INDEX(Config!$I$5:$I$16,MATCH(G2353,Config!$H$5:$H$16,0)),0))</f>
        <v/>
      </c>
      <c r="Q2353" s="30">
        <f>IF(OR(H2353&lt;&gt;"Realizado",P2353="",P2353=0),"",A2353+P2353)</f>
        <v/>
      </c>
      <c r="R2353" s="26">
        <f>IF(Q2353="","",IF(COUNTIFS($E$5:$E$3004,E2353,$A$5:$A$3004,"&gt;"&amp;A2353,$H$5:$H$3004,"&lt;&gt;Falta",$H$5:$H$3004,"&lt;&gt;Cancelado",$H$5:$H$3004,"&lt;&gt;Remarcado")&gt;0,"Sim","Não"))</f>
        <v/>
      </c>
      <c r="S2353" s="32">
        <f>IF(R2353&lt;&gt;"Não","",IF(Q2353+Config!$B$9&lt;=Config!$B$8,Config!$B$8-Q2353,""))</f>
        <v/>
      </c>
      <c r="T2353" s="26">
        <f>IF(S2353="","","Sim")</f>
        <v/>
      </c>
      <c r="U2353" s="41">
        <f>IF(T2353="Sim",S2353+ROW()/100000,0)</f>
        <v>0</v>
      </c>
      <c r="V2353" s="41">
        <f>IF(AND(H2353="Falta",L2353=Config!$B$7,M2353=Config!$B$5,COUNTIFS($E$5:E2353,E2353,$H$5:H2353,"Falta",$L$5:L2353,Config!$B$7,$M$5:M2353,Config!$B$5)=1),COUNTIFS($E$5:$E$3004,E2353,$H$5:$H$3004,"Falta",$L$5:$L$3004,Config!$B$7,$M$5:$M$3004,Config!$B$5)*1000-ROW()/100000,0)</f>
        <v>0</v>
      </c>
    </row>
    <row r="2354">
      <c r="A2354" s="39" t="n"/>
      <c r="B2354" s="40" t="n"/>
      <c r="C2354" s="35" t="n"/>
      <c r="D2354" s="35" t="n"/>
      <c r="E2354" s="34" t="n"/>
      <c r="F2354" s="35" t="n"/>
      <c r="G2354" s="35" t="n"/>
      <c r="H2354" s="35" t="n"/>
      <c r="I2354" s="35" t="n"/>
      <c r="J2354" s="35" t="n"/>
      <c r="K2354" s="34" t="n"/>
      <c r="L2354" s="26">
        <f>IF(A2354="","",MONTH(A2354))</f>
        <v/>
      </c>
      <c r="M2354" s="26">
        <f>IF(A2354="","",YEAR(A2354))</f>
        <v/>
      </c>
      <c r="N2354" s="26">
        <f>IF(A2354="","",CHOOSE(WEEKDAY(A2354,2),"Segunda","Terça","Quarta","Quinta","Sexta","Sábado","Domingo"))</f>
        <v/>
      </c>
      <c r="O2354" s="26">
        <f>IF(B2354="","",IF(B2354&lt;TIME(12,0,0),"Manhã",IF(B2354&lt;TIME(18,0,0),"Tarde","Noite")))</f>
        <v/>
      </c>
      <c r="P2354" s="32">
        <f>IF(G2354="","",IFERROR(INDEX(Config!$I$5:$I$16,MATCH(G2354,Config!$H$5:$H$16,0)),0))</f>
        <v/>
      </c>
      <c r="Q2354" s="30">
        <f>IF(OR(H2354&lt;&gt;"Realizado",P2354="",P2354=0),"",A2354+P2354)</f>
        <v/>
      </c>
      <c r="R2354" s="26">
        <f>IF(Q2354="","",IF(COUNTIFS($E$5:$E$3004,E2354,$A$5:$A$3004,"&gt;"&amp;A2354,$H$5:$H$3004,"&lt;&gt;Falta",$H$5:$H$3004,"&lt;&gt;Cancelado",$H$5:$H$3004,"&lt;&gt;Remarcado")&gt;0,"Sim","Não"))</f>
        <v/>
      </c>
      <c r="S2354" s="32">
        <f>IF(R2354&lt;&gt;"Não","",IF(Q2354+Config!$B$9&lt;=Config!$B$8,Config!$B$8-Q2354,""))</f>
        <v/>
      </c>
      <c r="T2354" s="26">
        <f>IF(S2354="","","Sim")</f>
        <v/>
      </c>
      <c r="U2354" s="41">
        <f>IF(T2354="Sim",S2354+ROW()/100000,0)</f>
        <v>0</v>
      </c>
      <c r="V2354" s="41">
        <f>IF(AND(H2354="Falta",L2354=Config!$B$7,M2354=Config!$B$5,COUNTIFS($E$5:E2354,E2354,$H$5:H2354,"Falta",$L$5:L2354,Config!$B$7,$M$5:M2354,Config!$B$5)=1),COUNTIFS($E$5:$E$3004,E2354,$H$5:$H$3004,"Falta",$L$5:$L$3004,Config!$B$7,$M$5:$M$3004,Config!$B$5)*1000-ROW()/100000,0)</f>
        <v>0</v>
      </c>
    </row>
    <row r="2355">
      <c r="A2355" s="39" t="n"/>
      <c r="B2355" s="40" t="n"/>
      <c r="C2355" s="35" t="n"/>
      <c r="D2355" s="35" t="n"/>
      <c r="E2355" s="34" t="n"/>
      <c r="F2355" s="35" t="n"/>
      <c r="G2355" s="35" t="n"/>
      <c r="H2355" s="35" t="n"/>
      <c r="I2355" s="35" t="n"/>
      <c r="J2355" s="35" t="n"/>
      <c r="K2355" s="34" t="n"/>
      <c r="L2355" s="26">
        <f>IF(A2355="","",MONTH(A2355))</f>
        <v/>
      </c>
      <c r="M2355" s="26">
        <f>IF(A2355="","",YEAR(A2355))</f>
        <v/>
      </c>
      <c r="N2355" s="26">
        <f>IF(A2355="","",CHOOSE(WEEKDAY(A2355,2),"Segunda","Terça","Quarta","Quinta","Sexta","Sábado","Domingo"))</f>
        <v/>
      </c>
      <c r="O2355" s="26">
        <f>IF(B2355="","",IF(B2355&lt;TIME(12,0,0),"Manhã",IF(B2355&lt;TIME(18,0,0),"Tarde","Noite")))</f>
        <v/>
      </c>
      <c r="P2355" s="32">
        <f>IF(G2355="","",IFERROR(INDEX(Config!$I$5:$I$16,MATCH(G2355,Config!$H$5:$H$16,0)),0))</f>
        <v/>
      </c>
      <c r="Q2355" s="30">
        <f>IF(OR(H2355&lt;&gt;"Realizado",P2355="",P2355=0),"",A2355+P2355)</f>
        <v/>
      </c>
      <c r="R2355" s="26">
        <f>IF(Q2355="","",IF(COUNTIFS($E$5:$E$3004,E2355,$A$5:$A$3004,"&gt;"&amp;A2355,$H$5:$H$3004,"&lt;&gt;Falta",$H$5:$H$3004,"&lt;&gt;Cancelado",$H$5:$H$3004,"&lt;&gt;Remarcado")&gt;0,"Sim","Não"))</f>
        <v/>
      </c>
      <c r="S2355" s="32">
        <f>IF(R2355&lt;&gt;"Não","",IF(Q2355+Config!$B$9&lt;=Config!$B$8,Config!$B$8-Q2355,""))</f>
        <v/>
      </c>
      <c r="T2355" s="26">
        <f>IF(S2355="","","Sim")</f>
        <v/>
      </c>
      <c r="U2355" s="41">
        <f>IF(T2355="Sim",S2355+ROW()/100000,0)</f>
        <v>0</v>
      </c>
      <c r="V2355" s="41">
        <f>IF(AND(H2355="Falta",L2355=Config!$B$7,M2355=Config!$B$5,COUNTIFS($E$5:E2355,E2355,$H$5:H2355,"Falta",$L$5:L2355,Config!$B$7,$M$5:M2355,Config!$B$5)=1),COUNTIFS($E$5:$E$3004,E2355,$H$5:$H$3004,"Falta",$L$5:$L$3004,Config!$B$7,$M$5:$M$3004,Config!$B$5)*1000-ROW()/100000,0)</f>
        <v>0</v>
      </c>
    </row>
    <row r="2356">
      <c r="A2356" s="39" t="n"/>
      <c r="B2356" s="40" t="n"/>
      <c r="C2356" s="35" t="n"/>
      <c r="D2356" s="35" t="n"/>
      <c r="E2356" s="34" t="n"/>
      <c r="F2356" s="35" t="n"/>
      <c r="G2356" s="35" t="n"/>
      <c r="H2356" s="35" t="n"/>
      <c r="I2356" s="35" t="n"/>
      <c r="J2356" s="35" t="n"/>
      <c r="K2356" s="34" t="n"/>
      <c r="L2356" s="26">
        <f>IF(A2356="","",MONTH(A2356))</f>
        <v/>
      </c>
      <c r="M2356" s="26">
        <f>IF(A2356="","",YEAR(A2356))</f>
        <v/>
      </c>
      <c r="N2356" s="26">
        <f>IF(A2356="","",CHOOSE(WEEKDAY(A2356,2),"Segunda","Terça","Quarta","Quinta","Sexta","Sábado","Domingo"))</f>
        <v/>
      </c>
      <c r="O2356" s="26">
        <f>IF(B2356="","",IF(B2356&lt;TIME(12,0,0),"Manhã",IF(B2356&lt;TIME(18,0,0),"Tarde","Noite")))</f>
        <v/>
      </c>
      <c r="P2356" s="32">
        <f>IF(G2356="","",IFERROR(INDEX(Config!$I$5:$I$16,MATCH(G2356,Config!$H$5:$H$16,0)),0))</f>
        <v/>
      </c>
      <c r="Q2356" s="30">
        <f>IF(OR(H2356&lt;&gt;"Realizado",P2356="",P2356=0),"",A2356+P2356)</f>
        <v/>
      </c>
      <c r="R2356" s="26">
        <f>IF(Q2356="","",IF(COUNTIFS($E$5:$E$3004,E2356,$A$5:$A$3004,"&gt;"&amp;A2356,$H$5:$H$3004,"&lt;&gt;Falta",$H$5:$H$3004,"&lt;&gt;Cancelado",$H$5:$H$3004,"&lt;&gt;Remarcado")&gt;0,"Sim","Não"))</f>
        <v/>
      </c>
      <c r="S2356" s="32">
        <f>IF(R2356&lt;&gt;"Não","",IF(Q2356+Config!$B$9&lt;=Config!$B$8,Config!$B$8-Q2356,""))</f>
        <v/>
      </c>
      <c r="T2356" s="26">
        <f>IF(S2356="","","Sim")</f>
        <v/>
      </c>
      <c r="U2356" s="41">
        <f>IF(T2356="Sim",S2356+ROW()/100000,0)</f>
        <v>0</v>
      </c>
      <c r="V2356" s="41">
        <f>IF(AND(H2356="Falta",L2356=Config!$B$7,M2356=Config!$B$5,COUNTIFS($E$5:E2356,E2356,$H$5:H2356,"Falta",$L$5:L2356,Config!$B$7,$M$5:M2356,Config!$B$5)=1),COUNTIFS($E$5:$E$3004,E2356,$H$5:$H$3004,"Falta",$L$5:$L$3004,Config!$B$7,$M$5:$M$3004,Config!$B$5)*1000-ROW()/100000,0)</f>
        <v>0</v>
      </c>
    </row>
    <row r="2357">
      <c r="A2357" s="39" t="n"/>
      <c r="B2357" s="40" t="n"/>
      <c r="C2357" s="35" t="n"/>
      <c r="D2357" s="35" t="n"/>
      <c r="E2357" s="34" t="n"/>
      <c r="F2357" s="35" t="n"/>
      <c r="G2357" s="35" t="n"/>
      <c r="H2357" s="35" t="n"/>
      <c r="I2357" s="35" t="n"/>
      <c r="J2357" s="35" t="n"/>
      <c r="K2357" s="34" t="n"/>
      <c r="L2357" s="26">
        <f>IF(A2357="","",MONTH(A2357))</f>
        <v/>
      </c>
      <c r="M2357" s="26">
        <f>IF(A2357="","",YEAR(A2357))</f>
        <v/>
      </c>
      <c r="N2357" s="26">
        <f>IF(A2357="","",CHOOSE(WEEKDAY(A2357,2),"Segunda","Terça","Quarta","Quinta","Sexta","Sábado","Domingo"))</f>
        <v/>
      </c>
      <c r="O2357" s="26">
        <f>IF(B2357="","",IF(B2357&lt;TIME(12,0,0),"Manhã",IF(B2357&lt;TIME(18,0,0),"Tarde","Noite")))</f>
        <v/>
      </c>
      <c r="P2357" s="32">
        <f>IF(G2357="","",IFERROR(INDEX(Config!$I$5:$I$16,MATCH(G2357,Config!$H$5:$H$16,0)),0))</f>
        <v/>
      </c>
      <c r="Q2357" s="30">
        <f>IF(OR(H2357&lt;&gt;"Realizado",P2357="",P2357=0),"",A2357+P2357)</f>
        <v/>
      </c>
      <c r="R2357" s="26">
        <f>IF(Q2357="","",IF(COUNTIFS($E$5:$E$3004,E2357,$A$5:$A$3004,"&gt;"&amp;A2357,$H$5:$H$3004,"&lt;&gt;Falta",$H$5:$H$3004,"&lt;&gt;Cancelado",$H$5:$H$3004,"&lt;&gt;Remarcado")&gt;0,"Sim","Não"))</f>
        <v/>
      </c>
      <c r="S2357" s="32">
        <f>IF(R2357&lt;&gt;"Não","",IF(Q2357+Config!$B$9&lt;=Config!$B$8,Config!$B$8-Q2357,""))</f>
        <v/>
      </c>
      <c r="T2357" s="26">
        <f>IF(S2357="","","Sim")</f>
        <v/>
      </c>
      <c r="U2357" s="41">
        <f>IF(T2357="Sim",S2357+ROW()/100000,0)</f>
        <v>0</v>
      </c>
      <c r="V2357" s="41">
        <f>IF(AND(H2357="Falta",L2357=Config!$B$7,M2357=Config!$B$5,COUNTIFS($E$5:E2357,E2357,$H$5:H2357,"Falta",$L$5:L2357,Config!$B$7,$M$5:M2357,Config!$B$5)=1),COUNTIFS($E$5:$E$3004,E2357,$H$5:$H$3004,"Falta",$L$5:$L$3004,Config!$B$7,$M$5:$M$3004,Config!$B$5)*1000-ROW()/100000,0)</f>
        <v>0</v>
      </c>
    </row>
    <row r="2358">
      <c r="A2358" s="39" t="n"/>
      <c r="B2358" s="40" t="n"/>
      <c r="C2358" s="35" t="n"/>
      <c r="D2358" s="35" t="n"/>
      <c r="E2358" s="34" t="n"/>
      <c r="F2358" s="35" t="n"/>
      <c r="G2358" s="35" t="n"/>
      <c r="H2358" s="35" t="n"/>
      <c r="I2358" s="35" t="n"/>
      <c r="J2358" s="35" t="n"/>
      <c r="K2358" s="34" t="n"/>
      <c r="L2358" s="26">
        <f>IF(A2358="","",MONTH(A2358))</f>
        <v/>
      </c>
      <c r="M2358" s="26">
        <f>IF(A2358="","",YEAR(A2358))</f>
        <v/>
      </c>
      <c r="N2358" s="26">
        <f>IF(A2358="","",CHOOSE(WEEKDAY(A2358,2),"Segunda","Terça","Quarta","Quinta","Sexta","Sábado","Domingo"))</f>
        <v/>
      </c>
      <c r="O2358" s="26">
        <f>IF(B2358="","",IF(B2358&lt;TIME(12,0,0),"Manhã",IF(B2358&lt;TIME(18,0,0),"Tarde","Noite")))</f>
        <v/>
      </c>
      <c r="P2358" s="32">
        <f>IF(G2358="","",IFERROR(INDEX(Config!$I$5:$I$16,MATCH(G2358,Config!$H$5:$H$16,0)),0))</f>
        <v/>
      </c>
      <c r="Q2358" s="30">
        <f>IF(OR(H2358&lt;&gt;"Realizado",P2358="",P2358=0),"",A2358+P2358)</f>
        <v/>
      </c>
      <c r="R2358" s="26">
        <f>IF(Q2358="","",IF(COUNTIFS($E$5:$E$3004,E2358,$A$5:$A$3004,"&gt;"&amp;A2358,$H$5:$H$3004,"&lt;&gt;Falta",$H$5:$H$3004,"&lt;&gt;Cancelado",$H$5:$H$3004,"&lt;&gt;Remarcado")&gt;0,"Sim","Não"))</f>
        <v/>
      </c>
      <c r="S2358" s="32">
        <f>IF(R2358&lt;&gt;"Não","",IF(Q2358+Config!$B$9&lt;=Config!$B$8,Config!$B$8-Q2358,""))</f>
        <v/>
      </c>
      <c r="T2358" s="26">
        <f>IF(S2358="","","Sim")</f>
        <v/>
      </c>
      <c r="U2358" s="41">
        <f>IF(T2358="Sim",S2358+ROW()/100000,0)</f>
        <v>0</v>
      </c>
      <c r="V2358" s="41">
        <f>IF(AND(H2358="Falta",L2358=Config!$B$7,M2358=Config!$B$5,COUNTIFS($E$5:E2358,E2358,$H$5:H2358,"Falta",$L$5:L2358,Config!$B$7,$M$5:M2358,Config!$B$5)=1),COUNTIFS($E$5:$E$3004,E2358,$H$5:$H$3004,"Falta",$L$5:$L$3004,Config!$B$7,$M$5:$M$3004,Config!$B$5)*1000-ROW()/100000,0)</f>
        <v>0</v>
      </c>
    </row>
    <row r="2359">
      <c r="A2359" s="39" t="n"/>
      <c r="B2359" s="40" t="n"/>
      <c r="C2359" s="35" t="n"/>
      <c r="D2359" s="35" t="n"/>
      <c r="E2359" s="34" t="n"/>
      <c r="F2359" s="35" t="n"/>
      <c r="G2359" s="35" t="n"/>
      <c r="H2359" s="35" t="n"/>
      <c r="I2359" s="35" t="n"/>
      <c r="J2359" s="35" t="n"/>
      <c r="K2359" s="34" t="n"/>
      <c r="L2359" s="26">
        <f>IF(A2359="","",MONTH(A2359))</f>
        <v/>
      </c>
      <c r="M2359" s="26">
        <f>IF(A2359="","",YEAR(A2359))</f>
        <v/>
      </c>
      <c r="N2359" s="26">
        <f>IF(A2359="","",CHOOSE(WEEKDAY(A2359,2),"Segunda","Terça","Quarta","Quinta","Sexta","Sábado","Domingo"))</f>
        <v/>
      </c>
      <c r="O2359" s="26">
        <f>IF(B2359="","",IF(B2359&lt;TIME(12,0,0),"Manhã",IF(B2359&lt;TIME(18,0,0),"Tarde","Noite")))</f>
        <v/>
      </c>
      <c r="P2359" s="32">
        <f>IF(G2359="","",IFERROR(INDEX(Config!$I$5:$I$16,MATCH(G2359,Config!$H$5:$H$16,0)),0))</f>
        <v/>
      </c>
      <c r="Q2359" s="30">
        <f>IF(OR(H2359&lt;&gt;"Realizado",P2359="",P2359=0),"",A2359+P2359)</f>
        <v/>
      </c>
      <c r="R2359" s="26">
        <f>IF(Q2359="","",IF(COUNTIFS($E$5:$E$3004,E2359,$A$5:$A$3004,"&gt;"&amp;A2359,$H$5:$H$3004,"&lt;&gt;Falta",$H$5:$H$3004,"&lt;&gt;Cancelado",$H$5:$H$3004,"&lt;&gt;Remarcado")&gt;0,"Sim","Não"))</f>
        <v/>
      </c>
      <c r="S2359" s="32">
        <f>IF(R2359&lt;&gt;"Não","",IF(Q2359+Config!$B$9&lt;=Config!$B$8,Config!$B$8-Q2359,""))</f>
        <v/>
      </c>
      <c r="T2359" s="26">
        <f>IF(S2359="","","Sim")</f>
        <v/>
      </c>
      <c r="U2359" s="41">
        <f>IF(T2359="Sim",S2359+ROW()/100000,0)</f>
        <v>0</v>
      </c>
      <c r="V2359" s="41">
        <f>IF(AND(H2359="Falta",L2359=Config!$B$7,M2359=Config!$B$5,COUNTIFS($E$5:E2359,E2359,$H$5:H2359,"Falta",$L$5:L2359,Config!$B$7,$M$5:M2359,Config!$B$5)=1),COUNTIFS($E$5:$E$3004,E2359,$H$5:$H$3004,"Falta",$L$5:$L$3004,Config!$B$7,$M$5:$M$3004,Config!$B$5)*1000-ROW()/100000,0)</f>
        <v>0</v>
      </c>
    </row>
    <row r="2360">
      <c r="A2360" s="39" t="n"/>
      <c r="B2360" s="40" t="n"/>
      <c r="C2360" s="35" t="n"/>
      <c r="D2360" s="35" t="n"/>
      <c r="E2360" s="34" t="n"/>
      <c r="F2360" s="35" t="n"/>
      <c r="G2360" s="35" t="n"/>
      <c r="H2360" s="35" t="n"/>
      <c r="I2360" s="35" t="n"/>
      <c r="J2360" s="35" t="n"/>
      <c r="K2360" s="34" t="n"/>
      <c r="L2360" s="26">
        <f>IF(A2360="","",MONTH(A2360))</f>
        <v/>
      </c>
      <c r="M2360" s="26">
        <f>IF(A2360="","",YEAR(A2360))</f>
        <v/>
      </c>
      <c r="N2360" s="26">
        <f>IF(A2360="","",CHOOSE(WEEKDAY(A2360,2),"Segunda","Terça","Quarta","Quinta","Sexta","Sábado","Domingo"))</f>
        <v/>
      </c>
      <c r="O2360" s="26">
        <f>IF(B2360="","",IF(B2360&lt;TIME(12,0,0),"Manhã",IF(B2360&lt;TIME(18,0,0),"Tarde","Noite")))</f>
        <v/>
      </c>
      <c r="P2360" s="32">
        <f>IF(G2360="","",IFERROR(INDEX(Config!$I$5:$I$16,MATCH(G2360,Config!$H$5:$H$16,0)),0))</f>
        <v/>
      </c>
      <c r="Q2360" s="30">
        <f>IF(OR(H2360&lt;&gt;"Realizado",P2360="",P2360=0),"",A2360+P2360)</f>
        <v/>
      </c>
      <c r="R2360" s="26">
        <f>IF(Q2360="","",IF(COUNTIFS($E$5:$E$3004,E2360,$A$5:$A$3004,"&gt;"&amp;A2360,$H$5:$H$3004,"&lt;&gt;Falta",$H$5:$H$3004,"&lt;&gt;Cancelado",$H$5:$H$3004,"&lt;&gt;Remarcado")&gt;0,"Sim","Não"))</f>
        <v/>
      </c>
      <c r="S2360" s="32">
        <f>IF(R2360&lt;&gt;"Não","",IF(Q2360+Config!$B$9&lt;=Config!$B$8,Config!$B$8-Q2360,""))</f>
        <v/>
      </c>
      <c r="T2360" s="26">
        <f>IF(S2360="","","Sim")</f>
        <v/>
      </c>
      <c r="U2360" s="41">
        <f>IF(T2360="Sim",S2360+ROW()/100000,0)</f>
        <v>0</v>
      </c>
      <c r="V2360" s="41">
        <f>IF(AND(H2360="Falta",L2360=Config!$B$7,M2360=Config!$B$5,COUNTIFS($E$5:E2360,E2360,$H$5:H2360,"Falta",$L$5:L2360,Config!$B$7,$M$5:M2360,Config!$B$5)=1),COUNTIFS($E$5:$E$3004,E2360,$H$5:$H$3004,"Falta",$L$5:$L$3004,Config!$B$7,$M$5:$M$3004,Config!$B$5)*1000-ROW()/100000,0)</f>
        <v>0</v>
      </c>
    </row>
    <row r="2361">
      <c r="A2361" s="39" t="n"/>
      <c r="B2361" s="40" t="n"/>
      <c r="C2361" s="35" t="n"/>
      <c r="D2361" s="35" t="n"/>
      <c r="E2361" s="34" t="n"/>
      <c r="F2361" s="35" t="n"/>
      <c r="G2361" s="35" t="n"/>
      <c r="H2361" s="35" t="n"/>
      <c r="I2361" s="35" t="n"/>
      <c r="J2361" s="35" t="n"/>
      <c r="K2361" s="34" t="n"/>
      <c r="L2361" s="26">
        <f>IF(A2361="","",MONTH(A2361))</f>
        <v/>
      </c>
      <c r="M2361" s="26">
        <f>IF(A2361="","",YEAR(A2361))</f>
        <v/>
      </c>
      <c r="N2361" s="26">
        <f>IF(A2361="","",CHOOSE(WEEKDAY(A2361,2),"Segunda","Terça","Quarta","Quinta","Sexta","Sábado","Domingo"))</f>
        <v/>
      </c>
      <c r="O2361" s="26">
        <f>IF(B2361="","",IF(B2361&lt;TIME(12,0,0),"Manhã",IF(B2361&lt;TIME(18,0,0),"Tarde","Noite")))</f>
        <v/>
      </c>
      <c r="P2361" s="32">
        <f>IF(G2361="","",IFERROR(INDEX(Config!$I$5:$I$16,MATCH(G2361,Config!$H$5:$H$16,0)),0))</f>
        <v/>
      </c>
      <c r="Q2361" s="30">
        <f>IF(OR(H2361&lt;&gt;"Realizado",P2361="",P2361=0),"",A2361+P2361)</f>
        <v/>
      </c>
      <c r="R2361" s="26">
        <f>IF(Q2361="","",IF(COUNTIFS($E$5:$E$3004,E2361,$A$5:$A$3004,"&gt;"&amp;A2361,$H$5:$H$3004,"&lt;&gt;Falta",$H$5:$H$3004,"&lt;&gt;Cancelado",$H$5:$H$3004,"&lt;&gt;Remarcado")&gt;0,"Sim","Não"))</f>
        <v/>
      </c>
      <c r="S2361" s="32">
        <f>IF(R2361&lt;&gt;"Não","",IF(Q2361+Config!$B$9&lt;=Config!$B$8,Config!$B$8-Q2361,""))</f>
        <v/>
      </c>
      <c r="T2361" s="26">
        <f>IF(S2361="","","Sim")</f>
        <v/>
      </c>
      <c r="U2361" s="41">
        <f>IF(T2361="Sim",S2361+ROW()/100000,0)</f>
        <v>0</v>
      </c>
      <c r="V2361" s="41">
        <f>IF(AND(H2361="Falta",L2361=Config!$B$7,M2361=Config!$B$5,COUNTIFS($E$5:E2361,E2361,$H$5:H2361,"Falta",$L$5:L2361,Config!$B$7,$M$5:M2361,Config!$B$5)=1),COUNTIFS($E$5:$E$3004,E2361,$H$5:$H$3004,"Falta",$L$5:$L$3004,Config!$B$7,$M$5:$M$3004,Config!$B$5)*1000-ROW()/100000,0)</f>
        <v>0</v>
      </c>
    </row>
    <row r="2362">
      <c r="A2362" s="39" t="n"/>
      <c r="B2362" s="40" t="n"/>
      <c r="C2362" s="35" t="n"/>
      <c r="D2362" s="35" t="n"/>
      <c r="E2362" s="34" t="n"/>
      <c r="F2362" s="35" t="n"/>
      <c r="G2362" s="35" t="n"/>
      <c r="H2362" s="35" t="n"/>
      <c r="I2362" s="35" t="n"/>
      <c r="J2362" s="35" t="n"/>
      <c r="K2362" s="34" t="n"/>
      <c r="L2362" s="26">
        <f>IF(A2362="","",MONTH(A2362))</f>
        <v/>
      </c>
      <c r="M2362" s="26">
        <f>IF(A2362="","",YEAR(A2362))</f>
        <v/>
      </c>
      <c r="N2362" s="26">
        <f>IF(A2362="","",CHOOSE(WEEKDAY(A2362,2),"Segunda","Terça","Quarta","Quinta","Sexta","Sábado","Domingo"))</f>
        <v/>
      </c>
      <c r="O2362" s="26">
        <f>IF(B2362="","",IF(B2362&lt;TIME(12,0,0),"Manhã",IF(B2362&lt;TIME(18,0,0),"Tarde","Noite")))</f>
        <v/>
      </c>
      <c r="P2362" s="32">
        <f>IF(G2362="","",IFERROR(INDEX(Config!$I$5:$I$16,MATCH(G2362,Config!$H$5:$H$16,0)),0))</f>
        <v/>
      </c>
      <c r="Q2362" s="30">
        <f>IF(OR(H2362&lt;&gt;"Realizado",P2362="",P2362=0),"",A2362+P2362)</f>
        <v/>
      </c>
      <c r="R2362" s="26">
        <f>IF(Q2362="","",IF(COUNTIFS($E$5:$E$3004,E2362,$A$5:$A$3004,"&gt;"&amp;A2362,$H$5:$H$3004,"&lt;&gt;Falta",$H$5:$H$3004,"&lt;&gt;Cancelado",$H$5:$H$3004,"&lt;&gt;Remarcado")&gt;0,"Sim","Não"))</f>
        <v/>
      </c>
      <c r="S2362" s="32">
        <f>IF(R2362&lt;&gt;"Não","",IF(Q2362+Config!$B$9&lt;=Config!$B$8,Config!$B$8-Q2362,""))</f>
        <v/>
      </c>
      <c r="T2362" s="26">
        <f>IF(S2362="","","Sim")</f>
        <v/>
      </c>
      <c r="U2362" s="41">
        <f>IF(T2362="Sim",S2362+ROW()/100000,0)</f>
        <v>0</v>
      </c>
      <c r="V2362" s="41">
        <f>IF(AND(H2362="Falta",L2362=Config!$B$7,M2362=Config!$B$5,COUNTIFS($E$5:E2362,E2362,$H$5:H2362,"Falta",$L$5:L2362,Config!$B$7,$M$5:M2362,Config!$B$5)=1),COUNTIFS($E$5:$E$3004,E2362,$H$5:$H$3004,"Falta",$L$5:$L$3004,Config!$B$7,$M$5:$M$3004,Config!$B$5)*1000-ROW()/100000,0)</f>
        <v>0</v>
      </c>
    </row>
    <row r="2363">
      <c r="A2363" s="39" t="n"/>
      <c r="B2363" s="40" t="n"/>
      <c r="C2363" s="35" t="n"/>
      <c r="D2363" s="35" t="n"/>
      <c r="E2363" s="34" t="n"/>
      <c r="F2363" s="35" t="n"/>
      <c r="G2363" s="35" t="n"/>
      <c r="H2363" s="35" t="n"/>
      <c r="I2363" s="35" t="n"/>
      <c r="J2363" s="35" t="n"/>
      <c r="K2363" s="34" t="n"/>
      <c r="L2363" s="26">
        <f>IF(A2363="","",MONTH(A2363))</f>
        <v/>
      </c>
      <c r="M2363" s="26">
        <f>IF(A2363="","",YEAR(A2363))</f>
        <v/>
      </c>
      <c r="N2363" s="26">
        <f>IF(A2363="","",CHOOSE(WEEKDAY(A2363,2),"Segunda","Terça","Quarta","Quinta","Sexta","Sábado","Domingo"))</f>
        <v/>
      </c>
      <c r="O2363" s="26">
        <f>IF(B2363="","",IF(B2363&lt;TIME(12,0,0),"Manhã",IF(B2363&lt;TIME(18,0,0),"Tarde","Noite")))</f>
        <v/>
      </c>
      <c r="P2363" s="32">
        <f>IF(G2363="","",IFERROR(INDEX(Config!$I$5:$I$16,MATCH(G2363,Config!$H$5:$H$16,0)),0))</f>
        <v/>
      </c>
      <c r="Q2363" s="30">
        <f>IF(OR(H2363&lt;&gt;"Realizado",P2363="",P2363=0),"",A2363+P2363)</f>
        <v/>
      </c>
      <c r="R2363" s="26">
        <f>IF(Q2363="","",IF(COUNTIFS($E$5:$E$3004,E2363,$A$5:$A$3004,"&gt;"&amp;A2363,$H$5:$H$3004,"&lt;&gt;Falta",$H$5:$H$3004,"&lt;&gt;Cancelado",$H$5:$H$3004,"&lt;&gt;Remarcado")&gt;0,"Sim","Não"))</f>
        <v/>
      </c>
      <c r="S2363" s="32">
        <f>IF(R2363&lt;&gt;"Não","",IF(Q2363+Config!$B$9&lt;=Config!$B$8,Config!$B$8-Q2363,""))</f>
        <v/>
      </c>
      <c r="T2363" s="26">
        <f>IF(S2363="","","Sim")</f>
        <v/>
      </c>
      <c r="U2363" s="41">
        <f>IF(T2363="Sim",S2363+ROW()/100000,0)</f>
        <v>0</v>
      </c>
      <c r="V2363" s="41">
        <f>IF(AND(H2363="Falta",L2363=Config!$B$7,M2363=Config!$B$5,COUNTIFS($E$5:E2363,E2363,$H$5:H2363,"Falta",$L$5:L2363,Config!$B$7,$M$5:M2363,Config!$B$5)=1),COUNTIFS($E$5:$E$3004,E2363,$H$5:$H$3004,"Falta",$L$5:$L$3004,Config!$B$7,$M$5:$M$3004,Config!$B$5)*1000-ROW()/100000,0)</f>
        <v>0</v>
      </c>
    </row>
    <row r="2364">
      <c r="A2364" s="39" t="n"/>
      <c r="B2364" s="40" t="n"/>
      <c r="C2364" s="35" t="n"/>
      <c r="D2364" s="35" t="n"/>
      <c r="E2364" s="34" t="n"/>
      <c r="F2364" s="35" t="n"/>
      <c r="G2364" s="35" t="n"/>
      <c r="H2364" s="35" t="n"/>
      <c r="I2364" s="35" t="n"/>
      <c r="J2364" s="35" t="n"/>
      <c r="K2364" s="34" t="n"/>
      <c r="L2364" s="26">
        <f>IF(A2364="","",MONTH(A2364))</f>
        <v/>
      </c>
      <c r="M2364" s="26">
        <f>IF(A2364="","",YEAR(A2364))</f>
        <v/>
      </c>
      <c r="N2364" s="26">
        <f>IF(A2364="","",CHOOSE(WEEKDAY(A2364,2),"Segunda","Terça","Quarta","Quinta","Sexta","Sábado","Domingo"))</f>
        <v/>
      </c>
      <c r="O2364" s="26">
        <f>IF(B2364="","",IF(B2364&lt;TIME(12,0,0),"Manhã",IF(B2364&lt;TIME(18,0,0),"Tarde","Noite")))</f>
        <v/>
      </c>
      <c r="P2364" s="32">
        <f>IF(G2364="","",IFERROR(INDEX(Config!$I$5:$I$16,MATCH(G2364,Config!$H$5:$H$16,0)),0))</f>
        <v/>
      </c>
      <c r="Q2364" s="30">
        <f>IF(OR(H2364&lt;&gt;"Realizado",P2364="",P2364=0),"",A2364+P2364)</f>
        <v/>
      </c>
      <c r="R2364" s="26">
        <f>IF(Q2364="","",IF(COUNTIFS($E$5:$E$3004,E2364,$A$5:$A$3004,"&gt;"&amp;A2364,$H$5:$H$3004,"&lt;&gt;Falta",$H$5:$H$3004,"&lt;&gt;Cancelado",$H$5:$H$3004,"&lt;&gt;Remarcado")&gt;0,"Sim","Não"))</f>
        <v/>
      </c>
      <c r="S2364" s="32">
        <f>IF(R2364&lt;&gt;"Não","",IF(Q2364+Config!$B$9&lt;=Config!$B$8,Config!$B$8-Q2364,""))</f>
        <v/>
      </c>
      <c r="T2364" s="26">
        <f>IF(S2364="","","Sim")</f>
        <v/>
      </c>
      <c r="U2364" s="41">
        <f>IF(T2364="Sim",S2364+ROW()/100000,0)</f>
        <v>0</v>
      </c>
      <c r="V2364" s="41">
        <f>IF(AND(H2364="Falta",L2364=Config!$B$7,M2364=Config!$B$5,COUNTIFS($E$5:E2364,E2364,$H$5:H2364,"Falta",$L$5:L2364,Config!$B$7,$M$5:M2364,Config!$B$5)=1),COUNTIFS($E$5:$E$3004,E2364,$H$5:$H$3004,"Falta",$L$5:$L$3004,Config!$B$7,$M$5:$M$3004,Config!$B$5)*1000-ROW()/100000,0)</f>
        <v>0</v>
      </c>
    </row>
    <row r="2365">
      <c r="A2365" s="39" t="n"/>
      <c r="B2365" s="40" t="n"/>
      <c r="C2365" s="35" t="n"/>
      <c r="D2365" s="35" t="n"/>
      <c r="E2365" s="34" t="n"/>
      <c r="F2365" s="35" t="n"/>
      <c r="G2365" s="35" t="n"/>
      <c r="H2365" s="35" t="n"/>
      <c r="I2365" s="35" t="n"/>
      <c r="J2365" s="35" t="n"/>
      <c r="K2365" s="34" t="n"/>
      <c r="L2365" s="26">
        <f>IF(A2365="","",MONTH(A2365))</f>
        <v/>
      </c>
      <c r="M2365" s="26">
        <f>IF(A2365="","",YEAR(A2365))</f>
        <v/>
      </c>
      <c r="N2365" s="26">
        <f>IF(A2365="","",CHOOSE(WEEKDAY(A2365,2),"Segunda","Terça","Quarta","Quinta","Sexta","Sábado","Domingo"))</f>
        <v/>
      </c>
      <c r="O2365" s="26">
        <f>IF(B2365="","",IF(B2365&lt;TIME(12,0,0),"Manhã",IF(B2365&lt;TIME(18,0,0),"Tarde","Noite")))</f>
        <v/>
      </c>
      <c r="P2365" s="32">
        <f>IF(G2365="","",IFERROR(INDEX(Config!$I$5:$I$16,MATCH(G2365,Config!$H$5:$H$16,0)),0))</f>
        <v/>
      </c>
      <c r="Q2365" s="30">
        <f>IF(OR(H2365&lt;&gt;"Realizado",P2365="",P2365=0),"",A2365+P2365)</f>
        <v/>
      </c>
      <c r="R2365" s="26">
        <f>IF(Q2365="","",IF(COUNTIFS($E$5:$E$3004,E2365,$A$5:$A$3004,"&gt;"&amp;A2365,$H$5:$H$3004,"&lt;&gt;Falta",$H$5:$H$3004,"&lt;&gt;Cancelado",$H$5:$H$3004,"&lt;&gt;Remarcado")&gt;0,"Sim","Não"))</f>
        <v/>
      </c>
      <c r="S2365" s="32">
        <f>IF(R2365&lt;&gt;"Não","",IF(Q2365+Config!$B$9&lt;=Config!$B$8,Config!$B$8-Q2365,""))</f>
        <v/>
      </c>
      <c r="T2365" s="26">
        <f>IF(S2365="","","Sim")</f>
        <v/>
      </c>
      <c r="U2365" s="41">
        <f>IF(T2365="Sim",S2365+ROW()/100000,0)</f>
        <v>0</v>
      </c>
      <c r="V2365" s="41">
        <f>IF(AND(H2365="Falta",L2365=Config!$B$7,M2365=Config!$B$5,COUNTIFS($E$5:E2365,E2365,$H$5:H2365,"Falta",$L$5:L2365,Config!$B$7,$M$5:M2365,Config!$B$5)=1),COUNTIFS($E$5:$E$3004,E2365,$H$5:$H$3004,"Falta",$L$5:$L$3004,Config!$B$7,$M$5:$M$3004,Config!$B$5)*1000-ROW()/100000,0)</f>
        <v>0</v>
      </c>
    </row>
    <row r="2366">
      <c r="A2366" s="39" t="n"/>
      <c r="B2366" s="40" t="n"/>
      <c r="C2366" s="35" t="n"/>
      <c r="D2366" s="35" t="n"/>
      <c r="E2366" s="34" t="n"/>
      <c r="F2366" s="35" t="n"/>
      <c r="G2366" s="35" t="n"/>
      <c r="H2366" s="35" t="n"/>
      <c r="I2366" s="35" t="n"/>
      <c r="J2366" s="35" t="n"/>
      <c r="K2366" s="34" t="n"/>
      <c r="L2366" s="26">
        <f>IF(A2366="","",MONTH(A2366))</f>
        <v/>
      </c>
      <c r="M2366" s="26">
        <f>IF(A2366="","",YEAR(A2366))</f>
        <v/>
      </c>
      <c r="N2366" s="26">
        <f>IF(A2366="","",CHOOSE(WEEKDAY(A2366,2),"Segunda","Terça","Quarta","Quinta","Sexta","Sábado","Domingo"))</f>
        <v/>
      </c>
      <c r="O2366" s="26">
        <f>IF(B2366="","",IF(B2366&lt;TIME(12,0,0),"Manhã",IF(B2366&lt;TIME(18,0,0),"Tarde","Noite")))</f>
        <v/>
      </c>
      <c r="P2366" s="32">
        <f>IF(G2366="","",IFERROR(INDEX(Config!$I$5:$I$16,MATCH(G2366,Config!$H$5:$H$16,0)),0))</f>
        <v/>
      </c>
      <c r="Q2366" s="30">
        <f>IF(OR(H2366&lt;&gt;"Realizado",P2366="",P2366=0),"",A2366+P2366)</f>
        <v/>
      </c>
      <c r="R2366" s="26">
        <f>IF(Q2366="","",IF(COUNTIFS($E$5:$E$3004,E2366,$A$5:$A$3004,"&gt;"&amp;A2366,$H$5:$H$3004,"&lt;&gt;Falta",$H$5:$H$3004,"&lt;&gt;Cancelado",$H$5:$H$3004,"&lt;&gt;Remarcado")&gt;0,"Sim","Não"))</f>
        <v/>
      </c>
      <c r="S2366" s="32">
        <f>IF(R2366&lt;&gt;"Não","",IF(Q2366+Config!$B$9&lt;=Config!$B$8,Config!$B$8-Q2366,""))</f>
        <v/>
      </c>
      <c r="T2366" s="26">
        <f>IF(S2366="","","Sim")</f>
        <v/>
      </c>
      <c r="U2366" s="41">
        <f>IF(T2366="Sim",S2366+ROW()/100000,0)</f>
        <v>0</v>
      </c>
      <c r="V2366" s="41">
        <f>IF(AND(H2366="Falta",L2366=Config!$B$7,M2366=Config!$B$5,COUNTIFS($E$5:E2366,E2366,$H$5:H2366,"Falta",$L$5:L2366,Config!$B$7,$M$5:M2366,Config!$B$5)=1),COUNTIFS($E$5:$E$3004,E2366,$H$5:$H$3004,"Falta",$L$5:$L$3004,Config!$B$7,$M$5:$M$3004,Config!$B$5)*1000-ROW()/100000,0)</f>
        <v>0</v>
      </c>
    </row>
    <row r="2367">
      <c r="A2367" s="39" t="n"/>
      <c r="B2367" s="40" t="n"/>
      <c r="C2367" s="35" t="n"/>
      <c r="D2367" s="35" t="n"/>
      <c r="E2367" s="34" t="n"/>
      <c r="F2367" s="35" t="n"/>
      <c r="G2367" s="35" t="n"/>
      <c r="H2367" s="35" t="n"/>
      <c r="I2367" s="35" t="n"/>
      <c r="J2367" s="35" t="n"/>
      <c r="K2367" s="34" t="n"/>
      <c r="L2367" s="26">
        <f>IF(A2367="","",MONTH(A2367))</f>
        <v/>
      </c>
      <c r="M2367" s="26">
        <f>IF(A2367="","",YEAR(A2367))</f>
        <v/>
      </c>
      <c r="N2367" s="26">
        <f>IF(A2367="","",CHOOSE(WEEKDAY(A2367,2),"Segunda","Terça","Quarta","Quinta","Sexta","Sábado","Domingo"))</f>
        <v/>
      </c>
      <c r="O2367" s="26">
        <f>IF(B2367="","",IF(B2367&lt;TIME(12,0,0),"Manhã",IF(B2367&lt;TIME(18,0,0),"Tarde","Noite")))</f>
        <v/>
      </c>
      <c r="P2367" s="32">
        <f>IF(G2367="","",IFERROR(INDEX(Config!$I$5:$I$16,MATCH(G2367,Config!$H$5:$H$16,0)),0))</f>
        <v/>
      </c>
      <c r="Q2367" s="30">
        <f>IF(OR(H2367&lt;&gt;"Realizado",P2367="",P2367=0),"",A2367+P2367)</f>
        <v/>
      </c>
      <c r="R2367" s="26">
        <f>IF(Q2367="","",IF(COUNTIFS($E$5:$E$3004,E2367,$A$5:$A$3004,"&gt;"&amp;A2367,$H$5:$H$3004,"&lt;&gt;Falta",$H$5:$H$3004,"&lt;&gt;Cancelado",$H$5:$H$3004,"&lt;&gt;Remarcado")&gt;0,"Sim","Não"))</f>
        <v/>
      </c>
      <c r="S2367" s="32">
        <f>IF(R2367&lt;&gt;"Não","",IF(Q2367+Config!$B$9&lt;=Config!$B$8,Config!$B$8-Q2367,""))</f>
        <v/>
      </c>
      <c r="T2367" s="26">
        <f>IF(S2367="","","Sim")</f>
        <v/>
      </c>
      <c r="U2367" s="41">
        <f>IF(T2367="Sim",S2367+ROW()/100000,0)</f>
        <v>0</v>
      </c>
      <c r="V2367" s="41">
        <f>IF(AND(H2367="Falta",L2367=Config!$B$7,M2367=Config!$B$5,COUNTIFS($E$5:E2367,E2367,$H$5:H2367,"Falta",$L$5:L2367,Config!$B$7,$M$5:M2367,Config!$B$5)=1),COUNTIFS($E$5:$E$3004,E2367,$H$5:$H$3004,"Falta",$L$5:$L$3004,Config!$B$7,$M$5:$M$3004,Config!$B$5)*1000-ROW()/100000,0)</f>
        <v>0</v>
      </c>
    </row>
    <row r="2368">
      <c r="A2368" s="39" t="n"/>
      <c r="B2368" s="40" t="n"/>
      <c r="C2368" s="35" t="n"/>
      <c r="D2368" s="35" t="n"/>
      <c r="E2368" s="34" t="n"/>
      <c r="F2368" s="35" t="n"/>
      <c r="G2368" s="35" t="n"/>
      <c r="H2368" s="35" t="n"/>
      <c r="I2368" s="35" t="n"/>
      <c r="J2368" s="35" t="n"/>
      <c r="K2368" s="34" t="n"/>
      <c r="L2368" s="26">
        <f>IF(A2368="","",MONTH(A2368))</f>
        <v/>
      </c>
      <c r="M2368" s="26">
        <f>IF(A2368="","",YEAR(A2368))</f>
        <v/>
      </c>
      <c r="N2368" s="26">
        <f>IF(A2368="","",CHOOSE(WEEKDAY(A2368,2),"Segunda","Terça","Quarta","Quinta","Sexta","Sábado","Domingo"))</f>
        <v/>
      </c>
      <c r="O2368" s="26">
        <f>IF(B2368="","",IF(B2368&lt;TIME(12,0,0),"Manhã",IF(B2368&lt;TIME(18,0,0),"Tarde","Noite")))</f>
        <v/>
      </c>
      <c r="P2368" s="32">
        <f>IF(G2368="","",IFERROR(INDEX(Config!$I$5:$I$16,MATCH(G2368,Config!$H$5:$H$16,0)),0))</f>
        <v/>
      </c>
      <c r="Q2368" s="30">
        <f>IF(OR(H2368&lt;&gt;"Realizado",P2368="",P2368=0),"",A2368+P2368)</f>
        <v/>
      </c>
      <c r="R2368" s="26">
        <f>IF(Q2368="","",IF(COUNTIFS($E$5:$E$3004,E2368,$A$5:$A$3004,"&gt;"&amp;A2368,$H$5:$H$3004,"&lt;&gt;Falta",$H$5:$H$3004,"&lt;&gt;Cancelado",$H$5:$H$3004,"&lt;&gt;Remarcado")&gt;0,"Sim","Não"))</f>
        <v/>
      </c>
      <c r="S2368" s="32">
        <f>IF(R2368&lt;&gt;"Não","",IF(Q2368+Config!$B$9&lt;=Config!$B$8,Config!$B$8-Q2368,""))</f>
        <v/>
      </c>
      <c r="T2368" s="26">
        <f>IF(S2368="","","Sim")</f>
        <v/>
      </c>
      <c r="U2368" s="41">
        <f>IF(T2368="Sim",S2368+ROW()/100000,0)</f>
        <v>0</v>
      </c>
      <c r="V2368" s="41">
        <f>IF(AND(H2368="Falta",L2368=Config!$B$7,M2368=Config!$B$5,COUNTIFS($E$5:E2368,E2368,$H$5:H2368,"Falta",$L$5:L2368,Config!$B$7,$M$5:M2368,Config!$B$5)=1),COUNTIFS($E$5:$E$3004,E2368,$H$5:$H$3004,"Falta",$L$5:$L$3004,Config!$B$7,$M$5:$M$3004,Config!$B$5)*1000-ROW()/100000,0)</f>
        <v>0</v>
      </c>
    </row>
    <row r="2369">
      <c r="A2369" s="39" t="n"/>
      <c r="B2369" s="40" t="n"/>
      <c r="C2369" s="35" t="n"/>
      <c r="D2369" s="35" t="n"/>
      <c r="E2369" s="34" t="n"/>
      <c r="F2369" s="35" t="n"/>
      <c r="G2369" s="35" t="n"/>
      <c r="H2369" s="35" t="n"/>
      <c r="I2369" s="35" t="n"/>
      <c r="J2369" s="35" t="n"/>
      <c r="K2369" s="34" t="n"/>
      <c r="L2369" s="26">
        <f>IF(A2369="","",MONTH(A2369))</f>
        <v/>
      </c>
      <c r="M2369" s="26">
        <f>IF(A2369="","",YEAR(A2369))</f>
        <v/>
      </c>
      <c r="N2369" s="26">
        <f>IF(A2369="","",CHOOSE(WEEKDAY(A2369,2),"Segunda","Terça","Quarta","Quinta","Sexta","Sábado","Domingo"))</f>
        <v/>
      </c>
      <c r="O2369" s="26">
        <f>IF(B2369="","",IF(B2369&lt;TIME(12,0,0),"Manhã",IF(B2369&lt;TIME(18,0,0),"Tarde","Noite")))</f>
        <v/>
      </c>
      <c r="P2369" s="32">
        <f>IF(G2369="","",IFERROR(INDEX(Config!$I$5:$I$16,MATCH(G2369,Config!$H$5:$H$16,0)),0))</f>
        <v/>
      </c>
      <c r="Q2369" s="30">
        <f>IF(OR(H2369&lt;&gt;"Realizado",P2369="",P2369=0),"",A2369+P2369)</f>
        <v/>
      </c>
      <c r="R2369" s="26">
        <f>IF(Q2369="","",IF(COUNTIFS($E$5:$E$3004,E2369,$A$5:$A$3004,"&gt;"&amp;A2369,$H$5:$H$3004,"&lt;&gt;Falta",$H$5:$H$3004,"&lt;&gt;Cancelado",$H$5:$H$3004,"&lt;&gt;Remarcado")&gt;0,"Sim","Não"))</f>
        <v/>
      </c>
      <c r="S2369" s="32">
        <f>IF(R2369&lt;&gt;"Não","",IF(Q2369+Config!$B$9&lt;=Config!$B$8,Config!$B$8-Q2369,""))</f>
        <v/>
      </c>
      <c r="T2369" s="26">
        <f>IF(S2369="","","Sim")</f>
        <v/>
      </c>
      <c r="U2369" s="41">
        <f>IF(T2369="Sim",S2369+ROW()/100000,0)</f>
        <v>0</v>
      </c>
      <c r="V2369" s="41">
        <f>IF(AND(H2369="Falta",L2369=Config!$B$7,M2369=Config!$B$5,COUNTIFS($E$5:E2369,E2369,$H$5:H2369,"Falta",$L$5:L2369,Config!$B$7,$M$5:M2369,Config!$B$5)=1),COUNTIFS($E$5:$E$3004,E2369,$H$5:$H$3004,"Falta",$L$5:$L$3004,Config!$B$7,$M$5:$M$3004,Config!$B$5)*1000-ROW()/100000,0)</f>
        <v>0</v>
      </c>
    </row>
    <row r="2370">
      <c r="A2370" s="39" t="n"/>
      <c r="B2370" s="40" t="n"/>
      <c r="C2370" s="35" t="n"/>
      <c r="D2370" s="35" t="n"/>
      <c r="E2370" s="34" t="n"/>
      <c r="F2370" s="35" t="n"/>
      <c r="G2370" s="35" t="n"/>
      <c r="H2370" s="35" t="n"/>
      <c r="I2370" s="35" t="n"/>
      <c r="J2370" s="35" t="n"/>
      <c r="K2370" s="34" t="n"/>
      <c r="L2370" s="26">
        <f>IF(A2370="","",MONTH(A2370))</f>
        <v/>
      </c>
      <c r="M2370" s="26">
        <f>IF(A2370="","",YEAR(A2370))</f>
        <v/>
      </c>
      <c r="N2370" s="26">
        <f>IF(A2370="","",CHOOSE(WEEKDAY(A2370,2),"Segunda","Terça","Quarta","Quinta","Sexta","Sábado","Domingo"))</f>
        <v/>
      </c>
      <c r="O2370" s="26">
        <f>IF(B2370="","",IF(B2370&lt;TIME(12,0,0),"Manhã",IF(B2370&lt;TIME(18,0,0),"Tarde","Noite")))</f>
        <v/>
      </c>
      <c r="P2370" s="32">
        <f>IF(G2370="","",IFERROR(INDEX(Config!$I$5:$I$16,MATCH(G2370,Config!$H$5:$H$16,0)),0))</f>
        <v/>
      </c>
      <c r="Q2370" s="30">
        <f>IF(OR(H2370&lt;&gt;"Realizado",P2370="",P2370=0),"",A2370+P2370)</f>
        <v/>
      </c>
      <c r="R2370" s="26">
        <f>IF(Q2370="","",IF(COUNTIFS($E$5:$E$3004,E2370,$A$5:$A$3004,"&gt;"&amp;A2370,$H$5:$H$3004,"&lt;&gt;Falta",$H$5:$H$3004,"&lt;&gt;Cancelado",$H$5:$H$3004,"&lt;&gt;Remarcado")&gt;0,"Sim","Não"))</f>
        <v/>
      </c>
      <c r="S2370" s="32">
        <f>IF(R2370&lt;&gt;"Não","",IF(Q2370+Config!$B$9&lt;=Config!$B$8,Config!$B$8-Q2370,""))</f>
        <v/>
      </c>
      <c r="T2370" s="26">
        <f>IF(S2370="","","Sim")</f>
        <v/>
      </c>
      <c r="U2370" s="41">
        <f>IF(T2370="Sim",S2370+ROW()/100000,0)</f>
        <v>0</v>
      </c>
      <c r="V2370" s="41">
        <f>IF(AND(H2370="Falta",L2370=Config!$B$7,M2370=Config!$B$5,COUNTIFS($E$5:E2370,E2370,$H$5:H2370,"Falta",$L$5:L2370,Config!$B$7,$M$5:M2370,Config!$B$5)=1),COUNTIFS($E$5:$E$3004,E2370,$H$5:$H$3004,"Falta",$L$5:$L$3004,Config!$B$7,$M$5:$M$3004,Config!$B$5)*1000-ROW()/100000,0)</f>
        <v>0</v>
      </c>
    </row>
    <row r="2371">
      <c r="A2371" s="39" t="n"/>
      <c r="B2371" s="40" t="n"/>
      <c r="C2371" s="35" t="n"/>
      <c r="D2371" s="35" t="n"/>
      <c r="E2371" s="34" t="n"/>
      <c r="F2371" s="35" t="n"/>
      <c r="G2371" s="35" t="n"/>
      <c r="H2371" s="35" t="n"/>
      <c r="I2371" s="35" t="n"/>
      <c r="J2371" s="35" t="n"/>
      <c r="K2371" s="34" t="n"/>
      <c r="L2371" s="26">
        <f>IF(A2371="","",MONTH(A2371))</f>
        <v/>
      </c>
      <c r="M2371" s="26">
        <f>IF(A2371="","",YEAR(A2371))</f>
        <v/>
      </c>
      <c r="N2371" s="26">
        <f>IF(A2371="","",CHOOSE(WEEKDAY(A2371,2),"Segunda","Terça","Quarta","Quinta","Sexta","Sábado","Domingo"))</f>
        <v/>
      </c>
      <c r="O2371" s="26">
        <f>IF(B2371="","",IF(B2371&lt;TIME(12,0,0),"Manhã",IF(B2371&lt;TIME(18,0,0),"Tarde","Noite")))</f>
        <v/>
      </c>
      <c r="P2371" s="32">
        <f>IF(G2371="","",IFERROR(INDEX(Config!$I$5:$I$16,MATCH(G2371,Config!$H$5:$H$16,0)),0))</f>
        <v/>
      </c>
      <c r="Q2371" s="30">
        <f>IF(OR(H2371&lt;&gt;"Realizado",P2371="",P2371=0),"",A2371+P2371)</f>
        <v/>
      </c>
      <c r="R2371" s="26">
        <f>IF(Q2371="","",IF(COUNTIFS($E$5:$E$3004,E2371,$A$5:$A$3004,"&gt;"&amp;A2371,$H$5:$H$3004,"&lt;&gt;Falta",$H$5:$H$3004,"&lt;&gt;Cancelado",$H$5:$H$3004,"&lt;&gt;Remarcado")&gt;0,"Sim","Não"))</f>
        <v/>
      </c>
      <c r="S2371" s="32">
        <f>IF(R2371&lt;&gt;"Não","",IF(Q2371+Config!$B$9&lt;=Config!$B$8,Config!$B$8-Q2371,""))</f>
        <v/>
      </c>
      <c r="T2371" s="26">
        <f>IF(S2371="","","Sim")</f>
        <v/>
      </c>
      <c r="U2371" s="41">
        <f>IF(T2371="Sim",S2371+ROW()/100000,0)</f>
        <v>0</v>
      </c>
      <c r="V2371" s="41">
        <f>IF(AND(H2371="Falta",L2371=Config!$B$7,M2371=Config!$B$5,COUNTIFS($E$5:E2371,E2371,$H$5:H2371,"Falta",$L$5:L2371,Config!$B$7,$M$5:M2371,Config!$B$5)=1),COUNTIFS($E$5:$E$3004,E2371,$H$5:$H$3004,"Falta",$L$5:$L$3004,Config!$B$7,$M$5:$M$3004,Config!$B$5)*1000-ROW()/100000,0)</f>
        <v>0</v>
      </c>
    </row>
    <row r="2372">
      <c r="A2372" s="39" t="n"/>
      <c r="B2372" s="40" t="n"/>
      <c r="C2372" s="35" t="n"/>
      <c r="D2372" s="35" t="n"/>
      <c r="E2372" s="34" t="n"/>
      <c r="F2372" s="35" t="n"/>
      <c r="G2372" s="35" t="n"/>
      <c r="H2372" s="35" t="n"/>
      <c r="I2372" s="35" t="n"/>
      <c r="J2372" s="35" t="n"/>
      <c r="K2372" s="34" t="n"/>
      <c r="L2372" s="26">
        <f>IF(A2372="","",MONTH(A2372))</f>
        <v/>
      </c>
      <c r="M2372" s="26">
        <f>IF(A2372="","",YEAR(A2372))</f>
        <v/>
      </c>
      <c r="N2372" s="26">
        <f>IF(A2372="","",CHOOSE(WEEKDAY(A2372,2),"Segunda","Terça","Quarta","Quinta","Sexta","Sábado","Domingo"))</f>
        <v/>
      </c>
      <c r="O2372" s="26">
        <f>IF(B2372="","",IF(B2372&lt;TIME(12,0,0),"Manhã",IF(B2372&lt;TIME(18,0,0),"Tarde","Noite")))</f>
        <v/>
      </c>
      <c r="P2372" s="32">
        <f>IF(G2372="","",IFERROR(INDEX(Config!$I$5:$I$16,MATCH(G2372,Config!$H$5:$H$16,0)),0))</f>
        <v/>
      </c>
      <c r="Q2372" s="30">
        <f>IF(OR(H2372&lt;&gt;"Realizado",P2372="",P2372=0),"",A2372+P2372)</f>
        <v/>
      </c>
      <c r="R2372" s="26">
        <f>IF(Q2372="","",IF(COUNTIFS($E$5:$E$3004,E2372,$A$5:$A$3004,"&gt;"&amp;A2372,$H$5:$H$3004,"&lt;&gt;Falta",$H$5:$H$3004,"&lt;&gt;Cancelado",$H$5:$H$3004,"&lt;&gt;Remarcado")&gt;0,"Sim","Não"))</f>
        <v/>
      </c>
      <c r="S2372" s="32">
        <f>IF(R2372&lt;&gt;"Não","",IF(Q2372+Config!$B$9&lt;=Config!$B$8,Config!$B$8-Q2372,""))</f>
        <v/>
      </c>
      <c r="T2372" s="26">
        <f>IF(S2372="","","Sim")</f>
        <v/>
      </c>
      <c r="U2372" s="41">
        <f>IF(T2372="Sim",S2372+ROW()/100000,0)</f>
        <v>0</v>
      </c>
      <c r="V2372" s="41">
        <f>IF(AND(H2372="Falta",L2372=Config!$B$7,M2372=Config!$B$5,COUNTIFS($E$5:E2372,E2372,$H$5:H2372,"Falta",$L$5:L2372,Config!$B$7,$M$5:M2372,Config!$B$5)=1),COUNTIFS($E$5:$E$3004,E2372,$H$5:$H$3004,"Falta",$L$5:$L$3004,Config!$B$7,$M$5:$M$3004,Config!$B$5)*1000-ROW()/100000,0)</f>
        <v>0</v>
      </c>
    </row>
    <row r="2373">
      <c r="A2373" s="39" t="n"/>
      <c r="B2373" s="40" t="n"/>
      <c r="C2373" s="35" t="n"/>
      <c r="D2373" s="35" t="n"/>
      <c r="E2373" s="34" t="n"/>
      <c r="F2373" s="35" t="n"/>
      <c r="G2373" s="35" t="n"/>
      <c r="H2373" s="35" t="n"/>
      <c r="I2373" s="35" t="n"/>
      <c r="J2373" s="35" t="n"/>
      <c r="K2373" s="34" t="n"/>
      <c r="L2373" s="26">
        <f>IF(A2373="","",MONTH(A2373))</f>
        <v/>
      </c>
      <c r="M2373" s="26">
        <f>IF(A2373="","",YEAR(A2373))</f>
        <v/>
      </c>
      <c r="N2373" s="26">
        <f>IF(A2373="","",CHOOSE(WEEKDAY(A2373,2),"Segunda","Terça","Quarta","Quinta","Sexta","Sábado","Domingo"))</f>
        <v/>
      </c>
      <c r="O2373" s="26">
        <f>IF(B2373="","",IF(B2373&lt;TIME(12,0,0),"Manhã",IF(B2373&lt;TIME(18,0,0),"Tarde","Noite")))</f>
        <v/>
      </c>
      <c r="P2373" s="32">
        <f>IF(G2373="","",IFERROR(INDEX(Config!$I$5:$I$16,MATCH(G2373,Config!$H$5:$H$16,0)),0))</f>
        <v/>
      </c>
      <c r="Q2373" s="30">
        <f>IF(OR(H2373&lt;&gt;"Realizado",P2373="",P2373=0),"",A2373+P2373)</f>
        <v/>
      </c>
      <c r="R2373" s="26">
        <f>IF(Q2373="","",IF(COUNTIFS($E$5:$E$3004,E2373,$A$5:$A$3004,"&gt;"&amp;A2373,$H$5:$H$3004,"&lt;&gt;Falta",$H$5:$H$3004,"&lt;&gt;Cancelado",$H$5:$H$3004,"&lt;&gt;Remarcado")&gt;0,"Sim","Não"))</f>
        <v/>
      </c>
      <c r="S2373" s="32">
        <f>IF(R2373&lt;&gt;"Não","",IF(Q2373+Config!$B$9&lt;=Config!$B$8,Config!$B$8-Q2373,""))</f>
        <v/>
      </c>
      <c r="T2373" s="26">
        <f>IF(S2373="","","Sim")</f>
        <v/>
      </c>
      <c r="U2373" s="41">
        <f>IF(T2373="Sim",S2373+ROW()/100000,0)</f>
        <v>0</v>
      </c>
      <c r="V2373" s="41">
        <f>IF(AND(H2373="Falta",L2373=Config!$B$7,M2373=Config!$B$5,COUNTIFS($E$5:E2373,E2373,$H$5:H2373,"Falta",$L$5:L2373,Config!$B$7,$M$5:M2373,Config!$B$5)=1),COUNTIFS($E$5:$E$3004,E2373,$H$5:$H$3004,"Falta",$L$5:$L$3004,Config!$B$7,$M$5:$M$3004,Config!$B$5)*1000-ROW()/100000,0)</f>
        <v>0</v>
      </c>
    </row>
    <row r="2374">
      <c r="A2374" s="39" t="n"/>
      <c r="B2374" s="40" t="n"/>
      <c r="C2374" s="35" t="n"/>
      <c r="D2374" s="35" t="n"/>
      <c r="E2374" s="34" t="n"/>
      <c r="F2374" s="35" t="n"/>
      <c r="G2374" s="35" t="n"/>
      <c r="H2374" s="35" t="n"/>
      <c r="I2374" s="35" t="n"/>
      <c r="J2374" s="35" t="n"/>
      <c r="K2374" s="34" t="n"/>
      <c r="L2374" s="26">
        <f>IF(A2374="","",MONTH(A2374))</f>
        <v/>
      </c>
      <c r="M2374" s="26">
        <f>IF(A2374="","",YEAR(A2374))</f>
        <v/>
      </c>
      <c r="N2374" s="26">
        <f>IF(A2374="","",CHOOSE(WEEKDAY(A2374,2),"Segunda","Terça","Quarta","Quinta","Sexta","Sábado","Domingo"))</f>
        <v/>
      </c>
      <c r="O2374" s="26">
        <f>IF(B2374="","",IF(B2374&lt;TIME(12,0,0),"Manhã",IF(B2374&lt;TIME(18,0,0),"Tarde","Noite")))</f>
        <v/>
      </c>
      <c r="P2374" s="32">
        <f>IF(G2374="","",IFERROR(INDEX(Config!$I$5:$I$16,MATCH(G2374,Config!$H$5:$H$16,0)),0))</f>
        <v/>
      </c>
      <c r="Q2374" s="30">
        <f>IF(OR(H2374&lt;&gt;"Realizado",P2374="",P2374=0),"",A2374+P2374)</f>
        <v/>
      </c>
      <c r="R2374" s="26">
        <f>IF(Q2374="","",IF(COUNTIFS($E$5:$E$3004,E2374,$A$5:$A$3004,"&gt;"&amp;A2374,$H$5:$H$3004,"&lt;&gt;Falta",$H$5:$H$3004,"&lt;&gt;Cancelado",$H$5:$H$3004,"&lt;&gt;Remarcado")&gt;0,"Sim","Não"))</f>
        <v/>
      </c>
      <c r="S2374" s="32">
        <f>IF(R2374&lt;&gt;"Não","",IF(Q2374+Config!$B$9&lt;=Config!$B$8,Config!$B$8-Q2374,""))</f>
        <v/>
      </c>
      <c r="T2374" s="26">
        <f>IF(S2374="","","Sim")</f>
        <v/>
      </c>
      <c r="U2374" s="41">
        <f>IF(T2374="Sim",S2374+ROW()/100000,0)</f>
        <v>0</v>
      </c>
      <c r="V2374" s="41">
        <f>IF(AND(H2374="Falta",L2374=Config!$B$7,M2374=Config!$B$5,COUNTIFS($E$5:E2374,E2374,$H$5:H2374,"Falta",$L$5:L2374,Config!$B$7,$M$5:M2374,Config!$B$5)=1),COUNTIFS($E$5:$E$3004,E2374,$H$5:$H$3004,"Falta",$L$5:$L$3004,Config!$B$7,$M$5:$M$3004,Config!$B$5)*1000-ROW()/100000,0)</f>
        <v>0</v>
      </c>
    </row>
    <row r="2375">
      <c r="A2375" s="39" t="n"/>
      <c r="B2375" s="40" t="n"/>
      <c r="C2375" s="35" t="n"/>
      <c r="D2375" s="35" t="n"/>
      <c r="E2375" s="34" t="n"/>
      <c r="F2375" s="35" t="n"/>
      <c r="G2375" s="35" t="n"/>
      <c r="H2375" s="35" t="n"/>
      <c r="I2375" s="35" t="n"/>
      <c r="J2375" s="35" t="n"/>
      <c r="K2375" s="34" t="n"/>
      <c r="L2375" s="26">
        <f>IF(A2375="","",MONTH(A2375))</f>
        <v/>
      </c>
      <c r="M2375" s="26">
        <f>IF(A2375="","",YEAR(A2375))</f>
        <v/>
      </c>
      <c r="N2375" s="26">
        <f>IF(A2375="","",CHOOSE(WEEKDAY(A2375,2),"Segunda","Terça","Quarta","Quinta","Sexta","Sábado","Domingo"))</f>
        <v/>
      </c>
      <c r="O2375" s="26">
        <f>IF(B2375="","",IF(B2375&lt;TIME(12,0,0),"Manhã",IF(B2375&lt;TIME(18,0,0),"Tarde","Noite")))</f>
        <v/>
      </c>
      <c r="P2375" s="32">
        <f>IF(G2375="","",IFERROR(INDEX(Config!$I$5:$I$16,MATCH(G2375,Config!$H$5:$H$16,0)),0))</f>
        <v/>
      </c>
      <c r="Q2375" s="30">
        <f>IF(OR(H2375&lt;&gt;"Realizado",P2375="",P2375=0),"",A2375+P2375)</f>
        <v/>
      </c>
      <c r="R2375" s="26">
        <f>IF(Q2375="","",IF(COUNTIFS($E$5:$E$3004,E2375,$A$5:$A$3004,"&gt;"&amp;A2375,$H$5:$H$3004,"&lt;&gt;Falta",$H$5:$H$3004,"&lt;&gt;Cancelado",$H$5:$H$3004,"&lt;&gt;Remarcado")&gt;0,"Sim","Não"))</f>
        <v/>
      </c>
      <c r="S2375" s="32">
        <f>IF(R2375&lt;&gt;"Não","",IF(Q2375+Config!$B$9&lt;=Config!$B$8,Config!$B$8-Q2375,""))</f>
        <v/>
      </c>
      <c r="T2375" s="26">
        <f>IF(S2375="","","Sim")</f>
        <v/>
      </c>
      <c r="U2375" s="41">
        <f>IF(T2375="Sim",S2375+ROW()/100000,0)</f>
        <v>0</v>
      </c>
      <c r="V2375" s="41">
        <f>IF(AND(H2375="Falta",L2375=Config!$B$7,M2375=Config!$B$5,COUNTIFS($E$5:E2375,E2375,$H$5:H2375,"Falta",$L$5:L2375,Config!$B$7,$M$5:M2375,Config!$B$5)=1),COUNTIFS($E$5:$E$3004,E2375,$H$5:$H$3004,"Falta",$L$5:$L$3004,Config!$B$7,$M$5:$M$3004,Config!$B$5)*1000-ROW()/100000,0)</f>
        <v>0</v>
      </c>
    </row>
    <row r="2376">
      <c r="A2376" s="39" t="n"/>
      <c r="B2376" s="40" t="n"/>
      <c r="C2376" s="35" t="n"/>
      <c r="D2376" s="35" t="n"/>
      <c r="E2376" s="34" t="n"/>
      <c r="F2376" s="35" t="n"/>
      <c r="G2376" s="35" t="n"/>
      <c r="H2376" s="35" t="n"/>
      <c r="I2376" s="35" t="n"/>
      <c r="J2376" s="35" t="n"/>
      <c r="K2376" s="34" t="n"/>
      <c r="L2376" s="26">
        <f>IF(A2376="","",MONTH(A2376))</f>
        <v/>
      </c>
      <c r="M2376" s="26">
        <f>IF(A2376="","",YEAR(A2376))</f>
        <v/>
      </c>
      <c r="N2376" s="26">
        <f>IF(A2376="","",CHOOSE(WEEKDAY(A2376,2),"Segunda","Terça","Quarta","Quinta","Sexta","Sábado","Domingo"))</f>
        <v/>
      </c>
      <c r="O2376" s="26">
        <f>IF(B2376="","",IF(B2376&lt;TIME(12,0,0),"Manhã",IF(B2376&lt;TIME(18,0,0),"Tarde","Noite")))</f>
        <v/>
      </c>
      <c r="P2376" s="32">
        <f>IF(G2376="","",IFERROR(INDEX(Config!$I$5:$I$16,MATCH(G2376,Config!$H$5:$H$16,0)),0))</f>
        <v/>
      </c>
      <c r="Q2376" s="30">
        <f>IF(OR(H2376&lt;&gt;"Realizado",P2376="",P2376=0),"",A2376+P2376)</f>
        <v/>
      </c>
      <c r="R2376" s="26">
        <f>IF(Q2376="","",IF(COUNTIFS($E$5:$E$3004,E2376,$A$5:$A$3004,"&gt;"&amp;A2376,$H$5:$H$3004,"&lt;&gt;Falta",$H$5:$H$3004,"&lt;&gt;Cancelado",$H$5:$H$3004,"&lt;&gt;Remarcado")&gt;0,"Sim","Não"))</f>
        <v/>
      </c>
      <c r="S2376" s="32">
        <f>IF(R2376&lt;&gt;"Não","",IF(Q2376+Config!$B$9&lt;=Config!$B$8,Config!$B$8-Q2376,""))</f>
        <v/>
      </c>
      <c r="T2376" s="26">
        <f>IF(S2376="","","Sim")</f>
        <v/>
      </c>
      <c r="U2376" s="41">
        <f>IF(T2376="Sim",S2376+ROW()/100000,0)</f>
        <v>0</v>
      </c>
      <c r="V2376" s="41">
        <f>IF(AND(H2376="Falta",L2376=Config!$B$7,M2376=Config!$B$5,COUNTIFS($E$5:E2376,E2376,$H$5:H2376,"Falta",$L$5:L2376,Config!$B$7,$M$5:M2376,Config!$B$5)=1),COUNTIFS($E$5:$E$3004,E2376,$H$5:$H$3004,"Falta",$L$5:$L$3004,Config!$B$7,$M$5:$M$3004,Config!$B$5)*1000-ROW()/100000,0)</f>
        <v>0</v>
      </c>
    </row>
    <row r="2377">
      <c r="A2377" s="39" t="n"/>
      <c r="B2377" s="40" t="n"/>
      <c r="C2377" s="35" t="n"/>
      <c r="D2377" s="35" t="n"/>
      <c r="E2377" s="34" t="n"/>
      <c r="F2377" s="35" t="n"/>
      <c r="G2377" s="35" t="n"/>
      <c r="H2377" s="35" t="n"/>
      <c r="I2377" s="35" t="n"/>
      <c r="J2377" s="35" t="n"/>
      <c r="K2377" s="34" t="n"/>
      <c r="L2377" s="26">
        <f>IF(A2377="","",MONTH(A2377))</f>
        <v/>
      </c>
      <c r="M2377" s="26">
        <f>IF(A2377="","",YEAR(A2377))</f>
        <v/>
      </c>
      <c r="N2377" s="26">
        <f>IF(A2377="","",CHOOSE(WEEKDAY(A2377,2),"Segunda","Terça","Quarta","Quinta","Sexta","Sábado","Domingo"))</f>
        <v/>
      </c>
      <c r="O2377" s="26">
        <f>IF(B2377="","",IF(B2377&lt;TIME(12,0,0),"Manhã",IF(B2377&lt;TIME(18,0,0),"Tarde","Noite")))</f>
        <v/>
      </c>
      <c r="P2377" s="32">
        <f>IF(G2377="","",IFERROR(INDEX(Config!$I$5:$I$16,MATCH(G2377,Config!$H$5:$H$16,0)),0))</f>
        <v/>
      </c>
      <c r="Q2377" s="30">
        <f>IF(OR(H2377&lt;&gt;"Realizado",P2377="",P2377=0),"",A2377+P2377)</f>
        <v/>
      </c>
      <c r="R2377" s="26">
        <f>IF(Q2377="","",IF(COUNTIFS($E$5:$E$3004,E2377,$A$5:$A$3004,"&gt;"&amp;A2377,$H$5:$H$3004,"&lt;&gt;Falta",$H$5:$H$3004,"&lt;&gt;Cancelado",$H$5:$H$3004,"&lt;&gt;Remarcado")&gt;0,"Sim","Não"))</f>
        <v/>
      </c>
      <c r="S2377" s="32">
        <f>IF(R2377&lt;&gt;"Não","",IF(Q2377+Config!$B$9&lt;=Config!$B$8,Config!$B$8-Q2377,""))</f>
        <v/>
      </c>
      <c r="T2377" s="26">
        <f>IF(S2377="","","Sim")</f>
        <v/>
      </c>
      <c r="U2377" s="41">
        <f>IF(T2377="Sim",S2377+ROW()/100000,0)</f>
        <v>0</v>
      </c>
      <c r="V2377" s="41">
        <f>IF(AND(H2377="Falta",L2377=Config!$B$7,M2377=Config!$B$5,COUNTIFS($E$5:E2377,E2377,$H$5:H2377,"Falta",$L$5:L2377,Config!$B$7,$M$5:M2377,Config!$B$5)=1),COUNTIFS($E$5:$E$3004,E2377,$H$5:$H$3004,"Falta",$L$5:$L$3004,Config!$B$7,$M$5:$M$3004,Config!$B$5)*1000-ROW()/100000,0)</f>
        <v>0</v>
      </c>
    </row>
    <row r="2378">
      <c r="A2378" s="39" t="n"/>
      <c r="B2378" s="40" t="n"/>
      <c r="C2378" s="35" t="n"/>
      <c r="D2378" s="35" t="n"/>
      <c r="E2378" s="34" t="n"/>
      <c r="F2378" s="35" t="n"/>
      <c r="G2378" s="35" t="n"/>
      <c r="H2378" s="35" t="n"/>
      <c r="I2378" s="35" t="n"/>
      <c r="J2378" s="35" t="n"/>
      <c r="K2378" s="34" t="n"/>
      <c r="L2378" s="26">
        <f>IF(A2378="","",MONTH(A2378))</f>
        <v/>
      </c>
      <c r="M2378" s="26">
        <f>IF(A2378="","",YEAR(A2378))</f>
        <v/>
      </c>
      <c r="N2378" s="26">
        <f>IF(A2378="","",CHOOSE(WEEKDAY(A2378,2),"Segunda","Terça","Quarta","Quinta","Sexta","Sábado","Domingo"))</f>
        <v/>
      </c>
      <c r="O2378" s="26">
        <f>IF(B2378="","",IF(B2378&lt;TIME(12,0,0),"Manhã",IF(B2378&lt;TIME(18,0,0),"Tarde","Noite")))</f>
        <v/>
      </c>
      <c r="P2378" s="32">
        <f>IF(G2378="","",IFERROR(INDEX(Config!$I$5:$I$16,MATCH(G2378,Config!$H$5:$H$16,0)),0))</f>
        <v/>
      </c>
      <c r="Q2378" s="30">
        <f>IF(OR(H2378&lt;&gt;"Realizado",P2378="",P2378=0),"",A2378+P2378)</f>
        <v/>
      </c>
      <c r="R2378" s="26">
        <f>IF(Q2378="","",IF(COUNTIFS($E$5:$E$3004,E2378,$A$5:$A$3004,"&gt;"&amp;A2378,$H$5:$H$3004,"&lt;&gt;Falta",$H$5:$H$3004,"&lt;&gt;Cancelado",$H$5:$H$3004,"&lt;&gt;Remarcado")&gt;0,"Sim","Não"))</f>
        <v/>
      </c>
      <c r="S2378" s="32">
        <f>IF(R2378&lt;&gt;"Não","",IF(Q2378+Config!$B$9&lt;=Config!$B$8,Config!$B$8-Q2378,""))</f>
        <v/>
      </c>
      <c r="T2378" s="26">
        <f>IF(S2378="","","Sim")</f>
        <v/>
      </c>
      <c r="U2378" s="41">
        <f>IF(T2378="Sim",S2378+ROW()/100000,0)</f>
        <v>0</v>
      </c>
      <c r="V2378" s="41">
        <f>IF(AND(H2378="Falta",L2378=Config!$B$7,M2378=Config!$B$5,COUNTIFS($E$5:E2378,E2378,$H$5:H2378,"Falta",$L$5:L2378,Config!$B$7,$M$5:M2378,Config!$B$5)=1),COUNTIFS($E$5:$E$3004,E2378,$H$5:$H$3004,"Falta",$L$5:$L$3004,Config!$B$7,$M$5:$M$3004,Config!$B$5)*1000-ROW()/100000,0)</f>
        <v>0</v>
      </c>
    </row>
    <row r="2379">
      <c r="A2379" s="39" t="n"/>
      <c r="B2379" s="40" t="n"/>
      <c r="C2379" s="35" t="n"/>
      <c r="D2379" s="35" t="n"/>
      <c r="E2379" s="34" t="n"/>
      <c r="F2379" s="35" t="n"/>
      <c r="G2379" s="35" t="n"/>
      <c r="H2379" s="35" t="n"/>
      <c r="I2379" s="35" t="n"/>
      <c r="J2379" s="35" t="n"/>
      <c r="K2379" s="34" t="n"/>
      <c r="L2379" s="26">
        <f>IF(A2379="","",MONTH(A2379))</f>
        <v/>
      </c>
      <c r="M2379" s="26">
        <f>IF(A2379="","",YEAR(A2379))</f>
        <v/>
      </c>
      <c r="N2379" s="26">
        <f>IF(A2379="","",CHOOSE(WEEKDAY(A2379,2),"Segunda","Terça","Quarta","Quinta","Sexta","Sábado","Domingo"))</f>
        <v/>
      </c>
      <c r="O2379" s="26">
        <f>IF(B2379="","",IF(B2379&lt;TIME(12,0,0),"Manhã",IF(B2379&lt;TIME(18,0,0),"Tarde","Noite")))</f>
        <v/>
      </c>
      <c r="P2379" s="32">
        <f>IF(G2379="","",IFERROR(INDEX(Config!$I$5:$I$16,MATCH(G2379,Config!$H$5:$H$16,0)),0))</f>
        <v/>
      </c>
      <c r="Q2379" s="30">
        <f>IF(OR(H2379&lt;&gt;"Realizado",P2379="",P2379=0),"",A2379+P2379)</f>
        <v/>
      </c>
      <c r="R2379" s="26">
        <f>IF(Q2379="","",IF(COUNTIFS($E$5:$E$3004,E2379,$A$5:$A$3004,"&gt;"&amp;A2379,$H$5:$H$3004,"&lt;&gt;Falta",$H$5:$H$3004,"&lt;&gt;Cancelado",$H$5:$H$3004,"&lt;&gt;Remarcado")&gt;0,"Sim","Não"))</f>
        <v/>
      </c>
      <c r="S2379" s="32">
        <f>IF(R2379&lt;&gt;"Não","",IF(Q2379+Config!$B$9&lt;=Config!$B$8,Config!$B$8-Q2379,""))</f>
        <v/>
      </c>
      <c r="T2379" s="26">
        <f>IF(S2379="","","Sim")</f>
        <v/>
      </c>
      <c r="U2379" s="41">
        <f>IF(T2379="Sim",S2379+ROW()/100000,0)</f>
        <v>0</v>
      </c>
      <c r="V2379" s="41">
        <f>IF(AND(H2379="Falta",L2379=Config!$B$7,M2379=Config!$B$5,COUNTIFS($E$5:E2379,E2379,$H$5:H2379,"Falta",$L$5:L2379,Config!$B$7,$M$5:M2379,Config!$B$5)=1),COUNTIFS($E$5:$E$3004,E2379,$H$5:$H$3004,"Falta",$L$5:$L$3004,Config!$B$7,$M$5:$M$3004,Config!$B$5)*1000-ROW()/100000,0)</f>
        <v>0</v>
      </c>
    </row>
    <row r="2380">
      <c r="A2380" s="39" t="n"/>
      <c r="B2380" s="40" t="n"/>
      <c r="C2380" s="35" t="n"/>
      <c r="D2380" s="35" t="n"/>
      <c r="E2380" s="34" t="n"/>
      <c r="F2380" s="35" t="n"/>
      <c r="G2380" s="35" t="n"/>
      <c r="H2380" s="35" t="n"/>
      <c r="I2380" s="35" t="n"/>
      <c r="J2380" s="35" t="n"/>
      <c r="K2380" s="34" t="n"/>
      <c r="L2380" s="26">
        <f>IF(A2380="","",MONTH(A2380))</f>
        <v/>
      </c>
      <c r="M2380" s="26">
        <f>IF(A2380="","",YEAR(A2380))</f>
        <v/>
      </c>
      <c r="N2380" s="26">
        <f>IF(A2380="","",CHOOSE(WEEKDAY(A2380,2),"Segunda","Terça","Quarta","Quinta","Sexta","Sábado","Domingo"))</f>
        <v/>
      </c>
      <c r="O2380" s="26">
        <f>IF(B2380="","",IF(B2380&lt;TIME(12,0,0),"Manhã",IF(B2380&lt;TIME(18,0,0),"Tarde","Noite")))</f>
        <v/>
      </c>
      <c r="P2380" s="32">
        <f>IF(G2380="","",IFERROR(INDEX(Config!$I$5:$I$16,MATCH(G2380,Config!$H$5:$H$16,0)),0))</f>
        <v/>
      </c>
      <c r="Q2380" s="30">
        <f>IF(OR(H2380&lt;&gt;"Realizado",P2380="",P2380=0),"",A2380+P2380)</f>
        <v/>
      </c>
      <c r="R2380" s="26">
        <f>IF(Q2380="","",IF(COUNTIFS($E$5:$E$3004,E2380,$A$5:$A$3004,"&gt;"&amp;A2380,$H$5:$H$3004,"&lt;&gt;Falta",$H$5:$H$3004,"&lt;&gt;Cancelado",$H$5:$H$3004,"&lt;&gt;Remarcado")&gt;0,"Sim","Não"))</f>
        <v/>
      </c>
      <c r="S2380" s="32">
        <f>IF(R2380&lt;&gt;"Não","",IF(Q2380+Config!$B$9&lt;=Config!$B$8,Config!$B$8-Q2380,""))</f>
        <v/>
      </c>
      <c r="T2380" s="26">
        <f>IF(S2380="","","Sim")</f>
        <v/>
      </c>
      <c r="U2380" s="41">
        <f>IF(T2380="Sim",S2380+ROW()/100000,0)</f>
        <v>0</v>
      </c>
      <c r="V2380" s="41">
        <f>IF(AND(H2380="Falta",L2380=Config!$B$7,M2380=Config!$B$5,COUNTIFS($E$5:E2380,E2380,$H$5:H2380,"Falta",$L$5:L2380,Config!$B$7,$M$5:M2380,Config!$B$5)=1),COUNTIFS($E$5:$E$3004,E2380,$H$5:$H$3004,"Falta",$L$5:$L$3004,Config!$B$7,$M$5:$M$3004,Config!$B$5)*1000-ROW()/100000,0)</f>
        <v>0</v>
      </c>
    </row>
    <row r="2381">
      <c r="A2381" s="39" t="n"/>
      <c r="B2381" s="40" t="n"/>
      <c r="C2381" s="35" t="n"/>
      <c r="D2381" s="35" t="n"/>
      <c r="E2381" s="34" t="n"/>
      <c r="F2381" s="35" t="n"/>
      <c r="G2381" s="35" t="n"/>
      <c r="H2381" s="35" t="n"/>
      <c r="I2381" s="35" t="n"/>
      <c r="J2381" s="35" t="n"/>
      <c r="K2381" s="34" t="n"/>
      <c r="L2381" s="26">
        <f>IF(A2381="","",MONTH(A2381))</f>
        <v/>
      </c>
      <c r="M2381" s="26">
        <f>IF(A2381="","",YEAR(A2381))</f>
        <v/>
      </c>
      <c r="N2381" s="26">
        <f>IF(A2381="","",CHOOSE(WEEKDAY(A2381,2),"Segunda","Terça","Quarta","Quinta","Sexta","Sábado","Domingo"))</f>
        <v/>
      </c>
      <c r="O2381" s="26">
        <f>IF(B2381="","",IF(B2381&lt;TIME(12,0,0),"Manhã",IF(B2381&lt;TIME(18,0,0),"Tarde","Noite")))</f>
        <v/>
      </c>
      <c r="P2381" s="32">
        <f>IF(G2381="","",IFERROR(INDEX(Config!$I$5:$I$16,MATCH(G2381,Config!$H$5:$H$16,0)),0))</f>
        <v/>
      </c>
      <c r="Q2381" s="30">
        <f>IF(OR(H2381&lt;&gt;"Realizado",P2381="",P2381=0),"",A2381+P2381)</f>
        <v/>
      </c>
      <c r="R2381" s="26">
        <f>IF(Q2381="","",IF(COUNTIFS($E$5:$E$3004,E2381,$A$5:$A$3004,"&gt;"&amp;A2381,$H$5:$H$3004,"&lt;&gt;Falta",$H$5:$H$3004,"&lt;&gt;Cancelado",$H$5:$H$3004,"&lt;&gt;Remarcado")&gt;0,"Sim","Não"))</f>
        <v/>
      </c>
      <c r="S2381" s="32">
        <f>IF(R2381&lt;&gt;"Não","",IF(Q2381+Config!$B$9&lt;=Config!$B$8,Config!$B$8-Q2381,""))</f>
        <v/>
      </c>
      <c r="T2381" s="26">
        <f>IF(S2381="","","Sim")</f>
        <v/>
      </c>
      <c r="U2381" s="41">
        <f>IF(T2381="Sim",S2381+ROW()/100000,0)</f>
        <v>0</v>
      </c>
      <c r="V2381" s="41">
        <f>IF(AND(H2381="Falta",L2381=Config!$B$7,M2381=Config!$B$5,COUNTIFS($E$5:E2381,E2381,$H$5:H2381,"Falta",$L$5:L2381,Config!$B$7,$M$5:M2381,Config!$B$5)=1),COUNTIFS($E$5:$E$3004,E2381,$H$5:$H$3004,"Falta",$L$5:$L$3004,Config!$B$7,$M$5:$M$3004,Config!$B$5)*1000-ROW()/100000,0)</f>
        <v>0</v>
      </c>
    </row>
    <row r="2382">
      <c r="A2382" s="39" t="n"/>
      <c r="B2382" s="40" t="n"/>
      <c r="C2382" s="35" t="n"/>
      <c r="D2382" s="35" t="n"/>
      <c r="E2382" s="34" t="n"/>
      <c r="F2382" s="35" t="n"/>
      <c r="G2382" s="35" t="n"/>
      <c r="H2382" s="35" t="n"/>
      <c r="I2382" s="35" t="n"/>
      <c r="J2382" s="35" t="n"/>
      <c r="K2382" s="34" t="n"/>
      <c r="L2382" s="26">
        <f>IF(A2382="","",MONTH(A2382))</f>
        <v/>
      </c>
      <c r="M2382" s="26">
        <f>IF(A2382="","",YEAR(A2382))</f>
        <v/>
      </c>
      <c r="N2382" s="26">
        <f>IF(A2382="","",CHOOSE(WEEKDAY(A2382,2),"Segunda","Terça","Quarta","Quinta","Sexta","Sábado","Domingo"))</f>
        <v/>
      </c>
      <c r="O2382" s="26">
        <f>IF(B2382="","",IF(B2382&lt;TIME(12,0,0),"Manhã",IF(B2382&lt;TIME(18,0,0),"Tarde","Noite")))</f>
        <v/>
      </c>
      <c r="P2382" s="32">
        <f>IF(G2382="","",IFERROR(INDEX(Config!$I$5:$I$16,MATCH(G2382,Config!$H$5:$H$16,0)),0))</f>
        <v/>
      </c>
      <c r="Q2382" s="30">
        <f>IF(OR(H2382&lt;&gt;"Realizado",P2382="",P2382=0),"",A2382+P2382)</f>
        <v/>
      </c>
      <c r="R2382" s="26">
        <f>IF(Q2382="","",IF(COUNTIFS($E$5:$E$3004,E2382,$A$5:$A$3004,"&gt;"&amp;A2382,$H$5:$H$3004,"&lt;&gt;Falta",$H$5:$H$3004,"&lt;&gt;Cancelado",$H$5:$H$3004,"&lt;&gt;Remarcado")&gt;0,"Sim","Não"))</f>
        <v/>
      </c>
      <c r="S2382" s="32">
        <f>IF(R2382&lt;&gt;"Não","",IF(Q2382+Config!$B$9&lt;=Config!$B$8,Config!$B$8-Q2382,""))</f>
        <v/>
      </c>
      <c r="T2382" s="26">
        <f>IF(S2382="","","Sim")</f>
        <v/>
      </c>
      <c r="U2382" s="41">
        <f>IF(T2382="Sim",S2382+ROW()/100000,0)</f>
        <v>0</v>
      </c>
      <c r="V2382" s="41">
        <f>IF(AND(H2382="Falta",L2382=Config!$B$7,M2382=Config!$B$5,COUNTIFS($E$5:E2382,E2382,$H$5:H2382,"Falta",$L$5:L2382,Config!$B$7,$M$5:M2382,Config!$B$5)=1),COUNTIFS($E$5:$E$3004,E2382,$H$5:$H$3004,"Falta",$L$5:$L$3004,Config!$B$7,$M$5:$M$3004,Config!$B$5)*1000-ROW()/100000,0)</f>
        <v>0</v>
      </c>
    </row>
    <row r="2383">
      <c r="A2383" s="39" t="n"/>
      <c r="B2383" s="40" t="n"/>
      <c r="C2383" s="35" t="n"/>
      <c r="D2383" s="35" t="n"/>
      <c r="E2383" s="34" t="n"/>
      <c r="F2383" s="35" t="n"/>
      <c r="G2383" s="35" t="n"/>
      <c r="H2383" s="35" t="n"/>
      <c r="I2383" s="35" t="n"/>
      <c r="J2383" s="35" t="n"/>
      <c r="K2383" s="34" t="n"/>
      <c r="L2383" s="26">
        <f>IF(A2383="","",MONTH(A2383))</f>
        <v/>
      </c>
      <c r="M2383" s="26">
        <f>IF(A2383="","",YEAR(A2383))</f>
        <v/>
      </c>
      <c r="N2383" s="26">
        <f>IF(A2383="","",CHOOSE(WEEKDAY(A2383,2),"Segunda","Terça","Quarta","Quinta","Sexta","Sábado","Domingo"))</f>
        <v/>
      </c>
      <c r="O2383" s="26">
        <f>IF(B2383="","",IF(B2383&lt;TIME(12,0,0),"Manhã",IF(B2383&lt;TIME(18,0,0),"Tarde","Noite")))</f>
        <v/>
      </c>
      <c r="P2383" s="32">
        <f>IF(G2383="","",IFERROR(INDEX(Config!$I$5:$I$16,MATCH(G2383,Config!$H$5:$H$16,0)),0))</f>
        <v/>
      </c>
      <c r="Q2383" s="30">
        <f>IF(OR(H2383&lt;&gt;"Realizado",P2383="",P2383=0),"",A2383+P2383)</f>
        <v/>
      </c>
      <c r="R2383" s="26">
        <f>IF(Q2383="","",IF(COUNTIFS($E$5:$E$3004,E2383,$A$5:$A$3004,"&gt;"&amp;A2383,$H$5:$H$3004,"&lt;&gt;Falta",$H$5:$H$3004,"&lt;&gt;Cancelado",$H$5:$H$3004,"&lt;&gt;Remarcado")&gt;0,"Sim","Não"))</f>
        <v/>
      </c>
      <c r="S2383" s="32">
        <f>IF(R2383&lt;&gt;"Não","",IF(Q2383+Config!$B$9&lt;=Config!$B$8,Config!$B$8-Q2383,""))</f>
        <v/>
      </c>
      <c r="T2383" s="26">
        <f>IF(S2383="","","Sim")</f>
        <v/>
      </c>
      <c r="U2383" s="41">
        <f>IF(T2383="Sim",S2383+ROW()/100000,0)</f>
        <v>0</v>
      </c>
      <c r="V2383" s="41">
        <f>IF(AND(H2383="Falta",L2383=Config!$B$7,M2383=Config!$B$5,COUNTIFS($E$5:E2383,E2383,$H$5:H2383,"Falta",$L$5:L2383,Config!$B$7,$M$5:M2383,Config!$B$5)=1),COUNTIFS($E$5:$E$3004,E2383,$H$5:$H$3004,"Falta",$L$5:$L$3004,Config!$B$7,$M$5:$M$3004,Config!$B$5)*1000-ROW()/100000,0)</f>
        <v>0</v>
      </c>
    </row>
    <row r="2384">
      <c r="A2384" s="39" t="n"/>
      <c r="B2384" s="40" t="n"/>
      <c r="C2384" s="35" t="n"/>
      <c r="D2384" s="35" t="n"/>
      <c r="E2384" s="34" t="n"/>
      <c r="F2384" s="35" t="n"/>
      <c r="G2384" s="35" t="n"/>
      <c r="H2384" s="35" t="n"/>
      <c r="I2384" s="35" t="n"/>
      <c r="J2384" s="35" t="n"/>
      <c r="K2384" s="34" t="n"/>
      <c r="L2384" s="26">
        <f>IF(A2384="","",MONTH(A2384))</f>
        <v/>
      </c>
      <c r="M2384" s="26">
        <f>IF(A2384="","",YEAR(A2384))</f>
        <v/>
      </c>
      <c r="N2384" s="26">
        <f>IF(A2384="","",CHOOSE(WEEKDAY(A2384,2),"Segunda","Terça","Quarta","Quinta","Sexta","Sábado","Domingo"))</f>
        <v/>
      </c>
      <c r="O2384" s="26">
        <f>IF(B2384="","",IF(B2384&lt;TIME(12,0,0),"Manhã",IF(B2384&lt;TIME(18,0,0),"Tarde","Noite")))</f>
        <v/>
      </c>
      <c r="P2384" s="32">
        <f>IF(G2384="","",IFERROR(INDEX(Config!$I$5:$I$16,MATCH(G2384,Config!$H$5:$H$16,0)),0))</f>
        <v/>
      </c>
      <c r="Q2384" s="30">
        <f>IF(OR(H2384&lt;&gt;"Realizado",P2384="",P2384=0),"",A2384+P2384)</f>
        <v/>
      </c>
      <c r="R2384" s="26">
        <f>IF(Q2384="","",IF(COUNTIFS($E$5:$E$3004,E2384,$A$5:$A$3004,"&gt;"&amp;A2384,$H$5:$H$3004,"&lt;&gt;Falta",$H$5:$H$3004,"&lt;&gt;Cancelado",$H$5:$H$3004,"&lt;&gt;Remarcado")&gt;0,"Sim","Não"))</f>
        <v/>
      </c>
      <c r="S2384" s="32">
        <f>IF(R2384&lt;&gt;"Não","",IF(Q2384+Config!$B$9&lt;=Config!$B$8,Config!$B$8-Q2384,""))</f>
        <v/>
      </c>
      <c r="T2384" s="26">
        <f>IF(S2384="","","Sim")</f>
        <v/>
      </c>
      <c r="U2384" s="41">
        <f>IF(T2384="Sim",S2384+ROW()/100000,0)</f>
        <v>0</v>
      </c>
      <c r="V2384" s="41">
        <f>IF(AND(H2384="Falta",L2384=Config!$B$7,M2384=Config!$B$5,COUNTIFS($E$5:E2384,E2384,$H$5:H2384,"Falta",$L$5:L2384,Config!$B$7,$M$5:M2384,Config!$B$5)=1),COUNTIFS($E$5:$E$3004,E2384,$H$5:$H$3004,"Falta",$L$5:$L$3004,Config!$B$7,$M$5:$M$3004,Config!$B$5)*1000-ROW()/100000,0)</f>
        <v>0</v>
      </c>
    </row>
    <row r="2385">
      <c r="A2385" s="39" t="n"/>
      <c r="B2385" s="40" t="n"/>
      <c r="C2385" s="35" t="n"/>
      <c r="D2385" s="35" t="n"/>
      <c r="E2385" s="34" t="n"/>
      <c r="F2385" s="35" t="n"/>
      <c r="G2385" s="35" t="n"/>
      <c r="H2385" s="35" t="n"/>
      <c r="I2385" s="35" t="n"/>
      <c r="J2385" s="35" t="n"/>
      <c r="K2385" s="34" t="n"/>
      <c r="L2385" s="26">
        <f>IF(A2385="","",MONTH(A2385))</f>
        <v/>
      </c>
      <c r="M2385" s="26">
        <f>IF(A2385="","",YEAR(A2385))</f>
        <v/>
      </c>
      <c r="N2385" s="26">
        <f>IF(A2385="","",CHOOSE(WEEKDAY(A2385,2),"Segunda","Terça","Quarta","Quinta","Sexta","Sábado","Domingo"))</f>
        <v/>
      </c>
      <c r="O2385" s="26">
        <f>IF(B2385="","",IF(B2385&lt;TIME(12,0,0),"Manhã",IF(B2385&lt;TIME(18,0,0),"Tarde","Noite")))</f>
        <v/>
      </c>
      <c r="P2385" s="32">
        <f>IF(G2385="","",IFERROR(INDEX(Config!$I$5:$I$16,MATCH(G2385,Config!$H$5:$H$16,0)),0))</f>
        <v/>
      </c>
      <c r="Q2385" s="30">
        <f>IF(OR(H2385&lt;&gt;"Realizado",P2385="",P2385=0),"",A2385+P2385)</f>
        <v/>
      </c>
      <c r="R2385" s="26">
        <f>IF(Q2385="","",IF(COUNTIFS($E$5:$E$3004,E2385,$A$5:$A$3004,"&gt;"&amp;A2385,$H$5:$H$3004,"&lt;&gt;Falta",$H$5:$H$3004,"&lt;&gt;Cancelado",$H$5:$H$3004,"&lt;&gt;Remarcado")&gt;0,"Sim","Não"))</f>
        <v/>
      </c>
      <c r="S2385" s="32">
        <f>IF(R2385&lt;&gt;"Não","",IF(Q2385+Config!$B$9&lt;=Config!$B$8,Config!$B$8-Q2385,""))</f>
        <v/>
      </c>
      <c r="T2385" s="26">
        <f>IF(S2385="","","Sim")</f>
        <v/>
      </c>
      <c r="U2385" s="41">
        <f>IF(T2385="Sim",S2385+ROW()/100000,0)</f>
        <v>0</v>
      </c>
      <c r="V2385" s="41">
        <f>IF(AND(H2385="Falta",L2385=Config!$B$7,M2385=Config!$B$5,COUNTIFS($E$5:E2385,E2385,$H$5:H2385,"Falta",$L$5:L2385,Config!$B$7,$M$5:M2385,Config!$B$5)=1),COUNTIFS($E$5:$E$3004,E2385,$H$5:$H$3004,"Falta",$L$5:$L$3004,Config!$B$7,$M$5:$M$3004,Config!$B$5)*1000-ROW()/100000,0)</f>
        <v>0</v>
      </c>
    </row>
    <row r="2386">
      <c r="A2386" s="39" t="n"/>
      <c r="B2386" s="40" t="n"/>
      <c r="C2386" s="35" t="n"/>
      <c r="D2386" s="35" t="n"/>
      <c r="E2386" s="34" t="n"/>
      <c r="F2386" s="35" t="n"/>
      <c r="G2386" s="35" t="n"/>
      <c r="H2386" s="35" t="n"/>
      <c r="I2386" s="35" t="n"/>
      <c r="J2386" s="35" t="n"/>
      <c r="K2386" s="34" t="n"/>
      <c r="L2386" s="26">
        <f>IF(A2386="","",MONTH(A2386))</f>
        <v/>
      </c>
      <c r="M2386" s="26">
        <f>IF(A2386="","",YEAR(A2386))</f>
        <v/>
      </c>
      <c r="N2386" s="26">
        <f>IF(A2386="","",CHOOSE(WEEKDAY(A2386,2),"Segunda","Terça","Quarta","Quinta","Sexta","Sábado","Domingo"))</f>
        <v/>
      </c>
      <c r="O2386" s="26">
        <f>IF(B2386="","",IF(B2386&lt;TIME(12,0,0),"Manhã",IF(B2386&lt;TIME(18,0,0),"Tarde","Noite")))</f>
        <v/>
      </c>
      <c r="P2386" s="32">
        <f>IF(G2386="","",IFERROR(INDEX(Config!$I$5:$I$16,MATCH(G2386,Config!$H$5:$H$16,0)),0))</f>
        <v/>
      </c>
      <c r="Q2386" s="30">
        <f>IF(OR(H2386&lt;&gt;"Realizado",P2386="",P2386=0),"",A2386+P2386)</f>
        <v/>
      </c>
      <c r="R2386" s="26">
        <f>IF(Q2386="","",IF(COUNTIFS($E$5:$E$3004,E2386,$A$5:$A$3004,"&gt;"&amp;A2386,$H$5:$H$3004,"&lt;&gt;Falta",$H$5:$H$3004,"&lt;&gt;Cancelado",$H$5:$H$3004,"&lt;&gt;Remarcado")&gt;0,"Sim","Não"))</f>
        <v/>
      </c>
      <c r="S2386" s="32">
        <f>IF(R2386&lt;&gt;"Não","",IF(Q2386+Config!$B$9&lt;=Config!$B$8,Config!$B$8-Q2386,""))</f>
        <v/>
      </c>
      <c r="T2386" s="26">
        <f>IF(S2386="","","Sim")</f>
        <v/>
      </c>
      <c r="U2386" s="41">
        <f>IF(T2386="Sim",S2386+ROW()/100000,0)</f>
        <v>0</v>
      </c>
      <c r="V2386" s="41">
        <f>IF(AND(H2386="Falta",L2386=Config!$B$7,M2386=Config!$B$5,COUNTIFS($E$5:E2386,E2386,$H$5:H2386,"Falta",$L$5:L2386,Config!$B$7,$M$5:M2386,Config!$B$5)=1),COUNTIFS($E$5:$E$3004,E2386,$H$5:$H$3004,"Falta",$L$5:$L$3004,Config!$B$7,$M$5:$M$3004,Config!$B$5)*1000-ROW()/100000,0)</f>
        <v>0</v>
      </c>
    </row>
    <row r="2387">
      <c r="A2387" s="39" t="n"/>
      <c r="B2387" s="40" t="n"/>
      <c r="C2387" s="35" t="n"/>
      <c r="D2387" s="35" t="n"/>
      <c r="E2387" s="34" t="n"/>
      <c r="F2387" s="35" t="n"/>
      <c r="G2387" s="35" t="n"/>
      <c r="H2387" s="35" t="n"/>
      <c r="I2387" s="35" t="n"/>
      <c r="J2387" s="35" t="n"/>
      <c r="K2387" s="34" t="n"/>
      <c r="L2387" s="26">
        <f>IF(A2387="","",MONTH(A2387))</f>
        <v/>
      </c>
      <c r="M2387" s="26">
        <f>IF(A2387="","",YEAR(A2387))</f>
        <v/>
      </c>
      <c r="N2387" s="26">
        <f>IF(A2387="","",CHOOSE(WEEKDAY(A2387,2),"Segunda","Terça","Quarta","Quinta","Sexta","Sábado","Domingo"))</f>
        <v/>
      </c>
      <c r="O2387" s="26">
        <f>IF(B2387="","",IF(B2387&lt;TIME(12,0,0),"Manhã",IF(B2387&lt;TIME(18,0,0),"Tarde","Noite")))</f>
        <v/>
      </c>
      <c r="P2387" s="32">
        <f>IF(G2387="","",IFERROR(INDEX(Config!$I$5:$I$16,MATCH(G2387,Config!$H$5:$H$16,0)),0))</f>
        <v/>
      </c>
      <c r="Q2387" s="30">
        <f>IF(OR(H2387&lt;&gt;"Realizado",P2387="",P2387=0),"",A2387+P2387)</f>
        <v/>
      </c>
      <c r="R2387" s="26">
        <f>IF(Q2387="","",IF(COUNTIFS($E$5:$E$3004,E2387,$A$5:$A$3004,"&gt;"&amp;A2387,$H$5:$H$3004,"&lt;&gt;Falta",$H$5:$H$3004,"&lt;&gt;Cancelado",$H$5:$H$3004,"&lt;&gt;Remarcado")&gt;0,"Sim","Não"))</f>
        <v/>
      </c>
      <c r="S2387" s="32">
        <f>IF(R2387&lt;&gt;"Não","",IF(Q2387+Config!$B$9&lt;=Config!$B$8,Config!$B$8-Q2387,""))</f>
        <v/>
      </c>
      <c r="T2387" s="26">
        <f>IF(S2387="","","Sim")</f>
        <v/>
      </c>
      <c r="U2387" s="41">
        <f>IF(T2387="Sim",S2387+ROW()/100000,0)</f>
        <v>0</v>
      </c>
      <c r="V2387" s="41">
        <f>IF(AND(H2387="Falta",L2387=Config!$B$7,M2387=Config!$B$5,COUNTIFS($E$5:E2387,E2387,$H$5:H2387,"Falta",$L$5:L2387,Config!$B$7,$M$5:M2387,Config!$B$5)=1),COUNTIFS($E$5:$E$3004,E2387,$H$5:$H$3004,"Falta",$L$5:$L$3004,Config!$B$7,$M$5:$M$3004,Config!$B$5)*1000-ROW()/100000,0)</f>
        <v>0</v>
      </c>
    </row>
    <row r="2388">
      <c r="A2388" s="39" t="n"/>
      <c r="B2388" s="40" t="n"/>
      <c r="C2388" s="35" t="n"/>
      <c r="D2388" s="35" t="n"/>
      <c r="E2388" s="34" t="n"/>
      <c r="F2388" s="35" t="n"/>
      <c r="G2388" s="35" t="n"/>
      <c r="H2388" s="35" t="n"/>
      <c r="I2388" s="35" t="n"/>
      <c r="J2388" s="35" t="n"/>
      <c r="K2388" s="34" t="n"/>
      <c r="L2388" s="26">
        <f>IF(A2388="","",MONTH(A2388))</f>
        <v/>
      </c>
      <c r="M2388" s="26">
        <f>IF(A2388="","",YEAR(A2388))</f>
        <v/>
      </c>
      <c r="N2388" s="26">
        <f>IF(A2388="","",CHOOSE(WEEKDAY(A2388,2),"Segunda","Terça","Quarta","Quinta","Sexta","Sábado","Domingo"))</f>
        <v/>
      </c>
      <c r="O2388" s="26">
        <f>IF(B2388="","",IF(B2388&lt;TIME(12,0,0),"Manhã",IF(B2388&lt;TIME(18,0,0),"Tarde","Noite")))</f>
        <v/>
      </c>
      <c r="P2388" s="32">
        <f>IF(G2388="","",IFERROR(INDEX(Config!$I$5:$I$16,MATCH(G2388,Config!$H$5:$H$16,0)),0))</f>
        <v/>
      </c>
      <c r="Q2388" s="30">
        <f>IF(OR(H2388&lt;&gt;"Realizado",P2388="",P2388=0),"",A2388+P2388)</f>
        <v/>
      </c>
      <c r="R2388" s="26">
        <f>IF(Q2388="","",IF(COUNTIFS($E$5:$E$3004,E2388,$A$5:$A$3004,"&gt;"&amp;A2388,$H$5:$H$3004,"&lt;&gt;Falta",$H$5:$H$3004,"&lt;&gt;Cancelado",$H$5:$H$3004,"&lt;&gt;Remarcado")&gt;0,"Sim","Não"))</f>
        <v/>
      </c>
      <c r="S2388" s="32">
        <f>IF(R2388&lt;&gt;"Não","",IF(Q2388+Config!$B$9&lt;=Config!$B$8,Config!$B$8-Q2388,""))</f>
        <v/>
      </c>
      <c r="T2388" s="26">
        <f>IF(S2388="","","Sim")</f>
        <v/>
      </c>
      <c r="U2388" s="41">
        <f>IF(T2388="Sim",S2388+ROW()/100000,0)</f>
        <v>0</v>
      </c>
      <c r="V2388" s="41">
        <f>IF(AND(H2388="Falta",L2388=Config!$B$7,M2388=Config!$B$5,COUNTIFS($E$5:E2388,E2388,$H$5:H2388,"Falta",$L$5:L2388,Config!$B$7,$M$5:M2388,Config!$B$5)=1),COUNTIFS($E$5:$E$3004,E2388,$H$5:$H$3004,"Falta",$L$5:$L$3004,Config!$B$7,$M$5:$M$3004,Config!$B$5)*1000-ROW()/100000,0)</f>
        <v>0</v>
      </c>
    </row>
    <row r="2389">
      <c r="A2389" s="39" t="n"/>
      <c r="B2389" s="40" t="n"/>
      <c r="C2389" s="35" t="n"/>
      <c r="D2389" s="35" t="n"/>
      <c r="E2389" s="34" t="n"/>
      <c r="F2389" s="35" t="n"/>
      <c r="G2389" s="35" t="n"/>
      <c r="H2389" s="35" t="n"/>
      <c r="I2389" s="35" t="n"/>
      <c r="J2389" s="35" t="n"/>
      <c r="K2389" s="34" t="n"/>
      <c r="L2389" s="26">
        <f>IF(A2389="","",MONTH(A2389))</f>
        <v/>
      </c>
      <c r="M2389" s="26">
        <f>IF(A2389="","",YEAR(A2389))</f>
        <v/>
      </c>
      <c r="N2389" s="26">
        <f>IF(A2389="","",CHOOSE(WEEKDAY(A2389,2),"Segunda","Terça","Quarta","Quinta","Sexta","Sábado","Domingo"))</f>
        <v/>
      </c>
      <c r="O2389" s="26">
        <f>IF(B2389="","",IF(B2389&lt;TIME(12,0,0),"Manhã",IF(B2389&lt;TIME(18,0,0),"Tarde","Noite")))</f>
        <v/>
      </c>
      <c r="P2389" s="32">
        <f>IF(G2389="","",IFERROR(INDEX(Config!$I$5:$I$16,MATCH(G2389,Config!$H$5:$H$16,0)),0))</f>
        <v/>
      </c>
      <c r="Q2389" s="30">
        <f>IF(OR(H2389&lt;&gt;"Realizado",P2389="",P2389=0),"",A2389+P2389)</f>
        <v/>
      </c>
      <c r="R2389" s="26">
        <f>IF(Q2389="","",IF(COUNTIFS($E$5:$E$3004,E2389,$A$5:$A$3004,"&gt;"&amp;A2389,$H$5:$H$3004,"&lt;&gt;Falta",$H$5:$H$3004,"&lt;&gt;Cancelado",$H$5:$H$3004,"&lt;&gt;Remarcado")&gt;0,"Sim","Não"))</f>
        <v/>
      </c>
      <c r="S2389" s="32">
        <f>IF(R2389&lt;&gt;"Não","",IF(Q2389+Config!$B$9&lt;=Config!$B$8,Config!$B$8-Q2389,""))</f>
        <v/>
      </c>
      <c r="T2389" s="26">
        <f>IF(S2389="","","Sim")</f>
        <v/>
      </c>
      <c r="U2389" s="41">
        <f>IF(T2389="Sim",S2389+ROW()/100000,0)</f>
        <v>0</v>
      </c>
      <c r="V2389" s="41">
        <f>IF(AND(H2389="Falta",L2389=Config!$B$7,M2389=Config!$B$5,COUNTIFS($E$5:E2389,E2389,$H$5:H2389,"Falta",$L$5:L2389,Config!$B$7,$M$5:M2389,Config!$B$5)=1),COUNTIFS($E$5:$E$3004,E2389,$H$5:$H$3004,"Falta",$L$5:$L$3004,Config!$B$7,$M$5:$M$3004,Config!$B$5)*1000-ROW()/100000,0)</f>
        <v>0</v>
      </c>
    </row>
    <row r="2390">
      <c r="A2390" s="39" t="n"/>
      <c r="B2390" s="40" t="n"/>
      <c r="C2390" s="35" t="n"/>
      <c r="D2390" s="35" t="n"/>
      <c r="E2390" s="34" t="n"/>
      <c r="F2390" s="35" t="n"/>
      <c r="G2390" s="35" t="n"/>
      <c r="H2390" s="35" t="n"/>
      <c r="I2390" s="35" t="n"/>
      <c r="J2390" s="35" t="n"/>
      <c r="K2390" s="34" t="n"/>
      <c r="L2390" s="26">
        <f>IF(A2390="","",MONTH(A2390))</f>
        <v/>
      </c>
      <c r="M2390" s="26">
        <f>IF(A2390="","",YEAR(A2390))</f>
        <v/>
      </c>
      <c r="N2390" s="26">
        <f>IF(A2390="","",CHOOSE(WEEKDAY(A2390,2),"Segunda","Terça","Quarta","Quinta","Sexta","Sábado","Domingo"))</f>
        <v/>
      </c>
      <c r="O2390" s="26">
        <f>IF(B2390="","",IF(B2390&lt;TIME(12,0,0),"Manhã",IF(B2390&lt;TIME(18,0,0),"Tarde","Noite")))</f>
        <v/>
      </c>
      <c r="P2390" s="32">
        <f>IF(G2390="","",IFERROR(INDEX(Config!$I$5:$I$16,MATCH(G2390,Config!$H$5:$H$16,0)),0))</f>
        <v/>
      </c>
      <c r="Q2390" s="30">
        <f>IF(OR(H2390&lt;&gt;"Realizado",P2390="",P2390=0),"",A2390+P2390)</f>
        <v/>
      </c>
      <c r="R2390" s="26">
        <f>IF(Q2390="","",IF(COUNTIFS($E$5:$E$3004,E2390,$A$5:$A$3004,"&gt;"&amp;A2390,$H$5:$H$3004,"&lt;&gt;Falta",$H$5:$H$3004,"&lt;&gt;Cancelado",$H$5:$H$3004,"&lt;&gt;Remarcado")&gt;0,"Sim","Não"))</f>
        <v/>
      </c>
      <c r="S2390" s="32">
        <f>IF(R2390&lt;&gt;"Não","",IF(Q2390+Config!$B$9&lt;=Config!$B$8,Config!$B$8-Q2390,""))</f>
        <v/>
      </c>
      <c r="T2390" s="26">
        <f>IF(S2390="","","Sim")</f>
        <v/>
      </c>
      <c r="U2390" s="41">
        <f>IF(T2390="Sim",S2390+ROW()/100000,0)</f>
        <v>0</v>
      </c>
      <c r="V2390" s="41">
        <f>IF(AND(H2390="Falta",L2390=Config!$B$7,M2390=Config!$B$5,COUNTIFS($E$5:E2390,E2390,$H$5:H2390,"Falta",$L$5:L2390,Config!$B$7,$M$5:M2390,Config!$B$5)=1),COUNTIFS($E$5:$E$3004,E2390,$H$5:$H$3004,"Falta",$L$5:$L$3004,Config!$B$7,$M$5:$M$3004,Config!$B$5)*1000-ROW()/100000,0)</f>
        <v>0</v>
      </c>
    </row>
    <row r="2391">
      <c r="A2391" s="39" t="n"/>
      <c r="B2391" s="40" t="n"/>
      <c r="C2391" s="35" t="n"/>
      <c r="D2391" s="35" t="n"/>
      <c r="E2391" s="34" t="n"/>
      <c r="F2391" s="35" t="n"/>
      <c r="G2391" s="35" t="n"/>
      <c r="H2391" s="35" t="n"/>
      <c r="I2391" s="35" t="n"/>
      <c r="J2391" s="35" t="n"/>
      <c r="K2391" s="34" t="n"/>
      <c r="L2391" s="26">
        <f>IF(A2391="","",MONTH(A2391))</f>
        <v/>
      </c>
      <c r="M2391" s="26">
        <f>IF(A2391="","",YEAR(A2391))</f>
        <v/>
      </c>
      <c r="N2391" s="26">
        <f>IF(A2391="","",CHOOSE(WEEKDAY(A2391,2),"Segunda","Terça","Quarta","Quinta","Sexta","Sábado","Domingo"))</f>
        <v/>
      </c>
      <c r="O2391" s="26">
        <f>IF(B2391="","",IF(B2391&lt;TIME(12,0,0),"Manhã",IF(B2391&lt;TIME(18,0,0),"Tarde","Noite")))</f>
        <v/>
      </c>
      <c r="P2391" s="32">
        <f>IF(G2391="","",IFERROR(INDEX(Config!$I$5:$I$16,MATCH(G2391,Config!$H$5:$H$16,0)),0))</f>
        <v/>
      </c>
      <c r="Q2391" s="30">
        <f>IF(OR(H2391&lt;&gt;"Realizado",P2391="",P2391=0),"",A2391+P2391)</f>
        <v/>
      </c>
      <c r="R2391" s="26">
        <f>IF(Q2391="","",IF(COUNTIFS($E$5:$E$3004,E2391,$A$5:$A$3004,"&gt;"&amp;A2391,$H$5:$H$3004,"&lt;&gt;Falta",$H$5:$H$3004,"&lt;&gt;Cancelado",$H$5:$H$3004,"&lt;&gt;Remarcado")&gt;0,"Sim","Não"))</f>
        <v/>
      </c>
      <c r="S2391" s="32">
        <f>IF(R2391&lt;&gt;"Não","",IF(Q2391+Config!$B$9&lt;=Config!$B$8,Config!$B$8-Q2391,""))</f>
        <v/>
      </c>
      <c r="T2391" s="26">
        <f>IF(S2391="","","Sim")</f>
        <v/>
      </c>
      <c r="U2391" s="41">
        <f>IF(T2391="Sim",S2391+ROW()/100000,0)</f>
        <v>0</v>
      </c>
      <c r="V2391" s="41">
        <f>IF(AND(H2391="Falta",L2391=Config!$B$7,M2391=Config!$B$5,COUNTIFS($E$5:E2391,E2391,$H$5:H2391,"Falta",$L$5:L2391,Config!$B$7,$M$5:M2391,Config!$B$5)=1),COUNTIFS($E$5:$E$3004,E2391,$H$5:$H$3004,"Falta",$L$5:$L$3004,Config!$B$7,$M$5:$M$3004,Config!$B$5)*1000-ROW()/100000,0)</f>
        <v>0</v>
      </c>
    </row>
    <row r="2392">
      <c r="A2392" s="39" t="n"/>
      <c r="B2392" s="40" t="n"/>
      <c r="C2392" s="35" t="n"/>
      <c r="D2392" s="35" t="n"/>
      <c r="E2392" s="34" t="n"/>
      <c r="F2392" s="35" t="n"/>
      <c r="G2392" s="35" t="n"/>
      <c r="H2392" s="35" t="n"/>
      <c r="I2392" s="35" t="n"/>
      <c r="J2392" s="35" t="n"/>
      <c r="K2392" s="34" t="n"/>
      <c r="L2392" s="26">
        <f>IF(A2392="","",MONTH(A2392))</f>
        <v/>
      </c>
      <c r="M2392" s="26">
        <f>IF(A2392="","",YEAR(A2392))</f>
        <v/>
      </c>
      <c r="N2392" s="26">
        <f>IF(A2392="","",CHOOSE(WEEKDAY(A2392,2),"Segunda","Terça","Quarta","Quinta","Sexta","Sábado","Domingo"))</f>
        <v/>
      </c>
      <c r="O2392" s="26">
        <f>IF(B2392="","",IF(B2392&lt;TIME(12,0,0),"Manhã",IF(B2392&lt;TIME(18,0,0),"Tarde","Noite")))</f>
        <v/>
      </c>
      <c r="P2392" s="32">
        <f>IF(G2392="","",IFERROR(INDEX(Config!$I$5:$I$16,MATCH(G2392,Config!$H$5:$H$16,0)),0))</f>
        <v/>
      </c>
      <c r="Q2392" s="30">
        <f>IF(OR(H2392&lt;&gt;"Realizado",P2392="",P2392=0),"",A2392+P2392)</f>
        <v/>
      </c>
      <c r="R2392" s="26">
        <f>IF(Q2392="","",IF(COUNTIFS($E$5:$E$3004,E2392,$A$5:$A$3004,"&gt;"&amp;A2392,$H$5:$H$3004,"&lt;&gt;Falta",$H$5:$H$3004,"&lt;&gt;Cancelado",$H$5:$H$3004,"&lt;&gt;Remarcado")&gt;0,"Sim","Não"))</f>
        <v/>
      </c>
      <c r="S2392" s="32">
        <f>IF(R2392&lt;&gt;"Não","",IF(Q2392+Config!$B$9&lt;=Config!$B$8,Config!$B$8-Q2392,""))</f>
        <v/>
      </c>
      <c r="T2392" s="26">
        <f>IF(S2392="","","Sim")</f>
        <v/>
      </c>
      <c r="U2392" s="41">
        <f>IF(T2392="Sim",S2392+ROW()/100000,0)</f>
        <v>0</v>
      </c>
      <c r="V2392" s="41">
        <f>IF(AND(H2392="Falta",L2392=Config!$B$7,M2392=Config!$B$5,COUNTIFS($E$5:E2392,E2392,$H$5:H2392,"Falta",$L$5:L2392,Config!$B$7,$M$5:M2392,Config!$B$5)=1),COUNTIFS($E$5:$E$3004,E2392,$H$5:$H$3004,"Falta",$L$5:$L$3004,Config!$B$7,$M$5:$M$3004,Config!$B$5)*1000-ROW()/100000,0)</f>
        <v>0</v>
      </c>
    </row>
    <row r="2393">
      <c r="A2393" s="39" t="n"/>
      <c r="B2393" s="40" t="n"/>
      <c r="C2393" s="35" t="n"/>
      <c r="D2393" s="35" t="n"/>
      <c r="E2393" s="34" t="n"/>
      <c r="F2393" s="35" t="n"/>
      <c r="G2393" s="35" t="n"/>
      <c r="H2393" s="35" t="n"/>
      <c r="I2393" s="35" t="n"/>
      <c r="J2393" s="35" t="n"/>
      <c r="K2393" s="34" t="n"/>
      <c r="L2393" s="26">
        <f>IF(A2393="","",MONTH(A2393))</f>
        <v/>
      </c>
      <c r="M2393" s="26">
        <f>IF(A2393="","",YEAR(A2393))</f>
        <v/>
      </c>
      <c r="N2393" s="26">
        <f>IF(A2393="","",CHOOSE(WEEKDAY(A2393,2),"Segunda","Terça","Quarta","Quinta","Sexta","Sábado","Domingo"))</f>
        <v/>
      </c>
      <c r="O2393" s="26">
        <f>IF(B2393="","",IF(B2393&lt;TIME(12,0,0),"Manhã",IF(B2393&lt;TIME(18,0,0),"Tarde","Noite")))</f>
        <v/>
      </c>
      <c r="P2393" s="32">
        <f>IF(G2393="","",IFERROR(INDEX(Config!$I$5:$I$16,MATCH(G2393,Config!$H$5:$H$16,0)),0))</f>
        <v/>
      </c>
      <c r="Q2393" s="30">
        <f>IF(OR(H2393&lt;&gt;"Realizado",P2393="",P2393=0),"",A2393+P2393)</f>
        <v/>
      </c>
      <c r="R2393" s="26">
        <f>IF(Q2393="","",IF(COUNTIFS($E$5:$E$3004,E2393,$A$5:$A$3004,"&gt;"&amp;A2393,$H$5:$H$3004,"&lt;&gt;Falta",$H$5:$H$3004,"&lt;&gt;Cancelado",$H$5:$H$3004,"&lt;&gt;Remarcado")&gt;0,"Sim","Não"))</f>
        <v/>
      </c>
      <c r="S2393" s="32">
        <f>IF(R2393&lt;&gt;"Não","",IF(Q2393+Config!$B$9&lt;=Config!$B$8,Config!$B$8-Q2393,""))</f>
        <v/>
      </c>
      <c r="T2393" s="26">
        <f>IF(S2393="","","Sim")</f>
        <v/>
      </c>
      <c r="U2393" s="41">
        <f>IF(T2393="Sim",S2393+ROW()/100000,0)</f>
        <v>0</v>
      </c>
      <c r="V2393" s="41">
        <f>IF(AND(H2393="Falta",L2393=Config!$B$7,M2393=Config!$B$5,COUNTIFS($E$5:E2393,E2393,$H$5:H2393,"Falta",$L$5:L2393,Config!$B$7,$M$5:M2393,Config!$B$5)=1),COUNTIFS($E$5:$E$3004,E2393,$H$5:$H$3004,"Falta",$L$5:$L$3004,Config!$B$7,$M$5:$M$3004,Config!$B$5)*1000-ROW()/100000,0)</f>
        <v>0</v>
      </c>
    </row>
    <row r="2394">
      <c r="A2394" s="39" t="n"/>
      <c r="B2394" s="40" t="n"/>
      <c r="C2394" s="35" t="n"/>
      <c r="D2394" s="35" t="n"/>
      <c r="E2394" s="34" t="n"/>
      <c r="F2394" s="35" t="n"/>
      <c r="G2394" s="35" t="n"/>
      <c r="H2394" s="35" t="n"/>
      <c r="I2394" s="35" t="n"/>
      <c r="J2394" s="35" t="n"/>
      <c r="K2394" s="34" t="n"/>
      <c r="L2394" s="26">
        <f>IF(A2394="","",MONTH(A2394))</f>
        <v/>
      </c>
      <c r="M2394" s="26">
        <f>IF(A2394="","",YEAR(A2394))</f>
        <v/>
      </c>
      <c r="N2394" s="26">
        <f>IF(A2394="","",CHOOSE(WEEKDAY(A2394,2),"Segunda","Terça","Quarta","Quinta","Sexta","Sábado","Domingo"))</f>
        <v/>
      </c>
      <c r="O2394" s="26">
        <f>IF(B2394="","",IF(B2394&lt;TIME(12,0,0),"Manhã",IF(B2394&lt;TIME(18,0,0),"Tarde","Noite")))</f>
        <v/>
      </c>
      <c r="P2394" s="32">
        <f>IF(G2394="","",IFERROR(INDEX(Config!$I$5:$I$16,MATCH(G2394,Config!$H$5:$H$16,0)),0))</f>
        <v/>
      </c>
      <c r="Q2394" s="30">
        <f>IF(OR(H2394&lt;&gt;"Realizado",P2394="",P2394=0),"",A2394+P2394)</f>
        <v/>
      </c>
      <c r="R2394" s="26">
        <f>IF(Q2394="","",IF(COUNTIFS($E$5:$E$3004,E2394,$A$5:$A$3004,"&gt;"&amp;A2394,$H$5:$H$3004,"&lt;&gt;Falta",$H$5:$H$3004,"&lt;&gt;Cancelado",$H$5:$H$3004,"&lt;&gt;Remarcado")&gt;0,"Sim","Não"))</f>
        <v/>
      </c>
      <c r="S2394" s="32">
        <f>IF(R2394&lt;&gt;"Não","",IF(Q2394+Config!$B$9&lt;=Config!$B$8,Config!$B$8-Q2394,""))</f>
        <v/>
      </c>
      <c r="T2394" s="26">
        <f>IF(S2394="","","Sim")</f>
        <v/>
      </c>
      <c r="U2394" s="41">
        <f>IF(T2394="Sim",S2394+ROW()/100000,0)</f>
        <v>0</v>
      </c>
      <c r="V2394" s="41">
        <f>IF(AND(H2394="Falta",L2394=Config!$B$7,M2394=Config!$B$5,COUNTIFS($E$5:E2394,E2394,$H$5:H2394,"Falta",$L$5:L2394,Config!$B$7,$M$5:M2394,Config!$B$5)=1),COUNTIFS($E$5:$E$3004,E2394,$H$5:$H$3004,"Falta",$L$5:$L$3004,Config!$B$7,$M$5:$M$3004,Config!$B$5)*1000-ROW()/100000,0)</f>
        <v>0</v>
      </c>
    </row>
    <row r="2395">
      <c r="A2395" s="39" t="n"/>
      <c r="B2395" s="40" t="n"/>
      <c r="C2395" s="35" t="n"/>
      <c r="D2395" s="35" t="n"/>
      <c r="E2395" s="34" t="n"/>
      <c r="F2395" s="35" t="n"/>
      <c r="G2395" s="35" t="n"/>
      <c r="H2395" s="35" t="n"/>
      <c r="I2395" s="35" t="n"/>
      <c r="J2395" s="35" t="n"/>
      <c r="K2395" s="34" t="n"/>
      <c r="L2395" s="26">
        <f>IF(A2395="","",MONTH(A2395))</f>
        <v/>
      </c>
      <c r="M2395" s="26">
        <f>IF(A2395="","",YEAR(A2395))</f>
        <v/>
      </c>
      <c r="N2395" s="26">
        <f>IF(A2395="","",CHOOSE(WEEKDAY(A2395,2),"Segunda","Terça","Quarta","Quinta","Sexta","Sábado","Domingo"))</f>
        <v/>
      </c>
      <c r="O2395" s="26">
        <f>IF(B2395="","",IF(B2395&lt;TIME(12,0,0),"Manhã",IF(B2395&lt;TIME(18,0,0),"Tarde","Noite")))</f>
        <v/>
      </c>
      <c r="P2395" s="32">
        <f>IF(G2395="","",IFERROR(INDEX(Config!$I$5:$I$16,MATCH(G2395,Config!$H$5:$H$16,0)),0))</f>
        <v/>
      </c>
      <c r="Q2395" s="30">
        <f>IF(OR(H2395&lt;&gt;"Realizado",P2395="",P2395=0),"",A2395+P2395)</f>
        <v/>
      </c>
      <c r="R2395" s="26">
        <f>IF(Q2395="","",IF(COUNTIFS($E$5:$E$3004,E2395,$A$5:$A$3004,"&gt;"&amp;A2395,$H$5:$H$3004,"&lt;&gt;Falta",$H$5:$H$3004,"&lt;&gt;Cancelado",$H$5:$H$3004,"&lt;&gt;Remarcado")&gt;0,"Sim","Não"))</f>
        <v/>
      </c>
      <c r="S2395" s="32">
        <f>IF(R2395&lt;&gt;"Não","",IF(Q2395+Config!$B$9&lt;=Config!$B$8,Config!$B$8-Q2395,""))</f>
        <v/>
      </c>
      <c r="T2395" s="26">
        <f>IF(S2395="","","Sim")</f>
        <v/>
      </c>
      <c r="U2395" s="41">
        <f>IF(T2395="Sim",S2395+ROW()/100000,0)</f>
        <v>0</v>
      </c>
      <c r="V2395" s="41">
        <f>IF(AND(H2395="Falta",L2395=Config!$B$7,M2395=Config!$B$5,COUNTIFS($E$5:E2395,E2395,$H$5:H2395,"Falta",$L$5:L2395,Config!$B$7,$M$5:M2395,Config!$B$5)=1),COUNTIFS($E$5:$E$3004,E2395,$H$5:$H$3004,"Falta",$L$5:$L$3004,Config!$B$7,$M$5:$M$3004,Config!$B$5)*1000-ROW()/100000,0)</f>
        <v>0</v>
      </c>
    </row>
    <row r="2396">
      <c r="A2396" s="39" t="n"/>
      <c r="B2396" s="40" t="n"/>
      <c r="C2396" s="35" t="n"/>
      <c r="D2396" s="35" t="n"/>
      <c r="E2396" s="34" t="n"/>
      <c r="F2396" s="35" t="n"/>
      <c r="G2396" s="35" t="n"/>
      <c r="H2396" s="35" t="n"/>
      <c r="I2396" s="35" t="n"/>
      <c r="J2396" s="35" t="n"/>
      <c r="K2396" s="34" t="n"/>
      <c r="L2396" s="26">
        <f>IF(A2396="","",MONTH(A2396))</f>
        <v/>
      </c>
      <c r="M2396" s="26">
        <f>IF(A2396="","",YEAR(A2396))</f>
        <v/>
      </c>
      <c r="N2396" s="26">
        <f>IF(A2396="","",CHOOSE(WEEKDAY(A2396,2),"Segunda","Terça","Quarta","Quinta","Sexta","Sábado","Domingo"))</f>
        <v/>
      </c>
      <c r="O2396" s="26">
        <f>IF(B2396="","",IF(B2396&lt;TIME(12,0,0),"Manhã",IF(B2396&lt;TIME(18,0,0),"Tarde","Noite")))</f>
        <v/>
      </c>
      <c r="P2396" s="32">
        <f>IF(G2396="","",IFERROR(INDEX(Config!$I$5:$I$16,MATCH(G2396,Config!$H$5:$H$16,0)),0))</f>
        <v/>
      </c>
      <c r="Q2396" s="30">
        <f>IF(OR(H2396&lt;&gt;"Realizado",P2396="",P2396=0),"",A2396+P2396)</f>
        <v/>
      </c>
      <c r="R2396" s="26">
        <f>IF(Q2396="","",IF(COUNTIFS($E$5:$E$3004,E2396,$A$5:$A$3004,"&gt;"&amp;A2396,$H$5:$H$3004,"&lt;&gt;Falta",$H$5:$H$3004,"&lt;&gt;Cancelado",$H$5:$H$3004,"&lt;&gt;Remarcado")&gt;0,"Sim","Não"))</f>
        <v/>
      </c>
      <c r="S2396" s="32">
        <f>IF(R2396&lt;&gt;"Não","",IF(Q2396+Config!$B$9&lt;=Config!$B$8,Config!$B$8-Q2396,""))</f>
        <v/>
      </c>
      <c r="T2396" s="26">
        <f>IF(S2396="","","Sim")</f>
        <v/>
      </c>
      <c r="U2396" s="41">
        <f>IF(T2396="Sim",S2396+ROW()/100000,0)</f>
        <v>0</v>
      </c>
      <c r="V2396" s="41">
        <f>IF(AND(H2396="Falta",L2396=Config!$B$7,M2396=Config!$B$5,COUNTIFS($E$5:E2396,E2396,$H$5:H2396,"Falta",$L$5:L2396,Config!$B$7,$M$5:M2396,Config!$B$5)=1),COUNTIFS($E$5:$E$3004,E2396,$H$5:$H$3004,"Falta",$L$5:$L$3004,Config!$B$7,$M$5:$M$3004,Config!$B$5)*1000-ROW()/100000,0)</f>
        <v>0</v>
      </c>
    </row>
    <row r="2397">
      <c r="A2397" s="39" t="n"/>
      <c r="B2397" s="40" t="n"/>
      <c r="C2397" s="35" t="n"/>
      <c r="D2397" s="35" t="n"/>
      <c r="E2397" s="34" t="n"/>
      <c r="F2397" s="35" t="n"/>
      <c r="G2397" s="35" t="n"/>
      <c r="H2397" s="35" t="n"/>
      <c r="I2397" s="35" t="n"/>
      <c r="J2397" s="35" t="n"/>
      <c r="K2397" s="34" t="n"/>
      <c r="L2397" s="26">
        <f>IF(A2397="","",MONTH(A2397))</f>
        <v/>
      </c>
      <c r="M2397" s="26">
        <f>IF(A2397="","",YEAR(A2397))</f>
        <v/>
      </c>
      <c r="N2397" s="26">
        <f>IF(A2397="","",CHOOSE(WEEKDAY(A2397,2),"Segunda","Terça","Quarta","Quinta","Sexta","Sábado","Domingo"))</f>
        <v/>
      </c>
      <c r="O2397" s="26">
        <f>IF(B2397="","",IF(B2397&lt;TIME(12,0,0),"Manhã",IF(B2397&lt;TIME(18,0,0),"Tarde","Noite")))</f>
        <v/>
      </c>
      <c r="P2397" s="32">
        <f>IF(G2397="","",IFERROR(INDEX(Config!$I$5:$I$16,MATCH(G2397,Config!$H$5:$H$16,0)),0))</f>
        <v/>
      </c>
      <c r="Q2397" s="30">
        <f>IF(OR(H2397&lt;&gt;"Realizado",P2397="",P2397=0),"",A2397+P2397)</f>
        <v/>
      </c>
      <c r="R2397" s="26">
        <f>IF(Q2397="","",IF(COUNTIFS($E$5:$E$3004,E2397,$A$5:$A$3004,"&gt;"&amp;A2397,$H$5:$H$3004,"&lt;&gt;Falta",$H$5:$H$3004,"&lt;&gt;Cancelado",$H$5:$H$3004,"&lt;&gt;Remarcado")&gt;0,"Sim","Não"))</f>
        <v/>
      </c>
      <c r="S2397" s="32">
        <f>IF(R2397&lt;&gt;"Não","",IF(Q2397+Config!$B$9&lt;=Config!$B$8,Config!$B$8-Q2397,""))</f>
        <v/>
      </c>
      <c r="T2397" s="26">
        <f>IF(S2397="","","Sim")</f>
        <v/>
      </c>
      <c r="U2397" s="41">
        <f>IF(T2397="Sim",S2397+ROW()/100000,0)</f>
        <v>0</v>
      </c>
      <c r="V2397" s="41">
        <f>IF(AND(H2397="Falta",L2397=Config!$B$7,M2397=Config!$B$5,COUNTIFS($E$5:E2397,E2397,$H$5:H2397,"Falta",$L$5:L2397,Config!$B$7,$M$5:M2397,Config!$B$5)=1),COUNTIFS($E$5:$E$3004,E2397,$H$5:$H$3004,"Falta",$L$5:$L$3004,Config!$B$7,$M$5:$M$3004,Config!$B$5)*1000-ROW()/100000,0)</f>
        <v>0</v>
      </c>
    </row>
    <row r="2398">
      <c r="A2398" s="39" t="n"/>
      <c r="B2398" s="40" t="n"/>
      <c r="C2398" s="35" t="n"/>
      <c r="D2398" s="35" t="n"/>
      <c r="E2398" s="34" t="n"/>
      <c r="F2398" s="35" t="n"/>
      <c r="G2398" s="35" t="n"/>
      <c r="H2398" s="35" t="n"/>
      <c r="I2398" s="35" t="n"/>
      <c r="J2398" s="35" t="n"/>
      <c r="K2398" s="34" t="n"/>
      <c r="L2398" s="26">
        <f>IF(A2398="","",MONTH(A2398))</f>
        <v/>
      </c>
      <c r="M2398" s="26">
        <f>IF(A2398="","",YEAR(A2398))</f>
        <v/>
      </c>
      <c r="N2398" s="26">
        <f>IF(A2398="","",CHOOSE(WEEKDAY(A2398,2),"Segunda","Terça","Quarta","Quinta","Sexta","Sábado","Domingo"))</f>
        <v/>
      </c>
      <c r="O2398" s="26">
        <f>IF(B2398="","",IF(B2398&lt;TIME(12,0,0),"Manhã",IF(B2398&lt;TIME(18,0,0),"Tarde","Noite")))</f>
        <v/>
      </c>
      <c r="P2398" s="32">
        <f>IF(G2398="","",IFERROR(INDEX(Config!$I$5:$I$16,MATCH(G2398,Config!$H$5:$H$16,0)),0))</f>
        <v/>
      </c>
      <c r="Q2398" s="30">
        <f>IF(OR(H2398&lt;&gt;"Realizado",P2398="",P2398=0),"",A2398+P2398)</f>
        <v/>
      </c>
      <c r="R2398" s="26">
        <f>IF(Q2398="","",IF(COUNTIFS($E$5:$E$3004,E2398,$A$5:$A$3004,"&gt;"&amp;A2398,$H$5:$H$3004,"&lt;&gt;Falta",$H$5:$H$3004,"&lt;&gt;Cancelado",$H$5:$H$3004,"&lt;&gt;Remarcado")&gt;0,"Sim","Não"))</f>
        <v/>
      </c>
      <c r="S2398" s="32">
        <f>IF(R2398&lt;&gt;"Não","",IF(Q2398+Config!$B$9&lt;=Config!$B$8,Config!$B$8-Q2398,""))</f>
        <v/>
      </c>
      <c r="T2398" s="26">
        <f>IF(S2398="","","Sim")</f>
        <v/>
      </c>
      <c r="U2398" s="41">
        <f>IF(T2398="Sim",S2398+ROW()/100000,0)</f>
        <v>0</v>
      </c>
      <c r="V2398" s="41">
        <f>IF(AND(H2398="Falta",L2398=Config!$B$7,M2398=Config!$B$5,COUNTIFS($E$5:E2398,E2398,$H$5:H2398,"Falta",$L$5:L2398,Config!$B$7,$M$5:M2398,Config!$B$5)=1),COUNTIFS($E$5:$E$3004,E2398,$H$5:$H$3004,"Falta",$L$5:$L$3004,Config!$B$7,$M$5:$M$3004,Config!$B$5)*1000-ROW()/100000,0)</f>
        <v>0</v>
      </c>
    </row>
    <row r="2399">
      <c r="A2399" s="39" t="n"/>
      <c r="B2399" s="40" t="n"/>
      <c r="C2399" s="35" t="n"/>
      <c r="D2399" s="35" t="n"/>
      <c r="E2399" s="34" t="n"/>
      <c r="F2399" s="35" t="n"/>
      <c r="G2399" s="35" t="n"/>
      <c r="H2399" s="35" t="n"/>
      <c r="I2399" s="35" t="n"/>
      <c r="J2399" s="35" t="n"/>
      <c r="K2399" s="34" t="n"/>
      <c r="L2399" s="26">
        <f>IF(A2399="","",MONTH(A2399))</f>
        <v/>
      </c>
      <c r="M2399" s="26">
        <f>IF(A2399="","",YEAR(A2399))</f>
        <v/>
      </c>
      <c r="N2399" s="26">
        <f>IF(A2399="","",CHOOSE(WEEKDAY(A2399,2),"Segunda","Terça","Quarta","Quinta","Sexta","Sábado","Domingo"))</f>
        <v/>
      </c>
      <c r="O2399" s="26">
        <f>IF(B2399="","",IF(B2399&lt;TIME(12,0,0),"Manhã",IF(B2399&lt;TIME(18,0,0),"Tarde","Noite")))</f>
        <v/>
      </c>
      <c r="P2399" s="32">
        <f>IF(G2399="","",IFERROR(INDEX(Config!$I$5:$I$16,MATCH(G2399,Config!$H$5:$H$16,0)),0))</f>
        <v/>
      </c>
      <c r="Q2399" s="30">
        <f>IF(OR(H2399&lt;&gt;"Realizado",P2399="",P2399=0),"",A2399+P2399)</f>
        <v/>
      </c>
      <c r="R2399" s="26">
        <f>IF(Q2399="","",IF(COUNTIFS($E$5:$E$3004,E2399,$A$5:$A$3004,"&gt;"&amp;A2399,$H$5:$H$3004,"&lt;&gt;Falta",$H$5:$H$3004,"&lt;&gt;Cancelado",$H$5:$H$3004,"&lt;&gt;Remarcado")&gt;0,"Sim","Não"))</f>
        <v/>
      </c>
      <c r="S2399" s="32">
        <f>IF(R2399&lt;&gt;"Não","",IF(Q2399+Config!$B$9&lt;=Config!$B$8,Config!$B$8-Q2399,""))</f>
        <v/>
      </c>
      <c r="T2399" s="26">
        <f>IF(S2399="","","Sim")</f>
        <v/>
      </c>
      <c r="U2399" s="41">
        <f>IF(T2399="Sim",S2399+ROW()/100000,0)</f>
        <v>0</v>
      </c>
      <c r="V2399" s="41">
        <f>IF(AND(H2399="Falta",L2399=Config!$B$7,M2399=Config!$B$5,COUNTIFS($E$5:E2399,E2399,$H$5:H2399,"Falta",$L$5:L2399,Config!$B$7,$M$5:M2399,Config!$B$5)=1),COUNTIFS($E$5:$E$3004,E2399,$H$5:$H$3004,"Falta",$L$5:$L$3004,Config!$B$7,$M$5:$M$3004,Config!$B$5)*1000-ROW()/100000,0)</f>
        <v>0</v>
      </c>
    </row>
    <row r="2400">
      <c r="A2400" s="39" t="n"/>
      <c r="B2400" s="40" t="n"/>
      <c r="C2400" s="35" t="n"/>
      <c r="D2400" s="35" t="n"/>
      <c r="E2400" s="34" t="n"/>
      <c r="F2400" s="35" t="n"/>
      <c r="G2400" s="35" t="n"/>
      <c r="H2400" s="35" t="n"/>
      <c r="I2400" s="35" t="n"/>
      <c r="J2400" s="35" t="n"/>
      <c r="K2400" s="34" t="n"/>
      <c r="L2400" s="26">
        <f>IF(A2400="","",MONTH(A2400))</f>
        <v/>
      </c>
      <c r="M2400" s="26">
        <f>IF(A2400="","",YEAR(A2400))</f>
        <v/>
      </c>
      <c r="N2400" s="26">
        <f>IF(A2400="","",CHOOSE(WEEKDAY(A2400,2),"Segunda","Terça","Quarta","Quinta","Sexta","Sábado","Domingo"))</f>
        <v/>
      </c>
      <c r="O2400" s="26">
        <f>IF(B2400="","",IF(B2400&lt;TIME(12,0,0),"Manhã",IF(B2400&lt;TIME(18,0,0),"Tarde","Noite")))</f>
        <v/>
      </c>
      <c r="P2400" s="32">
        <f>IF(G2400="","",IFERROR(INDEX(Config!$I$5:$I$16,MATCH(G2400,Config!$H$5:$H$16,0)),0))</f>
        <v/>
      </c>
      <c r="Q2400" s="30">
        <f>IF(OR(H2400&lt;&gt;"Realizado",P2400="",P2400=0),"",A2400+P2400)</f>
        <v/>
      </c>
      <c r="R2400" s="26">
        <f>IF(Q2400="","",IF(COUNTIFS($E$5:$E$3004,E2400,$A$5:$A$3004,"&gt;"&amp;A2400,$H$5:$H$3004,"&lt;&gt;Falta",$H$5:$H$3004,"&lt;&gt;Cancelado",$H$5:$H$3004,"&lt;&gt;Remarcado")&gt;0,"Sim","Não"))</f>
        <v/>
      </c>
      <c r="S2400" s="32">
        <f>IF(R2400&lt;&gt;"Não","",IF(Q2400+Config!$B$9&lt;=Config!$B$8,Config!$B$8-Q2400,""))</f>
        <v/>
      </c>
      <c r="T2400" s="26">
        <f>IF(S2400="","","Sim")</f>
        <v/>
      </c>
      <c r="U2400" s="41">
        <f>IF(T2400="Sim",S2400+ROW()/100000,0)</f>
        <v>0</v>
      </c>
      <c r="V2400" s="41">
        <f>IF(AND(H2400="Falta",L2400=Config!$B$7,M2400=Config!$B$5,COUNTIFS($E$5:E2400,E2400,$H$5:H2400,"Falta",$L$5:L2400,Config!$B$7,$M$5:M2400,Config!$B$5)=1),COUNTIFS($E$5:$E$3004,E2400,$H$5:$H$3004,"Falta",$L$5:$L$3004,Config!$B$7,$M$5:$M$3004,Config!$B$5)*1000-ROW()/100000,0)</f>
        <v>0</v>
      </c>
    </row>
    <row r="2401">
      <c r="A2401" s="39" t="n"/>
      <c r="B2401" s="40" t="n"/>
      <c r="C2401" s="35" t="n"/>
      <c r="D2401" s="35" t="n"/>
      <c r="E2401" s="34" t="n"/>
      <c r="F2401" s="35" t="n"/>
      <c r="G2401" s="35" t="n"/>
      <c r="H2401" s="35" t="n"/>
      <c r="I2401" s="35" t="n"/>
      <c r="J2401" s="35" t="n"/>
      <c r="K2401" s="34" t="n"/>
      <c r="L2401" s="26">
        <f>IF(A2401="","",MONTH(A2401))</f>
        <v/>
      </c>
      <c r="M2401" s="26">
        <f>IF(A2401="","",YEAR(A2401))</f>
        <v/>
      </c>
      <c r="N2401" s="26">
        <f>IF(A2401="","",CHOOSE(WEEKDAY(A2401,2),"Segunda","Terça","Quarta","Quinta","Sexta","Sábado","Domingo"))</f>
        <v/>
      </c>
      <c r="O2401" s="26">
        <f>IF(B2401="","",IF(B2401&lt;TIME(12,0,0),"Manhã",IF(B2401&lt;TIME(18,0,0),"Tarde","Noite")))</f>
        <v/>
      </c>
      <c r="P2401" s="32">
        <f>IF(G2401="","",IFERROR(INDEX(Config!$I$5:$I$16,MATCH(G2401,Config!$H$5:$H$16,0)),0))</f>
        <v/>
      </c>
      <c r="Q2401" s="30">
        <f>IF(OR(H2401&lt;&gt;"Realizado",P2401="",P2401=0),"",A2401+P2401)</f>
        <v/>
      </c>
      <c r="R2401" s="26">
        <f>IF(Q2401="","",IF(COUNTIFS($E$5:$E$3004,E2401,$A$5:$A$3004,"&gt;"&amp;A2401,$H$5:$H$3004,"&lt;&gt;Falta",$H$5:$H$3004,"&lt;&gt;Cancelado",$H$5:$H$3004,"&lt;&gt;Remarcado")&gt;0,"Sim","Não"))</f>
        <v/>
      </c>
      <c r="S2401" s="32">
        <f>IF(R2401&lt;&gt;"Não","",IF(Q2401+Config!$B$9&lt;=Config!$B$8,Config!$B$8-Q2401,""))</f>
        <v/>
      </c>
      <c r="T2401" s="26">
        <f>IF(S2401="","","Sim")</f>
        <v/>
      </c>
      <c r="U2401" s="41">
        <f>IF(T2401="Sim",S2401+ROW()/100000,0)</f>
        <v>0</v>
      </c>
      <c r="V2401" s="41">
        <f>IF(AND(H2401="Falta",L2401=Config!$B$7,M2401=Config!$B$5,COUNTIFS($E$5:E2401,E2401,$H$5:H2401,"Falta",$L$5:L2401,Config!$B$7,$M$5:M2401,Config!$B$5)=1),COUNTIFS($E$5:$E$3004,E2401,$H$5:$H$3004,"Falta",$L$5:$L$3004,Config!$B$7,$M$5:$M$3004,Config!$B$5)*1000-ROW()/100000,0)</f>
        <v>0</v>
      </c>
    </row>
    <row r="2402">
      <c r="A2402" s="39" t="n"/>
      <c r="B2402" s="40" t="n"/>
      <c r="C2402" s="35" t="n"/>
      <c r="D2402" s="35" t="n"/>
      <c r="E2402" s="34" t="n"/>
      <c r="F2402" s="35" t="n"/>
      <c r="G2402" s="35" t="n"/>
      <c r="H2402" s="35" t="n"/>
      <c r="I2402" s="35" t="n"/>
      <c r="J2402" s="35" t="n"/>
      <c r="K2402" s="34" t="n"/>
      <c r="L2402" s="26">
        <f>IF(A2402="","",MONTH(A2402))</f>
        <v/>
      </c>
      <c r="M2402" s="26">
        <f>IF(A2402="","",YEAR(A2402))</f>
        <v/>
      </c>
      <c r="N2402" s="26">
        <f>IF(A2402="","",CHOOSE(WEEKDAY(A2402,2),"Segunda","Terça","Quarta","Quinta","Sexta","Sábado","Domingo"))</f>
        <v/>
      </c>
      <c r="O2402" s="26">
        <f>IF(B2402="","",IF(B2402&lt;TIME(12,0,0),"Manhã",IF(B2402&lt;TIME(18,0,0),"Tarde","Noite")))</f>
        <v/>
      </c>
      <c r="P2402" s="32">
        <f>IF(G2402="","",IFERROR(INDEX(Config!$I$5:$I$16,MATCH(G2402,Config!$H$5:$H$16,0)),0))</f>
        <v/>
      </c>
      <c r="Q2402" s="30">
        <f>IF(OR(H2402&lt;&gt;"Realizado",P2402="",P2402=0),"",A2402+P2402)</f>
        <v/>
      </c>
      <c r="R2402" s="26">
        <f>IF(Q2402="","",IF(COUNTIFS($E$5:$E$3004,E2402,$A$5:$A$3004,"&gt;"&amp;A2402,$H$5:$H$3004,"&lt;&gt;Falta",$H$5:$H$3004,"&lt;&gt;Cancelado",$H$5:$H$3004,"&lt;&gt;Remarcado")&gt;0,"Sim","Não"))</f>
        <v/>
      </c>
      <c r="S2402" s="32">
        <f>IF(R2402&lt;&gt;"Não","",IF(Q2402+Config!$B$9&lt;=Config!$B$8,Config!$B$8-Q2402,""))</f>
        <v/>
      </c>
      <c r="T2402" s="26">
        <f>IF(S2402="","","Sim")</f>
        <v/>
      </c>
      <c r="U2402" s="41">
        <f>IF(T2402="Sim",S2402+ROW()/100000,0)</f>
        <v>0</v>
      </c>
      <c r="V2402" s="41">
        <f>IF(AND(H2402="Falta",L2402=Config!$B$7,M2402=Config!$B$5,COUNTIFS($E$5:E2402,E2402,$H$5:H2402,"Falta",$L$5:L2402,Config!$B$7,$M$5:M2402,Config!$B$5)=1),COUNTIFS($E$5:$E$3004,E2402,$H$5:$H$3004,"Falta",$L$5:$L$3004,Config!$B$7,$M$5:$M$3004,Config!$B$5)*1000-ROW()/100000,0)</f>
        <v>0</v>
      </c>
    </row>
    <row r="2403">
      <c r="A2403" s="39" t="n"/>
      <c r="B2403" s="40" t="n"/>
      <c r="C2403" s="35" t="n"/>
      <c r="D2403" s="35" t="n"/>
      <c r="E2403" s="34" t="n"/>
      <c r="F2403" s="35" t="n"/>
      <c r="G2403" s="35" t="n"/>
      <c r="H2403" s="35" t="n"/>
      <c r="I2403" s="35" t="n"/>
      <c r="J2403" s="35" t="n"/>
      <c r="K2403" s="34" t="n"/>
      <c r="L2403" s="26">
        <f>IF(A2403="","",MONTH(A2403))</f>
        <v/>
      </c>
      <c r="M2403" s="26">
        <f>IF(A2403="","",YEAR(A2403))</f>
        <v/>
      </c>
      <c r="N2403" s="26">
        <f>IF(A2403="","",CHOOSE(WEEKDAY(A2403,2),"Segunda","Terça","Quarta","Quinta","Sexta","Sábado","Domingo"))</f>
        <v/>
      </c>
      <c r="O2403" s="26">
        <f>IF(B2403="","",IF(B2403&lt;TIME(12,0,0),"Manhã",IF(B2403&lt;TIME(18,0,0),"Tarde","Noite")))</f>
        <v/>
      </c>
      <c r="P2403" s="32">
        <f>IF(G2403="","",IFERROR(INDEX(Config!$I$5:$I$16,MATCH(G2403,Config!$H$5:$H$16,0)),0))</f>
        <v/>
      </c>
      <c r="Q2403" s="30">
        <f>IF(OR(H2403&lt;&gt;"Realizado",P2403="",P2403=0),"",A2403+P2403)</f>
        <v/>
      </c>
      <c r="R2403" s="26">
        <f>IF(Q2403="","",IF(COUNTIFS($E$5:$E$3004,E2403,$A$5:$A$3004,"&gt;"&amp;A2403,$H$5:$H$3004,"&lt;&gt;Falta",$H$5:$H$3004,"&lt;&gt;Cancelado",$H$5:$H$3004,"&lt;&gt;Remarcado")&gt;0,"Sim","Não"))</f>
        <v/>
      </c>
      <c r="S2403" s="32">
        <f>IF(R2403&lt;&gt;"Não","",IF(Q2403+Config!$B$9&lt;=Config!$B$8,Config!$B$8-Q2403,""))</f>
        <v/>
      </c>
      <c r="T2403" s="26">
        <f>IF(S2403="","","Sim")</f>
        <v/>
      </c>
      <c r="U2403" s="41">
        <f>IF(T2403="Sim",S2403+ROW()/100000,0)</f>
        <v>0</v>
      </c>
      <c r="V2403" s="41">
        <f>IF(AND(H2403="Falta",L2403=Config!$B$7,M2403=Config!$B$5,COUNTIFS($E$5:E2403,E2403,$H$5:H2403,"Falta",$L$5:L2403,Config!$B$7,$M$5:M2403,Config!$B$5)=1),COUNTIFS($E$5:$E$3004,E2403,$H$5:$H$3004,"Falta",$L$5:$L$3004,Config!$B$7,$M$5:$M$3004,Config!$B$5)*1000-ROW()/100000,0)</f>
        <v>0</v>
      </c>
    </row>
    <row r="2404">
      <c r="A2404" s="39" t="n"/>
      <c r="B2404" s="40" t="n"/>
      <c r="C2404" s="35" t="n"/>
      <c r="D2404" s="35" t="n"/>
      <c r="E2404" s="34" t="n"/>
      <c r="F2404" s="35" t="n"/>
      <c r="G2404" s="35" t="n"/>
      <c r="H2404" s="35" t="n"/>
      <c r="I2404" s="35" t="n"/>
      <c r="J2404" s="35" t="n"/>
      <c r="K2404" s="34" t="n"/>
      <c r="L2404" s="26">
        <f>IF(A2404="","",MONTH(A2404))</f>
        <v/>
      </c>
      <c r="M2404" s="26">
        <f>IF(A2404="","",YEAR(A2404))</f>
        <v/>
      </c>
      <c r="N2404" s="26">
        <f>IF(A2404="","",CHOOSE(WEEKDAY(A2404,2),"Segunda","Terça","Quarta","Quinta","Sexta","Sábado","Domingo"))</f>
        <v/>
      </c>
      <c r="O2404" s="26">
        <f>IF(B2404="","",IF(B2404&lt;TIME(12,0,0),"Manhã",IF(B2404&lt;TIME(18,0,0),"Tarde","Noite")))</f>
        <v/>
      </c>
      <c r="P2404" s="32">
        <f>IF(G2404="","",IFERROR(INDEX(Config!$I$5:$I$16,MATCH(G2404,Config!$H$5:$H$16,0)),0))</f>
        <v/>
      </c>
      <c r="Q2404" s="30">
        <f>IF(OR(H2404&lt;&gt;"Realizado",P2404="",P2404=0),"",A2404+P2404)</f>
        <v/>
      </c>
      <c r="R2404" s="26">
        <f>IF(Q2404="","",IF(COUNTIFS($E$5:$E$3004,E2404,$A$5:$A$3004,"&gt;"&amp;A2404,$H$5:$H$3004,"&lt;&gt;Falta",$H$5:$H$3004,"&lt;&gt;Cancelado",$H$5:$H$3004,"&lt;&gt;Remarcado")&gt;0,"Sim","Não"))</f>
        <v/>
      </c>
      <c r="S2404" s="32">
        <f>IF(R2404&lt;&gt;"Não","",IF(Q2404+Config!$B$9&lt;=Config!$B$8,Config!$B$8-Q2404,""))</f>
        <v/>
      </c>
      <c r="T2404" s="26">
        <f>IF(S2404="","","Sim")</f>
        <v/>
      </c>
      <c r="U2404" s="41">
        <f>IF(T2404="Sim",S2404+ROW()/100000,0)</f>
        <v>0</v>
      </c>
      <c r="V2404" s="41">
        <f>IF(AND(H2404="Falta",L2404=Config!$B$7,M2404=Config!$B$5,COUNTIFS($E$5:E2404,E2404,$H$5:H2404,"Falta",$L$5:L2404,Config!$B$7,$M$5:M2404,Config!$B$5)=1),COUNTIFS($E$5:$E$3004,E2404,$H$5:$H$3004,"Falta",$L$5:$L$3004,Config!$B$7,$M$5:$M$3004,Config!$B$5)*1000-ROW()/100000,0)</f>
        <v>0</v>
      </c>
    </row>
    <row r="2405">
      <c r="A2405" s="39" t="n"/>
      <c r="B2405" s="40" t="n"/>
      <c r="C2405" s="35" t="n"/>
      <c r="D2405" s="35" t="n"/>
      <c r="E2405" s="34" t="n"/>
      <c r="F2405" s="35" t="n"/>
      <c r="G2405" s="35" t="n"/>
      <c r="H2405" s="35" t="n"/>
      <c r="I2405" s="35" t="n"/>
      <c r="J2405" s="35" t="n"/>
      <c r="K2405" s="34" t="n"/>
      <c r="L2405" s="26">
        <f>IF(A2405="","",MONTH(A2405))</f>
        <v/>
      </c>
      <c r="M2405" s="26">
        <f>IF(A2405="","",YEAR(A2405))</f>
        <v/>
      </c>
      <c r="N2405" s="26">
        <f>IF(A2405="","",CHOOSE(WEEKDAY(A2405,2),"Segunda","Terça","Quarta","Quinta","Sexta","Sábado","Domingo"))</f>
        <v/>
      </c>
      <c r="O2405" s="26">
        <f>IF(B2405="","",IF(B2405&lt;TIME(12,0,0),"Manhã",IF(B2405&lt;TIME(18,0,0),"Tarde","Noite")))</f>
        <v/>
      </c>
      <c r="P2405" s="32">
        <f>IF(G2405="","",IFERROR(INDEX(Config!$I$5:$I$16,MATCH(G2405,Config!$H$5:$H$16,0)),0))</f>
        <v/>
      </c>
      <c r="Q2405" s="30">
        <f>IF(OR(H2405&lt;&gt;"Realizado",P2405="",P2405=0),"",A2405+P2405)</f>
        <v/>
      </c>
      <c r="R2405" s="26">
        <f>IF(Q2405="","",IF(COUNTIFS($E$5:$E$3004,E2405,$A$5:$A$3004,"&gt;"&amp;A2405,$H$5:$H$3004,"&lt;&gt;Falta",$H$5:$H$3004,"&lt;&gt;Cancelado",$H$5:$H$3004,"&lt;&gt;Remarcado")&gt;0,"Sim","Não"))</f>
        <v/>
      </c>
      <c r="S2405" s="32">
        <f>IF(R2405&lt;&gt;"Não","",IF(Q2405+Config!$B$9&lt;=Config!$B$8,Config!$B$8-Q2405,""))</f>
        <v/>
      </c>
      <c r="T2405" s="26">
        <f>IF(S2405="","","Sim")</f>
        <v/>
      </c>
      <c r="U2405" s="41">
        <f>IF(T2405="Sim",S2405+ROW()/100000,0)</f>
        <v>0</v>
      </c>
      <c r="V2405" s="41">
        <f>IF(AND(H2405="Falta",L2405=Config!$B$7,M2405=Config!$B$5,COUNTIFS($E$5:E2405,E2405,$H$5:H2405,"Falta",$L$5:L2405,Config!$B$7,$M$5:M2405,Config!$B$5)=1),COUNTIFS($E$5:$E$3004,E2405,$H$5:$H$3004,"Falta",$L$5:$L$3004,Config!$B$7,$M$5:$M$3004,Config!$B$5)*1000-ROW()/100000,0)</f>
        <v>0</v>
      </c>
    </row>
    <row r="2406">
      <c r="A2406" s="39" t="n"/>
      <c r="B2406" s="40" t="n"/>
      <c r="C2406" s="35" t="n"/>
      <c r="D2406" s="35" t="n"/>
      <c r="E2406" s="34" t="n"/>
      <c r="F2406" s="35" t="n"/>
      <c r="G2406" s="35" t="n"/>
      <c r="H2406" s="35" t="n"/>
      <c r="I2406" s="35" t="n"/>
      <c r="J2406" s="35" t="n"/>
      <c r="K2406" s="34" t="n"/>
      <c r="L2406" s="26">
        <f>IF(A2406="","",MONTH(A2406))</f>
        <v/>
      </c>
      <c r="M2406" s="26">
        <f>IF(A2406="","",YEAR(A2406))</f>
        <v/>
      </c>
      <c r="N2406" s="26">
        <f>IF(A2406="","",CHOOSE(WEEKDAY(A2406,2),"Segunda","Terça","Quarta","Quinta","Sexta","Sábado","Domingo"))</f>
        <v/>
      </c>
      <c r="O2406" s="26">
        <f>IF(B2406="","",IF(B2406&lt;TIME(12,0,0),"Manhã",IF(B2406&lt;TIME(18,0,0),"Tarde","Noite")))</f>
        <v/>
      </c>
      <c r="P2406" s="32">
        <f>IF(G2406="","",IFERROR(INDEX(Config!$I$5:$I$16,MATCH(G2406,Config!$H$5:$H$16,0)),0))</f>
        <v/>
      </c>
      <c r="Q2406" s="30">
        <f>IF(OR(H2406&lt;&gt;"Realizado",P2406="",P2406=0),"",A2406+P2406)</f>
        <v/>
      </c>
      <c r="R2406" s="26">
        <f>IF(Q2406="","",IF(COUNTIFS($E$5:$E$3004,E2406,$A$5:$A$3004,"&gt;"&amp;A2406,$H$5:$H$3004,"&lt;&gt;Falta",$H$5:$H$3004,"&lt;&gt;Cancelado",$H$5:$H$3004,"&lt;&gt;Remarcado")&gt;0,"Sim","Não"))</f>
        <v/>
      </c>
      <c r="S2406" s="32">
        <f>IF(R2406&lt;&gt;"Não","",IF(Q2406+Config!$B$9&lt;=Config!$B$8,Config!$B$8-Q2406,""))</f>
        <v/>
      </c>
      <c r="T2406" s="26">
        <f>IF(S2406="","","Sim")</f>
        <v/>
      </c>
      <c r="U2406" s="41">
        <f>IF(T2406="Sim",S2406+ROW()/100000,0)</f>
        <v>0</v>
      </c>
      <c r="V2406" s="41">
        <f>IF(AND(H2406="Falta",L2406=Config!$B$7,M2406=Config!$B$5,COUNTIFS($E$5:E2406,E2406,$H$5:H2406,"Falta",$L$5:L2406,Config!$B$7,$M$5:M2406,Config!$B$5)=1),COUNTIFS($E$5:$E$3004,E2406,$H$5:$H$3004,"Falta",$L$5:$L$3004,Config!$B$7,$M$5:$M$3004,Config!$B$5)*1000-ROW()/100000,0)</f>
        <v>0</v>
      </c>
    </row>
    <row r="2407">
      <c r="A2407" s="39" t="n"/>
      <c r="B2407" s="40" t="n"/>
      <c r="C2407" s="35" t="n"/>
      <c r="D2407" s="35" t="n"/>
      <c r="E2407" s="34" t="n"/>
      <c r="F2407" s="35" t="n"/>
      <c r="G2407" s="35" t="n"/>
      <c r="H2407" s="35" t="n"/>
      <c r="I2407" s="35" t="n"/>
      <c r="J2407" s="35" t="n"/>
      <c r="K2407" s="34" t="n"/>
      <c r="L2407" s="26">
        <f>IF(A2407="","",MONTH(A2407))</f>
        <v/>
      </c>
      <c r="M2407" s="26">
        <f>IF(A2407="","",YEAR(A2407))</f>
        <v/>
      </c>
      <c r="N2407" s="26">
        <f>IF(A2407="","",CHOOSE(WEEKDAY(A2407,2),"Segunda","Terça","Quarta","Quinta","Sexta","Sábado","Domingo"))</f>
        <v/>
      </c>
      <c r="O2407" s="26">
        <f>IF(B2407="","",IF(B2407&lt;TIME(12,0,0),"Manhã",IF(B2407&lt;TIME(18,0,0),"Tarde","Noite")))</f>
        <v/>
      </c>
      <c r="P2407" s="32">
        <f>IF(G2407="","",IFERROR(INDEX(Config!$I$5:$I$16,MATCH(G2407,Config!$H$5:$H$16,0)),0))</f>
        <v/>
      </c>
      <c r="Q2407" s="30">
        <f>IF(OR(H2407&lt;&gt;"Realizado",P2407="",P2407=0),"",A2407+P2407)</f>
        <v/>
      </c>
      <c r="R2407" s="26">
        <f>IF(Q2407="","",IF(COUNTIFS($E$5:$E$3004,E2407,$A$5:$A$3004,"&gt;"&amp;A2407,$H$5:$H$3004,"&lt;&gt;Falta",$H$5:$H$3004,"&lt;&gt;Cancelado",$H$5:$H$3004,"&lt;&gt;Remarcado")&gt;0,"Sim","Não"))</f>
        <v/>
      </c>
      <c r="S2407" s="32">
        <f>IF(R2407&lt;&gt;"Não","",IF(Q2407+Config!$B$9&lt;=Config!$B$8,Config!$B$8-Q2407,""))</f>
        <v/>
      </c>
      <c r="T2407" s="26">
        <f>IF(S2407="","","Sim")</f>
        <v/>
      </c>
      <c r="U2407" s="41">
        <f>IF(T2407="Sim",S2407+ROW()/100000,0)</f>
        <v>0</v>
      </c>
      <c r="V2407" s="41">
        <f>IF(AND(H2407="Falta",L2407=Config!$B$7,M2407=Config!$B$5,COUNTIFS($E$5:E2407,E2407,$H$5:H2407,"Falta",$L$5:L2407,Config!$B$7,$M$5:M2407,Config!$B$5)=1),COUNTIFS($E$5:$E$3004,E2407,$H$5:$H$3004,"Falta",$L$5:$L$3004,Config!$B$7,$M$5:$M$3004,Config!$B$5)*1000-ROW()/100000,0)</f>
        <v>0</v>
      </c>
    </row>
    <row r="2408">
      <c r="A2408" s="39" t="n"/>
      <c r="B2408" s="40" t="n"/>
      <c r="C2408" s="35" t="n"/>
      <c r="D2408" s="35" t="n"/>
      <c r="E2408" s="34" t="n"/>
      <c r="F2408" s="35" t="n"/>
      <c r="G2408" s="35" t="n"/>
      <c r="H2408" s="35" t="n"/>
      <c r="I2408" s="35" t="n"/>
      <c r="J2408" s="35" t="n"/>
      <c r="K2408" s="34" t="n"/>
      <c r="L2408" s="26">
        <f>IF(A2408="","",MONTH(A2408))</f>
        <v/>
      </c>
      <c r="M2408" s="26">
        <f>IF(A2408="","",YEAR(A2408))</f>
        <v/>
      </c>
      <c r="N2408" s="26">
        <f>IF(A2408="","",CHOOSE(WEEKDAY(A2408,2),"Segunda","Terça","Quarta","Quinta","Sexta","Sábado","Domingo"))</f>
        <v/>
      </c>
      <c r="O2408" s="26">
        <f>IF(B2408="","",IF(B2408&lt;TIME(12,0,0),"Manhã",IF(B2408&lt;TIME(18,0,0),"Tarde","Noite")))</f>
        <v/>
      </c>
      <c r="P2408" s="32">
        <f>IF(G2408="","",IFERROR(INDEX(Config!$I$5:$I$16,MATCH(G2408,Config!$H$5:$H$16,0)),0))</f>
        <v/>
      </c>
      <c r="Q2408" s="30">
        <f>IF(OR(H2408&lt;&gt;"Realizado",P2408="",P2408=0),"",A2408+P2408)</f>
        <v/>
      </c>
      <c r="R2408" s="26">
        <f>IF(Q2408="","",IF(COUNTIFS($E$5:$E$3004,E2408,$A$5:$A$3004,"&gt;"&amp;A2408,$H$5:$H$3004,"&lt;&gt;Falta",$H$5:$H$3004,"&lt;&gt;Cancelado",$H$5:$H$3004,"&lt;&gt;Remarcado")&gt;0,"Sim","Não"))</f>
        <v/>
      </c>
      <c r="S2408" s="32">
        <f>IF(R2408&lt;&gt;"Não","",IF(Q2408+Config!$B$9&lt;=Config!$B$8,Config!$B$8-Q2408,""))</f>
        <v/>
      </c>
      <c r="T2408" s="26">
        <f>IF(S2408="","","Sim")</f>
        <v/>
      </c>
      <c r="U2408" s="41">
        <f>IF(T2408="Sim",S2408+ROW()/100000,0)</f>
        <v>0</v>
      </c>
      <c r="V2408" s="41">
        <f>IF(AND(H2408="Falta",L2408=Config!$B$7,M2408=Config!$B$5,COUNTIFS($E$5:E2408,E2408,$H$5:H2408,"Falta",$L$5:L2408,Config!$B$7,$M$5:M2408,Config!$B$5)=1),COUNTIFS($E$5:$E$3004,E2408,$H$5:$H$3004,"Falta",$L$5:$L$3004,Config!$B$7,$M$5:$M$3004,Config!$B$5)*1000-ROW()/100000,0)</f>
        <v>0</v>
      </c>
    </row>
    <row r="2409">
      <c r="A2409" s="39" t="n"/>
      <c r="B2409" s="40" t="n"/>
      <c r="C2409" s="35" t="n"/>
      <c r="D2409" s="35" t="n"/>
      <c r="E2409" s="34" t="n"/>
      <c r="F2409" s="35" t="n"/>
      <c r="G2409" s="35" t="n"/>
      <c r="H2409" s="35" t="n"/>
      <c r="I2409" s="35" t="n"/>
      <c r="J2409" s="35" t="n"/>
      <c r="K2409" s="34" t="n"/>
      <c r="L2409" s="26">
        <f>IF(A2409="","",MONTH(A2409))</f>
        <v/>
      </c>
      <c r="M2409" s="26">
        <f>IF(A2409="","",YEAR(A2409))</f>
        <v/>
      </c>
      <c r="N2409" s="26">
        <f>IF(A2409="","",CHOOSE(WEEKDAY(A2409,2),"Segunda","Terça","Quarta","Quinta","Sexta","Sábado","Domingo"))</f>
        <v/>
      </c>
      <c r="O2409" s="26">
        <f>IF(B2409="","",IF(B2409&lt;TIME(12,0,0),"Manhã",IF(B2409&lt;TIME(18,0,0),"Tarde","Noite")))</f>
        <v/>
      </c>
      <c r="P2409" s="32">
        <f>IF(G2409="","",IFERROR(INDEX(Config!$I$5:$I$16,MATCH(G2409,Config!$H$5:$H$16,0)),0))</f>
        <v/>
      </c>
      <c r="Q2409" s="30">
        <f>IF(OR(H2409&lt;&gt;"Realizado",P2409="",P2409=0),"",A2409+P2409)</f>
        <v/>
      </c>
      <c r="R2409" s="26">
        <f>IF(Q2409="","",IF(COUNTIFS($E$5:$E$3004,E2409,$A$5:$A$3004,"&gt;"&amp;A2409,$H$5:$H$3004,"&lt;&gt;Falta",$H$5:$H$3004,"&lt;&gt;Cancelado",$H$5:$H$3004,"&lt;&gt;Remarcado")&gt;0,"Sim","Não"))</f>
        <v/>
      </c>
      <c r="S2409" s="32">
        <f>IF(R2409&lt;&gt;"Não","",IF(Q2409+Config!$B$9&lt;=Config!$B$8,Config!$B$8-Q2409,""))</f>
        <v/>
      </c>
      <c r="T2409" s="26">
        <f>IF(S2409="","","Sim")</f>
        <v/>
      </c>
      <c r="U2409" s="41">
        <f>IF(T2409="Sim",S2409+ROW()/100000,0)</f>
        <v>0</v>
      </c>
      <c r="V2409" s="41">
        <f>IF(AND(H2409="Falta",L2409=Config!$B$7,M2409=Config!$B$5,COUNTIFS($E$5:E2409,E2409,$H$5:H2409,"Falta",$L$5:L2409,Config!$B$7,$M$5:M2409,Config!$B$5)=1),COUNTIFS($E$5:$E$3004,E2409,$H$5:$H$3004,"Falta",$L$5:$L$3004,Config!$B$7,$M$5:$M$3004,Config!$B$5)*1000-ROW()/100000,0)</f>
        <v>0</v>
      </c>
    </row>
    <row r="2410">
      <c r="A2410" s="39" t="n"/>
      <c r="B2410" s="40" t="n"/>
      <c r="C2410" s="35" t="n"/>
      <c r="D2410" s="35" t="n"/>
      <c r="E2410" s="34" t="n"/>
      <c r="F2410" s="35" t="n"/>
      <c r="G2410" s="35" t="n"/>
      <c r="H2410" s="35" t="n"/>
      <c r="I2410" s="35" t="n"/>
      <c r="J2410" s="35" t="n"/>
      <c r="K2410" s="34" t="n"/>
      <c r="L2410" s="26">
        <f>IF(A2410="","",MONTH(A2410))</f>
        <v/>
      </c>
      <c r="M2410" s="26">
        <f>IF(A2410="","",YEAR(A2410))</f>
        <v/>
      </c>
      <c r="N2410" s="26">
        <f>IF(A2410="","",CHOOSE(WEEKDAY(A2410,2),"Segunda","Terça","Quarta","Quinta","Sexta","Sábado","Domingo"))</f>
        <v/>
      </c>
      <c r="O2410" s="26">
        <f>IF(B2410="","",IF(B2410&lt;TIME(12,0,0),"Manhã",IF(B2410&lt;TIME(18,0,0),"Tarde","Noite")))</f>
        <v/>
      </c>
      <c r="P2410" s="32">
        <f>IF(G2410="","",IFERROR(INDEX(Config!$I$5:$I$16,MATCH(G2410,Config!$H$5:$H$16,0)),0))</f>
        <v/>
      </c>
      <c r="Q2410" s="30">
        <f>IF(OR(H2410&lt;&gt;"Realizado",P2410="",P2410=0),"",A2410+P2410)</f>
        <v/>
      </c>
      <c r="R2410" s="26">
        <f>IF(Q2410="","",IF(COUNTIFS($E$5:$E$3004,E2410,$A$5:$A$3004,"&gt;"&amp;A2410,$H$5:$H$3004,"&lt;&gt;Falta",$H$5:$H$3004,"&lt;&gt;Cancelado",$H$5:$H$3004,"&lt;&gt;Remarcado")&gt;0,"Sim","Não"))</f>
        <v/>
      </c>
      <c r="S2410" s="32">
        <f>IF(R2410&lt;&gt;"Não","",IF(Q2410+Config!$B$9&lt;=Config!$B$8,Config!$B$8-Q2410,""))</f>
        <v/>
      </c>
      <c r="T2410" s="26">
        <f>IF(S2410="","","Sim")</f>
        <v/>
      </c>
      <c r="U2410" s="41">
        <f>IF(T2410="Sim",S2410+ROW()/100000,0)</f>
        <v>0</v>
      </c>
      <c r="V2410" s="41">
        <f>IF(AND(H2410="Falta",L2410=Config!$B$7,M2410=Config!$B$5,COUNTIFS($E$5:E2410,E2410,$H$5:H2410,"Falta",$L$5:L2410,Config!$B$7,$M$5:M2410,Config!$B$5)=1),COUNTIFS($E$5:$E$3004,E2410,$H$5:$H$3004,"Falta",$L$5:$L$3004,Config!$B$7,$M$5:$M$3004,Config!$B$5)*1000-ROW()/100000,0)</f>
        <v>0</v>
      </c>
    </row>
    <row r="2411">
      <c r="A2411" s="39" t="n"/>
      <c r="B2411" s="40" t="n"/>
      <c r="C2411" s="35" t="n"/>
      <c r="D2411" s="35" t="n"/>
      <c r="E2411" s="34" t="n"/>
      <c r="F2411" s="35" t="n"/>
      <c r="G2411" s="35" t="n"/>
      <c r="H2411" s="35" t="n"/>
      <c r="I2411" s="35" t="n"/>
      <c r="J2411" s="35" t="n"/>
      <c r="K2411" s="34" t="n"/>
      <c r="L2411" s="26">
        <f>IF(A2411="","",MONTH(A2411))</f>
        <v/>
      </c>
      <c r="M2411" s="26">
        <f>IF(A2411="","",YEAR(A2411))</f>
        <v/>
      </c>
      <c r="N2411" s="26">
        <f>IF(A2411="","",CHOOSE(WEEKDAY(A2411,2),"Segunda","Terça","Quarta","Quinta","Sexta","Sábado","Domingo"))</f>
        <v/>
      </c>
      <c r="O2411" s="26">
        <f>IF(B2411="","",IF(B2411&lt;TIME(12,0,0),"Manhã",IF(B2411&lt;TIME(18,0,0),"Tarde","Noite")))</f>
        <v/>
      </c>
      <c r="P2411" s="32">
        <f>IF(G2411="","",IFERROR(INDEX(Config!$I$5:$I$16,MATCH(G2411,Config!$H$5:$H$16,0)),0))</f>
        <v/>
      </c>
      <c r="Q2411" s="30">
        <f>IF(OR(H2411&lt;&gt;"Realizado",P2411="",P2411=0),"",A2411+P2411)</f>
        <v/>
      </c>
      <c r="R2411" s="26">
        <f>IF(Q2411="","",IF(COUNTIFS($E$5:$E$3004,E2411,$A$5:$A$3004,"&gt;"&amp;A2411,$H$5:$H$3004,"&lt;&gt;Falta",$H$5:$H$3004,"&lt;&gt;Cancelado",$H$5:$H$3004,"&lt;&gt;Remarcado")&gt;0,"Sim","Não"))</f>
        <v/>
      </c>
      <c r="S2411" s="32">
        <f>IF(R2411&lt;&gt;"Não","",IF(Q2411+Config!$B$9&lt;=Config!$B$8,Config!$B$8-Q2411,""))</f>
        <v/>
      </c>
      <c r="T2411" s="26">
        <f>IF(S2411="","","Sim")</f>
        <v/>
      </c>
      <c r="U2411" s="41">
        <f>IF(T2411="Sim",S2411+ROW()/100000,0)</f>
        <v>0</v>
      </c>
      <c r="V2411" s="41">
        <f>IF(AND(H2411="Falta",L2411=Config!$B$7,M2411=Config!$B$5,COUNTIFS($E$5:E2411,E2411,$H$5:H2411,"Falta",$L$5:L2411,Config!$B$7,$M$5:M2411,Config!$B$5)=1),COUNTIFS($E$5:$E$3004,E2411,$H$5:$H$3004,"Falta",$L$5:$L$3004,Config!$B$7,$M$5:$M$3004,Config!$B$5)*1000-ROW()/100000,0)</f>
        <v>0</v>
      </c>
    </row>
    <row r="2412">
      <c r="A2412" s="39" t="n"/>
      <c r="B2412" s="40" t="n"/>
      <c r="C2412" s="35" t="n"/>
      <c r="D2412" s="35" t="n"/>
      <c r="E2412" s="34" t="n"/>
      <c r="F2412" s="35" t="n"/>
      <c r="G2412" s="35" t="n"/>
      <c r="H2412" s="35" t="n"/>
      <c r="I2412" s="35" t="n"/>
      <c r="J2412" s="35" t="n"/>
      <c r="K2412" s="34" t="n"/>
      <c r="L2412" s="26">
        <f>IF(A2412="","",MONTH(A2412))</f>
        <v/>
      </c>
      <c r="M2412" s="26">
        <f>IF(A2412="","",YEAR(A2412))</f>
        <v/>
      </c>
      <c r="N2412" s="26">
        <f>IF(A2412="","",CHOOSE(WEEKDAY(A2412,2),"Segunda","Terça","Quarta","Quinta","Sexta","Sábado","Domingo"))</f>
        <v/>
      </c>
      <c r="O2412" s="26">
        <f>IF(B2412="","",IF(B2412&lt;TIME(12,0,0),"Manhã",IF(B2412&lt;TIME(18,0,0),"Tarde","Noite")))</f>
        <v/>
      </c>
      <c r="P2412" s="32">
        <f>IF(G2412="","",IFERROR(INDEX(Config!$I$5:$I$16,MATCH(G2412,Config!$H$5:$H$16,0)),0))</f>
        <v/>
      </c>
      <c r="Q2412" s="30">
        <f>IF(OR(H2412&lt;&gt;"Realizado",P2412="",P2412=0),"",A2412+P2412)</f>
        <v/>
      </c>
      <c r="R2412" s="26">
        <f>IF(Q2412="","",IF(COUNTIFS($E$5:$E$3004,E2412,$A$5:$A$3004,"&gt;"&amp;A2412,$H$5:$H$3004,"&lt;&gt;Falta",$H$5:$H$3004,"&lt;&gt;Cancelado",$H$5:$H$3004,"&lt;&gt;Remarcado")&gt;0,"Sim","Não"))</f>
        <v/>
      </c>
      <c r="S2412" s="32">
        <f>IF(R2412&lt;&gt;"Não","",IF(Q2412+Config!$B$9&lt;=Config!$B$8,Config!$B$8-Q2412,""))</f>
        <v/>
      </c>
      <c r="T2412" s="26">
        <f>IF(S2412="","","Sim")</f>
        <v/>
      </c>
      <c r="U2412" s="41">
        <f>IF(T2412="Sim",S2412+ROW()/100000,0)</f>
        <v>0</v>
      </c>
      <c r="V2412" s="41">
        <f>IF(AND(H2412="Falta",L2412=Config!$B$7,M2412=Config!$B$5,COUNTIFS($E$5:E2412,E2412,$H$5:H2412,"Falta",$L$5:L2412,Config!$B$7,$M$5:M2412,Config!$B$5)=1),COUNTIFS($E$5:$E$3004,E2412,$H$5:$H$3004,"Falta",$L$5:$L$3004,Config!$B$7,$M$5:$M$3004,Config!$B$5)*1000-ROW()/100000,0)</f>
        <v>0</v>
      </c>
    </row>
    <row r="2413">
      <c r="A2413" s="39" t="n"/>
      <c r="B2413" s="40" t="n"/>
      <c r="C2413" s="35" t="n"/>
      <c r="D2413" s="35" t="n"/>
      <c r="E2413" s="34" t="n"/>
      <c r="F2413" s="35" t="n"/>
      <c r="G2413" s="35" t="n"/>
      <c r="H2413" s="35" t="n"/>
      <c r="I2413" s="35" t="n"/>
      <c r="J2413" s="35" t="n"/>
      <c r="K2413" s="34" t="n"/>
      <c r="L2413" s="26">
        <f>IF(A2413="","",MONTH(A2413))</f>
        <v/>
      </c>
      <c r="M2413" s="26">
        <f>IF(A2413="","",YEAR(A2413))</f>
        <v/>
      </c>
      <c r="N2413" s="26">
        <f>IF(A2413="","",CHOOSE(WEEKDAY(A2413,2),"Segunda","Terça","Quarta","Quinta","Sexta","Sábado","Domingo"))</f>
        <v/>
      </c>
      <c r="O2413" s="26">
        <f>IF(B2413="","",IF(B2413&lt;TIME(12,0,0),"Manhã",IF(B2413&lt;TIME(18,0,0),"Tarde","Noite")))</f>
        <v/>
      </c>
      <c r="P2413" s="32">
        <f>IF(G2413="","",IFERROR(INDEX(Config!$I$5:$I$16,MATCH(G2413,Config!$H$5:$H$16,0)),0))</f>
        <v/>
      </c>
      <c r="Q2413" s="30">
        <f>IF(OR(H2413&lt;&gt;"Realizado",P2413="",P2413=0),"",A2413+P2413)</f>
        <v/>
      </c>
      <c r="R2413" s="26">
        <f>IF(Q2413="","",IF(COUNTIFS($E$5:$E$3004,E2413,$A$5:$A$3004,"&gt;"&amp;A2413,$H$5:$H$3004,"&lt;&gt;Falta",$H$5:$H$3004,"&lt;&gt;Cancelado",$H$5:$H$3004,"&lt;&gt;Remarcado")&gt;0,"Sim","Não"))</f>
        <v/>
      </c>
      <c r="S2413" s="32">
        <f>IF(R2413&lt;&gt;"Não","",IF(Q2413+Config!$B$9&lt;=Config!$B$8,Config!$B$8-Q2413,""))</f>
        <v/>
      </c>
      <c r="T2413" s="26">
        <f>IF(S2413="","","Sim")</f>
        <v/>
      </c>
      <c r="U2413" s="41">
        <f>IF(T2413="Sim",S2413+ROW()/100000,0)</f>
        <v>0</v>
      </c>
      <c r="V2413" s="41">
        <f>IF(AND(H2413="Falta",L2413=Config!$B$7,M2413=Config!$B$5,COUNTIFS($E$5:E2413,E2413,$H$5:H2413,"Falta",$L$5:L2413,Config!$B$7,$M$5:M2413,Config!$B$5)=1),COUNTIFS($E$5:$E$3004,E2413,$H$5:$H$3004,"Falta",$L$5:$L$3004,Config!$B$7,$M$5:$M$3004,Config!$B$5)*1000-ROW()/100000,0)</f>
        <v>0</v>
      </c>
    </row>
    <row r="2414">
      <c r="A2414" s="39" t="n"/>
      <c r="B2414" s="40" t="n"/>
      <c r="C2414" s="35" t="n"/>
      <c r="D2414" s="35" t="n"/>
      <c r="E2414" s="34" t="n"/>
      <c r="F2414" s="35" t="n"/>
      <c r="G2414" s="35" t="n"/>
      <c r="H2414" s="35" t="n"/>
      <c r="I2414" s="35" t="n"/>
      <c r="J2414" s="35" t="n"/>
      <c r="K2414" s="34" t="n"/>
      <c r="L2414" s="26">
        <f>IF(A2414="","",MONTH(A2414))</f>
        <v/>
      </c>
      <c r="M2414" s="26">
        <f>IF(A2414="","",YEAR(A2414))</f>
        <v/>
      </c>
      <c r="N2414" s="26">
        <f>IF(A2414="","",CHOOSE(WEEKDAY(A2414,2),"Segunda","Terça","Quarta","Quinta","Sexta","Sábado","Domingo"))</f>
        <v/>
      </c>
      <c r="O2414" s="26">
        <f>IF(B2414="","",IF(B2414&lt;TIME(12,0,0),"Manhã",IF(B2414&lt;TIME(18,0,0),"Tarde","Noite")))</f>
        <v/>
      </c>
      <c r="P2414" s="32">
        <f>IF(G2414="","",IFERROR(INDEX(Config!$I$5:$I$16,MATCH(G2414,Config!$H$5:$H$16,0)),0))</f>
        <v/>
      </c>
      <c r="Q2414" s="30">
        <f>IF(OR(H2414&lt;&gt;"Realizado",P2414="",P2414=0),"",A2414+P2414)</f>
        <v/>
      </c>
      <c r="R2414" s="26">
        <f>IF(Q2414="","",IF(COUNTIFS($E$5:$E$3004,E2414,$A$5:$A$3004,"&gt;"&amp;A2414,$H$5:$H$3004,"&lt;&gt;Falta",$H$5:$H$3004,"&lt;&gt;Cancelado",$H$5:$H$3004,"&lt;&gt;Remarcado")&gt;0,"Sim","Não"))</f>
        <v/>
      </c>
      <c r="S2414" s="32">
        <f>IF(R2414&lt;&gt;"Não","",IF(Q2414+Config!$B$9&lt;=Config!$B$8,Config!$B$8-Q2414,""))</f>
        <v/>
      </c>
      <c r="T2414" s="26">
        <f>IF(S2414="","","Sim")</f>
        <v/>
      </c>
      <c r="U2414" s="41">
        <f>IF(T2414="Sim",S2414+ROW()/100000,0)</f>
        <v>0</v>
      </c>
      <c r="V2414" s="41">
        <f>IF(AND(H2414="Falta",L2414=Config!$B$7,M2414=Config!$B$5,COUNTIFS($E$5:E2414,E2414,$H$5:H2414,"Falta",$L$5:L2414,Config!$B$7,$M$5:M2414,Config!$B$5)=1),COUNTIFS($E$5:$E$3004,E2414,$H$5:$H$3004,"Falta",$L$5:$L$3004,Config!$B$7,$M$5:$M$3004,Config!$B$5)*1000-ROW()/100000,0)</f>
        <v>0</v>
      </c>
    </row>
    <row r="2415">
      <c r="A2415" s="39" t="n"/>
      <c r="B2415" s="40" t="n"/>
      <c r="C2415" s="35" t="n"/>
      <c r="D2415" s="35" t="n"/>
      <c r="E2415" s="34" t="n"/>
      <c r="F2415" s="35" t="n"/>
      <c r="G2415" s="35" t="n"/>
      <c r="H2415" s="35" t="n"/>
      <c r="I2415" s="35" t="n"/>
      <c r="J2415" s="35" t="n"/>
      <c r="K2415" s="34" t="n"/>
      <c r="L2415" s="26">
        <f>IF(A2415="","",MONTH(A2415))</f>
        <v/>
      </c>
      <c r="M2415" s="26">
        <f>IF(A2415="","",YEAR(A2415))</f>
        <v/>
      </c>
      <c r="N2415" s="26">
        <f>IF(A2415="","",CHOOSE(WEEKDAY(A2415,2),"Segunda","Terça","Quarta","Quinta","Sexta","Sábado","Domingo"))</f>
        <v/>
      </c>
      <c r="O2415" s="26">
        <f>IF(B2415="","",IF(B2415&lt;TIME(12,0,0),"Manhã",IF(B2415&lt;TIME(18,0,0),"Tarde","Noite")))</f>
        <v/>
      </c>
      <c r="P2415" s="32">
        <f>IF(G2415="","",IFERROR(INDEX(Config!$I$5:$I$16,MATCH(G2415,Config!$H$5:$H$16,0)),0))</f>
        <v/>
      </c>
      <c r="Q2415" s="30">
        <f>IF(OR(H2415&lt;&gt;"Realizado",P2415="",P2415=0),"",A2415+P2415)</f>
        <v/>
      </c>
      <c r="R2415" s="26">
        <f>IF(Q2415="","",IF(COUNTIFS($E$5:$E$3004,E2415,$A$5:$A$3004,"&gt;"&amp;A2415,$H$5:$H$3004,"&lt;&gt;Falta",$H$5:$H$3004,"&lt;&gt;Cancelado",$H$5:$H$3004,"&lt;&gt;Remarcado")&gt;0,"Sim","Não"))</f>
        <v/>
      </c>
      <c r="S2415" s="32">
        <f>IF(R2415&lt;&gt;"Não","",IF(Q2415+Config!$B$9&lt;=Config!$B$8,Config!$B$8-Q2415,""))</f>
        <v/>
      </c>
      <c r="T2415" s="26">
        <f>IF(S2415="","","Sim")</f>
        <v/>
      </c>
      <c r="U2415" s="41">
        <f>IF(T2415="Sim",S2415+ROW()/100000,0)</f>
        <v>0</v>
      </c>
      <c r="V2415" s="41">
        <f>IF(AND(H2415="Falta",L2415=Config!$B$7,M2415=Config!$B$5,COUNTIFS($E$5:E2415,E2415,$H$5:H2415,"Falta",$L$5:L2415,Config!$B$7,$M$5:M2415,Config!$B$5)=1),COUNTIFS($E$5:$E$3004,E2415,$H$5:$H$3004,"Falta",$L$5:$L$3004,Config!$B$7,$M$5:$M$3004,Config!$B$5)*1000-ROW()/100000,0)</f>
        <v>0</v>
      </c>
    </row>
    <row r="2416">
      <c r="A2416" s="39" t="n"/>
      <c r="B2416" s="40" t="n"/>
      <c r="C2416" s="35" t="n"/>
      <c r="D2416" s="35" t="n"/>
      <c r="E2416" s="34" t="n"/>
      <c r="F2416" s="35" t="n"/>
      <c r="G2416" s="35" t="n"/>
      <c r="H2416" s="35" t="n"/>
      <c r="I2416" s="35" t="n"/>
      <c r="J2416" s="35" t="n"/>
      <c r="K2416" s="34" t="n"/>
      <c r="L2416" s="26">
        <f>IF(A2416="","",MONTH(A2416))</f>
        <v/>
      </c>
      <c r="M2416" s="26">
        <f>IF(A2416="","",YEAR(A2416))</f>
        <v/>
      </c>
      <c r="N2416" s="26">
        <f>IF(A2416="","",CHOOSE(WEEKDAY(A2416,2),"Segunda","Terça","Quarta","Quinta","Sexta","Sábado","Domingo"))</f>
        <v/>
      </c>
      <c r="O2416" s="26">
        <f>IF(B2416="","",IF(B2416&lt;TIME(12,0,0),"Manhã",IF(B2416&lt;TIME(18,0,0),"Tarde","Noite")))</f>
        <v/>
      </c>
      <c r="P2416" s="32">
        <f>IF(G2416="","",IFERROR(INDEX(Config!$I$5:$I$16,MATCH(G2416,Config!$H$5:$H$16,0)),0))</f>
        <v/>
      </c>
      <c r="Q2416" s="30">
        <f>IF(OR(H2416&lt;&gt;"Realizado",P2416="",P2416=0),"",A2416+P2416)</f>
        <v/>
      </c>
      <c r="R2416" s="26">
        <f>IF(Q2416="","",IF(COUNTIFS($E$5:$E$3004,E2416,$A$5:$A$3004,"&gt;"&amp;A2416,$H$5:$H$3004,"&lt;&gt;Falta",$H$5:$H$3004,"&lt;&gt;Cancelado",$H$5:$H$3004,"&lt;&gt;Remarcado")&gt;0,"Sim","Não"))</f>
        <v/>
      </c>
      <c r="S2416" s="32">
        <f>IF(R2416&lt;&gt;"Não","",IF(Q2416+Config!$B$9&lt;=Config!$B$8,Config!$B$8-Q2416,""))</f>
        <v/>
      </c>
      <c r="T2416" s="26">
        <f>IF(S2416="","","Sim")</f>
        <v/>
      </c>
      <c r="U2416" s="41">
        <f>IF(T2416="Sim",S2416+ROW()/100000,0)</f>
        <v>0</v>
      </c>
      <c r="V2416" s="41">
        <f>IF(AND(H2416="Falta",L2416=Config!$B$7,M2416=Config!$B$5,COUNTIFS($E$5:E2416,E2416,$H$5:H2416,"Falta",$L$5:L2416,Config!$B$7,$M$5:M2416,Config!$B$5)=1),COUNTIFS($E$5:$E$3004,E2416,$H$5:$H$3004,"Falta",$L$5:$L$3004,Config!$B$7,$M$5:$M$3004,Config!$B$5)*1000-ROW()/100000,0)</f>
        <v>0</v>
      </c>
    </row>
    <row r="2417">
      <c r="A2417" s="39" t="n"/>
      <c r="B2417" s="40" t="n"/>
      <c r="C2417" s="35" t="n"/>
      <c r="D2417" s="35" t="n"/>
      <c r="E2417" s="34" t="n"/>
      <c r="F2417" s="35" t="n"/>
      <c r="G2417" s="35" t="n"/>
      <c r="H2417" s="35" t="n"/>
      <c r="I2417" s="35" t="n"/>
      <c r="J2417" s="35" t="n"/>
      <c r="K2417" s="34" t="n"/>
      <c r="L2417" s="26">
        <f>IF(A2417="","",MONTH(A2417))</f>
        <v/>
      </c>
      <c r="M2417" s="26">
        <f>IF(A2417="","",YEAR(A2417))</f>
        <v/>
      </c>
      <c r="N2417" s="26">
        <f>IF(A2417="","",CHOOSE(WEEKDAY(A2417,2),"Segunda","Terça","Quarta","Quinta","Sexta","Sábado","Domingo"))</f>
        <v/>
      </c>
      <c r="O2417" s="26">
        <f>IF(B2417="","",IF(B2417&lt;TIME(12,0,0),"Manhã",IF(B2417&lt;TIME(18,0,0),"Tarde","Noite")))</f>
        <v/>
      </c>
      <c r="P2417" s="32">
        <f>IF(G2417="","",IFERROR(INDEX(Config!$I$5:$I$16,MATCH(G2417,Config!$H$5:$H$16,0)),0))</f>
        <v/>
      </c>
      <c r="Q2417" s="30">
        <f>IF(OR(H2417&lt;&gt;"Realizado",P2417="",P2417=0),"",A2417+P2417)</f>
        <v/>
      </c>
      <c r="R2417" s="26">
        <f>IF(Q2417="","",IF(COUNTIFS($E$5:$E$3004,E2417,$A$5:$A$3004,"&gt;"&amp;A2417,$H$5:$H$3004,"&lt;&gt;Falta",$H$5:$H$3004,"&lt;&gt;Cancelado",$H$5:$H$3004,"&lt;&gt;Remarcado")&gt;0,"Sim","Não"))</f>
        <v/>
      </c>
      <c r="S2417" s="32">
        <f>IF(R2417&lt;&gt;"Não","",IF(Q2417+Config!$B$9&lt;=Config!$B$8,Config!$B$8-Q2417,""))</f>
        <v/>
      </c>
      <c r="T2417" s="26">
        <f>IF(S2417="","","Sim")</f>
        <v/>
      </c>
      <c r="U2417" s="41">
        <f>IF(T2417="Sim",S2417+ROW()/100000,0)</f>
        <v>0</v>
      </c>
      <c r="V2417" s="41">
        <f>IF(AND(H2417="Falta",L2417=Config!$B$7,M2417=Config!$B$5,COUNTIFS($E$5:E2417,E2417,$H$5:H2417,"Falta",$L$5:L2417,Config!$B$7,$M$5:M2417,Config!$B$5)=1),COUNTIFS($E$5:$E$3004,E2417,$H$5:$H$3004,"Falta",$L$5:$L$3004,Config!$B$7,$M$5:$M$3004,Config!$B$5)*1000-ROW()/100000,0)</f>
        <v>0</v>
      </c>
    </row>
    <row r="2418">
      <c r="A2418" s="39" t="n"/>
      <c r="B2418" s="40" t="n"/>
      <c r="C2418" s="35" t="n"/>
      <c r="D2418" s="35" t="n"/>
      <c r="E2418" s="34" t="n"/>
      <c r="F2418" s="35" t="n"/>
      <c r="G2418" s="35" t="n"/>
      <c r="H2418" s="35" t="n"/>
      <c r="I2418" s="35" t="n"/>
      <c r="J2418" s="35" t="n"/>
      <c r="K2418" s="34" t="n"/>
      <c r="L2418" s="26">
        <f>IF(A2418="","",MONTH(A2418))</f>
        <v/>
      </c>
      <c r="M2418" s="26">
        <f>IF(A2418="","",YEAR(A2418))</f>
        <v/>
      </c>
      <c r="N2418" s="26">
        <f>IF(A2418="","",CHOOSE(WEEKDAY(A2418,2),"Segunda","Terça","Quarta","Quinta","Sexta","Sábado","Domingo"))</f>
        <v/>
      </c>
      <c r="O2418" s="26">
        <f>IF(B2418="","",IF(B2418&lt;TIME(12,0,0),"Manhã",IF(B2418&lt;TIME(18,0,0),"Tarde","Noite")))</f>
        <v/>
      </c>
      <c r="P2418" s="32">
        <f>IF(G2418="","",IFERROR(INDEX(Config!$I$5:$I$16,MATCH(G2418,Config!$H$5:$H$16,0)),0))</f>
        <v/>
      </c>
      <c r="Q2418" s="30">
        <f>IF(OR(H2418&lt;&gt;"Realizado",P2418="",P2418=0),"",A2418+P2418)</f>
        <v/>
      </c>
      <c r="R2418" s="26">
        <f>IF(Q2418="","",IF(COUNTIFS($E$5:$E$3004,E2418,$A$5:$A$3004,"&gt;"&amp;A2418,$H$5:$H$3004,"&lt;&gt;Falta",$H$5:$H$3004,"&lt;&gt;Cancelado",$H$5:$H$3004,"&lt;&gt;Remarcado")&gt;0,"Sim","Não"))</f>
        <v/>
      </c>
      <c r="S2418" s="32">
        <f>IF(R2418&lt;&gt;"Não","",IF(Q2418+Config!$B$9&lt;=Config!$B$8,Config!$B$8-Q2418,""))</f>
        <v/>
      </c>
      <c r="T2418" s="26">
        <f>IF(S2418="","","Sim")</f>
        <v/>
      </c>
      <c r="U2418" s="41">
        <f>IF(T2418="Sim",S2418+ROW()/100000,0)</f>
        <v>0</v>
      </c>
      <c r="V2418" s="41">
        <f>IF(AND(H2418="Falta",L2418=Config!$B$7,M2418=Config!$B$5,COUNTIFS($E$5:E2418,E2418,$H$5:H2418,"Falta",$L$5:L2418,Config!$B$7,$M$5:M2418,Config!$B$5)=1),COUNTIFS($E$5:$E$3004,E2418,$H$5:$H$3004,"Falta",$L$5:$L$3004,Config!$B$7,$M$5:$M$3004,Config!$B$5)*1000-ROW()/100000,0)</f>
        <v>0</v>
      </c>
    </row>
    <row r="2419">
      <c r="A2419" s="39" t="n"/>
      <c r="B2419" s="40" t="n"/>
      <c r="C2419" s="35" t="n"/>
      <c r="D2419" s="35" t="n"/>
      <c r="E2419" s="34" t="n"/>
      <c r="F2419" s="35" t="n"/>
      <c r="G2419" s="35" t="n"/>
      <c r="H2419" s="35" t="n"/>
      <c r="I2419" s="35" t="n"/>
      <c r="J2419" s="35" t="n"/>
      <c r="K2419" s="34" t="n"/>
      <c r="L2419" s="26">
        <f>IF(A2419="","",MONTH(A2419))</f>
        <v/>
      </c>
      <c r="M2419" s="26">
        <f>IF(A2419="","",YEAR(A2419))</f>
        <v/>
      </c>
      <c r="N2419" s="26">
        <f>IF(A2419="","",CHOOSE(WEEKDAY(A2419,2),"Segunda","Terça","Quarta","Quinta","Sexta","Sábado","Domingo"))</f>
        <v/>
      </c>
      <c r="O2419" s="26">
        <f>IF(B2419="","",IF(B2419&lt;TIME(12,0,0),"Manhã",IF(B2419&lt;TIME(18,0,0),"Tarde","Noite")))</f>
        <v/>
      </c>
      <c r="P2419" s="32">
        <f>IF(G2419="","",IFERROR(INDEX(Config!$I$5:$I$16,MATCH(G2419,Config!$H$5:$H$16,0)),0))</f>
        <v/>
      </c>
      <c r="Q2419" s="30">
        <f>IF(OR(H2419&lt;&gt;"Realizado",P2419="",P2419=0),"",A2419+P2419)</f>
        <v/>
      </c>
      <c r="R2419" s="26">
        <f>IF(Q2419="","",IF(COUNTIFS($E$5:$E$3004,E2419,$A$5:$A$3004,"&gt;"&amp;A2419,$H$5:$H$3004,"&lt;&gt;Falta",$H$5:$H$3004,"&lt;&gt;Cancelado",$H$5:$H$3004,"&lt;&gt;Remarcado")&gt;0,"Sim","Não"))</f>
        <v/>
      </c>
      <c r="S2419" s="32">
        <f>IF(R2419&lt;&gt;"Não","",IF(Q2419+Config!$B$9&lt;=Config!$B$8,Config!$B$8-Q2419,""))</f>
        <v/>
      </c>
      <c r="T2419" s="26">
        <f>IF(S2419="","","Sim")</f>
        <v/>
      </c>
      <c r="U2419" s="41">
        <f>IF(T2419="Sim",S2419+ROW()/100000,0)</f>
        <v>0</v>
      </c>
      <c r="V2419" s="41">
        <f>IF(AND(H2419="Falta",L2419=Config!$B$7,M2419=Config!$B$5,COUNTIFS($E$5:E2419,E2419,$H$5:H2419,"Falta",$L$5:L2419,Config!$B$7,$M$5:M2419,Config!$B$5)=1),COUNTIFS($E$5:$E$3004,E2419,$H$5:$H$3004,"Falta",$L$5:$L$3004,Config!$B$7,$M$5:$M$3004,Config!$B$5)*1000-ROW()/100000,0)</f>
        <v>0</v>
      </c>
    </row>
    <row r="2420">
      <c r="A2420" s="39" t="n"/>
      <c r="B2420" s="40" t="n"/>
      <c r="C2420" s="35" t="n"/>
      <c r="D2420" s="35" t="n"/>
      <c r="E2420" s="34" t="n"/>
      <c r="F2420" s="35" t="n"/>
      <c r="G2420" s="35" t="n"/>
      <c r="H2420" s="35" t="n"/>
      <c r="I2420" s="35" t="n"/>
      <c r="J2420" s="35" t="n"/>
      <c r="K2420" s="34" t="n"/>
      <c r="L2420" s="26">
        <f>IF(A2420="","",MONTH(A2420))</f>
        <v/>
      </c>
      <c r="M2420" s="26">
        <f>IF(A2420="","",YEAR(A2420))</f>
        <v/>
      </c>
      <c r="N2420" s="26">
        <f>IF(A2420="","",CHOOSE(WEEKDAY(A2420,2),"Segunda","Terça","Quarta","Quinta","Sexta","Sábado","Domingo"))</f>
        <v/>
      </c>
      <c r="O2420" s="26">
        <f>IF(B2420="","",IF(B2420&lt;TIME(12,0,0),"Manhã",IF(B2420&lt;TIME(18,0,0),"Tarde","Noite")))</f>
        <v/>
      </c>
      <c r="P2420" s="32">
        <f>IF(G2420="","",IFERROR(INDEX(Config!$I$5:$I$16,MATCH(G2420,Config!$H$5:$H$16,0)),0))</f>
        <v/>
      </c>
      <c r="Q2420" s="30">
        <f>IF(OR(H2420&lt;&gt;"Realizado",P2420="",P2420=0),"",A2420+P2420)</f>
        <v/>
      </c>
      <c r="R2420" s="26">
        <f>IF(Q2420="","",IF(COUNTIFS($E$5:$E$3004,E2420,$A$5:$A$3004,"&gt;"&amp;A2420,$H$5:$H$3004,"&lt;&gt;Falta",$H$5:$H$3004,"&lt;&gt;Cancelado",$H$5:$H$3004,"&lt;&gt;Remarcado")&gt;0,"Sim","Não"))</f>
        <v/>
      </c>
      <c r="S2420" s="32">
        <f>IF(R2420&lt;&gt;"Não","",IF(Q2420+Config!$B$9&lt;=Config!$B$8,Config!$B$8-Q2420,""))</f>
        <v/>
      </c>
      <c r="T2420" s="26">
        <f>IF(S2420="","","Sim")</f>
        <v/>
      </c>
      <c r="U2420" s="41">
        <f>IF(T2420="Sim",S2420+ROW()/100000,0)</f>
        <v>0</v>
      </c>
      <c r="V2420" s="41">
        <f>IF(AND(H2420="Falta",L2420=Config!$B$7,M2420=Config!$B$5,COUNTIFS($E$5:E2420,E2420,$H$5:H2420,"Falta",$L$5:L2420,Config!$B$7,$M$5:M2420,Config!$B$5)=1),COUNTIFS($E$5:$E$3004,E2420,$H$5:$H$3004,"Falta",$L$5:$L$3004,Config!$B$7,$M$5:$M$3004,Config!$B$5)*1000-ROW()/100000,0)</f>
        <v>0</v>
      </c>
    </row>
    <row r="2421">
      <c r="A2421" s="39" t="n"/>
      <c r="B2421" s="40" t="n"/>
      <c r="C2421" s="35" t="n"/>
      <c r="D2421" s="35" t="n"/>
      <c r="E2421" s="34" t="n"/>
      <c r="F2421" s="35" t="n"/>
      <c r="G2421" s="35" t="n"/>
      <c r="H2421" s="35" t="n"/>
      <c r="I2421" s="35" t="n"/>
      <c r="J2421" s="35" t="n"/>
      <c r="K2421" s="34" t="n"/>
      <c r="L2421" s="26">
        <f>IF(A2421="","",MONTH(A2421))</f>
        <v/>
      </c>
      <c r="M2421" s="26">
        <f>IF(A2421="","",YEAR(A2421))</f>
        <v/>
      </c>
      <c r="N2421" s="26">
        <f>IF(A2421="","",CHOOSE(WEEKDAY(A2421,2),"Segunda","Terça","Quarta","Quinta","Sexta","Sábado","Domingo"))</f>
        <v/>
      </c>
      <c r="O2421" s="26">
        <f>IF(B2421="","",IF(B2421&lt;TIME(12,0,0),"Manhã",IF(B2421&lt;TIME(18,0,0),"Tarde","Noite")))</f>
        <v/>
      </c>
      <c r="P2421" s="32">
        <f>IF(G2421="","",IFERROR(INDEX(Config!$I$5:$I$16,MATCH(G2421,Config!$H$5:$H$16,0)),0))</f>
        <v/>
      </c>
      <c r="Q2421" s="30">
        <f>IF(OR(H2421&lt;&gt;"Realizado",P2421="",P2421=0),"",A2421+P2421)</f>
        <v/>
      </c>
      <c r="R2421" s="26">
        <f>IF(Q2421="","",IF(COUNTIFS($E$5:$E$3004,E2421,$A$5:$A$3004,"&gt;"&amp;A2421,$H$5:$H$3004,"&lt;&gt;Falta",$H$5:$H$3004,"&lt;&gt;Cancelado",$H$5:$H$3004,"&lt;&gt;Remarcado")&gt;0,"Sim","Não"))</f>
        <v/>
      </c>
      <c r="S2421" s="32">
        <f>IF(R2421&lt;&gt;"Não","",IF(Q2421+Config!$B$9&lt;=Config!$B$8,Config!$B$8-Q2421,""))</f>
        <v/>
      </c>
      <c r="T2421" s="26">
        <f>IF(S2421="","","Sim")</f>
        <v/>
      </c>
      <c r="U2421" s="41">
        <f>IF(T2421="Sim",S2421+ROW()/100000,0)</f>
        <v>0</v>
      </c>
      <c r="V2421" s="41">
        <f>IF(AND(H2421="Falta",L2421=Config!$B$7,M2421=Config!$B$5,COUNTIFS($E$5:E2421,E2421,$H$5:H2421,"Falta",$L$5:L2421,Config!$B$7,$M$5:M2421,Config!$B$5)=1),COUNTIFS($E$5:$E$3004,E2421,$H$5:$H$3004,"Falta",$L$5:$L$3004,Config!$B$7,$M$5:$M$3004,Config!$B$5)*1000-ROW()/100000,0)</f>
        <v>0</v>
      </c>
    </row>
    <row r="2422">
      <c r="A2422" s="39" t="n"/>
      <c r="B2422" s="40" t="n"/>
      <c r="C2422" s="35" t="n"/>
      <c r="D2422" s="35" t="n"/>
      <c r="E2422" s="34" t="n"/>
      <c r="F2422" s="35" t="n"/>
      <c r="G2422" s="35" t="n"/>
      <c r="H2422" s="35" t="n"/>
      <c r="I2422" s="35" t="n"/>
      <c r="J2422" s="35" t="n"/>
      <c r="K2422" s="34" t="n"/>
      <c r="L2422" s="26">
        <f>IF(A2422="","",MONTH(A2422))</f>
        <v/>
      </c>
      <c r="M2422" s="26">
        <f>IF(A2422="","",YEAR(A2422))</f>
        <v/>
      </c>
      <c r="N2422" s="26">
        <f>IF(A2422="","",CHOOSE(WEEKDAY(A2422,2),"Segunda","Terça","Quarta","Quinta","Sexta","Sábado","Domingo"))</f>
        <v/>
      </c>
      <c r="O2422" s="26">
        <f>IF(B2422="","",IF(B2422&lt;TIME(12,0,0),"Manhã",IF(B2422&lt;TIME(18,0,0),"Tarde","Noite")))</f>
        <v/>
      </c>
      <c r="P2422" s="32">
        <f>IF(G2422="","",IFERROR(INDEX(Config!$I$5:$I$16,MATCH(G2422,Config!$H$5:$H$16,0)),0))</f>
        <v/>
      </c>
      <c r="Q2422" s="30">
        <f>IF(OR(H2422&lt;&gt;"Realizado",P2422="",P2422=0),"",A2422+P2422)</f>
        <v/>
      </c>
      <c r="R2422" s="26">
        <f>IF(Q2422="","",IF(COUNTIFS($E$5:$E$3004,E2422,$A$5:$A$3004,"&gt;"&amp;A2422,$H$5:$H$3004,"&lt;&gt;Falta",$H$5:$H$3004,"&lt;&gt;Cancelado",$H$5:$H$3004,"&lt;&gt;Remarcado")&gt;0,"Sim","Não"))</f>
        <v/>
      </c>
      <c r="S2422" s="32">
        <f>IF(R2422&lt;&gt;"Não","",IF(Q2422+Config!$B$9&lt;=Config!$B$8,Config!$B$8-Q2422,""))</f>
        <v/>
      </c>
      <c r="T2422" s="26">
        <f>IF(S2422="","","Sim")</f>
        <v/>
      </c>
      <c r="U2422" s="41">
        <f>IF(T2422="Sim",S2422+ROW()/100000,0)</f>
        <v>0</v>
      </c>
      <c r="V2422" s="41">
        <f>IF(AND(H2422="Falta",L2422=Config!$B$7,M2422=Config!$B$5,COUNTIFS($E$5:E2422,E2422,$H$5:H2422,"Falta",$L$5:L2422,Config!$B$7,$M$5:M2422,Config!$B$5)=1),COUNTIFS($E$5:$E$3004,E2422,$H$5:$H$3004,"Falta",$L$5:$L$3004,Config!$B$7,$M$5:$M$3004,Config!$B$5)*1000-ROW()/100000,0)</f>
        <v>0</v>
      </c>
    </row>
    <row r="2423">
      <c r="A2423" s="39" t="n"/>
      <c r="B2423" s="40" t="n"/>
      <c r="C2423" s="35" t="n"/>
      <c r="D2423" s="35" t="n"/>
      <c r="E2423" s="34" t="n"/>
      <c r="F2423" s="35" t="n"/>
      <c r="G2423" s="35" t="n"/>
      <c r="H2423" s="35" t="n"/>
      <c r="I2423" s="35" t="n"/>
      <c r="J2423" s="35" t="n"/>
      <c r="K2423" s="34" t="n"/>
      <c r="L2423" s="26">
        <f>IF(A2423="","",MONTH(A2423))</f>
        <v/>
      </c>
      <c r="M2423" s="26">
        <f>IF(A2423="","",YEAR(A2423))</f>
        <v/>
      </c>
      <c r="N2423" s="26">
        <f>IF(A2423="","",CHOOSE(WEEKDAY(A2423,2),"Segunda","Terça","Quarta","Quinta","Sexta","Sábado","Domingo"))</f>
        <v/>
      </c>
      <c r="O2423" s="26">
        <f>IF(B2423="","",IF(B2423&lt;TIME(12,0,0),"Manhã",IF(B2423&lt;TIME(18,0,0),"Tarde","Noite")))</f>
        <v/>
      </c>
      <c r="P2423" s="32">
        <f>IF(G2423="","",IFERROR(INDEX(Config!$I$5:$I$16,MATCH(G2423,Config!$H$5:$H$16,0)),0))</f>
        <v/>
      </c>
      <c r="Q2423" s="30">
        <f>IF(OR(H2423&lt;&gt;"Realizado",P2423="",P2423=0),"",A2423+P2423)</f>
        <v/>
      </c>
      <c r="R2423" s="26">
        <f>IF(Q2423="","",IF(COUNTIFS($E$5:$E$3004,E2423,$A$5:$A$3004,"&gt;"&amp;A2423,$H$5:$H$3004,"&lt;&gt;Falta",$H$5:$H$3004,"&lt;&gt;Cancelado",$H$5:$H$3004,"&lt;&gt;Remarcado")&gt;0,"Sim","Não"))</f>
        <v/>
      </c>
      <c r="S2423" s="32">
        <f>IF(R2423&lt;&gt;"Não","",IF(Q2423+Config!$B$9&lt;=Config!$B$8,Config!$B$8-Q2423,""))</f>
        <v/>
      </c>
      <c r="T2423" s="26">
        <f>IF(S2423="","","Sim")</f>
        <v/>
      </c>
      <c r="U2423" s="41">
        <f>IF(T2423="Sim",S2423+ROW()/100000,0)</f>
        <v>0</v>
      </c>
      <c r="V2423" s="41">
        <f>IF(AND(H2423="Falta",L2423=Config!$B$7,M2423=Config!$B$5,COUNTIFS($E$5:E2423,E2423,$H$5:H2423,"Falta",$L$5:L2423,Config!$B$7,$M$5:M2423,Config!$B$5)=1),COUNTIFS($E$5:$E$3004,E2423,$H$5:$H$3004,"Falta",$L$5:$L$3004,Config!$B$7,$M$5:$M$3004,Config!$B$5)*1000-ROW()/100000,0)</f>
        <v>0</v>
      </c>
    </row>
    <row r="2424">
      <c r="A2424" s="39" t="n"/>
      <c r="B2424" s="40" t="n"/>
      <c r="C2424" s="35" t="n"/>
      <c r="D2424" s="35" t="n"/>
      <c r="E2424" s="34" t="n"/>
      <c r="F2424" s="35" t="n"/>
      <c r="G2424" s="35" t="n"/>
      <c r="H2424" s="35" t="n"/>
      <c r="I2424" s="35" t="n"/>
      <c r="J2424" s="35" t="n"/>
      <c r="K2424" s="34" t="n"/>
      <c r="L2424" s="26">
        <f>IF(A2424="","",MONTH(A2424))</f>
        <v/>
      </c>
      <c r="M2424" s="26">
        <f>IF(A2424="","",YEAR(A2424))</f>
        <v/>
      </c>
      <c r="N2424" s="26">
        <f>IF(A2424="","",CHOOSE(WEEKDAY(A2424,2),"Segunda","Terça","Quarta","Quinta","Sexta","Sábado","Domingo"))</f>
        <v/>
      </c>
      <c r="O2424" s="26">
        <f>IF(B2424="","",IF(B2424&lt;TIME(12,0,0),"Manhã",IF(B2424&lt;TIME(18,0,0),"Tarde","Noite")))</f>
        <v/>
      </c>
      <c r="P2424" s="32">
        <f>IF(G2424="","",IFERROR(INDEX(Config!$I$5:$I$16,MATCH(G2424,Config!$H$5:$H$16,0)),0))</f>
        <v/>
      </c>
      <c r="Q2424" s="30">
        <f>IF(OR(H2424&lt;&gt;"Realizado",P2424="",P2424=0),"",A2424+P2424)</f>
        <v/>
      </c>
      <c r="R2424" s="26">
        <f>IF(Q2424="","",IF(COUNTIFS($E$5:$E$3004,E2424,$A$5:$A$3004,"&gt;"&amp;A2424,$H$5:$H$3004,"&lt;&gt;Falta",$H$5:$H$3004,"&lt;&gt;Cancelado",$H$5:$H$3004,"&lt;&gt;Remarcado")&gt;0,"Sim","Não"))</f>
        <v/>
      </c>
      <c r="S2424" s="32">
        <f>IF(R2424&lt;&gt;"Não","",IF(Q2424+Config!$B$9&lt;=Config!$B$8,Config!$B$8-Q2424,""))</f>
        <v/>
      </c>
      <c r="T2424" s="26">
        <f>IF(S2424="","","Sim")</f>
        <v/>
      </c>
      <c r="U2424" s="41">
        <f>IF(T2424="Sim",S2424+ROW()/100000,0)</f>
        <v>0</v>
      </c>
      <c r="V2424" s="41">
        <f>IF(AND(H2424="Falta",L2424=Config!$B$7,M2424=Config!$B$5,COUNTIFS($E$5:E2424,E2424,$H$5:H2424,"Falta",$L$5:L2424,Config!$B$7,$M$5:M2424,Config!$B$5)=1),COUNTIFS($E$5:$E$3004,E2424,$H$5:$H$3004,"Falta",$L$5:$L$3004,Config!$B$7,$M$5:$M$3004,Config!$B$5)*1000-ROW()/100000,0)</f>
        <v>0</v>
      </c>
    </row>
    <row r="2425">
      <c r="A2425" s="39" t="n"/>
      <c r="B2425" s="40" t="n"/>
      <c r="C2425" s="35" t="n"/>
      <c r="D2425" s="35" t="n"/>
      <c r="E2425" s="34" t="n"/>
      <c r="F2425" s="35" t="n"/>
      <c r="G2425" s="35" t="n"/>
      <c r="H2425" s="35" t="n"/>
      <c r="I2425" s="35" t="n"/>
      <c r="J2425" s="35" t="n"/>
      <c r="K2425" s="34" t="n"/>
      <c r="L2425" s="26">
        <f>IF(A2425="","",MONTH(A2425))</f>
        <v/>
      </c>
      <c r="M2425" s="26">
        <f>IF(A2425="","",YEAR(A2425))</f>
        <v/>
      </c>
      <c r="N2425" s="26">
        <f>IF(A2425="","",CHOOSE(WEEKDAY(A2425,2),"Segunda","Terça","Quarta","Quinta","Sexta","Sábado","Domingo"))</f>
        <v/>
      </c>
      <c r="O2425" s="26">
        <f>IF(B2425="","",IF(B2425&lt;TIME(12,0,0),"Manhã",IF(B2425&lt;TIME(18,0,0),"Tarde","Noite")))</f>
        <v/>
      </c>
      <c r="P2425" s="32">
        <f>IF(G2425="","",IFERROR(INDEX(Config!$I$5:$I$16,MATCH(G2425,Config!$H$5:$H$16,0)),0))</f>
        <v/>
      </c>
      <c r="Q2425" s="30">
        <f>IF(OR(H2425&lt;&gt;"Realizado",P2425="",P2425=0),"",A2425+P2425)</f>
        <v/>
      </c>
      <c r="R2425" s="26">
        <f>IF(Q2425="","",IF(COUNTIFS($E$5:$E$3004,E2425,$A$5:$A$3004,"&gt;"&amp;A2425,$H$5:$H$3004,"&lt;&gt;Falta",$H$5:$H$3004,"&lt;&gt;Cancelado",$H$5:$H$3004,"&lt;&gt;Remarcado")&gt;0,"Sim","Não"))</f>
        <v/>
      </c>
      <c r="S2425" s="32">
        <f>IF(R2425&lt;&gt;"Não","",IF(Q2425+Config!$B$9&lt;=Config!$B$8,Config!$B$8-Q2425,""))</f>
        <v/>
      </c>
      <c r="T2425" s="26">
        <f>IF(S2425="","","Sim")</f>
        <v/>
      </c>
      <c r="U2425" s="41">
        <f>IF(T2425="Sim",S2425+ROW()/100000,0)</f>
        <v>0</v>
      </c>
      <c r="V2425" s="41">
        <f>IF(AND(H2425="Falta",L2425=Config!$B$7,M2425=Config!$B$5,COUNTIFS($E$5:E2425,E2425,$H$5:H2425,"Falta",$L$5:L2425,Config!$B$7,$M$5:M2425,Config!$B$5)=1),COUNTIFS($E$5:$E$3004,E2425,$H$5:$H$3004,"Falta",$L$5:$L$3004,Config!$B$7,$M$5:$M$3004,Config!$B$5)*1000-ROW()/100000,0)</f>
        <v>0</v>
      </c>
    </row>
    <row r="2426">
      <c r="A2426" s="39" t="n"/>
      <c r="B2426" s="40" t="n"/>
      <c r="C2426" s="35" t="n"/>
      <c r="D2426" s="35" t="n"/>
      <c r="E2426" s="34" t="n"/>
      <c r="F2426" s="35" t="n"/>
      <c r="G2426" s="35" t="n"/>
      <c r="H2426" s="35" t="n"/>
      <c r="I2426" s="35" t="n"/>
      <c r="J2426" s="35" t="n"/>
      <c r="K2426" s="34" t="n"/>
      <c r="L2426" s="26">
        <f>IF(A2426="","",MONTH(A2426))</f>
        <v/>
      </c>
      <c r="M2426" s="26">
        <f>IF(A2426="","",YEAR(A2426))</f>
        <v/>
      </c>
      <c r="N2426" s="26">
        <f>IF(A2426="","",CHOOSE(WEEKDAY(A2426,2),"Segunda","Terça","Quarta","Quinta","Sexta","Sábado","Domingo"))</f>
        <v/>
      </c>
      <c r="O2426" s="26">
        <f>IF(B2426="","",IF(B2426&lt;TIME(12,0,0),"Manhã",IF(B2426&lt;TIME(18,0,0),"Tarde","Noite")))</f>
        <v/>
      </c>
      <c r="P2426" s="32">
        <f>IF(G2426="","",IFERROR(INDEX(Config!$I$5:$I$16,MATCH(G2426,Config!$H$5:$H$16,0)),0))</f>
        <v/>
      </c>
      <c r="Q2426" s="30">
        <f>IF(OR(H2426&lt;&gt;"Realizado",P2426="",P2426=0),"",A2426+P2426)</f>
        <v/>
      </c>
      <c r="R2426" s="26">
        <f>IF(Q2426="","",IF(COUNTIFS($E$5:$E$3004,E2426,$A$5:$A$3004,"&gt;"&amp;A2426,$H$5:$H$3004,"&lt;&gt;Falta",$H$5:$H$3004,"&lt;&gt;Cancelado",$H$5:$H$3004,"&lt;&gt;Remarcado")&gt;0,"Sim","Não"))</f>
        <v/>
      </c>
      <c r="S2426" s="32">
        <f>IF(R2426&lt;&gt;"Não","",IF(Q2426+Config!$B$9&lt;=Config!$B$8,Config!$B$8-Q2426,""))</f>
        <v/>
      </c>
      <c r="T2426" s="26">
        <f>IF(S2426="","","Sim")</f>
        <v/>
      </c>
      <c r="U2426" s="41">
        <f>IF(T2426="Sim",S2426+ROW()/100000,0)</f>
        <v>0</v>
      </c>
      <c r="V2426" s="41">
        <f>IF(AND(H2426="Falta",L2426=Config!$B$7,M2426=Config!$B$5,COUNTIFS($E$5:E2426,E2426,$H$5:H2426,"Falta",$L$5:L2426,Config!$B$7,$M$5:M2426,Config!$B$5)=1),COUNTIFS($E$5:$E$3004,E2426,$H$5:$H$3004,"Falta",$L$5:$L$3004,Config!$B$7,$M$5:$M$3004,Config!$B$5)*1000-ROW()/100000,0)</f>
        <v>0</v>
      </c>
    </row>
    <row r="2427">
      <c r="A2427" s="39" t="n"/>
      <c r="B2427" s="40" t="n"/>
      <c r="C2427" s="35" t="n"/>
      <c r="D2427" s="35" t="n"/>
      <c r="E2427" s="34" t="n"/>
      <c r="F2427" s="35" t="n"/>
      <c r="G2427" s="35" t="n"/>
      <c r="H2427" s="35" t="n"/>
      <c r="I2427" s="35" t="n"/>
      <c r="J2427" s="35" t="n"/>
      <c r="K2427" s="34" t="n"/>
      <c r="L2427" s="26">
        <f>IF(A2427="","",MONTH(A2427))</f>
        <v/>
      </c>
      <c r="M2427" s="26">
        <f>IF(A2427="","",YEAR(A2427))</f>
        <v/>
      </c>
      <c r="N2427" s="26">
        <f>IF(A2427="","",CHOOSE(WEEKDAY(A2427,2),"Segunda","Terça","Quarta","Quinta","Sexta","Sábado","Domingo"))</f>
        <v/>
      </c>
      <c r="O2427" s="26">
        <f>IF(B2427="","",IF(B2427&lt;TIME(12,0,0),"Manhã",IF(B2427&lt;TIME(18,0,0),"Tarde","Noite")))</f>
        <v/>
      </c>
      <c r="P2427" s="32">
        <f>IF(G2427="","",IFERROR(INDEX(Config!$I$5:$I$16,MATCH(G2427,Config!$H$5:$H$16,0)),0))</f>
        <v/>
      </c>
      <c r="Q2427" s="30">
        <f>IF(OR(H2427&lt;&gt;"Realizado",P2427="",P2427=0),"",A2427+P2427)</f>
        <v/>
      </c>
      <c r="R2427" s="26">
        <f>IF(Q2427="","",IF(COUNTIFS($E$5:$E$3004,E2427,$A$5:$A$3004,"&gt;"&amp;A2427,$H$5:$H$3004,"&lt;&gt;Falta",$H$5:$H$3004,"&lt;&gt;Cancelado",$H$5:$H$3004,"&lt;&gt;Remarcado")&gt;0,"Sim","Não"))</f>
        <v/>
      </c>
      <c r="S2427" s="32">
        <f>IF(R2427&lt;&gt;"Não","",IF(Q2427+Config!$B$9&lt;=Config!$B$8,Config!$B$8-Q2427,""))</f>
        <v/>
      </c>
      <c r="T2427" s="26">
        <f>IF(S2427="","","Sim")</f>
        <v/>
      </c>
      <c r="U2427" s="41">
        <f>IF(T2427="Sim",S2427+ROW()/100000,0)</f>
        <v>0</v>
      </c>
      <c r="V2427" s="41">
        <f>IF(AND(H2427="Falta",L2427=Config!$B$7,M2427=Config!$B$5,COUNTIFS($E$5:E2427,E2427,$H$5:H2427,"Falta",$L$5:L2427,Config!$B$7,$M$5:M2427,Config!$B$5)=1),COUNTIFS($E$5:$E$3004,E2427,$H$5:$H$3004,"Falta",$L$5:$L$3004,Config!$B$7,$M$5:$M$3004,Config!$B$5)*1000-ROW()/100000,0)</f>
        <v>0</v>
      </c>
    </row>
    <row r="2428">
      <c r="A2428" s="39" t="n"/>
      <c r="B2428" s="40" t="n"/>
      <c r="C2428" s="35" t="n"/>
      <c r="D2428" s="35" t="n"/>
      <c r="E2428" s="34" t="n"/>
      <c r="F2428" s="35" t="n"/>
      <c r="G2428" s="35" t="n"/>
      <c r="H2428" s="35" t="n"/>
      <c r="I2428" s="35" t="n"/>
      <c r="J2428" s="35" t="n"/>
      <c r="K2428" s="34" t="n"/>
      <c r="L2428" s="26">
        <f>IF(A2428="","",MONTH(A2428))</f>
        <v/>
      </c>
      <c r="M2428" s="26">
        <f>IF(A2428="","",YEAR(A2428))</f>
        <v/>
      </c>
      <c r="N2428" s="26">
        <f>IF(A2428="","",CHOOSE(WEEKDAY(A2428,2),"Segunda","Terça","Quarta","Quinta","Sexta","Sábado","Domingo"))</f>
        <v/>
      </c>
      <c r="O2428" s="26">
        <f>IF(B2428="","",IF(B2428&lt;TIME(12,0,0),"Manhã",IF(B2428&lt;TIME(18,0,0),"Tarde","Noite")))</f>
        <v/>
      </c>
      <c r="P2428" s="32">
        <f>IF(G2428="","",IFERROR(INDEX(Config!$I$5:$I$16,MATCH(G2428,Config!$H$5:$H$16,0)),0))</f>
        <v/>
      </c>
      <c r="Q2428" s="30">
        <f>IF(OR(H2428&lt;&gt;"Realizado",P2428="",P2428=0),"",A2428+P2428)</f>
        <v/>
      </c>
      <c r="R2428" s="26">
        <f>IF(Q2428="","",IF(COUNTIFS($E$5:$E$3004,E2428,$A$5:$A$3004,"&gt;"&amp;A2428,$H$5:$H$3004,"&lt;&gt;Falta",$H$5:$H$3004,"&lt;&gt;Cancelado",$H$5:$H$3004,"&lt;&gt;Remarcado")&gt;0,"Sim","Não"))</f>
        <v/>
      </c>
      <c r="S2428" s="32">
        <f>IF(R2428&lt;&gt;"Não","",IF(Q2428+Config!$B$9&lt;=Config!$B$8,Config!$B$8-Q2428,""))</f>
        <v/>
      </c>
      <c r="T2428" s="26">
        <f>IF(S2428="","","Sim")</f>
        <v/>
      </c>
      <c r="U2428" s="41">
        <f>IF(T2428="Sim",S2428+ROW()/100000,0)</f>
        <v>0</v>
      </c>
      <c r="V2428" s="41">
        <f>IF(AND(H2428="Falta",L2428=Config!$B$7,M2428=Config!$B$5,COUNTIFS($E$5:E2428,E2428,$H$5:H2428,"Falta",$L$5:L2428,Config!$B$7,$M$5:M2428,Config!$B$5)=1),COUNTIFS($E$5:$E$3004,E2428,$H$5:$H$3004,"Falta",$L$5:$L$3004,Config!$B$7,$M$5:$M$3004,Config!$B$5)*1000-ROW()/100000,0)</f>
        <v>0</v>
      </c>
    </row>
    <row r="2429">
      <c r="A2429" s="39" t="n"/>
      <c r="B2429" s="40" t="n"/>
      <c r="C2429" s="35" t="n"/>
      <c r="D2429" s="35" t="n"/>
      <c r="E2429" s="34" t="n"/>
      <c r="F2429" s="35" t="n"/>
      <c r="G2429" s="35" t="n"/>
      <c r="H2429" s="35" t="n"/>
      <c r="I2429" s="35" t="n"/>
      <c r="J2429" s="35" t="n"/>
      <c r="K2429" s="34" t="n"/>
      <c r="L2429" s="26">
        <f>IF(A2429="","",MONTH(A2429))</f>
        <v/>
      </c>
      <c r="M2429" s="26">
        <f>IF(A2429="","",YEAR(A2429))</f>
        <v/>
      </c>
      <c r="N2429" s="26">
        <f>IF(A2429="","",CHOOSE(WEEKDAY(A2429,2),"Segunda","Terça","Quarta","Quinta","Sexta","Sábado","Domingo"))</f>
        <v/>
      </c>
      <c r="O2429" s="26">
        <f>IF(B2429="","",IF(B2429&lt;TIME(12,0,0),"Manhã",IF(B2429&lt;TIME(18,0,0),"Tarde","Noite")))</f>
        <v/>
      </c>
      <c r="P2429" s="32">
        <f>IF(G2429="","",IFERROR(INDEX(Config!$I$5:$I$16,MATCH(G2429,Config!$H$5:$H$16,0)),0))</f>
        <v/>
      </c>
      <c r="Q2429" s="30">
        <f>IF(OR(H2429&lt;&gt;"Realizado",P2429="",P2429=0),"",A2429+P2429)</f>
        <v/>
      </c>
      <c r="R2429" s="26">
        <f>IF(Q2429="","",IF(COUNTIFS($E$5:$E$3004,E2429,$A$5:$A$3004,"&gt;"&amp;A2429,$H$5:$H$3004,"&lt;&gt;Falta",$H$5:$H$3004,"&lt;&gt;Cancelado",$H$5:$H$3004,"&lt;&gt;Remarcado")&gt;0,"Sim","Não"))</f>
        <v/>
      </c>
      <c r="S2429" s="32">
        <f>IF(R2429&lt;&gt;"Não","",IF(Q2429+Config!$B$9&lt;=Config!$B$8,Config!$B$8-Q2429,""))</f>
        <v/>
      </c>
      <c r="T2429" s="26">
        <f>IF(S2429="","","Sim")</f>
        <v/>
      </c>
      <c r="U2429" s="41">
        <f>IF(T2429="Sim",S2429+ROW()/100000,0)</f>
        <v>0</v>
      </c>
      <c r="V2429" s="41">
        <f>IF(AND(H2429="Falta",L2429=Config!$B$7,M2429=Config!$B$5,COUNTIFS($E$5:E2429,E2429,$H$5:H2429,"Falta",$L$5:L2429,Config!$B$7,$M$5:M2429,Config!$B$5)=1),COUNTIFS($E$5:$E$3004,E2429,$H$5:$H$3004,"Falta",$L$5:$L$3004,Config!$B$7,$M$5:$M$3004,Config!$B$5)*1000-ROW()/100000,0)</f>
        <v>0</v>
      </c>
    </row>
    <row r="2430">
      <c r="A2430" s="39" t="n"/>
      <c r="B2430" s="40" t="n"/>
      <c r="C2430" s="35" t="n"/>
      <c r="D2430" s="35" t="n"/>
      <c r="E2430" s="34" t="n"/>
      <c r="F2430" s="35" t="n"/>
      <c r="G2430" s="35" t="n"/>
      <c r="H2430" s="35" t="n"/>
      <c r="I2430" s="35" t="n"/>
      <c r="J2430" s="35" t="n"/>
      <c r="K2430" s="34" t="n"/>
      <c r="L2430" s="26">
        <f>IF(A2430="","",MONTH(A2430))</f>
        <v/>
      </c>
      <c r="M2430" s="26">
        <f>IF(A2430="","",YEAR(A2430))</f>
        <v/>
      </c>
      <c r="N2430" s="26">
        <f>IF(A2430="","",CHOOSE(WEEKDAY(A2430,2),"Segunda","Terça","Quarta","Quinta","Sexta","Sábado","Domingo"))</f>
        <v/>
      </c>
      <c r="O2430" s="26">
        <f>IF(B2430="","",IF(B2430&lt;TIME(12,0,0),"Manhã",IF(B2430&lt;TIME(18,0,0),"Tarde","Noite")))</f>
        <v/>
      </c>
      <c r="P2430" s="32">
        <f>IF(G2430="","",IFERROR(INDEX(Config!$I$5:$I$16,MATCH(G2430,Config!$H$5:$H$16,0)),0))</f>
        <v/>
      </c>
      <c r="Q2430" s="30">
        <f>IF(OR(H2430&lt;&gt;"Realizado",P2430="",P2430=0),"",A2430+P2430)</f>
        <v/>
      </c>
      <c r="R2430" s="26">
        <f>IF(Q2430="","",IF(COUNTIFS($E$5:$E$3004,E2430,$A$5:$A$3004,"&gt;"&amp;A2430,$H$5:$H$3004,"&lt;&gt;Falta",$H$5:$H$3004,"&lt;&gt;Cancelado",$H$5:$H$3004,"&lt;&gt;Remarcado")&gt;0,"Sim","Não"))</f>
        <v/>
      </c>
      <c r="S2430" s="32">
        <f>IF(R2430&lt;&gt;"Não","",IF(Q2430+Config!$B$9&lt;=Config!$B$8,Config!$B$8-Q2430,""))</f>
        <v/>
      </c>
      <c r="T2430" s="26">
        <f>IF(S2430="","","Sim")</f>
        <v/>
      </c>
      <c r="U2430" s="41">
        <f>IF(T2430="Sim",S2430+ROW()/100000,0)</f>
        <v>0</v>
      </c>
      <c r="V2430" s="41">
        <f>IF(AND(H2430="Falta",L2430=Config!$B$7,M2430=Config!$B$5,COUNTIFS($E$5:E2430,E2430,$H$5:H2430,"Falta",$L$5:L2430,Config!$B$7,$M$5:M2430,Config!$B$5)=1),COUNTIFS($E$5:$E$3004,E2430,$H$5:$H$3004,"Falta",$L$5:$L$3004,Config!$B$7,$M$5:$M$3004,Config!$B$5)*1000-ROW()/100000,0)</f>
        <v>0</v>
      </c>
    </row>
    <row r="2431">
      <c r="A2431" s="39" t="n"/>
      <c r="B2431" s="40" t="n"/>
      <c r="C2431" s="35" t="n"/>
      <c r="D2431" s="35" t="n"/>
      <c r="E2431" s="34" t="n"/>
      <c r="F2431" s="35" t="n"/>
      <c r="G2431" s="35" t="n"/>
      <c r="H2431" s="35" t="n"/>
      <c r="I2431" s="35" t="n"/>
      <c r="J2431" s="35" t="n"/>
      <c r="K2431" s="34" t="n"/>
      <c r="L2431" s="26">
        <f>IF(A2431="","",MONTH(A2431))</f>
        <v/>
      </c>
      <c r="M2431" s="26">
        <f>IF(A2431="","",YEAR(A2431))</f>
        <v/>
      </c>
      <c r="N2431" s="26">
        <f>IF(A2431="","",CHOOSE(WEEKDAY(A2431,2),"Segunda","Terça","Quarta","Quinta","Sexta","Sábado","Domingo"))</f>
        <v/>
      </c>
      <c r="O2431" s="26">
        <f>IF(B2431="","",IF(B2431&lt;TIME(12,0,0),"Manhã",IF(B2431&lt;TIME(18,0,0),"Tarde","Noite")))</f>
        <v/>
      </c>
      <c r="P2431" s="32">
        <f>IF(G2431="","",IFERROR(INDEX(Config!$I$5:$I$16,MATCH(G2431,Config!$H$5:$H$16,0)),0))</f>
        <v/>
      </c>
      <c r="Q2431" s="30">
        <f>IF(OR(H2431&lt;&gt;"Realizado",P2431="",P2431=0),"",A2431+P2431)</f>
        <v/>
      </c>
      <c r="R2431" s="26">
        <f>IF(Q2431="","",IF(COUNTIFS($E$5:$E$3004,E2431,$A$5:$A$3004,"&gt;"&amp;A2431,$H$5:$H$3004,"&lt;&gt;Falta",$H$5:$H$3004,"&lt;&gt;Cancelado",$H$5:$H$3004,"&lt;&gt;Remarcado")&gt;0,"Sim","Não"))</f>
        <v/>
      </c>
      <c r="S2431" s="32">
        <f>IF(R2431&lt;&gt;"Não","",IF(Q2431+Config!$B$9&lt;=Config!$B$8,Config!$B$8-Q2431,""))</f>
        <v/>
      </c>
      <c r="T2431" s="26">
        <f>IF(S2431="","","Sim")</f>
        <v/>
      </c>
      <c r="U2431" s="41">
        <f>IF(T2431="Sim",S2431+ROW()/100000,0)</f>
        <v>0</v>
      </c>
      <c r="V2431" s="41">
        <f>IF(AND(H2431="Falta",L2431=Config!$B$7,M2431=Config!$B$5,COUNTIFS($E$5:E2431,E2431,$H$5:H2431,"Falta",$L$5:L2431,Config!$B$7,$M$5:M2431,Config!$B$5)=1),COUNTIFS($E$5:$E$3004,E2431,$H$5:$H$3004,"Falta",$L$5:$L$3004,Config!$B$7,$M$5:$M$3004,Config!$B$5)*1000-ROW()/100000,0)</f>
        <v>0</v>
      </c>
    </row>
    <row r="2432">
      <c r="A2432" s="39" t="n"/>
      <c r="B2432" s="40" t="n"/>
      <c r="C2432" s="35" t="n"/>
      <c r="D2432" s="35" t="n"/>
      <c r="E2432" s="34" t="n"/>
      <c r="F2432" s="35" t="n"/>
      <c r="G2432" s="35" t="n"/>
      <c r="H2432" s="35" t="n"/>
      <c r="I2432" s="35" t="n"/>
      <c r="J2432" s="35" t="n"/>
      <c r="K2432" s="34" t="n"/>
      <c r="L2432" s="26">
        <f>IF(A2432="","",MONTH(A2432))</f>
        <v/>
      </c>
      <c r="M2432" s="26">
        <f>IF(A2432="","",YEAR(A2432))</f>
        <v/>
      </c>
      <c r="N2432" s="26">
        <f>IF(A2432="","",CHOOSE(WEEKDAY(A2432,2),"Segunda","Terça","Quarta","Quinta","Sexta","Sábado","Domingo"))</f>
        <v/>
      </c>
      <c r="O2432" s="26">
        <f>IF(B2432="","",IF(B2432&lt;TIME(12,0,0),"Manhã",IF(B2432&lt;TIME(18,0,0),"Tarde","Noite")))</f>
        <v/>
      </c>
      <c r="P2432" s="32">
        <f>IF(G2432="","",IFERROR(INDEX(Config!$I$5:$I$16,MATCH(G2432,Config!$H$5:$H$16,0)),0))</f>
        <v/>
      </c>
      <c r="Q2432" s="30">
        <f>IF(OR(H2432&lt;&gt;"Realizado",P2432="",P2432=0),"",A2432+P2432)</f>
        <v/>
      </c>
      <c r="R2432" s="26">
        <f>IF(Q2432="","",IF(COUNTIFS($E$5:$E$3004,E2432,$A$5:$A$3004,"&gt;"&amp;A2432,$H$5:$H$3004,"&lt;&gt;Falta",$H$5:$H$3004,"&lt;&gt;Cancelado",$H$5:$H$3004,"&lt;&gt;Remarcado")&gt;0,"Sim","Não"))</f>
        <v/>
      </c>
      <c r="S2432" s="32">
        <f>IF(R2432&lt;&gt;"Não","",IF(Q2432+Config!$B$9&lt;=Config!$B$8,Config!$B$8-Q2432,""))</f>
        <v/>
      </c>
      <c r="T2432" s="26">
        <f>IF(S2432="","","Sim")</f>
        <v/>
      </c>
      <c r="U2432" s="41">
        <f>IF(T2432="Sim",S2432+ROW()/100000,0)</f>
        <v>0</v>
      </c>
      <c r="V2432" s="41">
        <f>IF(AND(H2432="Falta",L2432=Config!$B$7,M2432=Config!$B$5,COUNTIFS($E$5:E2432,E2432,$H$5:H2432,"Falta",$L$5:L2432,Config!$B$7,$M$5:M2432,Config!$B$5)=1),COUNTIFS($E$5:$E$3004,E2432,$H$5:$H$3004,"Falta",$L$5:$L$3004,Config!$B$7,$M$5:$M$3004,Config!$B$5)*1000-ROW()/100000,0)</f>
        <v>0</v>
      </c>
    </row>
    <row r="2433">
      <c r="A2433" s="39" t="n"/>
      <c r="B2433" s="40" t="n"/>
      <c r="C2433" s="35" t="n"/>
      <c r="D2433" s="35" t="n"/>
      <c r="E2433" s="34" t="n"/>
      <c r="F2433" s="35" t="n"/>
      <c r="G2433" s="35" t="n"/>
      <c r="H2433" s="35" t="n"/>
      <c r="I2433" s="35" t="n"/>
      <c r="J2433" s="35" t="n"/>
      <c r="K2433" s="34" t="n"/>
      <c r="L2433" s="26">
        <f>IF(A2433="","",MONTH(A2433))</f>
        <v/>
      </c>
      <c r="M2433" s="26">
        <f>IF(A2433="","",YEAR(A2433))</f>
        <v/>
      </c>
      <c r="N2433" s="26">
        <f>IF(A2433="","",CHOOSE(WEEKDAY(A2433,2),"Segunda","Terça","Quarta","Quinta","Sexta","Sábado","Domingo"))</f>
        <v/>
      </c>
      <c r="O2433" s="26">
        <f>IF(B2433="","",IF(B2433&lt;TIME(12,0,0),"Manhã",IF(B2433&lt;TIME(18,0,0),"Tarde","Noite")))</f>
        <v/>
      </c>
      <c r="P2433" s="32">
        <f>IF(G2433="","",IFERROR(INDEX(Config!$I$5:$I$16,MATCH(G2433,Config!$H$5:$H$16,0)),0))</f>
        <v/>
      </c>
      <c r="Q2433" s="30">
        <f>IF(OR(H2433&lt;&gt;"Realizado",P2433="",P2433=0),"",A2433+P2433)</f>
        <v/>
      </c>
      <c r="R2433" s="26">
        <f>IF(Q2433="","",IF(COUNTIFS($E$5:$E$3004,E2433,$A$5:$A$3004,"&gt;"&amp;A2433,$H$5:$H$3004,"&lt;&gt;Falta",$H$5:$H$3004,"&lt;&gt;Cancelado",$H$5:$H$3004,"&lt;&gt;Remarcado")&gt;0,"Sim","Não"))</f>
        <v/>
      </c>
      <c r="S2433" s="32">
        <f>IF(R2433&lt;&gt;"Não","",IF(Q2433+Config!$B$9&lt;=Config!$B$8,Config!$B$8-Q2433,""))</f>
        <v/>
      </c>
      <c r="T2433" s="26">
        <f>IF(S2433="","","Sim")</f>
        <v/>
      </c>
      <c r="U2433" s="41">
        <f>IF(T2433="Sim",S2433+ROW()/100000,0)</f>
        <v>0</v>
      </c>
      <c r="V2433" s="41">
        <f>IF(AND(H2433="Falta",L2433=Config!$B$7,M2433=Config!$B$5,COUNTIFS($E$5:E2433,E2433,$H$5:H2433,"Falta",$L$5:L2433,Config!$B$7,$M$5:M2433,Config!$B$5)=1),COUNTIFS($E$5:$E$3004,E2433,$H$5:$H$3004,"Falta",$L$5:$L$3004,Config!$B$7,$M$5:$M$3004,Config!$B$5)*1000-ROW()/100000,0)</f>
        <v>0</v>
      </c>
    </row>
    <row r="2434">
      <c r="A2434" s="39" t="n"/>
      <c r="B2434" s="40" t="n"/>
      <c r="C2434" s="35" t="n"/>
      <c r="D2434" s="35" t="n"/>
      <c r="E2434" s="34" t="n"/>
      <c r="F2434" s="35" t="n"/>
      <c r="G2434" s="35" t="n"/>
      <c r="H2434" s="35" t="n"/>
      <c r="I2434" s="35" t="n"/>
      <c r="J2434" s="35" t="n"/>
      <c r="K2434" s="34" t="n"/>
      <c r="L2434" s="26">
        <f>IF(A2434="","",MONTH(A2434))</f>
        <v/>
      </c>
      <c r="M2434" s="26">
        <f>IF(A2434="","",YEAR(A2434))</f>
        <v/>
      </c>
      <c r="N2434" s="26">
        <f>IF(A2434="","",CHOOSE(WEEKDAY(A2434,2),"Segunda","Terça","Quarta","Quinta","Sexta","Sábado","Domingo"))</f>
        <v/>
      </c>
      <c r="O2434" s="26">
        <f>IF(B2434="","",IF(B2434&lt;TIME(12,0,0),"Manhã",IF(B2434&lt;TIME(18,0,0),"Tarde","Noite")))</f>
        <v/>
      </c>
      <c r="P2434" s="32">
        <f>IF(G2434="","",IFERROR(INDEX(Config!$I$5:$I$16,MATCH(G2434,Config!$H$5:$H$16,0)),0))</f>
        <v/>
      </c>
      <c r="Q2434" s="30">
        <f>IF(OR(H2434&lt;&gt;"Realizado",P2434="",P2434=0),"",A2434+P2434)</f>
        <v/>
      </c>
      <c r="R2434" s="26">
        <f>IF(Q2434="","",IF(COUNTIFS($E$5:$E$3004,E2434,$A$5:$A$3004,"&gt;"&amp;A2434,$H$5:$H$3004,"&lt;&gt;Falta",$H$5:$H$3004,"&lt;&gt;Cancelado",$H$5:$H$3004,"&lt;&gt;Remarcado")&gt;0,"Sim","Não"))</f>
        <v/>
      </c>
      <c r="S2434" s="32">
        <f>IF(R2434&lt;&gt;"Não","",IF(Q2434+Config!$B$9&lt;=Config!$B$8,Config!$B$8-Q2434,""))</f>
        <v/>
      </c>
      <c r="T2434" s="26">
        <f>IF(S2434="","","Sim")</f>
        <v/>
      </c>
      <c r="U2434" s="41">
        <f>IF(T2434="Sim",S2434+ROW()/100000,0)</f>
        <v>0</v>
      </c>
      <c r="V2434" s="41">
        <f>IF(AND(H2434="Falta",L2434=Config!$B$7,M2434=Config!$B$5,COUNTIFS($E$5:E2434,E2434,$H$5:H2434,"Falta",$L$5:L2434,Config!$B$7,$M$5:M2434,Config!$B$5)=1),COUNTIFS($E$5:$E$3004,E2434,$H$5:$H$3004,"Falta",$L$5:$L$3004,Config!$B$7,$M$5:$M$3004,Config!$B$5)*1000-ROW()/100000,0)</f>
        <v>0</v>
      </c>
    </row>
    <row r="2435">
      <c r="A2435" s="39" t="n"/>
      <c r="B2435" s="40" t="n"/>
      <c r="C2435" s="35" t="n"/>
      <c r="D2435" s="35" t="n"/>
      <c r="E2435" s="34" t="n"/>
      <c r="F2435" s="35" t="n"/>
      <c r="G2435" s="35" t="n"/>
      <c r="H2435" s="35" t="n"/>
      <c r="I2435" s="35" t="n"/>
      <c r="J2435" s="35" t="n"/>
      <c r="K2435" s="34" t="n"/>
      <c r="L2435" s="26">
        <f>IF(A2435="","",MONTH(A2435))</f>
        <v/>
      </c>
      <c r="M2435" s="26">
        <f>IF(A2435="","",YEAR(A2435))</f>
        <v/>
      </c>
      <c r="N2435" s="26">
        <f>IF(A2435="","",CHOOSE(WEEKDAY(A2435,2),"Segunda","Terça","Quarta","Quinta","Sexta","Sábado","Domingo"))</f>
        <v/>
      </c>
      <c r="O2435" s="26">
        <f>IF(B2435="","",IF(B2435&lt;TIME(12,0,0),"Manhã",IF(B2435&lt;TIME(18,0,0),"Tarde","Noite")))</f>
        <v/>
      </c>
      <c r="P2435" s="32">
        <f>IF(G2435="","",IFERROR(INDEX(Config!$I$5:$I$16,MATCH(G2435,Config!$H$5:$H$16,0)),0))</f>
        <v/>
      </c>
      <c r="Q2435" s="30">
        <f>IF(OR(H2435&lt;&gt;"Realizado",P2435="",P2435=0),"",A2435+P2435)</f>
        <v/>
      </c>
      <c r="R2435" s="26">
        <f>IF(Q2435="","",IF(COUNTIFS($E$5:$E$3004,E2435,$A$5:$A$3004,"&gt;"&amp;A2435,$H$5:$H$3004,"&lt;&gt;Falta",$H$5:$H$3004,"&lt;&gt;Cancelado",$H$5:$H$3004,"&lt;&gt;Remarcado")&gt;0,"Sim","Não"))</f>
        <v/>
      </c>
      <c r="S2435" s="32">
        <f>IF(R2435&lt;&gt;"Não","",IF(Q2435+Config!$B$9&lt;=Config!$B$8,Config!$B$8-Q2435,""))</f>
        <v/>
      </c>
      <c r="T2435" s="26">
        <f>IF(S2435="","","Sim")</f>
        <v/>
      </c>
      <c r="U2435" s="41">
        <f>IF(T2435="Sim",S2435+ROW()/100000,0)</f>
        <v>0</v>
      </c>
      <c r="V2435" s="41">
        <f>IF(AND(H2435="Falta",L2435=Config!$B$7,M2435=Config!$B$5,COUNTIFS($E$5:E2435,E2435,$H$5:H2435,"Falta",$L$5:L2435,Config!$B$7,$M$5:M2435,Config!$B$5)=1),COUNTIFS($E$5:$E$3004,E2435,$H$5:$H$3004,"Falta",$L$5:$L$3004,Config!$B$7,$M$5:$M$3004,Config!$B$5)*1000-ROW()/100000,0)</f>
        <v>0</v>
      </c>
    </row>
    <row r="2436">
      <c r="A2436" s="39" t="n"/>
      <c r="B2436" s="40" t="n"/>
      <c r="C2436" s="35" t="n"/>
      <c r="D2436" s="35" t="n"/>
      <c r="E2436" s="34" t="n"/>
      <c r="F2436" s="35" t="n"/>
      <c r="G2436" s="35" t="n"/>
      <c r="H2436" s="35" t="n"/>
      <c r="I2436" s="35" t="n"/>
      <c r="J2436" s="35" t="n"/>
      <c r="K2436" s="34" t="n"/>
      <c r="L2436" s="26">
        <f>IF(A2436="","",MONTH(A2436))</f>
        <v/>
      </c>
      <c r="M2436" s="26">
        <f>IF(A2436="","",YEAR(A2436))</f>
        <v/>
      </c>
      <c r="N2436" s="26">
        <f>IF(A2436="","",CHOOSE(WEEKDAY(A2436,2),"Segunda","Terça","Quarta","Quinta","Sexta","Sábado","Domingo"))</f>
        <v/>
      </c>
      <c r="O2436" s="26">
        <f>IF(B2436="","",IF(B2436&lt;TIME(12,0,0),"Manhã",IF(B2436&lt;TIME(18,0,0),"Tarde","Noite")))</f>
        <v/>
      </c>
      <c r="P2436" s="32">
        <f>IF(G2436="","",IFERROR(INDEX(Config!$I$5:$I$16,MATCH(G2436,Config!$H$5:$H$16,0)),0))</f>
        <v/>
      </c>
      <c r="Q2436" s="30">
        <f>IF(OR(H2436&lt;&gt;"Realizado",P2436="",P2436=0),"",A2436+P2436)</f>
        <v/>
      </c>
      <c r="R2436" s="26">
        <f>IF(Q2436="","",IF(COUNTIFS($E$5:$E$3004,E2436,$A$5:$A$3004,"&gt;"&amp;A2436,$H$5:$H$3004,"&lt;&gt;Falta",$H$5:$H$3004,"&lt;&gt;Cancelado",$H$5:$H$3004,"&lt;&gt;Remarcado")&gt;0,"Sim","Não"))</f>
        <v/>
      </c>
      <c r="S2436" s="32">
        <f>IF(R2436&lt;&gt;"Não","",IF(Q2436+Config!$B$9&lt;=Config!$B$8,Config!$B$8-Q2436,""))</f>
        <v/>
      </c>
      <c r="T2436" s="26">
        <f>IF(S2436="","","Sim")</f>
        <v/>
      </c>
      <c r="U2436" s="41">
        <f>IF(T2436="Sim",S2436+ROW()/100000,0)</f>
        <v>0</v>
      </c>
      <c r="V2436" s="41">
        <f>IF(AND(H2436="Falta",L2436=Config!$B$7,M2436=Config!$B$5,COUNTIFS($E$5:E2436,E2436,$H$5:H2436,"Falta",$L$5:L2436,Config!$B$7,$M$5:M2436,Config!$B$5)=1),COUNTIFS($E$5:$E$3004,E2436,$H$5:$H$3004,"Falta",$L$5:$L$3004,Config!$B$7,$M$5:$M$3004,Config!$B$5)*1000-ROW()/100000,0)</f>
        <v>0</v>
      </c>
    </row>
    <row r="2437">
      <c r="A2437" s="39" t="n"/>
      <c r="B2437" s="40" t="n"/>
      <c r="C2437" s="35" t="n"/>
      <c r="D2437" s="35" t="n"/>
      <c r="E2437" s="34" t="n"/>
      <c r="F2437" s="35" t="n"/>
      <c r="G2437" s="35" t="n"/>
      <c r="H2437" s="35" t="n"/>
      <c r="I2437" s="35" t="n"/>
      <c r="J2437" s="35" t="n"/>
      <c r="K2437" s="34" t="n"/>
      <c r="L2437" s="26">
        <f>IF(A2437="","",MONTH(A2437))</f>
        <v/>
      </c>
      <c r="M2437" s="26">
        <f>IF(A2437="","",YEAR(A2437))</f>
        <v/>
      </c>
      <c r="N2437" s="26">
        <f>IF(A2437="","",CHOOSE(WEEKDAY(A2437,2),"Segunda","Terça","Quarta","Quinta","Sexta","Sábado","Domingo"))</f>
        <v/>
      </c>
      <c r="O2437" s="26">
        <f>IF(B2437="","",IF(B2437&lt;TIME(12,0,0),"Manhã",IF(B2437&lt;TIME(18,0,0),"Tarde","Noite")))</f>
        <v/>
      </c>
      <c r="P2437" s="32">
        <f>IF(G2437="","",IFERROR(INDEX(Config!$I$5:$I$16,MATCH(G2437,Config!$H$5:$H$16,0)),0))</f>
        <v/>
      </c>
      <c r="Q2437" s="30">
        <f>IF(OR(H2437&lt;&gt;"Realizado",P2437="",P2437=0),"",A2437+P2437)</f>
        <v/>
      </c>
      <c r="R2437" s="26">
        <f>IF(Q2437="","",IF(COUNTIFS($E$5:$E$3004,E2437,$A$5:$A$3004,"&gt;"&amp;A2437,$H$5:$H$3004,"&lt;&gt;Falta",$H$5:$H$3004,"&lt;&gt;Cancelado",$H$5:$H$3004,"&lt;&gt;Remarcado")&gt;0,"Sim","Não"))</f>
        <v/>
      </c>
      <c r="S2437" s="32">
        <f>IF(R2437&lt;&gt;"Não","",IF(Q2437+Config!$B$9&lt;=Config!$B$8,Config!$B$8-Q2437,""))</f>
        <v/>
      </c>
      <c r="T2437" s="26">
        <f>IF(S2437="","","Sim")</f>
        <v/>
      </c>
      <c r="U2437" s="41">
        <f>IF(T2437="Sim",S2437+ROW()/100000,0)</f>
        <v>0</v>
      </c>
      <c r="V2437" s="41">
        <f>IF(AND(H2437="Falta",L2437=Config!$B$7,M2437=Config!$B$5,COUNTIFS($E$5:E2437,E2437,$H$5:H2437,"Falta",$L$5:L2437,Config!$B$7,$M$5:M2437,Config!$B$5)=1),COUNTIFS($E$5:$E$3004,E2437,$H$5:$H$3004,"Falta",$L$5:$L$3004,Config!$B$7,$M$5:$M$3004,Config!$B$5)*1000-ROW()/100000,0)</f>
        <v>0</v>
      </c>
    </row>
    <row r="2438">
      <c r="A2438" s="39" t="n"/>
      <c r="B2438" s="40" t="n"/>
      <c r="C2438" s="35" t="n"/>
      <c r="D2438" s="35" t="n"/>
      <c r="E2438" s="34" t="n"/>
      <c r="F2438" s="35" t="n"/>
      <c r="G2438" s="35" t="n"/>
      <c r="H2438" s="35" t="n"/>
      <c r="I2438" s="35" t="n"/>
      <c r="J2438" s="35" t="n"/>
      <c r="K2438" s="34" t="n"/>
      <c r="L2438" s="26">
        <f>IF(A2438="","",MONTH(A2438))</f>
        <v/>
      </c>
      <c r="M2438" s="26">
        <f>IF(A2438="","",YEAR(A2438))</f>
        <v/>
      </c>
      <c r="N2438" s="26">
        <f>IF(A2438="","",CHOOSE(WEEKDAY(A2438,2),"Segunda","Terça","Quarta","Quinta","Sexta","Sábado","Domingo"))</f>
        <v/>
      </c>
      <c r="O2438" s="26">
        <f>IF(B2438="","",IF(B2438&lt;TIME(12,0,0),"Manhã",IF(B2438&lt;TIME(18,0,0),"Tarde","Noite")))</f>
        <v/>
      </c>
      <c r="P2438" s="32">
        <f>IF(G2438="","",IFERROR(INDEX(Config!$I$5:$I$16,MATCH(G2438,Config!$H$5:$H$16,0)),0))</f>
        <v/>
      </c>
      <c r="Q2438" s="30">
        <f>IF(OR(H2438&lt;&gt;"Realizado",P2438="",P2438=0),"",A2438+P2438)</f>
        <v/>
      </c>
      <c r="R2438" s="26">
        <f>IF(Q2438="","",IF(COUNTIFS($E$5:$E$3004,E2438,$A$5:$A$3004,"&gt;"&amp;A2438,$H$5:$H$3004,"&lt;&gt;Falta",$H$5:$H$3004,"&lt;&gt;Cancelado",$H$5:$H$3004,"&lt;&gt;Remarcado")&gt;0,"Sim","Não"))</f>
        <v/>
      </c>
      <c r="S2438" s="32">
        <f>IF(R2438&lt;&gt;"Não","",IF(Q2438+Config!$B$9&lt;=Config!$B$8,Config!$B$8-Q2438,""))</f>
        <v/>
      </c>
      <c r="T2438" s="26">
        <f>IF(S2438="","","Sim")</f>
        <v/>
      </c>
      <c r="U2438" s="41">
        <f>IF(T2438="Sim",S2438+ROW()/100000,0)</f>
        <v>0</v>
      </c>
      <c r="V2438" s="41">
        <f>IF(AND(H2438="Falta",L2438=Config!$B$7,M2438=Config!$B$5,COUNTIFS($E$5:E2438,E2438,$H$5:H2438,"Falta",$L$5:L2438,Config!$B$7,$M$5:M2438,Config!$B$5)=1),COUNTIFS($E$5:$E$3004,E2438,$H$5:$H$3004,"Falta",$L$5:$L$3004,Config!$B$7,$M$5:$M$3004,Config!$B$5)*1000-ROW()/100000,0)</f>
        <v>0</v>
      </c>
    </row>
    <row r="2439">
      <c r="A2439" s="39" t="n"/>
      <c r="B2439" s="40" t="n"/>
      <c r="C2439" s="35" t="n"/>
      <c r="D2439" s="35" t="n"/>
      <c r="E2439" s="34" t="n"/>
      <c r="F2439" s="35" t="n"/>
      <c r="G2439" s="35" t="n"/>
      <c r="H2439" s="35" t="n"/>
      <c r="I2439" s="35" t="n"/>
      <c r="J2439" s="35" t="n"/>
      <c r="K2439" s="34" t="n"/>
      <c r="L2439" s="26">
        <f>IF(A2439="","",MONTH(A2439))</f>
        <v/>
      </c>
      <c r="M2439" s="26">
        <f>IF(A2439="","",YEAR(A2439))</f>
        <v/>
      </c>
      <c r="N2439" s="26">
        <f>IF(A2439="","",CHOOSE(WEEKDAY(A2439,2),"Segunda","Terça","Quarta","Quinta","Sexta","Sábado","Domingo"))</f>
        <v/>
      </c>
      <c r="O2439" s="26">
        <f>IF(B2439="","",IF(B2439&lt;TIME(12,0,0),"Manhã",IF(B2439&lt;TIME(18,0,0),"Tarde","Noite")))</f>
        <v/>
      </c>
      <c r="P2439" s="32">
        <f>IF(G2439="","",IFERROR(INDEX(Config!$I$5:$I$16,MATCH(G2439,Config!$H$5:$H$16,0)),0))</f>
        <v/>
      </c>
      <c r="Q2439" s="30">
        <f>IF(OR(H2439&lt;&gt;"Realizado",P2439="",P2439=0),"",A2439+P2439)</f>
        <v/>
      </c>
      <c r="R2439" s="26">
        <f>IF(Q2439="","",IF(COUNTIFS($E$5:$E$3004,E2439,$A$5:$A$3004,"&gt;"&amp;A2439,$H$5:$H$3004,"&lt;&gt;Falta",$H$5:$H$3004,"&lt;&gt;Cancelado",$H$5:$H$3004,"&lt;&gt;Remarcado")&gt;0,"Sim","Não"))</f>
        <v/>
      </c>
      <c r="S2439" s="32">
        <f>IF(R2439&lt;&gt;"Não","",IF(Q2439+Config!$B$9&lt;=Config!$B$8,Config!$B$8-Q2439,""))</f>
        <v/>
      </c>
      <c r="T2439" s="26">
        <f>IF(S2439="","","Sim")</f>
        <v/>
      </c>
      <c r="U2439" s="41">
        <f>IF(T2439="Sim",S2439+ROW()/100000,0)</f>
        <v>0</v>
      </c>
      <c r="V2439" s="41">
        <f>IF(AND(H2439="Falta",L2439=Config!$B$7,M2439=Config!$B$5,COUNTIFS($E$5:E2439,E2439,$H$5:H2439,"Falta",$L$5:L2439,Config!$B$7,$M$5:M2439,Config!$B$5)=1),COUNTIFS($E$5:$E$3004,E2439,$H$5:$H$3004,"Falta",$L$5:$L$3004,Config!$B$7,$M$5:$M$3004,Config!$B$5)*1000-ROW()/100000,0)</f>
        <v>0</v>
      </c>
    </row>
    <row r="2440">
      <c r="A2440" s="39" t="n"/>
      <c r="B2440" s="40" t="n"/>
      <c r="C2440" s="35" t="n"/>
      <c r="D2440" s="35" t="n"/>
      <c r="E2440" s="34" t="n"/>
      <c r="F2440" s="35" t="n"/>
      <c r="G2440" s="35" t="n"/>
      <c r="H2440" s="35" t="n"/>
      <c r="I2440" s="35" t="n"/>
      <c r="J2440" s="35" t="n"/>
      <c r="K2440" s="34" t="n"/>
      <c r="L2440" s="26">
        <f>IF(A2440="","",MONTH(A2440))</f>
        <v/>
      </c>
      <c r="M2440" s="26">
        <f>IF(A2440="","",YEAR(A2440))</f>
        <v/>
      </c>
      <c r="N2440" s="26">
        <f>IF(A2440="","",CHOOSE(WEEKDAY(A2440,2),"Segunda","Terça","Quarta","Quinta","Sexta","Sábado","Domingo"))</f>
        <v/>
      </c>
      <c r="O2440" s="26">
        <f>IF(B2440="","",IF(B2440&lt;TIME(12,0,0),"Manhã",IF(B2440&lt;TIME(18,0,0),"Tarde","Noite")))</f>
        <v/>
      </c>
      <c r="P2440" s="32">
        <f>IF(G2440="","",IFERROR(INDEX(Config!$I$5:$I$16,MATCH(G2440,Config!$H$5:$H$16,0)),0))</f>
        <v/>
      </c>
      <c r="Q2440" s="30">
        <f>IF(OR(H2440&lt;&gt;"Realizado",P2440="",P2440=0),"",A2440+P2440)</f>
        <v/>
      </c>
      <c r="R2440" s="26">
        <f>IF(Q2440="","",IF(COUNTIFS($E$5:$E$3004,E2440,$A$5:$A$3004,"&gt;"&amp;A2440,$H$5:$H$3004,"&lt;&gt;Falta",$H$5:$H$3004,"&lt;&gt;Cancelado",$H$5:$H$3004,"&lt;&gt;Remarcado")&gt;0,"Sim","Não"))</f>
        <v/>
      </c>
      <c r="S2440" s="32">
        <f>IF(R2440&lt;&gt;"Não","",IF(Q2440+Config!$B$9&lt;=Config!$B$8,Config!$B$8-Q2440,""))</f>
        <v/>
      </c>
      <c r="T2440" s="26">
        <f>IF(S2440="","","Sim")</f>
        <v/>
      </c>
      <c r="U2440" s="41">
        <f>IF(T2440="Sim",S2440+ROW()/100000,0)</f>
        <v>0</v>
      </c>
      <c r="V2440" s="41">
        <f>IF(AND(H2440="Falta",L2440=Config!$B$7,M2440=Config!$B$5,COUNTIFS($E$5:E2440,E2440,$H$5:H2440,"Falta",$L$5:L2440,Config!$B$7,$M$5:M2440,Config!$B$5)=1),COUNTIFS($E$5:$E$3004,E2440,$H$5:$H$3004,"Falta",$L$5:$L$3004,Config!$B$7,$M$5:$M$3004,Config!$B$5)*1000-ROW()/100000,0)</f>
        <v>0</v>
      </c>
    </row>
    <row r="2441">
      <c r="A2441" s="39" t="n"/>
      <c r="B2441" s="40" t="n"/>
      <c r="C2441" s="35" t="n"/>
      <c r="D2441" s="35" t="n"/>
      <c r="E2441" s="34" t="n"/>
      <c r="F2441" s="35" t="n"/>
      <c r="G2441" s="35" t="n"/>
      <c r="H2441" s="35" t="n"/>
      <c r="I2441" s="35" t="n"/>
      <c r="J2441" s="35" t="n"/>
      <c r="K2441" s="34" t="n"/>
      <c r="L2441" s="26">
        <f>IF(A2441="","",MONTH(A2441))</f>
        <v/>
      </c>
      <c r="M2441" s="26">
        <f>IF(A2441="","",YEAR(A2441))</f>
        <v/>
      </c>
      <c r="N2441" s="26">
        <f>IF(A2441="","",CHOOSE(WEEKDAY(A2441,2),"Segunda","Terça","Quarta","Quinta","Sexta","Sábado","Domingo"))</f>
        <v/>
      </c>
      <c r="O2441" s="26">
        <f>IF(B2441="","",IF(B2441&lt;TIME(12,0,0),"Manhã",IF(B2441&lt;TIME(18,0,0),"Tarde","Noite")))</f>
        <v/>
      </c>
      <c r="P2441" s="32">
        <f>IF(G2441="","",IFERROR(INDEX(Config!$I$5:$I$16,MATCH(G2441,Config!$H$5:$H$16,0)),0))</f>
        <v/>
      </c>
      <c r="Q2441" s="30">
        <f>IF(OR(H2441&lt;&gt;"Realizado",P2441="",P2441=0),"",A2441+P2441)</f>
        <v/>
      </c>
      <c r="R2441" s="26">
        <f>IF(Q2441="","",IF(COUNTIFS($E$5:$E$3004,E2441,$A$5:$A$3004,"&gt;"&amp;A2441,$H$5:$H$3004,"&lt;&gt;Falta",$H$5:$H$3004,"&lt;&gt;Cancelado",$H$5:$H$3004,"&lt;&gt;Remarcado")&gt;0,"Sim","Não"))</f>
        <v/>
      </c>
      <c r="S2441" s="32">
        <f>IF(R2441&lt;&gt;"Não","",IF(Q2441+Config!$B$9&lt;=Config!$B$8,Config!$B$8-Q2441,""))</f>
        <v/>
      </c>
      <c r="T2441" s="26">
        <f>IF(S2441="","","Sim")</f>
        <v/>
      </c>
      <c r="U2441" s="41">
        <f>IF(T2441="Sim",S2441+ROW()/100000,0)</f>
        <v>0</v>
      </c>
      <c r="V2441" s="41">
        <f>IF(AND(H2441="Falta",L2441=Config!$B$7,M2441=Config!$B$5,COUNTIFS($E$5:E2441,E2441,$H$5:H2441,"Falta",$L$5:L2441,Config!$B$7,$M$5:M2441,Config!$B$5)=1),COUNTIFS($E$5:$E$3004,E2441,$H$5:$H$3004,"Falta",$L$5:$L$3004,Config!$B$7,$M$5:$M$3004,Config!$B$5)*1000-ROW()/100000,0)</f>
        <v>0</v>
      </c>
    </row>
    <row r="2442">
      <c r="A2442" s="39" t="n"/>
      <c r="B2442" s="40" t="n"/>
      <c r="C2442" s="35" t="n"/>
      <c r="D2442" s="35" t="n"/>
      <c r="E2442" s="34" t="n"/>
      <c r="F2442" s="35" t="n"/>
      <c r="G2442" s="35" t="n"/>
      <c r="H2442" s="35" t="n"/>
      <c r="I2442" s="35" t="n"/>
      <c r="J2442" s="35" t="n"/>
      <c r="K2442" s="34" t="n"/>
      <c r="L2442" s="26">
        <f>IF(A2442="","",MONTH(A2442))</f>
        <v/>
      </c>
      <c r="M2442" s="26">
        <f>IF(A2442="","",YEAR(A2442))</f>
        <v/>
      </c>
      <c r="N2442" s="26">
        <f>IF(A2442="","",CHOOSE(WEEKDAY(A2442,2),"Segunda","Terça","Quarta","Quinta","Sexta","Sábado","Domingo"))</f>
        <v/>
      </c>
      <c r="O2442" s="26">
        <f>IF(B2442="","",IF(B2442&lt;TIME(12,0,0),"Manhã",IF(B2442&lt;TIME(18,0,0),"Tarde","Noite")))</f>
        <v/>
      </c>
      <c r="P2442" s="32">
        <f>IF(G2442="","",IFERROR(INDEX(Config!$I$5:$I$16,MATCH(G2442,Config!$H$5:$H$16,0)),0))</f>
        <v/>
      </c>
      <c r="Q2442" s="30">
        <f>IF(OR(H2442&lt;&gt;"Realizado",P2442="",P2442=0),"",A2442+P2442)</f>
        <v/>
      </c>
      <c r="R2442" s="26">
        <f>IF(Q2442="","",IF(COUNTIFS($E$5:$E$3004,E2442,$A$5:$A$3004,"&gt;"&amp;A2442,$H$5:$H$3004,"&lt;&gt;Falta",$H$5:$H$3004,"&lt;&gt;Cancelado",$H$5:$H$3004,"&lt;&gt;Remarcado")&gt;0,"Sim","Não"))</f>
        <v/>
      </c>
      <c r="S2442" s="32">
        <f>IF(R2442&lt;&gt;"Não","",IF(Q2442+Config!$B$9&lt;=Config!$B$8,Config!$B$8-Q2442,""))</f>
        <v/>
      </c>
      <c r="T2442" s="26">
        <f>IF(S2442="","","Sim")</f>
        <v/>
      </c>
      <c r="U2442" s="41">
        <f>IF(T2442="Sim",S2442+ROW()/100000,0)</f>
        <v>0</v>
      </c>
      <c r="V2442" s="41">
        <f>IF(AND(H2442="Falta",L2442=Config!$B$7,M2442=Config!$B$5,COUNTIFS($E$5:E2442,E2442,$H$5:H2442,"Falta",$L$5:L2442,Config!$B$7,$M$5:M2442,Config!$B$5)=1),COUNTIFS($E$5:$E$3004,E2442,$H$5:$H$3004,"Falta",$L$5:$L$3004,Config!$B$7,$M$5:$M$3004,Config!$B$5)*1000-ROW()/100000,0)</f>
        <v>0</v>
      </c>
    </row>
    <row r="2443">
      <c r="A2443" s="39" t="n"/>
      <c r="B2443" s="40" t="n"/>
      <c r="C2443" s="35" t="n"/>
      <c r="D2443" s="35" t="n"/>
      <c r="E2443" s="34" t="n"/>
      <c r="F2443" s="35" t="n"/>
      <c r="G2443" s="35" t="n"/>
      <c r="H2443" s="35" t="n"/>
      <c r="I2443" s="35" t="n"/>
      <c r="J2443" s="35" t="n"/>
      <c r="K2443" s="34" t="n"/>
      <c r="L2443" s="26">
        <f>IF(A2443="","",MONTH(A2443))</f>
        <v/>
      </c>
      <c r="M2443" s="26">
        <f>IF(A2443="","",YEAR(A2443))</f>
        <v/>
      </c>
      <c r="N2443" s="26">
        <f>IF(A2443="","",CHOOSE(WEEKDAY(A2443,2),"Segunda","Terça","Quarta","Quinta","Sexta","Sábado","Domingo"))</f>
        <v/>
      </c>
      <c r="O2443" s="26">
        <f>IF(B2443="","",IF(B2443&lt;TIME(12,0,0),"Manhã",IF(B2443&lt;TIME(18,0,0),"Tarde","Noite")))</f>
        <v/>
      </c>
      <c r="P2443" s="32">
        <f>IF(G2443="","",IFERROR(INDEX(Config!$I$5:$I$16,MATCH(G2443,Config!$H$5:$H$16,0)),0))</f>
        <v/>
      </c>
      <c r="Q2443" s="30">
        <f>IF(OR(H2443&lt;&gt;"Realizado",P2443="",P2443=0),"",A2443+P2443)</f>
        <v/>
      </c>
      <c r="R2443" s="26">
        <f>IF(Q2443="","",IF(COUNTIFS($E$5:$E$3004,E2443,$A$5:$A$3004,"&gt;"&amp;A2443,$H$5:$H$3004,"&lt;&gt;Falta",$H$5:$H$3004,"&lt;&gt;Cancelado",$H$5:$H$3004,"&lt;&gt;Remarcado")&gt;0,"Sim","Não"))</f>
        <v/>
      </c>
      <c r="S2443" s="32">
        <f>IF(R2443&lt;&gt;"Não","",IF(Q2443+Config!$B$9&lt;=Config!$B$8,Config!$B$8-Q2443,""))</f>
        <v/>
      </c>
      <c r="T2443" s="26">
        <f>IF(S2443="","","Sim")</f>
        <v/>
      </c>
      <c r="U2443" s="41">
        <f>IF(T2443="Sim",S2443+ROW()/100000,0)</f>
        <v>0</v>
      </c>
      <c r="V2443" s="41">
        <f>IF(AND(H2443="Falta",L2443=Config!$B$7,M2443=Config!$B$5,COUNTIFS($E$5:E2443,E2443,$H$5:H2443,"Falta",$L$5:L2443,Config!$B$7,$M$5:M2443,Config!$B$5)=1),COUNTIFS($E$5:$E$3004,E2443,$H$5:$H$3004,"Falta",$L$5:$L$3004,Config!$B$7,$M$5:$M$3004,Config!$B$5)*1000-ROW()/100000,0)</f>
        <v>0</v>
      </c>
    </row>
    <row r="2444">
      <c r="A2444" s="39" t="n"/>
      <c r="B2444" s="40" t="n"/>
      <c r="C2444" s="35" t="n"/>
      <c r="D2444" s="35" t="n"/>
      <c r="E2444" s="34" t="n"/>
      <c r="F2444" s="35" t="n"/>
      <c r="G2444" s="35" t="n"/>
      <c r="H2444" s="35" t="n"/>
      <c r="I2444" s="35" t="n"/>
      <c r="J2444" s="35" t="n"/>
      <c r="K2444" s="34" t="n"/>
      <c r="L2444" s="26">
        <f>IF(A2444="","",MONTH(A2444))</f>
        <v/>
      </c>
      <c r="M2444" s="26">
        <f>IF(A2444="","",YEAR(A2444))</f>
        <v/>
      </c>
      <c r="N2444" s="26">
        <f>IF(A2444="","",CHOOSE(WEEKDAY(A2444,2),"Segunda","Terça","Quarta","Quinta","Sexta","Sábado","Domingo"))</f>
        <v/>
      </c>
      <c r="O2444" s="26">
        <f>IF(B2444="","",IF(B2444&lt;TIME(12,0,0),"Manhã",IF(B2444&lt;TIME(18,0,0),"Tarde","Noite")))</f>
        <v/>
      </c>
      <c r="P2444" s="32">
        <f>IF(G2444="","",IFERROR(INDEX(Config!$I$5:$I$16,MATCH(G2444,Config!$H$5:$H$16,0)),0))</f>
        <v/>
      </c>
      <c r="Q2444" s="30">
        <f>IF(OR(H2444&lt;&gt;"Realizado",P2444="",P2444=0),"",A2444+P2444)</f>
        <v/>
      </c>
      <c r="R2444" s="26">
        <f>IF(Q2444="","",IF(COUNTIFS($E$5:$E$3004,E2444,$A$5:$A$3004,"&gt;"&amp;A2444,$H$5:$H$3004,"&lt;&gt;Falta",$H$5:$H$3004,"&lt;&gt;Cancelado",$H$5:$H$3004,"&lt;&gt;Remarcado")&gt;0,"Sim","Não"))</f>
        <v/>
      </c>
      <c r="S2444" s="32">
        <f>IF(R2444&lt;&gt;"Não","",IF(Q2444+Config!$B$9&lt;=Config!$B$8,Config!$B$8-Q2444,""))</f>
        <v/>
      </c>
      <c r="T2444" s="26">
        <f>IF(S2444="","","Sim")</f>
        <v/>
      </c>
      <c r="U2444" s="41">
        <f>IF(T2444="Sim",S2444+ROW()/100000,0)</f>
        <v>0</v>
      </c>
      <c r="V2444" s="41">
        <f>IF(AND(H2444="Falta",L2444=Config!$B$7,M2444=Config!$B$5,COUNTIFS($E$5:E2444,E2444,$H$5:H2444,"Falta",$L$5:L2444,Config!$B$7,$M$5:M2444,Config!$B$5)=1),COUNTIFS($E$5:$E$3004,E2444,$H$5:$H$3004,"Falta",$L$5:$L$3004,Config!$B$7,$M$5:$M$3004,Config!$B$5)*1000-ROW()/100000,0)</f>
        <v>0</v>
      </c>
    </row>
    <row r="2445">
      <c r="A2445" s="39" t="n"/>
      <c r="B2445" s="40" t="n"/>
      <c r="C2445" s="35" t="n"/>
      <c r="D2445" s="35" t="n"/>
      <c r="E2445" s="34" t="n"/>
      <c r="F2445" s="35" t="n"/>
      <c r="G2445" s="35" t="n"/>
      <c r="H2445" s="35" t="n"/>
      <c r="I2445" s="35" t="n"/>
      <c r="J2445" s="35" t="n"/>
      <c r="K2445" s="34" t="n"/>
      <c r="L2445" s="26">
        <f>IF(A2445="","",MONTH(A2445))</f>
        <v/>
      </c>
      <c r="M2445" s="26">
        <f>IF(A2445="","",YEAR(A2445))</f>
        <v/>
      </c>
      <c r="N2445" s="26">
        <f>IF(A2445="","",CHOOSE(WEEKDAY(A2445,2),"Segunda","Terça","Quarta","Quinta","Sexta","Sábado","Domingo"))</f>
        <v/>
      </c>
      <c r="O2445" s="26">
        <f>IF(B2445="","",IF(B2445&lt;TIME(12,0,0),"Manhã",IF(B2445&lt;TIME(18,0,0),"Tarde","Noite")))</f>
        <v/>
      </c>
      <c r="P2445" s="32">
        <f>IF(G2445="","",IFERROR(INDEX(Config!$I$5:$I$16,MATCH(G2445,Config!$H$5:$H$16,0)),0))</f>
        <v/>
      </c>
      <c r="Q2445" s="30">
        <f>IF(OR(H2445&lt;&gt;"Realizado",P2445="",P2445=0),"",A2445+P2445)</f>
        <v/>
      </c>
      <c r="R2445" s="26">
        <f>IF(Q2445="","",IF(COUNTIFS($E$5:$E$3004,E2445,$A$5:$A$3004,"&gt;"&amp;A2445,$H$5:$H$3004,"&lt;&gt;Falta",$H$5:$H$3004,"&lt;&gt;Cancelado",$H$5:$H$3004,"&lt;&gt;Remarcado")&gt;0,"Sim","Não"))</f>
        <v/>
      </c>
      <c r="S2445" s="32">
        <f>IF(R2445&lt;&gt;"Não","",IF(Q2445+Config!$B$9&lt;=Config!$B$8,Config!$B$8-Q2445,""))</f>
        <v/>
      </c>
      <c r="T2445" s="26">
        <f>IF(S2445="","","Sim")</f>
        <v/>
      </c>
      <c r="U2445" s="41">
        <f>IF(T2445="Sim",S2445+ROW()/100000,0)</f>
        <v>0</v>
      </c>
      <c r="V2445" s="41">
        <f>IF(AND(H2445="Falta",L2445=Config!$B$7,M2445=Config!$B$5,COUNTIFS($E$5:E2445,E2445,$H$5:H2445,"Falta",$L$5:L2445,Config!$B$7,$M$5:M2445,Config!$B$5)=1),COUNTIFS($E$5:$E$3004,E2445,$H$5:$H$3004,"Falta",$L$5:$L$3004,Config!$B$7,$M$5:$M$3004,Config!$B$5)*1000-ROW()/100000,0)</f>
        <v>0</v>
      </c>
    </row>
    <row r="2446">
      <c r="A2446" s="39" t="n"/>
      <c r="B2446" s="40" t="n"/>
      <c r="C2446" s="35" t="n"/>
      <c r="D2446" s="35" t="n"/>
      <c r="E2446" s="34" t="n"/>
      <c r="F2446" s="35" t="n"/>
      <c r="G2446" s="35" t="n"/>
      <c r="H2446" s="35" t="n"/>
      <c r="I2446" s="35" t="n"/>
      <c r="J2446" s="35" t="n"/>
      <c r="K2446" s="34" t="n"/>
      <c r="L2446" s="26">
        <f>IF(A2446="","",MONTH(A2446))</f>
        <v/>
      </c>
      <c r="M2446" s="26">
        <f>IF(A2446="","",YEAR(A2446))</f>
        <v/>
      </c>
      <c r="N2446" s="26">
        <f>IF(A2446="","",CHOOSE(WEEKDAY(A2446,2),"Segunda","Terça","Quarta","Quinta","Sexta","Sábado","Domingo"))</f>
        <v/>
      </c>
      <c r="O2446" s="26">
        <f>IF(B2446="","",IF(B2446&lt;TIME(12,0,0),"Manhã",IF(B2446&lt;TIME(18,0,0),"Tarde","Noite")))</f>
        <v/>
      </c>
      <c r="P2446" s="32">
        <f>IF(G2446="","",IFERROR(INDEX(Config!$I$5:$I$16,MATCH(G2446,Config!$H$5:$H$16,0)),0))</f>
        <v/>
      </c>
      <c r="Q2446" s="30">
        <f>IF(OR(H2446&lt;&gt;"Realizado",P2446="",P2446=0),"",A2446+P2446)</f>
        <v/>
      </c>
      <c r="R2446" s="26">
        <f>IF(Q2446="","",IF(COUNTIFS($E$5:$E$3004,E2446,$A$5:$A$3004,"&gt;"&amp;A2446,$H$5:$H$3004,"&lt;&gt;Falta",$H$5:$H$3004,"&lt;&gt;Cancelado",$H$5:$H$3004,"&lt;&gt;Remarcado")&gt;0,"Sim","Não"))</f>
        <v/>
      </c>
      <c r="S2446" s="32">
        <f>IF(R2446&lt;&gt;"Não","",IF(Q2446+Config!$B$9&lt;=Config!$B$8,Config!$B$8-Q2446,""))</f>
        <v/>
      </c>
      <c r="T2446" s="26">
        <f>IF(S2446="","","Sim")</f>
        <v/>
      </c>
      <c r="U2446" s="41">
        <f>IF(T2446="Sim",S2446+ROW()/100000,0)</f>
        <v>0</v>
      </c>
      <c r="V2446" s="41">
        <f>IF(AND(H2446="Falta",L2446=Config!$B$7,M2446=Config!$B$5,COUNTIFS($E$5:E2446,E2446,$H$5:H2446,"Falta",$L$5:L2446,Config!$B$7,$M$5:M2446,Config!$B$5)=1),COUNTIFS($E$5:$E$3004,E2446,$H$5:$H$3004,"Falta",$L$5:$L$3004,Config!$B$7,$M$5:$M$3004,Config!$B$5)*1000-ROW()/100000,0)</f>
        <v>0</v>
      </c>
    </row>
    <row r="2447">
      <c r="A2447" s="39" t="n"/>
      <c r="B2447" s="40" t="n"/>
      <c r="C2447" s="35" t="n"/>
      <c r="D2447" s="35" t="n"/>
      <c r="E2447" s="34" t="n"/>
      <c r="F2447" s="35" t="n"/>
      <c r="G2447" s="35" t="n"/>
      <c r="H2447" s="35" t="n"/>
      <c r="I2447" s="35" t="n"/>
      <c r="J2447" s="35" t="n"/>
      <c r="K2447" s="34" t="n"/>
      <c r="L2447" s="26">
        <f>IF(A2447="","",MONTH(A2447))</f>
        <v/>
      </c>
      <c r="M2447" s="26">
        <f>IF(A2447="","",YEAR(A2447))</f>
        <v/>
      </c>
      <c r="N2447" s="26">
        <f>IF(A2447="","",CHOOSE(WEEKDAY(A2447,2),"Segunda","Terça","Quarta","Quinta","Sexta","Sábado","Domingo"))</f>
        <v/>
      </c>
      <c r="O2447" s="26">
        <f>IF(B2447="","",IF(B2447&lt;TIME(12,0,0),"Manhã",IF(B2447&lt;TIME(18,0,0),"Tarde","Noite")))</f>
        <v/>
      </c>
      <c r="P2447" s="32">
        <f>IF(G2447="","",IFERROR(INDEX(Config!$I$5:$I$16,MATCH(G2447,Config!$H$5:$H$16,0)),0))</f>
        <v/>
      </c>
      <c r="Q2447" s="30">
        <f>IF(OR(H2447&lt;&gt;"Realizado",P2447="",P2447=0),"",A2447+P2447)</f>
        <v/>
      </c>
      <c r="R2447" s="26">
        <f>IF(Q2447="","",IF(COUNTIFS($E$5:$E$3004,E2447,$A$5:$A$3004,"&gt;"&amp;A2447,$H$5:$H$3004,"&lt;&gt;Falta",$H$5:$H$3004,"&lt;&gt;Cancelado",$H$5:$H$3004,"&lt;&gt;Remarcado")&gt;0,"Sim","Não"))</f>
        <v/>
      </c>
      <c r="S2447" s="32">
        <f>IF(R2447&lt;&gt;"Não","",IF(Q2447+Config!$B$9&lt;=Config!$B$8,Config!$B$8-Q2447,""))</f>
        <v/>
      </c>
      <c r="T2447" s="26">
        <f>IF(S2447="","","Sim")</f>
        <v/>
      </c>
      <c r="U2447" s="41">
        <f>IF(T2447="Sim",S2447+ROW()/100000,0)</f>
        <v>0</v>
      </c>
      <c r="V2447" s="41">
        <f>IF(AND(H2447="Falta",L2447=Config!$B$7,M2447=Config!$B$5,COUNTIFS($E$5:E2447,E2447,$H$5:H2447,"Falta",$L$5:L2447,Config!$B$7,$M$5:M2447,Config!$B$5)=1),COUNTIFS($E$5:$E$3004,E2447,$H$5:$H$3004,"Falta",$L$5:$L$3004,Config!$B$7,$M$5:$M$3004,Config!$B$5)*1000-ROW()/100000,0)</f>
        <v>0</v>
      </c>
    </row>
    <row r="2448">
      <c r="A2448" s="39" t="n"/>
      <c r="B2448" s="40" t="n"/>
      <c r="C2448" s="35" t="n"/>
      <c r="D2448" s="35" t="n"/>
      <c r="E2448" s="34" t="n"/>
      <c r="F2448" s="35" t="n"/>
      <c r="G2448" s="35" t="n"/>
      <c r="H2448" s="35" t="n"/>
      <c r="I2448" s="35" t="n"/>
      <c r="J2448" s="35" t="n"/>
      <c r="K2448" s="34" t="n"/>
      <c r="L2448" s="26">
        <f>IF(A2448="","",MONTH(A2448))</f>
        <v/>
      </c>
      <c r="M2448" s="26">
        <f>IF(A2448="","",YEAR(A2448))</f>
        <v/>
      </c>
      <c r="N2448" s="26">
        <f>IF(A2448="","",CHOOSE(WEEKDAY(A2448,2),"Segunda","Terça","Quarta","Quinta","Sexta","Sábado","Domingo"))</f>
        <v/>
      </c>
      <c r="O2448" s="26">
        <f>IF(B2448="","",IF(B2448&lt;TIME(12,0,0),"Manhã",IF(B2448&lt;TIME(18,0,0),"Tarde","Noite")))</f>
        <v/>
      </c>
      <c r="P2448" s="32">
        <f>IF(G2448="","",IFERROR(INDEX(Config!$I$5:$I$16,MATCH(G2448,Config!$H$5:$H$16,0)),0))</f>
        <v/>
      </c>
      <c r="Q2448" s="30">
        <f>IF(OR(H2448&lt;&gt;"Realizado",P2448="",P2448=0),"",A2448+P2448)</f>
        <v/>
      </c>
      <c r="R2448" s="26">
        <f>IF(Q2448="","",IF(COUNTIFS($E$5:$E$3004,E2448,$A$5:$A$3004,"&gt;"&amp;A2448,$H$5:$H$3004,"&lt;&gt;Falta",$H$5:$H$3004,"&lt;&gt;Cancelado",$H$5:$H$3004,"&lt;&gt;Remarcado")&gt;0,"Sim","Não"))</f>
        <v/>
      </c>
      <c r="S2448" s="32">
        <f>IF(R2448&lt;&gt;"Não","",IF(Q2448+Config!$B$9&lt;=Config!$B$8,Config!$B$8-Q2448,""))</f>
        <v/>
      </c>
      <c r="T2448" s="26">
        <f>IF(S2448="","","Sim")</f>
        <v/>
      </c>
      <c r="U2448" s="41">
        <f>IF(T2448="Sim",S2448+ROW()/100000,0)</f>
        <v>0</v>
      </c>
      <c r="V2448" s="41">
        <f>IF(AND(H2448="Falta",L2448=Config!$B$7,M2448=Config!$B$5,COUNTIFS($E$5:E2448,E2448,$H$5:H2448,"Falta",$L$5:L2448,Config!$B$7,$M$5:M2448,Config!$B$5)=1),COUNTIFS($E$5:$E$3004,E2448,$H$5:$H$3004,"Falta",$L$5:$L$3004,Config!$B$7,$M$5:$M$3004,Config!$B$5)*1000-ROW()/100000,0)</f>
        <v>0</v>
      </c>
    </row>
    <row r="2449">
      <c r="A2449" s="39" t="n"/>
      <c r="B2449" s="40" t="n"/>
      <c r="C2449" s="35" t="n"/>
      <c r="D2449" s="35" t="n"/>
      <c r="E2449" s="34" t="n"/>
      <c r="F2449" s="35" t="n"/>
      <c r="G2449" s="35" t="n"/>
      <c r="H2449" s="35" t="n"/>
      <c r="I2449" s="35" t="n"/>
      <c r="J2449" s="35" t="n"/>
      <c r="K2449" s="34" t="n"/>
      <c r="L2449" s="26">
        <f>IF(A2449="","",MONTH(A2449))</f>
        <v/>
      </c>
      <c r="M2449" s="26">
        <f>IF(A2449="","",YEAR(A2449))</f>
        <v/>
      </c>
      <c r="N2449" s="26">
        <f>IF(A2449="","",CHOOSE(WEEKDAY(A2449,2),"Segunda","Terça","Quarta","Quinta","Sexta","Sábado","Domingo"))</f>
        <v/>
      </c>
      <c r="O2449" s="26">
        <f>IF(B2449="","",IF(B2449&lt;TIME(12,0,0),"Manhã",IF(B2449&lt;TIME(18,0,0),"Tarde","Noite")))</f>
        <v/>
      </c>
      <c r="P2449" s="32">
        <f>IF(G2449="","",IFERROR(INDEX(Config!$I$5:$I$16,MATCH(G2449,Config!$H$5:$H$16,0)),0))</f>
        <v/>
      </c>
      <c r="Q2449" s="30">
        <f>IF(OR(H2449&lt;&gt;"Realizado",P2449="",P2449=0),"",A2449+P2449)</f>
        <v/>
      </c>
      <c r="R2449" s="26">
        <f>IF(Q2449="","",IF(COUNTIFS($E$5:$E$3004,E2449,$A$5:$A$3004,"&gt;"&amp;A2449,$H$5:$H$3004,"&lt;&gt;Falta",$H$5:$H$3004,"&lt;&gt;Cancelado",$H$5:$H$3004,"&lt;&gt;Remarcado")&gt;0,"Sim","Não"))</f>
        <v/>
      </c>
      <c r="S2449" s="32">
        <f>IF(R2449&lt;&gt;"Não","",IF(Q2449+Config!$B$9&lt;=Config!$B$8,Config!$B$8-Q2449,""))</f>
        <v/>
      </c>
      <c r="T2449" s="26">
        <f>IF(S2449="","","Sim")</f>
        <v/>
      </c>
      <c r="U2449" s="41">
        <f>IF(T2449="Sim",S2449+ROW()/100000,0)</f>
        <v>0</v>
      </c>
      <c r="V2449" s="41">
        <f>IF(AND(H2449="Falta",L2449=Config!$B$7,M2449=Config!$B$5,COUNTIFS($E$5:E2449,E2449,$H$5:H2449,"Falta",$L$5:L2449,Config!$B$7,$M$5:M2449,Config!$B$5)=1),COUNTIFS($E$5:$E$3004,E2449,$H$5:$H$3004,"Falta",$L$5:$L$3004,Config!$B$7,$M$5:$M$3004,Config!$B$5)*1000-ROW()/100000,0)</f>
        <v>0</v>
      </c>
    </row>
    <row r="2450">
      <c r="A2450" s="39" t="n"/>
      <c r="B2450" s="40" t="n"/>
      <c r="C2450" s="35" t="n"/>
      <c r="D2450" s="35" t="n"/>
      <c r="E2450" s="34" t="n"/>
      <c r="F2450" s="35" t="n"/>
      <c r="G2450" s="35" t="n"/>
      <c r="H2450" s="35" t="n"/>
      <c r="I2450" s="35" t="n"/>
      <c r="J2450" s="35" t="n"/>
      <c r="K2450" s="34" t="n"/>
      <c r="L2450" s="26">
        <f>IF(A2450="","",MONTH(A2450))</f>
        <v/>
      </c>
      <c r="M2450" s="26">
        <f>IF(A2450="","",YEAR(A2450))</f>
        <v/>
      </c>
      <c r="N2450" s="26">
        <f>IF(A2450="","",CHOOSE(WEEKDAY(A2450,2),"Segunda","Terça","Quarta","Quinta","Sexta","Sábado","Domingo"))</f>
        <v/>
      </c>
      <c r="O2450" s="26">
        <f>IF(B2450="","",IF(B2450&lt;TIME(12,0,0),"Manhã",IF(B2450&lt;TIME(18,0,0),"Tarde","Noite")))</f>
        <v/>
      </c>
      <c r="P2450" s="32">
        <f>IF(G2450="","",IFERROR(INDEX(Config!$I$5:$I$16,MATCH(G2450,Config!$H$5:$H$16,0)),0))</f>
        <v/>
      </c>
      <c r="Q2450" s="30">
        <f>IF(OR(H2450&lt;&gt;"Realizado",P2450="",P2450=0),"",A2450+P2450)</f>
        <v/>
      </c>
      <c r="R2450" s="26">
        <f>IF(Q2450="","",IF(COUNTIFS($E$5:$E$3004,E2450,$A$5:$A$3004,"&gt;"&amp;A2450,$H$5:$H$3004,"&lt;&gt;Falta",$H$5:$H$3004,"&lt;&gt;Cancelado",$H$5:$H$3004,"&lt;&gt;Remarcado")&gt;0,"Sim","Não"))</f>
        <v/>
      </c>
      <c r="S2450" s="32">
        <f>IF(R2450&lt;&gt;"Não","",IF(Q2450+Config!$B$9&lt;=Config!$B$8,Config!$B$8-Q2450,""))</f>
        <v/>
      </c>
      <c r="T2450" s="26">
        <f>IF(S2450="","","Sim")</f>
        <v/>
      </c>
      <c r="U2450" s="41">
        <f>IF(T2450="Sim",S2450+ROW()/100000,0)</f>
        <v>0</v>
      </c>
      <c r="V2450" s="41">
        <f>IF(AND(H2450="Falta",L2450=Config!$B$7,M2450=Config!$B$5,COUNTIFS($E$5:E2450,E2450,$H$5:H2450,"Falta",$L$5:L2450,Config!$B$7,$M$5:M2450,Config!$B$5)=1),COUNTIFS($E$5:$E$3004,E2450,$H$5:$H$3004,"Falta",$L$5:$L$3004,Config!$B$7,$M$5:$M$3004,Config!$B$5)*1000-ROW()/100000,0)</f>
        <v>0</v>
      </c>
    </row>
    <row r="2451">
      <c r="A2451" s="39" t="n"/>
      <c r="B2451" s="40" t="n"/>
      <c r="C2451" s="35" t="n"/>
      <c r="D2451" s="35" t="n"/>
      <c r="E2451" s="34" t="n"/>
      <c r="F2451" s="35" t="n"/>
      <c r="G2451" s="35" t="n"/>
      <c r="H2451" s="35" t="n"/>
      <c r="I2451" s="35" t="n"/>
      <c r="J2451" s="35" t="n"/>
      <c r="K2451" s="34" t="n"/>
      <c r="L2451" s="26">
        <f>IF(A2451="","",MONTH(A2451))</f>
        <v/>
      </c>
      <c r="M2451" s="26">
        <f>IF(A2451="","",YEAR(A2451))</f>
        <v/>
      </c>
      <c r="N2451" s="26">
        <f>IF(A2451="","",CHOOSE(WEEKDAY(A2451,2),"Segunda","Terça","Quarta","Quinta","Sexta","Sábado","Domingo"))</f>
        <v/>
      </c>
      <c r="O2451" s="26">
        <f>IF(B2451="","",IF(B2451&lt;TIME(12,0,0),"Manhã",IF(B2451&lt;TIME(18,0,0),"Tarde","Noite")))</f>
        <v/>
      </c>
      <c r="P2451" s="32">
        <f>IF(G2451="","",IFERROR(INDEX(Config!$I$5:$I$16,MATCH(G2451,Config!$H$5:$H$16,0)),0))</f>
        <v/>
      </c>
      <c r="Q2451" s="30">
        <f>IF(OR(H2451&lt;&gt;"Realizado",P2451="",P2451=0),"",A2451+P2451)</f>
        <v/>
      </c>
      <c r="R2451" s="26">
        <f>IF(Q2451="","",IF(COUNTIFS($E$5:$E$3004,E2451,$A$5:$A$3004,"&gt;"&amp;A2451,$H$5:$H$3004,"&lt;&gt;Falta",$H$5:$H$3004,"&lt;&gt;Cancelado",$H$5:$H$3004,"&lt;&gt;Remarcado")&gt;0,"Sim","Não"))</f>
        <v/>
      </c>
      <c r="S2451" s="32">
        <f>IF(R2451&lt;&gt;"Não","",IF(Q2451+Config!$B$9&lt;=Config!$B$8,Config!$B$8-Q2451,""))</f>
        <v/>
      </c>
      <c r="T2451" s="26">
        <f>IF(S2451="","","Sim")</f>
        <v/>
      </c>
      <c r="U2451" s="41">
        <f>IF(T2451="Sim",S2451+ROW()/100000,0)</f>
        <v>0</v>
      </c>
      <c r="V2451" s="41">
        <f>IF(AND(H2451="Falta",L2451=Config!$B$7,M2451=Config!$B$5,COUNTIFS($E$5:E2451,E2451,$H$5:H2451,"Falta",$L$5:L2451,Config!$B$7,$M$5:M2451,Config!$B$5)=1),COUNTIFS($E$5:$E$3004,E2451,$H$5:$H$3004,"Falta",$L$5:$L$3004,Config!$B$7,$M$5:$M$3004,Config!$B$5)*1000-ROW()/100000,0)</f>
        <v>0</v>
      </c>
    </row>
    <row r="2452">
      <c r="A2452" s="39" t="n"/>
      <c r="B2452" s="40" t="n"/>
      <c r="C2452" s="35" t="n"/>
      <c r="D2452" s="35" t="n"/>
      <c r="E2452" s="34" t="n"/>
      <c r="F2452" s="35" t="n"/>
      <c r="G2452" s="35" t="n"/>
      <c r="H2452" s="35" t="n"/>
      <c r="I2452" s="35" t="n"/>
      <c r="J2452" s="35" t="n"/>
      <c r="K2452" s="34" t="n"/>
      <c r="L2452" s="26">
        <f>IF(A2452="","",MONTH(A2452))</f>
        <v/>
      </c>
      <c r="M2452" s="26">
        <f>IF(A2452="","",YEAR(A2452))</f>
        <v/>
      </c>
      <c r="N2452" s="26">
        <f>IF(A2452="","",CHOOSE(WEEKDAY(A2452,2),"Segunda","Terça","Quarta","Quinta","Sexta","Sábado","Domingo"))</f>
        <v/>
      </c>
      <c r="O2452" s="26">
        <f>IF(B2452="","",IF(B2452&lt;TIME(12,0,0),"Manhã",IF(B2452&lt;TIME(18,0,0),"Tarde","Noite")))</f>
        <v/>
      </c>
      <c r="P2452" s="32">
        <f>IF(G2452="","",IFERROR(INDEX(Config!$I$5:$I$16,MATCH(G2452,Config!$H$5:$H$16,0)),0))</f>
        <v/>
      </c>
      <c r="Q2452" s="30">
        <f>IF(OR(H2452&lt;&gt;"Realizado",P2452="",P2452=0),"",A2452+P2452)</f>
        <v/>
      </c>
      <c r="R2452" s="26">
        <f>IF(Q2452="","",IF(COUNTIFS($E$5:$E$3004,E2452,$A$5:$A$3004,"&gt;"&amp;A2452,$H$5:$H$3004,"&lt;&gt;Falta",$H$5:$H$3004,"&lt;&gt;Cancelado",$H$5:$H$3004,"&lt;&gt;Remarcado")&gt;0,"Sim","Não"))</f>
        <v/>
      </c>
      <c r="S2452" s="32">
        <f>IF(R2452&lt;&gt;"Não","",IF(Q2452+Config!$B$9&lt;=Config!$B$8,Config!$B$8-Q2452,""))</f>
        <v/>
      </c>
      <c r="T2452" s="26">
        <f>IF(S2452="","","Sim")</f>
        <v/>
      </c>
      <c r="U2452" s="41">
        <f>IF(T2452="Sim",S2452+ROW()/100000,0)</f>
        <v>0</v>
      </c>
      <c r="V2452" s="41">
        <f>IF(AND(H2452="Falta",L2452=Config!$B$7,M2452=Config!$B$5,COUNTIFS($E$5:E2452,E2452,$H$5:H2452,"Falta",$L$5:L2452,Config!$B$7,$M$5:M2452,Config!$B$5)=1),COUNTIFS($E$5:$E$3004,E2452,$H$5:$H$3004,"Falta",$L$5:$L$3004,Config!$B$7,$M$5:$M$3004,Config!$B$5)*1000-ROW()/100000,0)</f>
        <v>0</v>
      </c>
    </row>
    <row r="2453">
      <c r="A2453" s="39" t="n"/>
      <c r="B2453" s="40" t="n"/>
      <c r="C2453" s="35" t="n"/>
      <c r="D2453" s="35" t="n"/>
      <c r="E2453" s="34" t="n"/>
      <c r="F2453" s="35" t="n"/>
      <c r="G2453" s="35" t="n"/>
      <c r="H2453" s="35" t="n"/>
      <c r="I2453" s="35" t="n"/>
      <c r="J2453" s="35" t="n"/>
      <c r="K2453" s="34" t="n"/>
      <c r="L2453" s="26">
        <f>IF(A2453="","",MONTH(A2453))</f>
        <v/>
      </c>
      <c r="M2453" s="26">
        <f>IF(A2453="","",YEAR(A2453))</f>
        <v/>
      </c>
      <c r="N2453" s="26">
        <f>IF(A2453="","",CHOOSE(WEEKDAY(A2453,2),"Segunda","Terça","Quarta","Quinta","Sexta","Sábado","Domingo"))</f>
        <v/>
      </c>
      <c r="O2453" s="26">
        <f>IF(B2453="","",IF(B2453&lt;TIME(12,0,0),"Manhã",IF(B2453&lt;TIME(18,0,0),"Tarde","Noite")))</f>
        <v/>
      </c>
      <c r="P2453" s="32">
        <f>IF(G2453="","",IFERROR(INDEX(Config!$I$5:$I$16,MATCH(G2453,Config!$H$5:$H$16,0)),0))</f>
        <v/>
      </c>
      <c r="Q2453" s="30">
        <f>IF(OR(H2453&lt;&gt;"Realizado",P2453="",P2453=0),"",A2453+P2453)</f>
        <v/>
      </c>
      <c r="R2453" s="26">
        <f>IF(Q2453="","",IF(COUNTIFS($E$5:$E$3004,E2453,$A$5:$A$3004,"&gt;"&amp;A2453,$H$5:$H$3004,"&lt;&gt;Falta",$H$5:$H$3004,"&lt;&gt;Cancelado",$H$5:$H$3004,"&lt;&gt;Remarcado")&gt;0,"Sim","Não"))</f>
        <v/>
      </c>
      <c r="S2453" s="32">
        <f>IF(R2453&lt;&gt;"Não","",IF(Q2453+Config!$B$9&lt;=Config!$B$8,Config!$B$8-Q2453,""))</f>
        <v/>
      </c>
      <c r="T2453" s="26">
        <f>IF(S2453="","","Sim")</f>
        <v/>
      </c>
      <c r="U2453" s="41">
        <f>IF(T2453="Sim",S2453+ROW()/100000,0)</f>
        <v>0</v>
      </c>
      <c r="V2453" s="41">
        <f>IF(AND(H2453="Falta",L2453=Config!$B$7,M2453=Config!$B$5,COUNTIFS($E$5:E2453,E2453,$H$5:H2453,"Falta",$L$5:L2453,Config!$B$7,$M$5:M2453,Config!$B$5)=1),COUNTIFS($E$5:$E$3004,E2453,$H$5:$H$3004,"Falta",$L$5:$L$3004,Config!$B$7,$M$5:$M$3004,Config!$B$5)*1000-ROW()/100000,0)</f>
        <v>0</v>
      </c>
    </row>
    <row r="2454">
      <c r="A2454" s="39" t="n"/>
      <c r="B2454" s="40" t="n"/>
      <c r="C2454" s="35" t="n"/>
      <c r="D2454" s="35" t="n"/>
      <c r="E2454" s="34" t="n"/>
      <c r="F2454" s="35" t="n"/>
      <c r="G2454" s="35" t="n"/>
      <c r="H2454" s="35" t="n"/>
      <c r="I2454" s="35" t="n"/>
      <c r="J2454" s="35" t="n"/>
      <c r="K2454" s="34" t="n"/>
      <c r="L2454" s="26">
        <f>IF(A2454="","",MONTH(A2454))</f>
        <v/>
      </c>
      <c r="M2454" s="26">
        <f>IF(A2454="","",YEAR(A2454))</f>
        <v/>
      </c>
      <c r="N2454" s="26">
        <f>IF(A2454="","",CHOOSE(WEEKDAY(A2454,2),"Segunda","Terça","Quarta","Quinta","Sexta","Sábado","Domingo"))</f>
        <v/>
      </c>
      <c r="O2454" s="26">
        <f>IF(B2454="","",IF(B2454&lt;TIME(12,0,0),"Manhã",IF(B2454&lt;TIME(18,0,0),"Tarde","Noite")))</f>
        <v/>
      </c>
      <c r="P2454" s="32">
        <f>IF(G2454="","",IFERROR(INDEX(Config!$I$5:$I$16,MATCH(G2454,Config!$H$5:$H$16,0)),0))</f>
        <v/>
      </c>
      <c r="Q2454" s="30">
        <f>IF(OR(H2454&lt;&gt;"Realizado",P2454="",P2454=0),"",A2454+P2454)</f>
        <v/>
      </c>
      <c r="R2454" s="26">
        <f>IF(Q2454="","",IF(COUNTIFS($E$5:$E$3004,E2454,$A$5:$A$3004,"&gt;"&amp;A2454,$H$5:$H$3004,"&lt;&gt;Falta",$H$5:$H$3004,"&lt;&gt;Cancelado",$H$5:$H$3004,"&lt;&gt;Remarcado")&gt;0,"Sim","Não"))</f>
        <v/>
      </c>
      <c r="S2454" s="32">
        <f>IF(R2454&lt;&gt;"Não","",IF(Q2454+Config!$B$9&lt;=Config!$B$8,Config!$B$8-Q2454,""))</f>
        <v/>
      </c>
      <c r="T2454" s="26">
        <f>IF(S2454="","","Sim")</f>
        <v/>
      </c>
      <c r="U2454" s="41">
        <f>IF(T2454="Sim",S2454+ROW()/100000,0)</f>
        <v>0</v>
      </c>
      <c r="V2454" s="41">
        <f>IF(AND(H2454="Falta",L2454=Config!$B$7,M2454=Config!$B$5,COUNTIFS($E$5:E2454,E2454,$H$5:H2454,"Falta",$L$5:L2454,Config!$B$7,$M$5:M2454,Config!$B$5)=1),COUNTIFS($E$5:$E$3004,E2454,$H$5:$H$3004,"Falta",$L$5:$L$3004,Config!$B$7,$M$5:$M$3004,Config!$B$5)*1000-ROW()/100000,0)</f>
        <v>0</v>
      </c>
    </row>
    <row r="2455">
      <c r="A2455" s="39" t="n"/>
      <c r="B2455" s="40" t="n"/>
      <c r="C2455" s="35" t="n"/>
      <c r="D2455" s="35" t="n"/>
      <c r="E2455" s="34" t="n"/>
      <c r="F2455" s="35" t="n"/>
      <c r="G2455" s="35" t="n"/>
      <c r="H2455" s="35" t="n"/>
      <c r="I2455" s="35" t="n"/>
      <c r="J2455" s="35" t="n"/>
      <c r="K2455" s="34" t="n"/>
      <c r="L2455" s="26">
        <f>IF(A2455="","",MONTH(A2455))</f>
        <v/>
      </c>
      <c r="M2455" s="26">
        <f>IF(A2455="","",YEAR(A2455))</f>
        <v/>
      </c>
      <c r="N2455" s="26">
        <f>IF(A2455="","",CHOOSE(WEEKDAY(A2455,2),"Segunda","Terça","Quarta","Quinta","Sexta","Sábado","Domingo"))</f>
        <v/>
      </c>
      <c r="O2455" s="26">
        <f>IF(B2455="","",IF(B2455&lt;TIME(12,0,0),"Manhã",IF(B2455&lt;TIME(18,0,0),"Tarde","Noite")))</f>
        <v/>
      </c>
      <c r="P2455" s="32">
        <f>IF(G2455="","",IFERROR(INDEX(Config!$I$5:$I$16,MATCH(G2455,Config!$H$5:$H$16,0)),0))</f>
        <v/>
      </c>
      <c r="Q2455" s="30">
        <f>IF(OR(H2455&lt;&gt;"Realizado",P2455="",P2455=0),"",A2455+P2455)</f>
        <v/>
      </c>
      <c r="R2455" s="26">
        <f>IF(Q2455="","",IF(COUNTIFS($E$5:$E$3004,E2455,$A$5:$A$3004,"&gt;"&amp;A2455,$H$5:$H$3004,"&lt;&gt;Falta",$H$5:$H$3004,"&lt;&gt;Cancelado",$H$5:$H$3004,"&lt;&gt;Remarcado")&gt;0,"Sim","Não"))</f>
        <v/>
      </c>
      <c r="S2455" s="32">
        <f>IF(R2455&lt;&gt;"Não","",IF(Q2455+Config!$B$9&lt;=Config!$B$8,Config!$B$8-Q2455,""))</f>
        <v/>
      </c>
      <c r="T2455" s="26">
        <f>IF(S2455="","","Sim")</f>
        <v/>
      </c>
      <c r="U2455" s="41">
        <f>IF(T2455="Sim",S2455+ROW()/100000,0)</f>
        <v>0</v>
      </c>
      <c r="V2455" s="41">
        <f>IF(AND(H2455="Falta",L2455=Config!$B$7,M2455=Config!$B$5,COUNTIFS($E$5:E2455,E2455,$H$5:H2455,"Falta",$L$5:L2455,Config!$B$7,$M$5:M2455,Config!$B$5)=1),COUNTIFS($E$5:$E$3004,E2455,$H$5:$H$3004,"Falta",$L$5:$L$3004,Config!$B$7,$M$5:$M$3004,Config!$B$5)*1000-ROW()/100000,0)</f>
        <v>0</v>
      </c>
    </row>
    <row r="2456">
      <c r="A2456" s="39" t="n"/>
      <c r="B2456" s="40" t="n"/>
      <c r="C2456" s="35" t="n"/>
      <c r="D2456" s="35" t="n"/>
      <c r="E2456" s="34" t="n"/>
      <c r="F2456" s="35" t="n"/>
      <c r="G2456" s="35" t="n"/>
      <c r="H2456" s="35" t="n"/>
      <c r="I2456" s="35" t="n"/>
      <c r="J2456" s="35" t="n"/>
      <c r="K2456" s="34" t="n"/>
      <c r="L2456" s="26">
        <f>IF(A2456="","",MONTH(A2456))</f>
        <v/>
      </c>
      <c r="M2456" s="26">
        <f>IF(A2456="","",YEAR(A2456))</f>
        <v/>
      </c>
      <c r="N2456" s="26">
        <f>IF(A2456="","",CHOOSE(WEEKDAY(A2456,2),"Segunda","Terça","Quarta","Quinta","Sexta","Sábado","Domingo"))</f>
        <v/>
      </c>
      <c r="O2456" s="26">
        <f>IF(B2456="","",IF(B2456&lt;TIME(12,0,0),"Manhã",IF(B2456&lt;TIME(18,0,0),"Tarde","Noite")))</f>
        <v/>
      </c>
      <c r="P2456" s="32">
        <f>IF(G2456="","",IFERROR(INDEX(Config!$I$5:$I$16,MATCH(G2456,Config!$H$5:$H$16,0)),0))</f>
        <v/>
      </c>
      <c r="Q2456" s="30">
        <f>IF(OR(H2456&lt;&gt;"Realizado",P2456="",P2456=0),"",A2456+P2456)</f>
        <v/>
      </c>
      <c r="R2456" s="26">
        <f>IF(Q2456="","",IF(COUNTIFS($E$5:$E$3004,E2456,$A$5:$A$3004,"&gt;"&amp;A2456,$H$5:$H$3004,"&lt;&gt;Falta",$H$5:$H$3004,"&lt;&gt;Cancelado",$H$5:$H$3004,"&lt;&gt;Remarcado")&gt;0,"Sim","Não"))</f>
        <v/>
      </c>
      <c r="S2456" s="32">
        <f>IF(R2456&lt;&gt;"Não","",IF(Q2456+Config!$B$9&lt;=Config!$B$8,Config!$B$8-Q2456,""))</f>
        <v/>
      </c>
      <c r="T2456" s="26">
        <f>IF(S2456="","","Sim")</f>
        <v/>
      </c>
      <c r="U2456" s="41">
        <f>IF(T2456="Sim",S2456+ROW()/100000,0)</f>
        <v>0</v>
      </c>
      <c r="V2456" s="41">
        <f>IF(AND(H2456="Falta",L2456=Config!$B$7,M2456=Config!$B$5,COUNTIFS($E$5:E2456,E2456,$H$5:H2456,"Falta",$L$5:L2456,Config!$B$7,$M$5:M2456,Config!$B$5)=1),COUNTIFS($E$5:$E$3004,E2456,$H$5:$H$3004,"Falta",$L$5:$L$3004,Config!$B$7,$M$5:$M$3004,Config!$B$5)*1000-ROW()/100000,0)</f>
        <v>0</v>
      </c>
    </row>
    <row r="2457">
      <c r="A2457" s="39" t="n"/>
      <c r="B2457" s="40" t="n"/>
      <c r="C2457" s="35" t="n"/>
      <c r="D2457" s="35" t="n"/>
      <c r="E2457" s="34" t="n"/>
      <c r="F2457" s="35" t="n"/>
      <c r="G2457" s="35" t="n"/>
      <c r="H2457" s="35" t="n"/>
      <c r="I2457" s="35" t="n"/>
      <c r="J2457" s="35" t="n"/>
      <c r="K2457" s="34" t="n"/>
      <c r="L2457" s="26">
        <f>IF(A2457="","",MONTH(A2457))</f>
        <v/>
      </c>
      <c r="M2457" s="26">
        <f>IF(A2457="","",YEAR(A2457))</f>
        <v/>
      </c>
      <c r="N2457" s="26">
        <f>IF(A2457="","",CHOOSE(WEEKDAY(A2457,2),"Segunda","Terça","Quarta","Quinta","Sexta","Sábado","Domingo"))</f>
        <v/>
      </c>
      <c r="O2457" s="26">
        <f>IF(B2457="","",IF(B2457&lt;TIME(12,0,0),"Manhã",IF(B2457&lt;TIME(18,0,0),"Tarde","Noite")))</f>
        <v/>
      </c>
      <c r="P2457" s="32">
        <f>IF(G2457="","",IFERROR(INDEX(Config!$I$5:$I$16,MATCH(G2457,Config!$H$5:$H$16,0)),0))</f>
        <v/>
      </c>
      <c r="Q2457" s="30">
        <f>IF(OR(H2457&lt;&gt;"Realizado",P2457="",P2457=0),"",A2457+P2457)</f>
        <v/>
      </c>
      <c r="R2457" s="26">
        <f>IF(Q2457="","",IF(COUNTIFS($E$5:$E$3004,E2457,$A$5:$A$3004,"&gt;"&amp;A2457,$H$5:$H$3004,"&lt;&gt;Falta",$H$5:$H$3004,"&lt;&gt;Cancelado",$H$5:$H$3004,"&lt;&gt;Remarcado")&gt;0,"Sim","Não"))</f>
        <v/>
      </c>
      <c r="S2457" s="32">
        <f>IF(R2457&lt;&gt;"Não","",IF(Q2457+Config!$B$9&lt;=Config!$B$8,Config!$B$8-Q2457,""))</f>
        <v/>
      </c>
      <c r="T2457" s="26">
        <f>IF(S2457="","","Sim")</f>
        <v/>
      </c>
      <c r="U2457" s="41">
        <f>IF(T2457="Sim",S2457+ROW()/100000,0)</f>
        <v>0</v>
      </c>
      <c r="V2457" s="41">
        <f>IF(AND(H2457="Falta",L2457=Config!$B$7,M2457=Config!$B$5,COUNTIFS($E$5:E2457,E2457,$H$5:H2457,"Falta",$L$5:L2457,Config!$B$7,$M$5:M2457,Config!$B$5)=1),COUNTIFS($E$5:$E$3004,E2457,$H$5:$H$3004,"Falta",$L$5:$L$3004,Config!$B$7,$M$5:$M$3004,Config!$B$5)*1000-ROW()/100000,0)</f>
        <v>0</v>
      </c>
    </row>
    <row r="2458">
      <c r="A2458" s="39" t="n"/>
      <c r="B2458" s="40" t="n"/>
      <c r="C2458" s="35" t="n"/>
      <c r="D2458" s="35" t="n"/>
      <c r="E2458" s="34" t="n"/>
      <c r="F2458" s="35" t="n"/>
      <c r="G2458" s="35" t="n"/>
      <c r="H2458" s="35" t="n"/>
      <c r="I2458" s="35" t="n"/>
      <c r="J2458" s="35" t="n"/>
      <c r="K2458" s="34" t="n"/>
      <c r="L2458" s="26">
        <f>IF(A2458="","",MONTH(A2458))</f>
        <v/>
      </c>
      <c r="M2458" s="26">
        <f>IF(A2458="","",YEAR(A2458))</f>
        <v/>
      </c>
      <c r="N2458" s="26">
        <f>IF(A2458="","",CHOOSE(WEEKDAY(A2458,2),"Segunda","Terça","Quarta","Quinta","Sexta","Sábado","Domingo"))</f>
        <v/>
      </c>
      <c r="O2458" s="26">
        <f>IF(B2458="","",IF(B2458&lt;TIME(12,0,0),"Manhã",IF(B2458&lt;TIME(18,0,0),"Tarde","Noite")))</f>
        <v/>
      </c>
      <c r="P2458" s="32">
        <f>IF(G2458="","",IFERROR(INDEX(Config!$I$5:$I$16,MATCH(G2458,Config!$H$5:$H$16,0)),0))</f>
        <v/>
      </c>
      <c r="Q2458" s="30">
        <f>IF(OR(H2458&lt;&gt;"Realizado",P2458="",P2458=0),"",A2458+P2458)</f>
        <v/>
      </c>
      <c r="R2458" s="26">
        <f>IF(Q2458="","",IF(COUNTIFS($E$5:$E$3004,E2458,$A$5:$A$3004,"&gt;"&amp;A2458,$H$5:$H$3004,"&lt;&gt;Falta",$H$5:$H$3004,"&lt;&gt;Cancelado",$H$5:$H$3004,"&lt;&gt;Remarcado")&gt;0,"Sim","Não"))</f>
        <v/>
      </c>
      <c r="S2458" s="32">
        <f>IF(R2458&lt;&gt;"Não","",IF(Q2458+Config!$B$9&lt;=Config!$B$8,Config!$B$8-Q2458,""))</f>
        <v/>
      </c>
      <c r="T2458" s="26">
        <f>IF(S2458="","","Sim")</f>
        <v/>
      </c>
      <c r="U2458" s="41">
        <f>IF(T2458="Sim",S2458+ROW()/100000,0)</f>
        <v>0</v>
      </c>
      <c r="V2458" s="41">
        <f>IF(AND(H2458="Falta",L2458=Config!$B$7,M2458=Config!$B$5,COUNTIFS($E$5:E2458,E2458,$H$5:H2458,"Falta",$L$5:L2458,Config!$B$7,$M$5:M2458,Config!$B$5)=1),COUNTIFS($E$5:$E$3004,E2458,$H$5:$H$3004,"Falta",$L$5:$L$3004,Config!$B$7,$M$5:$M$3004,Config!$B$5)*1000-ROW()/100000,0)</f>
        <v>0</v>
      </c>
    </row>
    <row r="2459">
      <c r="A2459" s="39" t="n"/>
      <c r="B2459" s="40" t="n"/>
      <c r="C2459" s="35" t="n"/>
      <c r="D2459" s="35" t="n"/>
      <c r="E2459" s="34" t="n"/>
      <c r="F2459" s="35" t="n"/>
      <c r="G2459" s="35" t="n"/>
      <c r="H2459" s="35" t="n"/>
      <c r="I2459" s="35" t="n"/>
      <c r="J2459" s="35" t="n"/>
      <c r="K2459" s="34" t="n"/>
      <c r="L2459" s="26">
        <f>IF(A2459="","",MONTH(A2459))</f>
        <v/>
      </c>
      <c r="M2459" s="26">
        <f>IF(A2459="","",YEAR(A2459))</f>
        <v/>
      </c>
      <c r="N2459" s="26">
        <f>IF(A2459="","",CHOOSE(WEEKDAY(A2459,2),"Segunda","Terça","Quarta","Quinta","Sexta","Sábado","Domingo"))</f>
        <v/>
      </c>
      <c r="O2459" s="26">
        <f>IF(B2459="","",IF(B2459&lt;TIME(12,0,0),"Manhã",IF(B2459&lt;TIME(18,0,0),"Tarde","Noite")))</f>
        <v/>
      </c>
      <c r="P2459" s="32">
        <f>IF(G2459="","",IFERROR(INDEX(Config!$I$5:$I$16,MATCH(G2459,Config!$H$5:$H$16,0)),0))</f>
        <v/>
      </c>
      <c r="Q2459" s="30">
        <f>IF(OR(H2459&lt;&gt;"Realizado",P2459="",P2459=0),"",A2459+P2459)</f>
        <v/>
      </c>
      <c r="R2459" s="26">
        <f>IF(Q2459="","",IF(COUNTIFS($E$5:$E$3004,E2459,$A$5:$A$3004,"&gt;"&amp;A2459,$H$5:$H$3004,"&lt;&gt;Falta",$H$5:$H$3004,"&lt;&gt;Cancelado",$H$5:$H$3004,"&lt;&gt;Remarcado")&gt;0,"Sim","Não"))</f>
        <v/>
      </c>
      <c r="S2459" s="32">
        <f>IF(R2459&lt;&gt;"Não","",IF(Q2459+Config!$B$9&lt;=Config!$B$8,Config!$B$8-Q2459,""))</f>
        <v/>
      </c>
      <c r="T2459" s="26">
        <f>IF(S2459="","","Sim")</f>
        <v/>
      </c>
      <c r="U2459" s="41">
        <f>IF(T2459="Sim",S2459+ROW()/100000,0)</f>
        <v>0</v>
      </c>
      <c r="V2459" s="41">
        <f>IF(AND(H2459="Falta",L2459=Config!$B$7,M2459=Config!$B$5,COUNTIFS($E$5:E2459,E2459,$H$5:H2459,"Falta",$L$5:L2459,Config!$B$7,$M$5:M2459,Config!$B$5)=1),COUNTIFS($E$5:$E$3004,E2459,$H$5:$H$3004,"Falta",$L$5:$L$3004,Config!$B$7,$M$5:$M$3004,Config!$B$5)*1000-ROW()/100000,0)</f>
        <v>0</v>
      </c>
    </row>
    <row r="2460">
      <c r="A2460" s="39" t="n"/>
      <c r="B2460" s="40" t="n"/>
      <c r="C2460" s="35" t="n"/>
      <c r="D2460" s="35" t="n"/>
      <c r="E2460" s="34" t="n"/>
      <c r="F2460" s="35" t="n"/>
      <c r="G2460" s="35" t="n"/>
      <c r="H2460" s="35" t="n"/>
      <c r="I2460" s="35" t="n"/>
      <c r="J2460" s="35" t="n"/>
      <c r="K2460" s="34" t="n"/>
      <c r="L2460" s="26">
        <f>IF(A2460="","",MONTH(A2460))</f>
        <v/>
      </c>
      <c r="M2460" s="26">
        <f>IF(A2460="","",YEAR(A2460))</f>
        <v/>
      </c>
      <c r="N2460" s="26">
        <f>IF(A2460="","",CHOOSE(WEEKDAY(A2460,2),"Segunda","Terça","Quarta","Quinta","Sexta","Sábado","Domingo"))</f>
        <v/>
      </c>
      <c r="O2460" s="26">
        <f>IF(B2460="","",IF(B2460&lt;TIME(12,0,0),"Manhã",IF(B2460&lt;TIME(18,0,0),"Tarde","Noite")))</f>
        <v/>
      </c>
      <c r="P2460" s="32">
        <f>IF(G2460="","",IFERROR(INDEX(Config!$I$5:$I$16,MATCH(G2460,Config!$H$5:$H$16,0)),0))</f>
        <v/>
      </c>
      <c r="Q2460" s="30">
        <f>IF(OR(H2460&lt;&gt;"Realizado",P2460="",P2460=0),"",A2460+P2460)</f>
        <v/>
      </c>
      <c r="R2460" s="26">
        <f>IF(Q2460="","",IF(COUNTIFS($E$5:$E$3004,E2460,$A$5:$A$3004,"&gt;"&amp;A2460,$H$5:$H$3004,"&lt;&gt;Falta",$H$5:$H$3004,"&lt;&gt;Cancelado",$H$5:$H$3004,"&lt;&gt;Remarcado")&gt;0,"Sim","Não"))</f>
        <v/>
      </c>
      <c r="S2460" s="32">
        <f>IF(R2460&lt;&gt;"Não","",IF(Q2460+Config!$B$9&lt;=Config!$B$8,Config!$B$8-Q2460,""))</f>
        <v/>
      </c>
      <c r="T2460" s="26">
        <f>IF(S2460="","","Sim")</f>
        <v/>
      </c>
      <c r="U2460" s="41">
        <f>IF(T2460="Sim",S2460+ROW()/100000,0)</f>
        <v>0</v>
      </c>
      <c r="V2460" s="41">
        <f>IF(AND(H2460="Falta",L2460=Config!$B$7,M2460=Config!$B$5,COUNTIFS($E$5:E2460,E2460,$H$5:H2460,"Falta",$L$5:L2460,Config!$B$7,$M$5:M2460,Config!$B$5)=1),COUNTIFS($E$5:$E$3004,E2460,$H$5:$H$3004,"Falta",$L$5:$L$3004,Config!$B$7,$M$5:$M$3004,Config!$B$5)*1000-ROW()/100000,0)</f>
        <v>0</v>
      </c>
    </row>
    <row r="2461">
      <c r="A2461" s="39" t="n"/>
      <c r="B2461" s="40" t="n"/>
      <c r="C2461" s="35" t="n"/>
      <c r="D2461" s="35" t="n"/>
      <c r="E2461" s="34" t="n"/>
      <c r="F2461" s="35" t="n"/>
      <c r="G2461" s="35" t="n"/>
      <c r="H2461" s="35" t="n"/>
      <c r="I2461" s="35" t="n"/>
      <c r="J2461" s="35" t="n"/>
      <c r="K2461" s="34" t="n"/>
      <c r="L2461" s="26">
        <f>IF(A2461="","",MONTH(A2461))</f>
        <v/>
      </c>
      <c r="M2461" s="26">
        <f>IF(A2461="","",YEAR(A2461))</f>
        <v/>
      </c>
      <c r="N2461" s="26">
        <f>IF(A2461="","",CHOOSE(WEEKDAY(A2461,2),"Segunda","Terça","Quarta","Quinta","Sexta","Sábado","Domingo"))</f>
        <v/>
      </c>
      <c r="O2461" s="26">
        <f>IF(B2461="","",IF(B2461&lt;TIME(12,0,0),"Manhã",IF(B2461&lt;TIME(18,0,0),"Tarde","Noite")))</f>
        <v/>
      </c>
      <c r="P2461" s="32">
        <f>IF(G2461="","",IFERROR(INDEX(Config!$I$5:$I$16,MATCH(G2461,Config!$H$5:$H$16,0)),0))</f>
        <v/>
      </c>
      <c r="Q2461" s="30">
        <f>IF(OR(H2461&lt;&gt;"Realizado",P2461="",P2461=0),"",A2461+P2461)</f>
        <v/>
      </c>
      <c r="R2461" s="26">
        <f>IF(Q2461="","",IF(COUNTIFS($E$5:$E$3004,E2461,$A$5:$A$3004,"&gt;"&amp;A2461,$H$5:$H$3004,"&lt;&gt;Falta",$H$5:$H$3004,"&lt;&gt;Cancelado",$H$5:$H$3004,"&lt;&gt;Remarcado")&gt;0,"Sim","Não"))</f>
        <v/>
      </c>
      <c r="S2461" s="32">
        <f>IF(R2461&lt;&gt;"Não","",IF(Q2461+Config!$B$9&lt;=Config!$B$8,Config!$B$8-Q2461,""))</f>
        <v/>
      </c>
      <c r="T2461" s="26">
        <f>IF(S2461="","","Sim")</f>
        <v/>
      </c>
      <c r="U2461" s="41">
        <f>IF(T2461="Sim",S2461+ROW()/100000,0)</f>
        <v>0</v>
      </c>
      <c r="V2461" s="41">
        <f>IF(AND(H2461="Falta",L2461=Config!$B$7,M2461=Config!$B$5,COUNTIFS($E$5:E2461,E2461,$H$5:H2461,"Falta",$L$5:L2461,Config!$B$7,$M$5:M2461,Config!$B$5)=1),COUNTIFS($E$5:$E$3004,E2461,$H$5:$H$3004,"Falta",$L$5:$L$3004,Config!$B$7,$M$5:$M$3004,Config!$B$5)*1000-ROW()/100000,0)</f>
        <v>0</v>
      </c>
    </row>
    <row r="2462">
      <c r="A2462" s="39" t="n"/>
      <c r="B2462" s="40" t="n"/>
      <c r="C2462" s="35" t="n"/>
      <c r="D2462" s="35" t="n"/>
      <c r="E2462" s="34" t="n"/>
      <c r="F2462" s="35" t="n"/>
      <c r="G2462" s="35" t="n"/>
      <c r="H2462" s="35" t="n"/>
      <c r="I2462" s="35" t="n"/>
      <c r="J2462" s="35" t="n"/>
      <c r="K2462" s="34" t="n"/>
      <c r="L2462" s="26">
        <f>IF(A2462="","",MONTH(A2462))</f>
        <v/>
      </c>
      <c r="M2462" s="26">
        <f>IF(A2462="","",YEAR(A2462))</f>
        <v/>
      </c>
      <c r="N2462" s="26">
        <f>IF(A2462="","",CHOOSE(WEEKDAY(A2462,2),"Segunda","Terça","Quarta","Quinta","Sexta","Sábado","Domingo"))</f>
        <v/>
      </c>
      <c r="O2462" s="26">
        <f>IF(B2462="","",IF(B2462&lt;TIME(12,0,0),"Manhã",IF(B2462&lt;TIME(18,0,0),"Tarde","Noite")))</f>
        <v/>
      </c>
      <c r="P2462" s="32">
        <f>IF(G2462="","",IFERROR(INDEX(Config!$I$5:$I$16,MATCH(G2462,Config!$H$5:$H$16,0)),0))</f>
        <v/>
      </c>
      <c r="Q2462" s="30">
        <f>IF(OR(H2462&lt;&gt;"Realizado",P2462="",P2462=0),"",A2462+P2462)</f>
        <v/>
      </c>
      <c r="R2462" s="26">
        <f>IF(Q2462="","",IF(COUNTIFS($E$5:$E$3004,E2462,$A$5:$A$3004,"&gt;"&amp;A2462,$H$5:$H$3004,"&lt;&gt;Falta",$H$5:$H$3004,"&lt;&gt;Cancelado",$H$5:$H$3004,"&lt;&gt;Remarcado")&gt;0,"Sim","Não"))</f>
        <v/>
      </c>
      <c r="S2462" s="32">
        <f>IF(R2462&lt;&gt;"Não","",IF(Q2462+Config!$B$9&lt;=Config!$B$8,Config!$B$8-Q2462,""))</f>
        <v/>
      </c>
      <c r="T2462" s="26">
        <f>IF(S2462="","","Sim")</f>
        <v/>
      </c>
      <c r="U2462" s="41">
        <f>IF(T2462="Sim",S2462+ROW()/100000,0)</f>
        <v>0</v>
      </c>
      <c r="V2462" s="41">
        <f>IF(AND(H2462="Falta",L2462=Config!$B$7,M2462=Config!$B$5,COUNTIFS($E$5:E2462,E2462,$H$5:H2462,"Falta",$L$5:L2462,Config!$B$7,$M$5:M2462,Config!$B$5)=1),COUNTIFS($E$5:$E$3004,E2462,$H$5:$H$3004,"Falta",$L$5:$L$3004,Config!$B$7,$M$5:$M$3004,Config!$B$5)*1000-ROW()/100000,0)</f>
        <v>0</v>
      </c>
    </row>
    <row r="2463">
      <c r="A2463" s="39" t="n"/>
      <c r="B2463" s="40" t="n"/>
      <c r="C2463" s="35" t="n"/>
      <c r="D2463" s="35" t="n"/>
      <c r="E2463" s="34" t="n"/>
      <c r="F2463" s="35" t="n"/>
      <c r="G2463" s="35" t="n"/>
      <c r="H2463" s="35" t="n"/>
      <c r="I2463" s="35" t="n"/>
      <c r="J2463" s="35" t="n"/>
      <c r="K2463" s="34" t="n"/>
      <c r="L2463" s="26">
        <f>IF(A2463="","",MONTH(A2463))</f>
        <v/>
      </c>
      <c r="M2463" s="26">
        <f>IF(A2463="","",YEAR(A2463))</f>
        <v/>
      </c>
      <c r="N2463" s="26">
        <f>IF(A2463="","",CHOOSE(WEEKDAY(A2463,2),"Segunda","Terça","Quarta","Quinta","Sexta","Sábado","Domingo"))</f>
        <v/>
      </c>
      <c r="O2463" s="26">
        <f>IF(B2463="","",IF(B2463&lt;TIME(12,0,0),"Manhã",IF(B2463&lt;TIME(18,0,0),"Tarde","Noite")))</f>
        <v/>
      </c>
      <c r="P2463" s="32">
        <f>IF(G2463="","",IFERROR(INDEX(Config!$I$5:$I$16,MATCH(G2463,Config!$H$5:$H$16,0)),0))</f>
        <v/>
      </c>
      <c r="Q2463" s="30">
        <f>IF(OR(H2463&lt;&gt;"Realizado",P2463="",P2463=0),"",A2463+P2463)</f>
        <v/>
      </c>
      <c r="R2463" s="26">
        <f>IF(Q2463="","",IF(COUNTIFS($E$5:$E$3004,E2463,$A$5:$A$3004,"&gt;"&amp;A2463,$H$5:$H$3004,"&lt;&gt;Falta",$H$5:$H$3004,"&lt;&gt;Cancelado",$H$5:$H$3004,"&lt;&gt;Remarcado")&gt;0,"Sim","Não"))</f>
        <v/>
      </c>
      <c r="S2463" s="32">
        <f>IF(R2463&lt;&gt;"Não","",IF(Q2463+Config!$B$9&lt;=Config!$B$8,Config!$B$8-Q2463,""))</f>
        <v/>
      </c>
      <c r="T2463" s="26">
        <f>IF(S2463="","","Sim")</f>
        <v/>
      </c>
      <c r="U2463" s="41">
        <f>IF(T2463="Sim",S2463+ROW()/100000,0)</f>
        <v>0</v>
      </c>
      <c r="V2463" s="41">
        <f>IF(AND(H2463="Falta",L2463=Config!$B$7,M2463=Config!$B$5,COUNTIFS($E$5:E2463,E2463,$H$5:H2463,"Falta",$L$5:L2463,Config!$B$7,$M$5:M2463,Config!$B$5)=1),COUNTIFS($E$5:$E$3004,E2463,$H$5:$H$3004,"Falta",$L$5:$L$3004,Config!$B$7,$M$5:$M$3004,Config!$B$5)*1000-ROW()/100000,0)</f>
        <v>0</v>
      </c>
    </row>
    <row r="2464">
      <c r="A2464" s="39" t="n"/>
      <c r="B2464" s="40" t="n"/>
      <c r="C2464" s="35" t="n"/>
      <c r="D2464" s="35" t="n"/>
      <c r="E2464" s="34" t="n"/>
      <c r="F2464" s="35" t="n"/>
      <c r="G2464" s="35" t="n"/>
      <c r="H2464" s="35" t="n"/>
      <c r="I2464" s="35" t="n"/>
      <c r="J2464" s="35" t="n"/>
      <c r="K2464" s="34" t="n"/>
      <c r="L2464" s="26">
        <f>IF(A2464="","",MONTH(A2464))</f>
        <v/>
      </c>
      <c r="M2464" s="26">
        <f>IF(A2464="","",YEAR(A2464))</f>
        <v/>
      </c>
      <c r="N2464" s="26">
        <f>IF(A2464="","",CHOOSE(WEEKDAY(A2464,2),"Segunda","Terça","Quarta","Quinta","Sexta","Sábado","Domingo"))</f>
        <v/>
      </c>
      <c r="O2464" s="26">
        <f>IF(B2464="","",IF(B2464&lt;TIME(12,0,0),"Manhã",IF(B2464&lt;TIME(18,0,0),"Tarde","Noite")))</f>
        <v/>
      </c>
      <c r="P2464" s="32">
        <f>IF(G2464="","",IFERROR(INDEX(Config!$I$5:$I$16,MATCH(G2464,Config!$H$5:$H$16,0)),0))</f>
        <v/>
      </c>
      <c r="Q2464" s="30">
        <f>IF(OR(H2464&lt;&gt;"Realizado",P2464="",P2464=0),"",A2464+P2464)</f>
        <v/>
      </c>
      <c r="R2464" s="26">
        <f>IF(Q2464="","",IF(COUNTIFS($E$5:$E$3004,E2464,$A$5:$A$3004,"&gt;"&amp;A2464,$H$5:$H$3004,"&lt;&gt;Falta",$H$5:$H$3004,"&lt;&gt;Cancelado",$H$5:$H$3004,"&lt;&gt;Remarcado")&gt;0,"Sim","Não"))</f>
        <v/>
      </c>
      <c r="S2464" s="32">
        <f>IF(R2464&lt;&gt;"Não","",IF(Q2464+Config!$B$9&lt;=Config!$B$8,Config!$B$8-Q2464,""))</f>
        <v/>
      </c>
      <c r="T2464" s="26">
        <f>IF(S2464="","","Sim")</f>
        <v/>
      </c>
      <c r="U2464" s="41">
        <f>IF(T2464="Sim",S2464+ROW()/100000,0)</f>
        <v>0</v>
      </c>
      <c r="V2464" s="41">
        <f>IF(AND(H2464="Falta",L2464=Config!$B$7,M2464=Config!$B$5,COUNTIFS($E$5:E2464,E2464,$H$5:H2464,"Falta",$L$5:L2464,Config!$B$7,$M$5:M2464,Config!$B$5)=1),COUNTIFS($E$5:$E$3004,E2464,$H$5:$H$3004,"Falta",$L$5:$L$3004,Config!$B$7,$M$5:$M$3004,Config!$B$5)*1000-ROW()/100000,0)</f>
        <v>0</v>
      </c>
    </row>
    <row r="2465">
      <c r="A2465" s="39" t="n"/>
      <c r="B2465" s="40" t="n"/>
      <c r="C2465" s="35" t="n"/>
      <c r="D2465" s="35" t="n"/>
      <c r="E2465" s="34" t="n"/>
      <c r="F2465" s="35" t="n"/>
      <c r="G2465" s="35" t="n"/>
      <c r="H2465" s="35" t="n"/>
      <c r="I2465" s="35" t="n"/>
      <c r="J2465" s="35" t="n"/>
      <c r="K2465" s="34" t="n"/>
      <c r="L2465" s="26">
        <f>IF(A2465="","",MONTH(A2465))</f>
        <v/>
      </c>
      <c r="M2465" s="26">
        <f>IF(A2465="","",YEAR(A2465))</f>
        <v/>
      </c>
      <c r="N2465" s="26">
        <f>IF(A2465="","",CHOOSE(WEEKDAY(A2465,2),"Segunda","Terça","Quarta","Quinta","Sexta","Sábado","Domingo"))</f>
        <v/>
      </c>
      <c r="O2465" s="26">
        <f>IF(B2465="","",IF(B2465&lt;TIME(12,0,0),"Manhã",IF(B2465&lt;TIME(18,0,0),"Tarde","Noite")))</f>
        <v/>
      </c>
      <c r="P2465" s="32">
        <f>IF(G2465="","",IFERROR(INDEX(Config!$I$5:$I$16,MATCH(G2465,Config!$H$5:$H$16,0)),0))</f>
        <v/>
      </c>
      <c r="Q2465" s="30">
        <f>IF(OR(H2465&lt;&gt;"Realizado",P2465="",P2465=0),"",A2465+P2465)</f>
        <v/>
      </c>
      <c r="R2465" s="26">
        <f>IF(Q2465="","",IF(COUNTIFS($E$5:$E$3004,E2465,$A$5:$A$3004,"&gt;"&amp;A2465,$H$5:$H$3004,"&lt;&gt;Falta",$H$5:$H$3004,"&lt;&gt;Cancelado",$H$5:$H$3004,"&lt;&gt;Remarcado")&gt;0,"Sim","Não"))</f>
        <v/>
      </c>
      <c r="S2465" s="32">
        <f>IF(R2465&lt;&gt;"Não","",IF(Q2465+Config!$B$9&lt;=Config!$B$8,Config!$B$8-Q2465,""))</f>
        <v/>
      </c>
      <c r="T2465" s="26">
        <f>IF(S2465="","","Sim")</f>
        <v/>
      </c>
      <c r="U2465" s="41">
        <f>IF(T2465="Sim",S2465+ROW()/100000,0)</f>
        <v>0</v>
      </c>
      <c r="V2465" s="41">
        <f>IF(AND(H2465="Falta",L2465=Config!$B$7,M2465=Config!$B$5,COUNTIFS($E$5:E2465,E2465,$H$5:H2465,"Falta",$L$5:L2465,Config!$B$7,$M$5:M2465,Config!$B$5)=1),COUNTIFS($E$5:$E$3004,E2465,$H$5:$H$3004,"Falta",$L$5:$L$3004,Config!$B$7,$M$5:$M$3004,Config!$B$5)*1000-ROW()/100000,0)</f>
        <v>0</v>
      </c>
    </row>
    <row r="2466">
      <c r="A2466" s="39" t="n"/>
      <c r="B2466" s="40" t="n"/>
      <c r="C2466" s="35" t="n"/>
      <c r="D2466" s="35" t="n"/>
      <c r="E2466" s="34" t="n"/>
      <c r="F2466" s="35" t="n"/>
      <c r="G2466" s="35" t="n"/>
      <c r="H2466" s="35" t="n"/>
      <c r="I2466" s="35" t="n"/>
      <c r="J2466" s="35" t="n"/>
      <c r="K2466" s="34" t="n"/>
      <c r="L2466" s="26">
        <f>IF(A2466="","",MONTH(A2466))</f>
        <v/>
      </c>
      <c r="M2466" s="26">
        <f>IF(A2466="","",YEAR(A2466))</f>
        <v/>
      </c>
      <c r="N2466" s="26">
        <f>IF(A2466="","",CHOOSE(WEEKDAY(A2466,2),"Segunda","Terça","Quarta","Quinta","Sexta","Sábado","Domingo"))</f>
        <v/>
      </c>
      <c r="O2466" s="26">
        <f>IF(B2466="","",IF(B2466&lt;TIME(12,0,0),"Manhã",IF(B2466&lt;TIME(18,0,0),"Tarde","Noite")))</f>
        <v/>
      </c>
      <c r="P2466" s="32">
        <f>IF(G2466="","",IFERROR(INDEX(Config!$I$5:$I$16,MATCH(G2466,Config!$H$5:$H$16,0)),0))</f>
        <v/>
      </c>
      <c r="Q2466" s="30">
        <f>IF(OR(H2466&lt;&gt;"Realizado",P2466="",P2466=0),"",A2466+P2466)</f>
        <v/>
      </c>
      <c r="R2466" s="26">
        <f>IF(Q2466="","",IF(COUNTIFS($E$5:$E$3004,E2466,$A$5:$A$3004,"&gt;"&amp;A2466,$H$5:$H$3004,"&lt;&gt;Falta",$H$5:$H$3004,"&lt;&gt;Cancelado",$H$5:$H$3004,"&lt;&gt;Remarcado")&gt;0,"Sim","Não"))</f>
        <v/>
      </c>
      <c r="S2466" s="32">
        <f>IF(R2466&lt;&gt;"Não","",IF(Q2466+Config!$B$9&lt;=Config!$B$8,Config!$B$8-Q2466,""))</f>
        <v/>
      </c>
      <c r="T2466" s="26">
        <f>IF(S2466="","","Sim")</f>
        <v/>
      </c>
      <c r="U2466" s="41">
        <f>IF(T2466="Sim",S2466+ROW()/100000,0)</f>
        <v>0</v>
      </c>
      <c r="V2466" s="41">
        <f>IF(AND(H2466="Falta",L2466=Config!$B$7,M2466=Config!$B$5,COUNTIFS($E$5:E2466,E2466,$H$5:H2466,"Falta",$L$5:L2466,Config!$B$7,$M$5:M2466,Config!$B$5)=1),COUNTIFS($E$5:$E$3004,E2466,$H$5:$H$3004,"Falta",$L$5:$L$3004,Config!$B$7,$M$5:$M$3004,Config!$B$5)*1000-ROW()/100000,0)</f>
        <v>0</v>
      </c>
    </row>
    <row r="2467">
      <c r="A2467" s="39" t="n"/>
      <c r="B2467" s="40" t="n"/>
      <c r="C2467" s="35" t="n"/>
      <c r="D2467" s="35" t="n"/>
      <c r="E2467" s="34" t="n"/>
      <c r="F2467" s="35" t="n"/>
      <c r="G2467" s="35" t="n"/>
      <c r="H2467" s="35" t="n"/>
      <c r="I2467" s="35" t="n"/>
      <c r="J2467" s="35" t="n"/>
      <c r="K2467" s="34" t="n"/>
      <c r="L2467" s="26">
        <f>IF(A2467="","",MONTH(A2467))</f>
        <v/>
      </c>
      <c r="M2467" s="26">
        <f>IF(A2467="","",YEAR(A2467))</f>
        <v/>
      </c>
      <c r="N2467" s="26">
        <f>IF(A2467="","",CHOOSE(WEEKDAY(A2467,2),"Segunda","Terça","Quarta","Quinta","Sexta","Sábado","Domingo"))</f>
        <v/>
      </c>
      <c r="O2467" s="26">
        <f>IF(B2467="","",IF(B2467&lt;TIME(12,0,0),"Manhã",IF(B2467&lt;TIME(18,0,0),"Tarde","Noite")))</f>
        <v/>
      </c>
      <c r="P2467" s="32">
        <f>IF(G2467="","",IFERROR(INDEX(Config!$I$5:$I$16,MATCH(G2467,Config!$H$5:$H$16,0)),0))</f>
        <v/>
      </c>
      <c r="Q2467" s="30">
        <f>IF(OR(H2467&lt;&gt;"Realizado",P2467="",P2467=0),"",A2467+P2467)</f>
        <v/>
      </c>
      <c r="R2467" s="26">
        <f>IF(Q2467="","",IF(COUNTIFS($E$5:$E$3004,E2467,$A$5:$A$3004,"&gt;"&amp;A2467,$H$5:$H$3004,"&lt;&gt;Falta",$H$5:$H$3004,"&lt;&gt;Cancelado",$H$5:$H$3004,"&lt;&gt;Remarcado")&gt;0,"Sim","Não"))</f>
        <v/>
      </c>
      <c r="S2467" s="32">
        <f>IF(R2467&lt;&gt;"Não","",IF(Q2467+Config!$B$9&lt;=Config!$B$8,Config!$B$8-Q2467,""))</f>
        <v/>
      </c>
      <c r="T2467" s="26">
        <f>IF(S2467="","","Sim")</f>
        <v/>
      </c>
      <c r="U2467" s="41">
        <f>IF(T2467="Sim",S2467+ROW()/100000,0)</f>
        <v>0</v>
      </c>
      <c r="V2467" s="41">
        <f>IF(AND(H2467="Falta",L2467=Config!$B$7,M2467=Config!$B$5,COUNTIFS($E$5:E2467,E2467,$H$5:H2467,"Falta",$L$5:L2467,Config!$B$7,$M$5:M2467,Config!$B$5)=1),COUNTIFS($E$5:$E$3004,E2467,$H$5:$H$3004,"Falta",$L$5:$L$3004,Config!$B$7,$M$5:$M$3004,Config!$B$5)*1000-ROW()/100000,0)</f>
        <v>0</v>
      </c>
    </row>
    <row r="2468">
      <c r="A2468" s="39" t="n"/>
      <c r="B2468" s="40" t="n"/>
      <c r="C2468" s="35" t="n"/>
      <c r="D2468" s="35" t="n"/>
      <c r="E2468" s="34" t="n"/>
      <c r="F2468" s="35" t="n"/>
      <c r="G2468" s="35" t="n"/>
      <c r="H2468" s="35" t="n"/>
      <c r="I2468" s="35" t="n"/>
      <c r="J2468" s="35" t="n"/>
      <c r="K2468" s="34" t="n"/>
      <c r="L2468" s="26">
        <f>IF(A2468="","",MONTH(A2468))</f>
        <v/>
      </c>
      <c r="M2468" s="26">
        <f>IF(A2468="","",YEAR(A2468))</f>
        <v/>
      </c>
      <c r="N2468" s="26">
        <f>IF(A2468="","",CHOOSE(WEEKDAY(A2468,2),"Segunda","Terça","Quarta","Quinta","Sexta","Sábado","Domingo"))</f>
        <v/>
      </c>
      <c r="O2468" s="26">
        <f>IF(B2468="","",IF(B2468&lt;TIME(12,0,0),"Manhã",IF(B2468&lt;TIME(18,0,0),"Tarde","Noite")))</f>
        <v/>
      </c>
      <c r="P2468" s="32">
        <f>IF(G2468="","",IFERROR(INDEX(Config!$I$5:$I$16,MATCH(G2468,Config!$H$5:$H$16,0)),0))</f>
        <v/>
      </c>
      <c r="Q2468" s="30">
        <f>IF(OR(H2468&lt;&gt;"Realizado",P2468="",P2468=0),"",A2468+P2468)</f>
        <v/>
      </c>
      <c r="R2468" s="26">
        <f>IF(Q2468="","",IF(COUNTIFS($E$5:$E$3004,E2468,$A$5:$A$3004,"&gt;"&amp;A2468,$H$5:$H$3004,"&lt;&gt;Falta",$H$5:$H$3004,"&lt;&gt;Cancelado",$H$5:$H$3004,"&lt;&gt;Remarcado")&gt;0,"Sim","Não"))</f>
        <v/>
      </c>
      <c r="S2468" s="32">
        <f>IF(R2468&lt;&gt;"Não","",IF(Q2468+Config!$B$9&lt;=Config!$B$8,Config!$B$8-Q2468,""))</f>
        <v/>
      </c>
      <c r="T2468" s="26">
        <f>IF(S2468="","","Sim")</f>
        <v/>
      </c>
      <c r="U2468" s="41">
        <f>IF(T2468="Sim",S2468+ROW()/100000,0)</f>
        <v>0</v>
      </c>
      <c r="V2468" s="41">
        <f>IF(AND(H2468="Falta",L2468=Config!$B$7,M2468=Config!$B$5,COUNTIFS($E$5:E2468,E2468,$H$5:H2468,"Falta",$L$5:L2468,Config!$B$7,$M$5:M2468,Config!$B$5)=1),COUNTIFS($E$5:$E$3004,E2468,$H$5:$H$3004,"Falta",$L$5:$L$3004,Config!$B$7,$M$5:$M$3004,Config!$B$5)*1000-ROW()/100000,0)</f>
        <v>0</v>
      </c>
    </row>
    <row r="2469">
      <c r="A2469" s="39" t="n"/>
      <c r="B2469" s="40" t="n"/>
      <c r="C2469" s="35" t="n"/>
      <c r="D2469" s="35" t="n"/>
      <c r="E2469" s="34" t="n"/>
      <c r="F2469" s="35" t="n"/>
      <c r="G2469" s="35" t="n"/>
      <c r="H2469" s="35" t="n"/>
      <c r="I2469" s="35" t="n"/>
      <c r="J2469" s="35" t="n"/>
      <c r="K2469" s="34" t="n"/>
      <c r="L2469" s="26">
        <f>IF(A2469="","",MONTH(A2469))</f>
        <v/>
      </c>
      <c r="M2469" s="26">
        <f>IF(A2469="","",YEAR(A2469))</f>
        <v/>
      </c>
      <c r="N2469" s="26">
        <f>IF(A2469="","",CHOOSE(WEEKDAY(A2469,2),"Segunda","Terça","Quarta","Quinta","Sexta","Sábado","Domingo"))</f>
        <v/>
      </c>
      <c r="O2469" s="26">
        <f>IF(B2469="","",IF(B2469&lt;TIME(12,0,0),"Manhã",IF(B2469&lt;TIME(18,0,0),"Tarde","Noite")))</f>
        <v/>
      </c>
      <c r="P2469" s="32">
        <f>IF(G2469="","",IFERROR(INDEX(Config!$I$5:$I$16,MATCH(G2469,Config!$H$5:$H$16,0)),0))</f>
        <v/>
      </c>
      <c r="Q2469" s="30">
        <f>IF(OR(H2469&lt;&gt;"Realizado",P2469="",P2469=0),"",A2469+P2469)</f>
        <v/>
      </c>
      <c r="R2469" s="26">
        <f>IF(Q2469="","",IF(COUNTIFS($E$5:$E$3004,E2469,$A$5:$A$3004,"&gt;"&amp;A2469,$H$5:$H$3004,"&lt;&gt;Falta",$H$5:$H$3004,"&lt;&gt;Cancelado",$H$5:$H$3004,"&lt;&gt;Remarcado")&gt;0,"Sim","Não"))</f>
        <v/>
      </c>
      <c r="S2469" s="32">
        <f>IF(R2469&lt;&gt;"Não","",IF(Q2469+Config!$B$9&lt;=Config!$B$8,Config!$B$8-Q2469,""))</f>
        <v/>
      </c>
      <c r="T2469" s="26">
        <f>IF(S2469="","","Sim")</f>
        <v/>
      </c>
      <c r="U2469" s="41">
        <f>IF(T2469="Sim",S2469+ROW()/100000,0)</f>
        <v>0</v>
      </c>
      <c r="V2469" s="41">
        <f>IF(AND(H2469="Falta",L2469=Config!$B$7,M2469=Config!$B$5,COUNTIFS($E$5:E2469,E2469,$H$5:H2469,"Falta",$L$5:L2469,Config!$B$7,$M$5:M2469,Config!$B$5)=1),COUNTIFS($E$5:$E$3004,E2469,$H$5:$H$3004,"Falta",$L$5:$L$3004,Config!$B$7,$M$5:$M$3004,Config!$B$5)*1000-ROW()/100000,0)</f>
        <v>0</v>
      </c>
    </row>
    <row r="2470">
      <c r="A2470" s="39" t="n"/>
      <c r="B2470" s="40" t="n"/>
      <c r="C2470" s="35" t="n"/>
      <c r="D2470" s="35" t="n"/>
      <c r="E2470" s="34" t="n"/>
      <c r="F2470" s="35" t="n"/>
      <c r="G2470" s="35" t="n"/>
      <c r="H2470" s="35" t="n"/>
      <c r="I2470" s="35" t="n"/>
      <c r="J2470" s="35" t="n"/>
      <c r="K2470" s="34" t="n"/>
      <c r="L2470" s="26">
        <f>IF(A2470="","",MONTH(A2470))</f>
        <v/>
      </c>
      <c r="M2470" s="26">
        <f>IF(A2470="","",YEAR(A2470))</f>
        <v/>
      </c>
      <c r="N2470" s="26">
        <f>IF(A2470="","",CHOOSE(WEEKDAY(A2470,2),"Segunda","Terça","Quarta","Quinta","Sexta","Sábado","Domingo"))</f>
        <v/>
      </c>
      <c r="O2470" s="26">
        <f>IF(B2470="","",IF(B2470&lt;TIME(12,0,0),"Manhã",IF(B2470&lt;TIME(18,0,0),"Tarde","Noite")))</f>
        <v/>
      </c>
      <c r="P2470" s="32">
        <f>IF(G2470="","",IFERROR(INDEX(Config!$I$5:$I$16,MATCH(G2470,Config!$H$5:$H$16,0)),0))</f>
        <v/>
      </c>
      <c r="Q2470" s="30">
        <f>IF(OR(H2470&lt;&gt;"Realizado",P2470="",P2470=0),"",A2470+P2470)</f>
        <v/>
      </c>
      <c r="R2470" s="26">
        <f>IF(Q2470="","",IF(COUNTIFS($E$5:$E$3004,E2470,$A$5:$A$3004,"&gt;"&amp;A2470,$H$5:$H$3004,"&lt;&gt;Falta",$H$5:$H$3004,"&lt;&gt;Cancelado",$H$5:$H$3004,"&lt;&gt;Remarcado")&gt;0,"Sim","Não"))</f>
        <v/>
      </c>
      <c r="S2470" s="32">
        <f>IF(R2470&lt;&gt;"Não","",IF(Q2470+Config!$B$9&lt;=Config!$B$8,Config!$B$8-Q2470,""))</f>
        <v/>
      </c>
      <c r="T2470" s="26">
        <f>IF(S2470="","","Sim")</f>
        <v/>
      </c>
      <c r="U2470" s="41">
        <f>IF(T2470="Sim",S2470+ROW()/100000,0)</f>
        <v>0</v>
      </c>
      <c r="V2470" s="41">
        <f>IF(AND(H2470="Falta",L2470=Config!$B$7,M2470=Config!$B$5,COUNTIFS($E$5:E2470,E2470,$H$5:H2470,"Falta",$L$5:L2470,Config!$B$7,$M$5:M2470,Config!$B$5)=1),COUNTIFS($E$5:$E$3004,E2470,$H$5:$H$3004,"Falta",$L$5:$L$3004,Config!$B$7,$M$5:$M$3004,Config!$B$5)*1000-ROW()/100000,0)</f>
        <v>0</v>
      </c>
    </row>
    <row r="2471">
      <c r="A2471" s="39" t="n"/>
      <c r="B2471" s="40" t="n"/>
      <c r="C2471" s="35" t="n"/>
      <c r="D2471" s="35" t="n"/>
      <c r="E2471" s="34" t="n"/>
      <c r="F2471" s="35" t="n"/>
      <c r="G2471" s="35" t="n"/>
      <c r="H2471" s="35" t="n"/>
      <c r="I2471" s="35" t="n"/>
      <c r="J2471" s="35" t="n"/>
      <c r="K2471" s="34" t="n"/>
      <c r="L2471" s="26">
        <f>IF(A2471="","",MONTH(A2471))</f>
        <v/>
      </c>
      <c r="M2471" s="26">
        <f>IF(A2471="","",YEAR(A2471))</f>
        <v/>
      </c>
      <c r="N2471" s="26">
        <f>IF(A2471="","",CHOOSE(WEEKDAY(A2471,2),"Segunda","Terça","Quarta","Quinta","Sexta","Sábado","Domingo"))</f>
        <v/>
      </c>
      <c r="O2471" s="26">
        <f>IF(B2471="","",IF(B2471&lt;TIME(12,0,0),"Manhã",IF(B2471&lt;TIME(18,0,0),"Tarde","Noite")))</f>
        <v/>
      </c>
      <c r="P2471" s="32">
        <f>IF(G2471="","",IFERROR(INDEX(Config!$I$5:$I$16,MATCH(G2471,Config!$H$5:$H$16,0)),0))</f>
        <v/>
      </c>
      <c r="Q2471" s="30">
        <f>IF(OR(H2471&lt;&gt;"Realizado",P2471="",P2471=0),"",A2471+P2471)</f>
        <v/>
      </c>
      <c r="R2471" s="26">
        <f>IF(Q2471="","",IF(COUNTIFS($E$5:$E$3004,E2471,$A$5:$A$3004,"&gt;"&amp;A2471,$H$5:$H$3004,"&lt;&gt;Falta",$H$5:$H$3004,"&lt;&gt;Cancelado",$H$5:$H$3004,"&lt;&gt;Remarcado")&gt;0,"Sim","Não"))</f>
        <v/>
      </c>
      <c r="S2471" s="32">
        <f>IF(R2471&lt;&gt;"Não","",IF(Q2471+Config!$B$9&lt;=Config!$B$8,Config!$B$8-Q2471,""))</f>
        <v/>
      </c>
      <c r="T2471" s="26">
        <f>IF(S2471="","","Sim")</f>
        <v/>
      </c>
      <c r="U2471" s="41">
        <f>IF(T2471="Sim",S2471+ROW()/100000,0)</f>
        <v>0</v>
      </c>
      <c r="V2471" s="41">
        <f>IF(AND(H2471="Falta",L2471=Config!$B$7,M2471=Config!$B$5,COUNTIFS($E$5:E2471,E2471,$H$5:H2471,"Falta",$L$5:L2471,Config!$B$7,$M$5:M2471,Config!$B$5)=1),COUNTIFS($E$5:$E$3004,E2471,$H$5:$H$3004,"Falta",$L$5:$L$3004,Config!$B$7,$M$5:$M$3004,Config!$B$5)*1000-ROW()/100000,0)</f>
        <v>0</v>
      </c>
    </row>
    <row r="2472">
      <c r="A2472" s="39" t="n"/>
      <c r="B2472" s="40" t="n"/>
      <c r="C2472" s="35" t="n"/>
      <c r="D2472" s="35" t="n"/>
      <c r="E2472" s="34" t="n"/>
      <c r="F2472" s="35" t="n"/>
      <c r="G2472" s="35" t="n"/>
      <c r="H2472" s="35" t="n"/>
      <c r="I2472" s="35" t="n"/>
      <c r="J2472" s="35" t="n"/>
      <c r="K2472" s="34" t="n"/>
      <c r="L2472" s="26">
        <f>IF(A2472="","",MONTH(A2472))</f>
        <v/>
      </c>
      <c r="M2472" s="26">
        <f>IF(A2472="","",YEAR(A2472))</f>
        <v/>
      </c>
      <c r="N2472" s="26">
        <f>IF(A2472="","",CHOOSE(WEEKDAY(A2472,2),"Segunda","Terça","Quarta","Quinta","Sexta","Sábado","Domingo"))</f>
        <v/>
      </c>
      <c r="O2472" s="26">
        <f>IF(B2472="","",IF(B2472&lt;TIME(12,0,0),"Manhã",IF(B2472&lt;TIME(18,0,0),"Tarde","Noite")))</f>
        <v/>
      </c>
      <c r="P2472" s="32">
        <f>IF(G2472="","",IFERROR(INDEX(Config!$I$5:$I$16,MATCH(G2472,Config!$H$5:$H$16,0)),0))</f>
        <v/>
      </c>
      <c r="Q2472" s="30">
        <f>IF(OR(H2472&lt;&gt;"Realizado",P2472="",P2472=0),"",A2472+P2472)</f>
        <v/>
      </c>
      <c r="R2472" s="26">
        <f>IF(Q2472="","",IF(COUNTIFS($E$5:$E$3004,E2472,$A$5:$A$3004,"&gt;"&amp;A2472,$H$5:$H$3004,"&lt;&gt;Falta",$H$5:$H$3004,"&lt;&gt;Cancelado",$H$5:$H$3004,"&lt;&gt;Remarcado")&gt;0,"Sim","Não"))</f>
        <v/>
      </c>
      <c r="S2472" s="32">
        <f>IF(R2472&lt;&gt;"Não","",IF(Q2472+Config!$B$9&lt;=Config!$B$8,Config!$B$8-Q2472,""))</f>
        <v/>
      </c>
      <c r="T2472" s="26">
        <f>IF(S2472="","","Sim")</f>
        <v/>
      </c>
      <c r="U2472" s="41">
        <f>IF(T2472="Sim",S2472+ROW()/100000,0)</f>
        <v>0</v>
      </c>
      <c r="V2472" s="41">
        <f>IF(AND(H2472="Falta",L2472=Config!$B$7,M2472=Config!$B$5,COUNTIFS($E$5:E2472,E2472,$H$5:H2472,"Falta",$L$5:L2472,Config!$B$7,$M$5:M2472,Config!$B$5)=1),COUNTIFS($E$5:$E$3004,E2472,$H$5:$H$3004,"Falta",$L$5:$L$3004,Config!$B$7,$M$5:$M$3004,Config!$B$5)*1000-ROW()/100000,0)</f>
        <v>0</v>
      </c>
    </row>
    <row r="2473">
      <c r="A2473" s="39" t="n"/>
      <c r="B2473" s="40" t="n"/>
      <c r="C2473" s="35" t="n"/>
      <c r="D2473" s="35" t="n"/>
      <c r="E2473" s="34" t="n"/>
      <c r="F2473" s="35" t="n"/>
      <c r="G2473" s="35" t="n"/>
      <c r="H2473" s="35" t="n"/>
      <c r="I2473" s="35" t="n"/>
      <c r="J2473" s="35" t="n"/>
      <c r="K2473" s="34" t="n"/>
      <c r="L2473" s="26">
        <f>IF(A2473="","",MONTH(A2473))</f>
        <v/>
      </c>
      <c r="M2473" s="26">
        <f>IF(A2473="","",YEAR(A2473))</f>
        <v/>
      </c>
      <c r="N2473" s="26">
        <f>IF(A2473="","",CHOOSE(WEEKDAY(A2473,2),"Segunda","Terça","Quarta","Quinta","Sexta","Sábado","Domingo"))</f>
        <v/>
      </c>
      <c r="O2473" s="26">
        <f>IF(B2473="","",IF(B2473&lt;TIME(12,0,0),"Manhã",IF(B2473&lt;TIME(18,0,0),"Tarde","Noite")))</f>
        <v/>
      </c>
      <c r="P2473" s="32">
        <f>IF(G2473="","",IFERROR(INDEX(Config!$I$5:$I$16,MATCH(G2473,Config!$H$5:$H$16,0)),0))</f>
        <v/>
      </c>
      <c r="Q2473" s="30">
        <f>IF(OR(H2473&lt;&gt;"Realizado",P2473="",P2473=0),"",A2473+P2473)</f>
        <v/>
      </c>
      <c r="R2473" s="26">
        <f>IF(Q2473="","",IF(COUNTIFS($E$5:$E$3004,E2473,$A$5:$A$3004,"&gt;"&amp;A2473,$H$5:$H$3004,"&lt;&gt;Falta",$H$5:$H$3004,"&lt;&gt;Cancelado",$H$5:$H$3004,"&lt;&gt;Remarcado")&gt;0,"Sim","Não"))</f>
        <v/>
      </c>
      <c r="S2473" s="32">
        <f>IF(R2473&lt;&gt;"Não","",IF(Q2473+Config!$B$9&lt;=Config!$B$8,Config!$B$8-Q2473,""))</f>
        <v/>
      </c>
      <c r="T2473" s="26">
        <f>IF(S2473="","","Sim")</f>
        <v/>
      </c>
      <c r="U2473" s="41">
        <f>IF(T2473="Sim",S2473+ROW()/100000,0)</f>
        <v>0</v>
      </c>
      <c r="V2473" s="41">
        <f>IF(AND(H2473="Falta",L2473=Config!$B$7,M2473=Config!$B$5,COUNTIFS($E$5:E2473,E2473,$H$5:H2473,"Falta",$L$5:L2473,Config!$B$7,$M$5:M2473,Config!$B$5)=1),COUNTIFS($E$5:$E$3004,E2473,$H$5:$H$3004,"Falta",$L$5:$L$3004,Config!$B$7,$M$5:$M$3004,Config!$B$5)*1000-ROW()/100000,0)</f>
        <v>0</v>
      </c>
    </row>
    <row r="2474">
      <c r="A2474" s="39" t="n"/>
      <c r="B2474" s="40" t="n"/>
      <c r="C2474" s="35" t="n"/>
      <c r="D2474" s="35" t="n"/>
      <c r="E2474" s="34" t="n"/>
      <c r="F2474" s="35" t="n"/>
      <c r="G2474" s="35" t="n"/>
      <c r="H2474" s="35" t="n"/>
      <c r="I2474" s="35" t="n"/>
      <c r="J2474" s="35" t="n"/>
      <c r="K2474" s="34" t="n"/>
      <c r="L2474" s="26">
        <f>IF(A2474="","",MONTH(A2474))</f>
        <v/>
      </c>
      <c r="M2474" s="26">
        <f>IF(A2474="","",YEAR(A2474))</f>
        <v/>
      </c>
      <c r="N2474" s="26">
        <f>IF(A2474="","",CHOOSE(WEEKDAY(A2474,2),"Segunda","Terça","Quarta","Quinta","Sexta","Sábado","Domingo"))</f>
        <v/>
      </c>
      <c r="O2474" s="26">
        <f>IF(B2474="","",IF(B2474&lt;TIME(12,0,0),"Manhã",IF(B2474&lt;TIME(18,0,0),"Tarde","Noite")))</f>
        <v/>
      </c>
      <c r="P2474" s="32">
        <f>IF(G2474="","",IFERROR(INDEX(Config!$I$5:$I$16,MATCH(G2474,Config!$H$5:$H$16,0)),0))</f>
        <v/>
      </c>
      <c r="Q2474" s="30">
        <f>IF(OR(H2474&lt;&gt;"Realizado",P2474="",P2474=0),"",A2474+P2474)</f>
        <v/>
      </c>
      <c r="R2474" s="26">
        <f>IF(Q2474="","",IF(COUNTIFS($E$5:$E$3004,E2474,$A$5:$A$3004,"&gt;"&amp;A2474,$H$5:$H$3004,"&lt;&gt;Falta",$H$5:$H$3004,"&lt;&gt;Cancelado",$H$5:$H$3004,"&lt;&gt;Remarcado")&gt;0,"Sim","Não"))</f>
        <v/>
      </c>
      <c r="S2474" s="32">
        <f>IF(R2474&lt;&gt;"Não","",IF(Q2474+Config!$B$9&lt;=Config!$B$8,Config!$B$8-Q2474,""))</f>
        <v/>
      </c>
      <c r="T2474" s="26">
        <f>IF(S2474="","","Sim")</f>
        <v/>
      </c>
      <c r="U2474" s="41">
        <f>IF(T2474="Sim",S2474+ROW()/100000,0)</f>
        <v>0</v>
      </c>
      <c r="V2474" s="41">
        <f>IF(AND(H2474="Falta",L2474=Config!$B$7,M2474=Config!$B$5,COUNTIFS($E$5:E2474,E2474,$H$5:H2474,"Falta",$L$5:L2474,Config!$B$7,$M$5:M2474,Config!$B$5)=1),COUNTIFS($E$5:$E$3004,E2474,$H$5:$H$3004,"Falta",$L$5:$L$3004,Config!$B$7,$M$5:$M$3004,Config!$B$5)*1000-ROW()/100000,0)</f>
        <v>0</v>
      </c>
    </row>
    <row r="2475">
      <c r="A2475" s="39" t="n"/>
      <c r="B2475" s="40" t="n"/>
      <c r="C2475" s="35" t="n"/>
      <c r="D2475" s="35" t="n"/>
      <c r="E2475" s="34" t="n"/>
      <c r="F2475" s="35" t="n"/>
      <c r="G2475" s="35" t="n"/>
      <c r="H2475" s="35" t="n"/>
      <c r="I2475" s="35" t="n"/>
      <c r="J2475" s="35" t="n"/>
      <c r="K2475" s="34" t="n"/>
      <c r="L2475" s="26">
        <f>IF(A2475="","",MONTH(A2475))</f>
        <v/>
      </c>
      <c r="M2475" s="26">
        <f>IF(A2475="","",YEAR(A2475))</f>
        <v/>
      </c>
      <c r="N2475" s="26">
        <f>IF(A2475="","",CHOOSE(WEEKDAY(A2475,2),"Segunda","Terça","Quarta","Quinta","Sexta","Sábado","Domingo"))</f>
        <v/>
      </c>
      <c r="O2475" s="26">
        <f>IF(B2475="","",IF(B2475&lt;TIME(12,0,0),"Manhã",IF(B2475&lt;TIME(18,0,0),"Tarde","Noite")))</f>
        <v/>
      </c>
      <c r="P2475" s="32">
        <f>IF(G2475="","",IFERROR(INDEX(Config!$I$5:$I$16,MATCH(G2475,Config!$H$5:$H$16,0)),0))</f>
        <v/>
      </c>
      <c r="Q2475" s="30">
        <f>IF(OR(H2475&lt;&gt;"Realizado",P2475="",P2475=0),"",A2475+P2475)</f>
        <v/>
      </c>
      <c r="R2475" s="26">
        <f>IF(Q2475="","",IF(COUNTIFS($E$5:$E$3004,E2475,$A$5:$A$3004,"&gt;"&amp;A2475,$H$5:$H$3004,"&lt;&gt;Falta",$H$5:$H$3004,"&lt;&gt;Cancelado",$H$5:$H$3004,"&lt;&gt;Remarcado")&gt;0,"Sim","Não"))</f>
        <v/>
      </c>
      <c r="S2475" s="32">
        <f>IF(R2475&lt;&gt;"Não","",IF(Q2475+Config!$B$9&lt;=Config!$B$8,Config!$B$8-Q2475,""))</f>
        <v/>
      </c>
      <c r="T2475" s="26">
        <f>IF(S2475="","","Sim")</f>
        <v/>
      </c>
      <c r="U2475" s="41">
        <f>IF(T2475="Sim",S2475+ROW()/100000,0)</f>
        <v>0</v>
      </c>
      <c r="V2475" s="41">
        <f>IF(AND(H2475="Falta",L2475=Config!$B$7,M2475=Config!$B$5,COUNTIFS($E$5:E2475,E2475,$H$5:H2475,"Falta",$L$5:L2475,Config!$B$7,$M$5:M2475,Config!$B$5)=1),COUNTIFS($E$5:$E$3004,E2475,$H$5:$H$3004,"Falta",$L$5:$L$3004,Config!$B$7,$M$5:$M$3004,Config!$B$5)*1000-ROW()/100000,0)</f>
        <v>0</v>
      </c>
    </row>
    <row r="2476">
      <c r="A2476" s="39" t="n"/>
      <c r="B2476" s="40" t="n"/>
      <c r="C2476" s="35" t="n"/>
      <c r="D2476" s="35" t="n"/>
      <c r="E2476" s="34" t="n"/>
      <c r="F2476" s="35" t="n"/>
      <c r="G2476" s="35" t="n"/>
      <c r="H2476" s="35" t="n"/>
      <c r="I2476" s="35" t="n"/>
      <c r="J2476" s="35" t="n"/>
      <c r="K2476" s="34" t="n"/>
      <c r="L2476" s="26">
        <f>IF(A2476="","",MONTH(A2476))</f>
        <v/>
      </c>
      <c r="M2476" s="26">
        <f>IF(A2476="","",YEAR(A2476))</f>
        <v/>
      </c>
      <c r="N2476" s="26">
        <f>IF(A2476="","",CHOOSE(WEEKDAY(A2476,2),"Segunda","Terça","Quarta","Quinta","Sexta","Sábado","Domingo"))</f>
        <v/>
      </c>
      <c r="O2476" s="26">
        <f>IF(B2476="","",IF(B2476&lt;TIME(12,0,0),"Manhã",IF(B2476&lt;TIME(18,0,0),"Tarde","Noite")))</f>
        <v/>
      </c>
      <c r="P2476" s="32">
        <f>IF(G2476="","",IFERROR(INDEX(Config!$I$5:$I$16,MATCH(G2476,Config!$H$5:$H$16,0)),0))</f>
        <v/>
      </c>
      <c r="Q2476" s="30">
        <f>IF(OR(H2476&lt;&gt;"Realizado",P2476="",P2476=0),"",A2476+P2476)</f>
        <v/>
      </c>
      <c r="R2476" s="26">
        <f>IF(Q2476="","",IF(COUNTIFS($E$5:$E$3004,E2476,$A$5:$A$3004,"&gt;"&amp;A2476,$H$5:$H$3004,"&lt;&gt;Falta",$H$5:$H$3004,"&lt;&gt;Cancelado",$H$5:$H$3004,"&lt;&gt;Remarcado")&gt;0,"Sim","Não"))</f>
        <v/>
      </c>
      <c r="S2476" s="32">
        <f>IF(R2476&lt;&gt;"Não","",IF(Q2476+Config!$B$9&lt;=Config!$B$8,Config!$B$8-Q2476,""))</f>
        <v/>
      </c>
      <c r="T2476" s="26">
        <f>IF(S2476="","","Sim")</f>
        <v/>
      </c>
      <c r="U2476" s="41">
        <f>IF(T2476="Sim",S2476+ROW()/100000,0)</f>
        <v>0</v>
      </c>
      <c r="V2476" s="41">
        <f>IF(AND(H2476="Falta",L2476=Config!$B$7,M2476=Config!$B$5,COUNTIFS($E$5:E2476,E2476,$H$5:H2476,"Falta",$L$5:L2476,Config!$B$7,$M$5:M2476,Config!$B$5)=1),COUNTIFS($E$5:$E$3004,E2476,$H$5:$H$3004,"Falta",$L$5:$L$3004,Config!$B$7,$M$5:$M$3004,Config!$B$5)*1000-ROW()/100000,0)</f>
        <v>0</v>
      </c>
    </row>
    <row r="2477">
      <c r="A2477" s="39" t="n"/>
      <c r="B2477" s="40" t="n"/>
      <c r="C2477" s="35" t="n"/>
      <c r="D2477" s="35" t="n"/>
      <c r="E2477" s="34" t="n"/>
      <c r="F2477" s="35" t="n"/>
      <c r="G2477" s="35" t="n"/>
      <c r="H2477" s="35" t="n"/>
      <c r="I2477" s="35" t="n"/>
      <c r="J2477" s="35" t="n"/>
      <c r="K2477" s="34" t="n"/>
      <c r="L2477" s="26">
        <f>IF(A2477="","",MONTH(A2477))</f>
        <v/>
      </c>
      <c r="M2477" s="26">
        <f>IF(A2477="","",YEAR(A2477))</f>
        <v/>
      </c>
      <c r="N2477" s="26">
        <f>IF(A2477="","",CHOOSE(WEEKDAY(A2477,2),"Segunda","Terça","Quarta","Quinta","Sexta","Sábado","Domingo"))</f>
        <v/>
      </c>
      <c r="O2477" s="26">
        <f>IF(B2477="","",IF(B2477&lt;TIME(12,0,0),"Manhã",IF(B2477&lt;TIME(18,0,0),"Tarde","Noite")))</f>
        <v/>
      </c>
      <c r="P2477" s="32">
        <f>IF(G2477="","",IFERROR(INDEX(Config!$I$5:$I$16,MATCH(G2477,Config!$H$5:$H$16,0)),0))</f>
        <v/>
      </c>
      <c r="Q2477" s="30">
        <f>IF(OR(H2477&lt;&gt;"Realizado",P2477="",P2477=0),"",A2477+P2477)</f>
        <v/>
      </c>
      <c r="R2477" s="26">
        <f>IF(Q2477="","",IF(COUNTIFS($E$5:$E$3004,E2477,$A$5:$A$3004,"&gt;"&amp;A2477,$H$5:$H$3004,"&lt;&gt;Falta",$H$5:$H$3004,"&lt;&gt;Cancelado",$H$5:$H$3004,"&lt;&gt;Remarcado")&gt;0,"Sim","Não"))</f>
        <v/>
      </c>
      <c r="S2477" s="32">
        <f>IF(R2477&lt;&gt;"Não","",IF(Q2477+Config!$B$9&lt;=Config!$B$8,Config!$B$8-Q2477,""))</f>
        <v/>
      </c>
      <c r="T2477" s="26">
        <f>IF(S2477="","","Sim")</f>
        <v/>
      </c>
      <c r="U2477" s="41">
        <f>IF(T2477="Sim",S2477+ROW()/100000,0)</f>
        <v>0</v>
      </c>
      <c r="V2477" s="41">
        <f>IF(AND(H2477="Falta",L2477=Config!$B$7,M2477=Config!$B$5,COUNTIFS($E$5:E2477,E2477,$H$5:H2477,"Falta",$L$5:L2477,Config!$B$7,$M$5:M2477,Config!$B$5)=1),COUNTIFS($E$5:$E$3004,E2477,$H$5:$H$3004,"Falta",$L$5:$L$3004,Config!$B$7,$M$5:$M$3004,Config!$B$5)*1000-ROW()/100000,0)</f>
        <v>0</v>
      </c>
    </row>
    <row r="2478">
      <c r="A2478" s="39" t="n"/>
      <c r="B2478" s="40" t="n"/>
      <c r="C2478" s="35" t="n"/>
      <c r="D2478" s="35" t="n"/>
      <c r="E2478" s="34" t="n"/>
      <c r="F2478" s="35" t="n"/>
      <c r="G2478" s="35" t="n"/>
      <c r="H2478" s="35" t="n"/>
      <c r="I2478" s="35" t="n"/>
      <c r="J2478" s="35" t="n"/>
      <c r="K2478" s="34" t="n"/>
      <c r="L2478" s="26">
        <f>IF(A2478="","",MONTH(A2478))</f>
        <v/>
      </c>
      <c r="M2478" s="26">
        <f>IF(A2478="","",YEAR(A2478))</f>
        <v/>
      </c>
      <c r="N2478" s="26">
        <f>IF(A2478="","",CHOOSE(WEEKDAY(A2478,2),"Segunda","Terça","Quarta","Quinta","Sexta","Sábado","Domingo"))</f>
        <v/>
      </c>
      <c r="O2478" s="26">
        <f>IF(B2478="","",IF(B2478&lt;TIME(12,0,0),"Manhã",IF(B2478&lt;TIME(18,0,0),"Tarde","Noite")))</f>
        <v/>
      </c>
      <c r="P2478" s="32">
        <f>IF(G2478="","",IFERROR(INDEX(Config!$I$5:$I$16,MATCH(G2478,Config!$H$5:$H$16,0)),0))</f>
        <v/>
      </c>
      <c r="Q2478" s="30">
        <f>IF(OR(H2478&lt;&gt;"Realizado",P2478="",P2478=0),"",A2478+P2478)</f>
        <v/>
      </c>
      <c r="R2478" s="26">
        <f>IF(Q2478="","",IF(COUNTIFS($E$5:$E$3004,E2478,$A$5:$A$3004,"&gt;"&amp;A2478,$H$5:$H$3004,"&lt;&gt;Falta",$H$5:$H$3004,"&lt;&gt;Cancelado",$H$5:$H$3004,"&lt;&gt;Remarcado")&gt;0,"Sim","Não"))</f>
        <v/>
      </c>
      <c r="S2478" s="32">
        <f>IF(R2478&lt;&gt;"Não","",IF(Q2478+Config!$B$9&lt;=Config!$B$8,Config!$B$8-Q2478,""))</f>
        <v/>
      </c>
      <c r="T2478" s="26">
        <f>IF(S2478="","","Sim")</f>
        <v/>
      </c>
      <c r="U2478" s="41">
        <f>IF(T2478="Sim",S2478+ROW()/100000,0)</f>
        <v>0</v>
      </c>
      <c r="V2478" s="41">
        <f>IF(AND(H2478="Falta",L2478=Config!$B$7,M2478=Config!$B$5,COUNTIFS($E$5:E2478,E2478,$H$5:H2478,"Falta",$L$5:L2478,Config!$B$7,$M$5:M2478,Config!$B$5)=1),COUNTIFS($E$5:$E$3004,E2478,$H$5:$H$3004,"Falta",$L$5:$L$3004,Config!$B$7,$M$5:$M$3004,Config!$B$5)*1000-ROW()/100000,0)</f>
        <v>0</v>
      </c>
    </row>
    <row r="2479">
      <c r="A2479" s="39" t="n"/>
      <c r="B2479" s="40" t="n"/>
      <c r="C2479" s="35" t="n"/>
      <c r="D2479" s="35" t="n"/>
      <c r="E2479" s="34" t="n"/>
      <c r="F2479" s="35" t="n"/>
      <c r="G2479" s="35" t="n"/>
      <c r="H2479" s="35" t="n"/>
      <c r="I2479" s="35" t="n"/>
      <c r="J2479" s="35" t="n"/>
      <c r="K2479" s="34" t="n"/>
      <c r="L2479" s="26">
        <f>IF(A2479="","",MONTH(A2479))</f>
        <v/>
      </c>
      <c r="M2479" s="26">
        <f>IF(A2479="","",YEAR(A2479))</f>
        <v/>
      </c>
      <c r="N2479" s="26">
        <f>IF(A2479="","",CHOOSE(WEEKDAY(A2479,2),"Segunda","Terça","Quarta","Quinta","Sexta","Sábado","Domingo"))</f>
        <v/>
      </c>
      <c r="O2479" s="26">
        <f>IF(B2479="","",IF(B2479&lt;TIME(12,0,0),"Manhã",IF(B2479&lt;TIME(18,0,0),"Tarde","Noite")))</f>
        <v/>
      </c>
      <c r="P2479" s="32">
        <f>IF(G2479="","",IFERROR(INDEX(Config!$I$5:$I$16,MATCH(G2479,Config!$H$5:$H$16,0)),0))</f>
        <v/>
      </c>
      <c r="Q2479" s="30">
        <f>IF(OR(H2479&lt;&gt;"Realizado",P2479="",P2479=0),"",A2479+P2479)</f>
        <v/>
      </c>
      <c r="R2479" s="26">
        <f>IF(Q2479="","",IF(COUNTIFS($E$5:$E$3004,E2479,$A$5:$A$3004,"&gt;"&amp;A2479,$H$5:$H$3004,"&lt;&gt;Falta",$H$5:$H$3004,"&lt;&gt;Cancelado",$H$5:$H$3004,"&lt;&gt;Remarcado")&gt;0,"Sim","Não"))</f>
        <v/>
      </c>
      <c r="S2479" s="32">
        <f>IF(R2479&lt;&gt;"Não","",IF(Q2479+Config!$B$9&lt;=Config!$B$8,Config!$B$8-Q2479,""))</f>
        <v/>
      </c>
      <c r="T2479" s="26">
        <f>IF(S2479="","","Sim")</f>
        <v/>
      </c>
      <c r="U2479" s="41">
        <f>IF(T2479="Sim",S2479+ROW()/100000,0)</f>
        <v>0</v>
      </c>
      <c r="V2479" s="41">
        <f>IF(AND(H2479="Falta",L2479=Config!$B$7,M2479=Config!$B$5,COUNTIFS($E$5:E2479,E2479,$H$5:H2479,"Falta",$L$5:L2479,Config!$B$7,$M$5:M2479,Config!$B$5)=1),COUNTIFS($E$5:$E$3004,E2479,$H$5:$H$3004,"Falta",$L$5:$L$3004,Config!$B$7,$M$5:$M$3004,Config!$B$5)*1000-ROW()/100000,0)</f>
        <v>0</v>
      </c>
    </row>
    <row r="2480">
      <c r="A2480" s="39" t="n"/>
      <c r="B2480" s="40" t="n"/>
      <c r="C2480" s="35" t="n"/>
      <c r="D2480" s="35" t="n"/>
      <c r="E2480" s="34" t="n"/>
      <c r="F2480" s="35" t="n"/>
      <c r="G2480" s="35" t="n"/>
      <c r="H2480" s="35" t="n"/>
      <c r="I2480" s="35" t="n"/>
      <c r="J2480" s="35" t="n"/>
      <c r="K2480" s="34" t="n"/>
      <c r="L2480" s="26">
        <f>IF(A2480="","",MONTH(A2480))</f>
        <v/>
      </c>
      <c r="M2480" s="26">
        <f>IF(A2480="","",YEAR(A2480))</f>
        <v/>
      </c>
      <c r="N2480" s="26">
        <f>IF(A2480="","",CHOOSE(WEEKDAY(A2480,2),"Segunda","Terça","Quarta","Quinta","Sexta","Sábado","Domingo"))</f>
        <v/>
      </c>
      <c r="O2480" s="26">
        <f>IF(B2480="","",IF(B2480&lt;TIME(12,0,0),"Manhã",IF(B2480&lt;TIME(18,0,0),"Tarde","Noite")))</f>
        <v/>
      </c>
      <c r="P2480" s="32">
        <f>IF(G2480="","",IFERROR(INDEX(Config!$I$5:$I$16,MATCH(G2480,Config!$H$5:$H$16,0)),0))</f>
        <v/>
      </c>
      <c r="Q2480" s="30">
        <f>IF(OR(H2480&lt;&gt;"Realizado",P2480="",P2480=0),"",A2480+P2480)</f>
        <v/>
      </c>
      <c r="R2480" s="26">
        <f>IF(Q2480="","",IF(COUNTIFS($E$5:$E$3004,E2480,$A$5:$A$3004,"&gt;"&amp;A2480,$H$5:$H$3004,"&lt;&gt;Falta",$H$5:$H$3004,"&lt;&gt;Cancelado",$H$5:$H$3004,"&lt;&gt;Remarcado")&gt;0,"Sim","Não"))</f>
        <v/>
      </c>
      <c r="S2480" s="32">
        <f>IF(R2480&lt;&gt;"Não","",IF(Q2480+Config!$B$9&lt;=Config!$B$8,Config!$B$8-Q2480,""))</f>
        <v/>
      </c>
      <c r="T2480" s="26">
        <f>IF(S2480="","","Sim")</f>
        <v/>
      </c>
      <c r="U2480" s="41">
        <f>IF(T2480="Sim",S2480+ROW()/100000,0)</f>
        <v>0</v>
      </c>
      <c r="V2480" s="41">
        <f>IF(AND(H2480="Falta",L2480=Config!$B$7,M2480=Config!$B$5,COUNTIFS($E$5:E2480,E2480,$H$5:H2480,"Falta",$L$5:L2480,Config!$B$7,$M$5:M2480,Config!$B$5)=1),COUNTIFS($E$5:$E$3004,E2480,$H$5:$H$3004,"Falta",$L$5:$L$3004,Config!$B$7,$M$5:$M$3004,Config!$B$5)*1000-ROW()/100000,0)</f>
        <v>0</v>
      </c>
    </row>
    <row r="2481">
      <c r="A2481" s="39" t="n"/>
      <c r="B2481" s="40" t="n"/>
      <c r="C2481" s="35" t="n"/>
      <c r="D2481" s="35" t="n"/>
      <c r="E2481" s="34" t="n"/>
      <c r="F2481" s="35" t="n"/>
      <c r="G2481" s="35" t="n"/>
      <c r="H2481" s="35" t="n"/>
      <c r="I2481" s="35" t="n"/>
      <c r="J2481" s="35" t="n"/>
      <c r="K2481" s="34" t="n"/>
      <c r="L2481" s="26">
        <f>IF(A2481="","",MONTH(A2481))</f>
        <v/>
      </c>
      <c r="M2481" s="26">
        <f>IF(A2481="","",YEAR(A2481))</f>
        <v/>
      </c>
      <c r="N2481" s="26">
        <f>IF(A2481="","",CHOOSE(WEEKDAY(A2481,2),"Segunda","Terça","Quarta","Quinta","Sexta","Sábado","Domingo"))</f>
        <v/>
      </c>
      <c r="O2481" s="26">
        <f>IF(B2481="","",IF(B2481&lt;TIME(12,0,0),"Manhã",IF(B2481&lt;TIME(18,0,0),"Tarde","Noite")))</f>
        <v/>
      </c>
      <c r="P2481" s="32">
        <f>IF(G2481="","",IFERROR(INDEX(Config!$I$5:$I$16,MATCH(G2481,Config!$H$5:$H$16,0)),0))</f>
        <v/>
      </c>
      <c r="Q2481" s="30">
        <f>IF(OR(H2481&lt;&gt;"Realizado",P2481="",P2481=0),"",A2481+P2481)</f>
        <v/>
      </c>
      <c r="R2481" s="26">
        <f>IF(Q2481="","",IF(COUNTIFS($E$5:$E$3004,E2481,$A$5:$A$3004,"&gt;"&amp;A2481,$H$5:$H$3004,"&lt;&gt;Falta",$H$5:$H$3004,"&lt;&gt;Cancelado",$H$5:$H$3004,"&lt;&gt;Remarcado")&gt;0,"Sim","Não"))</f>
        <v/>
      </c>
      <c r="S2481" s="32">
        <f>IF(R2481&lt;&gt;"Não","",IF(Q2481+Config!$B$9&lt;=Config!$B$8,Config!$B$8-Q2481,""))</f>
        <v/>
      </c>
      <c r="T2481" s="26">
        <f>IF(S2481="","","Sim")</f>
        <v/>
      </c>
      <c r="U2481" s="41">
        <f>IF(T2481="Sim",S2481+ROW()/100000,0)</f>
        <v>0</v>
      </c>
      <c r="V2481" s="41">
        <f>IF(AND(H2481="Falta",L2481=Config!$B$7,M2481=Config!$B$5,COUNTIFS($E$5:E2481,E2481,$H$5:H2481,"Falta",$L$5:L2481,Config!$B$7,$M$5:M2481,Config!$B$5)=1),COUNTIFS($E$5:$E$3004,E2481,$H$5:$H$3004,"Falta",$L$5:$L$3004,Config!$B$7,$M$5:$M$3004,Config!$B$5)*1000-ROW()/100000,0)</f>
        <v>0</v>
      </c>
    </row>
    <row r="2482">
      <c r="A2482" s="39" t="n"/>
      <c r="B2482" s="40" t="n"/>
      <c r="C2482" s="35" t="n"/>
      <c r="D2482" s="35" t="n"/>
      <c r="E2482" s="34" t="n"/>
      <c r="F2482" s="35" t="n"/>
      <c r="G2482" s="35" t="n"/>
      <c r="H2482" s="35" t="n"/>
      <c r="I2482" s="35" t="n"/>
      <c r="J2482" s="35" t="n"/>
      <c r="K2482" s="34" t="n"/>
      <c r="L2482" s="26">
        <f>IF(A2482="","",MONTH(A2482))</f>
        <v/>
      </c>
      <c r="M2482" s="26">
        <f>IF(A2482="","",YEAR(A2482))</f>
        <v/>
      </c>
      <c r="N2482" s="26">
        <f>IF(A2482="","",CHOOSE(WEEKDAY(A2482,2),"Segunda","Terça","Quarta","Quinta","Sexta","Sábado","Domingo"))</f>
        <v/>
      </c>
      <c r="O2482" s="26">
        <f>IF(B2482="","",IF(B2482&lt;TIME(12,0,0),"Manhã",IF(B2482&lt;TIME(18,0,0),"Tarde","Noite")))</f>
        <v/>
      </c>
      <c r="P2482" s="32">
        <f>IF(G2482="","",IFERROR(INDEX(Config!$I$5:$I$16,MATCH(G2482,Config!$H$5:$H$16,0)),0))</f>
        <v/>
      </c>
      <c r="Q2482" s="30">
        <f>IF(OR(H2482&lt;&gt;"Realizado",P2482="",P2482=0),"",A2482+P2482)</f>
        <v/>
      </c>
      <c r="R2482" s="26">
        <f>IF(Q2482="","",IF(COUNTIFS($E$5:$E$3004,E2482,$A$5:$A$3004,"&gt;"&amp;A2482,$H$5:$H$3004,"&lt;&gt;Falta",$H$5:$H$3004,"&lt;&gt;Cancelado",$H$5:$H$3004,"&lt;&gt;Remarcado")&gt;0,"Sim","Não"))</f>
        <v/>
      </c>
      <c r="S2482" s="32">
        <f>IF(R2482&lt;&gt;"Não","",IF(Q2482+Config!$B$9&lt;=Config!$B$8,Config!$B$8-Q2482,""))</f>
        <v/>
      </c>
      <c r="T2482" s="26">
        <f>IF(S2482="","","Sim")</f>
        <v/>
      </c>
      <c r="U2482" s="41">
        <f>IF(T2482="Sim",S2482+ROW()/100000,0)</f>
        <v>0</v>
      </c>
      <c r="V2482" s="41">
        <f>IF(AND(H2482="Falta",L2482=Config!$B$7,M2482=Config!$B$5,COUNTIFS($E$5:E2482,E2482,$H$5:H2482,"Falta",$L$5:L2482,Config!$B$7,$M$5:M2482,Config!$B$5)=1),COUNTIFS($E$5:$E$3004,E2482,$H$5:$H$3004,"Falta",$L$5:$L$3004,Config!$B$7,$M$5:$M$3004,Config!$B$5)*1000-ROW()/100000,0)</f>
        <v>0</v>
      </c>
    </row>
    <row r="2483">
      <c r="A2483" s="39" t="n"/>
      <c r="B2483" s="40" t="n"/>
      <c r="C2483" s="35" t="n"/>
      <c r="D2483" s="35" t="n"/>
      <c r="E2483" s="34" t="n"/>
      <c r="F2483" s="35" t="n"/>
      <c r="G2483" s="35" t="n"/>
      <c r="H2483" s="35" t="n"/>
      <c r="I2483" s="35" t="n"/>
      <c r="J2483" s="35" t="n"/>
      <c r="K2483" s="34" t="n"/>
      <c r="L2483" s="26">
        <f>IF(A2483="","",MONTH(A2483))</f>
        <v/>
      </c>
      <c r="M2483" s="26">
        <f>IF(A2483="","",YEAR(A2483))</f>
        <v/>
      </c>
      <c r="N2483" s="26">
        <f>IF(A2483="","",CHOOSE(WEEKDAY(A2483,2),"Segunda","Terça","Quarta","Quinta","Sexta","Sábado","Domingo"))</f>
        <v/>
      </c>
      <c r="O2483" s="26">
        <f>IF(B2483="","",IF(B2483&lt;TIME(12,0,0),"Manhã",IF(B2483&lt;TIME(18,0,0),"Tarde","Noite")))</f>
        <v/>
      </c>
      <c r="P2483" s="32">
        <f>IF(G2483="","",IFERROR(INDEX(Config!$I$5:$I$16,MATCH(G2483,Config!$H$5:$H$16,0)),0))</f>
        <v/>
      </c>
      <c r="Q2483" s="30">
        <f>IF(OR(H2483&lt;&gt;"Realizado",P2483="",P2483=0),"",A2483+P2483)</f>
        <v/>
      </c>
      <c r="R2483" s="26">
        <f>IF(Q2483="","",IF(COUNTIFS($E$5:$E$3004,E2483,$A$5:$A$3004,"&gt;"&amp;A2483,$H$5:$H$3004,"&lt;&gt;Falta",$H$5:$H$3004,"&lt;&gt;Cancelado",$H$5:$H$3004,"&lt;&gt;Remarcado")&gt;0,"Sim","Não"))</f>
        <v/>
      </c>
      <c r="S2483" s="32">
        <f>IF(R2483&lt;&gt;"Não","",IF(Q2483+Config!$B$9&lt;=Config!$B$8,Config!$B$8-Q2483,""))</f>
        <v/>
      </c>
      <c r="T2483" s="26">
        <f>IF(S2483="","","Sim")</f>
        <v/>
      </c>
      <c r="U2483" s="41">
        <f>IF(T2483="Sim",S2483+ROW()/100000,0)</f>
        <v>0</v>
      </c>
      <c r="V2483" s="41">
        <f>IF(AND(H2483="Falta",L2483=Config!$B$7,M2483=Config!$B$5,COUNTIFS($E$5:E2483,E2483,$H$5:H2483,"Falta",$L$5:L2483,Config!$B$7,$M$5:M2483,Config!$B$5)=1),COUNTIFS($E$5:$E$3004,E2483,$H$5:$H$3004,"Falta",$L$5:$L$3004,Config!$B$7,$M$5:$M$3004,Config!$B$5)*1000-ROW()/100000,0)</f>
        <v>0</v>
      </c>
    </row>
    <row r="2484">
      <c r="A2484" s="39" t="n"/>
      <c r="B2484" s="40" t="n"/>
      <c r="C2484" s="35" t="n"/>
      <c r="D2484" s="35" t="n"/>
      <c r="E2484" s="34" t="n"/>
      <c r="F2484" s="35" t="n"/>
      <c r="G2484" s="35" t="n"/>
      <c r="H2484" s="35" t="n"/>
      <c r="I2484" s="35" t="n"/>
      <c r="J2484" s="35" t="n"/>
      <c r="K2484" s="34" t="n"/>
      <c r="L2484" s="26">
        <f>IF(A2484="","",MONTH(A2484))</f>
        <v/>
      </c>
      <c r="M2484" s="26">
        <f>IF(A2484="","",YEAR(A2484))</f>
        <v/>
      </c>
      <c r="N2484" s="26">
        <f>IF(A2484="","",CHOOSE(WEEKDAY(A2484,2),"Segunda","Terça","Quarta","Quinta","Sexta","Sábado","Domingo"))</f>
        <v/>
      </c>
      <c r="O2484" s="26">
        <f>IF(B2484="","",IF(B2484&lt;TIME(12,0,0),"Manhã",IF(B2484&lt;TIME(18,0,0),"Tarde","Noite")))</f>
        <v/>
      </c>
      <c r="P2484" s="32">
        <f>IF(G2484="","",IFERROR(INDEX(Config!$I$5:$I$16,MATCH(G2484,Config!$H$5:$H$16,0)),0))</f>
        <v/>
      </c>
      <c r="Q2484" s="30">
        <f>IF(OR(H2484&lt;&gt;"Realizado",P2484="",P2484=0),"",A2484+P2484)</f>
        <v/>
      </c>
      <c r="R2484" s="26">
        <f>IF(Q2484="","",IF(COUNTIFS($E$5:$E$3004,E2484,$A$5:$A$3004,"&gt;"&amp;A2484,$H$5:$H$3004,"&lt;&gt;Falta",$H$5:$H$3004,"&lt;&gt;Cancelado",$H$5:$H$3004,"&lt;&gt;Remarcado")&gt;0,"Sim","Não"))</f>
        <v/>
      </c>
      <c r="S2484" s="32">
        <f>IF(R2484&lt;&gt;"Não","",IF(Q2484+Config!$B$9&lt;=Config!$B$8,Config!$B$8-Q2484,""))</f>
        <v/>
      </c>
      <c r="T2484" s="26">
        <f>IF(S2484="","","Sim")</f>
        <v/>
      </c>
      <c r="U2484" s="41">
        <f>IF(T2484="Sim",S2484+ROW()/100000,0)</f>
        <v>0</v>
      </c>
      <c r="V2484" s="41">
        <f>IF(AND(H2484="Falta",L2484=Config!$B$7,M2484=Config!$B$5,COUNTIFS($E$5:E2484,E2484,$H$5:H2484,"Falta",$L$5:L2484,Config!$B$7,$M$5:M2484,Config!$B$5)=1),COUNTIFS($E$5:$E$3004,E2484,$H$5:$H$3004,"Falta",$L$5:$L$3004,Config!$B$7,$M$5:$M$3004,Config!$B$5)*1000-ROW()/100000,0)</f>
        <v>0</v>
      </c>
    </row>
    <row r="2485">
      <c r="A2485" s="39" t="n"/>
      <c r="B2485" s="40" t="n"/>
      <c r="C2485" s="35" t="n"/>
      <c r="D2485" s="35" t="n"/>
      <c r="E2485" s="34" t="n"/>
      <c r="F2485" s="35" t="n"/>
      <c r="G2485" s="35" t="n"/>
      <c r="H2485" s="35" t="n"/>
      <c r="I2485" s="35" t="n"/>
      <c r="J2485" s="35" t="n"/>
      <c r="K2485" s="34" t="n"/>
      <c r="L2485" s="26">
        <f>IF(A2485="","",MONTH(A2485))</f>
        <v/>
      </c>
      <c r="M2485" s="26">
        <f>IF(A2485="","",YEAR(A2485))</f>
        <v/>
      </c>
      <c r="N2485" s="26">
        <f>IF(A2485="","",CHOOSE(WEEKDAY(A2485,2),"Segunda","Terça","Quarta","Quinta","Sexta","Sábado","Domingo"))</f>
        <v/>
      </c>
      <c r="O2485" s="26">
        <f>IF(B2485="","",IF(B2485&lt;TIME(12,0,0),"Manhã",IF(B2485&lt;TIME(18,0,0),"Tarde","Noite")))</f>
        <v/>
      </c>
      <c r="P2485" s="32">
        <f>IF(G2485="","",IFERROR(INDEX(Config!$I$5:$I$16,MATCH(G2485,Config!$H$5:$H$16,0)),0))</f>
        <v/>
      </c>
      <c r="Q2485" s="30">
        <f>IF(OR(H2485&lt;&gt;"Realizado",P2485="",P2485=0),"",A2485+P2485)</f>
        <v/>
      </c>
      <c r="R2485" s="26">
        <f>IF(Q2485="","",IF(COUNTIFS($E$5:$E$3004,E2485,$A$5:$A$3004,"&gt;"&amp;A2485,$H$5:$H$3004,"&lt;&gt;Falta",$H$5:$H$3004,"&lt;&gt;Cancelado",$H$5:$H$3004,"&lt;&gt;Remarcado")&gt;0,"Sim","Não"))</f>
        <v/>
      </c>
      <c r="S2485" s="32">
        <f>IF(R2485&lt;&gt;"Não","",IF(Q2485+Config!$B$9&lt;=Config!$B$8,Config!$B$8-Q2485,""))</f>
        <v/>
      </c>
      <c r="T2485" s="26">
        <f>IF(S2485="","","Sim")</f>
        <v/>
      </c>
      <c r="U2485" s="41">
        <f>IF(T2485="Sim",S2485+ROW()/100000,0)</f>
        <v>0</v>
      </c>
      <c r="V2485" s="41">
        <f>IF(AND(H2485="Falta",L2485=Config!$B$7,M2485=Config!$B$5,COUNTIFS($E$5:E2485,E2485,$H$5:H2485,"Falta",$L$5:L2485,Config!$B$7,$M$5:M2485,Config!$B$5)=1),COUNTIFS($E$5:$E$3004,E2485,$H$5:$H$3004,"Falta",$L$5:$L$3004,Config!$B$7,$M$5:$M$3004,Config!$B$5)*1000-ROW()/100000,0)</f>
        <v>0</v>
      </c>
    </row>
    <row r="2486">
      <c r="A2486" s="39" t="n"/>
      <c r="B2486" s="40" t="n"/>
      <c r="C2486" s="35" t="n"/>
      <c r="D2486" s="35" t="n"/>
      <c r="E2486" s="34" t="n"/>
      <c r="F2486" s="35" t="n"/>
      <c r="G2486" s="35" t="n"/>
      <c r="H2486" s="35" t="n"/>
      <c r="I2486" s="35" t="n"/>
      <c r="J2486" s="35" t="n"/>
      <c r="K2486" s="34" t="n"/>
      <c r="L2486" s="26">
        <f>IF(A2486="","",MONTH(A2486))</f>
        <v/>
      </c>
      <c r="M2486" s="26">
        <f>IF(A2486="","",YEAR(A2486))</f>
        <v/>
      </c>
      <c r="N2486" s="26">
        <f>IF(A2486="","",CHOOSE(WEEKDAY(A2486,2),"Segunda","Terça","Quarta","Quinta","Sexta","Sábado","Domingo"))</f>
        <v/>
      </c>
      <c r="O2486" s="26">
        <f>IF(B2486="","",IF(B2486&lt;TIME(12,0,0),"Manhã",IF(B2486&lt;TIME(18,0,0),"Tarde","Noite")))</f>
        <v/>
      </c>
      <c r="P2486" s="32">
        <f>IF(G2486="","",IFERROR(INDEX(Config!$I$5:$I$16,MATCH(G2486,Config!$H$5:$H$16,0)),0))</f>
        <v/>
      </c>
      <c r="Q2486" s="30">
        <f>IF(OR(H2486&lt;&gt;"Realizado",P2486="",P2486=0),"",A2486+P2486)</f>
        <v/>
      </c>
      <c r="R2486" s="26">
        <f>IF(Q2486="","",IF(COUNTIFS($E$5:$E$3004,E2486,$A$5:$A$3004,"&gt;"&amp;A2486,$H$5:$H$3004,"&lt;&gt;Falta",$H$5:$H$3004,"&lt;&gt;Cancelado",$H$5:$H$3004,"&lt;&gt;Remarcado")&gt;0,"Sim","Não"))</f>
        <v/>
      </c>
      <c r="S2486" s="32">
        <f>IF(R2486&lt;&gt;"Não","",IF(Q2486+Config!$B$9&lt;=Config!$B$8,Config!$B$8-Q2486,""))</f>
        <v/>
      </c>
      <c r="T2486" s="26">
        <f>IF(S2486="","","Sim")</f>
        <v/>
      </c>
      <c r="U2486" s="41">
        <f>IF(T2486="Sim",S2486+ROW()/100000,0)</f>
        <v>0</v>
      </c>
      <c r="V2486" s="41">
        <f>IF(AND(H2486="Falta",L2486=Config!$B$7,M2486=Config!$B$5,COUNTIFS($E$5:E2486,E2486,$H$5:H2486,"Falta",$L$5:L2486,Config!$B$7,$M$5:M2486,Config!$B$5)=1),COUNTIFS($E$5:$E$3004,E2486,$H$5:$H$3004,"Falta",$L$5:$L$3004,Config!$B$7,$M$5:$M$3004,Config!$B$5)*1000-ROW()/100000,0)</f>
        <v>0</v>
      </c>
    </row>
    <row r="2487">
      <c r="A2487" s="39" t="n"/>
      <c r="B2487" s="40" t="n"/>
      <c r="C2487" s="35" t="n"/>
      <c r="D2487" s="35" t="n"/>
      <c r="E2487" s="34" t="n"/>
      <c r="F2487" s="35" t="n"/>
      <c r="G2487" s="35" t="n"/>
      <c r="H2487" s="35" t="n"/>
      <c r="I2487" s="35" t="n"/>
      <c r="J2487" s="35" t="n"/>
      <c r="K2487" s="34" t="n"/>
      <c r="L2487" s="26">
        <f>IF(A2487="","",MONTH(A2487))</f>
        <v/>
      </c>
      <c r="M2487" s="26">
        <f>IF(A2487="","",YEAR(A2487))</f>
        <v/>
      </c>
      <c r="N2487" s="26">
        <f>IF(A2487="","",CHOOSE(WEEKDAY(A2487,2),"Segunda","Terça","Quarta","Quinta","Sexta","Sábado","Domingo"))</f>
        <v/>
      </c>
      <c r="O2487" s="26">
        <f>IF(B2487="","",IF(B2487&lt;TIME(12,0,0),"Manhã",IF(B2487&lt;TIME(18,0,0),"Tarde","Noite")))</f>
        <v/>
      </c>
      <c r="P2487" s="32">
        <f>IF(G2487="","",IFERROR(INDEX(Config!$I$5:$I$16,MATCH(G2487,Config!$H$5:$H$16,0)),0))</f>
        <v/>
      </c>
      <c r="Q2487" s="30">
        <f>IF(OR(H2487&lt;&gt;"Realizado",P2487="",P2487=0),"",A2487+P2487)</f>
        <v/>
      </c>
      <c r="R2487" s="26">
        <f>IF(Q2487="","",IF(COUNTIFS($E$5:$E$3004,E2487,$A$5:$A$3004,"&gt;"&amp;A2487,$H$5:$H$3004,"&lt;&gt;Falta",$H$5:$H$3004,"&lt;&gt;Cancelado",$H$5:$H$3004,"&lt;&gt;Remarcado")&gt;0,"Sim","Não"))</f>
        <v/>
      </c>
      <c r="S2487" s="32">
        <f>IF(R2487&lt;&gt;"Não","",IF(Q2487+Config!$B$9&lt;=Config!$B$8,Config!$B$8-Q2487,""))</f>
        <v/>
      </c>
      <c r="T2487" s="26">
        <f>IF(S2487="","","Sim")</f>
        <v/>
      </c>
      <c r="U2487" s="41">
        <f>IF(T2487="Sim",S2487+ROW()/100000,0)</f>
        <v>0</v>
      </c>
      <c r="V2487" s="41">
        <f>IF(AND(H2487="Falta",L2487=Config!$B$7,M2487=Config!$B$5,COUNTIFS($E$5:E2487,E2487,$H$5:H2487,"Falta",$L$5:L2487,Config!$B$7,$M$5:M2487,Config!$B$5)=1),COUNTIFS($E$5:$E$3004,E2487,$H$5:$H$3004,"Falta",$L$5:$L$3004,Config!$B$7,$M$5:$M$3004,Config!$B$5)*1000-ROW()/100000,0)</f>
        <v>0</v>
      </c>
    </row>
    <row r="2488">
      <c r="A2488" s="39" t="n"/>
      <c r="B2488" s="40" t="n"/>
      <c r="C2488" s="35" t="n"/>
      <c r="D2488" s="35" t="n"/>
      <c r="E2488" s="34" t="n"/>
      <c r="F2488" s="35" t="n"/>
      <c r="G2488" s="35" t="n"/>
      <c r="H2488" s="35" t="n"/>
      <c r="I2488" s="35" t="n"/>
      <c r="J2488" s="35" t="n"/>
      <c r="K2488" s="34" t="n"/>
      <c r="L2488" s="26">
        <f>IF(A2488="","",MONTH(A2488))</f>
        <v/>
      </c>
      <c r="M2488" s="26">
        <f>IF(A2488="","",YEAR(A2488))</f>
        <v/>
      </c>
      <c r="N2488" s="26">
        <f>IF(A2488="","",CHOOSE(WEEKDAY(A2488,2),"Segunda","Terça","Quarta","Quinta","Sexta","Sábado","Domingo"))</f>
        <v/>
      </c>
      <c r="O2488" s="26">
        <f>IF(B2488="","",IF(B2488&lt;TIME(12,0,0),"Manhã",IF(B2488&lt;TIME(18,0,0),"Tarde","Noite")))</f>
        <v/>
      </c>
      <c r="P2488" s="32">
        <f>IF(G2488="","",IFERROR(INDEX(Config!$I$5:$I$16,MATCH(G2488,Config!$H$5:$H$16,0)),0))</f>
        <v/>
      </c>
      <c r="Q2488" s="30">
        <f>IF(OR(H2488&lt;&gt;"Realizado",P2488="",P2488=0),"",A2488+P2488)</f>
        <v/>
      </c>
      <c r="R2488" s="26">
        <f>IF(Q2488="","",IF(COUNTIFS($E$5:$E$3004,E2488,$A$5:$A$3004,"&gt;"&amp;A2488,$H$5:$H$3004,"&lt;&gt;Falta",$H$5:$H$3004,"&lt;&gt;Cancelado",$H$5:$H$3004,"&lt;&gt;Remarcado")&gt;0,"Sim","Não"))</f>
        <v/>
      </c>
      <c r="S2488" s="32">
        <f>IF(R2488&lt;&gt;"Não","",IF(Q2488+Config!$B$9&lt;=Config!$B$8,Config!$B$8-Q2488,""))</f>
        <v/>
      </c>
      <c r="T2488" s="26">
        <f>IF(S2488="","","Sim")</f>
        <v/>
      </c>
      <c r="U2488" s="41">
        <f>IF(T2488="Sim",S2488+ROW()/100000,0)</f>
        <v>0</v>
      </c>
      <c r="V2488" s="41">
        <f>IF(AND(H2488="Falta",L2488=Config!$B$7,M2488=Config!$B$5,COUNTIFS($E$5:E2488,E2488,$H$5:H2488,"Falta",$L$5:L2488,Config!$B$7,$M$5:M2488,Config!$B$5)=1),COUNTIFS($E$5:$E$3004,E2488,$H$5:$H$3004,"Falta",$L$5:$L$3004,Config!$B$7,$M$5:$M$3004,Config!$B$5)*1000-ROW()/100000,0)</f>
        <v>0</v>
      </c>
    </row>
    <row r="2489">
      <c r="A2489" s="39" t="n"/>
      <c r="B2489" s="40" t="n"/>
      <c r="C2489" s="35" t="n"/>
      <c r="D2489" s="35" t="n"/>
      <c r="E2489" s="34" t="n"/>
      <c r="F2489" s="35" t="n"/>
      <c r="G2489" s="35" t="n"/>
      <c r="H2489" s="35" t="n"/>
      <c r="I2489" s="35" t="n"/>
      <c r="J2489" s="35" t="n"/>
      <c r="K2489" s="34" t="n"/>
      <c r="L2489" s="26">
        <f>IF(A2489="","",MONTH(A2489))</f>
        <v/>
      </c>
      <c r="M2489" s="26">
        <f>IF(A2489="","",YEAR(A2489))</f>
        <v/>
      </c>
      <c r="N2489" s="26">
        <f>IF(A2489="","",CHOOSE(WEEKDAY(A2489,2),"Segunda","Terça","Quarta","Quinta","Sexta","Sábado","Domingo"))</f>
        <v/>
      </c>
      <c r="O2489" s="26">
        <f>IF(B2489="","",IF(B2489&lt;TIME(12,0,0),"Manhã",IF(B2489&lt;TIME(18,0,0),"Tarde","Noite")))</f>
        <v/>
      </c>
      <c r="P2489" s="32">
        <f>IF(G2489="","",IFERROR(INDEX(Config!$I$5:$I$16,MATCH(G2489,Config!$H$5:$H$16,0)),0))</f>
        <v/>
      </c>
      <c r="Q2489" s="30">
        <f>IF(OR(H2489&lt;&gt;"Realizado",P2489="",P2489=0),"",A2489+P2489)</f>
        <v/>
      </c>
      <c r="R2489" s="26">
        <f>IF(Q2489="","",IF(COUNTIFS($E$5:$E$3004,E2489,$A$5:$A$3004,"&gt;"&amp;A2489,$H$5:$H$3004,"&lt;&gt;Falta",$H$5:$H$3004,"&lt;&gt;Cancelado",$H$5:$H$3004,"&lt;&gt;Remarcado")&gt;0,"Sim","Não"))</f>
        <v/>
      </c>
      <c r="S2489" s="32">
        <f>IF(R2489&lt;&gt;"Não","",IF(Q2489+Config!$B$9&lt;=Config!$B$8,Config!$B$8-Q2489,""))</f>
        <v/>
      </c>
      <c r="T2489" s="26">
        <f>IF(S2489="","","Sim")</f>
        <v/>
      </c>
      <c r="U2489" s="41">
        <f>IF(T2489="Sim",S2489+ROW()/100000,0)</f>
        <v>0</v>
      </c>
      <c r="V2489" s="41">
        <f>IF(AND(H2489="Falta",L2489=Config!$B$7,M2489=Config!$B$5,COUNTIFS($E$5:E2489,E2489,$H$5:H2489,"Falta",$L$5:L2489,Config!$B$7,$M$5:M2489,Config!$B$5)=1),COUNTIFS($E$5:$E$3004,E2489,$H$5:$H$3004,"Falta",$L$5:$L$3004,Config!$B$7,$M$5:$M$3004,Config!$B$5)*1000-ROW()/100000,0)</f>
        <v>0</v>
      </c>
    </row>
    <row r="2490">
      <c r="A2490" s="39" t="n"/>
      <c r="B2490" s="40" t="n"/>
      <c r="C2490" s="35" t="n"/>
      <c r="D2490" s="35" t="n"/>
      <c r="E2490" s="34" t="n"/>
      <c r="F2490" s="35" t="n"/>
      <c r="G2490" s="35" t="n"/>
      <c r="H2490" s="35" t="n"/>
      <c r="I2490" s="35" t="n"/>
      <c r="J2490" s="35" t="n"/>
      <c r="K2490" s="34" t="n"/>
      <c r="L2490" s="26">
        <f>IF(A2490="","",MONTH(A2490))</f>
        <v/>
      </c>
      <c r="M2490" s="26">
        <f>IF(A2490="","",YEAR(A2490))</f>
        <v/>
      </c>
      <c r="N2490" s="26">
        <f>IF(A2490="","",CHOOSE(WEEKDAY(A2490,2),"Segunda","Terça","Quarta","Quinta","Sexta","Sábado","Domingo"))</f>
        <v/>
      </c>
      <c r="O2490" s="26">
        <f>IF(B2490="","",IF(B2490&lt;TIME(12,0,0),"Manhã",IF(B2490&lt;TIME(18,0,0),"Tarde","Noite")))</f>
        <v/>
      </c>
      <c r="P2490" s="32">
        <f>IF(G2490="","",IFERROR(INDEX(Config!$I$5:$I$16,MATCH(G2490,Config!$H$5:$H$16,0)),0))</f>
        <v/>
      </c>
      <c r="Q2490" s="30">
        <f>IF(OR(H2490&lt;&gt;"Realizado",P2490="",P2490=0),"",A2490+P2490)</f>
        <v/>
      </c>
      <c r="R2490" s="26">
        <f>IF(Q2490="","",IF(COUNTIFS($E$5:$E$3004,E2490,$A$5:$A$3004,"&gt;"&amp;A2490,$H$5:$H$3004,"&lt;&gt;Falta",$H$5:$H$3004,"&lt;&gt;Cancelado",$H$5:$H$3004,"&lt;&gt;Remarcado")&gt;0,"Sim","Não"))</f>
        <v/>
      </c>
      <c r="S2490" s="32">
        <f>IF(R2490&lt;&gt;"Não","",IF(Q2490+Config!$B$9&lt;=Config!$B$8,Config!$B$8-Q2490,""))</f>
        <v/>
      </c>
      <c r="T2490" s="26">
        <f>IF(S2490="","","Sim")</f>
        <v/>
      </c>
      <c r="U2490" s="41">
        <f>IF(T2490="Sim",S2490+ROW()/100000,0)</f>
        <v>0</v>
      </c>
      <c r="V2490" s="41">
        <f>IF(AND(H2490="Falta",L2490=Config!$B$7,M2490=Config!$B$5,COUNTIFS($E$5:E2490,E2490,$H$5:H2490,"Falta",$L$5:L2490,Config!$B$7,$M$5:M2490,Config!$B$5)=1),COUNTIFS($E$5:$E$3004,E2490,$H$5:$H$3004,"Falta",$L$5:$L$3004,Config!$B$7,$M$5:$M$3004,Config!$B$5)*1000-ROW()/100000,0)</f>
        <v>0</v>
      </c>
    </row>
    <row r="2491">
      <c r="A2491" s="39" t="n"/>
      <c r="B2491" s="40" t="n"/>
      <c r="C2491" s="35" t="n"/>
      <c r="D2491" s="35" t="n"/>
      <c r="E2491" s="34" t="n"/>
      <c r="F2491" s="35" t="n"/>
      <c r="G2491" s="35" t="n"/>
      <c r="H2491" s="35" t="n"/>
      <c r="I2491" s="35" t="n"/>
      <c r="J2491" s="35" t="n"/>
      <c r="K2491" s="34" t="n"/>
      <c r="L2491" s="26">
        <f>IF(A2491="","",MONTH(A2491))</f>
        <v/>
      </c>
      <c r="M2491" s="26">
        <f>IF(A2491="","",YEAR(A2491))</f>
        <v/>
      </c>
      <c r="N2491" s="26">
        <f>IF(A2491="","",CHOOSE(WEEKDAY(A2491,2),"Segunda","Terça","Quarta","Quinta","Sexta","Sábado","Domingo"))</f>
        <v/>
      </c>
      <c r="O2491" s="26">
        <f>IF(B2491="","",IF(B2491&lt;TIME(12,0,0),"Manhã",IF(B2491&lt;TIME(18,0,0),"Tarde","Noite")))</f>
        <v/>
      </c>
      <c r="P2491" s="32">
        <f>IF(G2491="","",IFERROR(INDEX(Config!$I$5:$I$16,MATCH(G2491,Config!$H$5:$H$16,0)),0))</f>
        <v/>
      </c>
      <c r="Q2491" s="30">
        <f>IF(OR(H2491&lt;&gt;"Realizado",P2491="",P2491=0),"",A2491+P2491)</f>
        <v/>
      </c>
      <c r="R2491" s="26">
        <f>IF(Q2491="","",IF(COUNTIFS($E$5:$E$3004,E2491,$A$5:$A$3004,"&gt;"&amp;A2491,$H$5:$H$3004,"&lt;&gt;Falta",$H$5:$H$3004,"&lt;&gt;Cancelado",$H$5:$H$3004,"&lt;&gt;Remarcado")&gt;0,"Sim","Não"))</f>
        <v/>
      </c>
      <c r="S2491" s="32">
        <f>IF(R2491&lt;&gt;"Não","",IF(Q2491+Config!$B$9&lt;=Config!$B$8,Config!$B$8-Q2491,""))</f>
        <v/>
      </c>
      <c r="T2491" s="26">
        <f>IF(S2491="","","Sim")</f>
        <v/>
      </c>
      <c r="U2491" s="41">
        <f>IF(T2491="Sim",S2491+ROW()/100000,0)</f>
        <v>0</v>
      </c>
      <c r="V2491" s="41">
        <f>IF(AND(H2491="Falta",L2491=Config!$B$7,M2491=Config!$B$5,COUNTIFS($E$5:E2491,E2491,$H$5:H2491,"Falta",$L$5:L2491,Config!$B$7,$M$5:M2491,Config!$B$5)=1),COUNTIFS($E$5:$E$3004,E2491,$H$5:$H$3004,"Falta",$L$5:$L$3004,Config!$B$7,$M$5:$M$3004,Config!$B$5)*1000-ROW()/100000,0)</f>
        <v>0</v>
      </c>
    </row>
    <row r="2492">
      <c r="A2492" s="39" t="n"/>
      <c r="B2492" s="40" t="n"/>
      <c r="C2492" s="35" t="n"/>
      <c r="D2492" s="35" t="n"/>
      <c r="E2492" s="34" t="n"/>
      <c r="F2492" s="35" t="n"/>
      <c r="G2492" s="35" t="n"/>
      <c r="H2492" s="35" t="n"/>
      <c r="I2492" s="35" t="n"/>
      <c r="J2492" s="35" t="n"/>
      <c r="K2492" s="34" t="n"/>
      <c r="L2492" s="26">
        <f>IF(A2492="","",MONTH(A2492))</f>
        <v/>
      </c>
      <c r="M2492" s="26">
        <f>IF(A2492="","",YEAR(A2492))</f>
        <v/>
      </c>
      <c r="N2492" s="26">
        <f>IF(A2492="","",CHOOSE(WEEKDAY(A2492,2),"Segunda","Terça","Quarta","Quinta","Sexta","Sábado","Domingo"))</f>
        <v/>
      </c>
      <c r="O2492" s="26">
        <f>IF(B2492="","",IF(B2492&lt;TIME(12,0,0),"Manhã",IF(B2492&lt;TIME(18,0,0),"Tarde","Noite")))</f>
        <v/>
      </c>
      <c r="P2492" s="32">
        <f>IF(G2492="","",IFERROR(INDEX(Config!$I$5:$I$16,MATCH(G2492,Config!$H$5:$H$16,0)),0))</f>
        <v/>
      </c>
      <c r="Q2492" s="30">
        <f>IF(OR(H2492&lt;&gt;"Realizado",P2492="",P2492=0),"",A2492+P2492)</f>
        <v/>
      </c>
      <c r="R2492" s="26">
        <f>IF(Q2492="","",IF(COUNTIFS($E$5:$E$3004,E2492,$A$5:$A$3004,"&gt;"&amp;A2492,$H$5:$H$3004,"&lt;&gt;Falta",$H$5:$H$3004,"&lt;&gt;Cancelado",$H$5:$H$3004,"&lt;&gt;Remarcado")&gt;0,"Sim","Não"))</f>
        <v/>
      </c>
      <c r="S2492" s="32">
        <f>IF(R2492&lt;&gt;"Não","",IF(Q2492+Config!$B$9&lt;=Config!$B$8,Config!$B$8-Q2492,""))</f>
        <v/>
      </c>
      <c r="T2492" s="26">
        <f>IF(S2492="","","Sim")</f>
        <v/>
      </c>
      <c r="U2492" s="41">
        <f>IF(T2492="Sim",S2492+ROW()/100000,0)</f>
        <v>0</v>
      </c>
      <c r="V2492" s="41">
        <f>IF(AND(H2492="Falta",L2492=Config!$B$7,M2492=Config!$B$5,COUNTIFS($E$5:E2492,E2492,$H$5:H2492,"Falta",$L$5:L2492,Config!$B$7,$M$5:M2492,Config!$B$5)=1),COUNTIFS($E$5:$E$3004,E2492,$H$5:$H$3004,"Falta",$L$5:$L$3004,Config!$B$7,$M$5:$M$3004,Config!$B$5)*1000-ROW()/100000,0)</f>
        <v>0</v>
      </c>
    </row>
    <row r="2493">
      <c r="A2493" s="39" t="n"/>
      <c r="B2493" s="40" t="n"/>
      <c r="C2493" s="35" t="n"/>
      <c r="D2493" s="35" t="n"/>
      <c r="E2493" s="34" t="n"/>
      <c r="F2493" s="35" t="n"/>
      <c r="G2493" s="35" t="n"/>
      <c r="H2493" s="35" t="n"/>
      <c r="I2493" s="35" t="n"/>
      <c r="J2493" s="35" t="n"/>
      <c r="K2493" s="34" t="n"/>
      <c r="L2493" s="26">
        <f>IF(A2493="","",MONTH(A2493))</f>
        <v/>
      </c>
      <c r="M2493" s="26">
        <f>IF(A2493="","",YEAR(A2493))</f>
        <v/>
      </c>
      <c r="N2493" s="26">
        <f>IF(A2493="","",CHOOSE(WEEKDAY(A2493,2),"Segunda","Terça","Quarta","Quinta","Sexta","Sábado","Domingo"))</f>
        <v/>
      </c>
      <c r="O2493" s="26">
        <f>IF(B2493="","",IF(B2493&lt;TIME(12,0,0),"Manhã",IF(B2493&lt;TIME(18,0,0),"Tarde","Noite")))</f>
        <v/>
      </c>
      <c r="P2493" s="32">
        <f>IF(G2493="","",IFERROR(INDEX(Config!$I$5:$I$16,MATCH(G2493,Config!$H$5:$H$16,0)),0))</f>
        <v/>
      </c>
      <c r="Q2493" s="30">
        <f>IF(OR(H2493&lt;&gt;"Realizado",P2493="",P2493=0),"",A2493+P2493)</f>
        <v/>
      </c>
      <c r="R2493" s="26">
        <f>IF(Q2493="","",IF(COUNTIFS($E$5:$E$3004,E2493,$A$5:$A$3004,"&gt;"&amp;A2493,$H$5:$H$3004,"&lt;&gt;Falta",$H$5:$H$3004,"&lt;&gt;Cancelado",$H$5:$H$3004,"&lt;&gt;Remarcado")&gt;0,"Sim","Não"))</f>
        <v/>
      </c>
      <c r="S2493" s="32">
        <f>IF(R2493&lt;&gt;"Não","",IF(Q2493+Config!$B$9&lt;=Config!$B$8,Config!$B$8-Q2493,""))</f>
        <v/>
      </c>
      <c r="T2493" s="26">
        <f>IF(S2493="","","Sim")</f>
        <v/>
      </c>
      <c r="U2493" s="41">
        <f>IF(T2493="Sim",S2493+ROW()/100000,0)</f>
        <v>0</v>
      </c>
      <c r="V2493" s="41">
        <f>IF(AND(H2493="Falta",L2493=Config!$B$7,M2493=Config!$B$5,COUNTIFS($E$5:E2493,E2493,$H$5:H2493,"Falta",$L$5:L2493,Config!$B$7,$M$5:M2493,Config!$B$5)=1),COUNTIFS($E$5:$E$3004,E2493,$H$5:$H$3004,"Falta",$L$5:$L$3004,Config!$B$7,$M$5:$M$3004,Config!$B$5)*1000-ROW()/100000,0)</f>
        <v>0</v>
      </c>
    </row>
    <row r="2494">
      <c r="A2494" s="39" t="n"/>
      <c r="B2494" s="40" t="n"/>
      <c r="C2494" s="35" t="n"/>
      <c r="D2494" s="35" t="n"/>
      <c r="E2494" s="34" t="n"/>
      <c r="F2494" s="35" t="n"/>
      <c r="G2494" s="35" t="n"/>
      <c r="H2494" s="35" t="n"/>
      <c r="I2494" s="35" t="n"/>
      <c r="J2494" s="35" t="n"/>
      <c r="K2494" s="34" t="n"/>
      <c r="L2494" s="26">
        <f>IF(A2494="","",MONTH(A2494))</f>
        <v/>
      </c>
      <c r="M2494" s="26">
        <f>IF(A2494="","",YEAR(A2494))</f>
        <v/>
      </c>
      <c r="N2494" s="26">
        <f>IF(A2494="","",CHOOSE(WEEKDAY(A2494,2),"Segunda","Terça","Quarta","Quinta","Sexta","Sábado","Domingo"))</f>
        <v/>
      </c>
      <c r="O2494" s="26">
        <f>IF(B2494="","",IF(B2494&lt;TIME(12,0,0),"Manhã",IF(B2494&lt;TIME(18,0,0),"Tarde","Noite")))</f>
        <v/>
      </c>
      <c r="P2494" s="32">
        <f>IF(G2494="","",IFERROR(INDEX(Config!$I$5:$I$16,MATCH(G2494,Config!$H$5:$H$16,0)),0))</f>
        <v/>
      </c>
      <c r="Q2494" s="30">
        <f>IF(OR(H2494&lt;&gt;"Realizado",P2494="",P2494=0),"",A2494+P2494)</f>
        <v/>
      </c>
      <c r="R2494" s="26">
        <f>IF(Q2494="","",IF(COUNTIFS($E$5:$E$3004,E2494,$A$5:$A$3004,"&gt;"&amp;A2494,$H$5:$H$3004,"&lt;&gt;Falta",$H$5:$H$3004,"&lt;&gt;Cancelado",$H$5:$H$3004,"&lt;&gt;Remarcado")&gt;0,"Sim","Não"))</f>
        <v/>
      </c>
      <c r="S2494" s="32">
        <f>IF(R2494&lt;&gt;"Não","",IF(Q2494+Config!$B$9&lt;=Config!$B$8,Config!$B$8-Q2494,""))</f>
        <v/>
      </c>
      <c r="T2494" s="26">
        <f>IF(S2494="","","Sim")</f>
        <v/>
      </c>
      <c r="U2494" s="41">
        <f>IF(T2494="Sim",S2494+ROW()/100000,0)</f>
        <v>0</v>
      </c>
      <c r="V2494" s="41">
        <f>IF(AND(H2494="Falta",L2494=Config!$B$7,M2494=Config!$B$5,COUNTIFS($E$5:E2494,E2494,$H$5:H2494,"Falta",$L$5:L2494,Config!$B$7,$M$5:M2494,Config!$B$5)=1),COUNTIFS($E$5:$E$3004,E2494,$H$5:$H$3004,"Falta",$L$5:$L$3004,Config!$B$7,$M$5:$M$3004,Config!$B$5)*1000-ROW()/100000,0)</f>
        <v>0</v>
      </c>
    </row>
    <row r="2495">
      <c r="A2495" s="39" t="n"/>
      <c r="B2495" s="40" t="n"/>
      <c r="C2495" s="35" t="n"/>
      <c r="D2495" s="35" t="n"/>
      <c r="E2495" s="34" t="n"/>
      <c r="F2495" s="35" t="n"/>
      <c r="G2495" s="35" t="n"/>
      <c r="H2495" s="35" t="n"/>
      <c r="I2495" s="35" t="n"/>
      <c r="J2495" s="35" t="n"/>
      <c r="K2495" s="34" t="n"/>
      <c r="L2495" s="26">
        <f>IF(A2495="","",MONTH(A2495))</f>
        <v/>
      </c>
      <c r="M2495" s="26">
        <f>IF(A2495="","",YEAR(A2495))</f>
        <v/>
      </c>
      <c r="N2495" s="26">
        <f>IF(A2495="","",CHOOSE(WEEKDAY(A2495,2),"Segunda","Terça","Quarta","Quinta","Sexta","Sábado","Domingo"))</f>
        <v/>
      </c>
      <c r="O2495" s="26">
        <f>IF(B2495="","",IF(B2495&lt;TIME(12,0,0),"Manhã",IF(B2495&lt;TIME(18,0,0),"Tarde","Noite")))</f>
        <v/>
      </c>
      <c r="P2495" s="32">
        <f>IF(G2495="","",IFERROR(INDEX(Config!$I$5:$I$16,MATCH(G2495,Config!$H$5:$H$16,0)),0))</f>
        <v/>
      </c>
      <c r="Q2495" s="30">
        <f>IF(OR(H2495&lt;&gt;"Realizado",P2495="",P2495=0),"",A2495+P2495)</f>
        <v/>
      </c>
      <c r="R2495" s="26">
        <f>IF(Q2495="","",IF(COUNTIFS($E$5:$E$3004,E2495,$A$5:$A$3004,"&gt;"&amp;A2495,$H$5:$H$3004,"&lt;&gt;Falta",$H$5:$H$3004,"&lt;&gt;Cancelado",$H$5:$H$3004,"&lt;&gt;Remarcado")&gt;0,"Sim","Não"))</f>
        <v/>
      </c>
      <c r="S2495" s="32">
        <f>IF(R2495&lt;&gt;"Não","",IF(Q2495+Config!$B$9&lt;=Config!$B$8,Config!$B$8-Q2495,""))</f>
        <v/>
      </c>
      <c r="T2495" s="26">
        <f>IF(S2495="","","Sim")</f>
        <v/>
      </c>
      <c r="U2495" s="41">
        <f>IF(T2495="Sim",S2495+ROW()/100000,0)</f>
        <v>0</v>
      </c>
      <c r="V2495" s="41">
        <f>IF(AND(H2495="Falta",L2495=Config!$B$7,M2495=Config!$B$5,COUNTIFS($E$5:E2495,E2495,$H$5:H2495,"Falta",$L$5:L2495,Config!$B$7,$M$5:M2495,Config!$B$5)=1),COUNTIFS($E$5:$E$3004,E2495,$H$5:$H$3004,"Falta",$L$5:$L$3004,Config!$B$7,$M$5:$M$3004,Config!$B$5)*1000-ROW()/100000,0)</f>
        <v>0</v>
      </c>
    </row>
    <row r="2496">
      <c r="A2496" s="39" t="n"/>
      <c r="B2496" s="40" t="n"/>
      <c r="C2496" s="35" t="n"/>
      <c r="D2496" s="35" t="n"/>
      <c r="E2496" s="34" t="n"/>
      <c r="F2496" s="35" t="n"/>
      <c r="G2496" s="35" t="n"/>
      <c r="H2496" s="35" t="n"/>
      <c r="I2496" s="35" t="n"/>
      <c r="J2496" s="35" t="n"/>
      <c r="K2496" s="34" t="n"/>
      <c r="L2496" s="26">
        <f>IF(A2496="","",MONTH(A2496))</f>
        <v/>
      </c>
      <c r="M2496" s="26">
        <f>IF(A2496="","",YEAR(A2496))</f>
        <v/>
      </c>
      <c r="N2496" s="26">
        <f>IF(A2496="","",CHOOSE(WEEKDAY(A2496,2),"Segunda","Terça","Quarta","Quinta","Sexta","Sábado","Domingo"))</f>
        <v/>
      </c>
      <c r="O2496" s="26">
        <f>IF(B2496="","",IF(B2496&lt;TIME(12,0,0),"Manhã",IF(B2496&lt;TIME(18,0,0),"Tarde","Noite")))</f>
        <v/>
      </c>
      <c r="P2496" s="32">
        <f>IF(G2496="","",IFERROR(INDEX(Config!$I$5:$I$16,MATCH(G2496,Config!$H$5:$H$16,0)),0))</f>
        <v/>
      </c>
      <c r="Q2496" s="30">
        <f>IF(OR(H2496&lt;&gt;"Realizado",P2496="",P2496=0),"",A2496+P2496)</f>
        <v/>
      </c>
      <c r="R2496" s="26">
        <f>IF(Q2496="","",IF(COUNTIFS($E$5:$E$3004,E2496,$A$5:$A$3004,"&gt;"&amp;A2496,$H$5:$H$3004,"&lt;&gt;Falta",$H$5:$H$3004,"&lt;&gt;Cancelado",$H$5:$H$3004,"&lt;&gt;Remarcado")&gt;0,"Sim","Não"))</f>
        <v/>
      </c>
      <c r="S2496" s="32">
        <f>IF(R2496&lt;&gt;"Não","",IF(Q2496+Config!$B$9&lt;=Config!$B$8,Config!$B$8-Q2496,""))</f>
        <v/>
      </c>
      <c r="T2496" s="26">
        <f>IF(S2496="","","Sim")</f>
        <v/>
      </c>
      <c r="U2496" s="41">
        <f>IF(T2496="Sim",S2496+ROW()/100000,0)</f>
        <v>0</v>
      </c>
      <c r="V2496" s="41">
        <f>IF(AND(H2496="Falta",L2496=Config!$B$7,M2496=Config!$B$5,COUNTIFS($E$5:E2496,E2496,$H$5:H2496,"Falta",$L$5:L2496,Config!$B$7,$M$5:M2496,Config!$B$5)=1),COUNTIFS($E$5:$E$3004,E2496,$H$5:$H$3004,"Falta",$L$5:$L$3004,Config!$B$7,$M$5:$M$3004,Config!$B$5)*1000-ROW()/100000,0)</f>
        <v>0</v>
      </c>
    </row>
    <row r="2497">
      <c r="A2497" s="39" t="n"/>
      <c r="B2497" s="40" t="n"/>
      <c r="C2497" s="35" t="n"/>
      <c r="D2497" s="35" t="n"/>
      <c r="E2497" s="34" t="n"/>
      <c r="F2497" s="35" t="n"/>
      <c r="G2497" s="35" t="n"/>
      <c r="H2497" s="35" t="n"/>
      <c r="I2497" s="35" t="n"/>
      <c r="J2497" s="35" t="n"/>
      <c r="K2497" s="34" t="n"/>
      <c r="L2497" s="26">
        <f>IF(A2497="","",MONTH(A2497))</f>
        <v/>
      </c>
      <c r="M2497" s="26">
        <f>IF(A2497="","",YEAR(A2497))</f>
        <v/>
      </c>
      <c r="N2497" s="26">
        <f>IF(A2497="","",CHOOSE(WEEKDAY(A2497,2),"Segunda","Terça","Quarta","Quinta","Sexta","Sábado","Domingo"))</f>
        <v/>
      </c>
      <c r="O2497" s="26">
        <f>IF(B2497="","",IF(B2497&lt;TIME(12,0,0),"Manhã",IF(B2497&lt;TIME(18,0,0),"Tarde","Noite")))</f>
        <v/>
      </c>
      <c r="P2497" s="32">
        <f>IF(G2497="","",IFERROR(INDEX(Config!$I$5:$I$16,MATCH(G2497,Config!$H$5:$H$16,0)),0))</f>
        <v/>
      </c>
      <c r="Q2497" s="30">
        <f>IF(OR(H2497&lt;&gt;"Realizado",P2497="",P2497=0),"",A2497+P2497)</f>
        <v/>
      </c>
      <c r="R2497" s="26">
        <f>IF(Q2497="","",IF(COUNTIFS($E$5:$E$3004,E2497,$A$5:$A$3004,"&gt;"&amp;A2497,$H$5:$H$3004,"&lt;&gt;Falta",$H$5:$H$3004,"&lt;&gt;Cancelado",$H$5:$H$3004,"&lt;&gt;Remarcado")&gt;0,"Sim","Não"))</f>
        <v/>
      </c>
      <c r="S2497" s="32">
        <f>IF(R2497&lt;&gt;"Não","",IF(Q2497+Config!$B$9&lt;=Config!$B$8,Config!$B$8-Q2497,""))</f>
        <v/>
      </c>
      <c r="T2497" s="26">
        <f>IF(S2497="","","Sim")</f>
        <v/>
      </c>
      <c r="U2497" s="41">
        <f>IF(T2497="Sim",S2497+ROW()/100000,0)</f>
        <v>0</v>
      </c>
      <c r="V2497" s="41">
        <f>IF(AND(H2497="Falta",L2497=Config!$B$7,M2497=Config!$B$5,COUNTIFS($E$5:E2497,E2497,$H$5:H2497,"Falta",$L$5:L2497,Config!$B$7,$M$5:M2497,Config!$B$5)=1),COUNTIFS($E$5:$E$3004,E2497,$H$5:$H$3004,"Falta",$L$5:$L$3004,Config!$B$7,$M$5:$M$3004,Config!$B$5)*1000-ROW()/100000,0)</f>
        <v>0</v>
      </c>
    </row>
    <row r="2498">
      <c r="A2498" s="39" t="n"/>
      <c r="B2498" s="40" t="n"/>
      <c r="C2498" s="35" t="n"/>
      <c r="D2498" s="35" t="n"/>
      <c r="E2498" s="34" t="n"/>
      <c r="F2498" s="35" t="n"/>
      <c r="G2498" s="35" t="n"/>
      <c r="H2498" s="35" t="n"/>
      <c r="I2498" s="35" t="n"/>
      <c r="J2498" s="35" t="n"/>
      <c r="K2498" s="34" t="n"/>
      <c r="L2498" s="26">
        <f>IF(A2498="","",MONTH(A2498))</f>
        <v/>
      </c>
      <c r="M2498" s="26">
        <f>IF(A2498="","",YEAR(A2498))</f>
        <v/>
      </c>
      <c r="N2498" s="26">
        <f>IF(A2498="","",CHOOSE(WEEKDAY(A2498,2),"Segunda","Terça","Quarta","Quinta","Sexta","Sábado","Domingo"))</f>
        <v/>
      </c>
      <c r="O2498" s="26">
        <f>IF(B2498="","",IF(B2498&lt;TIME(12,0,0),"Manhã",IF(B2498&lt;TIME(18,0,0),"Tarde","Noite")))</f>
        <v/>
      </c>
      <c r="P2498" s="32">
        <f>IF(G2498="","",IFERROR(INDEX(Config!$I$5:$I$16,MATCH(G2498,Config!$H$5:$H$16,0)),0))</f>
        <v/>
      </c>
      <c r="Q2498" s="30">
        <f>IF(OR(H2498&lt;&gt;"Realizado",P2498="",P2498=0),"",A2498+P2498)</f>
        <v/>
      </c>
      <c r="R2498" s="26">
        <f>IF(Q2498="","",IF(COUNTIFS($E$5:$E$3004,E2498,$A$5:$A$3004,"&gt;"&amp;A2498,$H$5:$H$3004,"&lt;&gt;Falta",$H$5:$H$3004,"&lt;&gt;Cancelado",$H$5:$H$3004,"&lt;&gt;Remarcado")&gt;0,"Sim","Não"))</f>
        <v/>
      </c>
      <c r="S2498" s="32">
        <f>IF(R2498&lt;&gt;"Não","",IF(Q2498+Config!$B$9&lt;=Config!$B$8,Config!$B$8-Q2498,""))</f>
        <v/>
      </c>
      <c r="T2498" s="26">
        <f>IF(S2498="","","Sim")</f>
        <v/>
      </c>
      <c r="U2498" s="41">
        <f>IF(T2498="Sim",S2498+ROW()/100000,0)</f>
        <v>0</v>
      </c>
      <c r="V2498" s="41">
        <f>IF(AND(H2498="Falta",L2498=Config!$B$7,M2498=Config!$B$5,COUNTIFS($E$5:E2498,E2498,$H$5:H2498,"Falta",$L$5:L2498,Config!$B$7,$M$5:M2498,Config!$B$5)=1),COUNTIFS($E$5:$E$3004,E2498,$H$5:$H$3004,"Falta",$L$5:$L$3004,Config!$B$7,$M$5:$M$3004,Config!$B$5)*1000-ROW()/100000,0)</f>
        <v>0</v>
      </c>
    </row>
    <row r="2499">
      <c r="A2499" s="39" t="n"/>
      <c r="B2499" s="40" t="n"/>
      <c r="C2499" s="35" t="n"/>
      <c r="D2499" s="35" t="n"/>
      <c r="E2499" s="34" t="n"/>
      <c r="F2499" s="35" t="n"/>
      <c r="G2499" s="35" t="n"/>
      <c r="H2499" s="35" t="n"/>
      <c r="I2499" s="35" t="n"/>
      <c r="J2499" s="35" t="n"/>
      <c r="K2499" s="34" t="n"/>
      <c r="L2499" s="26">
        <f>IF(A2499="","",MONTH(A2499))</f>
        <v/>
      </c>
      <c r="M2499" s="26">
        <f>IF(A2499="","",YEAR(A2499))</f>
        <v/>
      </c>
      <c r="N2499" s="26">
        <f>IF(A2499="","",CHOOSE(WEEKDAY(A2499,2),"Segunda","Terça","Quarta","Quinta","Sexta","Sábado","Domingo"))</f>
        <v/>
      </c>
      <c r="O2499" s="26">
        <f>IF(B2499="","",IF(B2499&lt;TIME(12,0,0),"Manhã",IF(B2499&lt;TIME(18,0,0),"Tarde","Noite")))</f>
        <v/>
      </c>
      <c r="P2499" s="32">
        <f>IF(G2499="","",IFERROR(INDEX(Config!$I$5:$I$16,MATCH(G2499,Config!$H$5:$H$16,0)),0))</f>
        <v/>
      </c>
      <c r="Q2499" s="30">
        <f>IF(OR(H2499&lt;&gt;"Realizado",P2499="",P2499=0),"",A2499+P2499)</f>
        <v/>
      </c>
      <c r="R2499" s="26">
        <f>IF(Q2499="","",IF(COUNTIFS($E$5:$E$3004,E2499,$A$5:$A$3004,"&gt;"&amp;A2499,$H$5:$H$3004,"&lt;&gt;Falta",$H$5:$H$3004,"&lt;&gt;Cancelado",$H$5:$H$3004,"&lt;&gt;Remarcado")&gt;0,"Sim","Não"))</f>
        <v/>
      </c>
      <c r="S2499" s="32">
        <f>IF(R2499&lt;&gt;"Não","",IF(Q2499+Config!$B$9&lt;=Config!$B$8,Config!$B$8-Q2499,""))</f>
        <v/>
      </c>
      <c r="T2499" s="26">
        <f>IF(S2499="","","Sim")</f>
        <v/>
      </c>
      <c r="U2499" s="41">
        <f>IF(T2499="Sim",S2499+ROW()/100000,0)</f>
        <v>0</v>
      </c>
      <c r="V2499" s="41">
        <f>IF(AND(H2499="Falta",L2499=Config!$B$7,M2499=Config!$B$5,COUNTIFS($E$5:E2499,E2499,$H$5:H2499,"Falta",$L$5:L2499,Config!$B$7,$M$5:M2499,Config!$B$5)=1),COUNTIFS($E$5:$E$3004,E2499,$H$5:$H$3004,"Falta",$L$5:$L$3004,Config!$B$7,$M$5:$M$3004,Config!$B$5)*1000-ROW()/100000,0)</f>
        <v>0</v>
      </c>
    </row>
    <row r="2500">
      <c r="A2500" s="39" t="n"/>
      <c r="B2500" s="40" t="n"/>
      <c r="C2500" s="35" t="n"/>
      <c r="D2500" s="35" t="n"/>
      <c r="E2500" s="34" t="n"/>
      <c r="F2500" s="35" t="n"/>
      <c r="G2500" s="35" t="n"/>
      <c r="H2500" s="35" t="n"/>
      <c r="I2500" s="35" t="n"/>
      <c r="J2500" s="35" t="n"/>
      <c r="K2500" s="34" t="n"/>
      <c r="L2500" s="26">
        <f>IF(A2500="","",MONTH(A2500))</f>
        <v/>
      </c>
      <c r="M2500" s="26">
        <f>IF(A2500="","",YEAR(A2500))</f>
        <v/>
      </c>
      <c r="N2500" s="26">
        <f>IF(A2500="","",CHOOSE(WEEKDAY(A2500,2),"Segunda","Terça","Quarta","Quinta","Sexta","Sábado","Domingo"))</f>
        <v/>
      </c>
      <c r="O2500" s="26">
        <f>IF(B2500="","",IF(B2500&lt;TIME(12,0,0),"Manhã",IF(B2500&lt;TIME(18,0,0),"Tarde","Noite")))</f>
        <v/>
      </c>
      <c r="P2500" s="32">
        <f>IF(G2500="","",IFERROR(INDEX(Config!$I$5:$I$16,MATCH(G2500,Config!$H$5:$H$16,0)),0))</f>
        <v/>
      </c>
      <c r="Q2500" s="30">
        <f>IF(OR(H2500&lt;&gt;"Realizado",P2500="",P2500=0),"",A2500+P2500)</f>
        <v/>
      </c>
      <c r="R2500" s="26">
        <f>IF(Q2500="","",IF(COUNTIFS($E$5:$E$3004,E2500,$A$5:$A$3004,"&gt;"&amp;A2500,$H$5:$H$3004,"&lt;&gt;Falta",$H$5:$H$3004,"&lt;&gt;Cancelado",$H$5:$H$3004,"&lt;&gt;Remarcado")&gt;0,"Sim","Não"))</f>
        <v/>
      </c>
      <c r="S2500" s="32">
        <f>IF(R2500&lt;&gt;"Não","",IF(Q2500+Config!$B$9&lt;=Config!$B$8,Config!$B$8-Q2500,""))</f>
        <v/>
      </c>
      <c r="T2500" s="26">
        <f>IF(S2500="","","Sim")</f>
        <v/>
      </c>
      <c r="U2500" s="41">
        <f>IF(T2500="Sim",S2500+ROW()/100000,0)</f>
        <v>0</v>
      </c>
      <c r="V2500" s="41">
        <f>IF(AND(H2500="Falta",L2500=Config!$B$7,M2500=Config!$B$5,COUNTIFS($E$5:E2500,E2500,$H$5:H2500,"Falta",$L$5:L2500,Config!$B$7,$M$5:M2500,Config!$B$5)=1),COUNTIFS($E$5:$E$3004,E2500,$H$5:$H$3004,"Falta",$L$5:$L$3004,Config!$B$7,$M$5:$M$3004,Config!$B$5)*1000-ROW()/100000,0)</f>
        <v>0</v>
      </c>
    </row>
    <row r="2501">
      <c r="A2501" s="39" t="n"/>
      <c r="B2501" s="40" t="n"/>
      <c r="C2501" s="35" t="n"/>
      <c r="D2501" s="35" t="n"/>
      <c r="E2501" s="34" t="n"/>
      <c r="F2501" s="35" t="n"/>
      <c r="G2501" s="35" t="n"/>
      <c r="H2501" s="35" t="n"/>
      <c r="I2501" s="35" t="n"/>
      <c r="J2501" s="35" t="n"/>
      <c r="K2501" s="34" t="n"/>
      <c r="L2501" s="26">
        <f>IF(A2501="","",MONTH(A2501))</f>
        <v/>
      </c>
      <c r="M2501" s="26">
        <f>IF(A2501="","",YEAR(A2501))</f>
        <v/>
      </c>
      <c r="N2501" s="26">
        <f>IF(A2501="","",CHOOSE(WEEKDAY(A2501,2),"Segunda","Terça","Quarta","Quinta","Sexta","Sábado","Domingo"))</f>
        <v/>
      </c>
      <c r="O2501" s="26">
        <f>IF(B2501="","",IF(B2501&lt;TIME(12,0,0),"Manhã",IF(B2501&lt;TIME(18,0,0),"Tarde","Noite")))</f>
        <v/>
      </c>
      <c r="P2501" s="32">
        <f>IF(G2501="","",IFERROR(INDEX(Config!$I$5:$I$16,MATCH(G2501,Config!$H$5:$H$16,0)),0))</f>
        <v/>
      </c>
      <c r="Q2501" s="30">
        <f>IF(OR(H2501&lt;&gt;"Realizado",P2501="",P2501=0),"",A2501+P2501)</f>
        <v/>
      </c>
      <c r="R2501" s="26">
        <f>IF(Q2501="","",IF(COUNTIFS($E$5:$E$3004,E2501,$A$5:$A$3004,"&gt;"&amp;A2501,$H$5:$H$3004,"&lt;&gt;Falta",$H$5:$H$3004,"&lt;&gt;Cancelado",$H$5:$H$3004,"&lt;&gt;Remarcado")&gt;0,"Sim","Não"))</f>
        <v/>
      </c>
      <c r="S2501" s="32">
        <f>IF(R2501&lt;&gt;"Não","",IF(Q2501+Config!$B$9&lt;=Config!$B$8,Config!$B$8-Q2501,""))</f>
        <v/>
      </c>
      <c r="T2501" s="26">
        <f>IF(S2501="","","Sim")</f>
        <v/>
      </c>
      <c r="U2501" s="41">
        <f>IF(T2501="Sim",S2501+ROW()/100000,0)</f>
        <v>0</v>
      </c>
      <c r="V2501" s="41">
        <f>IF(AND(H2501="Falta",L2501=Config!$B$7,M2501=Config!$B$5,COUNTIFS($E$5:E2501,E2501,$H$5:H2501,"Falta",$L$5:L2501,Config!$B$7,$M$5:M2501,Config!$B$5)=1),COUNTIFS($E$5:$E$3004,E2501,$H$5:$H$3004,"Falta",$L$5:$L$3004,Config!$B$7,$M$5:$M$3004,Config!$B$5)*1000-ROW()/100000,0)</f>
        <v>0</v>
      </c>
    </row>
    <row r="2502">
      <c r="A2502" s="39" t="n"/>
      <c r="B2502" s="40" t="n"/>
      <c r="C2502" s="35" t="n"/>
      <c r="D2502" s="35" t="n"/>
      <c r="E2502" s="34" t="n"/>
      <c r="F2502" s="35" t="n"/>
      <c r="G2502" s="35" t="n"/>
      <c r="H2502" s="35" t="n"/>
      <c r="I2502" s="35" t="n"/>
      <c r="J2502" s="35" t="n"/>
      <c r="K2502" s="34" t="n"/>
      <c r="L2502" s="26">
        <f>IF(A2502="","",MONTH(A2502))</f>
        <v/>
      </c>
      <c r="M2502" s="26">
        <f>IF(A2502="","",YEAR(A2502))</f>
        <v/>
      </c>
      <c r="N2502" s="26">
        <f>IF(A2502="","",CHOOSE(WEEKDAY(A2502,2),"Segunda","Terça","Quarta","Quinta","Sexta","Sábado","Domingo"))</f>
        <v/>
      </c>
      <c r="O2502" s="26">
        <f>IF(B2502="","",IF(B2502&lt;TIME(12,0,0),"Manhã",IF(B2502&lt;TIME(18,0,0),"Tarde","Noite")))</f>
        <v/>
      </c>
      <c r="P2502" s="32">
        <f>IF(G2502="","",IFERROR(INDEX(Config!$I$5:$I$16,MATCH(G2502,Config!$H$5:$H$16,0)),0))</f>
        <v/>
      </c>
      <c r="Q2502" s="30">
        <f>IF(OR(H2502&lt;&gt;"Realizado",P2502="",P2502=0),"",A2502+P2502)</f>
        <v/>
      </c>
      <c r="R2502" s="26">
        <f>IF(Q2502="","",IF(COUNTIFS($E$5:$E$3004,E2502,$A$5:$A$3004,"&gt;"&amp;A2502,$H$5:$H$3004,"&lt;&gt;Falta",$H$5:$H$3004,"&lt;&gt;Cancelado",$H$5:$H$3004,"&lt;&gt;Remarcado")&gt;0,"Sim","Não"))</f>
        <v/>
      </c>
      <c r="S2502" s="32">
        <f>IF(R2502&lt;&gt;"Não","",IF(Q2502+Config!$B$9&lt;=Config!$B$8,Config!$B$8-Q2502,""))</f>
        <v/>
      </c>
      <c r="T2502" s="26">
        <f>IF(S2502="","","Sim")</f>
        <v/>
      </c>
      <c r="U2502" s="41">
        <f>IF(T2502="Sim",S2502+ROW()/100000,0)</f>
        <v>0</v>
      </c>
      <c r="V2502" s="41">
        <f>IF(AND(H2502="Falta",L2502=Config!$B$7,M2502=Config!$B$5,COUNTIFS($E$5:E2502,E2502,$H$5:H2502,"Falta",$L$5:L2502,Config!$B$7,$M$5:M2502,Config!$B$5)=1),COUNTIFS($E$5:$E$3004,E2502,$H$5:$H$3004,"Falta",$L$5:$L$3004,Config!$B$7,$M$5:$M$3004,Config!$B$5)*1000-ROW()/100000,0)</f>
        <v>0</v>
      </c>
    </row>
    <row r="2503">
      <c r="A2503" s="39" t="n"/>
      <c r="B2503" s="40" t="n"/>
      <c r="C2503" s="35" t="n"/>
      <c r="D2503" s="35" t="n"/>
      <c r="E2503" s="34" t="n"/>
      <c r="F2503" s="35" t="n"/>
      <c r="G2503" s="35" t="n"/>
      <c r="H2503" s="35" t="n"/>
      <c r="I2503" s="35" t="n"/>
      <c r="J2503" s="35" t="n"/>
      <c r="K2503" s="34" t="n"/>
      <c r="L2503" s="26">
        <f>IF(A2503="","",MONTH(A2503))</f>
        <v/>
      </c>
      <c r="M2503" s="26">
        <f>IF(A2503="","",YEAR(A2503))</f>
        <v/>
      </c>
      <c r="N2503" s="26">
        <f>IF(A2503="","",CHOOSE(WEEKDAY(A2503,2),"Segunda","Terça","Quarta","Quinta","Sexta","Sábado","Domingo"))</f>
        <v/>
      </c>
      <c r="O2503" s="26">
        <f>IF(B2503="","",IF(B2503&lt;TIME(12,0,0),"Manhã",IF(B2503&lt;TIME(18,0,0),"Tarde","Noite")))</f>
        <v/>
      </c>
      <c r="P2503" s="32">
        <f>IF(G2503="","",IFERROR(INDEX(Config!$I$5:$I$16,MATCH(G2503,Config!$H$5:$H$16,0)),0))</f>
        <v/>
      </c>
      <c r="Q2503" s="30">
        <f>IF(OR(H2503&lt;&gt;"Realizado",P2503="",P2503=0),"",A2503+P2503)</f>
        <v/>
      </c>
      <c r="R2503" s="26">
        <f>IF(Q2503="","",IF(COUNTIFS($E$5:$E$3004,E2503,$A$5:$A$3004,"&gt;"&amp;A2503,$H$5:$H$3004,"&lt;&gt;Falta",$H$5:$H$3004,"&lt;&gt;Cancelado",$H$5:$H$3004,"&lt;&gt;Remarcado")&gt;0,"Sim","Não"))</f>
        <v/>
      </c>
      <c r="S2503" s="32">
        <f>IF(R2503&lt;&gt;"Não","",IF(Q2503+Config!$B$9&lt;=Config!$B$8,Config!$B$8-Q2503,""))</f>
        <v/>
      </c>
      <c r="T2503" s="26">
        <f>IF(S2503="","","Sim")</f>
        <v/>
      </c>
      <c r="U2503" s="41">
        <f>IF(T2503="Sim",S2503+ROW()/100000,0)</f>
        <v>0</v>
      </c>
      <c r="V2503" s="41">
        <f>IF(AND(H2503="Falta",L2503=Config!$B$7,M2503=Config!$B$5,COUNTIFS($E$5:E2503,E2503,$H$5:H2503,"Falta",$L$5:L2503,Config!$B$7,$M$5:M2503,Config!$B$5)=1),COUNTIFS($E$5:$E$3004,E2503,$H$5:$H$3004,"Falta",$L$5:$L$3004,Config!$B$7,$M$5:$M$3004,Config!$B$5)*1000-ROW()/100000,0)</f>
        <v>0</v>
      </c>
    </row>
    <row r="2504">
      <c r="A2504" s="39" t="n"/>
      <c r="B2504" s="40" t="n"/>
      <c r="C2504" s="35" t="n"/>
      <c r="D2504" s="35" t="n"/>
      <c r="E2504" s="34" t="n"/>
      <c r="F2504" s="35" t="n"/>
      <c r="G2504" s="35" t="n"/>
      <c r="H2504" s="35" t="n"/>
      <c r="I2504" s="35" t="n"/>
      <c r="J2504" s="35" t="n"/>
      <c r="K2504" s="34" t="n"/>
      <c r="L2504" s="26">
        <f>IF(A2504="","",MONTH(A2504))</f>
        <v/>
      </c>
      <c r="M2504" s="26">
        <f>IF(A2504="","",YEAR(A2504))</f>
        <v/>
      </c>
      <c r="N2504" s="26">
        <f>IF(A2504="","",CHOOSE(WEEKDAY(A2504,2),"Segunda","Terça","Quarta","Quinta","Sexta","Sábado","Domingo"))</f>
        <v/>
      </c>
      <c r="O2504" s="26">
        <f>IF(B2504="","",IF(B2504&lt;TIME(12,0,0),"Manhã",IF(B2504&lt;TIME(18,0,0),"Tarde","Noite")))</f>
        <v/>
      </c>
      <c r="P2504" s="32">
        <f>IF(G2504="","",IFERROR(INDEX(Config!$I$5:$I$16,MATCH(G2504,Config!$H$5:$H$16,0)),0))</f>
        <v/>
      </c>
      <c r="Q2504" s="30">
        <f>IF(OR(H2504&lt;&gt;"Realizado",P2504="",P2504=0),"",A2504+P2504)</f>
        <v/>
      </c>
      <c r="R2504" s="26">
        <f>IF(Q2504="","",IF(COUNTIFS($E$5:$E$3004,E2504,$A$5:$A$3004,"&gt;"&amp;A2504,$H$5:$H$3004,"&lt;&gt;Falta",$H$5:$H$3004,"&lt;&gt;Cancelado",$H$5:$H$3004,"&lt;&gt;Remarcado")&gt;0,"Sim","Não"))</f>
        <v/>
      </c>
      <c r="S2504" s="32">
        <f>IF(R2504&lt;&gt;"Não","",IF(Q2504+Config!$B$9&lt;=Config!$B$8,Config!$B$8-Q2504,""))</f>
        <v/>
      </c>
      <c r="T2504" s="26">
        <f>IF(S2504="","","Sim")</f>
        <v/>
      </c>
      <c r="U2504" s="41">
        <f>IF(T2504="Sim",S2504+ROW()/100000,0)</f>
        <v>0</v>
      </c>
      <c r="V2504" s="41">
        <f>IF(AND(H2504="Falta",L2504=Config!$B$7,M2504=Config!$B$5,COUNTIFS($E$5:E2504,E2504,$H$5:H2504,"Falta",$L$5:L2504,Config!$B$7,$M$5:M2504,Config!$B$5)=1),COUNTIFS($E$5:$E$3004,E2504,$H$5:$H$3004,"Falta",$L$5:$L$3004,Config!$B$7,$M$5:$M$3004,Config!$B$5)*1000-ROW()/100000,0)</f>
        <v>0</v>
      </c>
    </row>
    <row r="2505">
      <c r="A2505" s="39" t="n"/>
      <c r="B2505" s="40" t="n"/>
      <c r="C2505" s="35" t="n"/>
      <c r="D2505" s="35" t="n"/>
      <c r="E2505" s="34" t="n"/>
      <c r="F2505" s="35" t="n"/>
      <c r="G2505" s="35" t="n"/>
      <c r="H2505" s="35" t="n"/>
      <c r="I2505" s="35" t="n"/>
      <c r="J2505" s="35" t="n"/>
      <c r="K2505" s="34" t="n"/>
      <c r="L2505" s="26">
        <f>IF(A2505="","",MONTH(A2505))</f>
        <v/>
      </c>
      <c r="M2505" s="26">
        <f>IF(A2505="","",YEAR(A2505))</f>
        <v/>
      </c>
      <c r="N2505" s="26">
        <f>IF(A2505="","",CHOOSE(WEEKDAY(A2505,2),"Segunda","Terça","Quarta","Quinta","Sexta","Sábado","Domingo"))</f>
        <v/>
      </c>
      <c r="O2505" s="26">
        <f>IF(B2505="","",IF(B2505&lt;TIME(12,0,0),"Manhã",IF(B2505&lt;TIME(18,0,0),"Tarde","Noite")))</f>
        <v/>
      </c>
      <c r="P2505" s="32">
        <f>IF(G2505="","",IFERROR(INDEX(Config!$I$5:$I$16,MATCH(G2505,Config!$H$5:$H$16,0)),0))</f>
        <v/>
      </c>
      <c r="Q2505" s="30">
        <f>IF(OR(H2505&lt;&gt;"Realizado",P2505="",P2505=0),"",A2505+P2505)</f>
        <v/>
      </c>
      <c r="R2505" s="26">
        <f>IF(Q2505="","",IF(COUNTIFS($E$5:$E$3004,E2505,$A$5:$A$3004,"&gt;"&amp;A2505,$H$5:$H$3004,"&lt;&gt;Falta",$H$5:$H$3004,"&lt;&gt;Cancelado",$H$5:$H$3004,"&lt;&gt;Remarcado")&gt;0,"Sim","Não"))</f>
        <v/>
      </c>
      <c r="S2505" s="32">
        <f>IF(R2505&lt;&gt;"Não","",IF(Q2505+Config!$B$9&lt;=Config!$B$8,Config!$B$8-Q2505,""))</f>
        <v/>
      </c>
      <c r="T2505" s="26">
        <f>IF(S2505="","","Sim")</f>
        <v/>
      </c>
      <c r="U2505" s="41">
        <f>IF(T2505="Sim",S2505+ROW()/100000,0)</f>
        <v>0</v>
      </c>
      <c r="V2505" s="41">
        <f>IF(AND(H2505="Falta",L2505=Config!$B$7,M2505=Config!$B$5,COUNTIFS($E$5:E2505,E2505,$H$5:H2505,"Falta",$L$5:L2505,Config!$B$7,$M$5:M2505,Config!$B$5)=1),COUNTIFS($E$5:$E$3004,E2505,$H$5:$H$3004,"Falta",$L$5:$L$3004,Config!$B$7,$M$5:$M$3004,Config!$B$5)*1000-ROW()/100000,0)</f>
        <v>0</v>
      </c>
    </row>
    <row r="2506">
      <c r="A2506" s="39" t="n"/>
      <c r="B2506" s="40" t="n"/>
      <c r="C2506" s="35" t="n"/>
      <c r="D2506" s="35" t="n"/>
      <c r="E2506" s="34" t="n"/>
      <c r="F2506" s="35" t="n"/>
      <c r="G2506" s="35" t="n"/>
      <c r="H2506" s="35" t="n"/>
      <c r="I2506" s="35" t="n"/>
      <c r="J2506" s="35" t="n"/>
      <c r="K2506" s="34" t="n"/>
      <c r="L2506" s="26">
        <f>IF(A2506="","",MONTH(A2506))</f>
        <v/>
      </c>
      <c r="M2506" s="26">
        <f>IF(A2506="","",YEAR(A2506))</f>
        <v/>
      </c>
      <c r="N2506" s="26">
        <f>IF(A2506="","",CHOOSE(WEEKDAY(A2506,2),"Segunda","Terça","Quarta","Quinta","Sexta","Sábado","Domingo"))</f>
        <v/>
      </c>
      <c r="O2506" s="26">
        <f>IF(B2506="","",IF(B2506&lt;TIME(12,0,0),"Manhã",IF(B2506&lt;TIME(18,0,0),"Tarde","Noite")))</f>
        <v/>
      </c>
      <c r="P2506" s="32">
        <f>IF(G2506="","",IFERROR(INDEX(Config!$I$5:$I$16,MATCH(G2506,Config!$H$5:$H$16,0)),0))</f>
        <v/>
      </c>
      <c r="Q2506" s="30">
        <f>IF(OR(H2506&lt;&gt;"Realizado",P2506="",P2506=0),"",A2506+P2506)</f>
        <v/>
      </c>
      <c r="R2506" s="26">
        <f>IF(Q2506="","",IF(COUNTIFS($E$5:$E$3004,E2506,$A$5:$A$3004,"&gt;"&amp;A2506,$H$5:$H$3004,"&lt;&gt;Falta",$H$5:$H$3004,"&lt;&gt;Cancelado",$H$5:$H$3004,"&lt;&gt;Remarcado")&gt;0,"Sim","Não"))</f>
        <v/>
      </c>
      <c r="S2506" s="32">
        <f>IF(R2506&lt;&gt;"Não","",IF(Q2506+Config!$B$9&lt;=Config!$B$8,Config!$B$8-Q2506,""))</f>
        <v/>
      </c>
      <c r="T2506" s="26">
        <f>IF(S2506="","","Sim")</f>
        <v/>
      </c>
      <c r="U2506" s="41">
        <f>IF(T2506="Sim",S2506+ROW()/100000,0)</f>
        <v>0</v>
      </c>
      <c r="V2506" s="41">
        <f>IF(AND(H2506="Falta",L2506=Config!$B$7,M2506=Config!$B$5,COUNTIFS($E$5:E2506,E2506,$H$5:H2506,"Falta",$L$5:L2506,Config!$B$7,$M$5:M2506,Config!$B$5)=1),COUNTIFS($E$5:$E$3004,E2506,$H$5:$H$3004,"Falta",$L$5:$L$3004,Config!$B$7,$M$5:$M$3004,Config!$B$5)*1000-ROW()/100000,0)</f>
        <v>0</v>
      </c>
    </row>
    <row r="2507">
      <c r="A2507" s="39" t="n"/>
      <c r="B2507" s="40" t="n"/>
      <c r="C2507" s="35" t="n"/>
      <c r="D2507" s="35" t="n"/>
      <c r="E2507" s="34" t="n"/>
      <c r="F2507" s="35" t="n"/>
      <c r="G2507" s="35" t="n"/>
      <c r="H2507" s="35" t="n"/>
      <c r="I2507" s="35" t="n"/>
      <c r="J2507" s="35" t="n"/>
      <c r="K2507" s="34" t="n"/>
      <c r="L2507" s="26">
        <f>IF(A2507="","",MONTH(A2507))</f>
        <v/>
      </c>
      <c r="M2507" s="26">
        <f>IF(A2507="","",YEAR(A2507))</f>
        <v/>
      </c>
      <c r="N2507" s="26">
        <f>IF(A2507="","",CHOOSE(WEEKDAY(A2507,2),"Segunda","Terça","Quarta","Quinta","Sexta","Sábado","Domingo"))</f>
        <v/>
      </c>
      <c r="O2507" s="26">
        <f>IF(B2507="","",IF(B2507&lt;TIME(12,0,0),"Manhã",IF(B2507&lt;TIME(18,0,0),"Tarde","Noite")))</f>
        <v/>
      </c>
      <c r="P2507" s="32">
        <f>IF(G2507="","",IFERROR(INDEX(Config!$I$5:$I$16,MATCH(G2507,Config!$H$5:$H$16,0)),0))</f>
        <v/>
      </c>
      <c r="Q2507" s="30">
        <f>IF(OR(H2507&lt;&gt;"Realizado",P2507="",P2507=0),"",A2507+P2507)</f>
        <v/>
      </c>
      <c r="R2507" s="26">
        <f>IF(Q2507="","",IF(COUNTIFS($E$5:$E$3004,E2507,$A$5:$A$3004,"&gt;"&amp;A2507,$H$5:$H$3004,"&lt;&gt;Falta",$H$5:$H$3004,"&lt;&gt;Cancelado",$H$5:$H$3004,"&lt;&gt;Remarcado")&gt;0,"Sim","Não"))</f>
        <v/>
      </c>
      <c r="S2507" s="32">
        <f>IF(R2507&lt;&gt;"Não","",IF(Q2507+Config!$B$9&lt;=Config!$B$8,Config!$B$8-Q2507,""))</f>
        <v/>
      </c>
      <c r="T2507" s="26">
        <f>IF(S2507="","","Sim")</f>
        <v/>
      </c>
      <c r="U2507" s="41">
        <f>IF(T2507="Sim",S2507+ROW()/100000,0)</f>
        <v>0</v>
      </c>
      <c r="V2507" s="41">
        <f>IF(AND(H2507="Falta",L2507=Config!$B$7,M2507=Config!$B$5,COUNTIFS($E$5:E2507,E2507,$H$5:H2507,"Falta",$L$5:L2507,Config!$B$7,$M$5:M2507,Config!$B$5)=1),COUNTIFS($E$5:$E$3004,E2507,$H$5:$H$3004,"Falta",$L$5:$L$3004,Config!$B$7,$M$5:$M$3004,Config!$B$5)*1000-ROW()/100000,0)</f>
        <v>0</v>
      </c>
    </row>
    <row r="2508">
      <c r="A2508" s="39" t="n"/>
      <c r="B2508" s="40" t="n"/>
      <c r="C2508" s="35" t="n"/>
      <c r="D2508" s="35" t="n"/>
      <c r="E2508" s="34" t="n"/>
      <c r="F2508" s="35" t="n"/>
      <c r="G2508" s="35" t="n"/>
      <c r="H2508" s="35" t="n"/>
      <c r="I2508" s="35" t="n"/>
      <c r="J2508" s="35" t="n"/>
      <c r="K2508" s="34" t="n"/>
      <c r="L2508" s="26">
        <f>IF(A2508="","",MONTH(A2508))</f>
        <v/>
      </c>
      <c r="M2508" s="26">
        <f>IF(A2508="","",YEAR(A2508))</f>
        <v/>
      </c>
      <c r="N2508" s="26">
        <f>IF(A2508="","",CHOOSE(WEEKDAY(A2508,2),"Segunda","Terça","Quarta","Quinta","Sexta","Sábado","Domingo"))</f>
        <v/>
      </c>
      <c r="O2508" s="26">
        <f>IF(B2508="","",IF(B2508&lt;TIME(12,0,0),"Manhã",IF(B2508&lt;TIME(18,0,0),"Tarde","Noite")))</f>
        <v/>
      </c>
      <c r="P2508" s="32">
        <f>IF(G2508="","",IFERROR(INDEX(Config!$I$5:$I$16,MATCH(G2508,Config!$H$5:$H$16,0)),0))</f>
        <v/>
      </c>
      <c r="Q2508" s="30">
        <f>IF(OR(H2508&lt;&gt;"Realizado",P2508="",P2508=0),"",A2508+P2508)</f>
        <v/>
      </c>
      <c r="R2508" s="26">
        <f>IF(Q2508="","",IF(COUNTIFS($E$5:$E$3004,E2508,$A$5:$A$3004,"&gt;"&amp;A2508,$H$5:$H$3004,"&lt;&gt;Falta",$H$5:$H$3004,"&lt;&gt;Cancelado",$H$5:$H$3004,"&lt;&gt;Remarcado")&gt;0,"Sim","Não"))</f>
        <v/>
      </c>
      <c r="S2508" s="32">
        <f>IF(R2508&lt;&gt;"Não","",IF(Q2508+Config!$B$9&lt;=Config!$B$8,Config!$B$8-Q2508,""))</f>
        <v/>
      </c>
      <c r="T2508" s="26">
        <f>IF(S2508="","","Sim")</f>
        <v/>
      </c>
      <c r="U2508" s="41">
        <f>IF(T2508="Sim",S2508+ROW()/100000,0)</f>
        <v>0</v>
      </c>
      <c r="V2508" s="41">
        <f>IF(AND(H2508="Falta",L2508=Config!$B$7,M2508=Config!$B$5,COUNTIFS($E$5:E2508,E2508,$H$5:H2508,"Falta",$L$5:L2508,Config!$B$7,$M$5:M2508,Config!$B$5)=1),COUNTIFS($E$5:$E$3004,E2508,$H$5:$H$3004,"Falta",$L$5:$L$3004,Config!$B$7,$M$5:$M$3004,Config!$B$5)*1000-ROW()/100000,0)</f>
        <v>0</v>
      </c>
    </row>
    <row r="2509">
      <c r="A2509" s="39" t="n"/>
      <c r="B2509" s="40" t="n"/>
      <c r="C2509" s="35" t="n"/>
      <c r="D2509" s="35" t="n"/>
      <c r="E2509" s="34" t="n"/>
      <c r="F2509" s="35" t="n"/>
      <c r="G2509" s="35" t="n"/>
      <c r="H2509" s="35" t="n"/>
      <c r="I2509" s="35" t="n"/>
      <c r="J2509" s="35" t="n"/>
      <c r="K2509" s="34" t="n"/>
      <c r="L2509" s="26">
        <f>IF(A2509="","",MONTH(A2509))</f>
        <v/>
      </c>
      <c r="M2509" s="26">
        <f>IF(A2509="","",YEAR(A2509))</f>
        <v/>
      </c>
      <c r="N2509" s="26">
        <f>IF(A2509="","",CHOOSE(WEEKDAY(A2509,2),"Segunda","Terça","Quarta","Quinta","Sexta","Sábado","Domingo"))</f>
        <v/>
      </c>
      <c r="O2509" s="26">
        <f>IF(B2509="","",IF(B2509&lt;TIME(12,0,0),"Manhã",IF(B2509&lt;TIME(18,0,0),"Tarde","Noite")))</f>
        <v/>
      </c>
      <c r="P2509" s="32">
        <f>IF(G2509="","",IFERROR(INDEX(Config!$I$5:$I$16,MATCH(G2509,Config!$H$5:$H$16,0)),0))</f>
        <v/>
      </c>
      <c r="Q2509" s="30">
        <f>IF(OR(H2509&lt;&gt;"Realizado",P2509="",P2509=0),"",A2509+P2509)</f>
        <v/>
      </c>
      <c r="R2509" s="26">
        <f>IF(Q2509="","",IF(COUNTIFS($E$5:$E$3004,E2509,$A$5:$A$3004,"&gt;"&amp;A2509,$H$5:$H$3004,"&lt;&gt;Falta",$H$5:$H$3004,"&lt;&gt;Cancelado",$H$5:$H$3004,"&lt;&gt;Remarcado")&gt;0,"Sim","Não"))</f>
        <v/>
      </c>
      <c r="S2509" s="32">
        <f>IF(R2509&lt;&gt;"Não","",IF(Q2509+Config!$B$9&lt;=Config!$B$8,Config!$B$8-Q2509,""))</f>
        <v/>
      </c>
      <c r="T2509" s="26">
        <f>IF(S2509="","","Sim")</f>
        <v/>
      </c>
      <c r="U2509" s="41">
        <f>IF(T2509="Sim",S2509+ROW()/100000,0)</f>
        <v>0</v>
      </c>
      <c r="V2509" s="41">
        <f>IF(AND(H2509="Falta",L2509=Config!$B$7,M2509=Config!$B$5,COUNTIFS($E$5:E2509,E2509,$H$5:H2509,"Falta",$L$5:L2509,Config!$B$7,$M$5:M2509,Config!$B$5)=1),COUNTIFS($E$5:$E$3004,E2509,$H$5:$H$3004,"Falta",$L$5:$L$3004,Config!$B$7,$M$5:$M$3004,Config!$B$5)*1000-ROW()/100000,0)</f>
        <v>0</v>
      </c>
    </row>
    <row r="2510">
      <c r="A2510" s="39" t="n"/>
      <c r="B2510" s="40" t="n"/>
      <c r="C2510" s="35" t="n"/>
      <c r="D2510" s="35" t="n"/>
      <c r="E2510" s="34" t="n"/>
      <c r="F2510" s="35" t="n"/>
      <c r="G2510" s="35" t="n"/>
      <c r="H2510" s="35" t="n"/>
      <c r="I2510" s="35" t="n"/>
      <c r="J2510" s="35" t="n"/>
      <c r="K2510" s="34" t="n"/>
      <c r="L2510" s="26">
        <f>IF(A2510="","",MONTH(A2510))</f>
        <v/>
      </c>
      <c r="M2510" s="26">
        <f>IF(A2510="","",YEAR(A2510))</f>
        <v/>
      </c>
      <c r="N2510" s="26">
        <f>IF(A2510="","",CHOOSE(WEEKDAY(A2510,2),"Segunda","Terça","Quarta","Quinta","Sexta","Sábado","Domingo"))</f>
        <v/>
      </c>
      <c r="O2510" s="26">
        <f>IF(B2510="","",IF(B2510&lt;TIME(12,0,0),"Manhã",IF(B2510&lt;TIME(18,0,0),"Tarde","Noite")))</f>
        <v/>
      </c>
      <c r="P2510" s="32">
        <f>IF(G2510="","",IFERROR(INDEX(Config!$I$5:$I$16,MATCH(G2510,Config!$H$5:$H$16,0)),0))</f>
        <v/>
      </c>
      <c r="Q2510" s="30">
        <f>IF(OR(H2510&lt;&gt;"Realizado",P2510="",P2510=0),"",A2510+P2510)</f>
        <v/>
      </c>
      <c r="R2510" s="26">
        <f>IF(Q2510="","",IF(COUNTIFS($E$5:$E$3004,E2510,$A$5:$A$3004,"&gt;"&amp;A2510,$H$5:$H$3004,"&lt;&gt;Falta",$H$5:$H$3004,"&lt;&gt;Cancelado",$H$5:$H$3004,"&lt;&gt;Remarcado")&gt;0,"Sim","Não"))</f>
        <v/>
      </c>
      <c r="S2510" s="32">
        <f>IF(R2510&lt;&gt;"Não","",IF(Q2510+Config!$B$9&lt;=Config!$B$8,Config!$B$8-Q2510,""))</f>
        <v/>
      </c>
      <c r="T2510" s="26">
        <f>IF(S2510="","","Sim")</f>
        <v/>
      </c>
      <c r="U2510" s="41">
        <f>IF(T2510="Sim",S2510+ROW()/100000,0)</f>
        <v>0</v>
      </c>
      <c r="V2510" s="41">
        <f>IF(AND(H2510="Falta",L2510=Config!$B$7,M2510=Config!$B$5,COUNTIFS($E$5:E2510,E2510,$H$5:H2510,"Falta",$L$5:L2510,Config!$B$7,$M$5:M2510,Config!$B$5)=1),COUNTIFS($E$5:$E$3004,E2510,$H$5:$H$3004,"Falta",$L$5:$L$3004,Config!$B$7,$M$5:$M$3004,Config!$B$5)*1000-ROW()/100000,0)</f>
        <v>0</v>
      </c>
    </row>
    <row r="2511">
      <c r="A2511" s="39" t="n"/>
      <c r="B2511" s="40" t="n"/>
      <c r="C2511" s="35" t="n"/>
      <c r="D2511" s="35" t="n"/>
      <c r="E2511" s="34" t="n"/>
      <c r="F2511" s="35" t="n"/>
      <c r="G2511" s="35" t="n"/>
      <c r="H2511" s="35" t="n"/>
      <c r="I2511" s="35" t="n"/>
      <c r="J2511" s="35" t="n"/>
      <c r="K2511" s="34" t="n"/>
      <c r="L2511" s="26">
        <f>IF(A2511="","",MONTH(A2511))</f>
        <v/>
      </c>
      <c r="M2511" s="26">
        <f>IF(A2511="","",YEAR(A2511))</f>
        <v/>
      </c>
      <c r="N2511" s="26">
        <f>IF(A2511="","",CHOOSE(WEEKDAY(A2511,2),"Segunda","Terça","Quarta","Quinta","Sexta","Sábado","Domingo"))</f>
        <v/>
      </c>
      <c r="O2511" s="26">
        <f>IF(B2511="","",IF(B2511&lt;TIME(12,0,0),"Manhã",IF(B2511&lt;TIME(18,0,0),"Tarde","Noite")))</f>
        <v/>
      </c>
      <c r="P2511" s="32">
        <f>IF(G2511="","",IFERROR(INDEX(Config!$I$5:$I$16,MATCH(G2511,Config!$H$5:$H$16,0)),0))</f>
        <v/>
      </c>
      <c r="Q2511" s="30">
        <f>IF(OR(H2511&lt;&gt;"Realizado",P2511="",P2511=0),"",A2511+P2511)</f>
        <v/>
      </c>
      <c r="R2511" s="26">
        <f>IF(Q2511="","",IF(COUNTIFS($E$5:$E$3004,E2511,$A$5:$A$3004,"&gt;"&amp;A2511,$H$5:$H$3004,"&lt;&gt;Falta",$H$5:$H$3004,"&lt;&gt;Cancelado",$H$5:$H$3004,"&lt;&gt;Remarcado")&gt;0,"Sim","Não"))</f>
        <v/>
      </c>
      <c r="S2511" s="32">
        <f>IF(R2511&lt;&gt;"Não","",IF(Q2511+Config!$B$9&lt;=Config!$B$8,Config!$B$8-Q2511,""))</f>
        <v/>
      </c>
      <c r="T2511" s="26">
        <f>IF(S2511="","","Sim")</f>
        <v/>
      </c>
      <c r="U2511" s="41">
        <f>IF(T2511="Sim",S2511+ROW()/100000,0)</f>
        <v>0</v>
      </c>
      <c r="V2511" s="41">
        <f>IF(AND(H2511="Falta",L2511=Config!$B$7,M2511=Config!$B$5,COUNTIFS($E$5:E2511,E2511,$H$5:H2511,"Falta",$L$5:L2511,Config!$B$7,$M$5:M2511,Config!$B$5)=1),COUNTIFS($E$5:$E$3004,E2511,$H$5:$H$3004,"Falta",$L$5:$L$3004,Config!$B$7,$M$5:$M$3004,Config!$B$5)*1000-ROW()/100000,0)</f>
        <v>0</v>
      </c>
    </row>
    <row r="2512">
      <c r="A2512" s="39" t="n"/>
      <c r="B2512" s="40" t="n"/>
      <c r="C2512" s="35" t="n"/>
      <c r="D2512" s="35" t="n"/>
      <c r="E2512" s="34" t="n"/>
      <c r="F2512" s="35" t="n"/>
      <c r="G2512" s="35" t="n"/>
      <c r="H2512" s="35" t="n"/>
      <c r="I2512" s="35" t="n"/>
      <c r="J2512" s="35" t="n"/>
      <c r="K2512" s="34" t="n"/>
      <c r="L2512" s="26">
        <f>IF(A2512="","",MONTH(A2512))</f>
        <v/>
      </c>
      <c r="M2512" s="26">
        <f>IF(A2512="","",YEAR(A2512))</f>
        <v/>
      </c>
      <c r="N2512" s="26">
        <f>IF(A2512="","",CHOOSE(WEEKDAY(A2512,2),"Segunda","Terça","Quarta","Quinta","Sexta","Sábado","Domingo"))</f>
        <v/>
      </c>
      <c r="O2512" s="26">
        <f>IF(B2512="","",IF(B2512&lt;TIME(12,0,0),"Manhã",IF(B2512&lt;TIME(18,0,0),"Tarde","Noite")))</f>
        <v/>
      </c>
      <c r="P2512" s="32">
        <f>IF(G2512="","",IFERROR(INDEX(Config!$I$5:$I$16,MATCH(G2512,Config!$H$5:$H$16,0)),0))</f>
        <v/>
      </c>
      <c r="Q2512" s="30">
        <f>IF(OR(H2512&lt;&gt;"Realizado",P2512="",P2512=0),"",A2512+P2512)</f>
        <v/>
      </c>
      <c r="R2512" s="26">
        <f>IF(Q2512="","",IF(COUNTIFS($E$5:$E$3004,E2512,$A$5:$A$3004,"&gt;"&amp;A2512,$H$5:$H$3004,"&lt;&gt;Falta",$H$5:$H$3004,"&lt;&gt;Cancelado",$H$5:$H$3004,"&lt;&gt;Remarcado")&gt;0,"Sim","Não"))</f>
        <v/>
      </c>
      <c r="S2512" s="32">
        <f>IF(R2512&lt;&gt;"Não","",IF(Q2512+Config!$B$9&lt;=Config!$B$8,Config!$B$8-Q2512,""))</f>
        <v/>
      </c>
      <c r="T2512" s="26">
        <f>IF(S2512="","","Sim")</f>
        <v/>
      </c>
      <c r="U2512" s="41">
        <f>IF(T2512="Sim",S2512+ROW()/100000,0)</f>
        <v>0</v>
      </c>
      <c r="V2512" s="41">
        <f>IF(AND(H2512="Falta",L2512=Config!$B$7,M2512=Config!$B$5,COUNTIFS($E$5:E2512,E2512,$H$5:H2512,"Falta",$L$5:L2512,Config!$B$7,$M$5:M2512,Config!$B$5)=1),COUNTIFS($E$5:$E$3004,E2512,$H$5:$H$3004,"Falta",$L$5:$L$3004,Config!$B$7,$M$5:$M$3004,Config!$B$5)*1000-ROW()/100000,0)</f>
        <v>0</v>
      </c>
    </row>
    <row r="2513">
      <c r="A2513" s="39" t="n"/>
      <c r="B2513" s="40" t="n"/>
      <c r="C2513" s="35" t="n"/>
      <c r="D2513" s="35" t="n"/>
      <c r="E2513" s="34" t="n"/>
      <c r="F2513" s="35" t="n"/>
      <c r="G2513" s="35" t="n"/>
      <c r="H2513" s="35" t="n"/>
      <c r="I2513" s="35" t="n"/>
      <c r="J2513" s="35" t="n"/>
      <c r="K2513" s="34" t="n"/>
      <c r="L2513" s="26">
        <f>IF(A2513="","",MONTH(A2513))</f>
        <v/>
      </c>
      <c r="M2513" s="26">
        <f>IF(A2513="","",YEAR(A2513))</f>
        <v/>
      </c>
      <c r="N2513" s="26">
        <f>IF(A2513="","",CHOOSE(WEEKDAY(A2513,2),"Segunda","Terça","Quarta","Quinta","Sexta","Sábado","Domingo"))</f>
        <v/>
      </c>
      <c r="O2513" s="26">
        <f>IF(B2513="","",IF(B2513&lt;TIME(12,0,0),"Manhã",IF(B2513&lt;TIME(18,0,0),"Tarde","Noite")))</f>
        <v/>
      </c>
      <c r="P2513" s="32">
        <f>IF(G2513="","",IFERROR(INDEX(Config!$I$5:$I$16,MATCH(G2513,Config!$H$5:$H$16,0)),0))</f>
        <v/>
      </c>
      <c r="Q2513" s="30">
        <f>IF(OR(H2513&lt;&gt;"Realizado",P2513="",P2513=0),"",A2513+P2513)</f>
        <v/>
      </c>
      <c r="R2513" s="26">
        <f>IF(Q2513="","",IF(COUNTIFS($E$5:$E$3004,E2513,$A$5:$A$3004,"&gt;"&amp;A2513,$H$5:$H$3004,"&lt;&gt;Falta",$H$5:$H$3004,"&lt;&gt;Cancelado",$H$5:$H$3004,"&lt;&gt;Remarcado")&gt;0,"Sim","Não"))</f>
        <v/>
      </c>
      <c r="S2513" s="32">
        <f>IF(R2513&lt;&gt;"Não","",IF(Q2513+Config!$B$9&lt;=Config!$B$8,Config!$B$8-Q2513,""))</f>
        <v/>
      </c>
      <c r="T2513" s="26">
        <f>IF(S2513="","","Sim")</f>
        <v/>
      </c>
      <c r="U2513" s="41">
        <f>IF(T2513="Sim",S2513+ROW()/100000,0)</f>
        <v>0</v>
      </c>
      <c r="V2513" s="41">
        <f>IF(AND(H2513="Falta",L2513=Config!$B$7,M2513=Config!$B$5,COUNTIFS($E$5:E2513,E2513,$H$5:H2513,"Falta",$L$5:L2513,Config!$B$7,$M$5:M2513,Config!$B$5)=1),COUNTIFS($E$5:$E$3004,E2513,$H$5:$H$3004,"Falta",$L$5:$L$3004,Config!$B$7,$M$5:$M$3004,Config!$B$5)*1000-ROW()/100000,0)</f>
        <v>0</v>
      </c>
    </row>
    <row r="2514">
      <c r="A2514" s="39" t="n"/>
      <c r="B2514" s="40" t="n"/>
      <c r="C2514" s="35" t="n"/>
      <c r="D2514" s="35" t="n"/>
      <c r="E2514" s="34" t="n"/>
      <c r="F2514" s="35" t="n"/>
      <c r="G2514" s="35" t="n"/>
      <c r="H2514" s="35" t="n"/>
      <c r="I2514" s="35" t="n"/>
      <c r="J2514" s="35" t="n"/>
      <c r="K2514" s="34" t="n"/>
      <c r="L2514" s="26">
        <f>IF(A2514="","",MONTH(A2514))</f>
        <v/>
      </c>
      <c r="M2514" s="26">
        <f>IF(A2514="","",YEAR(A2514))</f>
        <v/>
      </c>
      <c r="N2514" s="26">
        <f>IF(A2514="","",CHOOSE(WEEKDAY(A2514,2),"Segunda","Terça","Quarta","Quinta","Sexta","Sábado","Domingo"))</f>
        <v/>
      </c>
      <c r="O2514" s="26">
        <f>IF(B2514="","",IF(B2514&lt;TIME(12,0,0),"Manhã",IF(B2514&lt;TIME(18,0,0),"Tarde","Noite")))</f>
        <v/>
      </c>
      <c r="P2514" s="32">
        <f>IF(G2514="","",IFERROR(INDEX(Config!$I$5:$I$16,MATCH(G2514,Config!$H$5:$H$16,0)),0))</f>
        <v/>
      </c>
      <c r="Q2514" s="30">
        <f>IF(OR(H2514&lt;&gt;"Realizado",P2514="",P2514=0),"",A2514+P2514)</f>
        <v/>
      </c>
      <c r="R2514" s="26">
        <f>IF(Q2514="","",IF(COUNTIFS($E$5:$E$3004,E2514,$A$5:$A$3004,"&gt;"&amp;A2514,$H$5:$H$3004,"&lt;&gt;Falta",$H$5:$H$3004,"&lt;&gt;Cancelado",$H$5:$H$3004,"&lt;&gt;Remarcado")&gt;0,"Sim","Não"))</f>
        <v/>
      </c>
      <c r="S2514" s="32">
        <f>IF(R2514&lt;&gt;"Não","",IF(Q2514+Config!$B$9&lt;=Config!$B$8,Config!$B$8-Q2514,""))</f>
        <v/>
      </c>
      <c r="T2514" s="26">
        <f>IF(S2514="","","Sim")</f>
        <v/>
      </c>
      <c r="U2514" s="41">
        <f>IF(T2514="Sim",S2514+ROW()/100000,0)</f>
        <v>0</v>
      </c>
      <c r="V2514" s="41">
        <f>IF(AND(H2514="Falta",L2514=Config!$B$7,M2514=Config!$B$5,COUNTIFS($E$5:E2514,E2514,$H$5:H2514,"Falta",$L$5:L2514,Config!$B$7,$M$5:M2514,Config!$B$5)=1),COUNTIFS($E$5:$E$3004,E2514,$H$5:$H$3004,"Falta",$L$5:$L$3004,Config!$B$7,$M$5:$M$3004,Config!$B$5)*1000-ROW()/100000,0)</f>
        <v>0</v>
      </c>
    </row>
    <row r="2515">
      <c r="A2515" s="39" t="n"/>
      <c r="B2515" s="40" t="n"/>
      <c r="C2515" s="35" t="n"/>
      <c r="D2515" s="35" t="n"/>
      <c r="E2515" s="34" t="n"/>
      <c r="F2515" s="35" t="n"/>
      <c r="G2515" s="35" t="n"/>
      <c r="H2515" s="35" t="n"/>
      <c r="I2515" s="35" t="n"/>
      <c r="J2515" s="35" t="n"/>
      <c r="K2515" s="34" t="n"/>
      <c r="L2515" s="26">
        <f>IF(A2515="","",MONTH(A2515))</f>
        <v/>
      </c>
      <c r="M2515" s="26">
        <f>IF(A2515="","",YEAR(A2515))</f>
        <v/>
      </c>
      <c r="N2515" s="26">
        <f>IF(A2515="","",CHOOSE(WEEKDAY(A2515,2),"Segunda","Terça","Quarta","Quinta","Sexta","Sábado","Domingo"))</f>
        <v/>
      </c>
      <c r="O2515" s="26">
        <f>IF(B2515="","",IF(B2515&lt;TIME(12,0,0),"Manhã",IF(B2515&lt;TIME(18,0,0),"Tarde","Noite")))</f>
        <v/>
      </c>
      <c r="P2515" s="32">
        <f>IF(G2515="","",IFERROR(INDEX(Config!$I$5:$I$16,MATCH(G2515,Config!$H$5:$H$16,0)),0))</f>
        <v/>
      </c>
      <c r="Q2515" s="30">
        <f>IF(OR(H2515&lt;&gt;"Realizado",P2515="",P2515=0),"",A2515+P2515)</f>
        <v/>
      </c>
      <c r="R2515" s="26">
        <f>IF(Q2515="","",IF(COUNTIFS($E$5:$E$3004,E2515,$A$5:$A$3004,"&gt;"&amp;A2515,$H$5:$H$3004,"&lt;&gt;Falta",$H$5:$H$3004,"&lt;&gt;Cancelado",$H$5:$H$3004,"&lt;&gt;Remarcado")&gt;0,"Sim","Não"))</f>
        <v/>
      </c>
      <c r="S2515" s="32">
        <f>IF(R2515&lt;&gt;"Não","",IF(Q2515+Config!$B$9&lt;=Config!$B$8,Config!$B$8-Q2515,""))</f>
        <v/>
      </c>
      <c r="T2515" s="26">
        <f>IF(S2515="","","Sim")</f>
        <v/>
      </c>
      <c r="U2515" s="41">
        <f>IF(T2515="Sim",S2515+ROW()/100000,0)</f>
        <v>0</v>
      </c>
      <c r="V2515" s="41">
        <f>IF(AND(H2515="Falta",L2515=Config!$B$7,M2515=Config!$B$5,COUNTIFS($E$5:E2515,E2515,$H$5:H2515,"Falta",$L$5:L2515,Config!$B$7,$M$5:M2515,Config!$B$5)=1),COUNTIFS($E$5:$E$3004,E2515,$H$5:$H$3004,"Falta",$L$5:$L$3004,Config!$B$7,$M$5:$M$3004,Config!$B$5)*1000-ROW()/100000,0)</f>
        <v>0</v>
      </c>
    </row>
    <row r="2516">
      <c r="A2516" s="39" t="n"/>
      <c r="B2516" s="40" t="n"/>
      <c r="C2516" s="35" t="n"/>
      <c r="D2516" s="35" t="n"/>
      <c r="E2516" s="34" t="n"/>
      <c r="F2516" s="35" t="n"/>
      <c r="G2516" s="35" t="n"/>
      <c r="H2516" s="35" t="n"/>
      <c r="I2516" s="35" t="n"/>
      <c r="J2516" s="35" t="n"/>
      <c r="K2516" s="34" t="n"/>
      <c r="L2516" s="26">
        <f>IF(A2516="","",MONTH(A2516))</f>
        <v/>
      </c>
      <c r="M2516" s="26">
        <f>IF(A2516="","",YEAR(A2516))</f>
        <v/>
      </c>
      <c r="N2516" s="26">
        <f>IF(A2516="","",CHOOSE(WEEKDAY(A2516,2),"Segunda","Terça","Quarta","Quinta","Sexta","Sábado","Domingo"))</f>
        <v/>
      </c>
      <c r="O2516" s="26">
        <f>IF(B2516="","",IF(B2516&lt;TIME(12,0,0),"Manhã",IF(B2516&lt;TIME(18,0,0),"Tarde","Noite")))</f>
        <v/>
      </c>
      <c r="P2516" s="32">
        <f>IF(G2516="","",IFERROR(INDEX(Config!$I$5:$I$16,MATCH(G2516,Config!$H$5:$H$16,0)),0))</f>
        <v/>
      </c>
      <c r="Q2516" s="30">
        <f>IF(OR(H2516&lt;&gt;"Realizado",P2516="",P2516=0),"",A2516+P2516)</f>
        <v/>
      </c>
      <c r="R2516" s="26">
        <f>IF(Q2516="","",IF(COUNTIFS($E$5:$E$3004,E2516,$A$5:$A$3004,"&gt;"&amp;A2516,$H$5:$H$3004,"&lt;&gt;Falta",$H$5:$H$3004,"&lt;&gt;Cancelado",$H$5:$H$3004,"&lt;&gt;Remarcado")&gt;0,"Sim","Não"))</f>
        <v/>
      </c>
      <c r="S2516" s="32">
        <f>IF(R2516&lt;&gt;"Não","",IF(Q2516+Config!$B$9&lt;=Config!$B$8,Config!$B$8-Q2516,""))</f>
        <v/>
      </c>
      <c r="T2516" s="26">
        <f>IF(S2516="","","Sim")</f>
        <v/>
      </c>
      <c r="U2516" s="41">
        <f>IF(T2516="Sim",S2516+ROW()/100000,0)</f>
        <v>0</v>
      </c>
      <c r="V2516" s="41">
        <f>IF(AND(H2516="Falta",L2516=Config!$B$7,M2516=Config!$B$5,COUNTIFS($E$5:E2516,E2516,$H$5:H2516,"Falta",$L$5:L2516,Config!$B$7,$M$5:M2516,Config!$B$5)=1),COUNTIFS($E$5:$E$3004,E2516,$H$5:$H$3004,"Falta",$L$5:$L$3004,Config!$B$7,$M$5:$M$3004,Config!$B$5)*1000-ROW()/100000,0)</f>
        <v>0</v>
      </c>
    </row>
    <row r="2517">
      <c r="A2517" s="39" t="n"/>
      <c r="B2517" s="40" t="n"/>
      <c r="C2517" s="35" t="n"/>
      <c r="D2517" s="35" t="n"/>
      <c r="E2517" s="34" t="n"/>
      <c r="F2517" s="35" t="n"/>
      <c r="G2517" s="35" t="n"/>
      <c r="H2517" s="35" t="n"/>
      <c r="I2517" s="35" t="n"/>
      <c r="J2517" s="35" t="n"/>
      <c r="K2517" s="34" t="n"/>
      <c r="L2517" s="26">
        <f>IF(A2517="","",MONTH(A2517))</f>
        <v/>
      </c>
      <c r="M2517" s="26">
        <f>IF(A2517="","",YEAR(A2517))</f>
        <v/>
      </c>
      <c r="N2517" s="26">
        <f>IF(A2517="","",CHOOSE(WEEKDAY(A2517,2),"Segunda","Terça","Quarta","Quinta","Sexta","Sábado","Domingo"))</f>
        <v/>
      </c>
      <c r="O2517" s="26">
        <f>IF(B2517="","",IF(B2517&lt;TIME(12,0,0),"Manhã",IF(B2517&lt;TIME(18,0,0),"Tarde","Noite")))</f>
        <v/>
      </c>
      <c r="P2517" s="32">
        <f>IF(G2517="","",IFERROR(INDEX(Config!$I$5:$I$16,MATCH(G2517,Config!$H$5:$H$16,0)),0))</f>
        <v/>
      </c>
      <c r="Q2517" s="30">
        <f>IF(OR(H2517&lt;&gt;"Realizado",P2517="",P2517=0),"",A2517+P2517)</f>
        <v/>
      </c>
      <c r="R2517" s="26">
        <f>IF(Q2517="","",IF(COUNTIFS($E$5:$E$3004,E2517,$A$5:$A$3004,"&gt;"&amp;A2517,$H$5:$H$3004,"&lt;&gt;Falta",$H$5:$H$3004,"&lt;&gt;Cancelado",$H$5:$H$3004,"&lt;&gt;Remarcado")&gt;0,"Sim","Não"))</f>
        <v/>
      </c>
      <c r="S2517" s="32">
        <f>IF(R2517&lt;&gt;"Não","",IF(Q2517+Config!$B$9&lt;=Config!$B$8,Config!$B$8-Q2517,""))</f>
        <v/>
      </c>
      <c r="T2517" s="26">
        <f>IF(S2517="","","Sim")</f>
        <v/>
      </c>
      <c r="U2517" s="41">
        <f>IF(T2517="Sim",S2517+ROW()/100000,0)</f>
        <v>0</v>
      </c>
      <c r="V2517" s="41">
        <f>IF(AND(H2517="Falta",L2517=Config!$B$7,M2517=Config!$B$5,COUNTIFS($E$5:E2517,E2517,$H$5:H2517,"Falta",$L$5:L2517,Config!$B$7,$M$5:M2517,Config!$B$5)=1),COUNTIFS($E$5:$E$3004,E2517,$H$5:$H$3004,"Falta",$L$5:$L$3004,Config!$B$7,$M$5:$M$3004,Config!$B$5)*1000-ROW()/100000,0)</f>
        <v>0</v>
      </c>
    </row>
    <row r="2518">
      <c r="A2518" s="39" t="n"/>
      <c r="B2518" s="40" t="n"/>
      <c r="C2518" s="35" t="n"/>
      <c r="D2518" s="35" t="n"/>
      <c r="E2518" s="34" t="n"/>
      <c r="F2518" s="35" t="n"/>
      <c r="G2518" s="35" t="n"/>
      <c r="H2518" s="35" t="n"/>
      <c r="I2518" s="35" t="n"/>
      <c r="J2518" s="35" t="n"/>
      <c r="K2518" s="34" t="n"/>
      <c r="L2518" s="26">
        <f>IF(A2518="","",MONTH(A2518))</f>
        <v/>
      </c>
      <c r="M2518" s="26">
        <f>IF(A2518="","",YEAR(A2518))</f>
        <v/>
      </c>
      <c r="N2518" s="26">
        <f>IF(A2518="","",CHOOSE(WEEKDAY(A2518,2),"Segunda","Terça","Quarta","Quinta","Sexta","Sábado","Domingo"))</f>
        <v/>
      </c>
      <c r="O2518" s="26">
        <f>IF(B2518="","",IF(B2518&lt;TIME(12,0,0),"Manhã",IF(B2518&lt;TIME(18,0,0),"Tarde","Noite")))</f>
        <v/>
      </c>
      <c r="P2518" s="32">
        <f>IF(G2518="","",IFERROR(INDEX(Config!$I$5:$I$16,MATCH(G2518,Config!$H$5:$H$16,0)),0))</f>
        <v/>
      </c>
      <c r="Q2518" s="30">
        <f>IF(OR(H2518&lt;&gt;"Realizado",P2518="",P2518=0),"",A2518+P2518)</f>
        <v/>
      </c>
      <c r="R2518" s="26">
        <f>IF(Q2518="","",IF(COUNTIFS($E$5:$E$3004,E2518,$A$5:$A$3004,"&gt;"&amp;A2518,$H$5:$H$3004,"&lt;&gt;Falta",$H$5:$H$3004,"&lt;&gt;Cancelado",$H$5:$H$3004,"&lt;&gt;Remarcado")&gt;0,"Sim","Não"))</f>
        <v/>
      </c>
      <c r="S2518" s="32">
        <f>IF(R2518&lt;&gt;"Não","",IF(Q2518+Config!$B$9&lt;=Config!$B$8,Config!$B$8-Q2518,""))</f>
        <v/>
      </c>
      <c r="T2518" s="26">
        <f>IF(S2518="","","Sim")</f>
        <v/>
      </c>
      <c r="U2518" s="41">
        <f>IF(T2518="Sim",S2518+ROW()/100000,0)</f>
        <v>0</v>
      </c>
      <c r="V2518" s="41">
        <f>IF(AND(H2518="Falta",L2518=Config!$B$7,M2518=Config!$B$5,COUNTIFS($E$5:E2518,E2518,$H$5:H2518,"Falta",$L$5:L2518,Config!$B$7,$M$5:M2518,Config!$B$5)=1),COUNTIFS($E$5:$E$3004,E2518,$H$5:$H$3004,"Falta",$L$5:$L$3004,Config!$B$7,$M$5:$M$3004,Config!$B$5)*1000-ROW()/100000,0)</f>
        <v>0</v>
      </c>
    </row>
    <row r="2519">
      <c r="A2519" s="39" t="n"/>
      <c r="B2519" s="40" t="n"/>
      <c r="C2519" s="35" t="n"/>
      <c r="D2519" s="35" t="n"/>
      <c r="E2519" s="34" t="n"/>
      <c r="F2519" s="35" t="n"/>
      <c r="G2519" s="35" t="n"/>
      <c r="H2519" s="35" t="n"/>
      <c r="I2519" s="35" t="n"/>
      <c r="J2519" s="35" t="n"/>
      <c r="K2519" s="34" t="n"/>
      <c r="L2519" s="26">
        <f>IF(A2519="","",MONTH(A2519))</f>
        <v/>
      </c>
      <c r="M2519" s="26">
        <f>IF(A2519="","",YEAR(A2519))</f>
        <v/>
      </c>
      <c r="N2519" s="26">
        <f>IF(A2519="","",CHOOSE(WEEKDAY(A2519,2),"Segunda","Terça","Quarta","Quinta","Sexta","Sábado","Domingo"))</f>
        <v/>
      </c>
      <c r="O2519" s="26">
        <f>IF(B2519="","",IF(B2519&lt;TIME(12,0,0),"Manhã",IF(B2519&lt;TIME(18,0,0),"Tarde","Noite")))</f>
        <v/>
      </c>
      <c r="P2519" s="32">
        <f>IF(G2519="","",IFERROR(INDEX(Config!$I$5:$I$16,MATCH(G2519,Config!$H$5:$H$16,0)),0))</f>
        <v/>
      </c>
      <c r="Q2519" s="30">
        <f>IF(OR(H2519&lt;&gt;"Realizado",P2519="",P2519=0),"",A2519+P2519)</f>
        <v/>
      </c>
      <c r="R2519" s="26">
        <f>IF(Q2519="","",IF(COUNTIFS($E$5:$E$3004,E2519,$A$5:$A$3004,"&gt;"&amp;A2519,$H$5:$H$3004,"&lt;&gt;Falta",$H$5:$H$3004,"&lt;&gt;Cancelado",$H$5:$H$3004,"&lt;&gt;Remarcado")&gt;0,"Sim","Não"))</f>
        <v/>
      </c>
      <c r="S2519" s="32">
        <f>IF(R2519&lt;&gt;"Não","",IF(Q2519+Config!$B$9&lt;=Config!$B$8,Config!$B$8-Q2519,""))</f>
        <v/>
      </c>
      <c r="T2519" s="26">
        <f>IF(S2519="","","Sim")</f>
        <v/>
      </c>
      <c r="U2519" s="41">
        <f>IF(T2519="Sim",S2519+ROW()/100000,0)</f>
        <v>0</v>
      </c>
      <c r="V2519" s="41">
        <f>IF(AND(H2519="Falta",L2519=Config!$B$7,M2519=Config!$B$5,COUNTIFS($E$5:E2519,E2519,$H$5:H2519,"Falta",$L$5:L2519,Config!$B$7,$M$5:M2519,Config!$B$5)=1),COUNTIFS($E$5:$E$3004,E2519,$H$5:$H$3004,"Falta",$L$5:$L$3004,Config!$B$7,$M$5:$M$3004,Config!$B$5)*1000-ROW()/100000,0)</f>
        <v>0</v>
      </c>
    </row>
    <row r="2520">
      <c r="A2520" s="39" t="n"/>
      <c r="B2520" s="40" t="n"/>
      <c r="C2520" s="35" t="n"/>
      <c r="D2520" s="35" t="n"/>
      <c r="E2520" s="34" t="n"/>
      <c r="F2520" s="35" t="n"/>
      <c r="G2520" s="35" t="n"/>
      <c r="H2520" s="35" t="n"/>
      <c r="I2520" s="35" t="n"/>
      <c r="J2520" s="35" t="n"/>
      <c r="K2520" s="34" t="n"/>
      <c r="L2520" s="26">
        <f>IF(A2520="","",MONTH(A2520))</f>
        <v/>
      </c>
      <c r="M2520" s="26">
        <f>IF(A2520="","",YEAR(A2520))</f>
        <v/>
      </c>
      <c r="N2520" s="26">
        <f>IF(A2520="","",CHOOSE(WEEKDAY(A2520,2),"Segunda","Terça","Quarta","Quinta","Sexta","Sábado","Domingo"))</f>
        <v/>
      </c>
      <c r="O2520" s="26">
        <f>IF(B2520="","",IF(B2520&lt;TIME(12,0,0),"Manhã",IF(B2520&lt;TIME(18,0,0),"Tarde","Noite")))</f>
        <v/>
      </c>
      <c r="P2520" s="32">
        <f>IF(G2520="","",IFERROR(INDEX(Config!$I$5:$I$16,MATCH(G2520,Config!$H$5:$H$16,0)),0))</f>
        <v/>
      </c>
      <c r="Q2520" s="30">
        <f>IF(OR(H2520&lt;&gt;"Realizado",P2520="",P2520=0),"",A2520+P2520)</f>
        <v/>
      </c>
      <c r="R2520" s="26">
        <f>IF(Q2520="","",IF(COUNTIFS($E$5:$E$3004,E2520,$A$5:$A$3004,"&gt;"&amp;A2520,$H$5:$H$3004,"&lt;&gt;Falta",$H$5:$H$3004,"&lt;&gt;Cancelado",$H$5:$H$3004,"&lt;&gt;Remarcado")&gt;0,"Sim","Não"))</f>
        <v/>
      </c>
      <c r="S2520" s="32">
        <f>IF(R2520&lt;&gt;"Não","",IF(Q2520+Config!$B$9&lt;=Config!$B$8,Config!$B$8-Q2520,""))</f>
        <v/>
      </c>
      <c r="T2520" s="26">
        <f>IF(S2520="","","Sim")</f>
        <v/>
      </c>
      <c r="U2520" s="41">
        <f>IF(T2520="Sim",S2520+ROW()/100000,0)</f>
        <v>0</v>
      </c>
      <c r="V2520" s="41">
        <f>IF(AND(H2520="Falta",L2520=Config!$B$7,M2520=Config!$B$5,COUNTIFS($E$5:E2520,E2520,$H$5:H2520,"Falta",$L$5:L2520,Config!$B$7,$M$5:M2520,Config!$B$5)=1),COUNTIFS($E$5:$E$3004,E2520,$H$5:$H$3004,"Falta",$L$5:$L$3004,Config!$B$7,$M$5:$M$3004,Config!$B$5)*1000-ROW()/100000,0)</f>
        <v>0</v>
      </c>
    </row>
    <row r="2521">
      <c r="A2521" s="39" t="n"/>
      <c r="B2521" s="40" t="n"/>
      <c r="C2521" s="35" t="n"/>
      <c r="D2521" s="35" t="n"/>
      <c r="E2521" s="34" t="n"/>
      <c r="F2521" s="35" t="n"/>
      <c r="G2521" s="35" t="n"/>
      <c r="H2521" s="35" t="n"/>
      <c r="I2521" s="35" t="n"/>
      <c r="J2521" s="35" t="n"/>
      <c r="K2521" s="34" t="n"/>
      <c r="L2521" s="26">
        <f>IF(A2521="","",MONTH(A2521))</f>
        <v/>
      </c>
      <c r="M2521" s="26">
        <f>IF(A2521="","",YEAR(A2521))</f>
        <v/>
      </c>
      <c r="N2521" s="26">
        <f>IF(A2521="","",CHOOSE(WEEKDAY(A2521,2),"Segunda","Terça","Quarta","Quinta","Sexta","Sábado","Domingo"))</f>
        <v/>
      </c>
      <c r="O2521" s="26">
        <f>IF(B2521="","",IF(B2521&lt;TIME(12,0,0),"Manhã",IF(B2521&lt;TIME(18,0,0),"Tarde","Noite")))</f>
        <v/>
      </c>
      <c r="P2521" s="32">
        <f>IF(G2521="","",IFERROR(INDEX(Config!$I$5:$I$16,MATCH(G2521,Config!$H$5:$H$16,0)),0))</f>
        <v/>
      </c>
      <c r="Q2521" s="30">
        <f>IF(OR(H2521&lt;&gt;"Realizado",P2521="",P2521=0),"",A2521+P2521)</f>
        <v/>
      </c>
      <c r="R2521" s="26">
        <f>IF(Q2521="","",IF(COUNTIFS($E$5:$E$3004,E2521,$A$5:$A$3004,"&gt;"&amp;A2521,$H$5:$H$3004,"&lt;&gt;Falta",$H$5:$H$3004,"&lt;&gt;Cancelado",$H$5:$H$3004,"&lt;&gt;Remarcado")&gt;0,"Sim","Não"))</f>
        <v/>
      </c>
      <c r="S2521" s="32">
        <f>IF(R2521&lt;&gt;"Não","",IF(Q2521+Config!$B$9&lt;=Config!$B$8,Config!$B$8-Q2521,""))</f>
        <v/>
      </c>
      <c r="T2521" s="26">
        <f>IF(S2521="","","Sim")</f>
        <v/>
      </c>
      <c r="U2521" s="41">
        <f>IF(T2521="Sim",S2521+ROW()/100000,0)</f>
        <v>0</v>
      </c>
      <c r="V2521" s="41">
        <f>IF(AND(H2521="Falta",L2521=Config!$B$7,M2521=Config!$B$5,COUNTIFS($E$5:E2521,E2521,$H$5:H2521,"Falta",$L$5:L2521,Config!$B$7,$M$5:M2521,Config!$B$5)=1),COUNTIFS($E$5:$E$3004,E2521,$H$5:$H$3004,"Falta",$L$5:$L$3004,Config!$B$7,$M$5:$M$3004,Config!$B$5)*1000-ROW()/100000,0)</f>
        <v>0</v>
      </c>
    </row>
    <row r="2522">
      <c r="A2522" s="39" t="n"/>
      <c r="B2522" s="40" t="n"/>
      <c r="C2522" s="35" t="n"/>
      <c r="D2522" s="35" t="n"/>
      <c r="E2522" s="34" t="n"/>
      <c r="F2522" s="35" t="n"/>
      <c r="G2522" s="35" t="n"/>
      <c r="H2522" s="35" t="n"/>
      <c r="I2522" s="35" t="n"/>
      <c r="J2522" s="35" t="n"/>
      <c r="K2522" s="34" t="n"/>
      <c r="L2522" s="26">
        <f>IF(A2522="","",MONTH(A2522))</f>
        <v/>
      </c>
      <c r="M2522" s="26">
        <f>IF(A2522="","",YEAR(A2522))</f>
        <v/>
      </c>
      <c r="N2522" s="26">
        <f>IF(A2522="","",CHOOSE(WEEKDAY(A2522,2),"Segunda","Terça","Quarta","Quinta","Sexta","Sábado","Domingo"))</f>
        <v/>
      </c>
      <c r="O2522" s="26">
        <f>IF(B2522="","",IF(B2522&lt;TIME(12,0,0),"Manhã",IF(B2522&lt;TIME(18,0,0),"Tarde","Noite")))</f>
        <v/>
      </c>
      <c r="P2522" s="32">
        <f>IF(G2522="","",IFERROR(INDEX(Config!$I$5:$I$16,MATCH(G2522,Config!$H$5:$H$16,0)),0))</f>
        <v/>
      </c>
      <c r="Q2522" s="30">
        <f>IF(OR(H2522&lt;&gt;"Realizado",P2522="",P2522=0),"",A2522+P2522)</f>
        <v/>
      </c>
      <c r="R2522" s="26">
        <f>IF(Q2522="","",IF(COUNTIFS($E$5:$E$3004,E2522,$A$5:$A$3004,"&gt;"&amp;A2522,$H$5:$H$3004,"&lt;&gt;Falta",$H$5:$H$3004,"&lt;&gt;Cancelado",$H$5:$H$3004,"&lt;&gt;Remarcado")&gt;0,"Sim","Não"))</f>
        <v/>
      </c>
      <c r="S2522" s="32">
        <f>IF(R2522&lt;&gt;"Não","",IF(Q2522+Config!$B$9&lt;=Config!$B$8,Config!$B$8-Q2522,""))</f>
        <v/>
      </c>
      <c r="T2522" s="26">
        <f>IF(S2522="","","Sim")</f>
        <v/>
      </c>
      <c r="U2522" s="41">
        <f>IF(T2522="Sim",S2522+ROW()/100000,0)</f>
        <v>0</v>
      </c>
      <c r="V2522" s="41">
        <f>IF(AND(H2522="Falta",L2522=Config!$B$7,M2522=Config!$B$5,COUNTIFS($E$5:E2522,E2522,$H$5:H2522,"Falta",$L$5:L2522,Config!$B$7,$M$5:M2522,Config!$B$5)=1),COUNTIFS($E$5:$E$3004,E2522,$H$5:$H$3004,"Falta",$L$5:$L$3004,Config!$B$7,$M$5:$M$3004,Config!$B$5)*1000-ROW()/100000,0)</f>
        <v>0</v>
      </c>
    </row>
    <row r="2523">
      <c r="A2523" s="39" t="n"/>
      <c r="B2523" s="40" t="n"/>
      <c r="C2523" s="35" t="n"/>
      <c r="D2523" s="35" t="n"/>
      <c r="E2523" s="34" t="n"/>
      <c r="F2523" s="35" t="n"/>
      <c r="G2523" s="35" t="n"/>
      <c r="H2523" s="35" t="n"/>
      <c r="I2523" s="35" t="n"/>
      <c r="J2523" s="35" t="n"/>
      <c r="K2523" s="34" t="n"/>
      <c r="L2523" s="26">
        <f>IF(A2523="","",MONTH(A2523))</f>
        <v/>
      </c>
      <c r="M2523" s="26">
        <f>IF(A2523="","",YEAR(A2523))</f>
        <v/>
      </c>
      <c r="N2523" s="26">
        <f>IF(A2523="","",CHOOSE(WEEKDAY(A2523,2),"Segunda","Terça","Quarta","Quinta","Sexta","Sábado","Domingo"))</f>
        <v/>
      </c>
      <c r="O2523" s="26">
        <f>IF(B2523="","",IF(B2523&lt;TIME(12,0,0),"Manhã",IF(B2523&lt;TIME(18,0,0),"Tarde","Noite")))</f>
        <v/>
      </c>
      <c r="P2523" s="32">
        <f>IF(G2523="","",IFERROR(INDEX(Config!$I$5:$I$16,MATCH(G2523,Config!$H$5:$H$16,0)),0))</f>
        <v/>
      </c>
      <c r="Q2523" s="30">
        <f>IF(OR(H2523&lt;&gt;"Realizado",P2523="",P2523=0),"",A2523+P2523)</f>
        <v/>
      </c>
      <c r="R2523" s="26">
        <f>IF(Q2523="","",IF(COUNTIFS($E$5:$E$3004,E2523,$A$5:$A$3004,"&gt;"&amp;A2523,$H$5:$H$3004,"&lt;&gt;Falta",$H$5:$H$3004,"&lt;&gt;Cancelado",$H$5:$H$3004,"&lt;&gt;Remarcado")&gt;0,"Sim","Não"))</f>
        <v/>
      </c>
      <c r="S2523" s="32">
        <f>IF(R2523&lt;&gt;"Não","",IF(Q2523+Config!$B$9&lt;=Config!$B$8,Config!$B$8-Q2523,""))</f>
        <v/>
      </c>
      <c r="T2523" s="26">
        <f>IF(S2523="","","Sim")</f>
        <v/>
      </c>
      <c r="U2523" s="41">
        <f>IF(T2523="Sim",S2523+ROW()/100000,0)</f>
        <v>0</v>
      </c>
      <c r="V2523" s="41">
        <f>IF(AND(H2523="Falta",L2523=Config!$B$7,M2523=Config!$B$5,COUNTIFS($E$5:E2523,E2523,$H$5:H2523,"Falta",$L$5:L2523,Config!$B$7,$M$5:M2523,Config!$B$5)=1),COUNTIFS($E$5:$E$3004,E2523,$H$5:$H$3004,"Falta",$L$5:$L$3004,Config!$B$7,$M$5:$M$3004,Config!$B$5)*1000-ROW()/100000,0)</f>
        <v>0</v>
      </c>
    </row>
    <row r="2524">
      <c r="A2524" s="39" t="n"/>
      <c r="B2524" s="40" t="n"/>
      <c r="C2524" s="35" t="n"/>
      <c r="D2524" s="35" t="n"/>
      <c r="E2524" s="34" t="n"/>
      <c r="F2524" s="35" t="n"/>
      <c r="G2524" s="35" t="n"/>
      <c r="H2524" s="35" t="n"/>
      <c r="I2524" s="35" t="n"/>
      <c r="J2524" s="35" t="n"/>
      <c r="K2524" s="34" t="n"/>
      <c r="L2524" s="26">
        <f>IF(A2524="","",MONTH(A2524))</f>
        <v/>
      </c>
      <c r="M2524" s="26">
        <f>IF(A2524="","",YEAR(A2524))</f>
        <v/>
      </c>
      <c r="N2524" s="26">
        <f>IF(A2524="","",CHOOSE(WEEKDAY(A2524,2),"Segunda","Terça","Quarta","Quinta","Sexta","Sábado","Domingo"))</f>
        <v/>
      </c>
      <c r="O2524" s="26">
        <f>IF(B2524="","",IF(B2524&lt;TIME(12,0,0),"Manhã",IF(B2524&lt;TIME(18,0,0),"Tarde","Noite")))</f>
        <v/>
      </c>
      <c r="P2524" s="32">
        <f>IF(G2524="","",IFERROR(INDEX(Config!$I$5:$I$16,MATCH(G2524,Config!$H$5:$H$16,0)),0))</f>
        <v/>
      </c>
      <c r="Q2524" s="30">
        <f>IF(OR(H2524&lt;&gt;"Realizado",P2524="",P2524=0),"",A2524+P2524)</f>
        <v/>
      </c>
      <c r="R2524" s="26">
        <f>IF(Q2524="","",IF(COUNTIFS($E$5:$E$3004,E2524,$A$5:$A$3004,"&gt;"&amp;A2524,$H$5:$H$3004,"&lt;&gt;Falta",$H$5:$H$3004,"&lt;&gt;Cancelado",$H$5:$H$3004,"&lt;&gt;Remarcado")&gt;0,"Sim","Não"))</f>
        <v/>
      </c>
      <c r="S2524" s="32">
        <f>IF(R2524&lt;&gt;"Não","",IF(Q2524+Config!$B$9&lt;=Config!$B$8,Config!$B$8-Q2524,""))</f>
        <v/>
      </c>
      <c r="T2524" s="26">
        <f>IF(S2524="","","Sim")</f>
        <v/>
      </c>
      <c r="U2524" s="41">
        <f>IF(T2524="Sim",S2524+ROW()/100000,0)</f>
        <v>0</v>
      </c>
      <c r="V2524" s="41">
        <f>IF(AND(H2524="Falta",L2524=Config!$B$7,M2524=Config!$B$5,COUNTIFS($E$5:E2524,E2524,$H$5:H2524,"Falta",$L$5:L2524,Config!$B$7,$M$5:M2524,Config!$B$5)=1),COUNTIFS($E$5:$E$3004,E2524,$H$5:$H$3004,"Falta",$L$5:$L$3004,Config!$B$7,$M$5:$M$3004,Config!$B$5)*1000-ROW()/100000,0)</f>
        <v>0</v>
      </c>
    </row>
    <row r="2525">
      <c r="A2525" s="39" t="n"/>
      <c r="B2525" s="40" t="n"/>
      <c r="C2525" s="35" t="n"/>
      <c r="D2525" s="35" t="n"/>
      <c r="E2525" s="34" t="n"/>
      <c r="F2525" s="35" t="n"/>
      <c r="G2525" s="35" t="n"/>
      <c r="H2525" s="35" t="n"/>
      <c r="I2525" s="35" t="n"/>
      <c r="J2525" s="35" t="n"/>
      <c r="K2525" s="34" t="n"/>
      <c r="L2525" s="26">
        <f>IF(A2525="","",MONTH(A2525))</f>
        <v/>
      </c>
      <c r="M2525" s="26">
        <f>IF(A2525="","",YEAR(A2525))</f>
        <v/>
      </c>
      <c r="N2525" s="26">
        <f>IF(A2525="","",CHOOSE(WEEKDAY(A2525,2),"Segunda","Terça","Quarta","Quinta","Sexta","Sábado","Domingo"))</f>
        <v/>
      </c>
      <c r="O2525" s="26">
        <f>IF(B2525="","",IF(B2525&lt;TIME(12,0,0),"Manhã",IF(B2525&lt;TIME(18,0,0),"Tarde","Noite")))</f>
        <v/>
      </c>
      <c r="P2525" s="32">
        <f>IF(G2525="","",IFERROR(INDEX(Config!$I$5:$I$16,MATCH(G2525,Config!$H$5:$H$16,0)),0))</f>
        <v/>
      </c>
      <c r="Q2525" s="30">
        <f>IF(OR(H2525&lt;&gt;"Realizado",P2525="",P2525=0),"",A2525+P2525)</f>
        <v/>
      </c>
      <c r="R2525" s="26">
        <f>IF(Q2525="","",IF(COUNTIFS($E$5:$E$3004,E2525,$A$5:$A$3004,"&gt;"&amp;A2525,$H$5:$H$3004,"&lt;&gt;Falta",$H$5:$H$3004,"&lt;&gt;Cancelado",$H$5:$H$3004,"&lt;&gt;Remarcado")&gt;0,"Sim","Não"))</f>
        <v/>
      </c>
      <c r="S2525" s="32">
        <f>IF(R2525&lt;&gt;"Não","",IF(Q2525+Config!$B$9&lt;=Config!$B$8,Config!$B$8-Q2525,""))</f>
        <v/>
      </c>
      <c r="T2525" s="26">
        <f>IF(S2525="","","Sim")</f>
        <v/>
      </c>
      <c r="U2525" s="41">
        <f>IF(T2525="Sim",S2525+ROW()/100000,0)</f>
        <v>0</v>
      </c>
      <c r="V2525" s="41">
        <f>IF(AND(H2525="Falta",L2525=Config!$B$7,M2525=Config!$B$5,COUNTIFS($E$5:E2525,E2525,$H$5:H2525,"Falta",$L$5:L2525,Config!$B$7,$M$5:M2525,Config!$B$5)=1),COUNTIFS($E$5:$E$3004,E2525,$H$5:$H$3004,"Falta",$L$5:$L$3004,Config!$B$7,$M$5:$M$3004,Config!$B$5)*1000-ROW()/100000,0)</f>
        <v>0</v>
      </c>
    </row>
    <row r="2526">
      <c r="A2526" s="39" t="n"/>
      <c r="B2526" s="40" t="n"/>
      <c r="C2526" s="35" t="n"/>
      <c r="D2526" s="35" t="n"/>
      <c r="E2526" s="34" t="n"/>
      <c r="F2526" s="35" t="n"/>
      <c r="G2526" s="35" t="n"/>
      <c r="H2526" s="35" t="n"/>
      <c r="I2526" s="35" t="n"/>
      <c r="J2526" s="35" t="n"/>
      <c r="K2526" s="34" t="n"/>
      <c r="L2526" s="26">
        <f>IF(A2526="","",MONTH(A2526))</f>
        <v/>
      </c>
      <c r="M2526" s="26">
        <f>IF(A2526="","",YEAR(A2526))</f>
        <v/>
      </c>
      <c r="N2526" s="26">
        <f>IF(A2526="","",CHOOSE(WEEKDAY(A2526,2),"Segunda","Terça","Quarta","Quinta","Sexta","Sábado","Domingo"))</f>
        <v/>
      </c>
      <c r="O2526" s="26">
        <f>IF(B2526="","",IF(B2526&lt;TIME(12,0,0),"Manhã",IF(B2526&lt;TIME(18,0,0),"Tarde","Noite")))</f>
        <v/>
      </c>
      <c r="P2526" s="32">
        <f>IF(G2526="","",IFERROR(INDEX(Config!$I$5:$I$16,MATCH(G2526,Config!$H$5:$H$16,0)),0))</f>
        <v/>
      </c>
      <c r="Q2526" s="30">
        <f>IF(OR(H2526&lt;&gt;"Realizado",P2526="",P2526=0),"",A2526+P2526)</f>
        <v/>
      </c>
      <c r="R2526" s="26">
        <f>IF(Q2526="","",IF(COUNTIFS($E$5:$E$3004,E2526,$A$5:$A$3004,"&gt;"&amp;A2526,$H$5:$H$3004,"&lt;&gt;Falta",$H$5:$H$3004,"&lt;&gt;Cancelado",$H$5:$H$3004,"&lt;&gt;Remarcado")&gt;0,"Sim","Não"))</f>
        <v/>
      </c>
      <c r="S2526" s="32">
        <f>IF(R2526&lt;&gt;"Não","",IF(Q2526+Config!$B$9&lt;=Config!$B$8,Config!$B$8-Q2526,""))</f>
        <v/>
      </c>
      <c r="T2526" s="26">
        <f>IF(S2526="","","Sim")</f>
        <v/>
      </c>
      <c r="U2526" s="41">
        <f>IF(T2526="Sim",S2526+ROW()/100000,0)</f>
        <v>0</v>
      </c>
      <c r="V2526" s="41">
        <f>IF(AND(H2526="Falta",L2526=Config!$B$7,M2526=Config!$B$5,COUNTIFS($E$5:E2526,E2526,$H$5:H2526,"Falta",$L$5:L2526,Config!$B$7,$M$5:M2526,Config!$B$5)=1),COUNTIFS($E$5:$E$3004,E2526,$H$5:$H$3004,"Falta",$L$5:$L$3004,Config!$B$7,$M$5:$M$3004,Config!$B$5)*1000-ROW()/100000,0)</f>
        <v>0</v>
      </c>
    </row>
    <row r="2527">
      <c r="A2527" s="39" t="n"/>
      <c r="B2527" s="40" t="n"/>
      <c r="C2527" s="35" t="n"/>
      <c r="D2527" s="35" t="n"/>
      <c r="E2527" s="34" t="n"/>
      <c r="F2527" s="35" t="n"/>
      <c r="G2527" s="35" t="n"/>
      <c r="H2527" s="35" t="n"/>
      <c r="I2527" s="35" t="n"/>
      <c r="J2527" s="35" t="n"/>
      <c r="K2527" s="34" t="n"/>
      <c r="L2527" s="26">
        <f>IF(A2527="","",MONTH(A2527))</f>
        <v/>
      </c>
      <c r="M2527" s="26">
        <f>IF(A2527="","",YEAR(A2527))</f>
        <v/>
      </c>
      <c r="N2527" s="26">
        <f>IF(A2527="","",CHOOSE(WEEKDAY(A2527,2),"Segunda","Terça","Quarta","Quinta","Sexta","Sábado","Domingo"))</f>
        <v/>
      </c>
      <c r="O2527" s="26">
        <f>IF(B2527="","",IF(B2527&lt;TIME(12,0,0),"Manhã",IF(B2527&lt;TIME(18,0,0),"Tarde","Noite")))</f>
        <v/>
      </c>
      <c r="P2527" s="32">
        <f>IF(G2527="","",IFERROR(INDEX(Config!$I$5:$I$16,MATCH(G2527,Config!$H$5:$H$16,0)),0))</f>
        <v/>
      </c>
      <c r="Q2527" s="30">
        <f>IF(OR(H2527&lt;&gt;"Realizado",P2527="",P2527=0),"",A2527+P2527)</f>
        <v/>
      </c>
      <c r="R2527" s="26">
        <f>IF(Q2527="","",IF(COUNTIFS($E$5:$E$3004,E2527,$A$5:$A$3004,"&gt;"&amp;A2527,$H$5:$H$3004,"&lt;&gt;Falta",$H$5:$H$3004,"&lt;&gt;Cancelado",$H$5:$H$3004,"&lt;&gt;Remarcado")&gt;0,"Sim","Não"))</f>
        <v/>
      </c>
      <c r="S2527" s="32">
        <f>IF(R2527&lt;&gt;"Não","",IF(Q2527+Config!$B$9&lt;=Config!$B$8,Config!$B$8-Q2527,""))</f>
        <v/>
      </c>
      <c r="T2527" s="26">
        <f>IF(S2527="","","Sim")</f>
        <v/>
      </c>
      <c r="U2527" s="41">
        <f>IF(T2527="Sim",S2527+ROW()/100000,0)</f>
        <v>0</v>
      </c>
      <c r="V2527" s="41">
        <f>IF(AND(H2527="Falta",L2527=Config!$B$7,M2527=Config!$B$5,COUNTIFS($E$5:E2527,E2527,$H$5:H2527,"Falta",$L$5:L2527,Config!$B$7,$M$5:M2527,Config!$B$5)=1),COUNTIFS($E$5:$E$3004,E2527,$H$5:$H$3004,"Falta",$L$5:$L$3004,Config!$B$7,$M$5:$M$3004,Config!$B$5)*1000-ROW()/100000,0)</f>
        <v>0</v>
      </c>
    </row>
    <row r="2528">
      <c r="A2528" s="39" t="n"/>
      <c r="B2528" s="40" t="n"/>
      <c r="C2528" s="35" t="n"/>
      <c r="D2528" s="35" t="n"/>
      <c r="E2528" s="34" t="n"/>
      <c r="F2528" s="35" t="n"/>
      <c r="G2528" s="35" t="n"/>
      <c r="H2528" s="35" t="n"/>
      <c r="I2528" s="35" t="n"/>
      <c r="J2528" s="35" t="n"/>
      <c r="K2528" s="34" t="n"/>
      <c r="L2528" s="26">
        <f>IF(A2528="","",MONTH(A2528))</f>
        <v/>
      </c>
      <c r="M2528" s="26">
        <f>IF(A2528="","",YEAR(A2528))</f>
        <v/>
      </c>
      <c r="N2528" s="26">
        <f>IF(A2528="","",CHOOSE(WEEKDAY(A2528,2),"Segunda","Terça","Quarta","Quinta","Sexta","Sábado","Domingo"))</f>
        <v/>
      </c>
      <c r="O2528" s="26">
        <f>IF(B2528="","",IF(B2528&lt;TIME(12,0,0),"Manhã",IF(B2528&lt;TIME(18,0,0),"Tarde","Noite")))</f>
        <v/>
      </c>
      <c r="P2528" s="32">
        <f>IF(G2528="","",IFERROR(INDEX(Config!$I$5:$I$16,MATCH(G2528,Config!$H$5:$H$16,0)),0))</f>
        <v/>
      </c>
      <c r="Q2528" s="30">
        <f>IF(OR(H2528&lt;&gt;"Realizado",P2528="",P2528=0),"",A2528+P2528)</f>
        <v/>
      </c>
      <c r="R2528" s="26">
        <f>IF(Q2528="","",IF(COUNTIFS($E$5:$E$3004,E2528,$A$5:$A$3004,"&gt;"&amp;A2528,$H$5:$H$3004,"&lt;&gt;Falta",$H$5:$H$3004,"&lt;&gt;Cancelado",$H$5:$H$3004,"&lt;&gt;Remarcado")&gt;0,"Sim","Não"))</f>
        <v/>
      </c>
      <c r="S2528" s="32">
        <f>IF(R2528&lt;&gt;"Não","",IF(Q2528+Config!$B$9&lt;=Config!$B$8,Config!$B$8-Q2528,""))</f>
        <v/>
      </c>
      <c r="T2528" s="26">
        <f>IF(S2528="","","Sim")</f>
        <v/>
      </c>
      <c r="U2528" s="41">
        <f>IF(T2528="Sim",S2528+ROW()/100000,0)</f>
        <v>0</v>
      </c>
      <c r="V2528" s="41">
        <f>IF(AND(H2528="Falta",L2528=Config!$B$7,M2528=Config!$B$5,COUNTIFS($E$5:E2528,E2528,$H$5:H2528,"Falta",$L$5:L2528,Config!$B$7,$M$5:M2528,Config!$B$5)=1),COUNTIFS($E$5:$E$3004,E2528,$H$5:$H$3004,"Falta",$L$5:$L$3004,Config!$B$7,$M$5:$M$3004,Config!$B$5)*1000-ROW()/100000,0)</f>
        <v>0</v>
      </c>
    </row>
    <row r="2529">
      <c r="A2529" s="39" t="n"/>
      <c r="B2529" s="40" t="n"/>
      <c r="C2529" s="35" t="n"/>
      <c r="D2529" s="35" t="n"/>
      <c r="E2529" s="34" t="n"/>
      <c r="F2529" s="35" t="n"/>
      <c r="G2529" s="35" t="n"/>
      <c r="H2529" s="35" t="n"/>
      <c r="I2529" s="35" t="n"/>
      <c r="J2529" s="35" t="n"/>
      <c r="K2529" s="34" t="n"/>
      <c r="L2529" s="26">
        <f>IF(A2529="","",MONTH(A2529))</f>
        <v/>
      </c>
      <c r="M2529" s="26">
        <f>IF(A2529="","",YEAR(A2529))</f>
        <v/>
      </c>
      <c r="N2529" s="26">
        <f>IF(A2529="","",CHOOSE(WEEKDAY(A2529,2),"Segunda","Terça","Quarta","Quinta","Sexta","Sábado","Domingo"))</f>
        <v/>
      </c>
      <c r="O2529" s="26">
        <f>IF(B2529="","",IF(B2529&lt;TIME(12,0,0),"Manhã",IF(B2529&lt;TIME(18,0,0),"Tarde","Noite")))</f>
        <v/>
      </c>
      <c r="P2529" s="32">
        <f>IF(G2529="","",IFERROR(INDEX(Config!$I$5:$I$16,MATCH(G2529,Config!$H$5:$H$16,0)),0))</f>
        <v/>
      </c>
      <c r="Q2529" s="30">
        <f>IF(OR(H2529&lt;&gt;"Realizado",P2529="",P2529=0),"",A2529+P2529)</f>
        <v/>
      </c>
      <c r="R2529" s="26">
        <f>IF(Q2529="","",IF(COUNTIFS($E$5:$E$3004,E2529,$A$5:$A$3004,"&gt;"&amp;A2529,$H$5:$H$3004,"&lt;&gt;Falta",$H$5:$H$3004,"&lt;&gt;Cancelado",$H$5:$H$3004,"&lt;&gt;Remarcado")&gt;0,"Sim","Não"))</f>
        <v/>
      </c>
      <c r="S2529" s="32">
        <f>IF(R2529&lt;&gt;"Não","",IF(Q2529+Config!$B$9&lt;=Config!$B$8,Config!$B$8-Q2529,""))</f>
        <v/>
      </c>
      <c r="T2529" s="26">
        <f>IF(S2529="","","Sim")</f>
        <v/>
      </c>
      <c r="U2529" s="41">
        <f>IF(T2529="Sim",S2529+ROW()/100000,0)</f>
        <v>0</v>
      </c>
      <c r="V2529" s="41">
        <f>IF(AND(H2529="Falta",L2529=Config!$B$7,M2529=Config!$B$5,COUNTIFS($E$5:E2529,E2529,$H$5:H2529,"Falta",$L$5:L2529,Config!$B$7,$M$5:M2529,Config!$B$5)=1),COUNTIFS($E$5:$E$3004,E2529,$H$5:$H$3004,"Falta",$L$5:$L$3004,Config!$B$7,$M$5:$M$3004,Config!$B$5)*1000-ROW()/100000,0)</f>
        <v>0</v>
      </c>
    </row>
    <row r="2530">
      <c r="A2530" s="39" t="n"/>
      <c r="B2530" s="40" t="n"/>
      <c r="C2530" s="35" t="n"/>
      <c r="D2530" s="35" t="n"/>
      <c r="E2530" s="34" t="n"/>
      <c r="F2530" s="35" t="n"/>
      <c r="G2530" s="35" t="n"/>
      <c r="H2530" s="35" t="n"/>
      <c r="I2530" s="35" t="n"/>
      <c r="J2530" s="35" t="n"/>
      <c r="K2530" s="34" t="n"/>
      <c r="L2530" s="26">
        <f>IF(A2530="","",MONTH(A2530))</f>
        <v/>
      </c>
      <c r="M2530" s="26">
        <f>IF(A2530="","",YEAR(A2530))</f>
        <v/>
      </c>
      <c r="N2530" s="26">
        <f>IF(A2530="","",CHOOSE(WEEKDAY(A2530,2),"Segunda","Terça","Quarta","Quinta","Sexta","Sábado","Domingo"))</f>
        <v/>
      </c>
      <c r="O2530" s="26">
        <f>IF(B2530="","",IF(B2530&lt;TIME(12,0,0),"Manhã",IF(B2530&lt;TIME(18,0,0),"Tarde","Noite")))</f>
        <v/>
      </c>
      <c r="P2530" s="32">
        <f>IF(G2530="","",IFERROR(INDEX(Config!$I$5:$I$16,MATCH(G2530,Config!$H$5:$H$16,0)),0))</f>
        <v/>
      </c>
      <c r="Q2530" s="30">
        <f>IF(OR(H2530&lt;&gt;"Realizado",P2530="",P2530=0),"",A2530+P2530)</f>
        <v/>
      </c>
      <c r="R2530" s="26">
        <f>IF(Q2530="","",IF(COUNTIFS($E$5:$E$3004,E2530,$A$5:$A$3004,"&gt;"&amp;A2530,$H$5:$H$3004,"&lt;&gt;Falta",$H$5:$H$3004,"&lt;&gt;Cancelado",$H$5:$H$3004,"&lt;&gt;Remarcado")&gt;0,"Sim","Não"))</f>
        <v/>
      </c>
      <c r="S2530" s="32">
        <f>IF(R2530&lt;&gt;"Não","",IF(Q2530+Config!$B$9&lt;=Config!$B$8,Config!$B$8-Q2530,""))</f>
        <v/>
      </c>
      <c r="T2530" s="26">
        <f>IF(S2530="","","Sim")</f>
        <v/>
      </c>
      <c r="U2530" s="41">
        <f>IF(T2530="Sim",S2530+ROW()/100000,0)</f>
        <v>0</v>
      </c>
      <c r="V2530" s="41">
        <f>IF(AND(H2530="Falta",L2530=Config!$B$7,M2530=Config!$B$5,COUNTIFS($E$5:E2530,E2530,$H$5:H2530,"Falta",$L$5:L2530,Config!$B$7,$M$5:M2530,Config!$B$5)=1),COUNTIFS($E$5:$E$3004,E2530,$H$5:$H$3004,"Falta",$L$5:$L$3004,Config!$B$7,$M$5:$M$3004,Config!$B$5)*1000-ROW()/100000,0)</f>
        <v>0</v>
      </c>
    </row>
    <row r="2531">
      <c r="A2531" s="39" t="n"/>
      <c r="B2531" s="40" t="n"/>
      <c r="C2531" s="35" t="n"/>
      <c r="D2531" s="35" t="n"/>
      <c r="E2531" s="34" t="n"/>
      <c r="F2531" s="35" t="n"/>
      <c r="G2531" s="35" t="n"/>
      <c r="H2531" s="35" t="n"/>
      <c r="I2531" s="35" t="n"/>
      <c r="J2531" s="35" t="n"/>
      <c r="K2531" s="34" t="n"/>
      <c r="L2531" s="26">
        <f>IF(A2531="","",MONTH(A2531))</f>
        <v/>
      </c>
      <c r="M2531" s="26">
        <f>IF(A2531="","",YEAR(A2531))</f>
        <v/>
      </c>
      <c r="N2531" s="26">
        <f>IF(A2531="","",CHOOSE(WEEKDAY(A2531,2),"Segunda","Terça","Quarta","Quinta","Sexta","Sábado","Domingo"))</f>
        <v/>
      </c>
      <c r="O2531" s="26">
        <f>IF(B2531="","",IF(B2531&lt;TIME(12,0,0),"Manhã",IF(B2531&lt;TIME(18,0,0),"Tarde","Noite")))</f>
        <v/>
      </c>
      <c r="P2531" s="32">
        <f>IF(G2531="","",IFERROR(INDEX(Config!$I$5:$I$16,MATCH(G2531,Config!$H$5:$H$16,0)),0))</f>
        <v/>
      </c>
      <c r="Q2531" s="30">
        <f>IF(OR(H2531&lt;&gt;"Realizado",P2531="",P2531=0),"",A2531+P2531)</f>
        <v/>
      </c>
      <c r="R2531" s="26">
        <f>IF(Q2531="","",IF(COUNTIFS($E$5:$E$3004,E2531,$A$5:$A$3004,"&gt;"&amp;A2531,$H$5:$H$3004,"&lt;&gt;Falta",$H$5:$H$3004,"&lt;&gt;Cancelado",$H$5:$H$3004,"&lt;&gt;Remarcado")&gt;0,"Sim","Não"))</f>
        <v/>
      </c>
      <c r="S2531" s="32">
        <f>IF(R2531&lt;&gt;"Não","",IF(Q2531+Config!$B$9&lt;=Config!$B$8,Config!$B$8-Q2531,""))</f>
        <v/>
      </c>
      <c r="T2531" s="26">
        <f>IF(S2531="","","Sim")</f>
        <v/>
      </c>
      <c r="U2531" s="41">
        <f>IF(T2531="Sim",S2531+ROW()/100000,0)</f>
        <v>0</v>
      </c>
      <c r="V2531" s="41">
        <f>IF(AND(H2531="Falta",L2531=Config!$B$7,M2531=Config!$B$5,COUNTIFS($E$5:E2531,E2531,$H$5:H2531,"Falta",$L$5:L2531,Config!$B$7,$M$5:M2531,Config!$B$5)=1),COUNTIFS($E$5:$E$3004,E2531,$H$5:$H$3004,"Falta",$L$5:$L$3004,Config!$B$7,$M$5:$M$3004,Config!$B$5)*1000-ROW()/100000,0)</f>
        <v>0</v>
      </c>
    </row>
    <row r="2532">
      <c r="A2532" s="39" t="n"/>
      <c r="B2532" s="40" t="n"/>
      <c r="C2532" s="35" t="n"/>
      <c r="D2532" s="35" t="n"/>
      <c r="E2532" s="34" t="n"/>
      <c r="F2532" s="35" t="n"/>
      <c r="G2532" s="35" t="n"/>
      <c r="H2532" s="35" t="n"/>
      <c r="I2532" s="35" t="n"/>
      <c r="J2532" s="35" t="n"/>
      <c r="K2532" s="34" t="n"/>
      <c r="L2532" s="26">
        <f>IF(A2532="","",MONTH(A2532))</f>
        <v/>
      </c>
      <c r="M2532" s="26">
        <f>IF(A2532="","",YEAR(A2532))</f>
        <v/>
      </c>
      <c r="N2532" s="26">
        <f>IF(A2532="","",CHOOSE(WEEKDAY(A2532,2),"Segunda","Terça","Quarta","Quinta","Sexta","Sábado","Domingo"))</f>
        <v/>
      </c>
      <c r="O2532" s="26">
        <f>IF(B2532="","",IF(B2532&lt;TIME(12,0,0),"Manhã",IF(B2532&lt;TIME(18,0,0),"Tarde","Noite")))</f>
        <v/>
      </c>
      <c r="P2532" s="32">
        <f>IF(G2532="","",IFERROR(INDEX(Config!$I$5:$I$16,MATCH(G2532,Config!$H$5:$H$16,0)),0))</f>
        <v/>
      </c>
      <c r="Q2532" s="30">
        <f>IF(OR(H2532&lt;&gt;"Realizado",P2532="",P2532=0),"",A2532+P2532)</f>
        <v/>
      </c>
      <c r="R2532" s="26">
        <f>IF(Q2532="","",IF(COUNTIFS($E$5:$E$3004,E2532,$A$5:$A$3004,"&gt;"&amp;A2532,$H$5:$H$3004,"&lt;&gt;Falta",$H$5:$H$3004,"&lt;&gt;Cancelado",$H$5:$H$3004,"&lt;&gt;Remarcado")&gt;0,"Sim","Não"))</f>
        <v/>
      </c>
      <c r="S2532" s="32">
        <f>IF(R2532&lt;&gt;"Não","",IF(Q2532+Config!$B$9&lt;=Config!$B$8,Config!$B$8-Q2532,""))</f>
        <v/>
      </c>
      <c r="T2532" s="26">
        <f>IF(S2532="","","Sim")</f>
        <v/>
      </c>
      <c r="U2532" s="41">
        <f>IF(T2532="Sim",S2532+ROW()/100000,0)</f>
        <v>0</v>
      </c>
      <c r="V2532" s="41">
        <f>IF(AND(H2532="Falta",L2532=Config!$B$7,M2532=Config!$B$5,COUNTIFS($E$5:E2532,E2532,$H$5:H2532,"Falta",$L$5:L2532,Config!$B$7,$M$5:M2532,Config!$B$5)=1),COUNTIFS($E$5:$E$3004,E2532,$H$5:$H$3004,"Falta",$L$5:$L$3004,Config!$B$7,$M$5:$M$3004,Config!$B$5)*1000-ROW()/100000,0)</f>
        <v>0</v>
      </c>
    </row>
    <row r="2533">
      <c r="A2533" s="39" t="n"/>
      <c r="B2533" s="40" t="n"/>
      <c r="C2533" s="35" t="n"/>
      <c r="D2533" s="35" t="n"/>
      <c r="E2533" s="34" t="n"/>
      <c r="F2533" s="35" t="n"/>
      <c r="G2533" s="35" t="n"/>
      <c r="H2533" s="35" t="n"/>
      <c r="I2533" s="35" t="n"/>
      <c r="J2533" s="35" t="n"/>
      <c r="K2533" s="34" t="n"/>
      <c r="L2533" s="26">
        <f>IF(A2533="","",MONTH(A2533))</f>
        <v/>
      </c>
      <c r="M2533" s="26">
        <f>IF(A2533="","",YEAR(A2533))</f>
        <v/>
      </c>
      <c r="N2533" s="26">
        <f>IF(A2533="","",CHOOSE(WEEKDAY(A2533,2),"Segunda","Terça","Quarta","Quinta","Sexta","Sábado","Domingo"))</f>
        <v/>
      </c>
      <c r="O2533" s="26">
        <f>IF(B2533="","",IF(B2533&lt;TIME(12,0,0),"Manhã",IF(B2533&lt;TIME(18,0,0),"Tarde","Noite")))</f>
        <v/>
      </c>
      <c r="P2533" s="32">
        <f>IF(G2533="","",IFERROR(INDEX(Config!$I$5:$I$16,MATCH(G2533,Config!$H$5:$H$16,0)),0))</f>
        <v/>
      </c>
      <c r="Q2533" s="30">
        <f>IF(OR(H2533&lt;&gt;"Realizado",P2533="",P2533=0),"",A2533+P2533)</f>
        <v/>
      </c>
      <c r="R2533" s="26">
        <f>IF(Q2533="","",IF(COUNTIFS($E$5:$E$3004,E2533,$A$5:$A$3004,"&gt;"&amp;A2533,$H$5:$H$3004,"&lt;&gt;Falta",$H$5:$H$3004,"&lt;&gt;Cancelado",$H$5:$H$3004,"&lt;&gt;Remarcado")&gt;0,"Sim","Não"))</f>
        <v/>
      </c>
      <c r="S2533" s="32">
        <f>IF(R2533&lt;&gt;"Não","",IF(Q2533+Config!$B$9&lt;=Config!$B$8,Config!$B$8-Q2533,""))</f>
        <v/>
      </c>
      <c r="T2533" s="26">
        <f>IF(S2533="","","Sim")</f>
        <v/>
      </c>
      <c r="U2533" s="41">
        <f>IF(T2533="Sim",S2533+ROW()/100000,0)</f>
        <v>0</v>
      </c>
      <c r="V2533" s="41">
        <f>IF(AND(H2533="Falta",L2533=Config!$B$7,M2533=Config!$B$5,COUNTIFS($E$5:E2533,E2533,$H$5:H2533,"Falta",$L$5:L2533,Config!$B$7,$M$5:M2533,Config!$B$5)=1),COUNTIFS($E$5:$E$3004,E2533,$H$5:$H$3004,"Falta",$L$5:$L$3004,Config!$B$7,$M$5:$M$3004,Config!$B$5)*1000-ROW()/100000,0)</f>
        <v>0</v>
      </c>
    </row>
    <row r="2534">
      <c r="A2534" s="39" t="n"/>
      <c r="B2534" s="40" t="n"/>
      <c r="C2534" s="35" t="n"/>
      <c r="D2534" s="35" t="n"/>
      <c r="E2534" s="34" t="n"/>
      <c r="F2534" s="35" t="n"/>
      <c r="G2534" s="35" t="n"/>
      <c r="H2534" s="35" t="n"/>
      <c r="I2534" s="35" t="n"/>
      <c r="J2534" s="35" t="n"/>
      <c r="K2534" s="34" t="n"/>
      <c r="L2534" s="26">
        <f>IF(A2534="","",MONTH(A2534))</f>
        <v/>
      </c>
      <c r="M2534" s="26">
        <f>IF(A2534="","",YEAR(A2534))</f>
        <v/>
      </c>
      <c r="N2534" s="26">
        <f>IF(A2534="","",CHOOSE(WEEKDAY(A2534,2),"Segunda","Terça","Quarta","Quinta","Sexta","Sábado","Domingo"))</f>
        <v/>
      </c>
      <c r="O2534" s="26">
        <f>IF(B2534="","",IF(B2534&lt;TIME(12,0,0),"Manhã",IF(B2534&lt;TIME(18,0,0),"Tarde","Noite")))</f>
        <v/>
      </c>
      <c r="P2534" s="32">
        <f>IF(G2534="","",IFERROR(INDEX(Config!$I$5:$I$16,MATCH(G2534,Config!$H$5:$H$16,0)),0))</f>
        <v/>
      </c>
      <c r="Q2534" s="30">
        <f>IF(OR(H2534&lt;&gt;"Realizado",P2534="",P2534=0),"",A2534+P2534)</f>
        <v/>
      </c>
      <c r="R2534" s="26">
        <f>IF(Q2534="","",IF(COUNTIFS($E$5:$E$3004,E2534,$A$5:$A$3004,"&gt;"&amp;A2534,$H$5:$H$3004,"&lt;&gt;Falta",$H$5:$H$3004,"&lt;&gt;Cancelado",$H$5:$H$3004,"&lt;&gt;Remarcado")&gt;0,"Sim","Não"))</f>
        <v/>
      </c>
      <c r="S2534" s="32">
        <f>IF(R2534&lt;&gt;"Não","",IF(Q2534+Config!$B$9&lt;=Config!$B$8,Config!$B$8-Q2534,""))</f>
        <v/>
      </c>
      <c r="T2534" s="26">
        <f>IF(S2534="","","Sim")</f>
        <v/>
      </c>
      <c r="U2534" s="41">
        <f>IF(T2534="Sim",S2534+ROW()/100000,0)</f>
        <v>0</v>
      </c>
      <c r="V2534" s="41">
        <f>IF(AND(H2534="Falta",L2534=Config!$B$7,M2534=Config!$B$5,COUNTIFS($E$5:E2534,E2534,$H$5:H2534,"Falta",$L$5:L2534,Config!$B$7,$M$5:M2534,Config!$B$5)=1),COUNTIFS($E$5:$E$3004,E2534,$H$5:$H$3004,"Falta",$L$5:$L$3004,Config!$B$7,$M$5:$M$3004,Config!$B$5)*1000-ROW()/100000,0)</f>
        <v>0</v>
      </c>
    </row>
    <row r="2535">
      <c r="A2535" s="39" t="n"/>
      <c r="B2535" s="40" t="n"/>
      <c r="C2535" s="35" t="n"/>
      <c r="D2535" s="35" t="n"/>
      <c r="E2535" s="34" t="n"/>
      <c r="F2535" s="35" t="n"/>
      <c r="G2535" s="35" t="n"/>
      <c r="H2535" s="35" t="n"/>
      <c r="I2535" s="35" t="n"/>
      <c r="J2535" s="35" t="n"/>
      <c r="K2535" s="34" t="n"/>
      <c r="L2535" s="26">
        <f>IF(A2535="","",MONTH(A2535))</f>
        <v/>
      </c>
      <c r="M2535" s="26">
        <f>IF(A2535="","",YEAR(A2535))</f>
        <v/>
      </c>
      <c r="N2535" s="26">
        <f>IF(A2535="","",CHOOSE(WEEKDAY(A2535,2),"Segunda","Terça","Quarta","Quinta","Sexta","Sábado","Domingo"))</f>
        <v/>
      </c>
      <c r="O2535" s="26">
        <f>IF(B2535="","",IF(B2535&lt;TIME(12,0,0),"Manhã",IF(B2535&lt;TIME(18,0,0),"Tarde","Noite")))</f>
        <v/>
      </c>
      <c r="P2535" s="32">
        <f>IF(G2535="","",IFERROR(INDEX(Config!$I$5:$I$16,MATCH(G2535,Config!$H$5:$H$16,0)),0))</f>
        <v/>
      </c>
      <c r="Q2535" s="30">
        <f>IF(OR(H2535&lt;&gt;"Realizado",P2535="",P2535=0),"",A2535+P2535)</f>
        <v/>
      </c>
      <c r="R2535" s="26">
        <f>IF(Q2535="","",IF(COUNTIFS($E$5:$E$3004,E2535,$A$5:$A$3004,"&gt;"&amp;A2535,$H$5:$H$3004,"&lt;&gt;Falta",$H$5:$H$3004,"&lt;&gt;Cancelado",$H$5:$H$3004,"&lt;&gt;Remarcado")&gt;0,"Sim","Não"))</f>
        <v/>
      </c>
      <c r="S2535" s="32">
        <f>IF(R2535&lt;&gt;"Não","",IF(Q2535+Config!$B$9&lt;=Config!$B$8,Config!$B$8-Q2535,""))</f>
        <v/>
      </c>
      <c r="T2535" s="26">
        <f>IF(S2535="","","Sim")</f>
        <v/>
      </c>
      <c r="U2535" s="41">
        <f>IF(T2535="Sim",S2535+ROW()/100000,0)</f>
        <v>0</v>
      </c>
      <c r="V2535" s="41">
        <f>IF(AND(H2535="Falta",L2535=Config!$B$7,M2535=Config!$B$5,COUNTIFS($E$5:E2535,E2535,$H$5:H2535,"Falta",$L$5:L2535,Config!$B$7,$M$5:M2535,Config!$B$5)=1),COUNTIFS($E$5:$E$3004,E2535,$H$5:$H$3004,"Falta",$L$5:$L$3004,Config!$B$7,$M$5:$M$3004,Config!$B$5)*1000-ROW()/100000,0)</f>
        <v>0</v>
      </c>
    </row>
    <row r="2536">
      <c r="A2536" s="39" t="n"/>
      <c r="B2536" s="40" t="n"/>
      <c r="C2536" s="35" t="n"/>
      <c r="D2536" s="35" t="n"/>
      <c r="E2536" s="34" t="n"/>
      <c r="F2536" s="35" t="n"/>
      <c r="G2536" s="35" t="n"/>
      <c r="H2536" s="35" t="n"/>
      <c r="I2536" s="35" t="n"/>
      <c r="J2536" s="35" t="n"/>
      <c r="K2536" s="34" t="n"/>
      <c r="L2536" s="26">
        <f>IF(A2536="","",MONTH(A2536))</f>
        <v/>
      </c>
      <c r="M2536" s="26">
        <f>IF(A2536="","",YEAR(A2536))</f>
        <v/>
      </c>
      <c r="N2536" s="26">
        <f>IF(A2536="","",CHOOSE(WEEKDAY(A2536,2),"Segunda","Terça","Quarta","Quinta","Sexta","Sábado","Domingo"))</f>
        <v/>
      </c>
      <c r="O2536" s="26">
        <f>IF(B2536="","",IF(B2536&lt;TIME(12,0,0),"Manhã",IF(B2536&lt;TIME(18,0,0),"Tarde","Noite")))</f>
        <v/>
      </c>
      <c r="P2536" s="32">
        <f>IF(G2536="","",IFERROR(INDEX(Config!$I$5:$I$16,MATCH(G2536,Config!$H$5:$H$16,0)),0))</f>
        <v/>
      </c>
      <c r="Q2536" s="30">
        <f>IF(OR(H2536&lt;&gt;"Realizado",P2536="",P2536=0),"",A2536+P2536)</f>
        <v/>
      </c>
      <c r="R2536" s="26">
        <f>IF(Q2536="","",IF(COUNTIFS($E$5:$E$3004,E2536,$A$5:$A$3004,"&gt;"&amp;A2536,$H$5:$H$3004,"&lt;&gt;Falta",$H$5:$H$3004,"&lt;&gt;Cancelado",$H$5:$H$3004,"&lt;&gt;Remarcado")&gt;0,"Sim","Não"))</f>
        <v/>
      </c>
      <c r="S2536" s="32">
        <f>IF(R2536&lt;&gt;"Não","",IF(Q2536+Config!$B$9&lt;=Config!$B$8,Config!$B$8-Q2536,""))</f>
        <v/>
      </c>
      <c r="T2536" s="26">
        <f>IF(S2536="","","Sim")</f>
        <v/>
      </c>
      <c r="U2536" s="41">
        <f>IF(T2536="Sim",S2536+ROW()/100000,0)</f>
        <v>0</v>
      </c>
      <c r="V2536" s="41">
        <f>IF(AND(H2536="Falta",L2536=Config!$B$7,M2536=Config!$B$5,COUNTIFS($E$5:E2536,E2536,$H$5:H2536,"Falta",$L$5:L2536,Config!$B$7,$M$5:M2536,Config!$B$5)=1),COUNTIFS($E$5:$E$3004,E2536,$H$5:$H$3004,"Falta",$L$5:$L$3004,Config!$B$7,$M$5:$M$3004,Config!$B$5)*1000-ROW()/100000,0)</f>
        <v>0</v>
      </c>
    </row>
    <row r="2537">
      <c r="A2537" s="39" t="n"/>
      <c r="B2537" s="40" t="n"/>
      <c r="C2537" s="35" t="n"/>
      <c r="D2537" s="35" t="n"/>
      <c r="E2537" s="34" t="n"/>
      <c r="F2537" s="35" t="n"/>
      <c r="G2537" s="35" t="n"/>
      <c r="H2537" s="35" t="n"/>
      <c r="I2537" s="35" t="n"/>
      <c r="J2537" s="35" t="n"/>
      <c r="K2537" s="34" t="n"/>
      <c r="L2537" s="26">
        <f>IF(A2537="","",MONTH(A2537))</f>
        <v/>
      </c>
      <c r="M2537" s="26">
        <f>IF(A2537="","",YEAR(A2537))</f>
        <v/>
      </c>
      <c r="N2537" s="26">
        <f>IF(A2537="","",CHOOSE(WEEKDAY(A2537,2),"Segunda","Terça","Quarta","Quinta","Sexta","Sábado","Domingo"))</f>
        <v/>
      </c>
      <c r="O2537" s="26">
        <f>IF(B2537="","",IF(B2537&lt;TIME(12,0,0),"Manhã",IF(B2537&lt;TIME(18,0,0),"Tarde","Noite")))</f>
        <v/>
      </c>
      <c r="P2537" s="32">
        <f>IF(G2537="","",IFERROR(INDEX(Config!$I$5:$I$16,MATCH(G2537,Config!$H$5:$H$16,0)),0))</f>
        <v/>
      </c>
      <c r="Q2537" s="30">
        <f>IF(OR(H2537&lt;&gt;"Realizado",P2537="",P2537=0),"",A2537+P2537)</f>
        <v/>
      </c>
      <c r="R2537" s="26">
        <f>IF(Q2537="","",IF(COUNTIFS($E$5:$E$3004,E2537,$A$5:$A$3004,"&gt;"&amp;A2537,$H$5:$H$3004,"&lt;&gt;Falta",$H$5:$H$3004,"&lt;&gt;Cancelado",$H$5:$H$3004,"&lt;&gt;Remarcado")&gt;0,"Sim","Não"))</f>
        <v/>
      </c>
      <c r="S2537" s="32">
        <f>IF(R2537&lt;&gt;"Não","",IF(Q2537+Config!$B$9&lt;=Config!$B$8,Config!$B$8-Q2537,""))</f>
        <v/>
      </c>
      <c r="T2537" s="26">
        <f>IF(S2537="","","Sim")</f>
        <v/>
      </c>
      <c r="U2537" s="41">
        <f>IF(T2537="Sim",S2537+ROW()/100000,0)</f>
        <v>0</v>
      </c>
      <c r="V2537" s="41">
        <f>IF(AND(H2537="Falta",L2537=Config!$B$7,M2537=Config!$B$5,COUNTIFS($E$5:E2537,E2537,$H$5:H2537,"Falta",$L$5:L2537,Config!$B$7,$M$5:M2537,Config!$B$5)=1),COUNTIFS($E$5:$E$3004,E2537,$H$5:$H$3004,"Falta",$L$5:$L$3004,Config!$B$7,$M$5:$M$3004,Config!$B$5)*1000-ROW()/100000,0)</f>
        <v>0</v>
      </c>
    </row>
    <row r="2538">
      <c r="A2538" s="39" t="n"/>
      <c r="B2538" s="40" t="n"/>
      <c r="C2538" s="35" t="n"/>
      <c r="D2538" s="35" t="n"/>
      <c r="E2538" s="34" t="n"/>
      <c r="F2538" s="35" t="n"/>
      <c r="G2538" s="35" t="n"/>
      <c r="H2538" s="35" t="n"/>
      <c r="I2538" s="35" t="n"/>
      <c r="J2538" s="35" t="n"/>
      <c r="K2538" s="34" t="n"/>
      <c r="L2538" s="26">
        <f>IF(A2538="","",MONTH(A2538))</f>
        <v/>
      </c>
      <c r="M2538" s="26">
        <f>IF(A2538="","",YEAR(A2538))</f>
        <v/>
      </c>
      <c r="N2538" s="26">
        <f>IF(A2538="","",CHOOSE(WEEKDAY(A2538,2),"Segunda","Terça","Quarta","Quinta","Sexta","Sábado","Domingo"))</f>
        <v/>
      </c>
      <c r="O2538" s="26">
        <f>IF(B2538="","",IF(B2538&lt;TIME(12,0,0),"Manhã",IF(B2538&lt;TIME(18,0,0),"Tarde","Noite")))</f>
        <v/>
      </c>
      <c r="P2538" s="32">
        <f>IF(G2538="","",IFERROR(INDEX(Config!$I$5:$I$16,MATCH(G2538,Config!$H$5:$H$16,0)),0))</f>
        <v/>
      </c>
      <c r="Q2538" s="30">
        <f>IF(OR(H2538&lt;&gt;"Realizado",P2538="",P2538=0),"",A2538+P2538)</f>
        <v/>
      </c>
      <c r="R2538" s="26">
        <f>IF(Q2538="","",IF(COUNTIFS($E$5:$E$3004,E2538,$A$5:$A$3004,"&gt;"&amp;A2538,$H$5:$H$3004,"&lt;&gt;Falta",$H$5:$H$3004,"&lt;&gt;Cancelado",$H$5:$H$3004,"&lt;&gt;Remarcado")&gt;0,"Sim","Não"))</f>
        <v/>
      </c>
      <c r="S2538" s="32">
        <f>IF(R2538&lt;&gt;"Não","",IF(Q2538+Config!$B$9&lt;=Config!$B$8,Config!$B$8-Q2538,""))</f>
        <v/>
      </c>
      <c r="T2538" s="26">
        <f>IF(S2538="","","Sim")</f>
        <v/>
      </c>
      <c r="U2538" s="41">
        <f>IF(T2538="Sim",S2538+ROW()/100000,0)</f>
        <v>0</v>
      </c>
      <c r="V2538" s="41">
        <f>IF(AND(H2538="Falta",L2538=Config!$B$7,M2538=Config!$B$5,COUNTIFS($E$5:E2538,E2538,$H$5:H2538,"Falta",$L$5:L2538,Config!$B$7,$M$5:M2538,Config!$B$5)=1),COUNTIFS($E$5:$E$3004,E2538,$H$5:$H$3004,"Falta",$L$5:$L$3004,Config!$B$7,$M$5:$M$3004,Config!$B$5)*1000-ROW()/100000,0)</f>
        <v>0</v>
      </c>
    </row>
    <row r="2539">
      <c r="A2539" s="39" t="n"/>
      <c r="B2539" s="40" t="n"/>
      <c r="C2539" s="35" t="n"/>
      <c r="D2539" s="35" t="n"/>
      <c r="E2539" s="34" t="n"/>
      <c r="F2539" s="35" t="n"/>
      <c r="G2539" s="35" t="n"/>
      <c r="H2539" s="35" t="n"/>
      <c r="I2539" s="35" t="n"/>
      <c r="J2539" s="35" t="n"/>
      <c r="K2539" s="34" t="n"/>
      <c r="L2539" s="26">
        <f>IF(A2539="","",MONTH(A2539))</f>
        <v/>
      </c>
      <c r="M2539" s="26">
        <f>IF(A2539="","",YEAR(A2539))</f>
        <v/>
      </c>
      <c r="N2539" s="26">
        <f>IF(A2539="","",CHOOSE(WEEKDAY(A2539,2),"Segunda","Terça","Quarta","Quinta","Sexta","Sábado","Domingo"))</f>
        <v/>
      </c>
      <c r="O2539" s="26">
        <f>IF(B2539="","",IF(B2539&lt;TIME(12,0,0),"Manhã",IF(B2539&lt;TIME(18,0,0),"Tarde","Noite")))</f>
        <v/>
      </c>
      <c r="P2539" s="32">
        <f>IF(G2539="","",IFERROR(INDEX(Config!$I$5:$I$16,MATCH(G2539,Config!$H$5:$H$16,0)),0))</f>
        <v/>
      </c>
      <c r="Q2539" s="30">
        <f>IF(OR(H2539&lt;&gt;"Realizado",P2539="",P2539=0),"",A2539+P2539)</f>
        <v/>
      </c>
      <c r="R2539" s="26">
        <f>IF(Q2539="","",IF(COUNTIFS($E$5:$E$3004,E2539,$A$5:$A$3004,"&gt;"&amp;A2539,$H$5:$H$3004,"&lt;&gt;Falta",$H$5:$H$3004,"&lt;&gt;Cancelado",$H$5:$H$3004,"&lt;&gt;Remarcado")&gt;0,"Sim","Não"))</f>
        <v/>
      </c>
      <c r="S2539" s="32">
        <f>IF(R2539&lt;&gt;"Não","",IF(Q2539+Config!$B$9&lt;=Config!$B$8,Config!$B$8-Q2539,""))</f>
        <v/>
      </c>
      <c r="T2539" s="26">
        <f>IF(S2539="","","Sim")</f>
        <v/>
      </c>
      <c r="U2539" s="41">
        <f>IF(T2539="Sim",S2539+ROW()/100000,0)</f>
        <v>0</v>
      </c>
      <c r="V2539" s="41">
        <f>IF(AND(H2539="Falta",L2539=Config!$B$7,M2539=Config!$B$5,COUNTIFS($E$5:E2539,E2539,$H$5:H2539,"Falta",$L$5:L2539,Config!$B$7,$M$5:M2539,Config!$B$5)=1),COUNTIFS($E$5:$E$3004,E2539,$H$5:$H$3004,"Falta",$L$5:$L$3004,Config!$B$7,$M$5:$M$3004,Config!$B$5)*1000-ROW()/100000,0)</f>
        <v>0</v>
      </c>
    </row>
    <row r="2540">
      <c r="A2540" s="39" t="n"/>
      <c r="B2540" s="40" t="n"/>
      <c r="C2540" s="35" t="n"/>
      <c r="D2540" s="35" t="n"/>
      <c r="E2540" s="34" t="n"/>
      <c r="F2540" s="35" t="n"/>
      <c r="G2540" s="35" t="n"/>
      <c r="H2540" s="35" t="n"/>
      <c r="I2540" s="35" t="n"/>
      <c r="J2540" s="35" t="n"/>
      <c r="K2540" s="34" t="n"/>
      <c r="L2540" s="26">
        <f>IF(A2540="","",MONTH(A2540))</f>
        <v/>
      </c>
      <c r="M2540" s="26">
        <f>IF(A2540="","",YEAR(A2540))</f>
        <v/>
      </c>
      <c r="N2540" s="26">
        <f>IF(A2540="","",CHOOSE(WEEKDAY(A2540,2),"Segunda","Terça","Quarta","Quinta","Sexta","Sábado","Domingo"))</f>
        <v/>
      </c>
      <c r="O2540" s="26">
        <f>IF(B2540="","",IF(B2540&lt;TIME(12,0,0),"Manhã",IF(B2540&lt;TIME(18,0,0),"Tarde","Noite")))</f>
        <v/>
      </c>
      <c r="P2540" s="32">
        <f>IF(G2540="","",IFERROR(INDEX(Config!$I$5:$I$16,MATCH(G2540,Config!$H$5:$H$16,0)),0))</f>
        <v/>
      </c>
      <c r="Q2540" s="30">
        <f>IF(OR(H2540&lt;&gt;"Realizado",P2540="",P2540=0),"",A2540+P2540)</f>
        <v/>
      </c>
      <c r="R2540" s="26">
        <f>IF(Q2540="","",IF(COUNTIFS($E$5:$E$3004,E2540,$A$5:$A$3004,"&gt;"&amp;A2540,$H$5:$H$3004,"&lt;&gt;Falta",$H$5:$H$3004,"&lt;&gt;Cancelado",$H$5:$H$3004,"&lt;&gt;Remarcado")&gt;0,"Sim","Não"))</f>
        <v/>
      </c>
      <c r="S2540" s="32">
        <f>IF(R2540&lt;&gt;"Não","",IF(Q2540+Config!$B$9&lt;=Config!$B$8,Config!$B$8-Q2540,""))</f>
        <v/>
      </c>
      <c r="T2540" s="26">
        <f>IF(S2540="","","Sim")</f>
        <v/>
      </c>
      <c r="U2540" s="41">
        <f>IF(T2540="Sim",S2540+ROW()/100000,0)</f>
        <v>0</v>
      </c>
      <c r="V2540" s="41">
        <f>IF(AND(H2540="Falta",L2540=Config!$B$7,M2540=Config!$B$5,COUNTIFS($E$5:E2540,E2540,$H$5:H2540,"Falta",$L$5:L2540,Config!$B$7,$M$5:M2540,Config!$B$5)=1),COUNTIFS($E$5:$E$3004,E2540,$H$5:$H$3004,"Falta",$L$5:$L$3004,Config!$B$7,$M$5:$M$3004,Config!$B$5)*1000-ROW()/100000,0)</f>
        <v>0</v>
      </c>
    </row>
    <row r="2541">
      <c r="A2541" s="39" t="n"/>
      <c r="B2541" s="40" t="n"/>
      <c r="C2541" s="35" t="n"/>
      <c r="D2541" s="35" t="n"/>
      <c r="E2541" s="34" t="n"/>
      <c r="F2541" s="35" t="n"/>
      <c r="G2541" s="35" t="n"/>
      <c r="H2541" s="35" t="n"/>
      <c r="I2541" s="35" t="n"/>
      <c r="J2541" s="35" t="n"/>
      <c r="K2541" s="34" t="n"/>
      <c r="L2541" s="26">
        <f>IF(A2541="","",MONTH(A2541))</f>
        <v/>
      </c>
      <c r="M2541" s="26">
        <f>IF(A2541="","",YEAR(A2541))</f>
        <v/>
      </c>
      <c r="N2541" s="26">
        <f>IF(A2541="","",CHOOSE(WEEKDAY(A2541,2),"Segunda","Terça","Quarta","Quinta","Sexta","Sábado","Domingo"))</f>
        <v/>
      </c>
      <c r="O2541" s="26">
        <f>IF(B2541="","",IF(B2541&lt;TIME(12,0,0),"Manhã",IF(B2541&lt;TIME(18,0,0),"Tarde","Noite")))</f>
        <v/>
      </c>
      <c r="P2541" s="32">
        <f>IF(G2541="","",IFERROR(INDEX(Config!$I$5:$I$16,MATCH(G2541,Config!$H$5:$H$16,0)),0))</f>
        <v/>
      </c>
      <c r="Q2541" s="30">
        <f>IF(OR(H2541&lt;&gt;"Realizado",P2541="",P2541=0),"",A2541+P2541)</f>
        <v/>
      </c>
      <c r="R2541" s="26">
        <f>IF(Q2541="","",IF(COUNTIFS($E$5:$E$3004,E2541,$A$5:$A$3004,"&gt;"&amp;A2541,$H$5:$H$3004,"&lt;&gt;Falta",$H$5:$H$3004,"&lt;&gt;Cancelado",$H$5:$H$3004,"&lt;&gt;Remarcado")&gt;0,"Sim","Não"))</f>
        <v/>
      </c>
      <c r="S2541" s="32">
        <f>IF(R2541&lt;&gt;"Não","",IF(Q2541+Config!$B$9&lt;=Config!$B$8,Config!$B$8-Q2541,""))</f>
        <v/>
      </c>
      <c r="T2541" s="26">
        <f>IF(S2541="","","Sim")</f>
        <v/>
      </c>
      <c r="U2541" s="41">
        <f>IF(T2541="Sim",S2541+ROW()/100000,0)</f>
        <v>0</v>
      </c>
      <c r="V2541" s="41">
        <f>IF(AND(H2541="Falta",L2541=Config!$B$7,M2541=Config!$B$5,COUNTIFS($E$5:E2541,E2541,$H$5:H2541,"Falta",$L$5:L2541,Config!$B$7,$M$5:M2541,Config!$B$5)=1),COUNTIFS($E$5:$E$3004,E2541,$H$5:$H$3004,"Falta",$L$5:$L$3004,Config!$B$7,$M$5:$M$3004,Config!$B$5)*1000-ROW()/100000,0)</f>
        <v>0</v>
      </c>
    </row>
    <row r="2542">
      <c r="A2542" s="39" t="n"/>
      <c r="B2542" s="40" t="n"/>
      <c r="C2542" s="35" t="n"/>
      <c r="D2542" s="35" t="n"/>
      <c r="E2542" s="34" t="n"/>
      <c r="F2542" s="35" t="n"/>
      <c r="G2542" s="35" t="n"/>
      <c r="H2542" s="35" t="n"/>
      <c r="I2542" s="35" t="n"/>
      <c r="J2542" s="35" t="n"/>
      <c r="K2542" s="34" t="n"/>
      <c r="L2542" s="26">
        <f>IF(A2542="","",MONTH(A2542))</f>
        <v/>
      </c>
      <c r="M2542" s="26">
        <f>IF(A2542="","",YEAR(A2542))</f>
        <v/>
      </c>
      <c r="N2542" s="26">
        <f>IF(A2542="","",CHOOSE(WEEKDAY(A2542,2),"Segunda","Terça","Quarta","Quinta","Sexta","Sábado","Domingo"))</f>
        <v/>
      </c>
      <c r="O2542" s="26">
        <f>IF(B2542="","",IF(B2542&lt;TIME(12,0,0),"Manhã",IF(B2542&lt;TIME(18,0,0),"Tarde","Noite")))</f>
        <v/>
      </c>
      <c r="P2542" s="32">
        <f>IF(G2542="","",IFERROR(INDEX(Config!$I$5:$I$16,MATCH(G2542,Config!$H$5:$H$16,0)),0))</f>
        <v/>
      </c>
      <c r="Q2542" s="30">
        <f>IF(OR(H2542&lt;&gt;"Realizado",P2542="",P2542=0),"",A2542+P2542)</f>
        <v/>
      </c>
      <c r="R2542" s="26">
        <f>IF(Q2542="","",IF(COUNTIFS($E$5:$E$3004,E2542,$A$5:$A$3004,"&gt;"&amp;A2542,$H$5:$H$3004,"&lt;&gt;Falta",$H$5:$H$3004,"&lt;&gt;Cancelado",$H$5:$H$3004,"&lt;&gt;Remarcado")&gt;0,"Sim","Não"))</f>
        <v/>
      </c>
      <c r="S2542" s="32">
        <f>IF(R2542&lt;&gt;"Não","",IF(Q2542+Config!$B$9&lt;=Config!$B$8,Config!$B$8-Q2542,""))</f>
        <v/>
      </c>
      <c r="T2542" s="26">
        <f>IF(S2542="","","Sim")</f>
        <v/>
      </c>
      <c r="U2542" s="41">
        <f>IF(T2542="Sim",S2542+ROW()/100000,0)</f>
        <v>0</v>
      </c>
      <c r="V2542" s="41">
        <f>IF(AND(H2542="Falta",L2542=Config!$B$7,M2542=Config!$B$5,COUNTIFS($E$5:E2542,E2542,$H$5:H2542,"Falta",$L$5:L2542,Config!$B$7,$M$5:M2542,Config!$B$5)=1),COUNTIFS($E$5:$E$3004,E2542,$H$5:$H$3004,"Falta",$L$5:$L$3004,Config!$B$7,$M$5:$M$3004,Config!$B$5)*1000-ROW()/100000,0)</f>
        <v>0</v>
      </c>
    </row>
    <row r="2543">
      <c r="A2543" s="39" t="n"/>
      <c r="B2543" s="40" t="n"/>
      <c r="C2543" s="35" t="n"/>
      <c r="D2543" s="35" t="n"/>
      <c r="E2543" s="34" t="n"/>
      <c r="F2543" s="35" t="n"/>
      <c r="G2543" s="35" t="n"/>
      <c r="H2543" s="35" t="n"/>
      <c r="I2543" s="35" t="n"/>
      <c r="J2543" s="35" t="n"/>
      <c r="K2543" s="34" t="n"/>
      <c r="L2543" s="26">
        <f>IF(A2543="","",MONTH(A2543))</f>
        <v/>
      </c>
      <c r="M2543" s="26">
        <f>IF(A2543="","",YEAR(A2543))</f>
        <v/>
      </c>
      <c r="N2543" s="26">
        <f>IF(A2543="","",CHOOSE(WEEKDAY(A2543,2),"Segunda","Terça","Quarta","Quinta","Sexta","Sábado","Domingo"))</f>
        <v/>
      </c>
      <c r="O2543" s="26">
        <f>IF(B2543="","",IF(B2543&lt;TIME(12,0,0),"Manhã",IF(B2543&lt;TIME(18,0,0),"Tarde","Noite")))</f>
        <v/>
      </c>
      <c r="P2543" s="32">
        <f>IF(G2543="","",IFERROR(INDEX(Config!$I$5:$I$16,MATCH(G2543,Config!$H$5:$H$16,0)),0))</f>
        <v/>
      </c>
      <c r="Q2543" s="30">
        <f>IF(OR(H2543&lt;&gt;"Realizado",P2543="",P2543=0),"",A2543+P2543)</f>
        <v/>
      </c>
      <c r="R2543" s="26">
        <f>IF(Q2543="","",IF(COUNTIFS($E$5:$E$3004,E2543,$A$5:$A$3004,"&gt;"&amp;A2543,$H$5:$H$3004,"&lt;&gt;Falta",$H$5:$H$3004,"&lt;&gt;Cancelado",$H$5:$H$3004,"&lt;&gt;Remarcado")&gt;0,"Sim","Não"))</f>
        <v/>
      </c>
      <c r="S2543" s="32">
        <f>IF(R2543&lt;&gt;"Não","",IF(Q2543+Config!$B$9&lt;=Config!$B$8,Config!$B$8-Q2543,""))</f>
        <v/>
      </c>
      <c r="T2543" s="26">
        <f>IF(S2543="","","Sim")</f>
        <v/>
      </c>
      <c r="U2543" s="41">
        <f>IF(T2543="Sim",S2543+ROW()/100000,0)</f>
        <v>0</v>
      </c>
      <c r="V2543" s="41">
        <f>IF(AND(H2543="Falta",L2543=Config!$B$7,M2543=Config!$B$5,COUNTIFS($E$5:E2543,E2543,$H$5:H2543,"Falta",$L$5:L2543,Config!$B$7,$M$5:M2543,Config!$B$5)=1),COUNTIFS($E$5:$E$3004,E2543,$H$5:$H$3004,"Falta",$L$5:$L$3004,Config!$B$7,$M$5:$M$3004,Config!$B$5)*1000-ROW()/100000,0)</f>
        <v>0</v>
      </c>
    </row>
    <row r="2544">
      <c r="A2544" s="39" t="n"/>
      <c r="B2544" s="40" t="n"/>
      <c r="C2544" s="35" t="n"/>
      <c r="D2544" s="35" t="n"/>
      <c r="E2544" s="34" t="n"/>
      <c r="F2544" s="35" t="n"/>
      <c r="G2544" s="35" t="n"/>
      <c r="H2544" s="35" t="n"/>
      <c r="I2544" s="35" t="n"/>
      <c r="J2544" s="35" t="n"/>
      <c r="K2544" s="34" t="n"/>
      <c r="L2544" s="26">
        <f>IF(A2544="","",MONTH(A2544))</f>
        <v/>
      </c>
      <c r="M2544" s="26">
        <f>IF(A2544="","",YEAR(A2544))</f>
        <v/>
      </c>
      <c r="N2544" s="26">
        <f>IF(A2544="","",CHOOSE(WEEKDAY(A2544,2),"Segunda","Terça","Quarta","Quinta","Sexta","Sábado","Domingo"))</f>
        <v/>
      </c>
      <c r="O2544" s="26">
        <f>IF(B2544="","",IF(B2544&lt;TIME(12,0,0),"Manhã",IF(B2544&lt;TIME(18,0,0),"Tarde","Noite")))</f>
        <v/>
      </c>
      <c r="P2544" s="32">
        <f>IF(G2544="","",IFERROR(INDEX(Config!$I$5:$I$16,MATCH(G2544,Config!$H$5:$H$16,0)),0))</f>
        <v/>
      </c>
      <c r="Q2544" s="30">
        <f>IF(OR(H2544&lt;&gt;"Realizado",P2544="",P2544=0),"",A2544+P2544)</f>
        <v/>
      </c>
      <c r="R2544" s="26">
        <f>IF(Q2544="","",IF(COUNTIFS($E$5:$E$3004,E2544,$A$5:$A$3004,"&gt;"&amp;A2544,$H$5:$H$3004,"&lt;&gt;Falta",$H$5:$H$3004,"&lt;&gt;Cancelado",$H$5:$H$3004,"&lt;&gt;Remarcado")&gt;0,"Sim","Não"))</f>
        <v/>
      </c>
      <c r="S2544" s="32">
        <f>IF(R2544&lt;&gt;"Não","",IF(Q2544+Config!$B$9&lt;=Config!$B$8,Config!$B$8-Q2544,""))</f>
        <v/>
      </c>
      <c r="T2544" s="26">
        <f>IF(S2544="","","Sim")</f>
        <v/>
      </c>
      <c r="U2544" s="41">
        <f>IF(T2544="Sim",S2544+ROW()/100000,0)</f>
        <v>0</v>
      </c>
      <c r="V2544" s="41">
        <f>IF(AND(H2544="Falta",L2544=Config!$B$7,M2544=Config!$B$5,COUNTIFS($E$5:E2544,E2544,$H$5:H2544,"Falta",$L$5:L2544,Config!$B$7,$M$5:M2544,Config!$B$5)=1),COUNTIFS($E$5:$E$3004,E2544,$H$5:$H$3004,"Falta",$L$5:$L$3004,Config!$B$7,$M$5:$M$3004,Config!$B$5)*1000-ROW()/100000,0)</f>
        <v>0</v>
      </c>
    </row>
    <row r="2545">
      <c r="A2545" s="39" t="n"/>
      <c r="B2545" s="40" t="n"/>
      <c r="C2545" s="35" t="n"/>
      <c r="D2545" s="35" t="n"/>
      <c r="E2545" s="34" t="n"/>
      <c r="F2545" s="35" t="n"/>
      <c r="G2545" s="35" t="n"/>
      <c r="H2545" s="35" t="n"/>
      <c r="I2545" s="35" t="n"/>
      <c r="J2545" s="35" t="n"/>
      <c r="K2545" s="34" t="n"/>
      <c r="L2545" s="26">
        <f>IF(A2545="","",MONTH(A2545))</f>
        <v/>
      </c>
      <c r="M2545" s="26">
        <f>IF(A2545="","",YEAR(A2545))</f>
        <v/>
      </c>
      <c r="N2545" s="26">
        <f>IF(A2545="","",CHOOSE(WEEKDAY(A2545,2),"Segunda","Terça","Quarta","Quinta","Sexta","Sábado","Domingo"))</f>
        <v/>
      </c>
      <c r="O2545" s="26">
        <f>IF(B2545="","",IF(B2545&lt;TIME(12,0,0),"Manhã",IF(B2545&lt;TIME(18,0,0),"Tarde","Noite")))</f>
        <v/>
      </c>
      <c r="P2545" s="32">
        <f>IF(G2545="","",IFERROR(INDEX(Config!$I$5:$I$16,MATCH(G2545,Config!$H$5:$H$16,0)),0))</f>
        <v/>
      </c>
      <c r="Q2545" s="30">
        <f>IF(OR(H2545&lt;&gt;"Realizado",P2545="",P2545=0),"",A2545+P2545)</f>
        <v/>
      </c>
      <c r="R2545" s="26">
        <f>IF(Q2545="","",IF(COUNTIFS($E$5:$E$3004,E2545,$A$5:$A$3004,"&gt;"&amp;A2545,$H$5:$H$3004,"&lt;&gt;Falta",$H$5:$H$3004,"&lt;&gt;Cancelado",$H$5:$H$3004,"&lt;&gt;Remarcado")&gt;0,"Sim","Não"))</f>
        <v/>
      </c>
      <c r="S2545" s="32">
        <f>IF(R2545&lt;&gt;"Não","",IF(Q2545+Config!$B$9&lt;=Config!$B$8,Config!$B$8-Q2545,""))</f>
        <v/>
      </c>
      <c r="T2545" s="26">
        <f>IF(S2545="","","Sim")</f>
        <v/>
      </c>
      <c r="U2545" s="41">
        <f>IF(T2545="Sim",S2545+ROW()/100000,0)</f>
        <v>0</v>
      </c>
      <c r="V2545" s="41">
        <f>IF(AND(H2545="Falta",L2545=Config!$B$7,M2545=Config!$B$5,COUNTIFS($E$5:E2545,E2545,$H$5:H2545,"Falta",$L$5:L2545,Config!$B$7,$M$5:M2545,Config!$B$5)=1),COUNTIFS($E$5:$E$3004,E2545,$H$5:$H$3004,"Falta",$L$5:$L$3004,Config!$B$7,$M$5:$M$3004,Config!$B$5)*1000-ROW()/100000,0)</f>
        <v>0</v>
      </c>
    </row>
    <row r="2546">
      <c r="A2546" s="39" t="n"/>
      <c r="B2546" s="40" t="n"/>
      <c r="C2546" s="35" t="n"/>
      <c r="D2546" s="35" t="n"/>
      <c r="E2546" s="34" t="n"/>
      <c r="F2546" s="35" t="n"/>
      <c r="G2546" s="35" t="n"/>
      <c r="H2546" s="35" t="n"/>
      <c r="I2546" s="35" t="n"/>
      <c r="J2546" s="35" t="n"/>
      <c r="K2546" s="34" t="n"/>
      <c r="L2546" s="26">
        <f>IF(A2546="","",MONTH(A2546))</f>
        <v/>
      </c>
      <c r="M2546" s="26">
        <f>IF(A2546="","",YEAR(A2546))</f>
        <v/>
      </c>
      <c r="N2546" s="26">
        <f>IF(A2546="","",CHOOSE(WEEKDAY(A2546,2),"Segunda","Terça","Quarta","Quinta","Sexta","Sábado","Domingo"))</f>
        <v/>
      </c>
      <c r="O2546" s="26">
        <f>IF(B2546="","",IF(B2546&lt;TIME(12,0,0),"Manhã",IF(B2546&lt;TIME(18,0,0),"Tarde","Noite")))</f>
        <v/>
      </c>
      <c r="P2546" s="32">
        <f>IF(G2546="","",IFERROR(INDEX(Config!$I$5:$I$16,MATCH(G2546,Config!$H$5:$H$16,0)),0))</f>
        <v/>
      </c>
      <c r="Q2546" s="30">
        <f>IF(OR(H2546&lt;&gt;"Realizado",P2546="",P2546=0),"",A2546+P2546)</f>
        <v/>
      </c>
      <c r="R2546" s="26">
        <f>IF(Q2546="","",IF(COUNTIFS($E$5:$E$3004,E2546,$A$5:$A$3004,"&gt;"&amp;A2546,$H$5:$H$3004,"&lt;&gt;Falta",$H$5:$H$3004,"&lt;&gt;Cancelado",$H$5:$H$3004,"&lt;&gt;Remarcado")&gt;0,"Sim","Não"))</f>
        <v/>
      </c>
      <c r="S2546" s="32">
        <f>IF(R2546&lt;&gt;"Não","",IF(Q2546+Config!$B$9&lt;=Config!$B$8,Config!$B$8-Q2546,""))</f>
        <v/>
      </c>
      <c r="T2546" s="26">
        <f>IF(S2546="","","Sim")</f>
        <v/>
      </c>
      <c r="U2546" s="41">
        <f>IF(T2546="Sim",S2546+ROW()/100000,0)</f>
        <v>0</v>
      </c>
      <c r="V2546" s="41">
        <f>IF(AND(H2546="Falta",L2546=Config!$B$7,M2546=Config!$B$5,COUNTIFS($E$5:E2546,E2546,$H$5:H2546,"Falta",$L$5:L2546,Config!$B$7,$M$5:M2546,Config!$B$5)=1),COUNTIFS($E$5:$E$3004,E2546,$H$5:$H$3004,"Falta",$L$5:$L$3004,Config!$B$7,$M$5:$M$3004,Config!$B$5)*1000-ROW()/100000,0)</f>
        <v>0</v>
      </c>
    </row>
    <row r="2547">
      <c r="A2547" s="39" t="n"/>
      <c r="B2547" s="40" t="n"/>
      <c r="C2547" s="35" t="n"/>
      <c r="D2547" s="35" t="n"/>
      <c r="E2547" s="34" t="n"/>
      <c r="F2547" s="35" t="n"/>
      <c r="G2547" s="35" t="n"/>
      <c r="H2547" s="35" t="n"/>
      <c r="I2547" s="35" t="n"/>
      <c r="J2547" s="35" t="n"/>
      <c r="K2547" s="34" t="n"/>
      <c r="L2547" s="26">
        <f>IF(A2547="","",MONTH(A2547))</f>
        <v/>
      </c>
      <c r="M2547" s="26">
        <f>IF(A2547="","",YEAR(A2547))</f>
        <v/>
      </c>
      <c r="N2547" s="26">
        <f>IF(A2547="","",CHOOSE(WEEKDAY(A2547,2),"Segunda","Terça","Quarta","Quinta","Sexta","Sábado","Domingo"))</f>
        <v/>
      </c>
      <c r="O2547" s="26">
        <f>IF(B2547="","",IF(B2547&lt;TIME(12,0,0),"Manhã",IF(B2547&lt;TIME(18,0,0),"Tarde","Noite")))</f>
        <v/>
      </c>
      <c r="P2547" s="32">
        <f>IF(G2547="","",IFERROR(INDEX(Config!$I$5:$I$16,MATCH(G2547,Config!$H$5:$H$16,0)),0))</f>
        <v/>
      </c>
      <c r="Q2547" s="30">
        <f>IF(OR(H2547&lt;&gt;"Realizado",P2547="",P2547=0),"",A2547+P2547)</f>
        <v/>
      </c>
      <c r="R2547" s="26">
        <f>IF(Q2547="","",IF(COUNTIFS($E$5:$E$3004,E2547,$A$5:$A$3004,"&gt;"&amp;A2547,$H$5:$H$3004,"&lt;&gt;Falta",$H$5:$H$3004,"&lt;&gt;Cancelado",$H$5:$H$3004,"&lt;&gt;Remarcado")&gt;0,"Sim","Não"))</f>
        <v/>
      </c>
      <c r="S2547" s="32">
        <f>IF(R2547&lt;&gt;"Não","",IF(Q2547+Config!$B$9&lt;=Config!$B$8,Config!$B$8-Q2547,""))</f>
        <v/>
      </c>
      <c r="T2547" s="26">
        <f>IF(S2547="","","Sim")</f>
        <v/>
      </c>
      <c r="U2547" s="41">
        <f>IF(T2547="Sim",S2547+ROW()/100000,0)</f>
        <v>0</v>
      </c>
      <c r="V2547" s="41">
        <f>IF(AND(H2547="Falta",L2547=Config!$B$7,M2547=Config!$B$5,COUNTIFS($E$5:E2547,E2547,$H$5:H2547,"Falta",$L$5:L2547,Config!$B$7,$M$5:M2547,Config!$B$5)=1),COUNTIFS($E$5:$E$3004,E2547,$H$5:$H$3004,"Falta",$L$5:$L$3004,Config!$B$7,$M$5:$M$3004,Config!$B$5)*1000-ROW()/100000,0)</f>
        <v>0</v>
      </c>
    </row>
    <row r="2548">
      <c r="A2548" s="39" t="n"/>
      <c r="B2548" s="40" t="n"/>
      <c r="C2548" s="35" t="n"/>
      <c r="D2548" s="35" t="n"/>
      <c r="E2548" s="34" t="n"/>
      <c r="F2548" s="35" t="n"/>
      <c r="G2548" s="35" t="n"/>
      <c r="H2548" s="35" t="n"/>
      <c r="I2548" s="35" t="n"/>
      <c r="J2548" s="35" t="n"/>
      <c r="K2548" s="34" t="n"/>
      <c r="L2548" s="26">
        <f>IF(A2548="","",MONTH(A2548))</f>
        <v/>
      </c>
      <c r="M2548" s="26">
        <f>IF(A2548="","",YEAR(A2548))</f>
        <v/>
      </c>
      <c r="N2548" s="26">
        <f>IF(A2548="","",CHOOSE(WEEKDAY(A2548,2),"Segunda","Terça","Quarta","Quinta","Sexta","Sábado","Domingo"))</f>
        <v/>
      </c>
      <c r="O2548" s="26">
        <f>IF(B2548="","",IF(B2548&lt;TIME(12,0,0),"Manhã",IF(B2548&lt;TIME(18,0,0),"Tarde","Noite")))</f>
        <v/>
      </c>
      <c r="P2548" s="32">
        <f>IF(G2548="","",IFERROR(INDEX(Config!$I$5:$I$16,MATCH(G2548,Config!$H$5:$H$16,0)),0))</f>
        <v/>
      </c>
      <c r="Q2548" s="30">
        <f>IF(OR(H2548&lt;&gt;"Realizado",P2548="",P2548=0),"",A2548+P2548)</f>
        <v/>
      </c>
      <c r="R2548" s="26">
        <f>IF(Q2548="","",IF(COUNTIFS($E$5:$E$3004,E2548,$A$5:$A$3004,"&gt;"&amp;A2548,$H$5:$H$3004,"&lt;&gt;Falta",$H$5:$H$3004,"&lt;&gt;Cancelado",$H$5:$H$3004,"&lt;&gt;Remarcado")&gt;0,"Sim","Não"))</f>
        <v/>
      </c>
      <c r="S2548" s="32">
        <f>IF(R2548&lt;&gt;"Não","",IF(Q2548+Config!$B$9&lt;=Config!$B$8,Config!$B$8-Q2548,""))</f>
        <v/>
      </c>
      <c r="T2548" s="26">
        <f>IF(S2548="","","Sim")</f>
        <v/>
      </c>
      <c r="U2548" s="41">
        <f>IF(T2548="Sim",S2548+ROW()/100000,0)</f>
        <v>0</v>
      </c>
      <c r="V2548" s="41">
        <f>IF(AND(H2548="Falta",L2548=Config!$B$7,M2548=Config!$B$5,COUNTIFS($E$5:E2548,E2548,$H$5:H2548,"Falta",$L$5:L2548,Config!$B$7,$M$5:M2548,Config!$B$5)=1),COUNTIFS($E$5:$E$3004,E2548,$H$5:$H$3004,"Falta",$L$5:$L$3004,Config!$B$7,$M$5:$M$3004,Config!$B$5)*1000-ROW()/100000,0)</f>
        <v>0</v>
      </c>
    </row>
    <row r="2549">
      <c r="A2549" s="39" t="n"/>
      <c r="B2549" s="40" t="n"/>
      <c r="C2549" s="35" t="n"/>
      <c r="D2549" s="35" t="n"/>
      <c r="E2549" s="34" t="n"/>
      <c r="F2549" s="35" t="n"/>
      <c r="G2549" s="35" t="n"/>
      <c r="H2549" s="35" t="n"/>
      <c r="I2549" s="35" t="n"/>
      <c r="J2549" s="35" t="n"/>
      <c r="K2549" s="34" t="n"/>
      <c r="L2549" s="26">
        <f>IF(A2549="","",MONTH(A2549))</f>
        <v/>
      </c>
      <c r="M2549" s="26">
        <f>IF(A2549="","",YEAR(A2549))</f>
        <v/>
      </c>
      <c r="N2549" s="26">
        <f>IF(A2549="","",CHOOSE(WEEKDAY(A2549,2),"Segunda","Terça","Quarta","Quinta","Sexta","Sábado","Domingo"))</f>
        <v/>
      </c>
      <c r="O2549" s="26">
        <f>IF(B2549="","",IF(B2549&lt;TIME(12,0,0),"Manhã",IF(B2549&lt;TIME(18,0,0),"Tarde","Noite")))</f>
        <v/>
      </c>
      <c r="P2549" s="32">
        <f>IF(G2549="","",IFERROR(INDEX(Config!$I$5:$I$16,MATCH(G2549,Config!$H$5:$H$16,0)),0))</f>
        <v/>
      </c>
      <c r="Q2549" s="30">
        <f>IF(OR(H2549&lt;&gt;"Realizado",P2549="",P2549=0),"",A2549+P2549)</f>
        <v/>
      </c>
      <c r="R2549" s="26">
        <f>IF(Q2549="","",IF(COUNTIFS($E$5:$E$3004,E2549,$A$5:$A$3004,"&gt;"&amp;A2549,$H$5:$H$3004,"&lt;&gt;Falta",$H$5:$H$3004,"&lt;&gt;Cancelado",$H$5:$H$3004,"&lt;&gt;Remarcado")&gt;0,"Sim","Não"))</f>
        <v/>
      </c>
      <c r="S2549" s="32">
        <f>IF(R2549&lt;&gt;"Não","",IF(Q2549+Config!$B$9&lt;=Config!$B$8,Config!$B$8-Q2549,""))</f>
        <v/>
      </c>
      <c r="T2549" s="26">
        <f>IF(S2549="","","Sim")</f>
        <v/>
      </c>
      <c r="U2549" s="41">
        <f>IF(T2549="Sim",S2549+ROW()/100000,0)</f>
        <v>0</v>
      </c>
      <c r="V2549" s="41">
        <f>IF(AND(H2549="Falta",L2549=Config!$B$7,M2549=Config!$B$5,COUNTIFS($E$5:E2549,E2549,$H$5:H2549,"Falta",$L$5:L2549,Config!$B$7,$M$5:M2549,Config!$B$5)=1),COUNTIFS($E$5:$E$3004,E2549,$H$5:$H$3004,"Falta",$L$5:$L$3004,Config!$B$7,$M$5:$M$3004,Config!$B$5)*1000-ROW()/100000,0)</f>
        <v>0</v>
      </c>
    </row>
    <row r="2550">
      <c r="A2550" s="39" t="n"/>
      <c r="B2550" s="40" t="n"/>
      <c r="C2550" s="35" t="n"/>
      <c r="D2550" s="35" t="n"/>
      <c r="E2550" s="34" t="n"/>
      <c r="F2550" s="35" t="n"/>
      <c r="G2550" s="35" t="n"/>
      <c r="H2550" s="35" t="n"/>
      <c r="I2550" s="35" t="n"/>
      <c r="J2550" s="35" t="n"/>
      <c r="K2550" s="34" t="n"/>
      <c r="L2550" s="26">
        <f>IF(A2550="","",MONTH(A2550))</f>
        <v/>
      </c>
      <c r="M2550" s="26">
        <f>IF(A2550="","",YEAR(A2550))</f>
        <v/>
      </c>
      <c r="N2550" s="26">
        <f>IF(A2550="","",CHOOSE(WEEKDAY(A2550,2),"Segunda","Terça","Quarta","Quinta","Sexta","Sábado","Domingo"))</f>
        <v/>
      </c>
      <c r="O2550" s="26">
        <f>IF(B2550="","",IF(B2550&lt;TIME(12,0,0),"Manhã",IF(B2550&lt;TIME(18,0,0),"Tarde","Noite")))</f>
        <v/>
      </c>
      <c r="P2550" s="32">
        <f>IF(G2550="","",IFERROR(INDEX(Config!$I$5:$I$16,MATCH(G2550,Config!$H$5:$H$16,0)),0))</f>
        <v/>
      </c>
      <c r="Q2550" s="30">
        <f>IF(OR(H2550&lt;&gt;"Realizado",P2550="",P2550=0),"",A2550+P2550)</f>
        <v/>
      </c>
      <c r="R2550" s="26">
        <f>IF(Q2550="","",IF(COUNTIFS($E$5:$E$3004,E2550,$A$5:$A$3004,"&gt;"&amp;A2550,$H$5:$H$3004,"&lt;&gt;Falta",$H$5:$H$3004,"&lt;&gt;Cancelado",$H$5:$H$3004,"&lt;&gt;Remarcado")&gt;0,"Sim","Não"))</f>
        <v/>
      </c>
      <c r="S2550" s="32">
        <f>IF(R2550&lt;&gt;"Não","",IF(Q2550+Config!$B$9&lt;=Config!$B$8,Config!$B$8-Q2550,""))</f>
        <v/>
      </c>
      <c r="T2550" s="26">
        <f>IF(S2550="","","Sim")</f>
        <v/>
      </c>
      <c r="U2550" s="41">
        <f>IF(T2550="Sim",S2550+ROW()/100000,0)</f>
        <v>0</v>
      </c>
      <c r="V2550" s="41">
        <f>IF(AND(H2550="Falta",L2550=Config!$B$7,M2550=Config!$B$5,COUNTIFS($E$5:E2550,E2550,$H$5:H2550,"Falta",$L$5:L2550,Config!$B$7,$M$5:M2550,Config!$B$5)=1),COUNTIFS($E$5:$E$3004,E2550,$H$5:$H$3004,"Falta",$L$5:$L$3004,Config!$B$7,$M$5:$M$3004,Config!$B$5)*1000-ROW()/100000,0)</f>
        <v>0</v>
      </c>
    </row>
    <row r="2551">
      <c r="A2551" s="39" t="n"/>
      <c r="B2551" s="40" t="n"/>
      <c r="C2551" s="35" t="n"/>
      <c r="D2551" s="35" t="n"/>
      <c r="E2551" s="34" t="n"/>
      <c r="F2551" s="35" t="n"/>
      <c r="G2551" s="35" t="n"/>
      <c r="H2551" s="35" t="n"/>
      <c r="I2551" s="35" t="n"/>
      <c r="J2551" s="35" t="n"/>
      <c r="K2551" s="34" t="n"/>
      <c r="L2551" s="26">
        <f>IF(A2551="","",MONTH(A2551))</f>
        <v/>
      </c>
      <c r="M2551" s="26">
        <f>IF(A2551="","",YEAR(A2551))</f>
        <v/>
      </c>
      <c r="N2551" s="26">
        <f>IF(A2551="","",CHOOSE(WEEKDAY(A2551,2),"Segunda","Terça","Quarta","Quinta","Sexta","Sábado","Domingo"))</f>
        <v/>
      </c>
      <c r="O2551" s="26">
        <f>IF(B2551="","",IF(B2551&lt;TIME(12,0,0),"Manhã",IF(B2551&lt;TIME(18,0,0),"Tarde","Noite")))</f>
        <v/>
      </c>
      <c r="P2551" s="32">
        <f>IF(G2551="","",IFERROR(INDEX(Config!$I$5:$I$16,MATCH(G2551,Config!$H$5:$H$16,0)),0))</f>
        <v/>
      </c>
      <c r="Q2551" s="30">
        <f>IF(OR(H2551&lt;&gt;"Realizado",P2551="",P2551=0),"",A2551+P2551)</f>
        <v/>
      </c>
      <c r="R2551" s="26">
        <f>IF(Q2551="","",IF(COUNTIFS($E$5:$E$3004,E2551,$A$5:$A$3004,"&gt;"&amp;A2551,$H$5:$H$3004,"&lt;&gt;Falta",$H$5:$H$3004,"&lt;&gt;Cancelado",$H$5:$H$3004,"&lt;&gt;Remarcado")&gt;0,"Sim","Não"))</f>
        <v/>
      </c>
      <c r="S2551" s="32">
        <f>IF(R2551&lt;&gt;"Não","",IF(Q2551+Config!$B$9&lt;=Config!$B$8,Config!$B$8-Q2551,""))</f>
        <v/>
      </c>
      <c r="T2551" s="26">
        <f>IF(S2551="","","Sim")</f>
        <v/>
      </c>
      <c r="U2551" s="41">
        <f>IF(T2551="Sim",S2551+ROW()/100000,0)</f>
        <v>0</v>
      </c>
      <c r="V2551" s="41">
        <f>IF(AND(H2551="Falta",L2551=Config!$B$7,M2551=Config!$B$5,COUNTIFS($E$5:E2551,E2551,$H$5:H2551,"Falta",$L$5:L2551,Config!$B$7,$M$5:M2551,Config!$B$5)=1),COUNTIFS($E$5:$E$3004,E2551,$H$5:$H$3004,"Falta",$L$5:$L$3004,Config!$B$7,$M$5:$M$3004,Config!$B$5)*1000-ROW()/100000,0)</f>
        <v>0</v>
      </c>
    </row>
    <row r="2552">
      <c r="A2552" s="39" t="n"/>
      <c r="B2552" s="40" t="n"/>
      <c r="C2552" s="35" t="n"/>
      <c r="D2552" s="35" t="n"/>
      <c r="E2552" s="34" t="n"/>
      <c r="F2552" s="35" t="n"/>
      <c r="G2552" s="35" t="n"/>
      <c r="H2552" s="35" t="n"/>
      <c r="I2552" s="35" t="n"/>
      <c r="J2552" s="35" t="n"/>
      <c r="K2552" s="34" t="n"/>
      <c r="L2552" s="26">
        <f>IF(A2552="","",MONTH(A2552))</f>
        <v/>
      </c>
      <c r="M2552" s="26">
        <f>IF(A2552="","",YEAR(A2552))</f>
        <v/>
      </c>
      <c r="N2552" s="26">
        <f>IF(A2552="","",CHOOSE(WEEKDAY(A2552,2),"Segunda","Terça","Quarta","Quinta","Sexta","Sábado","Domingo"))</f>
        <v/>
      </c>
      <c r="O2552" s="26">
        <f>IF(B2552="","",IF(B2552&lt;TIME(12,0,0),"Manhã",IF(B2552&lt;TIME(18,0,0),"Tarde","Noite")))</f>
        <v/>
      </c>
      <c r="P2552" s="32">
        <f>IF(G2552="","",IFERROR(INDEX(Config!$I$5:$I$16,MATCH(G2552,Config!$H$5:$H$16,0)),0))</f>
        <v/>
      </c>
      <c r="Q2552" s="30">
        <f>IF(OR(H2552&lt;&gt;"Realizado",P2552="",P2552=0),"",A2552+P2552)</f>
        <v/>
      </c>
      <c r="R2552" s="26">
        <f>IF(Q2552="","",IF(COUNTIFS($E$5:$E$3004,E2552,$A$5:$A$3004,"&gt;"&amp;A2552,$H$5:$H$3004,"&lt;&gt;Falta",$H$5:$H$3004,"&lt;&gt;Cancelado",$H$5:$H$3004,"&lt;&gt;Remarcado")&gt;0,"Sim","Não"))</f>
        <v/>
      </c>
      <c r="S2552" s="32">
        <f>IF(R2552&lt;&gt;"Não","",IF(Q2552+Config!$B$9&lt;=Config!$B$8,Config!$B$8-Q2552,""))</f>
        <v/>
      </c>
      <c r="T2552" s="26">
        <f>IF(S2552="","","Sim")</f>
        <v/>
      </c>
      <c r="U2552" s="41">
        <f>IF(T2552="Sim",S2552+ROW()/100000,0)</f>
        <v>0</v>
      </c>
      <c r="V2552" s="41">
        <f>IF(AND(H2552="Falta",L2552=Config!$B$7,M2552=Config!$B$5,COUNTIFS($E$5:E2552,E2552,$H$5:H2552,"Falta",$L$5:L2552,Config!$B$7,$M$5:M2552,Config!$B$5)=1),COUNTIFS($E$5:$E$3004,E2552,$H$5:$H$3004,"Falta",$L$5:$L$3004,Config!$B$7,$M$5:$M$3004,Config!$B$5)*1000-ROW()/100000,0)</f>
        <v>0</v>
      </c>
    </row>
    <row r="2553">
      <c r="A2553" s="39" t="n"/>
      <c r="B2553" s="40" t="n"/>
      <c r="C2553" s="35" t="n"/>
      <c r="D2553" s="35" t="n"/>
      <c r="E2553" s="34" t="n"/>
      <c r="F2553" s="35" t="n"/>
      <c r="G2553" s="35" t="n"/>
      <c r="H2553" s="35" t="n"/>
      <c r="I2553" s="35" t="n"/>
      <c r="J2553" s="35" t="n"/>
      <c r="K2553" s="34" t="n"/>
      <c r="L2553" s="26">
        <f>IF(A2553="","",MONTH(A2553))</f>
        <v/>
      </c>
      <c r="M2553" s="26">
        <f>IF(A2553="","",YEAR(A2553))</f>
        <v/>
      </c>
      <c r="N2553" s="26">
        <f>IF(A2553="","",CHOOSE(WEEKDAY(A2553,2),"Segunda","Terça","Quarta","Quinta","Sexta","Sábado","Domingo"))</f>
        <v/>
      </c>
      <c r="O2553" s="26">
        <f>IF(B2553="","",IF(B2553&lt;TIME(12,0,0),"Manhã",IF(B2553&lt;TIME(18,0,0),"Tarde","Noite")))</f>
        <v/>
      </c>
      <c r="P2553" s="32">
        <f>IF(G2553="","",IFERROR(INDEX(Config!$I$5:$I$16,MATCH(G2553,Config!$H$5:$H$16,0)),0))</f>
        <v/>
      </c>
      <c r="Q2553" s="30">
        <f>IF(OR(H2553&lt;&gt;"Realizado",P2553="",P2553=0),"",A2553+P2553)</f>
        <v/>
      </c>
      <c r="R2553" s="26">
        <f>IF(Q2553="","",IF(COUNTIFS($E$5:$E$3004,E2553,$A$5:$A$3004,"&gt;"&amp;A2553,$H$5:$H$3004,"&lt;&gt;Falta",$H$5:$H$3004,"&lt;&gt;Cancelado",$H$5:$H$3004,"&lt;&gt;Remarcado")&gt;0,"Sim","Não"))</f>
        <v/>
      </c>
      <c r="S2553" s="32">
        <f>IF(R2553&lt;&gt;"Não","",IF(Q2553+Config!$B$9&lt;=Config!$B$8,Config!$B$8-Q2553,""))</f>
        <v/>
      </c>
      <c r="T2553" s="26">
        <f>IF(S2553="","","Sim")</f>
        <v/>
      </c>
      <c r="U2553" s="41">
        <f>IF(T2553="Sim",S2553+ROW()/100000,0)</f>
        <v>0</v>
      </c>
      <c r="V2553" s="41">
        <f>IF(AND(H2553="Falta",L2553=Config!$B$7,M2553=Config!$B$5,COUNTIFS($E$5:E2553,E2553,$H$5:H2553,"Falta",$L$5:L2553,Config!$B$7,$M$5:M2553,Config!$B$5)=1),COUNTIFS($E$5:$E$3004,E2553,$H$5:$H$3004,"Falta",$L$5:$L$3004,Config!$B$7,$M$5:$M$3004,Config!$B$5)*1000-ROW()/100000,0)</f>
        <v>0</v>
      </c>
    </row>
    <row r="2554">
      <c r="A2554" s="39" t="n"/>
      <c r="B2554" s="40" t="n"/>
      <c r="C2554" s="35" t="n"/>
      <c r="D2554" s="35" t="n"/>
      <c r="E2554" s="34" t="n"/>
      <c r="F2554" s="35" t="n"/>
      <c r="G2554" s="35" t="n"/>
      <c r="H2554" s="35" t="n"/>
      <c r="I2554" s="35" t="n"/>
      <c r="J2554" s="35" t="n"/>
      <c r="K2554" s="34" t="n"/>
      <c r="L2554" s="26">
        <f>IF(A2554="","",MONTH(A2554))</f>
        <v/>
      </c>
      <c r="M2554" s="26">
        <f>IF(A2554="","",YEAR(A2554))</f>
        <v/>
      </c>
      <c r="N2554" s="26">
        <f>IF(A2554="","",CHOOSE(WEEKDAY(A2554,2),"Segunda","Terça","Quarta","Quinta","Sexta","Sábado","Domingo"))</f>
        <v/>
      </c>
      <c r="O2554" s="26">
        <f>IF(B2554="","",IF(B2554&lt;TIME(12,0,0),"Manhã",IF(B2554&lt;TIME(18,0,0),"Tarde","Noite")))</f>
        <v/>
      </c>
      <c r="P2554" s="32">
        <f>IF(G2554="","",IFERROR(INDEX(Config!$I$5:$I$16,MATCH(G2554,Config!$H$5:$H$16,0)),0))</f>
        <v/>
      </c>
      <c r="Q2554" s="30">
        <f>IF(OR(H2554&lt;&gt;"Realizado",P2554="",P2554=0),"",A2554+P2554)</f>
        <v/>
      </c>
      <c r="R2554" s="26">
        <f>IF(Q2554="","",IF(COUNTIFS($E$5:$E$3004,E2554,$A$5:$A$3004,"&gt;"&amp;A2554,$H$5:$H$3004,"&lt;&gt;Falta",$H$5:$H$3004,"&lt;&gt;Cancelado",$H$5:$H$3004,"&lt;&gt;Remarcado")&gt;0,"Sim","Não"))</f>
        <v/>
      </c>
      <c r="S2554" s="32">
        <f>IF(R2554&lt;&gt;"Não","",IF(Q2554+Config!$B$9&lt;=Config!$B$8,Config!$B$8-Q2554,""))</f>
        <v/>
      </c>
      <c r="T2554" s="26">
        <f>IF(S2554="","","Sim")</f>
        <v/>
      </c>
      <c r="U2554" s="41">
        <f>IF(T2554="Sim",S2554+ROW()/100000,0)</f>
        <v>0</v>
      </c>
      <c r="V2554" s="41">
        <f>IF(AND(H2554="Falta",L2554=Config!$B$7,M2554=Config!$B$5,COUNTIFS($E$5:E2554,E2554,$H$5:H2554,"Falta",$L$5:L2554,Config!$B$7,$M$5:M2554,Config!$B$5)=1),COUNTIFS($E$5:$E$3004,E2554,$H$5:$H$3004,"Falta",$L$5:$L$3004,Config!$B$7,$M$5:$M$3004,Config!$B$5)*1000-ROW()/100000,0)</f>
        <v>0</v>
      </c>
    </row>
    <row r="2555">
      <c r="A2555" s="39" t="n"/>
      <c r="B2555" s="40" t="n"/>
      <c r="C2555" s="35" t="n"/>
      <c r="D2555" s="35" t="n"/>
      <c r="E2555" s="34" t="n"/>
      <c r="F2555" s="35" t="n"/>
      <c r="G2555" s="35" t="n"/>
      <c r="H2555" s="35" t="n"/>
      <c r="I2555" s="35" t="n"/>
      <c r="J2555" s="35" t="n"/>
      <c r="K2555" s="34" t="n"/>
      <c r="L2555" s="26">
        <f>IF(A2555="","",MONTH(A2555))</f>
        <v/>
      </c>
      <c r="M2555" s="26">
        <f>IF(A2555="","",YEAR(A2555))</f>
        <v/>
      </c>
      <c r="N2555" s="26">
        <f>IF(A2555="","",CHOOSE(WEEKDAY(A2555,2),"Segunda","Terça","Quarta","Quinta","Sexta","Sábado","Domingo"))</f>
        <v/>
      </c>
      <c r="O2555" s="26">
        <f>IF(B2555="","",IF(B2555&lt;TIME(12,0,0),"Manhã",IF(B2555&lt;TIME(18,0,0),"Tarde","Noite")))</f>
        <v/>
      </c>
      <c r="P2555" s="32">
        <f>IF(G2555="","",IFERROR(INDEX(Config!$I$5:$I$16,MATCH(G2555,Config!$H$5:$H$16,0)),0))</f>
        <v/>
      </c>
      <c r="Q2555" s="30">
        <f>IF(OR(H2555&lt;&gt;"Realizado",P2555="",P2555=0),"",A2555+P2555)</f>
        <v/>
      </c>
      <c r="R2555" s="26">
        <f>IF(Q2555="","",IF(COUNTIFS($E$5:$E$3004,E2555,$A$5:$A$3004,"&gt;"&amp;A2555,$H$5:$H$3004,"&lt;&gt;Falta",$H$5:$H$3004,"&lt;&gt;Cancelado",$H$5:$H$3004,"&lt;&gt;Remarcado")&gt;0,"Sim","Não"))</f>
        <v/>
      </c>
      <c r="S2555" s="32">
        <f>IF(R2555&lt;&gt;"Não","",IF(Q2555+Config!$B$9&lt;=Config!$B$8,Config!$B$8-Q2555,""))</f>
        <v/>
      </c>
      <c r="T2555" s="26">
        <f>IF(S2555="","","Sim")</f>
        <v/>
      </c>
      <c r="U2555" s="41">
        <f>IF(T2555="Sim",S2555+ROW()/100000,0)</f>
        <v>0</v>
      </c>
      <c r="V2555" s="41">
        <f>IF(AND(H2555="Falta",L2555=Config!$B$7,M2555=Config!$B$5,COUNTIFS($E$5:E2555,E2555,$H$5:H2555,"Falta",$L$5:L2555,Config!$B$7,$M$5:M2555,Config!$B$5)=1),COUNTIFS($E$5:$E$3004,E2555,$H$5:$H$3004,"Falta",$L$5:$L$3004,Config!$B$7,$M$5:$M$3004,Config!$B$5)*1000-ROW()/100000,0)</f>
        <v>0</v>
      </c>
    </row>
    <row r="2556">
      <c r="A2556" s="39" t="n"/>
      <c r="B2556" s="40" t="n"/>
      <c r="C2556" s="35" t="n"/>
      <c r="D2556" s="35" t="n"/>
      <c r="E2556" s="34" t="n"/>
      <c r="F2556" s="35" t="n"/>
      <c r="G2556" s="35" t="n"/>
      <c r="H2556" s="35" t="n"/>
      <c r="I2556" s="35" t="n"/>
      <c r="J2556" s="35" t="n"/>
      <c r="K2556" s="34" t="n"/>
      <c r="L2556" s="26">
        <f>IF(A2556="","",MONTH(A2556))</f>
        <v/>
      </c>
      <c r="M2556" s="26">
        <f>IF(A2556="","",YEAR(A2556))</f>
        <v/>
      </c>
      <c r="N2556" s="26">
        <f>IF(A2556="","",CHOOSE(WEEKDAY(A2556,2),"Segunda","Terça","Quarta","Quinta","Sexta","Sábado","Domingo"))</f>
        <v/>
      </c>
      <c r="O2556" s="26">
        <f>IF(B2556="","",IF(B2556&lt;TIME(12,0,0),"Manhã",IF(B2556&lt;TIME(18,0,0),"Tarde","Noite")))</f>
        <v/>
      </c>
      <c r="P2556" s="32">
        <f>IF(G2556="","",IFERROR(INDEX(Config!$I$5:$I$16,MATCH(G2556,Config!$H$5:$H$16,0)),0))</f>
        <v/>
      </c>
      <c r="Q2556" s="30">
        <f>IF(OR(H2556&lt;&gt;"Realizado",P2556="",P2556=0),"",A2556+P2556)</f>
        <v/>
      </c>
      <c r="R2556" s="26">
        <f>IF(Q2556="","",IF(COUNTIFS($E$5:$E$3004,E2556,$A$5:$A$3004,"&gt;"&amp;A2556,$H$5:$H$3004,"&lt;&gt;Falta",$H$5:$H$3004,"&lt;&gt;Cancelado",$H$5:$H$3004,"&lt;&gt;Remarcado")&gt;0,"Sim","Não"))</f>
        <v/>
      </c>
      <c r="S2556" s="32">
        <f>IF(R2556&lt;&gt;"Não","",IF(Q2556+Config!$B$9&lt;=Config!$B$8,Config!$B$8-Q2556,""))</f>
        <v/>
      </c>
      <c r="T2556" s="26">
        <f>IF(S2556="","","Sim")</f>
        <v/>
      </c>
      <c r="U2556" s="41">
        <f>IF(T2556="Sim",S2556+ROW()/100000,0)</f>
        <v>0</v>
      </c>
      <c r="V2556" s="41">
        <f>IF(AND(H2556="Falta",L2556=Config!$B$7,M2556=Config!$B$5,COUNTIFS($E$5:E2556,E2556,$H$5:H2556,"Falta",$L$5:L2556,Config!$B$7,$M$5:M2556,Config!$B$5)=1),COUNTIFS($E$5:$E$3004,E2556,$H$5:$H$3004,"Falta",$L$5:$L$3004,Config!$B$7,$M$5:$M$3004,Config!$B$5)*1000-ROW()/100000,0)</f>
        <v>0</v>
      </c>
    </row>
    <row r="2557">
      <c r="A2557" s="39" t="n"/>
      <c r="B2557" s="40" t="n"/>
      <c r="C2557" s="35" t="n"/>
      <c r="D2557" s="35" t="n"/>
      <c r="E2557" s="34" t="n"/>
      <c r="F2557" s="35" t="n"/>
      <c r="G2557" s="35" t="n"/>
      <c r="H2557" s="35" t="n"/>
      <c r="I2557" s="35" t="n"/>
      <c r="J2557" s="35" t="n"/>
      <c r="K2557" s="34" t="n"/>
      <c r="L2557" s="26">
        <f>IF(A2557="","",MONTH(A2557))</f>
        <v/>
      </c>
      <c r="M2557" s="26">
        <f>IF(A2557="","",YEAR(A2557))</f>
        <v/>
      </c>
      <c r="N2557" s="26">
        <f>IF(A2557="","",CHOOSE(WEEKDAY(A2557,2),"Segunda","Terça","Quarta","Quinta","Sexta","Sábado","Domingo"))</f>
        <v/>
      </c>
      <c r="O2557" s="26">
        <f>IF(B2557="","",IF(B2557&lt;TIME(12,0,0),"Manhã",IF(B2557&lt;TIME(18,0,0),"Tarde","Noite")))</f>
        <v/>
      </c>
      <c r="P2557" s="32">
        <f>IF(G2557="","",IFERROR(INDEX(Config!$I$5:$I$16,MATCH(G2557,Config!$H$5:$H$16,0)),0))</f>
        <v/>
      </c>
      <c r="Q2557" s="30">
        <f>IF(OR(H2557&lt;&gt;"Realizado",P2557="",P2557=0),"",A2557+P2557)</f>
        <v/>
      </c>
      <c r="R2557" s="26">
        <f>IF(Q2557="","",IF(COUNTIFS($E$5:$E$3004,E2557,$A$5:$A$3004,"&gt;"&amp;A2557,$H$5:$H$3004,"&lt;&gt;Falta",$H$5:$H$3004,"&lt;&gt;Cancelado",$H$5:$H$3004,"&lt;&gt;Remarcado")&gt;0,"Sim","Não"))</f>
        <v/>
      </c>
      <c r="S2557" s="32">
        <f>IF(R2557&lt;&gt;"Não","",IF(Q2557+Config!$B$9&lt;=Config!$B$8,Config!$B$8-Q2557,""))</f>
        <v/>
      </c>
      <c r="T2557" s="26">
        <f>IF(S2557="","","Sim")</f>
        <v/>
      </c>
      <c r="U2557" s="41">
        <f>IF(T2557="Sim",S2557+ROW()/100000,0)</f>
        <v>0</v>
      </c>
      <c r="V2557" s="41">
        <f>IF(AND(H2557="Falta",L2557=Config!$B$7,M2557=Config!$B$5,COUNTIFS($E$5:E2557,E2557,$H$5:H2557,"Falta",$L$5:L2557,Config!$B$7,$M$5:M2557,Config!$B$5)=1),COUNTIFS($E$5:$E$3004,E2557,$H$5:$H$3004,"Falta",$L$5:$L$3004,Config!$B$7,$M$5:$M$3004,Config!$B$5)*1000-ROW()/100000,0)</f>
        <v>0</v>
      </c>
    </row>
    <row r="2558">
      <c r="A2558" s="39" t="n"/>
      <c r="B2558" s="40" t="n"/>
      <c r="C2558" s="35" t="n"/>
      <c r="D2558" s="35" t="n"/>
      <c r="E2558" s="34" t="n"/>
      <c r="F2558" s="35" t="n"/>
      <c r="G2558" s="35" t="n"/>
      <c r="H2558" s="35" t="n"/>
      <c r="I2558" s="35" t="n"/>
      <c r="J2558" s="35" t="n"/>
      <c r="K2558" s="34" t="n"/>
      <c r="L2558" s="26">
        <f>IF(A2558="","",MONTH(A2558))</f>
        <v/>
      </c>
      <c r="M2558" s="26">
        <f>IF(A2558="","",YEAR(A2558))</f>
        <v/>
      </c>
      <c r="N2558" s="26">
        <f>IF(A2558="","",CHOOSE(WEEKDAY(A2558,2),"Segunda","Terça","Quarta","Quinta","Sexta","Sábado","Domingo"))</f>
        <v/>
      </c>
      <c r="O2558" s="26">
        <f>IF(B2558="","",IF(B2558&lt;TIME(12,0,0),"Manhã",IF(B2558&lt;TIME(18,0,0),"Tarde","Noite")))</f>
        <v/>
      </c>
      <c r="P2558" s="32">
        <f>IF(G2558="","",IFERROR(INDEX(Config!$I$5:$I$16,MATCH(G2558,Config!$H$5:$H$16,0)),0))</f>
        <v/>
      </c>
      <c r="Q2558" s="30">
        <f>IF(OR(H2558&lt;&gt;"Realizado",P2558="",P2558=0),"",A2558+P2558)</f>
        <v/>
      </c>
      <c r="R2558" s="26">
        <f>IF(Q2558="","",IF(COUNTIFS($E$5:$E$3004,E2558,$A$5:$A$3004,"&gt;"&amp;A2558,$H$5:$H$3004,"&lt;&gt;Falta",$H$5:$H$3004,"&lt;&gt;Cancelado",$H$5:$H$3004,"&lt;&gt;Remarcado")&gt;0,"Sim","Não"))</f>
        <v/>
      </c>
      <c r="S2558" s="32">
        <f>IF(R2558&lt;&gt;"Não","",IF(Q2558+Config!$B$9&lt;=Config!$B$8,Config!$B$8-Q2558,""))</f>
        <v/>
      </c>
      <c r="T2558" s="26">
        <f>IF(S2558="","","Sim")</f>
        <v/>
      </c>
      <c r="U2558" s="41">
        <f>IF(T2558="Sim",S2558+ROW()/100000,0)</f>
        <v>0</v>
      </c>
      <c r="V2558" s="41">
        <f>IF(AND(H2558="Falta",L2558=Config!$B$7,M2558=Config!$B$5,COUNTIFS($E$5:E2558,E2558,$H$5:H2558,"Falta",$L$5:L2558,Config!$B$7,$M$5:M2558,Config!$B$5)=1),COUNTIFS($E$5:$E$3004,E2558,$H$5:$H$3004,"Falta",$L$5:$L$3004,Config!$B$7,$M$5:$M$3004,Config!$B$5)*1000-ROW()/100000,0)</f>
        <v>0</v>
      </c>
    </row>
    <row r="2559">
      <c r="A2559" s="39" t="n"/>
      <c r="B2559" s="40" t="n"/>
      <c r="C2559" s="35" t="n"/>
      <c r="D2559" s="35" t="n"/>
      <c r="E2559" s="34" t="n"/>
      <c r="F2559" s="35" t="n"/>
      <c r="G2559" s="35" t="n"/>
      <c r="H2559" s="35" t="n"/>
      <c r="I2559" s="35" t="n"/>
      <c r="J2559" s="35" t="n"/>
      <c r="K2559" s="34" t="n"/>
      <c r="L2559" s="26">
        <f>IF(A2559="","",MONTH(A2559))</f>
        <v/>
      </c>
      <c r="M2559" s="26">
        <f>IF(A2559="","",YEAR(A2559))</f>
        <v/>
      </c>
      <c r="N2559" s="26">
        <f>IF(A2559="","",CHOOSE(WEEKDAY(A2559,2),"Segunda","Terça","Quarta","Quinta","Sexta","Sábado","Domingo"))</f>
        <v/>
      </c>
      <c r="O2559" s="26">
        <f>IF(B2559="","",IF(B2559&lt;TIME(12,0,0),"Manhã",IF(B2559&lt;TIME(18,0,0),"Tarde","Noite")))</f>
        <v/>
      </c>
      <c r="P2559" s="32">
        <f>IF(G2559="","",IFERROR(INDEX(Config!$I$5:$I$16,MATCH(G2559,Config!$H$5:$H$16,0)),0))</f>
        <v/>
      </c>
      <c r="Q2559" s="30">
        <f>IF(OR(H2559&lt;&gt;"Realizado",P2559="",P2559=0),"",A2559+P2559)</f>
        <v/>
      </c>
      <c r="R2559" s="26">
        <f>IF(Q2559="","",IF(COUNTIFS($E$5:$E$3004,E2559,$A$5:$A$3004,"&gt;"&amp;A2559,$H$5:$H$3004,"&lt;&gt;Falta",$H$5:$H$3004,"&lt;&gt;Cancelado",$H$5:$H$3004,"&lt;&gt;Remarcado")&gt;0,"Sim","Não"))</f>
        <v/>
      </c>
      <c r="S2559" s="32">
        <f>IF(R2559&lt;&gt;"Não","",IF(Q2559+Config!$B$9&lt;=Config!$B$8,Config!$B$8-Q2559,""))</f>
        <v/>
      </c>
      <c r="T2559" s="26">
        <f>IF(S2559="","","Sim")</f>
        <v/>
      </c>
      <c r="U2559" s="41">
        <f>IF(T2559="Sim",S2559+ROW()/100000,0)</f>
        <v>0</v>
      </c>
      <c r="V2559" s="41">
        <f>IF(AND(H2559="Falta",L2559=Config!$B$7,M2559=Config!$B$5,COUNTIFS($E$5:E2559,E2559,$H$5:H2559,"Falta",$L$5:L2559,Config!$B$7,$M$5:M2559,Config!$B$5)=1),COUNTIFS($E$5:$E$3004,E2559,$H$5:$H$3004,"Falta",$L$5:$L$3004,Config!$B$7,$M$5:$M$3004,Config!$B$5)*1000-ROW()/100000,0)</f>
        <v>0</v>
      </c>
    </row>
    <row r="2560">
      <c r="A2560" s="39" t="n"/>
      <c r="B2560" s="40" t="n"/>
      <c r="C2560" s="35" t="n"/>
      <c r="D2560" s="35" t="n"/>
      <c r="E2560" s="34" t="n"/>
      <c r="F2560" s="35" t="n"/>
      <c r="G2560" s="35" t="n"/>
      <c r="H2560" s="35" t="n"/>
      <c r="I2560" s="35" t="n"/>
      <c r="J2560" s="35" t="n"/>
      <c r="K2560" s="34" t="n"/>
      <c r="L2560" s="26">
        <f>IF(A2560="","",MONTH(A2560))</f>
        <v/>
      </c>
      <c r="M2560" s="26">
        <f>IF(A2560="","",YEAR(A2560))</f>
        <v/>
      </c>
      <c r="N2560" s="26">
        <f>IF(A2560="","",CHOOSE(WEEKDAY(A2560,2),"Segunda","Terça","Quarta","Quinta","Sexta","Sábado","Domingo"))</f>
        <v/>
      </c>
      <c r="O2560" s="26">
        <f>IF(B2560="","",IF(B2560&lt;TIME(12,0,0),"Manhã",IF(B2560&lt;TIME(18,0,0),"Tarde","Noite")))</f>
        <v/>
      </c>
      <c r="P2560" s="32">
        <f>IF(G2560="","",IFERROR(INDEX(Config!$I$5:$I$16,MATCH(G2560,Config!$H$5:$H$16,0)),0))</f>
        <v/>
      </c>
      <c r="Q2560" s="30">
        <f>IF(OR(H2560&lt;&gt;"Realizado",P2560="",P2560=0),"",A2560+P2560)</f>
        <v/>
      </c>
      <c r="R2560" s="26">
        <f>IF(Q2560="","",IF(COUNTIFS($E$5:$E$3004,E2560,$A$5:$A$3004,"&gt;"&amp;A2560,$H$5:$H$3004,"&lt;&gt;Falta",$H$5:$H$3004,"&lt;&gt;Cancelado",$H$5:$H$3004,"&lt;&gt;Remarcado")&gt;0,"Sim","Não"))</f>
        <v/>
      </c>
      <c r="S2560" s="32">
        <f>IF(R2560&lt;&gt;"Não","",IF(Q2560+Config!$B$9&lt;=Config!$B$8,Config!$B$8-Q2560,""))</f>
        <v/>
      </c>
      <c r="T2560" s="26">
        <f>IF(S2560="","","Sim")</f>
        <v/>
      </c>
      <c r="U2560" s="41">
        <f>IF(T2560="Sim",S2560+ROW()/100000,0)</f>
        <v>0</v>
      </c>
      <c r="V2560" s="41">
        <f>IF(AND(H2560="Falta",L2560=Config!$B$7,M2560=Config!$B$5,COUNTIFS($E$5:E2560,E2560,$H$5:H2560,"Falta",$L$5:L2560,Config!$B$7,$M$5:M2560,Config!$B$5)=1),COUNTIFS($E$5:$E$3004,E2560,$H$5:$H$3004,"Falta",$L$5:$L$3004,Config!$B$7,$M$5:$M$3004,Config!$B$5)*1000-ROW()/100000,0)</f>
        <v>0</v>
      </c>
    </row>
    <row r="2561">
      <c r="A2561" s="39" t="n"/>
      <c r="B2561" s="40" t="n"/>
      <c r="C2561" s="35" t="n"/>
      <c r="D2561" s="35" t="n"/>
      <c r="E2561" s="34" t="n"/>
      <c r="F2561" s="35" t="n"/>
      <c r="G2561" s="35" t="n"/>
      <c r="H2561" s="35" t="n"/>
      <c r="I2561" s="35" t="n"/>
      <c r="J2561" s="35" t="n"/>
      <c r="K2561" s="34" t="n"/>
      <c r="L2561" s="26">
        <f>IF(A2561="","",MONTH(A2561))</f>
        <v/>
      </c>
      <c r="M2561" s="26">
        <f>IF(A2561="","",YEAR(A2561))</f>
        <v/>
      </c>
      <c r="N2561" s="26">
        <f>IF(A2561="","",CHOOSE(WEEKDAY(A2561,2),"Segunda","Terça","Quarta","Quinta","Sexta","Sábado","Domingo"))</f>
        <v/>
      </c>
      <c r="O2561" s="26">
        <f>IF(B2561="","",IF(B2561&lt;TIME(12,0,0),"Manhã",IF(B2561&lt;TIME(18,0,0),"Tarde","Noite")))</f>
        <v/>
      </c>
      <c r="P2561" s="32">
        <f>IF(G2561="","",IFERROR(INDEX(Config!$I$5:$I$16,MATCH(G2561,Config!$H$5:$H$16,0)),0))</f>
        <v/>
      </c>
      <c r="Q2561" s="30">
        <f>IF(OR(H2561&lt;&gt;"Realizado",P2561="",P2561=0),"",A2561+P2561)</f>
        <v/>
      </c>
      <c r="R2561" s="26">
        <f>IF(Q2561="","",IF(COUNTIFS($E$5:$E$3004,E2561,$A$5:$A$3004,"&gt;"&amp;A2561,$H$5:$H$3004,"&lt;&gt;Falta",$H$5:$H$3004,"&lt;&gt;Cancelado",$H$5:$H$3004,"&lt;&gt;Remarcado")&gt;0,"Sim","Não"))</f>
        <v/>
      </c>
      <c r="S2561" s="32">
        <f>IF(R2561&lt;&gt;"Não","",IF(Q2561+Config!$B$9&lt;=Config!$B$8,Config!$B$8-Q2561,""))</f>
        <v/>
      </c>
      <c r="T2561" s="26">
        <f>IF(S2561="","","Sim")</f>
        <v/>
      </c>
      <c r="U2561" s="41">
        <f>IF(T2561="Sim",S2561+ROW()/100000,0)</f>
        <v>0</v>
      </c>
      <c r="V2561" s="41">
        <f>IF(AND(H2561="Falta",L2561=Config!$B$7,M2561=Config!$B$5,COUNTIFS($E$5:E2561,E2561,$H$5:H2561,"Falta",$L$5:L2561,Config!$B$7,$M$5:M2561,Config!$B$5)=1),COUNTIFS($E$5:$E$3004,E2561,$H$5:$H$3004,"Falta",$L$5:$L$3004,Config!$B$7,$M$5:$M$3004,Config!$B$5)*1000-ROW()/100000,0)</f>
        <v>0</v>
      </c>
    </row>
    <row r="2562">
      <c r="A2562" s="39" t="n"/>
      <c r="B2562" s="40" t="n"/>
      <c r="C2562" s="35" t="n"/>
      <c r="D2562" s="35" t="n"/>
      <c r="E2562" s="34" t="n"/>
      <c r="F2562" s="35" t="n"/>
      <c r="G2562" s="35" t="n"/>
      <c r="H2562" s="35" t="n"/>
      <c r="I2562" s="35" t="n"/>
      <c r="J2562" s="35" t="n"/>
      <c r="K2562" s="34" t="n"/>
      <c r="L2562" s="26">
        <f>IF(A2562="","",MONTH(A2562))</f>
        <v/>
      </c>
      <c r="M2562" s="26">
        <f>IF(A2562="","",YEAR(A2562))</f>
        <v/>
      </c>
      <c r="N2562" s="26">
        <f>IF(A2562="","",CHOOSE(WEEKDAY(A2562,2),"Segunda","Terça","Quarta","Quinta","Sexta","Sábado","Domingo"))</f>
        <v/>
      </c>
      <c r="O2562" s="26">
        <f>IF(B2562="","",IF(B2562&lt;TIME(12,0,0),"Manhã",IF(B2562&lt;TIME(18,0,0),"Tarde","Noite")))</f>
        <v/>
      </c>
      <c r="P2562" s="32">
        <f>IF(G2562="","",IFERROR(INDEX(Config!$I$5:$I$16,MATCH(G2562,Config!$H$5:$H$16,0)),0))</f>
        <v/>
      </c>
      <c r="Q2562" s="30">
        <f>IF(OR(H2562&lt;&gt;"Realizado",P2562="",P2562=0),"",A2562+P2562)</f>
        <v/>
      </c>
      <c r="R2562" s="26">
        <f>IF(Q2562="","",IF(COUNTIFS($E$5:$E$3004,E2562,$A$5:$A$3004,"&gt;"&amp;A2562,$H$5:$H$3004,"&lt;&gt;Falta",$H$5:$H$3004,"&lt;&gt;Cancelado",$H$5:$H$3004,"&lt;&gt;Remarcado")&gt;0,"Sim","Não"))</f>
        <v/>
      </c>
      <c r="S2562" s="32">
        <f>IF(R2562&lt;&gt;"Não","",IF(Q2562+Config!$B$9&lt;=Config!$B$8,Config!$B$8-Q2562,""))</f>
        <v/>
      </c>
      <c r="T2562" s="26">
        <f>IF(S2562="","","Sim")</f>
        <v/>
      </c>
      <c r="U2562" s="41">
        <f>IF(T2562="Sim",S2562+ROW()/100000,0)</f>
        <v>0</v>
      </c>
      <c r="V2562" s="41">
        <f>IF(AND(H2562="Falta",L2562=Config!$B$7,M2562=Config!$B$5,COUNTIFS($E$5:E2562,E2562,$H$5:H2562,"Falta",$L$5:L2562,Config!$B$7,$M$5:M2562,Config!$B$5)=1),COUNTIFS($E$5:$E$3004,E2562,$H$5:$H$3004,"Falta",$L$5:$L$3004,Config!$B$7,$M$5:$M$3004,Config!$B$5)*1000-ROW()/100000,0)</f>
        <v>0</v>
      </c>
    </row>
    <row r="2563">
      <c r="A2563" s="39" t="n"/>
      <c r="B2563" s="40" t="n"/>
      <c r="C2563" s="35" t="n"/>
      <c r="D2563" s="35" t="n"/>
      <c r="E2563" s="34" t="n"/>
      <c r="F2563" s="35" t="n"/>
      <c r="G2563" s="35" t="n"/>
      <c r="H2563" s="35" t="n"/>
      <c r="I2563" s="35" t="n"/>
      <c r="J2563" s="35" t="n"/>
      <c r="K2563" s="34" t="n"/>
      <c r="L2563" s="26">
        <f>IF(A2563="","",MONTH(A2563))</f>
        <v/>
      </c>
      <c r="M2563" s="26">
        <f>IF(A2563="","",YEAR(A2563))</f>
        <v/>
      </c>
      <c r="N2563" s="26">
        <f>IF(A2563="","",CHOOSE(WEEKDAY(A2563,2),"Segunda","Terça","Quarta","Quinta","Sexta","Sábado","Domingo"))</f>
        <v/>
      </c>
      <c r="O2563" s="26">
        <f>IF(B2563="","",IF(B2563&lt;TIME(12,0,0),"Manhã",IF(B2563&lt;TIME(18,0,0),"Tarde","Noite")))</f>
        <v/>
      </c>
      <c r="P2563" s="32">
        <f>IF(G2563="","",IFERROR(INDEX(Config!$I$5:$I$16,MATCH(G2563,Config!$H$5:$H$16,0)),0))</f>
        <v/>
      </c>
      <c r="Q2563" s="30">
        <f>IF(OR(H2563&lt;&gt;"Realizado",P2563="",P2563=0),"",A2563+P2563)</f>
        <v/>
      </c>
      <c r="R2563" s="26">
        <f>IF(Q2563="","",IF(COUNTIFS($E$5:$E$3004,E2563,$A$5:$A$3004,"&gt;"&amp;A2563,$H$5:$H$3004,"&lt;&gt;Falta",$H$5:$H$3004,"&lt;&gt;Cancelado",$H$5:$H$3004,"&lt;&gt;Remarcado")&gt;0,"Sim","Não"))</f>
        <v/>
      </c>
      <c r="S2563" s="32">
        <f>IF(R2563&lt;&gt;"Não","",IF(Q2563+Config!$B$9&lt;=Config!$B$8,Config!$B$8-Q2563,""))</f>
        <v/>
      </c>
      <c r="T2563" s="26">
        <f>IF(S2563="","","Sim")</f>
        <v/>
      </c>
      <c r="U2563" s="41">
        <f>IF(T2563="Sim",S2563+ROW()/100000,0)</f>
        <v>0</v>
      </c>
      <c r="V2563" s="41">
        <f>IF(AND(H2563="Falta",L2563=Config!$B$7,M2563=Config!$B$5,COUNTIFS($E$5:E2563,E2563,$H$5:H2563,"Falta",$L$5:L2563,Config!$B$7,$M$5:M2563,Config!$B$5)=1),COUNTIFS($E$5:$E$3004,E2563,$H$5:$H$3004,"Falta",$L$5:$L$3004,Config!$B$7,$M$5:$M$3004,Config!$B$5)*1000-ROW()/100000,0)</f>
        <v>0</v>
      </c>
    </row>
    <row r="2564">
      <c r="A2564" s="39" t="n"/>
      <c r="B2564" s="40" t="n"/>
      <c r="C2564" s="35" t="n"/>
      <c r="D2564" s="35" t="n"/>
      <c r="E2564" s="34" t="n"/>
      <c r="F2564" s="35" t="n"/>
      <c r="G2564" s="35" t="n"/>
      <c r="H2564" s="35" t="n"/>
      <c r="I2564" s="35" t="n"/>
      <c r="J2564" s="35" t="n"/>
      <c r="K2564" s="34" t="n"/>
      <c r="L2564" s="26">
        <f>IF(A2564="","",MONTH(A2564))</f>
        <v/>
      </c>
      <c r="M2564" s="26">
        <f>IF(A2564="","",YEAR(A2564))</f>
        <v/>
      </c>
      <c r="N2564" s="26">
        <f>IF(A2564="","",CHOOSE(WEEKDAY(A2564,2),"Segunda","Terça","Quarta","Quinta","Sexta","Sábado","Domingo"))</f>
        <v/>
      </c>
      <c r="O2564" s="26">
        <f>IF(B2564="","",IF(B2564&lt;TIME(12,0,0),"Manhã",IF(B2564&lt;TIME(18,0,0),"Tarde","Noite")))</f>
        <v/>
      </c>
      <c r="P2564" s="32">
        <f>IF(G2564="","",IFERROR(INDEX(Config!$I$5:$I$16,MATCH(G2564,Config!$H$5:$H$16,0)),0))</f>
        <v/>
      </c>
      <c r="Q2564" s="30">
        <f>IF(OR(H2564&lt;&gt;"Realizado",P2564="",P2564=0),"",A2564+P2564)</f>
        <v/>
      </c>
      <c r="R2564" s="26">
        <f>IF(Q2564="","",IF(COUNTIFS($E$5:$E$3004,E2564,$A$5:$A$3004,"&gt;"&amp;A2564,$H$5:$H$3004,"&lt;&gt;Falta",$H$5:$H$3004,"&lt;&gt;Cancelado",$H$5:$H$3004,"&lt;&gt;Remarcado")&gt;0,"Sim","Não"))</f>
        <v/>
      </c>
      <c r="S2564" s="32">
        <f>IF(R2564&lt;&gt;"Não","",IF(Q2564+Config!$B$9&lt;=Config!$B$8,Config!$B$8-Q2564,""))</f>
        <v/>
      </c>
      <c r="T2564" s="26">
        <f>IF(S2564="","","Sim")</f>
        <v/>
      </c>
      <c r="U2564" s="41">
        <f>IF(T2564="Sim",S2564+ROW()/100000,0)</f>
        <v>0</v>
      </c>
      <c r="V2564" s="41">
        <f>IF(AND(H2564="Falta",L2564=Config!$B$7,M2564=Config!$B$5,COUNTIFS($E$5:E2564,E2564,$H$5:H2564,"Falta",$L$5:L2564,Config!$B$7,$M$5:M2564,Config!$B$5)=1),COUNTIFS($E$5:$E$3004,E2564,$H$5:$H$3004,"Falta",$L$5:$L$3004,Config!$B$7,$M$5:$M$3004,Config!$B$5)*1000-ROW()/100000,0)</f>
        <v>0</v>
      </c>
    </row>
    <row r="2565">
      <c r="A2565" s="39" t="n"/>
      <c r="B2565" s="40" t="n"/>
      <c r="C2565" s="35" t="n"/>
      <c r="D2565" s="35" t="n"/>
      <c r="E2565" s="34" t="n"/>
      <c r="F2565" s="35" t="n"/>
      <c r="G2565" s="35" t="n"/>
      <c r="H2565" s="35" t="n"/>
      <c r="I2565" s="35" t="n"/>
      <c r="J2565" s="35" t="n"/>
      <c r="K2565" s="34" t="n"/>
      <c r="L2565" s="26">
        <f>IF(A2565="","",MONTH(A2565))</f>
        <v/>
      </c>
      <c r="M2565" s="26">
        <f>IF(A2565="","",YEAR(A2565))</f>
        <v/>
      </c>
      <c r="N2565" s="26">
        <f>IF(A2565="","",CHOOSE(WEEKDAY(A2565,2),"Segunda","Terça","Quarta","Quinta","Sexta","Sábado","Domingo"))</f>
        <v/>
      </c>
      <c r="O2565" s="26">
        <f>IF(B2565="","",IF(B2565&lt;TIME(12,0,0),"Manhã",IF(B2565&lt;TIME(18,0,0),"Tarde","Noite")))</f>
        <v/>
      </c>
      <c r="P2565" s="32">
        <f>IF(G2565="","",IFERROR(INDEX(Config!$I$5:$I$16,MATCH(G2565,Config!$H$5:$H$16,0)),0))</f>
        <v/>
      </c>
      <c r="Q2565" s="30">
        <f>IF(OR(H2565&lt;&gt;"Realizado",P2565="",P2565=0),"",A2565+P2565)</f>
        <v/>
      </c>
      <c r="R2565" s="26">
        <f>IF(Q2565="","",IF(COUNTIFS($E$5:$E$3004,E2565,$A$5:$A$3004,"&gt;"&amp;A2565,$H$5:$H$3004,"&lt;&gt;Falta",$H$5:$H$3004,"&lt;&gt;Cancelado",$H$5:$H$3004,"&lt;&gt;Remarcado")&gt;0,"Sim","Não"))</f>
        <v/>
      </c>
      <c r="S2565" s="32">
        <f>IF(R2565&lt;&gt;"Não","",IF(Q2565+Config!$B$9&lt;=Config!$B$8,Config!$B$8-Q2565,""))</f>
        <v/>
      </c>
      <c r="T2565" s="26">
        <f>IF(S2565="","","Sim")</f>
        <v/>
      </c>
      <c r="U2565" s="41">
        <f>IF(T2565="Sim",S2565+ROW()/100000,0)</f>
        <v>0</v>
      </c>
      <c r="V2565" s="41">
        <f>IF(AND(H2565="Falta",L2565=Config!$B$7,M2565=Config!$B$5,COUNTIFS($E$5:E2565,E2565,$H$5:H2565,"Falta",$L$5:L2565,Config!$B$7,$M$5:M2565,Config!$B$5)=1),COUNTIFS($E$5:$E$3004,E2565,$H$5:$H$3004,"Falta",$L$5:$L$3004,Config!$B$7,$M$5:$M$3004,Config!$B$5)*1000-ROW()/100000,0)</f>
        <v>0</v>
      </c>
    </row>
    <row r="2566">
      <c r="A2566" s="39" t="n"/>
      <c r="B2566" s="40" t="n"/>
      <c r="C2566" s="35" t="n"/>
      <c r="D2566" s="35" t="n"/>
      <c r="E2566" s="34" t="n"/>
      <c r="F2566" s="35" t="n"/>
      <c r="G2566" s="35" t="n"/>
      <c r="H2566" s="35" t="n"/>
      <c r="I2566" s="35" t="n"/>
      <c r="J2566" s="35" t="n"/>
      <c r="K2566" s="34" t="n"/>
      <c r="L2566" s="26">
        <f>IF(A2566="","",MONTH(A2566))</f>
        <v/>
      </c>
      <c r="M2566" s="26">
        <f>IF(A2566="","",YEAR(A2566))</f>
        <v/>
      </c>
      <c r="N2566" s="26">
        <f>IF(A2566="","",CHOOSE(WEEKDAY(A2566,2),"Segunda","Terça","Quarta","Quinta","Sexta","Sábado","Domingo"))</f>
        <v/>
      </c>
      <c r="O2566" s="26">
        <f>IF(B2566="","",IF(B2566&lt;TIME(12,0,0),"Manhã",IF(B2566&lt;TIME(18,0,0),"Tarde","Noite")))</f>
        <v/>
      </c>
      <c r="P2566" s="32">
        <f>IF(G2566="","",IFERROR(INDEX(Config!$I$5:$I$16,MATCH(G2566,Config!$H$5:$H$16,0)),0))</f>
        <v/>
      </c>
      <c r="Q2566" s="30">
        <f>IF(OR(H2566&lt;&gt;"Realizado",P2566="",P2566=0),"",A2566+P2566)</f>
        <v/>
      </c>
      <c r="R2566" s="26">
        <f>IF(Q2566="","",IF(COUNTIFS($E$5:$E$3004,E2566,$A$5:$A$3004,"&gt;"&amp;A2566,$H$5:$H$3004,"&lt;&gt;Falta",$H$5:$H$3004,"&lt;&gt;Cancelado",$H$5:$H$3004,"&lt;&gt;Remarcado")&gt;0,"Sim","Não"))</f>
        <v/>
      </c>
      <c r="S2566" s="32">
        <f>IF(R2566&lt;&gt;"Não","",IF(Q2566+Config!$B$9&lt;=Config!$B$8,Config!$B$8-Q2566,""))</f>
        <v/>
      </c>
      <c r="T2566" s="26">
        <f>IF(S2566="","","Sim")</f>
        <v/>
      </c>
      <c r="U2566" s="41">
        <f>IF(T2566="Sim",S2566+ROW()/100000,0)</f>
        <v>0</v>
      </c>
      <c r="V2566" s="41">
        <f>IF(AND(H2566="Falta",L2566=Config!$B$7,M2566=Config!$B$5,COUNTIFS($E$5:E2566,E2566,$H$5:H2566,"Falta",$L$5:L2566,Config!$B$7,$M$5:M2566,Config!$B$5)=1),COUNTIFS($E$5:$E$3004,E2566,$H$5:$H$3004,"Falta",$L$5:$L$3004,Config!$B$7,$M$5:$M$3004,Config!$B$5)*1000-ROW()/100000,0)</f>
        <v>0</v>
      </c>
    </row>
    <row r="2567">
      <c r="A2567" s="39" t="n"/>
      <c r="B2567" s="40" t="n"/>
      <c r="C2567" s="35" t="n"/>
      <c r="D2567" s="35" t="n"/>
      <c r="E2567" s="34" t="n"/>
      <c r="F2567" s="35" t="n"/>
      <c r="G2567" s="35" t="n"/>
      <c r="H2567" s="35" t="n"/>
      <c r="I2567" s="35" t="n"/>
      <c r="J2567" s="35" t="n"/>
      <c r="K2567" s="34" t="n"/>
      <c r="L2567" s="26">
        <f>IF(A2567="","",MONTH(A2567))</f>
        <v/>
      </c>
      <c r="M2567" s="26">
        <f>IF(A2567="","",YEAR(A2567))</f>
        <v/>
      </c>
      <c r="N2567" s="26">
        <f>IF(A2567="","",CHOOSE(WEEKDAY(A2567,2),"Segunda","Terça","Quarta","Quinta","Sexta","Sábado","Domingo"))</f>
        <v/>
      </c>
      <c r="O2567" s="26">
        <f>IF(B2567="","",IF(B2567&lt;TIME(12,0,0),"Manhã",IF(B2567&lt;TIME(18,0,0),"Tarde","Noite")))</f>
        <v/>
      </c>
      <c r="P2567" s="32">
        <f>IF(G2567="","",IFERROR(INDEX(Config!$I$5:$I$16,MATCH(G2567,Config!$H$5:$H$16,0)),0))</f>
        <v/>
      </c>
      <c r="Q2567" s="30">
        <f>IF(OR(H2567&lt;&gt;"Realizado",P2567="",P2567=0),"",A2567+P2567)</f>
        <v/>
      </c>
      <c r="R2567" s="26">
        <f>IF(Q2567="","",IF(COUNTIFS($E$5:$E$3004,E2567,$A$5:$A$3004,"&gt;"&amp;A2567,$H$5:$H$3004,"&lt;&gt;Falta",$H$5:$H$3004,"&lt;&gt;Cancelado",$H$5:$H$3004,"&lt;&gt;Remarcado")&gt;0,"Sim","Não"))</f>
        <v/>
      </c>
      <c r="S2567" s="32">
        <f>IF(R2567&lt;&gt;"Não","",IF(Q2567+Config!$B$9&lt;=Config!$B$8,Config!$B$8-Q2567,""))</f>
        <v/>
      </c>
      <c r="T2567" s="26">
        <f>IF(S2567="","","Sim")</f>
        <v/>
      </c>
      <c r="U2567" s="41">
        <f>IF(T2567="Sim",S2567+ROW()/100000,0)</f>
        <v>0</v>
      </c>
      <c r="V2567" s="41">
        <f>IF(AND(H2567="Falta",L2567=Config!$B$7,M2567=Config!$B$5,COUNTIFS($E$5:E2567,E2567,$H$5:H2567,"Falta",$L$5:L2567,Config!$B$7,$M$5:M2567,Config!$B$5)=1),COUNTIFS($E$5:$E$3004,E2567,$H$5:$H$3004,"Falta",$L$5:$L$3004,Config!$B$7,$M$5:$M$3004,Config!$B$5)*1000-ROW()/100000,0)</f>
        <v>0</v>
      </c>
    </row>
    <row r="2568">
      <c r="A2568" s="39" t="n"/>
      <c r="B2568" s="40" t="n"/>
      <c r="C2568" s="35" t="n"/>
      <c r="D2568" s="35" t="n"/>
      <c r="E2568" s="34" t="n"/>
      <c r="F2568" s="35" t="n"/>
      <c r="G2568" s="35" t="n"/>
      <c r="H2568" s="35" t="n"/>
      <c r="I2568" s="35" t="n"/>
      <c r="J2568" s="35" t="n"/>
      <c r="K2568" s="34" t="n"/>
      <c r="L2568" s="26">
        <f>IF(A2568="","",MONTH(A2568))</f>
        <v/>
      </c>
      <c r="M2568" s="26">
        <f>IF(A2568="","",YEAR(A2568))</f>
        <v/>
      </c>
      <c r="N2568" s="26">
        <f>IF(A2568="","",CHOOSE(WEEKDAY(A2568,2),"Segunda","Terça","Quarta","Quinta","Sexta","Sábado","Domingo"))</f>
        <v/>
      </c>
      <c r="O2568" s="26">
        <f>IF(B2568="","",IF(B2568&lt;TIME(12,0,0),"Manhã",IF(B2568&lt;TIME(18,0,0),"Tarde","Noite")))</f>
        <v/>
      </c>
      <c r="P2568" s="32">
        <f>IF(G2568="","",IFERROR(INDEX(Config!$I$5:$I$16,MATCH(G2568,Config!$H$5:$H$16,0)),0))</f>
        <v/>
      </c>
      <c r="Q2568" s="30">
        <f>IF(OR(H2568&lt;&gt;"Realizado",P2568="",P2568=0),"",A2568+P2568)</f>
        <v/>
      </c>
      <c r="R2568" s="26">
        <f>IF(Q2568="","",IF(COUNTIFS($E$5:$E$3004,E2568,$A$5:$A$3004,"&gt;"&amp;A2568,$H$5:$H$3004,"&lt;&gt;Falta",$H$5:$H$3004,"&lt;&gt;Cancelado",$H$5:$H$3004,"&lt;&gt;Remarcado")&gt;0,"Sim","Não"))</f>
        <v/>
      </c>
      <c r="S2568" s="32">
        <f>IF(R2568&lt;&gt;"Não","",IF(Q2568+Config!$B$9&lt;=Config!$B$8,Config!$B$8-Q2568,""))</f>
        <v/>
      </c>
      <c r="T2568" s="26">
        <f>IF(S2568="","","Sim")</f>
        <v/>
      </c>
      <c r="U2568" s="41">
        <f>IF(T2568="Sim",S2568+ROW()/100000,0)</f>
        <v>0</v>
      </c>
      <c r="V2568" s="41">
        <f>IF(AND(H2568="Falta",L2568=Config!$B$7,M2568=Config!$B$5,COUNTIFS($E$5:E2568,E2568,$H$5:H2568,"Falta",$L$5:L2568,Config!$B$7,$M$5:M2568,Config!$B$5)=1),COUNTIFS($E$5:$E$3004,E2568,$H$5:$H$3004,"Falta",$L$5:$L$3004,Config!$B$7,$M$5:$M$3004,Config!$B$5)*1000-ROW()/100000,0)</f>
        <v>0</v>
      </c>
    </row>
    <row r="2569">
      <c r="A2569" s="39" t="n"/>
      <c r="B2569" s="40" t="n"/>
      <c r="C2569" s="35" t="n"/>
      <c r="D2569" s="35" t="n"/>
      <c r="E2569" s="34" t="n"/>
      <c r="F2569" s="35" t="n"/>
      <c r="G2569" s="35" t="n"/>
      <c r="H2569" s="35" t="n"/>
      <c r="I2569" s="35" t="n"/>
      <c r="J2569" s="35" t="n"/>
      <c r="K2569" s="34" t="n"/>
      <c r="L2569" s="26">
        <f>IF(A2569="","",MONTH(A2569))</f>
        <v/>
      </c>
      <c r="M2569" s="26">
        <f>IF(A2569="","",YEAR(A2569))</f>
        <v/>
      </c>
      <c r="N2569" s="26">
        <f>IF(A2569="","",CHOOSE(WEEKDAY(A2569,2),"Segunda","Terça","Quarta","Quinta","Sexta","Sábado","Domingo"))</f>
        <v/>
      </c>
      <c r="O2569" s="26">
        <f>IF(B2569="","",IF(B2569&lt;TIME(12,0,0),"Manhã",IF(B2569&lt;TIME(18,0,0),"Tarde","Noite")))</f>
        <v/>
      </c>
      <c r="P2569" s="32">
        <f>IF(G2569="","",IFERROR(INDEX(Config!$I$5:$I$16,MATCH(G2569,Config!$H$5:$H$16,0)),0))</f>
        <v/>
      </c>
      <c r="Q2569" s="30">
        <f>IF(OR(H2569&lt;&gt;"Realizado",P2569="",P2569=0),"",A2569+P2569)</f>
        <v/>
      </c>
      <c r="R2569" s="26">
        <f>IF(Q2569="","",IF(COUNTIFS($E$5:$E$3004,E2569,$A$5:$A$3004,"&gt;"&amp;A2569,$H$5:$H$3004,"&lt;&gt;Falta",$H$5:$H$3004,"&lt;&gt;Cancelado",$H$5:$H$3004,"&lt;&gt;Remarcado")&gt;0,"Sim","Não"))</f>
        <v/>
      </c>
      <c r="S2569" s="32">
        <f>IF(R2569&lt;&gt;"Não","",IF(Q2569+Config!$B$9&lt;=Config!$B$8,Config!$B$8-Q2569,""))</f>
        <v/>
      </c>
      <c r="T2569" s="26">
        <f>IF(S2569="","","Sim")</f>
        <v/>
      </c>
      <c r="U2569" s="41">
        <f>IF(T2569="Sim",S2569+ROW()/100000,0)</f>
        <v>0</v>
      </c>
      <c r="V2569" s="41">
        <f>IF(AND(H2569="Falta",L2569=Config!$B$7,M2569=Config!$B$5,COUNTIFS($E$5:E2569,E2569,$H$5:H2569,"Falta",$L$5:L2569,Config!$B$7,$M$5:M2569,Config!$B$5)=1),COUNTIFS($E$5:$E$3004,E2569,$H$5:$H$3004,"Falta",$L$5:$L$3004,Config!$B$7,$M$5:$M$3004,Config!$B$5)*1000-ROW()/100000,0)</f>
        <v>0</v>
      </c>
    </row>
    <row r="2570">
      <c r="A2570" s="39" t="n"/>
      <c r="B2570" s="40" t="n"/>
      <c r="C2570" s="35" t="n"/>
      <c r="D2570" s="35" t="n"/>
      <c r="E2570" s="34" t="n"/>
      <c r="F2570" s="35" t="n"/>
      <c r="G2570" s="35" t="n"/>
      <c r="H2570" s="35" t="n"/>
      <c r="I2570" s="35" t="n"/>
      <c r="J2570" s="35" t="n"/>
      <c r="K2570" s="34" t="n"/>
      <c r="L2570" s="26">
        <f>IF(A2570="","",MONTH(A2570))</f>
        <v/>
      </c>
      <c r="M2570" s="26">
        <f>IF(A2570="","",YEAR(A2570))</f>
        <v/>
      </c>
      <c r="N2570" s="26">
        <f>IF(A2570="","",CHOOSE(WEEKDAY(A2570,2),"Segunda","Terça","Quarta","Quinta","Sexta","Sábado","Domingo"))</f>
        <v/>
      </c>
      <c r="O2570" s="26">
        <f>IF(B2570="","",IF(B2570&lt;TIME(12,0,0),"Manhã",IF(B2570&lt;TIME(18,0,0),"Tarde","Noite")))</f>
        <v/>
      </c>
      <c r="P2570" s="32">
        <f>IF(G2570="","",IFERROR(INDEX(Config!$I$5:$I$16,MATCH(G2570,Config!$H$5:$H$16,0)),0))</f>
        <v/>
      </c>
      <c r="Q2570" s="30">
        <f>IF(OR(H2570&lt;&gt;"Realizado",P2570="",P2570=0),"",A2570+P2570)</f>
        <v/>
      </c>
      <c r="R2570" s="26">
        <f>IF(Q2570="","",IF(COUNTIFS($E$5:$E$3004,E2570,$A$5:$A$3004,"&gt;"&amp;A2570,$H$5:$H$3004,"&lt;&gt;Falta",$H$5:$H$3004,"&lt;&gt;Cancelado",$H$5:$H$3004,"&lt;&gt;Remarcado")&gt;0,"Sim","Não"))</f>
        <v/>
      </c>
      <c r="S2570" s="32">
        <f>IF(R2570&lt;&gt;"Não","",IF(Q2570+Config!$B$9&lt;=Config!$B$8,Config!$B$8-Q2570,""))</f>
        <v/>
      </c>
      <c r="T2570" s="26">
        <f>IF(S2570="","","Sim")</f>
        <v/>
      </c>
      <c r="U2570" s="41">
        <f>IF(T2570="Sim",S2570+ROW()/100000,0)</f>
        <v>0</v>
      </c>
      <c r="V2570" s="41">
        <f>IF(AND(H2570="Falta",L2570=Config!$B$7,M2570=Config!$B$5,COUNTIFS($E$5:E2570,E2570,$H$5:H2570,"Falta",$L$5:L2570,Config!$B$7,$M$5:M2570,Config!$B$5)=1),COUNTIFS($E$5:$E$3004,E2570,$H$5:$H$3004,"Falta",$L$5:$L$3004,Config!$B$7,$M$5:$M$3004,Config!$B$5)*1000-ROW()/100000,0)</f>
        <v>0</v>
      </c>
    </row>
    <row r="2571">
      <c r="A2571" s="39" t="n"/>
      <c r="B2571" s="40" t="n"/>
      <c r="C2571" s="35" t="n"/>
      <c r="D2571" s="35" t="n"/>
      <c r="E2571" s="34" t="n"/>
      <c r="F2571" s="35" t="n"/>
      <c r="G2571" s="35" t="n"/>
      <c r="H2571" s="35" t="n"/>
      <c r="I2571" s="35" t="n"/>
      <c r="J2571" s="35" t="n"/>
      <c r="K2571" s="34" t="n"/>
      <c r="L2571" s="26">
        <f>IF(A2571="","",MONTH(A2571))</f>
        <v/>
      </c>
      <c r="M2571" s="26">
        <f>IF(A2571="","",YEAR(A2571))</f>
        <v/>
      </c>
      <c r="N2571" s="26">
        <f>IF(A2571="","",CHOOSE(WEEKDAY(A2571,2),"Segunda","Terça","Quarta","Quinta","Sexta","Sábado","Domingo"))</f>
        <v/>
      </c>
      <c r="O2571" s="26">
        <f>IF(B2571="","",IF(B2571&lt;TIME(12,0,0),"Manhã",IF(B2571&lt;TIME(18,0,0),"Tarde","Noite")))</f>
        <v/>
      </c>
      <c r="P2571" s="32">
        <f>IF(G2571="","",IFERROR(INDEX(Config!$I$5:$I$16,MATCH(G2571,Config!$H$5:$H$16,0)),0))</f>
        <v/>
      </c>
      <c r="Q2571" s="30">
        <f>IF(OR(H2571&lt;&gt;"Realizado",P2571="",P2571=0),"",A2571+P2571)</f>
        <v/>
      </c>
      <c r="R2571" s="26">
        <f>IF(Q2571="","",IF(COUNTIFS($E$5:$E$3004,E2571,$A$5:$A$3004,"&gt;"&amp;A2571,$H$5:$H$3004,"&lt;&gt;Falta",$H$5:$H$3004,"&lt;&gt;Cancelado",$H$5:$H$3004,"&lt;&gt;Remarcado")&gt;0,"Sim","Não"))</f>
        <v/>
      </c>
      <c r="S2571" s="32">
        <f>IF(R2571&lt;&gt;"Não","",IF(Q2571+Config!$B$9&lt;=Config!$B$8,Config!$B$8-Q2571,""))</f>
        <v/>
      </c>
      <c r="T2571" s="26">
        <f>IF(S2571="","","Sim")</f>
        <v/>
      </c>
      <c r="U2571" s="41">
        <f>IF(T2571="Sim",S2571+ROW()/100000,0)</f>
        <v>0</v>
      </c>
      <c r="V2571" s="41">
        <f>IF(AND(H2571="Falta",L2571=Config!$B$7,M2571=Config!$B$5,COUNTIFS($E$5:E2571,E2571,$H$5:H2571,"Falta",$L$5:L2571,Config!$B$7,$M$5:M2571,Config!$B$5)=1),COUNTIFS($E$5:$E$3004,E2571,$H$5:$H$3004,"Falta",$L$5:$L$3004,Config!$B$7,$M$5:$M$3004,Config!$B$5)*1000-ROW()/100000,0)</f>
        <v>0</v>
      </c>
    </row>
    <row r="2572">
      <c r="A2572" s="39" t="n"/>
      <c r="B2572" s="40" t="n"/>
      <c r="C2572" s="35" t="n"/>
      <c r="D2572" s="35" t="n"/>
      <c r="E2572" s="34" t="n"/>
      <c r="F2572" s="35" t="n"/>
      <c r="G2572" s="35" t="n"/>
      <c r="H2572" s="35" t="n"/>
      <c r="I2572" s="35" t="n"/>
      <c r="J2572" s="35" t="n"/>
      <c r="K2572" s="34" t="n"/>
      <c r="L2572" s="26">
        <f>IF(A2572="","",MONTH(A2572))</f>
        <v/>
      </c>
      <c r="M2572" s="26">
        <f>IF(A2572="","",YEAR(A2572))</f>
        <v/>
      </c>
      <c r="N2572" s="26">
        <f>IF(A2572="","",CHOOSE(WEEKDAY(A2572,2),"Segunda","Terça","Quarta","Quinta","Sexta","Sábado","Domingo"))</f>
        <v/>
      </c>
      <c r="O2572" s="26">
        <f>IF(B2572="","",IF(B2572&lt;TIME(12,0,0),"Manhã",IF(B2572&lt;TIME(18,0,0),"Tarde","Noite")))</f>
        <v/>
      </c>
      <c r="P2572" s="32">
        <f>IF(G2572="","",IFERROR(INDEX(Config!$I$5:$I$16,MATCH(G2572,Config!$H$5:$H$16,0)),0))</f>
        <v/>
      </c>
      <c r="Q2572" s="30">
        <f>IF(OR(H2572&lt;&gt;"Realizado",P2572="",P2572=0),"",A2572+P2572)</f>
        <v/>
      </c>
      <c r="R2572" s="26">
        <f>IF(Q2572="","",IF(COUNTIFS($E$5:$E$3004,E2572,$A$5:$A$3004,"&gt;"&amp;A2572,$H$5:$H$3004,"&lt;&gt;Falta",$H$5:$H$3004,"&lt;&gt;Cancelado",$H$5:$H$3004,"&lt;&gt;Remarcado")&gt;0,"Sim","Não"))</f>
        <v/>
      </c>
      <c r="S2572" s="32">
        <f>IF(R2572&lt;&gt;"Não","",IF(Q2572+Config!$B$9&lt;=Config!$B$8,Config!$B$8-Q2572,""))</f>
        <v/>
      </c>
      <c r="T2572" s="26">
        <f>IF(S2572="","","Sim")</f>
        <v/>
      </c>
      <c r="U2572" s="41">
        <f>IF(T2572="Sim",S2572+ROW()/100000,0)</f>
        <v>0</v>
      </c>
      <c r="V2572" s="41">
        <f>IF(AND(H2572="Falta",L2572=Config!$B$7,M2572=Config!$B$5,COUNTIFS($E$5:E2572,E2572,$H$5:H2572,"Falta",$L$5:L2572,Config!$B$7,$M$5:M2572,Config!$B$5)=1),COUNTIFS($E$5:$E$3004,E2572,$H$5:$H$3004,"Falta",$L$5:$L$3004,Config!$B$7,$M$5:$M$3004,Config!$B$5)*1000-ROW()/100000,0)</f>
        <v>0</v>
      </c>
    </row>
    <row r="2573">
      <c r="A2573" s="39" t="n"/>
      <c r="B2573" s="40" t="n"/>
      <c r="C2573" s="35" t="n"/>
      <c r="D2573" s="35" t="n"/>
      <c r="E2573" s="34" t="n"/>
      <c r="F2573" s="35" t="n"/>
      <c r="G2573" s="35" t="n"/>
      <c r="H2573" s="35" t="n"/>
      <c r="I2573" s="35" t="n"/>
      <c r="J2573" s="35" t="n"/>
      <c r="K2573" s="34" t="n"/>
      <c r="L2573" s="26">
        <f>IF(A2573="","",MONTH(A2573))</f>
        <v/>
      </c>
      <c r="M2573" s="26">
        <f>IF(A2573="","",YEAR(A2573))</f>
        <v/>
      </c>
      <c r="N2573" s="26">
        <f>IF(A2573="","",CHOOSE(WEEKDAY(A2573,2),"Segunda","Terça","Quarta","Quinta","Sexta","Sábado","Domingo"))</f>
        <v/>
      </c>
      <c r="O2573" s="26">
        <f>IF(B2573="","",IF(B2573&lt;TIME(12,0,0),"Manhã",IF(B2573&lt;TIME(18,0,0),"Tarde","Noite")))</f>
        <v/>
      </c>
      <c r="P2573" s="32">
        <f>IF(G2573="","",IFERROR(INDEX(Config!$I$5:$I$16,MATCH(G2573,Config!$H$5:$H$16,0)),0))</f>
        <v/>
      </c>
      <c r="Q2573" s="30">
        <f>IF(OR(H2573&lt;&gt;"Realizado",P2573="",P2573=0),"",A2573+P2573)</f>
        <v/>
      </c>
      <c r="R2573" s="26">
        <f>IF(Q2573="","",IF(COUNTIFS($E$5:$E$3004,E2573,$A$5:$A$3004,"&gt;"&amp;A2573,$H$5:$H$3004,"&lt;&gt;Falta",$H$5:$H$3004,"&lt;&gt;Cancelado",$H$5:$H$3004,"&lt;&gt;Remarcado")&gt;0,"Sim","Não"))</f>
        <v/>
      </c>
      <c r="S2573" s="32">
        <f>IF(R2573&lt;&gt;"Não","",IF(Q2573+Config!$B$9&lt;=Config!$B$8,Config!$B$8-Q2573,""))</f>
        <v/>
      </c>
      <c r="T2573" s="26">
        <f>IF(S2573="","","Sim")</f>
        <v/>
      </c>
      <c r="U2573" s="41">
        <f>IF(T2573="Sim",S2573+ROW()/100000,0)</f>
        <v>0</v>
      </c>
      <c r="V2573" s="41">
        <f>IF(AND(H2573="Falta",L2573=Config!$B$7,M2573=Config!$B$5,COUNTIFS($E$5:E2573,E2573,$H$5:H2573,"Falta",$L$5:L2573,Config!$B$7,$M$5:M2573,Config!$B$5)=1),COUNTIFS($E$5:$E$3004,E2573,$H$5:$H$3004,"Falta",$L$5:$L$3004,Config!$B$7,$M$5:$M$3004,Config!$B$5)*1000-ROW()/100000,0)</f>
        <v>0</v>
      </c>
    </row>
    <row r="2574">
      <c r="A2574" s="39" t="n"/>
      <c r="B2574" s="40" t="n"/>
      <c r="C2574" s="35" t="n"/>
      <c r="D2574" s="35" t="n"/>
      <c r="E2574" s="34" t="n"/>
      <c r="F2574" s="35" t="n"/>
      <c r="G2574" s="35" t="n"/>
      <c r="H2574" s="35" t="n"/>
      <c r="I2574" s="35" t="n"/>
      <c r="J2574" s="35" t="n"/>
      <c r="K2574" s="34" t="n"/>
      <c r="L2574" s="26">
        <f>IF(A2574="","",MONTH(A2574))</f>
        <v/>
      </c>
      <c r="M2574" s="26">
        <f>IF(A2574="","",YEAR(A2574))</f>
        <v/>
      </c>
      <c r="N2574" s="26">
        <f>IF(A2574="","",CHOOSE(WEEKDAY(A2574,2),"Segunda","Terça","Quarta","Quinta","Sexta","Sábado","Domingo"))</f>
        <v/>
      </c>
      <c r="O2574" s="26">
        <f>IF(B2574="","",IF(B2574&lt;TIME(12,0,0),"Manhã",IF(B2574&lt;TIME(18,0,0),"Tarde","Noite")))</f>
        <v/>
      </c>
      <c r="P2574" s="32">
        <f>IF(G2574="","",IFERROR(INDEX(Config!$I$5:$I$16,MATCH(G2574,Config!$H$5:$H$16,0)),0))</f>
        <v/>
      </c>
      <c r="Q2574" s="30">
        <f>IF(OR(H2574&lt;&gt;"Realizado",P2574="",P2574=0),"",A2574+P2574)</f>
        <v/>
      </c>
      <c r="R2574" s="26">
        <f>IF(Q2574="","",IF(COUNTIFS($E$5:$E$3004,E2574,$A$5:$A$3004,"&gt;"&amp;A2574,$H$5:$H$3004,"&lt;&gt;Falta",$H$5:$H$3004,"&lt;&gt;Cancelado",$H$5:$H$3004,"&lt;&gt;Remarcado")&gt;0,"Sim","Não"))</f>
        <v/>
      </c>
      <c r="S2574" s="32">
        <f>IF(R2574&lt;&gt;"Não","",IF(Q2574+Config!$B$9&lt;=Config!$B$8,Config!$B$8-Q2574,""))</f>
        <v/>
      </c>
      <c r="T2574" s="26">
        <f>IF(S2574="","","Sim")</f>
        <v/>
      </c>
      <c r="U2574" s="41">
        <f>IF(T2574="Sim",S2574+ROW()/100000,0)</f>
        <v>0</v>
      </c>
      <c r="V2574" s="41">
        <f>IF(AND(H2574="Falta",L2574=Config!$B$7,M2574=Config!$B$5,COUNTIFS($E$5:E2574,E2574,$H$5:H2574,"Falta",$L$5:L2574,Config!$B$7,$M$5:M2574,Config!$B$5)=1),COUNTIFS($E$5:$E$3004,E2574,$H$5:$H$3004,"Falta",$L$5:$L$3004,Config!$B$7,$M$5:$M$3004,Config!$B$5)*1000-ROW()/100000,0)</f>
        <v>0</v>
      </c>
    </row>
    <row r="2575">
      <c r="A2575" s="39" t="n"/>
      <c r="B2575" s="40" t="n"/>
      <c r="C2575" s="35" t="n"/>
      <c r="D2575" s="35" t="n"/>
      <c r="E2575" s="34" t="n"/>
      <c r="F2575" s="35" t="n"/>
      <c r="G2575" s="35" t="n"/>
      <c r="H2575" s="35" t="n"/>
      <c r="I2575" s="35" t="n"/>
      <c r="J2575" s="35" t="n"/>
      <c r="K2575" s="34" t="n"/>
      <c r="L2575" s="26">
        <f>IF(A2575="","",MONTH(A2575))</f>
        <v/>
      </c>
      <c r="M2575" s="26">
        <f>IF(A2575="","",YEAR(A2575))</f>
        <v/>
      </c>
      <c r="N2575" s="26">
        <f>IF(A2575="","",CHOOSE(WEEKDAY(A2575,2),"Segunda","Terça","Quarta","Quinta","Sexta","Sábado","Domingo"))</f>
        <v/>
      </c>
      <c r="O2575" s="26">
        <f>IF(B2575="","",IF(B2575&lt;TIME(12,0,0),"Manhã",IF(B2575&lt;TIME(18,0,0),"Tarde","Noite")))</f>
        <v/>
      </c>
      <c r="P2575" s="32">
        <f>IF(G2575="","",IFERROR(INDEX(Config!$I$5:$I$16,MATCH(G2575,Config!$H$5:$H$16,0)),0))</f>
        <v/>
      </c>
      <c r="Q2575" s="30">
        <f>IF(OR(H2575&lt;&gt;"Realizado",P2575="",P2575=0),"",A2575+P2575)</f>
        <v/>
      </c>
      <c r="R2575" s="26">
        <f>IF(Q2575="","",IF(COUNTIFS($E$5:$E$3004,E2575,$A$5:$A$3004,"&gt;"&amp;A2575,$H$5:$H$3004,"&lt;&gt;Falta",$H$5:$H$3004,"&lt;&gt;Cancelado",$H$5:$H$3004,"&lt;&gt;Remarcado")&gt;0,"Sim","Não"))</f>
        <v/>
      </c>
      <c r="S2575" s="32">
        <f>IF(R2575&lt;&gt;"Não","",IF(Q2575+Config!$B$9&lt;=Config!$B$8,Config!$B$8-Q2575,""))</f>
        <v/>
      </c>
      <c r="T2575" s="26">
        <f>IF(S2575="","","Sim")</f>
        <v/>
      </c>
      <c r="U2575" s="41">
        <f>IF(T2575="Sim",S2575+ROW()/100000,0)</f>
        <v>0</v>
      </c>
      <c r="V2575" s="41">
        <f>IF(AND(H2575="Falta",L2575=Config!$B$7,M2575=Config!$B$5,COUNTIFS($E$5:E2575,E2575,$H$5:H2575,"Falta",$L$5:L2575,Config!$B$7,$M$5:M2575,Config!$B$5)=1),COUNTIFS($E$5:$E$3004,E2575,$H$5:$H$3004,"Falta",$L$5:$L$3004,Config!$B$7,$M$5:$M$3004,Config!$B$5)*1000-ROW()/100000,0)</f>
        <v>0</v>
      </c>
    </row>
    <row r="2576">
      <c r="A2576" s="39" t="n"/>
      <c r="B2576" s="40" t="n"/>
      <c r="C2576" s="35" t="n"/>
      <c r="D2576" s="35" t="n"/>
      <c r="E2576" s="34" t="n"/>
      <c r="F2576" s="35" t="n"/>
      <c r="G2576" s="35" t="n"/>
      <c r="H2576" s="35" t="n"/>
      <c r="I2576" s="35" t="n"/>
      <c r="J2576" s="35" t="n"/>
      <c r="K2576" s="34" t="n"/>
      <c r="L2576" s="26">
        <f>IF(A2576="","",MONTH(A2576))</f>
        <v/>
      </c>
      <c r="M2576" s="26">
        <f>IF(A2576="","",YEAR(A2576))</f>
        <v/>
      </c>
      <c r="N2576" s="26">
        <f>IF(A2576="","",CHOOSE(WEEKDAY(A2576,2),"Segunda","Terça","Quarta","Quinta","Sexta","Sábado","Domingo"))</f>
        <v/>
      </c>
      <c r="O2576" s="26">
        <f>IF(B2576="","",IF(B2576&lt;TIME(12,0,0),"Manhã",IF(B2576&lt;TIME(18,0,0),"Tarde","Noite")))</f>
        <v/>
      </c>
      <c r="P2576" s="32">
        <f>IF(G2576="","",IFERROR(INDEX(Config!$I$5:$I$16,MATCH(G2576,Config!$H$5:$H$16,0)),0))</f>
        <v/>
      </c>
      <c r="Q2576" s="30">
        <f>IF(OR(H2576&lt;&gt;"Realizado",P2576="",P2576=0),"",A2576+P2576)</f>
        <v/>
      </c>
      <c r="R2576" s="26">
        <f>IF(Q2576="","",IF(COUNTIFS($E$5:$E$3004,E2576,$A$5:$A$3004,"&gt;"&amp;A2576,$H$5:$H$3004,"&lt;&gt;Falta",$H$5:$H$3004,"&lt;&gt;Cancelado",$H$5:$H$3004,"&lt;&gt;Remarcado")&gt;0,"Sim","Não"))</f>
        <v/>
      </c>
      <c r="S2576" s="32">
        <f>IF(R2576&lt;&gt;"Não","",IF(Q2576+Config!$B$9&lt;=Config!$B$8,Config!$B$8-Q2576,""))</f>
        <v/>
      </c>
      <c r="T2576" s="26">
        <f>IF(S2576="","","Sim")</f>
        <v/>
      </c>
      <c r="U2576" s="41">
        <f>IF(T2576="Sim",S2576+ROW()/100000,0)</f>
        <v>0</v>
      </c>
      <c r="V2576" s="41">
        <f>IF(AND(H2576="Falta",L2576=Config!$B$7,M2576=Config!$B$5,COUNTIFS($E$5:E2576,E2576,$H$5:H2576,"Falta",$L$5:L2576,Config!$B$7,$M$5:M2576,Config!$B$5)=1),COUNTIFS($E$5:$E$3004,E2576,$H$5:$H$3004,"Falta",$L$5:$L$3004,Config!$B$7,$M$5:$M$3004,Config!$B$5)*1000-ROW()/100000,0)</f>
        <v>0</v>
      </c>
    </row>
    <row r="2577">
      <c r="A2577" s="39" t="n"/>
      <c r="B2577" s="40" t="n"/>
      <c r="C2577" s="35" t="n"/>
      <c r="D2577" s="35" t="n"/>
      <c r="E2577" s="34" t="n"/>
      <c r="F2577" s="35" t="n"/>
      <c r="G2577" s="35" t="n"/>
      <c r="H2577" s="35" t="n"/>
      <c r="I2577" s="35" t="n"/>
      <c r="J2577" s="35" t="n"/>
      <c r="K2577" s="34" t="n"/>
      <c r="L2577" s="26">
        <f>IF(A2577="","",MONTH(A2577))</f>
        <v/>
      </c>
      <c r="M2577" s="26">
        <f>IF(A2577="","",YEAR(A2577))</f>
        <v/>
      </c>
      <c r="N2577" s="26">
        <f>IF(A2577="","",CHOOSE(WEEKDAY(A2577,2),"Segunda","Terça","Quarta","Quinta","Sexta","Sábado","Domingo"))</f>
        <v/>
      </c>
      <c r="O2577" s="26">
        <f>IF(B2577="","",IF(B2577&lt;TIME(12,0,0),"Manhã",IF(B2577&lt;TIME(18,0,0),"Tarde","Noite")))</f>
        <v/>
      </c>
      <c r="P2577" s="32">
        <f>IF(G2577="","",IFERROR(INDEX(Config!$I$5:$I$16,MATCH(G2577,Config!$H$5:$H$16,0)),0))</f>
        <v/>
      </c>
      <c r="Q2577" s="30">
        <f>IF(OR(H2577&lt;&gt;"Realizado",P2577="",P2577=0),"",A2577+P2577)</f>
        <v/>
      </c>
      <c r="R2577" s="26">
        <f>IF(Q2577="","",IF(COUNTIFS($E$5:$E$3004,E2577,$A$5:$A$3004,"&gt;"&amp;A2577,$H$5:$H$3004,"&lt;&gt;Falta",$H$5:$H$3004,"&lt;&gt;Cancelado",$H$5:$H$3004,"&lt;&gt;Remarcado")&gt;0,"Sim","Não"))</f>
        <v/>
      </c>
      <c r="S2577" s="32">
        <f>IF(R2577&lt;&gt;"Não","",IF(Q2577+Config!$B$9&lt;=Config!$B$8,Config!$B$8-Q2577,""))</f>
        <v/>
      </c>
      <c r="T2577" s="26">
        <f>IF(S2577="","","Sim")</f>
        <v/>
      </c>
      <c r="U2577" s="41">
        <f>IF(T2577="Sim",S2577+ROW()/100000,0)</f>
        <v>0</v>
      </c>
      <c r="V2577" s="41">
        <f>IF(AND(H2577="Falta",L2577=Config!$B$7,M2577=Config!$B$5,COUNTIFS($E$5:E2577,E2577,$H$5:H2577,"Falta",$L$5:L2577,Config!$B$7,$M$5:M2577,Config!$B$5)=1),COUNTIFS($E$5:$E$3004,E2577,$H$5:$H$3004,"Falta",$L$5:$L$3004,Config!$B$7,$M$5:$M$3004,Config!$B$5)*1000-ROW()/100000,0)</f>
        <v>0</v>
      </c>
    </row>
    <row r="2578">
      <c r="A2578" s="39" t="n"/>
      <c r="B2578" s="40" t="n"/>
      <c r="C2578" s="35" t="n"/>
      <c r="D2578" s="35" t="n"/>
      <c r="E2578" s="34" t="n"/>
      <c r="F2578" s="35" t="n"/>
      <c r="G2578" s="35" t="n"/>
      <c r="H2578" s="35" t="n"/>
      <c r="I2578" s="35" t="n"/>
      <c r="J2578" s="35" t="n"/>
      <c r="K2578" s="34" t="n"/>
      <c r="L2578" s="26">
        <f>IF(A2578="","",MONTH(A2578))</f>
        <v/>
      </c>
      <c r="M2578" s="26">
        <f>IF(A2578="","",YEAR(A2578))</f>
        <v/>
      </c>
      <c r="N2578" s="26">
        <f>IF(A2578="","",CHOOSE(WEEKDAY(A2578,2),"Segunda","Terça","Quarta","Quinta","Sexta","Sábado","Domingo"))</f>
        <v/>
      </c>
      <c r="O2578" s="26">
        <f>IF(B2578="","",IF(B2578&lt;TIME(12,0,0),"Manhã",IF(B2578&lt;TIME(18,0,0),"Tarde","Noite")))</f>
        <v/>
      </c>
      <c r="P2578" s="32">
        <f>IF(G2578="","",IFERROR(INDEX(Config!$I$5:$I$16,MATCH(G2578,Config!$H$5:$H$16,0)),0))</f>
        <v/>
      </c>
      <c r="Q2578" s="30">
        <f>IF(OR(H2578&lt;&gt;"Realizado",P2578="",P2578=0),"",A2578+P2578)</f>
        <v/>
      </c>
      <c r="R2578" s="26">
        <f>IF(Q2578="","",IF(COUNTIFS($E$5:$E$3004,E2578,$A$5:$A$3004,"&gt;"&amp;A2578,$H$5:$H$3004,"&lt;&gt;Falta",$H$5:$H$3004,"&lt;&gt;Cancelado",$H$5:$H$3004,"&lt;&gt;Remarcado")&gt;0,"Sim","Não"))</f>
        <v/>
      </c>
      <c r="S2578" s="32">
        <f>IF(R2578&lt;&gt;"Não","",IF(Q2578+Config!$B$9&lt;=Config!$B$8,Config!$B$8-Q2578,""))</f>
        <v/>
      </c>
      <c r="T2578" s="26">
        <f>IF(S2578="","","Sim")</f>
        <v/>
      </c>
      <c r="U2578" s="41">
        <f>IF(T2578="Sim",S2578+ROW()/100000,0)</f>
        <v>0</v>
      </c>
      <c r="V2578" s="41">
        <f>IF(AND(H2578="Falta",L2578=Config!$B$7,M2578=Config!$B$5,COUNTIFS($E$5:E2578,E2578,$H$5:H2578,"Falta",$L$5:L2578,Config!$B$7,$M$5:M2578,Config!$B$5)=1),COUNTIFS($E$5:$E$3004,E2578,$H$5:$H$3004,"Falta",$L$5:$L$3004,Config!$B$7,$M$5:$M$3004,Config!$B$5)*1000-ROW()/100000,0)</f>
        <v>0</v>
      </c>
    </row>
    <row r="2579">
      <c r="A2579" s="39" t="n"/>
      <c r="B2579" s="40" t="n"/>
      <c r="C2579" s="35" t="n"/>
      <c r="D2579" s="35" t="n"/>
      <c r="E2579" s="34" t="n"/>
      <c r="F2579" s="35" t="n"/>
      <c r="G2579" s="35" t="n"/>
      <c r="H2579" s="35" t="n"/>
      <c r="I2579" s="35" t="n"/>
      <c r="J2579" s="35" t="n"/>
      <c r="K2579" s="34" t="n"/>
      <c r="L2579" s="26">
        <f>IF(A2579="","",MONTH(A2579))</f>
        <v/>
      </c>
      <c r="M2579" s="26">
        <f>IF(A2579="","",YEAR(A2579))</f>
        <v/>
      </c>
      <c r="N2579" s="26">
        <f>IF(A2579="","",CHOOSE(WEEKDAY(A2579,2),"Segunda","Terça","Quarta","Quinta","Sexta","Sábado","Domingo"))</f>
        <v/>
      </c>
      <c r="O2579" s="26">
        <f>IF(B2579="","",IF(B2579&lt;TIME(12,0,0),"Manhã",IF(B2579&lt;TIME(18,0,0),"Tarde","Noite")))</f>
        <v/>
      </c>
      <c r="P2579" s="32">
        <f>IF(G2579="","",IFERROR(INDEX(Config!$I$5:$I$16,MATCH(G2579,Config!$H$5:$H$16,0)),0))</f>
        <v/>
      </c>
      <c r="Q2579" s="30">
        <f>IF(OR(H2579&lt;&gt;"Realizado",P2579="",P2579=0),"",A2579+P2579)</f>
        <v/>
      </c>
      <c r="R2579" s="26">
        <f>IF(Q2579="","",IF(COUNTIFS($E$5:$E$3004,E2579,$A$5:$A$3004,"&gt;"&amp;A2579,$H$5:$H$3004,"&lt;&gt;Falta",$H$5:$H$3004,"&lt;&gt;Cancelado",$H$5:$H$3004,"&lt;&gt;Remarcado")&gt;0,"Sim","Não"))</f>
        <v/>
      </c>
      <c r="S2579" s="32">
        <f>IF(R2579&lt;&gt;"Não","",IF(Q2579+Config!$B$9&lt;=Config!$B$8,Config!$B$8-Q2579,""))</f>
        <v/>
      </c>
      <c r="T2579" s="26">
        <f>IF(S2579="","","Sim")</f>
        <v/>
      </c>
      <c r="U2579" s="41">
        <f>IF(T2579="Sim",S2579+ROW()/100000,0)</f>
        <v>0</v>
      </c>
      <c r="V2579" s="41">
        <f>IF(AND(H2579="Falta",L2579=Config!$B$7,M2579=Config!$B$5,COUNTIFS($E$5:E2579,E2579,$H$5:H2579,"Falta",$L$5:L2579,Config!$B$7,$M$5:M2579,Config!$B$5)=1),COUNTIFS($E$5:$E$3004,E2579,$H$5:$H$3004,"Falta",$L$5:$L$3004,Config!$B$7,$M$5:$M$3004,Config!$B$5)*1000-ROW()/100000,0)</f>
        <v>0</v>
      </c>
    </row>
    <row r="2580">
      <c r="A2580" s="39" t="n"/>
      <c r="B2580" s="40" t="n"/>
      <c r="C2580" s="35" t="n"/>
      <c r="D2580" s="35" t="n"/>
      <c r="E2580" s="34" t="n"/>
      <c r="F2580" s="35" t="n"/>
      <c r="G2580" s="35" t="n"/>
      <c r="H2580" s="35" t="n"/>
      <c r="I2580" s="35" t="n"/>
      <c r="J2580" s="35" t="n"/>
      <c r="K2580" s="34" t="n"/>
      <c r="L2580" s="26">
        <f>IF(A2580="","",MONTH(A2580))</f>
        <v/>
      </c>
      <c r="M2580" s="26">
        <f>IF(A2580="","",YEAR(A2580))</f>
        <v/>
      </c>
      <c r="N2580" s="26">
        <f>IF(A2580="","",CHOOSE(WEEKDAY(A2580,2),"Segunda","Terça","Quarta","Quinta","Sexta","Sábado","Domingo"))</f>
        <v/>
      </c>
      <c r="O2580" s="26">
        <f>IF(B2580="","",IF(B2580&lt;TIME(12,0,0),"Manhã",IF(B2580&lt;TIME(18,0,0),"Tarde","Noite")))</f>
        <v/>
      </c>
      <c r="P2580" s="32">
        <f>IF(G2580="","",IFERROR(INDEX(Config!$I$5:$I$16,MATCH(G2580,Config!$H$5:$H$16,0)),0))</f>
        <v/>
      </c>
      <c r="Q2580" s="30">
        <f>IF(OR(H2580&lt;&gt;"Realizado",P2580="",P2580=0),"",A2580+P2580)</f>
        <v/>
      </c>
      <c r="R2580" s="26">
        <f>IF(Q2580="","",IF(COUNTIFS($E$5:$E$3004,E2580,$A$5:$A$3004,"&gt;"&amp;A2580,$H$5:$H$3004,"&lt;&gt;Falta",$H$5:$H$3004,"&lt;&gt;Cancelado",$H$5:$H$3004,"&lt;&gt;Remarcado")&gt;0,"Sim","Não"))</f>
        <v/>
      </c>
      <c r="S2580" s="32">
        <f>IF(R2580&lt;&gt;"Não","",IF(Q2580+Config!$B$9&lt;=Config!$B$8,Config!$B$8-Q2580,""))</f>
        <v/>
      </c>
      <c r="T2580" s="26">
        <f>IF(S2580="","","Sim")</f>
        <v/>
      </c>
      <c r="U2580" s="41">
        <f>IF(T2580="Sim",S2580+ROW()/100000,0)</f>
        <v>0</v>
      </c>
      <c r="V2580" s="41">
        <f>IF(AND(H2580="Falta",L2580=Config!$B$7,M2580=Config!$B$5,COUNTIFS($E$5:E2580,E2580,$H$5:H2580,"Falta",$L$5:L2580,Config!$B$7,$M$5:M2580,Config!$B$5)=1),COUNTIFS($E$5:$E$3004,E2580,$H$5:$H$3004,"Falta",$L$5:$L$3004,Config!$B$7,$M$5:$M$3004,Config!$B$5)*1000-ROW()/100000,0)</f>
        <v>0</v>
      </c>
    </row>
    <row r="2581">
      <c r="A2581" s="39" t="n"/>
      <c r="B2581" s="40" t="n"/>
      <c r="C2581" s="35" t="n"/>
      <c r="D2581" s="35" t="n"/>
      <c r="E2581" s="34" t="n"/>
      <c r="F2581" s="35" t="n"/>
      <c r="G2581" s="35" t="n"/>
      <c r="H2581" s="35" t="n"/>
      <c r="I2581" s="35" t="n"/>
      <c r="J2581" s="35" t="n"/>
      <c r="K2581" s="34" t="n"/>
      <c r="L2581" s="26">
        <f>IF(A2581="","",MONTH(A2581))</f>
        <v/>
      </c>
      <c r="M2581" s="26">
        <f>IF(A2581="","",YEAR(A2581))</f>
        <v/>
      </c>
      <c r="N2581" s="26">
        <f>IF(A2581="","",CHOOSE(WEEKDAY(A2581,2),"Segunda","Terça","Quarta","Quinta","Sexta","Sábado","Domingo"))</f>
        <v/>
      </c>
      <c r="O2581" s="26">
        <f>IF(B2581="","",IF(B2581&lt;TIME(12,0,0),"Manhã",IF(B2581&lt;TIME(18,0,0),"Tarde","Noite")))</f>
        <v/>
      </c>
      <c r="P2581" s="32">
        <f>IF(G2581="","",IFERROR(INDEX(Config!$I$5:$I$16,MATCH(G2581,Config!$H$5:$H$16,0)),0))</f>
        <v/>
      </c>
      <c r="Q2581" s="30">
        <f>IF(OR(H2581&lt;&gt;"Realizado",P2581="",P2581=0),"",A2581+P2581)</f>
        <v/>
      </c>
      <c r="R2581" s="26">
        <f>IF(Q2581="","",IF(COUNTIFS($E$5:$E$3004,E2581,$A$5:$A$3004,"&gt;"&amp;A2581,$H$5:$H$3004,"&lt;&gt;Falta",$H$5:$H$3004,"&lt;&gt;Cancelado",$H$5:$H$3004,"&lt;&gt;Remarcado")&gt;0,"Sim","Não"))</f>
        <v/>
      </c>
      <c r="S2581" s="32">
        <f>IF(R2581&lt;&gt;"Não","",IF(Q2581+Config!$B$9&lt;=Config!$B$8,Config!$B$8-Q2581,""))</f>
        <v/>
      </c>
      <c r="T2581" s="26">
        <f>IF(S2581="","","Sim")</f>
        <v/>
      </c>
      <c r="U2581" s="41">
        <f>IF(T2581="Sim",S2581+ROW()/100000,0)</f>
        <v>0</v>
      </c>
      <c r="V2581" s="41">
        <f>IF(AND(H2581="Falta",L2581=Config!$B$7,M2581=Config!$B$5,COUNTIFS($E$5:E2581,E2581,$H$5:H2581,"Falta",$L$5:L2581,Config!$B$7,$M$5:M2581,Config!$B$5)=1),COUNTIFS($E$5:$E$3004,E2581,$H$5:$H$3004,"Falta",$L$5:$L$3004,Config!$B$7,$M$5:$M$3004,Config!$B$5)*1000-ROW()/100000,0)</f>
        <v>0</v>
      </c>
    </row>
    <row r="2582">
      <c r="A2582" s="39" t="n"/>
      <c r="B2582" s="40" t="n"/>
      <c r="C2582" s="35" t="n"/>
      <c r="D2582" s="35" t="n"/>
      <c r="E2582" s="34" t="n"/>
      <c r="F2582" s="35" t="n"/>
      <c r="G2582" s="35" t="n"/>
      <c r="H2582" s="35" t="n"/>
      <c r="I2582" s="35" t="n"/>
      <c r="J2582" s="35" t="n"/>
      <c r="K2582" s="34" t="n"/>
      <c r="L2582" s="26">
        <f>IF(A2582="","",MONTH(A2582))</f>
        <v/>
      </c>
      <c r="M2582" s="26">
        <f>IF(A2582="","",YEAR(A2582))</f>
        <v/>
      </c>
      <c r="N2582" s="26">
        <f>IF(A2582="","",CHOOSE(WEEKDAY(A2582,2),"Segunda","Terça","Quarta","Quinta","Sexta","Sábado","Domingo"))</f>
        <v/>
      </c>
      <c r="O2582" s="26">
        <f>IF(B2582="","",IF(B2582&lt;TIME(12,0,0),"Manhã",IF(B2582&lt;TIME(18,0,0),"Tarde","Noite")))</f>
        <v/>
      </c>
      <c r="P2582" s="32">
        <f>IF(G2582="","",IFERROR(INDEX(Config!$I$5:$I$16,MATCH(G2582,Config!$H$5:$H$16,0)),0))</f>
        <v/>
      </c>
      <c r="Q2582" s="30">
        <f>IF(OR(H2582&lt;&gt;"Realizado",P2582="",P2582=0),"",A2582+P2582)</f>
        <v/>
      </c>
      <c r="R2582" s="26">
        <f>IF(Q2582="","",IF(COUNTIFS($E$5:$E$3004,E2582,$A$5:$A$3004,"&gt;"&amp;A2582,$H$5:$H$3004,"&lt;&gt;Falta",$H$5:$H$3004,"&lt;&gt;Cancelado",$H$5:$H$3004,"&lt;&gt;Remarcado")&gt;0,"Sim","Não"))</f>
        <v/>
      </c>
      <c r="S2582" s="32">
        <f>IF(R2582&lt;&gt;"Não","",IF(Q2582+Config!$B$9&lt;=Config!$B$8,Config!$B$8-Q2582,""))</f>
        <v/>
      </c>
      <c r="T2582" s="26">
        <f>IF(S2582="","","Sim")</f>
        <v/>
      </c>
      <c r="U2582" s="41">
        <f>IF(T2582="Sim",S2582+ROW()/100000,0)</f>
        <v>0</v>
      </c>
      <c r="V2582" s="41">
        <f>IF(AND(H2582="Falta",L2582=Config!$B$7,M2582=Config!$B$5,COUNTIFS($E$5:E2582,E2582,$H$5:H2582,"Falta",$L$5:L2582,Config!$B$7,$M$5:M2582,Config!$B$5)=1),COUNTIFS($E$5:$E$3004,E2582,$H$5:$H$3004,"Falta",$L$5:$L$3004,Config!$B$7,$M$5:$M$3004,Config!$B$5)*1000-ROW()/100000,0)</f>
        <v>0</v>
      </c>
    </row>
    <row r="2583">
      <c r="A2583" s="39" t="n"/>
      <c r="B2583" s="40" t="n"/>
      <c r="C2583" s="35" t="n"/>
      <c r="D2583" s="35" t="n"/>
      <c r="E2583" s="34" t="n"/>
      <c r="F2583" s="35" t="n"/>
      <c r="G2583" s="35" t="n"/>
      <c r="H2583" s="35" t="n"/>
      <c r="I2583" s="35" t="n"/>
      <c r="J2583" s="35" t="n"/>
      <c r="K2583" s="34" t="n"/>
      <c r="L2583" s="26">
        <f>IF(A2583="","",MONTH(A2583))</f>
        <v/>
      </c>
      <c r="M2583" s="26">
        <f>IF(A2583="","",YEAR(A2583))</f>
        <v/>
      </c>
      <c r="N2583" s="26">
        <f>IF(A2583="","",CHOOSE(WEEKDAY(A2583,2),"Segunda","Terça","Quarta","Quinta","Sexta","Sábado","Domingo"))</f>
        <v/>
      </c>
      <c r="O2583" s="26">
        <f>IF(B2583="","",IF(B2583&lt;TIME(12,0,0),"Manhã",IF(B2583&lt;TIME(18,0,0),"Tarde","Noite")))</f>
        <v/>
      </c>
      <c r="P2583" s="32">
        <f>IF(G2583="","",IFERROR(INDEX(Config!$I$5:$I$16,MATCH(G2583,Config!$H$5:$H$16,0)),0))</f>
        <v/>
      </c>
      <c r="Q2583" s="30">
        <f>IF(OR(H2583&lt;&gt;"Realizado",P2583="",P2583=0),"",A2583+P2583)</f>
        <v/>
      </c>
      <c r="R2583" s="26">
        <f>IF(Q2583="","",IF(COUNTIFS($E$5:$E$3004,E2583,$A$5:$A$3004,"&gt;"&amp;A2583,$H$5:$H$3004,"&lt;&gt;Falta",$H$5:$H$3004,"&lt;&gt;Cancelado",$H$5:$H$3004,"&lt;&gt;Remarcado")&gt;0,"Sim","Não"))</f>
        <v/>
      </c>
      <c r="S2583" s="32">
        <f>IF(R2583&lt;&gt;"Não","",IF(Q2583+Config!$B$9&lt;=Config!$B$8,Config!$B$8-Q2583,""))</f>
        <v/>
      </c>
      <c r="T2583" s="26">
        <f>IF(S2583="","","Sim")</f>
        <v/>
      </c>
      <c r="U2583" s="41">
        <f>IF(T2583="Sim",S2583+ROW()/100000,0)</f>
        <v>0</v>
      </c>
      <c r="V2583" s="41">
        <f>IF(AND(H2583="Falta",L2583=Config!$B$7,M2583=Config!$B$5,COUNTIFS($E$5:E2583,E2583,$H$5:H2583,"Falta",$L$5:L2583,Config!$B$7,$M$5:M2583,Config!$B$5)=1),COUNTIFS($E$5:$E$3004,E2583,$H$5:$H$3004,"Falta",$L$5:$L$3004,Config!$B$7,$M$5:$M$3004,Config!$B$5)*1000-ROW()/100000,0)</f>
        <v>0</v>
      </c>
    </row>
    <row r="2584">
      <c r="A2584" s="39" t="n"/>
      <c r="B2584" s="40" t="n"/>
      <c r="C2584" s="35" t="n"/>
      <c r="D2584" s="35" t="n"/>
      <c r="E2584" s="34" t="n"/>
      <c r="F2584" s="35" t="n"/>
      <c r="G2584" s="35" t="n"/>
      <c r="H2584" s="35" t="n"/>
      <c r="I2584" s="35" t="n"/>
      <c r="J2584" s="35" t="n"/>
      <c r="K2584" s="34" t="n"/>
      <c r="L2584" s="26">
        <f>IF(A2584="","",MONTH(A2584))</f>
        <v/>
      </c>
      <c r="M2584" s="26">
        <f>IF(A2584="","",YEAR(A2584))</f>
        <v/>
      </c>
      <c r="N2584" s="26">
        <f>IF(A2584="","",CHOOSE(WEEKDAY(A2584,2),"Segunda","Terça","Quarta","Quinta","Sexta","Sábado","Domingo"))</f>
        <v/>
      </c>
      <c r="O2584" s="26">
        <f>IF(B2584="","",IF(B2584&lt;TIME(12,0,0),"Manhã",IF(B2584&lt;TIME(18,0,0),"Tarde","Noite")))</f>
        <v/>
      </c>
      <c r="P2584" s="32">
        <f>IF(G2584="","",IFERROR(INDEX(Config!$I$5:$I$16,MATCH(G2584,Config!$H$5:$H$16,0)),0))</f>
        <v/>
      </c>
      <c r="Q2584" s="30">
        <f>IF(OR(H2584&lt;&gt;"Realizado",P2584="",P2584=0),"",A2584+P2584)</f>
        <v/>
      </c>
      <c r="R2584" s="26">
        <f>IF(Q2584="","",IF(COUNTIFS($E$5:$E$3004,E2584,$A$5:$A$3004,"&gt;"&amp;A2584,$H$5:$H$3004,"&lt;&gt;Falta",$H$5:$H$3004,"&lt;&gt;Cancelado",$H$5:$H$3004,"&lt;&gt;Remarcado")&gt;0,"Sim","Não"))</f>
        <v/>
      </c>
      <c r="S2584" s="32">
        <f>IF(R2584&lt;&gt;"Não","",IF(Q2584+Config!$B$9&lt;=Config!$B$8,Config!$B$8-Q2584,""))</f>
        <v/>
      </c>
      <c r="T2584" s="26">
        <f>IF(S2584="","","Sim")</f>
        <v/>
      </c>
      <c r="U2584" s="41">
        <f>IF(T2584="Sim",S2584+ROW()/100000,0)</f>
        <v>0</v>
      </c>
      <c r="V2584" s="41">
        <f>IF(AND(H2584="Falta",L2584=Config!$B$7,M2584=Config!$B$5,COUNTIFS($E$5:E2584,E2584,$H$5:H2584,"Falta",$L$5:L2584,Config!$B$7,$M$5:M2584,Config!$B$5)=1),COUNTIFS($E$5:$E$3004,E2584,$H$5:$H$3004,"Falta",$L$5:$L$3004,Config!$B$7,$M$5:$M$3004,Config!$B$5)*1000-ROW()/100000,0)</f>
        <v>0</v>
      </c>
    </row>
    <row r="2585">
      <c r="A2585" s="39" t="n"/>
      <c r="B2585" s="40" t="n"/>
      <c r="C2585" s="35" t="n"/>
      <c r="D2585" s="35" t="n"/>
      <c r="E2585" s="34" t="n"/>
      <c r="F2585" s="35" t="n"/>
      <c r="G2585" s="35" t="n"/>
      <c r="H2585" s="35" t="n"/>
      <c r="I2585" s="35" t="n"/>
      <c r="J2585" s="35" t="n"/>
      <c r="K2585" s="34" t="n"/>
      <c r="L2585" s="26">
        <f>IF(A2585="","",MONTH(A2585))</f>
        <v/>
      </c>
      <c r="M2585" s="26">
        <f>IF(A2585="","",YEAR(A2585))</f>
        <v/>
      </c>
      <c r="N2585" s="26">
        <f>IF(A2585="","",CHOOSE(WEEKDAY(A2585,2),"Segunda","Terça","Quarta","Quinta","Sexta","Sábado","Domingo"))</f>
        <v/>
      </c>
      <c r="O2585" s="26">
        <f>IF(B2585="","",IF(B2585&lt;TIME(12,0,0),"Manhã",IF(B2585&lt;TIME(18,0,0),"Tarde","Noite")))</f>
        <v/>
      </c>
      <c r="P2585" s="32">
        <f>IF(G2585="","",IFERROR(INDEX(Config!$I$5:$I$16,MATCH(G2585,Config!$H$5:$H$16,0)),0))</f>
        <v/>
      </c>
      <c r="Q2585" s="30">
        <f>IF(OR(H2585&lt;&gt;"Realizado",P2585="",P2585=0),"",A2585+P2585)</f>
        <v/>
      </c>
      <c r="R2585" s="26">
        <f>IF(Q2585="","",IF(COUNTIFS($E$5:$E$3004,E2585,$A$5:$A$3004,"&gt;"&amp;A2585,$H$5:$H$3004,"&lt;&gt;Falta",$H$5:$H$3004,"&lt;&gt;Cancelado",$H$5:$H$3004,"&lt;&gt;Remarcado")&gt;0,"Sim","Não"))</f>
        <v/>
      </c>
      <c r="S2585" s="32">
        <f>IF(R2585&lt;&gt;"Não","",IF(Q2585+Config!$B$9&lt;=Config!$B$8,Config!$B$8-Q2585,""))</f>
        <v/>
      </c>
      <c r="T2585" s="26">
        <f>IF(S2585="","","Sim")</f>
        <v/>
      </c>
      <c r="U2585" s="41">
        <f>IF(T2585="Sim",S2585+ROW()/100000,0)</f>
        <v>0</v>
      </c>
      <c r="V2585" s="41">
        <f>IF(AND(H2585="Falta",L2585=Config!$B$7,M2585=Config!$B$5,COUNTIFS($E$5:E2585,E2585,$H$5:H2585,"Falta",$L$5:L2585,Config!$B$7,$M$5:M2585,Config!$B$5)=1),COUNTIFS($E$5:$E$3004,E2585,$H$5:$H$3004,"Falta",$L$5:$L$3004,Config!$B$7,$M$5:$M$3004,Config!$B$5)*1000-ROW()/100000,0)</f>
        <v>0</v>
      </c>
    </row>
    <row r="2586">
      <c r="A2586" s="39" t="n"/>
      <c r="B2586" s="40" t="n"/>
      <c r="C2586" s="35" t="n"/>
      <c r="D2586" s="35" t="n"/>
      <c r="E2586" s="34" t="n"/>
      <c r="F2586" s="35" t="n"/>
      <c r="G2586" s="35" t="n"/>
      <c r="H2586" s="35" t="n"/>
      <c r="I2586" s="35" t="n"/>
      <c r="J2586" s="35" t="n"/>
      <c r="K2586" s="34" t="n"/>
      <c r="L2586" s="26">
        <f>IF(A2586="","",MONTH(A2586))</f>
        <v/>
      </c>
      <c r="M2586" s="26">
        <f>IF(A2586="","",YEAR(A2586))</f>
        <v/>
      </c>
      <c r="N2586" s="26">
        <f>IF(A2586="","",CHOOSE(WEEKDAY(A2586,2),"Segunda","Terça","Quarta","Quinta","Sexta","Sábado","Domingo"))</f>
        <v/>
      </c>
      <c r="O2586" s="26">
        <f>IF(B2586="","",IF(B2586&lt;TIME(12,0,0),"Manhã",IF(B2586&lt;TIME(18,0,0),"Tarde","Noite")))</f>
        <v/>
      </c>
      <c r="P2586" s="32">
        <f>IF(G2586="","",IFERROR(INDEX(Config!$I$5:$I$16,MATCH(G2586,Config!$H$5:$H$16,0)),0))</f>
        <v/>
      </c>
      <c r="Q2586" s="30">
        <f>IF(OR(H2586&lt;&gt;"Realizado",P2586="",P2586=0),"",A2586+P2586)</f>
        <v/>
      </c>
      <c r="R2586" s="26">
        <f>IF(Q2586="","",IF(COUNTIFS($E$5:$E$3004,E2586,$A$5:$A$3004,"&gt;"&amp;A2586,$H$5:$H$3004,"&lt;&gt;Falta",$H$5:$H$3004,"&lt;&gt;Cancelado",$H$5:$H$3004,"&lt;&gt;Remarcado")&gt;0,"Sim","Não"))</f>
        <v/>
      </c>
      <c r="S2586" s="32">
        <f>IF(R2586&lt;&gt;"Não","",IF(Q2586+Config!$B$9&lt;=Config!$B$8,Config!$B$8-Q2586,""))</f>
        <v/>
      </c>
      <c r="T2586" s="26">
        <f>IF(S2586="","","Sim")</f>
        <v/>
      </c>
      <c r="U2586" s="41">
        <f>IF(T2586="Sim",S2586+ROW()/100000,0)</f>
        <v>0</v>
      </c>
      <c r="V2586" s="41">
        <f>IF(AND(H2586="Falta",L2586=Config!$B$7,M2586=Config!$B$5,COUNTIFS($E$5:E2586,E2586,$H$5:H2586,"Falta",$L$5:L2586,Config!$B$7,$M$5:M2586,Config!$B$5)=1),COUNTIFS($E$5:$E$3004,E2586,$H$5:$H$3004,"Falta",$L$5:$L$3004,Config!$B$7,$M$5:$M$3004,Config!$B$5)*1000-ROW()/100000,0)</f>
        <v>0</v>
      </c>
    </row>
    <row r="2587">
      <c r="A2587" s="39" t="n"/>
      <c r="B2587" s="40" t="n"/>
      <c r="C2587" s="35" t="n"/>
      <c r="D2587" s="35" t="n"/>
      <c r="E2587" s="34" t="n"/>
      <c r="F2587" s="35" t="n"/>
      <c r="G2587" s="35" t="n"/>
      <c r="H2587" s="35" t="n"/>
      <c r="I2587" s="35" t="n"/>
      <c r="J2587" s="35" t="n"/>
      <c r="K2587" s="34" t="n"/>
      <c r="L2587" s="26">
        <f>IF(A2587="","",MONTH(A2587))</f>
        <v/>
      </c>
      <c r="M2587" s="26">
        <f>IF(A2587="","",YEAR(A2587))</f>
        <v/>
      </c>
      <c r="N2587" s="26">
        <f>IF(A2587="","",CHOOSE(WEEKDAY(A2587,2),"Segunda","Terça","Quarta","Quinta","Sexta","Sábado","Domingo"))</f>
        <v/>
      </c>
      <c r="O2587" s="26">
        <f>IF(B2587="","",IF(B2587&lt;TIME(12,0,0),"Manhã",IF(B2587&lt;TIME(18,0,0),"Tarde","Noite")))</f>
        <v/>
      </c>
      <c r="P2587" s="32">
        <f>IF(G2587="","",IFERROR(INDEX(Config!$I$5:$I$16,MATCH(G2587,Config!$H$5:$H$16,0)),0))</f>
        <v/>
      </c>
      <c r="Q2587" s="30">
        <f>IF(OR(H2587&lt;&gt;"Realizado",P2587="",P2587=0),"",A2587+P2587)</f>
        <v/>
      </c>
      <c r="R2587" s="26">
        <f>IF(Q2587="","",IF(COUNTIFS($E$5:$E$3004,E2587,$A$5:$A$3004,"&gt;"&amp;A2587,$H$5:$H$3004,"&lt;&gt;Falta",$H$5:$H$3004,"&lt;&gt;Cancelado",$H$5:$H$3004,"&lt;&gt;Remarcado")&gt;0,"Sim","Não"))</f>
        <v/>
      </c>
      <c r="S2587" s="32">
        <f>IF(R2587&lt;&gt;"Não","",IF(Q2587+Config!$B$9&lt;=Config!$B$8,Config!$B$8-Q2587,""))</f>
        <v/>
      </c>
      <c r="T2587" s="26">
        <f>IF(S2587="","","Sim")</f>
        <v/>
      </c>
      <c r="U2587" s="41">
        <f>IF(T2587="Sim",S2587+ROW()/100000,0)</f>
        <v>0</v>
      </c>
      <c r="V2587" s="41">
        <f>IF(AND(H2587="Falta",L2587=Config!$B$7,M2587=Config!$B$5,COUNTIFS($E$5:E2587,E2587,$H$5:H2587,"Falta",$L$5:L2587,Config!$B$7,$M$5:M2587,Config!$B$5)=1),COUNTIFS($E$5:$E$3004,E2587,$H$5:$H$3004,"Falta",$L$5:$L$3004,Config!$B$7,$M$5:$M$3004,Config!$B$5)*1000-ROW()/100000,0)</f>
        <v>0</v>
      </c>
    </row>
    <row r="2588">
      <c r="A2588" s="39" t="n"/>
      <c r="B2588" s="40" t="n"/>
      <c r="C2588" s="35" t="n"/>
      <c r="D2588" s="35" t="n"/>
      <c r="E2588" s="34" t="n"/>
      <c r="F2588" s="35" t="n"/>
      <c r="G2588" s="35" t="n"/>
      <c r="H2588" s="35" t="n"/>
      <c r="I2588" s="35" t="n"/>
      <c r="J2588" s="35" t="n"/>
      <c r="K2588" s="34" t="n"/>
      <c r="L2588" s="26">
        <f>IF(A2588="","",MONTH(A2588))</f>
        <v/>
      </c>
      <c r="M2588" s="26">
        <f>IF(A2588="","",YEAR(A2588))</f>
        <v/>
      </c>
      <c r="N2588" s="26">
        <f>IF(A2588="","",CHOOSE(WEEKDAY(A2588,2),"Segunda","Terça","Quarta","Quinta","Sexta","Sábado","Domingo"))</f>
        <v/>
      </c>
      <c r="O2588" s="26">
        <f>IF(B2588="","",IF(B2588&lt;TIME(12,0,0),"Manhã",IF(B2588&lt;TIME(18,0,0),"Tarde","Noite")))</f>
        <v/>
      </c>
      <c r="P2588" s="32">
        <f>IF(G2588="","",IFERROR(INDEX(Config!$I$5:$I$16,MATCH(G2588,Config!$H$5:$H$16,0)),0))</f>
        <v/>
      </c>
      <c r="Q2588" s="30">
        <f>IF(OR(H2588&lt;&gt;"Realizado",P2588="",P2588=0),"",A2588+P2588)</f>
        <v/>
      </c>
      <c r="R2588" s="26">
        <f>IF(Q2588="","",IF(COUNTIFS($E$5:$E$3004,E2588,$A$5:$A$3004,"&gt;"&amp;A2588,$H$5:$H$3004,"&lt;&gt;Falta",$H$5:$H$3004,"&lt;&gt;Cancelado",$H$5:$H$3004,"&lt;&gt;Remarcado")&gt;0,"Sim","Não"))</f>
        <v/>
      </c>
      <c r="S2588" s="32">
        <f>IF(R2588&lt;&gt;"Não","",IF(Q2588+Config!$B$9&lt;=Config!$B$8,Config!$B$8-Q2588,""))</f>
        <v/>
      </c>
      <c r="T2588" s="26">
        <f>IF(S2588="","","Sim")</f>
        <v/>
      </c>
      <c r="U2588" s="41">
        <f>IF(T2588="Sim",S2588+ROW()/100000,0)</f>
        <v>0</v>
      </c>
      <c r="V2588" s="41">
        <f>IF(AND(H2588="Falta",L2588=Config!$B$7,M2588=Config!$B$5,COUNTIFS($E$5:E2588,E2588,$H$5:H2588,"Falta",$L$5:L2588,Config!$B$7,$M$5:M2588,Config!$B$5)=1),COUNTIFS($E$5:$E$3004,E2588,$H$5:$H$3004,"Falta",$L$5:$L$3004,Config!$B$7,$M$5:$M$3004,Config!$B$5)*1000-ROW()/100000,0)</f>
        <v>0</v>
      </c>
    </row>
    <row r="2589">
      <c r="A2589" s="39" t="n"/>
      <c r="B2589" s="40" t="n"/>
      <c r="C2589" s="35" t="n"/>
      <c r="D2589" s="35" t="n"/>
      <c r="E2589" s="34" t="n"/>
      <c r="F2589" s="35" t="n"/>
      <c r="G2589" s="35" t="n"/>
      <c r="H2589" s="35" t="n"/>
      <c r="I2589" s="35" t="n"/>
      <c r="J2589" s="35" t="n"/>
      <c r="K2589" s="34" t="n"/>
      <c r="L2589" s="26">
        <f>IF(A2589="","",MONTH(A2589))</f>
        <v/>
      </c>
      <c r="M2589" s="26">
        <f>IF(A2589="","",YEAR(A2589))</f>
        <v/>
      </c>
      <c r="N2589" s="26">
        <f>IF(A2589="","",CHOOSE(WEEKDAY(A2589,2),"Segunda","Terça","Quarta","Quinta","Sexta","Sábado","Domingo"))</f>
        <v/>
      </c>
      <c r="O2589" s="26">
        <f>IF(B2589="","",IF(B2589&lt;TIME(12,0,0),"Manhã",IF(B2589&lt;TIME(18,0,0),"Tarde","Noite")))</f>
        <v/>
      </c>
      <c r="P2589" s="32">
        <f>IF(G2589="","",IFERROR(INDEX(Config!$I$5:$I$16,MATCH(G2589,Config!$H$5:$H$16,0)),0))</f>
        <v/>
      </c>
      <c r="Q2589" s="30">
        <f>IF(OR(H2589&lt;&gt;"Realizado",P2589="",P2589=0),"",A2589+P2589)</f>
        <v/>
      </c>
      <c r="R2589" s="26">
        <f>IF(Q2589="","",IF(COUNTIFS($E$5:$E$3004,E2589,$A$5:$A$3004,"&gt;"&amp;A2589,$H$5:$H$3004,"&lt;&gt;Falta",$H$5:$H$3004,"&lt;&gt;Cancelado",$H$5:$H$3004,"&lt;&gt;Remarcado")&gt;0,"Sim","Não"))</f>
        <v/>
      </c>
      <c r="S2589" s="32">
        <f>IF(R2589&lt;&gt;"Não","",IF(Q2589+Config!$B$9&lt;=Config!$B$8,Config!$B$8-Q2589,""))</f>
        <v/>
      </c>
      <c r="T2589" s="26">
        <f>IF(S2589="","","Sim")</f>
        <v/>
      </c>
      <c r="U2589" s="41">
        <f>IF(T2589="Sim",S2589+ROW()/100000,0)</f>
        <v>0</v>
      </c>
      <c r="V2589" s="41">
        <f>IF(AND(H2589="Falta",L2589=Config!$B$7,M2589=Config!$B$5,COUNTIFS($E$5:E2589,E2589,$H$5:H2589,"Falta",$L$5:L2589,Config!$B$7,$M$5:M2589,Config!$B$5)=1),COUNTIFS($E$5:$E$3004,E2589,$H$5:$H$3004,"Falta",$L$5:$L$3004,Config!$B$7,$M$5:$M$3004,Config!$B$5)*1000-ROW()/100000,0)</f>
        <v>0</v>
      </c>
    </row>
    <row r="2590">
      <c r="A2590" s="39" t="n"/>
      <c r="B2590" s="40" t="n"/>
      <c r="C2590" s="35" t="n"/>
      <c r="D2590" s="35" t="n"/>
      <c r="E2590" s="34" t="n"/>
      <c r="F2590" s="35" t="n"/>
      <c r="G2590" s="35" t="n"/>
      <c r="H2590" s="35" t="n"/>
      <c r="I2590" s="35" t="n"/>
      <c r="J2590" s="35" t="n"/>
      <c r="K2590" s="34" t="n"/>
      <c r="L2590" s="26">
        <f>IF(A2590="","",MONTH(A2590))</f>
        <v/>
      </c>
      <c r="M2590" s="26">
        <f>IF(A2590="","",YEAR(A2590))</f>
        <v/>
      </c>
      <c r="N2590" s="26">
        <f>IF(A2590="","",CHOOSE(WEEKDAY(A2590,2),"Segunda","Terça","Quarta","Quinta","Sexta","Sábado","Domingo"))</f>
        <v/>
      </c>
      <c r="O2590" s="26">
        <f>IF(B2590="","",IF(B2590&lt;TIME(12,0,0),"Manhã",IF(B2590&lt;TIME(18,0,0),"Tarde","Noite")))</f>
        <v/>
      </c>
      <c r="P2590" s="32">
        <f>IF(G2590="","",IFERROR(INDEX(Config!$I$5:$I$16,MATCH(G2590,Config!$H$5:$H$16,0)),0))</f>
        <v/>
      </c>
      <c r="Q2590" s="30">
        <f>IF(OR(H2590&lt;&gt;"Realizado",P2590="",P2590=0),"",A2590+P2590)</f>
        <v/>
      </c>
      <c r="R2590" s="26">
        <f>IF(Q2590="","",IF(COUNTIFS($E$5:$E$3004,E2590,$A$5:$A$3004,"&gt;"&amp;A2590,$H$5:$H$3004,"&lt;&gt;Falta",$H$5:$H$3004,"&lt;&gt;Cancelado",$H$5:$H$3004,"&lt;&gt;Remarcado")&gt;0,"Sim","Não"))</f>
        <v/>
      </c>
      <c r="S2590" s="32">
        <f>IF(R2590&lt;&gt;"Não","",IF(Q2590+Config!$B$9&lt;=Config!$B$8,Config!$B$8-Q2590,""))</f>
        <v/>
      </c>
      <c r="T2590" s="26">
        <f>IF(S2590="","","Sim")</f>
        <v/>
      </c>
      <c r="U2590" s="41">
        <f>IF(T2590="Sim",S2590+ROW()/100000,0)</f>
        <v>0</v>
      </c>
      <c r="V2590" s="41">
        <f>IF(AND(H2590="Falta",L2590=Config!$B$7,M2590=Config!$B$5,COUNTIFS($E$5:E2590,E2590,$H$5:H2590,"Falta",$L$5:L2590,Config!$B$7,$M$5:M2590,Config!$B$5)=1),COUNTIFS($E$5:$E$3004,E2590,$H$5:$H$3004,"Falta",$L$5:$L$3004,Config!$B$7,$M$5:$M$3004,Config!$B$5)*1000-ROW()/100000,0)</f>
        <v>0</v>
      </c>
    </row>
    <row r="2591">
      <c r="A2591" s="39" t="n"/>
      <c r="B2591" s="40" t="n"/>
      <c r="C2591" s="35" t="n"/>
      <c r="D2591" s="35" t="n"/>
      <c r="E2591" s="34" t="n"/>
      <c r="F2591" s="35" t="n"/>
      <c r="G2591" s="35" t="n"/>
      <c r="H2591" s="35" t="n"/>
      <c r="I2591" s="35" t="n"/>
      <c r="J2591" s="35" t="n"/>
      <c r="K2591" s="34" t="n"/>
      <c r="L2591" s="26">
        <f>IF(A2591="","",MONTH(A2591))</f>
        <v/>
      </c>
      <c r="M2591" s="26">
        <f>IF(A2591="","",YEAR(A2591))</f>
        <v/>
      </c>
      <c r="N2591" s="26">
        <f>IF(A2591="","",CHOOSE(WEEKDAY(A2591,2),"Segunda","Terça","Quarta","Quinta","Sexta","Sábado","Domingo"))</f>
        <v/>
      </c>
      <c r="O2591" s="26">
        <f>IF(B2591="","",IF(B2591&lt;TIME(12,0,0),"Manhã",IF(B2591&lt;TIME(18,0,0),"Tarde","Noite")))</f>
        <v/>
      </c>
      <c r="P2591" s="32">
        <f>IF(G2591="","",IFERROR(INDEX(Config!$I$5:$I$16,MATCH(G2591,Config!$H$5:$H$16,0)),0))</f>
        <v/>
      </c>
      <c r="Q2591" s="30">
        <f>IF(OR(H2591&lt;&gt;"Realizado",P2591="",P2591=0),"",A2591+P2591)</f>
        <v/>
      </c>
      <c r="R2591" s="26">
        <f>IF(Q2591="","",IF(COUNTIFS($E$5:$E$3004,E2591,$A$5:$A$3004,"&gt;"&amp;A2591,$H$5:$H$3004,"&lt;&gt;Falta",$H$5:$H$3004,"&lt;&gt;Cancelado",$H$5:$H$3004,"&lt;&gt;Remarcado")&gt;0,"Sim","Não"))</f>
        <v/>
      </c>
      <c r="S2591" s="32">
        <f>IF(R2591&lt;&gt;"Não","",IF(Q2591+Config!$B$9&lt;=Config!$B$8,Config!$B$8-Q2591,""))</f>
        <v/>
      </c>
      <c r="T2591" s="26">
        <f>IF(S2591="","","Sim")</f>
        <v/>
      </c>
      <c r="U2591" s="41">
        <f>IF(T2591="Sim",S2591+ROW()/100000,0)</f>
        <v>0</v>
      </c>
      <c r="V2591" s="41">
        <f>IF(AND(H2591="Falta",L2591=Config!$B$7,M2591=Config!$B$5,COUNTIFS($E$5:E2591,E2591,$H$5:H2591,"Falta",$L$5:L2591,Config!$B$7,$M$5:M2591,Config!$B$5)=1),COUNTIFS($E$5:$E$3004,E2591,$H$5:$H$3004,"Falta",$L$5:$L$3004,Config!$B$7,$M$5:$M$3004,Config!$B$5)*1000-ROW()/100000,0)</f>
        <v>0</v>
      </c>
    </row>
    <row r="2592">
      <c r="A2592" s="39" t="n"/>
      <c r="B2592" s="40" t="n"/>
      <c r="C2592" s="35" t="n"/>
      <c r="D2592" s="35" t="n"/>
      <c r="E2592" s="34" t="n"/>
      <c r="F2592" s="35" t="n"/>
      <c r="G2592" s="35" t="n"/>
      <c r="H2592" s="35" t="n"/>
      <c r="I2592" s="35" t="n"/>
      <c r="J2592" s="35" t="n"/>
      <c r="K2592" s="34" t="n"/>
      <c r="L2592" s="26">
        <f>IF(A2592="","",MONTH(A2592))</f>
        <v/>
      </c>
      <c r="M2592" s="26">
        <f>IF(A2592="","",YEAR(A2592))</f>
        <v/>
      </c>
      <c r="N2592" s="26">
        <f>IF(A2592="","",CHOOSE(WEEKDAY(A2592,2),"Segunda","Terça","Quarta","Quinta","Sexta","Sábado","Domingo"))</f>
        <v/>
      </c>
      <c r="O2592" s="26">
        <f>IF(B2592="","",IF(B2592&lt;TIME(12,0,0),"Manhã",IF(B2592&lt;TIME(18,0,0),"Tarde","Noite")))</f>
        <v/>
      </c>
      <c r="P2592" s="32">
        <f>IF(G2592="","",IFERROR(INDEX(Config!$I$5:$I$16,MATCH(G2592,Config!$H$5:$H$16,0)),0))</f>
        <v/>
      </c>
      <c r="Q2592" s="30">
        <f>IF(OR(H2592&lt;&gt;"Realizado",P2592="",P2592=0),"",A2592+P2592)</f>
        <v/>
      </c>
      <c r="R2592" s="26">
        <f>IF(Q2592="","",IF(COUNTIFS($E$5:$E$3004,E2592,$A$5:$A$3004,"&gt;"&amp;A2592,$H$5:$H$3004,"&lt;&gt;Falta",$H$5:$H$3004,"&lt;&gt;Cancelado",$H$5:$H$3004,"&lt;&gt;Remarcado")&gt;0,"Sim","Não"))</f>
        <v/>
      </c>
      <c r="S2592" s="32">
        <f>IF(R2592&lt;&gt;"Não","",IF(Q2592+Config!$B$9&lt;=Config!$B$8,Config!$B$8-Q2592,""))</f>
        <v/>
      </c>
      <c r="T2592" s="26">
        <f>IF(S2592="","","Sim")</f>
        <v/>
      </c>
      <c r="U2592" s="41">
        <f>IF(T2592="Sim",S2592+ROW()/100000,0)</f>
        <v>0</v>
      </c>
      <c r="V2592" s="41">
        <f>IF(AND(H2592="Falta",L2592=Config!$B$7,M2592=Config!$B$5,COUNTIFS($E$5:E2592,E2592,$H$5:H2592,"Falta",$L$5:L2592,Config!$B$7,$M$5:M2592,Config!$B$5)=1),COUNTIFS($E$5:$E$3004,E2592,$H$5:$H$3004,"Falta",$L$5:$L$3004,Config!$B$7,$M$5:$M$3004,Config!$B$5)*1000-ROW()/100000,0)</f>
        <v>0</v>
      </c>
    </row>
    <row r="2593">
      <c r="A2593" s="39" t="n"/>
      <c r="B2593" s="40" t="n"/>
      <c r="C2593" s="35" t="n"/>
      <c r="D2593" s="35" t="n"/>
      <c r="E2593" s="34" t="n"/>
      <c r="F2593" s="35" t="n"/>
      <c r="G2593" s="35" t="n"/>
      <c r="H2593" s="35" t="n"/>
      <c r="I2593" s="35" t="n"/>
      <c r="J2593" s="35" t="n"/>
      <c r="K2593" s="34" t="n"/>
      <c r="L2593" s="26">
        <f>IF(A2593="","",MONTH(A2593))</f>
        <v/>
      </c>
      <c r="M2593" s="26">
        <f>IF(A2593="","",YEAR(A2593))</f>
        <v/>
      </c>
      <c r="N2593" s="26">
        <f>IF(A2593="","",CHOOSE(WEEKDAY(A2593,2),"Segunda","Terça","Quarta","Quinta","Sexta","Sábado","Domingo"))</f>
        <v/>
      </c>
      <c r="O2593" s="26">
        <f>IF(B2593="","",IF(B2593&lt;TIME(12,0,0),"Manhã",IF(B2593&lt;TIME(18,0,0),"Tarde","Noite")))</f>
        <v/>
      </c>
      <c r="P2593" s="32">
        <f>IF(G2593="","",IFERROR(INDEX(Config!$I$5:$I$16,MATCH(G2593,Config!$H$5:$H$16,0)),0))</f>
        <v/>
      </c>
      <c r="Q2593" s="30">
        <f>IF(OR(H2593&lt;&gt;"Realizado",P2593="",P2593=0),"",A2593+P2593)</f>
        <v/>
      </c>
      <c r="R2593" s="26">
        <f>IF(Q2593="","",IF(COUNTIFS($E$5:$E$3004,E2593,$A$5:$A$3004,"&gt;"&amp;A2593,$H$5:$H$3004,"&lt;&gt;Falta",$H$5:$H$3004,"&lt;&gt;Cancelado",$H$5:$H$3004,"&lt;&gt;Remarcado")&gt;0,"Sim","Não"))</f>
        <v/>
      </c>
      <c r="S2593" s="32">
        <f>IF(R2593&lt;&gt;"Não","",IF(Q2593+Config!$B$9&lt;=Config!$B$8,Config!$B$8-Q2593,""))</f>
        <v/>
      </c>
      <c r="T2593" s="26">
        <f>IF(S2593="","","Sim")</f>
        <v/>
      </c>
      <c r="U2593" s="41">
        <f>IF(T2593="Sim",S2593+ROW()/100000,0)</f>
        <v>0</v>
      </c>
      <c r="V2593" s="41">
        <f>IF(AND(H2593="Falta",L2593=Config!$B$7,M2593=Config!$B$5,COUNTIFS($E$5:E2593,E2593,$H$5:H2593,"Falta",$L$5:L2593,Config!$B$7,$M$5:M2593,Config!$B$5)=1),COUNTIFS($E$5:$E$3004,E2593,$H$5:$H$3004,"Falta",$L$5:$L$3004,Config!$B$7,$M$5:$M$3004,Config!$B$5)*1000-ROW()/100000,0)</f>
        <v>0</v>
      </c>
    </row>
    <row r="2594">
      <c r="A2594" s="39" t="n"/>
      <c r="B2594" s="40" t="n"/>
      <c r="C2594" s="35" t="n"/>
      <c r="D2594" s="35" t="n"/>
      <c r="E2594" s="34" t="n"/>
      <c r="F2594" s="35" t="n"/>
      <c r="G2594" s="35" t="n"/>
      <c r="H2594" s="35" t="n"/>
      <c r="I2594" s="35" t="n"/>
      <c r="J2594" s="35" t="n"/>
      <c r="K2594" s="34" t="n"/>
      <c r="L2594" s="26">
        <f>IF(A2594="","",MONTH(A2594))</f>
        <v/>
      </c>
      <c r="M2594" s="26">
        <f>IF(A2594="","",YEAR(A2594))</f>
        <v/>
      </c>
      <c r="N2594" s="26">
        <f>IF(A2594="","",CHOOSE(WEEKDAY(A2594,2),"Segunda","Terça","Quarta","Quinta","Sexta","Sábado","Domingo"))</f>
        <v/>
      </c>
      <c r="O2594" s="26">
        <f>IF(B2594="","",IF(B2594&lt;TIME(12,0,0),"Manhã",IF(B2594&lt;TIME(18,0,0),"Tarde","Noite")))</f>
        <v/>
      </c>
      <c r="P2594" s="32">
        <f>IF(G2594="","",IFERROR(INDEX(Config!$I$5:$I$16,MATCH(G2594,Config!$H$5:$H$16,0)),0))</f>
        <v/>
      </c>
      <c r="Q2594" s="30">
        <f>IF(OR(H2594&lt;&gt;"Realizado",P2594="",P2594=0),"",A2594+P2594)</f>
        <v/>
      </c>
      <c r="R2594" s="26">
        <f>IF(Q2594="","",IF(COUNTIFS($E$5:$E$3004,E2594,$A$5:$A$3004,"&gt;"&amp;A2594,$H$5:$H$3004,"&lt;&gt;Falta",$H$5:$H$3004,"&lt;&gt;Cancelado",$H$5:$H$3004,"&lt;&gt;Remarcado")&gt;0,"Sim","Não"))</f>
        <v/>
      </c>
      <c r="S2594" s="32">
        <f>IF(R2594&lt;&gt;"Não","",IF(Q2594+Config!$B$9&lt;=Config!$B$8,Config!$B$8-Q2594,""))</f>
        <v/>
      </c>
      <c r="T2594" s="26">
        <f>IF(S2594="","","Sim")</f>
        <v/>
      </c>
      <c r="U2594" s="41">
        <f>IF(T2594="Sim",S2594+ROW()/100000,0)</f>
        <v>0</v>
      </c>
      <c r="V2594" s="41">
        <f>IF(AND(H2594="Falta",L2594=Config!$B$7,M2594=Config!$B$5,COUNTIFS($E$5:E2594,E2594,$H$5:H2594,"Falta",$L$5:L2594,Config!$B$7,$M$5:M2594,Config!$B$5)=1),COUNTIFS($E$5:$E$3004,E2594,$H$5:$H$3004,"Falta",$L$5:$L$3004,Config!$B$7,$M$5:$M$3004,Config!$B$5)*1000-ROW()/100000,0)</f>
        <v>0</v>
      </c>
    </row>
    <row r="2595">
      <c r="A2595" s="39" t="n"/>
      <c r="B2595" s="40" t="n"/>
      <c r="C2595" s="35" t="n"/>
      <c r="D2595" s="35" t="n"/>
      <c r="E2595" s="34" t="n"/>
      <c r="F2595" s="35" t="n"/>
      <c r="G2595" s="35" t="n"/>
      <c r="H2595" s="35" t="n"/>
      <c r="I2595" s="35" t="n"/>
      <c r="J2595" s="35" t="n"/>
      <c r="K2595" s="34" t="n"/>
      <c r="L2595" s="26">
        <f>IF(A2595="","",MONTH(A2595))</f>
        <v/>
      </c>
      <c r="M2595" s="26">
        <f>IF(A2595="","",YEAR(A2595))</f>
        <v/>
      </c>
      <c r="N2595" s="26">
        <f>IF(A2595="","",CHOOSE(WEEKDAY(A2595,2),"Segunda","Terça","Quarta","Quinta","Sexta","Sábado","Domingo"))</f>
        <v/>
      </c>
      <c r="O2595" s="26">
        <f>IF(B2595="","",IF(B2595&lt;TIME(12,0,0),"Manhã",IF(B2595&lt;TIME(18,0,0),"Tarde","Noite")))</f>
        <v/>
      </c>
      <c r="P2595" s="32">
        <f>IF(G2595="","",IFERROR(INDEX(Config!$I$5:$I$16,MATCH(G2595,Config!$H$5:$H$16,0)),0))</f>
        <v/>
      </c>
      <c r="Q2595" s="30">
        <f>IF(OR(H2595&lt;&gt;"Realizado",P2595="",P2595=0),"",A2595+P2595)</f>
        <v/>
      </c>
      <c r="R2595" s="26">
        <f>IF(Q2595="","",IF(COUNTIFS($E$5:$E$3004,E2595,$A$5:$A$3004,"&gt;"&amp;A2595,$H$5:$H$3004,"&lt;&gt;Falta",$H$5:$H$3004,"&lt;&gt;Cancelado",$H$5:$H$3004,"&lt;&gt;Remarcado")&gt;0,"Sim","Não"))</f>
        <v/>
      </c>
      <c r="S2595" s="32">
        <f>IF(R2595&lt;&gt;"Não","",IF(Q2595+Config!$B$9&lt;=Config!$B$8,Config!$B$8-Q2595,""))</f>
        <v/>
      </c>
      <c r="T2595" s="26">
        <f>IF(S2595="","","Sim")</f>
        <v/>
      </c>
      <c r="U2595" s="41">
        <f>IF(T2595="Sim",S2595+ROW()/100000,0)</f>
        <v>0</v>
      </c>
      <c r="V2595" s="41">
        <f>IF(AND(H2595="Falta",L2595=Config!$B$7,M2595=Config!$B$5,COUNTIFS($E$5:E2595,E2595,$H$5:H2595,"Falta",$L$5:L2595,Config!$B$7,$M$5:M2595,Config!$B$5)=1),COUNTIFS($E$5:$E$3004,E2595,$H$5:$H$3004,"Falta",$L$5:$L$3004,Config!$B$7,$M$5:$M$3004,Config!$B$5)*1000-ROW()/100000,0)</f>
        <v>0</v>
      </c>
    </row>
    <row r="2596">
      <c r="A2596" s="39" t="n"/>
      <c r="B2596" s="40" t="n"/>
      <c r="C2596" s="35" t="n"/>
      <c r="D2596" s="35" t="n"/>
      <c r="E2596" s="34" t="n"/>
      <c r="F2596" s="35" t="n"/>
      <c r="G2596" s="35" t="n"/>
      <c r="H2596" s="35" t="n"/>
      <c r="I2596" s="35" t="n"/>
      <c r="J2596" s="35" t="n"/>
      <c r="K2596" s="34" t="n"/>
      <c r="L2596" s="26">
        <f>IF(A2596="","",MONTH(A2596))</f>
        <v/>
      </c>
      <c r="M2596" s="26">
        <f>IF(A2596="","",YEAR(A2596))</f>
        <v/>
      </c>
      <c r="N2596" s="26">
        <f>IF(A2596="","",CHOOSE(WEEKDAY(A2596,2),"Segunda","Terça","Quarta","Quinta","Sexta","Sábado","Domingo"))</f>
        <v/>
      </c>
      <c r="O2596" s="26">
        <f>IF(B2596="","",IF(B2596&lt;TIME(12,0,0),"Manhã",IF(B2596&lt;TIME(18,0,0),"Tarde","Noite")))</f>
        <v/>
      </c>
      <c r="P2596" s="32">
        <f>IF(G2596="","",IFERROR(INDEX(Config!$I$5:$I$16,MATCH(G2596,Config!$H$5:$H$16,0)),0))</f>
        <v/>
      </c>
      <c r="Q2596" s="30">
        <f>IF(OR(H2596&lt;&gt;"Realizado",P2596="",P2596=0),"",A2596+P2596)</f>
        <v/>
      </c>
      <c r="R2596" s="26">
        <f>IF(Q2596="","",IF(COUNTIFS($E$5:$E$3004,E2596,$A$5:$A$3004,"&gt;"&amp;A2596,$H$5:$H$3004,"&lt;&gt;Falta",$H$5:$H$3004,"&lt;&gt;Cancelado",$H$5:$H$3004,"&lt;&gt;Remarcado")&gt;0,"Sim","Não"))</f>
        <v/>
      </c>
      <c r="S2596" s="32">
        <f>IF(R2596&lt;&gt;"Não","",IF(Q2596+Config!$B$9&lt;=Config!$B$8,Config!$B$8-Q2596,""))</f>
        <v/>
      </c>
      <c r="T2596" s="26">
        <f>IF(S2596="","","Sim")</f>
        <v/>
      </c>
      <c r="U2596" s="41">
        <f>IF(T2596="Sim",S2596+ROW()/100000,0)</f>
        <v>0</v>
      </c>
      <c r="V2596" s="41">
        <f>IF(AND(H2596="Falta",L2596=Config!$B$7,M2596=Config!$B$5,COUNTIFS($E$5:E2596,E2596,$H$5:H2596,"Falta",$L$5:L2596,Config!$B$7,$M$5:M2596,Config!$B$5)=1),COUNTIFS($E$5:$E$3004,E2596,$H$5:$H$3004,"Falta",$L$5:$L$3004,Config!$B$7,$M$5:$M$3004,Config!$B$5)*1000-ROW()/100000,0)</f>
        <v>0</v>
      </c>
    </row>
    <row r="2597">
      <c r="A2597" s="39" t="n"/>
      <c r="B2597" s="40" t="n"/>
      <c r="C2597" s="35" t="n"/>
      <c r="D2597" s="35" t="n"/>
      <c r="E2597" s="34" t="n"/>
      <c r="F2597" s="35" t="n"/>
      <c r="G2597" s="35" t="n"/>
      <c r="H2597" s="35" t="n"/>
      <c r="I2597" s="35" t="n"/>
      <c r="J2597" s="35" t="n"/>
      <c r="K2597" s="34" t="n"/>
      <c r="L2597" s="26">
        <f>IF(A2597="","",MONTH(A2597))</f>
        <v/>
      </c>
      <c r="M2597" s="26">
        <f>IF(A2597="","",YEAR(A2597))</f>
        <v/>
      </c>
      <c r="N2597" s="26">
        <f>IF(A2597="","",CHOOSE(WEEKDAY(A2597,2),"Segunda","Terça","Quarta","Quinta","Sexta","Sábado","Domingo"))</f>
        <v/>
      </c>
      <c r="O2597" s="26">
        <f>IF(B2597="","",IF(B2597&lt;TIME(12,0,0),"Manhã",IF(B2597&lt;TIME(18,0,0),"Tarde","Noite")))</f>
        <v/>
      </c>
      <c r="P2597" s="32">
        <f>IF(G2597="","",IFERROR(INDEX(Config!$I$5:$I$16,MATCH(G2597,Config!$H$5:$H$16,0)),0))</f>
        <v/>
      </c>
      <c r="Q2597" s="30">
        <f>IF(OR(H2597&lt;&gt;"Realizado",P2597="",P2597=0),"",A2597+P2597)</f>
        <v/>
      </c>
      <c r="R2597" s="26">
        <f>IF(Q2597="","",IF(COUNTIFS($E$5:$E$3004,E2597,$A$5:$A$3004,"&gt;"&amp;A2597,$H$5:$H$3004,"&lt;&gt;Falta",$H$5:$H$3004,"&lt;&gt;Cancelado",$H$5:$H$3004,"&lt;&gt;Remarcado")&gt;0,"Sim","Não"))</f>
        <v/>
      </c>
      <c r="S2597" s="32">
        <f>IF(R2597&lt;&gt;"Não","",IF(Q2597+Config!$B$9&lt;=Config!$B$8,Config!$B$8-Q2597,""))</f>
        <v/>
      </c>
      <c r="T2597" s="26">
        <f>IF(S2597="","","Sim")</f>
        <v/>
      </c>
      <c r="U2597" s="41">
        <f>IF(T2597="Sim",S2597+ROW()/100000,0)</f>
        <v>0</v>
      </c>
      <c r="V2597" s="41">
        <f>IF(AND(H2597="Falta",L2597=Config!$B$7,M2597=Config!$B$5,COUNTIFS($E$5:E2597,E2597,$H$5:H2597,"Falta",$L$5:L2597,Config!$B$7,$M$5:M2597,Config!$B$5)=1),COUNTIFS($E$5:$E$3004,E2597,$H$5:$H$3004,"Falta",$L$5:$L$3004,Config!$B$7,$M$5:$M$3004,Config!$B$5)*1000-ROW()/100000,0)</f>
        <v>0</v>
      </c>
    </row>
    <row r="2598">
      <c r="A2598" s="39" t="n"/>
      <c r="B2598" s="40" t="n"/>
      <c r="C2598" s="35" t="n"/>
      <c r="D2598" s="35" t="n"/>
      <c r="E2598" s="34" t="n"/>
      <c r="F2598" s="35" t="n"/>
      <c r="G2598" s="35" t="n"/>
      <c r="H2598" s="35" t="n"/>
      <c r="I2598" s="35" t="n"/>
      <c r="J2598" s="35" t="n"/>
      <c r="K2598" s="34" t="n"/>
      <c r="L2598" s="26">
        <f>IF(A2598="","",MONTH(A2598))</f>
        <v/>
      </c>
      <c r="M2598" s="26">
        <f>IF(A2598="","",YEAR(A2598))</f>
        <v/>
      </c>
      <c r="N2598" s="26">
        <f>IF(A2598="","",CHOOSE(WEEKDAY(A2598,2),"Segunda","Terça","Quarta","Quinta","Sexta","Sábado","Domingo"))</f>
        <v/>
      </c>
      <c r="O2598" s="26">
        <f>IF(B2598="","",IF(B2598&lt;TIME(12,0,0),"Manhã",IF(B2598&lt;TIME(18,0,0),"Tarde","Noite")))</f>
        <v/>
      </c>
      <c r="P2598" s="32">
        <f>IF(G2598="","",IFERROR(INDEX(Config!$I$5:$I$16,MATCH(G2598,Config!$H$5:$H$16,0)),0))</f>
        <v/>
      </c>
      <c r="Q2598" s="30">
        <f>IF(OR(H2598&lt;&gt;"Realizado",P2598="",P2598=0),"",A2598+P2598)</f>
        <v/>
      </c>
      <c r="R2598" s="26">
        <f>IF(Q2598="","",IF(COUNTIFS($E$5:$E$3004,E2598,$A$5:$A$3004,"&gt;"&amp;A2598,$H$5:$H$3004,"&lt;&gt;Falta",$H$5:$H$3004,"&lt;&gt;Cancelado",$H$5:$H$3004,"&lt;&gt;Remarcado")&gt;0,"Sim","Não"))</f>
        <v/>
      </c>
      <c r="S2598" s="32">
        <f>IF(R2598&lt;&gt;"Não","",IF(Q2598+Config!$B$9&lt;=Config!$B$8,Config!$B$8-Q2598,""))</f>
        <v/>
      </c>
      <c r="T2598" s="26">
        <f>IF(S2598="","","Sim")</f>
        <v/>
      </c>
      <c r="U2598" s="41">
        <f>IF(T2598="Sim",S2598+ROW()/100000,0)</f>
        <v>0</v>
      </c>
      <c r="V2598" s="41">
        <f>IF(AND(H2598="Falta",L2598=Config!$B$7,M2598=Config!$B$5,COUNTIFS($E$5:E2598,E2598,$H$5:H2598,"Falta",$L$5:L2598,Config!$B$7,$M$5:M2598,Config!$B$5)=1),COUNTIFS($E$5:$E$3004,E2598,$H$5:$H$3004,"Falta",$L$5:$L$3004,Config!$B$7,$M$5:$M$3004,Config!$B$5)*1000-ROW()/100000,0)</f>
        <v>0</v>
      </c>
    </row>
    <row r="2599">
      <c r="A2599" s="39" t="n"/>
      <c r="B2599" s="40" t="n"/>
      <c r="C2599" s="35" t="n"/>
      <c r="D2599" s="35" t="n"/>
      <c r="E2599" s="34" t="n"/>
      <c r="F2599" s="35" t="n"/>
      <c r="G2599" s="35" t="n"/>
      <c r="H2599" s="35" t="n"/>
      <c r="I2599" s="35" t="n"/>
      <c r="J2599" s="35" t="n"/>
      <c r="K2599" s="34" t="n"/>
      <c r="L2599" s="26">
        <f>IF(A2599="","",MONTH(A2599))</f>
        <v/>
      </c>
      <c r="M2599" s="26">
        <f>IF(A2599="","",YEAR(A2599))</f>
        <v/>
      </c>
      <c r="N2599" s="26">
        <f>IF(A2599="","",CHOOSE(WEEKDAY(A2599,2),"Segunda","Terça","Quarta","Quinta","Sexta","Sábado","Domingo"))</f>
        <v/>
      </c>
      <c r="O2599" s="26">
        <f>IF(B2599="","",IF(B2599&lt;TIME(12,0,0),"Manhã",IF(B2599&lt;TIME(18,0,0),"Tarde","Noite")))</f>
        <v/>
      </c>
      <c r="P2599" s="32">
        <f>IF(G2599="","",IFERROR(INDEX(Config!$I$5:$I$16,MATCH(G2599,Config!$H$5:$H$16,0)),0))</f>
        <v/>
      </c>
      <c r="Q2599" s="30">
        <f>IF(OR(H2599&lt;&gt;"Realizado",P2599="",P2599=0),"",A2599+P2599)</f>
        <v/>
      </c>
      <c r="R2599" s="26">
        <f>IF(Q2599="","",IF(COUNTIFS($E$5:$E$3004,E2599,$A$5:$A$3004,"&gt;"&amp;A2599,$H$5:$H$3004,"&lt;&gt;Falta",$H$5:$H$3004,"&lt;&gt;Cancelado",$H$5:$H$3004,"&lt;&gt;Remarcado")&gt;0,"Sim","Não"))</f>
        <v/>
      </c>
      <c r="S2599" s="32">
        <f>IF(R2599&lt;&gt;"Não","",IF(Q2599+Config!$B$9&lt;=Config!$B$8,Config!$B$8-Q2599,""))</f>
        <v/>
      </c>
      <c r="T2599" s="26">
        <f>IF(S2599="","","Sim")</f>
        <v/>
      </c>
      <c r="U2599" s="41">
        <f>IF(T2599="Sim",S2599+ROW()/100000,0)</f>
        <v>0</v>
      </c>
      <c r="V2599" s="41">
        <f>IF(AND(H2599="Falta",L2599=Config!$B$7,M2599=Config!$B$5,COUNTIFS($E$5:E2599,E2599,$H$5:H2599,"Falta",$L$5:L2599,Config!$B$7,$M$5:M2599,Config!$B$5)=1),COUNTIFS($E$5:$E$3004,E2599,$H$5:$H$3004,"Falta",$L$5:$L$3004,Config!$B$7,$M$5:$M$3004,Config!$B$5)*1000-ROW()/100000,0)</f>
        <v>0</v>
      </c>
    </row>
    <row r="2600">
      <c r="A2600" s="39" t="n"/>
      <c r="B2600" s="40" t="n"/>
      <c r="C2600" s="35" t="n"/>
      <c r="D2600" s="35" t="n"/>
      <c r="E2600" s="34" t="n"/>
      <c r="F2600" s="35" t="n"/>
      <c r="G2600" s="35" t="n"/>
      <c r="H2600" s="35" t="n"/>
      <c r="I2600" s="35" t="n"/>
      <c r="J2600" s="35" t="n"/>
      <c r="K2600" s="34" t="n"/>
      <c r="L2600" s="26">
        <f>IF(A2600="","",MONTH(A2600))</f>
        <v/>
      </c>
      <c r="M2600" s="26">
        <f>IF(A2600="","",YEAR(A2600))</f>
        <v/>
      </c>
      <c r="N2600" s="26">
        <f>IF(A2600="","",CHOOSE(WEEKDAY(A2600,2),"Segunda","Terça","Quarta","Quinta","Sexta","Sábado","Domingo"))</f>
        <v/>
      </c>
      <c r="O2600" s="26">
        <f>IF(B2600="","",IF(B2600&lt;TIME(12,0,0),"Manhã",IF(B2600&lt;TIME(18,0,0),"Tarde","Noite")))</f>
        <v/>
      </c>
      <c r="P2600" s="32">
        <f>IF(G2600="","",IFERROR(INDEX(Config!$I$5:$I$16,MATCH(G2600,Config!$H$5:$H$16,0)),0))</f>
        <v/>
      </c>
      <c r="Q2600" s="30">
        <f>IF(OR(H2600&lt;&gt;"Realizado",P2600="",P2600=0),"",A2600+P2600)</f>
        <v/>
      </c>
      <c r="R2600" s="26">
        <f>IF(Q2600="","",IF(COUNTIFS($E$5:$E$3004,E2600,$A$5:$A$3004,"&gt;"&amp;A2600,$H$5:$H$3004,"&lt;&gt;Falta",$H$5:$H$3004,"&lt;&gt;Cancelado",$H$5:$H$3004,"&lt;&gt;Remarcado")&gt;0,"Sim","Não"))</f>
        <v/>
      </c>
      <c r="S2600" s="32">
        <f>IF(R2600&lt;&gt;"Não","",IF(Q2600+Config!$B$9&lt;=Config!$B$8,Config!$B$8-Q2600,""))</f>
        <v/>
      </c>
      <c r="T2600" s="26">
        <f>IF(S2600="","","Sim")</f>
        <v/>
      </c>
      <c r="U2600" s="41">
        <f>IF(T2600="Sim",S2600+ROW()/100000,0)</f>
        <v>0</v>
      </c>
      <c r="V2600" s="41">
        <f>IF(AND(H2600="Falta",L2600=Config!$B$7,M2600=Config!$B$5,COUNTIFS($E$5:E2600,E2600,$H$5:H2600,"Falta",$L$5:L2600,Config!$B$7,$M$5:M2600,Config!$B$5)=1),COUNTIFS($E$5:$E$3004,E2600,$H$5:$H$3004,"Falta",$L$5:$L$3004,Config!$B$7,$M$5:$M$3004,Config!$B$5)*1000-ROW()/100000,0)</f>
        <v>0</v>
      </c>
    </row>
    <row r="2601">
      <c r="A2601" s="39" t="n"/>
      <c r="B2601" s="40" t="n"/>
      <c r="C2601" s="35" t="n"/>
      <c r="D2601" s="35" t="n"/>
      <c r="E2601" s="34" t="n"/>
      <c r="F2601" s="35" t="n"/>
      <c r="G2601" s="35" t="n"/>
      <c r="H2601" s="35" t="n"/>
      <c r="I2601" s="35" t="n"/>
      <c r="J2601" s="35" t="n"/>
      <c r="K2601" s="34" t="n"/>
      <c r="L2601" s="26">
        <f>IF(A2601="","",MONTH(A2601))</f>
        <v/>
      </c>
      <c r="M2601" s="26">
        <f>IF(A2601="","",YEAR(A2601))</f>
        <v/>
      </c>
      <c r="N2601" s="26">
        <f>IF(A2601="","",CHOOSE(WEEKDAY(A2601,2),"Segunda","Terça","Quarta","Quinta","Sexta","Sábado","Domingo"))</f>
        <v/>
      </c>
      <c r="O2601" s="26">
        <f>IF(B2601="","",IF(B2601&lt;TIME(12,0,0),"Manhã",IF(B2601&lt;TIME(18,0,0),"Tarde","Noite")))</f>
        <v/>
      </c>
      <c r="P2601" s="32">
        <f>IF(G2601="","",IFERROR(INDEX(Config!$I$5:$I$16,MATCH(G2601,Config!$H$5:$H$16,0)),0))</f>
        <v/>
      </c>
      <c r="Q2601" s="30">
        <f>IF(OR(H2601&lt;&gt;"Realizado",P2601="",P2601=0),"",A2601+P2601)</f>
        <v/>
      </c>
      <c r="R2601" s="26">
        <f>IF(Q2601="","",IF(COUNTIFS($E$5:$E$3004,E2601,$A$5:$A$3004,"&gt;"&amp;A2601,$H$5:$H$3004,"&lt;&gt;Falta",$H$5:$H$3004,"&lt;&gt;Cancelado",$H$5:$H$3004,"&lt;&gt;Remarcado")&gt;0,"Sim","Não"))</f>
        <v/>
      </c>
      <c r="S2601" s="32">
        <f>IF(R2601&lt;&gt;"Não","",IF(Q2601+Config!$B$9&lt;=Config!$B$8,Config!$B$8-Q2601,""))</f>
        <v/>
      </c>
      <c r="T2601" s="26">
        <f>IF(S2601="","","Sim")</f>
        <v/>
      </c>
      <c r="U2601" s="41">
        <f>IF(T2601="Sim",S2601+ROW()/100000,0)</f>
        <v>0</v>
      </c>
      <c r="V2601" s="41">
        <f>IF(AND(H2601="Falta",L2601=Config!$B$7,M2601=Config!$B$5,COUNTIFS($E$5:E2601,E2601,$H$5:H2601,"Falta",$L$5:L2601,Config!$B$7,$M$5:M2601,Config!$B$5)=1),COUNTIFS($E$5:$E$3004,E2601,$H$5:$H$3004,"Falta",$L$5:$L$3004,Config!$B$7,$M$5:$M$3004,Config!$B$5)*1000-ROW()/100000,0)</f>
        <v>0</v>
      </c>
    </row>
    <row r="2602">
      <c r="A2602" s="39" t="n"/>
      <c r="B2602" s="40" t="n"/>
      <c r="C2602" s="35" t="n"/>
      <c r="D2602" s="35" t="n"/>
      <c r="E2602" s="34" t="n"/>
      <c r="F2602" s="35" t="n"/>
      <c r="G2602" s="35" t="n"/>
      <c r="H2602" s="35" t="n"/>
      <c r="I2602" s="35" t="n"/>
      <c r="J2602" s="35" t="n"/>
      <c r="K2602" s="34" t="n"/>
      <c r="L2602" s="26">
        <f>IF(A2602="","",MONTH(A2602))</f>
        <v/>
      </c>
      <c r="M2602" s="26">
        <f>IF(A2602="","",YEAR(A2602))</f>
        <v/>
      </c>
      <c r="N2602" s="26">
        <f>IF(A2602="","",CHOOSE(WEEKDAY(A2602,2),"Segunda","Terça","Quarta","Quinta","Sexta","Sábado","Domingo"))</f>
        <v/>
      </c>
      <c r="O2602" s="26">
        <f>IF(B2602="","",IF(B2602&lt;TIME(12,0,0),"Manhã",IF(B2602&lt;TIME(18,0,0),"Tarde","Noite")))</f>
        <v/>
      </c>
      <c r="P2602" s="32">
        <f>IF(G2602="","",IFERROR(INDEX(Config!$I$5:$I$16,MATCH(G2602,Config!$H$5:$H$16,0)),0))</f>
        <v/>
      </c>
      <c r="Q2602" s="30">
        <f>IF(OR(H2602&lt;&gt;"Realizado",P2602="",P2602=0),"",A2602+P2602)</f>
        <v/>
      </c>
      <c r="R2602" s="26">
        <f>IF(Q2602="","",IF(COUNTIFS($E$5:$E$3004,E2602,$A$5:$A$3004,"&gt;"&amp;A2602,$H$5:$H$3004,"&lt;&gt;Falta",$H$5:$H$3004,"&lt;&gt;Cancelado",$H$5:$H$3004,"&lt;&gt;Remarcado")&gt;0,"Sim","Não"))</f>
        <v/>
      </c>
      <c r="S2602" s="32">
        <f>IF(R2602&lt;&gt;"Não","",IF(Q2602+Config!$B$9&lt;=Config!$B$8,Config!$B$8-Q2602,""))</f>
        <v/>
      </c>
      <c r="T2602" s="26">
        <f>IF(S2602="","","Sim")</f>
        <v/>
      </c>
      <c r="U2602" s="41">
        <f>IF(T2602="Sim",S2602+ROW()/100000,0)</f>
        <v>0</v>
      </c>
      <c r="V2602" s="41">
        <f>IF(AND(H2602="Falta",L2602=Config!$B$7,M2602=Config!$B$5,COUNTIFS($E$5:E2602,E2602,$H$5:H2602,"Falta",$L$5:L2602,Config!$B$7,$M$5:M2602,Config!$B$5)=1),COUNTIFS($E$5:$E$3004,E2602,$H$5:$H$3004,"Falta",$L$5:$L$3004,Config!$B$7,$M$5:$M$3004,Config!$B$5)*1000-ROW()/100000,0)</f>
        <v>0</v>
      </c>
    </row>
    <row r="2603">
      <c r="A2603" s="39" t="n"/>
      <c r="B2603" s="40" t="n"/>
      <c r="C2603" s="35" t="n"/>
      <c r="D2603" s="35" t="n"/>
      <c r="E2603" s="34" t="n"/>
      <c r="F2603" s="35" t="n"/>
      <c r="G2603" s="35" t="n"/>
      <c r="H2603" s="35" t="n"/>
      <c r="I2603" s="35" t="n"/>
      <c r="J2603" s="35" t="n"/>
      <c r="K2603" s="34" t="n"/>
      <c r="L2603" s="26">
        <f>IF(A2603="","",MONTH(A2603))</f>
        <v/>
      </c>
      <c r="M2603" s="26">
        <f>IF(A2603="","",YEAR(A2603))</f>
        <v/>
      </c>
      <c r="N2603" s="26">
        <f>IF(A2603="","",CHOOSE(WEEKDAY(A2603,2),"Segunda","Terça","Quarta","Quinta","Sexta","Sábado","Domingo"))</f>
        <v/>
      </c>
      <c r="O2603" s="26">
        <f>IF(B2603="","",IF(B2603&lt;TIME(12,0,0),"Manhã",IF(B2603&lt;TIME(18,0,0),"Tarde","Noite")))</f>
        <v/>
      </c>
      <c r="P2603" s="32">
        <f>IF(G2603="","",IFERROR(INDEX(Config!$I$5:$I$16,MATCH(G2603,Config!$H$5:$H$16,0)),0))</f>
        <v/>
      </c>
      <c r="Q2603" s="30">
        <f>IF(OR(H2603&lt;&gt;"Realizado",P2603="",P2603=0),"",A2603+P2603)</f>
        <v/>
      </c>
      <c r="R2603" s="26">
        <f>IF(Q2603="","",IF(COUNTIFS($E$5:$E$3004,E2603,$A$5:$A$3004,"&gt;"&amp;A2603,$H$5:$H$3004,"&lt;&gt;Falta",$H$5:$H$3004,"&lt;&gt;Cancelado",$H$5:$H$3004,"&lt;&gt;Remarcado")&gt;0,"Sim","Não"))</f>
        <v/>
      </c>
      <c r="S2603" s="32">
        <f>IF(R2603&lt;&gt;"Não","",IF(Q2603+Config!$B$9&lt;=Config!$B$8,Config!$B$8-Q2603,""))</f>
        <v/>
      </c>
      <c r="T2603" s="26">
        <f>IF(S2603="","","Sim")</f>
        <v/>
      </c>
      <c r="U2603" s="41">
        <f>IF(T2603="Sim",S2603+ROW()/100000,0)</f>
        <v>0</v>
      </c>
      <c r="V2603" s="41">
        <f>IF(AND(H2603="Falta",L2603=Config!$B$7,M2603=Config!$B$5,COUNTIFS($E$5:E2603,E2603,$H$5:H2603,"Falta",$L$5:L2603,Config!$B$7,$M$5:M2603,Config!$B$5)=1),COUNTIFS($E$5:$E$3004,E2603,$H$5:$H$3004,"Falta",$L$5:$L$3004,Config!$B$7,$M$5:$M$3004,Config!$B$5)*1000-ROW()/100000,0)</f>
        <v>0</v>
      </c>
    </row>
    <row r="2604">
      <c r="A2604" s="39" t="n"/>
      <c r="B2604" s="40" t="n"/>
      <c r="C2604" s="35" t="n"/>
      <c r="D2604" s="35" t="n"/>
      <c r="E2604" s="34" t="n"/>
      <c r="F2604" s="35" t="n"/>
      <c r="G2604" s="35" t="n"/>
      <c r="H2604" s="35" t="n"/>
      <c r="I2604" s="35" t="n"/>
      <c r="J2604" s="35" t="n"/>
      <c r="K2604" s="34" t="n"/>
      <c r="L2604" s="26">
        <f>IF(A2604="","",MONTH(A2604))</f>
        <v/>
      </c>
      <c r="M2604" s="26">
        <f>IF(A2604="","",YEAR(A2604))</f>
        <v/>
      </c>
      <c r="N2604" s="26">
        <f>IF(A2604="","",CHOOSE(WEEKDAY(A2604,2),"Segunda","Terça","Quarta","Quinta","Sexta","Sábado","Domingo"))</f>
        <v/>
      </c>
      <c r="O2604" s="26">
        <f>IF(B2604="","",IF(B2604&lt;TIME(12,0,0),"Manhã",IF(B2604&lt;TIME(18,0,0),"Tarde","Noite")))</f>
        <v/>
      </c>
      <c r="P2604" s="32">
        <f>IF(G2604="","",IFERROR(INDEX(Config!$I$5:$I$16,MATCH(G2604,Config!$H$5:$H$16,0)),0))</f>
        <v/>
      </c>
      <c r="Q2604" s="30">
        <f>IF(OR(H2604&lt;&gt;"Realizado",P2604="",P2604=0),"",A2604+P2604)</f>
        <v/>
      </c>
      <c r="R2604" s="26">
        <f>IF(Q2604="","",IF(COUNTIFS($E$5:$E$3004,E2604,$A$5:$A$3004,"&gt;"&amp;A2604,$H$5:$H$3004,"&lt;&gt;Falta",$H$5:$H$3004,"&lt;&gt;Cancelado",$H$5:$H$3004,"&lt;&gt;Remarcado")&gt;0,"Sim","Não"))</f>
        <v/>
      </c>
      <c r="S2604" s="32">
        <f>IF(R2604&lt;&gt;"Não","",IF(Q2604+Config!$B$9&lt;=Config!$B$8,Config!$B$8-Q2604,""))</f>
        <v/>
      </c>
      <c r="T2604" s="26">
        <f>IF(S2604="","","Sim")</f>
        <v/>
      </c>
      <c r="U2604" s="41">
        <f>IF(T2604="Sim",S2604+ROW()/100000,0)</f>
        <v>0</v>
      </c>
      <c r="V2604" s="41">
        <f>IF(AND(H2604="Falta",L2604=Config!$B$7,M2604=Config!$B$5,COUNTIFS($E$5:E2604,E2604,$H$5:H2604,"Falta",$L$5:L2604,Config!$B$7,$M$5:M2604,Config!$B$5)=1),COUNTIFS($E$5:$E$3004,E2604,$H$5:$H$3004,"Falta",$L$5:$L$3004,Config!$B$7,$M$5:$M$3004,Config!$B$5)*1000-ROW()/100000,0)</f>
        <v>0</v>
      </c>
    </row>
    <row r="2605">
      <c r="A2605" s="39" t="n"/>
      <c r="B2605" s="40" t="n"/>
      <c r="C2605" s="35" t="n"/>
      <c r="D2605" s="35" t="n"/>
      <c r="E2605" s="34" t="n"/>
      <c r="F2605" s="35" t="n"/>
      <c r="G2605" s="35" t="n"/>
      <c r="H2605" s="35" t="n"/>
      <c r="I2605" s="35" t="n"/>
      <c r="J2605" s="35" t="n"/>
      <c r="K2605" s="34" t="n"/>
      <c r="L2605" s="26">
        <f>IF(A2605="","",MONTH(A2605))</f>
        <v/>
      </c>
      <c r="M2605" s="26">
        <f>IF(A2605="","",YEAR(A2605))</f>
        <v/>
      </c>
      <c r="N2605" s="26">
        <f>IF(A2605="","",CHOOSE(WEEKDAY(A2605,2),"Segunda","Terça","Quarta","Quinta","Sexta","Sábado","Domingo"))</f>
        <v/>
      </c>
      <c r="O2605" s="26">
        <f>IF(B2605="","",IF(B2605&lt;TIME(12,0,0),"Manhã",IF(B2605&lt;TIME(18,0,0),"Tarde","Noite")))</f>
        <v/>
      </c>
      <c r="P2605" s="32">
        <f>IF(G2605="","",IFERROR(INDEX(Config!$I$5:$I$16,MATCH(G2605,Config!$H$5:$H$16,0)),0))</f>
        <v/>
      </c>
      <c r="Q2605" s="30">
        <f>IF(OR(H2605&lt;&gt;"Realizado",P2605="",P2605=0),"",A2605+P2605)</f>
        <v/>
      </c>
      <c r="R2605" s="26">
        <f>IF(Q2605="","",IF(COUNTIFS($E$5:$E$3004,E2605,$A$5:$A$3004,"&gt;"&amp;A2605,$H$5:$H$3004,"&lt;&gt;Falta",$H$5:$H$3004,"&lt;&gt;Cancelado",$H$5:$H$3004,"&lt;&gt;Remarcado")&gt;0,"Sim","Não"))</f>
        <v/>
      </c>
      <c r="S2605" s="32">
        <f>IF(R2605&lt;&gt;"Não","",IF(Q2605+Config!$B$9&lt;=Config!$B$8,Config!$B$8-Q2605,""))</f>
        <v/>
      </c>
      <c r="T2605" s="26">
        <f>IF(S2605="","","Sim")</f>
        <v/>
      </c>
      <c r="U2605" s="41">
        <f>IF(T2605="Sim",S2605+ROW()/100000,0)</f>
        <v>0</v>
      </c>
      <c r="V2605" s="41">
        <f>IF(AND(H2605="Falta",L2605=Config!$B$7,M2605=Config!$B$5,COUNTIFS($E$5:E2605,E2605,$H$5:H2605,"Falta",$L$5:L2605,Config!$B$7,$M$5:M2605,Config!$B$5)=1),COUNTIFS($E$5:$E$3004,E2605,$H$5:$H$3004,"Falta",$L$5:$L$3004,Config!$B$7,$M$5:$M$3004,Config!$B$5)*1000-ROW()/100000,0)</f>
        <v>0</v>
      </c>
    </row>
    <row r="2606">
      <c r="A2606" s="39" t="n"/>
      <c r="B2606" s="40" t="n"/>
      <c r="C2606" s="35" t="n"/>
      <c r="D2606" s="35" t="n"/>
      <c r="E2606" s="34" t="n"/>
      <c r="F2606" s="35" t="n"/>
      <c r="G2606" s="35" t="n"/>
      <c r="H2606" s="35" t="n"/>
      <c r="I2606" s="35" t="n"/>
      <c r="J2606" s="35" t="n"/>
      <c r="K2606" s="34" t="n"/>
      <c r="L2606" s="26">
        <f>IF(A2606="","",MONTH(A2606))</f>
        <v/>
      </c>
      <c r="M2606" s="26">
        <f>IF(A2606="","",YEAR(A2606))</f>
        <v/>
      </c>
      <c r="N2606" s="26">
        <f>IF(A2606="","",CHOOSE(WEEKDAY(A2606,2),"Segunda","Terça","Quarta","Quinta","Sexta","Sábado","Domingo"))</f>
        <v/>
      </c>
      <c r="O2606" s="26">
        <f>IF(B2606="","",IF(B2606&lt;TIME(12,0,0),"Manhã",IF(B2606&lt;TIME(18,0,0),"Tarde","Noite")))</f>
        <v/>
      </c>
      <c r="P2606" s="32">
        <f>IF(G2606="","",IFERROR(INDEX(Config!$I$5:$I$16,MATCH(G2606,Config!$H$5:$H$16,0)),0))</f>
        <v/>
      </c>
      <c r="Q2606" s="30">
        <f>IF(OR(H2606&lt;&gt;"Realizado",P2606="",P2606=0),"",A2606+P2606)</f>
        <v/>
      </c>
      <c r="R2606" s="26">
        <f>IF(Q2606="","",IF(COUNTIFS($E$5:$E$3004,E2606,$A$5:$A$3004,"&gt;"&amp;A2606,$H$5:$H$3004,"&lt;&gt;Falta",$H$5:$H$3004,"&lt;&gt;Cancelado",$H$5:$H$3004,"&lt;&gt;Remarcado")&gt;0,"Sim","Não"))</f>
        <v/>
      </c>
      <c r="S2606" s="32">
        <f>IF(R2606&lt;&gt;"Não","",IF(Q2606+Config!$B$9&lt;=Config!$B$8,Config!$B$8-Q2606,""))</f>
        <v/>
      </c>
      <c r="T2606" s="26">
        <f>IF(S2606="","","Sim")</f>
        <v/>
      </c>
      <c r="U2606" s="41">
        <f>IF(T2606="Sim",S2606+ROW()/100000,0)</f>
        <v>0</v>
      </c>
      <c r="V2606" s="41">
        <f>IF(AND(H2606="Falta",L2606=Config!$B$7,M2606=Config!$B$5,COUNTIFS($E$5:E2606,E2606,$H$5:H2606,"Falta",$L$5:L2606,Config!$B$7,$M$5:M2606,Config!$B$5)=1),COUNTIFS($E$5:$E$3004,E2606,$H$5:$H$3004,"Falta",$L$5:$L$3004,Config!$B$7,$M$5:$M$3004,Config!$B$5)*1000-ROW()/100000,0)</f>
        <v>0</v>
      </c>
    </row>
    <row r="2607">
      <c r="A2607" s="39" t="n"/>
      <c r="B2607" s="40" t="n"/>
      <c r="C2607" s="35" t="n"/>
      <c r="D2607" s="35" t="n"/>
      <c r="E2607" s="34" t="n"/>
      <c r="F2607" s="35" t="n"/>
      <c r="G2607" s="35" t="n"/>
      <c r="H2607" s="35" t="n"/>
      <c r="I2607" s="35" t="n"/>
      <c r="J2607" s="35" t="n"/>
      <c r="K2607" s="34" t="n"/>
      <c r="L2607" s="26">
        <f>IF(A2607="","",MONTH(A2607))</f>
        <v/>
      </c>
      <c r="M2607" s="26">
        <f>IF(A2607="","",YEAR(A2607))</f>
        <v/>
      </c>
      <c r="N2607" s="26">
        <f>IF(A2607="","",CHOOSE(WEEKDAY(A2607,2),"Segunda","Terça","Quarta","Quinta","Sexta","Sábado","Domingo"))</f>
        <v/>
      </c>
      <c r="O2607" s="26">
        <f>IF(B2607="","",IF(B2607&lt;TIME(12,0,0),"Manhã",IF(B2607&lt;TIME(18,0,0),"Tarde","Noite")))</f>
        <v/>
      </c>
      <c r="P2607" s="32">
        <f>IF(G2607="","",IFERROR(INDEX(Config!$I$5:$I$16,MATCH(G2607,Config!$H$5:$H$16,0)),0))</f>
        <v/>
      </c>
      <c r="Q2607" s="30">
        <f>IF(OR(H2607&lt;&gt;"Realizado",P2607="",P2607=0),"",A2607+P2607)</f>
        <v/>
      </c>
      <c r="R2607" s="26">
        <f>IF(Q2607="","",IF(COUNTIFS($E$5:$E$3004,E2607,$A$5:$A$3004,"&gt;"&amp;A2607,$H$5:$H$3004,"&lt;&gt;Falta",$H$5:$H$3004,"&lt;&gt;Cancelado",$H$5:$H$3004,"&lt;&gt;Remarcado")&gt;0,"Sim","Não"))</f>
        <v/>
      </c>
      <c r="S2607" s="32">
        <f>IF(R2607&lt;&gt;"Não","",IF(Q2607+Config!$B$9&lt;=Config!$B$8,Config!$B$8-Q2607,""))</f>
        <v/>
      </c>
      <c r="T2607" s="26">
        <f>IF(S2607="","","Sim")</f>
        <v/>
      </c>
      <c r="U2607" s="41">
        <f>IF(T2607="Sim",S2607+ROW()/100000,0)</f>
        <v>0</v>
      </c>
      <c r="V2607" s="41">
        <f>IF(AND(H2607="Falta",L2607=Config!$B$7,M2607=Config!$B$5,COUNTIFS($E$5:E2607,E2607,$H$5:H2607,"Falta",$L$5:L2607,Config!$B$7,$M$5:M2607,Config!$B$5)=1),COUNTIFS($E$5:$E$3004,E2607,$H$5:$H$3004,"Falta",$L$5:$L$3004,Config!$B$7,$M$5:$M$3004,Config!$B$5)*1000-ROW()/100000,0)</f>
        <v>0</v>
      </c>
    </row>
    <row r="2608">
      <c r="A2608" s="39" t="n"/>
      <c r="B2608" s="40" t="n"/>
      <c r="C2608" s="35" t="n"/>
      <c r="D2608" s="35" t="n"/>
      <c r="E2608" s="34" t="n"/>
      <c r="F2608" s="35" t="n"/>
      <c r="G2608" s="35" t="n"/>
      <c r="H2608" s="35" t="n"/>
      <c r="I2608" s="35" t="n"/>
      <c r="J2608" s="35" t="n"/>
      <c r="K2608" s="34" t="n"/>
      <c r="L2608" s="26">
        <f>IF(A2608="","",MONTH(A2608))</f>
        <v/>
      </c>
      <c r="M2608" s="26">
        <f>IF(A2608="","",YEAR(A2608))</f>
        <v/>
      </c>
      <c r="N2608" s="26">
        <f>IF(A2608="","",CHOOSE(WEEKDAY(A2608,2),"Segunda","Terça","Quarta","Quinta","Sexta","Sábado","Domingo"))</f>
        <v/>
      </c>
      <c r="O2608" s="26">
        <f>IF(B2608="","",IF(B2608&lt;TIME(12,0,0),"Manhã",IF(B2608&lt;TIME(18,0,0),"Tarde","Noite")))</f>
        <v/>
      </c>
      <c r="P2608" s="32">
        <f>IF(G2608="","",IFERROR(INDEX(Config!$I$5:$I$16,MATCH(G2608,Config!$H$5:$H$16,0)),0))</f>
        <v/>
      </c>
      <c r="Q2608" s="30">
        <f>IF(OR(H2608&lt;&gt;"Realizado",P2608="",P2608=0),"",A2608+P2608)</f>
        <v/>
      </c>
      <c r="R2608" s="26">
        <f>IF(Q2608="","",IF(COUNTIFS($E$5:$E$3004,E2608,$A$5:$A$3004,"&gt;"&amp;A2608,$H$5:$H$3004,"&lt;&gt;Falta",$H$5:$H$3004,"&lt;&gt;Cancelado",$H$5:$H$3004,"&lt;&gt;Remarcado")&gt;0,"Sim","Não"))</f>
        <v/>
      </c>
      <c r="S2608" s="32">
        <f>IF(R2608&lt;&gt;"Não","",IF(Q2608+Config!$B$9&lt;=Config!$B$8,Config!$B$8-Q2608,""))</f>
        <v/>
      </c>
      <c r="T2608" s="26">
        <f>IF(S2608="","","Sim")</f>
        <v/>
      </c>
      <c r="U2608" s="41">
        <f>IF(T2608="Sim",S2608+ROW()/100000,0)</f>
        <v>0</v>
      </c>
      <c r="V2608" s="41">
        <f>IF(AND(H2608="Falta",L2608=Config!$B$7,M2608=Config!$B$5,COUNTIFS($E$5:E2608,E2608,$H$5:H2608,"Falta",$L$5:L2608,Config!$B$7,$M$5:M2608,Config!$B$5)=1),COUNTIFS($E$5:$E$3004,E2608,$H$5:$H$3004,"Falta",$L$5:$L$3004,Config!$B$7,$M$5:$M$3004,Config!$B$5)*1000-ROW()/100000,0)</f>
        <v>0</v>
      </c>
    </row>
    <row r="2609">
      <c r="A2609" s="39" t="n"/>
      <c r="B2609" s="40" t="n"/>
      <c r="C2609" s="35" t="n"/>
      <c r="D2609" s="35" t="n"/>
      <c r="E2609" s="34" t="n"/>
      <c r="F2609" s="35" t="n"/>
      <c r="G2609" s="35" t="n"/>
      <c r="H2609" s="35" t="n"/>
      <c r="I2609" s="35" t="n"/>
      <c r="J2609" s="35" t="n"/>
      <c r="K2609" s="34" t="n"/>
      <c r="L2609" s="26">
        <f>IF(A2609="","",MONTH(A2609))</f>
        <v/>
      </c>
      <c r="M2609" s="26">
        <f>IF(A2609="","",YEAR(A2609))</f>
        <v/>
      </c>
      <c r="N2609" s="26">
        <f>IF(A2609="","",CHOOSE(WEEKDAY(A2609,2),"Segunda","Terça","Quarta","Quinta","Sexta","Sábado","Domingo"))</f>
        <v/>
      </c>
      <c r="O2609" s="26">
        <f>IF(B2609="","",IF(B2609&lt;TIME(12,0,0),"Manhã",IF(B2609&lt;TIME(18,0,0),"Tarde","Noite")))</f>
        <v/>
      </c>
      <c r="P2609" s="32">
        <f>IF(G2609="","",IFERROR(INDEX(Config!$I$5:$I$16,MATCH(G2609,Config!$H$5:$H$16,0)),0))</f>
        <v/>
      </c>
      <c r="Q2609" s="30">
        <f>IF(OR(H2609&lt;&gt;"Realizado",P2609="",P2609=0),"",A2609+P2609)</f>
        <v/>
      </c>
      <c r="R2609" s="26">
        <f>IF(Q2609="","",IF(COUNTIFS($E$5:$E$3004,E2609,$A$5:$A$3004,"&gt;"&amp;A2609,$H$5:$H$3004,"&lt;&gt;Falta",$H$5:$H$3004,"&lt;&gt;Cancelado",$H$5:$H$3004,"&lt;&gt;Remarcado")&gt;0,"Sim","Não"))</f>
        <v/>
      </c>
      <c r="S2609" s="32">
        <f>IF(R2609&lt;&gt;"Não","",IF(Q2609+Config!$B$9&lt;=Config!$B$8,Config!$B$8-Q2609,""))</f>
        <v/>
      </c>
      <c r="T2609" s="26">
        <f>IF(S2609="","","Sim")</f>
        <v/>
      </c>
      <c r="U2609" s="41">
        <f>IF(T2609="Sim",S2609+ROW()/100000,0)</f>
        <v>0</v>
      </c>
      <c r="V2609" s="41">
        <f>IF(AND(H2609="Falta",L2609=Config!$B$7,M2609=Config!$B$5,COUNTIFS($E$5:E2609,E2609,$H$5:H2609,"Falta",$L$5:L2609,Config!$B$7,$M$5:M2609,Config!$B$5)=1),COUNTIFS($E$5:$E$3004,E2609,$H$5:$H$3004,"Falta",$L$5:$L$3004,Config!$B$7,$M$5:$M$3004,Config!$B$5)*1000-ROW()/100000,0)</f>
        <v>0</v>
      </c>
    </row>
    <row r="2610">
      <c r="A2610" s="39" t="n"/>
      <c r="B2610" s="40" t="n"/>
      <c r="C2610" s="35" t="n"/>
      <c r="D2610" s="35" t="n"/>
      <c r="E2610" s="34" t="n"/>
      <c r="F2610" s="35" t="n"/>
      <c r="G2610" s="35" t="n"/>
      <c r="H2610" s="35" t="n"/>
      <c r="I2610" s="35" t="n"/>
      <c r="J2610" s="35" t="n"/>
      <c r="K2610" s="34" t="n"/>
      <c r="L2610" s="26">
        <f>IF(A2610="","",MONTH(A2610))</f>
        <v/>
      </c>
      <c r="M2610" s="26">
        <f>IF(A2610="","",YEAR(A2610))</f>
        <v/>
      </c>
      <c r="N2610" s="26">
        <f>IF(A2610="","",CHOOSE(WEEKDAY(A2610,2),"Segunda","Terça","Quarta","Quinta","Sexta","Sábado","Domingo"))</f>
        <v/>
      </c>
      <c r="O2610" s="26">
        <f>IF(B2610="","",IF(B2610&lt;TIME(12,0,0),"Manhã",IF(B2610&lt;TIME(18,0,0),"Tarde","Noite")))</f>
        <v/>
      </c>
      <c r="P2610" s="32">
        <f>IF(G2610="","",IFERROR(INDEX(Config!$I$5:$I$16,MATCH(G2610,Config!$H$5:$H$16,0)),0))</f>
        <v/>
      </c>
      <c r="Q2610" s="30">
        <f>IF(OR(H2610&lt;&gt;"Realizado",P2610="",P2610=0),"",A2610+P2610)</f>
        <v/>
      </c>
      <c r="R2610" s="26">
        <f>IF(Q2610="","",IF(COUNTIFS($E$5:$E$3004,E2610,$A$5:$A$3004,"&gt;"&amp;A2610,$H$5:$H$3004,"&lt;&gt;Falta",$H$5:$H$3004,"&lt;&gt;Cancelado",$H$5:$H$3004,"&lt;&gt;Remarcado")&gt;0,"Sim","Não"))</f>
        <v/>
      </c>
      <c r="S2610" s="32">
        <f>IF(R2610&lt;&gt;"Não","",IF(Q2610+Config!$B$9&lt;=Config!$B$8,Config!$B$8-Q2610,""))</f>
        <v/>
      </c>
      <c r="T2610" s="26">
        <f>IF(S2610="","","Sim")</f>
        <v/>
      </c>
      <c r="U2610" s="41">
        <f>IF(T2610="Sim",S2610+ROW()/100000,0)</f>
        <v>0</v>
      </c>
      <c r="V2610" s="41">
        <f>IF(AND(H2610="Falta",L2610=Config!$B$7,M2610=Config!$B$5,COUNTIFS($E$5:E2610,E2610,$H$5:H2610,"Falta",$L$5:L2610,Config!$B$7,$M$5:M2610,Config!$B$5)=1),COUNTIFS($E$5:$E$3004,E2610,$H$5:$H$3004,"Falta",$L$5:$L$3004,Config!$B$7,$M$5:$M$3004,Config!$B$5)*1000-ROW()/100000,0)</f>
        <v>0</v>
      </c>
    </row>
    <row r="2611">
      <c r="A2611" s="39" t="n"/>
      <c r="B2611" s="40" t="n"/>
      <c r="C2611" s="35" t="n"/>
      <c r="D2611" s="35" t="n"/>
      <c r="E2611" s="34" t="n"/>
      <c r="F2611" s="35" t="n"/>
      <c r="G2611" s="35" t="n"/>
      <c r="H2611" s="35" t="n"/>
      <c r="I2611" s="35" t="n"/>
      <c r="J2611" s="35" t="n"/>
      <c r="K2611" s="34" t="n"/>
      <c r="L2611" s="26">
        <f>IF(A2611="","",MONTH(A2611))</f>
        <v/>
      </c>
      <c r="M2611" s="26">
        <f>IF(A2611="","",YEAR(A2611))</f>
        <v/>
      </c>
      <c r="N2611" s="26">
        <f>IF(A2611="","",CHOOSE(WEEKDAY(A2611,2),"Segunda","Terça","Quarta","Quinta","Sexta","Sábado","Domingo"))</f>
        <v/>
      </c>
      <c r="O2611" s="26">
        <f>IF(B2611="","",IF(B2611&lt;TIME(12,0,0),"Manhã",IF(B2611&lt;TIME(18,0,0),"Tarde","Noite")))</f>
        <v/>
      </c>
      <c r="P2611" s="32">
        <f>IF(G2611="","",IFERROR(INDEX(Config!$I$5:$I$16,MATCH(G2611,Config!$H$5:$H$16,0)),0))</f>
        <v/>
      </c>
      <c r="Q2611" s="30">
        <f>IF(OR(H2611&lt;&gt;"Realizado",P2611="",P2611=0),"",A2611+P2611)</f>
        <v/>
      </c>
      <c r="R2611" s="26">
        <f>IF(Q2611="","",IF(COUNTIFS($E$5:$E$3004,E2611,$A$5:$A$3004,"&gt;"&amp;A2611,$H$5:$H$3004,"&lt;&gt;Falta",$H$5:$H$3004,"&lt;&gt;Cancelado",$H$5:$H$3004,"&lt;&gt;Remarcado")&gt;0,"Sim","Não"))</f>
        <v/>
      </c>
      <c r="S2611" s="32">
        <f>IF(R2611&lt;&gt;"Não","",IF(Q2611+Config!$B$9&lt;=Config!$B$8,Config!$B$8-Q2611,""))</f>
        <v/>
      </c>
      <c r="T2611" s="26">
        <f>IF(S2611="","","Sim")</f>
        <v/>
      </c>
      <c r="U2611" s="41">
        <f>IF(T2611="Sim",S2611+ROW()/100000,0)</f>
        <v>0</v>
      </c>
      <c r="V2611" s="41">
        <f>IF(AND(H2611="Falta",L2611=Config!$B$7,M2611=Config!$B$5,COUNTIFS($E$5:E2611,E2611,$H$5:H2611,"Falta",$L$5:L2611,Config!$B$7,$M$5:M2611,Config!$B$5)=1),COUNTIFS($E$5:$E$3004,E2611,$H$5:$H$3004,"Falta",$L$5:$L$3004,Config!$B$7,$M$5:$M$3004,Config!$B$5)*1000-ROW()/100000,0)</f>
        <v>0</v>
      </c>
    </row>
    <row r="2612">
      <c r="A2612" s="39" t="n"/>
      <c r="B2612" s="40" t="n"/>
      <c r="C2612" s="35" t="n"/>
      <c r="D2612" s="35" t="n"/>
      <c r="E2612" s="34" t="n"/>
      <c r="F2612" s="35" t="n"/>
      <c r="G2612" s="35" t="n"/>
      <c r="H2612" s="35" t="n"/>
      <c r="I2612" s="35" t="n"/>
      <c r="J2612" s="35" t="n"/>
      <c r="K2612" s="34" t="n"/>
      <c r="L2612" s="26">
        <f>IF(A2612="","",MONTH(A2612))</f>
        <v/>
      </c>
      <c r="M2612" s="26">
        <f>IF(A2612="","",YEAR(A2612))</f>
        <v/>
      </c>
      <c r="N2612" s="26">
        <f>IF(A2612="","",CHOOSE(WEEKDAY(A2612,2),"Segunda","Terça","Quarta","Quinta","Sexta","Sábado","Domingo"))</f>
        <v/>
      </c>
      <c r="O2612" s="26">
        <f>IF(B2612="","",IF(B2612&lt;TIME(12,0,0),"Manhã",IF(B2612&lt;TIME(18,0,0),"Tarde","Noite")))</f>
        <v/>
      </c>
      <c r="P2612" s="32">
        <f>IF(G2612="","",IFERROR(INDEX(Config!$I$5:$I$16,MATCH(G2612,Config!$H$5:$H$16,0)),0))</f>
        <v/>
      </c>
      <c r="Q2612" s="30">
        <f>IF(OR(H2612&lt;&gt;"Realizado",P2612="",P2612=0),"",A2612+P2612)</f>
        <v/>
      </c>
      <c r="R2612" s="26">
        <f>IF(Q2612="","",IF(COUNTIFS($E$5:$E$3004,E2612,$A$5:$A$3004,"&gt;"&amp;A2612,$H$5:$H$3004,"&lt;&gt;Falta",$H$5:$H$3004,"&lt;&gt;Cancelado",$H$5:$H$3004,"&lt;&gt;Remarcado")&gt;0,"Sim","Não"))</f>
        <v/>
      </c>
      <c r="S2612" s="32">
        <f>IF(R2612&lt;&gt;"Não","",IF(Q2612+Config!$B$9&lt;=Config!$B$8,Config!$B$8-Q2612,""))</f>
        <v/>
      </c>
      <c r="T2612" s="26">
        <f>IF(S2612="","","Sim")</f>
        <v/>
      </c>
      <c r="U2612" s="41">
        <f>IF(T2612="Sim",S2612+ROW()/100000,0)</f>
        <v>0</v>
      </c>
      <c r="V2612" s="41">
        <f>IF(AND(H2612="Falta",L2612=Config!$B$7,M2612=Config!$B$5,COUNTIFS($E$5:E2612,E2612,$H$5:H2612,"Falta",$L$5:L2612,Config!$B$7,$M$5:M2612,Config!$B$5)=1),COUNTIFS($E$5:$E$3004,E2612,$H$5:$H$3004,"Falta",$L$5:$L$3004,Config!$B$7,$M$5:$M$3004,Config!$B$5)*1000-ROW()/100000,0)</f>
        <v>0</v>
      </c>
    </row>
    <row r="2613">
      <c r="A2613" s="39" t="n"/>
      <c r="B2613" s="40" t="n"/>
      <c r="C2613" s="35" t="n"/>
      <c r="D2613" s="35" t="n"/>
      <c r="E2613" s="34" t="n"/>
      <c r="F2613" s="35" t="n"/>
      <c r="G2613" s="35" t="n"/>
      <c r="H2613" s="35" t="n"/>
      <c r="I2613" s="35" t="n"/>
      <c r="J2613" s="35" t="n"/>
      <c r="K2613" s="34" t="n"/>
      <c r="L2613" s="26">
        <f>IF(A2613="","",MONTH(A2613))</f>
        <v/>
      </c>
      <c r="M2613" s="26">
        <f>IF(A2613="","",YEAR(A2613))</f>
        <v/>
      </c>
      <c r="N2613" s="26">
        <f>IF(A2613="","",CHOOSE(WEEKDAY(A2613,2),"Segunda","Terça","Quarta","Quinta","Sexta","Sábado","Domingo"))</f>
        <v/>
      </c>
      <c r="O2613" s="26">
        <f>IF(B2613="","",IF(B2613&lt;TIME(12,0,0),"Manhã",IF(B2613&lt;TIME(18,0,0),"Tarde","Noite")))</f>
        <v/>
      </c>
      <c r="P2613" s="32">
        <f>IF(G2613="","",IFERROR(INDEX(Config!$I$5:$I$16,MATCH(G2613,Config!$H$5:$H$16,0)),0))</f>
        <v/>
      </c>
      <c r="Q2613" s="30">
        <f>IF(OR(H2613&lt;&gt;"Realizado",P2613="",P2613=0),"",A2613+P2613)</f>
        <v/>
      </c>
      <c r="R2613" s="26">
        <f>IF(Q2613="","",IF(COUNTIFS($E$5:$E$3004,E2613,$A$5:$A$3004,"&gt;"&amp;A2613,$H$5:$H$3004,"&lt;&gt;Falta",$H$5:$H$3004,"&lt;&gt;Cancelado",$H$5:$H$3004,"&lt;&gt;Remarcado")&gt;0,"Sim","Não"))</f>
        <v/>
      </c>
      <c r="S2613" s="32">
        <f>IF(R2613&lt;&gt;"Não","",IF(Q2613+Config!$B$9&lt;=Config!$B$8,Config!$B$8-Q2613,""))</f>
        <v/>
      </c>
      <c r="T2613" s="26">
        <f>IF(S2613="","","Sim")</f>
        <v/>
      </c>
      <c r="U2613" s="41">
        <f>IF(T2613="Sim",S2613+ROW()/100000,0)</f>
        <v>0</v>
      </c>
      <c r="V2613" s="41">
        <f>IF(AND(H2613="Falta",L2613=Config!$B$7,M2613=Config!$B$5,COUNTIFS($E$5:E2613,E2613,$H$5:H2613,"Falta",$L$5:L2613,Config!$B$7,$M$5:M2613,Config!$B$5)=1),COUNTIFS($E$5:$E$3004,E2613,$H$5:$H$3004,"Falta",$L$5:$L$3004,Config!$B$7,$M$5:$M$3004,Config!$B$5)*1000-ROW()/100000,0)</f>
        <v>0</v>
      </c>
    </row>
    <row r="2614">
      <c r="A2614" s="39" t="n"/>
      <c r="B2614" s="40" t="n"/>
      <c r="C2614" s="35" t="n"/>
      <c r="D2614" s="35" t="n"/>
      <c r="E2614" s="34" t="n"/>
      <c r="F2614" s="35" t="n"/>
      <c r="G2614" s="35" t="n"/>
      <c r="H2614" s="35" t="n"/>
      <c r="I2614" s="35" t="n"/>
      <c r="J2614" s="35" t="n"/>
      <c r="K2614" s="34" t="n"/>
      <c r="L2614" s="26">
        <f>IF(A2614="","",MONTH(A2614))</f>
        <v/>
      </c>
      <c r="M2614" s="26">
        <f>IF(A2614="","",YEAR(A2614))</f>
        <v/>
      </c>
      <c r="N2614" s="26">
        <f>IF(A2614="","",CHOOSE(WEEKDAY(A2614,2),"Segunda","Terça","Quarta","Quinta","Sexta","Sábado","Domingo"))</f>
        <v/>
      </c>
      <c r="O2614" s="26">
        <f>IF(B2614="","",IF(B2614&lt;TIME(12,0,0),"Manhã",IF(B2614&lt;TIME(18,0,0),"Tarde","Noite")))</f>
        <v/>
      </c>
      <c r="P2614" s="32">
        <f>IF(G2614="","",IFERROR(INDEX(Config!$I$5:$I$16,MATCH(G2614,Config!$H$5:$H$16,0)),0))</f>
        <v/>
      </c>
      <c r="Q2614" s="30">
        <f>IF(OR(H2614&lt;&gt;"Realizado",P2614="",P2614=0),"",A2614+P2614)</f>
        <v/>
      </c>
      <c r="R2614" s="26">
        <f>IF(Q2614="","",IF(COUNTIFS($E$5:$E$3004,E2614,$A$5:$A$3004,"&gt;"&amp;A2614,$H$5:$H$3004,"&lt;&gt;Falta",$H$5:$H$3004,"&lt;&gt;Cancelado",$H$5:$H$3004,"&lt;&gt;Remarcado")&gt;0,"Sim","Não"))</f>
        <v/>
      </c>
      <c r="S2614" s="32">
        <f>IF(R2614&lt;&gt;"Não","",IF(Q2614+Config!$B$9&lt;=Config!$B$8,Config!$B$8-Q2614,""))</f>
        <v/>
      </c>
      <c r="T2614" s="26">
        <f>IF(S2614="","","Sim")</f>
        <v/>
      </c>
      <c r="U2614" s="41">
        <f>IF(T2614="Sim",S2614+ROW()/100000,0)</f>
        <v>0</v>
      </c>
      <c r="V2614" s="41">
        <f>IF(AND(H2614="Falta",L2614=Config!$B$7,M2614=Config!$B$5,COUNTIFS($E$5:E2614,E2614,$H$5:H2614,"Falta",$L$5:L2614,Config!$B$7,$M$5:M2614,Config!$B$5)=1),COUNTIFS($E$5:$E$3004,E2614,$H$5:$H$3004,"Falta",$L$5:$L$3004,Config!$B$7,$M$5:$M$3004,Config!$B$5)*1000-ROW()/100000,0)</f>
        <v>0</v>
      </c>
    </row>
    <row r="2615">
      <c r="A2615" s="39" t="n"/>
      <c r="B2615" s="40" t="n"/>
      <c r="C2615" s="35" t="n"/>
      <c r="D2615" s="35" t="n"/>
      <c r="E2615" s="34" t="n"/>
      <c r="F2615" s="35" t="n"/>
      <c r="G2615" s="35" t="n"/>
      <c r="H2615" s="35" t="n"/>
      <c r="I2615" s="35" t="n"/>
      <c r="J2615" s="35" t="n"/>
      <c r="K2615" s="34" t="n"/>
      <c r="L2615" s="26">
        <f>IF(A2615="","",MONTH(A2615))</f>
        <v/>
      </c>
      <c r="M2615" s="26">
        <f>IF(A2615="","",YEAR(A2615))</f>
        <v/>
      </c>
      <c r="N2615" s="26">
        <f>IF(A2615="","",CHOOSE(WEEKDAY(A2615,2),"Segunda","Terça","Quarta","Quinta","Sexta","Sábado","Domingo"))</f>
        <v/>
      </c>
      <c r="O2615" s="26">
        <f>IF(B2615="","",IF(B2615&lt;TIME(12,0,0),"Manhã",IF(B2615&lt;TIME(18,0,0),"Tarde","Noite")))</f>
        <v/>
      </c>
      <c r="P2615" s="32">
        <f>IF(G2615="","",IFERROR(INDEX(Config!$I$5:$I$16,MATCH(G2615,Config!$H$5:$H$16,0)),0))</f>
        <v/>
      </c>
      <c r="Q2615" s="30">
        <f>IF(OR(H2615&lt;&gt;"Realizado",P2615="",P2615=0),"",A2615+P2615)</f>
        <v/>
      </c>
      <c r="R2615" s="26">
        <f>IF(Q2615="","",IF(COUNTIFS($E$5:$E$3004,E2615,$A$5:$A$3004,"&gt;"&amp;A2615,$H$5:$H$3004,"&lt;&gt;Falta",$H$5:$H$3004,"&lt;&gt;Cancelado",$H$5:$H$3004,"&lt;&gt;Remarcado")&gt;0,"Sim","Não"))</f>
        <v/>
      </c>
      <c r="S2615" s="32">
        <f>IF(R2615&lt;&gt;"Não","",IF(Q2615+Config!$B$9&lt;=Config!$B$8,Config!$B$8-Q2615,""))</f>
        <v/>
      </c>
      <c r="T2615" s="26">
        <f>IF(S2615="","","Sim")</f>
        <v/>
      </c>
      <c r="U2615" s="41">
        <f>IF(T2615="Sim",S2615+ROW()/100000,0)</f>
        <v>0</v>
      </c>
      <c r="V2615" s="41">
        <f>IF(AND(H2615="Falta",L2615=Config!$B$7,M2615=Config!$B$5,COUNTIFS($E$5:E2615,E2615,$H$5:H2615,"Falta",$L$5:L2615,Config!$B$7,$M$5:M2615,Config!$B$5)=1),COUNTIFS($E$5:$E$3004,E2615,$H$5:$H$3004,"Falta",$L$5:$L$3004,Config!$B$7,$M$5:$M$3004,Config!$B$5)*1000-ROW()/100000,0)</f>
        <v>0</v>
      </c>
    </row>
    <row r="2616">
      <c r="A2616" s="39" t="n"/>
      <c r="B2616" s="40" t="n"/>
      <c r="C2616" s="35" t="n"/>
      <c r="D2616" s="35" t="n"/>
      <c r="E2616" s="34" t="n"/>
      <c r="F2616" s="35" t="n"/>
      <c r="G2616" s="35" t="n"/>
      <c r="H2616" s="35" t="n"/>
      <c r="I2616" s="35" t="n"/>
      <c r="J2616" s="35" t="n"/>
      <c r="K2616" s="34" t="n"/>
      <c r="L2616" s="26">
        <f>IF(A2616="","",MONTH(A2616))</f>
        <v/>
      </c>
      <c r="M2616" s="26">
        <f>IF(A2616="","",YEAR(A2616))</f>
        <v/>
      </c>
      <c r="N2616" s="26">
        <f>IF(A2616="","",CHOOSE(WEEKDAY(A2616,2),"Segunda","Terça","Quarta","Quinta","Sexta","Sábado","Domingo"))</f>
        <v/>
      </c>
      <c r="O2616" s="26">
        <f>IF(B2616="","",IF(B2616&lt;TIME(12,0,0),"Manhã",IF(B2616&lt;TIME(18,0,0),"Tarde","Noite")))</f>
        <v/>
      </c>
      <c r="P2616" s="32">
        <f>IF(G2616="","",IFERROR(INDEX(Config!$I$5:$I$16,MATCH(G2616,Config!$H$5:$H$16,0)),0))</f>
        <v/>
      </c>
      <c r="Q2616" s="30">
        <f>IF(OR(H2616&lt;&gt;"Realizado",P2616="",P2616=0),"",A2616+P2616)</f>
        <v/>
      </c>
      <c r="R2616" s="26">
        <f>IF(Q2616="","",IF(COUNTIFS($E$5:$E$3004,E2616,$A$5:$A$3004,"&gt;"&amp;A2616,$H$5:$H$3004,"&lt;&gt;Falta",$H$5:$H$3004,"&lt;&gt;Cancelado",$H$5:$H$3004,"&lt;&gt;Remarcado")&gt;0,"Sim","Não"))</f>
        <v/>
      </c>
      <c r="S2616" s="32">
        <f>IF(R2616&lt;&gt;"Não","",IF(Q2616+Config!$B$9&lt;=Config!$B$8,Config!$B$8-Q2616,""))</f>
        <v/>
      </c>
      <c r="T2616" s="26">
        <f>IF(S2616="","","Sim")</f>
        <v/>
      </c>
      <c r="U2616" s="41">
        <f>IF(T2616="Sim",S2616+ROW()/100000,0)</f>
        <v>0</v>
      </c>
      <c r="V2616" s="41">
        <f>IF(AND(H2616="Falta",L2616=Config!$B$7,M2616=Config!$B$5,COUNTIFS($E$5:E2616,E2616,$H$5:H2616,"Falta",$L$5:L2616,Config!$B$7,$M$5:M2616,Config!$B$5)=1),COUNTIFS($E$5:$E$3004,E2616,$H$5:$H$3004,"Falta",$L$5:$L$3004,Config!$B$7,$M$5:$M$3004,Config!$B$5)*1000-ROW()/100000,0)</f>
        <v>0</v>
      </c>
    </row>
    <row r="2617">
      <c r="A2617" s="39" t="n"/>
      <c r="B2617" s="40" t="n"/>
      <c r="C2617" s="35" t="n"/>
      <c r="D2617" s="35" t="n"/>
      <c r="E2617" s="34" t="n"/>
      <c r="F2617" s="35" t="n"/>
      <c r="G2617" s="35" t="n"/>
      <c r="H2617" s="35" t="n"/>
      <c r="I2617" s="35" t="n"/>
      <c r="J2617" s="35" t="n"/>
      <c r="K2617" s="34" t="n"/>
      <c r="L2617" s="26">
        <f>IF(A2617="","",MONTH(A2617))</f>
        <v/>
      </c>
      <c r="M2617" s="26">
        <f>IF(A2617="","",YEAR(A2617))</f>
        <v/>
      </c>
      <c r="N2617" s="26">
        <f>IF(A2617="","",CHOOSE(WEEKDAY(A2617,2),"Segunda","Terça","Quarta","Quinta","Sexta","Sábado","Domingo"))</f>
        <v/>
      </c>
      <c r="O2617" s="26">
        <f>IF(B2617="","",IF(B2617&lt;TIME(12,0,0),"Manhã",IF(B2617&lt;TIME(18,0,0),"Tarde","Noite")))</f>
        <v/>
      </c>
      <c r="P2617" s="32">
        <f>IF(G2617="","",IFERROR(INDEX(Config!$I$5:$I$16,MATCH(G2617,Config!$H$5:$H$16,0)),0))</f>
        <v/>
      </c>
      <c r="Q2617" s="30">
        <f>IF(OR(H2617&lt;&gt;"Realizado",P2617="",P2617=0),"",A2617+P2617)</f>
        <v/>
      </c>
      <c r="R2617" s="26">
        <f>IF(Q2617="","",IF(COUNTIFS($E$5:$E$3004,E2617,$A$5:$A$3004,"&gt;"&amp;A2617,$H$5:$H$3004,"&lt;&gt;Falta",$H$5:$H$3004,"&lt;&gt;Cancelado",$H$5:$H$3004,"&lt;&gt;Remarcado")&gt;0,"Sim","Não"))</f>
        <v/>
      </c>
      <c r="S2617" s="32">
        <f>IF(R2617&lt;&gt;"Não","",IF(Q2617+Config!$B$9&lt;=Config!$B$8,Config!$B$8-Q2617,""))</f>
        <v/>
      </c>
      <c r="T2617" s="26">
        <f>IF(S2617="","","Sim")</f>
        <v/>
      </c>
      <c r="U2617" s="41">
        <f>IF(T2617="Sim",S2617+ROW()/100000,0)</f>
        <v>0</v>
      </c>
      <c r="V2617" s="41">
        <f>IF(AND(H2617="Falta",L2617=Config!$B$7,M2617=Config!$B$5,COUNTIFS($E$5:E2617,E2617,$H$5:H2617,"Falta",$L$5:L2617,Config!$B$7,$M$5:M2617,Config!$B$5)=1),COUNTIFS($E$5:$E$3004,E2617,$H$5:$H$3004,"Falta",$L$5:$L$3004,Config!$B$7,$M$5:$M$3004,Config!$B$5)*1000-ROW()/100000,0)</f>
        <v>0</v>
      </c>
    </row>
    <row r="2618">
      <c r="A2618" s="39" t="n"/>
      <c r="B2618" s="40" t="n"/>
      <c r="C2618" s="35" t="n"/>
      <c r="D2618" s="35" t="n"/>
      <c r="E2618" s="34" t="n"/>
      <c r="F2618" s="35" t="n"/>
      <c r="G2618" s="35" t="n"/>
      <c r="H2618" s="35" t="n"/>
      <c r="I2618" s="35" t="n"/>
      <c r="J2618" s="35" t="n"/>
      <c r="K2618" s="34" t="n"/>
      <c r="L2618" s="26">
        <f>IF(A2618="","",MONTH(A2618))</f>
        <v/>
      </c>
      <c r="M2618" s="26">
        <f>IF(A2618="","",YEAR(A2618))</f>
        <v/>
      </c>
      <c r="N2618" s="26">
        <f>IF(A2618="","",CHOOSE(WEEKDAY(A2618,2),"Segunda","Terça","Quarta","Quinta","Sexta","Sábado","Domingo"))</f>
        <v/>
      </c>
      <c r="O2618" s="26">
        <f>IF(B2618="","",IF(B2618&lt;TIME(12,0,0),"Manhã",IF(B2618&lt;TIME(18,0,0),"Tarde","Noite")))</f>
        <v/>
      </c>
      <c r="P2618" s="32">
        <f>IF(G2618="","",IFERROR(INDEX(Config!$I$5:$I$16,MATCH(G2618,Config!$H$5:$H$16,0)),0))</f>
        <v/>
      </c>
      <c r="Q2618" s="30">
        <f>IF(OR(H2618&lt;&gt;"Realizado",P2618="",P2618=0),"",A2618+P2618)</f>
        <v/>
      </c>
      <c r="R2618" s="26">
        <f>IF(Q2618="","",IF(COUNTIFS($E$5:$E$3004,E2618,$A$5:$A$3004,"&gt;"&amp;A2618,$H$5:$H$3004,"&lt;&gt;Falta",$H$5:$H$3004,"&lt;&gt;Cancelado",$H$5:$H$3004,"&lt;&gt;Remarcado")&gt;0,"Sim","Não"))</f>
        <v/>
      </c>
      <c r="S2618" s="32">
        <f>IF(R2618&lt;&gt;"Não","",IF(Q2618+Config!$B$9&lt;=Config!$B$8,Config!$B$8-Q2618,""))</f>
        <v/>
      </c>
      <c r="T2618" s="26">
        <f>IF(S2618="","","Sim")</f>
        <v/>
      </c>
      <c r="U2618" s="41">
        <f>IF(T2618="Sim",S2618+ROW()/100000,0)</f>
        <v>0</v>
      </c>
      <c r="V2618" s="41">
        <f>IF(AND(H2618="Falta",L2618=Config!$B$7,M2618=Config!$B$5,COUNTIFS($E$5:E2618,E2618,$H$5:H2618,"Falta",$L$5:L2618,Config!$B$7,$M$5:M2618,Config!$B$5)=1),COUNTIFS($E$5:$E$3004,E2618,$H$5:$H$3004,"Falta",$L$5:$L$3004,Config!$B$7,$M$5:$M$3004,Config!$B$5)*1000-ROW()/100000,0)</f>
        <v>0</v>
      </c>
    </row>
    <row r="2619">
      <c r="A2619" s="39" t="n"/>
      <c r="B2619" s="40" t="n"/>
      <c r="C2619" s="35" t="n"/>
      <c r="D2619" s="35" t="n"/>
      <c r="E2619" s="34" t="n"/>
      <c r="F2619" s="35" t="n"/>
      <c r="G2619" s="35" t="n"/>
      <c r="H2619" s="35" t="n"/>
      <c r="I2619" s="35" t="n"/>
      <c r="J2619" s="35" t="n"/>
      <c r="K2619" s="34" t="n"/>
      <c r="L2619" s="26">
        <f>IF(A2619="","",MONTH(A2619))</f>
        <v/>
      </c>
      <c r="M2619" s="26">
        <f>IF(A2619="","",YEAR(A2619))</f>
        <v/>
      </c>
      <c r="N2619" s="26">
        <f>IF(A2619="","",CHOOSE(WEEKDAY(A2619,2),"Segunda","Terça","Quarta","Quinta","Sexta","Sábado","Domingo"))</f>
        <v/>
      </c>
      <c r="O2619" s="26">
        <f>IF(B2619="","",IF(B2619&lt;TIME(12,0,0),"Manhã",IF(B2619&lt;TIME(18,0,0),"Tarde","Noite")))</f>
        <v/>
      </c>
      <c r="P2619" s="32">
        <f>IF(G2619="","",IFERROR(INDEX(Config!$I$5:$I$16,MATCH(G2619,Config!$H$5:$H$16,0)),0))</f>
        <v/>
      </c>
      <c r="Q2619" s="30">
        <f>IF(OR(H2619&lt;&gt;"Realizado",P2619="",P2619=0),"",A2619+P2619)</f>
        <v/>
      </c>
      <c r="R2619" s="26">
        <f>IF(Q2619="","",IF(COUNTIFS($E$5:$E$3004,E2619,$A$5:$A$3004,"&gt;"&amp;A2619,$H$5:$H$3004,"&lt;&gt;Falta",$H$5:$H$3004,"&lt;&gt;Cancelado",$H$5:$H$3004,"&lt;&gt;Remarcado")&gt;0,"Sim","Não"))</f>
        <v/>
      </c>
      <c r="S2619" s="32">
        <f>IF(R2619&lt;&gt;"Não","",IF(Q2619+Config!$B$9&lt;=Config!$B$8,Config!$B$8-Q2619,""))</f>
        <v/>
      </c>
      <c r="T2619" s="26">
        <f>IF(S2619="","","Sim")</f>
        <v/>
      </c>
      <c r="U2619" s="41">
        <f>IF(T2619="Sim",S2619+ROW()/100000,0)</f>
        <v>0</v>
      </c>
      <c r="V2619" s="41">
        <f>IF(AND(H2619="Falta",L2619=Config!$B$7,M2619=Config!$B$5,COUNTIFS($E$5:E2619,E2619,$H$5:H2619,"Falta",$L$5:L2619,Config!$B$7,$M$5:M2619,Config!$B$5)=1),COUNTIFS($E$5:$E$3004,E2619,$H$5:$H$3004,"Falta",$L$5:$L$3004,Config!$B$7,$M$5:$M$3004,Config!$B$5)*1000-ROW()/100000,0)</f>
        <v>0</v>
      </c>
    </row>
    <row r="2620">
      <c r="A2620" s="39" t="n"/>
      <c r="B2620" s="40" t="n"/>
      <c r="C2620" s="35" t="n"/>
      <c r="D2620" s="35" t="n"/>
      <c r="E2620" s="34" t="n"/>
      <c r="F2620" s="35" t="n"/>
      <c r="G2620" s="35" t="n"/>
      <c r="H2620" s="35" t="n"/>
      <c r="I2620" s="35" t="n"/>
      <c r="J2620" s="35" t="n"/>
      <c r="K2620" s="34" t="n"/>
      <c r="L2620" s="26">
        <f>IF(A2620="","",MONTH(A2620))</f>
        <v/>
      </c>
      <c r="M2620" s="26">
        <f>IF(A2620="","",YEAR(A2620))</f>
        <v/>
      </c>
      <c r="N2620" s="26">
        <f>IF(A2620="","",CHOOSE(WEEKDAY(A2620,2),"Segunda","Terça","Quarta","Quinta","Sexta","Sábado","Domingo"))</f>
        <v/>
      </c>
      <c r="O2620" s="26">
        <f>IF(B2620="","",IF(B2620&lt;TIME(12,0,0),"Manhã",IF(B2620&lt;TIME(18,0,0),"Tarde","Noite")))</f>
        <v/>
      </c>
      <c r="P2620" s="32">
        <f>IF(G2620="","",IFERROR(INDEX(Config!$I$5:$I$16,MATCH(G2620,Config!$H$5:$H$16,0)),0))</f>
        <v/>
      </c>
      <c r="Q2620" s="30">
        <f>IF(OR(H2620&lt;&gt;"Realizado",P2620="",P2620=0),"",A2620+P2620)</f>
        <v/>
      </c>
      <c r="R2620" s="26">
        <f>IF(Q2620="","",IF(COUNTIFS($E$5:$E$3004,E2620,$A$5:$A$3004,"&gt;"&amp;A2620,$H$5:$H$3004,"&lt;&gt;Falta",$H$5:$H$3004,"&lt;&gt;Cancelado",$H$5:$H$3004,"&lt;&gt;Remarcado")&gt;0,"Sim","Não"))</f>
        <v/>
      </c>
      <c r="S2620" s="32">
        <f>IF(R2620&lt;&gt;"Não","",IF(Q2620+Config!$B$9&lt;=Config!$B$8,Config!$B$8-Q2620,""))</f>
        <v/>
      </c>
      <c r="T2620" s="26">
        <f>IF(S2620="","","Sim")</f>
        <v/>
      </c>
      <c r="U2620" s="41">
        <f>IF(T2620="Sim",S2620+ROW()/100000,0)</f>
        <v>0</v>
      </c>
      <c r="V2620" s="41">
        <f>IF(AND(H2620="Falta",L2620=Config!$B$7,M2620=Config!$B$5,COUNTIFS($E$5:E2620,E2620,$H$5:H2620,"Falta",$L$5:L2620,Config!$B$7,$M$5:M2620,Config!$B$5)=1),COUNTIFS($E$5:$E$3004,E2620,$H$5:$H$3004,"Falta",$L$5:$L$3004,Config!$B$7,$M$5:$M$3004,Config!$B$5)*1000-ROW()/100000,0)</f>
        <v>0</v>
      </c>
    </row>
    <row r="2621">
      <c r="A2621" s="39" t="n"/>
      <c r="B2621" s="40" t="n"/>
      <c r="C2621" s="35" t="n"/>
      <c r="D2621" s="35" t="n"/>
      <c r="E2621" s="34" t="n"/>
      <c r="F2621" s="35" t="n"/>
      <c r="G2621" s="35" t="n"/>
      <c r="H2621" s="35" t="n"/>
      <c r="I2621" s="35" t="n"/>
      <c r="J2621" s="35" t="n"/>
      <c r="K2621" s="34" t="n"/>
      <c r="L2621" s="26">
        <f>IF(A2621="","",MONTH(A2621))</f>
        <v/>
      </c>
      <c r="M2621" s="26">
        <f>IF(A2621="","",YEAR(A2621))</f>
        <v/>
      </c>
      <c r="N2621" s="26">
        <f>IF(A2621="","",CHOOSE(WEEKDAY(A2621,2),"Segunda","Terça","Quarta","Quinta","Sexta","Sábado","Domingo"))</f>
        <v/>
      </c>
      <c r="O2621" s="26">
        <f>IF(B2621="","",IF(B2621&lt;TIME(12,0,0),"Manhã",IF(B2621&lt;TIME(18,0,0),"Tarde","Noite")))</f>
        <v/>
      </c>
      <c r="P2621" s="32">
        <f>IF(G2621="","",IFERROR(INDEX(Config!$I$5:$I$16,MATCH(G2621,Config!$H$5:$H$16,0)),0))</f>
        <v/>
      </c>
      <c r="Q2621" s="30">
        <f>IF(OR(H2621&lt;&gt;"Realizado",P2621="",P2621=0),"",A2621+P2621)</f>
        <v/>
      </c>
      <c r="R2621" s="26">
        <f>IF(Q2621="","",IF(COUNTIFS($E$5:$E$3004,E2621,$A$5:$A$3004,"&gt;"&amp;A2621,$H$5:$H$3004,"&lt;&gt;Falta",$H$5:$H$3004,"&lt;&gt;Cancelado",$H$5:$H$3004,"&lt;&gt;Remarcado")&gt;0,"Sim","Não"))</f>
        <v/>
      </c>
      <c r="S2621" s="32">
        <f>IF(R2621&lt;&gt;"Não","",IF(Q2621+Config!$B$9&lt;=Config!$B$8,Config!$B$8-Q2621,""))</f>
        <v/>
      </c>
      <c r="T2621" s="26">
        <f>IF(S2621="","","Sim")</f>
        <v/>
      </c>
      <c r="U2621" s="41">
        <f>IF(T2621="Sim",S2621+ROW()/100000,0)</f>
        <v>0</v>
      </c>
      <c r="V2621" s="41">
        <f>IF(AND(H2621="Falta",L2621=Config!$B$7,M2621=Config!$B$5,COUNTIFS($E$5:E2621,E2621,$H$5:H2621,"Falta",$L$5:L2621,Config!$B$7,$M$5:M2621,Config!$B$5)=1),COUNTIFS($E$5:$E$3004,E2621,$H$5:$H$3004,"Falta",$L$5:$L$3004,Config!$B$7,$M$5:$M$3004,Config!$B$5)*1000-ROW()/100000,0)</f>
        <v>0</v>
      </c>
    </row>
    <row r="2622">
      <c r="A2622" s="39" t="n"/>
      <c r="B2622" s="40" t="n"/>
      <c r="C2622" s="35" t="n"/>
      <c r="D2622" s="35" t="n"/>
      <c r="E2622" s="34" t="n"/>
      <c r="F2622" s="35" t="n"/>
      <c r="G2622" s="35" t="n"/>
      <c r="H2622" s="35" t="n"/>
      <c r="I2622" s="35" t="n"/>
      <c r="J2622" s="35" t="n"/>
      <c r="K2622" s="34" t="n"/>
      <c r="L2622" s="26">
        <f>IF(A2622="","",MONTH(A2622))</f>
        <v/>
      </c>
      <c r="M2622" s="26">
        <f>IF(A2622="","",YEAR(A2622))</f>
        <v/>
      </c>
      <c r="N2622" s="26">
        <f>IF(A2622="","",CHOOSE(WEEKDAY(A2622,2),"Segunda","Terça","Quarta","Quinta","Sexta","Sábado","Domingo"))</f>
        <v/>
      </c>
      <c r="O2622" s="26">
        <f>IF(B2622="","",IF(B2622&lt;TIME(12,0,0),"Manhã",IF(B2622&lt;TIME(18,0,0),"Tarde","Noite")))</f>
        <v/>
      </c>
      <c r="P2622" s="32">
        <f>IF(G2622="","",IFERROR(INDEX(Config!$I$5:$I$16,MATCH(G2622,Config!$H$5:$H$16,0)),0))</f>
        <v/>
      </c>
      <c r="Q2622" s="30">
        <f>IF(OR(H2622&lt;&gt;"Realizado",P2622="",P2622=0),"",A2622+P2622)</f>
        <v/>
      </c>
      <c r="R2622" s="26">
        <f>IF(Q2622="","",IF(COUNTIFS($E$5:$E$3004,E2622,$A$5:$A$3004,"&gt;"&amp;A2622,$H$5:$H$3004,"&lt;&gt;Falta",$H$5:$H$3004,"&lt;&gt;Cancelado",$H$5:$H$3004,"&lt;&gt;Remarcado")&gt;0,"Sim","Não"))</f>
        <v/>
      </c>
      <c r="S2622" s="32">
        <f>IF(R2622&lt;&gt;"Não","",IF(Q2622+Config!$B$9&lt;=Config!$B$8,Config!$B$8-Q2622,""))</f>
        <v/>
      </c>
      <c r="T2622" s="26">
        <f>IF(S2622="","","Sim")</f>
        <v/>
      </c>
      <c r="U2622" s="41">
        <f>IF(T2622="Sim",S2622+ROW()/100000,0)</f>
        <v>0</v>
      </c>
      <c r="V2622" s="41">
        <f>IF(AND(H2622="Falta",L2622=Config!$B$7,M2622=Config!$B$5,COUNTIFS($E$5:E2622,E2622,$H$5:H2622,"Falta",$L$5:L2622,Config!$B$7,$M$5:M2622,Config!$B$5)=1),COUNTIFS($E$5:$E$3004,E2622,$H$5:$H$3004,"Falta",$L$5:$L$3004,Config!$B$7,$M$5:$M$3004,Config!$B$5)*1000-ROW()/100000,0)</f>
        <v>0</v>
      </c>
    </row>
    <row r="2623">
      <c r="A2623" s="39" t="n"/>
      <c r="B2623" s="40" t="n"/>
      <c r="C2623" s="35" t="n"/>
      <c r="D2623" s="35" t="n"/>
      <c r="E2623" s="34" t="n"/>
      <c r="F2623" s="35" t="n"/>
      <c r="G2623" s="35" t="n"/>
      <c r="H2623" s="35" t="n"/>
      <c r="I2623" s="35" t="n"/>
      <c r="J2623" s="35" t="n"/>
      <c r="K2623" s="34" t="n"/>
      <c r="L2623" s="26">
        <f>IF(A2623="","",MONTH(A2623))</f>
        <v/>
      </c>
      <c r="M2623" s="26">
        <f>IF(A2623="","",YEAR(A2623))</f>
        <v/>
      </c>
      <c r="N2623" s="26">
        <f>IF(A2623="","",CHOOSE(WEEKDAY(A2623,2),"Segunda","Terça","Quarta","Quinta","Sexta","Sábado","Domingo"))</f>
        <v/>
      </c>
      <c r="O2623" s="26">
        <f>IF(B2623="","",IF(B2623&lt;TIME(12,0,0),"Manhã",IF(B2623&lt;TIME(18,0,0),"Tarde","Noite")))</f>
        <v/>
      </c>
      <c r="P2623" s="32">
        <f>IF(G2623="","",IFERROR(INDEX(Config!$I$5:$I$16,MATCH(G2623,Config!$H$5:$H$16,0)),0))</f>
        <v/>
      </c>
      <c r="Q2623" s="30">
        <f>IF(OR(H2623&lt;&gt;"Realizado",P2623="",P2623=0),"",A2623+P2623)</f>
        <v/>
      </c>
      <c r="R2623" s="26">
        <f>IF(Q2623="","",IF(COUNTIFS($E$5:$E$3004,E2623,$A$5:$A$3004,"&gt;"&amp;A2623,$H$5:$H$3004,"&lt;&gt;Falta",$H$5:$H$3004,"&lt;&gt;Cancelado",$H$5:$H$3004,"&lt;&gt;Remarcado")&gt;0,"Sim","Não"))</f>
        <v/>
      </c>
      <c r="S2623" s="32">
        <f>IF(R2623&lt;&gt;"Não","",IF(Q2623+Config!$B$9&lt;=Config!$B$8,Config!$B$8-Q2623,""))</f>
        <v/>
      </c>
      <c r="T2623" s="26">
        <f>IF(S2623="","","Sim")</f>
        <v/>
      </c>
      <c r="U2623" s="41">
        <f>IF(T2623="Sim",S2623+ROW()/100000,0)</f>
        <v>0</v>
      </c>
      <c r="V2623" s="41">
        <f>IF(AND(H2623="Falta",L2623=Config!$B$7,M2623=Config!$B$5,COUNTIFS($E$5:E2623,E2623,$H$5:H2623,"Falta",$L$5:L2623,Config!$B$7,$M$5:M2623,Config!$B$5)=1),COUNTIFS($E$5:$E$3004,E2623,$H$5:$H$3004,"Falta",$L$5:$L$3004,Config!$B$7,$M$5:$M$3004,Config!$B$5)*1000-ROW()/100000,0)</f>
        <v>0</v>
      </c>
    </row>
    <row r="2624">
      <c r="A2624" s="39" t="n"/>
      <c r="B2624" s="40" t="n"/>
      <c r="C2624" s="35" t="n"/>
      <c r="D2624" s="35" t="n"/>
      <c r="E2624" s="34" t="n"/>
      <c r="F2624" s="35" t="n"/>
      <c r="G2624" s="35" t="n"/>
      <c r="H2624" s="35" t="n"/>
      <c r="I2624" s="35" t="n"/>
      <c r="J2624" s="35" t="n"/>
      <c r="K2624" s="34" t="n"/>
      <c r="L2624" s="26">
        <f>IF(A2624="","",MONTH(A2624))</f>
        <v/>
      </c>
      <c r="M2624" s="26">
        <f>IF(A2624="","",YEAR(A2624))</f>
        <v/>
      </c>
      <c r="N2624" s="26">
        <f>IF(A2624="","",CHOOSE(WEEKDAY(A2624,2),"Segunda","Terça","Quarta","Quinta","Sexta","Sábado","Domingo"))</f>
        <v/>
      </c>
      <c r="O2624" s="26">
        <f>IF(B2624="","",IF(B2624&lt;TIME(12,0,0),"Manhã",IF(B2624&lt;TIME(18,0,0),"Tarde","Noite")))</f>
        <v/>
      </c>
      <c r="P2624" s="32">
        <f>IF(G2624="","",IFERROR(INDEX(Config!$I$5:$I$16,MATCH(G2624,Config!$H$5:$H$16,0)),0))</f>
        <v/>
      </c>
      <c r="Q2624" s="30">
        <f>IF(OR(H2624&lt;&gt;"Realizado",P2624="",P2624=0),"",A2624+P2624)</f>
        <v/>
      </c>
      <c r="R2624" s="26">
        <f>IF(Q2624="","",IF(COUNTIFS($E$5:$E$3004,E2624,$A$5:$A$3004,"&gt;"&amp;A2624,$H$5:$H$3004,"&lt;&gt;Falta",$H$5:$H$3004,"&lt;&gt;Cancelado",$H$5:$H$3004,"&lt;&gt;Remarcado")&gt;0,"Sim","Não"))</f>
        <v/>
      </c>
      <c r="S2624" s="32">
        <f>IF(R2624&lt;&gt;"Não","",IF(Q2624+Config!$B$9&lt;=Config!$B$8,Config!$B$8-Q2624,""))</f>
        <v/>
      </c>
      <c r="T2624" s="26">
        <f>IF(S2624="","","Sim")</f>
        <v/>
      </c>
      <c r="U2624" s="41">
        <f>IF(T2624="Sim",S2624+ROW()/100000,0)</f>
        <v>0</v>
      </c>
      <c r="V2624" s="41">
        <f>IF(AND(H2624="Falta",L2624=Config!$B$7,M2624=Config!$B$5,COUNTIFS($E$5:E2624,E2624,$H$5:H2624,"Falta",$L$5:L2624,Config!$B$7,$M$5:M2624,Config!$B$5)=1),COUNTIFS($E$5:$E$3004,E2624,$H$5:$H$3004,"Falta",$L$5:$L$3004,Config!$B$7,$M$5:$M$3004,Config!$B$5)*1000-ROW()/100000,0)</f>
        <v>0</v>
      </c>
    </row>
    <row r="2625">
      <c r="A2625" s="39" t="n"/>
      <c r="B2625" s="40" t="n"/>
      <c r="C2625" s="35" t="n"/>
      <c r="D2625" s="35" t="n"/>
      <c r="E2625" s="34" t="n"/>
      <c r="F2625" s="35" t="n"/>
      <c r="G2625" s="35" t="n"/>
      <c r="H2625" s="35" t="n"/>
      <c r="I2625" s="35" t="n"/>
      <c r="J2625" s="35" t="n"/>
      <c r="K2625" s="34" t="n"/>
      <c r="L2625" s="26">
        <f>IF(A2625="","",MONTH(A2625))</f>
        <v/>
      </c>
      <c r="M2625" s="26">
        <f>IF(A2625="","",YEAR(A2625))</f>
        <v/>
      </c>
      <c r="N2625" s="26">
        <f>IF(A2625="","",CHOOSE(WEEKDAY(A2625,2),"Segunda","Terça","Quarta","Quinta","Sexta","Sábado","Domingo"))</f>
        <v/>
      </c>
      <c r="O2625" s="26">
        <f>IF(B2625="","",IF(B2625&lt;TIME(12,0,0),"Manhã",IF(B2625&lt;TIME(18,0,0),"Tarde","Noite")))</f>
        <v/>
      </c>
      <c r="P2625" s="32">
        <f>IF(G2625="","",IFERROR(INDEX(Config!$I$5:$I$16,MATCH(G2625,Config!$H$5:$H$16,0)),0))</f>
        <v/>
      </c>
      <c r="Q2625" s="30">
        <f>IF(OR(H2625&lt;&gt;"Realizado",P2625="",P2625=0),"",A2625+P2625)</f>
        <v/>
      </c>
      <c r="R2625" s="26">
        <f>IF(Q2625="","",IF(COUNTIFS($E$5:$E$3004,E2625,$A$5:$A$3004,"&gt;"&amp;A2625,$H$5:$H$3004,"&lt;&gt;Falta",$H$5:$H$3004,"&lt;&gt;Cancelado",$H$5:$H$3004,"&lt;&gt;Remarcado")&gt;0,"Sim","Não"))</f>
        <v/>
      </c>
      <c r="S2625" s="32">
        <f>IF(R2625&lt;&gt;"Não","",IF(Q2625+Config!$B$9&lt;=Config!$B$8,Config!$B$8-Q2625,""))</f>
        <v/>
      </c>
      <c r="T2625" s="26">
        <f>IF(S2625="","","Sim")</f>
        <v/>
      </c>
      <c r="U2625" s="41">
        <f>IF(T2625="Sim",S2625+ROW()/100000,0)</f>
        <v>0</v>
      </c>
      <c r="V2625" s="41">
        <f>IF(AND(H2625="Falta",L2625=Config!$B$7,M2625=Config!$B$5,COUNTIFS($E$5:E2625,E2625,$H$5:H2625,"Falta",$L$5:L2625,Config!$B$7,$M$5:M2625,Config!$B$5)=1),COUNTIFS($E$5:$E$3004,E2625,$H$5:$H$3004,"Falta",$L$5:$L$3004,Config!$B$7,$M$5:$M$3004,Config!$B$5)*1000-ROW()/100000,0)</f>
        <v>0</v>
      </c>
    </row>
    <row r="2626">
      <c r="A2626" s="39" t="n"/>
      <c r="B2626" s="40" t="n"/>
      <c r="C2626" s="35" t="n"/>
      <c r="D2626" s="35" t="n"/>
      <c r="E2626" s="34" t="n"/>
      <c r="F2626" s="35" t="n"/>
      <c r="G2626" s="35" t="n"/>
      <c r="H2626" s="35" t="n"/>
      <c r="I2626" s="35" t="n"/>
      <c r="J2626" s="35" t="n"/>
      <c r="K2626" s="34" t="n"/>
      <c r="L2626" s="26">
        <f>IF(A2626="","",MONTH(A2626))</f>
        <v/>
      </c>
      <c r="M2626" s="26">
        <f>IF(A2626="","",YEAR(A2626))</f>
        <v/>
      </c>
      <c r="N2626" s="26">
        <f>IF(A2626="","",CHOOSE(WEEKDAY(A2626,2),"Segunda","Terça","Quarta","Quinta","Sexta","Sábado","Domingo"))</f>
        <v/>
      </c>
      <c r="O2626" s="26">
        <f>IF(B2626="","",IF(B2626&lt;TIME(12,0,0),"Manhã",IF(B2626&lt;TIME(18,0,0),"Tarde","Noite")))</f>
        <v/>
      </c>
      <c r="P2626" s="32">
        <f>IF(G2626="","",IFERROR(INDEX(Config!$I$5:$I$16,MATCH(G2626,Config!$H$5:$H$16,0)),0))</f>
        <v/>
      </c>
      <c r="Q2626" s="30">
        <f>IF(OR(H2626&lt;&gt;"Realizado",P2626="",P2626=0),"",A2626+P2626)</f>
        <v/>
      </c>
      <c r="R2626" s="26">
        <f>IF(Q2626="","",IF(COUNTIFS($E$5:$E$3004,E2626,$A$5:$A$3004,"&gt;"&amp;A2626,$H$5:$H$3004,"&lt;&gt;Falta",$H$5:$H$3004,"&lt;&gt;Cancelado",$H$5:$H$3004,"&lt;&gt;Remarcado")&gt;0,"Sim","Não"))</f>
        <v/>
      </c>
      <c r="S2626" s="32">
        <f>IF(R2626&lt;&gt;"Não","",IF(Q2626+Config!$B$9&lt;=Config!$B$8,Config!$B$8-Q2626,""))</f>
        <v/>
      </c>
      <c r="T2626" s="26">
        <f>IF(S2626="","","Sim")</f>
        <v/>
      </c>
      <c r="U2626" s="41">
        <f>IF(T2626="Sim",S2626+ROW()/100000,0)</f>
        <v>0</v>
      </c>
      <c r="V2626" s="41">
        <f>IF(AND(H2626="Falta",L2626=Config!$B$7,M2626=Config!$B$5,COUNTIFS($E$5:E2626,E2626,$H$5:H2626,"Falta",$L$5:L2626,Config!$B$7,$M$5:M2626,Config!$B$5)=1),COUNTIFS($E$5:$E$3004,E2626,$H$5:$H$3004,"Falta",$L$5:$L$3004,Config!$B$7,$M$5:$M$3004,Config!$B$5)*1000-ROW()/100000,0)</f>
        <v>0</v>
      </c>
    </row>
    <row r="2627">
      <c r="A2627" s="39" t="n"/>
      <c r="B2627" s="40" t="n"/>
      <c r="C2627" s="35" t="n"/>
      <c r="D2627" s="35" t="n"/>
      <c r="E2627" s="34" t="n"/>
      <c r="F2627" s="35" t="n"/>
      <c r="G2627" s="35" t="n"/>
      <c r="H2627" s="35" t="n"/>
      <c r="I2627" s="35" t="n"/>
      <c r="J2627" s="35" t="n"/>
      <c r="K2627" s="34" t="n"/>
      <c r="L2627" s="26">
        <f>IF(A2627="","",MONTH(A2627))</f>
        <v/>
      </c>
      <c r="M2627" s="26">
        <f>IF(A2627="","",YEAR(A2627))</f>
        <v/>
      </c>
      <c r="N2627" s="26">
        <f>IF(A2627="","",CHOOSE(WEEKDAY(A2627,2),"Segunda","Terça","Quarta","Quinta","Sexta","Sábado","Domingo"))</f>
        <v/>
      </c>
      <c r="O2627" s="26">
        <f>IF(B2627="","",IF(B2627&lt;TIME(12,0,0),"Manhã",IF(B2627&lt;TIME(18,0,0),"Tarde","Noite")))</f>
        <v/>
      </c>
      <c r="P2627" s="32">
        <f>IF(G2627="","",IFERROR(INDEX(Config!$I$5:$I$16,MATCH(G2627,Config!$H$5:$H$16,0)),0))</f>
        <v/>
      </c>
      <c r="Q2627" s="30">
        <f>IF(OR(H2627&lt;&gt;"Realizado",P2627="",P2627=0),"",A2627+P2627)</f>
        <v/>
      </c>
      <c r="R2627" s="26">
        <f>IF(Q2627="","",IF(COUNTIFS($E$5:$E$3004,E2627,$A$5:$A$3004,"&gt;"&amp;A2627,$H$5:$H$3004,"&lt;&gt;Falta",$H$5:$H$3004,"&lt;&gt;Cancelado",$H$5:$H$3004,"&lt;&gt;Remarcado")&gt;0,"Sim","Não"))</f>
        <v/>
      </c>
      <c r="S2627" s="32">
        <f>IF(R2627&lt;&gt;"Não","",IF(Q2627+Config!$B$9&lt;=Config!$B$8,Config!$B$8-Q2627,""))</f>
        <v/>
      </c>
      <c r="T2627" s="26">
        <f>IF(S2627="","","Sim")</f>
        <v/>
      </c>
      <c r="U2627" s="41">
        <f>IF(T2627="Sim",S2627+ROW()/100000,0)</f>
        <v>0</v>
      </c>
      <c r="V2627" s="41">
        <f>IF(AND(H2627="Falta",L2627=Config!$B$7,M2627=Config!$B$5,COUNTIFS($E$5:E2627,E2627,$H$5:H2627,"Falta",$L$5:L2627,Config!$B$7,$M$5:M2627,Config!$B$5)=1),COUNTIFS($E$5:$E$3004,E2627,$H$5:$H$3004,"Falta",$L$5:$L$3004,Config!$B$7,$M$5:$M$3004,Config!$B$5)*1000-ROW()/100000,0)</f>
        <v>0</v>
      </c>
    </row>
    <row r="2628">
      <c r="A2628" s="39" t="n"/>
      <c r="B2628" s="40" t="n"/>
      <c r="C2628" s="35" t="n"/>
      <c r="D2628" s="35" t="n"/>
      <c r="E2628" s="34" t="n"/>
      <c r="F2628" s="35" t="n"/>
      <c r="G2628" s="35" t="n"/>
      <c r="H2628" s="35" t="n"/>
      <c r="I2628" s="35" t="n"/>
      <c r="J2628" s="35" t="n"/>
      <c r="K2628" s="34" t="n"/>
      <c r="L2628" s="26">
        <f>IF(A2628="","",MONTH(A2628))</f>
        <v/>
      </c>
      <c r="M2628" s="26">
        <f>IF(A2628="","",YEAR(A2628))</f>
        <v/>
      </c>
      <c r="N2628" s="26">
        <f>IF(A2628="","",CHOOSE(WEEKDAY(A2628,2),"Segunda","Terça","Quarta","Quinta","Sexta","Sábado","Domingo"))</f>
        <v/>
      </c>
      <c r="O2628" s="26">
        <f>IF(B2628="","",IF(B2628&lt;TIME(12,0,0),"Manhã",IF(B2628&lt;TIME(18,0,0),"Tarde","Noite")))</f>
        <v/>
      </c>
      <c r="P2628" s="32">
        <f>IF(G2628="","",IFERROR(INDEX(Config!$I$5:$I$16,MATCH(G2628,Config!$H$5:$H$16,0)),0))</f>
        <v/>
      </c>
      <c r="Q2628" s="30">
        <f>IF(OR(H2628&lt;&gt;"Realizado",P2628="",P2628=0),"",A2628+P2628)</f>
        <v/>
      </c>
      <c r="R2628" s="26">
        <f>IF(Q2628="","",IF(COUNTIFS($E$5:$E$3004,E2628,$A$5:$A$3004,"&gt;"&amp;A2628,$H$5:$H$3004,"&lt;&gt;Falta",$H$5:$H$3004,"&lt;&gt;Cancelado",$H$5:$H$3004,"&lt;&gt;Remarcado")&gt;0,"Sim","Não"))</f>
        <v/>
      </c>
      <c r="S2628" s="32">
        <f>IF(R2628&lt;&gt;"Não","",IF(Q2628+Config!$B$9&lt;=Config!$B$8,Config!$B$8-Q2628,""))</f>
        <v/>
      </c>
      <c r="T2628" s="26">
        <f>IF(S2628="","","Sim")</f>
        <v/>
      </c>
      <c r="U2628" s="41">
        <f>IF(T2628="Sim",S2628+ROW()/100000,0)</f>
        <v>0</v>
      </c>
      <c r="V2628" s="41">
        <f>IF(AND(H2628="Falta",L2628=Config!$B$7,M2628=Config!$B$5,COUNTIFS($E$5:E2628,E2628,$H$5:H2628,"Falta",$L$5:L2628,Config!$B$7,$M$5:M2628,Config!$B$5)=1),COUNTIFS($E$5:$E$3004,E2628,$H$5:$H$3004,"Falta",$L$5:$L$3004,Config!$B$7,$M$5:$M$3004,Config!$B$5)*1000-ROW()/100000,0)</f>
        <v>0</v>
      </c>
    </row>
    <row r="2629">
      <c r="A2629" s="39" t="n"/>
      <c r="B2629" s="40" t="n"/>
      <c r="C2629" s="35" t="n"/>
      <c r="D2629" s="35" t="n"/>
      <c r="E2629" s="34" t="n"/>
      <c r="F2629" s="35" t="n"/>
      <c r="G2629" s="35" t="n"/>
      <c r="H2629" s="35" t="n"/>
      <c r="I2629" s="35" t="n"/>
      <c r="J2629" s="35" t="n"/>
      <c r="K2629" s="34" t="n"/>
      <c r="L2629" s="26">
        <f>IF(A2629="","",MONTH(A2629))</f>
        <v/>
      </c>
      <c r="M2629" s="26">
        <f>IF(A2629="","",YEAR(A2629))</f>
        <v/>
      </c>
      <c r="N2629" s="26">
        <f>IF(A2629="","",CHOOSE(WEEKDAY(A2629,2),"Segunda","Terça","Quarta","Quinta","Sexta","Sábado","Domingo"))</f>
        <v/>
      </c>
      <c r="O2629" s="26">
        <f>IF(B2629="","",IF(B2629&lt;TIME(12,0,0),"Manhã",IF(B2629&lt;TIME(18,0,0),"Tarde","Noite")))</f>
        <v/>
      </c>
      <c r="P2629" s="32">
        <f>IF(G2629="","",IFERROR(INDEX(Config!$I$5:$I$16,MATCH(G2629,Config!$H$5:$H$16,0)),0))</f>
        <v/>
      </c>
      <c r="Q2629" s="30">
        <f>IF(OR(H2629&lt;&gt;"Realizado",P2629="",P2629=0),"",A2629+P2629)</f>
        <v/>
      </c>
      <c r="R2629" s="26">
        <f>IF(Q2629="","",IF(COUNTIFS($E$5:$E$3004,E2629,$A$5:$A$3004,"&gt;"&amp;A2629,$H$5:$H$3004,"&lt;&gt;Falta",$H$5:$H$3004,"&lt;&gt;Cancelado",$H$5:$H$3004,"&lt;&gt;Remarcado")&gt;0,"Sim","Não"))</f>
        <v/>
      </c>
      <c r="S2629" s="32">
        <f>IF(R2629&lt;&gt;"Não","",IF(Q2629+Config!$B$9&lt;=Config!$B$8,Config!$B$8-Q2629,""))</f>
        <v/>
      </c>
      <c r="T2629" s="26">
        <f>IF(S2629="","","Sim")</f>
        <v/>
      </c>
      <c r="U2629" s="41">
        <f>IF(T2629="Sim",S2629+ROW()/100000,0)</f>
        <v>0</v>
      </c>
      <c r="V2629" s="41">
        <f>IF(AND(H2629="Falta",L2629=Config!$B$7,M2629=Config!$B$5,COUNTIFS($E$5:E2629,E2629,$H$5:H2629,"Falta",$L$5:L2629,Config!$B$7,$M$5:M2629,Config!$B$5)=1),COUNTIFS($E$5:$E$3004,E2629,$H$5:$H$3004,"Falta",$L$5:$L$3004,Config!$B$7,$M$5:$M$3004,Config!$B$5)*1000-ROW()/100000,0)</f>
        <v>0</v>
      </c>
    </row>
    <row r="2630">
      <c r="A2630" s="39" t="n"/>
      <c r="B2630" s="40" t="n"/>
      <c r="C2630" s="35" t="n"/>
      <c r="D2630" s="35" t="n"/>
      <c r="E2630" s="34" t="n"/>
      <c r="F2630" s="35" t="n"/>
      <c r="G2630" s="35" t="n"/>
      <c r="H2630" s="35" t="n"/>
      <c r="I2630" s="35" t="n"/>
      <c r="J2630" s="35" t="n"/>
      <c r="K2630" s="34" t="n"/>
      <c r="L2630" s="26">
        <f>IF(A2630="","",MONTH(A2630))</f>
        <v/>
      </c>
      <c r="M2630" s="26">
        <f>IF(A2630="","",YEAR(A2630))</f>
        <v/>
      </c>
      <c r="N2630" s="26">
        <f>IF(A2630="","",CHOOSE(WEEKDAY(A2630,2),"Segunda","Terça","Quarta","Quinta","Sexta","Sábado","Domingo"))</f>
        <v/>
      </c>
      <c r="O2630" s="26">
        <f>IF(B2630="","",IF(B2630&lt;TIME(12,0,0),"Manhã",IF(B2630&lt;TIME(18,0,0),"Tarde","Noite")))</f>
        <v/>
      </c>
      <c r="P2630" s="32">
        <f>IF(G2630="","",IFERROR(INDEX(Config!$I$5:$I$16,MATCH(G2630,Config!$H$5:$H$16,0)),0))</f>
        <v/>
      </c>
      <c r="Q2630" s="30">
        <f>IF(OR(H2630&lt;&gt;"Realizado",P2630="",P2630=0),"",A2630+P2630)</f>
        <v/>
      </c>
      <c r="R2630" s="26">
        <f>IF(Q2630="","",IF(COUNTIFS($E$5:$E$3004,E2630,$A$5:$A$3004,"&gt;"&amp;A2630,$H$5:$H$3004,"&lt;&gt;Falta",$H$5:$H$3004,"&lt;&gt;Cancelado",$H$5:$H$3004,"&lt;&gt;Remarcado")&gt;0,"Sim","Não"))</f>
        <v/>
      </c>
      <c r="S2630" s="32">
        <f>IF(R2630&lt;&gt;"Não","",IF(Q2630+Config!$B$9&lt;=Config!$B$8,Config!$B$8-Q2630,""))</f>
        <v/>
      </c>
      <c r="T2630" s="26">
        <f>IF(S2630="","","Sim")</f>
        <v/>
      </c>
      <c r="U2630" s="41">
        <f>IF(T2630="Sim",S2630+ROW()/100000,0)</f>
        <v>0</v>
      </c>
      <c r="V2630" s="41">
        <f>IF(AND(H2630="Falta",L2630=Config!$B$7,M2630=Config!$B$5,COUNTIFS($E$5:E2630,E2630,$H$5:H2630,"Falta",$L$5:L2630,Config!$B$7,$M$5:M2630,Config!$B$5)=1),COUNTIFS($E$5:$E$3004,E2630,$H$5:$H$3004,"Falta",$L$5:$L$3004,Config!$B$7,$M$5:$M$3004,Config!$B$5)*1000-ROW()/100000,0)</f>
        <v>0</v>
      </c>
    </row>
    <row r="2631">
      <c r="A2631" s="39" t="n"/>
      <c r="B2631" s="40" t="n"/>
      <c r="C2631" s="35" t="n"/>
      <c r="D2631" s="35" t="n"/>
      <c r="E2631" s="34" t="n"/>
      <c r="F2631" s="35" t="n"/>
      <c r="G2631" s="35" t="n"/>
      <c r="H2631" s="35" t="n"/>
      <c r="I2631" s="35" t="n"/>
      <c r="J2631" s="35" t="n"/>
      <c r="K2631" s="34" t="n"/>
      <c r="L2631" s="26">
        <f>IF(A2631="","",MONTH(A2631))</f>
        <v/>
      </c>
      <c r="M2631" s="26">
        <f>IF(A2631="","",YEAR(A2631))</f>
        <v/>
      </c>
      <c r="N2631" s="26">
        <f>IF(A2631="","",CHOOSE(WEEKDAY(A2631,2),"Segunda","Terça","Quarta","Quinta","Sexta","Sábado","Domingo"))</f>
        <v/>
      </c>
      <c r="O2631" s="26">
        <f>IF(B2631="","",IF(B2631&lt;TIME(12,0,0),"Manhã",IF(B2631&lt;TIME(18,0,0),"Tarde","Noite")))</f>
        <v/>
      </c>
      <c r="P2631" s="32">
        <f>IF(G2631="","",IFERROR(INDEX(Config!$I$5:$I$16,MATCH(G2631,Config!$H$5:$H$16,0)),0))</f>
        <v/>
      </c>
      <c r="Q2631" s="30">
        <f>IF(OR(H2631&lt;&gt;"Realizado",P2631="",P2631=0),"",A2631+P2631)</f>
        <v/>
      </c>
      <c r="R2631" s="26">
        <f>IF(Q2631="","",IF(COUNTIFS($E$5:$E$3004,E2631,$A$5:$A$3004,"&gt;"&amp;A2631,$H$5:$H$3004,"&lt;&gt;Falta",$H$5:$H$3004,"&lt;&gt;Cancelado",$H$5:$H$3004,"&lt;&gt;Remarcado")&gt;0,"Sim","Não"))</f>
        <v/>
      </c>
      <c r="S2631" s="32">
        <f>IF(R2631&lt;&gt;"Não","",IF(Q2631+Config!$B$9&lt;=Config!$B$8,Config!$B$8-Q2631,""))</f>
        <v/>
      </c>
      <c r="T2631" s="26">
        <f>IF(S2631="","","Sim")</f>
        <v/>
      </c>
      <c r="U2631" s="41">
        <f>IF(T2631="Sim",S2631+ROW()/100000,0)</f>
        <v>0</v>
      </c>
      <c r="V2631" s="41">
        <f>IF(AND(H2631="Falta",L2631=Config!$B$7,M2631=Config!$B$5,COUNTIFS($E$5:E2631,E2631,$H$5:H2631,"Falta",$L$5:L2631,Config!$B$7,$M$5:M2631,Config!$B$5)=1),COUNTIFS($E$5:$E$3004,E2631,$H$5:$H$3004,"Falta",$L$5:$L$3004,Config!$B$7,$M$5:$M$3004,Config!$B$5)*1000-ROW()/100000,0)</f>
        <v>0</v>
      </c>
    </row>
    <row r="2632">
      <c r="A2632" s="39" t="n"/>
      <c r="B2632" s="40" t="n"/>
      <c r="C2632" s="35" t="n"/>
      <c r="D2632" s="35" t="n"/>
      <c r="E2632" s="34" t="n"/>
      <c r="F2632" s="35" t="n"/>
      <c r="G2632" s="35" t="n"/>
      <c r="H2632" s="35" t="n"/>
      <c r="I2632" s="35" t="n"/>
      <c r="J2632" s="35" t="n"/>
      <c r="K2632" s="34" t="n"/>
      <c r="L2632" s="26">
        <f>IF(A2632="","",MONTH(A2632))</f>
        <v/>
      </c>
      <c r="M2632" s="26">
        <f>IF(A2632="","",YEAR(A2632))</f>
        <v/>
      </c>
      <c r="N2632" s="26">
        <f>IF(A2632="","",CHOOSE(WEEKDAY(A2632,2),"Segunda","Terça","Quarta","Quinta","Sexta","Sábado","Domingo"))</f>
        <v/>
      </c>
      <c r="O2632" s="26">
        <f>IF(B2632="","",IF(B2632&lt;TIME(12,0,0),"Manhã",IF(B2632&lt;TIME(18,0,0),"Tarde","Noite")))</f>
        <v/>
      </c>
      <c r="P2632" s="32">
        <f>IF(G2632="","",IFERROR(INDEX(Config!$I$5:$I$16,MATCH(G2632,Config!$H$5:$H$16,0)),0))</f>
        <v/>
      </c>
      <c r="Q2632" s="30">
        <f>IF(OR(H2632&lt;&gt;"Realizado",P2632="",P2632=0),"",A2632+P2632)</f>
        <v/>
      </c>
      <c r="R2632" s="26">
        <f>IF(Q2632="","",IF(COUNTIFS($E$5:$E$3004,E2632,$A$5:$A$3004,"&gt;"&amp;A2632,$H$5:$H$3004,"&lt;&gt;Falta",$H$5:$H$3004,"&lt;&gt;Cancelado",$H$5:$H$3004,"&lt;&gt;Remarcado")&gt;0,"Sim","Não"))</f>
        <v/>
      </c>
      <c r="S2632" s="32">
        <f>IF(R2632&lt;&gt;"Não","",IF(Q2632+Config!$B$9&lt;=Config!$B$8,Config!$B$8-Q2632,""))</f>
        <v/>
      </c>
      <c r="T2632" s="26">
        <f>IF(S2632="","","Sim")</f>
        <v/>
      </c>
      <c r="U2632" s="41">
        <f>IF(T2632="Sim",S2632+ROW()/100000,0)</f>
        <v>0</v>
      </c>
      <c r="V2632" s="41">
        <f>IF(AND(H2632="Falta",L2632=Config!$B$7,M2632=Config!$B$5,COUNTIFS($E$5:E2632,E2632,$H$5:H2632,"Falta",$L$5:L2632,Config!$B$7,$M$5:M2632,Config!$B$5)=1),COUNTIFS($E$5:$E$3004,E2632,$H$5:$H$3004,"Falta",$L$5:$L$3004,Config!$B$7,$M$5:$M$3004,Config!$B$5)*1000-ROW()/100000,0)</f>
        <v>0</v>
      </c>
    </row>
    <row r="2633">
      <c r="A2633" s="39" t="n"/>
      <c r="B2633" s="40" t="n"/>
      <c r="C2633" s="35" t="n"/>
      <c r="D2633" s="35" t="n"/>
      <c r="E2633" s="34" t="n"/>
      <c r="F2633" s="35" t="n"/>
      <c r="G2633" s="35" t="n"/>
      <c r="H2633" s="35" t="n"/>
      <c r="I2633" s="35" t="n"/>
      <c r="J2633" s="35" t="n"/>
      <c r="K2633" s="34" t="n"/>
      <c r="L2633" s="26">
        <f>IF(A2633="","",MONTH(A2633))</f>
        <v/>
      </c>
      <c r="M2633" s="26">
        <f>IF(A2633="","",YEAR(A2633))</f>
        <v/>
      </c>
      <c r="N2633" s="26">
        <f>IF(A2633="","",CHOOSE(WEEKDAY(A2633,2),"Segunda","Terça","Quarta","Quinta","Sexta","Sábado","Domingo"))</f>
        <v/>
      </c>
      <c r="O2633" s="26">
        <f>IF(B2633="","",IF(B2633&lt;TIME(12,0,0),"Manhã",IF(B2633&lt;TIME(18,0,0),"Tarde","Noite")))</f>
        <v/>
      </c>
      <c r="P2633" s="32">
        <f>IF(G2633="","",IFERROR(INDEX(Config!$I$5:$I$16,MATCH(G2633,Config!$H$5:$H$16,0)),0))</f>
        <v/>
      </c>
      <c r="Q2633" s="30">
        <f>IF(OR(H2633&lt;&gt;"Realizado",P2633="",P2633=0),"",A2633+P2633)</f>
        <v/>
      </c>
      <c r="R2633" s="26">
        <f>IF(Q2633="","",IF(COUNTIFS($E$5:$E$3004,E2633,$A$5:$A$3004,"&gt;"&amp;A2633,$H$5:$H$3004,"&lt;&gt;Falta",$H$5:$H$3004,"&lt;&gt;Cancelado",$H$5:$H$3004,"&lt;&gt;Remarcado")&gt;0,"Sim","Não"))</f>
        <v/>
      </c>
      <c r="S2633" s="32">
        <f>IF(R2633&lt;&gt;"Não","",IF(Q2633+Config!$B$9&lt;=Config!$B$8,Config!$B$8-Q2633,""))</f>
        <v/>
      </c>
      <c r="T2633" s="26">
        <f>IF(S2633="","","Sim")</f>
        <v/>
      </c>
      <c r="U2633" s="41">
        <f>IF(T2633="Sim",S2633+ROW()/100000,0)</f>
        <v>0</v>
      </c>
      <c r="V2633" s="41">
        <f>IF(AND(H2633="Falta",L2633=Config!$B$7,M2633=Config!$B$5,COUNTIFS($E$5:E2633,E2633,$H$5:H2633,"Falta",$L$5:L2633,Config!$B$7,$M$5:M2633,Config!$B$5)=1),COUNTIFS($E$5:$E$3004,E2633,$H$5:$H$3004,"Falta",$L$5:$L$3004,Config!$B$7,$M$5:$M$3004,Config!$B$5)*1000-ROW()/100000,0)</f>
        <v>0</v>
      </c>
    </row>
    <row r="2634">
      <c r="A2634" s="39" t="n"/>
      <c r="B2634" s="40" t="n"/>
      <c r="C2634" s="35" t="n"/>
      <c r="D2634" s="35" t="n"/>
      <c r="E2634" s="34" t="n"/>
      <c r="F2634" s="35" t="n"/>
      <c r="G2634" s="35" t="n"/>
      <c r="H2634" s="35" t="n"/>
      <c r="I2634" s="35" t="n"/>
      <c r="J2634" s="35" t="n"/>
      <c r="K2634" s="34" t="n"/>
      <c r="L2634" s="26">
        <f>IF(A2634="","",MONTH(A2634))</f>
        <v/>
      </c>
      <c r="M2634" s="26">
        <f>IF(A2634="","",YEAR(A2634))</f>
        <v/>
      </c>
      <c r="N2634" s="26">
        <f>IF(A2634="","",CHOOSE(WEEKDAY(A2634,2),"Segunda","Terça","Quarta","Quinta","Sexta","Sábado","Domingo"))</f>
        <v/>
      </c>
      <c r="O2634" s="26">
        <f>IF(B2634="","",IF(B2634&lt;TIME(12,0,0),"Manhã",IF(B2634&lt;TIME(18,0,0),"Tarde","Noite")))</f>
        <v/>
      </c>
      <c r="P2634" s="32">
        <f>IF(G2634="","",IFERROR(INDEX(Config!$I$5:$I$16,MATCH(G2634,Config!$H$5:$H$16,0)),0))</f>
        <v/>
      </c>
      <c r="Q2634" s="30">
        <f>IF(OR(H2634&lt;&gt;"Realizado",P2634="",P2634=0),"",A2634+P2634)</f>
        <v/>
      </c>
      <c r="R2634" s="26">
        <f>IF(Q2634="","",IF(COUNTIFS($E$5:$E$3004,E2634,$A$5:$A$3004,"&gt;"&amp;A2634,$H$5:$H$3004,"&lt;&gt;Falta",$H$5:$H$3004,"&lt;&gt;Cancelado",$H$5:$H$3004,"&lt;&gt;Remarcado")&gt;0,"Sim","Não"))</f>
        <v/>
      </c>
      <c r="S2634" s="32">
        <f>IF(R2634&lt;&gt;"Não","",IF(Q2634+Config!$B$9&lt;=Config!$B$8,Config!$B$8-Q2634,""))</f>
        <v/>
      </c>
      <c r="T2634" s="26">
        <f>IF(S2634="","","Sim")</f>
        <v/>
      </c>
      <c r="U2634" s="41">
        <f>IF(T2634="Sim",S2634+ROW()/100000,0)</f>
        <v>0</v>
      </c>
      <c r="V2634" s="41">
        <f>IF(AND(H2634="Falta",L2634=Config!$B$7,M2634=Config!$B$5,COUNTIFS($E$5:E2634,E2634,$H$5:H2634,"Falta",$L$5:L2634,Config!$B$7,$M$5:M2634,Config!$B$5)=1),COUNTIFS($E$5:$E$3004,E2634,$H$5:$H$3004,"Falta",$L$5:$L$3004,Config!$B$7,$M$5:$M$3004,Config!$B$5)*1000-ROW()/100000,0)</f>
        <v>0</v>
      </c>
    </row>
    <row r="2635">
      <c r="A2635" s="39" t="n"/>
      <c r="B2635" s="40" t="n"/>
      <c r="C2635" s="35" t="n"/>
      <c r="D2635" s="35" t="n"/>
      <c r="E2635" s="34" t="n"/>
      <c r="F2635" s="35" t="n"/>
      <c r="G2635" s="35" t="n"/>
      <c r="H2635" s="35" t="n"/>
      <c r="I2635" s="35" t="n"/>
      <c r="J2635" s="35" t="n"/>
      <c r="K2635" s="34" t="n"/>
      <c r="L2635" s="26">
        <f>IF(A2635="","",MONTH(A2635))</f>
        <v/>
      </c>
      <c r="M2635" s="26">
        <f>IF(A2635="","",YEAR(A2635))</f>
        <v/>
      </c>
      <c r="N2635" s="26">
        <f>IF(A2635="","",CHOOSE(WEEKDAY(A2635,2),"Segunda","Terça","Quarta","Quinta","Sexta","Sábado","Domingo"))</f>
        <v/>
      </c>
      <c r="O2635" s="26">
        <f>IF(B2635="","",IF(B2635&lt;TIME(12,0,0),"Manhã",IF(B2635&lt;TIME(18,0,0),"Tarde","Noite")))</f>
        <v/>
      </c>
      <c r="P2635" s="32">
        <f>IF(G2635="","",IFERROR(INDEX(Config!$I$5:$I$16,MATCH(G2635,Config!$H$5:$H$16,0)),0))</f>
        <v/>
      </c>
      <c r="Q2635" s="30">
        <f>IF(OR(H2635&lt;&gt;"Realizado",P2635="",P2635=0),"",A2635+P2635)</f>
        <v/>
      </c>
      <c r="R2635" s="26">
        <f>IF(Q2635="","",IF(COUNTIFS($E$5:$E$3004,E2635,$A$5:$A$3004,"&gt;"&amp;A2635,$H$5:$H$3004,"&lt;&gt;Falta",$H$5:$H$3004,"&lt;&gt;Cancelado",$H$5:$H$3004,"&lt;&gt;Remarcado")&gt;0,"Sim","Não"))</f>
        <v/>
      </c>
      <c r="S2635" s="32">
        <f>IF(R2635&lt;&gt;"Não","",IF(Q2635+Config!$B$9&lt;=Config!$B$8,Config!$B$8-Q2635,""))</f>
        <v/>
      </c>
      <c r="T2635" s="26">
        <f>IF(S2635="","","Sim")</f>
        <v/>
      </c>
      <c r="U2635" s="41">
        <f>IF(T2635="Sim",S2635+ROW()/100000,0)</f>
        <v>0</v>
      </c>
      <c r="V2635" s="41">
        <f>IF(AND(H2635="Falta",L2635=Config!$B$7,M2635=Config!$B$5,COUNTIFS($E$5:E2635,E2635,$H$5:H2635,"Falta",$L$5:L2635,Config!$B$7,$M$5:M2635,Config!$B$5)=1),COUNTIFS($E$5:$E$3004,E2635,$H$5:$H$3004,"Falta",$L$5:$L$3004,Config!$B$7,$M$5:$M$3004,Config!$B$5)*1000-ROW()/100000,0)</f>
        <v>0</v>
      </c>
    </row>
    <row r="2636">
      <c r="A2636" s="39" t="n"/>
      <c r="B2636" s="40" t="n"/>
      <c r="C2636" s="35" t="n"/>
      <c r="D2636" s="35" t="n"/>
      <c r="E2636" s="34" t="n"/>
      <c r="F2636" s="35" t="n"/>
      <c r="G2636" s="35" t="n"/>
      <c r="H2636" s="35" t="n"/>
      <c r="I2636" s="35" t="n"/>
      <c r="J2636" s="35" t="n"/>
      <c r="K2636" s="34" t="n"/>
      <c r="L2636" s="26">
        <f>IF(A2636="","",MONTH(A2636))</f>
        <v/>
      </c>
      <c r="M2636" s="26">
        <f>IF(A2636="","",YEAR(A2636))</f>
        <v/>
      </c>
      <c r="N2636" s="26">
        <f>IF(A2636="","",CHOOSE(WEEKDAY(A2636,2),"Segunda","Terça","Quarta","Quinta","Sexta","Sábado","Domingo"))</f>
        <v/>
      </c>
      <c r="O2636" s="26">
        <f>IF(B2636="","",IF(B2636&lt;TIME(12,0,0),"Manhã",IF(B2636&lt;TIME(18,0,0),"Tarde","Noite")))</f>
        <v/>
      </c>
      <c r="P2636" s="32">
        <f>IF(G2636="","",IFERROR(INDEX(Config!$I$5:$I$16,MATCH(G2636,Config!$H$5:$H$16,0)),0))</f>
        <v/>
      </c>
      <c r="Q2636" s="30">
        <f>IF(OR(H2636&lt;&gt;"Realizado",P2636="",P2636=0),"",A2636+P2636)</f>
        <v/>
      </c>
      <c r="R2636" s="26">
        <f>IF(Q2636="","",IF(COUNTIFS($E$5:$E$3004,E2636,$A$5:$A$3004,"&gt;"&amp;A2636,$H$5:$H$3004,"&lt;&gt;Falta",$H$5:$H$3004,"&lt;&gt;Cancelado",$H$5:$H$3004,"&lt;&gt;Remarcado")&gt;0,"Sim","Não"))</f>
        <v/>
      </c>
      <c r="S2636" s="32">
        <f>IF(R2636&lt;&gt;"Não","",IF(Q2636+Config!$B$9&lt;=Config!$B$8,Config!$B$8-Q2636,""))</f>
        <v/>
      </c>
      <c r="T2636" s="26">
        <f>IF(S2636="","","Sim")</f>
        <v/>
      </c>
      <c r="U2636" s="41">
        <f>IF(T2636="Sim",S2636+ROW()/100000,0)</f>
        <v>0</v>
      </c>
      <c r="V2636" s="41">
        <f>IF(AND(H2636="Falta",L2636=Config!$B$7,M2636=Config!$B$5,COUNTIFS($E$5:E2636,E2636,$H$5:H2636,"Falta",$L$5:L2636,Config!$B$7,$M$5:M2636,Config!$B$5)=1),COUNTIFS($E$5:$E$3004,E2636,$H$5:$H$3004,"Falta",$L$5:$L$3004,Config!$B$7,$M$5:$M$3004,Config!$B$5)*1000-ROW()/100000,0)</f>
        <v>0</v>
      </c>
    </row>
    <row r="2637">
      <c r="A2637" s="39" t="n"/>
      <c r="B2637" s="40" t="n"/>
      <c r="C2637" s="35" t="n"/>
      <c r="D2637" s="35" t="n"/>
      <c r="E2637" s="34" t="n"/>
      <c r="F2637" s="35" t="n"/>
      <c r="G2637" s="35" t="n"/>
      <c r="H2637" s="35" t="n"/>
      <c r="I2637" s="35" t="n"/>
      <c r="J2637" s="35" t="n"/>
      <c r="K2637" s="34" t="n"/>
      <c r="L2637" s="26">
        <f>IF(A2637="","",MONTH(A2637))</f>
        <v/>
      </c>
      <c r="M2637" s="26">
        <f>IF(A2637="","",YEAR(A2637))</f>
        <v/>
      </c>
      <c r="N2637" s="26">
        <f>IF(A2637="","",CHOOSE(WEEKDAY(A2637,2),"Segunda","Terça","Quarta","Quinta","Sexta","Sábado","Domingo"))</f>
        <v/>
      </c>
      <c r="O2637" s="26">
        <f>IF(B2637="","",IF(B2637&lt;TIME(12,0,0),"Manhã",IF(B2637&lt;TIME(18,0,0),"Tarde","Noite")))</f>
        <v/>
      </c>
      <c r="P2637" s="32">
        <f>IF(G2637="","",IFERROR(INDEX(Config!$I$5:$I$16,MATCH(G2637,Config!$H$5:$H$16,0)),0))</f>
        <v/>
      </c>
      <c r="Q2637" s="30">
        <f>IF(OR(H2637&lt;&gt;"Realizado",P2637="",P2637=0),"",A2637+P2637)</f>
        <v/>
      </c>
      <c r="R2637" s="26">
        <f>IF(Q2637="","",IF(COUNTIFS($E$5:$E$3004,E2637,$A$5:$A$3004,"&gt;"&amp;A2637,$H$5:$H$3004,"&lt;&gt;Falta",$H$5:$H$3004,"&lt;&gt;Cancelado",$H$5:$H$3004,"&lt;&gt;Remarcado")&gt;0,"Sim","Não"))</f>
        <v/>
      </c>
      <c r="S2637" s="32">
        <f>IF(R2637&lt;&gt;"Não","",IF(Q2637+Config!$B$9&lt;=Config!$B$8,Config!$B$8-Q2637,""))</f>
        <v/>
      </c>
      <c r="T2637" s="26">
        <f>IF(S2637="","","Sim")</f>
        <v/>
      </c>
      <c r="U2637" s="41">
        <f>IF(T2637="Sim",S2637+ROW()/100000,0)</f>
        <v>0</v>
      </c>
      <c r="V2637" s="41">
        <f>IF(AND(H2637="Falta",L2637=Config!$B$7,M2637=Config!$B$5,COUNTIFS($E$5:E2637,E2637,$H$5:H2637,"Falta",$L$5:L2637,Config!$B$7,$M$5:M2637,Config!$B$5)=1),COUNTIFS($E$5:$E$3004,E2637,$H$5:$H$3004,"Falta",$L$5:$L$3004,Config!$B$7,$M$5:$M$3004,Config!$B$5)*1000-ROW()/100000,0)</f>
        <v>0</v>
      </c>
    </row>
    <row r="2638">
      <c r="A2638" s="39" t="n"/>
      <c r="B2638" s="40" t="n"/>
      <c r="C2638" s="35" t="n"/>
      <c r="D2638" s="35" t="n"/>
      <c r="E2638" s="34" t="n"/>
      <c r="F2638" s="35" t="n"/>
      <c r="G2638" s="35" t="n"/>
      <c r="H2638" s="35" t="n"/>
      <c r="I2638" s="35" t="n"/>
      <c r="J2638" s="35" t="n"/>
      <c r="K2638" s="34" t="n"/>
      <c r="L2638" s="26">
        <f>IF(A2638="","",MONTH(A2638))</f>
        <v/>
      </c>
      <c r="M2638" s="26">
        <f>IF(A2638="","",YEAR(A2638))</f>
        <v/>
      </c>
      <c r="N2638" s="26">
        <f>IF(A2638="","",CHOOSE(WEEKDAY(A2638,2),"Segunda","Terça","Quarta","Quinta","Sexta","Sábado","Domingo"))</f>
        <v/>
      </c>
      <c r="O2638" s="26">
        <f>IF(B2638="","",IF(B2638&lt;TIME(12,0,0),"Manhã",IF(B2638&lt;TIME(18,0,0),"Tarde","Noite")))</f>
        <v/>
      </c>
      <c r="P2638" s="32">
        <f>IF(G2638="","",IFERROR(INDEX(Config!$I$5:$I$16,MATCH(G2638,Config!$H$5:$H$16,0)),0))</f>
        <v/>
      </c>
      <c r="Q2638" s="30">
        <f>IF(OR(H2638&lt;&gt;"Realizado",P2638="",P2638=0),"",A2638+P2638)</f>
        <v/>
      </c>
      <c r="R2638" s="26">
        <f>IF(Q2638="","",IF(COUNTIFS($E$5:$E$3004,E2638,$A$5:$A$3004,"&gt;"&amp;A2638,$H$5:$H$3004,"&lt;&gt;Falta",$H$5:$H$3004,"&lt;&gt;Cancelado",$H$5:$H$3004,"&lt;&gt;Remarcado")&gt;0,"Sim","Não"))</f>
        <v/>
      </c>
      <c r="S2638" s="32">
        <f>IF(R2638&lt;&gt;"Não","",IF(Q2638+Config!$B$9&lt;=Config!$B$8,Config!$B$8-Q2638,""))</f>
        <v/>
      </c>
      <c r="T2638" s="26">
        <f>IF(S2638="","","Sim")</f>
        <v/>
      </c>
      <c r="U2638" s="41">
        <f>IF(T2638="Sim",S2638+ROW()/100000,0)</f>
        <v>0</v>
      </c>
      <c r="V2638" s="41">
        <f>IF(AND(H2638="Falta",L2638=Config!$B$7,M2638=Config!$B$5,COUNTIFS($E$5:E2638,E2638,$H$5:H2638,"Falta",$L$5:L2638,Config!$B$7,$M$5:M2638,Config!$B$5)=1),COUNTIFS($E$5:$E$3004,E2638,$H$5:$H$3004,"Falta",$L$5:$L$3004,Config!$B$7,$M$5:$M$3004,Config!$B$5)*1000-ROW()/100000,0)</f>
        <v>0</v>
      </c>
    </row>
    <row r="2639">
      <c r="A2639" s="39" t="n"/>
      <c r="B2639" s="40" t="n"/>
      <c r="C2639" s="35" t="n"/>
      <c r="D2639" s="35" t="n"/>
      <c r="E2639" s="34" t="n"/>
      <c r="F2639" s="35" t="n"/>
      <c r="G2639" s="35" t="n"/>
      <c r="H2639" s="35" t="n"/>
      <c r="I2639" s="35" t="n"/>
      <c r="J2639" s="35" t="n"/>
      <c r="K2639" s="34" t="n"/>
      <c r="L2639" s="26">
        <f>IF(A2639="","",MONTH(A2639))</f>
        <v/>
      </c>
      <c r="M2639" s="26">
        <f>IF(A2639="","",YEAR(A2639))</f>
        <v/>
      </c>
      <c r="N2639" s="26">
        <f>IF(A2639="","",CHOOSE(WEEKDAY(A2639,2),"Segunda","Terça","Quarta","Quinta","Sexta","Sábado","Domingo"))</f>
        <v/>
      </c>
      <c r="O2639" s="26">
        <f>IF(B2639="","",IF(B2639&lt;TIME(12,0,0),"Manhã",IF(B2639&lt;TIME(18,0,0),"Tarde","Noite")))</f>
        <v/>
      </c>
      <c r="P2639" s="32">
        <f>IF(G2639="","",IFERROR(INDEX(Config!$I$5:$I$16,MATCH(G2639,Config!$H$5:$H$16,0)),0))</f>
        <v/>
      </c>
      <c r="Q2639" s="30">
        <f>IF(OR(H2639&lt;&gt;"Realizado",P2639="",P2639=0),"",A2639+P2639)</f>
        <v/>
      </c>
      <c r="R2639" s="26">
        <f>IF(Q2639="","",IF(COUNTIFS($E$5:$E$3004,E2639,$A$5:$A$3004,"&gt;"&amp;A2639,$H$5:$H$3004,"&lt;&gt;Falta",$H$5:$H$3004,"&lt;&gt;Cancelado",$H$5:$H$3004,"&lt;&gt;Remarcado")&gt;0,"Sim","Não"))</f>
        <v/>
      </c>
      <c r="S2639" s="32">
        <f>IF(R2639&lt;&gt;"Não","",IF(Q2639+Config!$B$9&lt;=Config!$B$8,Config!$B$8-Q2639,""))</f>
        <v/>
      </c>
      <c r="T2639" s="26">
        <f>IF(S2639="","","Sim")</f>
        <v/>
      </c>
      <c r="U2639" s="41">
        <f>IF(T2639="Sim",S2639+ROW()/100000,0)</f>
        <v>0</v>
      </c>
      <c r="V2639" s="41">
        <f>IF(AND(H2639="Falta",L2639=Config!$B$7,M2639=Config!$B$5,COUNTIFS($E$5:E2639,E2639,$H$5:H2639,"Falta",$L$5:L2639,Config!$B$7,$M$5:M2639,Config!$B$5)=1),COUNTIFS($E$5:$E$3004,E2639,$H$5:$H$3004,"Falta",$L$5:$L$3004,Config!$B$7,$M$5:$M$3004,Config!$B$5)*1000-ROW()/100000,0)</f>
        <v>0</v>
      </c>
    </row>
    <row r="2640">
      <c r="A2640" s="39" t="n"/>
      <c r="B2640" s="40" t="n"/>
      <c r="C2640" s="35" t="n"/>
      <c r="D2640" s="35" t="n"/>
      <c r="E2640" s="34" t="n"/>
      <c r="F2640" s="35" t="n"/>
      <c r="G2640" s="35" t="n"/>
      <c r="H2640" s="35" t="n"/>
      <c r="I2640" s="35" t="n"/>
      <c r="J2640" s="35" t="n"/>
      <c r="K2640" s="34" t="n"/>
      <c r="L2640" s="26">
        <f>IF(A2640="","",MONTH(A2640))</f>
        <v/>
      </c>
      <c r="M2640" s="26">
        <f>IF(A2640="","",YEAR(A2640))</f>
        <v/>
      </c>
      <c r="N2640" s="26">
        <f>IF(A2640="","",CHOOSE(WEEKDAY(A2640,2),"Segunda","Terça","Quarta","Quinta","Sexta","Sábado","Domingo"))</f>
        <v/>
      </c>
      <c r="O2640" s="26">
        <f>IF(B2640="","",IF(B2640&lt;TIME(12,0,0),"Manhã",IF(B2640&lt;TIME(18,0,0),"Tarde","Noite")))</f>
        <v/>
      </c>
      <c r="P2640" s="32">
        <f>IF(G2640="","",IFERROR(INDEX(Config!$I$5:$I$16,MATCH(G2640,Config!$H$5:$H$16,0)),0))</f>
        <v/>
      </c>
      <c r="Q2640" s="30">
        <f>IF(OR(H2640&lt;&gt;"Realizado",P2640="",P2640=0),"",A2640+P2640)</f>
        <v/>
      </c>
      <c r="R2640" s="26">
        <f>IF(Q2640="","",IF(COUNTIFS($E$5:$E$3004,E2640,$A$5:$A$3004,"&gt;"&amp;A2640,$H$5:$H$3004,"&lt;&gt;Falta",$H$5:$H$3004,"&lt;&gt;Cancelado",$H$5:$H$3004,"&lt;&gt;Remarcado")&gt;0,"Sim","Não"))</f>
        <v/>
      </c>
      <c r="S2640" s="32">
        <f>IF(R2640&lt;&gt;"Não","",IF(Q2640+Config!$B$9&lt;=Config!$B$8,Config!$B$8-Q2640,""))</f>
        <v/>
      </c>
      <c r="T2640" s="26">
        <f>IF(S2640="","","Sim")</f>
        <v/>
      </c>
      <c r="U2640" s="41">
        <f>IF(T2640="Sim",S2640+ROW()/100000,0)</f>
        <v>0</v>
      </c>
      <c r="V2640" s="41">
        <f>IF(AND(H2640="Falta",L2640=Config!$B$7,M2640=Config!$B$5,COUNTIFS($E$5:E2640,E2640,$H$5:H2640,"Falta",$L$5:L2640,Config!$B$7,$M$5:M2640,Config!$B$5)=1),COUNTIFS($E$5:$E$3004,E2640,$H$5:$H$3004,"Falta",$L$5:$L$3004,Config!$B$7,$M$5:$M$3004,Config!$B$5)*1000-ROW()/100000,0)</f>
        <v>0</v>
      </c>
    </row>
    <row r="2641">
      <c r="A2641" s="39" t="n"/>
      <c r="B2641" s="40" t="n"/>
      <c r="C2641" s="35" t="n"/>
      <c r="D2641" s="35" t="n"/>
      <c r="E2641" s="34" t="n"/>
      <c r="F2641" s="35" t="n"/>
      <c r="G2641" s="35" t="n"/>
      <c r="H2641" s="35" t="n"/>
      <c r="I2641" s="35" t="n"/>
      <c r="J2641" s="35" t="n"/>
      <c r="K2641" s="34" t="n"/>
      <c r="L2641" s="26">
        <f>IF(A2641="","",MONTH(A2641))</f>
        <v/>
      </c>
      <c r="M2641" s="26">
        <f>IF(A2641="","",YEAR(A2641))</f>
        <v/>
      </c>
      <c r="N2641" s="26">
        <f>IF(A2641="","",CHOOSE(WEEKDAY(A2641,2),"Segunda","Terça","Quarta","Quinta","Sexta","Sábado","Domingo"))</f>
        <v/>
      </c>
      <c r="O2641" s="26">
        <f>IF(B2641="","",IF(B2641&lt;TIME(12,0,0),"Manhã",IF(B2641&lt;TIME(18,0,0),"Tarde","Noite")))</f>
        <v/>
      </c>
      <c r="P2641" s="32">
        <f>IF(G2641="","",IFERROR(INDEX(Config!$I$5:$I$16,MATCH(G2641,Config!$H$5:$H$16,0)),0))</f>
        <v/>
      </c>
      <c r="Q2641" s="30">
        <f>IF(OR(H2641&lt;&gt;"Realizado",P2641="",P2641=0),"",A2641+P2641)</f>
        <v/>
      </c>
      <c r="R2641" s="26">
        <f>IF(Q2641="","",IF(COUNTIFS($E$5:$E$3004,E2641,$A$5:$A$3004,"&gt;"&amp;A2641,$H$5:$H$3004,"&lt;&gt;Falta",$H$5:$H$3004,"&lt;&gt;Cancelado",$H$5:$H$3004,"&lt;&gt;Remarcado")&gt;0,"Sim","Não"))</f>
        <v/>
      </c>
      <c r="S2641" s="32">
        <f>IF(R2641&lt;&gt;"Não","",IF(Q2641+Config!$B$9&lt;=Config!$B$8,Config!$B$8-Q2641,""))</f>
        <v/>
      </c>
      <c r="T2641" s="26">
        <f>IF(S2641="","","Sim")</f>
        <v/>
      </c>
      <c r="U2641" s="41">
        <f>IF(T2641="Sim",S2641+ROW()/100000,0)</f>
        <v>0</v>
      </c>
      <c r="V2641" s="41">
        <f>IF(AND(H2641="Falta",L2641=Config!$B$7,M2641=Config!$B$5,COUNTIFS($E$5:E2641,E2641,$H$5:H2641,"Falta",$L$5:L2641,Config!$B$7,$M$5:M2641,Config!$B$5)=1),COUNTIFS($E$5:$E$3004,E2641,$H$5:$H$3004,"Falta",$L$5:$L$3004,Config!$B$7,$M$5:$M$3004,Config!$B$5)*1000-ROW()/100000,0)</f>
        <v>0</v>
      </c>
    </row>
    <row r="2642">
      <c r="A2642" s="39" t="n"/>
      <c r="B2642" s="40" t="n"/>
      <c r="C2642" s="35" t="n"/>
      <c r="D2642" s="35" t="n"/>
      <c r="E2642" s="34" t="n"/>
      <c r="F2642" s="35" t="n"/>
      <c r="G2642" s="35" t="n"/>
      <c r="H2642" s="35" t="n"/>
      <c r="I2642" s="35" t="n"/>
      <c r="J2642" s="35" t="n"/>
      <c r="K2642" s="34" t="n"/>
      <c r="L2642" s="26">
        <f>IF(A2642="","",MONTH(A2642))</f>
        <v/>
      </c>
      <c r="M2642" s="26">
        <f>IF(A2642="","",YEAR(A2642))</f>
        <v/>
      </c>
      <c r="N2642" s="26">
        <f>IF(A2642="","",CHOOSE(WEEKDAY(A2642,2),"Segunda","Terça","Quarta","Quinta","Sexta","Sábado","Domingo"))</f>
        <v/>
      </c>
      <c r="O2642" s="26">
        <f>IF(B2642="","",IF(B2642&lt;TIME(12,0,0),"Manhã",IF(B2642&lt;TIME(18,0,0),"Tarde","Noite")))</f>
        <v/>
      </c>
      <c r="P2642" s="32">
        <f>IF(G2642="","",IFERROR(INDEX(Config!$I$5:$I$16,MATCH(G2642,Config!$H$5:$H$16,0)),0))</f>
        <v/>
      </c>
      <c r="Q2642" s="30">
        <f>IF(OR(H2642&lt;&gt;"Realizado",P2642="",P2642=0),"",A2642+P2642)</f>
        <v/>
      </c>
      <c r="R2642" s="26">
        <f>IF(Q2642="","",IF(COUNTIFS($E$5:$E$3004,E2642,$A$5:$A$3004,"&gt;"&amp;A2642,$H$5:$H$3004,"&lt;&gt;Falta",$H$5:$H$3004,"&lt;&gt;Cancelado",$H$5:$H$3004,"&lt;&gt;Remarcado")&gt;0,"Sim","Não"))</f>
        <v/>
      </c>
      <c r="S2642" s="32">
        <f>IF(R2642&lt;&gt;"Não","",IF(Q2642+Config!$B$9&lt;=Config!$B$8,Config!$B$8-Q2642,""))</f>
        <v/>
      </c>
      <c r="T2642" s="26">
        <f>IF(S2642="","","Sim")</f>
        <v/>
      </c>
      <c r="U2642" s="41">
        <f>IF(T2642="Sim",S2642+ROW()/100000,0)</f>
        <v>0</v>
      </c>
      <c r="V2642" s="41">
        <f>IF(AND(H2642="Falta",L2642=Config!$B$7,M2642=Config!$B$5,COUNTIFS($E$5:E2642,E2642,$H$5:H2642,"Falta",$L$5:L2642,Config!$B$7,$M$5:M2642,Config!$B$5)=1),COUNTIFS($E$5:$E$3004,E2642,$H$5:$H$3004,"Falta",$L$5:$L$3004,Config!$B$7,$M$5:$M$3004,Config!$B$5)*1000-ROW()/100000,0)</f>
        <v>0</v>
      </c>
    </row>
    <row r="2643">
      <c r="A2643" s="39" t="n"/>
      <c r="B2643" s="40" t="n"/>
      <c r="C2643" s="35" t="n"/>
      <c r="D2643" s="35" t="n"/>
      <c r="E2643" s="34" t="n"/>
      <c r="F2643" s="35" t="n"/>
      <c r="G2643" s="35" t="n"/>
      <c r="H2643" s="35" t="n"/>
      <c r="I2643" s="35" t="n"/>
      <c r="J2643" s="35" t="n"/>
      <c r="K2643" s="34" t="n"/>
      <c r="L2643" s="26">
        <f>IF(A2643="","",MONTH(A2643))</f>
        <v/>
      </c>
      <c r="M2643" s="26">
        <f>IF(A2643="","",YEAR(A2643))</f>
        <v/>
      </c>
      <c r="N2643" s="26">
        <f>IF(A2643="","",CHOOSE(WEEKDAY(A2643,2),"Segunda","Terça","Quarta","Quinta","Sexta","Sábado","Domingo"))</f>
        <v/>
      </c>
      <c r="O2643" s="26">
        <f>IF(B2643="","",IF(B2643&lt;TIME(12,0,0),"Manhã",IF(B2643&lt;TIME(18,0,0),"Tarde","Noite")))</f>
        <v/>
      </c>
      <c r="P2643" s="32">
        <f>IF(G2643="","",IFERROR(INDEX(Config!$I$5:$I$16,MATCH(G2643,Config!$H$5:$H$16,0)),0))</f>
        <v/>
      </c>
      <c r="Q2643" s="30">
        <f>IF(OR(H2643&lt;&gt;"Realizado",P2643="",P2643=0),"",A2643+P2643)</f>
        <v/>
      </c>
      <c r="R2643" s="26">
        <f>IF(Q2643="","",IF(COUNTIFS($E$5:$E$3004,E2643,$A$5:$A$3004,"&gt;"&amp;A2643,$H$5:$H$3004,"&lt;&gt;Falta",$H$5:$H$3004,"&lt;&gt;Cancelado",$H$5:$H$3004,"&lt;&gt;Remarcado")&gt;0,"Sim","Não"))</f>
        <v/>
      </c>
      <c r="S2643" s="32">
        <f>IF(R2643&lt;&gt;"Não","",IF(Q2643+Config!$B$9&lt;=Config!$B$8,Config!$B$8-Q2643,""))</f>
        <v/>
      </c>
      <c r="T2643" s="26">
        <f>IF(S2643="","","Sim")</f>
        <v/>
      </c>
      <c r="U2643" s="41">
        <f>IF(T2643="Sim",S2643+ROW()/100000,0)</f>
        <v>0</v>
      </c>
      <c r="V2643" s="41">
        <f>IF(AND(H2643="Falta",L2643=Config!$B$7,M2643=Config!$B$5,COUNTIFS($E$5:E2643,E2643,$H$5:H2643,"Falta",$L$5:L2643,Config!$B$7,$M$5:M2643,Config!$B$5)=1),COUNTIFS($E$5:$E$3004,E2643,$H$5:$H$3004,"Falta",$L$5:$L$3004,Config!$B$7,$M$5:$M$3004,Config!$B$5)*1000-ROW()/100000,0)</f>
        <v>0</v>
      </c>
    </row>
    <row r="2644">
      <c r="A2644" s="39" t="n"/>
      <c r="B2644" s="40" t="n"/>
      <c r="C2644" s="35" t="n"/>
      <c r="D2644" s="35" t="n"/>
      <c r="E2644" s="34" t="n"/>
      <c r="F2644" s="35" t="n"/>
      <c r="G2644" s="35" t="n"/>
      <c r="H2644" s="35" t="n"/>
      <c r="I2644" s="35" t="n"/>
      <c r="J2644" s="35" t="n"/>
      <c r="K2644" s="34" t="n"/>
      <c r="L2644" s="26">
        <f>IF(A2644="","",MONTH(A2644))</f>
        <v/>
      </c>
      <c r="M2644" s="26">
        <f>IF(A2644="","",YEAR(A2644))</f>
        <v/>
      </c>
      <c r="N2644" s="26">
        <f>IF(A2644="","",CHOOSE(WEEKDAY(A2644,2),"Segunda","Terça","Quarta","Quinta","Sexta","Sábado","Domingo"))</f>
        <v/>
      </c>
      <c r="O2644" s="26">
        <f>IF(B2644="","",IF(B2644&lt;TIME(12,0,0),"Manhã",IF(B2644&lt;TIME(18,0,0),"Tarde","Noite")))</f>
        <v/>
      </c>
      <c r="P2644" s="32">
        <f>IF(G2644="","",IFERROR(INDEX(Config!$I$5:$I$16,MATCH(G2644,Config!$H$5:$H$16,0)),0))</f>
        <v/>
      </c>
      <c r="Q2644" s="30">
        <f>IF(OR(H2644&lt;&gt;"Realizado",P2644="",P2644=0),"",A2644+P2644)</f>
        <v/>
      </c>
      <c r="R2644" s="26">
        <f>IF(Q2644="","",IF(COUNTIFS($E$5:$E$3004,E2644,$A$5:$A$3004,"&gt;"&amp;A2644,$H$5:$H$3004,"&lt;&gt;Falta",$H$5:$H$3004,"&lt;&gt;Cancelado",$H$5:$H$3004,"&lt;&gt;Remarcado")&gt;0,"Sim","Não"))</f>
        <v/>
      </c>
      <c r="S2644" s="32">
        <f>IF(R2644&lt;&gt;"Não","",IF(Q2644+Config!$B$9&lt;=Config!$B$8,Config!$B$8-Q2644,""))</f>
        <v/>
      </c>
      <c r="T2644" s="26">
        <f>IF(S2644="","","Sim")</f>
        <v/>
      </c>
      <c r="U2644" s="41">
        <f>IF(T2644="Sim",S2644+ROW()/100000,0)</f>
        <v>0</v>
      </c>
      <c r="V2644" s="41">
        <f>IF(AND(H2644="Falta",L2644=Config!$B$7,M2644=Config!$B$5,COUNTIFS($E$5:E2644,E2644,$H$5:H2644,"Falta",$L$5:L2644,Config!$B$7,$M$5:M2644,Config!$B$5)=1),COUNTIFS($E$5:$E$3004,E2644,$H$5:$H$3004,"Falta",$L$5:$L$3004,Config!$B$7,$M$5:$M$3004,Config!$B$5)*1000-ROW()/100000,0)</f>
        <v>0</v>
      </c>
    </row>
    <row r="2645">
      <c r="A2645" s="39" t="n"/>
      <c r="B2645" s="40" t="n"/>
      <c r="C2645" s="35" t="n"/>
      <c r="D2645" s="35" t="n"/>
      <c r="E2645" s="34" t="n"/>
      <c r="F2645" s="35" t="n"/>
      <c r="G2645" s="35" t="n"/>
      <c r="H2645" s="35" t="n"/>
      <c r="I2645" s="35" t="n"/>
      <c r="J2645" s="35" t="n"/>
      <c r="K2645" s="34" t="n"/>
      <c r="L2645" s="26">
        <f>IF(A2645="","",MONTH(A2645))</f>
        <v/>
      </c>
      <c r="M2645" s="26">
        <f>IF(A2645="","",YEAR(A2645))</f>
        <v/>
      </c>
      <c r="N2645" s="26">
        <f>IF(A2645="","",CHOOSE(WEEKDAY(A2645,2),"Segunda","Terça","Quarta","Quinta","Sexta","Sábado","Domingo"))</f>
        <v/>
      </c>
      <c r="O2645" s="26">
        <f>IF(B2645="","",IF(B2645&lt;TIME(12,0,0),"Manhã",IF(B2645&lt;TIME(18,0,0),"Tarde","Noite")))</f>
        <v/>
      </c>
      <c r="P2645" s="32">
        <f>IF(G2645="","",IFERROR(INDEX(Config!$I$5:$I$16,MATCH(G2645,Config!$H$5:$H$16,0)),0))</f>
        <v/>
      </c>
      <c r="Q2645" s="30">
        <f>IF(OR(H2645&lt;&gt;"Realizado",P2645="",P2645=0),"",A2645+P2645)</f>
        <v/>
      </c>
      <c r="R2645" s="26">
        <f>IF(Q2645="","",IF(COUNTIFS($E$5:$E$3004,E2645,$A$5:$A$3004,"&gt;"&amp;A2645,$H$5:$H$3004,"&lt;&gt;Falta",$H$5:$H$3004,"&lt;&gt;Cancelado",$H$5:$H$3004,"&lt;&gt;Remarcado")&gt;0,"Sim","Não"))</f>
        <v/>
      </c>
      <c r="S2645" s="32">
        <f>IF(R2645&lt;&gt;"Não","",IF(Q2645+Config!$B$9&lt;=Config!$B$8,Config!$B$8-Q2645,""))</f>
        <v/>
      </c>
      <c r="T2645" s="26">
        <f>IF(S2645="","","Sim")</f>
        <v/>
      </c>
      <c r="U2645" s="41">
        <f>IF(T2645="Sim",S2645+ROW()/100000,0)</f>
        <v>0</v>
      </c>
      <c r="V2645" s="41">
        <f>IF(AND(H2645="Falta",L2645=Config!$B$7,M2645=Config!$B$5,COUNTIFS($E$5:E2645,E2645,$H$5:H2645,"Falta",$L$5:L2645,Config!$B$7,$M$5:M2645,Config!$B$5)=1),COUNTIFS($E$5:$E$3004,E2645,$H$5:$H$3004,"Falta",$L$5:$L$3004,Config!$B$7,$M$5:$M$3004,Config!$B$5)*1000-ROW()/100000,0)</f>
        <v>0</v>
      </c>
    </row>
    <row r="2646">
      <c r="A2646" s="39" t="n"/>
      <c r="B2646" s="40" t="n"/>
      <c r="C2646" s="35" t="n"/>
      <c r="D2646" s="35" t="n"/>
      <c r="E2646" s="34" t="n"/>
      <c r="F2646" s="35" t="n"/>
      <c r="G2646" s="35" t="n"/>
      <c r="H2646" s="35" t="n"/>
      <c r="I2646" s="35" t="n"/>
      <c r="J2646" s="35" t="n"/>
      <c r="K2646" s="34" t="n"/>
      <c r="L2646" s="26">
        <f>IF(A2646="","",MONTH(A2646))</f>
        <v/>
      </c>
      <c r="M2646" s="26">
        <f>IF(A2646="","",YEAR(A2646))</f>
        <v/>
      </c>
      <c r="N2646" s="26">
        <f>IF(A2646="","",CHOOSE(WEEKDAY(A2646,2),"Segunda","Terça","Quarta","Quinta","Sexta","Sábado","Domingo"))</f>
        <v/>
      </c>
      <c r="O2646" s="26">
        <f>IF(B2646="","",IF(B2646&lt;TIME(12,0,0),"Manhã",IF(B2646&lt;TIME(18,0,0),"Tarde","Noite")))</f>
        <v/>
      </c>
      <c r="P2646" s="32">
        <f>IF(G2646="","",IFERROR(INDEX(Config!$I$5:$I$16,MATCH(G2646,Config!$H$5:$H$16,0)),0))</f>
        <v/>
      </c>
      <c r="Q2646" s="30">
        <f>IF(OR(H2646&lt;&gt;"Realizado",P2646="",P2646=0),"",A2646+P2646)</f>
        <v/>
      </c>
      <c r="R2646" s="26">
        <f>IF(Q2646="","",IF(COUNTIFS($E$5:$E$3004,E2646,$A$5:$A$3004,"&gt;"&amp;A2646,$H$5:$H$3004,"&lt;&gt;Falta",$H$5:$H$3004,"&lt;&gt;Cancelado",$H$5:$H$3004,"&lt;&gt;Remarcado")&gt;0,"Sim","Não"))</f>
        <v/>
      </c>
      <c r="S2646" s="32">
        <f>IF(R2646&lt;&gt;"Não","",IF(Q2646+Config!$B$9&lt;=Config!$B$8,Config!$B$8-Q2646,""))</f>
        <v/>
      </c>
      <c r="T2646" s="26">
        <f>IF(S2646="","","Sim")</f>
        <v/>
      </c>
      <c r="U2646" s="41">
        <f>IF(T2646="Sim",S2646+ROW()/100000,0)</f>
        <v>0</v>
      </c>
      <c r="V2646" s="41">
        <f>IF(AND(H2646="Falta",L2646=Config!$B$7,M2646=Config!$B$5,COUNTIFS($E$5:E2646,E2646,$H$5:H2646,"Falta",$L$5:L2646,Config!$B$7,$M$5:M2646,Config!$B$5)=1),COUNTIFS($E$5:$E$3004,E2646,$H$5:$H$3004,"Falta",$L$5:$L$3004,Config!$B$7,$M$5:$M$3004,Config!$B$5)*1000-ROW()/100000,0)</f>
        <v>0</v>
      </c>
    </row>
    <row r="2647">
      <c r="A2647" s="39" t="n"/>
      <c r="B2647" s="40" t="n"/>
      <c r="C2647" s="35" t="n"/>
      <c r="D2647" s="35" t="n"/>
      <c r="E2647" s="34" t="n"/>
      <c r="F2647" s="35" t="n"/>
      <c r="G2647" s="35" t="n"/>
      <c r="H2647" s="35" t="n"/>
      <c r="I2647" s="35" t="n"/>
      <c r="J2647" s="35" t="n"/>
      <c r="K2647" s="34" t="n"/>
      <c r="L2647" s="26">
        <f>IF(A2647="","",MONTH(A2647))</f>
        <v/>
      </c>
      <c r="M2647" s="26">
        <f>IF(A2647="","",YEAR(A2647))</f>
        <v/>
      </c>
      <c r="N2647" s="26">
        <f>IF(A2647="","",CHOOSE(WEEKDAY(A2647,2),"Segunda","Terça","Quarta","Quinta","Sexta","Sábado","Domingo"))</f>
        <v/>
      </c>
      <c r="O2647" s="26">
        <f>IF(B2647="","",IF(B2647&lt;TIME(12,0,0),"Manhã",IF(B2647&lt;TIME(18,0,0),"Tarde","Noite")))</f>
        <v/>
      </c>
      <c r="P2647" s="32">
        <f>IF(G2647="","",IFERROR(INDEX(Config!$I$5:$I$16,MATCH(G2647,Config!$H$5:$H$16,0)),0))</f>
        <v/>
      </c>
      <c r="Q2647" s="30">
        <f>IF(OR(H2647&lt;&gt;"Realizado",P2647="",P2647=0),"",A2647+P2647)</f>
        <v/>
      </c>
      <c r="R2647" s="26">
        <f>IF(Q2647="","",IF(COUNTIFS($E$5:$E$3004,E2647,$A$5:$A$3004,"&gt;"&amp;A2647,$H$5:$H$3004,"&lt;&gt;Falta",$H$5:$H$3004,"&lt;&gt;Cancelado",$H$5:$H$3004,"&lt;&gt;Remarcado")&gt;0,"Sim","Não"))</f>
        <v/>
      </c>
      <c r="S2647" s="32">
        <f>IF(R2647&lt;&gt;"Não","",IF(Q2647+Config!$B$9&lt;=Config!$B$8,Config!$B$8-Q2647,""))</f>
        <v/>
      </c>
      <c r="T2647" s="26">
        <f>IF(S2647="","","Sim")</f>
        <v/>
      </c>
      <c r="U2647" s="41">
        <f>IF(T2647="Sim",S2647+ROW()/100000,0)</f>
        <v>0</v>
      </c>
      <c r="V2647" s="41">
        <f>IF(AND(H2647="Falta",L2647=Config!$B$7,M2647=Config!$B$5,COUNTIFS($E$5:E2647,E2647,$H$5:H2647,"Falta",$L$5:L2647,Config!$B$7,$M$5:M2647,Config!$B$5)=1),COUNTIFS($E$5:$E$3004,E2647,$H$5:$H$3004,"Falta",$L$5:$L$3004,Config!$B$7,$M$5:$M$3004,Config!$B$5)*1000-ROW()/100000,0)</f>
        <v>0</v>
      </c>
    </row>
    <row r="2648">
      <c r="A2648" s="39" t="n"/>
      <c r="B2648" s="40" t="n"/>
      <c r="C2648" s="35" t="n"/>
      <c r="D2648" s="35" t="n"/>
      <c r="E2648" s="34" t="n"/>
      <c r="F2648" s="35" t="n"/>
      <c r="G2648" s="35" t="n"/>
      <c r="H2648" s="35" t="n"/>
      <c r="I2648" s="35" t="n"/>
      <c r="J2648" s="35" t="n"/>
      <c r="K2648" s="34" t="n"/>
      <c r="L2648" s="26">
        <f>IF(A2648="","",MONTH(A2648))</f>
        <v/>
      </c>
      <c r="M2648" s="26">
        <f>IF(A2648="","",YEAR(A2648))</f>
        <v/>
      </c>
      <c r="N2648" s="26">
        <f>IF(A2648="","",CHOOSE(WEEKDAY(A2648,2),"Segunda","Terça","Quarta","Quinta","Sexta","Sábado","Domingo"))</f>
        <v/>
      </c>
      <c r="O2648" s="26">
        <f>IF(B2648="","",IF(B2648&lt;TIME(12,0,0),"Manhã",IF(B2648&lt;TIME(18,0,0),"Tarde","Noite")))</f>
        <v/>
      </c>
      <c r="P2648" s="32">
        <f>IF(G2648="","",IFERROR(INDEX(Config!$I$5:$I$16,MATCH(G2648,Config!$H$5:$H$16,0)),0))</f>
        <v/>
      </c>
      <c r="Q2648" s="30">
        <f>IF(OR(H2648&lt;&gt;"Realizado",P2648="",P2648=0),"",A2648+P2648)</f>
        <v/>
      </c>
      <c r="R2648" s="26">
        <f>IF(Q2648="","",IF(COUNTIFS($E$5:$E$3004,E2648,$A$5:$A$3004,"&gt;"&amp;A2648,$H$5:$H$3004,"&lt;&gt;Falta",$H$5:$H$3004,"&lt;&gt;Cancelado",$H$5:$H$3004,"&lt;&gt;Remarcado")&gt;0,"Sim","Não"))</f>
        <v/>
      </c>
      <c r="S2648" s="32">
        <f>IF(R2648&lt;&gt;"Não","",IF(Q2648+Config!$B$9&lt;=Config!$B$8,Config!$B$8-Q2648,""))</f>
        <v/>
      </c>
      <c r="T2648" s="26">
        <f>IF(S2648="","","Sim")</f>
        <v/>
      </c>
      <c r="U2648" s="41">
        <f>IF(T2648="Sim",S2648+ROW()/100000,0)</f>
        <v>0</v>
      </c>
      <c r="V2648" s="41">
        <f>IF(AND(H2648="Falta",L2648=Config!$B$7,M2648=Config!$B$5,COUNTIFS($E$5:E2648,E2648,$H$5:H2648,"Falta",$L$5:L2648,Config!$B$7,$M$5:M2648,Config!$B$5)=1),COUNTIFS($E$5:$E$3004,E2648,$H$5:$H$3004,"Falta",$L$5:$L$3004,Config!$B$7,$M$5:$M$3004,Config!$B$5)*1000-ROW()/100000,0)</f>
        <v>0</v>
      </c>
    </row>
    <row r="2649">
      <c r="A2649" s="39" t="n"/>
      <c r="B2649" s="40" t="n"/>
      <c r="C2649" s="35" t="n"/>
      <c r="D2649" s="35" t="n"/>
      <c r="E2649" s="34" t="n"/>
      <c r="F2649" s="35" t="n"/>
      <c r="G2649" s="35" t="n"/>
      <c r="H2649" s="35" t="n"/>
      <c r="I2649" s="35" t="n"/>
      <c r="J2649" s="35" t="n"/>
      <c r="K2649" s="34" t="n"/>
      <c r="L2649" s="26">
        <f>IF(A2649="","",MONTH(A2649))</f>
        <v/>
      </c>
      <c r="M2649" s="26">
        <f>IF(A2649="","",YEAR(A2649))</f>
        <v/>
      </c>
      <c r="N2649" s="26">
        <f>IF(A2649="","",CHOOSE(WEEKDAY(A2649,2),"Segunda","Terça","Quarta","Quinta","Sexta","Sábado","Domingo"))</f>
        <v/>
      </c>
      <c r="O2649" s="26">
        <f>IF(B2649="","",IF(B2649&lt;TIME(12,0,0),"Manhã",IF(B2649&lt;TIME(18,0,0),"Tarde","Noite")))</f>
        <v/>
      </c>
      <c r="P2649" s="32">
        <f>IF(G2649="","",IFERROR(INDEX(Config!$I$5:$I$16,MATCH(G2649,Config!$H$5:$H$16,0)),0))</f>
        <v/>
      </c>
      <c r="Q2649" s="30">
        <f>IF(OR(H2649&lt;&gt;"Realizado",P2649="",P2649=0),"",A2649+P2649)</f>
        <v/>
      </c>
      <c r="R2649" s="26">
        <f>IF(Q2649="","",IF(COUNTIFS($E$5:$E$3004,E2649,$A$5:$A$3004,"&gt;"&amp;A2649,$H$5:$H$3004,"&lt;&gt;Falta",$H$5:$H$3004,"&lt;&gt;Cancelado",$H$5:$H$3004,"&lt;&gt;Remarcado")&gt;0,"Sim","Não"))</f>
        <v/>
      </c>
      <c r="S2649" s="32">
        <f>IF(R2649&lt;&gt;"Não","",IF(Q2649+Config!$B$9&lt;=Config!$B$8,Config!$B$8-Q2649,""))</f>
        <v/>
      </c>
      <c r="T2649" s="26">
        <f>IF(S2649="","","Sim")</f>
        <v/>
      </c>
      <c r="U2649" s="41">
        <f>IF(T2649="Sim",S2649+ROW()/100000,0)</f>
        <v>0</v>
      </c>
      <c r="V2649" s="41">
        <f>IF(AND(H2649="Falta",L2649=Config!$B$7,M2649=Config!$B$5,COUNTIFS($E$5:E2649,E2649,$H$5:H2649,"Falta",$L$5:L2649,Config!$B$7,$M$5:M2649,Config!$B$5)=1),COUNTIFS($E$5:$E$3004,E2649,$H$5:$H$3004,"Falta",$L$5:$L$3004,Config!$B$7,$M$5:$M$3004,Config!$B$5)*1000-ROW()/100000,0)</f>
        <v>0</v>
      </c>
    </row>
    <row r="2650">
      <c r="A2650" s="39" t="n"/>
      <c r="B2650" s="40" t="n"/>
      <c r="C2650" s="35" t="n"/>
      <c r="D2650" s="35" t="n"/>
      <c r="E2650" s="34" t="n"/>
      <c r="F2650" s="35" t="n"/>
      <c r="G2650" s="35" t="n"/>
      <c r="H2650" s="35" t="n"/>
      <c r="I2650" s="35" t="n"/>
      <c r="J2650" s="35" t="n"/>
      <c r="K2650" s="34" t="n"/>
      <c r="L2650" s="26">
        <f>IF(A2650="","",MONTH(A2650))</f>
        <v/>
      </c>
      <c r="M2650" s="26">
        <f>IF(A2650="","",YEAR(A2650))</f>
        <v/>
      </c>
      <c r="N2650" s="26">
        <f>IF(A2650="","",CHOOSE(WEEKDAY(A2650,2),"Segunda","Terça","Quarta","Quinta","Sexta","Sábado","Domingo"))</f>
        <v/>
      </c>
      <c r="O2650" s="26">
        <f>IF(B2650="","",IF(B2650&lt;TIME(12,0,0),"Manhã",IF(B2650&lt;TIME(18,0,0),"Tarde","Noite")))</f>
        <v/>
      </c>
      <c r="P2650" s="32">
        <f>IF(G2650="","",IFERROR(INDEX(Config!$I$5:$I$16,MATCH(G2650,Config!$H$5:$H$16,0)),0))</f>
        <v/>
      </c>
      <c r="Q2650" s="30">
        <f>IF(OR(H2650&lt;&gt;"Realizado",P2650="",P2650=0),"",A2650+P2650)</f>
        <v/>
      </c>
      <c r="R2650" s="26">
        <f>IF(Q2650="","",IF(COUNTIFS($E$5:$E$3004,E2650,$A$5:$A$3004,"&gt;"&amp;A2650,$H$5:$H$3004,"&lt;&gt;Falta",$H$5:$H$3004,"&lt;&gt;Cancelado",$H$5:$H$3004,"&lt;&gt;Remarcado")&gt;0,"Sim","Não"))</f>
        <v/>
      </c>
      <c r="S2650" s="32">
        <f>IF(R2650&lt;&gt;"Não","",IF(Q2650+Config!$B$9&lt;=Config!$B$8,Config!$B$8-Q2650,""))</f>
        <v/>
      </c>
      <c r="T2650" s="26">
        <f>IF(S2650="","","Sim")</f>
        <v/>
      </c>
      <c r="U2650" s="41">
        <f>IF(T2650="Sim",S2650+ROW()/100000,0)</f>
        <v>0</v>
      </c>
      <c r="V2650" s="41">
        <f>IF(AND(H2650="Falta",L2650=Config!$B$7,M2650=Config!$B$5,COUNTIFS($E$5:E2650,E2650,$H$5:H2650,"Falta",$L$5:L2650,Config!$B$7,$M$5:M2650,Config!$B$5)=1),COUNTIFS($E$5:$E$3004,E2650,$H$5:$H$3004,"Falta",$L$5:$L$3004,Config!$B$7,$M$5:$M$3004,Config!$B$5)*1000-ROW()/100000,0)</f>
        <v>0</v>
      </c>
    </row>
    <row r="2651">
      <c r="A2651" s="39" t="n"/>
      <c r="B2651" s="40" t="n"/>
      <c r="C2651" s="35" t="n"/>
      <c r="D2651" s="35" t="n"/>
      <c r="E2651" s="34" t="n"/>
      <c r="F2651" s="35" t="n"/>
      <c r="G2651" s="35" t="n"/>
      <c r="H2651" s="35" t="n"/>
      <c r="I2651" s="35" t="n"/>
      <c r="J2651" s="35" t="n"/>
      <c r="K2651" s="34" t="n"/>
      <c r="L2651" s="26">
        <f>IF(A2651="","",MONTH(A2651))</f>
        <v/>
      </c>
      <c r="M2651" s="26">
        <f>IF(A2651="","",YEAR(A2651))</f>
        <v/>
      </c>
      <c r="N2651" s="26">
        <f>IF(A2651="","",CHOOSE(WEEKDAY(A2651,2),"Segunda","Terça","Quarta","Quinta","Sexta","Sábado","Domingo"))</f>
        <v/>
      </c>
      <c r="O2651" s="26">
        <f>IF(B2651="","",IF(B2651&lt;TIME(12,0,0),"Manhã",IF(B2651&lt;TIME(18,0,0),"Tarde","Noite")))</f>
        <v/>
      </c>
      <c r="P2651" s="32">
        <f>IF(G2651="","",IFERROR(INDEX(Config!$I$5:$I$16,MATCH(G2651,Config!$H$5:$H$16,0)),0))</f>
        <v/>
      </c>
      <c r="Q2651" s="30">
        <f>IF(OR(H2651&lt;&gt;"Realizado",P2651="",P2651=0),"",A2651+P2651)</f>
        <v/>
      </c>
      <c r="R2651" s="26">
        <f>IF(Q2651="","",IF(COUNTIFS($E$5:$E$3004,E2651,$A$5:$A$3004,"&gt;"&amp;A2651,$H$5:$H$3004,"&lt;&gt;Falta",$H$5:$H$3004,"&lt;&gt;Cancelado",$H$5:$H$3004,"&lt;&gt;Remarcado")&gt;0,"Sim","Não"))</f>
        <v/>
      </c>
      <c r="S2651" s="32">
        <f>IF(R2651&lt;&gt;"Não","",IF(Q2651+Config!$B$9&lt;=Config!$B$8,Config!$B$8-Q2651,""))</f>
        <v/>
      </c>
      <c r="T2651" s="26">
        <f>IF(S2651="","","Sim")</f>
        <v/>
      </c>
      <c r="U2651" s="41">
        <f>IF(T2651="Sim",S2651+ROW()/100000,0)</f>
        <v>0</v>
      </c>
      <c r="V2651" s="41">
        <f>IF(AND(H2651="Falta",L2651=Config!$B$7,M2651=Config!$B$5,COUNTIFS($E$5:E2651,E2651,$H$5:H2651,"Falta",$L$5:L2651,Config!$B$7,$M$5:M2651,Config!$B$5)=1),COUNTIFS($E$5:$E$3004,E2651,$H$5:$H$3004,"Falta",$L$5:$L$3004,Config!$B$7,$M$5:$M$3004,Config!$B$5)*1000-ROW()/100000,0)</f>
        <v>0</v>
      </c>
    </row>
    <row r="2652">
      <c r="A2652" s="39" t="n"/>
      <c r="B2652" s="40" t="n"/>
      <c r="C2652" s="35" t="n"/>
      <c r="D2652" s="35" t="n"/>
      <c r="E2652" s="34" t="n"/>
      <c r="F2652" s="35" t="n"/>
      <c r="G2652" s="35" t="n"/>
      <c r="H2652" s="35" t="n"/>
      <c r="I2652" s="35" t="n"/>
      <c r="J2652" s="35" t="n"/>
      <c r="K2652" s="34" t="n"/>
      <c r="L2652" s="26">
        <f>IF(A2652="","",MONTH(A2652))</f>
        <v/>
      </c>
      <c r="M2652" s="26">
        <f>IF(A2652="","",YEAR(A2652))</f>
        <v/>
      </c>
      <c r="N2652" s="26">
        <f>IF(A2652="","",CHOOSE(WEEKDAY(A2652,2),"Segunda","Terça","Quarta","Quinta","Sexta","Sábado","Domingo"))</f>
        <v/>
      </c>
      <c r="O2652" s="26">
        <f>IF(B2652="","",IF(B2652&lt;TIME(12,0,0),"Manhã",IF(B2652&lt;TIME(18,0,0),"Tarde","Noite")))</f>
        <v/>
      </c>
      <c r="P2652" s="32">
        <f>IF(G2652="","",IFERROR(INDEX(Config!$I$5:$I$16,MATCH(G2652,Config!$H$5:$H$16,0)),0))</f>
        <v/>
      </c>
      <c r="Q2652" s="30">
        <f>IF(OR(H2652&lt;&gt;"Realizado",P2652="",P2652=0),"",A2652+P2652)</f>
        <v/>
      </c>
      <c r="R2652" s="26">
        <f>IF(Q2652="","",IF(COUNTIFS($E$5:$E$3004,E2652,$A$5:$A$3004,"&gt;"&amp;A2652,$H$5:$H$3004,"&lt;&gt;Falta",$H$5:$H$3004,"&lt;&gt;Cancelado",$H$5:$H$3004,"&lt;&gt;Remarcado")&gt;0,"Sim","Não"))</f>
        <v/>
      </c>
      <c r="S2652" s="32">
        <f>IF(R2652&lt;&gt;"Não","",IF(Q2652+Config!$B$9&lt;=Config!$B$8,Config!$B$8-Q2652,""))</f>
        <v/>
      </c>
      <c r="T2652" s="26">
        <f>IF(S2652="","","Sim")</f>
        <v/>
      </c>
      <c r="U2652" s="41">
        <f>IF(T2652="Sim",S2652+ROW()/100000,0)</f>
        <v>0</v>
      </c>
      <c r="V2652" s="41">
        <f>IF(AND(H2652="Falta",L2652=Config!$B$7,M2652=Config!$B$5,COUNTIFS($E$5:E2652,E2652,$H$5:H2652,"Falta",$L$5:L2652,Config!$B$7,$M$5:M2652,Config!$B$5)=1),COUNTIFS($E$5:$E$3004,E2652,$H$5:$H$3004,"Falta",$L$5:$L$3004,Config!$B$7,$M$5:$M$3004,Config!$B$5)*1000-ROW()/100000,0)</f>
        <v>0</v>
      </c>
    </row>
    <row r="2653">
      <c r="A2653" s="39" t="n"/>
      <c r="B2653" s="40" t="n"/>
      <c r="C2653" s="35" t="n"/>
      <c r="D2653" s="35" t="n"/>
      <c r="E2653" s="34" t="n"/>
      <c r="F2653" s="35" t="n"/>
      <c r="G2653" s="35" t="n"/>
      <c r="H2653" s="35" t="n"/>
      <c r="I2653" s="35" t="n"/>
      <c r="J2653" s="35" t="n"/>
      <c r="K2653" s="34" t="n"/>
      <c r="L2653" s="26">
        <f>IF(A2653="","",MONTH(A2653))</f>
        <v/>
      </c>
      <c r="M2653" s="26">
        <f>IF(A2653="","",YEAR(A2653))</f>
        <v/>
      </c>
      <c r="N2653" s="26">
        <f>IF(A2653="","",CHOOSE(WEEKDAY(A2653,2),"Segunda","Terça","Quarta","Quinta","Sexta","Sábado","Domingo"))</f>
        <v/>
      </c>
      <c r="O2653" s="26">
        <f>IF(B2653="","",IF(B2653&lt;TIME(12,0,0),"Manhã",IF(B2653&lt;TIME(18,0,0),"Tarde","Noite")))</f>
        <v/>
      </c>
      <c r="P2653" s="32">
        <f>IF(G2653="","",IFERROR(INDEX(Config!$I$5:$I$16,MATCH(G2653,Config!$H$5:$H$16,0)),0))</f>
        <v/>
      </c>
      <c r="Q2653" s="30">
        <f>IF(OR(H2653&lt;&gt;"Realizado",P2653="",P2653=0),"",A2653+P2653)</f>
        <v/>
      </c>
      <c r="R2653" s="26">
        <f>IF(Q2653="","",IF(COUNTIFS($E$5:$E$3004,E2653,$A$5:$A$3004,"&gt;"&amp;A2653,$H$5:$H$3004,"&lt;&gt;Falta",$H$5:$H$3004,"&lt;&gt;Cancelado",$H$5:$H$3004,"&lt;&gt;Remarcado")&gt;0,"Sim","Não"))</f>
        <v/>
      </c>
      <c r="S2653" s="32">
        <f>IF(R2653&lt;&gt;"Não","",IF(Q2653+Config!$B$9&lt;=Config!$B$8,Config!$B$8-Q2653,""))</f>
        <v/>
      </c>
      <c r="T2653" s="26">
        <f>IF(S2653="","","Sim")</f>
        <v/>
      </c>
      <c r="U2653" s="41">
        <f>IF(T2653="Sim",S2653+ROW()/100000,0)</f>
        <v>0</v>
      </c>
      <c r="V2653" s="41">
        <f>IF(AND(H2653="Falta",L2653=Config!$B$7,M2653=Config!$B$5,COUNTIFS($E$5:E2653,E2653,$H$5:H2653,"Falta",$L$5:L2653,Config!$B$7,$M$5:M2653,Config!$B$5)=1),COUNTIFS($E$5:$E$3004,E2653,$H$5:$H$3004,"Falta",$L$5:$L$3004,Config!$B$7,$M$5:$M$3004,Config!$B$5)*1000-ROW()/100000,0)</f>
        <v>0</v>
      </c>
    </row>
    <row r="2654">
      <c r="A2654" s="39" t="n"/>
      <c r="B2654" s="40" t="n"/>
      <c r="C2654" s="35" t="n"/>
      <c r="D2654" s="35" t="n"/>
      <c r="E2654" s="34" t="n"/>
      <c r="F2654" s="35" t="n"/>
      <c r="G2654" s="35" t="n"/>
      <c r="H2654" s="35" t="n"/>
      <c r="I2654" s="35" t="n"/>
      <c r="J2654" s="35" t="n"/>
      <c r="K2654" s="34" t="n"/>
      <c r="L2654" s="26">
        <f>IF(A2654="","",MONTH(A2654))</f>
        <v/>
      </c>
      <c r="M2654" s="26">
        <f>IF(A2654="","",YEAR(A2654))</f>
        <v/>
      </c>
      <c r="N2654" s="26">
        <f>IF(A2654="","",CHOOSE(WEEKDAY(A2654,2),"Segunda","Terça","Quarta","Quinta","Sexta","Sábado","Domingo"))</f>
        <v/>
      </c>
      <c r="O2654" s="26">
        <f>IF(B2654="","",IF(B2654&lt;TIME(12,0,0),"Manhã",IF(B2654&lt;TIME(18,0,0),"Tarde","Noite")))</f>
        <v/>
      </c>
      <c r="P2654" s="32">
        <f>IF(G2654="","",IFERROR(INDEX(Config!$I$5:$I$16,MATCH(G2654,Config!$H$5:$H$16,0)),0))</f>
        <v/>
      </c>
      <c r="Q2654" s="30">
        <f>IF(OR(H2654&lt;&gt;"Realizado",P2654="",P2654=0),"",A2654+P2654)</f>
        <v/>
      </c>
      <c r="R2654" s="26">
        <f>IF(Q2654="","",IF(COUNTIFS($E$5:$E$3004,E2654,$A$5:$A$3004,"&gt;"&amp;A2654,$H$5:$H$3004,"&lt;&gt;Falta",$H$5:$H$3004,"&lt;&gt;Cancelado",$H$5:$H$3004,"&lt;&gt;Remarcado")&gt;0,"Sim","Não"))</f>
        <v/>
      </c>
      <c r="S2654" s="32">
        <f>IF(R2654&lt;&gt;"Não","",IF(Q2654+Config!$B$9&lt;=Config!$B$8,Config!$B$8-Q2654,""))</f>
        <v/>
      </c>
      <c r="T2654" s="26">
        <f>IF(S2654="","","Sim")</f>
        <v/>
      </c>
      <c r="U2654" s="41">
        <f>IF(T2654="Sim",S2654+ROW()/100000,0)</f>
        <v>0</v>
      </c>
      <c r="V2654" s="41">
        <f>IF(AND(H2654="Falta",L2654=Config!$B$7,M2654=Config!$B$5,COUNTIFS($E$5:E2654,E2654,$H$5:H2654,"Falta",$L$5:L2654,Config!$B$7,$M$5:M2654,Config!$B$5)=1),COUNTIFS($E$5:$E$3004,E2654,$H$5:$H$3004,"Falta",$L$5:$L$3004,Config!$B$7,$M$5:$M$3004,Config!$B$5)*1000-ROW()/100000,0)</f>
        <v>0</v>
      </c>
    </row>
    <row r="2655">
      <c r="A2655" s="39" t="n"/>
      <c r="B2655" s="40" t="n"/>
      <c r="C2655" s="35" t="n"/>
      <c r="D2655" s="35" t="n"/>
      <c r="E2655" s="34" t="n"/>
      <c r="F2655" s="35" t="n"/>
      <c r="G2655" s="35" t="n"/>
      <c r="H2655" s="35" t="n"/>
      <c r="I2655" s="35" t="n"/>
      <c r="J2655" s="35" t="n"/>
      <c r="K2655" s="34" t="n"/>
      <c r="L2655" s="26">
        <f>IF(A2655="","",MONTH(A2655))</f>
        <v/>
      </c>
      <c r="M2655" s="26">
        <f>IF(A2655="","",YEAR(A2655))</f>
        <v/>
      </c>
      <c r="N2655" s="26">
        <f>IF(A2655="","",CHOOSE(WEEKDAY(A2655,2),"Segunda","Terça","Quarta","Quinta","Sexta","Sábado","Domingo"))</f>
        <v/>
      </c>
      <c r="O2655" s="26">
        <f>IF(B2655="","",IF(B2655&lt;TIME(12,0,0),"Manhã",IF(B2655&lt;TIME(18,0,0),"Tarde","Noite")))</f>
        <v/>
      </c>
      <c r="P2655" s="32">
        <f>IF(G2655="","",IFERROR(INDEX(Config!$I$5:$I$16,MATCH(G2655,Config!$H$5:$H$16,0)),0))</f>
        <v/>
      </c>
      <c r="Q2655" s="30">
        <f>IF(OR(H2655&lt;&gt;"Realizado",P2655="",P2655=0),"",A2655+P2655)</f>
        <v/>
      </c>
      <c r="R2655" s="26">
        <f>IF(Q2655="","",IF(COUNTIFS($E$5:$E$3004,E2655,$A$5:$A$3004,"&gt;"&amp;A2655,$H$5:$H$3004,"&lt;&gt;Falta",$H$5:$H$3004,"&lt;&gt;Cancelado",$H$5:$H$3004,"&lt;&gt;Remarcado")&gt;0,"Sim","Não"))</f>
        <v/>
      </c>
      <c r="S2655" s="32">
        <f>IF(R2655&lt;&gt;"Não","",IF(Q2655+Config!$B$9&lt;=Config!$B$8,Config!$B$8-Q2655,""))</f>
        <v/>
      </c>
      <c r="T2655" s="26">
        <f>IF(S2655="","","Sim")</f>
        <v/>
      </c>
      <c r="U2655" s="41">
        <f>IF(T2655="Sim",S2655+ROW()/100000,0)</f>
        <v>0</v>
      </c>
      <c r="V2655" s="41">
        <f>IF(AND(H2655="Falta",L2655=Config!$B$7,M2655=Config!$B$5,COUNTIFS($E$5:E2655,E2655,$H$5:H2655,"Falta",$L$5:L2655,Config!$B$7,$M$5:M2655,Config!$B$5)=1),COUNTIFS($E$5:$E$3004,E2655,$H$5:$H$3004,"Falta",$L$5:$L$3004,Config!$B$7,$M$5:$M$3004,Config!$B$5)*1000-ROW()/100000,0)</f>
        <v>0</v>
      </c>
    </row>
    <row r="2656">
      <c r="A2656" s="39" t="n"/>
      <c r="B2656" s="40" t="n"/>
      <c r="C2656" s="35" t="n"/>
      <c r="D2656" s="35" t="n"/>
      <c r="E2656" s="34" t="n"/>
      <c r="F2656" s="35" t="n"/>
      <c r="G2656" s="35" t="n"/>
      <c r="H2656" s="35" t="n"/>
      <c r="I2656" s="35" t="n"/>
      <c r="J2656" s="35" t="n"/>
      <c r="K2656" s="34" t="n"/>
      <c r="L2656" s="26">
        <f>IF(A2656="","",MONTH(A2656))</f>
        <v/>
      </c>
      <c r="M2656" s="26">
        <f>IF(A2656="","",YEAR(A2656))</f>
        <v/>
      </c>
      <c r="N2656" s="26">
        <f>IF(A2656="","",CHOOSE(WEEKDAY(A2656,2),"Segunda","Terça","Quarta","Quinta","Sexta","Sábado","Domingo"))</f>
        <v/>
      </c>
      <c r="O2656" s="26">
        <f>IF(B2656="","",IF(B2656&lt;TIME(12,0,0),"Manhã",IF(B2656&lt;TIME(18,0,0),"Tarde","Noite")))</f>
        <v/>
      </c>
      <c r="P2656" s="32">
        <f>IF(G2656="","",IFERROR(INDEX(Config!$I$5:$I$16,MATCH(G2656,Config!$H$5:$H$16,0)),0))</f>
        <v/>
      </c>
      <c r="Q2656" s="30">
        <f>IF(OR(H2656&lt;&gt;"Realizado",P2656="",P2656=0),"",A2656+P2656)</f>
        <v/>
      </c>
      <c r="R2656" s="26">
        <f>IF(Q2656="","",IF(COUNTIFS($E$5:$E$3004,E2656,$A$5:$A$3004,"&gt;"&amp;A2656,$H$5:$H$3004,"&lt;&gt;Falta",$H$5:$H$3004,"&lt;&gt;Cancelado",$H$5:$H$3004,"&lt;&gt;Remarcado")&gt;0,"Sim","Não"))</f>
        <v/>
      </c>
      <c r="S2656" s="32">
        <f>IF(R2656&lt;&gt;"Não","",IF(Q2656+Config!$B$9&lt;=Config!$B$8,Config!$B$8-Q2656,""))</f>
        <v/>
      </c>
      <c r="T2656" s="26">
        <f>IF(S2656="","","Sim")</f>
        <v/>
      </c>
      <c r="U2656" s="41">
        <f>IF(T2656="Sim",S2656+ROW()/100000,0)</f>
        <v>0</v>
      </c>
      <c r="V2656" s="41">
        <f>IF(AND(H2656="Falta",L2656=Config!$B$7,M2656=Config!$B$5,COUNTIFS($E$5:E2656,E2656,$H$5:H2656,"Falta",$L$5:L2656,Config!$B$7,$M$5:M2656,Config!$B$5)=1),COUNTIFS($E$5:$E$3004,E2656,$H$5:$H$3004,"Falta",$L$5:$L$3004,Config!$B$7,$M$5:$M$3004,Config!$B$5)*1000-ROW()/100000,0)</f>
        <v>0</v>
      </c>
    </row>
    <row r="2657">
      <c r="A2657" s="39" t="n"/>
      <c r="B2657" s="40" t="n"/>
      <c r="C2657" s="35" t="n"/>
      <c r="D2657" s="35" t="n"/>
      <c r="E2657" s="34" t="n"/>
      <c r="F2657" s="35" t="n"/>
      <c r="G2657" s="35" t="n"/>
      <c r="H2657" s="35" t="n"/>
      <c r="I2657" s="35" t="n"/>
      <c r="J2657" s="35" t="n"/>
      <c r="K2657" s="34" t="n"/>
      <c r="L2657" s="26">
        <f>IF(A2657="","",MONTH(A2657))</f>
        <v/>
      </c>
      <c r="M2657" s="26">
        <f>IF(A2657="","",YEAR(A2657))</f>
        <v/>
      </c>
      <c r="N2657" s="26">
        <f>IF(A2657="","",CHOOSE(WEEKDAY(A2657,2),"Segunda","Terça","Quarta","Quinta","Sexta","Sábado","Domingo"))</f>
        <v/>
      </c>
      <c r="O2657" s="26">
        <f>IF(B2657="","",IF(B2657&lt;TIME(12,0,0),"Manhã",IF(B2657&lt;TIME(18,0,0),"Tarde","Noite")))</f>
        <v/>
      </c>
      <c r="P2657" s="32">
        <f>IF(G2657="","",IFERROR(INDEX(Config!$I$5:$I$16,MATCH(G2657,Config!$H$5:$H$16,0)),0))</f>
        <v/>
      </c>
      <c r="Q2657" s="30">
        <f>IF(OR(H2657&lt;&gt;"Realizado",P2657="",P2657=0),"",A2657+P2657)</f>
        <v/>
      </c>
      <c r="R2657" s="26">
        <f>IF(Q2657="","",IF(COUNTIFS($E$5:$E$3004,E2657,$A$5:$A$3004,"&gt;"&amp;A2657,$H$5:$H$3004,"&lt;&gt;Falta",$H$5:$H$3004,"&lt;&gt;Cancelado",$H$5:$H$3004,"&lt;&gt;Remarcado")&gt;0,"Sim","Não"))</f>
        <v/>
      </c>
      <c r="S2657" s="32">
        <f>IF(R2657&lt;&gt;"Não","",IF(Q2657+Config!$B$9&lt;=Config!$B$8,Config!$B$8-Q2657,""))</f>
        <v/>
      </c>
      <c r="T2657" s="26">
        <f>IF(S2657="","","Sim")</f>
        <v/>
      </c>
      <c r="U2657" s="41">
        <f>IF(T2657="Sim",S2657+ROW()/100000,0)</f>
        <v>0</v>
      </c>
      <c r="V2657" s="41">
        <f>IF(AND(H2657="Falta",L2657=Config!$B$7,M2657=Config!$B$5,COUNTIFS($E$5:E2657,E2657,$H$5:H2657,"Falta",$L$5:L2657,Config!$B$7,$M$5:M2657,Config!$B$5)=1),COUNTIFS($E$5:$E$3004,E2657,$H$5:$H$3004,"Falta",$L$5:$L$3004,Config!$B$7,$M$5:$M$3004,Config!$B$5)*1000-ROW()/100000,0)</f>
        <v>0</v>
      </c>
    </row>
    <row r="2658">
      <c r="A2658" s="39" t="n"/>
      <c r="B2658" s="40" t="n"/>
      <c r="C2658" s="35" t="n"/>
      <c r="D2658" s="35" t="n"/>
      <c r="E2658" s="34" t="n"/>
      <c r="F2658" s="35" t="n"/>
      <c r="G2658" s="35" t="n"/>
      <c r="H2658" s="35" t="n"/>
      <c r="I2658" s="35" t="n"/>
      <c r="J2658" s="35" t="n"/>
      <c r="K2658" s="34" t="n"/>
      <c r="L2658" s="26">
        <f>IF(A2658="","",MONTH(A2658))</f>
        <v/>
      </c>
      <c r="M2658" s="26">
        <f>IF(A2658="","",YEAR(A2658))</f>
        <v/>
      </c>
      <c r="N2658" s="26">
        <f>IF(A2658="","",CHOOSE(WEEKDAY(A2658,2),"Segunda","Terça","Quarta","Quinta","Sexta","Sábado","Domingo"))</f>
        <v/>
      </c>
      <c r="O2658" s="26">
        <f>IF(B2658="","",IF(B2658&lt;TIME(12,0,0),"Manhã",IF(B2658&lt;TIME(18,0,0),"Tarde","Noite")))</f>
        <v/>
      </c>
      <c r="P2658" s="32">
        <f>IF(G2658="","",IFERROR(INDEX(Config!$I$5:$I$16,MATCH(G2658,Config!$H$5:$H$16,0)),0))</f>
        <v/>
      </c>
      <c r="Q2658" s="30">
        <f>IF(OR(H2658&lt;&gt;"Realizado",P2658="",P2658=0),"",A2658+P2658)</f>
        <v/>
      </c>
      <c r="R2658" s="26">
        <f>IF(Q2658="","",IF(COUNTIFS($E$5:$E$3004,E2658,$A$5:$A$3004,"&gt;"&amp;A2658,$H$5:$H$3004,"&lt;&gt;Falta",$H$5:$H$3004,"&lt;&gt;Cancelado",$H$5:$H$3004,"&lt;&gt;Remarcado")&gt;0,"Sim","Não"))</f>
        <v/>
      </c>
      <c r="S2658" s="32">
        <f>IF(R2658&lt;&gt;"Não","",IF(Q2658+Config!$B$9&lt;=Config!$B$8,Config!$B$8-Q2658,""))</f>
        <v/>
      </c>
      <c r="T2658" s="26">
        <f>IF(S2658="","","Sim")</f>
        <v/>
      </c>
      <c r="U2658" s="41">
        <f>IF(T2658="Sim",S2658+ROW()/100000,0)</f>
        <v>0</v>
      </c>
      <c r="V2658" s="41">
        <f>IF(AND(H2658="Falta",L2658=Config!$B$7,M2658=Config!$B$5,COUNTIFS($E$5:E2658,E2658,$H$5:H2658,"Falta",$L$5:L2658,Config!$B$7,$M$5:M2658,Config!$B$5)=1),COUNTIFS($E$5:$E$3004,E2658,$H$5:$H$3004,"Falta",$L$5:$L$3004,Config!$B$7,$M$5:$M$3004,Config!$B$5)*1000-ROW()/100000,0)</f>
        <v>0</v>
      </c>
    </row>
    <row r="2659">
      <c r="A2659" s="39" t="n"/>
      <c r="B2659" s="40" t="n"/>
      <c r="C2659" s="35" t="n"/>
      <c r="D2659" s="35" t="n"/>
      <c r="E2659" s="34" t="n"/>
      <c r="F2659" s="35" t="n"/>
      <c r="G2659" s="35" t="n"/>
      <c r="H2659" s="35" t="n"/>
      <c r="I2659" s="35" t="n"/>
      <c r="J2659" s="35" t="n"/>
      <c r="K2659" s="34" t="n"/>
      <c r="L2659" s="26">
        <f>IF(A2659="","",MONTH(A2659))</f>
        <v/>
      </c>
      <c r="M2659" s="26">
        <f>IF(A2659="","",YEAR(A2659))</f>
        <v/>
      </c>
      <c r="N2659" s="26">
        <f>IF(A2659="","",CHOOSE(WEEKDAY(A2659,2),"Segunda","Terça","Quarta","Quinta","Sexta","Sábado","Domingo"))</f>
        <v/>
      </c>
      <c r="O2659" s="26">
        <f>IF(B2659="","",IF(B2659&lt;TIME(12,0,0),"Manhã",IF(B2659&lt;TIME(18,0,0),"Tarde","Noite")))</f>
        <v/>
      </c>
      <c r="P2659" s="32">
        <f>IF(G2659="","",IFERROR(INDEX(Config!$I$5:$I$16,MATCH(G2659,Config!$H$5:$H$16,0)),0))</f>
        <v/>
      </c>
      <c r="Q2659" s="30">
        <f>IF(OR(H2659&lt;&gt;"Realizado",P2659="",P2659=0),"",A2659+P2659)</f>
        <v/>
      </c>
      <c r="R2659" s="26">
        <f>IF(Q2659="","",IF(COUNTIFS($E$5:$E$3004,E2659,$A$5:$A$3004,"&gt;"&amp;A2659,$H$5:$H$3004,"&lt;&gt;Falta",$H$5:$H$3004,"&lt;&gt;Cancelado",$H$5:$H$3004,"&lt;&gt;Remarcado")&gt;0,"Sim","Não"))</f>
        <v/>
      </c>
      <c r="S2659" s="32">
        <f>IF(R2659&lt;&gt;"Não","",IF(Q2659+Config!$B$9&lt;=Config!$B$8,Config!$B$8-Q2659,""))</f>
        <v/>
      </c>
      <c r="T2659" s="26">
        <f>IF(S2659="","","Sim")</f>
        <v/>
      </c>
      <c r="U2659" s="41">
        <f>IF(T2659="Sim",S2659+ROW()/100000,0)</f>
        <v>0</v>
      </c>
      <c r="V2659" s="41">
        <f>IF(AND(H2659="Falta",L2659=Config!$B$7,M2659=Config!$B$5,COUNTIFS($E$5:E2659,E2659,$H$5:H2659,"Falta",$L$5:L2659,Config!$B$7,$M$5:M2659,Config!$B$5)=1),COUNTIFS($E$5:$E$3004,E2659,$H$5:$H$3004,"Falta",$L$5:$L$3004,Config!$B$7,$M$5:$M$3004,Config!$B$5)*1000-ROW()/100000,0)</f>
        <v>0</v>
      </c>
    </row>
    <row r="2660">
      <c r="A2660" s="39" t="n"/>
      <c r="B2660" s="40" t="n"/>
      <c r="C2660" s="35" t="n"/>
      <c r="D2660" s="35" t="n"/>
      <c r="E2660" s="34" t="n"/>
      <c r="F2660" s="35" t="n"/>
      <c r="G2660" s="35" t="n"/>
      <c r="H2660" s="35" t="n"/>
      <c r="I2660" s="35" t="n"/>
      <c r="J2660" s="35" t="n"/>
      <c r="K2660" s="34" t="n"/>
      <c r="L2660" s="26">
        <f>IF(A2660="","",MONTH(A2660))</f>
        <v/>
      </c>
      <c r="M2660" s="26">
        <f>IF(A2660="","",YEAR(A2660))</f>
        <v/>
      </c>
      <c r="N2660" s="26">
        <f>IF(A2660="","",CHOOSE(WEEKDAY(A2660,2),"Segunda","Terça","Quarta","Quinta","Sexta","Sábado","Domingo"))</f>
        <v/>
      </c>
      <c r="O2660" s="26">
        <f>IF(B2660="","",IF(B2660&lt;TIME(12,0,0),"Manhã",IF(B2660&lt;TIME(18,0,0),"Tarde","Noite")))</f>
        <v/>
      </c>
      <c r="P2660" s="32">
        <f>IF(G2660="","",IFERROR(INDEX(Config!$I$5:$I$16,MATCH(G2660,Config!$H$5:$H$16,0)),0))</f>
        <v/>
      </c>
      <c r="Q2660" s="30">
        <f>IF(OR(H2660&lt;&gt;"Realizado",P2660="",P2660=0),"",A2660+P2660)</f>
        <v/>
      </c>
      <c r="R2660" s="26">
        <f>IF(Q2660="","",IF(COUNTIFS($E$5:$E$3004,E2660,$A$5:$A$3004,"&gt;"&amp;A2660,$H$5:$H$3004,"&lt;&gt;Falta",$H$5:$H$3004,"&lt;&gt;Cancelado",$H$5:$H$3004,"&lt;&gt;Remarcado")&gt;0,"Sim","Não"))</f>
        <v/>
      </c>
      <c r="S2660" s="32">
        <f>IF(R2660&lt;&gt;"Não","",IF(Q2660+Config!$B$9&lt;=Config!$B$8,Config!$B$8-Q2660,""))</f>
        <v/>
      </c>
      <c r="T2660" s="26">
        <f>IF(S2660="","","Sim")</f>
        <v/>
      </c>
      <c r="U2660" s="41">
        <f>IF(T2660="Sim",S2660+ROW()/100000,0)</f>
        <v>0</v>
      </c>
      <c r="V2660" s="41">
        <f>IF(AND(H2660="Falta",L2660=Config!$B$7,M2660=Config!$B$5,COUNTIFS($E$5:E2660,E2660,$H$5:H2660,"Falta",$L$5:L2660,Config!$B$7,$M$5:M2660,Config!$B$5)=1),COUNTIFS($E$5:$E$3004,E2660,$H$5:$H$3004,"Falta",$L$5:$L$3004,Config!$B$7,$M$5:$M$3004,Config!$B$5)*1000-ROW()/100000,0)</f>
        <v>0</v>
      </c>
    </row>
    <row r="2661">
      <c r="A2661" s="39" t="n"/>
      <c r="B2661" s="40" t="n"/>
      <c r="C2661" s="35" t="n"/>
      <c r="D2661" s="35" t="n"/>
      <c r="E2661" s="34" t="n"/>
      <c r="F2661" s="35" t="n"/>
      <c r="G2661" s="35" t="n"/>
      <c r="H2661" s="35" t="n"/>
      <c r="I2661" s="35" t="n"/>
      <c r="J2661" s="35" t="n"/>
      <c r="K2661" s="34" t="n"/>
      <c r="L2661" s="26">
        <f>IF(A2661="","",MONTH(A2661))</f>
        <v/>
      </c>
      <c r="M2661" s="26">
        <f>IF(A2661="","",YEAR(A2661))</f>
        <v/>
      </c>
      <c r="N2661" s="26">
        <f>IF(A2661="","",CHOOSE(WEEKDAY(A2661,2),"Segunda","Terça","Quarta","Quinta","Sexta","Sábado","Domingo"))</f>
        <v/>
      </c>
      <c r="O2661" s="26">
        <f>IF(B2661="","",IF(B2661&lt;TIME(12,0,0),"Manhã",IF(B2661&lt;TIME(18,0,0),"Tarde","Noite")))</f>
        <v/>
      </c>
      <c r="P2661" s="32">
        <f>IF(G2661="","",IFERROR(INDEX(Config!$I$5:$I$16,MATCH(G2661,Config!$H$5:$H$16,0)),0))</f>
        <v/>
      </c>
      <c r="Q2661" s="30">
        <f>IF(OR(H2661&lt;&gt;"Realizado",P2661="",P2661=0),"",A2661+P2661)</f>
        <v/>
      </c>
      <c r="R2661" s="26">
        <f>IF(Q2661="","",IF(COUNTIFS($E$5:$E$3004,E2661,$A$5:$A$3004,"&gt;"&amp;A2661,$H$5:$H$3004,"&lt;&gt;Falta",$H$5:$H$3004,"&lt;&gt;Cancelado",$H$5:$H$3004,"&lt;&gt;Remarcado")&gt;0,"Sim","Não"))</f>
        <v/>
      </c>
      <c r="S2661" s="32">
        <f>IF(R2661&lt;&gt;"Não","",IF(Q2661+Config!$B$9&lt;=Config!$B$8,Config!$B$8-Q2661,""))</f>
        <v/>
      </c>
      <c r="T2661" s="26">
        <f>IF(S2661="","","Sim")</f>
        <v/>
      </c>
      <c r="U2661" s="41">
        <f>IF(T2661="Sim",S2661+ROW()/100000,0)</f>
        <v>0</v>
      </c>
      <c r="V2661" s="41">
        <f>IF(AND(H2661="Falta",L2661=Config!$B$7,M2661=Config!$B$5,COUNTIFS($E$5:E2661,E2661,$H$5:H2661,"Falta",$L$5:L2661,Config!$B$7,$M$5:M2661,Config!$B$5)=1),COUNTIFS($E$5:$E$3004,E2661,$H$5:$H$3004,"Falta",$L$5:$L$3004,Config!$B$7,$M$5:$M$3004,Config!$B$5)*1000-ROW()/100000,0)</f>
        <v>0</v>
      </c>
    </row>
    <row r="2662">
      <c r="A2662" s="39" t="n"/>
      <c r="B2662" s="40" t="n"/>
      <c r="C2662" s="35" t="n"/>
      <c r="D2662" s="35" t="n"/>
      <c r="E2662" s="34" t="n"/>
      <c r="F2662" s="35" t="n"/>
      <c r="G2662" s="35" t="n"/>
      <c r="H2662" s="35" t="n"/>
      <c r="I2662" s="35" t="n"/>
      <c r="J2662" s="35" t="n"/>
      <c r="K2662" s="34" t="n"/>
      <c r="L2662" s="26">
        <f>IF(A2662="","",MONTH(A2662))</f>
        <v/>
      </c>
      <c r="M2662" s="26">
        <f>IF(A2662="","",YEAR(A2662))</f>
        <v/>
      </c>
      <c r="N2662" s="26">
        <f>IF(A2662="","",CHOOSE(WEEKDAY(A2662,2),"Segunda","Terça","Quarta","Quinta","Sexta","Sábado","Domingo"))</f>
        <v/>
      </c>
      <c r="O2662" s="26">
        <f>IF(B2662="","",IF(B2662&lt;TIME(12,0,0),"Manhã",IF(B2662&lt;TIME(18,0,0),"Tarde","Noite")))</f>
        <v/>
      </c>
      <c r="P2662" s="32">
        <f>IF(G2662="","",IFERROR(INDEX(Config!$I$5:$I$16,MATCH(G2662,Config!$H$5:$H$16,0)),0))</f>
        <v/>
      </c>
      <c r="Q2662" s="30">
        <f>IF(OR(H2662&lt;&gt;"Realizado",P2662="",P2662=0),"",A2662+P2662)</f>
        <v/>
      </c>
      <c r="R2662" s="26">
        <f>IF(Q2662="","",IF(COUNTIFS($E$5:$E$3004,E2662,$A$5:$A$3004,"&gt;"&amp;A2662,$H$5:$H$3004,"&lt;&gt;Falta",$H$5:$H$3004,"&lt;&gt;Cancelado",$H$5:$H$3004,"&lt;&gt;Remarcado")&gt;0,"Sim","Não"))</f>
        <v/>
      </c>
      <c r="S2662" s="32">
        <f>IF(R2662&lt;&gt;"Não","",IF(Q2662+Config!$B$9&lt;=Config!$B$8,Config!$B$8-Q2662,""))</f>
        <v/>
      </c>
      <c r="T2662" s="26">
        <f>IF(S2662="","","Sim")</f>
        <v/>
      </c>
      <c r="U2662" s="41">
        <f>IF(T2662="Sim",S2662+ROW()/100000,0)</f>
        <v>0</v>
      </c>
      <c r="V2662" s="41">
        <f>IF(AND(H2662="Falta",L2662=Config!$B$7,M2662=Config!$B$5,COUNTIFS($E$5:E2662,E2662,$H$5:H2662,"Falta",$L$5:L2662,Config!$B$7,$M$5:M2662,Config!$B$5)=1),COUNTIFS($E$5:$E$3004,E2662,$H$5:$H$3004,"Falta",$L$5:$L$3004,Config!$B$7,$M$5:$M$3004,Config!$B$5)*1000-ROW()/100000,0)</f>
        <v>0</v>
      </c>
    </row>
    <row r="2663">
      <c r="A2663" s="39" t="n"/>
      <c r="B2663" s="40" t="n"/>
      <c r="C2663" s="35" t="n"/>
      <c r="D2663" s="35" t="n"/>
      <c r="E2663" s="34" t="n"/>
      <c r="F2663" s="35" t="n"/>
      <c r="G2663" s="35" t="n"/>
      <c r="H2663" s="35" t="n"/>
      <c r="I2663" s="35" t="n"/>
      <c r="J2663" s="35" t="n"/>
      <c r="K2663" s="34" t="n"/>
      <c r="L2663" s="26">
        <f>IF(A2663="","",MONTH(A2663))</f>
        <v/>
      </c>
      <c r="M2663" s="26">
        <f>IF(A2663="","",YEAR(A2663))</f>
        <v/>
      </c>
      <c r="N2663" s="26">
        <f>IF(A2663="","",CHOOSE(WEEKDAY(A2663,2),"Segunda","Terça","Quarta","Quinta","Sexta","Sábado","Domingo"))</f>
        <v/>
      </c>
      <c r="O2663" s="26">
        <f>IF(B2663="","",IF(B2663&lt;TIME(12,0,0),"Manhã",IF(B2663&lt;TIME(18,0,0),"Tarde","Noite")))</f>
        <v/>
      </c>
      <c r="P2663" s="32">
        <f>IF(G2663="","",IFERROR(INDEX(Config!$I$5:$I$16,MATCH(G2663,Config!$H$5:$H$16,0)),0))</f>
        <v/>
      </c>
      <c r="Q2663" s="30">
        <f>IF(OR(H2663&lt;&gt;"Realizado",P2663="",P2663=0),"",A2663+P2663)</f>
        <v/>
      </c>
      <c r="R2663" s="26">
        <f>IF(Q2663="","",IF(COUNTIFS($E$5:$E$3004,E2663,$A$5:$A$3004,"&gt;"&amp;A2663,$H$5:$H$3004,"&lt;&gt;Falta",$H$5:$H$3004,"&lt;&gt;Cancelado",$H$5:$H$3004,"&lt;&gt;Remarcado")&gt;0,"Sim","Não"))</f>
        <v/>
      </c>
      <c r="S2663" s="32">
        <f>IF(R2663&lt;&gt;"Não","",IF(Q2663+Config!$B$9&lt;=Config!$B$8,Config!$B$8-Q2663,""))</f>
        <v/>
      </c>
      <c r="T2663" s="26">
        <f>IF(S2663="","","Sim")</f>
        <v/>
      </c>
      <c r="U2663" s="41">
        <f>IF(T2663="Sim",S2663+ROW()/100000,0)</f>
        <v>0</v>
      </c>
      <c r="V2663" s="41">
        <f>IF(AND(H2663="Falta",L2663=Config!$B$7,M2663=Config!$B$5,COUNTIFS($E$5:E2663,E2663,$H$5:H2663,"Falta",$L$5:L2663,Config!$B$7,$M$5:M2663,Config!$B$5)=1),COUNTIFS($E$5:$E$3004,E2663,$H$5:$H$3004,"Falta",$L$5:$L$3004,Config!$B$7,$M$5:$M$3004,Config!$B$5)*1000-ROW()/100000,0)</f>
        <v>0</v>
      </c>
    </row>
    <row r="2664">
      <c r="A2664" s="39" t="n"/>
      <c r="B2664" s="40" t="n"/>
      <c r="C2664" s="35" t="n"/>
      <c r="D2664" s="35" t="n"/>
      <c r="E2664" s="34" t="n"/>
      <c r="F2664" s="35" t="n"/>
      <c r="G2664" s="35" t="n"/>
      <c r="H2664" s="35" t="n"/>
      <c r="I2664" s="35" t="n"/>
      <c r="J2664" s="35" t="n"/>
      <c r="K2664" s="34" t="n"/>
      <c r="L2664" s="26">
        <f>IF(A2664="","",MONTH(A2664))</f>
        <v/>
      </c>
      <c r="M2664" s="26">
        <f>IF(A2664="","",YEAR(A2664))</f>
        <v/>
      </c>
      <c r="N2664" s="26">
        <f>IF(A2664="","",CHOOSE(WEEKDAY(A2664,2),"Segunda","Terça","Quarta","Quinta","Sexta","Sábado","Domingo"))</f>
        <v/>
      </c>
      <c r="O2664" s="26">
        <f>IF(B2664="","",IF(B2664&lt;TIME(12,0,0),"Manhã",IF(B2664&lt;TIME(18,0,0),"Tarde","Noite")))</f>
        <v/>
      </c>
      <c r="P2664" s="32">
        <f>IF(G2664="","",IFERROR(INDEX(Config!$I$5:$I$16,MATCH(G2664,Config!$H$5:$H$16,0)),0))</f>
        <v/>
      </c>
      <c r="Q2664" s="30">
        <f>IF(OR(H2664&lt;&gt;"Realizado",P2664="",P2664=0),"",A2664+P2664)</f>
        <v/>
      </c>
      <c r="R2664" s="26">
        <f>IF(Q2664="","",IF(COUNTIFS($E$5:$E$3004,E2664,$A$5:$A$3004,"&gt;"&amp;A2664,$H$5:$H$3004,"&lt;&gt;Falta",$H$5:$H$3004,"&lt;&gt;Cancelado",$H$5:$H$3004,"&lt;&gt;Remarcado")&gt;0,"Sim","Não"))</f>
        <v/>
      </c>
      <c r="S2664" s="32">
        <f>IF(R2664&lt;&gt;"Não","",IF(Q2664+Config!$B$9&lt;=Config!$B$8,Config!$B$8-Q2664,""))</f>
        <v/>
      </c>
      <c r="T2664" s="26">
        <f>IF(S2664="","","Sim")</f>
        <v/>
      </c>
      <c r="U2664" s="41">
        <f>IF(T2664="Sim",S2664+ROW()/100000,0)</f>
        <v>0</v>
      </c>
      <c r="V2664" s="41">
        <f>IF(AND(H2664="Falta",L2664=Config!$B$7,M2664=Config!$B$5,COUNTIFS($E$5:E2664,E2664,$H$5:H2664,"Falta",$L$5:L2664,Config!$B$7,$M$5:M2664,Config!$B$5)=1),COUNTIFS($E$5:$E$3004,E2664,$H$5:$H$3004,"Falta",$L$5:$L$3004,Config!$B$7,$M$5:$M$3004,Config!$B$5)*1000-ROW()/100000,0)</f>
        <v>0</v>
      </c>
    </row>
    <row r="2665">
      <c r="A2665" s="39" t="n"/>
      <c r="B2665" s="40" t="n"/>
      <c r="C2665" s="35" t="n"/>
      <c r="D2665" s="35" t="n"/>
      <c r="E2665" s="34" t="n"/>
      <c r="F2665" s="35" t="n"/>
      <c r="G2665" s="35" t="n"/>
      <c r="H2665" s="35" t="n"/>
      <c r="I2665" s="35" t="n"/>
      <c r="J2665" s="35" t="n"/>
      <c r="K2665" s="34" t="n"/>
      <c r="L2665" s="26">
        <f>IF(A2665="","",MONTH(A2665))</f>
        <v/>
      </c>
      <c r="M2665" s="26">
        <f>IF(A2665="","",YEAR(A2665))</f>
        <v/>
      </c>
      <c r="N2665" s="26">
        <f>IF(A2665="","",CHOOSE(WEEKDAY(A2665,2),"Segunda","Terça","Quarta","Quinta","Sexta","Sábado","Domingo"))</f>
        <v/>
      </c>
      <c r="O2665" s="26">
        <f>IF(B2665="","",IF(B2665&lt;TIME(12,0,0),"Manhã",IF(B2665&lt;TIME(18,0,0),"Tarde","Noite")))</f>
        <v/>
      </c>
      <c r="P2665" s="32">
        <f>IF(G2665="","",IFERROR(INDEX(Config!$I$5:$I$16,MATCH(G2665,Config!$H$5:$H$16,0)),0))</f>
        <v/>
      </c>
      <c r="Q2665" s="30">
        <f>IF(OR(H2665&lt;&gt;"Realizado",P2665="",P2665=0),"",A2665+P2665)</f>
        <v/>
      </c>
      <c r="R2665" s="26">
        <f>IF(Q2665="","",IF(COUNTIFS($E$5:$E$3004,E2665,$A$5:$A$3004,"&gt;"&amp;A2665,$H$5:$H$3004,"&lt;&gt;Falta",$H$5:$H$3004,"&lt;&gt;Cancelado",$H$5:$H$3004,"&lt;&gt;Remarcado")&gt;0,"Sim","Não"))</f>
        <v/>
      </c>
      <c r="S2665" s="32">
        <f>IF(R2665&lt;&gt;"Não","",IF(Q2665+Config!$B$9&lt;=Config!$B$8,Config!$B$8-Q2665,""))</f>
        <v/>
      </c>
      <c r="T2665" s="26">
        <f>IF(S2665="","","Sim")</f>
        <v/>
      </c>
      <c r="U2665" s="41">
        <f>IF(T2665="Sim",S2665+ROW()/100000,0)</f>
        <v>0</v>
      </c>
      <c r="V2665" s="41">
        <f>IF(AND(H2665="Falta",L2665=Config!$B$7,M2665=Config!$B$5,COUNTIFS($E$5:E2665,E2665,$H$5:H2665,"Falta",$L$5:L2665,Config!$B$7,$M$5:M2665,Config!$B$5)=1),COUNTIFS($E$5:$E$3004,E2665,$H$5:$H$3004,"Falta",$L$5:$L$3004,Config!$B$7,$M$5:$M$3004,Config!$B$5)*1000-ROW()/100000,0)</f>
        <v>0</v>
      </c>
    </row>
    <row r="2666">
      <c r="A2666" s="39" t="n"/>
      <c r="B2666" s="40" t="n"/>
      <c r="C2666" s="35" t="n"/>
      <c r="D2666" s="35" t="n"/>
      <c r="E2666" s="34" t="n"/>
      <c r="F2666" s="35" t="n"/>
      <c r="G2666" s="35" t="n"/>
      <c r="H2666" s="35" t="n"/>
      <c r="I2666" s="35" t="n"/>
      <c r="J2666" s="35" t="n"/>
      <c r="K2666" s="34" t="n"/>
      <c r="L2666" s="26">
        <f>IF(A2666="","",MONTH(A2666))</f>
        <v/>
      </c>
      <c r="M2666" s="26">
        <f>IF(A2666="","",YEAR(A2666))</f>
        <v/>
      </c>
      <c r="N2666" s="26">
        <f>IF(A2666="","",CHOOSE(WEEKDAY(A2666,2),"Segunda","Terça","Quarta","Quinta","Sexta","Sábado","Domingo"))</f>
        <v/>
      </c>
      <c r="O2666" s="26">
        <f>IF(B2666="","",IF(B2666&lt;TIME(12,0,0),"Manhã",IF(B2666&lt;TIME(18,0,0),"Tarde","Noite")))</f>
        <v/>
      </c>
      <c r="P2666" s="32">
        <f>IF(G2666="","",IFERROR(INDEX(Config!$I$5:$I$16,MATCH(G2666,Config!$H$5:$H$16,0)),0))</f>
        <v/>
      </c>
      <c r="Q2666" s="30">
        <f>IF(OR(H2666&lt;&gt;"Realizado",P2666="",P2666=0),"",A2666+P2666)</f>
        <v/>
      </c>
      <c r="R2666" s="26">
        <f>IF(Q2666="","",IF(COUNTIFS($E$5:$E$3004,E2666,$A$5:$A$3004,"&gt;"&amp;A2666,$H$5:$H$3004,"&lt;&gt;Falta",$H$5:$H$3004,"&lt;&gt;Cancelado",$H$5:$H$3004,"&lt;&gt;Remarcado")&gt;0,"Sim","Não"))</f>
        <v/>
      </c>
      <c r="S2666" s="32">
        <f>IF(R2666&lt;&gt;"Não","",IF(Q2666+Config!$B$9&lt;=Config!$B$8,Config!$B$8-Q2666,""))</f>
        <v/>
      </c>
      <c r="T2666" s="26">
        <f>IF(S2666="","","Sim")</f>
        <v/>
      </c>
      <c r="U2666" s="41">
        <f>IF(T2666="Sim",S2666+ROW()/100000,0)</f>
        <v>0</v>
      </c>
      <c r="V2666" s="41">
        <f>IF(AND(H2666="Falta",L2666=Config!$B$7,M2666=Config!$B$5,COUNTIFS($E$5:E2666,E2666,$H$5:H2666,"Falta",$L$5:L2666,Config!$B$7,$M$5:M2666,Config!$B$5)=1),COUNTIFS($E$5:$E$3004,E2666,$H$5:$H$3004,"Falta",$L$5:$L$3004,Config!$B$7,$M$5:$M$3004,Config!$B$5)*1000-ROW()/100000,0)</f>
        <v>0</v>
      </c>
    </row>
    <row r="2667">
      <c r="A2667" s="39" t="n"/>
      <c r="B2667" s="40" t="n"/>
      <c r="C2667" s="35" t="n"/>
      <c r="D2667" s="35" t="n"/>
      <c r="E2667" s="34" t="n"/>
      <c r="F2667" s="35" t="n"/>
      <c r="G2667" s="35" t="n"/>
      <c r="H2667" s="35" t="n"/>
      <c r="I2667" s="35" t="n"/>
      <c r="J2667" s="35" t="n"/>
      <c r="K2667" s="34" t="n"/>
      <c r="L2667" s="26">
        <f>IF(A2667="","",MONTH(A2667))</f>
        <v/>
      </c>
      <c r="M2667" s="26">
        <f>IF(A2667="","",YEAR(A2667))</f>
        <v/>
      </c>
      <c r="N2667" s="26">
        <f>IF(A2667="","",CHOOSE(WEEKDAY(A2667,2),"Segunda","Terça","Quarta","Quinta","Sexta","Sábado","Domingo"))</f>
        <v/>
      </c>
      <c r="O2667" s="26">
        <f>IF(B2667="","",IF(B2667&lt;TIME(12,0,0),"Manhã",IF(B2667&lt;TIME(18,0,0),"Tarde","Noite")))</f>
        <v/>
      </c>
      <c r="P2667" s="32">
        <f>IF(G2667="","",IFERROR(INDEX(Config!$I$5:$I$16,MATCH(G2667,Config!$H$5:$H$16,0)),0))</f>
        <v/>
      </c>
      <c r="Q2667" s="30">
        <f>IF(OR(H2667&lt;&gt;"Realizado",P2667="",P2667=0),"",A2667+P2667)</f>
        <v/>
      </c>
      <c r="R2667" s="26">
        <f>IF(Q2667="","",IF(COUNTIFS($E$5:$E$3004,E2667,$A$5:$A$3004,"&gt;"&amp;A2667,$H$5:$H$3004,"&lt;&gt;Falta",$H$5:$H$3004,"&lt;&gt;Cancelado",$H$5:$H$3004,"&lt;&gt;Remarcado")&gt;0,"Sim","Não"))</f>
        <v/>
      </c>
      <c r="S2667" s="32">
        <f>IF(R2667&lt;&gt;"Não","",IF(Q2667+Config!$B$9&lt;=Config!$B$8,Config!$B$8-Q2667,""))</f>
        <v/>
      </c>
      <c r="T2667" s="26">
        <f>IF(S2667="","","Sim")</f>
        <v/>
      </c>
      <c r="U2667" s="41">
        <f>IF(T2667="Sim",S2667+ROW()/100000,0)</f>
        <v>0</v>
      </c>
      <c r="V2667" s="41">
        <f>IF(AND(H2667="Falta",L2667=Config!$B$7,M2667=Config!$B$5,COUNTIFS($E$5:E2667,E2667,$H$5:H2667,"Falta",$L$5:L2667,Config!$B$7,$M$5:M2667,Config!$B$5)=1),COUNTIFS($E$5:$E$3004,E2667,$H$5:$H$3004,"Falta",$L$5:$L$3004,Config!$B$7,$M$5:$M$3004,Config!$B$5)*1000-ROW()/100000,0)</f>
        <v>0</v>
      </c>
    </row>
    <row r="2668">
      <c r="A2668" s="39" t="n"/>
      <c r="B2668" s="40" t="n"/>
      <c r="C2668" s="35" t="n"/>
      <c r="D2668" s="35" t="n"/>
      <c r="E2668" s="34" t="n"/>
      <c r="F2668" s="35" t="n"/>
      <c r="G2668" s="35" t="n"/>
      <c r="H2668" s="35" t="n"/>
      <c r="I2668" s="35" t="n"/>
      <c r="J2668" s="35" t="n"/>
      <c r="K2668" s="34" t="n"/>
      <c r="L2668" s="26">
        <f>IF(A2668="","",MONTH(A2668))</f>
        <v/>
      </c>
      <c r="M2668" s="26">
        <f>IF(A2668="","",YEAR(A2668))</f>
        <v/>
      </c>
      <c r="N2668" s="26">
        <f>IF(A2668="","",CHOOSE(WEEKDAY(A2668,2),"Segunda","Terça","Quarta","Quinta","Sexta","Sábado","Domingo"))</f>
        <v/>
      </c>
      <c r="O2668" s="26">
        <f>IF(B2668="","",IF(B2668&lt;TIME(12,0,0),"Manhã",IF(B2668&lt;TIME(18,0,0),"Tarde","Noite")))</f>
        <v/>
      </c>
      <c r="P2668" s="32">
        <f>IF(G2668="","",IFERROR(INDEX(Config!$I$5:$I$16,MATCH(G2668,Config!$H$5:$H$16,0)),0))</f>
        <v/>
      </c>
      <c r="Q2668" s="30">
        <f>IF(OR(H2668&lt;&gt;"Realizado",P2668="",P2668=0),"",A2668+P2668)</f>
        <v/>
      </c>
      <c r="R2668" s="26">
        <f>IF(Q2668="","",IF(COUNTIFS($E$5:$E$3004,E2668,$A$5:$A$3004,"&gt;"&amp;A2668,$H$5:$H$3004,"&lt;&gt;Falta",$H$5:$H$3004,"&lt;&gt;Cancelado",$H$5:$H$3004,"&lt;&gt;Remarcado")&gt;0,"Sim","Não"))</f>
        <v/>
      </c>
      <c r="S2668" s="32">
        <f>IF(R2668&lt;&gt;"Não","",IF(Q2668+Config!$B$9&lt;=Config!$B$8,Config!$B$8-Q2668,""))</f>
        <v/>
      </c>
      <c r="T2668" s="26">
        <f>IF(S2668="","","Sim")</f>
        <v/>
      </c>
      <c r="U2668" s="41">
        <f>IF(T2668="Sim",S2668+ROW()/100000,0)</f>
        <v>0</v>
      </c>
      <c r="V2668" s="41">
        <f>IF(AND(H2668="Falta",L2668=Config!$B$7,M2668=Config!$B$5,COUNTIFS($E$5:E2668,E2668,$H$5:H2668,"Falta",$L$5:L2668,Config!$B$7,$M$5:M2668,Config!$B$5)=1),COUNTIFS($E$5:$E$3004,E2668,$H$5:$H$3004,"Falta",$L$5:$L$3004,Config!$B$7,$M$5:$M$3004,Config!$B$5)*1000-ROW()/100000,0)</f>
        <v>0</v>
      </c>
    </row>
    <row r="2669">
      <c r="A2669" s="39" t="n"/>
      <c r="B2669" s="40" t="n"/>
      <c r="C2669" s="35" t="n"/>
      <c r="D2669" s="35" t="n"/>
      <c r="E2669" s="34" t="n"/>
      <c r="F2669" s="35" t="n"/>
      <c r="G2669" s="35" t="n"/>
      <c r="H2669" s="35" t="n"/>
      <c r="I2669" s="35" t="n"/>
      <c r="J2669" s="35" t="n"/>
      <c r="K2669" s="34" t="n"/>
      <c r="L2669" s="26">
        <f>IF(A2669="","",MONTH(A2669))</f>
        <v/>
      </c>
      <c r="M2669" s="26">
        <f>IF(A2669="","",YEAR(A2669))</f>
        <v/>
      </c>
      <c r="N2669" s="26">
        <f>IF(A2669="","",CHOOSE(WEEKDAY(A2669,2),"Segunda","Terça","Quarta","Quinta","Sexta","Sábado","Domingo"))</f>
        <v/>
      </c>
      <c r="O2669" s="26">
        <f>IF(B2669="","",IF(B2669&lt;TIME(12,0,0),"Manhã",IF(B2669&lt;TIME(18,0,0),"Tarde","Noite")))</f>
        <v/>
      </c>
      <c r="P2669" s="32">
        <f>IF(G2669="","",IFERROR(INDEX(Config!$I$5:$I$16,MATCH(G2669,Config!$H$5:$H$16,0)),0))</f>
        <v/>
      </c>
      <c r="Q2669" s="30">
        <f>IF(OR(H2669&lt;&gt;"Realizado",P2669="",P2669=0),"",A2669+P2669)</f>
        <v/>
      </c>
      <c r="R2669" s="26">
        <f>IF(Q2669="","",IF(COUNTIFS($E$5:$E$3004,E2669,$A$5:$A$3004,"&gt;"&amp;A2669,$H$5:$H$3004,"&lt;&gt;Falta",$H$5:$H$3004,"&lt;&gt;Cancelado",$H$5:$H$3004,"&lt;&gt;Remarcado")&gt;0,"Sim","Não"))</f>
        <v/>
      </c>
      <c r="S2669" s="32">
        <f>IF(R2669&lt;&gt;"Não","",IF(Q2669+Config!$B$9&lt;=Config!$B$8,Config!$B$8-Q2669,""))</f>
        <v/>
      </c>
      <c r="T2669" s="26">
        <f>IF(S2669="","","Sim")</f>
        <v/>
      </c>
      <c r="U2669" s="41">
        <f>IF(T2669="Sim",S2669+ROW()/100000,0)</f>
        <v>0</v>
      </c>
      <c r="V2669" s="41">
        <f>IF(AND(H2669="Falta",L2669=Config!$B$7,M2669=Config!$B$5,COUNTIFS($E$5:E2669,E2669,$H$5:H2669,"Falta",$L$5:L2669,Config!$B$7,$M$5:M2669,Config!$B$5)=1),COUNTIFS($E$5:$E$3004,E2669,$H$5:$H$3004,"Falta",$L$5:$L$3004,Config!$B$7,$M$5:$M$3004,Config!$B$5)*1000-ROW()/100000,0)</f>
        <v>0</v>
      </c>
    </row>
    <row r="2670">
      <c r="A2670" s="39" t="n"/>
      <c r="B2670" s="40" t="n"/>
      <c r="C2670" s="35" t="n"/>
      <c r="D2670" s="35" t="n"/>
      <c r="E2670" s="34" t="n"/>
      <c r="F2670" s="35" t="n"/>
      <c r="G2670" s="35" t="n"/>
      <c r="H2670" s="35" t="n"/>
      <c r="I2670" s="35" t="n"/>
      <c r="J2670" s="35" t="n"/>
      <c r="K2670" s="34" t="n"/>
      <c r="L2670" s="26">
        <f>IF(A2670="","",MONTH(A2670))</f>
        <v/>
      </c>
      <c r="M2670" s="26">
        <f>IF(A2670="","",YEAR(A2670))</f>
        <v/>
      </c>
      <c r="N2670" s="26">
        <f>IF(A2670="","",CHOOSE(WEEKDAY(A2670,2),"Segunda","Terça","Quarta","Quinta","Sexta","Sábado","Domingo"))</f>
        <v/>
      </c>
      <c r="O2670" s="26">
        <f>IF(B2670="","",IF(B2670&lt;TIME(12,0,0),"Manhã",IF(B2670&lt;TIME(18,0,0),"Tarde","Noite")))</f>
        <v/>
      </c>
      <c r="P2670" s="32">
        <f>IF(G2670="","",IFERROR(INDEX(Config!$I$5:$I$16,MATCH(G2670,Config!$H$5:$H$16,0)),0))</f>
        <v/>
      </c>
      <c r="Q2670" s="30">
        <f>IF(OR(H2670&lt;&gt;"Realizado",P2670="",P2670=0),"",A2670+P2670)</f>
        <v/>
      </c>
      <c r="R2670" s="26">
        <f>IF(Q2670="","",IF(COUNTIFS($E$5:$E$3004,E2670,$A$5:$A$3004,"&gt;"&amp;A2670,$H$5:$H$3004,"&lt;&gt;Falta",$H$5:$H$3004,"&lt;&gt;Cancelado",$H$5:$H$3004,"&lt;&gt;Remarcado")&gt;0,"Sim","Não"))</f>
        <v/>
      </c>
      <c r="S2670" s="32">
        <f>IF(R2670&lt;&gt;"Não","",IF(Q2670+Config!$B$9&lt;=Config!$B$8,Config!$B$8-Q2670,""))</f>
        <v/>
      </c>
      <c r="T2670" s="26">
        <f>IF(S2670="","","Sim")</f>
        <v/>
      </c>
      <c r="U2670" s="41">
        <f>IF(T2670="Sim",S2670+ROW()/100000,0)</f>
        <v>0</v>
      </c>
      <c r="V2670" s="41">
        <f>IF(AND(H2670="Falta",L2670=Config!$B$7,M2670=Config!$B$5,COUNTIFS($E$5:E2670,E2670,$H$5:H2670,"Falta",$L$5:L2670,Config!$B$7,$M$5:M2670,Config!$B$5)=1),COUNTIFS($E$5:$E$3004,E2670,$H$5:$H$3004,"Falta",$L$5:$L$3004,Config!$B$7,$M$5:$M$3004,Config!$B$5)*1000-ROW()/100000,0)</f>
        <v>0</v>
      </c>
    </row>
    <row r="2671">
      <c r="A2671" s="39" t="n"/>
      <c r="B2671" s="40" t="n"/>
      <c r="C2671" s="35" t="n"/>
      <c r="D2671" s="35" t="n"/>
      <c r="E2671" s="34" t="n"/>
      <c r="F2671" s="35" t="n"/>
      <c r="G2671" s="35" t="n"/>
      <c r="H2671" s="35" t="n"/>
      <c r="I2671" s="35" t="n"/>
      <c r="J2671" s="35" t="n"/>
      <c r="K2671" s="34" t="n"/>
      <c r="L2671" s="26">
        <f>IF(A2671="","",MONTH(A2671))</f>
        <v/>
      </c>
      <c r="M2671" s="26">
        <f>IF(A2671="","",YEAR(A2671))</f>
        <v/>
      </c>
      <c r="N2671" s="26">
        <f>IF(A2671="","",CHOOSE(WEEKDAY(A2671,2),"Segunda","Terça","Quarta","Quinta","Sexta","Sábado","Domingo"))</f>
        <v/>
      </c>
      <c r="O2671" s="26">
        <f>IF(B2671="","",IF(B2671&lt;TIME(12,0,0),"Manhã",IF(B2671&lt;TIME(18,0,0),"Tarde","Noite")))</f>
        <v/>
      </c>
      <c r="P2671" s="32">
        <f>IF(G2671="","",IFERROR(INDEX(Config!$I$5:$I$16,MATCH(G2671,Config!$H$5:$H$16,0)),0))</f>
        <v/>
      </c>
      <c r="Q2671" s="30">
        <f>IF(OR(H2671&lt;&gt;"Realizado",P2671="",P2671=0),"",A2671+P2671)</f>
        <v/>
      </c>
      <c r="R2671" s="26">
        <f>IF(Q2671="","",IF(COUNTIFS($E$5:$E$3004,E2671,$A$5:$A$3004,"&gt;"&amp;A2671,$H$5:$H$3004,"&lt;&gt;Falta",$H$5:$H$3004,"&lt;&gt;Cancelado",$H$5:$H$3004,"&lt;&gt;Remarcado")&gt;0,"Sim","Não"))</f>
        <v/>
      </c>
      <c r="S2671" s="32">
        <f>IF(R2671&lt;&gt;"Não","",IF(Q2671+Config!$B$9&lt;=Config!$B$8,Config!$B$8-Q2671,""))</f>
        <v/>
      </c>
      <c r="T2671" s="26">
        <f>IF(S2671="","","Sim")</f>
        <v/>
      </c>
      <c r="U2671" s="41">
        <f>IF(T2671="Sim",S2671+ROW()/100000,0)</f>
        <v>0</v>
      </c>
      <c r="V2671" s="41">
        <f>IF(AND(H2671="Falta",L2671=Config!$B$7,M2671=Config!$B$5,COUNTIFS($E$5:E2671,E2671,$H$5:H2671,"Falta",$L$5:L2671,Config!$B$7,$M$5:M2671,Config!$B$5)=1),COUNTIFS($E$5:$E$3004,E2671,$H$5:$H$3004,"Falta",$L$5:$L$3004,Config!$B$7,$M$5:$M$3004,Config!$B$5)*1000-ROW()/100000,0)</f>
        <v>0</v>
      </c>
    </row>
    <row r="2672">
      <c r="A2672" s="39" t="n"/>
      <c r="B2672" s="40" t="n"/>
      <c r="C2672" s="35" t="n"/>
      <c r="D2672" s="35" t="n"/>
      <c r="E2672" s="34" t="n"/>
      <c r="F2672" s="35" t="n"/>
      <c r="G2672" s="35" t="n"/>
      <c r="H2672" s="35" t="n"/>
      <c r="I2672" s="35" t="n"/>
      <c r="J2672" s="35" t="n"/>
      <c r="K2672" s="34" t="n"/>
      <c r="L2672" s="26">
        <f>IF(A2672="","",MONTH(A2672))</f>
        <v/>
      </c>
      <c r="M2672" s="26">
        <f>IF(A2672="","",YEAR(A2672))</f>
        <v/>
      </c>
      <c r="N2672" s="26">
        <f>IF(A2672="","",CHOOSE(WEEKDAY(A2672,2),"Segunda","Terça","Quarta","Quinta","Sexta","Sábado","Domingo"))</f>
        <v/>
      </c>
      <c r="O2672" s="26">
        <f>IF(B2672="","",IF(B2672&lt;TIME(12,0,0),"Manhã",IF(B2672&lt;TIME(18,0,0),"Tarde","Noite")))</f>
        <v/>
      </c>
      <c r="P2672" s="32">
        <f>IF(G2672="","",IFERROR(INDEX(Config!$I$5:$I$16,MATCH(G2672,Config!$H$5:$H$16,0)),0))</f>
        <v/>
      </c>
      <c r="Q2672" s="30">
        <f>IF(OR(H2672&lt;&gt;"Realizado",P2672="",P2672=0),"",A2672+P2672)</f>
        <v/>
      </c>
      <c r="R2672" s="26">
        <f>IF(Q2672="","",IF(COUNTIFS($E$5:$E$3004,E2672,$A$5:$A$3004,"&gt;"&amp;A2672,$H$5:$H$3004,"&lt;&gt;Falta",$H$5:$H$3004,"&lt;&gt;Cancelado",$H$5:$H$3004,"&lt;&gt;Remarcado")&gt;0,"Sim","Não"))</f>
        <v/>
      </c>
      <c r="S2672" s="32">
        <f>IF(R2672&lt;&gt;"Não","",IF(Q2672+Config!$B$9&lt;=Config!$B$8,Config!$B$8-Q2672,""))</f>
        <v/>
      </c>
      <c r="T2672" s="26">
        <f>IF(S2672="","","Sim")</f>
        <v/>
      </c>
      <c r="U2672" s="41">
        <f>IF(T2672="Sim",S2672+ROW()/100000,0)</f>
        <v>0</v>
      </c>
      <c r="V2672" s="41">
        <f>IF(AND(H2672="Falta",L2672=Config!$B$7,M2672=Config!$B$5,COUNTIFS($E$5:E2672,E2672,$H$5:H2672,"Falta",$L$5:L2672,Config!$B$7,$M$5:M2672,Config!$B$5)=1),COUNTIFS($E$5:$E$3004,E2672,$H$5:$H$3004,"Falta",$L$5:$L$3004,Config!$B$7,$M$5:$M$3004,Config!$B$5)*1000-ROW()/100000,0)</f>
        <v>0</v>
      </c>
    </row>
    <row r="2673">
      <c r="A2673" s="39" t="n"/>
      <c r="B2673" s="40" t="n"/>
      <c r="C2673" s="35" t="n"/>
      <c r="D2673" s="35" t="n"/>
      <c r="E2673" s="34" t="n"/>
      <c r="F2673" s="35" t="n"/>
      <c r="G2673" s="35" t="n"/>
      <c r="H2673" s="35" t="n"/>
      <c r="I2673" s="35" t="n"/>
      <c r="J2673" s="35" t="n"/>
      <c r="K2673" s="34" t="n"/>
      <c r="L2673" s="26">
        <f>IF(A2673="","",MONTH(A2673))</f>
        <v/>
      </c>
      <c r="M2673" s="26">
        <f>IF(A2673="","",YEAR(A2673))</f>
        <v/>
      </c>
      <c r="N2673" s="26">
        <f>IF(A2673="","",CHOOSE(WEEKDAY(A2673,2),"Segunda","Terça","Quarta","Quinta","Sexta","Sábado","Domingo"))</f>
        <v/>
      </c>
      <c r="O2673" s="26">
        <f>IF(B2673="","",IF(B2673&lt;TIME(12,0,0),"Manhã",IF(B2673&lt;TIME(18,0,0),"Tarde","Noite")))</f>
        <v/>
      </c>
      <c r="P2673" s="32">
        <f>IF(G2673="","",IFERROR(INDEX(Config!$I$5:$I$16,MATCH(G2673,Config!$H$5:$H$16,0)),0))</f>
        <v/>
      </c>
      <c r="Q2673" s="30">
        <f>IF(OR(H2673&lt;&gt;"Realizado",P2673="",P2673=0),"",A2673+P2673)</f>
        <v/>
      </c>
      <c r="R2673" s="26">
        <f>IF(Q2673="","",IF(COUNTIFS($E$5:$E$3004,E2673,$A$5:$A$3004,"&gt;"&amp;A2673,$H$5:$H$3004,"&lt;&gt;Falta",$H$5:$H$3004,"&lt;&gt;Cancelado",$H$5:$H$3004,"&lt;&gt;Remarcado")&gt;0,"Sim","Não"))</f>
        <v/>
      </c>
      <c r="S2673" s="32">
        <f>IF(R2673&lt;&gt;"Não","",IF(Q2673+Config!$B$9&lt;=Config!$B$8,Config!$B$8-Q2673,""))</f>
        <v/>
      </c>
      <c r="T2673" s="26">
        <f>IF(S2673="","","Sim")</f>
        <v/>
      </c>
      <c r="U2673" s="41">
        <f>IF(T2673="Sim",S2673+ROW()/100000,0)</f>
        <v>0</v>
      </c>
      <c r="V2673" s="41">
        <f>IF(AND(H2673="Falta",L2673=Config!$B$7,M2673=Config!$B$5,COUNTIFS($E$5:E2673,E2673,$H$5:H2673,"Falta",$L$5:L2673,Config!$B$7,$M$5:M2673,Config!$B$5)=1),COUNTIFS($E$5:$E$3004,E2673,$H$5:$H$3004,"Falta",$L$5:$L$3004,Config!$B$7,$M$5:$M$3004,Config!$B$5)*1000-ROW()/100000,0)</f>
        <v>0</v>
      </c>
    </row>
    <row r="2674">
      <c r="A2674" s="39" t="n"/>
      <c r="B2674" s="40" t="n"/>
      <c r="C2674" s="35" t="n"/>
      <c r="D2674" s="35" t="n"/>
      <c r="E2674" s="34" t="n"/>
      <c r="F2674" s="35" t="n"/>
      <c r="G2674" s="35" t="n"/>
      <c r="H2674" s="35" t="n"/>
      <c r="I2674" s="35" t="n"/>
      <c r="J2674" s="35" t="n"/>
      <c r="K2674" s="34" t="n"/>
      <c r="L2674" s="26">
        <f>IF(A2674="","",MONTH(A2674))</f>
        <v/>
      </c>
      <c r="M2674" s="26">
        <f>IF(A2674="","",YEAR(A2674))</f>
        <v/>
      </c>
      <c r="N2674" s="26">
        <f>IF(A2674="","",CHOOSE(WEEKDAY(A2674,2),"Segunda","Terça","Quarta","Quinta","Sexta","Sábado","Domingo"))</f>
        <v/>
      </c>
      <c r="O2674" s="26">
        <f>IF(B2674="","",IF(B2674&lt;TIME(12,0,0),"Manhã",IF(B2674&lt;TIME(18,0,0),"Tarde","Noite")))</f>
        <v/>
      </c>
      <c r="P2674" s="32">
        <f>IF(G2674="","",IFERROR(INDEX(Config!$I$5:$I$16,MATCH(G2674,Config!$H$5:$H$16,0)),0))</f>
        <v/>
      </c>
      <c r="Q2674" s="30">
        <f>IF(OR(H2674&lt;&gt;"Realizado",P2674="",P2674=0),"",A2674+P2674)</f>
        <v/>
      </c>
      <c r="R2674" s="26">
        <f>IF(Q2674="","",IF(COUNTIFS($E$5:$E$3004,E2674,$A$5:$A$3004,"&gt;"&amp;A2674,$H$5:$H$3004,"&lt;&gt;Falta",$H$5:$H$3004,"&lt;&gt;Cancelado",$H$5:$H$3004,"&lt;&gt;Remarcado")&gt;0,"Sim","Não"))</f>
        <v/>
      </c>
      <c r="S2674" s="32">
        <f>IF(R2674&lt;&gt;"Não","",IF(Q2674+Config!$B$9&lt;=Config!$B$8,Config!$B$8-Q2674,""))</f>
        <v/>
      </c>
      <c r="T2674" s="26">
        <f>IF(S2674="","","Sim")</f>
        <v/>
      </c>
      <c r="U2674" s="41">
        <f>IF(T2674="Sim",S2674+ROW()/100000,0)</f>
        <v>0</v>
      </c>
      <c r="V2674" s="41">
        <f>IF(AND(H2674="Falta",L2674=Config!$B$7,M2674=Config!$B$5,COUNTIFS($E$5:E2674,E2674,$H$5:H2674,"Falta",$L$5:L2674,Config!$B$7,$M$5:M2674,Config!$B$5)=1),COUNTIFS($E$5:$E$3004,E2674,$H$5:$H$3004,"Falta",$L$5:$L$3004,Config!$B$7,$M$5:$M$3004,Config!$B$5)*1000-ROW()/100000,0)</f>
        <v>0</v>
      </c>
    </row>
    <row r="2675">
      <c r="A2675" s="39" t="n"/>
      <c r="B2675" s="40" t="n"/>
      <c r="C2675" s="35" t="n"/>
      <c r="D2675" s="35" t="n"/>
      <c r="E2675" s="34" t="n"/>
      <c r="F2675" s="35" t="n"/>
      <c r="G2675" s="35" t="n"/>
      <c r="H2675" s="35" t="n"/>
      <c r="I2675" s="35" t="n"/>
      <c r="J2675" s="35" t="n"/>
      <c r="K2675" s="34" t="n"/>
      <c r="L2675" s="26">
        <f>IF(A2675="","",MONTH(A2675))</f>
        <v/>
      </c>
      <c r="M2675" s="26">
        <f>IF(A2675="","",YEAR(A2675))</f>
        <v/>
      </c>
      <c r="N2675" s="26">
        <f>IF(A2675="","",CHOOSE(WEEKDAY(A2675,2),"Segunda","Terça","Quarta","Quinta","Sexta","Sábado","Domingo"))</f>
        <v/>
      </c>
      <c r="O2675" s="26">
        <f>IF(B2675="","",IF(B2675&lt;TIME(12,0,0),"Manhã",IF(B2675&lt;TIME(18,0,0),"Tarde","Noite")))</f>
        <v/>
      </c>
      <c r="P2675" s="32">
        <f>IF(G2675="","",IFERROR(INDEX(Config!$I$5:$I$16,MATCH(G2675,Config!$H$5:$H$16,0)),0))</f>
        <v/>
      </c>
      <c r="Q2675" s="30">
        <f>IF(OR(H2675&lt;&gt;"Realizado",P2675="",P2675=0),"",A2675+P2675)</f>
        <v/>
      </c>
      <c r="R2675" s="26">
        <f>IF(Q2675="","",IF(COUNTIFS($E$5:$E$3004,E2675,$A$5:$A$3004,"&gt;"&amp;A2675,$H$5:$H$3004,"&lt;&gt;Falta",$H$5:$H$3004,"&lt;&gt;Cancelado",$H$5:$H$3004,"&lt;&gt;Remarcado")&gt;0,"Sim","Não"))</f>
        <v/>
      </c>
      <c r="S2675" s="32">
        <f>IF(R2675&lt;&gt;"Não","",IF(Q2675+Config!$B$9&lt;=Config!$B$8,Config!$B$8-Q2675,""))</f>
        <v/>
      </c>
      <c r="T2675" s="26">
        <f>IF(S2675="","","Sim")</f>
        <v/>
      </c>
      <c r="U2675" s="41">
        <f>IF(T2675="Sim",S2675+ROW()/100000,0)</f>
        <v>0</v>
      </c>
      <c r="V2675" s="41">
        <f>IF(AND(H2675="Falta",L2675=Config!$B$7,M2675=Config!$B$5,COUNTIFS($E$5:E2675,E2675,$H$5:H2675,"Falta",$L$5:L2675,Config!$B$7,$M$5:M2675,Config!$B$5)=1),COUNTIFS($E$5:$E$3004,E2675,$H$5:$H$3004,"Falta",$L$5:$L$3004,Config!$B$7,$M$5:$M$3004,Config!$B$5)*1000-ROW()/100000,0)</f>
        <v>0</v>
      </c>
    </row>
    <row r="2676">
      <c r="A2676" s="39" t="n"/>
      <c r="B2676" s="40" t="n"/>
      <c r="C2676" s="35" t="n"/>
      <c r="D2676" s="35" t="n"/>
      <c r="E2676" s="34" t="n"/>
      <c r="F2676" s="35" t="n"/>
      <c r="G2676" s="35" t="n"/>
      <c r="H2676" s="35" t="n"/>
      <c r="I2676" s="35" t="n"/>
      <c r="J2676" s="35" t="n"/>
      <c r="K2676" s="34" t="n"/>
      <c r="L2676" s="26">
        <f>IF(A2676="","",MONTH(A2676))</f>
        <v/>
      </c>
      <c r="M2676" s="26">
        <f>IF(A2676="","",YEAR(A2676))</f>
        <v/>
      </c>
      <c r="N2676" s="26">
        <f>IF(A2676="","",CHOOSE(WEEKDAY(A2676,2),"Segunda","Terça","Quarta","Quinta","Sexta","Sábado","Domingo"))</f>
        <v/>
      </c>
      <c r="O2676" s="26">
        <f>IF(B2676="","",IF(B2676&lt;TIME(12,0,0),"Manhã",IF(B2676&lt;TIME(18,0,0),"Tarde","Noite")))</f>
        <v/>
      </c>
      <c r="P2676" s="32">
        <f>IF(G2676="","",IFERROR(INDEX(Config!$I$5:$I$16,MATCH(G2676,Config!$H$5:$H$16,0)),0))</f>
        <v/>
      </c>
      <c r="Q2676" s="30">
        <f>IF(OR(H2676&lt;&gt;"Realizado",P2676="",P2676=0),"",A2676+P2676)</f>
        <v/>
      </c>
      <c r="R2676" s="26">
        <f>IF(Q2676="","",IF(COUNTIFS($E$5:$E$3004,E2676,$A$5:$A$3004,"&gt;"&amp;A2676,$H$5:$H$3004,"&lt;&gt;Falta",$H$5:$H$3004,"&lt;&gt;Cancelado",$H$5:$H$3004,"&lt;&gt;Remarcado")&gt;0,"Sim","Não"))</f>
        <v/>
      </c>
      <c r="S2676" s="32">
        <f>IF(R2676&lt;&gt;"Não","",IF(Q2676+Config!$B$9&lt;=Config!$B$8,Config!$B$8-Q2676,""))</f>
        <v/>
      </c>
      <c r="T2676" s="26">
        <f>IF(S2676="","","Sim")</f>
        <v/>
      </c>
      <c r="U2676" s="41">
        <f>IF(T2676="Sim",S2676+ROW()/100000,0)</f>
        <v>0</v>
      </c>
      <c r="V2676" s="41">
        <f>IF(AND(H2676="Falta",L2676=Config!$B$7,M2676=Config!$B$5,COUNTIFS($E$5:E2676,E2676,$H$5:H2676,"Falta",$L$5:L2676,Config!$B$7,$M$5:M2676,Config!$B$5)=1),COUNTIFS($E$5:$E$3004,E2676,$H$5:$H$3004,"Falta",$L$5:$L$3004,Config!$B$7,$M$5:$M$3004,Config!$B$5)*1000-ROW()/100000,0)</f>
        <v>0</v>
      </c>
    </row>
    <row r="2677">
      <c r="A2677" s="39" t="n"/>
      <c r="B2677" s="40" t="n"/>
      <c r="C2677" s="35" t="n"/>
      <c r="D2677" s="35" t="n"/>
      <c r="E2677" s="34" t="n"/>
      <c r="F2677" s="35" t="n"/>
      <c r="G2677" s="35" t="n"/>
      <c r="H2677" s="35" t="n"/>
      <c r="I2677" s="35" t="n"/>
      <c r="J2677" s="35" t="n"/>
      <c r="K2677" s="34" t="n"/>
      <c r="L2677" s="26">
        <f>IF(A2677="","",MONTH(A2677))</f>
        <v/>
      </c>
      <c r="M2677" s="26">
        <f>IF(A2677="","",YEAR(A2677))</f>
        <v/>
      </c>
      <c r="N2677" s="26">
        <f>IF(A2677="","",CHOOSE(WEEKDAY(A2677,2),"Segunda","Terça","Quarta","Quinta","Sexta","Sábado","Domingo"))</f>
        <v/>
      </c>
      <c r="O2677" s="26">
        <f>IF(B2677="","",IF(B2677&lt;TIME(12,0,0),"Manhã",IF(B2677&lt;TIME(18,0,0),"Tarde","Noite")))</f>
        <v/>
      </c>
      <c r="P2677" s="32">
        <f>IF(G2677="","",IFERROR(INDEX(Config!$I$5:$I$16,MATCH(G2677,Config!$H$5:$H$16,0)),0))</f>
        <v/>
      </c>
      <c r="Q2677" s="30">
        <f>IF(OR(H2677&lt;&gt;"Realizado",P2677="",P2677=0),"",A2677+P2677)</f>
        <v/>
      </c>
      <c r="R2677" s="26">
        <f>IF(Q2677="","",IF(COUNTIFS($E$5:$E$3004,E2677,$A$5:$A$3004,"&gt;"&amp;A2677,$H$5:$H$3004,"&lt;&gt;Falta",$H$5:$H$3004,"&lt;&gt;Cancelado",$H$5:$H$3004,"&lt;&gt;Remarcado")&gt;0,"Sim","Não"))</f>
        <v/>
      </c>
      <c r="S2677" s="32">
        <f>IF(R2677&lt;&gt;"Não","",IF(Q2677+Config!$B$9&lt;=Config!$B$8,Config!$B$8-Q2677,""))</f>
        <v/>
      </c>
      <c r="T2677" s="26">
        <f>IF(S2677="","","Sim")</f>
        <v/>
      </c>
      <c r="U2677" s="41">
        <f>IF(T2677="Sim",S2677+ROW()/100000,0)</f>
        <v>0</v>
      </c>
      <c r="V2677" s="41">
        <f>IF(AND(H2677="Falta",L2677=Config!$B$7,M2677=Config!$B$5,COUNTIFS($E$5:E2677,E2677,$H$5:H2677,"Falta",$L$5:L2677,Config!$B$7,$M$5:M2677,Config!$B$5)=1),COUNTIFS($E$5:$E$3004,E2677,$H$5:$H$3004,"Falta",$L$5:$L$3004,Config!$B$7,$M$5:$M$3004,Config!$B$5)*1000-ROW()/100000,0)</f>
        <v>0</v>
      </c>
    </row>
    <row r="2678">
      <c r="A2678" s="39" t="n"/>
      <c r="B2678" s="40" t="n"/>
      <c r="C2678" s="35" t="n"/>
      <c r="D2678" s="35" t="n"/>
      <c r="E2678" s="34" t="n"/>
      <c r="F2678" s="35" t="n"/>
      <c r="G2678" s="35" t="n"/>
      <c r="H2678" s="35" t="n"/>
      <c r="I2678" s="35" t="n"/>
      <c r="J2678" s="35" t="n"/>
      <c r="K2678" s="34" t="n"/>
      <c r="L2678" s="26">
        <f>IF(A2678="","",MONTH(A2678))</f>
        <v/>
      </c>
      <c r="M2678" s="26">
        <f>IF(A2678="","",YEAR(A2678))</f>
        <v/>
      </c>
      <c r="N2678" s="26">
        <f>IF(A2678="","",CHOOSE(WEEKDAY(A2678,2),"Segunda","Terça","Quarta","Quinta","Sexta","Sábado","Domingo"))</f>
        <v/>
      </c>
      <c r="O2678" s="26">
        <f>IF(B2678="","",IF(B2678&lt;TIME(12,0,0),"Manhã",IF(B2678&lt;TIME(18,0,0),"Tarde","Noite")))</f>
        <v/>
      </c>
      <c r="P2678" s="32">
        <f>IF(G2678="","",IFERROR(INDEX(Config!$I$5:$I$16,MATCH(G2678,Config!$H$5:$H$16,0)),0))</f>
        <v/>
      </c>
      <c r="Q2678" s="30">
        <f>IF(OR(H2678&lt;&gt;"Realizado",P2678="",P2678=0),"",A2678+P2678)</f>
        <v/>
      </c>
      <c r="R2678" s="26">
        <f>IF(Q2678="","",IF(COUNTIFS($E$5:$E$3004,E2678,$A$5:$A$3004,"&gt;"&amp;A2678,$H$5:$H$3004,"&lt;&gt;Falta",$H$5:$H$3004,"&lt;&gt;Cancelado",$H$5:$H$3004,"&lt;&gt;Remarcado")&gt;0,"Sim","Não"))</f>
        <v/>
      </c>
      <c r="S2678" s="32">
        <f>IF(R2678&lt;&gt;"Não","",IF(Q2678+Config!$B$9&lt;=Config!$B$8,Config!$B$8-Q2678,""))</f>
        <v/>
      </c>
      <c r="T2678" s="26">
        <f>IF(S2678="","","Sim")</f>
        <v/>
      </c>
      <c r="U2678" s="41">
        <f>IF(T2678="Sim",S2678+ROW()/100000,0)</f>
        <v>0</v>
      </c>
      <c r="V2678" s="41">
        <f>IF(AND(H2678="Falta",L2678=Config!$B$7,M2678=Config!$B$5,COUNTIFS($E$5:E2678,E2678,$H$5:H2678,"Falta",$L$5:L2678,Config!$B$7,$M$5:M2678,Config!$B$5)=1),COUNTIFS($E$5:$E$3004,E2678,$H$5:$H$3004,"Falta",$L$5:$L$3004,Config!$B$7,$M$5:$M$3004,Config!$B$5)*1000-ROW()/100000,0)</f>
        <v>0</v>
      </c>
    </row>
    <row r="2679">
      <c r="A2679" s="39" t="n"/>
      <c r="B2679" s="40" t="n"/>
      <c r="C2679" s="35" t="n"/>
      <c r="D2679" s="35" t="n"/>
      <c r="E2679" s="34" t="n"/>
      <c r="F2679" s="35" t="n"/>
      <c r="G2679" s="35" t="n"/>
      <c r="H2679" s="35" t="n"/>
      <c r="I2679" s="35" t="n"/>
      <c r="J2679" s="35" t="n"/>
      <c r="K2679" s="34" t="n"/>
      <c r="L2679" s="26">
        <f>IF(A2679="","",MONTH(A2679))</f>
        <v/>
      </c>
      <c r="M2679" s="26">
        <f>IF(A2679="","",YEAR(A2679))</f>
        <v/>
      </c>
      <c r="N2679" s="26">
        <f>IF(A2679="","",CHOOSE(WEEKDAY(A2679,2),"Segunda","Terça","Quarta","Quinta","Sexta","Sábado","Domingo"))</f>
        <v/>
      </c>
      <c r="O2679" s="26">
        <f>IF(B2679="","",IF(B2679&lt;TIME(12,0,0),"Manhã",IF(B2679&lt;TIME(18,0,0),"Tarde","Noite")))</f>
        <v/>
      </c>
      <c r="P2679" s="32">
        <f>IF(G2679="","",IFERROR(INDEX(Config!$I$5:$I$16,MATCH(G2679,Config!$H$5:$H$16,0)),0))</f>
        <v/>
      </c>
      <c r="Q2679" s="30">
        <f>IF(OR(H2679&lt;&gt;"Realizado",P2679="",P2679=0),"",A2679+P2679)</f>
        <v/>
      </c>
      <c r="R2679" s="26">
        <f>IF(Q2679="","",IF(COUNTIFS($E$5:$E$3004,E2679,$A$5:$A$3004,"&gt;"&amp;A2679,$H$5:$H$3004,"&lt;&gt;Falta",$H$5:$H$3004,"&lt;&gt;Cancelado",$H$5:$H$3004,"&lt;&gt;Remarcado")&gt;0,"Sim","Não"))</f>
        <v/>
      </c>
      <c r="S2679" s="32">
        <f>IF(R2679&lt;&gt;"Não","",IF(Q2679+Config!$B$9&lt;=Config!$B$8,Config!$B$8-Q2679,""))</f>
        <v/>
      </c>
      <c r="T2679" s="26">
        <f>IF(S2679="","","Sim")</f>
        <v/>
      </c>
      <c r="U2679" s="41">
        <f>IF(T2679="Sim",S2679+ROW()/100000,0)</f>
        <v>0</v>
      </c>
      <c r="V2679" s="41">
        <f>IF(AND(H2679="Falta",L2679=Config!$B$7,M2679=Config!$B$5,COUNTIFS($E$5:E2679,E2679,$H$5:H2679,"Falta",$L$5:L2679,Config!$B$7,$M$5:M2679,Config!$B$5)=1),COUNTIFS($E$5:$E$3004,E2679,$H$5:$H$3004,"Falta",$L$5:$L$3004,Config!$B$7,$M$5:$M$3004,Config!$B$5)*1000-ROW()/100000,0)</f>
        <v>0</v>
      </c>
    </row>
    <row r="2680">
      <c r="A2680" s="39" t="n"/>
      <c r="B2680" s="40" t="n"/>
      <c r="C2680" s="35" t="n"/>
      <c r="D2680" s="35" t="n"/>
      <c r="E2680" s="34" t="n"/>
      <c r="F2680" s="35" t="n"/>
      <c r="G2680" s="35" t="n"/>
      <c r="H2680" s="35" t="n"/>
      <c r="I2680" s="35" t="n"/>
      <c r="J2680" s="35" t="n"/>
      <c r="K2680" s="34" t="n"/>
      <c r="L2680" s="26">
        <f>IF(A2680="","",MONTH(A2680))</f>
        <v/>
      </c>
      <c r="M2680" s="26">
        <f>IF(A2680="","",YEAR(A2680))</f>
        <v/>
      </c>
      <c r="N2680" s="26">
        <f>IF(A2680="","",CHOOSE(WEEKDAY(A2680,2),"Segunda","Terça","Quarta","Quinta","Sexta","Sábado","Domingo"))</f>
        <v/>
      </c>
      <c r="O2680" s="26">
        <f>IF(B2680="","",IF(B2680&lt;TIME(12,0,0),"Manhã",IF(B2680&lt;TIME(18,0,0),"Tarde","Noite")))</f>
        <v/>
      </c>
      <c r="P2680" s="32">
        <f>IF(G2680="","",IFERROR(INDEX(Config!$I$5:$I$16,MATCH(G2680,Config!$H$5:$H$16,0)),0))</f>
        <v/>
      </c>
      <c r="Q2680" s="30">
        <f>IF(OR(H2680&lt;&gt;"Realizado",P2680="",P2680=0),"",A2680+P2680)</f>
        <v/>
      </c>
      <c r="R2680" s="26">
        <f>IF(Q2680="","",IF(COUNTIFS($E$5:$E$3004,E2680,$A$5:$A$3004,"&gt;"&amp;A2680,$H$5:$H$3004,"&lt;&gt;Falta",$H$5:$H$3004,"&lt;&gt;Cancelado",$H$5:$H$3004,"&lt;&gt;Remarcado")&gt;0,"Sim","Não"))</f>
        <v/>
      </c>
      <c r="S2680" s="32">
        <f>IF(R2680&lt;&gt;"Não","",IF(Q2680+Config!$B$9&lt;=Config!$B$8,Config!$B$8-Q2680,""))</f>
        <v/>
      </c>
      <c r="T2680" s="26">
        <f>IF(S2680="","","Sim")</f>
        <v/>
      </c>
      <c r="U2680" s="41">
        <f>IF(T2680="Sim",S2680+ROW()/100000,0)</f>
        <v>0</v>
      </c>
      <c r="V2680" s="41">
        <f>IF(AND(H2680="Falta",L2680=Config!$B$7,M2680=Config!$B$5,COUNTIFS($E$5:E2680,E2680,$H$5:H2680,"Falta",$L$5:L2680,Config!$B$7,$M$5:M2680,Config!$B$5)=1),COUNTIFS($E$5:$E$3004,E2680,$H$5:$H$3004,"Falta",$L$5:$L$3004,Config!$B$7,$M$5:$M$3004,Config!$B$5)*1000-ROW()/100000,0)</f>
        <v>0</v>
      </c>
    </row>
    <row r="2681">
      <c r="A2681" s="39" t="n"/>
      <c r="B2681" s="40" t="n"/>
      <c r="C2681" s="35" t="n"/>
      <c r="D2681" s="35" t="n"/>
      <c r="E2681" s="34" t="n"/>
      <c r="F2681" s="35" t="n"/>
      <c r="G2681" s="35" t="n"/>
      <c r="H2681" s="35" t="n"/>
      <c r="I2681" s="35" t="n"/>
      <c r="J2681" s="35" t="n"/>
      <c r="K2681" s="34" t="n"/>
      <c r="L2681" s="26">
        <f>IF(A2681="","",MONTH(A2681))</f>
        <v/>
      </c>
      <c r="M2681" s="26">
        <f>IF(A2681="","",YEAR(A2681))</f>
        <v/>
      </c>
      <c r="N2681" s="26">
        <f>IF(A2681="","",CHOOSE(WEEKDAY(A2681,2),"Segunda","Terça","Quarta","Quinta","Sexta","Sábado","Domingo"))</f>
        <v/>
      </c>
      <c r="O2681" s="26">
        <f>IF(B2681="","",IF(B2681&lt;TIME(12,0,0),"Manhã",IF(B2681&lt;TIME(18,0,0),"Tarde","Noite")))</f>
        <v/>
      </c>
      <c r="P2681" s="32">
        <f>IF(G2681="","",IFERROR(INDEX(Config!$I$5:$I$16,MATCH(G2681,Config!$H$5:$H$16,0)),0))</f>
        <v/>
      </c>
      <c r="Q2681" s="30">
        <f>IF(OR(H2681&lt;&gt;"Realizado",P2681="",P2681=0),"",A2681+P2681)</f>
        <v/>
      </c>
      <c r="R2681" s="26">
        <f>IF(Q2681="","",IF(COUNTIFS($E$5:$E$3004,E2681,$A$5:$A$3004,"&gt;"&amp;A2681,$H$5:$H$3004,"&lt;&gt;Falta",$H$5:$H$3004,"&lt;&gt;Cancelado",$H$5:$H$3004,"&lt;&gt;Remarcado")&gt;0,"Sim","Não"))</f>
        <v/>
      </c>
      <c r="S2681" s="32">
        <f>IF(R2681&lt;&gt;"Não","",IF(Q2681+Config!$B$9&lt;=Config!$B$8,Config!$B$8-Q2681,""))</f>
        <v/>
      </c>
      <c r="T2681" s="26">
        <f>IF(S2681="","","Sim")</f>
        <v/>
      </c>
      <c r="U2681" s="41">
        <f>IF(T2681="Sim",S2681+ROW()/100000,0)</f>
        <v>0</v>
      </c>
      <c r="V2681" s="41">
        <f>IF(AND(H2681="Falta",L2681=Config!$B$7,M2681=Config!$B$5,COUNTIFS($E$5:E2681,E2681,$H$5:H2681,"Falta",$L$5:L2681,Config!$B$7,$M$5:M2681,Config!$B$5)=1),COUNTIFS($E$5:$E$3004,E2681,$H$5:$H$3004,"Falta",$L$5:$L$3004,Config!$B$7,$M$5:$M$3004,Config!$B$5)*1000-ROW()/100000,0)</f>
        <v>0</v>
      </c>
    </row>
    <row r="2682">
      <c r="A2682" s="39" t="n"/>
      <c r="B2682" s="40" t="n"/>
      <c r="C2682" s="35" t="n"/>
      <c r="D2682" s="35" t="n"/>
      <c r="E2682" s="34" t="n"/>
      <c r="F2682" s="35" t="n"/>
      <c r="G2682" s="35" t="n"/>
      <c r="H2682" s="35" t="n"/>
      <c r="I2682" s="35" t="n"/>
      <c r="J2682" s="35" t="n"/>
      <c r="K2682" s="34" t="n"/>
      <c r="L2682" s="26">
        <f>IF(A2682="","",MONTH(A2682))</f>
        <v/>
      </c>
      <c r="M2682" s="26">
        <f>IF(A2682="","",YEAR(A2682))</f>
        <v/>
      </c>
      <c r="N2682" s="26">
        <f>IF(A2682="","",CHOOSE(WEEKDAY(A2682,2),"Segunda","Terça","Quarta","Quinta","Sexta","Sábado","Domingo"))</f>
        <v/>
      </c>
      <c r="O2682" s="26">
        <f>IF(B2682="","",IF(B2682&lt;TIME(12,0,0),"Manhã",IF(B2682&lt;TIME(18,0,0),"Tarde","Noite")))</f>
        <v/>
      </c>
      <c r="P2682" s="32">
        <f>IF(G2682="","",IFERROR(INDEX(Config!$I$5:$I$16,MATCH(G2682,Config!$H$5:$H$16,0)),0))</f>
        <v/>
      </c>
      <c r="Q2682" s="30">
        <f>IF(OR(H2682&lt;&gt;"Realizado",P2682="",P2682=0),"",A2682+P2682)</f>
        <v/>
      </c>
      <c r="R2682" s="26">
        <f>IF(Q2682="","",IF(COUNTIFS($E$5:$E$3004,E2682,$A$5:$A$3004,"&gt;"&amp;A2682,$H$5:$H$3004,"&lt;&gt;Falta",$H$5:$H$3004,"&lt;&gt;Cancelado",$H$5:$H$3004,"&lt;&gt;Remarcado")&gt;0,"Sim","Não"))</f>
        <v/>
      </c>
      <c r="S2682" s="32">
        <f>IF(R2682&lt;&gt;"Não","",IF(Q2682+Config!$B$9&lt;=Config!$B$8,Config!$B$8-Q2682,""))</f>
        <v/>
      </c>
      <c r="T2682" s="26">
        <f>IF(S2682="","","Sim")</f>
        <v/>
      </c>
      <c r="U2682" s="41">
        <f>IF(T2682="Sim",S2682+ROW()/100000,0)</f>
        <v>0</v>
      </c>
      <c r="V2682" s="41">
        <f>IF(AND(H2682="Falta",L2682=Config!$B$7,M2682=Config!$B$5,COUNTIFS($E$5:E2682,E2682,$H$5:H2682,"Falta",$L$5:L2682,Config!$B$7,$M$5:M2682,Config!$B$5)=1),COUNTIFS($E$5:$E$3004,E2682,$H$5:$H$3004,"Falta",$L$5:$L$3004,Config!$B$7,$M$5:$M$3004,Config!$B$5)*1000-ROW()/100000,0)</f>
        <v>0</v>
      </c>
    </row>
    <row r="2683">
      <c r="A2683" s="39" t="n"/>
      <c r="B2683" s="40" t="n"/>
      <c r="C2683" s="35" t="n"/>
      <c r="D2683" s="35" t="n"/>
      <c r="E2683" s="34" t="n"/>
      <c r="F2683" s="35" t="n"/>
      <c r="G2683" s="35" t="n"/>
      <c r="H2683" s="35" t="n"/>
      <c r="I2683" s="35" t="n"/>
      <c r="J2683" s="35" t="n"/>
      <c r="K2683" s="34" t="n"/>
      <c r="L2683" s="26">
        <f>IF(A2683="","",MONTH(A2683))</f>
        <v/>
      </c>
      <c r="M2683" s="26">
        <f>IF(A2683="","",YEAR(A2683))</f>
        <v/>
      </c>
      <c r="N2683" s="26">
        <f>IF(A2683="","",CHOOSE(WEEKDAY(A2683,2),"Segunda","Terça","Quarta","Quinta","Sexta","Sábado","Domingo"))</f>
        <v/>
      </c>
      <c r="O2683" s="26">
        <f>IF(B2683="","",IF(B2683&lt;TIME(12,0,0),"Manhã",IF(B2683&lt;TIME(18,0,0),"Tarde","Noite")))</f>
        <v/>
      </c>
      <c r="P2683" s="32">
        <f>IF(G2683="","",IFERROR(INDEX(Config!$I$5:$I$16,MATCH(G2683,Config!$H$5:$H$16,0)),0))</f>
        <v/>
      </c>
      <c r="Q2683" s="30">
        <f>IF(OR(H2683&lt;&gt;"Realizado",P2683="",P2683=0),"",A2683+P2683)</f>
        <v/>
      </c>
      <c r="R2683" s="26">
        <f>IF(Q2683="","",IF(COUNTIFS($E$5:$E$3004,E2683,$A$5:$A$3004,"&gt;"&amp;A2683,$H$5:$H$3004,"&lt;&gt;Falta",$H$5:$H$3004,"&lt;&gt;Cancelado",$H$5:$H$3004,"&lt;&gt;Remarcado")&gt;0,"Sim","Não"))</f>
        <v/>
      </c>
      <c r="S2683" s="32">
        <f>IF(R2683&lt;&gt;"Não","",IF(Q2683+Config!$B$9&lt;=Config!$B$8,Config!$B$8-Q2683,""))</f>
        <v/>
      </c>
      <c r="T2683" s="26">
        <f>IF(S2683="","","Sim")</f>
        <v/>
      </c>
      <c r="U2683" s="41">
        <f>IF(T2683="Sim",S2683+ROW()/100000,0)</f>
        <v>0</v>
      </c>
      <c r="V2683" s="41">
        <f>IF(AND(H2683="Falta",L2683=Config!$B$7,M2683=Config!$B$5,COUNTIFS($E$5:E2683,E2683,$H$5:H2683,"Falta",$L$5:L2683,Config!$B$7,$M$5:M2683,Config!$B$5)=1),COUNTIFS($E$5:$E$3004,E2683,$H$5:$H$3004,"Falta",$L$5:$L$3004,Config!$B$7,$M$5:$M$3004,Config!$B$5)*1000-ROW()/100000,0)</f>
        <v>0</v>
      </c>
    </row>
    <row r="2684">
      <c r="A2684" s="39" t="n"/>
      <c r="B2684" s="40" t="n"/>
      <c r="C2684" s="35" t="n"/>
      <c r="D2684" s="35" t="n"/>
      <c r="E2684" s="34" t="n"/>
      <c r="F2684" s="35" t="n"/>
      <c r="G2684" s="35" t="n"/>
      <c r="H2684" s="35" t="n"/>
      <c r="I2684" s="35" t="n"/>
      <c r="J2684" s="35" t="n"/>
      <c r="K2684" s="34" t="n"/>
      <c r="L2684" s="26">
        <f>IF(A2684="","",MONTH(A2684))</f>
        <v/>
      </c>
      <c r="M2684" s="26">
        <f>IF(A2684="","",YEAR(A2684))</f>
        <v/>
      </c>
      <c r="N2684" s="26">
        <f>IF(A2684="","",CHOOSE(WEEKDAY(A2684,2),"Segunda","Terça","Quarta","Quinta","Sexta","Sábado","Domingo"))</f>
        <v/>
      </c>
      <c r="O2684" s="26">
        <f>IF(B2684="","",IF(B2684&lt;TIME(12,0,0),"Manhã",IF(B2684&lt;TIME(18,0,0),"Tarde","Noite")))</f>
        <v/>
      </c>
      <c r="P2684" s="32">
        <f>IF(G2684="","",IFERROR(INDEX(Config!$I$5:$I$16,MATCH(G2684,Config!$H$5:$H$16,0)),0))</f>
        <v/>
      </c>
      <c r="Q2684" s="30">
        <f>IF(OR(H2684&lt;&gt;"Realizado",P2684="",P2684=0),"",A2684+P2684)</f>
        <v/>
      </c>
      <c r="R2684" s="26">
        <f>IF(Q2684="","",IF(COUNTIFS($E$5:$E$3004,E2684,$A$5:$A$3004,"&gt;"&amp;A2684,$H$5:$H$3004,"&lt;&gt;Falta",$H$5:$H$3004,"&lt;&gt;Cancelado",$H$5:$H$3004,"&lt;&gt;Remarcado")&gt;0,"Sim","Não"))</f>
        <v/>
      </c>
      <c r="S2684" s="32">
        <f>IF(R2684&lt;&gt;"Não","",IF(Q2684+Config!$B$9&lt;=Config!$B$8,Config!$B$8-Q2684,""))</f>
        <v/>
      </c>
      <c r="T2684" s="26">
        <f>IF(S2684="","","Sim")</f>
        <v/>
      </c>
      <c r="U2684" s="41">
        <f>IF(T2684="Sim",S2684+ROW()/100000,0)</f>
        <v>0</v>
      </c>
      <c r="V2684" s="41">
        <f>IF(AND(H2684="Falta",L2684=Config!$B$7,M2684=Config!$B$5,COUNTIFS($E$5:E2684,E2684,$H$5:H2684,"Falta",$L$5:L2684,Config!$B$7,$M$5:M2684,Config!$B$5)=1),COUNTIFS($E$5:$E$3004,E2684,$H$5:$H$3004,"Falta",$L$5:$L$3004,Config!$B$7,$M$5:$M$3004,Config!$B$5)*1000-ROW()/100000,0)</f>
        <v>0</v>
      </c>
    </row>
    <row r="2685">
      <c r="A2685" s="39" t="n"/>
      <c r="B2685" s="40" t="n"/>
      <c r="C2685" s="35" t="n"/>
      <c r="D2685" s="35" t="n"/>
      <c r="E2685" s="34" t="n"/>
      <c r="F2685" s="35" t="n"/>
      <c r="G2685" s="35" t="n"/>
      <c r="H2685" s="35" t="n"/>
      <c r="I2685" s="35" t="n"/>
      <c r="J2685" s="35" t="n"/>
      <c r="K2685" s="34" t="n"/>
      <c r="L2685" s="26">
        <f>IF(A2685="","",MONTH(A2685))</f>
        <v/>
      </c>
      <c r="M2685" s="26">
        <f>IF(A2685="","",YEAR(A2685))</f>
        <v/>
      </c>
      <c r="N2685" s="26">
        <f>IF(A2685="","",CHOOSE(WEEKDAY(A2685,2),"Segunda","Terça","Quarta","Quinta","Sexta","Sábado","Domingo"))</f>
        <v/>
      </c>
      <c r="O2685" s="26">
        <f>IF(B2685="","",IF(B2685&lt;TIME(12,0,0),"Manhã",IF(B2685&lt;TIME(18,0,0),"Tarde","Noite")))</f>
        <v/>
      </c>
      <c r="P2685" s="32">
        <f>IF(G2685="","",IFERROR(INDEX(Config!$I$5:$I$16,MATCH(G2685,Config!$H$5:$H$16,0)),0))</f>
        <v/>
      </c>
      <c r="Q2685" s="30">
        <f>IF(OR(H2685&lt;&gt;"Realizado",P2685="",P2685=0),"",A2685+P2685)</f>
        <v/>
      </c>
      <c r="R2685" s="26">
        <f>IF(Q2685="","",IF(COUNTIFS($E$5:$E$3004,E2685,$A$5:$A$3004,"&gt;"&amp;A2685,$H$5:$H$3004,"&lt;&gt;Falta",$H$5:$H$3004,"&lt;&gt;Cancelado",$H$5:$H$3004,"&lt;&gt;Remarcado")&gt;0,"Sim","Não"))</f>
        <v/>
      </c>
      <c r="S2685" s="32">
        <f>IF(R2685&lt;&gt;"Não","",IF(Q2685+Config!$B$9&lt;=Config!$B$8,Config!$B$8-Q2685,""))</f>
        <v/>
      </c>
      <c r="T2685" s="26">
        <f>IF(S2685="","","Sim")</f>
        <v/>
      </c>
      <c r="U2685" s="41">
        <f>IF(T2685="Sim",S2685+ROW()/100000,0)</f>
        <v>0</v>
      </c>
      <c r="V2685" s="41">
        <f>IF(AND(H2685="Falta",L2685=Config!$B$7,M2685=Config!$B$5,COUNTIFS($E$5:E2685,E2685,$H$5:H2685,"Falta",$L$5:L2685,Config!$B$7,$M$5:M2685,Config!$B$5)=1),COUNTIFS($E$5:$E$3004,E2685,$H$5:$H$3004,"Falta",$L$5:$L$3004,Config!$B$7,$M$5:$M$3004,Config!$B$5)*1000-ROW()/100000,0)</f>
        <v>0</v>
      </c>
    </row>
    <row r="2686">
      <c r="A2686" s="39" t="n"/>
      <c r="B2686" s="40" t="n"/>
      <c r="C2686" s="35" t="n"/>
      <c r="D2686" s="35" t="n"/>
      <c r="E2686" s="34" t="n"/>
      <c r="F2686" s="35" t="n"/>
      <c r="G2686" s="35" t="n"/>
      <c r="H2686" s="35" t="n"/>
      <c r="I2686" s="35" t="n"/>
      <c r="J2686" s="35" t="n"/>
      <c r="K2686" s="34" t="n"/>
      <c r="L2686" s="26">
        <f>IF(A2686="","",MONTH(A2686))</f>
        <v/>
      </c>
      <c r="M2686" s="26">
        <f>IF(A2686="","",YEAR(A2686))</f>
        <v/>
      </c>
      <c r="N2686" s="26">
        <f>IF(A2686="","",CHOOSE(WEEKDAY(A2686,2),"Segunda","Terça","Quarta","Quinta","Sexta","Sábado","Domingo"))</f>
        <v/>
      </c>
      <c r="O2686" s="26">
        <f>IF(B2686="","",IF(B2686&lt;TIME(12,0,0),"Manhã",IF(B2686&lt;TIME(18,0,0),"Tarde","Noite")))</f>
        <v/>
      </c>
      <c r="P2686" s="32">
        <f>IF(G2686="","",IFERROR(INDEX(Config!$I$5:$I$16,MATCH(G2686,Config!$H$5:$H$16,0)),0))</f>
        <v/>
      </c>
      <c r="Q2686" s="30">
        <f>IF(OR(H2686&lt;&gt;"Realizado",P2686="",P2686=0),"",A2686+P2686)</f>
        <v/>
      </c>
      <c r="R2686" s="26">
        <f>IF(Q2686="","",IF(COUNTIFS($E$5:$E$3004,E2686,$A$5:$A$3004,"&gt;"&amp;A2686,$H$5:$H$3004,"&lt;&gt;Falta",$H$5:$H$3004,"&lt;&gt;Cancelado",$H$5:$H$3004,"&lt;&gt;Remarcado")&gt;0,"Sim","Não"))</f>
        <v/>
      </c>
      <c r="S2686" s="32">
        <f>IF(R2686&lt;&gt;"Não","",IF(Q2686+Config!$B$9&lt;=Config!$B$8,Config!$B$8-Q2686,""))</f>
        <v/>
      </c>
      <c r="T2686" s="26">
        <f>IF(S2686="","","Sim")</f>
        <v/>
      </c>
      <c r="U2686" s="41">
        <f>IF(T2686="Sim",S2686+ROW()/100000,0)</f>
        <v>0</v>
      </c>
      <c r="V2686" s="41">
        <f>IF(AND(H2686="Falta",L2686=Config!$B$7,M2686=Config!$B$5,COUNTIFS($E$5:E2686,E2686,$H$5:H2686,"Falta",$L$5:L2686,Config!$B$7,$M$5:M2686,Config!$B$5)=1),COUNTIFS($E$5:$E$3004,E2686,$H$5:$H$3004,"Falta",$L$5:$L$3004,Config!$B$7,$M$5:$M$3004,Config!$B$5)*1000-ROW()/100000,0)</f>
        <v>0</v>
      </c>
    </row>
    <row r="2687">
      <c r="A2687" s="39" t="n"/>
      <c r="B2687" s="40" t="n"/>
      <c r="C2687" s="35" t="n"/>
      <c r="D2687" s="35" t="n"/>
      <c r="E2687" s="34" t="n"/>
      <c r="F2687" s="35" t="n"/>
      <c r="G2687" s="35" t="n"/>
      <c r="H2687" s="35" t="n"/>
      <c r="I2687" s="35" t="n"/>
      <c r="J2687" s="35" t="n"/>
      <c r="K2687" s="34" t="n"/>
      <c r="L2687" s="26">
        <f>IF(A2687="","",MONTH(A2687))</f>
        <v/>
      </c>
      <c r="M2687" s="26">
        <f>IF(A2687="","",YEAR(A2687))</f>
        <v/>
      </c>
      <c r="N2687" s="26">
        <f>IF(A2687="","",CHOOSE(WEEKDAY(A2687,2),"Segunda","Terça","Quarta","Quinta","Sexta","Sábado","Domingo"))</f>
        <v/>
      </c>
      <c r="O2687" s="26">
        <f>IF(B2687="","",IF(B2687&lt;TIME(12,0,0),"Manhã",IF(B2687&lt;TIME(18,0,0),"Tarde","Noite")))</f>
        <v/>
      </c>
      <c r="P2687" s="32">
        <f>IF(G2687="","",IFERROR(INDEX(Config!$I$5:$I$16,MATCH(G2687,Config!$H$5:$H$16,0)),0))</f>
        <v/>
      </c>
      <c r="Q2687" s="30">
        <f>IF(OR(H2687&lt;&gt;"Realizado",P2687="",P2687=0),"",A2687+P2687)</f>
        <v/>
      </c>
      <c r="R2687" s="26">
        <f>IF(Q2687="","",IF(COUNTIFS($E$5:$E$3004,E2687,$A$5:$A$3004,"&gt;"&amp;A2687,$H$5:$H$3004,"&lt;&gt;Falta",$H$5:$H$3004,"&lt;&gt;Cancelado",$H$5:$H$3004,"&lt;&gt;Remarcado")&gt;0,"Sim","Não"))</f>
        <v/>
      </c>
      <c r="S2687" s="32">
        <f>IF(R2687&lt;&gt;"Não","",IF(Q2687+Config!$B$9&lt;=Config!$B$8,Config!$B$8-Q2687,""))</f>
        <v/>
      </c>
      <c r="T2687" s="26">
        <f>IF(S2687="","","Sim")</f>
        <v/>
      </c>
      <c r="U2687" s="41">
        <f>IF(T2687="Sim",S2687+ROW()/100000,0)</f>
        <v>0</v>
      </c>
      <c r="V2687" s="41">
        <f>IF(AND(H2687="Falta",L2687=Config!$B$7,M2687=Config!$B$5,COUNTIFS($E$5:E2687,E2687,$H$5:H2687,"Falta",$L$5:L2687,Config!$B$7,$M$5:M2687,Config!$B$5)=1),COUNTIFS($E$5:$E$3004,E2687,$H$5:$H$3004,"Falta",$L$5:$L$3004,Config!$B$7,$M$5:$M$3004,Config!$B$5)*1000-ROW()/100000,0)</f>
        <v>0</v>
      </c>
    </row>
    <row r="2688">
      <c r="A2688" s="39" t="n"/>
      <c r="B2688" s="40" t="n"/>
      <c r="C2688" s="35" t="n"/>
      <c r="D2688" s="35" t="n"/>
      <c r="E2688" s="34" t="n"/>
      <c r="F2688" s="35" t="n"/>
      <c r="G2688" s="35" t="n"/>
      <c r="H2688" s="35" t="n"/>
      <c r="I2688" s="35" t="n"/>
      <c r="J2688" s="35" t="n"/>
      <c r="K2688" s="34" t="n"/>
      <c r="L2688" s="26">
        <f>IF(A2688="","",MONTH(A2688))</f>
        <v/>
      </c>
      <c r="M2688" s="26">
        <f>IF(A2688="","",YEAR(A2688))</f>
        <v/>
      </c>
      <c r="N2688" s="26">
        <f>IF(A2688="","",CHOOSE(WEEKDAY(A2688,2),"Segunda","Terça","Quarta","Quinta","Sexta","Sábado","Domingo"))</f>
        <v/>
      </c>
      <c r="O2688" s="26">
        <f>IF(B2688="","",IF(B2688&lt;TIME(12,0,0),"Manhã",IF(B2688&lt;TIME(18,0,0),"Tarde","Noite")))</f>
        <v/>
      </c>
      <c r="P2688" s="32">
        <f>IF(G2688="","",IFERROR(INDEX(Config!$I$5:$I$16,MATCH(G2688,Config!$H$5:$H$16,0)),0))</f>
        <v/>
      </c>
      <c r="Q2688" s="30">
        <f>IF(OR(H2688&lt;&gt;"Realizado",P2688="",P2688=0),"",A2688+P2688)</f>
        <v/>
      </c>
      <c r="R2688" s="26">
        <f>IF(Q2688="","",IF(COUNTIFS($E$5:$E$3004,E2688,$A$5:$A$3004,"&gt;"&amp;A2688,$H$5:$H$3004,"&lt;&gt;Falta",$H$5:$H$3004,"&lt;&gt;Cancelado",$H$5:$H$3004,"&lt;&gt;Remarcado")&gt;0,"Sim","Não"))</f>
        <v/>
      </c>
      <c r="S2688" s="32">
        <f>IF(R2688&lt;&gt;"Não","",IF(Q2688+Config!$B$9&lt;=Config!$B$8,Config!$B$8-Q2688,""))</f>
        <v/>
      </c>
      <c r="T2688" s="26">
        <f>IF(S2688="","","Sim")</f>
        <v/>
      </c>
      <c r="U2688" s="41">
        <f>IF(T2688="Sim",S2688+ROW()/100000,0)</f>
        <v>0</v>
      </c>
      <c r="V2688" s="41">
        <f>IF(AND(H2688="Falta",L2688=Config!$B$7,M2688=Config!$B$5,COUNTIFS($E$5:E2688,E2688,$H$5:H2688,"Falta",$L$5:L2688,Config!$B$7,$M$5:M2688,Config!$B$5)=1),COUNTIFS($E$5:$E$3004,E2688,$H$5:$H$3004,"Falta",$L$5:$L$3004,Config!$B$7,$M$5:$M$3004,Config!$B$5)*1000-ROW()/100000,0)</f>
        <v>0</v>
      </c>
    </row>
    <row r="2689">
      <c r="A2689" s="39" t="n"/>
      <c r="B2689" s="40" t="n"/>
      <c r="C2689" s="35" t="n"/>
      <c r="D2689" s="35" t="n"/>
      <c r="E2689" s="34" t="n"/>
      <c r="F2689" s="35" t="n"/>
      <c r="G2689" s="35" t="n"/>
      <c r="H2689" s="35" t="n"/>
      <c r="I2689" s="35" t="n"/>
      <c r="J2689" s="35" t="n"/>
      <c r="K2689" s="34" t="n"/>
      <c r="L2689" s="26">
        <f>IF(A2689="","",MONTH(A2689))</f>
        <v/>
      </c>
      <c r="M2689" s="26">
        <f>IF(A2689="","",YEAR(A2689))</f>
        <v/>
      </c>
      <c r="N2689" s="26">
        <f>IF(A2689="","",CHOOSE(WEEKDAY(A2689,2),"Segunda","Terça","Quarta","Quinta","Sexta","Sábado","Domingo"))</f>
        <v/>
      </c>
      <c r="O2689" s="26">
        <f>IF(B2689="","",IF(B2689&lt;TIME(12,0,0),"Manhã",IF(B2689&lt;TIME(18,0,0),"Tarde","Noite")))</f>
        <v/>
      </c>
      <c r="P2689" s="32">
        <f>IF(G2689="","",IFERROR(INDEX(Config!$I$5:$I$16,MATCH(G2689,Config!$H$5:$H$16,0)),0))</f>
        <v/>
      </c>
      <c r="Q2689" s="30">
        <f>IF(OR(H2689&lt;&gt;"Realizado",P2689="",P2689=0),"",A2689+P2689)</f>
        <v/>
      </c>
      <c r="R2689" s="26">
        <f>IF(Q2689="","",IF(COUNTIFS($E$5:$E$3004,E2689,$A$5:$A$3004,"&gt;"&amp;A2689,$H$5:$H$3004,"&lt;&gt;Falta",$H$5:$H$3004,"&lt;&gt;Cancelado",$H$5:$H$3004,"&lt;&gt;Remarcado")&gt;0,"Sim","Não"))</f>
        <v/>
      </c>
      <c r="S2689" s="32">
        <f>IF(R2689&lt;&gt;"Não","",IF(Q2689+Config!$B$9&lt;=Config!$B$8,Config!$B$8-Q2689,""))</f>
        <v/>
      </c>
      <c r="T2689" s="26">
        <f>IF(S2689="","","Sim")</f>
        <v/>
      </c>
      <c r="U2689" s="41">
        <f>IF(T2689="Sim",S2689+ROW()/100000,0)</f>
        <v>0</v>
      </c>
      <c r="V2689" s="41">
        <f>IF(AND(H2689="Falta",L2689=Config!$B$7,M2689=Config!$B$5,COUNTIFS($E$5:E2689,E2689,$H$5:H2689,"Falta",$L$5:L2689,Config!$B$7,$M$5:M2689,Config!$B$5)=1),COUNTIFS($E$5:$E$3004,E2689,$H$5:$H$3004,"Falta",$L$5:$L$3004,Config!$B$7,$M$5:$M$3004,Config!$B$5)*1000-ROW()/100000,0)</f>
        <v>0</v>
      </c>
    </row>
    <row r="2690">
      <c r="A2690" s="39" t="n"/>
      <c r="B2690" s="40" t="n"/>
      <c r="C2690" s="35" t="n"/>
      <c r="D2690" s="35" t="n"/>
      <c r="E2690" s="34" t="n"/>
      <c r="F2690" s="35" t="n"/>
      <c r="G2690" s="35" t="n"/>
      <c r="H2690" s="35" t="n"/>
      <c r="I2690" s="35" t="n"/>
      <c r="J2690" s="35" t="n"/>
      <c r="K2690" s="34" t="n"/>
      <c r="L2690" s="26">
        <f>IF(A2690="","",MONTH(A2690))</f>
        <v/>
      </c>
      <c r="M2690" s="26">
        <f>IF(A2690="","",YEAR(A2690))</f>
        <v/>
      </c>
      <c r="N2690" s="26">
        <f>IF(A2690="","",CHOOSE(WEEKDAY(A2690,2),"Segunda","Terça","Quarta","Quinta","Sexta","Sábado","Domingo"))</f>
        <v/>
      </c>
      <c r="O2690" s="26">
        <f>IF(B2690="","",IF(B2690&lt;TIME(12,0,0),"Manhã",IF(B2690&lt;TIME(18,0,0),"Tarde","Noite")))</f>
        <v/>
      </c>
      <c r="P2690" s="32">
        <f>IF(G2690="","",IFERROR(INDEX(Config!$I$5:$I$16,MATCH(G2690,Config!$H$5:$H$16,0)),0))</f>
        <v/>
      </c>
      <c r="Q2690" s="30">
        <f>IF(OR(H2690&lt;&gt;"Realizado",P2690="",P2690=0),"",A2690+P2690)</f>
        <v/>
      </c>
      <c r="R2690" s="26">
        <f>IF(Q2690="","",IF(COUNTIFS($E$5:$E$3004,E2690,$A$5:$A$3004,"&gt;"&amp;A2690,$H$5:$H$3004,"&lt;&gt;Falta",$H$5:$H$3004,"&lt;&gt;Cancelado",$H$5:$H$3004,"&lt;&gt;Remarcado")&gt;0,"Sim","Não"))</f>
        <v/>
      </c>
      <c r="S2690" s="32">
        <f>IF(R2690&lt;&gt;"Não","",IF(Q2690+Config!$B$9&lt;=Config!$B$8,Config!$B$8-Q2690,""))</f>
        <v/>
      </c>
      <c r="T2690" s="26">
        <f>IF(S2690="","","Sim")</f>
        <v/>
      </c>
      <c r="U2690" s="41">
        <f>IF(T2690="Sim",S2690+ROW()/100000,0)</f>
        <v>0</v>
      </c>
      <c r="V2690" s="41">
        <f>IF(AND(H2690="Falta",L2690=Config!$B$7,M2690=Config!$B$5,COUNTIFS($E$5:E2690,E2690,$H$5:H2690,"Falta",$L$5:L2690,Config!$B$7,$M$5:M2690,Config!$B$5)=1),COUNTIFS($E$5:$E$3004,E2690,$H$5:$H$3004,"Falta",$L$5:$L$3004,Config!$B$7,$M$5:$M$3004,Config!$B$5)*1000-ROW()/100000,0)</f>
        <v>0</v>
      </c>
    </row>
    <row r="2691">
      <c r="A2691" s="39" t="n"/>
      <c r="B2691" s="40" t="n"/>
      <c r="C2691" s="35" t="n"/>
      <c r="D2691" s="35" t="n"/>
      <c r="E2691" s="34" t="n"/>
      <c r="F2691" s="35" t="n"/>
      <c r="G2691" s="35" t="n"/>
      <c r="H2691" s="35" t="n"/>
      <c r="I2691" s="35" t="n"/>
      <c r="J2691" s="35" t="n"/>
      <c r="K2691" s="34" t="n"/>
      <c r="L2691" s="26">
        <f>IF(A2691="","",MONTH(A2691))</f>
        <v/>
      </c>
      <c r="M2691" s="26">
        <f>IF(A2691="","",YEAR(A2691))</f>
        <v/>
      </c>
      <c r="N2691" s="26">
        <f>IF(A2691="","",CHOOSE(WEEKDAY(A2691,2),"Segunda","Terça","Quarta","Quinta","Sexta","Sábado","Domingo"))</f>
        <v/>
      </c>
      <c r="O2691" s="26">
        <f>IF(B2691="","",IF(B2691&lt;TIME(12,0,0),"Manhã",IF(B2691&lt;TIME(18,0,0),"Tarde","Noite")))</f>
        <v/>
      </c>
      <c r="P2691" s="32">
        <f>IF(G2691="","",IFERROR(INDEX(Config!$I$5:$I$16,MATCH(G2691,Config!$H$5:$H$16,0)),0))</f>
        <v/>
      </c>
      <c r="Q2691" s="30">
        <f>IF(OR(H2691&lt;&gt;"Realizado",P2691="",P2691=0),"",A2691+P2691)</f>
        <v/>
      </c>
      <c r="R2691" s="26">
        <f>IF(Q2691="","",IF(COUNTIFS($E$5:$E$3004,E2691,$A$5:$A$3004,"&gt;"&amp;A2691,$H$5:$H$3004,"&lt;&gt;Falta",$H$5:$H$3004,"&lt;&gt;Cancelado",$H$5:$H$3004,"&lt;&gt;Remarcado")&gt;0,"Sim","Não"))</f>
        <v/>
      </c>
      <c r="S2691" s="32">
        <f>IF(R2691&lt;&gt;"Não","",IF(Q2691+Config!$B$9&lt;=Config!$B$8,Config!$B$8-Q2691,""))</f>
        <v/>
      </c>
      <c r="T2691" s="26">
        <f>IF(S2691="","","Sim")</f>
        <v/>
      </c>
      <c r="U2691" s="41">
        <f>IF(T2691="Sim",S2691+ROW()/100000,0)</f>
        <v>0</v>
      </c>
      <c r="V2691" s="41">
        <f>IF(AND(H2691="Falta",L2691=Config!$B$7,M2691=Config!$B$5,COUNTIFS($E$5:E2691,E2691,$H$5:H2691,"Falta",$L$5:L2691,Config!$B$7,$M$5:M2691,Config!$B$5)=1),COUNTIFS($E$5:$E$3004,E2691,$H$5:$H$3004,"Falta",$L$5:$L$3004,Config!$B$7,$M$5:$M$3004,Config!$B$5)*1000-ROW()/100000,0)</f>
        <v>0</v>
      </c>
    </row>
    <row r="2692">
      <c r="A2692" s="39" t="n"/>
      <c r="B2692" s="40" t="n"/>
      <c r="C2692" s="35" t="n"/>
      <c r="D2692" s="35" t="n"/>
      <c r="E2692" s="34" t="n"/>
      <c r="F2692" s="35" t="n"/>
      <c r="G2692" s="35" t="n"/>
      <c r="H2692" s="35" t="n"/>
      <c r="I2692" s="35" t="n"/>
      <c r="J2692" s="35" t="n"/>
      <c r="K2692" s="34" t="n"/>
      <c r="L2692" s="26">
        <f>IF(A2692="","",MONTH(A2692))</f>
        <v/>
      </c>
      <c r="M2692" s="26">
        <f>IF(A2692="","",YEAR(A2692))</f>
        <v/>
      </c>
      <c r="N2692" s="26">
        <f>IF(A2692="","",CHOOSE(WEEKDAY(A2692,2),"Segunda","Terça","Quarta","Quinta","Sexta","Sábado","Domingo"))</f>
        <v/>
      </c>
      <c r="O2692" s="26">
        <f>IF(B2692="","",IF(B2692&lt;TIME(12,0,0),"Manhã",IF(B2692&lt;TIME(18,0,0),"Tarde","Noite")))</f>
        <v/>
      </c>
      <c r="P2692" s="32">
        <f>IF(G2692="","",IFERROR(INDEX(Config!$I$5:$I$16,MATCH(G2692,Config!$H$5:$H$16,0)),0))</f>
        <v/>
      </c>
      <c r="Q2692" s="30">
        <f>IF(OR(H2692&lt;&gt;"Realizado",P2692="",P2692=0),"",A2692+P2692)</f>
        <v/>
      </c>
      <c r="R2692" s="26">
        <f>IF(Q2692="","",IF(COUNTIFS($E$5:$E$3004,E2692,$A$5:$A$3004,"&gt;"&amp;A2692,$H$5:$H$3004,"&lt;&gt;Falta",$H$5:$H$3004,"&lt;&gt;Cancelado",$H$5:$H$3004,"&lt;&gt;Remarcado")&gt;0,"Sim","Não"))</f>
        <v/>
      </c>
      <c r="S2692" s="32">
        <f>IF(R2692&lt;&gt;"Não","",IF(Q2692+Config!$B$9&lt;=Config!$B$8,Config!$B$8-Q2692,""))</f>
        <v/>
      </c>
      <c r="T2692" s="26">
        <f>IF(S2692="","","Sim")</f>
        <v/>
      </c>
      <c r="U2692" s="41">
        <f>IF(T2692="Sim",S2692+ROW()/100000,0)</f>
        <v>0</v>
      </c>
      <c r="V2692" s="41">
        <f>IF(AND(H2692="Falta",L2692=Config!$B$7,M2692=Config!$B$5,COUNTIFS($E$5:E2692,E2692,$H$5:H2692,"Falta",$L$5:L2692,Config!$B$7,$M$5:M2692,Config!$B$5)=1),COUNTIFS($E$5:$E$3004,E2692,$H$5:$H$3004,"Falta",$L$5:$L$3004,Config!$B$7,$M$5:$M$3004,Config!$B$5)*1000-ROW()/100000,0)</f>
        <v>0</v>
      </c>
    </row>
    <row r="2693">
      <c r="A2693" s="39" t="n"/>
      <c r="B2693" s="40" t="n"/>
      <c r="C2693" s="35" t="n"/>
      <c r="D2693" s="35" t="n"/>
      <c r="E2693" s="34" t="n"/>
      <c r="F2693" s="35" t="n"/>
      <c r="G2693" s="35" t="n"/>
      <c r="H2693" s="35" t="n"/>
      <c r="I2693" s="35" t="n"/>
      <c r="J2693" s="35" t="n"/>
      <c r="K2693" s="34" t="n"/>
      <c r="L2693" s="26">
        <f>IF(A2693="","",MONTH(A2693))</f>
        <v/>
      </c>
      <c r="M2693" s="26">
        <f>IF(A2693="","",YEAR(A2693))</f>
        <v/>
      </c>
      <c r="N2693" s="26">
        <f>IF(A2693="","",CHOOSE(WEEKDAY(A2693,2),"Segunda","Terça","Quarta","Quinta","Sexta","Sábado","Domingo"))</f>
        <v/>
      </c>
      <c r="O2693" s="26">
        <f>IF(B2693="","",IF(B2693&lt;TIME(12,0,0),"Manhã",IF(B2693&lt;TIME(18,0,0),"Tarde","Noite")))</f>
        <v/>
      </c>
      <c r="P2693" s="32">
        <f>IF(G2693="","",IFERROR(INDEX(Config!$I$5:$I$16,MATCH(G2693,Config!$H$5:$H$16,0)),0))</f>
        <v/>
      </c>
      <c r="Q2693" s="30">
        <f>IF(OR(H2693&lt;&gt;"Realizado",P2693="",P2693=0),"",A2693+P2693)</f>
        <v/>
      </c>
      <c r="R2693" s="26">
        <f>IF(Q2693="","",IF(COUNTIFS($E$5:$E$3004,E2693,$A$5:$A$3004,"&gt;"&amp;A2693,$H$5:$H$3004,"&lt;&gt;Falta",$H$5:$H$3004,"&lt;&gt;Cancelado",$H$5:$H$3004,"&lt;&gt;Remarcado")&gt;0,"Sim","Não"))</f>
        <v/>
      </c>
      <c r="S2693" s="32">
        <f>IF(R2693&lt;&gt;"Não","",IF(Q2693+Config!$B$9&lt;=Config!$B$8,Config!$B$8-Q2693,""))</f>
        <v/>
      </c>
      <c r="T2693" s="26">
        <f>IF(S2693="","","Sim")</f>
        <v/>
      </c>
      <c r="U2693" s="41">
        <f>IF(T2693="Sim",S2693+ROW()/100000,0)</f>
        <v>0</v>
      </c>
      <c r="V2693" s="41">
        <f>IF(AND(H2693="Falta",L2693=Config!$B$7,M2693=Config!$B$5,COUNTIFS($E$5:E2693,E2693,$H$5:H2693,"Falta",$L$5:L2693,Config!$B$7,$M$5:M2693,Config!$B$5)=1),COUNTIFS($E$5:$E$3004,E2693,$H$5:$H$3004,"Falta",$L$5:$L$3004,Config!$B$7,$M$5:$M$3004,Config!$B$5)*1000-ROW()/100000,0)</f>
        <v>0</v>
      </c>
    </row>
    <row r="2694">
      <c r="A2694" s="39" t="n"/>
      <c r="B2694" s="40" t="n"/>
      <c r="C2694" s="35" t="n"/>
      <c r="D2694" s="35" t="n"/>
      <c r="E2694" s="34" t="n"/>
      <c r="F2694" s="35" t="n"/>
      <c r="G2694" s="35" t="n"/>
      <c r="H2694" s="35" t="n"/>
      <c r="I2694" s="35" t="n"/>
      <c r="J2694" s="35" t="n"/>
      <c r="K2694" s="34" t="n"/>
      <c r="L2694" s="26">
        <f>IF(A2694="","",MONTH(A2694))</f>
        <v/>
      </c>
      <c r="M2694" s="26">
        <f>IF(A2694="","",YEAR(A2694))</f>
        <v/>
      </c>
      <c r="N2694" s="26">
        <f>IF(A2694="","",CHOOSE(WEEKDAY(A2694,2),"Segunda","Terça","Quarta","Quinta","Sexta","Sábado","Domingo"))</f>
        <v/>
      </c>
      <c r="O2694" s="26">
        <f>IF(B2694="","",IF(B2694&lt;TIME(12,0,0),"Manhã",IF(B2694&lt;TIME(18,0,0),"Tarde","Noite")))</f>
        <v/>
      </c>
      <c r="P2694" s="32">
        <f>IF(G2694="","",IFERROR(INDEX(Config!$I$5:$I$16,MATCH(G2694,Config!$H$5:$H$16,0)),0))</f>
        <v/>
      </c>
      <c r="Q2694" s="30">
        <f>IF(OR(H2694&lt;&gt;"Realizado",P2694="",P2694=0),"",A2694+P2694)</f>
        <v/>
      </c>
      <c r="R2694" s="26">
        <f>IF(Q2694="","",IF(COUNTIFS($E$5:$E$3004,E2694,$A$5:$A$3004,"&gt;"&amp;A2694,$H$5:$H$3004,"&lt;&gt;Falta",$H$5:$H$3004,"&lt;&gt;Cancelado",$H$5:$H$3004,"&lt;&gt;Remarcado")&gt;0,"Sim","Não"))</f>
        <v/>
      </c>
      <c r="S2694" s="32">
        <f>IF(R2694&lt;&gt;"Não","",IF(Q2694+Config!$B$9&lt;=Config!$B$8,Config!$B$8-Q2694,""))</f>
        <v/>
      </c>
      <c r="T2694" s="26">
        <f>IF(S2694="","","Sim")</f>
        <v/>
      </c>
      <c r="U2694" s="41">
        <f>IF(T2694="Sim",S2694+ROW()/100000,0)</f>
        <v>0</v>
      </c>
      <c r="V2694" s="41">
        <f>IF(AND(H2694="Falta",L2694=Config!$B$7,M2694=Config!$B$5,COUNTIFS($E$5:E2694,E2694,$H$5:H2694,"Falta",$L$5:L2694,Config!$B$7,$M$5:M2694,Config!$B$5)=1),COUNTIFS($E$5:$E$3004,E2694,$H$5:$H$3004,"Falta",$L$5:$L$3004,Config!$B$7,$M$5:$M$3004,Config!$B$5)*1000-ROW()/100000,0)</f>
        <v>0</v>
      </c>
    </row>
    <row r="2695">
      <c r="A2695" s="39" t="n"/>
      <c r="B2695" s="40" t="n"/>
      <c r="C2695" s="35" t="n"/>
      <c r="D2695" s="35" t="n"/>
      <c r="E2695" s="34" t="n"/>
      <c r="F2695" s="35" t="n"/>
      <c r="G2695" s="35" t="n"/>
      <c r="H2695" s="35" t="n"/>
      <c r="I2695" s="35" t="n"/>
      <c r="J2695" s="35" t="n"/>
      <c r="K2695" s="34" t="n"/>
      <c r="L2695" s="26">
        <f>IF(A2695="","",MONTH(A2695))</f>
        <v/>
      </c>
      <c r="M2695" s="26">
        <f>IF(A2695="","",YEAR(A2695))</f>
        <v/>
      </c>
      <c r="N2695" s="26">
        <f>IF(A2695="","",CHOOSE(WEEKDAY(A2695,2),"Segunda","Terça","Quarta","Quinta","Sexta","Sábado","Domingo"))</f>
        <v/>
      </c>
      <c r="O2695" s="26">
        <f>IF(B2695="","",IF(B2695&lt;TIME(12,0,0),"Manhã",IF(B2695&lt;TIME(18,0,0),"Tarde","Noite")))</f>
        <v/>
      </c>
      <c r="P2695" s="32">
        <f>IF(G2695="","",IFERROR(INDEX(Config!$I$5:$I$16,MATCH(G2695,Config!$H$5:$H$16,0)),0))</f>
        <v/>
      </c>
      <c r="Q2695" s="30">
        <f>IF(OR(H2695&lt;&gt;"Realizado",P2695="",P2695=0),"",A2695+P2695)</f>
        <v/>
      </c>
      <c r="R2695" s="26">
        <f>IF(Q2695="","",IF(COUNTIFS($E$5:$E$3004,E2695,$A$5:$A$3004,"&gt;"&amp;A2695,$H$5:$H$3004,"&lt;&gt;Falta",$H$5:$H$3004,"&lt;&gt;Cancelado",$H$5:$H$3004,"&lt;&gt;Remarcado")&gt;0,"Sim","Não"))</f>
        <v/>
      </c>
      <c r="S2695" s="32">
        <f>IF(R2695&lt;&gt;"Não","",IF(Q2695+Config!$B$9&lt;=Config!$B$8,Config!$B$8-Q2695,""))</f>
        <v/>
      </c>
      <c r="T2695" s="26">
        <f>IF(S2695="","","Sim")</f>
        <v/>
      </c>
      <c r="U2695" s="41">
        <f>IF(T2695="Sim",S2695+ROW()/100000,0)</f>
        <v>0</v>
      </c>
      <c r="V2695" s="41">
        <f>IF(AND(H2695="Falta",L2695=Config!$B$7,M2695=Config!$B$5,COUNTIFS($E$5:E2695,E2695,$H$5:H2695,"Falta",$L$5:L2695,Config!$B$7,$M$5:M2695,Config!$B$5)=1),COUNTIFS($E$5:$E$3004,E2695,$H$5:$H$3004,"Falta",$L$5:$L$3004,Config!$B$7,$M$5:$M$3004,Config!$B$5)*1000-ROW()/100000,0)</f>
        <v>0</v>
      </c>
    </row>
    <row r="2696">
      <c r="A2696" s="39" t="n"/>
      <c r="B2696" s="40" t="n"/>
      <c r="C2696" s="35" t="n"/>
      <c r="D2696" s="35" t="n"/>
      <c r="E2696" s="34" t="n"/>
      <c r="F2696" s="35" t="n"/>
      <c r="G2696" s="35" t="n"/>
      <c r="H2696" s="35" t="n"/>
      <c r="I2696" s="35" t="n"/>
      <c r="J2696" s="35" t="n"/>
      <c r="K2696" s="34" t="n"/>
      <c r="L2696" s="26">
        <f>IF(A2696="","",MONTH(A2696))</f>
        <v/>
      </c>
      <c r="M2696" s="26">
        <f>IF(A2696="","",YEAR(A2696))</f>
        <v/>
      </c>
      <c r="N2696" s="26">
        <f>IF(A2696="","",CHOOSE(WEEKDAY(A2696,2),"Segunda","Terça","Quarta","Quinta","Sexta","Sábado","Domingo"))</f>
        <v/>
      </c>
      <c r="O2696" s="26">
        <f>IF(B2696="","",IF(B2696&lt;TIME(12,0,0),"Manhã",IF(B2696&lt;TIME(18,0,0),"Tarde","Noite")))</f>
        <v/>
      </c>
      <c r="P2696" s="32">
        <f>IF(G2696="","",IFERROR(INDEX(Config!$I$5:$I$16,MATCH(G2696,Config!$H$5:$H$16,0)),0))</f>
        <v/>
      </c>
      <c r="Q2696" s="30">
        <f>IF(OR(H2696&lt;&gt;"Realizado",P2696="",P2696=0),"",A2696+P2696)</f>
        <v/>
      </c>
      <c r="R2696" s="26">
        <f>IF(Q2696="","",IF(COUNTIFS($E$5:$E$3004,E2696,$A$5:$A$3004,"&gt;"&amp;A2696,$H$5:$H$3004,"&lt;&gt;Falta",$H$5:$H$3004,"&lt;&gt;Cancelado",$H$5:$H$3004,"&lt;&gt;Remarcado")&gt;0,"Sim","Não"))</f>
        <v/>
      </c>
      <c r="S2696" s="32">
        <f>IF(R2696&lt;&gt;"Não","",IF(Q2696+Config!$B$9&lt;=Config!$B$8,Config!$B$8-Q2696,""))</f>
        <v/>
      </c>
      <c r="T2696" s="26">
        <f>IF(S2696="","","Sim")</f>
        <v/>
      </c>
      <c r="U2696" s="41">
        <f>IF(T2696="Sim",S2696+ROW()/100000,0)</f>
        <v>0</v>
      </c>
      <c r="V2696" s="41">
        <f>IF(AND(H2696="Falta",L2696=Config!$B$7,M2696=Config!$B$5,COUNTIFS($E$5:E2696,E2696,$H$5:H2696,"Falta",$L$5:L2696,Config!$B$7,$M$5:M2696,Config!$B$5)=1),COUNTIFS($E$5:$E$3004,E2696,$H$5:$H$3004,"Falta",$L$5:$L$3004,Config!$B$7,$M$5:$M$3004,Config!$B$5)*1000-ROW()/100000,0)</f>
        <v>0</v>
      </c>
    </row>
    <row r="2697">
      <c r="A2697" s="39" t="n"/>
      <c r="B2697" s="40" t="n"/>
      <c r="C2697" s="35" t="n"/>
      <c r="D2697" s="35" t="n"/>
      <c r="E2697" s="34" t="n"/>
      <c r="F2697" s="35" t="n"/>
      <c r="G2697" s="35" t="n"/>
      <c r="H2697" s="35" t="n"/>
      <c r="I2697" s="35" t="n"/>
      <c r="J2697" s="35" t="n"/>
      <c r="K2697" s="34" t="n"/>
      <c r="L2697" s="26">
        <f>IF(A2697="","",MONTH(A2697))</f>
        <v/>
      </c>
      <c r="M2697" s="26">
        <f>IF(A2697="","",YEAR(A2697))</f>
        <v/>
      </c>
      <c r="N2697" s="26">
        <f>IF(A2697="","",CHOOSE(WEEKDAY(A2697,2),"Segunda","Terça","Quarta","Quinta","Sexta","Sábado","Domingo"))</f>
        <v/>
      </c>
      <c r="O2697" s="26">
        <f>IF(B2697="","",IF(B2697&lt;TIME(12,0,0),"Manhã",IF(B2697&lt;TIME(18,0,0),"Tarde","Noite")))</f>
        <v/>
      </c>
      <c r="P2697" s="32">
        <f>IF(G2697="","",IFERROR(INDEX(Config!$I$5:$I$16,MATCH(G2697,Config!$H$5:$H$16,0)),0))</f>
        <v/>
      </c>
      <c r="Q2697" s="30">
        <f>IF(OR(H2697&lt;&gt;"Realizado",P2697="",P2697=0),"",A2697+P2697)</f>
        <v/>
      </c>
      <c r="R2697" s="26">
        <f>IF(Q2697="","",IF(COUNTIFS($E$5:$E$3004,E2697,$A$5:$A$3004,"&gt;"&amp;A2697,$H$5:$H$3004,"&lt;&gt;Falta",$H$5:$H$3004,"&lt;&gt;Cancelado",$H$5:$H$3004,"&lt;&gt;Remarcado")&gt;0,"Sim","Não"))</f>
        <v/>
      </c>
      <c r="S2697" s="32">
        <f>IF(R2697&lt;&gt;"Não","",IF(Q2697+Config!$B$9&lt;=Config!$B$8,Config!$B$8-Q2697,""))</f>
        <v/>
      </c>
      <c r="T2697" s="26">
        <f>IF(S2697="","","Sim")</f>
        <v/>
      </c>
      <c r="U2697" s="41">
        <f>IF(T2697="Sim",S2697+ROW()/100000,0)</f>
        <v>0</v>
      </c>
      <c r="V2697" s="41">
        <f>IF(AND(H2697="Falta",L2697=Config!$B$7,M2697=Config!$B$5,COUNTIFS($E$5:E2697,E2697,$H$5:H2697,"Falta",$L$5:L2697,Config!$B$7,$M$5:M2697,Config!$B$5)=1),COUNTIFS($E$5:$E$3004,E2697,$H$5:$H$3004,"Falta",$L$5:$L$3004,Config!$B$7,$M$5:$M$3004,Config!$B$5)*1000-ROW()/100000,0)</f>
        <v>0</v>
      </c>
    </row>
    <row r="2698">
      <c r="A2698" s="39" t="n"/>
      <c r="B2698" s="40" t="n"/>
      <c r="C2698" s="35" t="n"/>
      <c r="D2698" s="35" t="n"/>
      <c r="E2698" s="34" t="n"/>
      <c r="F2698" s="35" t="n"/>
      <c r="G2698" s="35" t="n"/>
      <c r="H2698" s="35" t="n"/>
      <c r="I2698" s="35" t="n"/>
      <c r="J2698" s="35" t="n"/>
      <c r="K2698" s="34" t="n"/>
      <c r="L2698" s="26">
        <f>IF(A2698="","",MONTH(A2698))</f>
        <v/>
      </c>
      <c r="M2698" s="26">
        <f>IF(A2698="","",YEAR(A2698))</f>
        <v/>
      </c>
      <c r="N2698" s="26">
        <f>IF(A2698="","",CHOOSE(WEEKDAY(A2698,2),"Segunda","Terça","Quarta","Quinta","Sexta","Sábado","Domingo"))</f>
        <v/>
      </c>
      <c r="O2698" s="26">
        <f>IF(B2698="","",IF(B2698&lt;TIME(12,0,0),"Manhã",IF(B2698&lt;TIME(18,0,0),"Tarde","Noite")))</f>
        <v/>
      </c>
      <c r="P2698" s="32">
        <f>IF(G2698="","",IFERROR(INDEX(Config!$I$5:$I$16,MATCH(G2698,Config!$H$5:$H$16,0)),0))</f>
        <v/>
      </c>
      <c r="Q2698" s="30">
        <f>IF(OR(H2698&lt;&gt;"Realizado",P2698="",P2698=0),"",A2698+P2698)</f>
        <v/>
      </c>
      <c r="R2698" s="26">
        <f>IF(Q2698="","",IF(COUNTIFS($E$5:$E$3004,E2698,$A$5:$A$3004,"&gt;"&amp;A2698,$H$5:$H$3004,"&lt;&gt;Falta",$H$5:$H$3004,"&lt;&gt;Cancelado",$H$5:$H$3004,"&lt;&gt;Remarcado")&gt;0,"Sim","Não"))</f>
        <v/>
      </c>
      <c r="S2698" s="32">
        <f>IF(R2698&lt;&gt;"Não","",IF(Q2698+Config!$B$9&lt;=Config!$B$8,Config!$B$8-Q2698,""))</f>
        <v/>
      </c>
      <c r="T2698" s="26">
        <f>IF(S2698="","","Sim")</f>
        <v/>
      </c>
      <c r="U2698" s="41">
        <f>IF(T2698="Sim",S2698+ROW()/100000,0)</f>
        <v>0</v>
      </c>
      <c r="V2698" s="41">
        <f>IF(AND(H2698="Falta",L2698=Config!$B$7,M2698=Config!$B$5,COUNTIFS($E$5:E2698,E2698,$H$5:H2698,"Falta",$L$5:L2698,Config!$B$7,$M$5:M2698,Config!$B$5)=1),COUNTIFS($E$5:$E$3004,E2698,$H$5:$H$3004,"Falta",$L$5:$L$3004,Config!$B$7,$M$5:$M$3004,Config!$B$5)*1000-ROW()/100000,0)</f>
        <v>0</v>
      </c>
    </row>
    <row r="2699">
      <c r="A2699" s="39" t="n"/>
      <c r="B2699" s="40" t="n"/>
      <c r="C2699" s="35" t="n"/>
      <c r="D2699" s="35" t="n"/>
      <c r="E2699" s="34" t="n"/>
      <c r="F2699" s="35" t="n"/>
      <c r="G2699" s="35" t="n"/>
      <c r="H2699" s="35" t="n"/>
      <c r="I2699" s="35" t="n"/>
      <c r="J2699" s="35" t="n"/>
      <c r="K2699" s="34" t="n"/>
      <c r="L2699" s="26">
        <f>IF(A2699="","",MONTH(A2699))</f>
        <v/>
      </c>
      <c r="M2699" s="26">
        <f>IF(A2699="","",YEAR(A2699))</f>
        <v/>
      </c>
      <c r="N2699" s="26">
        <f>IF(A2699="","",CHOOSE(WEEKDAY(A2699,2),"Segunda","Terça","Quarta","Quinta","Sexta","Sábado","Domingo"))</f>
        <v/>
      </c>
      <c r="O2699" s="26">
        <f>IF(B2699="","",IF(B2699&lt;TIME(12,0,0),"Manhã",IF(B2699&lt;TIME(18,0,0),"Tarde","Noite")))</f>
        <v/>
      </c>
      <c r="P2699" s="32">
        <f>IF(G2699="","",IFERROR(INDEX(Config!$I$5:$I$16,MATCH(G2699,Config!$H$5:$H$16,0)),0))</f>
        <v/>
      </c>
      <c r="Q2699" s="30">
        <f>IF(OR(H2699&lt;&gt;"Realizado",P2699="",P2699=0),"",A2699+P2699)</f>
        <v/>
      </c>
      <c r="R2699" s="26">
        <f>IF(Q2699="","",IF(COUNTIFS($E$5:$E$3004,E2699,$A$5:$A$3004,"&gt;"&amp;A2699,$H$5:$H$3004,"&lt;&gt;Falta",$H$5:$H$3004,"&lt;&gt;Cancelado",$H$5:$H$3004,"&lt;&gt;Remarcado")&gt;0,"Sim","Não"))</f>
        <v/>
      </c>
      <c r="S2699" s="32">
        <f>IF(R2699&lt;&gt;"Não","",IF(Q2699+Config!$B$9&lt;=Config!$B$8,Config!$B$8-Q2699,""))</f>
        <v/>
      </c>
      <c r="T2699" s="26">
        <f>IF(S2699="","","Sim")</f>
        <v/>
      </c>
      <c r="U2699" s="41">
        <f>IF(T2699="Sim",S2699+ROW()/100000,0)</f>
        <v>0</v>
      </c>
      <c r="V2699" s="41">
        <f>IF(AND(H2699="Falta",L2699=Config!$B$7,M2699=Config!$B$5,COUNTIFS($E$5:E2699,E2699,$H$5:H2699,"Falta",$L$5:L2699,Config!$B$7,$M$5:M2699,Config!$B$5)=1),COUNTIFS($E$5:$E$3004,E2699,$H$5:$H$3004,"Falta",$L$5:$L$3004,Config!$B$7,$M$5:$M$3004,Config!$B$5)*1000-ROW()/100000,0)</f>
        <v>0</v>
      </c>
    </row>
    <row r="2700">
      <c r="A2700" s="39" t="n"/>
      <c r="B2700" s="40" t="n"/>
      <c r="C2700" s="35" t="n"/>
      <c r="D2700" s="35" t="n"/>
      <c r="E2700" s="34" t="n"/>
      <c r="F2700" s="35" t="n"/>
      <c r="G2700" s="35" t="n"/>
      <c r="H2700" s="35" t="n"/>
      <c r="I2700" s="35" t="n"/>
      <c r="J2700" s="35" t="n"/>
      <c r="K2700" s="34" t="n"/>
      <c r="L2700" s="26">
        <f>IF(A2700="","",MONTH(A2700))</f>
        <v/>
      </c>
      <c r="M2700" s="26">
        <f>IF(A2700="","",YEAR(A2700))</f>
        <v/>
      </c>
      <c r="N2700" s="26">
        <f>IF(A2700="","",CHOOSE(WEEKDAY(A2700,2),"Segunda","Terça","Quarta","Quinta","Sexta","Sábado","Domingo"))</f>
        <v/>
      </c>
      <c r="O2700" s="26">
        <f>IF(B2700="","",IF(B2700&lt;TIME(12,0,0),"Manhã",IF(B2700&lt;TIME(18,0,0),"Tarde","Noite")))</f>
        <v/>
      </c>
      <c r="P2700" s="32">
        <f>IF(G2700="","",IFERROR(INDEX(Config!$I$5:$I$16,MATCH(G2700,Config!$H$5:$H$16,0)),0))</f>
        <v/>
      </c>
      <c r="Q2700" s="30">
        <f>IF(OR(H2700&lt;&gt;"Realizado",P2700="",P2700=0),"",A2700+P2700)</f>
        <v/>
      </c>
      <c r="R2700" s="26">
        <f>IF(Q2700="","",IF(COUNTIFS($E$5:$E$3004,E2700,$A$5:$A$3004,"&gt;"&amp;A2700,$H$5:$H$3004,"&lt;&gt;Falta",$H$5:$H$3004,"&lt;&gt;Cancelado",$H$5:$H$3004,"&lt;&gt;Remarcado")&gt;0,"Sim","Não"))</f>
        <v/>
      </c>
      <c r="S2700" s="32">
        <f>IF(R2700&lt;&gt;"Não","",IF(Q2700+Config!$B$9&lt;=Config!$B$8,Config!$B$8-Q2700,""))</f>
        <v/>
      </c>
      <c r="T2700" s="26">
        <f>IF(S2700="","","Sim")</f>
        <v/>
      </c>
      <c r="U2700" s="41">
        <f>IF(T2700="Sim",S2700+ROW()/100000,0)</f>
        <v>0</v>
      </c>
      <c r="V2700" s="41">
        <f>IF(AND(H2700="Falta",L2700=Config!$B$7,M2700=Config!$B$5,COUNTIFS($E$5:E2700,E2700,$H$5:H2700,"Falta",$L$5:L2700,Config!$B$7,$M$5:M2700,Config!$B$5)=1),COUNTIFS($E$5:$E$3004,E2700,$H$5:$H$3004,"Falta",$L$5:$L$3004,Config!$B$7,$M$5:$M$3004,Config!$B$5)*1000-ROW()/100000,0)</f>
        <v>0</v>
      </c>
    </row>
    <row r="2701">
      <c r="A2701" s="39" t="n"/>
      <c r="B2701" s="40" t="n"/>
      <c r="C2701" s="35" t="n"/>
      <c r="D2701" s="35" t="n"/>
      <c r="E2701" s="34" t="n"/>
      <c r="F2701" s="35" t="n"/>
      <c r="G2701" s="35" t="n"/>
      <c r="H2701" s="35" t="n"/>
      <c r="I2701" s="35" t="n"/>
      <c r="J2701" s="35" t="n"/>
      <c r="K2701" s="34" t="n"/>
      <c r="L2701" s="26">
        <f>IF(A2701="","",MONTH(A2701))</f>
        <v/>
      </c>
      <c r="M2701" s="26">
        <f>IF(A2701="","",YEAR(A2701))</f>
        <v/>
      </c>
      <c r="N2701" s="26">
        <f>IF(A2701="","",CHOOSE(WEEKDAY(A2701,2),"Segunda","Terça","Quarta","Quinta","Sexta","Sábado","Domingo"))</f>
        <v/>
      </c>
      <c r="O2701" s="26">
        <f>IF(B2701="","",IF(B2701&lt;TIME(12,0,0),"Manhã",IF(B2701&lt;TIME(18,0,0),"Tarde","Noite")))</f>
        <v/>
      </c>
      <c r="P2701" s="32">
        <f>IF(G2701="","",IFERROR(INDEX(Config!$I$5:$I$16,MATCH(G2701,Config!$H$5:$H$16,0)),0))</f>
        <v/>
      </c>
      <c r="Q2701" s="30">
        <f>IF(OR(H2701&lt;&gt;"Realizado",P2701="",P2701=0),"",A2701+P2701)</f>
        <v/>
      </c>
      <c r="R2701" s="26">
        <f>IF(Q2701="","",IF(COUNTIFS($E$5:$E$3004,E2701,$A$5:$A$3004,"&gt;"&amp;A2701,$H$5:$H$3004,"&lt;&gt;Falta",$H$5:$H$3004,"&lt;&gt;Cancelado",$H$5:$H$3004,"&lt;&gt;Remarcado")&gt;0,"Sim","Não"))</f>
        <v/>
      </c>
      <c r="S2701" s="32">
        <f>IF(R2701&lt;&gt;"Não","",IF(Q2701+Config!$B$9&lt;=Config!$B$8,Config!$B$8-Q2701,""))</f>
        <v/>
      </c>
      <c r="T2701" s="26">
        <f>IF(S2701="","","Sim")</f>
        <v/>
      </c>
      <c r="U2701" s="41">
        <f>IF(T2701="Sim",S2701+ROW()/100000,0)</f>
        <v>0</v>
      </c>
      <c r="V2701" s="41">
        <f>IF(AND(H2701="Falta",L2701=Config!$B$7,M2701=Config!$B$5,COUNTIFS($E$5:E2701,E2701,$H$5:H2701,"Falta",$L$5:L2701,Config!$B$7,$M$5:M2701,Config!$B$5)=1),COUNTIFS($E$5:$E$3004,E2701,$H$5:$H$3004,"Falta",$L$5:$L$3004,Config!$B$7,$M$5:$M$3004,Config!$B$5)*1000-ROW()/100000,0)</f>
        <v>0</v>
      </c>
    </row>
    <row r="2702">
      <c r="A2702" s="39" t="n"/>
      <c r="B2702" s="40" t="n"/>
      <c r="C2702" s="35" t="n"/>
      <c r="D2702" s="35" t="n"/>
      <c r="E2702" s="34" t="n"/>
      <c r="F2702" s="35" t="n"/>
      <c r="G2702" s="35" t="n"/>
      <c r="H2702" s="35" t="n"/>
      <c r="I2702" s="35" t="n"/>
      <c r="J2702" s="35" t="n"/>
      <c r="K2702" s="34" t="n"/>
      <c r="L2702" s="26">
        <f>IF(A2702="","",MONTH(A2702))</f>
        <v/>
      </c>
      <c r="M2702" s="26">
        <f>IF(A2702="","",YEAR(A2702))</f>
        <v/>
      </c>
      <c r="N2702" s="26">
        <f>IF(A2702="","",CHOOSE(WEEKDAY(A2702,2),"Segunda","Terça","Quarta","Quinta","Sexta","Sábado","Domingo"))</f>
        <v/>
      </c>
      <c r="O2702" s="26">
        <f>IF(B2702="","",IF(B2702&lt;TIME(12,0,0),"Manhã",IF(B2702&lt;TIME(18,0,0),"Tarde","Noite")))</f>
        <v/>
      </c>
      <c r="P2702" s="32">
        <f>IF(G2702="","",IFERROR(INDEX(Config!$I$5:$I$16,MATCH(G2702,Config!$H$5:$H$16,0)),0))</f>
        <v/>
      </c>
      <c r="Q2702" s="30">
        <f>IF(OR(H2702&lt;&gt;"Realizado",P2702="",P2702=0),"",A2702+P2702)</f>
        <v/>
      </c>
      <c r="R2702" s="26">
        <f>IF(Q2702="","",IF(COUNTIFS($E$5:$E$3004,E2702,$A$5:$A$3004,"&gt;"&amp;A2702,$H$5:$H$3004,"&lt;&gt;Falta",$H$5:$H$3004,"&lt;&gt;Cancelado",$H$5:$H$3004,"&lt;&gt;Remarcado")&gt;0,"Sim","Não"))</f>
        <v/>
      </c>
      <c r="S2702" s="32">
        <f>IF(R2702&lt;&gt;"Não","",IF(Q2702+Config!$B$9&lt;=Config!$B$8,Config!$B$8-Q2702,""))</f>
        <v/>
      </c>
      <c r="T2702" s="26">
        <f>IF(S2702="","","Sim")</f>
        <v/>
      </c>
      <c r="U2702" s="41">
        <f>IF(T2702="Sim",S2702+ROW()/100000,0)</f>
        <v>0</v>
      </c>
      <c r="V2702" s="41">
        <f>IF(AND(H2702="Falta",L2702=Config!$B$7,M2702=Config!$B$5,COUNTIFS($E$5:E2702,E2702,$H$5:H2702,"Falta",$L$5:L2702,Config!$B$7,$M$5:M2702,Config!$B$5)=1),COUNTIFS($E$5:$E$3004,E2702,$H$5:$H$3004,"Falta",$L$5:$L$3004,Config!$B$7,$M$5:$M$3004,Config!$B$5)*1000-ROW()/100000,0)</f>
        <v>0</v>
      </c>
    </row>
    <row r="2703">
      <c r="A2703" s="39" t="n"/>
      <c r="B2703" s="40" t="n"/>
      <c r="C2703" s="35" t="n"/>
      <c r="D2703" s="35" t="n"/>
      <c r="E2703" s="34" t="n"/>
      <c r="F2703" s="35" t="n"/>
      <c r="G2703" s="35" t="n"/>
      <c r="H2703" s="35" t="n"/>
      <c r="I2703" s="35" t="n"/>
      <c r="J2703" s="35" t="n"/>
      <c r="K2703" s="34" t="n"/>
      <c r="L2703" s="26">
        <f>IF(A2703="","",MONTH(A2703))</f>
        <v/>
      </c>
      <c r="M2703" s="26">
        <f>IF(A2703="","",YEAR(A2703))</f>
        <v/>
      </c>
      <c r="N2703" s="26">
        <f>IF(A2703="","",CHOOSE(WEEKDAY(A2703,2),"Segunda","Terça","Quarta","Quinta","Sexta","Sábado","Domingo"))</f>
        <v/>
      </c>
      <c r="O2703" s="26">
        <f>IF(B2703="","",IF(B2703&lt;TIME(12,0,0),"Manhã",IF(B2703&lt;TIME(18,0,0),"Tarde","Noite")))</f>
        <v/>
      </c>
      <c r="P2703" s="32">
        <f>IF(G2703="","",IFERROR(INDEX(Config!$I$5:$I$16,MATCH(G2703,Config!$H$5:$H$16,0)),0))</f>
        <v/>
      </c>
      <c r="Q2703" s="30">
        <f>IF(OR(H2703&lt;&gt;"Realizado",P2703="",P2703=0),"",A2703+P2703)</f>
        <v/>
      </c>
      <c r="R2703" s="26">
        <f>IF(Q2703="","",IF(COUNTIFS($E$5:$E$3004,E2703,$A$5:$A$3004,"&gt;"&amp;A2703,$H$5:$H$3004,"&lt;&gt;Falta",$H$5:$H$3004,"&lt;&gt;Cancelado",$H$5:$H$3004,"&lt;&gt;Remarcado")&gt;0,"Sim","Não"))</f>
        <v/>
      </c>
      <c r="S2703" s="32">
        <f>IF(R2703&lt;&gt;"Não","",IF(Q2703+Config!$B$9&lt;=Config!$B$8,Config!$B$8-Q2703,""))</f>
        <v/>
      </c>
      <c r="T2703" s="26">
        <f>IF(S2703="","","Sim")</f>
        <v/>
      </c>
      <c r="U2703" s="41">
        <f>IF(T2703="Sim",S2703+ROW()/100000,0)</f>
        <v>0</v>
      </c>
      <c r="V2703" s="41">
        <f>IF(AND(H2703="Falta",L2703=Config!$B$7,M2703=Config!$B$5,COUNTIFS($E$5:E2703,E2703,$H$5:H2703,"Falta",$L$5:L2703,Config!$B$7,$M$5:M2703,Config!$B$5)=1),COUNTIFS($E$5:$E$3004,E2703,$H$5:$H$3004,"Falta",$L$5:$L$3004,Config!$B$7,$M$5:$M$3004,Config!$B$5)*1000-ROW()/100000,0)</f>
        <v>0</v>
      </c>
    </row>
    <row r="2704">
      <c r="A2704" s="39" t="n"/>
      <c r="B2704" s="40" t="n"/>
      <c r="C2704" s="35" t="n"/>
      <c r="D2704" s="35" t="n"/>
      <c r="E2704" s="34" t="n"/>
      <c r="F2704" s="35" t="n"/>
      <c r="G2704" s="35" t="n"/>
      <c r="H2704" s="35" t="n"/>
      <c r="I2704" s="35" t="n"/>
      <c r="J2704" s="35" t="n"/>
      <c r="K2704" s="34" t="n"/>
      <c r="L2704" s="26">
        <f>IF(A2704="","",MONTH(A2704))</f>
        <v/>
      </c>
      <c r="M2704" s="26">
        <f>IF(A2704="","",YEAR(A2704))</f>
        <v/>
      </c>
      <c r="N2704" s="26">
        <f>IF(A2704="","",CHOOSE(WEEKDAY(A2704,2),"Segunda","Terça","Quarta","Quinta","Sexta","Sábado","Domingo"))</f>
        <v/>
      </c>
      <c r="O2704" s="26">
        <f>IF(B2704="","",IF(B2704&lt;TIME(12,0,0),"Manhã",IF(B2704&lt;TIME(18,0,0),"Tarde","Noite")))</f>
        <v/>
      </c>
      <c r="P2704" s="32">
        <f>IF(G2704="","",IFERROR(INDEX(Config!$I$5:$I$16,MATCH(G2704,Config!$H$5:$H$16,0)),0))</f>
        <v/>
      </c>
      <c r="Q2704" s="30">
        <f>IF(OR(H2704&lt;&gt;"Realizado",P2704="",P2704=0),"",A2704+P2704)</f>
        <v/>
      </c>
      <c r="R2704" s="26">
        <f>IF(Q2704="","",IF(COUNTIFS($E$5:$E$3004,E2704,$A$5:$A$3004,"&gt;"&amp;A2704,$H$5:$H$3004,"&lt;&gt;Falta",$H$5:$H$3004,"&lt;&gt;Cancelado",$H$5:$H$3004,"&lt;&gt;Remarcado")&gt;0,"Sim","Não"))</f>
        <v/>
      </c>
      <c r="S2704" s="32">
        <f>IF(R2704&lt;&gt;"Não","",IF(Q2704+Config!$B$9&lt;=Config!$B$8,Config!$B$8-Q2704,""))</f>
        <v/>
      </c>
      <c r="T2704" s="26">
        <f>IF(S2704="","","Sim")</f>
        <v/>
      </c>
      <c r="U2704" s="41">
        <f>IF(T2704="Sim",S2704+ROW()/100000,0)</f>
        <v>0</v>
      </c>
      <c r="V2704" s="41">
        <f>IF(AND(H2704="Falta",L2704=Config!$B$7,M2704=Config!$B$5,COUNTIFS($E$5:E2704,E2704,$H$5:H2704,"Falta",$L$5:L2704,Config!$B$7,$M$5:M2704,Config!$B$5)=1),COUNTIFS($E$5:$E$3004,E2704,$H$5:$H$3004,"Falta",$L$5:$L$3004,Config!$B$7,$M$5:$M$3004,Config!$B$5)*1000-ROW()/100000,0)</f>
        <v>0</v>
      </c>
    </row>
    <row r="2705">
      <c r="A2705" s="39" t="n"/>
      <c r="B2705" s="40" t="n"/>
      <c r="C2705" s="35" t="n"/>
      <c r="D2705" s="35" t="n"/>
      <c r="E2705" s="34" t="n"/>
      <c r="F2705" s="35" t="n"/>
      <c r="G2705" s="35" t="n"/>
      <c r="H2705" s="35" t="n"/>
      <c r="I2705" s="35" t="n"/>
      <c r="J2705" s="35" t="n"/>
      <c r="K2705" s="34" t="n"/>
      <c r="L2705" s="26">
        <f>IF(A2705="","",MONTH(A2705))</f>
        <v/>
      </c>
      <c r="M2705" s="26">
        <f>IF(A2705="","",YEAR(A2705))</f>
        <v/>
      </c>
      <c r="N2705" s="26">
        <f>IF(A2705="","",CHOOSE(WEEKDAY(A2705,2),"Segunda","Terça","Quarta","Quinta","Sexta","Sábado","Domingo"))</f>
        <v/>
      </c>
      <c r="O2705" s="26">
        <f>IF(B2705="","",IF(B2705&lt;TIME(12,0,0),"Manhã",IF(B2705&lt;TIME(18,0,0),"Tarde","Noite")))</f>
        <v/>
      </c>
      <c r="P2705" s="32">
        <f>IF(G2705="","",IFERROR(INDEX(Config!$I$5:$I$16,MATCH(G2705,Config!$H$5:$H$16,0)),0))</f>
        <v/>
      </c>
      <c r="Q2705" s="30">
        <f>IF(OR(H2705&lt;&gt;"Realizado",P2705="",P2705=0),"",A2705+P2705)</f>
        <v/>
      </c>
      <c r="R2705" s="26">
        <f>IF(Q2705="","",IF(COUNTIFS($E$5:$E$3004,E2705,$A$5:$A$3004,"&gt;"&amp;A2705,$H$5:$H$3004,"&lt;&gt;Falta",$H$5:$H$3004,"&lt;&gt;Cancelado",$H$5:$H$3004,"&lt;&gt;Remarcado")&gt;0,"Sim","Não"))</f>
        <v/>
      </c>
      <c r="S2705" s="32">
        <f>IF(R2705&lt;&gt;"Não","",IF(Q2705+Config!$B$9&lt;=Config!$B$8,Config!$B$8-Q2705,""))</f>
        <v/>
      </c>
      <c r="T2705" s="26">
        <f>IF(S2705="","","Sim")</f>
        <v/>
      </c>
      <c r="U2705" s="41">
        <f>IF(T2705="Sim",S2705+ROW()/100000,0)</f>
        <v>0</v>
      </c>
      <c r="V2705" s="41">
        <f>IF(AND(H2705="Falta",L2705=Config!$B$7,M2705=Config!$B$5,COUNTIFS($E$5:E2705,E2705,$H$5:H2705,"Falta",$L$5:L2705,Config!$B$7,$M$5:M2705,Config!$B$5)=1),COUNTIFS($E$5:$E$3004,E2705,$H$5:$H$3004,"Falta",$L$5:$L$3004,Config!$B$7,$M$5:$M$3004,Config!$B$5)*1000-ROW()/100000,0)</f>
        <v>0</v>
      </c>
    </row>
    <row r="2706">
      <c r="A2706" s="39" t="n"/>
      <c r="B2706" s="40" t="n"/>
      <c r="C2706" s="35" t="n"/>
      <c r="D2706" s="35" t="n"/>
      <c r="E2706" s="34" t="n"/>
      <c r="F2706" s="35" t="n"/>
      <c r="G2706" s="35" t="n"/>
      <c r="H2706" s="35" t="n"/>
      <c r="I2706" s="35" t="n"/>
      <c r="J2706" s="35" t="n"/>
      <c r="K2706" s="34" t="n"/>
      <c r="L2706" s="26">
        <f>IF(A2706="","",MONTH(A2706))</f>
        <v/>
      </c>
      <c r="M2706" s="26">
        <f>IF(A2706="","",YEAR(A2706))</f>
        <v/>
      </c>
      <c r="N2706" s="26">
        <f>IF(A2706="","",CHOOSE(WEEKDAY(A2706,2),"Segunda","Terça","Quarta","Quinta","Sexta","Sábado","Domingo"))</f>
        <v/>
      </c>
      <c r="O2706" s="26">
        <f>IF(B2706="","",IF(B2706&lt;TIME(12,0,0),"Manhã",IF(B2706&lt;TIME(18,0,0),"Tarde","Noite")))</f>
        <v/>
      </c>
      <c r="P2706" s="32">
        <f>IF(G2706="","",IFERROR(INDEX(Config!$I$5:$I$16,MATCH(G2706,Config!$H$5:$H$16,0)),0))</f>
        <v/>
      </c>
      <c r="Q2706" s="30">
        <f>IF(OR(H2706&lt;&gt;"Realizado",P2706="",P2706=0),"",A2706+P2706)</f>
        <v/>
      </c>
      <c r="R2706" s="26">
        <f>IF(Q2706="","",IF(COUNTIFS($E$5:$E$3004,E2706,$A$5:$A$3004,"&gt;"&amp;A2706,$H$5:$H$3004,"&lt;&gt;Falta",$H$5:$H$3004,"&lt;&gt;Cancelado",$H$5:$H$3004,"&lt;&gt;Remarcado")&gt;0,"Sim","Não"))</f>
        <v/>
      </c>
      <c r="S2706" s="32">
        <f>IF(R2706&lt;&gt;"Não","",IF(Q2706+Config!$B$9&lt;=Config!$B$8,Config!$B$8-Q2706,""))</f>
        <v/>
      </c>
      <c r="T2706" s="26">
        <f>IF(S2706="","","Sim")</f>
        <v/>
      </c>
      <c r="U2706" s="41">
        <f>IF(T2706="Sim",S2706+ROW()/100000,0)</f>
        <v>0</v>
      </c>
      <c r="V2706" s="41">
        <f>IF(AND(H2706="Falta",L2706=Config!$B$7,M2706=Config!$B$5,COUNTIFS($E$5:E2706,E2706,$H$5:H2706,"Falta",$L$5:L2706,Config!$B$7,$M$5:M2706,Config!$B$5)=1),COUNTIFS($E$5:$E$3004,E2706,$H$5:$H$3004,"Falta",$L$5:$L$3004,Config!$B$7,$M$5:$M$3004,Config!$B$5)*1000-ROW()/100000,0)</f>
        <v>0</v>
      </c>
    </row>
    <row r="2707">
      <c r="A2707" s="39" t="n"/>
      <c r="B2707" s="40" t="n"/>
      <c r="C2707" s="35" t="n"/>
      <c r="D2707" s="35" t="n"/>
      <c r="E2707" s="34" t="n"/>
      <c r="F2707" s="35" t="n"/>
      <c r="G2707" s="35" t="n"/>
      <c r="H2707" s="35" t="n"/>
      <c r="I2707" s="35" t="n"/>
      <c r="J2707" s="35" t="n"/>
      <c r="K2707" s="34" t="n"/>
      <c r="L2707" s="26">
        <f>IF(A2707="","",MONTH(A2707))</f>
        <v/>
      </c>
      <c r="M2707" s="26">
        <f>IF(A2707="","",YEAR(A2707))</f>
        <v/>
      </c>
      <c r="N2707" s="26">
        <f>IF(A2707="","",CHOOSE(WEEKDAY(A2707,2),"Segunda","Terça","Quarta","Quinta","Sexta","Sábado","Domingo"))</f>
        <v/>
      </c>
      <c r="O2707" s="26">
        <f>IF(B2707="","",IF(B2707&lt;TIME(12,0,0),"Manhã",IF(B2707&lt;TIME(18,0,0),"Tarde","Noite")))</f>
        <v/>
      </c>
      <c r="P2707" s="32">
        <f>IF(G2707="","",IFERROR(INDEX(Config!$I$5:$I$16,MATCH(G2707,Config!$H$5:$H$16,0)),0))</f>
        <v/>
      </c>
      <c r="Q2707" s="30">
        <f>IF(OR(H2707&lt;&gt;"Realizado",P2707="",P2707=0),"",A2707+P2707)</f>
        <v/>
      </c>
      <c r="R2707" s="26">
        <f>IF(Q2707="","",IF(COUNTIFS($E$5:$E$3004,E2707,$A$5:$A$3004,"&gt;"&amp;A2707,$H$5:$H$3004,"&lt;&gt;Falta",$H$5:$H$3004,"&lt;&gt;Cancelado",$H$5:$H$3004,"&lt;&gt;Remarcado")&gt;0,"Sim","Não"))</f>
        <v/>
      </c>
      <c r="S2707" s="32">
        <f>IF(R2707&lt;&gt;"Não","",IF(Q2707+Config!$B$9&lt;=Config!$B$8,Config!$B$8-Q2707,""))</f>
        <v/>
      </c>
      <c r="T2707" s="26">
        <f>IF(S2707="","","Sim")</f>
        <v/>
      </c>
      <c r="U2707" s="41">
        <f>IF(T2707="Sim",S2707+ROW()/100000,0)</f>
        <v>0</v>
      </c>
      <c r="V2707" s="41">
        <f>IF(AND(H2707="Falta",L2707=Config!$B$7,M2707=Config!$B$5,COUNTIFS($E$5:E2707,E2707,$H$5:H2707,"Falta",$L$5:L2707,Config!$B$7,$M$5:M2707,Config!$B$5)=1),COUNTIFS($E$5:$E$3004,E2707,$H$5:$H$3004,"Falta",$L$5:$L$3004,Config!$B$7,$M$5:$M$3004,Config!$B$5)*1000-ROW()/100000,0)</f>
        <v>0</v>
      </c>
    </row>
    <row r="2708">
      <c r="A2708" s="39" t="n"/>
      <c r="B2708" s="40" t="n"/>
      <c r="C2708" s="35" t="n"/>
      <c r="D2708" s="35" t="n"/>
      <c r="E2708" s="34" t="n"/>
      <c r="F2708" s="35" t="n"/>
      <c r="G2708" s="35" t="n"/>
      <c r="H2708" s="35" t="n"/>
      <c r="I2708" s="35" t="n"/>
      <c r="J2708" s="35" t="n"/>
      <c r="K2708" s="34" t="n"/>
      <c r="L2708" s="26">
        <f>IF(A2708="","",MONTH(A2708))</f>
        <v/>
      </c>
      <c r="M2708" s="26">
        <f>IF(A2708="","",YEAR(A2708))</f>
        <v/>
      </c>
      <c r="N2708" s="26">
        <f>IF(A2708="","",CHOOSE(WEEKDAY(A2708,2),"Segunda","Terça","Quarta","Quinta","Sexta","Sábado","Domingo"))</f>
        <v/>
      </c>
      <c r="O2708" s="26">
        <f>IF(B2708="","",IF(B2708&lt;TIME(12,0,0),"Manhã",IF(B2708&lt;TIME(18,0,0),"Tarde","Noite")))</f>
        <v/>
      </c>
      <c r="P2708" s="32">
        <f>IF(G2708="","",IFERROR(INDEX(Config!$I$5:$I$16,MATCH(G2708,Config!$H$5:$H$16,0)),0))</f>
        <v/>
      </c>
      <c r="Q2708" s="30">
        <f>IF(OR(H2708&lt;&gt;"Realizado",P2708="",P2708=0),"",A2708+P2708)</f>
        <v/>
      </c>
      <c r="R2708" s="26">
        <f>IF(Q2708="","",IF(COUNTIFS($E$5:$E$3004,E2708,$A$5:$A$3004,"&gt;"&amp;A2708,$H$5:$H$3004,"&lt;&gt;Falta",$H$5:$H$3004,"&lt;&gt;Cancelado",$H$5:$H$3004,"&lt;&gt;Remarcado")&gt;0,"Sim","Não"))</f>
        <v/>
      </c>
      <c r="S2708" s="32">
        <f>IF(R2708&lt;&gt;"Não","",IF(Q2708+Config!$B$9&lt;=Config!$B$8,Config!$B$8-Q2708,""))</f>
        <v/>
      </c>
      <c r="T2708" s="26">
        <f>IF(S2708="","","Sim")</f>
        <v/>
      </c>
      <c r="U2708" s="41">
        <f>IF(T2708="Sim",S2708+ROW()/100000,0)</f>
        <v>0</v>
      </c>
      <c r="V2708" s="41">
        <f>IF(AND(H2708="Falta",L2708=Config!$B$7,M2708=Config!$B$5,COUNTIFS($E$5:E2708,E2708,$H$5:H2708,"Falta",$L$5:L2708,Config!$B$7,$M$5:M2708,Config!$B$5)=1),COUNTIFS($E$5:$E$3004,E2708,$H$5:$H$3004,"Falta",$L$5:$L$3004,Config!$B$7,$M$5:$M$3004,Config!$B$5)*1000-ROW()/100000,0)</f>
        <v>0</v>
      </c>
    </row>
    <row r="2709">
      <c r="A2709" s="39" t="n"/>
      <c r="B2709" s="40" t="n"/>
      <c r="C2709" s="35" t="n"/>
      <c r="D2709" s="35" t="n"/>
      <c r="E2709" s="34" t="n"/>
      <c r="F2709" s="35" t="n"/>
      <c r="G2709" s="35" t="n"/>
      <c r="H2709" s="35" t="n"/>
      <c r="I2709" s="35" t="n"/>
      <c r="J2709" s="35" t="n"/>
      <c r="K2709" s="34" t="n"/>
      <c r="L2709" s="26">
        <f>IF(A2709="","",MONTH(A2709))</f>
        <v/>
      </c>
      <c r="M2709" s="26">
        <f>IF(A2709="","",YEAR(A2709))</f>
        <v/>
      </c>
      <c r="N2709" s="26">
        <f>IF(A2709="","",CHOOSE(WEEKDAY(A2709,2),"Segunda","Terça","Quarta","Quinta","Sexta","Sábado","Domingo"))</f>
        <v/>
      </c>
      <c r="O2709" s="26">
        <f>IF(B2709="","",IF(B2709&lt;TIME(12,0,0),"Manhã",IF(B2709&lt;TIME(18,0,0),"Tarde","Noite")))</f>
        <v/>
      </c>
      <c r="P2709" s="32">
        <f>IF(G2709="","",IFERROR(INDEX(Config!$I$5:$I$16,MATCH(G2709,Config!$H$5:$H$16,0)),0))</f>
        <v/>
      </c>
      <c r="Q2709" s="30">
        <f>IF(OR(H2709&lt;&gt;"Realizado",P2709="",P2709=0),"",A2709+P2709)</f>
        <v/>
      </c>
      <c r="R2709" s="26">
        <f>IF(Q2709="","",IF(COUNTIFS($E$5:$E$3004,E2709,$A$5:$A$3004,"&gt;"&amp;A2709,$H$5:$H$3004,"&lt;&gt;Falta",$H$5:$H$3004,"&lt;&gt;Cancelado",$H$5:$H$3004,"&lt;&gt;Remarcado")&gt;0,"Sim","Não"))</f>
        <v/>
      </c>
      <c r="S2709" s="32">
        <f>IF(R2709&lt;&gt;"Não","",IF(Q2709+Config!$B$9&lt;=Config!$B$8,Config!$B$8-Q2709,""))</f>
        <v/>
      </c>
      <c r="T2709" s="26">
        <f>IF(S2709="","","Sim")</f>
        <v/>
      </c>
      <c r="U2709" s="41">
        <f>IF(T2709="Sim",S2709+ROW()/100000,0)</f>
        <v>0</v>
      </c>
      <c r="V2709" s="41">
        <f>IF(AND(H2709="Falta",L2709=Config!$B$7,M2709=Config!$B$5,COUNTIFS($E$5:E2709,E2709,$H$5:H2709,"Falta",$L$5:L2709,Config!$B$7,$M$5:M2709,Config!$B$5)=1),COUNTIFS($E$5:$E$3004,E2709,$H$5:$H$3004,"Falta",$L$5:$L$3004,Config!$B$7,$M$5:$M$3004,Config!$B$5)*1000-ROW()/100000,0)</f>
        <v>0</v>
      </c>
    </row>
    <row r="2710">
      <c r="A2710" s="39" t="n"/>
      <c r="B2710" s="40" t="n"/>
      <c r="C2710" s="35" t="n"/>
      <c r="D2710" s="35" t="n"/>
      <c r="E2710" s="34" t="n"/>
      <c r="F2710" s="35" t="n"/>
      <c r="G2710" s="35" t="n"/>
      <c r="H2710" s="35" t="n"/>
      <c r="I2710" s="35" t="n"/>
      <c r="J2710" s="35" t="n"/>
      <c r="K2710" s="34" t="n"/>
      <c r="L2710" s="26">
        <f>IF(A2710="","",MONTH(A2710))</f>
        <v/>
      </c>
      <c r="M2710" s="26">
        <f>IF(A2710="","",YEAR(A2710))</f>
        <v/>
      </c>
      <c r="N2710" s="26">
        <f>IF(A2710="","",CHOOSE(WEEKDAY(A2710,2),"Segunda","Terça","Quarta","Quinta","Sexta","Sábado","Domingo"))</f>
        <v/>
      </c>
      <c r="O2710" s="26">
        <f>IF(B2710="","",IF(B2710&lt;TIME(12,0,0),"Manhã",IF(B2710&lt;TIME(18,0,0),"Tarde","Noite")))</f>
        <v/>
      </c>
      <c r="P2710" s="32">
        <f>IF(G2710="","",IFERROR(INDEX(Config!$I$5:$I$16,MATCH(G2710,Config!$H$5:$H$16,0)),0))</f>
        <v/>
      </c>
      <c r="Q2710" s="30">
        <f>IF(OR(H2710&lt;&gt;"Realizado",P2710="",P2710=0),"",A2710+P2710)</f>
        <v/>
      </c>
      <c r="R2710" s="26">
        <f>IF(Q2710="","",IF(COUNTIFS($E$5:$E$3004,E2710,$A$5:$A$3004,"&gt;"&amp;A2710,$H$5:$H$3004,"&lt;&gt;Falta",$H$5:$H$3004,"&lt;&gt;Cancelado",$H$5:$H$3004,"&lt;&gt;Remarcado")&gt;0,"Sim","Não"))</f>
        <v/>
      </c>
      <c r="S2710" s="32">
        <f>IF(R2710&lt;&gt;"Não","",IF(Q2710+Config!$B$9&lt;=Config!$B$8,Config!$B$8-Q2710,""))</f>
        <v/>
      </c>
      <c r="T2710" s="26">
        <f>IF(S2710="","","Sim")</f>
        <v/>
      </c>
      <c r="U2710" s="41">
        <f>IF(T2710="Sim",S2710+ROW()/100000,0)</f>
        <v>0</v>
      </c>
      <c r="V2710" s="41">
        <f>IF(AND(H2710="Falta",L2710=Config!$B$7,M2710=Config!$B$5,COUNTIFS($E$5:E2710,E2710,$H$5:H2710,"Falta",$L$5:L2710,Config!$B$7,$M$5:M2710,Config!$B$5)=1),COUNTIFS($E$5:$E$3004,E2710,$H$5:$H$3004,"Falta",$L$5:$L$3004,Config!$B$7,$M$5:$M$3004,Config!$B$5)*1000-ROW()/100000,0)</f>
        <v>0</v>
      </c>
    </row>
    <row r="2711">
      <c r="A2711" s="39" t="n"/>
      <c r="B2711" s="40" t="n"/>
      <c r="C2711" s="35" t="n"/>
      <c r="D2711" s="35" t="n"/>
      <c r="E2711" s="34" t="n"/>
      <c r="F2711" s="35" t="n"/>
      <c r="G2711" s="35" t="n"/>
      <c r="H2711" s="35" t="n"/>
      <c r="I2711" s="35" t="n"/>
      <c r="J2711" s="35" t="n"/>
      <c r="K2711" s="34" t="n"/>
      <c r="L2711" s="26">
        <f>IF(A2711="","",MONTH(A2711))</f>
        <v/>
      </c>
      <c r="M2711" s="26">
        <f>IF(A2711="","",YEAR(A2711))</f>
        <v/>
      </c>
      <c r="N2711" s="26">
        <f>IF(A2711="","",CHOOSE(WEEKDAY(A2711,2),"Segunda","Terça","Quarta","Quinta","Sexta","Sábado","Domingo"))</f>
        <v/>
      </c>
      <c r="O2711" s="26">
        <f>IF(B2711="","",IF(B2711&lt;TIME(12,0,0),"Manhã",IF(B2711&lt;TIME(18,0,0),"Tarde","Noite")))</f>
        <v/>
      </c>
      <c r="P2711" s="32">
        <f>IF(G2711="","",IFERROR(INDEX(Config!$I$5:$I$16,MATCH(G2711,Config!$H$5:$H$16,0)),0))</f>
        <v/>
      </c>
      <c r="Q2711" s="30">
        <f>IF(OR(H2711&lt;&gt;"Realizado",P2711="",P2711=0),"",A2711+P2711)</f>
        <v/>
      </c>
      <c r="R2711" s="26">
        <f>IF(Q2711="","",IF(COUNTIFS($E$5:$E$3004,E2711,$A$5:$A$3004,"&gt;"&amp;A2711,$H$5:$H$3004,"&lt;&gt;Falta",$H$5:$H$3004,"&lt;&gt;Cancelado",$H$5:$H$3004,"&lt;&gt;Remarcado")&gt;0,"Sim","Não"))</f>
        <v/>
      </c>
      <c r="S2711" s="32">
        <f>IF(R2711&lt;&gt;"Não","",IF(Q2711+Config!$B$9&lt;=Config!$B$8,Config!$B$8-Q2711,""))</f>
        <v/>
      </c>
      <c r="T2711" s="26">
        <f>IF(S2711="","","Sim")</f>
        <v/>
      </c>
      <c r="U2711" s="41">
        <f>IF(T2711="Sim",S2711+ROW()/100000,0)</f>
        <v>0</v>
      </c>
      <c r="V2711" s="41">
        <f>IF(AND(H2711="Falta",L2711=Config!$B$7,M2711=Config!$B$5,COUNTIFS($E$5:E2711,E2711,$H$5:H2711,"Falta",$L$5:L2711,Config!$B$7,$M$5:M2711,Config!$B$5)=1),COUNTIFS($E$5:$E$3004,E2711,$H$5:$H$3004,"Falta",$L$5:$L$3004,Config!$B$7,$M$5:$M$3004,Config!$B$5)*1000-ROW()/100000,0)</f>
        <v>0</v>
      </c>
    </row>
    <row r="2712">
      <c r="A2712" s="39" t="n"/>
      <c r="B2712" s="40" t="n"/>
      <c r="C2712" s="35" t="n"/>
      <c r="D2712" s="35" t="n"/>
      <c r="E2712" s="34" t="n"/>
      <c r="F2712" s="35" t="n"/>
      <c r="G2712" s="35" t="n"/>
      <c r="H2712" s="35" t="n"/>
      <c r="I2712" s="35" t="n"/>
      <c r="J2712" s="35" t="n"/>
      <c r="K2712" s="34" t="n"/>
      <c r="L2712" s="26">
        <f>IF(A2712="","",MONTH(A2712))</f>
        <v/>
      </c>
      <c r="M2712" s="26">
        <f>IF(A2712="","",YEAR(A2712))</f>
        <v/>
      </c>
      <c r="N2712" s="26">
        <f>IF(A2712="","",CHOOSE(WEEKDAY(A2712,2),"Segunda","Terça","Quarta","Quinta","Sexta","Sábado","Domingo"))</f>
        <v/>
      </c>
      <c r="O2712" s="26">
        <f>IF(B2712="","",IF(B2712&lt;TIME(12,0,0),"Manhã",IF(B2712&lt;TIME(18,0,0),"Tarde","Noite")))</f>
        <v/>
      </c>
      <c r="P2712" s="32">
        <f>IF(G2712="","",IFERROR(INDEX(Config!$I$5:$I$16,MATCH(G2712,Config!$H$5:$H$16,0)),0))</f>
        <v/>
      </c>
      <c r="Q2712" s="30">
        <f>IF(OR(H2712&lt;&gt;"Realizado",P2712="",P2712=0),"",A2712+P2712)</f>
        <v/>
      </c>
      <c r="R2712" s="26">
        <f>IF(Q2712="","",IF(COUNTIFS($E$5:$E$3004,E2712,$A$5:$A$3004,"&gt;"&amp;A2712,$H$5:$H$3004,"&lt;&gt;Falta",$H$5:$H$3004,"&lt;&gt;Cancelado",$H$5:$H$3004,"&lt;&gt;Remarcado")&gt;0,"Sim","Não"))</f>
        <v/>
      </c>
      <c r="S2712" s="32">
        <f>IF(R2712&lt;&gt;"Não","",IF(Q2712+Config!$B$9&lt;=Config!$B$8,Config!$B$8-Q2712,""))</f>
        <v/>
      </c>
      <c r="T2712" s="26">
        <f>IF(S2712="","","Sim")</f>
        <v/>
      </c>
      <c r="U2712" s="41">
        <f>IF(T2712="Sim",S2712+ROW()/100000,0)</f>
        <v>0</v>
      </c>
      <c r="V2712" s="41">
        <f>IF(AND(H2712="Falta",L2712=Config!$B$7,M2712=Config!$B$5,COUNTIFS($E$5:E2712,E2712,$H$5:H2712,"Falta",$L$5:L2712,Config!$B$7,$M$5:M2712,Config!$B$5)=1),COUNTIFS($E$5:$E$3004,E2712,$H$5:$H$3004,"Falta",$L$5:$L$3004,Config!$B$7,$M$5:$M$3004,Config!$B$5)*1000-ROW()/100000,0)</f>
        <v>0</v>
      </c>
    </row>
    <row r="2713">
      <c r="A2713" s="39" t="n"/>
      <c r="B2713" s="40" t="n"/>
      <c r="C2713" s="35" t="n"/>
      <c r="D2713" s="35" t="n"/>
      <c r="E2713" s="34" t="n"/>
      <c r="F2713" s="35" t="n"/>
      <c r="G2713" s="35" t="n"/>
      <c r="H2713" s="35" t="n"/>
      <c r="I2713" s="35" t="n"/>
      <c r="J2713" s="35" t="n"/>
      <c r="K2713" s="34" t="n"/>
      <c r="L2713" s="26">
        <f>IF(A2713="","",MONTH(A2713))</f>
        <v/>
      </c>
      <c r="M2713" s="26">
        <f>IF(A2713="","",YEAR(A2713))</f>
        <v/>
      </c>
      <c r="N2713" s="26">
        <f>IF(A2713="","",CHOOSE(WEEKDAY(A2713,2),"Segunda","Terça","Quarta","Quinta","Sexta","Sábado","Domingo"))</f>
        <v/>
      </c>
      <c r="O2713" s="26">
        <f>IF(B2713="","",IF(B2713&lt;TIME(12,0,0),"Manhã",IF(B2713&lt;TIME(18,0,0),"Tarde","Noite")))</f>
        <v/>
      </c>
      <c r="P2713" s="32">
        <f>IF(G2713="","",IFERROR(INDEX(Config!$I$5:$I$16,MATCH(G2713,Config!$H$5:$H$16,0)),0))</f>
        <v/>
      </c>
      <c r="Q2713" s="30">
        <f>IF(OR(H2713&lt;&gt;"Realizado",P2713="",P2713=0),"",A2713+P2713)</f>
        <v/>
      </c>
      <c r="R2713" s="26">
        <f>IF(Q2713="","",IF(COUNTIFS($E$5:$E$3004,E2713,$A$5:$A$3004,"&gt;"&amp;A2713,$H$5:$H$3004,"&lt;&gt;Falta",$H$5:$H$3004,"&lt;&gt;Cancelado",$H$5:$H$3004,"&lt;&gt;Remarcado")&gt;0,"Sim","Não"))</f>
        <v/>
      </c>
      <c r="S2713" s="32">
        <f>IF(R2713&lt;&gt;"Não","",IF(Q2713+Config!$B$9&lt;=Config!$B$8,Config!$B$8-Q2713,""))</f>
        <v/>
      </c>
      <c r="T2713" s="26">
        <f>IF(S2713="","","Sim")</f>
        <v/>
      </c>
      <c r="U2713" s="41">
        <f>IF(T2713="Sim",S2713+ROW()/100000,0)</f>
        <v>0</v>
      </c>
      <c r="V2713" s="41">
        <f>IF(AND(H2713="Falta",L2713=Config!$B$7,M2713=Config!$B$5,COUNTIFS($E$5:E2713,E2713,$H$5:H2713,"Falta",$L$5:L2713,Config!$B$7,$M$5:M2713,Config!$B$5)=1),COUNTIFS($E$5:$E$3004,E2713,$H$5:$H$3004,"Falta",$L$5:$L$3004,Config!$B$7,$M$5:$M$3004,Config!$B$5)*1000-ROW()/100000,0)</f>
        <v>0</v>
      </c>
    </row>
    <row r="2714">
      <c r="A2714" s="39" t="n"/>
      <c r="B2714" s="40" t="n"/>
      <c r="C2714" s="35" t="n"/>
      <c r="D2714" s="35" t="n"/>
      <c r="E2714" s="34" t="n"/>
      <c r="F2714" s="35" t="n"/>
      <c r="G2714" s="35" t="n"/>
      <c r="H2714" s="35" t="n"/>
      <c r="I2714" s="35" t="n"/>
      <c r="J2714" s="35" t="n"/>
      <c r="K2714" s="34" t="n"/>
      <c r="L2714" s="26">
        <f>IF(A2714="","",MONTH(A2714))</f>
        <v/>
      </c>
      <c r="M2714" s="26">
        <f>IF(A2714="","",YEAR(A2714))</f>
        <v/>
      </c>
      <c r="N2714" s="26">
        <f>IF(A2714="","",CHOOSE(WEEKDAY(A2714,2),"Segunda","Terça","Quarta","Quinta","Sexta","Sábado","Domingo"))</f>
        <v/>
      </c>
      <c r="O2714" s="26">
        <f>IF(B2714="","",IF(B2714&lt;TIME(12,0,0),"Manhã",IF(B2714&lt;TIME(18,0,0),"Tarde","Noite")))</f>
        <v/>
      </c>
      <c r="P2714" s="32">
        <f>IF(G2714="","",IFERROR(INDEX(Config!$I$5:$I$16,MATCH(G2714,Config!$H$5:$H$16,0)),0))</f>
        <v/>
      </c>
      <c r="Q2714" s="30">
        <f>IF(OR(H2714&lt;&gt;"Realizado",P2714="",P2714=0),"",A2714+P2714)</f>
        <v/>
      </c>
      <c r="R2714" s="26">
        <f>IF(Q2714="","",IF(COUNTIFS($E$5:$E$3004,E2714,$A$5:$A$3004,"&gt;"&amp;A2714,$H$5:$H$3004,"&lt;&gt;Falta",$H$5:$H$3004,"&lt;&gt;Cancelado",$H$5:$H$3004,"&lt;&gt;Remarcado")&gt;0,"Sim","Não"))</f>
        <v/>
      </c>
      <c r="S2714" s="32">
        <f>IF(R2714&lt;&gt;"Não","",IF(Q2714+Config!$B$9&lt;=Config!$B$8,Config!$B$8-Q2714,""))</f>
        <v/>
      </c>
      <c r="T2714" s="26">
        <f>IF(S2714="","","Sim")</f>
        <v/>
      </c>
      <c r="U2714" s="41">
        <f>IF(T2714="Sim",S2714+ROW()/100000,0)</f>
        <v>0</v>
      </c>
      <c r="V2714" s="41">
        <f>IF(AND(H2714="Falta",L2714=Config!$B$7,M2714=Config!$B$5,COUNTIFS($E$5:E2714,E2714,$H$5:H2714,"Falta",$L$5:L2714,Config!$B$7,$M$5:M2714,Config!$B$5)=1),COUNTIFS($E$5:$E$3004,E2714,$H$5:$H$3004,"Falta",$L$5:$L$3004,Config!$B$7,$M$5:$M$3004,Config!$B$5)*1000-ROW()/100000,0)</f>
        <v>0</v>
      </c>
    </row>
    <row r="2715">
      <c r="A2715" s="39" t="n"/>
      <c r="B2715" s="40" t="n"/>
      <c r="C2715" s="35" t="n"/>
      <c r="D2715" s="35" t="n"/>
      <c r="E2715" s="34" t="n"/>
      <c r="F2715" s="35" t="n"/>
      <c r="G2715" s="35" t="n"/>
      <c r="H2715" s="35" t="n"/>
      <c r="I2715" s="35" t="n"/>
      <c r="J2715" s="35" t="n"/>
      <c r="K2715" s="34" t="n"/>
      <c r="L2715" s="26">
        <f>IF(A2715="","",MONTH(A2715))</f>
        <v/>
      </c>
      <c r="M2715" s="26">
        <f>IF(A2715="","",YEAR(A2715))</f>
        <v/>
      </c>
      <c r="N2715" s="26">
        <f>IF(A2715="","",CHOOSE(WEEKDAY(A2715,2),"Segunda","Terça","Quarta","Quinta","Sexta","Sábado","Domingo"))</f>
        <v/>
      </c>
      <c r="O2715" s="26">
        <f>IF(B2715="","",IF(B2715&lt;TIME(12,0,0),"Manhã",IF(B2715&lt;TIME(18,0,0),"Tarde","Noite")))</f>
        <v/>
      </c>
      <c r="P2715" s="32">
        <f>IF(G2715="","",IFERROR(INDEX(Config!$I$5:$I$16,MATCH(G2715,Config!$H$5:$H$16,0)),0))</f>
        <v/>
      </c>
      <c r="Q2715" s="30">
        <f>IF(OR(H2715&lt;&gt;"Realizado",P2715="",P2715=0),"",A2715+P2715)</f>
        <v/>
      </c>
      <c r="R2715" s="26">
        <f>IF(Q2715="","",IF(COUNTIFS($E$5:$E$3004,E2715,$A$5:$A$3004,"&gt;"&amp;A2715,$H$5:$H$3004,"&lt;&gt;Falta",$H$5:$H$3004,"&lt;&gt;Cancelado",$H$5:$H$3004,"&lt;&gt;Remarcado")&gt;0,"Sim","Não"))</f>
        <v/>
      </c>
      <c r="S2715" s="32">
        <f>IF(R2715&lt;&gt;"Não","",IF(Q2715+Config!$B$9&lt;=Config!$B$8,Config!$B$8-Q2715,""))</f>
        <v/>
      </c>
      <c r="T2715" s="26">
        <f>IF(S2715="","","Sim")</f>
        <v/>
      </c>
      <c r="U2715" s="41">
        <f>IF(T2715="Sim",S2715+ROW()/100000,0)</f>
        <v>0</v>
      </c>
      <c r="V2715" s="41">
        <f>IF(AND(H2715="Falta",L2715=Config!$B$7,M2715=Config!$B$5,COUNTIFS($E$5:E2715,E2715,$H$5:H2715,"Falta",$L$5:L2715,Config!$B$7,$M$5:M2715,Config!$B$5)=1),COUNTIFS($E$5:$E$3004,E2715,$H$5:$H$3004,"Falta",$L$5:$L$3004,Config!$B$7,$M$5:$M$3004,Config!$B$5)*1000-ROW()/100000,0)</f>
        <v>0</v>
      </c>
    </row>
    <row r="2716">
      <c r="A2716" s="39" t="n"/>
      <c r="B2716" s="40" t="n"/>
      <c r="C2716" s="35" t="n"/>
      <c r="D2716" s="35" t="n"/>
      <c r="E2716" s="34" t="n"/>
      <c r="F2716" s="35" t="n"/>
      <c r="G2716" s="35" t="n"/>
      <c r="H2716" s="35" t="n"/>
      <c r="I2716" s="35" t="n"/>
      <c r="J2716" s="35" t="n"/>
      <c r="K2716" s="34" t="n"/>
      <c r="L2716" s="26">
        <f>IF(A2716="","",MONTH(A2716))</f>
        <v/>
      </c>
      <c r="M2716" s="26">
        <f>IF(A2716="","",YEAR(A2716))</f>
        <v/>
      </c>
      <c r="N2716" s="26">
        <f>IF(A2716="","",CHOOSE(WEEKDAY(A2716,2),"Segunda","Terça","Quarta","Quinta","Sexta","Sábado","Domingo"))</f>
        <v/>
      </c>
      <c r="O2716" s="26">
        <f>IF(B2716="","",IF(B2716&lt;TIME(12,0,0),"Manhã",IF(B2716&lt;TIME(18,0,0),"Tarde","Noite")))</f>
        <v/>
      </c>
      <c r="P2716" s="32">
        <f>IF(G2716="","",IFERROR(INDEX(Config!$I$5:$I$16,MATCH(G2716,Config!$H$5:$H$16,0)),0))</f>
        <v/>
      </c>
      <c r="Q2716" s="30">
        <f>IF(OR(H2716&lt;&gt;"Realizado",P2716="",P2716=0),"",A2716+P2716)</f>
        <v/>
      </c>
      <c r="R2716" s="26">
        <f>IF(Q2716="","",IF(COUNTIFS($E$5:$E$3004,E2716,$A$5:$A$3004,"&gt;"&amp;A2716,$H$5:$H$3004,"&lt;&gt;Falta",$H$5:$H$3004,"&lt;&gt;Cancelado",$H$5:$H$3004,"&lt;&gt;Remarcado")&gt;0,"Sim","Não"))</f>
        <v/>
      </c>
      <c r="S2716" s="32">
        <f>IF(R2716&lt;&gt;"Não","",IF(Q2716+Config!$B$9&lt;=Config!$B$8,Config!$B$8-Q2716,""))</f>
        <v/>
      </c>
      <c r="T2716" s="26">
        <f>IF(S2716="","","Sim")</f>
        <v/>
      </c>
      <c r="U2716" s="41">
        <f>IF(T2716="Sim",S2716+ROW()/100000,0)</f>
        <v>0</v>
      </c>
      <c r="V2716" s="41">
        <f>IF(AND(H2716="Falta",L2716=Config!$B$7,M2716=Config!$B$5,COUNTIFS($E$5:E2716,E2716,$H$5:H2716,"Falta",$L$5:L2716,Config!$B$7,$M$5:M2716,Config!$B$5)=1),COUNTIFS($E$5:$E$3004,E2716,$H$5:$H$3004,"Falta",$L$5:$L$3004,Config!$B$7,$M$5:$M$3004,Config!$B$5)*1000-ROW()/100000,0)</f>
        <v>0</v>
      </c>
    </row>
    <row r="2717">
      <c r="A2717" s="39" t="n"/>
      <c r="B2717" s="40" t="n"/>
      <c r="C2717" s="35" t="n"/>
      <c r="D2717" s="35" t="n"/>
      <c r="E2717" s="34" t="n"/>
      <c r="F2717" s="35" t="n"/>
      <c r="G2717" s="35" t="n"/>
      <c r="H2717" s="35" t="n"/>
      <c r="I2717" s="35" t="n"/>
      <c r="J2717" s="35" t="n"/>
      <c r="K2717" s="34" t="n"/>
      <c r="L2717" s="26">
        <f>IF(A2717="","",MONTH(A2717))</f>
        <v/>
      </c>
      <c r="M2717" s="26">
        <f>IF(A2717="","",YEAR(A2717))</f>
        <v/>
      </c>
      <c r="N2717" s="26">
        <f>IF(A2717="","",CHOOSE(WEEKDAY(A2717,2),"Segunda","Terça","Quarta","Quinta","Sexta","Sábado","Domingo"))</f>
        <v/>
      </c>
      <c r="O2717" s="26">
        <f>IF(B2717="","",IF(B2717&lt;TIME(12,0,0),"Manhã",IF(B2717&lt;TIME(18,0,0),"Tarde","Noite")))</f>
        <v/>
      </c>
      <c r="P2717" s="32">
        <f>IF(G2717="","",IFERROR(INDEX(Config!$I$5:$I$16,MATCH(G2717,Config!$H$5:$H$16,0)),0))</f>
        <v/>
      </c>
      <c r="Q2717" s="30">
        <f>IF(OR(H2717&lt;&gt;"Realizado",P2717="",P2717=0),"",A2717+P2717)</f>
        <v/>
      </c>
      <c r="R2717" s="26">
        <f>IF(Q2717="","",IF(COUNTIFS($E$5:$E$3004,E2717,$A$5:$A$3004,"&gt;"&amp;A2717,$H$5:$H$3004,"&lt;&gt;Falta",$H$5:$H$3004,"&lt;&gt;Cancelado",$H$5:$H$3004,"&lt;&gt;Remarcado")&gt;0,"Sim","Não"))</f>
        <v/>
      </c>
      <c r="S2717" s="32">
        <f>IF(R2717&lt;&gt;"Não","",IF(Q2717+Config!$B$9&lt;=Config!$B$8,Config!$B$8-Q2717,""))</f>
        <v/>
      </c>
      <c r="T2717" s="26">
        <f>IF(S2717="","","Sim")</f>
        <v/>
      </c>
      <c r="U2717" s="41">
        <f>IF(T2717="Sim",S2717+ROW()/100000,0)</f>
        <v>0</v>
      </c>
      <c r="V2717" s="41">
        <f>IF(AND(H2717="Falta",L2717=Config!$B$7,M2717=Config!$B$5,COUNTIFS($E$5:E2717,E2717,$H$5:H2717,"Falta",$L$5:L2717,Config!$B$7,$M$5:M2717,Config!$B$5)=1),COUNTIFS($E$5:$E$3004,E2717,$H$5:$H$3004,"Falta",$L$5:$L$3004,Config!$B$7,$M$5:$M$3004,Config!$B$5)*1000-ROW()/100000,0)</f>
        <v>0</v>
      </c>
    </row>
    <row r="2718">
      <c r="A2718" s="39" t="n"/>
      <c r="B2718" s="40" t="n"/>
      <c r="C2718" s="35" t="n"/>
      <c r="D2718" s="35" t="n"/>
      <c r="E2718" s="34" t="n"/>
      <c r="F2718" s="35" t="n"/>
      <c r="G2718" s="35" t="n"/>
      <c r="H2718" s="35" t="n"/>
      <c r="I2718" s="35" t="n"/>
      <c r="J2718" s="35" t="n"/>
      <c r="K2718" s="34" t="n"/>
      <c r="L2718" s="26">
        <f>IF(A2718="","",MONTH(A2718))</f>
        <v/>
      </c>
      <c r="M2718" s="26">
        <f>IF(A2718="","",YEAR(A2718))</f>
        <v/>
      </c>
      <c r="N2718" s="26">
        <f>IF(A2718="","",CHOOSE(WEEKDAY(A2718,2),"Segunda","Terça","Quarta","Quinta","Sexta","Sábado","Domingo"))</f>
        <v/>
      </c>
      <c r="O2718" s="26">
        <f>IF(B2718="","",IF(B2718&lt;TIME(12,0,0),"Manhã",IF(B2718&lt;TIME(18,0,0),"Tarde","Noite")))</f>
        <v/>
      </c>
      <c r="P2718" s="32">
        <f>IF(G2718="","",IFERROR(INDEX(Config!$I$5:$I$16,MATCH(G2718,Config!$H$5:$H$16,0)),0))</f>
        <v/>
      </c>
      <c r="Q2718" s="30">
        <f>IF(OR(H2718&lt;&gt;"Realizado",P2718="",P2718=0),"",A2718+P2718)</f>
        <v/>
      </c>
      <c r="R2718" s="26">
        <f>IF(Q2718="","",IF(COUNTIFS($E$5:$E$3004,E2718,$A$5:$A$3004,"&gt;"&amp;A2718,$H$5:$H$3004,"&lt;&gt;Falta",$H$5:$H$3004,"&lt;&gt;Cancelado",$H$5:$H$3004,"&lt;&gt;Remarcado")&gt;0,"Sim","Não"))</f>
        <v/>
      </c>
      <c r="S2718" s="32">
        <f>IF(R2718&lt;&gt;"Não","",IF(Q2718+Config!$B$9&lt;=Config!$B$8,Config!$B$8-Q2718,""))</f>
        <v/>
      </c>
      <c r="T2718" s="26">
        <f>IF(S2718="","","Sim")</f>
        <v/>
      </c>
      <c r="U2718" s="41">
        <f>IF(T2718="Sim",S2718+ROW()/100000,0)</f>
        <v>0</v>
      </c>
      <c r="V2718" s="41">
        <f>IF(AND(H2718="Falta",L2718=Config!$B$7,M2718=Config!$B$5,COUNTIFS($E$5:E2718,E2718,$H$5:H2718,"Falta",$L$5:L2718,Config!$B$7,$M$5:M2718,Config!$B$5)=1),COUNTIFS($E$5:$E$3004,E2718,$H$5:$H$3004,"Falta",$L$5:$L$3004,Config!$B$7,$M$5:$M$3004,Config!$B$5)*1000-ROW()/100000,0)</f>
        <v>0</v>
      </c>
    </row>
    <row r="2719">
      <c r="A2719" s="39" t="n"/>
      <c r="B2719" s="40" t="n"/>
      <c r="C2719" s="35" t="n"/>
      <c r="D2719" s="35" t="n"/>
      <c r="E2719" s="34" t="n"/>
      <c r="F2719" s="35" t="n"/>
      <c r="G2719" s="35" t="n"/>
      <c r="H2719" s="35" t="n"/>
      <c r="I2719" s="35" t="n"/>
      <c r="J2719" s="35" t="n"/>
      <c r="K2719" s="34" t="n"/>
      <c r="L2719" s="26">
        <f>IF(A2719="","",MONTH(A2719))</f>
        <v/>
      </c>
      <c r="M2719" s="26">
        <f>IF(A2719="","",YEAR(A2719))</f>
        <v/>
      </c>
      <c r="N2719" s="26">
        <f>IF(A2719="","",CHOOSE(WEEKDAY(A2719,2),"Segunda","Terça","Quarta","Quinta","Sexta","Sábado","Domingo"))</f>
        <v/>
      </c>
      <c r="O2719" s="26">
        <f>IF(B2719="","",IF(B2719&lt;TIME(12,0,0),"Manhã",IF(B2719&lt;TIME(18,0,0),"Tarde","Noite")))</f>
        <v/>
      </c>
      <c r="P2719" s="32">
        <f>IF(G2719="","",IFERROR(INDEX(Config!$I$5:$I$16,MATCH(G2719,Config!$H$5:$H$16,0)),0))</f>
        <v/>
      </c>
      <c r="Q2719" s="30">
        <f>IF(OR(H2719&lt;&gt;"Realizado",P2719="",P2719=0),"",A2719+P2719)</f>
        <v/>
      </c>
      <c r="R2719" s="26">
        <f>IF(Q2719="","",IF(COUNTIFS($E$5:$E$3004,E2719,$A$5:$A$3004,"&gt;"&amp;A2719,$H$5:$H$3004,"&lt;&gt;Falta",$H$5:$H$3004,"&lt;&gt;Cancelado",$H$5:$H$3004,"&lt;&gt;Remarcado")&gt;0,"Sim","Não"))</f>
        <v/>
      </c>
      <c r="S2719" s="32">
        <f>IF(R2719&lt;&gt;"Não","",IF(Q2719+Config!$B$9&lt;=Config!$B$8,Config!$B$8-Q2719,""))</f>
        <v/>
      </c>
      <c r="T2719" s="26">
        <f>IF(S2719="","","Sim")</f>
        <v/>
      </c>
      <c r="U2719" s="41">
        <f>IF(T2719="Sim",S2719+ROW()/100000,0)</f>
        <v>0</v>
      </c>
      <c r="V2719" s="41">
        <f>IF(AND(H2719="Falta",L2719=Config!$B$7,M2719=Config!$B$5,COUNTIFS($E$5:E2719,E2719,$H$5:H2719,"Falta",$L$5:L2719,Config!$B$7,$M$5:M2719,Config!$B$5)=1),COUNTIFS($E$5:$E$3004,E2719,$H$5:$H$3004,"Falta",$L$5:$L$3004,Config!$B$7,$M$5:$M$3004,Config!$B$5)*1000-ROW()/100000,0)</f>
        <v>0</v>
      </c>
    </row>
    <row r="2720">
      <c r="A2720" s="39" t="n"/>
      <c r="B2720" s="40" t="n"/>
      <c r="C2720" s="35" t="n"/>
      <c r="D2720" s="35" t="n"/>
      <c r="E2720" s="34" t="n"/>
      <c r="F2720" s="35" t="n"/>
      <c r="G2720" s="35" t="n"/>
      <c r="H2720" s="35" t="n"/>
      <c r="I2720" s="35" t="n"/>
      <c r="J2720" s="35" t="n"/>
      <c r="K2720" s="34" t="n"/>
      <c r="L2720" s="26">
        <f>IF(A2720="","",MONTH(A2720))</f>
        <v/>
      </c>
      <c r="M2720" s="26">
        <f>IF(A2720="","",YEAR(A2720))</f>
        <v/>
      </c>
      <c r="N2720" s="26">
        <f>IF(A2720="","",CHOOSE(WEEKDAY(A2720,2),"Segunda","Terça","Quarta","Quinta","Sexta","Sábado","Domingo"))</f>
        <v/>
      </c>
      <c r="O2720" s="26">
        <f>IF(B2720="","",IF(B2720&lt;TIME(12,0,0),"Manhã",IF(B2720&lt;TIME(18,0,0),"Tarde","Noite")))</f>
        <v/>
      </c>
      <c r="P2720" s="32">
        <f>IF(G2720="","",IFERROR(INDEX(Config!$I$5:$I$16,MATCH(G2720,Config!$H$5:$H$16,0)),0))</f>
        <v/>
      </c>
      <c r="Q2720" s="30">
        <f>IF(OR(H2720&lt;&gt;"Realizado",P2720="",P2720=0),"",A2720+P2720)</f>
        <v/>
      </c>
      <c r="R2720" s="26">
        <f>IF(Q2720="","",IF(COUNTIFS($E$5:$E$3004,E2720,$A$5:$A$3004,"&gt;"&amp;A2720,$H$5:$H$3004,"&lt;&gt;Falta",$H$5:$H$3004,"&lt;&gt;Cancelado",$H$5:$H$3004,"&lt;&gt;Remarcado")&gt;0,"Sim","Não"))</f>
        <v/>
      </c>
      <c r="S2720" s="32">
        <f>IF(R2720&lt;&gt;"Não","",IF(Q2720+Config!$B$9&lt;=Config!$B$8,Config!$B$8-Q2720,""))</f>
        <v/>
      </c>
      <c r="T2720" s="26">
        <f>IF(S2720="","","Sim")</f>
        <v/>
      </c>
      <c r="U2720" s="41">
        <f>IF(T2720="Sim",S2720+ROW()/100000,0)</f>
        <v>0</v>
      </c>
      <c r="V2720" s="41">
        <f>IF(AND(H2720="Falta",L2720=Config!$B$7,M2720=Config!$B$5,COUNTIFS($E$5:E2720,E2720,$H$5:H2720,"Falta",$L$5:L2720,Config!$B$7,$M$5:M2720,Config!$B$5)=1),COUNTIFS($E$5:$E$3004,E2720,$H$5:$H$3004,"Falta",$L$5:$L$3004,Config!$B$7,$M$5:$M$3004,Config!$B$5)*1000-ROW()/100000,0)</f>
        <v>0</v>
      </c>
    </row>
    <row r="2721">
      <c r="A2721" s="39" t="n"/>
      <c r="B2721" s="40" t="n"/>
      <c r="C2721" s="35" t="n"/>
      <c r="D2721" s="35" t="n"/>
      <c r="E2721" s="34" t="n"/>
      <c r="F2721" s="35" t="n"/>
      <c r="G2721" s="35" t="n"/>
      <c r="H2721" s="35" t="n"/>
      <c r="I2721" s="35" t="n"/>
      <c r="J2721" s="35" t="n"/>
      <c r="K2721" s="34" t="n"/>
      <c r="L2721" s="26">
        <f>IF(A2721="","",MONTH(A2721))</f>
        <v/>
      </c>
      <c r="M2721" s="26">
        <f>IF(A2721="","",YEAR(A2721))</f>
        <v/>
      </c>
      <c r="N2721" s="26">
        <f>IF(A2721="","",CHOOSE(WEEKDAY(A2721,2),"Segunda","Terça","Quarta","Quinta","Sexta","Sábado","Domingo"))</f>
        <v/>
      </c>
      <c r="O2721" s="26">
        <f>IF(B2721="","",IF(B2721&lt;TIME(12,0,0),"Manhã",IF(B2721&lt;TIME(18,0,0),"Tarde","Noite")))</f>
        <v/>
      </c>
      <c r="P2721" s="32">
        <f>IF(G2721="","",IFERROR(INDEX(Config!$I$5:$I$16,MATCH(G2721,Config!$H$5:$H$16,0)),0))</f>
        <v/>
      </c>
      <c r="Q2721" s="30">
        <f>IF(OR(H2721&lt;&gt;"Realizado",P2721="",P2721=0),"",A2721+P2721)</f>
        <v/>
      </c>
      <c r="R2721" s="26">
        <f>IF(Q2721="","",IF(COUNTIFS($E$5:$E$3004,E2721,$A$5:$A$3004,"&gt;"&amp;A2721,$H$5:$H$3004,"&lt;&gt;Falta",$H$5:$H$3004,"&lt;&gt;Cancelado",$H$5:$H$3004,"&lt;&gt;Remarcado")&gt;0,"Sim","Não"))</f>
        <v/>
      </c>
      <c r="S2721" s="32">
        <f>IF(R2721&lt;&gt;"Não","",IF(Q2721+Config!$B$9&lt;=Config!$B$8,Config!$B$8-Q2721,""))</f>
        <v/>
      </c>
      <c r="T2721" s="26">
        <f>IF(S2721="","","Sim")</f>
        <v/>
      </c>
      <c r="U2721" s="41">
        <f>IF(T2721="Sim",S2721+ROW()/100000,0)</f>
        <v>0</v>
      </c>
      <c r="V2721" s="41">
        <f>IF(AND(H2721="Falta",L2721=Config!$B$7,M2721=Config!$B$5,COUNTIFS($E$5:E2721,E2721,$H$5:H2721,"Falta",$L$5:L2721,Config!$B$7,$M$5:M2721,Config!$B$5)=1),COUNTIFS($E$5:$E$3004,E2721,$H$5:$H$3004,"Falta",$L$5:$L$3004,Config!$B$7,$M$5:$M$3004,Config!$B$5)*1000-ROW()/100000,0)</f>
        <v>0</v>
      </c>
    </row>
    <row r="2722">
      <c r="A2722" s="39" t="n"/>
      <c r="B2722" s="40" t="n"/>
      <c r="C2722" s="35" t="n"/>
      <c r="D2722" s="35" t="n"/>
      <c r="E2722" s="34" t="n"/>
      <c r="F2722" s="35" t="n"/>
      <c r="G2722" s="35" t="n"/>
      <c r="H2722" s="35" t="n"/>
      <c r="I2722" s="35" t="n"/>
      <c r="J2722" s="35" t="n"/>
      <c r="K2722" s="34" t="n"/>
      <c r="L2722" s="26">
        <f>IF(A2722="","",MONTH(A2722))</f>
        <v/>
      </c>
      <c r="M2722" s="26">
        <f>IF(A2722="","",YEAR(A2722))</f>
        <v/>
      </c>
      <c r="N2722" s="26">
        <f>IF(A2722="","",CHOOSE(WEEKDAY(A2722,2),"Segunda","Terça","Quarta","Quinta","Sexta","Sábado","Domingo"))</f>
        <v/>
      </c>
      <c r="O2722" s="26">
        <f>IF(B2722="","",IF(B2722&lt;TIME(12,0,0),"Manhã",IF(B2722&lt;TIME(18,0,0),"Tarde","Noite")))</f>
        <v/>
      </c>
      <c r="P2722" s="32">
        <f>IF(G2722="","",IFERROR(INDEX(Config!$I$5:$I$16,MATCH(G2722,Config!$H$5:$H$16,0)),0))</f>
        <v/>
      </c>
      <c r="Q2722" s="30">
        <f>IF(OR(H2722&lt;&gt;"Realizado",P2722="",P2722=0),"",A2722+P2722)</f>
        <v/>
      </c>
      <c r="R2722" s="26">
        <f>IF(Q2722="","",IF(COUNTIFS($E$5:$E$3004,E2722,$A$5:$A$3004,"&gt;"&amp;A2722,$H$5:$H$3004,"&lt;&gt;Falta",$H$5:$H$3004,"&lt;&gt;Cancelado",$H$5:$H$3004,"&lt;&gt;Remarcado")&gt;0,"Sim","Não"))</f>
        <v/>
      </c>
      <c r="S2722" s="32">
        <f>IF(R2722&lt;&gt;"Não","",IF(Q2722+Config!$B$9&lt;=Config!$B$8,Config!$B$8-Q2722,""))</f>
        <v/>
      </c>
      <c r="T2722" s="26">
        <f>IF(S2722="","","Sim")</f>
        <v/>
      </c>
      <c r="U2722" s="41">
        <f>IF(T2722="Sim",S2722+ROW()/100000,0)</f>
        <v>0</v>
      </c>
      <c r="V2722" s="41">
        <f>IF(AND(H2722="Falta",L2722=Config!$B$7,M2722=Config!$B$5,COUNTIFS($E$5:E2722,E2722,$H$5:H2722,"Falta",$L$5:L2722,Config!$B$7,$M$5:M2722,Config!$B$5)=1),COUNTIFS($E$5:$E$3004,E2722,$H$5:$H$3004,"Falta",$L$5:$L$3004,Config!$B$7,$M$5:$M$3004,Config!$B$5)*1000-ROW()/100000,0)</f>
        <v>0</v>
      </c>
    </row>
    <row r="2723">
      <c r="A2723" s="39" t="n"/>
      <c r="B2723" s="40" t="n"/>
      <c r="C2723" s="35" t="n"/>
      <c r="D2723" s="35" t="n"/>
      <c r="E2723" s="34" t="n"/>
      <c r="F2723" s="35" t="n"/>
      <c r="G2723" s="35" t="n"/>
      <c r="H2723" s="35" t="n"/>
      <c r="I2723" s="35" t="n"/>
      <c r="J2723" s="35" t="n"/>
      <c r="K2723" s="34" t="n"/>
      <c r="L2723" s="26">
        <f>IF(A2723="","",MONTH(A2723))</f>
        <v/>
      </c>
      <c r="M2723" s="26">
        <f>IF(A2723="","",YEAR(A2723))</f>
        <v/>
      </c>
      <c r="N2723" s="26">
        <f>IF(A2723="","",CHOOSE(WEEKDAY(A2723,2),"Segunda","Terça","Quarta","Quinta","Sexta","Sábado","Domingo"))</f>
        <v/>
      </c>
      <c r="O2723" s="26">
        <f>IF(B2723="","",IF(B2723&lt;TIME(12,0,0),"Manhã",IF(B2723&lt;TIME(18,0,0),"Tarde","Noite")))</f>
        <v/>
      </c>
      <c r="P2723" s="32">
        <f>IF(G2723="","",IFERROR(INDEX(Config!$I$5:$I$16,MATCH(G2723,Config!$H$5:$H$16,0)),0))</f>
        <v/>
      </c>
      <c r="Q2723" s="30">
        <f>IF(OR(H2723&lt;&gt;"Realizado",P2723="",P2723=0),"",A2723+P2723)</f>
        <v/>
      </c>
      <c r="R2723" s="26">
        <f>IF(Q2723="","",IF(COUNTIFS($E$5:$E$3004,E2723,$A$5:$A$3004,"&gt;"&amp;A2723,$H$5:$H$3004,"&lt;&gt;Falta",$H$5:$H$3004,"&lt;&gt;Cancelado",$H$5:$H$3004,"&lt;&gt;Remarcado")&gt;0,"Sim","Não"))</f>
        <v/>
      </c>
      <c r="S2723" s="32">
        <f>IF(R2723&lt;&gt;"Não","",IF(Q2723+Config!$B$9&lt;=Config!$B$8,Config!$B$8-Q2723,""))</f>
        <v/>
      </c>
      <c r="T2723" s="26">
        <f>IF(S2723="","","Sim")</f>
        <v/>
      </c>
      <c r="U2723" s="41">
        <f>IF(T2723="Sim",S2723+ROW()/100000,0)</f>
        <v>0</v>
      </c>
      <c r="V2723" s="41">
        <f>IF(AND(H2723="Falta",L2723=Config!$B$7,M2723=Config!$B$5,COUNTIFS($E$5:E2723,E2723,$H$5:H2723,"Falta",$L$5:L2723,Config!$B$7,$M$5:M2723,Config!$B$5)=1),COUNTIFS($E$5:$E$3004,E2723,$H$5:$H$3004,"Falta",$L$5:$L$3004,Config!$B$7,$M$5:$M$3004,Config!$B$5)*1000-ROW()/100000,0)</f>
        <v>0</v>
      </c>
    </row>
    <row r="2724">
      <c r="A2724" s="39" t="n"/>
      <c r="B2724" s="40" t="n"/>
      <c r="C2724" s="35" t="n"/>
      <c r="D2724" s="35" t="n"/>
      <c r="E2724" s="34" t="n"/>
      <c r="F2724" s="35" t="n"/>
      <c r="G2724" s="35" t="n"/>
      <c r="H2724" s="35" t="n"/>
      <c r="I2724" s="35" t="n"/>
      <c r="J2724" s="35" t="n"/>
      <c r="K2724" s="34" t="n"/>
      <c r="L2724" s="26">
        <f>IF(A2724="","",MONTH(A2724))</f>
        <v/>
      </c>
      <c r="M2724" s="26">
        <f>IF(A2724="","",YEAR(A2724))</f>
        <v/>
      </c>
      <c r="N2724" s="26">
        <f>IF(A2724="","",CHOOSE(WEEKDAY(A2724,2),"Segunda","Terça","Quarta","Quinta","Sexta","Sábado","Domingo"))</f>
        <v/>
      </c>
      <c r="O2724" s="26">
        <f>IF(B2724="","",IF(B2724&lt;TIME(12,0,0),"Manhã",IF(B2724&lt;TIME(18,0,0),"Tarde","Noite")))</f>
        <v/>
      </c>
      <c r="P2724" s="32">
        <f>IF(G2724="","",IFERROR(INDEX(Config!$I$5:$I$16,MATCH(G2724,Config!$H$5:$H$16,0)),0))</f>
        <v/>
      </c>
      <c r="Q2724" s="30">
        <f>IF(OR(H2724&lt;&gt;"Realizado",P2724="",P2724=0),"",A2724+P2724)</f>
        <v/>
      </c>
      <c r="R2724" s="26">
        <f>IF(Q2724="","",IF(COUNTIFS($E$5:$E$3004,E2724,$A$5:$A$3004,"&gt;"&amp;A2724,$H$5:$H$3004,"&lt;&gt;Falta",$H$5:$H$3004,"&lt;&gt;Cancelado",$H$5:$H$3004,"&lt;&gt;Remarcado")&gt;0,"Sim","Não"))</f>
        <v/>
      </c>
      <c r="S2724" s="32">
        <f>IF(R2724&lt;&gt;"Não","",IF(Q2724+Config!$B$9&lt;=Config!$B$8,Config!$B$8-Q2724,""))</f>
        <v/>
      </c>
      <c r="T2724" s="26">
        <f>IF(S2724="","","Sim")</f>
        <v/>
      </c>
      <c r="U2724" s="41">
        <f>IF(T2724="Sim",S2724+ROW()/100000,0)</f>
        <v>0</v>
      </c>
      <c r="V2724" s="41">
        <f>IF(AND(H2724="Falta",L2724=Config!$B$7,M2724=Config!$B$5,COUNTIFS($E$5:E2724,E2724,$H$5:H2724,"Falta",$L$5:L2724,Config!$B$7,$M$5:M2724,Config!$B$5)=1),COUNTIFS($E$5:$E$3004,E2724,$H$5:$H$3004,"Falta",$L$5:$L$3004,Config!$B$7,$M$5:$M$3004,Config!$B$5)*1000-ROW()/100000,0)</f>
        <v>0</v>
      </c>
    </row>
    <row r="2725">
      <c r="A2725" s="39" t="n"/>
      <c r="B2725" s="40" t="n"/>
      <c r="C2725" s="35" t="n"/>
      <c r="D2725" s="35" t="n"/>
      <c r="E2725" s="34" t="n"/>
      <c r="F2725" s="35" t="n"/>
      <c r="G2725" s="35" t="n"/>
      <c r="H2725" s="35" t="n"/>
      <c r="I2725" s="35" t="n"/>
      <c r="J2725" s="35" t="n"/>
      <c r="K2725" s="34" t="n"/>
      <c r="L2725" s="26">
        <f>IF(A2725="","",MONTH(A2725))</f>
        <v/>
      </c>
      <c r="M2725" s="26">
        <f>IF(A2725="","",YEAR(A2725))</f>
        <v/>
      </c>
      <c r="N2725" s="26">
        <f>IF(A2725="","",CHOOSE(WEEKDAY(A2725,2),"Segunda","Terça","Quarta","Quinta","Sexta","Sábado","Domingo"))</f>
        <v/>
      </c>
      <c r="O2725" s="26">
        <f>IF(B2725="","",IF(B2725&lt;TIME(12,0,0),"Manhã",IF(B2725&lt;TIME(18,0,0),"Tarde","Noite")))</f>
        <v/>
      </c>
      <c r="P2725" s="32">
        <f>IF(G2725="","",IFERROR(INDEX(Config!$I$5:$I$16,MATCH(G2725,Config!$H$5:$H$16,0)),0))</f>
        <v/>
      </c>
      <c r="Q2725" s="30">
        <f>IF(OR(H2725&lt;&gt;"Realizado",P2725="",P2725=0),"",A2725+P2725)</f>
        <v/>
      </c>
      <c r="R2725" s="26">
        <f>IF(Q2725="","",IF(COUNTIFS($E$5:$E$3004,E2725,$A$5:$A$3004,"&gt;"&amp;A2725,$H$5:$H$3004,"&lt;&gt;Falta",$H$5:$H$3004,"&lt;&gt;Cancelado",$H$5:$H$3004,"&lt;&gt;Remarcado")&gt;0,"Sim","Não"))</f>
        <v/>
      </c>
      <c r="S2725" s="32">
        <f>IF(R2725&lt;&gt;"Não","",IF(Q2725+Config!$B$9&lt;=Config!$B$8,Config!$B$8-Q2725,""))</f>
        <v/>
      </c>
      <c r="T2725" s="26">
        <f>IF(S2725="","","Sim")</f>
        <v/>
      </c>
      <c r="U2725" s="41">
        <f>IF(T2725="Sim",S2725+ROW()/100000,0)</f>
        <v>0</v>
      </c>
      <c r="V2725" s="41">
        <f>IF(AND(H2725="Falta",L2725=Config!$B$7,M2725=Config!$B$5,COUNTIFS($E$5:E2725,E2725,$H$5:H2725,"Falta",$L$5:L2725,Config!$B$7,$M$5:M2725,Config!$B$5)=1),COUNTIFS($E$5:$E$3004,E2725,$H$5:$H$3004,"Falta",$L$5:$L$3004,Config!$B$7,$M$5:$M$3004,Config!$B$5)*1000-ROW()/100000,0)</f>
        <v>0</v>
      </c>
    </row>
    <row r="2726">
      <c r="A2726" s="39" t="n"/>
      <c r="B2726" s="40" t="n"/>
      <c r="C2726" s="35" t="n"/>
      <c r="D2726" s="35" t="n"/>
      <c r="E2726" s="34" t="n"/>
      <c r="F2726" s="35" t="n"/>
      <c r="G2726" s="35" t="n"/>
      <c r="H2726" s="35" t="n"/>
      <c r="I2726" s="35" t="n"/>
      <c r="J2726" s="35" t="n"/>
      <c r="K2726" s="34" t="n"/>
      <c r="L2726" s="26">
        <f>IF(A2726="","",MONTH(A2726))</f>
        <v/>
      </c>
      <c r="M2726" s="26">
        <f>IF(A2726="","",YEAR(A2726))</f>
        <v/>
      </c>
      <c r="N2726" s="26">
        <f>IF(A2726="","",CHOOSE(WEEKDAY(A2726,2),"Segunda","Terça","Quarta","Quinta","Sexta","Sábado","Domingo"))</f>
        <v/>
      </c>
      <c r="O2726" s="26">
        <f>IF(B2726="","",IF(B2726&lt;TIME(12,0,0),"Manhã",IF(B2726&lt;TIME(18,0,0),"Tarde","Noite")))</f>
        <v/>
      </c>
      <c r="P2726" s="32">
        <f>IF(G2726="","",IFERROR(INDEX(Config!$I$5:$I$16,MATCH(G2726,Config!$H$5:$H$16,0)),0))</f>
        <v/>
      </c>
      <c r="Q2726" s="30">
        <f>IF(OR(H2726&lt;&gt;"Realizado",P2726="",P2726=0),"",A2726+P2726)</f>
        <v/>
      </c>
      <c r="R2726" s="26">
        <f>IF(Q2726="","",IF(COUNTIFS($E$5:$E$3004,E2726,$A$5:$A$3004,"&gt;"&amp;A2726,$H$5:$H$3004,"&lt;&gt;Falta",$H$5:$H$3004,"&lt;&gt;Cancelado",$H$5:$H$3004,"&lt;&gt;Remarcado")&gt;0,"Sim","Não"))</f>
        <v/>
      </c>
      <c r="S2726" s="32">
        <f>IF(R2726&lt;&gt;"Não","",IF(Q2726+Config!$B$9&lt;=Config!$B$8,Config!$B$8-Q2726,""))</f>
        <v/>
      </c>
      <c r="T2726" s="26">
        <f>IF(S2726="","","Sim")</f>
        <v/>
      </c>
      <c r="U2726" s="41">
        <f>IF(T2726="Sim",S2726+ROW()/100000,0)</f>
        <v>0</v>
      </c>
      <c r="V2726" s="41">
        <f>IF(AND(H2726="Falta",L2726=Config!$B$7,M2726=Config!$B$5,COUNTIFS($E$5:E2726,E2726,$H$5:H2726,"Falta",$L$5:L2726,Config!$B$7,$M$5:M2726,Config!$B$5)=1),COUNTIFS($E$5:$E$3004,E2726,$H$5:$H$3004,"Falta",$L$5:$L$3004,Config!$B$7,$M$5:$M$3004,Config!$B$5)*1000-ROW()/100000,0)</f>
        <v>0</v>
      </c>
    </row>
    <row r="2727">
      <c r="A2727" s="39" t="n"/>
      <c r="B2727" s="40" t="n"/>
      <c r="C2727" s="35" t="n"/>
      <c r="D2727" s="35" t="n"/>
      <c r="E2727" s="34" t="n"/>
      <c r="F2727" s="35" t="n"/>
      <c r="G2727" s="35" t="n"/>
      <c r="H2727" s="35" t="n"/>
      <c r="I2727" s="35" t="n"/>
      <c r="J2727" s="35" t="n"/>
      <c r="K2727" s="34" t="n"/>
      <c r="L2727" s="26">
        <f>IF(A2727="","",MONTH(A2727))</f>
        <v/>
      </c>
      <c r="M2727" s="26">
        <f>IF(A2727="","",YEAR(A2727))</f>
        <v/>
      </c>
      <c r="N2727" s="26">
        <f>IF(A2727="","",CHOOSE(WEEKDAY(A2727,2),"Segunda","Terça","Quarta","Quinta","Sexta","Sábado","Domingo"))</f>
        <v/>
      </c>
      <c r="O2727" s="26">
        <f>IF(B2727="","",IF(B2727&lt;TIME(12,0,0),"Manhã",IF(B2727&lt;TIME(18,0,0),"Tarde","Noite")))</f>
        <v/>
      </c>
      <c r="P2727" s="32">
        <f>IF(G2727="","",IFERROR(INDEX(Config!$I$5:$I$16,MATCH(G2727,Config!$H$5:$H$16,0)),0))</f>
        <v/>
      </c>
      <c r="Q2727" s="30">
        <f>IF(OR(H2727&lt;&gt;"Realizado",P2727="",P2727=0),"",A2727+P2727)</f>
        <v/>
      </c>
      <c r="R2727" s="26">
        <f>IF(Q2727="","",IF(COUNTIFS($E$5:$E$3004,E2727,$A$5:$A$3004,"&gt;"&amp;A2727,$H$5:$H$3004,"&lt;&gt;Falta",$H$5:$H$3004,"&lt;&gt;Cancelado",$H$5:$H$3004,"&lt;&gt;Remarcado")&gt;0,"Sim","Não"))</f>
        <v/>
      </c>
      <c r="S2727" s="32">
        <f>IF(R2727&lt;&gt;"Não","",IF(Q2727+Config!$B$9&lt;=Config!$B$8,Config!$B$8-Q2727,""))</f>
        <v/>
      </c>
      <c r="T2727" s="26">
        <f>IF(S2727="","","Sim")</f>
        <v/>
      </c>
      <c r="U2727" s="41">
        <f>IF(T2727="Sim",S2727+ROW()/100000,0)</f>
        <v>0</v>
      </c>
      <c r="V2727" s="41">
        <f>IF(AND(H2727="Falta",L2727=Config!$B$7,M2727=Config!$B$5,COUNTIFS($E$5:E2727,E2727,$H$5:H2727,"Falta",$L$5:L2727,Config!$B$7,$M$5:M2727,Config!$B$5)=1),COUNTIFS($E$5:$E$3004,E2727,$H$5:$H$3004,"Falta",$L$5:$L$3004,Config!$B$7,$M$5:$M$3004,Config!$B$5)*1000-ROW()/100000,0)</f>
        <v>0</v>
      </c>
    </row>
    <row r="2728">
      <c r="A2728" s="39" t="n"/>
      <c r="B2728" s="40" t="n"/>
      <c r="C2728" s="35" t="n"/>
      <c r="D2728" s="35" t="n"/>
      <c r="E2728" s="34" t="n"/>
      <c r="F2728" s="35" t="n"/>
      <c r="G2728" s="35" t="n"/>
      <c r="H2728" s="35" t="n"/>
      <c r="I2728" s="35" t="n"/>
      <c r="J2728" s="35" t="n"/>
      <c r="K2728" s="34" t="n"/>
      <c r="L2728" s="26">
        <f>IF(A2728="","",MONTH(A2728))</f>
        <v/>
      </c>
      <c r="M2728" s="26">
        <f>IF(A2728="","",YEAR(A2728))</f>
        <v/>
      </c>
      <c r="N2728" s="26">
        <f>IF(A2728="","",CHOOSE(WEEKDAY(A2728,2),"Segunda","Terça","Quarta","Quinta","Sexta","Sábado","Domingo"))</f>
        <v/>
      </c>
      <c r="O2728" s="26">
        <f>IF(B2728="","",IF(B2728&lt;TIME(12,0,0),"Manhã",IF(B2728&lt;TIME(18,0,0),"Tarde","Noite")))</f>
        <v/>
      </c>
      <c r="P2728" s="32">
        <f>IF(G2728="","",IFERROR(INDEX(Config!$I$5:$I$16,MATCH(G2728,Config!$H$5:$H$16,0)),0))</f>
        <v/>
      </c>
      <c r="Q2728" s="30">
        <f>IF(OR(H2728&lt;&gt;"Realizado",P2728="",P2728=0),"",A2728+P2728)</f>
        <v/>
      </c>
      <c r="R2728" s="26">
        <f>IF(Q2728="","",IF(COUNTIFS($E$5:$E$3004,E2728,$A$5:$A$3004,"&gt;"&amp;A2728,$H$5:$H$3004,"&lt;&gt;Falta",$H$5:$H$3004,"&lt;&gt;Cancelado",$H$5:$H$3004,"&lt;&gt;Remarcado")&gt;0,"Sim","Não"))</f>
        <v/>
      </c>
      <c r="S2728" s="32">
        <f>IF(R2728&lt;&gt;"Não","",IF(Q2728+Config!$B$9&lt;=Config!$B$8,Config!$B$8-Q2728,""))</f>
        <v/>
      </c>
      <c r="T2728" s="26">
        <f>IF(S2728="","","Sim")</f>
        <v/>
      </c>
      <c r="U2728" s="41">
        <f>IF(T2728="Sim",S2728+ROW()/100000,0)</f>
        <v>0</v>
      </c>
      <c r="V2728" s="41">
        <f>IF(AND(H2728="Falta",L2728=Config!$B$7,M2728=Config!$B$5,COUNTIFS($E$5:E2728,E2728,$H$5:H2728,"Falta",$L$5:L2728,Config!$B$7,$M$5:M2728,Config!$B$5)=1),COUNTIFS($E$5:$E$3004,E2728,$H$5:$H$3004,"Falta",$L$5:$L$3004,Config!$B$7,$M$5:$M$3004,Config!$B$5)*1000-ROW()/100000,0)</f>
        <v>0</v>
      </c>
    </row>
    <row r="2729">
      <c r="A2729" s="39" t="n"/>
      <c r="B2729" s="40" t="n"/>
      <c r="C2729" s="35" t="n"/>
      <c r="D2729" s="35" t="n"/>
      <c r="E2729" s="34" t="n"/>
      <c r="F2729" s="35" t="n"/>
      <c r="G2729" s="35" t="n"/>
      <c r="H2729" s="35" t="n"/>
      <c r="I2729" s="35" t="n"/>
      <c r="J2729" s="35" t="n"/>
      <c r="K2729" s="34" t="n"/>
      <c r="L2729" s="26">
        <f>IF(A2729="","",MONTH(A2729))</f>
        <v/>
      </c>
      <c r="M2729" s="26">
        <f>IF(A2729="","",YEAR(A2729))</f>
        <v/>
      </c>
      <c r="N2729" s="26">
        <f>IF(A2729="","",CHOOSE(WEEKDAY(A2729,2),"Segunda","Terça","Quarta","Quinta","Sexta","Sábado","Domingo"))</f>
        <v/>
      </c>
      <c r="O2729" s="26">
        <f>IF(B2729="","",IF(B2729&lt;TIME(12,0,0),"Manhã",IF(B2729&lt;TIME(18,0,0),"Tarde","Noite")))</f>
        <v/>
      </c>
      <c r="P2729" s="32">
        <f>IF(G2729="","",IFERROR(INDEX(Config!$I$5:$I$16,MATCH(G2729,Config!$H$5:$H$16,0)),0))</f>
        <v/>
      </c>
      <c r="Q2729" s="30">
        <f>IF(OR(H2729&lt;&gt;"Realizado",P2729="",P2729=0),"",A2729+P2729)</f>
        <v/>
      </c>
      <c r="R2729" s="26">
        <f>IF(Q2729="","",IF(COUNTIFS($E$5:$E$3004,E2729,$A$5:$A$3004,"&gt;"&amp;A2729,$H$5:$H$3004,"&lt;&gt;Falta",$H$5:$H$3004,"&lt;&gt;Cancelado",$H$5:$H$3004,"&lt;&gt;Remarcado")&gt;0,"Sim","Não"))</f>
        <v/>
      </c>
      <c r="S2729" s="32">
        <f>IF(R2729&lt;&gt;"Não","",IF(Q2729+Config!$B$9&lt;=Config!$B$8,Config!$B$8-Q2729,""))</f>
        <v/>
      </c>
      <c r="T2729" s="26">
        <f>IF(S2729="","","Sim")</f>
        <v/>
      </c>
      <c r="U2729" s="41">
        <f>IF(T2729="Sim",S2729+ROW()/100000,0)</f>
        <v>0</v>
      </c>
      <c r="V2729" s="41">
        <f>IF(AND(H2729="Falta",L2729=Config!$B$7,M2729=Config!$B$5,COUNTIFS($E$5:E2729,E2729,$H$5:H2729,"Falta",$L$5:L2729,Config!$B$7,$M$5:M2729,Config!$B$5)=1),COUNTIFS($E$5:$E$3004,E2729,$H$5:$H$3004,"Falta",$L$5:$L$3004,Config!$B$7,$M$5:$M$3004,Config!$B$5)*1000-ROW()/100000,0)</f>
        <v>0</v>
      </c>
    </row>
    <row r="2730">
      <c r="A2730" s="39" t="n"/>
      <c r="B2730" s="40" t="n"/>
      <c r="C2730" s="35" t="n"/>
      <c r="D2730" s="35" t="n"/>
      <c r="E2730" s="34" t="n"/>
      <c r="F2730" s="35" t="n"/>
      <c r="G2730" s="35" t="n"/>
      <c r="H2730" s="35" t="n"/>
      <c r="I2730" s="35" t="n"/>
      <c r="J2730" s="35" t="n"/>
      <c r="K2730" s="34" t="n"/>
      <c r="L2730" s="26">
        <f>IF(A2730="","",MONTH(A2730))</f>
        <v/>
      </c>
      <c r="M2730" s="26">
        <f>IF(A2730="","",YEAR(A2730))</f>
        <v/>
      </c>
      <c r="N2730" s="26">
        <f>IF(A2730="","",CHOOSE(WEEKDAY(A2730,2),"Segunda","Terça","Quarta","Quinta","Sexta","Sábado","Domingo"))</f>
        <v/>
      </c>
      <c r="O2730" s="26">
        <f>IF(B2730="","",IF(B2730&lt;TIME(12,0,0),"Manhã",IF(B2730&lt;TIME(18,0,0),"Tarde","Noite")))</f>
        <v/>
      </c>
      <c r="P2730" s="32">
        <f>IF(G2730="","",IFERROR(INDEX(Config!$I$5:$I$16,MATCH(G2730,Config!$H$5:$H$16,0)),0))</f>
        <v/>
      </c>
      <c r="Q2730" s="30">
        <f>IF(OR(H2730&lt;&gt;"Realizado",P2730="",P2730=0),"",A2730+P2730)</f>
        <v/>
      </c>
      <c r="R2730" s="26">
        <f>IF(Q2730="","",IF(COUNTIFS($E$5:$E$3004,E2730,$A$5:$A$3004,"&gt;"&amp;A2730,$H$5:$H$3004,"&lt;&gt;Falta",$H$5:$H$3004,"&lt;&gt;Cancelado",$H$5:$H$3004,"&lt;&gt;Remarcado")&gt;0,"Sim","Não"))</f>
        <v/>
      </c>
      <c r="S2730" s="32">
        <f>IF(R2730&lt;&gt;"Não","",IF(Q2730+Config!$B$9&lt;=Config!$B$8,Config!$B$8-Q2730,""))</f>
        <v/>
      </c>
      <c r="T2730" s="26">
        <f>IF(S2730="","","Sim")</f>
        <v/>
      </c>
      <c r="U2730" s="41">
        <f>IF(T2730="Sim",S2730+ROW()/100000,0)</f>
        <v>0</v>
      </c>
      <c r="V2730" s="41">
        <f>IF(AND(H2730="Falta",L2730=Config!$B$7,M2730=Config!$B$5,COUNTIFS($E$5:E2730,E2730,$H$5:H2730,"Falta",$L$5:L2730,Config!$B$7,$M$5:M2730,Config!$B$5)=1),COUNTIFS($E$5:$E$3004,E2730,$H$5:$H$3004,"Falta",$L$5:$L$3004,Config!$B$7,$M$5:$M$3004,Config!$B$5)*1000-ROW()/100000,0)</f>
        <v>0</v>
      </c>
    </row>
    <row r="2731">
      <c r="A2731" s="39" t="n"/>
      <c r="B2731" s="40" t="n"/>
      <c r="C2731" s="35" t="n"/>
      <c r="D2731" s="35" t="n"/>
      <c r="E2731" s="34" t="n"/>
      <c r="F2731" s="35" t="n"/>
      <c r="G2731" s="35" t="n"/>
      <c r="H2731" s="35" t="n"/>
      <c r="I2731" s="35" t="n"/>
      <c r="J2731" s="35" t="n"/>
      <c r="K2731" s="34" t="n"/>
      <c r="L2731" s="26">
        <f>IF(A2731="","",MONTH(A2731))</f>
        <v/>
      </c>
      <c r="M2731" s="26">
        <f>IF(A2731="","",YEAR(A2731))</f>
        <v/>
      </c>
      <c r="N2731" s="26">
        <f>IF(A2731="","",CHOOSE(WEEKDAY(A2731,2),"Segunda","Terça","Quarta","Quinta","Sexta","Sábado","Domingo"))</f>
        <v/>
      </c>
      <c r="O2731" s="26">
        <f>IF(B2731="","",IF(B2731&lt;TIME(12,0,0),"Manhã",IF(B2731&lt;TIME(18,0,0),"Tarde","Noite")))</f>
        <v/>
      </c>
      <c r="P2731" s="32">
        <f>IF(G2731="","",IFERROR(INDEX(Config!$I$5:$I$16,MATCH(G2731,Config!$H$5:$H$16,0)),0))</f>
        <v/>
      </c>
      <c r="Q2731" s="30">
        <f>IF(OR(H2731&lt;&gt;"Realizado",P2731="",P2731=0),"",A2731+P2731)</f>
        <v/>
      </c>
      <c r="R2731" s="26">
        <f>IF(Q2731="","",IF(COUNTIFS($E$5:$E$3004,E2731,$A$5:$A$3004,"&gt;"&amp;A2731,$H$5:$H$3004,"&lt;&gt;Falta",$H$5:$H$3004,"&lt;&gt;Cancelado",$H$5:$H$3004,"&lt;&gt;Remarcado")&gt;0,"Sim","Não"))</f>
        <v/>
      </c>
      <c r="S2731" s="32">
        <f>IF(R2731&lt;&gt;"Não","",IF(Q2731+Config!$B$9&lt;=Config!$B$8,Config!$B$8-Q2731,""))</f>
        <v/>
      </c>
      <c r="T2731" s="26">
        <f>IF(S2731="","","Sim")</f>
        <v/>
      </c>
      <c r="U2731" s="41">
        <f>IF(T2731="Sim",S2731+ROW()/100000,0)</f>
        <v>0</v>
      </c>
      <c r="V2731" s="41">
        <f>IF(AND(H2731="Falta",L2731=Config!$B$7,M2731=Config!$B$5,COUNTIFS($E$5:E2731,E2731,$H$5:H2731,"Falta",$L$5:L2731,Config!$B$7,$M$5:M2731,Config!$B$5)=1),COUNTIFS($E$5:$E$3004,E2731,$H$5:$H$3004,"Falta",$L$5:$L$3004,Config!$B$7,$M$5:$M$3004,Config!$B$5)*1000-ROW()/100000,0)</f>
        <v>0</v>
      </c>
    </row>
    <row r="2732">
      <c r="A2732" s="39" t="n"/>
      <c r="B2732" s="40" t="n"/>
      <c r="C2732" s="35" t="n"/>
      <c r="D2732" s="35" t="n"/>
      <c r="E2732" s="34" t="n"/>
      <c r="F2732" s="35" t="n"/>
      <c r="G2732" s="35" t="n"/>
      <c r="H2732" s="35" t="n"/>
      <c r="I2732" s="35" t="n"/>
      <c r="J2732" s="35" t="n"/>
      <c r="K2732" s="34" t="n"/>
      <c r="L2732" s="26">
        <f>IF(A2732="","",MONTH(A2732))</f>
        <v/>
      </c>
      <c r="M2732" s="26">
        <f>IF(A2732="","",YEAR(A2732))</f>
        <v/>
      </c>
      <c r="N2732" s="26">
        <f>IF(A2732="","",CHOOSE(WEEKDAY(A2732,2),"Segunda","Terça","Quarta","Quinta","Sexta","Sábado","Domingo"))</f>
        <v/>
      </c>
      <c r="O2732" s="26">
        <f>IF(B2732="","",IF(B2732&lt;TIME(12,0,0),"Manhã",IF(B2732&lt;TIME(18,0,0),"Tarde","Noite")))</f>
        <v/>
      </c>
      <c r="P2732" s="32">
        <f>IF(G2732="","",IFERROR(INDEX(Config!$I$5:$I$16,MATCH(G2732,Config!$H$5:$H$16,0)),0))</f>
        <v/>
      </c>
      <c r="Q2732" s="30">
        <f>IF(OR(H2732&lt;&gt;"Realizado",P2732="",P2732=0),"",A2732+P2732)</f>
        <v/>
      </c>
      <c r="R2732" s="26">
        <f>IF(Q2732="","",IF(COUNTIFS($E$5:$E$3004,E2732,$A$5:$A$3004,"&gt;"&amp;A2732,$H$5:$H$3004,"&lt;&gt;Falta",$H$5:$H$3004,"&lt;&gt;Cancelado",$H$5:$H$3004,"&lt;&gt;Remarcado")&gt;0,"Sim","Não"))</f>
        <v/>
      </c>
      <c r="S2732" s="32">
        <f>IF(R2732&lt;&gt;"Não","",IF(Q2732+Config!$B$9&lt;=Config!$B$8,Config!$B$8-Q2732,""))</f>
        <v/>
      </c>
      <c r="T2732" s="26">
        <f>IF(S2732="","","Sim")</f>
        <v/>
      </c>
      <c r="U2732" s="41">
        <f>IF(T2732="Sim",S2732+ROW()/100000,0)</f>
        <v>0</v>
      </c>
      <c r="V2732" s="41">
        <f>IF(AND(H2732="Falta",L2732=Config!$B$7,M2732=Config!$B$5,COUNTIFS($E$5:E2732,E2732,$H$5:H2732,"Falta",$L$5:L2732,Config!$B$7,$M$5:M2732,Config!$B$5)=1),COUNTIFS($E$5:$E$3004,E2732,$H$5:$H$3004,"Falta",$L$5:$L$3004,Config!$B$7,$M$5:$M$3004,Config!$B$5)*1000-ROW()/100000,0)</f>
        <v>0</v>
      </c>
    </row>
    <row r="2733">
      <c r="A2733" s="39" t="n"/>
      <c r="B2733" s="40" t="n"/>
      <c r="C2733" s="35" t="n"/>
      <c r="D2733" s="35" t="n"/>
      <c r="E2733" s="34" t="n"/>
      <c r="F2733" s="35" t="n"/>
      <c r="G2733" s="35" t="n"/>
      <c r="H2733" s="35" t="n"/>
      <c r="I2733" s="35" t="n"/>
      <c r="J2733" s="35" t="n"/>
      <c r="K2733" s="34" t="n"/>
      <c r="L2733" s="26">
        <f>IF(A2733="","",MONTH(A2733))</f>
        <v/>
      </c>
      <c r="M2733" s="26">
        <f>IF(A2733="","",YEAR(A2733))</f>
        <v/>
      </c>
      <c r="N2733" s="26">
        <f>IF(A2733="","",CHOOSE(WEEKDAY(A2733,2),"Segunda","Terça","Quarta","Quinta","Sexta","Sábado","Domingo"))</f>
        <v/>
      </c>
      <c r="O2733" s="26">
        <f>IF(B2733="","",IF(B2733&lt;TIME(12,0,0),"Manhã",IF(B2733&lt;TIME(18,0,0),"Tarde","Noite")))</f>
        <v/>
      </c>
      <c r="P2733" s="32">
        <f>IF(G2733="","",IFERROR(INDEX(Config!$I$5:$I$16,MATCH(G2733,Config!$H$5:$H$16,0)),0))</f>
        <v/>
      </c>
      <c r="Q2733" s="30">
        <f>IF(OR(H2733&lt;&gt;"Realizado",P2733="",P2733=0),"",A2733+P2733)</f>
        <v/>
      </c>
      <c r="R2733" s="26">
        <f>IF(Q2733="","",IF(COUNTIFS($E$5:$E$3004,E2733,$A$5:$A$3004,"&gt;"&amp;A2733,$H$5:$H$3004,"&lt;&gt;Falta",$H$5:$H$3004,"&lt;&gt;Cancelado",$H$5:$H$3004,"&lt;&gt;Remarcado")&gt;0,"Sim","Não"))</f>
        <v/>
      </c>
      <c r="S2733" s="32">
        <f>IF(R2733&lt;&gt;"Não","",IF(Q2733+Config!$B$9&lt;=Config!$B$8,Config!$B$8-Q2733,""))</f>
        <v/>
      </c>
      <c r="T2733" s="26">
        <f>IF(S2733="","","Sim")</f>
        <v/>
      </c>
      <c r="U2733" s="41">
        <f>IF(T2733="Sim",S2733+ROW()/100000,0)</f>
        <v>0</v>
      </c>
      <c r="V2733" s="41">
        <f>IF(AND(H2733="Falta",L2733=Config!$B$7,M2733=Config!$B$5,COUNTIFS($E$5:E2733,E2733,$H$5:H2733,"Falta",$L$5:L2733,Config!$B$7,$M$5:M2733,Config!$B$5)=1),COUNTIFS($E$5:$E$3004,E2733,$H$5:$H$3004,"Falta",$L$5:$L$3004,Config!$B$7,$M$5:$M$3004,Config!$B$5)*1000-ROW()/100000,0)</f>
        <v>0</v>
      </c>
    </row>
    <row r="2734">
      <c r="A2734" s="39" t="n"/>
      <c r="B2734" s="40" t="n"/>
      <c r="C2734" s="35" t="n"/>
      <c r="D2734" s="35" t="n"/>
      <c r="E2734" s="34" t="n"/>
      <c r="F2734" s="35" t="n"/>
      <c r="G2734" s="35" t="n"/>
      <c r="H2734" s="35" t="n"/>
      <c r="I2734" s="35" t="n"/>
      <c r="J2734" s="35" t="n"/>
      <c r="K2734" s="34" t="n"/>
      <c r="L2734" s="26">
        <f>IF(A2734="","",MONTH(A2734))</f>
        <v/>
      </c>
      <c r="M2734" s="26">
        <f>IF(A2734="","",YEAR(A2734))</f>
        <v/>
      </c>
      <c r="N2734" s="26">
        <f>IF(A2734="","",CHOOSE(WEEKDAY(A2734,2),"Segunda","Terça","Quarta","Quinta","Sexta","Sábado","Domingo"))</f>
        <v/>
      </c>
      <c r="O2734" s="26">
        <f>IF(B2734="","",IF(B2734&lt;TIME(12,0,0),"Manhã",IF(B2734&lt;TIME(18,0,0),"Tarde","Noite")))</f>
        <v/>
      </c>
      <c r="P2734" s="32">
        <f>IF(G2734="","",IFERROR(INDEX(Config!$I$5:$I$16,MATCH(G2734,Config!$H$5:$H$16,0)),0))</f>
        <v/>
      </c>
      <c r="Q2734" s="30">
        <f>IF(OR(H2734&lt;&gt;"Realizado",P2734="",P2734=0),"",A2734+P2734)</f>
        <v/>
      </c>
      <c r="R2734" s="26">
        <f>IF(Q2734="","",IF(COUNTIFS($E$5:$E$3004,E2734,$A$5:$A$3004,"&gt;"&amp;A2734,$H$5:$H$3004,"&lt;&gt;Falta",$H$5:$H$3004,"&lt;&gt;Cancelado",$H$5:$H$3004,"&lt;&gt;Remarcado")&gt;0,"Sim","Não"))</f>
        <v/>
      </c>
      <c r="S2734" s="32">
        <f>IF(R2734&lt;&gt;"Não","",IF(Q2734+Config!$B$9&lt;=Config!$B$8,Config!$B$8-Q2734,""))</f>
        <v/>
      </c>
      <c r="T2734" s="26">
        <f>IF(S2734="","","Sim")</f>
        <v/>
      </c>
      <c r="U2734" s="41">
        <f>IF(T2734="Sim",S2734+ROW()/100000,0)</f>
        <v>0</v>
      </c>
      <c r="V2734" s="41">
        <f>IF(AND(H2734="Falta",L2734=Config!$B$7,M2734=Config!$B$5,COUNTIFS($E$5:E2734,E2734,$H$5:H2734,"Falta",$L$5:L2734,Config!$B$7,$M$5:M2734,Config!$B$5)=1),COUNTIFS($E$5:$E$3004,E2734,$H$5:$H$3004,"Falta",$L$5:$L$3004,Config!$B$7,$M$5:$M$3004,Config!$B$5)*1000-ROW()/100000,0)</f>
        <v>0</v>
      </c>
    </row>
    <row r="2735">
      <c r="A2735" s="39" t="n"/>
      <c r="B2735" s="40" t="n"/>
      <c r="C2735" s="35" t="n"/>
      <c r="D2735" s="35" t="n"/>
      <c r="E2735" s="34" t="n"/>
      <c r="F2735" s="35" t="n"/>
      <c r="G2735" s="35" t="n"/>
      <c r="H2735" s="35" t="n"/>
      <c r="I2735" s="35" t="n"/>
      <c r="J2735" s="35" t="n"/>
      <c r="K2735" s="34" t="n"/>
      <c r="L2735" s="26">
        <f>IF(A2735="","",MONTH(A2735))</f>
        <v/>
      </c>
      <c r="M2735" s="26">
        <f>IF(A2735="","",YEAR(A2735))</f>
        <v/>
      </c>
      <c r="N2735" s="26">
        <f>IF(A2735="","",CHOOSE(WEEKDAY(A2735,2),"Segunda","Terça","Quarta","Quinta","Sexta","Sábado","Domingo"))</f>
        <v/>
      </c>
      <c r="O2735" s="26">
        <f>IF(B2735="","",IF(B2735&lt;TIME(12,0,0),"Manhã",IF(B2735&lt;TIME(18,0,0),"Tarde","Noite")))</f>
        <v/>
      </c>
      <c r="P2735" s="32">
        <f>IF(G2735="","",IFERROR(INDEX(Config!$I$5:$I$16,MATCH(G2735,Config!$H$5:$H$16,0)),0))</f>
        <v/>
      </c>
      <c r="Q2735" s="30">
        <f>IF(OR(H2735&lt;&gt;"Realizado",P2735="",P2735=0),"",A2735+P2735)</f>
        <v/>
      </c>
      <c r="R2735" s="26">
        <f>IF(Q2735="","",IF(COUNTIFS($E$5:$E$3004,E2735,$A$5:$A$3004,"&gt;"&amp;A2735,$H$5:$H$3004,"&lt;&gt;Falta",$H$5:$H$3004,"&lt;&gt;Cancelado",$H$5:$H$3004,"&lt;&gt;Remarcado")&gt;0,"Sim","Não"))</f>
        <v/>
      </c>
      <c r="S2735" s="32">
        <f>IF(R2735&lt;&gt;"Não","",IF(Q2735+Config!$B$9&lt;=Config!$B$8,Config!$B$8-Q2735,""))</f>
        <v/>
      </c>
      <c r="T2735" s="26">
        <f>IF(S2735="","","Sim")</f>
        <v/>
      </c>
      <c r="U2735" s="41">
        <f>IF(T2735="Sim",S2735+ROW()/100000,0)</f>
        <v>0</v>
      </c>
      <c r="V2735" s="41">
        <f>IF(AND(H2735="Falta",L2735=Config!$B$7,M2735=Config!$B$5,COUNTIFS($E$5:E2735,E2735,$H$5:H2735,"Falta",$L$5:L2735,Config!$B$7,$M$5:M2735,Config!$B$5)=1),COUNTIFS($E$5:$E$3004,E2735,$H$5:$H$3004,"Falta",$L$5:$L$3004,Config!$B$7,$M$5:$M$3004,Config!$B$5)*1000-ROW()/100000,0)</f>
        <v>0</v>
      </c>
    </row>
    <row r="2736">
      <c r="A2736" s="39" t="n"/>
      <c r="B2736" s="40" t="n"/>
      <c r="C2736" s="35" t="n"/>
      <c r="D2736" s="35" t="n"/>
      <c r="E2736" s="34" t="n"/>
      <c r="F2736" s="35" t="n"/>
      <c r="G2736" s="35" t="n"/>
      <c r="H2736" s="35" t="n"/>
      <c r="I2736" s="35" t="n"/>
      <c r="J2736" s="35" t="n"/>
      <c r="K2736" s="34" t="n"/>
      <c r="L2736" s="26">
        <f>IF(A2736="","",MONTH(A2736))</f>
        <v/>
      </c>
      <c r="M2736" s="26">
        <f>IF(A2736="","",YEAR(A2736))</f>
        <v/>
      </c>
      <c r="N2736" s="26">
        <f>IF(A2736="","",CHOOSE(WEEKDAY(A2736,2),"Segunda","Terça","Quarta","Quinta","Sexta","Sábado","Domingo"))</f>
        <v/>
      </c>
      <c r="O2736" s="26">
        <f>IF(B2736="","",IF(B2736&lt;TIME(12,0,0),"Manhã",IF(B2736&lt;TIME(18,0,0),"Tarde","Noite")))</f>
        <v/>
      </c>
      <c r="P2736" s="32">
        <f>IF(G2736="","",IFERROR(INDEX(Config!$I$5:$I$16,MATCH(G2736,Config!$H$5:$H$16,0)),0))</f>
        <v/>
      </c>
      <c r="Q2736" s="30">
        <f>IF(OR(H2736&lt;&gt;"Realizado",P2736="",P2736=0),"",A2736+P2736)</f>
        <v/>
      </c>
      <c r="R2736" s="26">
        <f>IF(Q2736="","",IF(COUNTIFS($E$5:$E$3004,E2736,$A$5:$A$3004,"&gt;"&amp;A2736,$H$5:$H$3004,"&lt;&gt;Falta",$H$5:$H$3004,"&lt;&gt;Cancelado",$H$5:$H$3004,"&lt;&gt;Remarcado")&gt;0,"Sim","Não"))</f>
        <v/>
      </c>
      <c r="S2736" s="32">
        <f>IF(R2736&lt;&gt;"Não","",IF(Q2736+Config!$B$9&lt;=Config!$B$8,Config!$B$8-Q2736,""))</f>
        <v/>
      </c>
      <c r="T2736" s="26">
        <f>IF(S2736="","","Sim")</f>
        <v/>
      </c>
      <c r="U2736" s="41">
        <f>IF(T2736="Sim",S2736+ROW()/100000,0)</f>
        <v>0</v>
      </c>
      <c r="V2736" s="41">
        <f>IF(AND(H2736="Falta",L2736=Config!$B$7,M2736=Config!$B$5,COUNTIFS($E$5:E2736,E2736,$H$5:H2736,"Falta",$L$5:L2736,Config!$B$7,$M$5:M2736,Config!$B$5)=1),COUNTIFS($E$5:$E$3004,E2736,$H$5:$H$3004,"Falta",$L$5:$L$3004,Config!$B$7,$M$5:$M$3004,Config!$B$5)*1000-ROW()/100000,0)</f>
        <v>0</v>
      </c>
    </row>
    <row r="2737">
      <c r="A2737" s="39" t="n"/>
      <c r="B2737" s="40" t="n"/>
      <c r="C2737" s="35" t="n"/>
      <c r="D2737" s="35" t="n"/>
      <c r="E2737" s="34" t="n"/>
      <c r="F2737" s="35" t="n"/>
      <c r="G2737" s="35" t="n"/>
      <c r="H2737" s="35" t="n"/>
      <c r="I2737" s="35" t="n"/>
      <c r="J2737" s="35" t="n"/>
      <c r="K2737" s="34" t="n"/>
      <c r="L2737" s="26">
        <f>IF(A2737="","",MONTH(A2737))</f>
        <v/>
      </c>
      <c r="M2737" s="26">
        <f>IF(A2737="","",YEAR(A2737))</f>
        <v/>
      </c>
      <c r="N2737" s="26">
        <f>IF(A2737="","",CHOOSE(WEEKDAY(A2737,2),"Segunda","Terça","Quarta","Quinta","Sexta","Sábado","Domingo"))</f>
        <v/>
      </c>
      <c r="O2737" s="26">
        <f>IF(B2737="","",IF(B2737&lt;TIME(12,0,0),"Manhã",IF(B2737&lt;TIME(18,0,0),"Tarde","Noite")))</f>
        <v/>
      </c>
      <c r="P2737" s="32">
        <f>IF(G2737="","",IFERROR(INDEX(Config!$I$5:$I$16,MATCH(G2737,Config!$H$5:$H$16,0)),0))</f>
        <v/>
      </c>
      <c r="Q2737" s="30">
        <f>IF(OR(H2737&lt;&gt;"Realizado",P2737="",P2737=0),"",A2737+P2737)</f>
        <v/>
      </c>
      <c r="R2737" s="26">
        <f>IF(Q2737="","",IF(COUNTIFS($E$5:$E$3004,E2737,$A$5:$A$3004,"&gt;"&amp;A2737,$H$5:$H$3004,"&lt;&gt;Falta",$H$5:$H$3004,"&lt;&gt;Cancelado",$H$5:$H$3004,"&lt;&gt;Remarcado")&gt;0,"Sim","Não"))</f>
        <v/>
      </c>
      <c r="S2737" s="32">
        <f>IF(R2737&lt;&gt;"Não","",IF(Q2737+Config!$B$9&lt;=Config!$B$8,Config!$B$8-Q2737,""))</f>
        <v/>
      </c>
      <c r="T2737" s="26">
        <f>IF(S2737="","","Sim")</f>
        <v/>
      </c>
      <c r="U2737" s="41">
        <f>IF(T2737="Sim",S2737+ROW()/100000,0)</f>
        <v>0</v>
      </c>
      <c r="V2737" s="41">
        <f>IF(AND(H2737="Falta",L2737=Config!$B$7,M2737=Config!$B$5,COUNTIFS($E$5:E2737,E2737,$H$5:H2737,"Falta",$L$5:L2737,Config!$B$7,$M$5:M2737,Config!$B$5)=1),COUNTIFS($E$5:$E$3004,E2737,$H$5:$H$3004,"Falta",$L$5:$L$3004,Config!$B$7,$M$5:$M$3004,Config!$B$5)*1000-ROW()/100000,0)</f>
        <v>0</v>
      </c>
    </row>
    <row r="2738">
      <c r="A2738" s="39" t="n"/>
      <c r="B2738" s="40" t="n"/>
      <c r="C2738" s="35" t="n"/>
      <c r="D2738" s="35" t="n"/>
      <c r="E2738" s="34" t="n"/>
      <c r="F2738" s="35" t="n"/>
      <c r="G2738" s="35" t="n"/>
      <c r="H2738" s="35" t="n"/>
      <c r="I2738" s="35" t="n"/>
      <c r="J2738" s="35" t="n"/>
      <c r="K2738" s="34" t="n"/>
      <c r="L2738" s="26">
        <f>IF(A2738="","",MONTH(A2738))</f>
        <v/>
      </c>
      <c r="M2738" s="26">
        <f>IF(A2738="","",YEAR(A2738))</f>
        <v/>
      </c>
      <c r="N2738" s="26">
        <f>IF(A2738="","",CHOOSE(WEEKDAY(A2738,2),"Segunda","Terça","Quarta","Quinta","Sexta","Sábado","Domingo"))</f>
        <v/>
      </c>
      <c r="O2738" s="26">
        <f>IF(B2738="","",IF(B2738&lt;TIME(12,0,0),"Manhã",IF(B2738&lt;TIME(18,0,0),"Tarde","Noite")))</f>
        <v/>
      </c>
      <c r="P2738" s="32">
        <f>IF(G2738="","",IFERROR(INDEX(Config!$I$5:$I$16,MATCH(G2738,Config!$H$5:$H$16,0)),0))</f>
        <v/>
      </c>
      <c r="Q2738" s="30">
        <f>IF(OR(H2738&lt;&gt;"Realizado",P2738="",P2738=0),"",A2738+P2738)</f>
        <v/>
      </c>
      <c r="R2738" s="26">
        <f>IF(Q2738="","",IF(COUNTIFS($E$5:$E$3004,E2738,$A$5:$A$3004,"&gt;"&amp;A2738,$H$5:$H$3004,"&lt;&gt;Falta",$H$5:$H$3004,"&lt;&gt;Cancelado",$H$5:$H$3004,"&lt;&gt;Remarcado")&gt;0,"Sim","Não"))</f>
        <v/>
      </c>
      <c r="S2738" s="32">
        <f>IF(R2738&lt;&gt;"Não","",IF(Q2738+Config!$B$9&lt;=Config!$B$8,Config!$B$8-Q2738,""))</f>
        <v/>
      </c>
      <c r="T2738" s="26">
        <f>IF(S2738="","","Sim")</f>
        <v/>
      </c>
      <c r="U2738" s="41">
        <f>IF(T2738="Sim",S2738+ROW()/100000,0)</f>
        <v>0</v>
      </c>
      <c r="V2738" s="41">
        <f>IF(AND(H2738="Falta",L2738=Config!$B$7,M2738=Config!$B$5,COUNTIFS($E$5:E2738,E2738,$H$5:H2738,"Falta",$L$5:L2738,Config!$B$7,$M$5:M2738,Config!$B$5)=1),COUNTIFS($E$5:$E$3004,E2738,$H$5:$H$3004,"Falta",$L$5:$L$3004,Config!$B$7,$M$5:$M$3004,Config!$B$5)*1000-ROW()/100000,0)</f>
        <v>0</v>
      </c>
    </row>
    <row r="2739">
      <c r="A2739" s="39" t="n"/>
      <c r="B2739" s="40" t="n"/>
      <c r="C2739" s="35" t="n"/>
      <c r="D2739" s="35" t="n"/>
      <c r="E2739" s="34" t="n"/>
      <c r="F2739" s="35" t="n"/>
      <c r="G2739" s="35" t="n"/>
      <c r="H2739" s="35" t="n"/>
      <c r="I2739" s="35" t="n"/>
      <c r="J2739" s="35" t="n"/>
      <c r="K2739" s="34" t="n"/>
      <c r="L2739" s="26">
        <f>IF(A2739="","",MONTH(A2739))</f>
        <v/>
      </c>
      <c r="M2739" s="26">
        <f>IF(A2739="","",YEAR(A2739))</f>
        <v/>
      </c>
      <c r="N2739" s="26">
        <f>IF(A2739="","",CHOOSE(WEEKDAY(A2739,2),"Segunda","Terça","Quarta","Quinta","Sexta","Sábado","Domingo"))</f>
        <v/>
      </c>
      <c r="O2739" s="26">
        <f>IF(B2739="","",IF(B2739&lt;TIME(12,0,0),"Manhã",IF(B2739&lt;TIME(18,0,0),"Tarde","Noite")))</f>
        <v/>
      </c>
      <c r="P2739" s="32">
        <f>IF(G2739="","",IFERROR(INDEX(Config!$I$5:$I$16,MATCH(G2739,Config!$H$5:$H$16,0)),0))</f>
        <v/>
      </c>
      <c r="Q2739" s="30">
        <f>IF(OR(H2739&lt;&gt;"Realizado",P2739="",P2739=0),"",A2739+P2739)</f>
        <v/>
      </c>
      <c r="R2739" s="26">
        <f>IF(Q2739="","",IF(COUNTIFS($E$5:$E$3004,E2739,$A$5:$A$3004,"&gt;"&amp;A2739,$H$5:$H$3004,"&lt;&gt;Falta",$H$5:$H$3004,"&lt;&gt;Cancelado",$H$5:$H$3004,"&lt;&gt;Remarcado")&gt;0,"Sim","Não"))</f>
        <v/>
      </c>
      <c r="S2739" s="32">
        <f>IF(R2739&lt;&gt;"Não","",IF(Q2739+Config!$B$9&lt;=Config!$B$8,Config!$B$8-Q2739,""))</f>
        <v/>
      </c>
      <c r="T2739" s="26">
        <f>IF(S2739="","","Sim")</f>
        <v/>
      </c>
      <c r="U2739" s="41">
        <f>IF(T2739="Sim",S2739+ROW()/100000,0)</f>
        <v>0</v>
      </c>
      <c r="V2739" s="41">
        <f>IF(AND(H2739="Falta",L2739=Config!$B$7,M2739=Config!$B$5,COUNTIFS($E$5:E2739,E2739,$H$5:H2739,"Falta",$L$5:L2739,Config!$B$7,$M$5:M2739,Config!$B$5)=1),COUNTIFS($E$5:$E$3004,E2739,$H$5:$H$3004,"Falta",$L$5:$L$3004,Config!$B$7,$M$5:$M$3004,Config!$B$5)*1000-ROW()/100000,0)</f>
        <v>0</v>
      </c>
    </row>
    <row r="2740">
      <c r="A2740" s="39" t="n"/>
      <c r="B2740" s="40" t="n"/>
      <c r="C2740" s="35" t="n"/>
      <c r="D2740" s="35" t="n"/>
      <c r="E2740" s="34" t="n"/>
      <c r="F2740" s="35" t="n"/>
      <c r="G2740" s="35" t="n"/>
      <c r="H2740" s="35" t="n"/>
      <c r="I2740" s="35" t="n"/>
      <c r="J2740" s="35" t="n"/>
      <c r="K2740" s="34" t="n"/>
      <c r="L2740" s="26">
        <f>IF(A2740="","",MONTH(A2740))</f>
        <v/>
      </c>
      <c r="M2740" s="26">
        <f>IF(A2740="","",YEAR(A2740))</f>
        <v/>
      </c>
      <c r="N2740" s="26">
        <f>IF(A2740="","",CHOOSE(WEEKDAY(A2740,2),"Segunda","Terça","Quarta","Quinta","Sexta","Sábado","Domingo"))</f>
        <v/>
      </c>
      <c r="O2740" s="26">
        <f>IF(B2740="","",IF(B2740&lt;TIME(12,0,0),"Manhã",IF(B2740&lt;TIME(18,0,0),"Tarde","Noite")))</f>
        <v/>
      </c>
      <c r="P2740" s="32">
        <f>IF(G2740="","",IFERROR(INDEX(Config!$I$5:$I$16,MATCH(G2740,Config!$H$5:$H$16,0)),0))</f>
        <v/>
      </c>
      <c r="Q2740" s="30">
        <f>IF(OR(H2740&lt;&gt;"Realizado",P2740="",P2740=0),"",A2740+P2740)</f>
        <v/>
      </c>
      <c r="R2740" s="26">
        <f>IF(Q2740="","",IF(COUNTIFS($E$5:$E$3004,E2740,$A$5:$A$3004,"&gt;"&amp;A2740,$H$5:$H$3004,"&lt;&gt;Falta",$H$5:$H$3004,"&lt;&gt;Cancelado",$H$5:$H$3004,"&lt;&gt;Remarcado")&gt;0,"Sim","Não"))</f>
        <v/>
      </c>
      <c r="S2740" s="32">
        <f>IF(R2740&lt;&gt;"Não","",IF(Q2740+Config!$B$9&lt;=Config!$B$8,Config!$B$8-Q2740,""))</f>
        <v/>
      </c>
      <c r="T2740" s="26">
        <f>IF(S2740="","","Sim")</f>
        <v/>
      </c>
      <c r="U2740" s="41">
        <f>IF(T2740="Sim",S2740+ROW()/100000,0)</f>
        <v>0</v>
      </c>
      <c r="V2740" s="41">
        <f>IF(AND(H2740="Falta",L2740=Config!$B$7,M2740=Config!$B$5,COUNTIFS($E$5:E2740,E2740,$H$5:H2740,"Falta",$L$5:L2740,Config!$B$7,$M$5:M2740,Config!$B$5)=1),COUNTIFS($E$5:$E$3004,E2740,$H$5:$H$3004,"Falta",$L$5:$L$3004,Config!$B$7,$M$5:$M$3004,Config!$B$5)*1000-ROW()/100000,0)</f>
        <v>0</v>
      </c>
    </row>
    <row r="2741">
      <c r="A2741" s="39" t="n"/>
      <c r="B2741" s="40" t="n"/>
      <c r="C2741" s="35" t="n"/>
      <c r="D2741" s="35" t="n"/>
      <c r="E2741" s="34" t="n"/>
      <c r="F2741" s="35" t="n"/>
      <c r="G2741" s="35" t="n"/>
      <c r="H2741" s="35" t="n"/>
      <c r="I2741" s="35" t="n"/>
      <c r="J2741" s="35" t="n"/>
      <c r="K2741" s="34" t="n"/>
      <c r="L2741" s="26">
        <f>IF(A2741="","",MONTH(A2741))</f>
        <v/>
      </c>
      <c r="M2741" s="26">
        <f>IF(A2741="","",YEAR(A2741))</f>
        <v/>
      </c>
      <c r="N2741" s="26">
        <f>IF(A2741="","",CHOOSE(WEEKDAY(A2741,2),"Segunda","Terça","Quarta","Quinta","Sexta","Sábado","Domingo"))</f>
        <v/>
      </c>
      <c r="O2741" s="26">
        <f>IF(B2741="","",IF(B2741&lt;TIME(12,0,0),"Manhã",IF(B2741&lt;TIME(18,0,0),"Tarde","Noite")))</f>
        <v/>
      </c>
      <c r="P2741" s="32">
        <f>IF(G2741="","",IFERROR(INDEX(Config!$I$5:$I$16,MATCH(G2741,Config!$H$5:$H$16,0)),0))</f>
        <v/>
      </c>
      <c r="Q2741" s="30">
        <f>IF(OR(H2741&lt;&gt;"Realizado",P2741="",P2741=0),"",A2741+P2741)</f>
        <v/>
      </c>
      <c r="R2741" s="26">
        <f>IF(Q2741="","",IF(COUNTIFS($E$5:$E$3004,E2741,$A$5:$A$3004,"&gt;"&amp;A2741,$H$5:$H$3004,"&lt;&gt;Falta",$H$5:$H$3004,"&lt;&gt;Cancelado",$H$5:$H$3004,"&lt;&gt;Remarcado")&gt;0,"Sim","Não"))</f>
        <v/>
      </c>
      <c r="S2741" s="32">
        <f>IF(R2741&lt;&gt;"Não","",IF(Q2741+Config!$B$9&lt;=Config!$B$8,Config!$B$8-Q2741,""))</f>
        <v/>
      </c>
      <c r="T2741" s="26">
        <f>IF(S2741="","","Sim")</f>
        <v/>
      </c>
      <c r="U2741" s="41">
        <f>IF(T2741="Sim",S2741+ROW()/100000,0)</f>
        <v>0</v>
      </c>
      <c r="V2741" s="41">
        <f>IF(AND(H2741="Falta",L2741=Config!$B$7,M2741=Config!$B$5,COUNTIFS($E$5:E2741,E2741,$H$5:H2741,"Falta",$L$5:L2741,Config!$B$7,$M$5:M2741,Config!$B$5)=1),COUNTIFS($E$5:$E$3004,E2741,$H$5:$H$3004,"Falta",$L$5:$L$3004,Config!$B$7,$M$5:$M$3004,Config!$B$5)*1000-ROW()/100000,0)</f>
        <v>0</v>
      </c>
    </row>
    <row r="2742">
      <c r="A2742" s="39" t="n"/>
      <c r="B2742" s="40" t="n"/>
      <c r="C2742" s="35" t="n"/>
      <c r="D2742" s="35" t="n"/>
      <c r="E2742" s="34" t="n"/>
      <c r="F2742" s="35" t="n"/>
      <c r="G2742" s="35" t="n"/>
      <c r="H2742" s="35" t="n"/>
      <c r="I2742" s="35" t="n"/>
      <c r="J2742" s="35" t="n"/>
      <c r="K2742" s="34" t="n"/>
      <c r="L2742" s="26">
        <f>IF(A2742="","",MONTH(A2742))</f>
        <v/>
      </c>
      <c r="M2742" s="26">
        <f>IF(A2742="","",YEAR(A2742))</f>
        <v/>
      </c>
      <c r="N2742" s="26">
        <f>IF(A2742="","",CHOOSE(WEEKDAY(A2742,2),"Segunda","Terça","Quarta","Quinta","Sexta","Sábado","Domingo"))</f>
        <v/>
      </c>
      <c r="O2742" s="26">
        <f>IF(B2742="","",IF(B2742&lt;TIME(12,0,0),"Manhã",IF(B2742&lt;TIME(18,0,0),"Tarde","Noite")))</f>
        <v/>
      </c>
      <c r="P2742" s="32">
        <f>IF(G2742="","",IFERROR(INDEX(Config!$I$5:$I$16,MATCH(G2742,Config!$H$5:$H$16,0)),0))</f>
        <v/>
      </c>
      <c r="Q2742" s="30">
        <f>IF(OR(H2742&lt;&gt;"Realizado",P2742="",P2742=0),"",A2742+P2742)</f>
        <v/>
      </c>
      <c r="R2742" s="26">
        <f>IF(Q2742="","",IF(COUNTIFS($E$5:$E$3004,E2742,$A$5:$A$3004,"&gt;"&amp;A2742,$H$5:$H$3004,"&lt;&gt;Falta",$H$5:$H$3004,"&lt;&gt;Cancelado",$H$5:$H$3004,"&lt;&gt;Remarcado")&gt;0,"Sim","Não"))</f>
        <v/>
      </c>
      <c r="S2742" s="32">
        <f>IF(R2742&lt;&gt;"Não","",IF(Q2742+Config!$B$9&lt;=Config!$B$8,Config!$B$8-Q2742,""))</f>
        <v/>
      </c>
      <c r="T2742" s="26">
        <f>IF(S2742="","","Sim")</f>
        <v/>
      </c>
      <c r="U2742" s="41">
        <f>IF(T2742="Sim",S2742+ROW()/100000,0)</f>
        <v>0</v>
      </c>
      <c r="V2742" s="41">
        <f>IF(AND(H2742="Falta",L2742=Config!$B$7,M2742=Config!$B$5,COUNTIFS($E$5:E2742,E2742,$H$5:H2742,"Falta",$L$5:L2742,Config!$B$7,$M$5:M2742,Config!$B$5)=1),COUNTIFS($E$5:$E$3004,E2742,$H$5:$H$3004,"Falta",$L$5:$L$3004,Config!$B$7,$M$5:$M$3004,Config!$B$5)*1000-ROW()/100000,0)</f>
        <v>0</v>
      </c>
    </row>
    <row r="2743">
      <c r="A2743" s="39" t="n"/>
      <c r="B2743" s="40" t="n"/>
      <c r="C2743" s="35" t="n"/>
      <c r="D2743" s="35" t="n"/>
      <c r="E2743" s="34" t="n"/>
      <c r="F2743" s="35" t="n"/>
      <c r="G2743" s="35" t="n"/>
      <c r="H2743" s="35" t="n"/>
      <c r="I2743" s="35" t="n"/>
      <c r="J2743" s="35" t="n"/>
      <c r="K2743" s="34" t="n"/>
      <c r="L2743" s="26">
        <f>IF(A2743="","",MONTH(A2743))</f>
        <v/>
      </c>
      <c r="M2743" s="26">
        <f>IF(A2743="","",YEAR(A2743))</f>
        <v/>
      </c>
      <c r="N2743" s="26">
        <f>IF(A2743="","",CHOOSE(WEEKDAY(A2743,2),"Segunda","Terça","Quarta","Quinta","Sexta","Sábado","Domingo"))</f>
        <v/>
      </c>
      <c r="O2743" s="26">
        <f>IF(B2743="","",IF(B2743&lt;TIME(12,0,0),"Manhã",IF(B2743&lt;TIME(18,0,0),"Tarde","Noite")))</f>
        <v/>
      </c>
      <c r="P2743" s="32">
        <f>IF(G2743="","",IFERROR(INDEX(Config!$I$5:$I$16,MATCH(G2743,Config!$H$5:$H$16,0)),0))</f>
        <v/>
      </c>
      <c r="Q2743" s="30">
        <f>IF(OR(H2743&lt;&gt;"Realizado",P2743="",P2743=0),"",A2743+P2743)</f>
        <v/>
      </c>
      <c r="R2743" s="26">
        <f>IF(Q2743="","",IF(COUNTIFS($E$5:$E$3004,E2743,$A$5:$A$3004,"&gt;"&amp;A2743,$H$5:$H$3004,"&lt;&gt;Falta",$H$5:$H$3004,"&lt;&gt;Cancelado",$H$5:$H$3004,"&lt;&gt;Remarcado")&gt;0,"Sim","Não"))</f>
        <v/>
      </c>
      <c r="S2743" s="32">
        <f>IF(R2743&lt;&gt;"Não","",IF(Q2743+Config!$B$9&lt;=Config!$B$8,Config!$B$8-Q2743,""))</f>
        <v/>
      </c>
      <c r="T2743" s="26">
        <f>IF(S2743="","","Sim")</f>
        <v/>
      </c>
      <c r="U2743" s="41">
        <f>IF(T2743="Sim",S2743+ROW()/100000,0)</f>
        <v>0</v>
      </c>
      <c r="V2743" s="41">
        <f>IF(AND(H2743="Falta",L2743=Config!$B$7,M2743=Config!$B$5,COUNTIFS($E$5:E2743,E2743,$H$5:H2743,"Falta",$L$5:L2743,Config!$B$7,$M$5:M2743,Config!$B$5)=1),COUNTIFS($E$5:$E$3004,E2743,$H$5:$H$3004,"Falta",$L$5:$L$3004,Config!$B$7,$M$5:$M$3004,Config!$B$5)*1000-ROW()/100000,0)</f>
        <v>0</v>
      </c>
    </row>
    <row r="2744">
      <c r="A2744" s="39" t="n"/>
      <c r="B2744" s="40" t="n"/>
      <c r="C2744" s="35" t="n"/>
      <c r="D2744" s="35" t="n"/>
      <c r="E2744" s="34" t="n"/>
      <c r="F2744" s="35" t="n"/>
      <c r="G2744" s="35" t="n"/>
      <c r="H2744" s="35" t="n"/>
      <c r="I2744" s="35" t="n"/>
      <c r="J2744" s="35" t="n"/>
      <c r="K2744" s="34" t="n"/>
      <c r="L2744" s="26">
        <f>IF(A2744="","",MONTH(A2744))</f>
        <v/>
      </c>
      <c r="M2744" s="26">
        <f>IF(A2744="","",YEAR(A2744))</f>
        <v/>
      </c>
      <c r="N2744" s="26">
        <f>IF(A2744="","",CHOOSE(WEEKDAY(A2744,2),"Segunda","Terça","Quarta","Quinta","Sexta","Sábado","Domingo"))</f>
        <v/>
      </c>
      <c r="O2744" s="26">
        <f>IF(B2744="","",IF(B2744&lt;TIME(12,0,0),"Manhã",IF(B2744&lt;TIME(18,0,0),"Tarde","Noite")))</f>
        <v/>
      </c>
      <c r="P2744" s="32">
        <f>IF(G2744="","",IFERROR(INDEX(Config!$I$5:$I$16,MATCH(G2744,Config!$H$5:$H$16,0)),0))</f>
        <v/>
      </c>
      <c r="Q2744" s="30">
        <f>IF(OR(H2744&lt;&gt;"Realizado",P2744="",P2744=0),"",A2744+P2744)</f>
        <v/>
      </c>
      <c r="R2744" s="26">
        <f>IF(Q2744="","",IF(COUNTIFS($E$5:$E$3004,E2744,$A$5:$A$3004,"&gt;"&amp;A2744,$H$5:$H$3004,"&lt;&gt;Falta",$H$5:$H$3004,"&lt;&gt;Cancelado",$H$5:$H$3004,"&lt;&gt;Remarcado")&gt;0,"Sim","Não"))</f>
        <v/>
      </c>
      <c r="S2744" s="32">
        <f>IF(R2744&lt;&gt;"Não","",IF(Q2744+Config!$B$9&lt;=Config!$B$8,Config!$B$8-Q2744,""))</f>
        <v/>
      </c>
      <c r="T2744" s="26">
        <f>IF(S2744="","","Sim")</f>
        <v/>
      </c>
      <c r="U2744" s="41">
        <f>IF(T2744="Sim",S2744+ROW()/100000,0)</f>
        <v>0</v>
      </c>
      <c r="V2744" s="41">
        <f>IF(AND(H2744="Falta",L2744=Config!$B$7,M2744=Config!$B$5,COUNTIFS($E$5:E2744,E2744,$H$5:H2744,"Falta",$L$5:L2744,Config!$B$7,$M$5:M2744,Config!$B$5)=1),COUNTIFS($E$5:$E$3004,E2744,$H$5:$H$3004,"Falta",$L$5:$L$3004,Config!$B$7,$M$5:$M$3004,Config!$B$5)*1000-ROW()/100000,0)</f>
        <v>0</v>
      </c>
    </row>
    <row r="2745">
      <c r="A2745" s="39" t="n"/>
      <c r="B2745" s="40" t="n"/>
      <c r="C2745" s="35" t="n"/>
      <c r="D2745" s="35" t="n"/>
      <c r="E2745" s="34" t="n"/>
      <c r="F2745" s="35" t="n"/>
      <c r="G2745" s="35" t="n"/>
      <c r="H2745" s="35" t="n"/>
      <c r="I2745" s="35" t="n"/>
      <c r="J2745" s="35" t="n"/>
      <c r="K2745" s="34" t="n"/>
      <c r="L2745" s="26">
        <f>IF(A2745="","",MONTH(A2745))</f>
        <v/>
      </c>
      <c r="M2745" s="26">
        <f>IF(A2745="","",YEAR(A2745))</f>
        <v/>
      </c>
      <c r="N2745" s="26">
        <f>IF(A2745="","",CHOOSE(WEEKDAY(A2745,2),"Segunda","Terça","Quarta","Quinta","Sexta","Sábado","Domingo"))</f>
        <v/>
      </c>
      <c r="O2745" s="26">
        <f>IF(B2745="","",IF(B2745&lt;TIME(12,0,0),"Manhã",IF(B2745&lt;TIME(18,0,0),"Tarde","Noite")))</f>
        <v/>
      </c>
      <c r="P2745" s="32">
        <f>IF(G2745="","",IFERROR(INDEX(Config!$I$5:$I$16,MATCH(G2745,Config!$H$5:$H$16,0)),0))</f>
        <v/>
      </c>
      <c r="Q2745" s="30">
        <f>IF(OR(H2745&lt;&gt;"Realizado",P2745="",P2745=0),"",A2745+P2745)</f>
        <v/>
      </c>
      <c r="R2745" s="26">
        <f>IF(Q2745="","",IF(COUNTIFS($E$5:$E$3004,E2745,$A$5:$A$3004,"&gt;"&amp;A2745,$H$5:$H$3004,"&lt;&gt;Falta",$H$5:$H$3004,"&lt;&gt;Cancelado",$H$5:$H$3004,"&lt;&gt;Remarcado")&gt;0,"Sim","Não"))</f>
        <v/>
      </c>
      <c r="S2745" s="32">
        <f>IF(R2745&lt;&gt;"Não","",IF(Q2745+Config!$B$9&lt;=Config!$B$8,Config!$B$8-Q2745,""))</f>
        <v/>
      </c>
      <c r="T2745" s="26">
        <f>IF(S2745="","","Sim")</f>
        <v/>
      </c>
      <c r="U2745" s="41">
        <f>IF(T2745="Sim",S2745+ROW()/100000,0)</f>
        <v>0</v>
      </c>
      <c r="V2745" s="41">
        <f>IF(AND(H2745="Falta",L2745=Config!$B$7,M2745=Config!$B$5,COUNTIFS($E$5:E2745,E2745,$H$5:H2745,"Falta",$L$5:L2745,Config!$B$7,$M$5:M2745,Config!$B$5)=1),COUNTIFS($E$5:$E$3004,E2745,$H$5:$H$3004,"Falta",$L$5:$L$3004,Config!$B$7,$M$5:$M$3004,Config!$B$5)*1000-ROW()/100000,0)</f>
        <v>0</v>
      </c>
    </row>
    <row r="2746">
      <c r="A2746" s="39" t="n"/>
      <c r="B2746" s="40" t="n"/>
      <c r="C2746" s="35" t="n"/>
      <c r="D2746" s="35" t="n"/>
      <c r="E2746" s="34" t="n"/>
      <c r="F2746" s="35" t="n"/>
      <c r="G2746" s="35" t="n"/>
      <c r="H2746" s="35" t="n"/>
      <c r="I2746" s="35" t="n"/>
      <c r="J2746" s="35" t="n"/>
      <c r="K2746" s="34" t="n"/>
      <c r="L2746" s="26">
        <f>IF(A2746="","",MONTH(A2746))</f>
        <v/>
      </c>
      <c r="M2746" s="26">
        <f>IF(A2746="","",YEAR(A2746))</f>
        <v/>
      </c>
      <c r="N2746" s="26">
        <f>IF(A2746="","",CHOOSE(WEEKDAY(A2746,2),"Segunda","Terça","Quarta","Quinta","Sexta","Sábado","Domingo"))</f>
        <v/>
      </c>
      <c r="O2746" s="26">
        <f>IF(B2746="","",IF(B2746&lt;TIME(12,0,0),"Manhã",IF(B2746&lt;TIME(18,0,0),"Tarde","Noite")))</f>
        <v/>
      </c>
      <c r="P2746" s="32">
        <f>IF(G2746="","",IFERROR(INDEX(Config!$I$5:$I$16,MATCH(G2746,Config!$H$5:$H$16,0)),0))</f>
        <v/>
      </c>
      <c r="Q2746" s="30">
        <f>IF(OR(H2746&lt;&gt;"Realizado",P2746="",P2746=0),"",A2746+P2746)</f>
        <v/>
      </c>
      <c r="R2746" s="26">
        <f>IF(Q2746="","",IF(COUNTIFS($E$5:$E$3004,E2746,$A$5:$A$3004,"&gt;"&amp;A2746,$H$5:$H$3004,"&lt;&gt;Falta",$H$5:$H$3004,"&lt;&gt;Cancelado",$H$5:$H$3004,"&lt;&gt;Remarcado")&gt;0,"Sim","Não"))</f>
        <v/>
      </c>
      <c r="S2746" s="32">
        <f>IF(R2746&lt;&gt;"Não","",IF(Q2746+Config!$B$9&lt;=Config!$B$8,Config!$B$8-Q2746,""))</f>
        <v/>
      </c>
      <c r="T2746" s="26">
        <f>IF(S2746="","","Sim")</f>
        <v/>
      </c>
      <c r="U2746" s="41">
        <f>IF(T2746="Sim",S2746+ROW()/100000,0)</f>
        <v>0</v>
      </c>
      <c r="V2746" s="41">
        <f>IF(AND(H2746="Falta",L2746=Config!$B$7,M2746=Config!$B$5,COUNTIFS($E$5:E2746,E2746,$H$5:H2746,"Falta",$L$5:L2746,Config!$B$7,$M$5:M2746,Config!$B$5)=1),COUNTIFS($E$5:$E$3004,E2746,$H$5:$H$3004,"Falta",$L$5:$L$3004,Config!$B$7,$M$5:$M$3004,Config!$B$5)*1000-ROW()/100000,0)</f>
        <v>0</v>
      </c>
    </row>
    <row r="2747">
      <c r="A2747" s="39" t="n"/>
      <c r="B2747" s="40" t="n"/>
      <c r="C2747" s="35" t="n"/>
      <c r="D2747" s="35" t="n"/>
      <c r="E2747" s="34" t="n"/>
      <c r="F2747" s="35" t="n"/>
      <c r="G2747" s="35" t="n"/>
      <c r="H2747" s="35" t="n"/>
      <c r="I2747" s="35" t="n"/>
      <c r="J2747" s="35" t="n"/>
      <c r="K2747" s="34" t="n"/>
      <c r="L2747" s="26">
        <f>IF(A2747="","",MONTH(A2747))</f>
        <v/>
      </c>
      <c r="M2747" s="26">
        <f>IF(A2747="","",YEAR(A2747))</f>
        <v/>
      </c>
      <c r="N2747" s="26">
        <f>IF(A2747="","",CHOOSE(WEEKDAY(A2747,2),"Segunda","Terça","Quarta","Quinta","Sexta","Sábado","Domingo"))</f>
        <v/>
      </c>
      <c r="O2747" s="26">
        <f>IF(B2747="","",IF(B2747&lt;TIME(12,0,0),"Manhã",IF(B2747&lt;TIME(18,0,0),"Tarde","Noite")))</f>
        <v/>
      </c>
      <c r="P2747" s="32">
        <f>IF(G2747="","",IFERROR(INDEX(Config!$I$5:$I$16,MATCH(G2747,Config!$H$5:$H$16,0)),0))</f>
        <v/>
      </c>
      <c r="Q2747" s="30">
        <f>IF(OR(H2747&lt;&gt;"Realizado",P2747="",P2747=0),"",A2747+P2747)</f>
        <v/>
      </c>
      <c r="R2747" s="26">
        <f>IF(Q2747="","",IF(COUNTIFS($E$5:$E$3004,E2747,$A$5:$A$3004,"&gt;"&amp;A2747,$H$5:$H$3004,"&lt;&gt;Falta",$H$5:$H$3004,"&lt;&gt;Cancelado",$H$5:$H$3004,"&lt;&gt;Remarcado")&gt;0,"Sim","Não"))</f>
        <v/>
      </c>
      <c r="S2747" s="32">
        <f>IF(R2747&lt;&gt;"Não","",IF(Q2747+Config!$B$9&lt;=Config!$B$8,Config!$B$8-Q2747,""))</f>
        <v/>
      </c>
      <c r="T2747" s="26">
        <f>IF(S2747="","","Sim")</f>
        <v/>
      </c>
      <c r="U2747" s="41">
        <f>IF(T2747="Sim",S2747+ROW()/100000,0)</f>
        <v>0</v>
      </c>
      <c r="V2747" s="41">
        <f>IF(AND(H2747="Falta",L2747=Config!$B$7,M2747=Config!$B$5,COUNTIFS($E$5:E2747,E2747,$H$5:H2747,"Falta",$L$5:L2747,Config!$B$7,$M$5:M2747,Config!$B$5)=1),COUNTIFS($E$5:$E$3004,E2747,$H$5:$H$3004,"Falta",$L$5:$L$3004,Config!$B$7,$M$5:$M$3004,Config!$B$5)*1000-ROW()/100000,0)</f>
        <v>0</v>
      </c>
    </row>
    <row r="2748">
      <c r="A2748" s="39" t="n"/>
      <c r="B2748" s="40" t="n"/>
      <c r="C2748" s="35" t="n"/>
      <c r="D2748" s="35" t="n"/>
      <c r="E2748" s="34" t="n"/>
      <c r="F2748" s="35" t="n"/>
      <c r="G2748" s="35" t="n"/>
      <c r="H2748" s="35" t="n"/>
      <c r="I2748" s="35" t="n"/>
      <c r="J2748" s="35" t="n"/>
      <c r="K2748" s="34" t="n"/>
      <c r="L2748" s="26">
        <f>IF(A2748="","",MONTH(A2748))</f>
        <v/>
      </c>
      <c r="M2748" s="26">
        <f>IF(A2748="","",YEAR(A2748))</f>
        <v/>
      </c>
      <c r="N2748" s="26">
        <f>IF(A2748="","",CHOOSE(WEEKDAY(A2748,2),"Segunda","Terça","Quarta","Quinta","Sexta","Sábado","Domingo"))</f>
        <v/>
      </c>
      <c r="O2748" s="26">
        <f>IF(B2748="","",IF(B2748&lt;TIME(12,0,0),"Manhã",IF(B2748&lt;TIME(18,0,0),"Tarde","Noite")))</f>
        <v/>
      </c>
      <c r="P2748" s="32">
        <f>IF(G2748="","",IFERROR(INDEX(Config!$I$5:$I$16,MATCH(G2748,Config!$H$5:$H$16,0)),0))</f>
        <v/>
      </c>
      <c r="Q2748" s="30">
        <f>IF(OR(H2748&lt;&gt;"Realizado",P2748="",P2748=0),"",A2748+P2748)</f>
        <v/>
      </c>
      <c r="R2748" s="26">
        <f>IF(Q2748="","",IF(COUNTIFS($E$5:$E$3004,E2748,$A$5:$A$3004,"&gt;"&amp;A2748,$H$5:$H$3004,"&lt;&gt;Falta",$H$5:$H$3004,"&lt;&gt;Cancelado",$H$5:$H$3004,"&lt;&gt;Remarcado")&gt;0,"Sim","Não"))</f>
        <v/>
      </c>
      <c r="S2748" s="32">
        <f>IF(R2748&lt;&gt;"Não","",IF(Q2748+Config!$B$9&lt;=Config!$B$8,Config!$B$8-Q2748,""))</f>
        <v/>
      </c>
      <c r="T2748" s="26">
        <f>IF(S2748="","","Sim")</f>
        <v/>
      </c>
      <c r="U2748" s="41">
        <f>IF(T2748="Sim",S2748+ROW()/100000,0)</f>
        <v>0</v>
      </c>
      <c r="V2748" s="41">
        <f>IF(AND(H2748="Falta",L2748=Config!$B$7,M2748=Config!$B$5,COUNTIFS($E$5:E2748,E2748,$H$5:H2748,"Falta",$L$5:L2748,Config!$B$7,$M$5:M2748,Config!$B$5)=1),COUNTIFS($E$5:$E$3004,E2748,$H$5:$H$3004,"Falta",$L$5:$L$3004,Config!$B$7,$M$5:$M$3004,Config!$B$5)*1000-ROW()/100000,0)</f>
        <v>0</v>
      </c>
    </row>
    <row r="2749">
      <c r="A2749" s="39" t="n"/>
      <c r="B2749" s="40" t="n"/>
      <c r="C2749" s="35" t="n"/>
      <c r="D2749" s="35" t="n"/>
      <c r="E2749" s="34" t="n"/>
      <c r="F2749" s="35" t="n"/>
      <c r="G2749" s="35" t="n"/>
      <c r="H2749" s="35" t="n"/>
      <c r="I2749" s="35" t="n"/>
      <c r="J2749" s="35" t="n"/>
      <c r="K2749" s="34" t="n"/>
      <c r="L2749" s="26">
        <f>IF(A2749="","",MONTH(A2749))</f>
        <v/>
      </c>
      <c r="M2749" s="26">
        <f>IF(A2749="","",YEAR(A2749))</f>
        <v/>
      </c>
      <c r="N2749" s="26">
        <f>IF(A2749="","",CHOOSE(WEEKDAY(A2749,2),"Segunda","Terça","Quarta","Quinta","Sexta","Sábado","Domingo"))</f>
        <v/>
      </c>
      <c r="O2749" s="26">
        <f>IF(B2749="","",IF(B2749&lt;TIME(12,0,0),"Manhã",IF(B2749&lt;TIME(18,0,0),"Tarde","Noite")))</f>
        <v/>
      </c>
      <c r="P2749" s="32">
        <f>IF(G2749="","",IFERROR(INDEX(Config!$I$5:$I$16,MATCH(G2749,Config!$H$5:$H$16,0)),0))</f>
        <v/>
      </c>
      <c r="Q2749" s="30">
        <f>IF(OR(H2749&lt;&gt;"Realizado",P2749="",P2749=0),"",A2749+P2749)</f>
        <v/>
      </c>
      <c r="R2749" s="26">
        <f>IF(Q2749="","",IF(COUNTIFS($E$5:$E$3004,E2749,$A$5:$A$3004,"&gt;"&amp;A2749,$H$5:$H$3004,"&lt;&gt;Falta",$H$5:$H$3004,"&lt;&gt;Cancelado",$H$5:$H$3004,"&lt;&gt;Remarcado")&gt;0,"Sim","Não"))</f>
        <v/>
      </c>
      <c r="S2749" s="32">
        <f>IF(R2749&lt;&gt;"Não","",IF(Q2749+Config!$B$9&lt;=Config!$B$8,Config!$B$8-Q2749,""))</f>
        <v/>
      </c>
      <c r="T2749" s="26">
        <f>IF(S2749="","","Sim")</f>
        <v/>
      </c>
      <c r="U2749" s="41">
        <f>IF(T2749="Sim",S2749+ROW()/100000,0)</f>
        <v>0</v>
      </c>
      <c r="V2749" s="41">
        <f>IF(AND(H2749="Falta",L2749=Config!$B$7,M2749=Config!$B$5,COUNTIFS($E$5:E2749,E2749,$H$5:H2749,"Falta",$L$5:L2749,Config!$B$7,$M$5:M2749,Config!$B$5)=1),COUNTIFS($E$5:$E$3004,E2749,$H$5:$H$3004,"Falta",$L$5:$L$3004,Config!$B$7,$M$5:$M$3004,Config!$B$5)*1000-ROW()/100000,0)</f>
        <v>0</v>
      </c>
    </row>
    <row r="2750">
      <c r="A2750" s="39" t="n"/>
      <c r="B2750" s="40" t="n"/>
      <c r="C2750" s="35" t="n"/>
      <c r="D2750" s="35" t="n"/>
      <c r="E2750" s="34" t="n"/>
      <c r="F2750" s="35" t="n"/>
      <c r="G2750" s="35" t="n"/>
      <c r="H2750" s="35" t="n"/>
      <c r="I2750" s="35" t="n"/>
      <c r="J2750" s="35" t="n"/>
      <c r="K2750" s="34" t="n"/>
      <c r="L2750" s="26">
        <f>IF(A2750="","",MONTH(A2750))</f>
        <v/>
      </c>
      <c r="M2750" s="26">
        <f>IF(A2750="","",YEAR(A2750))</f>
        <v/>
      </c>
      <c r="N2750" s="26">
        <f>IF(A2750="","",CHOOSE(WEEKDAY(A2750,2),"Segunda","Terça","Quarta","Quinta","Sexta","Sábado","Domingo"))</f>
        <v/>
      </c>
      <c r="O2750" s="26">
        <f>IF(B2750="","",IF(B2750&lt;TIME(12,0,0),"Manhã",IF(B2750&lt;TIME(18,0,0),"Tarde","Noite")))</f>
        <v/>
      </c>
      <c r="P2750" s="32">
        <f>IF(G2750="","",IFERROR(INDEX(Config!$I$5:$I$16,MATCH(G2750,Config!$H$5:$H$16,0)),0))</f>
        <v/>
      </c>
      <c r="Q2750" s="30">
        <f>IF(OR(H2750&lt;&gt;"Realizado",P2750="",P2750=0),"",A2750+P2750)</f>
        <v/>
      </c>
      <c r="R2750" s="26">
        <f>IF(Q2750="","",IF(COUNTIFS($E$5:$E$3004,E2750,$A$5:$A$3004,"&gt;"&amp;A2750,$H$5:$H$3004,"&lt;&gt;Falta",$H$5:$H$3004,"&lt;&gt;Cancelado",$H$5:$H$3004,"&lt;&gt;Remarcado")&gt;0,"Sim","Não"))</f>
        <v/>
      </c>
      <c r="S2750" s="32">
        <f>IF(R2750&lt;&gt;"Não","",IF(Q2750+Config!$B$9&lt;=Config!$B$8,Config!$B$8-Q2750,""))</f>
        <v/>
      </c>
      <c r="T2750" s="26">
        <f>IF(S2750="","","Sim")</f>
        <v/>
      </c>
      <c r="U2750" s="41">
        <f>IF(T2750="Sim",S2750+ROW()/100000,0)</f>
        <v>0</v>
      </c>
      <c r="V2750" s="41">
        <f>IF(AND(H2750="Falta",L2750=Config!$B$7,M2750=Config!$B$5,COUNTIFS($E$5:E2750,E2750,$H$5:H2750,"Falta",$L$5:L2750,Config!$B$7,$M$5:M2750,Config!$B$5)=1),COUNTIFS($E$5:$E$3004,E2750,$H$5:$H$3004,"Falta",$L$5:$L$3004,Config!$B$7,$M$5:$M$3004,Config!$B$5)*1000-ROW()/100000,0)</f>
        <v>0</v>
      </c>
    </row>
    <row r="2751">
      <c r="A2751" s="39" t="n"/>
      <c r="B2751" s="40" t="n"/>
      <c r="C2751" s="35" t="n"/>
      <c r="D2751" s="35" t="n"/>
      <c r="E2751" s="34" t="n"/>
      <c r="F2751" s="35" t="n"/>
      <c r="G2751" s="35" t="n"/>
      <c r="H2751" s="35" t="n"/>
      <c r="I2751" s="35" t="n"/>
      <c r="J2751" s="35" t="n"/>
      <c r="K2751" s="34" t="n"/>
      <c r="L2751" s="26">
        <f>IF(A2751="","",MONTH(A2751))</f>
        <v/>
      </c>
      <c r="M2751" s="26">
        <f>IF(A2751="","",YEAR(A2751))</f>
        <v/>
      </c>
      <c r="N2751" s="26">
        <f>IF(A2751="","",CHOOSE(WEEKDAY(A2751,2),"Segunda","Terça","Quarta","Quinta","Sexta","Sábado","Domingo"))</f>
        <v/>
      </c>
      <c r="O2751" s="26">
        <f>IF(B2751="","",IF(B2751&lt;TIME(12,0,0),"Manhã",IF(B2751&lt;TIME(18,0,0),"Tarde","Noite")))</f>
        <v/>
      </c>
      <c r="P2751" s="32">
        <f>IF(G2751="","",IFERROR(INDEX(Config!$I$5:$I$16,MATCH(G2751,Config!$H$5:$H$16,0)),0))</f>
        <v/>
      </c>
      <c r="Q2751" s="30">
        <f>IF(OR(H2751&lt;&gt;"Realizado",P2751="",P2751=0),"",A2751+P2751)</f>
        <v/>
      </c>
      <c r="R2751" s="26">
        <f>IF(Q2751="","",IF(COUNTIFS($E$5:$E$3004,E2751,$A$5:$A$3004,"&gt;"&amp;A2751,$H$5:$H$3004,"&lt;&gt;Falta",$H$5:$H$3004,"&lt;&gt;Cancelado",$H$5:$H$3004,"&lt;&gt;Remarcado")&gt;0,"Sim","Não"))</f>
        <v/>
      </c>
      <c r="S2751" s="32">
        <f>IF(R2751&lt;&gt;"Não","",IF(Q2751+Config!$B$9&lt;=Config!$B$8,Config!$B$8-Q2751,""))</f>
        <v/>
      </c>
      <c r="T2751" s="26">
        <f>IF(S2751="","","Sim")</f>
        <v/>
      </c>
      <c r="U2751" s="41">
        <f>IF(T2751="Sim",S2751+ROW()/100000,0)</f>
        <v>0</v>
      </c>
      <c r="V2751" s="41">
        <f>IF(AND(H2751="Falta",L2751=Config!$B$7,M2751=Config!$B$5,COUNTIFS($E$5:E2751,E2751,$H$5:H2751,"Falta",$L$5:L2751,Config!$B$7,$M$5:M2751,Config!$B$5)=1),COUNTIFS($E$5:$E$3004,E2751,$H$5:$H$3004,"Falta",$L$5:$L$3004,Config!$B$7,$M$5:$M$3004,Config!$B$5)*1000-ROW()/100000,0)</f>
        <v>0</v>
      </c>
    </row>
    <row r="2752">
      <c r="A2752" s="39" t="n"/>
      <c r="B2752" s="40" t="n"/>
      <c r="C2752" s="35" t="n"/>
      <c r="D2752" s="35" t="n"/>
      <c r="E2752" s="34" t="n"/>
      <c r="F2752" s="35" t="n"/>
      <c r="G2752" s="35" t="n"/>
      <c r="H2752" s="35" t="n"/>
      <c r="I2752" s="35" t="n"/>
      <c r="J2752" s="35" t="n"/>
      <c r="K2752" s="34" t="n"/>
      <c r="L2752" s="26">
        <f>IF(A2752="","",MONTH(A2752))</f>
        <v/>
      </c>
      <c r="M2752" s="26">
        <f>IF(A2752="","",YEAR(A2752))</f>
        <v/>
      </c>
      <c r="N2752" s="26">
        <f>IF(A2752="","",CHOOSE(WEEKDAY(A2752,2),"Segunda","Terça","Quarta","Quinta","Sexta","Sábado","Domingo"))</f>
        <v/>
      </c>
      <c r="O2752" s="26">
        <f>IF(B2752="","",IF(B2752&lt;TIME(12,0,0),"Manhã",IF(B2752&lt;TIME(18,0,0),"Tarde","Noite")))</f>
        <v/>
      </c>
      <c r="P2752" s="32">
        <f>IF(G2752="","",IFERROR(INDEX(Config!$I$5:$I$16,MATCH(G2752,Config!$H$5:$H$16,0)),0))</f>
        <v/>
      </c>
      <c r="Q2752" s="30">
        <f>IF(OR(H2752&lt;&gt;"Realizado",P2752="",P2752=0),"",A2752+P2752)</f>
        <v/>
      </c>
      <c r="R2752" s="26">
        <f>IF(Q2752="","",IF(COUNTIFS($E$5:$E$3004,E2752,$A$5:$A$3004,"&gt;"&amp;A2752,$H$5:$H$3004,"&lt;&gt;Falta",$H$5:$H$3004,"&lt;&gt;Cancelado",$H$5:$H$3004,"&lt;&gt;Remarcado")&gt;0,"Sim","Não"))</f>
        <v/>
      </c>
      <c r="S2752" s="32">
        <f>IF(R2752&lt;&gt;"Não","",IF(Q2752+Config!$B$9&lt;=Config!$B$8,Config!$B$8-Q2752,""))</f>
        <v/>
      </c>
      <c r="T2752" s="26">
        <f>IF(S2752="","","Sim")</f>
        <v/>
      </c>
      <c r="U2752" s="41">
        <f>IF(T2752="Sim",S2752+ROW()/100000,0)</f>
        <v>0</v>
      </c>
      <c r="V2752" s="41">
        <f>IF(AND(H2752="Falta",L2752=Config!$B$7,M2752=Config!$B$5,COUNTIFS($E$5:E2752,E2752,$H$5:H2752,"Falta",$L$5:L2752,Config!$B$7,$M$5:M2752,Config!$B$5)=1),COUNTIFS($E$5:$E$3004,E2752,$H$5:$H$3004,"Falta",$L$5:$L$3004,Config!$B$7,$M$5:$M$3004,Config!$B$5)*1000-ROW()/100000,0)</f>
        <v>0</v>
      </c>
    </row>
    <row r="2753">
      <c r="A2753" s="39" t="n"/>
      <c r="B2753" s="40" t="n"/>
      <c r="C2753" s="35" t="n"/>
      <c r="D2753" s="35" t="n"/>
      <c r="E2753" s="34" t="n"/>
      <c r="F2753" s="35" t="n"/>
      <c r="G2753" s="35" t="n"/>
      <c r="H2753" s="35" t="n"/>
      <c r="I2753" s="35" t="n"/>
      <c r="J2753" s="35" t="n"/>
      <c r="K2753" s="34" t="n"/>
      <c r="L2753" s="26">
        <f>IF(A2753="","",MONTH(A2753))</f>
        <v/>
      </c>
      <c r="M2753" s="26">
        <f>IF(A2753="","",YEAR(A2753))</f>
        <v/>
      </c>
      <c r="N2753" s="26">
        <f>IF(A2753="","",CHOOSE(WEEKDAY(A2753,2),"Segunda","Terça","Quarta","Quinta","Sexta","Sábado","Domingo"))</f>
        <v/>
      </c>
      <c r="O2753" s="26">
        <f>IF(B2753="","",IF(B2753&lt;TIME(12,0,0),"Manhã",IF(B2753&lt;TIME(18,0,0),"Tarde","Noite")))</f>
        <v/>
      </c>
      <c r="P2753" s="32">
        <f>IF(G2753="","",IFERROR(INDEX(Config!$I$5:$I$16,MATCH(G2753,Config!$H$5:$H$16,0)),0))</f>
        <v/>
      </c>
      <c r="Q2753" s="30">
        <f>IF(OR(H2753&lt;&gt;"Realizado",P2753="",P2753=0),"",A2753+P2753)</f>
        <v/>
      </c>
      <c r="R2753" s="26">
        <f>IF(Q2753="","",IF(COUNTIFS($E$5:$E$3004,E2753,$A$5:$A$3004,"&gt;"&amp;A2753,$H$5:$H$3004,"&lt;&gt;Falta",$H$5:$H$3004,"&lt;&gt;Cancelado",$H$5:$H$3004,"&lt;&gt;Remarcado")&gt;0,"Sim","Não"))</f>
        <v/>
      </c>
      <c r="S2753" s="32">
        <f>IF(R2753&lt;&gt;"Não","",IF(Q2753+Config!$B$9&lt;=Config!$B$8,Config!$B$8-Q2753,""))</f>
        <v/>
      </c>
      <c r="T2753" s="26">
        <f>IF(S2753="","","Sim")</f>
        <v/>
      </c>
      <c r="U2753" s="41">
        <f>IF(T2753="Sim",S2753+ROW()/100000,0)</f>
        <v>0</v>
      </c>
      <c r="V2753" s="41">
        <f>IF(AND(H2753="Falta",L2753=Config!$B$7,M2753=Config!$B$5,COUNTIFS($E$5:E2753,E2753,$H$5:H2753,"Falta",$L$5:L2753,Config!$B$7,$M$5:M2753,Config!$B$5)=1),COUNTIFS($E$5:$E$3004,E2753,$H$5:$H$3004,"Falta",$L$5:$L$3004,Config!$B$7,$M$5:$M$3004,Config!$B$5)*1000-ROW()/100000,0)</f>
        <v>0</v>
      </c>
    </row>
    <row r="2754">
      <c r="A2754" s="39" t="n"/>
      <c r="B2754" s="40" t="n"/>
      <c r="C2754" s="35" t="n"/>
      <c r="D2754" s="35" t="n"/>
      <c r="E2754" s="34" t="n"/>
      <c r="F2754" s="35" t="n"/>
      <c r="G2754" s="35" t="n"/>
      <c r="H2754" s="35" t="n"/>
      <c r="I2754" s="35" t="n"/>
      <c r="J2754" s="35" t="n"/>
      <c r="K2754" s="34" t="n"/>
      <c r="L2754" s="26">
        <f>IF(A2754="","",MONTH(A2754))</f>
        <v/>
      </c>
      <c r="M2754" s="26">
        <f>IF(A2754="","",YEAR(A2754))</f>
        <v/>
      </c>
      <c r="N2754" s="26">
        <f>IF(A2754="","",CHOOSE(WEEKDAY(A2754,2),"Segunda","Terça","Quarta","Quinta","Sexta","Sábado","Domingo"))</f>
        <v/>
      </c>
      <c r="O2754" s="26">
        <f>IF(B2754="","",IF(B2754&lt;TIME(12,0,0),"Manhã",IF(B2754&lt;TIME(18,0,0),"Tarde","Noite")))</f>
        <v/>
      </c>
      <c r="P2754" s="32">
        <f>IF(G2754="","",IFERROR(INDEX(Config!$I$5:$I$16,MATCH(G2754,Config!$H$5:$H$16,0)),0))</f>
        <v/>
      </c>
      <c r="Q2754" s="30">
        <f>IF(OR(H2754&lt;&gt;"Realizado",P2754="",P2754=0),"",A2754+P2754)</f>
        <v/>
      </c>
      <c r="R2754" s="26">
        <f>IF(Q2754="","",IF(COUNTIFS($E$5:$E$3004,E2754,$A$5:$A$3004,"&gt;"&amp;A2754,$H$5:$H$3004,"&lt;&gt;Falta",$H$5:$H$3004,"&lt;&gt;Cancelado",$H$5:$H$3004,"&lt;&gt;Remarcado")&gt;0,"Sim","Não"))</f>
        <v/>
      </c>
      <c r="S2754" s="32">
        <f>IF(R2754&lt;&gt;"Não","",IF(Q2754+Config!$B$9&lt;=Config!$B$8,Config!$B$8-Q2754,""))</f>
        <v/>
      </c>
      <c r="T2754" s="26">
        <f>IF(S2754="","","Sim")</f>
        <v/>
      </c>
      <c r="U2754" s="41">
        <f>IF(T2754="Sim",S2754+ROW()/100000,0)</f>
        <v>0</v>
      </c>
      <c r="V2754" s="41">
        <f>IF(AND(H2754="Falta",L2754=Config!$B$7,M2754=Config!$B$5,COUNTIFS($E$5:E2754,E2754,$H$5:H2754,"Falta",$L$5:L2754,Config!$B$7,$M$5:M2754,Config!$B$5)=1),COUNTIFS($E$5:$E$3004,E2754,$H$5:$H$3004,"Falta",$L$5:$L$3004,Config!$B$7,$M$5:$M$3004,Config!$B$5)*1000-ROW()/100000,0)</f>
        <v>0</v>
      </c>
    </row>
    <row r="2755">
      <c r="A2755" s="39" t="n"/>
      <c r="B2755" s="40" t="n"/>
      <c r="C2755" s="35" t="n"/>
      <c r="D2755" s="35" t="n"/>
      <c r="E2755" s="34" t="n"/>
      <c r="F2755" s="35" t="n"/>
      <c r="G2755" s="35" t="n"/>
      <c r="H2755" s="35" t="n"/>
      <c r="I2755" s="35" t="n"/>
      <c r="J2755" s="35" t="n"/>
      <c r="K2755" s="34" t="n"/>
      <c r="L2755" s="26">
        <f>IF(A2755="","",MONTH(A2755))</f>
        <v/>
      </c>
      <c r="M2755" s="26">
        <f>IF(A2755="","",YEAR(A2755))</f>
        <v/>
      </c>
      <c r="N2755" s="26">
        <f>IF(A2755="","",CHOOSE(WEEKDAY(A2755,2),"Segunda","Terça","Quarta","Quinta","Sexta","Sábado","Domingo"))</f>
        <v/>
      </c>
      <c r="O2755" s="26">
        <f>IF(B2755="","",IF(B2755&lt;TIME(12,0,0),"Manhã",IF(B2755&lt;TIME(18,0,0),"Tarde","Noite")))</f>
        <v/>
      </c>
      <c r="P2755" s="32">
        <f>IF(G2755="","",IFERROR(INDEX(Config!$I$5:$I$16,MATCH(G2755,Config!$H$5:$H$16,0)),0))</f>
        <v/>
      </c>
      <c r="Q2755" s="30">
        <f>IF(OR(H2755&lt;&gt;"Realizado",P2755="",P2755=0),"",A2755+P2755)</f>
        <v/>
      </c>
      <c r="R2755" s="26">
        <f>IF(Q2755="","",IF(COUNTIFS($E$5:$E$3004,E2755,$A$5:$A$3004,"&gt;"&amp;A2755,$H$5:$H$3004,"&lt;&gt;Falta",$H$5:$H$3004,"&lt;&gt;Cancelado",$H$5:$H$3004,"&lt;&gt;Remarcado")&gt;0,"Sim","Não"))</f>
        <v/>
      </c>
      <c r="S2755" s="32">
        <f>IF(R2755&lt;&gt;"Não","",IF(Q2755+Config!$B$9&lt;=Config!$B$8,Config!$B$8-Q2755,""))</f>
        <v/>
      </c>
      <c r="T2755" s="26">
        <f>IF(S2755="","","Sim")</f>
        <v/>
      </c>
      <c r="U2755" s="41">
        <f>IF(T2755="Sim",S2755+ROW()/100000,0)</f>
        <v>0</v>
      </c>
      <c r="V2755" s="41">
        <f>IF(AND(H2755="Falta",L2755=Config!$B$7,M2755=Config!$B$5,COUNTIFS($E$5:E2755,E2755,$H$5:H2755,"Falta",$L$5:L2755,Config!$B$7,$M$5:M2755,Config!$B$5)=1),COUNTIFS($E$5:$E$3004,E2755,$H$5:$H$3004,"Falta",$L$5:$L$3004,Config!$B$7,$M$5:$M$3004,Config!$B$5)*1000-ROW()/100000,0)</f>
        <v>0</v>
      </c>
    </row>
    <row r="2756">
      <c r="A2756" s="39" t="n"/>
      <c r="B2756" s="40" t="n"/>
      <c r="C2756" s="35" t="n"/>
      <c r="D2756" s="35" t="n"/>
      <c r="E2756" s="34" t="n"/>
      <c r="F2756" s="35" t="n"/>
      <c r="G2756" s="35" t="n"/>
      <c r="H2756" s="35" t="n"/>
      <c r="I2756" s="35" t="n"/>
      <c r="J2756" s="35" t="n"/>
      <c r="K2756" s="34" t="n"/>
      <c r="L2756" s="26">
        <f>IF(A2756="","",MONTH(A2756))</f>
        <v/>
      </c>
      <c r="M2756" s="26">
        <f>IF(A2756="","",YEAR(A2756))</f>
        <v/>
      </c>
      <c r="N2756" s="26">
        <f>IF(A2756="","",CHOOSE(WEEKDAY(A2756,2),"Segunda","Terça","Quarta","Quinta","Sexta","Sábado","Domingo"))</f>
        <v/>
      </c>
      <c r="O2756" s="26">
        <f>IF(B2756="","",IF(B2756&lt;TIME(12,0,0),"Manhã",IF(B2756&lt;TIME(18,0,0),"Tarde","Noite")))</f>
        <v/>
      </c>
      <c r="P2756" s="32">
        <f>IF(G2756="","",IFERROR(INDEX(Config!$I$5:$I$16,MATCH(G2756,Config!$H$5:$H$16,0)),0))</f>
        <v/>
      </c>
      <c r="Q2756" s="30">
        <f>IF(OR(H2756&lt;&gt;"Realizado",P2756="",P2756=0),"",A2756+P2756)</f>
        <v/>
      </c>
      <c r="R2756" s="26">
        <f>IF(Q2756="","",IF(COUNTIFS($E$5:$E$3004,E2756,$A$5:$A$3004,"&gt;"&amp;A2756,$H$5:$H$3004,"&lt;&gt;Falta",$H$5:$H$3004,"&lt;&gt;Cancelado",$H$5:$H$3004,"&lt;&gt;Remarcado")&gt;0,"Sim","Não"))</f>
        <v/>
      </c>
      <c r="S2756" s="32">
        <f>IF(R2756&lt;&gt;"Não","",IF(Q2756+Config!$B$9&lt;=Config!$B$8,Config!$B$8-Q2756,""))</f>
        <v/>
      </c>
      <c r="T2756" s="26">
        <f>IF(S2756="","","Sim")</f>
        <v/>
      </c>
      <c r="U2756" s="41">
        <f>IF(T2756="Sim",S2756+ROW()/100000,0)</f>
        <v>0</v>
      </c>
      <c r="V2756" s="41">
        <f>IF(AND(H2756="Falta",L2756=Config!$B$7,M2756=Config!$B$5,COUNTIFS($E$5:E2756,E2756,$H$5:H2756,"Falta",$L$5:L2756,Config!$B$7,$M$5:M2756,Config!$B$5)=1),COUNTIFS($E$5:$E$3004,E2756,$H$5:$H$3004,"Falta",$L$5:$L$3004,Config!$B$7,$M$5:$M$3004,Config!$B$5)*1000-ROW()/100000,0)</f>
        <v>0</v>
      </c>
    </row>
    <row r="2757">
      <c r="A2757" s="39" t="n"/>
      <c r="B2757" s="40" t="n"/>
      <c r="C2757" s="35" t="n"/>
      <c r="D2757" s="35" t="n"/>
      <c r="E2757" s="34" t="n"/>
      <c r="F2757" s="35" t="n"/>
      <c r="G2757" s="35" t="n"/>
      <c r="H2757" s="35" t="n"/>
      <c r="I2757" s="35" t="n"/>
      <c r="J2757" s="35" t="n"/>
      <c r="K2757" s="34" t="n"/>
      <c r="L2757" s="26">
        <f>IF(A2757="","",MONTH(A2757))</f>
        <v/>
      </c>
      <c r="M2757" s="26">
        <f>IF(A2757="","",YEAR(A2757))</f>
        <v/>
      </c>
      <c r="N2757" s="26">
        <f>IF(A2757="","",CHOOSE(WEEKDAY(A2757,2),"Segunda","Terça","Quarta","Quinta","Sexta","Sábado","Domingo"))</f>
        <v/>
      </c>
      <c r="O2757" s="26">
        <f>IF(B2757="","",IF(B2757&lt;TIME(12,0,0),"Manhã",IF(B2757&lt;TIME(18,0,0),"Tarde","Noite")))</f>
        <v/>
      </c>
      <c r="P2757" s="32">
        <f>IF(G2757="","",IFERROR(INDEX(Config!$I$5:$I$16,MATCH(G2757,Config!$H$5:$H$16,0)),0))</f>
        <v/>
      </c>
      <c r="Q2757" s="30">
        <f>IF(OR(H2757&lt;&gt;"Realizado",P2757="",P2757=0),"",A2757+P2757)</f>
        <v/>
      </c>
      <c r="R2757" s="26">
        <f>IF(Q2757="","",IF(COUNTIFS($E$5:$E$3004,E2757,$A$5:$A$3004,"&gt;"&amp;A2757,$H$5:$H$3004,"&lt;&gt;Falta",$H$5:$H$3004,"&lt;&gt;Cancelado",$H$5:$H$3004,"&lt;&gt;Remarcado")&gt;0,"Sim","Não"))</f>
        <v/>
      </c>
      <c r="S2757" s="32">
        <f>IF(R2757&lt;&gt;"Não","",IF(Q2757+Config!$B$9&lt;=Config!$B$8,Config!$B$8-Q2757,""))</f>
        <v/>
      </c>
      <c r="T2757" s="26">
        <f>IF(S2757="","","Sim")</f>
        <v/>
      </c>
      <c r="U2757" s="41">
        <f>IF(T2757="Sim",S2757+ROW()/100000,0)</f>
        <v>0</v>
      </c>
      <c r="V2757" s="41">
        <f>IF(AND(H2757="Falta",L2757=Config!$B$7,M2757=Config!$B$5,COUNTIFS($E$5:E2757,E2757,$H$5:H2757,"Falta",$L$5:L2757,Config!$B$7,$M$5:M2757,Config!$B$5)=1),COUNTIFS($E$5:$E$3004,E2757,$H$5:$H$3004,"Falta",$L$5:$L$3004,Config!$B$7,$M$5:$M$3004,Config!$B$5)*1000-ROW()/100000,0)</f>
        <v>0</v>
      </c>
    </row>
    <row r="2758">
      <c r="A2758" s="39" t="n"/>
      <c r="B2758" s="40" t="n"/>
      <c r="C2758" s="35" t="n"/>
      <c r="D2758" s="35" t="n"/>
      <c r="E2758" s="34" t="n"/>
      <c r="F2758" s="35" t="n"/>
      <c r="G2758" s="35" t="n"/>
      <c r="H2758" s="35" t="n"/>
      <c r="I2758" s="35" t="n"/>
      <c r="J2758" s="35" t="n"/>
      <c r="K2758" s="34" t="n"/>
      <c r="L2758" s="26">
        <f>IF(A2758="","",MONTH(A2758))</f>
        <v/>
      </c>
      <c r="M2758" s="26">
        <f>IF(A2758="","",YEAR(A2758))</f>
        <v/>
      </c>
      <c r="N2758" s="26">
        <f>IF(A2758="","",CHOOSE(WEEKDAY(A2758,2),"Segunda","Terça","Quarta","Quinta","Sexta","Sábado","Domingo"))</f>
        <v/>
      </c>
      <c r="O2758" s="26">
        <f>IF(B2758="","",IF(B2758&lt;TIME(12,0,0),"Manhã",IF(B2758&lt;TIME(18,0,0),"Tarde","Noite")))</f>
        <v/>
      </c>
      <c r="P2758" s="32">
        <f>IF(G2758="","",IFERROR(INDEX(Config!$I$5:$I$16,MATCH(G2758,Config!$H$5:$H$16,0)),0))</f>
        <v/>
      </c>
      <c r="Q2758" s="30">
        <f>IF(OR(H2758&lt;&gt;"Realizado",P2758="",P2758=0),"",A2758+P2758)</f>
        <v/>
      </c>
      <c r="R2758" s="26">
        <f>IF(Q2758="","",IF(COUNTIFS($E$5:$E$3004,E2758,$A$5:$A$3004,"&gt;"&amp;A2758,$H$5:$H$3004,"&lt;&gt;Falta",$H$5:$H$3004,"&lt;&gt;Cancelado",$H$5:$H$3004,"&lt;&gt;Remarcado")&gt;0,"Sim","Não"))</f>
        <v/>
      </c>
      <c r="S2758" s="32">
        <f>IF(R2758&lt;&gt;"Não","",IF(Q2758+Config!$B$9&lt;=Config!$B$8,Config!$B$8-Q2758,""))</f>
        <v/>
      </c>
      <c r="T2758" s="26">
        <f>IF(S2758="","","Sim")</f>
        <v/>
      </c>
      <c r="U2758" s="41">
        <f>IF(T2758="Sim",S2758+ROW()/100000,0)</f>
        <v>0</v>
      </c>
      <c r="V2758" s="41">
        <f>IF(AND(H2758="Falta",L2758=Config!$B$7,M2758=Config!$B$5,COUNTIFS($E$5:E2758,E2758,$H$5:H2758,"Falta",$L$5:L2758,Config!$B$7,$M$5:M2758,Config!$B$5)=1),COUNTIFS($E$5:$E$3004,E2758,$H$5:$H$3004,"Falta",$L$5:$L$3004,Config!$B$7,$M$5:$M$3004,Config!$B$5)*1000-ROW()/100000,0)</f>
        <v>0</v>
      </c>
    </row>
    <row r="2759">
      <c r="A2759" s="39" t="n"/>
      <c r="B2759" s="40" t="n"/>
      <c r="C2759" s="35" t="n"/>
      <c r="D2759" s="35" t="n"/>
      <c r="E2759" s="34" t="n"/>
      <c r="F2759" s="35" t="n"/>
      <c r="G2759" s="35" t="n"/>
      <c r="H2759" s="35" t="n"/>
      <c r="I2759" s="35" t="n"/>
      <c r="J2759" s="35" t="n"/>
      <c r="K2759" s="34" t="n"/>
      <c r="L2759" s="26">
        <f>IF(A2759="","",MONTH(A2759))</f>
        <v/>
      </c>
      <c r="M2759" s="26">
        <f>IF(A2759="","",YEAR(A2759))</f>
        <v/>
      </c>
      <c r="N2759" s="26">
        <f>IF(A2759="","",CHOOSE(WEEKDAY(A2759,2),"Segunda","Terça","Quarta","Quinta","Sexta","Sábado","Domingo"))</f>
        <v/>
      </c>
      <c r="O2759" s="26">
        <f>IF(B2759="","",IF(B2759&lt;TIME(12,0,0),"Manhã",IF(B2759&lt;TIME(18,0,0),"Tarde","Noite")))</f>
        <v/>
      </c>
      <c r="P2759" s="32">
        <f>IF(G2759="","",IFERROR(INDEX(Config!$I$5:$I$16,MATCH(G2759,Config!$H$5:$H$16,0)),0))</f>
        <v/>
      </c>
      <c r="Q2759" s="30">
        <f>IF(OR(H2759&lt;&gt;"Realizado",P2759="",P2759=0),"",A2759+P2759)</f>
        <v/>
      </c>
      <c r="R2759" s="26">
        <f>IF(Q2759="","",IF(COUNTIFS($E$5:$E$3004,E2759,$A$5:$A$3004,"&gt;"&amp;A2759,$H$5:$H$3004,"&lt;&gt;Falta",$H$5:$H$3004,"&lt;&gt;Cancelado",$H$5:$H$3004,"&lt;&gt;Remarcado")&gt;0,"Sim","Não"))</f>
        <v/>
      </c>
      <c r="S2759" s="32">
        <f>IF(R2759&lt;&gt;"Não","",IF(Q2759+Config!$B$9&lt;=Config!$B$8,Config!$B$8-Q2759,""))</f>
        <v/>
      </c>
      <c r="T2759" s="26">
        <f>IF(S2759="","","Sim")</f>
        <v/>
      </c>
      <c r="U2759" s="41">
        <f>IF(T2759="Sim",S2759+ROW()/100000,0)</f>
        <v>0</v>
      </c>
      <c r="V2759" s="41">
        <f>IF(AND(H2759="Falta",L2759=Config!$B$7,M2759=Config!$B$5,COUNTIFS($E$5:E2759,E2759,$H$5:H2759,"Falta",$L$5:L2759,Config!$B$7,$M$5:M2759,Config!$B$5)=1),COUNTIFS($E$5:$E$3004,E2759,$H$5:$H$3004,"Falta",$L$5:$L$3004,Config!$B$7,$M$5:$M$3004,Config!$B$5)*1000-ROW()/100000,0)</f>
        <v>0</v>
      </c>
    </row>
    <row r="2760">
      <c r="A2760" s="39" t="n"/>
      <c r="B2760" s="40" t="n"/>
      <c r="C2760" s="35" t="n"/>
      <c r="D2760" s="35" t="n"/>
      <c r="E2760" s="34" t="n"/>
      <c r="F2760" s="35" t="n"/>
      <c r="G2760" s="35" t="n"/>
      <c r="H2760" s="35" t="n"/>
      <c r="I2760" s="35" t="n"/>
      <c r="J2760" s="35" t="n"/>
      <c r="K2760" s="34" t="n"/>
      <c r="L2760" s="26">
        <f>IF(A2760="","",MONTH(A2760))</f>
        <v/>
      </c>
      <c r="M2760" s="26">
        <f>IF(A2760="","",YEAR(A2760))</f>
        <v/>
      </c>
      <c r="N2760" s="26">
        <f>IF(A2760="","",CHOOSE(WEEKDAY(A2760,2),"Segunda","Terça","Quarta","Quinta","Sexta","Sábado","Domingo"))</f>
        <v/>
      </c>
      <c r="O2760" s="26">
        <f>IF(B2760="","",IF(B2760&lt;TIME(12,0,0),"Manhã",IF(B2760&lt;TIME(18,0,0),"Tarde","Noite")))</f>
        <v/>
      </c>
      <c r="P2760" s="32">
        <f>IF(G2760="","",IFERROR(INDEX(Config!$I$5:$I$16,MATCH(G2760,Config!$H$5:$H$16,0)),0))</f>
        <v/>
      </c>
      <c r="Q2760" s="30">
        <f>IF(OR(H2760&lt;&gt;"Realizado",P2760="",P2760=0),"",A2760+P2760)</f>
        <v/>
      </c>
      <c r="R2760" s="26">
        <f>IF(Q2760="","",IF(COUNTIFS($E$5:$E$3004,E2760,$A$5:$A$3004,"&gt;"&amp;A2760,$H$5:$H$3004,"&lt;&gt;Falta",$H$5:$H$3004,"&lt;&gt;Cancelado",$H$5:$H$3004,"&lt;&gt;Remarcado")&gt;0,"Sim","Não"))</f>
        <v/>
      </c>
      <c r="S2760" s="32">
        <f>IF(R2760&lt;&gt;"Não","",IF(Q2760+Config!$B$9&lt;=Config!$B$8,Config!$B$8-Q2760,""))</f>
        <v/>
      </c>
      <c r="T2760" s="26">
        <f>IF(S2760="","","Sim")</f>
        <v/>
      </c>
      <c r="U2760" s="41">
        <f>IF(T2760="Sim",S2760+ROW()/100000,0)</f>
        <v>0</v>
      </c>
      <c r="V2760" s="41">
        <f>IF(AND(H2760="Falta",L2760=Config!$B$7,M2760=Config!$B$5,COUNTIFS($E$5:E2760,E2760,$H$5:H2760,"Falta",$L$5:L2760,Config!$B$7,$M$5:M2760,Config!$B$5)=1),COUNTIFS($E$5:$E$3004,E2760,$H$5:$H$3004,"Falta",$L$5:$L$3004,Config!$B$7,$M$5:$M$3004,Config!$B$5)*1000-ROW()/100000,0)</f>
        <v>0</v>
      </c>
    </row>
    <row r="2761">
      <c r="A2761" s="39" t="n"/>
      <c r="B2761" s="40" t="n"/>
      <c r="C2761" s="35" t="n"/>
      <c r="D2761" s="35" t="n"/>
      <c r="E2761" s="34" t="n"/>
      <c r="F2761" s="35" t="n"/>
      <c r="G2761" s="35" t="n"/>
      <c r="H2761" s="35" t="n"/>
      <c r="I2761" s="35" t="n"/>
      <c r="J2761" s="35" t="n"/>
      <c r="K2761" s="34" t="n"/>
      <c r="L2761" s="26">
        <f>IF(A2761="","",MONTH(A2761))</f>
        <v/>
      </c>
      <c r="M2761" s="26">
        <f>IF(A2761="","",YEAR(A2761))</f>
        <v/>
      </c>
      <c r="N2761" s="26">
        <f>IF(A2761="","",CHOOSE(WEEKDAY(A2761,2),"Segunda","Terça","Quarta","Quinta","Sexta","Sábado","Domingo"))</f>
        <v/>
      </c>
      <c r="O2761" s="26">
        <f>IF(B2761="","",IF(B2761&lt;TIME(12,0,0),"Manhã",IF(B2761&lt;TIME(18,0,0),"Tarde","Noite")))</f>
        <v/>
      </c>
      <c r="P2761" s="32">
        <f>IF(G2761="","",IFERROR(INDEX(Config!$I$5:$I$16,MATCH(G2761,Config!$H$5:$H$16,0)),0))</f>
        <v/>
      </c>
      <c r="Q2761" s="30">
        <f>IF(OR(H2761&lt;&gt;"Realizado",P2761="",P2761=0),"",A2761+P2761)</f>
        <v/>
      </c>
      <c r="R2761" s="26">
        <f>IF(Q2761="","",IF(COUNTIFS($E$5:$E$3004,E2761,$A$5:$A$3004,"&gt;"&amp;A2761,$H$5:$H$3004,"&lt;&gt;Falta",$H$5:$H$3004,"&lt;&gt;Cancelado",$H$5:$H$3004,"&lt;&gt;Remarcado")&gt;0,"Sim","Não"))</f>
        <v/>
      </c>
      <c r="S2761" s="32">
        <f>IF(R2761&lt;&gt;"Não","",IF(Q2761+Config!$B$9&lt;=Config!$B$8,Config!$B$8-Q2761,""))</f>
        <v/>
      </c>
      <c r="T2761" s="26">
        <f>IF(S2761="","","Sim")</f>
        <v/>
      </c>
      <c r="U2761" s="41">
        <f>IF(T2761="Sim",S2761+ROW()/100000,0)</f>
        <v>0</v>
      </c>
      <c r="V2761" s="41">
        <f>IF(AND(H2761="Falta",L2761=Config!$B$7,M2761=Config!$B$5,COUNTIFS($E$5:E2761,E2761,$H$5:H2761,"Falta",$L$5:L2761,Config!$B$7,$M$5:M2761,Config!$B$5)=1),COUNTIFS($E$5:$E$3004,E2761,$H$5:$H$3004,"Falta",$L$5:$L$3004,Config!$B$7,$M$5:$M$3004,Config!$B$5)*1000-ROW()/100000,0)</f>
        <v>0</v>
      </c>
    </row>
    <row r="2762">
      <c r="A2762" s="39" t="n"/>
      <c r="B2762" s="40" t="n"/>
      <c r="C2762" s="35" t="n"/>
      <c r="D2762" s="35" t="n"/>
      <c r="E2762" s="34" t="n"/>
      <c r="F2762" s="35" t="n"/>
      <c r="G2762" s="35" t="n"/>
      <c r="H2762" s="35" t="n"/>
      <c r="I2762" s="35" t="n"/>
      <c r="J2762" s="35" t="n"/>
      <c r="K2762" s="34" t="n"/>
      <c r="L2762" s="26">
        <f>IF(A2762="","",MONTH(A2762))</f>
        <v/>
      </c>
      <c r="M2762" s="26">
        <f>IF(A2762="","",YEAR(A2762))</f>
        <v/>
      </c>
      <c r="N2762" s="26">
        <f>IF(A2762="","",CHOOSE(WEEKDAY(A2762,2),"Segunda","Terça","Quarta","Quinta","Sexta","Sábado","Domingo"))</f>
        <v/>
      </c>
      <c r="O2762" s="26">
        <f>IF(B2762="","",IF(B2762&lt;TIME(12,0,0),"Manhã",IF(B2762&lt;TIME(18,0,0),"Tarde","Noite")))</f>
        <v/>
      </c>
      <c r="P2762" s="32">
        <f>IF(G2762="","",IFERROR(INDEX(Config!$I$5:$I$16,MATCH(G2762,Config!$H$5:$H$16,0)),0))</f>
        <v/>
      </c>
      <c r="Q2762" s="30">
        <f>IF(OR(H2762&lt;&gt;"Realizado",P2762="",P2762=0),"",A2762+P2762)</f>
        <v/>
      </c>
      <c r="R2762" s="26">
        <f>IF(Q2762="","",IF(COUNTIFS($E$5:$E$3004,E2762,$A$5:$A$3004,"&gt;"&amp;A2762,$H$5:$H$3004,"&lt;&gt;Falta",$H$5:$H$3004,"&lt;&gt;Cancelado",$H$5:$H$3004,"&lt;&gt;Remarcado")&gt;0,"Sim","Não"))</f>
        <v/>
      </c>
      <c r="S2762" s="32">
        <f>IF(R2762&lt;&gt;"Não","",IF(Q2762+Config!$B$9&lt;=Config!$B$8,Config!$B$8-Q2762,""))</f>
        <v/>
      </c>
      <c r="T2762" s="26">
        <f>IF(S2762="","","Sim")</f>
        <v/>
      </c>
      <c r="U2762" s="41">
        <f>IF(T2762="Sim",S2762+ROW()/100000,0)</f>
        <v>0</v>
      </c>
      <c r="V2762" s="41">
        <f>IF(AND(H2762="Falta",L2762=Config!$B$7,M2762=Config!$B$5,COUNTIFS($E$5:E2762,E2762,$H$5:H2762,"Falta",$L$5:L2762,Config!$B$7,$M$5:M2762,Config!$B$5)=1),COUNTIFS($E$5:$E$3004,E2762,$H$5:$H$3004,"Falta",$L$5:$L$3004,Config!$B$7,$M$5:$M$3004,Config!$B$5)*1000-ROW()/100000,0)</f>
        <v>0</v>
      </c>
    </row>
    <row r="2763">
      <c r="A2763" s="39" t="n"/>
      <c r="B2763" s="40" t="n"/>
      <c r="C2763" s="35" t="n"/>
      <c r="D2763" s="35" t="n"/>
      <c r="E2763" s="34" t="n"/>
      <c r="F2763" s="35" t="n"/>
      <c r="G2763" s="35" t="n"/>
      <c r="H2763" s="35" t="n"/>
      <c r="I2763" s="35" t="n"/>
      <c r="J2763" s="35" t="n"/>
      <c r="K2763" s="34" t="n"/>
      <c r="L2763" s="26">
        <f>IF(A2763="","",MONTH(A2763))</f>
        <v/>
      </c>
      <c r="M2763" s="26">
        <f>IF(A2763="","",YEAR(A2763))</f>
        <v/>
      </c>
      <c r="N2763" s="26">
        <f>IF(A2763="","",CHOOSE(WEEKDAY(A2763,2),"Segunda","Terça","Quarta","Quinta","Sexta","Sábado","Domingo"))</f>
        <v/>
      </c>
      <c r="O2763" s="26">
        <f>IF(B2763="","",IF(B2763&lt;TIME(12,0,0),"Manhã",IF(B2763&lt;TIME(18,0,0),"Tarde","Noite")))</f>
        <v/>
      </c>
      <c r="P2763" s="32">
        <f>IF(G2763="","",IFERROR(INDEX(Config!$I$5:$I$16,MATCH(G2763,Config!$H$5:$H$16,0)),0))</f>
        <v/>
      </c>
      <c r="Q2763" s="30">
        <f>IF(OR(H2763&lt;&gt;"Realizado",P2763="",P2763=0),"",A2763+P2763)</f>
        <v/>
      </c>
      <c r="R2763" s="26">
        <f>IF(Q2763="","",IF(COUNTIFS($E$5:$E$3004,E2763,$A$5:$A$3004,"&gt;"&amp;A2763,$H$5:$H$3004,"&lt;&gt;Falta",$H$5:$H$3004,"&lt;&gt;Cancelado",$H$5:$H$3004,"&lt;&gt;Remarcado")&gt;0,"Sim","Não"))</f>
        <v/>
      </c>
      <c r="S2763" s="32">
        <f>IF(R2763&lt;&gt;"Não","",IF(Q2763+Config!$B$9&lt;=Config!$B$8,Config!$B$8-Q2763,""))</f>
        <v/>
      </c>
      <c r="T2763" s="26">
        <f>IF(S2763="","","Sim")</f>
        <v/>
      </c>
      <c r="U2763" s="41">
        <f>IF(T2763="Sim",S2763+ROW()/100000,0)</f>
        <v>0</v>
      </c>
      <c r="V2763" s="41">
        <f>IF(AND(H2763="Falta",L2763=Config!$B$7,M2763=Config!$B$5,COUNTIFS($E$5:E2763,E2763,$H$5:H2763,"Falta",$L$5:L2763,Config!$B$7,$M$5:M2763,Config!$B$5)=1),COUNTIFS($E$5:$E$3004,E2763,$H$5:$H$3004,"Falta",$L$5:$L$3004,Config!$B$7,$M$5:$M$3004,Config!$B$5)*1000-ROW()/100000,0)</f>
        <v>0</v>
      </c>
    </row>
    <row r="2764">
      <c r="A2764" s="39" t="n"/>
      <c r="B2764" s="40" t="n"/>
      <c r="C2764" s="35" t="n"/>
      <c r="D2764" s="35" t="n"/>
      <c r="E2764" s="34" t="n"/>
      <c r="F2764" s="35" t="n"/>
      <c r="G2764" s="35" t="n"/>
      <c r="H2764" s="35" t="n"/>
      <c r="I2764" s="35" t="n"/>
      <c r="J2764" s="35" t="n"/>
      <c r="K2764" s="34" t="n"/>
      <c r="L2764" s="26">
        <f>IF(A2764="","",MONTH(A2764))</f>
        <v/>
      </c>
      <c r="M2764" s="26">
        <f>IF(A2764="","",YEAR(A2764))</f>
        <v/>
      </c>
      <c r="N2764" s="26">
        <f>IF(A2764="","",CHOOSE(WEEKDAY(A2764,2),"Segunda","Terça","Quarta","Quinta","Sexta","Sábado","Domingo"))</f>
        <v/>
      </c>
      <c r="O2764" s="26">
        <f>IF(B2764="","",IF(B2764&lt;TIME(12,0,0),"Manhã",IF(B2764&lt;TIME(18,0,0),"Tarde","Noite")))</f>
        <v/>
      </c>
      <c r="P2764" s="32">
        <f>IF(G2764="","",IFERROR(INDEX(Config!$I$5:$I$16,MATCH(G2764,Config!$H$5:$H$16,0)),0))</f>
        <v/>
      </c>
      <c r="Q2764" s="30">
        <f>IF(OR(H2764&lt;&gt;"Realizado",P2764="",P2764=0),"",A2764+P2764)</f>
        <v/>
      </c>
      <c r="R2764" s="26">
        <f>IF(Q2764="","",IF(COUNTIFS($E$5:$E$3004,E2764,$A$5:$A$3004,"&gt;"&amp;A2764,$H$5:$H$3004,"&lt;&gt;Falta",$H$5:$H$3004,"&lt;&gt;Cancelado",$H$5:$H$3004,"&lt;&gt;Remarcado")&gt;0,"Sim","Não"))</f>
        <v/>
      </c>
      <c r="S2764" s="32">
        <f>IF(R2764&lt;&gt;"Não","",IF(Q2764+Config!$B$9&lt;=Config!$B$8,Config!$B$8-Q2764,""))</f>
        <v/>
      </c>
      <c r="T2764" s="26">
        <f>IF(S2764="","","Sim")</f>
        <v/>
      </c>
      <c r="U2764" s="41">
        <f>IF(T2764="Sim",S2764+ROW()/100000,0)</f>
        <v>0</v>
      </c>
      <c r="V2764" s="41">
        <f>IF(AND(H2764="Falta",L2764=Config!$B$7,M2764=Config!$B$5,COUNTIFS($E$5:E2764,E2764,$H$5:H2764,"Falta",$L$5:L2764,Config!$B$7,$M$5:M2764,Config!$B$5)=1),COUNTIFS($E$5:$E$3004,E2764,$H$5:$H$3004,"Falta",$L$5:$L$3004,Config!$B$7,$M$5:$M$3004,Config!$B$5)*1000-ROW()/100000,0)</f>
        <v>0</v>
      </c>
    </row>
    <row r="2765">
      <c r="A2765" s="39" t="n"/>
      <c r="B2765" s="40" t="n"/>
      <c r="C2765" s="35" t="n"/>
      <c r="D2765" s="35" t="n"/>
      <c r="E2765" s="34" t="n"/>
      <c r="F2765" s="35" t="n"/>
      <c r="G2765" s="35" t="n"/>
      <c r="H2765" s="35" t="n"/>
      <c r="I2765" s="35" t="n"/>
      <c r="J2765" s="35" t="n"/>
      <c r="K2765" s="34" t="n"/>
      <c r="L2765" s="26">
        <f>IF(A2765="","",MONTH(A2765))</f>
        <v/>
      </c>
      <c r="M2765" s="26">
        <f>IF(A2765="","",YEAR(A2765))</f>
        <v/>
      </c>
      <c r="N2765" s="26">
        <f>IF(A2765="","",CHOOSE(WEEKDAY(A2765,2),"Segunda","Terça","Quarta","Quinta","Sexta","Sábado","Domingo"))</f>
        <v/>
      </c>
      <c r="O2765" s="26">
        <f>IF(B2765="","",IF(B2765&lt;TIME(12,0,0),"Manhã",IF(B2765&lt;TIME(18,0,0),"Tarde","Noite")))</f>
        <v/>
      </c>
      <c r="P2765" s="32">
        <f>IF(G2765="","",IFERROR(INDEX(Config!$I$5:$I$16,MATCH(G2765,Config!$H$5:$H$16,0)),0))</f>
        <v/>
      </c>
      <c r="Q2765" s="30">
        <f>IF(OR(H2765&lt;&gt;"Realizado",P2765="",P2765=0),"",A2765+P2765)</f>
        <v/>
      </c>
      <c r="R2765" s="26">
        <f>IF(Q2765="","",IF(COUNTIFS($E$5:$E$3004,E2765,$A$5:$A$3004,"&gt;"&amp;A2765,$H$5:$H$3004,"&lt;&gt;Falta",$H$5:$H$3004,"&lt;&gt;Cancelado",$H$5:$H$3004,"&lt;&gt;Remarcado")&gt;0,"Sim","Não"))</f>
        <v/>
      </c>
      <c r="S2765" s="32">
        <f>IF(R2765&lt;&gt;"Não","",IF(Q2765+Config!$B$9&lt;=Config!$B$8,Config!$B$8-Q2765,""))</f>
        <v/>
      </c>
      <c r="T2765" s="26">
        <f>IF(S2765="","","Sim")</f>
        <v/>
      </c>
      <c r="U2765" s="41">
        <f>IF(T2765="Sim",S2765+ROW()/100000,0)</f>
        <v>0</v>
      </c>
      <c r="V2765" s="41">
        <f>IF(AND(H2765="Falta",L2765=Config!$B$7,M2765=Config!$B$5,COUNTIFS($E$5:E2765,E2765,$H$5:H2765,"Falta",$L$5:L2765,Config!$B$7,$M$5:M2765,Config!$B$5)=1),COUNTIFS($E$5:$E$3004,E2765,$H$5:$H$3004,"Falta",$L$5:$L$3004,Config!$B$7,$M$5:$M$3004,Config!$B$5)*1000-ROW()/100000,0)</f>
        <v>0</v>
      </c>
    </row>
    <row r="2766">
      <c r="A2766" s="39" t="n"/>
      <c r="B2766" s="40" t="n"/>
      <c r="C2766" s="35" t="n"/>
      <c r="D2766" s="35" t="n"/>
      <c r="E2766" s="34" t="n"/>
      <c r="F2766" s="35" t="n"/>
      <c r="G2766" s="35" t="n"/>
      <c r="H2766" s="35" t="n"/>
      <c r="I2766" s="35" t="n"/>
      <c r="J2766" s="35" t="n"/>
      <c r="K2766" s="34" t="n"/>
      <c r="L2766" s="26">
        <f>IF(A2766="","",MONTH(A2766))</f>
        <v/>
      </c>
      <c r="M2766" s="26">
        <f>IF(A2766="","",YEAR(A2766))</f>
        <v/>
      </c>
      <c r="N2766" s="26">
        <f>IF(A2766="","",CHOOSE(WEEKDAY(A2766,2),"Segunda","Terça","Quarta","Quinta","Sexta","Sábado","Domingo"))</f>
        <v/>
      </c>
      <c r="O2766" s="26">
        <f>IF(B2766="","",IF(B2766&lt;TIME(12,0,0),"Manhã",IF(B2766&lt;TIME(18,0,0),"Tarde","Noite")))</f>
        <v/>
      </c>
      <c r="P2766" s="32">
        <f>IF(G2766="","",IFERROR(INDEX(Config!$I$5:$I$16,MATCH(G2766,Config!$H$5:$H$16,0)),0))</f>
        <v/>
      </c>
      <c r="Q2766" s="30">
        <f>IF(OR(H2766&lt;&gt;"Realizado",P2766="",P2766=0),"",A2766+P2766)</f>
        <v/>
      </c>
      <c r="R2766" s="26">
        <f>IF(Q2766="","",IF(COUNTIFS($E$5:$E$3004,E2766,$A$5:$A$3004,"&gt;"&amp;A2766,$H$5:$H$3004,"&lt;&gt;Falta",$H$5:$H$3004,"&lt;&gt;Cancelado",$H$5:$H$3004,"&lt;&gt;Remarcado")&gt;0,"Sim","Não"))</f>
        <v/>
      </c>
      <c r="S2766" s="32">
        <f>IF(R2766&lt;&gt;"Não","",IF(Q2766+Config!$B$9&lt;=Config!$B$8,Config!$B$8-Q2766,""))</f>
        <v/>
      </c>
      <c r="T2766" s="26">
        <f>IF(S2766="","","Sim")</f>
        <v/>
      </c>
      <c r="U2766" s="41">
        <f>IF(T2766="Sim",S2766+ROW()/100000,0)</f>
        <v>0</v>
      </c>
      <c r="V2766" s="41">
        <f>IF(AND(H2766="Falta",L2766=Config!$B$7,M2766=Config!$B$5,COUNTIFS($E$5:E2766,E2766,$H$5:H2766,"Falta",$L$5:L2766,Config!$B$7,$M$5:M2766,Config!$B$5)=1),COUNTIFS($E$5:$E$3004,E2766,$H$5:$H$3004,"Falta",$L$5:$L$3004,Config!$B$7,$M$5:$M$3004,Config!$B$5)*1000-ROW()/100000,0)</f>
        <v>0</v>
      </c>
    </row>
    <row r="2767">
      <c r="A2767" s="39" t="n"/>
      <c r="B2767" s="40" t="n"/>
      <c r="C2767" s="35" t="n"/>
      <c r="D2767" s="35" t="n"/>
      <c r="E2767" s="34" t="n"/>
      <c r="F2767" s="35" t="n"/>
      <c r="G2767" s="35" t="n"/>
      <c r="H2767" s="35" t="n"/>
      <c r="I2767" s="35" t="n"/>
      <c r="J2767" s="35" t="n"/>
      <c r="K2767" s="34" t="n"/>
      <c r="L2767" s="26">
        <f>IF(A2767="","",MONTH(A2767))</f>
        <v/>
      </c>
      <c r="M2767" s="26">
        <f>IF(A2767="","",YEAR(A2767))</f>
        <v/>
      </c>
      <c r="N2767" s="26">
        <f>IF(A2767="","",CHOOSE(WEEKDAY(A2767,2),"Segunda","Terça","Quarta","Quinta","Sexta","Sábado","Domingo"))</f>
        <v/>
      </c>
      <c r="O2767" s="26">
        <f>IF(B2767="","",IF(B2767&lt;TIME(12,0,0),"Manhã",IF(B2767&lt;TIME(18,0,0),"Tarde","Noite")))</f>
        <v/>
      </c>
      <c r="P2767" s="32">
        <f>IF(G2767="","",IFERROR(INDEX(Config!$I$5:$I$16,MATCH(G2767,Config!$H$5:$H$16,0)),0))</f>
        <v/>
      </c>
      <c r="Q2767" s="30">
        <f>IF(OR(H2767&lt;&gt;"Realizado",P2767="",P2767=0),"",A2767+P2767)</f>
        <v/>
      </c>
      <c r="R2767" s="26">
        <f>IF(Q2767="","",IF(COUNTIFS($E$5:$E$3004,E2767,$A$5:$A$3004,"&gt;"&amp;A2767,$H$5:$H$3004,"&lt;&gt;Falta",$H$5:$H$3004,"&lt;&gt;Cancelado",$H$5:$H$3004,"&lt;&gt;Remarcado")&gt;0,"Sim","Não"))</f>
        <v/>
      </c>
      <c r="S2767" s="32">
        <f>IF(R2767&lt;&gt;"Não","",IF(Q2767+Config!$B$9&lt;=Config!$B$8,Config!$B$8-Q2767,""))</f>
        <v/>
      </c>
      <c r="T2767" s="26">
        <f>IF(S2767="","","Sim")</f>
        <v/>
      </c>
      <c r="U2767" s="41">
        <f>IF(T2767="Sim",S2767+ROW()/100000,0)</f>
        <v>0</v>
      </c>
      <c r="V2767" s="41">
        <f>IF(AND(H2767="Falta",L2767=Config!$B$7,M2767=Config!$B$5,COUNTIFS($E$5:E2767,E2767,$H$5:H2767,"Falta",$L$5:L2767,Config!$B$7,$M$5:M2767,Config!$B$5)=1),COUNTIFS($E$5:$E$3004,E2767,$H$5:$H$3004,"Falta",$L$5:$L$3004,Config!$B$7,$M$5:$M$3004,Config!$B$5)*1000-ROW()/100000,0)</f>
        <v>0</v>
      </c>
    </row>
    <row r="2768">
      <c r="A2768" s="39" t="n"/>
      <c r="B2768" s="40" t="n"/>
      <c r="C2768" s="35" t="n"/>
      <c r="D2768" s="35" t="n"/>
      <c r="E2768" s="34" t="n"/>
      <c r="F2768" s="35" t="n"/>
      <c r="G2768" s="35" t="n"/>
      <c r="H2768" s="35" t="n"/>
      <c r="I2768" s="35" t="n"/>
      <c r="J2768" s="35" t="n"/>
      <c r="K2768" s="34" t="n"/>
      <c r="L2768" s="26">
        <f>IF(A2768="","",MONTH(A2768))</f>
        <v/>
      </c>
      <c r="M2768" s="26">
        <f>IF(A2768="","",YEAR(A2768))</f>
        <v/>
      </c>
      <c r="N2768" s="26">
        <f>IF(A2768="","",CHOOSE(WEEKDAY(A2768,2),"Segunda","Terça","Quarta","Quinta","Sexta","Sábado","Domingo"))</f>
        <v/>
      </c>
      <c r="O2768" s="26">
        <f>IF(B2768="","",IF(B2768&lt;TIME(12,0,0),"Manhã",IF(B2768&lt;TIME(18,0,0),"Tarde","Noite")))</f>
        <v/>
      </c>
      <c r="P2768" s="32">
        <f>IF(G2768="","",IFERROR(INDEX(Config!$I$5:$I$16,MATCH(G2768,Config!$H$5:$H$16,0)),0))</f>
        <v/>
      </c>
      <c r="Q2768" s="30">
        <f>IF(OR(H2768&lt;&gt;"Realizado",P2768="",P2768=0),"",A2768+P2768)</f>
        <v/>
      </c>
      <c r="R2768" s="26">
        <f>IF(Q2768="","",IF(COUNTIFS($E$5:$E$3004,E2768,$A$5:$A$3004,"&gt;"&amp;A2768,$H$5:$H$3004,"&lt;&gt;Falta",$H$5:$H$3004,"&lt;&gt;Cancelado",$H$5:$H$3004,"&lt;&gt;Remarcado")&gt;0,"Sim","Não"))</f>
        <v/>
      </c>
      <c r="S2768" s="32">
        <f>IF(R2768&lt;&gt;"Não","",IF(Q2768+Config!$B$9&lt;=Config!$B$8,Config!$B$8-Q2768,""))</f>
        <v/>
      </c>
      <c r="T2768" s="26">
        <f>IF(S2768="","","Sim")</f>
        <v/>
      </c>
      <c r="U2768" s="41">
        <f>IF(T2768="Sim",S2768+ROW()/100000,0)</f>
        <v>0</v>
      </c>
      <c r="V2768" s="41">
        <f>IF(AND(H2768="Falta",L2768=Config!$B$7,M2768=Config!$B$5,COUNTIFS($E$5:E2768,E2768,$H$5:H2768,"Falta",$L$5:L2768,Config!$B$7,$M$5:M2768,Config!$B$5)=1),COUNTIFS($E$5:$E$3004,E2768,$H$5:$H$3004,"Falta",$L$5:$L$3004,Config!$B$7,$M$5:$M$3004,Config!$B$5)*1000-ROW()/100000,0)</f>
        <v>0</v>
      </c>
    </row>
    <row r="2769">
      <c r="A2769" s="39" t="n"/>
      <c r="B2769" s="40" t="n"/>
      <c r="C2769" s="35" t="n"/>
      <c r="D2769" s="35" t="n"/>
      <c r="E2769" s="34" t="n"/>
      <c r="F2769" s="35" t="n"/>
      <c r="G2769" s="35" t="n"/>
      <c r="H2769" s="35" t="n"/>
      <c r="I2769" s="35" t="n"/>
      <c r="J2769" s="35" t="n"/>
      <c r="K2769" s="34" t="n"/>
      <c r="L2769" s="26">
        <f>IF(A2769="","",MONTH(A2769))</f>
        <v/>
      </c>
      <c r="M2769" s="26">
        <f>IF(A2769="","",YEAR(A2769))</f>
        <v/>
      </c>
      <c r="N2769" s="26">
        <f>IF(A2769="","",CHOOSE(WEEKDAY(A2769,2),"Segunda","Terça","Quarta","Quinta","Sexta","Sábado","Domingo"))</f>
        <v/>
      </c>
      <c r="O2769" s="26">
        <f>IF(B2769="","",IF(B2769&lt;TIME(12,0,0),"Manhã",IF(B2769&lt;TIME(18,0,0),"Tarde","Noite")))</f>
        <v/>
      </c>
      <c r="P2769" s="32">
        <f>IF(G2769="","",IFERROR(INDEX(Config!$I$5:$I$16,MATCH(G2769,Config!$H$5:$H$16,0)),0))</f>
        <v/>
      </c>
      <c r="Q2769" s="30">
        <f>IF(OR(H2769&lt;&gt;"Realizado",P2769="",P2769=0),"",A2769+P2769)</f>
        <v/>
      </c>
      <c r="R2769" s="26">
        <f>IF(Q2769="","",IF(COUNTIFS($E$5:$E$3004,E2769,$A$5:$A$3004,"&gt;"&amp;A2769,$H$5:$H$3004,"&lt;&gt;Falta",$H$5:$H$3004,"&lt;&gt;Cancelado",$H$5:$H$3004,"&lt;&gt;Remarcado")&gt;0,"Sim","Não"))</f>
        <v/>
      </c>
      <c r="S2769" s="32">
        <f>IF(R2769&lt;&gt;"Não","",IF(Q2769+Config!$B$9&lt;=Config!$B$8,Config!$B$8-Q2769,""))</f>
        <v/>
      </c>
      <c r="T2769" s="26">
        <f>IF(S2769="","","Sim")</f>
        <v/>
      </c>
      <c r="U2769" s="41">
        <f>IF(T2769="Sim",S2769+ROW()/100000,0)</f>
        <v>0</v>
      </c>
      <c r="V2769" s="41">
        <f>IF(AND(H2769="Falta",L2769=Config!$B$7,M2769=Config!$B$5,COUNTIFS($E$5:E2769,E2769,$H$5:H2769,"Falta",$L$5:L2769,Config!$B$7,$M$5:M2769,Config!$B$5)=1),COUNTIFS($E$5:$E$3004,E2769,$H$5:$H$3004,"Falta",$L$5:$L$3004,Config!$B$7,$M$5:$M$3004,Config!$B$5)*1000-ROW()/100000,0)</f>
        <v>0</v>
      </c>
    </row>
    <row r="2770">
      <c r="A2770" s="39" t="n"/>
      <c r="B2770" s="40" t="n"/>
      <c r="C2770" s="35" t="n"/>
      <c r="D2770" s="35" t="n"/>
      <c r="E2770" s="34" t="n"/>
      <c r="F2770" s="35" t="n"/>
      <c r="G2770" s="35" t="n"/>
      <c r="H2770" s="35" t="n"/>
      <c r="I2770" s="35" t="n"/>
      <c r="J2770" s="35" t="n"/>
      <c r="K2770" s="34" t="n"/>
      <c r="L2770" s="26">
        <f>IF(A2770="","",MONTH(A2770))</f>
        <v/>
      </c>
      <c r="M2770" s="26">
        <f>IF(A2770="","",YEAR(A2770))</f>
        <v/>
      </c>
      <c r="N2770" s="26">
        <f>IF(A2770="","",CHOOSE(WEEKDAY(A2770,2),"Segunda","Terça","Quarta","Quinta","Sexta","Sábado","Domingo"))</f>
        <v/>
      </c>
      <c r="O2770" s="26">
        <f>IF(B2770="","",IF(B2770&lt;TIME(12,0,0),"Manhã",IF(B2770&lt;TIME(18,0,0),"Tarde","Noite")))</f>
        <v/>
      </c>
      <c r="P2770" s="32">
        <f>IF(G2770="","",IFERROR(INDEX(Config!$I$5:$I$16,MATCH(G2770,Config!$H$5:$H$16,0)),0))</f>
        <v/>
      </c>
      <c r="Q2770" s="30">
        <f>IF(OR(H2770&lt;&gt;"Realizado",P2770="",P2770=0),"",A2770+P2770)</f>
        <v/>
      </c>
      <c r="R2770" s="26">
        <f>IF(Q2770="","",IF(COUNTIFS($E$5:$E$3004,E2770,$A$5:$A$3004,"&gt;"&amp;A2770,$H$5:$H$3004,"&lt;&gt;Falta",$H$5:$H$3004,"&lt;&gt;Cancelado",$H$5:$H$3004,"&lt;&gt;Remarcado")&gt;0,"Sim","Não"))</f>
        <v/>
      </c>
      <c r="S2770" s="32">
        <f>IF(R2770&lt;&gt;"Não","",IF(Q2770+Config!$B$9&lt;=Config!$B$8,Config!$B$8-Q2770,""))</f>
        <v/>
      </c>
      <c r="T2770" s="26">
        <f>IF(S2770="","","Sim")</f>
        <v/>
      </c>
      <c r="U2770" s="41">
        <f>IF(T2770="Sim",S2770+ROW()/100000,0)</f>
        <v>0</v>
      </c>
      <c r="V2770" s="41">
        <f>IF(AND(H2770="Falta",L2770=Config!$B$7,M2770=Config!$B$5,COUNTIFS($E$5:E2770,E2770,$H$5:H2770,"Falta",$L$5:L2770,Config!$B$7,$M$5:M2770,Config!$B$5)=1),COUNTIFS($E$5:$E$3004,E2770,$H$5:$H$3004,"Falta",$L$5:$L$3004,Config!$B$7,$M$5:$M$3004,Config!$B$5)*1000-ROW()/100000,0)</f>
        <v>0</v>
      </c>
    </row>
    <row r="2771">
      <c r="A2771" s="39" t="n"/>
      <c r="B2771" s="40" t="n"/>
      <c r="C2771" s="35" t="n"/>
      <c r="D2771" s="35" t="n"/>
      <c r="E2771" s="34" t="n"/>
      <c r="F2771" s="35" t="n"/>
      <c r="G2771" s="35" t="n"/>
      <c r="H2771" s="35" t="n"/>
      <c r="I2771" s="35" t="n"/>
      <c r="J2771" s="35" t="n"/>
      <c r="K2771" s="34" t="n"/>
      <c r="L2771" s="26">
        <f>IF(A2771="","",MONTH(A2771))</f>
        <v/>
      </c>
      <c r="M2771" s="26">
        <f>IF(A2771="","",YEAR(A2771))</f>
        <v/>
      </c>
      <c r="N2771" s="26">
        <f>IF(A2771="","",CHOOSE(WEEKDAY(A2771,2),"Segunda","Terça","Quarta","Quinta","Sexta","Sábado","Domingo"))</f>
        <v/>
      </c>
      <c r="O2771" s="26">
        <f>IF(B2771="","",IF(B2771&lt;TIME(12,0,0),"Manhã",IF(B2771&lt;TIME(18,0,0),"Tarde","Noite")))</f>
        <v/>
      </c>
      <c r="P2771" s="32">
        <f>IF(G2771="","",IFERROR(INDEX(Config!$I$5:$I$16,MATCH(G2771,Config!$H$5:$H$16,0)),0))</f>
        <v/>
      </c>
      <c r="Q2771" s="30">
        <f>IF(OR(H2771&lt;&gt;"Realizado",P2771="",P2771=0),"",A2771+P2771)</f>
        <v/>
      </c>
      <c r="R2771" s="26">
        <f>IF(Q2771="","",IF(COUNTIFS($E$5:$E$3004,E2771,$A$5:$A$3004,"&gt;"&amp;A2771,$H$5:$H$3004,"&lt;&gt;Falta",$H$5:$H$3004,"&lt;&gt;Cancelado",$H$5:$H$3004,"&lt;&gt;Remarcado")&gt;0,"Sim","Não"))</f>
        <v/>
      </c>
      <c r="S2771" s="32">
        <f>IF(R2771&lt;&gt;"Não","",IF(Q2771+Config!$B$9&lt;=Config!$B$8,Config!$B$8-Q2771,""))</f>
        <v/>
      </c>
      <c r="T2771" s="26">
        <f>IF(S2771="","","Sim")</f>
        <v/>
      </c>
      <c r="U2771" s="41">
        <f>IF(T2771="Sim",S2771+ROW()/100000,0)</f>
        <v>0</v>
      </c>
      <c r="V2771" s="41">
        <f>IF(AND(H2771="Falta",L2771=Config!$B$7,M2771=Config!$B$5,COUNTIFS($E$5:E2771,E2771,$H$5:H2771,"Falta",$L$5:L2771,Config!$B$7,$M$5:M2771,Config!$B$5)=1),COUNTIFS($E$5:$E$3004,E2771,$H$5:$H$3004,"Falta",$L$5:$L$3004,Config!$B$7,$M$5:$M$3004,Config!$B$5)*1000-ROW()/100000,0)</f>
        <v>0</v>
      </c>
    </row>
    <row r="2772">
      <c r="A2772" s="39" t="n"/>
      <c r="B2772" s="40" t="n"/>
      <c r="C2772" s="35" t="n"/>
      <c r="D2772" s="35" t="n"/>
      <c r="E2772" s="34" t="n"/>
      <c r="F2772" s="35" t="n"/>
      <c r="G2772" s="35" t="n"/>
      <c r="H2772" s="35" t="n"/>
      <c r="I2772" s="35" t="n"/>
      <c r="J2772" s="35" t="n"/>
      <c r="K2772" s="34" t="n"/>
      <c r="L2772" s="26">
        <f>IF(A2772="","",MONTH(A2772))</f>
        <v/>
      </c>
      <c r="M2772" s="26">
        <f>IF(A2772="","",YEAR(A2772))</f>
        <v/>
      </c>
      <c r="N2772" s="26">
        <f>IF(A2772="","",CHOOSE(WEEKDAY(A2772,2),"Segunda","Terça","Quarta","Quinta","Sexta","Sábado","Domingo"))</f>
        <v/>
      </c>
      <c r="O2772" s="26">
        <f>IF(B2772="","",IF(B2772&lt;TIME(12,0,0),"Manhã",IF(B2772&lt;TIME(18,0,0),"Tarde","Noite")))</f>
        <v/>
      </c>
      <c r="P2772" s="32">
        <f>IF(G2772="","",IFERROR(INDEX(Config!$I$5:$I$16,MATCH(G2772,Config!$H$5:$H$16,0)),0))</f>
        <v/>
      </c>
      <c r="Q2772" s="30">
        <f>IF(OR(H2772&lt;&gt;"Realizado",P2772="",P2772=0),"",A2772+P2772)</f>
        <v/>
      </c>
      <c r="R2772" s="26">
        <f>IF(Q2772="","",IF(COUNTIFS($E$5:$E$3004,E2772,$A$5:$A$3004,"&gt;"&amp;A2772,$H$5:$H$3004,"&lt;&gt;Falta",$H$5:$H$3004,"&lt;&gt;Cancelado",$H$5:$H$3004,"&lt;&gt;Remarcado")&gt;0,"Sim","Não"))</f>
        <v/>
      </c>
      <c r="S2772" s="32">
        <f>IF(R2772&lt;&gt;"Não","",IF(Q2772+Config!$B$9&lt;=Config!$B$8,Config!$B$8-Q2772,""))</f>
        <v/>
      </c>
      <c r="T2772" s="26">
        <f>IF(S2772="","","Sim")</f>
        <v/>
      </c>
      <c r="U2772" s="41">
        <f>IF(T2772="Sim",S2772+ROW()/100000,0)</f>
        <v>0</v>
      </c>
      <c r="V2772" s="41">
        <f>IF(AND(H2772="Falta",L2772=Config!$B$7,M2772=Config!$B$5,COUNTIFS($E$5:E2772,E2772,$H$5:H2772,"Falta",$L$5:L2772,Config!$B$7,$M$5:M2772,Config!$B$5)=1),COUNTIFS($E$5:$E$3004,E2772,$H$5:$H$3004,"Falta",$L$5:$L$3004,Config!$B$7,$M$5:$M$3004,Config!$B$5)*1000-ROW()/100000,0)</f>
        <v>0</v>
      </c>
    </row>
    <row r="2773">
      <c r="A2773" s="39" t="n"/>
      <c r="B2773" s="40" t="n"/>
      <c r="C2773" s="35" t="n"/>
      <c r="D2773" s="35" t="n"/>
      <c r="E2773" s="34" t="n"/>
      <c r="F2773" s="35" t="n"/>
      <c r="G2773" s="35" t="n"/>
      <c r="H2773" s="35" t="n"/>
      <c r="I2773" s="35" t="n"/>
      <c r="J2773" s="35" t="n"/>
      <c r="K2773" s="34" t="n"/>
      <c r="L2773" s="26">
        <f>IF(A2773="","",MONTH(A2773))</f>
        <v/>
      </c>
      <c r="M2773" s="26">
        <f>IF(A2773="","",YEAR(A2773))</f>
        <v/>
      </c>
      <c r="N2773" s="26">
        <f>IF(A2773="","",CHOOSE(WEEKDAY(A2773,2),"Segunda","Terça","Quarta","Quinta","Sexta","Sábado","Domingo"))</f>
        <v/>
      </c>
      <c r="O2773" s="26">
        <f>IF(B2773="","",IF(B2773&lt;TIME(12,0,0),"Manhã",IF(B2773&lt;TIME(18,0,0),"Tarde","Noite")))</f>
        <v/>
      </c>
      <c r="P2773" s="32">
        <f>IF(G2773="","",IFERROR(INDEX(Config!$I$5:$I$16,MATCH(G2773,Config!$H$5:$H$16,0)),0))</f>
        <v/>
      </c>
      <c r="Q2773" s="30">
        <f>IF(OR(H2773&lt;&gt;"Realizado",P2773="",P2773=0),"",A2773+P2773)</f>
        <v/>
      </c>
      <c r="R2773" s="26">
        <f>IF(Q2773="","",IF(COUNTIFS($E$5:$E$3004,E2773,$A$5:$A$3004,"&gt;"&amp;A2773,$H$5:$H$3004,"&lt;&gt;Falta",$H$5:$H$3004,"&lt;&gt;Cancelado",$H$5:$H$3004,"&lt;&gt;Remarcado")&gt;0,"Sim","Não"))</f>
        <v/>
      </c>
      <c r="S2773" s="32">
        <f>IF(R2773&lt;&gt;"Não","",IF(Q2773+Config!$B$9&lt;=Config!$B$8,Config!$B$8-Q2773,""))</f>
        <v/>
      </c>
      <c r="T2773" s="26">
        <f>IF(S2773="","","Sim")</f>
        <v/>
      </c>
      <c r="U2773" s="41">
        <f>IF(T2773="Sim",S2773+ROW()/100000,0)</f>
        <v>0</v>
      </c>
      <c r="V2773" s="41">
        <f>IF(AND(H2773="Falta",L2773=Config!$B$7,M2773=Config!$B$5,COUNTIFS($E$5:E2773,E2773,$H$5:H2773,"Falta",$L$5:L2773,Config!$B$7,$M$5:M2773,Config!$B$5)=1),COUNTIFS($E$5:$E$3004,E2773,$H$5:$H$3004,"Falta",$L$5:$L$3004,Config!$B$7,$M$5:$M$3004,Config!$B$5)*1000-ROW()/100000,0)</f>
        <v>0</v>
      </c>
    </row>
    <row r="2774">
      <c r="A2774" s="39" t="n"/>
      <c r="B2774" s="40" t="n"/>
      <c r="C2774" s="35" t="n"/>
      <c r="D2774" s="35" t="n"/>
      <c r="E2774" s="34" t="n"/>
      <c r="F2774" s="35" t="n"/>
      <c r="G2774" s="35" t="n"/>
      <c r="H2774" s="35" t="n"/>
      <c r="I2774" s="35" t="n"/>
      <c r="J2774" s="35" t="n"/>
      <c r="K2774" s="34" t="n"/>
      <c r="L2774" s="26">
        <f>IF(A2774="","",MONTH(A2774))</f>
        <v/>
      </c>
      <c r="M2774" s="26">
        <f>IF(A2774="","",YEAR(A2774))</f>
        <v/>
      </c>
      <c r="N2774" s="26">
        <f>IF(A2774="","",CHOOSE(WEEKDAY(A2774,2),"Segunda","Terça","Quarta","Quinta","Sexta","Sábado","Domingo"))</f>
        <v/>
      </c>
      <c r="O2774" s="26">
        <f>IF(B2774="","",IF(B2774&lt;TIME(12,0,0),"Manhã",IF(B2774&lt;TIME(18,0,0),"Tarde","Noite")))</f>
        <v/>
      </c>
      <c r="P2774" s="32">
        <f>IF(G2774="","",IFERROR(INDEX(Config!$I$5:$I$16,MATCH(G2774,Config!$H$5:$H$16,0)),0))</f>
        <v/>
      </c>
      <c r="Q2774" s="30">
        <f>IF(OR(H2774&lt;&gt;"Realizado",P2774="",P2774=0),"",A2774+P2774)</f>
        <v/>
      </c>
      <c r="R2774" s="26">
        <f>IF(Q2774="","",IF(COUNTIFS($E$5:$E$3004,E2774,$A$5:$A$3004,"&gt;"&amp;A2774,$H$5:$H$3004,"&lt;&gt;Falta",$H$5:$H$3004,"&lt;&gt;Cancelado",$H$5:$H$3004,"&lt;&gt;Remarcado")&gt;0,"Sim","Não"))</f>
        <v/>
      </c>
      <c r="S2774" s="32">
        <f>IF(R2774&lt;&gt;"Não","",IF(Q2774+Config!$B$9&lt;=Config!$B$8,Config!$B$8-Q2774,""))</f>
        <v/>
      </c>
      <c r="T2774" s="26">
        <f>IF(S2774="","","Sim")</f>
        <v/>
      </c>
      <c r="U2774" s="41">
        <f>IF(T2774="Sim",S2774+ROW()/100000,0)</f>
        <v>0</v>
      </c>
      <c r="V2774" s="41">
        <f>IF(AND(H2774="Falta",L2774=Config!$B$7,M2774=Config!$B$5,COUNTIFS($E$5:E2774,E2774,$H$5:H2774,"Falta",$L$5:L2774,Config!$B$7,$M$5:M2774,Config!$B$5)=1),COUNTIFS($E$5:$E$3004,E2774,$H$5:$H$3004,"Falta",$L$5:$L$3004,Config!$B$7,$M$5:$M$3004,Config!$B$5)*1000-ROW()/100000,0)</f>
        <v>0</v>
      </c>
    </row>
    <row r="2775">
      <c r="A2775" s="39" t="n"/>
      <c r="B2775" s="40" t="n"/>
      <c r="C2775" s="35" t="n"/>
      <c r="D2775" s="35" t="n"/>
      <c r="E2775" s="34" t="n"/>
      <c r="F2775" s="35" t="n"/>
      <c r="G2775" s="35" t="n"/>
      <c r="H2775" s="35" t="n"/>
      <c r="I2775" s="35" t="n"/>
      <c r="J2775" s="35" t="n"/>
      <c r="K2775" s="34" t="n"/>
      <c r="L2775" s="26">
        <f>IF(A2775="","",MONTH(A2775))</f>
        <v/>
      </c>
      <c r="M2775" s="26">
        <f>IF(A2775="","",YEAR(A2775))</f>
        <v/>
      </c>
      <c r="N2775" s="26">
        <f>IF(A2775="","",CHOOSE(WEEKDAY(A2775,2),"Segunda","Terça","Quarta","Quinta","Sexta","Sábado","Domingo"))</f>
        <v/>
      </c>
      <c r="O2775" s="26">
        <f>IF(B2775="","",IF(B2775&lt;TIME(12,0,0),"Manhã",IF(B2775&lt;TIME(18,0,0),"Tarde","Noite")))</f>
        <v/>
      </c>
      <c r="P2775" s="32">
        <f>IF(G2775="","",IFERROR(INDEX(Config!$I$5:$I$16,MATCH(G2775,Config!$H$5:$H$16,0)),0))</f>
        <v/>
      </c>
      <c r="Q2775" s="30">
        <f>IF(OR(H2775&lt;&gt;"Realizado",P2775="",P2775=0),"",A2775+P2775)</f>
        <v/>
      </c>
      <c r="R2775" s="26">
        <f>IF(Q2775="","",IF(COUNTIFS($E$5:$E$3004,E2775,$A$5:$A$3004,"&gt;"&amp;A2775,$H$5:$H$3004,"&lt;&gt;Falta",$H$5:$H$3004,"&lt;&gt;Cancelado",$H$5:$H$3004,"&lt;&gt;Remarcado")&gt;0,"Sim","Não"))</f>
        <v/>
      </c>
      <c r="S2775" s="32">
        <f>IF(R2775&lt;&gt;"Não","",IF(Q2775+Config!$B$9&lt;=Config!$B$8,Config!$B$8-Q2775,""))</f>
        <v/>
      </c>
      <c r="T2775" s="26">
        <f>IF(S2775="","","Sim")</f>
        <v/>
      </c>
      <c r="U2775" s="41">
        <f>IF(T2775="Sim",S2775+ROW()/100000,0)</f>
        <v>0</v>
      </c>
      <c r="V2775" s="41">
        <f>IF(AND(H2775="Falta",L2775=Config!$B$7,M2775=Config!$B$5,COUNTIFS($E$5:E2775,E2775,$H$5:H2775,"Falta",$L$5:L2775,Config!$B$7,$M$5:M2775,Config!$B$5)=1),COUNTIFS($E$5:$E$3004,E2775,$H$5:$H$3004,"Falta",$L$5:$L$3004,Config!$B$7,$M$5:$M$3004,Config!$B$5)*1000-ROW()/100000,0)</f>
        <v>0</v>
      </c>
    </row>
    <row r="2776">
      <c r="A2776" s="39" t="n"/>
      <c r="B2776" s="40" t="n"/>
      <c r="C2776" s="35" t="n"/>
      <c r="D2776" s="35" t="n"/>
      <c r="E2776" s="34" t="n"/>
      <c r="F2776" s="35" t="n"/>
      <c r="G2776" s="35" t="n"/>
      <c r="H2776" s="35" t="n"/>
      <c r="I2776" s="35" t="n"/>
      <c r="J2776" s="35" t="n"/>
      <c r="K2776" s="34" t="n"/>
      <c r="L2776" s="26">
        <f>IF(A2776="","",MONTH(A2776))</f>
        <v/>
      </c>
      <c r="M2776" s="26">
        <f>IF(A2776="","",YEAR(A2776))</f>
        <v/>
      </c>
      <c r="N2776" s="26">
        <f>IF(A2776="","",CHOOSE(WEEKDAY(A2776,2),"Segunda","Terça","Quarta","Quinta","Sexta","Sábado","Domingo"))</f>
        <v/>
      </c>
      <c r="O2776" s="26">
        <f>IF(B2776="","",IF(B2776&lt;TIME(12,0,0),"Manhã",IF(B2776&lt;TIME(18,0,0),"Tarde","Noite")))</f>
        <v/>
      </c>
      <c r="P2776" s="32">
        <f>IF(G2776="","",IFERROR(INDEX(Config!$I$5:$I$16,MATCH(G2776,Config!$H$5:$H$16,0)),0))</f>
        <v/>
      </c>
      <c r="Q2776" s="30">
        <f>IF(OR(H2776&lt;&gt;"Realizado",P2776="",P2776=0),"",A2776+P2776)</f>
        <v/>
      </c>
      <c r="R2776" s="26">
        <f>IF(Q2776="","",IF(COUNTIFS($E$5:$E$3004,E2776,$A$5:$A$3004,"&gt;"&amp;A2776,$H$5:$H$3004,"&lt;&gt;Falta",$H$5:$H$3004,"&lt;&gt;Cancelado",$H$5:$H$3004,"&lt;&gt;Remarcado")&gt;0,"Sim","Não"))</f>
        <v/>
      </c>
      <c r="S2776" s="32">
        <f>IF(R2776&lt;&gt;"Não","",IF(Q2776+Config!$B$9&lt;=Config!$B$8,Config!$B$8-Q2776,""))</f>
        <v/>
      </c>
      <c r="T2776" s="26">
        <f>IF(S2776="","","Sim")</f>
        <v/>
      </c>
      <c r="U2776" s="41">
        <f>IF(T2776="Sim",S2776+ROW()/100000,0)</f>
        <v>0</v>
      </c>
      <c r="V2776" s="41">
        <f>IF(AND(H2776="Falta",L2776=Config!$B$7,M2776=Config!$B$5,COUNTIFS($E$5:E2776,E2776,$H$5:H2776,"Falta",$L$5:L2776,Config!$B$7,$M$5:M2776,Config!$B$5)=1),COUNTIFS($E$5:$E$3004,E2776,$H$5:$H$3004,"Falta",$L$5:$L$3004,Config!$B$7,$M$5:$M$3004,Config!$B$5)*1000-ROW()/100000,0)</f>
        <v>0</v>
      </c>
    </row>
    <row r="2777">
      <c r="A2777" s="39" t="n"/>
      <c r="B2777" s="40" t="n"/>
      <c r="C2777" s="35" t="n"/>
      <c r="D2777" s="35" t="n"/>
      <c r="E2777" s="34" t="n"/>
      <c r="F2777" s="35" t="n"/>
      <c r="G2777" s="35" t="n"/>
      <c r="H2777" s="35" t="n"/>
      <c r="I2777" s="35" t="n"/>
      <c r="J2777" s="35" t="n"/>
      <c r="K2777" s="34" t="n"/>
      <c r="L2777" s="26">
        <f>IF(A2777="","",MONTH(A2777))</f>
        <v/>
      </c>
      <c r="M2777" s="26">
        <f>IF(A2777="","",YEAR(A2777))</f>
        <v/>
      </c>
      <c r="N2777" s="26">
        <f>IF(A2777="","",CHOOSE(WEEKDAY(A2777,2),"Segunda","Terça","Quarta","Quinta","Sexta","Sábado","Domingo"))</f>
        <v/>
      </c>
      <c r="O2777" s="26">
        <f>IF(B2777="","",IF(B2777&lt;TIME(12,0,0),"Manhã",IF(B2777&lt;TIME(18,0,0),"Tarde","Noite")))</f>
        <v/>
      </c>
      <c r="P2777" s="32">
        <f>IF(G2777="","",IFERROR(INDEX(Config!$I$5:$I$16,MATCH(G2777,Config!$H$5:$H$16,0)),0))</f>
        <v/>
      </c>
      <c r="Q2777" s="30">
        <f>IF(OR(H2777&lt;&gt;"Realizado",P2777="",P2777=0),"",A2777+P2777)</f>
        <v/>
      </c>
      <c r="R2777" s="26">
        <f>IF(Q2777="","",IF(COUNTIFS($E$5:$E$3004,E2777,$A$5:$A$3004,"&gt;"&amp;A2777,$H$5:$H$3004,"&lt;&gt;Falta",$H$5:$H$3004,"&lt;&gt;Cancelado",$H$5:$H$3004,"&lt;&gt;Remarcado")&gt;0,"Sim","Não"))</f>
        <v/>
      </c>
      <c r="S2777" s="32">
        <f>IF(R2777&lt;&gt;"Não","",IF(Q2777+Config!$B$9&lt;=Config!$B$8,Config!$B$8-Q2777,""))</f>
        <v/>
      </c>
      <c r="T2777" s="26">
        <f>IF(S2777="","","Sim")</f>
        <v/>
      </c>
      <c r="U2777" s="41">
        <f>IF(T2777="Sim",S2777+ROW()/100000,0)</f>
        <v>0</v>
      </c>
      <c r="V2777" s="41">
        <f>IF(AND(H2777="Falta",L2777=Config!$B$7,M2777=Config!$B$5,COUNTIFS($E$5:E2777,E2777,$H$5:H2777,"Falta",$L$5:L2777,Config!$B$7,$M$5:M2777,Config!$B$5)=1),COUNTIFS($E$5:$E$3004,E2777,$H$5:$H$3004,"Falta",$L$5:$L$3004,Config!$B$7,$M$5:$M$3004,Config!$B$5)*1000-ROW()/100000,0)</f>
        <v>0</v>
      </c>
    </row>
    <row r="2778">
      <c r="A2778" s="39" t="n"/>
      <c r="B2778" s="40" t="n"/>
      <c r="C2778" s="35" t="n"/>
      <c r="D2778" s="35" t="n"/>
      <c r="E2778" s="34" t="n"/>
      <c r="F2778" s="35" t="n"/>
      <c r="G2778" s="35" t="n"/>
      <c r="H2778" s="35" t="n"/>
      <c r="I2778" s="35" t="n"/>
      <c r="J2778" s="35" t="n"/>
      <c r="K2778" s="34" t="n"/>
      <c r="L2778" s="26">
        <f>IF(A2778="","",MONTH(A2778))</f>
        <v/>
      </c>
      <c r="M2778" s="26">
        <f>IF(A2778="","",YEAR(A2778))</f>
        <v/>
      </c>
      <c r="N2778" s="26">
        <f>IF(A2778="","",CHOOSE(WEEKDAY(A2778,2),"Segunda","Terça","Quarta","Quinta","Sexta","Sábado","Domingo"))</f>
        <v/>
      </c>
      <c r="O2778" s="26">
        <f>IF(B2778="","",IF(B2778&lt;TIME(12,0,0),"Manhã",IF(B2778&lt;TIME(18,0,0),"Tarde","Noite")))</f>
        <v/>
      </c>
      <c r="P2778" s="32">
        <f>IF(G2778="","",IFERROR(INDEX(Config!$I$5:$I$16,MATCH(G2778,Config!$H$5:$H$16,0)),0))</f>
        <v/>
      </c>
      <c r="Q2778" s="30">
        <f>IF(OR(H2778&lt;&gt;"Realizado",P2778="",P2778=0),"",A2778+P2778)</f>
        <v/>
      </c>
      <c r="R2778" s="26">
        <f>IF(Q2778="","",IF(COUNTIFS($E$5:$E$3004,E2778,$A$5:$A$3004,"&gt;"&amp;A2778,$H$5:$H$3004,"&lt;&gt;Falta",$H$5:$H$3004,"&lt;&gt;Cancelado",$H$5:$H$3004,"&lt;&gt;Remarcado")&gt;0,"Sim","Não"))</f>
        <v/>
      </c>
      <c r="S2778" s="32">
        <f>IF(R2778&lt;&gt;"Não","",IF(Q2778+Config!$B$9&lt;=Config!$B$8,Config!$B$8-Q2778,""))</f>
        <v/>
      </c>
      <c r="T2778" s="26">
        <f>IF(S2778="","","Sim")</f>
        <v/>
      </c>
      <c r="U2778" s="41">
        <f>IF(T2778="Sim",S2778+ROW()/100000,0)</f>
        <v>0</v>
      </c>
      <c r="V2778" s="41">
        <f>IF(AND(H2778="Falta",L2778=Config!$B$7,M2778=Config!$B$5,COUNTIFS($E$5:E2778,E2778,$H$5:H2778,"Falta",$L$5:L2778,Config!$B$7,$M$5:M2778,Config!$B$5)=1),COUNTIFS($E$5:$E$3004,E2778,$H$5:$H$3004,"Falta",$L$5:$L$3004,Config!$B$7,$M$5:$M$3004,Config!$B$5)*1000-ROW()/100000,0)</f>
        <v>0</v>
      </c>
    </row>
    <row r="2779">
      <c r="A2779" s="39" t="n"/>
      <c r="B2779" s="40" t="n"/>
      <c r="C2779" s="35" t="n"/>
      <c r="D2779" s="35" t="n"/>
      <c r="E2779" s="34" t="n"/>
      <c r="F2779" s="35" t="n"/>
      <c r="G2779" s="35" t="n"/>
      <c r="H2779" s="35" t="n"/>
      <c r="I2779" s="35" t="n"/>
      <c r="J2779" s="35" t="n"/>
      <c r="K2779" s="34" t="n"/>
      <c r="L2779" s="26">
        <f>IF(A2779="","",MONTH(A2779))</f>
        <v/>
      </c>
      <c r="M2779" s="26">
        <f>IF(A2779="","",YEAR(A2779))</f>
        <v/>
      </c>
      <c r="N2779" s="26">
        <f>IF(A2779="","",CHOOSE(WEEKDAY(A2779,2),"Segunda","Terça","Quarta","Quinta","Sexta","Sábado","Domingo"))</f>
        <v/>
      </c>
      <c r="O2779" s="26">
        <f>IF(B2779="","",IF(B2779&lt;TIME(12,0,0),"Manhã",IF(B2779&lt;TIME(18,0,0),"Tarde","Noite")))</f>
        <v/>
      </c>
      <c r="P2779" s="32">
        <f>IF(G2779="","",IFERROR(INDEX(Config!$I$5:$I$16,MATCH(G2779,Config!$H$5:$H$16,0)),0))</f>
        <v/>
      </c>
      <c r="Q2779" s="30">
        <f>IF(OR(H2779&lt;&gt;"Realizado",P2779="",P2779=0),"",A2779+P2779)</f>
        <v/>
      </c>
      <c r="R2779" s="26">
        <f>IF(Q2779="","",IF(COUNTIFS($E$5:$E$3004,E2779,$A$5:$A$3004,"&gt;"&amp;A2779,$H$5:$H$3004,"&lt;&gt;Falta",$H$5:$H$3004,"&lt;&gt;Cancelado",$H$5:$H$3004,"&lt;&gt;Remarcado")&gt;0,"Sim","Não"))</f>
        <v/>
      </c>
      <c r="S2779" s="32">
        <f>IF(R2779&lt;&gt;"Não","",IF(Q2779+Config!$B$9&lt;=Config!$B$8,Config!$B$8-Q2779,""))</f>
        <v/>
      </c>
      <c r="T2779" s="26">
        <f>IF(S2779="","","Sim")</f>
        <v/>
      </c>
      <c r="U2779" s="41">
        <f>IF(T2779="Sim",S2779+ROW()/100000,0)</f>
        <v>0</v>
      </c>
      <c r="V2779" s="41">
        <f>IF(AND(H2779="Falta",L2779=Config!$B$7,M2779=Config!$B$5,COUNTIFS($E$5:E2779,E2779,$H$5:H2779,"Falta",$L$5:L2779,Config!$B$7,$M$5:M2779,Config!$B$5)=1),COUNTIFS($E$5:$E$3004,E2779,$H$5:$H$3004,"Falta",$L$5:$L$3004,Config!$B$7,$M$5:$M$3004,Config!$B$5)*1000-ROW()/100000,0)</f>
        <v>0</v>
      </c>
    </row>
    <row r="2780">
      <c r="A2780" s="39" t="n"/>
      <c r="B2780" s="40" t="n"/>
      <c r="C2780" s="35" t="n"/>
      <c r="D2780" s="35" t="n"/>
      <c r="E2780" s="34" t="n"/>
      <c r="F2780" s="35" t="n"/>
      <c r="G2780" s="35" t="n"/>
      <c r="H2780" s="35" t="n"/>
      <c r="I2780" s="35" t="n"/>
      <c r="J2780" s="35" t="n"/>
      <c r="K2780" s="34" t="n"/>
      <c r="L2780" s="26">
        <f>IF(A2780="","",MONTH(A2780))</f>
        <v/>
      </c>
      <c r="M2780" s="26">
        <f>IF(A2780="","",YEAR(A2780))</f>
        <v/>
      </c>
      <c r="N2780" s="26">
        <f>IF(A2780="","",CHOOSE(WEEKDAY(A2780,2),"Segunda","Terça","Quarta","Quinta","Sexta","Sábado","Domingo"))</f>
        <v/>
      </c>
      <c r="O2780" s="26">
        <f>IF(B2780="","",IF(B2780&lt;TIME(12,0,0),"Manhã",IF(B2780&lt;TIME(18,0,0),"Tarde","Noite")))</f>
        <v/>
      </c>
      <c r="P2780" s="32">
        <f>IF(G2780="","",IFERROR(INDEX(Config!$I$5:$I$16,MATCH(G2780,Config!$H$5:$H$16,0)),0))</f>
        <v/>
      </c>
      <c r="Q2780" s="30">
        <f>IF(OR(H2780&lt;&gt;"Realizado",P2780="",P2780=0),"",A2780+P2780)</f>
        <v/>
      </c>
      <c r="R2780" s="26">
        <f>IF(Q2780="","",IF(COUNTIFS($E$5:$E$3004,E2780,$A$5:$A$3004,"&gt;"&amp;A2780,$H$5:$H$3004,"&lt;&gt;Falta",$H$5:$H$3004,"&lt;&gt;Cancelado",$H$5:$H$3004,"&lt;&gt;Remarcado")&gt;0,"Sim","Não"))</f>
        <v/>
      </c>
      <c r="S2780" s="32">
        <f>IF(R2780&lt;&gt;"Não","",IF(Q2780+Config!$B$9&lt;=Config!$B$8,Config!$B$8-Q2780,""))</f>
        <v/>
      </c>
      <c r="T2780" s="26">
        <f>IF(S2780="","","Sim")</f>
        <v/>
      </c>
      <c r="U2780" s="41">
        <f>IF(T2780="Sim",S2780+ROW()/100000,0)</f>
        <v>0</v>
      </c>
      <c r="V2780" s="41">
        <f>IF(AND(H2780="Falta",L2780=Config!$B$7,M2780=Config!$B$5,COUNTIFS($E$5:E2780,E2780,$H$5:H2780,"Falta",$L$5:L2780,Config!$B$7,$M$5:M2780,Config!$B$5)=1),COUNTIFS($E$5:$E$3004,E2780,$H$5:$H$3004,"Falta",$L$5:$L$3004,Config!$B$7,$M$5:$M$3004,Config!$B$5)*1000-ROW()/100000,0)</f>
        <v>0</v>
      </c>
    </row>
    <row r="2781">
      <c r="A2781" s="39" t="n"/>
      <c r="B2781" s="40" t="n"/>
      <c r="C2781" s="35" t="n"/>
      <c r="D2781" s="35" t="n"/>
      <c r="E2781" s="34" t="n"/>
      <c r="F2781" s="35" t="n"/>
      <c r="G2781" s="35" t="n"/>
      <c r="H2781" s="35" t="n"/>
      <c r="I2781" s="35" t="n"/>
      <c r="J2781" s="35" t="n"/>
      <c r="K2781" s="34" t="n"/>
      <c r="L2781" s="26">
        <f>IF(A2781="","",MONTH(A2781))</f>
        <v/>
      </c>
      <c r="M2781" s="26">
        <f>IF(A2781="","",YEAR(A2781))</f>
        <v/>
      </c>
      <c r="N2781" s="26">
        <f>IF(A2781="","",CHOOSE(WEEKDAY(A2781,2),"Segunda","Terça","Quarta","Quinta","Sexta","Sábado","Domingo"))</f>
        <v/>
      </c>
      <c r="O2781" s="26">
        <f>IF(B2781="","",IF(B2781&lt;TIME(12,0,0),"Manhã",IF(B2781&lt;TIME(18,0,0),"Tarde","Noite")))</f>
        <v/>
      </c>
      <c r="P2781" s="32">
        <f>IF(G2781="","",IFERROR(INDEX(Config!$I$5:$I$16,MATCH(G2781,Config!$H$5:$H$16,0)),0))</f>
        <v/>
      </c>
      <c r="Q2781" s="30">
        <f>IF(OR(H2781&lt;&gt;"Realizado",P2781="",P2781=0),"",A2781+P2781)</f>
        <v/>
      </c>
      <c r="R2781" s="26">
        <f>IF(Q2781="","",IF(COUNTIFS($E$5:$E$3004,E2781,$A$5:$A$3004,"&gt;"&amp;A2781,$H$5:$H$3004,"&lt;&gt;Falta",$H$5:$H$3004,"&lt;&gt;Cancelado",$H$5:$H$3004,"&lt;&gt;Remarcado")&gt;0,"Sim","Não"))</f>
        <v/>
      </c>
      <c r="S2781" s="32">
        <f>IF(R2781&lt;&gt;"Não","",IF(Q2781+Config!$B$9&lt;=Config!$B$8,Config!$B$8-Q2781,""))</f>
        <v/>
      </c>
      <c r="T2781" s="26">
        <f>IF(S2781="","","Sim")</f>
        <v/>
      </c>
      <c r="U2781" s="41">
        <f>IF(T2781="Sim",S2781+ROW()/100000,0)</f>
        <v>0</v>
      </c>
      <c r="V2781" s="41">
        <f>IF(AND(H2781="Falta",L2781=Config!$B$7,M2781=Config!$B$5,COUNTIFS($E$5:E2781,E2781,$H$5:H2781,"Falta",$L$5:L2781,Config!$B$7,$M$5:M2781,Config!$B$5)=1),COUNTIFS($E$5:$E$3004,E2781,$H$5:$H$3004,"Falta",$L$5:$L$3004,Config!$B$7,$M$5:$M$3004,Config!$B$5)*1000-ROW()/100000,0)</f>
        <v>0</v>
      </c>
    </row>
    <row r="2782">
      <c r="A2782" s="39" t="n"/>
      <c r="B2782" s="40" t="n"/>
      <c r="C2782" s="35" t="n"/>
      <c r="D2782" s="35" t="n"/>
      <c r="E2782" s="34" t="n"/>
      <c r="F2782" s="35" t="n"/>
      <c r="G2782" s="35" t="n"/>
      <c r="H2782" s="35" t="n"/>
      <c r="I2782" s="35" t="n"/>
      <c r="J2782" s="35" t="n"/>
      <c r="K2782" s="34" t="n"/>
      <c r="L2782" s="26">
        <f>IF(A2782="","",MONTH(A2782))</f>
        <v/>
      </c>
      <c r="M2782" s="26">
        <f>IF(A2782="","",YEAR(A2782))</f>
        <v/>
      </c>
      <c r="N2782" s="26">
        <f>IF(A2782="","",CHOOSE(WEEKDAY(A2782,2),"Segunda","Terça","Quarta","Quinta","Sexta","Sábado","Domingo"))</f>
        <v/>
      </c>
      <c r="O2782" s="26">
        <f>IF(B2782="","",IF(B2782&lt;TIME(12,0,0),"Manhã",IF(B2782&lt;TIME(18,0,0),"Tarde","Noite")))</f>
        <v/>
      </c>
      <c r="P2782" s="32">
        <f>IF(G2782="","",IFERROR(INDEX(Config!$I$5:$I$16,MATCH(G2782,Config!$H$5:$H$16,0)),0))</f>
        <v/>
      </c>
      <c r="Q2782" s="30">
        <f>IF(OR(H2782&lt;&gt;"Realizado",P2782="",P2782=0),"",A2782+P2782)</f>
        <v/>
      </c>
      <c r="R2782" s="26">
        <f>IF(Q2782="","",IF(COUNTIFS($E$5:$E$3004,E2782,$A$5:$A$3004,"&gt;"&amp;A2782,$H$5:$H$3004,"&lt;&gt;Falta",$H$5:$H$3004,"&lt;&gt;Cancelado",$H$5:$H$3004,"&lt;&gt;Remarcado")&gt;0,"Sim","Não"))</f>
        <v/>
      </c>
      <c r="S2782" s="32">
        <f>IF(R2782&lt;&gt;"Não","",IF(Q2782+Config!$B$9&lt;=Config!$B$8,Config!$B$8-Q2782,""))</f>
        <v/>
      </c>
      <c r="T2782" s="26">
        <f>IF(S2782="","","Sim")</f>
        <v/>
      </c>
      <c r="U2782" s="41">
        <f>IF(T2782="Sim",S2782+ROW()/100000,0)</f>
        <v>0</v>
      </c>
      <c r="V2782" s="41">
        <f>IF(AND(H2782="Falta",L2782=Config!$B$7,M2782=Config!$B$5,COUNTIFS($E$5:E2782,E2782,$H$5:H2782,"Falta",$L$5:L2782,Config!$B$7,$M$5:M2782,Config!$B$5)=1),COUNTIFS($E$5:$E$3004,E2782,$H$5:$H$3004,"Falta",$L$5:$L$3004,Config!$B$7,$M$5:$M$3004,Config!$B$5)*1000-ROW()/100000,0)</f>
        <v>0</v>
      </c>
    </row>
    <row r="2783">
      <c r="A2783" s="39" t="n"/>
      <c r="B2783" s="40" t="n"/>
      <c r="C2783" s="35" t="n"/>
      <c r="D2783" s="35" t="n"/>
      <c r="E2783" s="34" t="n"/>
      <c r="F2783" s="35" t="n"/>
      <c r="G2783" s="35" t="n"/>
      <c r="H2783" s="35" t="n"/>
      <c r="I2783" s="35" t="n"/>
      <c r="J2783" s="35" t="n"/>
      <c r="K2783" s="34" t="n"/>
      <c r="L2783" s="26">
        <f>IF(A2783="","",MONTH(A2783))</f>
        <v/>
      </c>
      <c r="M2783" s="26">
        <f>IF(A2783="","",YEAR(A2783))</f>
        <v/>
      </c>
      <c r="N2783" s="26">
        <f>IF(A2783="","",CHOOSE(WEEKDAY(A2783,2),"Segunda","Terça","Quarta","Quinta","Sexta","Sábado","Domingo"))</f>
        <v/>
      </c>
      <c r="O2783" s="26">
        <f>IF(B2783="","",IF(B2783&lt;TIME(12,0,0),"Manhã",IF(B2783&lt;TIME(18,0,0),"Tarde","Noite")))</f>
        <v/>
      </c>
      <c r="P2783" s="32">
        <f>IF(G2783="","",IFERROR(INDEX(Config!$I$5:$I$16,MATCH(G2783,Config!$H$5:$H$16,0)),0))</f>
        <v/>
      </c>
      <c r="Q2783" s="30">
        <f>IF(OR(H2783&lt;&gt;"Realizado",P2783="",P2783=0),"",A2783+P2783)</f>
        <v/>
      </c>
      <c r="R2783" s="26">
        <f>IF(Q2783="","",IF(COUNTIFS($E$5:$E$3004,E2783,$A$5:$A$3004,"&gt;"&amp;A2783,$H$5:$H$3004,"&lt;&gt;Falta",$H$5:$H$3004,"&lt;&gt;Cancelado",$H$5:$H$3004,"&lt;&gt;Remarcado")&gt;0,"Sim","Não"))</f>
        <v/>
      </c>
      <c r="S2783" s="32">
        <f>IF(R2783&lt;&gt;"Não","",IF(Q2783+Config!$B$9&lt;=Config!$B$8,Config!$B$8-Q2783,""))</f>
        <v/>
      </c>
      <c r="T2783" s="26">
        <f>IF(S2783="","","Sim")</f>
        <v/>
      </c>
      <c r="U2783" s="41">
        <f>IF(T2783="Sim",S2783+ROW()/100000,0)</f>
        <v>0</v>
      </c>
      <c r="V2783" s="41">
        <f>IF(AND(H2783="Falta",L2783=Config!$B$7,M2783=Config!$B$5,COUNTIFS($E$5:E2783,E2783,$H$5:H2783,"Falta",$L$5:L2783,Config!$B$7,$M$5:M2783,Config!$B$5)=1),COUNTIFS($E$5:$E$3004,E2783,$H$5:$H$3004,"Falta",$L$5:$L$3004,Config!$B$7,$M$5:$M$3004,Config!$B$5)*1000-ROW()/100000,0)</f>
        <v>0</v>
      </c>
    </row>
    <row r="2784">
      <c r="A2784" s="39" t="n"/>
      <c r="B2784" s="40" t="n"/>
      <c r="C2784" s="35" t="n"/>
      <c r="D2784" s="35" t="n"/>
      <c r="E2784" s="34" t="n"/>
      <c r="F2784" s="35" t="n"/>
      <c r="G2784" s="35" t="n"/>
      <c r="H2784" s="35" t="n"/>
      <c r="I2784" s="35" t="n"/>
      <c r="J2784" s="35" t="n"/>
      <c r="K2784" s="34" t="n"/>
      <c r="L2784" s="26">
        <f>IF(A2784="","",MONTH(A2784))</f>
        <v/>
      </c>
      <c r="M2784" s="26">
        <f>IF(A2784="","",YEAR(A2784))</f>
        <v/>
      </c>
      <c r="N2784" s="26">
        <f>IF(A2784="","",CHOOSE(WEEKDAY(A2784,2),"Segunda","Terça","Quarta","Quinta","Sexta","Sábado","Domingo"))</f>
        <v/>
      </c>
      <c r="O2784" s="26">
        <f>IF(B2784="","",IF(B2784&lt;TIME(12,0,0),"Manhã",IF(B2784&lt;TIME(18,0,0),"Tarde","Noite")))</f>
        <v/>
      </c>
      <c r="P2784" s="32">
        <f>IF(G2784="","",IFERROR(INDEX(Config!$I$5:$I$16,MATCH(G2784,Config!$H$5:$H$16,0)),0))</f>
        <v/>
      </c>
      <c r="Q2784" s="30">
        <f>IF(OR(H2784&lt;&gt;"Realizado",P2784="",P2784=0),"",A2784+P2784)</f>
        <v/>
      </c>
      <c r="R2784" s="26">
        <f>IF(Q2784="","",IF(COUNTIFS($E$5:$E$3004,E2784,$A$5:$A$3004,"&gt;"&amp;A2784,$H$5:$H$3004,"&lt;&gt;Falta",$H$5:$H$3004,"&lt;&gt;Cancelado",$H$5:$H$3004,"&lt;&gt;Remarcado")&gt;0,"Sim","Não"))</f>
        <v/>
      </c>
      <c r="S2784" s="32">
        <f>IF(R2784&lt;&gt;"Não","",IF(Q2784+Config!$B$9&lt;=Config!$B$8,Config!$B$8-Q2784,""))</f>
        <v/>
      </c>
      <c r="T2784" s="26">
        <f>IF(S2784="","","Sim")</f>
        <v/>
      </c>
      <c r="U2784" s="41">
        <f>IF(T2784="Sim",S2784+ROW()/100000,0)</f>
        <v>0</v>
      </c>
      <c r="V2784" s="41">
        <f>IF(AND(H2784="Falta",L2784=Config!$B$7,M2784=Config!$B$5,COUNTIFS($E$5:E2784,E2784,$H$5:H2784,"Falta",$L$5:L2784,Config!$B$7,$M$5:M2784,Config!$B$5)=1),COUNTIFS($E$5:$E$3004,E2784,$H$5:$H$3004,"Falta",$L$5:$L$3004,Config!$B$7,$M$5:$M$3004,Config!$B$5)*1000-ROW()/100000,0)</f>
        <v>0</v>
      </c>
    </row>
    <row r="2785">
      <c r="A2785" s="39" t="n"/>
      <c r="B2785" s="40" t="n"/>
      <c r="C2785" s="35" t="n"/>
      <c r="D2785" s="35" t="n"/>
      <c r="E2785" s="34" t="n"/>
      <c r="F2785" s="35" t="n"/>
      <c r="G2785" s="35" t="n"/>
      <c r="H2785" s="35" t="n"/>
      <c r="I2785" s="35" t="n"/>
      <c r="J2785" s="35" t="n"/>
      <c r="K2785" s="34" t="n"/>
      <c r="L2785" s="26">
        <f>IF(A2785="","",MONTH(A2785))</f>
        <v/>
      </c>
      <c r="M2785" s="26">
        <f>IF(A2785="","",YEAR(A2785))</f>
        <v/>
      </c>
      <c r="N2785" s="26">
        <f>IF(A2785="","",CHOOSE(WEEKDAY(A2785,2),"Segunda","Terça","Quarta","Quinta","Sexta","Sábado","Domingo"))</f>
        <v/>
      </c>
      <c r="O2785" s="26">
        <f>IF(B2785="","",IF(B2785&lt;TIME(12,0,0),"Manhã",IF(B2785&lt;TIME(18,0,0),"Tarde","Noite")))</f>
        <v/>
      </c>
      <c r="P2785" s="32">
        <f>IF(G2785="","",IFERROR(INDEX(Config!$I$5:$I$16,MATCH(G2785,Config!$H$5:$H$16,0)),0))</f>
        <v/>
      </c>
      <c r="Q2785" s="30">
        <f>IF(OR(H2785&lt;&gt;"Realizado",P2785="",P2785=0),"",A2785+P2785)</f>
        <v/>
      </c>
      <c r="R2785" s="26">
        <f>IF(Q2785="","",IF(COUNTIFS($E$5:$E$3004,E2785,$A$5:$A$3004,"&gt;"&amp;A2785,$H$5:$H$3004,"&lt;&gt;Falta",$H$5:$H$3004,"&lt;&gt;Cancelado",$H$5:$H$3004,"&lt;&gt;Remarcado")&gt;0,"Sim","Não"))</f>
        <v/>
      </c>
      <c r="S2785" s="32">
        <f>IF(R2785&lt;&gt;"Não","",IF(Q2785+Config!$B$9&lt;=Config!$B$8,Config!$B$8-Q2785,""))</f>
        <v/>
      </c>
      <c r="T2785" s="26">
        <f>IF(S2785="","","Sim")</f>
        <v/>
      </c>
      <c r="U2785" s="41">
        <f>IF(T2785="Sim",S2785+ROW()/100000,0)</f>
        <v>0</v>
      </c>
      <c r="V2785" s="41">
        <f>IF(AND(H2785="Falta",L2785=Config!$B$7,M2785=Config!$B$5,COUNTIFS($E$5:E2785,E2785,$H$5:H2785,"Falta",$L$5:L2785,Config!$B$7,$M$5:M2785,Config!$B$5)=1),COUNTIFS($E$5:$E$3004,E2785,$H$5:$H$3004,"Falta",$L$5:$L$3004,Config!$B$7,$M$5:$M$3004,Config!$B$5)*1000-ROW()/100000,0)</f>
        <v>0</v>
      </c>
    </row>
    <row r="2786">
      <c r="A2786" s="39" t="n"/>
      <c r="B2786" s="40" t="n"/>
      <c r="C2786" s="35" t="n"/>
      <c r="D2786" s="35" t="n"/>
      <c r="E2786" s="34" t="n"/>
      <c r="F2786" s="35" t="n"/>
      <c r="G2786" s="35" t="n"/>
      <c r="H2786" s="35" t="n"/>
      <c r="I2786" s="35" t="n"/>
      <c r="J2786" s="35" t="n"/>
      <c r="K2786" s="34" t="n"/>
      <c r="L2786" s="26">
        <f>IF(A2786="","",MONTH(A2786))</f>
        <v/>
      </c>
      <c r="M2786" s="26">
        <f>IF(A2786="","",YEAR(A2786))</f>
        <v/>
      </c>
      <c r="N2786" s="26">
        <f>IF(A2786="","",CHOOSE(WEEKDAY(A2786,2),"Segunda","Terça","Quarta","Quinta","Sexta","Sábado","Domingo"))</f>
        <v/>
      </c>
      <c r="O2786" s="26">
        <f>IF(B2786="","",IF(B2786&lt;TIME(12,0,0),"Manhã",IF(B2786&lt;TIME(18,0,0),"Tarde","Noite")))</f>
        <v/>
      </c>
      <c r="P2786" s="32">
        <f>IF(G2786="","",IFERROR(INDEX(Config!$I$5:$I$16,MATCH(G2786,Config!$H$5:$H$16,0)),0))</f>
        <v/>
      </c>
      <c r="Q2786" s="30">
        <f>IF(OR(H2786&lt;&gt;"Realizado",P2786="",P2786=0),"",A2786+P2786)</f>
        <v/>
      </c>
      <c r="R2786" s="26">
        <f>IF(Q2786="","",IF(COUNTIFS($E$5:$E$3004,E2786,$A$5:$A$3004,"&gt;"&amp;A2786,$H$5:$H$3004,"&lt;&gt;Falta",$H$5:$H$3004,"&lt;&gt;Cancelado",$H$5:$H$3004,"&lt;&gt;Remarcado")&gt;0,"Sim","Não"))</f>
        <v/>
      </c>
      <c r="S2786" s="32">
        <f>IF(R2786&lt;&gt;"Não","",IF(Q2786+Config!$B$9&lt;=Config!$B$8,Config!$B$8-Q2786,""))</f>
        <v/>
      </c>
      <c r="T2786" s="26">
        <f>IF(S2786="","","Sim")</f>
        <v/>
      </c>
      <c r="U2786" s="41">
        <f>IF(T2786="Sim",S2786+ROW()/100000,0)</f>
        <v>0</v>
      </c>
      <c r="V2786" s="41">
        <f>IF(AND(H2786="Falta",L2786=Config!$B$7,M2786=Config!$B$5,COUNTIFS($E$5:E2786,E2786,$H$5:H2786,"Falta",$L$5:L2786,Config!$B$7,$M$5:M2786,Config!$B$5)=1),COUNTIFS($E$5:$E$3004,E2786,$H$5:$H$3004,"Falta",$L$5:$L$3004,Config!$B$7,$M$5:$M$3004,Config!$B$5)*1000-ROW()/100000,0)</f>
        <v>0</v>
      </c>
    </row>
    <row r="2787">
      <c r="A2787" s="39" t="n"/>
      <c r="B2787" s="40" t="n"/>
      <c r="C2787" s="35" t="n"/>
      <c r="D2787" s="35" t="n"/>
      <c r="E2787" s="34" t="n"/>
      <c r="F2787" s="35" t="n"/>
      <c r="G2787" s="35" t="n"/>
      <c r="H2787" s="35" t="n"/>
      <c r="I2787" s="35" t="n"/>
      <c r="J2787" s="35" t="n"/>
      <c r="K2787" s="34" t="n"/>
      <c r="L2787" s="26">
        <f>IF(A2787="","",MONTH(A2787))</f>
        <v/>
      </c>
      <c r="M2787" s="26">
        <f>IF(A2787="","",YEAR(A2787))</f>
        <v/>
      </c>
      <c r="N2787" s="26">
        <f>IF(A2787="","",CHOOSE(WEEKDAY(A2787,2),"Segunda","Terça","Quarta","Quinta","Sexta","Sábado","Domingo"))</f>
        <v/>
      </c>
      <c r="O2787" s="26">
        <f>IF(B2787="","",IF(B2787&lt;TIME(12,0,0),"Manhã",IF(B2787&lt;TIME(18,0,0),"Tarde","Noite")))</f>
        <v/>
      </c>
      <c r="P2787" s="32">
        <f>IF(G2787="","",IFERROR(INDEX(Config!$I$5:$I$16,MATCH(G2787,Config!$H$5:$H$16,0)),0))</f>
        <v/>
      </c>
      <c r="Q2787" s="30">
        <f>IF(OR(H2787&lt;&gt;"Realizado",P2787="",P2787=0),"",A2787+P2787)</f>
        <v/>
      </c>
      <c r="R2787" s="26">
        <f>IF(Q2787="","",IF(COUNTIFS($E$5:$E$3004,E2787,$A$5:$A$3004,"&gt;"&amp;A2787,$H$5:$H$3004,"&lt;&gt;Falta",$H$5:$H$3004,"&lt;&gt;Cancelado",$H$5:$H$3004,"&lt;&gt;Remarcado")&gt;0,"Sim","Não"))</f>
        <v/>
      </c>
      <c r="S2787" s="32">
        <f>IF(R2787&lt;&gt;"Não","",IF(Q2787+Config!$B$9&lt;=Config!$B$8,Config!$B$8-Q2787,""))</f>
        <v/>
      </c>
      <c r="T2787" s="26">
        <f>IF(S2787="","","Sim")</f>
        <v/>
      </c>
      <c r="U2787" s="41">
        <f>IF(T2787="Sim",S2787+ROW()/100000,0)</f>
        <v>0</v>
      </c>
      <c r="V2787" s="41">
        <f>IF(AND(H2787="Falta",L2787=Config!$B$7,M2787=Config!$B$5,COUNTIFS($E$5:E2787,E2787,$H$5:H2787,"Falta",$L$5:L2787,Config!$B$7,$M$5:M2787,Config!$B$5)=1),COUNTIFS($E$5:$E$3004,E2787,$H$5:$H$3004,"Falta",$L$5:$L$3004,Config!$B$7,$M$5:$M$3004,Config!$B$5)*1000-ROW()/100000,0)</f>
        <v>0</v>
      </c>
    </row>
    <row r="2788">
      <c r="A2788" s="39" t="n"/>
      <c r="B2788" s="40" t="n"/>
      <c r="C2788" s="35" t="n"/>
      <c r="D2788" s="35" t="n"/>
      <c r="E2788" s="34" t="n"/>
      <c r="F2788" s="35" t="n"/>
      <c r="G2788" s="35" t="n"/>
      <c r="H2788" s="35" t="n"/>
      <c r="I2788" s="35" t="n"/>
      <c r="J2788" s="35" t="n"/>
      <c r="K2788" s="34" t="n"/>
      <c r="L2788" s="26">
        <f>IF(A2788="","",MONTH(A2788))</f>
        <v/>
      </c>
      <c r="M2788" s="26">
        <f>IF(A2788="","",YEAR(A2788))</f>
        <v/>
      </c>
      <c r="N2788" s="26">
        <f>IF(A2788="","",CHOOSE(WEEKDAY(A2788,2),"Segunda","Terça","Quarta","Quinta","Sexta","Sábado","Domingo"))</f>
        <v/>
      </c>
      <c r="O2788" s="26">
        <f>IF(B2788="","",IF(B2788&lt;TIME(12,0,0),"Manhã",IF(B2788&lt;TIME(18,0,0),"Tarde","Noite")))</f>
        <v/>
      </c>
      <c r="P2788" s="32">
        <f>IF(G2788="","",IFERROR(INDEX(Config!$I$5:$I$16,MATCH(G2788,Config!$H$5:$H$16,0)),0))</f>
        <v/>
      </c>
      <c r="Q2788" s="30">
        <f>IF(OR(H2788&lt;&gt;"Realizado",P2788="",P2788=0),"",A2788+P2788)</f>
        <v/>
      </c>
      <c r="R2788" s="26">
        <f>IF(Q2788="","",IF(COUNTIFS($E$5:$E$3004,E2788,$A$5:$A$3004,"&gt;"&amp;A2788,$H$5:$H$3004,"&lt;&gt;Falta",$H$5:$H$3004,"&lt;&gt;Cancelado",$H$5:$H$3004,"&lt;&gt;Remarcado")&gt;0,"Sim","Não"))</f>
        <v/>
      </c>
      <c r="S2788" s="32">
        <f>IF(R2788&lt;&gt;"Não","",IF(Q2788+Config!$B$9&lt;=Config!$B$8,Config!$B$8-Q2788,""))</f>
        <v/>
      </c>
      <c r="T2788" s="26">
        <f>IF(S2788="","","Sim")</f>
        <v/>
      </c>
      <c r="U2788" s="41">
        <f>IF(T2788="Sim",S2788+ROW()/100000,0)</f>
        <v>0</v>
      </c>
      <c r="V2788" s="41">
        <f>IF(AND(H2788="Falta",L2788=Config!$B$7,M2788=Config!$B$5,COUNTIFS($E$5:E2788,E2788,$H$5:H2788,"Falta",$L$5:L2788,Config!$B$7,$M$5:M2788,Config!$B$5)=1),COUNTIFS($E$5:$E$3004,E2788,$H$5:$H$3004,"Falta",$L$5:$L$3004,Config!$B$7,$M$5:$M$3004,Config!$B$5)*1000-ROW()/100000,0)</f>
        <v>0</v>
      </c>
    </row>
    <row r="2789">
      <c r="A2789" s="39" t="n"/>
      <c r="B2789" s="40" t="n"/>
      <c r="C2789" s="35" t="n"/>
      <c r="D2789" s="35" t="n"/>
      <c r="E2789" s="34" t="n"/>
      <c r="F2789" s="35" t="n"/>
      <c r="G2789" s="35" t="n"/>
      <c r="H2789" s="35" t="n"/>
      <c r="I2789" s="35" t="n"/>
      <c r="J2789" s="35" t="n"/>
      <c r="K2789" s="34" t="n"/>
      <c r="L2789" s="26">
        <f>IF(A2789="","",MONTH(A2789))</f>
        <v/>
      </c>
      <c r="M2789" s="26">
        <f>IF(A2789="","",YEAR(A2789))</f>
        <v/>
      </c>
      <c r="N2789" s="26">
        <f>IF(A2789="","",CHOOSE(WEEKDAY(A2789,2),"Segunda","Terça","Quarta","Quinta","Sexta","Sábado","Domingo"))</f>
        <v/>
      </c>
      <c r="O2789" s="26">
        <f>IF(B2789="","",IF(B2789&lt;TIME(12,0,0),"Manhã",IF(B2789&lt;TIME(18,0,0),"Tarde","Noite")))</f>
        <v/>
      </c>
      <c r="P2789" s="32">
        <f>IF(G2789="","",IFERROR(INDEX(Config!$I$5:$I$16,MATCH(G2789,Config!$H$5:$H$16,0)),0))</f>
        <v/>
      </c>
      <c r="Q2789" s="30">
        <f>IF(OR(H2789&lt;&gt;"Realizado",P2789="",P2789=0),"",A2789+P2789)</f>
        <v/>
      </c>
      <c r="R2789" s="26">
        <f>IF(Q2789="","",IF(COUNTIFS($E$5:$E$3004,E2789,$A$5:$A$3004,"&gt;"&amp;A2789,$H$5:$H$3004,"&lt;&gt;Falta",$H$5:$H$3004,"&lt;&gt;Cancelado",$H$5:$H$3004,"&lt;&gt;Remarcado")&gt;0,"Sim","Não"))</f>
        <v/>
      </c>
      <c r="S2789" s="32">
        <f>IF(R2789&lt;&gt;"Não","",IF(Q2789+Config!$B$9&lt;=Config!$B$8,Config!$B$8-Q2789,""))</f>
        <v/>
      </c>
      <c r="T2789" s="26">
        <f>IF(S2789="","","Sim")</f>
        <v/>
      </c>
      <c r="U2789" s="41">
        <f>IF(T2789="Sim",S2789+ROW()/100000,0)</f>
        <v>0</v>
      </c>
      <c r="V2789" s="41">
        <f>IF(AND(H2789="Falta",L2789=Config!$B$7,M2789=Config!$B$5,COUNTIFS($E$5:E2789,E2789,$H$5:H2789,"Falta",$L$5:L2789,Config!$B$7,$M$5:M2789,Config!$B$5)=1),COUNTIFS($E$5:$E$3004,E2789,$H$5:$H$3004,"Falta",$L$5:$L$3004,Config!$B$7,$M$5:$M$3004,Config!$B$5)*1000-ROW()/100000,0)</f>
        <v>0</v>
      </c>
    </row>
    <row r="2790">
      <c r="A2790" s="39" t="n"/>
      <c r="B2790" s="40" t="n"/>
      <c r="C2790" s="35" t="n"/>
      <c r="D2790" s="35" t="n"/>
      <c r="E2790" s="34" t="n"/>
      <c r="F2790" s="35" t="n"/>
      <c r="G2790" s="35" t="n"/>
      <c r="H2790" s="35" t="n"/>
      <c r="I2790" s="35" t="n"/>
      <c r="J2790" s="35" t="n"/>
      <c r="K2790" s="34" t="n"/>
      <c r="L2790" s="26">
        <f>IF(A2790="","",MONTH(A2790))</f>
        <v/>
      </c>
      <c r="M2790" s="26">
        <f>IF(A2790="","",YEAR(A2790))</f>
        <v/>
      </c>
      <c r="N2790" s="26">
        <f>IF(A2790="","",CHOOSE(WEEKDAY(A2790,2),"Segunda","Terça","Quarta","Quinta","Sexta","Sábado","Domingo"))</f>
        <v/>
      </c>
      <c r="O2790" s="26">
        <f>IF(B2790="","",IF(B2790&lt;TIME(12,0,0),"Manhã",IF(B2790&lt;TIME(18,0,0),"Tarde","Noite")))</f>
        <v/>
      </c>
      <c r="P2790" s="32">
        <f>IF(G2790="","",IFERROR(INDEX(Config!$I$5:$I$16,MATCH(G2790,Config!$H$5:$H$16,0)),0))</f>
        <v/>
      </c>
      <c r="Q2790" s="30">
        <f>IF(OR(H2790&lt;&gt;"Realizado",P2790="",P2790=0),"",A2790+P2790)</f>
        <v/>
      </c>
      <c r="R2790" s="26">
        <f>IF(Q2790="","",IF(COUNTIFS($E$5:$E$3004,E2790,$A$5:$A$3004,"&gt;"&amp;A2790,$H$5:$H$3004,"&lt;&gt;Falta",$H$5:$H$3004,"&lt;&gt;Cancelado",$H$5:$H$3004,"&lt;&gt;Remarcado")&gt;0,"Sim","Não"))</f>
        <v/>
      </c>
      <c r="S2790" s="32">
        <f>IF(R2790&lt;&gt;"Não","",IF(Q2790+Config!$B$9&lt;=Config!$B$8,Config!$B$8-Q2790,""))</f>
        <v/>
      </c>
      <c r="T2790" s="26">
        <f>IF(S2790="","","Sim")</f>
        <v/>
      </c>
      <c r="U2790" s="41">
        <f>IF(T2790="Sim",S2790+ROW()/100000,0)</f>
        <v>0</v>
      </c>
      <c r="V2790" s="41">
        <f>IF(AND(H2790="Falta",L2790=Config!$B$7,M2790=Config!$B$5,COUNTIFS($E$5:E2790,E2790,$H$5:H2790,"Falta",$L$5:L2790,Config!$B$7,$M$5:M2790,Config!$B$5)=1),COUNTIFS($E$5:$E$3004,E2790,$H$5:$H$3004,"Falta",$L$5:$L$3004,Config!$B$7,$M$5:$M$3004,Config!$B$5)*1000-ROW()/100000,0)</f>
        <v>0</v>
      </c>
    </row>
    <row r="2791">
      <c r="A2791" s="39" t="n"/>
      <c r="B2791" s="40" t="n"/>
      <c r="C2791" s="35" t="n"/>
      <c r="D2791" s="35" t="n"/>
      <c r="E2791" s="34" t="n"/>
      <c r="F2791" s="35" t="n"/>
      <c r="G2791" s="35" t="n"/>
      <c r="H2791" s="35" t="n"/>
      <c r="I2791" s="35" t="n"/>
      <c r="J2791" s="35" t="n"/>
      <c r="K2791" s="34" t="n"/>
      <c r="L2791" s="26">
        <f>IF(A2791="","",MONTH(A2791))</f>
        <v/>
      </c>
      <c r="M2791" s="26">
        <f>IF(A2791="","",YEAR(A2791))</f>
        <v/>
      </c>
      <c r="N2791" s="26">
        <f>IF(A2791="","",CHOOSE(WEEKDAY(A2791,2),"Segunda","Terça","Quarta","Quinta","Sexta","Sábado","Domingo"))</f>
        <v/>
      </c>
      <c r="O2791" s="26">
        <f>IF(B2791="","",IF(B2791&lt;TIME(12,0,0),"Manhã",IF(B2791&lt;TIME(18,0,0),"Tarde","Noite")))</f>
        <v/>
      </c>
      <c r="P2791" s="32">
        <f>IF(G2791="","",IFERROR(INDEX(Config!$I$5:$I$16,MATCH(G2791,Config!$H$5:$H$16,0)),0))</f>
        <v/>
      </c>
      <c r="Q2791" s="30">
        <f>IF(OR(H2791&lt;&gt;"Realizado",P2791="",P2791=0),"",A2791+P2791)</f>
        <v/>
      </c>
      <c r="R2791" s="26">
        <f>IF(Q2791="","",IF(COUNTIFS($E$5:$E$3004,E2791,$A$5:$A$3004,"&gt;"&amp;A2791,$H$5:$H$3004,"&lt;&gt;Falta",$H$5:$H$3004,"&lt;&gt;Cancelado",$H$5:$H$3004,"&lt;&gt;Remarcado")&gt;0,"Sim","Não"))</f>
        <v/>
      </c>
      <c r="S2791" s="32">
        <f>IF(R2791&lt;&gt;"Não","",IF(Q2791+Config!$B$9&lt;=Config!$B$8,Config!$B$8-Q2791,""))</f>
        <v/>
      </c>
      <c r="T2791" s="26">
        <f>IF(S2791="","","Sim")</f>
        <v/>
      </c>
      <c r="U2791" s="41">
        <f>IF(T2791="Sim",S2791+ROW()/100000,0)</f>
        <v>0</v>
      </c>
      <c r="V2791" s="41">
        <f>IF(AND(H2791="Falta",L2791=Config!$B$7,M2791=Config!$B$5,COUNTIFS($E$5:E2791,E2791,$H$5:H2791,"Falta",$L$5:L2791,Config!$B$7,$M$5:M2791,Config!$B$5)=1),COUNTIFS($E$5:$E$3004,E2791,$H$5:$H$3004,"Falta",$L$5:$L$3004,Config!$B$7,$M$5:$M$3004,Config!$B$5)*1000-ROW()/100000,0)</f>
        <v>0</v>
      </c>
    </row>
    <row r="2792">
      <c r="A2792" s="39" t="n"/>
      <c r="B2792" s="40" t="n"/>
      <c r="C2792" s="35" t="n"/>
      <c r="D2792" s="35" t="n"/>
      <c r="E2792" s="34" t="n"/>
      <c r="F2792" s="35" t="n"/>
      <c r="G2792" s="35" t="n"/>
      <c r="H2792" s="35" t="n"/>
      <c r="I2792" s="35" t="n"/>
      <c r="J2792" s="35" t="n"/>
      <c r="K2792" s="34" t="n"/>
      <c r="L2792" s="26">
        <f>IF(A2792="","",MONTH(A2792))</f>
        <v/>
      </c>
      <c r="M2792" s="26">
        <f>IF(A2792="","",YEAR(A2792))</f>
        <v/>
      </c>
      <c r="N2792" s="26">
        <f>IF(A2792="","",CHOOSE(WEEKDAY(A2792,2),"Segunda","Terça","Quarta","Quinta","Sexta","Sábado","Domingo"))</f>
        <v/>
      </c>
      <c r="O2792" s="26">
        <f>IF(B2792="","",IF(B2792&lt;TIME(12,0,0),"Manhã",IF(B2792&lt;TIME(18,0,0),"Tarde","Noite")))</f>
        <v/>
      </c>
      <c r="P2792" s="32">
        <f>IF(G2792="","",IFERROR(INDEX(Config!$I$5:$I$16,MATCH(G2792,Config!$H$5:$H$16,0)),0))</f>
        <v/>
      </c>
      <c r="Q2792" s="30">
        <f>IF(OR(H2792&lt;&gt;"Realizado",P2792="",P2792=0),"",A2792+P2792)</f>
        <v/>
      </c>
      <c r="R2792" s="26">
        <f>IF(Q2792="","",IF(COUNTIFS($E$5:$E$3004,E2792,$A$5:$A$3004,"&gt;"&amp;A2792,$H$5:$H$3004,"&lt;&gt;Falta",$H$5:$H$3004,"&lt;&gt;Cancelado",$H$5:$H$3004,"&lt;&gt;Remarcado")&gt;0,"Sim","Não"))</f>
        <v/>
      </c>
      <c r="S2792" s="32">
        <f>IF(R2792&lt;&gt;"Não","",IF(Q2792+Config!$B$9&lt;=Config!$B$8,Config!$B$8-Q2792,""))</f>
        <v/>
      </c>
      <c r="T2792" s="26">
        <f>IF(S2792="","","Sim")</f>
        <v/>
      </c>
      <c r="U2792" s="41">
        <f>IF(T2792="Sim",S2792+ROW()/100000,0)</f>
        <v>0</v>
      </c>
      <c r="V2792" s="41">
        <f>IF(AND(H2792="Falta",L2792=Config!$B$7,M2792=Config!$B$5,COUNTIFS($E$5:E2792,E2792,$H$5:H2792,"Falta",$L$5:L2792,Config!$B$7,$M$5:M2792,Config!$B$5)=1),COUNTIFS($E$5:$E$3004,E2792,$H$5:$H$3004,"Falta",$L$5:$L$3004,Config!$B$7,$M$5:$M$3004,Config!$B$5)*1000-ROW()/100000,0)</f>
        <v>0</v>
      </c>
    </row>
    <row r="2793">
      <c r="A2793" s="39" t="n"/>
      <c r="B2793" s="40" t="n"/>
      <c r="C2793" s="35" t="n"/>
      <c r="D2793" s="35" t="n"/>
      <c r="E2793" s="34" t="n"/>
      <c r="F2793" s="35" t="n"/>
      <c r="G2793" s="35" t="n"/>
      <c r="H2793" s="35" t="n"/>
      <c r="I2793" s="35" t="n"/>
      <c r="J2793" s="35" t="n"/>
      <c r="K2793" s="34" t="n"/>
      <c r="L2793" s="26">
        <f>IF(A2793="","",MONTH(A2793))</f>
        <v/>
      </c>
      <c r="M2793" s="26">
        <f>IF(A2793="","",YEAR(A2793))</f>
        <v/>
      </c>
      <c r="N2793" s="26">
        <f>IF(A2793="","",CHOOSE(WEEKDAY(A2793,2),"Segunda","Terça","Quarta","Quinta","Sexta","Sábado","Domingo"))</f>
        <v/>
      </c>
      <c r="O2793" s="26">
        <f>IF(B2793="","",IF(B2793&lt;TIME(12,0,0),"Manhã",IF(B2793&lt;TIME(18,0,0),"Tarde","Noite")))</f>
        <v/>
      </c>
      <c r="P2793" s="32">
        <f>IF(G2793="","",IFERROR(INDEX(Config!$I$5:$I$16,MATCH(G2793,Config!$H$5:$H$16,0)),0))</f>
        <v/>
      </c>
      <c r="Q2793" s="30">
        <f>IF(OR(H2793&lt;&gt;"Realizado",P2793="",P2793=0),"",A2793+P2793)</f>
        <v/>
      </c>
      <c r="R2793" s="26">
        <f>IF(Q2793="","",IF(COUNTIFS($E$5:$E$3004,E2793,$A$5:$A$3004,"&gt;"&amp;A2793,$H$5:$H$3004,"&lt;&gt;Falta",$H$5:$H$3004,"&lt;&gt;Cancelado",$H$5:$H$3004,"&lt;&gt;Remarcado")&gt;0,"Sim","Não"))</f>
        <v/>
      </c>
      <c r="S2793" s="32">
        <f>IF(R2793&lt;&gt;"Não","",IF(Q2793+Config!$B$9&lt;=Config!$B$8,Config!$B$8-Q2793,""))</f>
        <v/>
      </c>
      <c r="T2793" s="26">
        <f>IF(S2793="","","Sim")</f>
        <v/>
      </c>
      <c r="U2793" s="41">
        <f>IF(T2793="Sim",S2793+ROW()/100000,0)</f>
        <v>0</v>
      </c>
      <c r="V2793" s="41">
        <f>IF(AND(H2793="Falta",L2793=Config!$B$7,M2793=Config!$B$5,COUNTIFS($E$5:E2793,E2793,$H$5:H2793,"Falta",$L$5:L2793,Config!$B$7,$M$5:M2793,Config!$B$5)=1),COUNTIFS($E$5:$E$3004,E2793,$H$5:$H$3004,"Falta",$L$5:$L$3004,Config!$B$7,$M$5:$M$3004,Config!$B$5)*1000-ROW()/100000,0)</f>
        <v>0</v>
      </c>
    </row>
    <row r="2794">
      <c r="A2794" s="39" t="n"/>
      <c r="B2794" s="40" t="n"/>
      <c r="C2794" s="35" t="n"/>
      <c r="D2794" s="35" t="n"/>
      <c r="E2794" s="34" t="n"/>
      <c r="F2794" s="35" t="n"/>
      <c r="G2794" s="35" t="n"/>
      <c r="H2794" s="35" t="n"/>
      <c r="I2794" s="35" t="n"/>
      <c r="J2794" s="35" t="n"/>
      <c r="K2794" s="34" t="n"/>
      <c r="L2794" s="26">
        <f>IF(A2794="","",MONTH(A2794))</f>
        <v/>
      </c>
      <c r="M2794" s="26">
        <f>IF(A2794="","",YEAR(A2794))</f>
        <v/>
      </c>
      <c r="N2794" s="26">
        <f>IF(A2794="","",CHOOSE(WEEKDAY(A2794,2),"Segunda","Terça","Quarta","Quinta","Sexta","Sábado","Domingo"))</f>
        <v/>
      </c>
      <c r="O2794" s="26">
        <f>IF(B2794="","",IF(B2794&lt;TIME(12,0,0),"Manhã",IF(B2794&lt;TIME(18,0,0),"Tarde","Noite")))</f>
        <v/>
      </c>
      <c r="P2794" s="32">
        <f>IF(G2794="","",IFERROR(INDEX(Config!$I$5:$I$16,MATCH(G2794,Config!$H$5:$H$16,0)),0))</f>
        <v/>
      </c>
      <c r="Q2794" s="30">
        <f>IF(OR(H2794&lt;&gt;"Realizado",P2794="",P2794=0),"",A2794+P2794)</f>
        <v/>
      </c>
      <c r="R2794" s="26">
        <f>IF(Q2794="","",IF(COUNTIFS($E$5:$E$3004,E2794,$A$5:$A$3004,"&gt;"&amp;A2794,$H$5:$H$3004,"&lt;&gt;Falta",$H$5:$H$3004,"&lt;&gt;Cancelado",$H$5:$H$3004,"&lt;&gt;Remarcado")&gt;0,"Sim","Não"))</f>
        <v/>
      </c>
      <c r="S2794" s="32">
        <f>IF(R2794&lt;&gt;"Não","",IF(Q2794+Config!$B$9&lt;=Config!$B$8,Config!$B$8-Q2794,""))</f>
        <v/>
      </c>
      <c r="T2794" s="26">
        <f>IF(S2794="","","Sim")</f>
        <v/>
      </c>
      <c r="U2794" s="41">
        <f>IF(T2794="Sim",S2794+ROW()/100000,0)</f>
        <v>0</v>
      </c>
      <c r="V2794" s="41">
        <f>IF(AND(H2794="Falta",L2794=Config!$B$7,M2794=Config!$B$5,COUNTIFS($E$5:E2794,E2794,$H$5:H2794,"Falta",$L$5:L2794,Config!$B$7,$M$5:M2794,Config!$B$5)=1),COUNTIFS($E$5:$E$3004,E2794,$H$5:$H$3004,"Falta",$L$5:$L$3004,Config!$B$7,$M$5:$M$3004,Config!$B$5)*1000-ROW()/100000,0)</f>
        <v>0</v>
      </c>
    </row>
    <row r="2795">
      <c r="A2795" s="39" t="n"/>
      <c r="B2795" s="40" t="n"/>
      <c r="C2795" s="35" t="n"/>
      <c r="D2795" s="35" t="n"/>
      <c r="E2795" s="34" t="n"/>
      <c r="F2795" s="35" t="n"/>
      <c r="G2795" s="35" t="n"/>
      <c r="H2795" s="35" t="n"/>
      <c r="I2795" s="35" t="n"/>
      <c r="J2795" s="35" t="n"/>
      <c r="K2795" s="34" t="n"/>
      <c r="L2795" s="26">
        <f>IF(A2795="","",MONTH(A2795))</f>
        <v/>
      </c>
      <c r="M2795" s="26">
        <f>IF(A2795="","",YEAR(A2795))</f>
        <v/>
      </c>
      <c r="N2795" s="26">
        <f>IF(A2795="","",CHOOSE(WEEKDAY(A2795,2),"Segunda","Terça","Quarta","Quinta","Sexta","Sábado","Domingo"))</f>
        <v/>
      </c>
      <c r="O2795" s="26">
        <f>IF(B2795="","",IF(B2795&lt;TIME(12,0,0),"Manhã",IF(B2795&lt;TIME(18,0,0),"Tarde","Noite")))</f>
        <v/>
      </c>
      <c r="P2795" s="32">
        <f>IF(G2795="","",IFERROR(INDEX(Config!$I$5:$I$16,MATCH(G2795,Config!$H$5:$H$16,0)),0))</f>
        <v/>
      </c>
      <c r="Q2795" s="30">
        <f>IF(OR(H2795&lt;&gt;"Realizado",P2795="",P2795=0),"",A2795+P2795)</f>
        <v/>
      </c>
      <c r="R2795" s="26">
        <f>IF(Q2795="","",IF(COUNTIFS($E$5:$E$3004,E2795,$A$5:$A$3004,"&gt;"&amp;A2795,$H$5:$H$3004,"&lt;&gt;Falta",$H$5:$H$3004,"&lt;&gt;Cancelado",$H$5:$H$3004,"&lt;&gt;Remarcado")&gt;0,"Sim","Não"))</f>
        <v/>
      </c>
      <c r="S2795" s="32">
        <f>IF(R2795&lt;&gt;"Não","",IF(Q2795+Config!$B$9&lt;=Config!$B$8,Config!$B$8-Q2795,""))</f>
        <v/>
      </c>
      <c r="T2795" s="26">
        <f>IF(S2795="","","Sim")</f>
        <v/>
      </c>
      <c r="U2795" s="41">
        <f>IF(T2795="Sim",S2795+ROW()/100000,0)</f>
        <v>0</v>
      </c>
      <c r="V2795" s="41">
        <f>IF(AND(H2795="Falta",L2795=Config!$B$7,M2795=Config!$B$5,COUNTIFS($E$5:E2795,E2795,$H$5:H2795,"Falta",$L$5:L2795,Config!$B$7,$M$5:M2795,Config!$B$5)=1),COUNTIFS($E$5:$E$3004,E2795,$H$5:$H$3004,"Falta",$L$5:$L$3004,Config!$B$7,$M$5:$M$3004,Config!$B$5)*1000-ROW()/100000,0)</f>
        <v>0</v>
      </c>
    </row>
    <row r="2796">
      <c r="A2796" s="39" t="n"/>
      <c r="B2796" s="40" t="n"/>
      <c r="C2796" s="35" t="n"/>
      <c r="D2796" s="35" t="n"/>
      <c r="E2796" s="34" t="n"/>
      <c r="F2796" s="35" t="n"/>
      <c r="G2796" s="35" t="n"/>
      <c r="H2796" s="35" t="n"/>
      <c r="I2796" s="35" t="n"/>
      <c r="J2796" s="35" t="n"/>
      <c r="K2796" s="34" t="n"/>
      <c r="L2796" s="26">
        <f>IF(A2796="","",MONTH(A2796))</f>
        <v/>
      </c>
      <c r="M2796" s="26">
        <f>IF(A2796="","",YEAR(A2796))</f>
        <v/>
      </c>
      <c r="N2796" s="26">
        <f>IF(A2796="","",CHOOSE(WEEKDAY(A2796,2),"Segunda","Terça","Quarta","Quinta","Sexta","Sábado","Domingo"))</f>
        <v/>
      </c>
      <c r="O2796" s="26">
        <f>IF(B2796="","",IF(B2796&lt;TIME(12,0,0),"Manhã",IF(B2796&lt;TIME(18,0,0),"Tarde","Noite")))</f>
        <v/>
      </c>
      <c r="P2796" s="32">
        <f>IF(G2796="","",IFERROR(INDEX(Config!$I$5:$I$16,MATCH(G2796,Config!$H$5:$H$16,0)),0))</f>
        <v/>
      </c>
      <c r="Q2796" s="30">
        <f>IF(OR(H2796&lt;&gt;"Realizado",P2796="",P2796=0),"",A2796+P2796)</f>
        <v/>
      </c>
      <c r="R2796" s="26">
        <f>IF(Q2796="","",IF(COUNTIFS($E$5:$E$3004,E2796,$A$5:$A$3004,"&gt;"&amp;A2796,$H$5:$H$3004,"&lt;&gt;Falta",$H$5:$H$3004,"&lt;&gt;Cancelado",$H$5:$H$3004,"&lt;&gt;Remarcado")&gt;0,"Sim","Não"))</f>
        <v/>
      </c>
      <c r="S2796" s="32">
        <f>IF(R2796&lt;&gt;"Não","",IF(Q2796+Config!$B$9&lt;=Config!$B$8,Config!$B$8-Q2796,""))</f>
        <v/>
      </c>
      <c r="T2796" s="26">
        <f>IF(S2796="","","Sim")</f>
        <v/>
      </c>
      <c r="U2796" s="41">
        <f>IF(T2796="Sim",S2796+ROW()/100000,0)</f>
        <v>0</v>
      </c>
      <c r="V2796" s="41">
        <f>IF(AND(H2796="Falta",L2796=Config!$B$7,M2796=Config!$B$5,COUNTIFS($E$5:E2796,E2796,$H$5:H2796,"Falta",$L$5:L2796,Config!$B$7,$M$5:M2796,Config!$B$5)=1),COUNTIFS($E$5:$E$3004,E2796,$H$5:$H$3004,"Falta",$L$5:$L$3004,Config!$B$7,$M$5:$M$3004,Config!$B$5)*1000-ROW()/100000,0)</f>
        <v>0</v>
      </c>
    </row>
    <row r="2797">
      <c r="A2797" s="39" t="n"/>
      <c r="B2797" s="40" t="n"/>
      <c r="C2797" s="35" t="n"/>
      <c r="D2797" s="35" t="n"/>
      <c r="E2797" s="34" t="n"/>
      <c r="F2797" s="35" t="n"/>
      <c r="G2797" s="35" t="n"/>
      <c r="H2797" s="35" t="n"/>
      <c r="I2797" s="35" t="n"/>
      <c r="J2797" s="35" t="n"/>
      <c r="K2797" s="34" t="n"/>
      <c r="L2797" s="26">
        <f>IF(A2797="","",MONTH(A2797))</f>
        <v/>
      </c>
      <c r="M2797" s="26">
        <f>IF(A2797="","",YEAR(A2797))</f>
        <v/>
      </c>
      <c r="N2797" s="26">
        <f>IF(A2797="","",CHOOSE(WEEKDAY(A2797,2),"Segunda","Terça","Quarta","Quinta","Sexta","Sábado","Domingo"))</f>
        <v/>
      </c>
      <c r="O2797" s="26">
        <f>IF(B2797="","",IF(B2797&lt;TIME(12,0,0),"Manhã",IF(B2797&lt;TIME(18,0,0),"Tarde","Noite")))</f>
        <v/>
      </c>
      <c r="P2797" s="32">
        <f>IF(G2797="","",IFERROR(INDEX(Config!$I$5:$I$16,MATCH(G2797,Config!$H$5:$H$16,0)),0))</f>
        <v/>
      </c>
      <c r="Q2797" s="30">
        <f>IF(OR(H2797&lt;&gt;"Realizado",P2797="",P2797=0),"",A2797+P2797)</f>
        <v/>
      </c>
      <c r="R2797" s="26">
        <f>IF(Q2797="","",IF(COUNTIFS($E$5:$E$3004,E2797,$A$5:$A$3004,"&gt;"&amp;A2797,$H$5:$H$3004,"&lt;&gt;Falta",$H$5:$H$3004,"&lt;&gt;Cancelado",$H$5:$H$3004,"&lt;&gt;Remarcado")&gt;0,"Sim","Não"))</f>
        <v/>
      </c>
      <c r="S2797" s="32">
        <f>IF(R2797&lt;&gt;"Não","",IF(Q2797+Config!$B$9&lt;=Config!$B$8,Config!$B$8-Q2797,""))</f>
        <v/>
      </c>
      <c r="T2797" s="26">
        <f>IF(S2797="","","Sim")</f>
        <v/>
      </c>
      <c r="U2797" s="41">
        <f>IF(T2797="Sim",S2797+ROW()/100000,0)</f>
        <v>0</v>
      </c>
      <c r="V2797" s="41">
        <f>IF(AND(H2797="Falta",L2797=Config!$B$7,M2797=Config!$B$5,COUNTIFS($E$5:E2797,E2797,$H$5:H2797,"Falta",$L$5:L2797,Config!$B$7,$M$5:M2797,Config!$B$5)=1),COUNTIFS($E$5:$E$3004,E2797,$H$5:$H$3004,"Falta",$L$5:$L$3004,Config!$B$7,$M$5:$M$3004,Config!$B$5)*1000-ROW()/100000,0)</f>
        <v>0</v>
      </c>
    </row>
    <row r="2798">
      <c r="A2798" s="39" t="n"/>
      <c r="B2798" s="40" t="n"/>
      <c r="C2798" s="35" t="n"/>
      <c r="D2798" s="35" t="n"/>
      <c r="E2798" s="34" t="n"/>
      <c r="F2798" s="35" t="n"/>
      <c r="G2798" s="35" t="n"/>
      <c r="H2798" s="35" t="n"/>
      <c r="I2798" s="35" t="n"/>
      <c r="J2798" s="35" t="n"/>
      <c r="K2798" s="34" t="n"/>
      <c r="L2798" s="26">
        <f>IF(A2798="","",MONTH(A2798))</f>
        <v/>
      </c>
      <c r="M2798" s="26">
        <f>IF(A2798="","",YEAR(A2798))</f>
        <v/>
      </c>
      <c r="N2798" s="26">
        <f>IF(A2798="","",CHOOSE(WEEKDAY(A2798,2),"Segunda","Terça","Quarta","Quinta","Sexta","Sábado","Domingo"))</f>
        <v/>
      </c>
      <c r="O2798" s="26">
        <f>IF(B2798="","",IF(B2798&lt;TIME(12,0,0),"Manhã",IF(B2798&lt;TIME(18,0,0),"Tarde","Noite")))</f>
        <v/>
      </c>
      <c r="P2798" s="32">
        <f>IF(G2798="","",IFERROR(INDEX(Config!$I$5:$I$16,MATCH(G2798,Config!$H$5:$H$16,0)),0))</f>
        <v/>
      </c>
      <c r="Q2798" s="30">
        <f>IF(OR(H2798&lt;&gt;"Realizado",P2798="",P2798=0),"",A2798+P2798)</f>
        <v/>
      </c>
      <c r="R2798" s="26">
        <f>IF(Q2798="","",IF(COUNTIFS($E$5:$E$3004,E2798,$A$5:$A$3004,"&gt;"&amp;A2798,$H$5:$H$3004,"&lt;&gt;Falta",$H$5:$H$3004,"&lt;&gt;Cancelado",$H$5:$H$3004,"&lt;&gt;Remarcado")&gt;0,"Sim","Não"))</f>
        <v/>
      </c>
      <c r="S2798" s="32">
        <f>IF(R2798&lt;&gt;"Não","",IF(Q2798+Config!$B$9&lt;=Config!$B$8,Config!$B$8-Q2798,""))</f>
        <v/>
      </c>
      <c r="T2798" s="26">
        <f>IF(S2798="","","Sim")</f>
        <v/>
      </c>
      <c r="U2798" s="41">
        <f>IF(T2798="Sim",S2798+ROW()/100000,0)</f>
        <v>0</v>
      </c>
      <c r="V2798" s="41">
        <f>IF(AND(H2798="Falta",L2798=Config!$B$7,M2798=Config!$B$5,COUNTIFS($E$5:E2798,E2798,$H$5:H2798,"Falta",$L$5:L2798,Config!$B$7,$M$5:M2798,Config!$B$5)=1),COUNTIFS($E$5:$E$3004,E2798,$H$5:$H$3004,"Falta",$L$5:$L$3004,Config!$B$7,$M$5:$M$3004,Config!$B$5)*1000-ROW()/100000,0)</f>
        <v>0</v>
      </c>
    </row>
    <row r="2799">
      <c r="A2799" s="39" t="n"/>
      <c r="B2799" s="40" t="n"/>
      <c r="C2799" s="35" t="n"/>
      <c r="D2799" s="35" t="n"/>
      <c r="E2799" s="34" t="n"/>
      <c r="F2799" s="35" t="n"/>
      <c r="G2799" s="35" t="n"/>
      <c r="H2799" s="35" t="n"/>
      <c r="I2799" s="35" t="n"/>
      <c r="J2799" s="35" t="n"/>
      <c r="K2799" s="34" t="n"/>
      <c r="L2799" s="26">
        <f>IF(A2799="","",MONTH(A2799))</f>
        <v/>
      </c>
      <c r="M2799" s="26">
        <f>IF(A2799="","",YEAR(A2799))</f>
        <v/>
      </c>
      <c r="N2799" s="26">
        <f>IF(A2799="","",CHOOSE(WEEKDAY(A2799,2),"Segunda","Terça","Quarta","Quinta","Sexta","Sábado","Domingo"))</f>
        <v/>
      </c>
      <c r="O2799" s="26">
        <f>IF(B2799="","",IF(B2799&lt;TIME(12,0,0),"Manhã",IF(B2799&lt;TIME(18,0,0),"Tarde","Noite")))</f>
        <v/>
      </c>
      <c r="P2799" s="32">
        <f>IF(G2799="","",IFERROR(INDEX(Config!$I$5:$I$16,MATCH(G2799,Config!$H$5:$H$16,0)),0))</f>
        <v/>
      </c>
      <c r="Q2799" s="30">
        <f>IF(OR(H2799&lt;&gt;"Realizado",P2799="",P2799=0),"",A2799+P2799)</f>
        <v/>
      </c>
      <c r="R2799" s="26">
        <f>IF(Q2799="","",IF(COUNTIFS($E$5:$E$3004,E2799,$A$5:$A$3004,"&gt;"&amp;A2799,$H$5:$H$3004,"&lt;&gt;Falta",$H$5:$H$3004,"&lt;&gt;Cancelado",$H$5:$H$3004,"&lt;&gt;Remarcado")&gt;0,"Sim","Não"))</f>
        <v/>
      </c>
      <c r="S2799" s="32">
        <f>IF(R2799&lt;&gt;"Não","",IF(Q2799+Config!$B$9&lt;=Config!$B$8,Config!$B$8-Q2799,""))</f>
        <v/>
      </c>
      <c r="T2799" s="26">
        <f>IF(S2799="","","Sim")</f>
        <v/>
      </c>
      <c r="U2799" s="41">
        <f>IF(T2799="Sim",S2799+ROW()/100000,0)</f>
        <v>0</v>
      </c>
      <c r="V2799" s="41">
        <f>IF(AND(H2799="Falta",L2799=Config!$B$7,M2799=Config!$B$5,COUNTIFS($E$5:E2799,E2799,$H$5:H2799,"Falta",$L$5:L2799,Config!$B$7,$M$5:M2799,Config!$B$5)=1),COUNTIFS($E$5:$E$3004,E2799,$H$5:$H$3004,"Falta",$L$5:$L$3004,Config!$B$7,$M$5:$M$3004,Config!$B$5)*1000-ROW()/100000,0)</f>
        <v>0</v>
      </c>
    </row>
    <row r="2800">
      <c r="A2800" s="39" t="n"/>
      <c r="B2800" s="40" t="n"/>
      <c r="C2800" s="35" t="n"/>
      <c r="D2800" s="35" t="n"/>
      <c r="E2800" s="34" t="n"/>
      <c r="F2800" s="35" t="n"/>
      <c r="G2800" s="35" t="n"/>
      <c r="H2800" s="35" t="n"/>
      <c r="I2800" s="35" t="n"/>
      <c r="J2800" s="35" t="n"/>
      <c r="K2800" s="34" t="n"/>
      <c r="L2800" s="26">
        <f>IF(A2800="","",MONTH(A2800))</f>
        <v/>
      </c>
      <c r="M2800" s="26">
        <f>IF(A2800="","",YEAR(A2800))</f>
        <v/>
      </c>
      <c r="N2800" s="26">
        <f>IF(A2800="","",CHOOSE(WEEKDAY(A2800,2),"Segunda","Terça","Quarta","Quinta","Sexta","Sábado","Domingo"))</f>
        <v/>
      </c>
      <c r="O2800" s="26">
        <f>IF(B2800="","",IF(B2800&lt;TIME(12,0,0),"Manhã",IF(B2800&lt;TIME(18,0,0),"Tarde","Noite")))</f>
        <v/>
      </c>
      <c r="P2800" s="32">
        <f>IF(G2800="","",IFERROR(INDEX(Config!$I$5:$I$16,MATCH(G2800,Config!$H$5:$H$16,0)),0))</f>
        <v/>
      </c>
      <c r="Q2800" s="30">
        <f>IF(OR(H2800&lt;&gt;"Realizado",P2800="",P2800=0),"",A2800+P2800)</f>
        <v/>
      </c>
      <c r="R2800" s="26">
        <f>IF(Q2800="","",IF(COUNTIFS($E$5:$E$3004,E2800,$A$5:$A$3004,"&gt;"&amp;A2800,$H$5:$H$3004,"&lt;&gt;Falta",$H$5:$H$3004,"&lt;&gt;Cancelado",$H$5:$H$3004,"&lt;&gt;Remarcado")&gt;0,"Sim","Não"))</f>
        <v/>
      </c>
      <c r="S2800" s="32">
        <f>IF(R2800&lt;&gt;"Não","",IF(Q2800+Config!$B$9&lt;=Config!$B$8,Config!$B$8-Q2800,""))</f>
        <v/>
      </c>
      <c r="T2800" s="26">
        <f>IF(S2800="","","Sim")</f>
        <v/>
      </c>
      <c r="U2800" s="41">
        <f>IF(T2800="Sim",S2800+ROW()/100000,0)</f>
        <v>0</v>
      </c>
      <c r="V2800" s="41">
        <f>IF(AND(H2800="Falta",L2800=Config!$B$7,M2800=Config!$B$5,COUNTIFS($E$5:E2800,E2800,$H$5:H2800,"Falta",$L$5:L2800,Config!$B$7,$M$5:M2800,Config!$B$5)=1),COUNTIFS($E$5:$E$3004,E2800,$H$5:$H$3004,"Falta",$L$5:$L$3004,Config!$B$7,$M$5:$M$3004,Config!$B$5)*1000-ROW()/100000,0)</f>
        <v>0</v>
      </c>
    </row>
    <row r="2801">
      <c r="A2801" s="39" t="n"/>
      <c r="B2801" s="40" t="n"/>
      <c r="C2801" s="35" t="n"/>
      <c r="D2801" s="35" t="n"/>
      <c r="E2801" s="34" t="n"/>
      <c r="F2801" s="35" t="n"/>
      <c r="G2801" s="35" t="n"/>
      <c r="H2801" s="35" t="n"/>
      <c r="I2801" s="35" t="n"/>
      <c r="J2801" s="35" t="n"/>
      <c r="K2801" s="34" t="n"/>
      <c r="L2801" s="26">
        <f>IF(A2801="","",MONTH(A2801))</f>
        <v/>
      </c>
      <c r="M2801" s="26">
        <f>IF(A2801="","",YEAR(A2801))</f>
        <v/>
      </c>
      <c r="N2801" s="26">
        <f>IF(A2801="","",CHOOSE(WEEKDAY(A2801,2),"Segunda","Terça","Quarta","Quinta","Sexta","Sábado","Domingo"))</f>
        <v/>
      </c>
      <c r="O2801" s="26">
        <f>IF(B2801="","",IF(B2801&lt;TIME(12,0,0),"Manhã",IF(B2801&lt;TIME(18,0,0),"Tarde","Noite")))</f>
        <v/>
      </c>
      <c r="P2801" s="32">
        <f>IF(G2801="","",IFERROR(INDEX(Config!$I$5:$I$16,MATCH(G2801,Config!$H$5:$H$16,0)),0))</f>
        <v/>
      </c>
      <c r="Q2801" s="30">
        <f>IF(OR(H2801&lt;&gt;"Realizado",P2801="",P2801=0),"",A2801+P2801)</f>
        <v/>
      </c>
      <c r="R2801" s="26">
        <f>IF(Q2801="","",IF(COUNTIFS($E$5:$E$3004,E2801,$A$5:$A$3004,"&gt;"&amp;A2801,$H$5:$H$3004,"&lt;&gt;Falta",$H$5:$H$3004,"&lt;&gt;Cancelado",$H$5:$H$3004,"&lt;&gt;Remarcado")&gt;0,"Sim","Não"))</f>
        <v/>
      </c>
      <c r="S2801" s="32">
        <f>IF(R2801&lt;&gt;"Não","",IF(Q2801+Config!$B$9&lt;=Config!$B$8,Config!$B$8-Q2801,""))</f>
        <v/>
      </c>
      <c r="T2801" s="26">
        <f>IF(S2801="","","Sim")</f>
        <v/>
      </c>
      <c r="U2801" s="41">
        <f>IF(T2801="Sim",S2801+ROW()/100000,0)</f>
        <v>0</v>
      </c>
      <c r="V2801" s="41">
        <f>IF(AND(H2801="Falta",L2801=Config!$B$7,M2801=Config!$B$5,COUNTIFS($E$5:E2801,E2801,$H$5:H2801,"Falta",$L$5:L2801,Config!$B$7,$M$5:M2801,Config!$B$5)=1),COUNTIFS($E$5:$E$3004,E2801,$H$5:$H$3004,"Falta",$L$5:$L$3004,Config!$B$7,$M$5:$M$3004,Config!$B$5)*1000-ROW()/100000,0)</f>
        <v>0</v>
      </c>
    </row>
    <row r="2802">
      <c r="A2802" s="39" t="n"/>
      <c r="B2802" s="40" t="n"/>
      <c r="C2802" s="35" t="n"/>
      <c r="D2802" s="35" t="n"/>
      <c r="E2802" s="34" t="n"/>
      <c r="F2802" s="35" t="n"/>
      <c r="G2802" s="35" t="n"/>
      <c r="H2802" s="35" t="n"/>
      <c r="I2802" s="35" t="n"/>
      <c r="J2802" s="35" t="n"/>
      <c r="K2802" s="34" t="n"/>
      <c r="L2802" s="26">
        <f>IF(A2802="","",MONTH(A2802))</f>
        <v/>
      </c>
      <c r="M2802" s="26">
        <f>IF(A2802="","",YEAR(A2802))</f>
        <v/>
      </c>
      <c r="N2802" s="26">
        <f>IF(A2802="","",CHOOSE(WEEKDAY(A2802,2),"Segunda","Terça","Quarta","Quinta","Sexta","Sábado","Domingo"))</f>
        <v/>
      </c>
      <c r="O2802" s="26">
        <f>IF(B2802="","",IF(B2802&lt;TIME(12,0,0),"Manhã",IF(B2802&lt;TIME(18,0,0),"Tarde","Noite")))</f>
        <v/>
      </c>
      <c r="P2802" s="32">
        <f>IF(G2802="","",IFERROR(INDEX(Config!$I$5:$I$16,MATCH(G2802,Config!$H$5:$H$16,0)),0))</f>
        <v/>
      </c>
      <c r="Q2802" s="30">
        <f>IF(OR(H2802&lt;&gt;"Realizado",P2802="",P2802=0),"",A2802+P2802)</f>
        <v/>
      </c>
      <c r="R2802" s="26">
        <f>IF(Q2802="","",IF(COUNTIFS($E$5:$E$3004,E2802,$A$5:$A$3004,"&gt;"&amp;A2802,$H$5:$H$3004,"&lt;&gt;Falta",$H$5:$H$3004,"&lt;&gt;Cancelado",$H$5:$H$3004,"&lt;&gt;Remarcado")&gt;0,"Sim","Não"))</f>
        <v/>
      </c>
      <c r="S2802" s="32">
        <f>IF(R2802&lt;&gt;"Não","",IF(Q2802+Config!$B$9&lt;=Config!$B$8,Config!$B$8-Q2802,""))</f>
        <v/>
      </c>
      <c r="T2802" s="26">
        <f>IF(S2802="","","Sim")</f>
        <v/>
      </c>
      <c r="U2802" s="41">
        <f>IF(T2802="Sim",S2802+ROW()/100000,0)</f>
        <v>0</v>
      </c>
      <c r="V2802" s="41">
        <f>IF(AND(H2802="Falta",L2802=Config!$B$7,M2802=Config!$B$5,COUNTIFS($E$5:E2802,E2802,$H$5:H2802,"Falta",$L$5:L2802,Config!$B$7,$M$5:M2802,Config!$B$5)=1),COUNTIFS($E$5:$E$3004,E2802,$H$5:$H$3004,"Falta",$L$5:$L$3004,Config!$B$7,$M$5:$M$3004,Config!$B$5)*1000-ROW()/100000,0)</f>
        <v>0</v>
      </c>
    </row>
    <row r="2803">
      <c r="A2803" s="39" t="n"/>
      <c r="B2803" s="40" t="n"/>
      <c r="C2803" s="35" t="n"/>
      <c r="D2803" s="35" t="n"/>
      <c r="E2803" s="34" t="n"/>
      <c r="F2803" s="35" t="n"/>
      <c r="G2803" s="35" t="n"/>
      <c r="H2803" s="35" t="n"/>
      <c r="I2803" s="35" t="n"/>
      <c r="J2803" s="35" t="n"/>
      <c r="K2803" s="34" t="n"/>
      <c r="L2803" s="26">
        <f>IF(A2803="","",MONTH(A2803))</f>
        <v/>
      </c>
      <c r="M2803" s="26">
        <f>IF(A2803="","",YEAR(A2803))</f>
        <v/>
      </c>
      <c r="N2803" s="26">
        <f>IF(A2803="","",CHOOSE(WEEKDAY(A2803,2),"Segunda","Terça","Quarta","Quinta","Sexta","Sábado","Domingo"))</f>
        <v/>
      </c>
      <c r="O2803" s="26">
        <f>IF(B2803="","",IF(B2803&lt;TIME(12,0,0),"Manhã",IF(B2803&lt;TIME(18,0,0),"Tarde","Noite")))</f>
        <v/>
      </c>
      <c r="P2803" s="32">
        <f>IF(G2803="","",IFERROR(INDEX(Config!$I$5:$I$16,MATCH(G2803,Config!$H$5:$H$16,0)),0))</f>
        <v/>
      </c>
      <c r="Q2803" s="30">
        <f>IF(OR(H2803&lt;&gt;"Realizado",P2803="",P2803=0),"",A2803+P2803)</f>
        <v/>
      </c>
      <c r="R2803" s="26">
        <f>IF(Q2803="","",IF(COUNTIFS($E$5:$E$3004,E2803,$A$5:$A$3004,"&gt;"&amp;A2803,$H$5:$H$3004,"&lt;&gt;Falta",$H$5:$H$3004,"&lt;&gt;Cancelado",$H$5:$H$3004,"&lt;&gt;Remarcado")&gt;0,"Sim","Não"))</f>
        <v/>
      </c>
      <c r="S2803" s="32">
        <f>IF(R2803&lt;&gt;"Não","",IF(Q2803+Config!$B$9&lt;=Config!$B$8,Config!$B$8-Q2803,""))</f>
        <v/>
      </c>
      <c r="T2803" s="26">
        <f>IF(S2803="","","Sim")</f>
        <v/>
      </c>
      <c r="U2803" s="41">
        <f>IF(T2803="Sim",S2803+ROW()/100000,0)</f>
        <v>0</v>
      </c>
      <c r="V2803" s="41">
        <f>IF(AND(H2803="Falta",L2803=Config!$B$7,M2803=Config!$B$5,COUNTIFS($E$5:E2803,E2803,$H$5:H2803,"Falta",$L$5:L2803,Config!$B$7,$M$5:M2803,Config!$B$5)=1),COUNTIFS($E$5:$E$3004,E2803,$H$5:$H$3004,"Falta",$L$5:$L$3004,Config!$B$7,$M$5:$M$3004,Config!$B$5)*1000-ROW()/100000,0)</f>
        <v>0</v>
      </c>
    </row>
    <row r="2804">
      <c r="A2804" s="39" t="n"/>
      <c r="B2804" s="40" t="n"/>
      <c r="C2804" s="35" t="n"/>
      <c r="D2804" s="35" t="n"/>
      <c r="E2804" s="34" t="n"/>
      <c r="F2804" s="35" t="n"/>
      <c r="G2804" s="35" t="n"/>
      <c r="H2804" s="35" t="n"/>
      <c r="I2804" s="35" t="n"/>
      <c r="J2804" s="35" t="n"/>
      <c r="K2804" s="34" t="n"/>
      <c r="L2804" s="26">
        <f>IF(A2804="","",MONTH(A2804))</f>
        <v/>
      </c>
      <c r="M2804" s="26">
        <f>IF(A2804="","",YEAR(A2804))</f>
        <v/>
      </c>
      <c r="N2804" s="26">
        <f>IF(A2804="","",CHOOSE(WEEKDAY(A2804,2),"Segunda","Terça","Quarta","Quinta","Sexta","Sábado","Domingo"))</f>
        <v/>
      </c>
      <c r="O2804" s="26">
        <f>IF(B2804="","",IF(B2804&lt;TIME(12,0,0),"Manhã",IF(B2804&lt;TIME(18,0,0),"Tarde","Noite")))</f>
        <v/>
      </c>
      <c r="P2804" s="32">
        <f>IF(G2804="","",IFERROR(INDEX(Config!$I$5:$I$16,MATCH(G2804,Config!$H$5:$H$16,0)),0))</f>
        <v/>
      </c>
      <c r="Q2804" s="30">
        <f>IF(OR(H2804&lt;&gt;"Realizado",P2804="",P2804=0),"",A2804+P2804)</f>
        <v/>
      </c>
      <c r="R2804" s="26">
        <f>IF(Q2804="","",IF(COUNTIFS($E$5:$E$3004,E2804,$A$5:$A$3004,"&gt;"&amp;A2804,$H$5:$H$3004,"&lt;&gt;Falta",$H$5:$H$3004,"&lt;&gt;Cancelado",$H$5:$H$3004,"&lt;&gt;Remarcado")&gt;0,"Sim","Não"))</f>
        <v/>
      </c>
      <c r="S2804" s="32">
        <f>IF(R2804&lt;&gt;"Não","",IF(Q2804+Config!$B$9&lt;=Config!$B$8,Config!$B$8-Q2804,""))</f>
        <v/>
      </c>
      <c r="T2804" s="26">
        <f>IF(S2804="","","Sim")</f>
        <v/>
      </c>
      <c r="U2804" s="41">
        <f>IF(T2804="Sim",S2804+ROW()/100000,0)</f>
        <v>0</v>
      </c>
      <c r="V2804" s="41">
        <f>IF(AND(H2804="Falta",L2804=Config!$B$7,M2804=Config!$B$5,COUNTIFS($E$5:E2804,E2804,$H$5:H2804,"Falta",$L$5:L2804,Config!$B$7,$M$5:M2804,Config!$B$5)=1),COUNTIFS($E$5:$E$3004,E2804,$H$5:$H$3004,"Falta",$L$5:$L$3004,Config!$B$7,$M$5:$M$3004,Config!$B$5)*1000-ROW()/100000,0)</f>
        <v>0</v>
      </c>
    </row>
    <row r="2805">
      <c r="A2805" s="39" t="n"/>
      <c r="B2805" s="40" t="n"/>
      <c r="C2805" s="35" t="n"/>
      <c r="D2805" s="35" t="n"/>
      <c r="E2805" s="34" t="n"/>
      <c r="F2805" s="35" t="n"/>
      <c r="G2805" s="35" t="n"/>
      <c r="H2805" s="35" t="n"/>
      <c r="I2805" s="35" t="n"/>
      <c r="J2805" s="35" t="n"/>
      <c r="K2805" s="34" t="n"/>
      <c r="L2805" s="26">
        <f>IF(A2805="","",MONTH(A2805))</f>
        <v/>
      </c>
      <c r="M2805" s="26">
        <f>IF(A2805="","",YEAR(A2805))</f>
        <v/>
      </c>
      <c r="N2805" s="26">
        <f>IF(A2805="","",CHOOSE(WEEKDAY(A2805,2),"Segunda","Terça","Quarta","Quinta","Sexta","Sábado","Domingo"))</f>
        <v/>
      </c>
      <c r="O2805" s="26">
        <f>IF(B2805="","",IF(B2805&lt;TIME(12,0,0),"Manhã",IF(B2805&lt;TIME(18,0,0),"Tarde","Noite")))</f>
        <v/>
      </c>
      <c r="P2805" s="32">
        <f>IF(G2805="","",IFERROR(INDEX(Config!$I$5:$I$16,MATCH(G2805,Config!$H$5:$H$16,0)),0))</f>
        <v/>
      </c>
      <c r="Q2805" s="30">
        <f>IF(OR(H2805&lt;&gt;"Realizado",P2805="",P2805=0),"",A2805+P2805)</f>
        <v/>
      </c>
      <c r="R2805" s="26">
        <f>IF(Q2805="","",IF(COUNTIFS($E$5:$E$3004,E2805,$A$5:$A$3004,"&gt;"&amp;A2805,$H$5:$H$3004,"&lt;&gt;Falta",$H$5:$H$3004,"&lt;&gt;Cancelado",$H$5:$H$3004,"&lt;&gt;Remarcado")&gt;0,"Sim","Não"))</f>
        <v/>
      </c>
      <c r="S2805" s="32">
        <f>IF(R2805&lt;&gt;"Não","",IF(Q2805+Config!$B$9&lt;=Config!$B$8,Config!$B$8-Q2805,""))</f>
        <v/>
      </c>
      <c r="T2805" s="26">
        <f>IF(S2805="","","Sim")</f>
        <v/>
      </c>
      <c r="U2805" s="41">
        <f>IF(T2805="Sim",S2805+ROW()/100000,0)</f>
        <v>0</v>
      </c>
      <c r="V2805" s="41">
        <f>IF(AND(H2805="Falta",L2805=Config!$B$7,M2805=Config!$B$5,COUNTIFS($E$5:E2805,E2805,$H$5:H2805,"Falta",$L$5:L2805,Config!$B$7,$M$5:M2805,Config!$B$5)=1),COUNTIFS($E$5:$E$3004,E2805,$H$5:$H$3004,"Falta",$L$5:$L$3004,Config!$B$7,$M$5:$M$3004,Config!$B$5)*1000-ROW()/100000,0)</f>
        <v>0</v>
      </c>
    </row>
    <row r="2806">
      <c r="A2806" s="39" t="n"/>
      <c r="B2806" s="40" t="n"/>
      <c r="C2806" s="35" t="n"/>
      <c r="D2806" s="35" t="n"/>
      <c r="E2806" s="34" t="n"/>
      <c r="F2806" s="35" t="n"/>
      <c r="G2806" s="35" t="n"/>
      <c r="H2806" s="35" t="n"/>
      <c r="I2806" s="35" t="n"/>
      <c r="J2806" s="35" t="n"/>
      <c r="K2806" s="34" t="n"/>
      <c r="L2806" s="26">
        <f>IF(A2806="","",MONTH(A2806))</f>
        <v/>
      </c>
      <c r="M2806" s="26">
        <f>IF(A2806="","",YEAR(A2806))</f>
        <v/>
      </c>
      <c r="N2806" s="26">
        <f>IF(A2806="","",CHOOSE(WEEKDAY(A2806,2),"Segunda","Terça","Quarta","Quinta","Sexta","Sábado","Domingo"))</f>
        <v/>
      </c>
      <c r="O2806" s="26">
        <f>IF(B2806="","",IF(B2806&lt;TIME(12,0,0),"Manhã",IF(B2806&lt;TIME(18,0,0),"Tarde","Noite")))</f>
        <v/>
      </c>
      <c r="P2806" s="32">
        <f>IF(G2806="","",IFERROR(INDEX(Config!$I$5:$I$16,MATCH(G2806,Config!$H$5:$H$16,0)),0))</f>
        <v/>
      </c>
      <c r="Q2806" s="30">
        <f>IF(OR(H2806&lt;&gt;"Realizado",P2806="",P2806=0),"",A2806+P2806)</f>
        <v/>
      </c>
      <c r="R2806" s="26">
        <f>IF(Q2806="","",IF(COUNTIFS($E$5:$E$3004,E2806,$A$5:$A$3004,"&gt;"&amp;A2806,$H$5:$H$3004,"&lt;&gt;Falta",$H$5:$H$3004,"&lt;&gt;Cancelado",$H$5:$H$3004,"&lt;&gt;Remarcado")&gt;0,"Sim","Não"))</f>
        <v/>
      </c>
      <c r="S2806" s="32">
        <f>IF(R2806&lt;&gt;"Não","",IF(Q2806+Config!$B$9&lt;=Config!$B$8,Config!$B$8-Q2806,""))</f>
        <v/>
      </c>
      <c r="T2806" s="26">
        <f>IF(S2806="","","Sim")</f>
        <v/>
      </c>
      <c r="U2806" s="41">
        <f>IF(T2806="Sim",S2806+ROW()/100000,0)</f>
        <v>0</v>
      </c>
      <c r="V2806" s="41">
        <f>IF(AND(H2806="Falta",L2806=Config!$B$7,M2806=Config!$B$5,COUNTIFS($E$5:E2806,E2806,$H$5:H2806,"Falta",$L$5:L2806,Config!$B$7,$M$5:M2806,Config!$B$5)=1),COUNTIFS($E$5:$E$3004,E2806,$H$5:$H$3004,"Falta",$L$5:$L$3004,Config!$B$7,$M$5:$M$3004,Config!$B$5)*1000-ROW()/100000,0)</f>
        <v>0</v>
      </c>
    </row>
    <row r="2807">
      <c r="A2807" s="39" t="n"/>
      <c r="B2807" s="40" t="n"/>
      <c r="C2807" s="35" t="n"/>
      <c r="D2807" s="35" t="n"/>
      <c r="E2807" s="34" t="n"/>
      <c r="F2807" s="35" t="n"/>
      <c r="G2807" s="35" t="n"/>
      <c r="H2807" s="35" t="n"/>
      <c r="I2807" s="35" t="n"/>
      <c r="J2807" s="35" t="n"/>
      <c r="K2807" s="34" t="n"/>
      <c r="L2807" s="26">
        <f>IF(A2807="","",MONTH(A2807))</f>
        <v/>
      </c>
      <c r="M2807" s="26">
        <f>IF(A2807="","",YEAR(A2807))</f>
        <v/>
      </c>
      <c r="N2807" s="26">
        <f>IF(A2807="","",CHOOSE(WEEKDAY(A2807,2),"Segunda","Terça","Quarta","Quinta","Sexta","Sábado","Domingo"))</f>
        <v/>
      </c>
      <c r="O2807" s="26">
        <f>IF(B2807="","",IF(B2807&lt;TIME(12,0,0),"Manhã",IF(B2807&lt;TIME(18,0,0),"Tarde","Noite")))</f>
        <v/>
      </c>
      <c r="P2807" s="32">
        <f>IF(G2807="","",IFERROR(INDEX(Config!$I$5:$I$16,MATCH(G2807,Config!$H$5:$H$16,0)),0))</f>
        <v/>
      </c>
      <c r="Q2807" s="30">
        <f>IF(OR(H2807&lt;&gt;"Realizado",P2807="",P2807=0),"",A2807+P2807)</f>
        <v/>
      </c>
      <c r="R2807" s="26">
        <f>IF(Q2807="","",IF(COUNTIFS($E$5:$E$3004,E2807,$A$5:$A$3004,"&gt;"&amp;A2807,$H$5:$H$3004,"&lt;&gt;Falta",$H$5:$H$3004,"&lt;&gt;Cancelado",$H$5:$H$3004,"&lt;&gt;Remarcado")&gt;0,"Sim","Não"))</f>
        <v/>
      </c>
      <c r="S2807" s="32">
        <f>IF(R2807&lt;&gt;"Não","",IF(Q2807+Config!$B$9&lt;=Config!$B$8,Config!$B$8-Q2807,""))</f>
        <v/>
      </c>
      <c r="T2807" s="26">
        <f>IF(S2807="","","Sim")</f>
        <v/>
      </c>
      <c r="U2807" s="41">
        <f>IF(T2807="Sim",S2807+ROW()/100000,0)</f>
        <v>0</v>
      </c>
      <c r="V2807" s="41">
        <f>IF(AND(H2807="Falta",L2807=Config!$B$7,M2807=Config!$B$5,COUNTIFS($E$5:E2807,E2807,$H$5:H2807,"Falta",$L$5:L2807,Config!$B$7,$M$5:M2807,Config!$B$5)=1),COUNTIFS($E$5:$E$3004,E2807,$H$5:$H$3004,"Falta",$L$5:$L$3004,Config!$B$7,$M$5:$M$3004,Config!$B$5)*1000-ROW()/100000,0)</f>
        <v>0</v>
      </c>
    </row>
    <row r="2808">
      <c r="A2808" s="39" t="n"/>
      <c r="B2808" s="40" t="n"/>
      <c r="C2808" s="35" t="n"/>
      <c r="D2808" s="35" t="n"/>
      <c r="E2808" s="34" t="n"/>
      <c r="F2808" s="35" t="n"/>
      <c r="G2808" s="35" t="n"/>
      <c r="H2808" s="35" t="n"/>
      <c r="I2808" s="35" t="n"/>
      <c r="J2808" s="35" t="n"/>
      <c r="K2808" s="34" t="n"/>
      <c r="L2808" s="26">
        <f>IF(A2808="","",MONTH(A2808))</f>
        <v/>
      </c>
      <c r="M2808" s="26">
        <f>IF(A2808="","",YEAR(A2808))</f>
        <v/>
      </c>
      <c r="N2808" s="26">
        <f>IF(A2808="","",CHOOSE(WEEKDAY(A2808,2),"Segunda","Terça","Quarta","Quinta","Sexta","Sábado","Domingo"))</f>
        <v/>
      </c>
      <c r="O2808" s="26">
        <f>IF(B2808="","",IF(B2808&lt;TIME(12,0,0),"Manhã",IF(B2808&lt;TIME(18,0,0),"Tarde","Noite")))</f>
        <v/>
      </c>
      <c r="P2808" s="32">
        <f>IF(G2808="","",IFERROR(INDEX(Config!$I$5:$I$16,MATCH(G2808,Config!$H$5:$H$16,0)),0))</f>
        <v/>
      </c>
      <c r="Q2808" s="30">
        <f>IF(OR(H2808&lt;&gt;"Realizado",P2808="",P2808=0),"",A2808+P2808)</f>
        <v/>
      </c>
      <c r="R2808" s="26">
        <f>IF(Q2808="","",IF(COUNTIFS($E$5:$E$3004,E2808,$A$5:$A$3004,"&gt;"&amp;A2808,$H$5:$H$3004,"&lt;&gt;Falta",$H$5:$H$3004,"&lt;&gt;Cancelado",$H$5:$H$3004,"&lt;&gt;Remarcado")&gt;0,"Sim","Não"))</f>
        <v/>
      </c>
      <c r="S2808" s="32">
        <f>IF(R2808&lt;&gt;"Não","",IF(Q2808+Config!$B$9&lt;=Config!$B$8,Config!$B$8-Q2808,""))</f>
        <v/>
      </c>
      <c r="T2808" s="26">
        <f>IF(S2808="","","Sim")</f>
        <v/>
      </c>
      <c r="U2808" s="41">
        <f>IF(T2808="Sim",S2808+ROW()/100000,0)</f>
        <v>0</v>
      </c>
      <c r="V2808" s="41">
        <f>IF(AND(H2808="Falta",L2808=Config!$B$7,M2808=Config!$B$5,COUNTIFS($E$5:E2808,E2808,$H$5:H2808,"Falta",$L$5:L2808,Config!$B$7,$M$5:M2808,Config!$B$5)=1),COUNTIFS($E$5:$E$3004,E2808,$H$5:$H$3004,"Falta",$L$5:$L$3004,Config!$B$7,$M$5:$M$3004,Config!$B$5)*1000-ROW()/100000,0)</f>
        <v>0</v>
      </c>
    </row>
    <row r="2809">
      <c r="A2809" s="39" t="n"/>
      <c r="B2809" s="40" t="n"/>
      <c r="C2809" s="35" t="n"/>
      <c r="D2809" s="35" t="n"/>
      <c r="E2809" s="34" t="n"/>
      <c r="F2809" s="35" t="n"/>
      <c r="G2809" s="35" t="n"/>
      <c r="H2809" s="35" t="n"/>
      <c r="I2809" s="35" t="n"/>
      <c r="J2809" s="35" t="n"/>
      <c r="K2809" s="34" t="n"/>
      <c r="L2809" s="26">
        <f>IF(A2809="","",MONTH(A2809))</f>
        <v/>
      </c>
      <c r="M2809" s="26">
        <f>IF(A2809="","",YEAR(A2809))</f>
        <v/>
      </c>
      <c r="N2809" s="26">
        <f>IF(A2809="","",CHOOSE(WEEKDAY(A2809,2),"Segunda","Terça","Quarta","Quinta","Sexta","Sábado","Domingo"))</f>
        <v/>
      </c>
      <c r="O2809" s="26">
        <f>IF(B2809="","",IF(B2809&lt;TIME(12,0,0),"Manhã",IF(B2809&lt;TIME(18,0,0),"Tarde","Noite")))</f>
        <v/>
      </c>
      <c r="P2809" s="32">
        <f>IF(G2809="","",IFERROR(INDEX(Config!$I$5:$I$16,MATCH(G2809,Config!$H$5:$H$16,0)),0))</f>
        <v/>
      </c>
      <c r="Q2809" s="30">
        <f>IF(OR(H2809&lt;&gt;"Realizado",P2809="",P2809=0),"",A2809+P2809)</f>
        <v/>
      </c>
      <c r="R2809" s="26">
        <f>IF(Q2809="","",IF(COUNTIFS($E$5:$E$3004,E2809,$A$5:$A$3004,"&gt;"&amp;A2809,$H$5:$H$3004,"&lt;&gt;Falta",$H$5:$H$3004,"&lt;&gt;Cancelado",$H$5:$H$3004,"&lt;&gt;Remarcado")&gt;0,"Sim","Não"))</f>
        <v/>
      </c>
      <c r="S2809" s="32">
        <f>IF(R2809&lt;&gt;"Não","",IF(Q2809+Config!$B$9&lt;=Config!$B$8,Config!$B$8-Q2809,""))</f>
        <v/>
      </c>
      <c r="T2809" s="26">
        <f>IF(S2809="","","Sim")</f>
        <v/>
      </c>
      <c r="U2809" s="41">
        <f>IF(T2809="Sim",S2809+ROW()/100000,0)</f>
        <v>0</v>
      </c>
      <c r="V2809" s="41">
        <f>IF(AND(H2809="Falta",L2809=Config!$B$7,M2809=Config!$B$5,COUNTIFS($E$5:E2809,E2809,$H$5:H2809,"Falta",$L$5:L2809,Config!$B$7,$M$5:M2809,Config!$B$5)=1),COUNTIFS($E$5:$E$3004,E2809,$H$5:$H$3004,"Falta",$L$5:$L$3004,Config!$B$7,$M$5:$M$3004,Config!$B$5)*1000-ROW()/100000,0)</f>
        <v>0</v>
      </c>
    </row>
    <row r="2810">
      <c r="A2810" s="39" t="n"/>
      <c r="B2810" s="40" t="n"/>
      <c r="C2810" s="35" t="n"/>
      <c r="D2810" s="35" t="n"/>
      <c r="E2810" s="34" t="n"/>
      <c r="F2810" s="35" t="n"/>
      <c r="G2810" s="35" t="n"/>
      <c r="H2810" s="35" t="n"/>
      <c r="I2810" s="35" t="n"/>
      <c r="J2810" s="35" t="n"/>
      <c r="K2810" s="34" t="n"/>
      <c r="L2810" s="26">
        <f>IF(A2810="","",MONTH(A2810))</f>
        <v/>
      </c>
      <c r="M2810" s="26">
        <f>IF(A2810="","",YEAR(A2810))</f>
        <v/>
      </c>
      <c r="N2810" s="26">
        <f>IF(A2810="","",CHOOSE(WEEKDAY(A2810,2),"Segunda","Terça","Quarta","Quinta","Sexta","Sábado","Domingo"))</f>
        <v/>
      </c>
      <c r="O2810" s="26">
        <f>IF(B2810="","",IF(B2810&lt;TIME(12,0,0),"Manhã",IF(B2810&lt;TIME(18,0,0),"Tarde","Noite")))</f>
        <v/>
      </c>
      <c r="P2810" s="32">
        <f>IF(G2810="","",IFERROR(INDEX(Config!$I$5:$I$16,MATCH(G2810,Config!$H$5:$H$16,0)),0))</f>
        <v/>
      </c>
      <c r="Q2810" s="30">
        <f>IF(OR(H2810&lt;&gt;"Realizado",P2810="",P2810=0),"",A2810+P2810)</f>
        <v/>
      </c>
      <c r="R2810" s="26">
        <f>IF(Q2810="","",IF(COUNTIFS($E$5:$E$3004,E2810,$A$5:$A$3004,"&gt;"&amp;A2810,$H$5:$H$3004,"&lt;&gt;Falta",$H$5:$H$3004,"&lt;&gt;Cancelado",$H$5:$H$3004,"&lt;&gt;Remarcado")&gt;0,"Sim","Não"))</f>
        <v/>
      </c>
      <c r="S2810" s="32">
        <f>IF(R2810&lt;&gt;"Não","",IF(Q2810+Config!$B$9&lt;=Config!$B$8,Config!$B$8-Q2810,""))</f>
        <v/>
      </c>
      <c r="T2810" s="26">
        <f>IF(S2810="","","Sim")</f>
        <v/>
      </c>
      <c r="U2810" s="41">
        <f>IF(T2810="Sim",S2810+ROW()/100000,0)</f>
        <v>0</v>
      </c>
      <c r="V2810" s="41">
        <f>IF(AND(H2810="Falta",L2810=Config!$B$7,M2810=Config!$B$5,COUNTIFS($E$5:E2810,E2810,$H$5:H2810,"Falta",$L$5:L2810,Config!$B$7,$M$5:M2810,Config!$B$5)=1),COUNTIFS($E$5:$E$3004,E2810,$H$5:$H$3004,"Falta",$L$5:$L$3004,Config!$B$7,$M$5:$M$3004,Config!$B$5)*1000-ROW()/100000,0)</f>
        <v>0</v>
      </c>
    </row>
    <row r="2811">
      <c r="A2811" s="39" t="n"/>
      <c r="B2811" s="40" t="n"/>
      <c r="C2811" s="35" t="n"/>
      <c r="D2811" s="35" t="n"/>
      <c r="E2811" s="34" t="n"/>
      <c r="F2811" s="35" t="n"/>
      <c r="G2811" s="35" t="n"/>
      <c r="H2811" s="35" t="n"/>
      <c r="I2811" s="35" t="n"/>
      <c r="J2811" s="35" t="n"/>
      <c r="K2811" s="34" t="n"/>
      <c r="L2811" s="26">
        <f>IF(A2811="","",MONTH(A2811))</f>
        <v/>
      </c>
      <c r="M2811" s="26">
        <f>IF(A2811="","",YEAR(A2811))</f>
        <v/>
      </c>
      <c r="N2811" s="26">
        <f>IF(A2811="","",CHOOSE(WEEKDAY(A2811,2),"Segunda","Terça","Quarta","Quinta","Sexta","Sábado","Domingo"))</f>
        <v/>
      </c>
      <c r="O2811" s="26">
        <f>IF(B2811="","",IF(B2811&lt;TIME(12,0,0),"Manhã",IF(B2811&lt;TIME(18,0,0),"Tarde","Noite")))</f>
        <v/>
      </c>
      <c r="P2811" s="32">
        <f>IF(G2811="","",IFERROR(INDEX(Config!$I$5:$I$16,MATCH(G2811,Config!$H$5:$H$16,0)),0))</f>
        <v/>
      </c>
      <c r="Q2811" s="30">
        <f>IF(OR(H2811&lt;&gt;"Realizado",P2811="",P2811=0),"",A2811+P2811)</f>
        <v/>
      </c>
      <c r="R2811" s="26">
        <f>IF(Q2811="","",IF(COUNTIFS($E$5:$E$3004,E2811,$A$5:$A$3004,"&gt;"&amp;A2811,$H$5:$H$3004,"&lt;&gt;Falta",$H$5:$H$3004,"&lt;&gt;Cancelado",$H$5:$H$3004,"&lt;&gt;Remarcado")&gt;0,"Sim","Não"))</f>
        <v/>
      </c>
      <c r="S2811" s="32">
        <f>IF(R2811&lt;&gt;"Não","",IF(Q2811+Config!$B$9&lt;=Config!$B$8,Config!$B$8-Q2811,""))</f>
        <v/>
      </c>
      <c r="T2811" s="26">
        <f>IF(S2811="","","Sim")</f>
        <v/>
      </c>
      <c r="U2811" s="41">
        <f>IF(T2811="Sim",S2811+ROW()/100000,0)</f>
        <v>0</v>
      </c>
      <c r="V2811" s="41">
        <f>IF(AND(H2811="Falta",L2811=Config!$B$7,M2811=Config!$B$5,COUNTIFS($E$5:E2811,E2811,$H$5:H2811,"Falta",$L$5:L2811,Config!$B$7,$M$5:M2811,Config!$B$5)=1),COUNTIFS($E$5:$E$3004,E2811,$H$5:$H$3004,"Falta",$L$5:$L$3004,Config!$B$7,$M$5:$M$3004,Config!$B$5)*1000-ROW()/100000,0)</f>
        <v>0</v>
      </c>
    </row>
    <row r="2812">
      <c r="A2812" s="39" t="n"/>
      <c r="B2812" s="40" t="n"/>
      <c r="C2812" s="35" t="n"/>
      <c r="D2812" s="35" t="n"/>
      <c r="E2812" s="34" t="n"/>
      <c r="F2812" s="35" t="n"/>
      <c r="G2812" s="35" t="n"/>
      <c r="H2812" s="35" t="n"/>
      <c r="I2812" s="35" t="n"/>
      <c r="J2812" s="35" t="n"/>
      <c r="K2812" s="34" t="n"/>
      <c r="L2812" s="26">
        <f>IF(A2812="","",MONTH(A2812))</f>
        <v/>
      </c>
      <c r="M2812" s="26">
        <f>IF(A2812="","",YEAR(A2812))</f>
        <v/>
      </c>
      <c r="N2812" s="26">
        <f>IF(A2812="","",CHOOSE(WEEKDAY(A2812,2),"Segunda","Terça","Quarta","Quinta","Sexta","Sábado","Domingo"))</f>
        <v/>
      </c>
      <c r="O2812" s="26">
        <f>IF(B2812="","",IF(B2812&lt;TIME(12,0,0),"Manhã",IF(B2812&lt;TIME(18,0,0),"Tarde","Noite")))</f>
        <v/>
      </c>
      <c r="P2812" s="32">
        <f>IF(G2812="","",IFERROR(INDEX(Config!$I$5:$I$16,MATCH(G2812,Config!$H$5:$H$16,0)),0))</f>
        <v/>
      </c>
      <c r="Q2812" s="30">
        <f>IF(OR(H2812&lt;&gt;"Realizado",P2812="",P2812=0),"",A2812+P2812)</f>
        <v/>
      </c>
      <c r="R2812" s="26">
        <f>IF(Q2812="","",IF(COUNTIFS($E$5:$E$3004,E2812,$A$5:$A$3004,"&gt;"&amp;A2812,$H$5:$H$3004,"&lt;&gt;Falta",$H$5:$H$3004,"&lt;&gt;Cancelado",$H$5:$H$3004,"&lt;&gt;Remarcado")&gt;0,"Sim","Não"))</f>
        <v/>
      </c>
      <c r="S2812" s="32">
        <f>IF(R2812&lt;&gt;"Não","",IF(Q2812+Config!$B$9&lt;=Config!$B$8,Config!$B$8-Q2812,""))</f>
        <v/>
      </c>
      <c r="T2812" s="26">
        <f>IF(S2812="","","Sim")</f>
        <v/>
      </c>
      <c r="U2812" s="41">
        <f>IF(T2812="Sim",S2812+ROW()/100000,0)</f>
        <v>0</v>
      </c>
      <c r="V2812" s="41">
        <f>IF(AND(H2812="Falta",L2812=Config!$B$7,M2812=Config!$B$5,COUNTIFS($E$5:E2812,E2812,$H$5:H2812,"Falta",$L$5:L2812,Config!$B$7,$M$5:M2812,Config!$B$5)=1),COUNTIFS($E$5:$E$3004,E2812,$H$5:$H$3004,"Falta",$L$5:$L$3004,Config!$B$7,$M$5:$M$3004,Config!$B$5)*1000-ROW()/100000,0)</f>
        <v>0</v>
      </c>
    </row>
    <row r="2813">
      <c r="A2813" s="39" t="n"/>
      <c r="B2813" s="40" t="n"/>
      <c r="C2813" s="35" t="n"/>
      <c r="D2813" s="35" t="n"/>
      <c r="E2813" s="34" t="n"/>
      <c r="F2813" s="35" t="n"/>
      <c r="G2813" s="35" t="n"/>
      <c r="H2813" s="35" t="n"/>
      <c r="I2813" s="35" t="n"/>
      <c r="J2813" s="35" t="n"/>
      <c r="K2813" s="34" t="n"/>
      <c r="L2813" s="26">
        <f>IF(A2813="","",MONTH(A2813))</f>
        <v/>
      </c>
      <c r="M2813" s="26">
        <f>IF(A2813="","",YEAR(A2813))</f>
        <v/>
      </c>
      <c r="N2813" s="26">
        <f>IF(A2813="","",CHOOSE(WEEKDAY(A2813,2),"Segunda","Terça","Quarta","Quinta","Sexta","Sábado","Domingo"))</f>
        <v/>
      </c>
      <c r="O2813" s="26">
        <f>IF(B2813="","",IF(B2813&lt;TIME(12,0,0),"Manhã",IF(B2813&lt;TIME(18,0,0),"Tarde","Noite")))</f>
        <v/>
      </c>
      <c r="P2813" s="32">
        <f>IF(G2813="","",IFERROR(INDEX(Config!$I$5:$I$16,MATCH(G2813,Config!$H$5:$H$16,0)),0))</f>
        <v/>
      </c>
      <c r="Q2813" s="30">
        <f>IF(OR(H2813&lt;&gt;"Realizado",P2813="",P2813=0),"",A2813+P2813)</f>
        <v/>
      </c>
      <c r="R2813" s="26">
        <f>IF(Q2813="","",IF(COUNTIFS($E$5:$E$3004,E2813,$A$5:$A$3004,"&gt;"&amp;A2813,$H$5:$H$3004,"&lt;&gt;Falta",$H$5:$H$3004,"&lt;&gt;Cancelado",$H$5:$H$3004,"&lt;&gt;Remarcado")&gt;0,"Sim","Não"))</f>
        <v/>
      </c>
      <c r="S2813" s="32">
        <f>IF(R2813&lt;&gt;"Não","",IF(Q2813+Config!$B$9&lt;=Config!$B$8,Config!$B$8-Q2813,""))</f>
        <v/>
      </c>
      <c r="T2813" s="26">
        <f>IF(S2813="","","Sim")</f>
        <v/>
      </c>
      <c r="U2813" s="41">
        <f>IF(T2813="Sim",S2813+ROW()/100000,0)</f>
        <v>0</v>
      </c>
      <c r="V2813" s="41">
        <f>IF(AND(H2813="Falta",L2813=Config!$B$7,M2813=Config!$B$5,COUNTIFS($E$5:E2813,E2813,$H$5:H2813,"Falta",$L$5:L2813,Config!$B$7,$M$5:M2813,Config!$B$5)=1),COUNTIFS($E$5:$E$3004,E2813,$H$5:$H$3004,"Falta",$L$5:$L$3004,Config!$B$7,$M$5:$M$3004,Config!$B$5)*1000-ROW()/100000,0)</f>
        <v>0</v>
      </c>
    </row>
    <row r="2814">
      <c r="A2814" s="39" t="n"/>
      <c r="B2814" s="40" t="n"/>
      <c r="C2814" s="35" t="n"/>
      <c r="D2814" s="35" t="n"/>
      <c r="E2814" s="34" t="n"/>
      <c r="F2814" s="35" t="n"/>
      <c r="G2814" s="35" t="n"/>
      <c r="H2814" s="35" t="n"/>
      <c r="I2814" s="35" t="n"/>
      <c r="J2814" s="35" t="n"/>
      <c r="K2814" s="34" t="n"/>
      <c r="L2814" s="26">
        <f>IF(A2814="","",MONTH(A2814))</f>
        <v/>
      </c>
      <c r="M2814" s="26">
        <f>IF(A2814="","",YEAR(A2814))</f>
        <v/>
      </c>
      <c r="N2814" s="26">
        <f>IF(A2814="","",CHOOSE(WEEKDAY(A2814,2),"Segunda","Terça","Quarta","Quinta","Sexta","Sábado","Domingo"))</f>
        <v/>
      </c>
      <c r="O2814" s="26">
        <f>IF(B2814="","",IF(B2814&lt;TIME(12,0,0),"Manhã",IF(B2814&lt;TIME(18,0,0),"Tarde","Noite")))</f>
        <v/>
      </c>
      <c r="P2814" s="32">
        <f>IF(G2814="","",IFERROR(INDEX(Config!$I$5:$I$16,MATCH(G2814,Config!$H$5:$H$16,0)),0))</f>
        <v/>
      </c>
      <c r="Q2814" s="30">
        <f>IF(OR(H2814&lt;&gt;"Realizado",P2814="",P2814=0),"",A2814+P2814)</f>
        <v/>
      </c>
      <c r="R2814" s="26">
        <f>IF(Q2814="","",IF(COUNTIFS($E$5:$E$3004,E2814,$A$5:$A$3004,"&gt;"&amp;A2814,$H$5:$H$3004,"&lt;&gt;Falta",$H$5:$H$3004,"&lt;&gt;Cancelado",$H$5:$H$3004,"&lt;&gt;Remarcado")&gt;0,"Sim","Não"))</f>
        <v/>
      </c>
      <c r="S2814" s="32">
        <f>IF(R2814&lt;&gt;"Não","",IF(Q2814+Config!$B$9&lt;=Config!$B$8,Config!$B$8-Q2814,""))</f>
        <v/>
      </c>
      <c r="T2814" s="26">
        <f>IF(S2814="","","Sim")</f>
        <v/>
      </c>
      <c r="U2814" s="41">
        <f>IF(T2814="Sim",S2814+ROW()/100000,0)</f>
        <v>0</v>
      </c>
      <c r="V2814" s="41">
        <f>IF(AND(H2814="Falta",L2814=Config!$B$7,M2814=Config!$B$5,COUNTIFS($E$5:E2814,E2814,$H$5:H2814,"Falta",$L$5:L2814,Config!$B$7,$M$5:M2814,Config!$B$5)=1),COUNTIFS($E$5:$E$3004,E2814,$H$5:$H$3004,"Falta",$L$5:$L$3004,Config!$B$7,$M$5:$M$3004,Config!$B$5)*1000-ROW()/100000,0)</f>
        <v>0</v>
      </c>
    </row>
    <row r="2815">
      <c r="A2815" s="39" t="n"/>
      <c r="B2815" s="40" t="n"/>
      <c r="C2815" s="35" t="n"/>
      <c r="D2815" s="35" t="n"/>
      <c r="E2815" s="34" t="n"/>
      <c r="F2815" s="35" t="n"/>
      <c r="G2815" s="35" t="n"/>
      <c r="H2815" s="35" t="n"/>
      <c r="I2815" s="35" t="n"/>
      <c r="J2815" s="35" t="n"/>
      <c r="K2815" s="34" t="n"/>
      <c r="L2815" s="26">
        <f>IF(A2815="","",MONTH(A2815))</f>
        <v/>
      </c>
      <c r="M2815" s="26">
        <f>IF(A2815="","",YEAR(A2815))</f>
        <v/>
      </c>
      <c r="N2815" s="26">
        <f>IF(A2815="","",CHOOSE(WEEKDAY(A2815,2),"Segunda","Terça","Quarta","Quinta","Sexta","Sábado","Domingo"))</f>
        <v/>
      </c>
      <c r="O2815" s="26">
        <f>IF(B2815="","",IF(B2815&lt;TIME(12,0,0),"Manhã",IF(B2815&lt;TIME(18,0,0),"Tarde","Noite")))</f>
        <v/>
      </c>
      <c r="P2815" s="32">
        <f>IF(G2815="","",IFERROR(INDEX(Config!$I$5:$I$16,MATCH(G2815,Config!$H$5:$H$16,0)),0))</f>
        <v/>
      </c>
      <c r="Q2815" s="30">
        <f>IF(OR(H2815&lt;&gt;"Realizado",P2815="",P2815=0),"",A2815+P2815)</f>
        <v/>
      </c>
      <c r="R2815" s="26">
        <f>IF(Q2815="","",IF(COUNTIFS($E$5:$E$3004,E2815,$A$5:$A$3004,"&gt;"&amp;A2815,$H$5:$H$3004,"&lt;&gt;Falta",$H$5:$H$3004,"&lt;&gt;Cancelado",$H$5:$H$3004,"&lt;&gt;Remarcado")&gt;0,"Sim","Não"))</f>
        <v/>
      </c>
      <c r="S2815" s="32">
        <f>IF(R2815&lt;&gt;"Não","",IF(Q2815+Config!$B$9&lt;=Config!$B$8,Config!$B$8-Q2815,""))</f>
        <v/>
      </c>
      <c r="T2815" s="26">
        <f>IF(S2815="","","Sim")</f>
        <v/>
      </c>
      <c r="U2815" s="41">
        <f>IF(T2815="Sim",S2815+ROW()/100000,0)</f>
        <v>0</v>
      </c>
      <c r="V2815" s="41">
        <f>IF(AND(H2815="Falta",L2815=Config!$B$7,M2815=Config!$B$5,COUNTIFS($E$5:E2815,E2815,$H$5:H2815,"Falta",$L$5:L2815,Config!$B$7,$M$5:M2815,Config!$B$5)=1),COUNTIFS($E$5:$E$3004,E2815,$H$5:$H$3004,"Falta",$L$5:$L$3004,Config!$B$7,$M$5:$M$3004,Config!$B$5)*1000-ROW()/100000,0)</f>
        <v>0</v>
      </c>
    </row>
    <row r="2816">
      <c r="A2816" s="39" t="n"/>
      <c r="B2816" s="40" t="n"/>
      <c r="C2816" s="35" t="n"/>
      <c r="D2816" s="35" t="n"/>
      <c r="E2816" s="34" t="n"/>
      <c r="F2816" s="35" t="n"/>
      <c r="G2816" s="35" t="n"/>
      <c r="H2816" s="35" t="n"/>
      <c r="I2816" s="35" t="n"/>
      <c r="J2816" s="35" t="n"/>
      <c r="K2816" s="34" t="n"/>
      <c r="L2816" s="26">
        <f>IF(A2816="","",MONTH(A2816))</f>
        <v/>
      </c>
      <c r="M2816" s="26">
        <f>IF(A2816="","",YEAR(A2816))</f>
        <v/>
      </c>
      <c r="N2816" s="26">
        <f>IF(A2816="","",CHOOSE(WEEKDAY(A2816,2),"Segunda","Terça","Quarta","Quinta","Sexta","Sábado","Domingo"))</f>
        <v/>
      </c>
      <c r="O2816" s="26">
        <f>IF(B2816="","",IF(B2816&lt;TIME(12,0,0),"Manhã",IF(B2816&lt;TIME(18,0,0),"Tarde","Noite")))</f>
        <v/>
      </c>
      <c r="P2816" s="32">
        <f>IF(G2816="","",IFERROR(INDEX(Config!$I$5:$I$16,MATCH(G2816,Config!$H$5:$H$16,0)),0))</f>
        <v/>
      </c>
      <c r="Q2816" s="30">
        <f>IF(OR(H2816&lt;&gt;"Realizado",P2816="",P2816=0),"",A2816+P2816)</f>
        <v/>
      </c>
      <c r="R2816" s="26">
        <f>IF(Q2816="","",IF(COUNTIFS($E$5:$E$3004,E2816,$A$5:$A$3004,"&gt;"&amp;A2816,$H$5:$H$3004,"&lt;&gt;Falta",$H$5:$H$3004,"&lt;&gt;Cancelado",$H$5:$H$3004,"&lt;&gt;Remarcado")&gt;0,"Sim","Não"))</f>
        <v/>
      </c>
      <c r="S2816" s="32">
        <f>IF(R2816&lt;&gt;"Não","",IF(Q2816+Config!$B$9&lt;=Config!$B$8,Config!$B$8-Q2816,""))</f>
        <v/>
      </c>
      <c r="T2816" s="26">
        <f>IF(S2816="","","Sim")</f>
        <v/>
      </c>
      <c r="U2816" s="41">
        <f>IF(T2816="Sim",S2816+ROW()/100000,0)</f>
        <v>0</v>
      </c>
      <c r="V2816" s="41">
        <f>IF(AND(H2816="Falta",L2816=Config!$B$7,M2816=Config!$B$5,COUNTIFS($E$5:E2816,E2816,$H$5:H2816,"Falta",$L$5:L2816,Config!$B$7,$M$5:M2816,Config!$B$5)=1),COUNTIFS($E$5:$E$3004,E2816,$H$5:$H$3004,"Falta",$L$5:$L$3004,Config!$B$7,$M$5:$M$3004,Config!$B$5)*1000-ROW()/100000,0)</f>
        <v>0</v>
      </c>
    </row>
    <row r="2817">
      <c r="A2817" s="39" t="n"/>
      <c r="B2817" s="40" t="n"/>
      <c r="C2817" s="35" t="n"/>
      <c r="D2817" s="35" t="n"/>
      <c r="E2817" s="34" t="n"/>
      <c r="F2817" s="35" t="n"/>
      <c r="G2817" s="35" t="n"/>
      <c r="H2817" s="35" t="n"/>
      <c r="I2817" s="35" t="n"/>
      <c r="J2817" s="35" t="n"/>
      <c r="K2817" s="34" t="n"/>
      <c r="L2817" s="26">
        <f>IF(A2817="","",MONTH(A2817))</f>
        <v/>
      </c>
      <c r="M2817" s="26">
        <f>IF(A2817="","",YEAR(A2817))</f>
        <v/>
      </c>
      <c r="N2817" s="26">
        <f>IF(A2817="","",CHOOSE(WEEKDAY(A2817,2),"Segunda","Terça","Quarta","Quinta","Sexta","Sábado","Domingo"))</f>
        <v/>
      </c>
      <c r="O2817" s="26">
        <f>IF(B2817="","",IF(B2817&lt;TIME(12,0,0),"Manhã",IF(B2817&lt;TIME(18,0,0),"Tarde","Noite")))</f>
        <v/>
      </c>
      <c r="P2817" s="32">
        <f>IF(G2817="","",IFERROR(INDEX(Config!$I$5:$I$16,MATCH(G2817,Config!$H$5:$H$16,0)),0))</f>
        <v/>
      </c>
      <c r="Q2817" s="30">
        <f>IF(OR(H2817&lt;&gt;"Realizado",P2817="",P2817=0),"",A2817+P2817)</f>
        <v/>
      </c>
      <c r="R2817" s="26">
        <f>IF(Q2817="","",IF(COUNTIFS($E$5:$E$3004,E2817,$A$5:$A$3004,"&gt;"&amp;A2817,$H$5:$H$3004,"&lt;&gt;Falta",$H$5:$H$3004,"&lt;&gt;Cancelado",$H$5:$H$3004,"&lt;&gt;Remarcado")&gt;0,"Sim","Não"))</f>
        <v/>
      </c>
      <c r="S2817" s="32">
        <f>IF(R2817&lt;&gt;"Não","",IF(Q2817+Config!$B$9&lt;=Config!$B$8,Config!$B$8-Q2817,""))</f>
        <v/>
      </c>
      <c r="T2817" s="26">
        <f>IF(S2817="","","Sim")</f>
        <v/>
      </c>
      <c r="U2817" s="41">
        <f>IF(T2817="Sim",S2817+ROW()/100000,0)</f>
        <v>0</v>
      </c>
      <c r="V2817" s="41">
        <f>IF(AND(H2817="Falta",L2817=Config!$B$7,M2817=Config!$B$5,COUNTIFS($E$5:E2817,E2817,$H$5:H2817,"Falta",$L$5:L2817,Config!$B$7,$M$5:M2817,Config!$B$5)=1),COUNTIFS($E$5:$E$3004,E2817,$H$5:$H$3004,"Falta",$L$5:$L$3004,Config!$B$7,$M$5:$M$3004,Config!$B$5)*1000-ROW()/100000,0)</f>
        <v>0</v>
      </c>
    </row>
    <row r="2818">
      <c r="A2818" s="39" t="n"/>
      <c r="B2818" s="40" t="n"/>
      <c r="C2818" s="35" t="n"/>
      <c r="D2818" s="35" t="n"/>
      <c r="E2818" s="34" t="n"/>
      <c r="F2818" s="35" t="n"/>
      <c r="G2818" s="35" t="n"/>
      <c r="H2818" s="35" t="n"/>
      <c r="I2818" s="35" t="n"/>
      <c r="J2818" s="35" t="n"/>
      <c r="K2818" s="34" t="n"/>
      <c r="L2818" s="26">
        <f>IF(A2818="","",MONTH(A2818))</f>
        <v/>
      </c>
      <c r="M2818" s="26">
        <f>IF(A2818="","",YEAR(A2818))</f>
        <v/>
      </c>
      <c r="N2818" s="26">
        <f>IF(A2818="","",CHOOSE(WEEKDAY(A2818,2),"Segunda","Terça","Quarta","Quinta","Sexta","Sábado","Domingo"))</f>
        <v/>
      </c>
      <c r="O2818" s="26">
        <f>IF(B2818="","",IF(B2818&lt;TIME(12,0,0),"Manhã",IF(B2818&lt;TIME(18,0,0),"Tarde","Noite")))</f>
        <v/>
      </c>
      <c r="P2818" s="32">
        <f>IF(G2818="","",IFERROR(INDEX(Config!$I$5:$I$16,MATCH(G2818,Config!$H$5:$H$16,0)),0))</f>
        <v/>
      </c>
      <c r="Q2818" s="30">
        <f>IF(OR(H2818&lt;&gt;"Realizado",P2818="",P2818=0),"",A2818+P2818)</f>
        <v/>
      </c>
      <c r="R2818" s="26">
        <f>IF(Q2818="","",IF(COUNTIFS($E$5:$E$3004,E2818,$A$5:$A$3004,"&gt;"&amp;A2818,$H$5:$H$3004,"&lt;&gt;Falta",$H$5:$H$3004,"&lt;&gt;Cancelado",$H$5:$H$3004,"&lt;&gt;Remarcado")&gt;0,"Sim","Não"))</f>
        <v/>
      </c>
      <c r="S2818" s="32">
        <f>IF(R2818&lt;&gt;"Não","",IF(Q2818+Config!$B$9&lt;=Config!$B$8,Config!$B$8-Q2818,""))</f>
        <v/>
      </c>
      <c r="T2818" s="26">
        <f>IF(S2818="","","Sim")</f>
        <v/>
      </c>
      <c r="U2818" s="41">
        <f>IF(T2818="Sim",S2818+ROW()/100000,0)</f>
        <v>0</v>
      </c>
      <c r="V2818" s="41">
        <f>IF(AND(H2818="Falta",L2818=Config!$B$7,M2818=Config!$B$5,COUNTIFS($E$5:E2818,E2818,$H$5:H2818,"Falta",$L$5:L2818,Config!$B$7,$M$5:M2818,Config!$B$5)=1),COUNTIFS($E$5:$E$3004,E2818,$H$5:$H$3004,"Falta",$L$5:$L$3004,Config!$B$7,$M$5:$M$3004,Config!$B$5)*1000-ROW()/100000,0)</f>
        <v>0</v>
      </c>
    </row>
    <row r="2819">
      <c r="A2819" s="39" t="n"/>
      <c r="B2819" s="40" t="n"/>
      <c r="C2819" s="35" t="n"/>
      <c r="D2819" s="35" t="n"/>
      <c r="E2819" s="34" t="n"/>
      <c r="F2819" s="35" t="n"/>
      <c r="G2819" s="35" t="n"/>
      <c r="H2819" s="35" t="n"/>
      <c r="I2819" s="35" t="n"/>
      <c r="J2819" s="35" t="n"/>
      <c r="K2819" s="34" t="n"/>
      <c r="L2819" s="26">
        <f>IF(A2819="","",MONTH(A2819))</f>
        <v/>
      </c>
      <c r="M2819" s="26">
        <f>IF(A2819="","",YEAR(A2819))</f>
        <v/>
      </c>
      <c r="N2819" s="26">
        <f>IF(A2819="","",CHOOSE(WEEKDAY(A2819,2),"Segunda","Terça","Quarta","Quinta","Sexta","Sábado","Domingo"))</f>
        <v/>
      </c>
      <c r="O2819" s="26">
        <f>IF(B2819="","",IF(B2819&lt;TIME(12,0,0),"Manhã",IF(B2819&lt;TIME(18,0,0),"Tarde","Noite")))</f>
        <v/>
      </c>
      <c r="P2819" s="32">
        <f>IF(G2819="","",IFERROR(INDEX(Config!$I$5:$I$16,MATCH(G2819,Config!$H$5:$H$16,0)),0))</f>
        <v/>
      </c>
      <c r="Q2819" s="30">
        <f>IF(OR(H2819&lt;&gt;"Realizado",P2819="",P2819=0),"",A2819+P2819)</f>
        <v/>
      </c>
      <c r="R2819" s="26">
        <f>IF(Q2819="","",IF(COUNTIFS($E$5:$E$3004,E2819,$A$5:$A$3004,"&gt;"&amp;A2819,$H$5:$H$3004,"&lt;&gt;Falta",$H$5:$H$3004,"&lt;&gt;Cancelado",$H$5:$H$3004,"&lt;&gt;Remarcado")&gt;0,"Sim","Não"))</f>
        <v/>
      </c>
      <c r="S2819" s="32">
        <f>IF(R2819&lt;&gt;"Não","",IF(Q2819+Config!$B$9&lt;=Config!$B$8,Config!$B$8-Q2819,""))</f>
        <v/>
      </c>
      <c r="T2819" s="26">
        <f>IF(S2819="","","Sim")</f>
        <v/>
      </c>
      <c r="U2819" s="41">
        <f>IF(T2819="Sim",S2819+ROW()/100000,0)</f>
        <v>0</v>
      </c>
      <c r="V2819" s="41">
        <f>IF(AND(H2819="Falta",L2819=Config!$B$7,M2819=Config!$B$5,COUNTIFS($E$5:E2819,E2819,$H$5:H2819,"Falta",$L$5:L2819,Config!$B$7,$M$5:M2819,Config!$B$5)=1),COUNTIFS($E$5:$E$3004,E2819,$H$5:$H$3004,"Falta",$L$5:$L$3004,Config!$B$7,$M$5:$M$3004,Config!$B$5)*1000-ROW()/100000,0)</f>
        <v>0</v>
      </c>
    </row>
    <row r="2820">
      <c r="A2820" s="39" t="n"/>
      <c r="B2820" s="40" t="n"/>
      <c r="C2820" s="35" t="n"/>
      <c r="D2820" s="35" t="n"/>
      <c r="E2820" s="34" t="n"/>
      <c r="F2820" s="35" t="n"/>
      <c r="G2820" s="35" t="n"/>
      <c r="H2820" s="35" t="n"/>
      <c r="I2820" s="35" t="n"/>
      <c r="J2820" s="35" t="n"/>
      <c r="K2820" s="34" t="n"/>
      <c r="L2820" s="26">
        <f>IF(A2820="","",MONTH(A2820))</f>
        <v/>
      </c>
      <c r="M2820" s="26">
        <f>IF(A2820="","",YEAR(A2820))</f>
        <v/>
      </c>
      <c r="N2820" s="26">
        <f>IF(A2820="","",CHOOSE(WEEKDAY(A2820,2),"Segunda","Terça","Quarta","Quinta","Sexta","Sábado","Domingo"))</f>
        <v/>
      </c>
      <c r="O2820" s="26">
        <f>IF(B2820="","",IF(B2820&lt;TIME(12,0,0),"Manhã",IF(B2820&lt;TIME(18,0,0),"Tarde","Noite")))</f>
        <v/>
      </c>
      <c r="P2820" s="32">
        <f>IF(G2820="","",IFERROR(INDEX(Config!$I$5:$I$16,MATCH(G2820,Config!$H$5:$H$16,0)),0))</f>
        <v/>
      </c>
      <c r="Q2820" s="30">
        <f>IF(OR(H2820&lt;&gt;"Realizado",P2820="",P2820=0),"",A2820+P2820)</f>
        <v/>
      </c>
      <c r="R2820" s="26">
        <f>IF(Q2820="","",IF(COUNTIFS($E$5:$E$3004,E2820,$A$5:$A$3004,"&gt;"&amp;A2820,$H$5:$H$3004,"&lt;&gt;Falta",$H$5:$H$3004,"&lt;&gt;Cancelado",$H$5:$H$3004,"&lt;&gt;Remarcado")&gt;0,"Sim","Não"))</f>
        <v/>
      </c>
      <c r="S2820" s="32">
        <f>IF(R2820&lt;&gt;"Não","",IF(Q2820+Config!$B$9&lt;=Config!$B$8,Config!$B$8-Q2820,""))</f>
        <v/>
      </c>
      <c r="T2820" s="26">
        <f>IF(S2820="","","Sim")</f>
        <v/>
      </c>
      <c r="U2820" s="41">
        <f>IF(T2820="Sim",S2820+ROW()/100000,0)</f>
        <v>0</v>
      </c>
      <c r="V2820" s="41">
        <f>IF(AND(H2820="Falta",L2820=Config!$B$7,M2820=Config!$B$5,COUNTIFS($E$5:E2820,E2820,$H$5:H2820,"Falta",$L$5:L2820,Config!$B$7,$M$5:M2820,Config!$B$5)=1),COUNTIFS($E$5:$E$3004,E2820,$H$5:$H$3004,"Falta",$L$5:$L$3004,Config!$B$7,$M$5:$M$3004,Config!$B$5)*1000-ROW()/100000,0)</f>
        <v>0</v>
      </c>
    </row>
    <row r="2821">
      <c r="A2821" s="39" t="n"/>
      <c r="B2821" s="40" t="n"/>
      <c r="C2821" s="35" t="n"/>
      <c r="D2821" s="35" t="n"/>
      <c r="E2821" s="34" t="n"/>
      <c r="F2821" s="35" t="n"/>
      <c r="G2821" s="35" t="n"/>
      <c r="H2821" s="35" t="n"/>
      <c r="I2821" s="35" t="n"/>
      <c r="J2821" s="35" t="n"/>
      <c r="K2821" s="34" t="n"/>
      <c r="L2821" s="26">
        <f>IF(A2821="","",MONTH(A2821))</f>
        <v/>
      </c>
      <c r="M2821" s="26">
        <f>IF(A2821="","",YEAR(A2821))</f>
        <v/>
      </c>
      <c r="N2821" s="26">
        <f>IF(A2821="","",CHOOSE(WEEKDAY(A2821,2),"Segunda","Terça","Quarta","Quinta","Sexta","Sábado","Domingo"))</f>
        <v/>
      </c>
      <c r="O2821" s="26">
        <f>IF(B2821="","",IF(B2821&lt;TIME(12,0,0),"Manhã",IF(B2821&lt;TIME(18,0,0),"Tarde","Noite")))</f>
        <v/>
      </c>
      <c r="P2821" s="32">
        <f>IF(G2821="","",IFERROR(INDEX(Config!$I$5:$I$16,MATCH(G2821,Config!$H$5:$H$16,0)),0))</f>
        <v/>
      </c>
      <c r="Q2821" s="30">
        <f>IF(OR(H2821&lt;&gt;"Realizado",P2821="",P2821=0),"",A2821+P2821)</f>
        <v/>
      </c>
      <c r="R2821" s="26">
        <f>IF(Q2821="","",IF(COUNTIFS($E$5:$E$3004,E2821,$A$5:$A$3004,"&gt;"&amp;A2821,$H$5:$H$3004,"&lt;&gt;Falta",$H$5:$H$3004,"&lt;&gt;Cancelado",$H$5:$H$3004,"&lt;&gt;Remarcado")&gt;0,"Sim","Não"))</f>
        <v/>
      </c>
      <c r="S2821" s="32">
        <f>IF(R2821&lt;&gt;"Não","",IF(Q2821+Config!$B$9&lt;=Config!$B$8,Config!$B$8-Q2821,""))</f>
        <v/>
      </c>
      <c r="T2821" s="26">
        <f>IF(S2821="","","Sim")</f>
        <v/>
      </c>
      <c r="U2821" s="41">
        <f>IF(T2821="Sim",S2821+ROW()/100000,0)</f>
        <v>0</v>
      </c>
      <c r="V2821" s="41">
        <f>IF(AND(H2821="Falta",L2821=Config!$B$7,M2821=Config!$B$5,COUNTIFS($E$5:E2821,E2821,$H$5:H2821,"Falta",$L$5:L2821,Config!$B$7,$M$5:M2821,Config!$B$5)=1),COUNTIFS($E$5:$E$3004,E2821,$H$5:$H$3004,"Falta",$L$5:$L$3004,Config!$B$7,$M$5:$M$3004,Config!$B$5)*1000-ROW()/100000,0)</f>
        <v>0</v>
      </c>
    </row>
    <row r="2822">
      <c r="A2822" s="39" t="n"/>
      <c r="B2822" s="40" t="n"/>
      <c r="C2822" s="35" t="n"/>
      <c r="D2822" s="35" t="n"/>
      <c r="E2822" s="34" t="n"/>
      <c r="F2822" s="35" t="n"/>
      <c r="G2822" s="35" t="n"/>
      <c r="H2822" s="35" t="n"/>
      <c r="I2822" s="35" t="n"/>
      <c r="J2822" s="35" t="n"/>
      <c r="K2822" s="34" t="n"/>
      <c r="L2822" s="26">
        <f>IF(A2822="","",MONTH(A2822))</f>
        <v/>
      </c>
      <c r="M2822" s="26">
        <f>IF(A2822="","",YEAR(A2822))</f>
        <v/>
      </c>
      <c r="N2822" s="26">
        <f>IF(A2822="","",CHOOSE(WEEKDAY(A2822,2),"Segunda","Terça","Quarta","Quinta","Sexta","Sábado","Domingo"))</f>
        <v/>
      </c>
      <c r="O2822" s="26">
        <f>IF(B2822="","",IF(B2822&lt;TIME(12,0,0),"Manhã",IF(B2822&lt;TIME(18,0,0),"Tarde","Noite")))</f>
        <v/>
      </c>
      <c r="P2822" s="32">
        <f>IF(G2822="","",IFERROR(INDEX(Config!$I$5:$I$16,MATCH(G2822,Config!$H$5:$H$16,0)),0))</f>
        <v/>
      </c>
      <c r="Q2822" s="30">
        <f>IF(OR(H2822&lt;&gt;"Realizado",P2822="",P2822=0),"",A2822+P2822)</f>
        <v/>
      </c>
      <c r="R2822" s="26">
        <f>IF(Q2822="","",IF(COUNTIFS($E$5:$E$3004,E2822,$A$5:$A$3004,"&gt;"&amp;A2822,$H$5:$H$3004,"&lt;&gt;Falta",$H$5:$H$3004,"&lt;&gt;Cancelado",$H$5:$H$3004,"&lt;&gt;Remarcado")&gt;0,"Sim","Não"))</f>
        <v/>
      </c>
      <c r="S2822" s="32">
        <f>IF(R2822&lt;&gt;"Não","",IF(Q2822+Config!$B$9&lt;=Config!$B$8,Config!$B$8-Q2822,""))</f>
        <v/>
      </c>
      <c r="T2822" s="26">
        <f>IF(S2822="","","Sim")</f>
        <v/>
      </c>
      <c r="U2822" s="41">
        <f>IF(T2822="Sim",S2822+ROW()/100000,0)</f>
        <v>0</v>
      </c>
      <c r="V2822" s="41">
        <f>IF(AND(H2822="Falta",L2822=Config!$B$7,M2822=Config!$B$5,COUNTIFS($E$5:E2822,E2822,$H$5:H2822,"Falta",$L$5:L2822,Config!$B$7,$M$5:M2822,Config!$B$5)=1),COUNTIFS($E$5:$E$3004,E2822,$H$5:$H$3004,"Falta",$L$5:$L$3004,Config!$B$7,$M$5:$M$3004,Config!$B$5)*1000-ROW()/100000,0)</f>
        <v>0</v>
      </c>
    </row>
    <row r="2823">
      <c r="A2823" s="39" t="n"/>
      <c r="B2823" s="40" t="n"/>
      <c r="C2823" s="35" t="n"/>
      <c r="D2823" s="35" t="n"/>
      <c r="E2823" s="34" t="n"/>
      <c r="F2823" s="35" t="n"/>
      <c r="G2823" s="35" t="n"/>
      <c r="H2823" s="35" t="n"/>
      <c r="I2823" s="35" t="n"/>
      <c r="J2823" s="35" t="n"/>
      <c r="K2823" s="34" t="n"/>
      <c r="L2823" s="26">
        <f>IF(A2823="","",MONTH(A2823))</f>
        <v/>
      </c>
      <c r="M2823" s="26">
        <f>IF(A2823="","",YEAR(A2823))</f>
        <v/>
      </c>
      <c r="N2823" s="26">
        <f>IF(A2823="","",CHOOSE(WEEKDAY(A2823,2),"Segunda","Terça","Quarta","Quinta","Sexta","Sábado","Domingo"))</f>
        <v/>
      </c>
      <c r="O2823" s="26">
        <f>IF(B2823="","",IF(B2823&lt;TIME(12,0,0),"Manhã",IF(B2823&lt;TIME(18,0,0),"Tarde","Noite")))</f>
        <v/>
      </c>
      <c r="P2823" s="32">
        <f>IF(G2823="","",IFERROR(INDEX(Config!$I$5:$I$16,MATCH(G2823,Config!$H$5:$H$16,0)),0))</f>
        <v/>
      </c>
      <c r="Q2823" s="30">
        <f>IF(OR(H2823&lt;&gt;"Realizado",P2823="",P2823=0),"",A2823+P2823)</f>
        <v/>
      </c>
      <c r="R2823" s="26">
        <f>IF(Q2823="","",IF(COUNTIFS($E$5:$E$3004,E2823,$A$5:$A$3004,"&gt;"&amp;A2823,$H$5:$H$3004,"&lt;&gt;Falta",$H$5:$H$3004,"&lt;&gt;Cancelado",$H$5:$H$3004,"&lt;&gt;Remarcado")&gt;0,"Sim","Não"))</f>
        <v/>
      </c>
      <c r="S2823" s="32">
        <f>IF(R2823&lt;&gt;"Não","",IF(Q2823+Config!$B$9&lt;=Config!$B$8,Config!$B$8-Q2823,""))</f>
        <v/>
      </c>
      <c r="T2823" s="26">
        <f>IF(S2823="","","Sim")</f>
        <v/>
      </c>
      <c r="U2823" s="41">
        <f>IF(T2823="Sim",S2823+ROW()/100000,0)</f>
        <v>0</v>
      </c>
      <c r="V2823" s="41">
        <f>IF(AND(H2823="Falta",L2823=Config!$B$7,M2823=Config!$B$5,COUNTIFS($E$5:E2823,E2823,$H$5:H2823,"Falta",$L$5:L2823,Config!$B$7,$M$5:M2823,Config!$B$5)=1),COUNTIFS($E$5:$E$3004,E2823,$H$5:$H$3004,"Falta",$L$5:$L$3004,Config!$B$7,$M$5:$M$3004,Config!$B$5)*1000-ROW()/100000,0)</f>
        <v>0</v>
      </c>
    </row>
    <row r="2824">
      <c r="A2824" s="39" t="n"/>
      <c r="B2824" s="40" t="n"/>
      <c r="C2824" s="35" t="n"/>
      <c r="D2824" s="35" t="n"/>
      <c r="E2824" s="34" t="n"/>
      <c r="F2824" s="35" t="n"/>
      <c r="G2824" s="35" t="n"/>
      <c r="H2824" s="35" t="n"/>
      <c r="I2824" s="35" t="n"/>
      <c r="J2824" s="35" t="n"/>
      <c r="K2824" s="34" t="n"/>
      <c r="L2824" s="26">
        <f>IF(A2824="","",MONTH(A2824))</f>
        <v/>
      </c>
      <c r="M2824" s="26">
        <f>IF(A2824="","",YEAR(A2824))</f>
        <v/>
      </c>
      <c r="N2824" s="26">
        <f>IF(A2824="","",CHOOSE(WEEKDAY(A2824,2),"Segunda","Terça","Quarta","Quinta","Sexta","Sábado","Domingo"))</f>
        <v/>
      </c>
      <c r="O2824" s="26">
        <f>IF(B2824="","",IF(B2824&lt;TIME(12,0,0),"Manhã",IF(B2824&lt;TIME(18,0,0),"Tarde","Noite")))</f>
        <v/>
      </c>
      <c r="P2824" s="32">
        <f>IF(G2824="","",IFERROR(INDEX(Config!$I$5:$I$16,MATCH(G2824,Config!$H$5:$H$16,0)),0))</f>
        <v/>
      </c>
      <c r="Q2824" s="30">
        <f>IF(OR(H2824&lt;&gt;"Realizado",P2824="",P2824=0),"",A2824+P2824)</f>
        <v/>
      </c>
      <c r="R2824" s="26">
        <f>IF(Q2824="","",IF(COUNTIFS($E$5:$E$3004,E2824,$A$5:$A$3004,"&gt;"&amp;A2824,$H$5:$H$3004,"&lt;&gt;Falta",$H$5:$H$3004,"&lt;&gt;Cancelado",$H$5:$H$3004,"&lt;&gt;Remarcado")&gt;0,"Sim","Não"))</f>
        <v/>
      </c>
      <c r="S2824" s="32">
        <f>IF(R2824&lt;&gt;"Não","",IF(Q2824+Config!$B$9&lt;=Config!$B$8,Config!$B$8-Q2824,""))</f>
        <v/>
      </c>
      <c r="T2824" s="26">
        <f>IF(S2824="","","Sim")</f>
        <v/>
      </c>
      <c r="U2824" s="41">
        <f>IF(T2824="Sim",S2824+ROW()/100000,0)</f>
        <v>0</v>
      </c>
      <c r="V2824" s="41">
        <f>IF(AND(H2824="Falta",L2824=Config!$B$7,M2824=Config!$B$5,COUNTIFS($E$5:E2824,E2824,$H$5:H2824,"Falta",$L$5:L2824,Config!$B$7,$M$5:M2824,Config!$B$5)=1),COUNTIFS($E$5:$E$3004,E2824,$H$5:$H$3004,"Falta",$L$5:$L$3004,Config!$B$7,$M$5:$M$3004,Config!$B$5)*1000-ROW()/100000,0)</f>
        <v>0</v>
      </c>
    </row>
    <row r="2825">
      <c r="A2825" s="39" t="n"/>
      <c r="B2825" s="40" t="n"/>
      <c r="C2825" s="35" t="n"/>
      <c r="D2825" s="35" t="n"/>
      <c r="E2825" s="34" t="n"/>
      <c r="F2825" s="35" t="n"/>
      <c r="G2825" s="35" t="n"/>
      <c r="H2825" s="35" t="n"/>
      <c r="I2825" s="35" t="n"/>
      <c r="J2825" s="35" t="n"/>
      <c r="K2825" s="34" t="n"/>
      <c r="L2825" s="26">
        <f>IF(A2825="","",MONTH(A2825))</f>
        <v/>
      </c>
      <c r="M2825" s="26">
        <f>IF(A2825="","",YEAR(A2825))</f>
        <v/>
      </c>
      <c r="N2825" s="26">
        <f>IF(A2825="","",CHOOSE(WEEKDAY(A2825,2),"Segunda","Terça","Quarta","Quinta","Sexta","Sábado","Domingo"))</f>
        <v/>
      </c>
      <c r="O2825" s="26">
        <f>IF(B2825="","",IF(B2825&lt;TIME(12,0,0),"Manhã",IF(B2825&lt;TIME(18,0,0),"Tarde","Noite")))</f>
        <v/>
      </c>
      <c r="P2825" s="32">
        <f>IF(G2825="","",IFERROR(INDEX(Config!$I$5:$I$16,MATCH(G2825,Config!$H$5:$H$16,0)),0))</f>
        <v/>
      </c>
      <c r="Q2825" s="30">
        <f>IF(OR(H2825&lt;&gt;"Realizado",P2825="",P2825=0),"",A2825+P2825)</f>
        <v/>
      </c>
      <c r="R2825" s="26">
        <f>IF(Q2825="","",IF(COUNTIFS($E$5:$E$3004,E2825,$A$5:$A$3004,"&gt;"&amp;A2825,$H$5:$H$3004,"&lt;&gt;Falta",$H$5:$H$3004,"&lt;&gt;Cancelado",$H$5:$H$3004,"&lt;&gt;Remarcado")&gt;0,"Sim","Não"))</f>
        <v/>
      </c>
      <c r="S2825" s="32">
        <f>IF(R2825&lt;&gt;"Não","",IF(Q2825+Config!$B$9&lt;=Config!$B$8,Config!$B$8-Q2825,""))</f>
        <v/>
      </c>
      <c r="T2825" s="26">
        <f>IF(S2825="","","Sim")</f>
        <v/>
      </c>
      <c r="U2825" s="41">
        <f>IF(T2825="Sim",S2825+ROW()/100000,0)</f>
        <v>0</v>
      </c>
      <c r="V2825" s="41">
        <f>IF(AND(H2825="Falta",L2825=Config!$B$7,M2825=Config!$B$5,COUNTIFS($E$5:E2825,E2825,$H$5:H2825,"Falta",$L$5:L2825,Config!$B$7,$M$5:M2825,Config!$B$5)=1),COUNTIFS($E$5:$E$3004,E2825,$H$5:$H$3004,"Falta",$L$5:$L$3004,Config!$B$7,$M$5:$M$3004,Config!$B$5)*1000-ROW()/100000,0)</f>
        <v>0</v>
      </c>
    </row>
    <row r="2826">
      <c r="A2826" s="39" t="n"/>
      <c r="B2826" s="40" t="n"/>
      <c r="C2826" s="35" t="n"/>
      <c r="D2826" s="35" t="n"/>
      <c r="E2826" s="34" t="n"/>
      <c r="F2826" s="35" t="n"/>
      <c r="G2826" s="35" t="n"/>
      <c r="H2826" s="35" t="n"/>
      <c r="I2826" s="35" t="n"/>
      <c r="J2826" s="35" t="n"/>
      <c r="K2826" s="34" t="n"/>
      <c r="L2826" s="26">
        <f>IF(A2826="","",MONTH(A2826))</f>
        <v/>
      </c>
      <c r="M2826" s="26">
        <f>IF(A2826="","",YEAR(A2826))</f>
        <v/>
      </c>
      <c r="N2826" s="26">
        <f>IF(A2826="","",CHOOSE(WEEKDAY(A2826,2),"Segunda","Terça","Quarta","Quinta","Sexta","Sábado","Domingo"))</f>
        <v/>
      </c>
      <c r="O2826" s="26">
        <f>IF(B2826="","",IF(B2826&lt;TIME(12,0,0),"Manhã",IF(B2826&lt;TIME(18,0,0),"Tarde","Noite")))</f>
        <v/>
      </c>
      <c r="P2826" s="32">
        <f>IF(G2826="","",IFERROR(INDEX(Config!$I$5:$I$16,MATCH(G2826,Config!$H$5:$H$16,0)),0))</f>
        <v/>
      </c>
      <c r="Q2826" s="30">
        <f>IF(OR(H2826&lt;&gt;"Realizado",P2826="",P2826=0),"",A2826+P2826)</f>
        <v/>
      </c>
      <c r="R2826" s="26">
        <f>IF(Q2826="","",IF(COUNTIFS($E$5:$E$3004,E2826,$A$5:$A$3004,"&gt;"&amp;A2826,$H$5:$H$3004,"&lt;&gt;Falta",$H$5:$H$3004,"&lt;&gt;Cancelado",$H$5:$H$3004,"&lt;&gt;Remarcado")&gt;0,"Sim","Não"))</f>
        <v/>
      </c>
      <c r="S2826" s="32">
        <f>IF(R2826&lt;&gt;"Não","",IF(Q2826+Config!$B$9&lt;=Config!$B$8,Config!$B$8-Q2826,""))</f>
        <v/>
      </c>
      <c r="T2826" s="26">
        <f>IF(S2826="","","Sim")</f>
        <v/>
      </c>
      <c r="U2826" s="41">
        <f>IF(T2826="Sim",S2826+ROW()/100000,0)</f>
        <v>0</v>
      </c>
      <c r="V2826" s="41">
        <f>IF(AND(H2826="Falta",L2826=Config!$B$7,M2826=Config!$B$5,COUNTIFS($E$5:E2826,E2826,$H$5:H2826,"Falta",$L$5:L2826,Config!$B$7,$M$5:M2826,Config!$B$5)=1),COUNTIFS($E$5:$E$3004,E2826,$H$5:$H$3004,"Falta",$L$5:$L$3004,Config!$B$7,$M$5:$M$3004,Config!$B$5)*1000-ROW()/100000,0)</f>
        <v>0</v>
      </c>
    </row>
    <row r="2827">
      <c r="A2827" s="39" t="n"/>
      <c r="B2827" s="40" t="n"/>
      <c r="C2827" s="35" t="n"/>
      <c r="D2827" s="35" t="n"/>
      <c r="E2827" s="34" t="n"/>
      <c r="F2827" s="35" t="n"/>
      <c r="G2827" s="35" t="n"/>
      <c r="H2827" s="35" t="n"/>
      <c r="I2827" s="35" t="n"/>
      <c r="J2827" s="35" t="n"/>
      <c r="K2827" s="34" t="n"/>
      <c r="L2827" s="26">
        <f>IF(A2827="","",MONTH(A2827))</f>
        <v/>
      </c>
      <c r="M2827" s="26">
        <f>IF(A2827="","",YEAR(A2827))</f>
        <v/>
      </c>
      <c r="N2827" s="26">
        <f>IF(A2827="","",CHOOSE(WEEKDAY(A2827,2),"Segunda","Terça","Quarta","Quinta","Sexta","Sábado","Domingo"))</f>
        <v/>
      </c>
      <c r="O2827" s="26">
        <f>IF(B2827="","",IF(B2827&lt;TIME(12,0,0),"Manhã",IF(B2827&lt;TIME(18,0,0),"Tarde","Noite")))</f>
        <v/>
      </c>
      <c r="P2827" s="32">
        <f>IF(G2827="","",IFERROR(INDEX(Config!$I$5:$I$16,MATCH(G2827,Config!$H$5:$H$16,0)),0))</f>
        <v/>
      </c>
      <c r="Q2827" s="30">
        <f>IF(OR(H2827&lt;&gt;"Realizado",P2827="",P2827=0),"",A2827+P2827)</f>
        <v/>
      </c>
      <c r="R2827" s="26">
        <f>IF(Q2827="","",IF(COUNTIFS($E$5:$E$3004,E2827,$A$5:$A$3004,"&gt;"&amp;A2827,$H$5:$H$3004,"&lt;&gt;Falta",$H$5:$H$3004,"&lt;&gt;Cancelado",$H$5:$H$3004,"&lt;&gt;Remarcado")&gt;0,"Sim","Não"))</f>
        <v/>
      </c>
      <c r="S2827" s="32">
        <f>IF(R2827&lt;&gt;"Não","",IF(Q2827+Config!$B$9&lt;=Config!$B$8,Config!$B$8-Q2827,""))</f>
        <v/>
      </c>
      <c r="T2827" s="26">
        <f>IF(S2827="","","Sim")</f>
        <v/>
      </c>
      <c r="U2827" s="41">
        <f>IF(T2827="Sim",S2827+ROW()/100000,0)</f>
        <v>0</v>
      </c>
      <c r="V2827" s="41">
        <f>IF(AND(H2827="Falta",L2827=Config!$B$7,M2827=Config!$B$5,COUNTIFS($E$5:E2827,E2827,$H$5:H2827,"Falta",$L$5:L2827,Config!$B$7,$M$5:M2827,Config!$B$5)=1),COUNTIFS($E$5:$E$3004,E2827,$H$5:$H$3004,"Falta",$L$5:$L$3004,Config!$B$7,$M$5:$M$3004,Config!$B$5)*1000-ROW()/100000,0)</f>
        <v>0</v>
      </c>
    </row>
    <row r="2828">
      <c r="A2828" s="39" t="n"/>
      <c r="B2828" s="40" t="n"/>
      <c r="C2828" s="35" t="n"/>
      <c r="D2828" s="35" t="n"/>
      <c r="E2828" s="34" t="n"/>
      <c r="F2828" s="35" t="n"/>
      <c r="G2828" s="35" t="n"/>
      <c r="H2828" s="35" t="n"/>
      <c r="I2828" s="35" t="n"/>
      <c r="J2828" s="35" t="n"/>
      <c r="K2828" s="34" t="n"/>
      <c r="L2828" s="26">
        <f>IF(A2828="","",MONTH(A2828))</f>
        <v/>
      </c>
      <c r="M2828" s="26">
        <f>IF(A2828="","",YEAR(A2828))</f>
        <v/>
      </c>
      <c r="N2828" s="26">
        <f>IF(A2828="","",CHOOSE(WEEKDAY(A2828,2),"Segunda","Terça","Quarta","Quinta","Sexta","Sábado","Domingo"))</f>
        <v/>
      </c>
      <c r="O2828" s="26">
        <f>IF(B2828="","",IF(B2828&lt;TIME(12,0,0),"Manhã",IF(B2828&lt;TIME(18,0,0),"Tarde","Noite")))</f>
        <v/>
      </c>
      <c r="P2828" s="32">
        <f>IF(G2828="","",IFERROR(INDEX(Config!$I$5:$I$16,MATCH(G2828,Config!$H$5:$H$16,0)),0))</f>
        <v/>
      </c>
      <c r="Q2828" s="30">
        <f>IF(OR(H2828&lt;&gt;"Realizado",P2828="",P2828=0),"",A2828+P2828)</f>
        <v/>
      </c>
      <c r="R2828" s="26">
        <f>IF(Q2828="","",IF(COUNTIFS($E$5:$E$3004,E2828,$A$5:$A$3004,"&gt;"&amp;A2828,$H$5:$H$3004,"&lt;&gt;Falta",$H$5:$H$3004,"&lt;&gt;Cancelado",$H$5:$H$3004,"&lt;&gt;Remarcado")&gt;0,"Sim","Não"))</f>
        <v/>
      </c>
      <c r="S2828" s="32">
        <f>IF(R2828&lt;&gt;"Não","",IF(Q2828+Config!$B$9&lt;=Config!$B$8,Config!$B$8-Q2828,""))</f>
        <v/>
      </c>
      <c r="T2828" s="26">
        <f>IF(S2828="","","Sim")</f>
        <v/>
      </c>
      <c r="U2828" s="41">
        <f>IF(T2828="Sim",S2828+ROW()/100000,0)</f>
        <v>0</v>
      </c>
      <c r="V2828" s="41">
        <f>IF(AND(H2828="Falta",L2828=Config!$B$7,M2828=Config!$B$5,COUNTIFS($E$5:E2828,E2828,$H$5:H2828,"Falta",$L$5:L2828,Config!$B$7,$M$5:M2828,Config!$B$5)=1),COUNTIFS($E$5:$E$3004,E2828,$H$5:$H$3004,"Falta",$L$5:$L$3004,Config!$B$7,$M$5:$M$3004,Config!$B$5)*1000-ROW()/100000,0)</f>
        <v>0</v>
      </c>
    </row>
    <row r="2829">
      <c r="A2829" s="39" t="n"/>
      <c r="B2829" s="40" t="n"/>
      <c r="C2829" s="35" t="n"/>
      <c r="D2829" s="35" t="n"/>
      <c r="E2829" s="34" t="n"/>
      <c r="F2829" s="35" t="n"/>
      <c r="G2829" s="35" t="n"/>
      <c r="H2829" s="35" t="n"/>
      <c r="I2829" s="35" t="n"/>
      <c r="J2829" s="35" t="n"/>
      <c r="K2829" s="34" t="n"/>
      <c r="L2829" s="26">
        <f>IF(A2829="","",MONTH(A2829))</f>
        <v/>
      </c>
      <c r="M2829" s="26">
        <f>IF(A2829="","",YEAR(A2829))</f>
        <v/>
      </c>
      <c r="N2829" s="26">
        <f>IF(A2829="","",CHOOSE(WEEKDAY(A2829,2),"Segunda","Terça","Quarta","Quinta","Sexta","Sábado","Domingo"))</f>
        <v/>
      </c>
      <c r="O2829" s="26">
        <f>IF(B2829="","",IF(B2829&lt;TIME(12,0,0),"Manhã",IF(B2829&lt;TIME(18,0,0),"Tarde","Noite")))</f>
        <v/>
      </c>
      <c r="P2829" s="32">
        <f>IF(G2829="","",IFERROR(INDEX(Config!$I$5:$I$16,MATCH(G2829,Config!$H$5:$H$16,0)),0))</f>
        <v/>
      </c>
      <c r="Q2829" s="30">
        <f>IF(OR(H2829&lt;&gt;"Realizado",P2829="",P2829=0),"",A2829+P2829)</f>
        <v/>
      </c>
      <c r="R2829" s="26">
        <f>IF(Q2829="","",IF(COUNTIFS($E$5:$E$3004,E2829,$A$5:$A$3004,"&gt;"&amp;A2829,$H$5:$H$3004,"&lt;&gt;Falta",$H$5:$H$3004,"&lt;&gt;Cancelado",$H$5:$H$3004,"&lt;&gt;Remarcado")&gt;0,"Sim","Não"))</f>
        <v/>
      </c>
      <c r="S2829" s="32">
        <f>IF(R2829&lt;&gt;"Não","",IF(Q2829+Config!$B$9&lt;=Config!$B$8,Config!$B$8-Q2829,""))</f>
        <v/>
      </c>
      <c r="T2829" s="26">
        <f>IF(S2829="","","Sim")</f>
        <v/>
      </c>
      <c r="U2829" s="41">
        <f>IF(T2829="Sim",S2829+ROW()/100000,0)</f>
        <v>0</v>
      </c>
      <c r="V2829" s="41">
        <f>IF(AND(H2829="Falta",L2829=Config!$B$7,M2829=Config!$B$5,COUNTIFS($E$5:E2829,E2829,$H$5:H2829,"Falta",$L$5:L2829,Config!$B$7,$M$5:M2829,Config!$B$5)=1),COUNTIFS($E$5:$E$3004,E2829,$H$5:$H$3004,"Falta",$L$5:$L$3004,Config!$B$7,$M$5:$M$3004,Config!$B$5)*1000-ROW()/100000,0)</f>
        <v>0</v>
      </c>
    </row>
    <row r="2830">
      <c r="A2830" s="39" t="n"/>
      <c r="B2830" s="40" t="n"/>
      <c r="C2830" s="35" t="n"/>
      <c r="D2830" s="35" t="n"/>
      <c r="E2830" s="34" t="n"/>
      <c r="F2830" s="35" t="n"/>
      <c r="G2830" s="35" t="n"/>
      <c r="H2830" s="35" t="n"/>
      <c r="I2830" s="35" t="n"/>
      <c r="J2830" s="35" t="n"/>
      <c r="K2830" s="34" t="n"/>
      <c r="L2830" s="26">
        <f>IF(A2830="","",MONTH(A2830))</f>
        <v/>
      </c>
      <c r="M2830" s="26">
        <f>IF(A2830="","",YEAR(A2830))</f>
        <v/>
      </c>
      <c r="N2830" s="26">
        <f>IF(A2830="","",CHOOSE(WEEKDAY(A2830,2),"Segunda","Terça","Quarta","Quinta","Sexta","Sábado","Domingo"))</f>
        <v/>
      </c>
      <c r="O2830" s="26">
        <f>IF(B2830="","",IF(B2830&lt;TIME(12,0,0),"Manhã",IF(B2830&lt;TIME(18,0,0),"Tarde","Noite")))</f>
        <v/>
      </c>
      <c r="P2830" s="32">
        <f>IF(G2830="","",IFERROR(INDEX(Config!$I$5:$I$16,MATCH(G2830,Config!$H$5:$H$16,0)),0))</f>
        <v/>
      </c>
      <c r="Q2830" s="30">
        <f>IF(OR(H2830&lt;&gt;"Realizado",P2830="",P2830=0),"",A2830+P2830)</f>
        <v/>
      </c>
      <c r="R2830" s="26">
        <f>IF(Q2830="","",IF(COUNTIFS($E$5:$E$3004,E2830,$A$5:$A$3004,"&gt;"&amp;A2830,$H$5:$H$3004,"&lt;&gt;Falta",$H$5:$H$3004,"&lt;&gt;Cancelado",$H$5:$H$3004,"&lt;&gt;Remarcado")&gt;0,"Sim","Não"))</f>
        <v/>
      </c>
      <c r="S2830" s="32">
        <f>IF(R2830&lt;&gt;"Não","",IF(Q2830+Config!$B$9&lt;=Config!$B$8,Config!$B$8-Q2830,""))</f>
        <v/>
      </c>
      <c r="T2830" s="26">
        <f>IF(S2830="","","Sim")</f>
        <v/>
      </c>
      <c r="U2830" s="41">
        <f>IF(T2830="Sim",S2830+ROW()/100000,0)</f>
        <v>0</v>
      </c>
      <c r="V2830" s="41">
        <f>IF(AND(H2830="Falta",L2830=Config!$B$7,M2830=Config!$B$5,COUNTIFS($E$5:E2830,E2830,$H$5:H2830,"Falta",$L$5:L2830,Config!$B$7,$M$5:M2830,Config!$B$5)=1),COUNTIFS($E$5:$E$3004,E2830,$H$5:$H$3004,"Falta",$L$5:$L$3004,Config!$B$7,$M$5:$M$3004,Config!$B$5)*1000-ROW()/100000,0)</f>
        <v>0</v>
      </c>
    </row>
    <row r="2831">
      <c r="A2831" s="39" t="n"/>
      <c r="B2831" s="40" t="n"/>
      <c r="C2831" s="35" t="n"/>
      <c r="D2831" s="35" t="n"/>
      <c r="E2831" s="34" t="n"/>
      <c r="F2831" s="35" t="n"/>
      <c r="G2831" s="35" t="n"/>
      <c r="H2831" s="35" t="n"/>
      <c r="I2831" s="35" t="n"/>
      <c r="J2831" s="35" t="n"/>
      <c r="K2831" s="34" t="n"/>
      <c r="L2831" s="26">
        <f>IF(A2831="","",MONTH(A2831))</f>
        <v/>
      </c>
      <c r="M2831" s="26">
        <f>IF(A2831="","",YEAR(A2831))</f>
        <v/>
      </c>
      <c r="N2831" s="26">
        <f>IF(A2831="","",CHOOSE(WEEKDAY(A2831,2),"Segunda","Terça","Quarta","Quinta","Sexta","Sábado","Domingo"))</f>
        <v/>
      </c>
      <c r="O2831" s="26">
        <f>IF(B2831="","",IF(B2831&lt;TIME(12,0,0),"Manhã",IF(B2831&lt;TIME(18,0,0),"Tarde","Noite")))</f>
        <v/>
      </c>
      <c r="P2831" s="32">
        <f>IF(G2831="","",IFERROR(INDEX(Config!$I$5:$I$16,MATCH(G2831,Config!$H$5:$H$16,0)),0))</f>
        <v/>
      </c>
      <c r="Q2831" s="30">
        <f>IF(OR(H2831&lt;&gt;"Realizado",P2831="",P2831=0),"",A2831+P2831)</f>
        <v/>
      </c>
      <c r="R2831" s="26">
        <f>IF(Q2831="","",IF(COUNTIFS($E$5:$E$3004,E2831,$A$5:$A$3004,"&gt;"&amp;A2831,$H$5:$H$3004,"&lt;&gt;Falta",$H$5:$H$3004,"&lt;&gt;Cancelado",$H$5:$H$3004,"&lt;&gt;Remarcado")&gt;0,"Sim","Não"))</f>
        <v/>
      </c>
      <c r="S2831" s="32">
        <f>IF(R2831&lt;&gt;"Não","",IF(Q2831+Config!$B$9&lt;=Config!$B$8,Config!$B$8-Q2831,""))</f>
        <v/>
      </c>
      <c r="T2831" s="26">
        <f>IF(S2831="","","Sim")</f>
        <v/>
      </c>
      <c r="U2831" s="41">
        <f>IF(T2831="Sim",S2831+ROW()/100000,0)</f>
        <v>0</v>
      </c>
      <c r="V2831" s="41">
        <f>IF(AND(H2831="Falta",L2831=Config!$B$7,M2831=Config!$B$5,COUNTIFS($E$5:E2831,E2831,$H$5:H2831,"Falta",$L$5:L2831,Config!$B$7,$M$5:M2831,Config!$B$5)=1),COUNTIFS($E$5:$E$3004,E2831,$H$5:$H$3004,"Falta",$L$5:$L$3004,Config!$B$7,$M$5:$M$3004,Config!$B$5)*1000-ROW()/100000,0)</f>
        <v>0</v>
      </c>
    </row>
    <row r="2832">
      <c r="A2832" s="39" t="n"/>
      <c r="B2832" s="40" t="n"/>
      <c r="C2832" s="35" t="n"/>
      <c r="D2832" s="35" t="n"/>
      <c r="E2832" s="34" t="n"/>
      <c r="F2832" s="35" t="n"/>
      <c r="G2832" s="35" t="n"/>
      <c r="H2832" s="35" t="n"/>
      <c r="I2832" s="35" t="n"/>
      <c r="J2832" s="35" t="n"/>
      <c r="K2832" s="34" t="n"/>
      <c r="L2832" s="26">
        <f>IF(A2832="","",MONTH(A2832))</f>
        <v/>
      </c>
      <c r="M2832" s="26">
        <f>IF(A2832="","",YEAR(A2832))</f>
        <v/>
      </c>
      <c r="N2832" s="26">
        <f>IF(A2832="","",CHOOSE(WEEKDAY(A2832,2),"Segunda","Terça","Quarta","Quinta","Sexta","Sábado","Domingo"))</f>
        <v/>
      </c>
      <c r="O2832" s="26">
        <f>IF(B2832="","",IF(B2832&lt;TIME(12,0,0),"Manhã",IF(B2832&lt;TIME(18,0,0),"Tarde","Noite")))</f>
        <v/>
      </c>
      <c r="P2832" s="32">
        <f>IF(G2832="","",IFERROR(INDEX(Config!$I$5:$I$16,MATCH(G2832,Config!$H$5:$H$16,0)),0))</f>
        <v/>
      </c>
      <c r="Q2832" s="30">
        <f>IF(OR(H2832&lt;&gt;"Realizado",P2832="",P2832=0),"",A2832+P2832)</f>
        <v/>
      </c>
      <c r="R2832" s="26">
        <f>IF(Q2832="","",IF(COUNTIFS($E$5:$E$3004,E2832,$A$5:$A$3004,"&gt;"&amp;A2832,$H$5:$H$3004,"&lt;&gt;Falta",$H$5:$H$3004,"&lt;&gt;Cancelado",$H$5:$H$3004,"&lt;&gt;Remarcado")&gt;0,"Sim","Não"))</f>
        <v/>
      </c>
      <c r="S2832" s="32">
        <f>IF(R2832&lt;&gt;"Não","",IF(Q2832+Config!$B$9&lt;=Config!$B$8,Config!$B$8-Q2832,""))</f>
        <v/>
      </c>
      <c r="T2832" s="26">
        <f>IF(S2832="","","Sim")</f>
        <v/>
      </c>
      <c r="U2832" s="41">
        <f>IF(T2832="Sim",S2832+ROW()/100000,0)</f>
        <v>0</v>
      </c>
      <c r="V2832" s="41">
        <f>IF(AND(H2832="Falta",L2832=Config!$B$7,M2832=Config!$B$5,COUNTIFS($E$5:E2832,E2832,$H$5:H2832,"Falta",$L$5:L2832,Config!$B$7,$M$5:M2832,Config!$B$5)=1),COUNTIFS($E$5:$E$3004,E2832,$H$5:$H$3004,"Falta",$L$5:$L$3004,Config!$B$7,$M$5:$M$3004,Config!$B$5)*1000-ROW()/100000,0)</f>
        <v>0</v>
      </c>
    </row>
    <row r="2833">
      <c r="A2833" s="39" t="n"/>
      <c r="B2833" s="40" t="n"/>
      <c r="C2833" s="35" t="n"/>
      <c r="D2833" s="35" t="n"/>
      <c r="E2833" s="34" t="n"/>
      <c r="F2833" s="35" t="n"/>
      <c r="G2833" s="35" t="n"/>
      <c r="H2833" s="35" t="n"/>
      <c r="I2833" s="35" t="n"/>
      <c r="J2833" s="35" t="n"/>
      <c r="K2833" s="34" t="n"/>
      <c r="L2833" s="26">
        <f>IF(A2833="","",MONTH(A2833))</f>
        <v/>
      </c>
      <c r="M2833" s="26">
        <f>IF(A2833="","",YEAR(A2833))</f>
        <v/>
      </c>
      <c r="N2833" s="26">
        <f>IF(A2833="","",CHOOSE(WEEKDAY(A2833,2),"Segunda","Terça","Quarta","Quinta","Sexta","Sábado","Domingo"))</f>
        <v/>
      </c>
      <c r="O2833" s="26">
        <f>IF(B2833="","",IF(B2833&lt;TIME(12,0,0),"Manhã",IF(B2833&lt;TIME(18,0,0),"Tarde","Noite")))</f>
        <v/>
      </c>
      <c r="P2833" s="32">
        <f>IF(G2833="","",IFERROR(INDEX(Config!$I$5:$I$16,MATCH(G2833,Config!$H$5:$H$16,0)),0))</f>
        <v/>
      </c>
      <c r="Q2833" s="30">
        <f>IF(OR(H2833&lt;&gt;"Realizado",P2833="",P2833=0),"",A2833+P2833)</f>
        <v/>
      </c>
      <c r="R2833" s="26">
        <f>IF(Q2833="","",IF(COUNTIFS($E$5:$E$3004,E2833,$A$5:$A$3004,"&gt;"&amp;A2833,$H$5:$H$3004,"&lt;&gt;Falta",$H$5:$H$3004,"&lt;&gt;Cancelado",$H$5:$H$3004,"&lt;&gt;Remarcado")&gt;0,"Sim","Não"))</f>
        <v/>
      </c>
      <c r="S2833" s="32">
        <f>IF(R2833&lt;&gt;"Não","",IF(Q2833+Config!$B$9&lt;=Config!$B$8,Config!$B$8-Q2833,""))</f>
        <v/>
      </c>
      <c r="T2833" s="26">
        <f>IF(S2833="","","Sim")</f>
        <v/>
      </c>
      <c r="U2833" s="41">
        <f>IF(T2833="Sim",S2833+ROW()/100000,0)</f>
        <v>0</v>
      </c>
      <c r="V2833" s="41">
        <f>IF(AND(H2833="Falta",L2833=Config!$B$7,M2833=Config!$B$5,COUNTIFS($E$5:E2833,E2833,$H$5:H2833,"Falta",$L$5:L2833,Config!$B$7,$M$5:M2833,Config!$B$5)=1),COUNTIFS($E$5:$E$3004,E2833,$H$5:$H$3004,"Falta",$L$5:$L$3004,Config!$B$7,$M$5:$M$3004,Config!$B$5)*1000-ROW()/100000,0)</f>
        <v>0</v>
      </c>
    </row>
    <row r="2834">
      <c r="A2834" s="39" t="n"/>
      <c r="B2834" s="40" t="n"/>
      <c r="C2834" s="35" t="n"/>
      <c r="D2834" s="35" t="n"/>
      <c r="E2834" s="34" t="n"/>
      <c r="F2834" s="35" t="n"/>
      <c r="G2834" s="35" t="n"/>
      <c r="H2834" s="35" t="n"/>
      <c r="I2834" s="35" t="n"/>
      <c r="J2834" s="35" t="n"/>
      <c r="K2834" s="34" t="n"/>
      <c r="L2834" s="26">
        <f>IF(A2834="","",MONTH(A2834))</f>
        <v/>
      </c>
      <c r="M2834" s="26">
        <f>IF(A2834="","",YEAR(A2834))</f>
        <v/>
      </c>
      <c r="N2834" s="26">
        <f>IF(A2834="","",CHOOSE(WEEKDAY(A2834,2),"Segunda","Terça","Quarta","Quinta","Sexta","Sábado","Domingo"))</f>
        <v/>
      </c>
      <c r="O2834" s="26">
        <f>IF(B2834="","",IF(B2834&lt;TIME(12,0,0),"Manhã",IF(B2834&lt;TIME(18,0,0),"Tarde","Noite")))</f>
        <v/>
      </c>
      <c r="P2834" s="32">
        <f>IF(G2834="","",IFERROR(INDEX(Config!$I$5:$I$16,MATCH(G2834,Config!$H$5:$H$16,0)),0))</f>
        <v/>
      </c>
      <c r="Q2834" s="30">
        <f>IF(OR(H2834&lt;&gt;"Realizado",P2834="",P2834=0),"",A2834+P2834)</f>
        <v/>
      </c>
      <c r="R2834" s="26">
        <f>IF(Q2834="","",IF(COUNTIFS($E$5:$E$3004,E2834,$A$5:$A$3004,"&gt;"&amp;A2834,$H$5:$H$3004,"&lt;&gt;Falta",$H$5:$H$3004,"&lt;&gt;Cancelado",$H$5:$H$3004,"&lt;&gt;Remarcado")&gt;0,"Sim","Não"))</f>
        <v/>
      </c>
      <c r="S2834" s="32">
        <f>IF(R2834&lt;&gt;"Não","",IF(Q2834+Config!$B$9&lt;=Config!$B$8,Config!$B$8-Q2834,""))</f>
        <v/>
      </c>
      <c r="T2834" s="26">
        <f>IF(S2834="","","Sim")</f>
        <v/>
      </c>
      <c r="U2834" s="41">
        <f>IF(T2834="Sim",S2834+ROW()/100000,0)</f>
        <v>0</v>
      </c>
      <c r="V2834" s="41">
        <f>IF(AND(H2834="Falta",L2834=Config!$B$7,M2834=Config!$B$5,COUNTIFS($E$5:E2834,E2834,$H$5:H2834,"Falta",$L$5:L2834,Config!$B$7,$M$5:M2834,Config!$B$5)=1),COUNTIFS($E$5:$E$3004,E2834,$H$5:$H$3004,"Falta",$L$5:$L$3004,Config!$B$7,$M$5:$M$3004,Config!$B$5)*1000-ROW()/100000,0)</f>
        <v>0</v>
      </c>
    </row>
    <row r="2835">
      <c r="A2835" s="39" t="n"/>
      <c r="B2835" s="40" t="n"/>
      <c r="C2835" s="35" t="n"/>
      <c r="D2835" s="35" t="n"/>
      <c r="E2835" s="34" t="n"/>
      <c r="F2835" s="35" t="n"/>
      <c r="G2835" s="35" t="n"/>
      <c r="H2835" s="35" t="n"/>
      <c r="I2835" s="35" t="n"/>
      <c r="J2835" s="35" t="n"/>
      <c r="K2835" s="34" t="n"/>
      <c r="L2835" s="26">
        <f>IF(A2835="","",MONTH(A2835))</f>
        <v/>
      </c>
      <c r="M2835" s="26">
        <f>IF(A2835="","",YEAR(A2835))</f>
        <v/>
      </c>
      <c r="N2835" s="26">
        <f>IF(A2835="","",CHOOSE(WEEKDAY(A2835,2),"Segunda","Terça","Quarta","Quinta","Sexta","Sábado","Domingo"))</f>
        <v/>
      </c>
      <c r="O2835" s="26">
        <f>IF(B2835="","",IF(B2835&lt;TIME(12,0,0),"Manhã",IF(B2835&lt;TIME(18,0,0),"Tarde","Noite")))</f>
        <v/>
      </c>
      <c r="P2835" s="32">
        <f>IF(G2835="","",IFERROR(INDEX(Config!$I$5:$I$16,MATCH(G2835,Config!$H$5:$H$16,0)),0))</f>
        <v/>
      </c>
      <c r="Q2835" s="30">
        <f>IF(OR(H2835&lt;&gt;"Realizado",P2835="",P2835=0),"",A2835+P2835)</f>
        <v/>
      </c>
      <c r="R2835" s="26">
        <f>IF(Q2835="","",IF(COUNTIFS($E$5:$E$3004,E2835,$A$5:$A$3004,"&gt;"&amp;A2835,$H$5:$H$3004,"&lt;&gt;Falta",$H$5:$H$3004,"&lt;&gt;Cancelado",$H$5:$H$3004,"&lt;&gt;Remarcado")&gt;0,"Sim","Não"))</f>
        <v/>
      </c>
      <c r="S2835" s="32">
        <f>IF(R2835&lt;&gt;"Não","",IF(Q2835+Config!$B$9&lt;=Config!$B$8,Config!$B$8-Q2835,""))</f>
        <v/>
      </c>
      <c r="T2835" s="26">
        <f>IF(S2835="","","Sim")</f>
        <v/>
      </c>
      <c r="U2835" s="41">
        <f>IF(T2835="Sim",S2835+ROW()/100000,0)</f>
        <v>0</v>
      </c>
      <c r="V2835" s="41">
        <f>IF(AND(H2835="Falta",L2835=Config!$B$7,M2835=Config!$B$5,COUNTIFS($E$5:E2835,E2835,$H$5:H2835,"Falta",$L$5:L2835,Config!$B$7,$M$5:M2835,Config!$B$5)=1),COUNTIFS($E$5:$E$3004,E2835,$H$5:$H$3004,"Falta",$L$5:$L$3004,Config!$B$7,$M$5:$M$3004,Config!$B$5)*1000-ROW()/100000,0)</f>
        <v>0</v>
      </c>
    </row>
    <row r="2836">
      <c r="A2836" s="39" t="n"/>
      <c r="B2836" s="40" t="n"/>
      <c r="C2836" s="35" t="n"/>
      <c r="D2836" s="35" t="n"/>
      <c r="E2836" s="34" t="n"/>
      <c r="F2836" s="35" t="n"/>
      <c r="G2836" s="35" t="n"/>
      <c r="H2836" s="35" t="n"/>
      <c r="I2836" s="35" t="n"/>
      <c r="J2836" s="35" t="n"/>
      <c r="K2836" s="34" t="n"/>
      <c r="L2836" s="26">
        <f>IF(A2836="","",MONTH(A2836))</f>
        <v/>
      </c>
      <c r="M2836" s="26">
        <f>IF(A2836="","",YEAR(A2836))</f>
        <v/>
      </c>
      <c r="N2836" s="26">
        <f>IF(A2836="","",CHOOSE(WEEKDAY(A2836,2),"Segunda","Terça","Quarta","Quinta","Sexta","Sábado","Domingo"))</f>
        <v/>
      </c>
      <c r="O2836" s="26">
        <f>IF(B2836="","",IF(B2836&lt;TIME(12,0,0),"Manhã",IF(B2836&lt;TIME(18,0,0),"Tarde","Noite")))</f>
        <v/>
      </c>
      <c r="P2836" s="32">
        <f>IF(G2836="","",IFERROR(INDEX(Config!$I$5:$I$16,MATCH(G2836,Config!$H$5:$H$16,0)),0))</f>
        <v/>
      </c>
      <c r="Q2836" s="30">
        <f>IF(OR(H2836&lt;&gt;"Realizado",P2836="",P2836=0),"",A2836+P2836)</f>
        <v/>
      </c>
      <c r="R2836" s="26">
        <f>IF(Q2836="","",IF(COUNTIFS($E$5:$E$3004,E2836,$A$5:$A$3004,"&gt;"&amp;A2836,$H$5:$H$3004,"&lt;&gt;Falta",$H$5:$H$3004,"&lt;&gt;Cancelado",$H$5:$H$3004,"&lt;&gt;Remarcado")&gt;0,"Sim","Não"))</f>
        <v/>
      </c>
      <c r="S2836" s="32">
        <f>IF(R2836&lt;&gt;"Não","",IF(Q2836+Config!$B$9&lt;=Config!$B$8,Config!$B$8-Q2836,""))</f>
        <v/>
      </c>
      <c r="T2836" s="26">
        <f>IF(S2836="","","Sim")</f>
        <v/>
      </c>
      <c r="U2836" s="41">
        <f>IF(T2836="Sim",S2836+ROW()/100000,0)</f>
        <v>0</v>
      </c>
      <c r="V2836" s="41">
        <f>IF(AND(H2836="Falta",L2836=Config!$B$7,M2836=Config!$B$5,COUNTIFS($E$5:E2836,E2836,$H$5:H2836,"Falta",$L$5:L2836,Config!$B$7,$M$5:M2836,Config!$B$5)=1),COUNTIFS($E$5:$E$3004,E2836,$H$5:$H$3004,"Falta",$L$5:$L$3004,Config!$B$7,$M$5:$M$3004,Config!$B$5)*1000-ROW()/100000,0)</f>
        <v>0</v>
      </c>
    </row>
    <row r="2837">
      <c r="A2837" s="39" t="n"/>
      <c r="B2837" s="40" t="n"/>
      <c r="C2837" s="35" t="n"/>
      <c r="D2837" s="35" t="n"/>
      <c r="E2837" s="34" t="n"/>
      <c r="F2837" s="35" t="n"/>
      <c r="G2837" s="35" t="n"/>
      <c r="H2837" s="35" t="n"/>
      <c r="I2837" s="35" t="n"/>
      <c r="J2837" s="35" t="n"/>
      <c r="K2837" s="34" t="n"/>
      <c r="L2837" s="26">
        <f>IF(A2837="","",MONTH(A2837))</f>
        <v/>
      </c>
      <c r="M2837" s="26">
        <f>IF(A2837="","",YEAR(A2837))</f>
        <v/>
      </c>
      <c r="N2837" s="26">
        <f>IF(A2837="","",CHOOSE(WEEKDAY(A2837,2),"Segunda","Terça","Quarta","Quinta","Sexta","Sábado","Domingo"))</f>
        <v/>
      </c>
      <c r="O2837" s="26">
        <f>IF(B2837="","",IF(B2837&lt;TIME(12,0,0),"Manhã",IF(B2837&lt;TIME(18,0,0),"Tarde","Noite")))</f>
        <v/>
      </c>
      <c r="P2837" s="32">
        <f>IF(G2837="","",IFERROR(INDEX(Config!$I$5:$I$16,MATCH(G2837,Config!$H$5:$H$16,0)),0))</f>
        <v/>
      </c>
      <c r="Q2837" s="30">
        <f>IF(OR(H2837&lt;&gt;"Realizado",P2837="",P2837=0),"",A2837+P2837)</f>
        <v/>
      </c>
      <c r="R2837" s="26">
        <f>IF(Q2837="","",IF(COUNTIFS($E$5:$E$3004,E2837,$A$5:$A$3004,"&gt;"&amp;A2837,$H$5:$H$3004,"&lt;&gt;Falta",$H$5:$H$3004,"&lt;&gt;Cancelado",$H$5:$H$3004,"&lt;&gt;Remarcado")&gt;0,"Sim","Não"))</f>
        <v/>
      </c>
      <c r="S2837" s="32">
        <f>IF(R2837&lt;&gt;"Não","",IF(Q2837+Config!$B$9&lt;=Config!$B$8,Config!$B$8-Q2837,""))</f>
        <v/>
      </c>
      <c r="T2837" s="26">
        <f>IF(S2837="","","Sim")</f>
        <v/>
      </c>
      <c r="U2837" s="41">
        <f>IF(T2837="Sim",S2837+ROW()/100000,0)</f>
        <v>0</v>
      </c>
      <c r="V2837" s="41">
        <f>IF(AND(H2837="Falta",L2837=Config!$B$7,M2837=Config!$B$5,COUNTIFS($E$5:E2837,E2837,$H$5:H2837,"Falta",$L$5:L2837,Config!$B$7,$M$5:M2837,Config!$B$5)=1),COUNTIFS($E$5:$E$3004,E2837,$H$5:$H$3004,"Falta",$L$5:$L$3004,Config!$B$7,$M$5:$M$3004,Config!$B$5)*1000-ROW()/100000,0)</f>
        <v>0</v>
      </c>
    </row>
    <row r="2838">
      <c r="A2838" s="39" t="n"/>
      <c r="B2838" s="40" t="n"/>
      <c r="C2838" s="35" t="n"/>
      <c r="D2838" s="35" t="n"/>
      <c r="E2838" s="34" t="n"/>
      <c r="F2838" s="35" t="n"/>
      <c r="G2838" s="35" t="n"/>
      <c r="H2838" s="35" t="n"/>
      <c r="I2838" s="35" t="n"/>
      <c r="J2838" s="35" t="n"/>
      <c r="K2838" s="34" t="n"/>
      <c r="L2838" s="26">
        <f>IF(A2838="","",MONTH(A2838))</f>
        <v/>
      </c>
      <c r="M2838" s="26">
        <f>IF(A2838="","",YEAR(A2838))</f>
        <v/>
      </c>
      <c r="N2838" s="26">
        <f>IF(A2838="","",CHOOSE(WEEKDAY(A2838,2),"Segunda","Terça","Quarta","Quinta","Sexta","Sábado","Domingo"))</f>
        <v/>
      </c>
      <c r="O2838" s="26">
        <f>IF(B2838="","",IF(B2838&lt;TIME(12,0,0),"Manhã",IF(B2838&lt;TIME(18,0,0),"Tarde","Noite")))</f>
        <v/>
      </c>
      <c r="P2838" s="32">
        <f>IF(G2838="","",IFERROR(INDEX(Config!$I$5:$I$16,MATCH(G2838,Config!$H$5:$H$16,0)),0))</f>
        <v/>
      </c>
      <c r="Q2838" s="30">
        <f>IF(OR(H2838&lt;&gt;"Realizado",P2838="",P2838=0),"",A2838+P2838)</f>
        <v/>
      </c>
      <c r="R2838" s="26">
        <f>IF(Q2838="","",IF(COUNTIFS($E$5:$E$3004,E2838,$A$5:$A$3004,"&gt;"&amp;A2838,$H$5:$H$3004,"&lt;&gt;Falta",$H$5:$H$3004,"&lt;&gt;Cancelado",$H$5:$H$3004,"&lt;&gt;Remarcado")&gt;0,"Sim","Não"))</f>
        <v/>
      </c>
      <c r="S2838" s="32">
        <f>IF(R2838&lt;&gt;"Não","",IF(Q2838+Config!$B$9&lt;=Config!$B$8,Config!$B$8-Q2838,""))</f>
        <v/>
      </c>
      <c r="T2838" s="26">
        <f>IF(S2838="","","Sim")</f>
        <v/>
      </c>
      <c r="U2838" s="41">
        <f>IF(T2838="Sim",S2838+ROW()/100000,0)</f>
        <v>0</v>
      </c>
      <c r="V2838" s="41">
        <f>IF(AND(H2838="Falta",L2838=Config!$B$7,M2838=Config!$B$5,COUNTIFS($E$5:E2838,E2838,$H$5:H2838,"Falta",$L$5:L2838,Config!$B$7,$M$5:M2838,Config!$B$5)=1),COUNTIFS($E$5:$E$3004,E2838,$H$5:$H$3004,"Falta",$L$5:$L$3004,Config!$B$7,$M$5:$M$3004,Config!$B$5)*1000-ROW()/100000,0)</f>
        <v>0</v>
      </c>
    </row>
    <row r="2839">
      <c r="A2839" s="39" t="n"/>
      <c r="B2839" s="40" t="n"/>
      <c r="C2839" s="35" t="n"/>
      <c r="D2839" s="35" t="n"/>
      <c r="E2839" s="34" t="n"/>
      <c r="F2839" s="35" t="n"/>
      <c r="G2839" s="35" t="n"/>
      <c r="H2839" s="35" t="n"/>
      <c r="I2839" s="35" t="n"/>
      <c r="J2839" s="35" t="n"/>
      <c r="K2839" s="34" t="n"/>
      <c r="L2839" s="26">
        <f>IF(A2839="","",MONTH(A2839))</f>
        <v/>
      </c>
      <c r="M2839" s="26">
        <f>IF(A2839="","",YEAR(A2839))</f>
        <v/>
      </c>
      <c r="N2839" s="26">
        <f>IF(A2839="","",CHOOSE(WEEKDAY(A2839,2),"Segunda","Terça","Quarta","Quinta","Sexta","Sábado","Domingo"))</f>
        <v/>
      </c>
      <c r="O2839" s="26">
        <f>IF(B2839="","",IF(B2839&lt;TIME(12,0,0),"Manhã",IF(B2839&lt;TIME(18,0,0),"Tarde","Noite")))</f>
        <v/>
      </c>
      <c r="P2839" s="32">
        <f>IF(G2839="","",IFERROR(INDEX(Config!$I$5:$I$16,MATCH(G2839,Config!$H$5:$H$16,0)),0))</f>
        <v/>
      </c>
      <c r="Q2839" s="30">
        <f>IF(OR(H2839&lt;&gt;"Realizado",P2839="",P2839=0),"",A2839+P2839)</f>
        <v/>
      </c>
      <c r="R2839" s="26">
        <f>IF(Q2839="","",IF(COUNTIFS($E$5:$E$3004,E2839,$A$5:$A$3004,"&gt;"&amp;A2839,$H$5:$H$3004,"&lt;&gt;Falta",$H$5:$H$3004,"&lt;&gt;Cancelado",$H$5:$H$3004,"&lt;&gt;Remarcado")&gt;0,"Sim","Não"))</f>
        <v/>
      </c>
      <c r="S2839" s="32">
        <f>IF(R2839&lt;&gt;"Não","",IF(Q2839+Config!$B$9&lt;=Config!$B$8,Config!$B$8-Q2839,""))</f>
        <v/>
      </c>
      <c r="T2839" s="26">
        <f>IF(S2839="","","Sim")</f>
        <v/>
      </c>
      <c r="U2839" s="41">
        <f>IF(T2839="Sim",S2839+ROW()/100000,0)</f>
        <v>0</v>
      </c>
      <c r="V2839" s="41">
        <f>IF(AND(H2839="Falta",L2839=Config!$B$7,M2839=Config!$B$5,COUNTIFS($E$5:E2839,E2839,$H$5:H2839,"Falta",$L$5:L2839,Config!$B$7,$M$5:M2839,Config!$B$5)=1),COUNTIFS($E$5:$E$3004,E2839,$H$5:$H$3004,"Falta",$L$5:$L$3004,Config!$B$7,$M$5:$M$3004,Config!$B$5)*1000-ROW()/100000,0)</f>
        <v>0</v>
      </c>
    </row>
    <row r="2840">
      <c r="A2840" s="39" t="n"/>
      <c r="B2840" s="40" t="n"/>
      <c r="C2840" s="35" t="n"/>
      <c r="D2840" s="35" t="n"/>
      <c r="E2840" s="34" t="n"/>
      <c r="F2840" s="35" t="n"/>
      <c r="G2840" s="35" t="n"/>
      <c r="H2840" s="35" t="n"/>
      <c r="I2840" s="35" t="n"/>
      <c r="J2840" s="35" t="n"/>
      <c r="K2840" s="34" t="n"/>
      <c r="L2840" s="26">
        <f>IF(A2840="","",MONTH(A2840))</f>
        <v/>
      </c>
      <c r="M2840" s="26">
        <f>IF(A2840="","",YEAR(A2840))</f>
        <v/>
      </c>
      <c r="N2840" s="26">
        <f>IF(A2840="","",CHOOSE(WEEKDAY(A2840,2),"Segunda","Terça","Quarta","Quinta","Sexta","Sábado","Domingo"))</f>
        <v/>
      </c>
      <c r="O2840" s="26">
        <f>IF(B2840="","",IF(B2840&lt;TIME(12,0,0),"Manhã",IF(B2840&lt;TIME(18,0,0),"Tarde","Noite")))</f>
        <v/>
      </c>
      <c r="P2840" s="32">
        <f>IF(G2840="","",IFERROR(INDEX(Config!$I$5:$I$16,MATCH(G2840,Config!$H$5:$H$16,0)),0))</f>
        <v/>
      </c>
      <c r="Q2840" s="30">
        <f>IF(OR(H2840&lt;&gt;"Realizado",P2840="",P2840=0),"",A2840+P2840)</f>
        <v/>
      </c>
      <c r="R2840" s="26">
        <f>IF(Q2840="","",IF(COUNTIFS($E$5:$E$3004,E2840,$A$5:$A$3004,"&gt;"&amp;A2840,$H$5:$H$3004,"&lt;&gt;Falta",$H$5:$H$3004,"&lt;&gt;Cancelado",$H$5:$H$3004,"&lt;&gt;Remarcado")&gt;0,"Sim","Não"))</f>
        <v/>
      </c>
      <c r="S2840" s="32">
        <f>IF(R2840&lt;&gt;"Não","",IF(Q2840+Config!$B$9&lt;=Config!$B$8,Config!$B$8-Q2840,""))</f>
        <v/>
      </c>
      <c r="T2840" s="26">
        <f>IF(S2840="","","Sim")</f>
        <v/>
      </c>
      <c r="U2840" s="41">
        <f>IF(T2840="Sim",S2840+ROW()/100000,0)</f>
        <v>0</v>
      </c>
      <c r="V2840" s="41">
        <f>IF(AND(H2840="Falta",L2840=Config!$B$7,M2840=Config!$B$5,COUNTIFS($E$5:E2840,E2840,$H$5:H2840,"Falta",$L$5:L2840,Config!$B$7,$M$5:M2840,Config!$B$5)=1),COUNTIFS($E$5:$E$3004,E2840,$H$5:$H$3004,"Falta",$L$5:$L$3004,Config!$B$7,$M$5:$M$3004,Config!$B$5)*1000-ROW()/100000,0)</f>
        <v>0</v>
      </c>
    </row>
    <row r="2841">
      <c r="A2841" s="39" t="n"/>
      <c r="B2841" s="40" t="n"/>
      <c r="C2841" s="35" t="n"/>
      <c r="D2841" s="35" t="n"/>
      <c r="E2841" s="34" t="n"/>
      <c r="F2841" s="35" t="n"/>
      <c r="G2841" s="35" t="n"/>
      <c r="H2841" s="35" t="n"/>
      <c r="I2841" s="35" t="n"/>
      <c r="J2841" s="35" t="n"/>
      <c r="K2841" s="34" t="n"/>
      <c r="L2841" s="26">
        <f>IF(A2841="","",MONTH(A2841))</f>
        <v/>
      </c>
      <c r="M2841" s="26">
        <f>IF(A2841="","",YEAR(A2841))</f>
        <v/>
      </c>
      <c r="N2841" s="26">
        <f>IF(A2841="","",CHOOSE(WEEKDAY(A2841,2),"Segunda","Terça","Quarta","Quinta","Sexta","Sábado","Domingo"))</f>
        <v/>
      </c>
      <c r="O2841" s="26">
        <f>IF(B2841="","",IF(B2841&lt;TIME(12,0,0),"Manhã",IF(B2841&lt;TIME(18,0,0),"Tarde","Noite")))</f>
        <v/>
      </c>
      <c r="P2841" s="32">
        <f>IF(G2841="","",IFERROR(INDEX(Config!$I$5:$I$16,MATCH(G2841,Config!$H$5:$H$16,0)),0))</f>
        <v/>
      </c>
      <c r="Q2841" s="30">
        <f>IF(OR(H2841&lt;&gt;"Realizado",P2841="",P2841=0),"",A2841+P2841)</f>
        <v/>
      </c>
      <c r="R2841" s="26">
        <f>IF(Q2841="","",IF(COUNTIFS($E$5:$E$3004,E2841,$A$5:$A$3004,"&gt;"&amp;A2841,$H$5:$H$3004,"&lt;&gt;Falta",$H$5:$H$3004,"&lt;&gt;Cancelado",$H$5:$H$3004,"&lt;&gt;Remarcado")&gt;0,"Sim","Não"))</f>
        <v/>
      </c>
      <c r="S2841" s="32">
        <f>IF(R2841&lt;&gt;"Não","",IF(Q2841+Config!$B$9&lt;=Config!$B$8,Config!$B$8-Q2841,""))</f>
        <v/>
      </c>
      <c r="T2841" s="26">
        <f>IF(S2841="","","Sim")</f>
        <v/>
      </c>
      <c r="U2841" s="41">
        <f>IF(T2841="Sim",S2841+ROW()/100000,0)</f>
        <v>0</v>
      </c>
      <c r="V2841" s="41">
        <f>IF(AND(H2841="Falta",L2841=Config!$B$7,M2841=Config!$B$5,COUNTIFS($E$5:E2841,E2841,$H$5:H2841,"Falta",$L$5:L2841,Config!$B$7,$M$5:M2841,Config!$B$5)=1),COUNTIFS($E$5:$E$3004,E2841,$H$5:$H$3004,"Falta",$L$5:$L$3004,Config!$B$7,$M$5:$M$3004,Config!$B$5)*1000-ROW()/100000,0)</f>
        <v>0</v>
      </c>
    </row>
    <row r="2842">
      <c r="A2842" s="39" t="n"/>
      <c r="B2842" s="40" t="n"/>
      <c r="C2842" s="35" t="n"/>
      <c r="D2842" s="35" t="n"/>
      <c r="E2842" s="34" t="n"/>
      <c r="F2842" s="35" t="n"/>
      <c r="G2842" s="35" t="n"/>
      <c r="H2842" s="35" t="n"/>
      <c r="I2842" s="35" t="n"/>
      <c r="J2842" s="35" t="n"/>
      <c r="K2842" s="34" t="n"/>
      <c r="L2842" s="26">
        <f>IF(A2842="","",MONTH(A2842))</f>
        <v/>
      </c>
      <c r="M2842" s="26">
        <f>IF(A2842="","",YEAR(A2842))</f>
        <v/>
      </c>
      <c r="N2842" s="26">
        <f>IF(A2842="","",CHOOSE(WEEKDAY(A2842,2),"Segunda","Terça","Quarta","Quinta","Sexta","Sábado","Domingo"))</f>
        <v/>
      </c>
      <c r="O2842" s="26">
        <f>IF(B2842="","",IF(B2842&lt;TIME(12,0,0),"Manhã",IF(B2842&lt;TIME(18,0,0),"Tarde","Noite")))</f>
        <v/>
      </c>
      <c r="P2842" s="32">
        <f>IF(G2842="","",IFERROR(INDEX(Config!$I$5:$I$16,MATCH(G2842,Config!$H$5:$H$16,0)),0))</f>
        <v/>
      </c>
      <c r="Q2842" s="30">
        <f>IF(OR(H2842&lt;&gt;"Realizado",P2842="",P2842=0),"",A2842+P2842)</f>
        <v/>
      </c>
      <c r="R2842" s="26">
        <f>IF(Q2842="","",IF(COUNTIFS($E$5:$E$3004,E2842,$A$5:$A$3004,"&gt;"&amp;A2842,$H$5:$H$3004,"&lt;&gt;Falta",$H$5:$H$3004,"&lt;&gt;Cancelado",$H$5:$H$3004,"&lt;&gt;Remarcado")&gt;0,"Sim","Não"))</f>
        <v/>
      </c>
      <c r="S2842" s="32">
        <f>IF(R2842&lt;&gt;"Não","",IF(Q2842+Config!$B$9&lt;=Config!$B$8,Config!$B$8-Q2842,""))</f>
        <v/>
      </c>
      <c r="T2842" s="26">
        <f>IF(S2842="","","Sim")</f>
        <v/>
      </c>
      <c r="U2842" s="41">
        <f>IF(T2842="Sim",S2842+ROW()/100000,0)</f>
        <v>0</v>
      </c>
      <c r="V2842" s="41">
        <f>IF(AND(H2842="Falta",L2842=Config!$B$7,M2842=Config!$B$5,COUNTIFS($E$5:E2842,E2842,$H$5:H2842,"Falta",$L$5:L2842,Config!$B$7,$M$5:M2842,Config!$B$5)=1),COUNTIFS($E$5:$E$3004,E2842,$H$5:$H$3004,"Falta",$L$5:$L$3004,Config!$B$7,$M$5:$M$3004,Config!$B$5)*1000-ROW()/100000,0)</f>
        <v>0</v>
      </c>
    </row>
    <row r="2843">
      <c r="A2843" s="39" t="n"/>
      <c r="B2843" s="40" t="n"/>
      <c r="C2843" s="35" t="n"/>
      <c r="D2843" s="35" t="n"/>
      <c r="E2843" s="34" t="n"/>
      <c r="F2843" s="35" t="n"/>
      <c r="G2843" s="35" t="n"/>
      <c r="H2843" s="35" t="n"/>
      <c r="I2843" s="35" t="n"/>
      <c r="J2843" s="35" t="n"/>
      <c r="K2843" s="34" t="n"/>
      <c r="L2843" s="26">
        <f>IF(A2843="","",MONTH(A2843))</f>
        <v/>
      </c>
      <c r="M2843" s="26">
        <f>IF(A2843="","",YEAR(A2843))</f>
        <v/>
      </c>
      <c r="N2843" s="26">
        <f>IF(A2843="","",CHOOSE(WEEKDAY(A2843,2),"Segunda","Terça","Quarta","Quinta","Sexta","Sábado","Domingo"))</f>
        <v/>
      </c>
      <c r="O2843" s="26">
        <f>IF(B2843="","",IF(B2843&lt;TIME(12,0,0),"Manhã",IF(B2843&lt;TIME(18,0,0),"Tarde","Noite")))</f>
        <v/>
      </c>
      <c r="P2843" s="32">
        <f>IF(G2843="","",IFERROR(INDEX(Config!$I$5:$I$16,MATCH(G2843,Config!$H$5:$H$16,0)),0))</f>
        <v/>
      </c>
      <c r="Q2843" s="30">
        <f>IF(OR(H2843&lt;&gt;"Realizado",P2843="",P2843=0),"",A2843+P2843)</f>
        <v/>
      </c>
      <c r="R2843" s="26">
        <f>IF(Q2843="","",IF(COUNTIFS($E$5:$E$3004,E2843,$A$5:$A$3004,"&gt;"&amp;A2843,$H$5:$H$3004,"&lt;&gt;Falta",$H$5:$H$3004,"&lt;&gt;Cancelado",$H$5:$H$3004,"&lt;&gt;Remarcado")&gt;0,"Sim","Não"))</f>
        <v/>
      </c>
      <c r="S2843" s="32">
        <f>IF(R2843&lt;&gt;"Não","",IF(Q2843+Config!$B$9&lt;=Config!$B$8,Config!$B$8-Q2843,""))</f>
        <v/>
      </c>
      <c r="T2843" s="26">
        <f>IF(S2843="","","Sim")</f>
        <v/>
      </c>
      <c r="U2843" s="41">
        <f>IF(T2843="Sim",S2843+ROW()/100000,0)</f>
        <v>0</v>
      </c>
      <c r="V2843" s="41">
        <f>IF(AND(H2843="Falta",L2843=Config!$B$7,M2843=Config!$B$5,COUNTIFS($E$5:E2843,E2843,$H$5:H2843,"Falta",$L$5:L2843,Config!$B$7,$M$5:M2843,Config!$B$5)=1),COUNTIFS($E$5:$E$3004,E2843,$H$5:$H$3004,"Falta",$L$5:$L$3004,Config!$B$7,$M$5:$M$3004,Config!$B$5)*1000-ROW()/100000,0)</f>
        <v>0</v>
      </c>
    </row>
    <row r="2844">
      <c r="A2844" s="39" t="n"/>
      <c r="B2844" s="40" t="n"/>
      <c r="C2844" s="35" t="n"/>
      <c r="D2844" s="35" t="n"/>
      <c r="E2844" s="34" t="n"/>
      <c r="F2844" s="35" t="n"/>
      <c r="G2844" s="35" t="n"/>
      <c r="H2844" s="35" t="n"/>
      <c r="I2844" s="35" t="n"/>
      <c r="J2844" s="35" t="n"/>
      <c r="K2844" s="34" t="n"/>
      <c r="L2844" s="26">
        <f>IF(A2844="","",MONTH(A2844))</f>
        <v/>
      </c>
      <c r="M2844" s="26">
        <f>IF(A2844="","",YEAR(A2844))</f>
        <v/>
      </c>
      <c r="N2844" s="26">
        <f>IF(A2844="","",CHOOSE(WEEKDAY(A2844,2),"Segunda","Terça","Quarta","Quinta","Sexta","Sábado","Domingo"))</f>
        <v/>
      </c>
      <c r="O2844" s="26">
        <f>IF(B2844="","",IF(B2844&lt;TIME(12,0,0),"Manhã",IF(B2844&lt;TIME(18,0,0),"Tarde","Noite")))</f>
        <v/>
      </c>
      <c r="P2844" s="32">
        <f>IF(G2844="","",IFERROR(INDEX(Config!$I$5:$I$16,MATCH(G2844,Config!$H$5:$H$16,0)),0))</f>
        <v/>
      </c>
      <c r="Q2844" s="30">
        <f>IF(OR(H2844&lt;&gt;"Realizado",P2844="",P2844=0),"",A2844+P2844)</f>
        <v/>
      </c>
      <c r="R2844" s="26">
        <f>IF(Q2844="","",IF(COUNTIFS($E$5:$E$3004,E2844,$A$5:$A$3004,"&gt;"&amp;A2844,$H$5:$H$3004,"&lt;&gt;Falta",$H$5:$H$3004,"&lt;&gt;Cancelado",$H$5:$H$3004,"&lt;&gt;Remarcado")&gt;0,"Sim","Não"))</f>
        <v/>
      </c>
      <c r="S2844" s="32">
        <f>IF(R2844&lt;&gt;"Não","",IF(Q2844+Config!$B$9&lt;=Config!$B$8,Config!$B$8-Q2844,""))</f>
        <v/>
      </c>
      <c r="T2844" s="26">
        <f>IF(S2844="","","Sim")</f>
        <v/>
      </c>
      <c r="U2844" s="41">
        <f>IF(T2844="Sim",S2844+ROW()/100000,0)</f>
        <v>0</v>
      </c>
      <c r="V2844" s="41">
        <f>IF(AND(H2844="Falta",L2844=Config!$B$7,M2844=Config!$B$5,COUNTIFS($E$5:E2844,E2844,$H$5:H2844,"Falta",$L$5:L2844,Config!$B$7,$M$5:M2844,Config!$B$5)=1),COUNTIFS($E$5:$E$3004,E2844,$H$5:$H$3004,"Falta",$L$5:$L$3004,Config!$B$7,$M$5:$M$3004,Config!$B$5)*1000-ROW()/100000,0)</f>
        <v>0</v>
      </c>
    </row>
    <row r="2845">
      <c r="A2845" s="39" t="n"/>
      <c r="B2845" s="40" t="n"/>
      <c r="C2845" s="35" t="n"/>
      <c r="D2845" s="35" t="n"/>
      <c r="E2845" s="34" t="n"/>
      <c r="F2845" s="35" t="n"/>
      <c r="G2845" s="35" t="n"/>
      <c r="H2845" s="35" t="n"/>
      <c r="I2845" s="35" t="n"/>
      <c r="J2845" s="35" t="n"/>
      <c r="K2845" s="34" t="n"/>
      <c r="L2845" s="26">
        <f>IF(A2845="","",MONTH(A2845))</f>
        <v/>
      </c>
      <c r="M2845" s="26">
        <f>IF(A2845="","",YEAR(A2845))</f>
        <v/>
      </c>
      <c r="N2845" s="26">
        <f>IF(A2845="","",CHOOSE(WEEKDAY(A2845,2),"Segunda","Terça","Quarta","Quinta","Sexta","Sábado","Domingo"))</f>
        <v/>
      </c>
      <c r="O2845" s="26">
        <f>IF(B2845="","",IF(B2845&lt;TIME(12,0,0),"Manhã",IF(B2845&lt;TIME(18,0,0),"Tarde","Noite")))</f>
        <v/>
      </c>
      <c r="P2845" s="32">
        <f>IF(G2845="","",IFERROR(INDEX(Config!$I$5:$I$16,MATCH(G2845,Config!$H$5:$H$16,0)),0))</f>
        <v/>
      </c>
      <c r="Q2845" s="30">
        <f>IF(OR(H2845&lt;&gt;"Realizado",P2845="",P2845=0),"",A2845+P2845)</f>
        <v/>
      </c>
      <c r="R2845" s="26">
        <f>IF(Q2845="","",IF(COUNTIFS($E$5:$E$3004,E2845,$A$5:$A$3004,"&gt;"&amp;A2845,$H$5:$H$3004,"&lt;&gt;Falta",$H$5:$H$3004,"&lt;&gt;Cancelado",$H$5:$H$3004,"&lt;&gt;Remarcado")&gt;0,"Sim","Não"))</f>
        <v/>
      </c>
      <c r="S2845" s="32">
        <f>IF(R2845&lt;&gt;"Não","",IF(Q2845+Config!$B$9&lt;=Config!$B$8,Config!$B$8-Q2845,""))</f>
        <v/>
      </c>
      <c r="T2845" s="26">
        <f>IF(S2845="","","Sim")</f>
        <v/>
      </c>
      <c r="U2845" s="41">
        <f>IF(T2845="Sim",S2845+ROW()/100000,0)</f>
        <v>0</v>
      </c>
      <c r="V2845" s="41">
        <f>IF(AND(H2845="Falta",L2845=Config!$B$7,M2845=Config!$B$5,COUNTIFS($E$5:E2845,E2845,$H$5:H2845,"Falta",$L$5:L2845,Config!$B$7,$M$5:M2845,Config!$B$5)=1),COUNTIFS($E$5:$E$3004,E2845,$H$5:$H$3004,"Falta",$L$5:$L$3004,Config!$B$7,$M$5:$M$3004,Config!$B$5)*1000-ROW()/100000,0)</f>
        <v>0</v>
      </c>
    </row>
    <row r="2846">
      <c r="A2846" s="39" t="n"/>
      <c r="B2846" s="40" t="n"/>
      <c r="C2846" s="35" t="n"/>
      <c r="D2846" s="35" t="n"/>
      <c r="E2846" s="34" t="n"/>
      <c r="F2846" s="35" t="n"/>
      <c r="G2846" s="35" t="n"/>
      <c r="H2846" s="35" t="n"/>
      <c r="I2846" s="35" t="n"/>
      <c r="J2846" s="35" t="n"/>
      <c r="K2846" s="34" t="n"/>
      <c r="L2846" s="26">
        <f>IF(A2846="","",MONTH(A2846))</f>
        <v/>
      </c>
      <c r="M2846" s="26">
        <f>IF(A2846="","",YEAR(A2846))</f>
        <v/>
      </c>
      <c r="N2846" s="26">
        <f>IF(A2846="","",CHOOSE(WEEKDAY(A2846,2),"Segunda","Terça","Quarta","Quinta","Sexta","Sábado","Domingo"))</f>
        <v/>
      </c>
      <c r="O2846" s="26">
        <f>IF(B2846="","",IF(B2846&lt;TIME(12,0,0),"Manhã",IF(B2846&lt;TIME(18,0,0),"Tarde","Noite")))</f>
        <v/>
      </c>
      <c r="P2846" s="32">
        <f>IF(G2846="","",IFERROR(INDEX(Config!$I$5:$I$16,MATCH(G2846,Config!$H$5:$H$16,0)),0))</f>
        <v/>
      </c>
      <c r="Q2846" s="30">
        <f>IF(OR(H2846&lt;&gt;"Realizado",P2846="",P2846=0),"",A2846+P2846)</f>
        <v/>
      </c>
      <c r="R2846" s="26">
        <f>IF(Q2846="","",IF(COUNTIFS($E$5:$E$3004,E2846,$A$5:$A$3004,"&gt;"&amp;A2846,$H$5:$H$3004,"&lt;&gt;Falta",$H$5:$H$3004,"&lt;&gt;Cancelado",$H$5:$H$3004,"&lt;&gt;Remarcado")&gt;0,"Sim","Não"))</f>
        <v/>
      </c>
      <c r="S2846" s="32">
        <f>IF(R2846&lt;&gt;"Não","",IF(Q2846+Config!$B$9&lt;=Config!$B$8,Config!$B$8-Q2846,""))</f>
        <v/>
      </c>
      <c r="T2846" s="26">
        <f>IF(S2846="","","Sim")</f>
        <v/>
      </c>
      <c r="U2846" s="41">
        <f>IF(T2846="Sim",S2846+ROW()/100000,0)</f>
        <v>0</v>
      </c>
      <c r="V2846" s="41">
        <f>IF(AND(H2846="Falta",L2846=Config!$B$7,M2846=Config!$B$5,COUNTIFS($E$5:E2846,E2846,$H$5:H2846,"Falta",$L$5:L2846,Config!$B$7,$M$5:M2846,Config!$B$5)=1),COUNTIFS($E$5:$E$3004,E2846,$H$5:$H$3004,"Falta",$L$5:$L$3004,Config!$B$7,$M$5:$M$3004,Config!$B$5)*1000-ROW()/100000,0)</f>
        <v>0</v>
      </c>
    </row>
    <row r="2847">
      <c r="A2847" s="39" t="n"/>
      <c r="B2847" s="40" t="n"/>
      <c r="C2847" s="35" t="n"/>
      <c r="D2847" s="35" t="n"/>
      <c r="E2847" s="34" t="n"/>
      <c r="F2847" s="35" t="n"/>
      <c r="G2847" s="35" t="n"/>
      <c r="H2847" s="35" t="n"/>
      <c r="I2847" s="35" t="n"/>
      <c r="J2847" s="35" t="n"/>
      <c r="K2847" s="34" t="n"/>
      <c r="L2847" s="26">
        <f>IF(A2847="","",MONTH(A2847))</f>
        <v/>
      </c>
      <c r="M2847" s="26">
        <f>IF(A2847="","",YEAR(A2847))</f>
        <v/>
      </c>
      <c r="N2847" s="26">
        <f>IF(A2847="","",CHOOSE(WEEKDAY(A2847,2),"Segunda","Terça","Quarta","Quinta","Sexta","Sábado","Domingo"))</f>
        <v/>
      </c>
      <c r="O2847" s="26">
        <f>IF(B2847="","",IF(B2847&lt;TIME(12,0,0),"Manhã",IF(B2847&lt;TIME(18,0,0),"Tarde","Noite")))</f>
        <v/>
      </c>
      <c r="P2847" s="32">
        <f>IF(G2847="","",IFERROR(INDEX(Config!$I$5:$I$16,MATCH(G2847,Config!$H$5:$H$16,0)),0))</f>
        <v/>
      </c>
      <c r="Q2847" s="30">
        <f>IF(OR(H2847&lt;&gt;"Realizado",P2847="",P2847=0),"",A2847+P2847)</f>
        <v/>
      </c>
      <c r="R2847" s="26">
        <f>IF(Q2847="","",IF(COUNTIFS($E$5:$E$3004,E2847,$A$5:$A$3004,"&gt;"&amp;A2847,$H$5:$H$3004,"&lt;&gt;Falta",$H$5:$H$3004,"&lt;&gt;Cancelado",$H$5:$H$3004,"&lt;&gt;Remarcado")&gt;0,"Sim","Não"))</f>
        <v/>
      </c>
      <c r="S2847" s="32">
        <f>IF(R2847&lt;&gt;"Não","",IF(Q2847+Config!$B$9&lt;=Config!$B$8,Config!$B$8-Q2847,""))</f>
        <v/>
      </c>
      <c r="T2847" s="26">
        <f>IF(S2847="","","Sim")</f>
        <v/>
      </c>
      <c r="U2847" s="41">
        <f>IF(T2847="Sim",S2847+ROW()/100000,0)</f>
        <v>0</v>
      </c>
      <c r="V2847" s="41">
        <f>IF(AND(H2847="Falta",L2847=Config!$B$7,M2847=Config!$B$5,COUNTIFS($E$5:E2847,E2847,$H$5:H2847,"Falta",$L$5:L2847,Config!$B$7,$M$5:M2847,Config!$B$5)=1),COUNTIFS($E$5:$E$3004,E2847,$H$5:$H$3004,"Falta",$L$5:$L$3004,Config!$B$7,$M$5:$M$3004,Config!$B$5)*1000-ROW()/100000,0)</f>
        <v>0</v>
      </c>
    </row>
    <row r="2848">
      <c r="A2848" s="39" t="n"/>
      <c r="B2848" s="40" t="n"/>
      <c r="C2848" s="35" t="n"/>
      <c r="D2848" s="35" t="n"/>
      <c r="E2848" s="34" t="n"/>
      <c r="F2848" s="35" t="n"/>
      <c r="G2848" s="35" t="n"/>
      <c r="H2848" s="35" t="n"/>
      <c r="I2848" s="35" t="n"/>
      <c r="J2848" s="35" t="n"/>
      <c r="K2848" s="34" t="n"/>
      <c r="L2848" s="26">
        <f>IF(A2848="","",MONTH(A2848))</f>
        <v/>
      </c>
      <c r="M2848" s="26">
        <f>IF(A2848="","",YEAR(A2848))</f>
        <v/>
      </c>
      <c r="N2848" s="26">
        <f>IF(A2848="","",CHOOSE(WEEKDAY(A2848,2),"Segunda","Terça","Quarta","Quinta","Sexta","Sábado","Domingo"))</f>
        <v/>
      </c>
      <c r="O2848" s="26">
        <f>IF(B2848="","",IF(B2848&lt;TIME(12,0,0),"Manhã",IF(B2848&lt;TIME(18,0,0),"Tarde","Noite")))</f>
        <v/>
      </c>
      <c r="P2848" s="32">
        <f>IF(G2848="","",IFERROR(INDEX(Config!$I$5:$I$16,MATCH(G2848,Config!$H$5:$H$16,0)),0))</f>
        <v/>
      </c>
      <c r="Q2848" s="30">
        <f>IF(OR(H2848&lt;&gt;"Realizado",P2848="",P2848=0),"",A2848+P2848)</f>
        <v/>
      </c>
      <c r="R2848" s="26">
        <f>IF(Q2848="","",IF(COUNTIFS($E$5:$E$3004,E2848,$A$5:$A$3004,"&gt;"&amp;A2848,$H$5:$H$3004,"&lt;&gt;Falta",$H$5:$H$3004,"&lt;&gt;Cancelado",$H$5:$H$3004,"&lt;&gt;Remarcado")&gt;0,"Sim","Não"))</f>
        <v/>
      </c>
      <c r="S2848" s="32">
        <f>IF(R2848&lt;&gt;"Não","",IF(Q2848+Config!$B$9&lt;=Config!$B$8,Config!$B$8-Q2848,""))</f>
        <v/>
      </c>
      <c r="T2848" s="26">
        <f>IF(S2848="","","Sim")</f>
        <v/>
      </c>
      <c r="U2848" s="41">
        <f>IF(T2848="Sim",S2848+ROW()/100000,0)</f>
        <v>0</v>
      </c>
      <c r="V2848" s="41">
        <f>IF(AND(H2848="Falta",L2848=Config!$B$7,M2848=Config!$B$5,COUNTIFS($E$5:E2848,E2848,$H$5:H2848,"Falta",$L$5:L2848,Config!$B$7,$M$5:M2848,Config!$B$5)=1),COUNTIFS($E$5:$E$3004,E2848,$H$5:$H$3004,"Falta",$L$5:$L$3004,Config!$B$7,$M$5:$M$3004,Config!$B$5)*1000-ROW()/100000,0)</f>
        <v>0</v>
      </c>
    </row>
    <row r="2849">
      <c r="A2849" s="39" t="n"/>
      <c r="B2849" s="40" t="n"/>
      <c r="C2849" s="35" t="n"/>
      <c r="D2849" s="35" t="n"/>
      <c r="E2849" s="34" t="n"/>
      <c r="F2849" s="35" t="n"/>
      <c r="G2849" s="35" t="n"/>
      <c r="H2849" s="35" t="n"/>
      <c r="I2849" s="35" t="n"/>
      <c r="J2849" s="35" t="n"/>
      <c r="K2849" s="34" t="n"/>
      <c r="L2849" s="26">
        <f>IF(A2849="","",MONTH(A2849))</f>
        <v/>
      </c>
      <c r="M2849" s="26">
        <f>IF(A2849="","",YEAR(A2849))</f>
        <v/>
      </c>
      <c r="N2849" s="26">
        <f>IF(A2849="","",CHOOSE(WEEKDAY(A2849,2),"Segunda","Terça","Quarta","Quinta","Sexta","Sábado","Domingo"))</f>
        <v/>
      </c>
      <c r="O2849" s="26">
        <f>IF(B2849="","",IF(B2849&lt;TIME(12,0,0),"Manhã",IF(B2849&lt;TIME(18,0,0),"Tarde","Noite")))</f>
        <v/>
      </c>
      <c r="P2849" s="32">
        <f>IF(G2849="","",IFERROR(INDEX(Config!$I$5:$I$16,MATCH(G2849,Config!$H$5:$H$16,0)),0))</f>
        <v/>
      </c>
      <c r="Q2849" s="30">
        <f>IF(OR(H2849&lt;&gt;"Realizado",P2849="",P2849=0),"",A2849+P2849)</f>
        <v/>
      </c>
      <c r="R2849" s="26">
        <f>IF(Q2849="","",IF(COUNTIFS($E$5:$E$3004,E2849,$A$5:$A$3004,"&gt;"&amp;A2849,$H$5:$H$3004,"&lt;&gt;Falta",$H$5:$H$3004,"&lt;&gt;Cancelado",$H$5:$H$3004,"&lt;&gt;Remarcado")&gt;0,"Sim","Não"))</f>
        <v/>
      </c>
      <c r="S2849" s="32">
        <f>IF(R2849&lt;&gt;"Não","",IF(Q2849+Config!$B$9&lt;=Config!$B$8,Config!$B$8-Q2849,""))</f>
        <v/>
      </c>
      <c r="T2849" s="26">
        <f>IF(S2849="","","Sim")</f>
        <v/>
      </c>
      <c r="U2849" s="41">
        <f>IF(T2849="Sim",S2849+ROW()/100000,0)</f>
        <v>0</v>
      </c>
      <c r="V2849" s="41">
        <f>IF(AND(H2849="Falta",L2849=Config!$B$7,M2849=Config!$B$5,COUNTIFS($E$5:E2849,E2849,$H$5:H2849,"Falta",$L$5:L2849,Config!$B$7,$M$5:M2849,Config!$B$5)=1),COUNTIFS($E$5:$E$3004,E2849,$H$5:$H$3004,"Falta",$L$5:$L$3004,Config!$B$7,$M$5:$M$3004,Config!$B$5)*1000-ROW()/100000,0)</f>
        <v>0</v>
      </c>
    </row>
    <row r="2850">
      <c r="A2850" s="39" t="n"/>
      <c r="B2850" s="40" t="n"/>
      <c r="C2850" s="35" t="n"/>
      <c r="D2850" s="35" t="n"/>
      <c r="E2850" s="34" t="n"/>
      <c r="F2850" s="35" t="n"/>
      <c r="G2850" s="35" t="n"/>
      <c r="H2850" s="35" t="n"/>
      <c r="I2850" s="35" t="n"/>
      <c r="J2850" s="35" t="n"/>
      <c r="K2850" s="34" t="n"/>
      <c r="L2850" s="26">
        <f>IF(A2850="","",MONTH(A2850))</f>
        <v/>
      </c>
      <c r="M2850" s="26">
        <f>IF(A2850="","",YEAR(A2850))</f>
        <v/>
      </c>
      <c r="N2850" s="26">
        <f>IF(A2850="","",CHOOSE(WEEKDAY(A2850,2),"Segunda","Terça","Quarta","Quinta","Sexta","Sábado","Domingo"))</f>
        <v/>
      </c>
      <c r="O2850" s="26">
        <f>IF(B2850="","",IF(B2850&lt;TIME(12,0,0),"Manhã",IF(B2850&lt;TIME(18,0,0),"Tarde","Noite")))</f>
        <v/>
      </c>
      <c r="P2850" s="32">
        <f>IF(G2850="","",IFERROR(INDEX(Config!$I$5:$I$16,MATCH(G2850,Config!$H$5:$H$16,0)),0))</f>
        <v/>
      </c>
      <c r="Q2850" s="30">
        <f>IF(OR(H2850&lt;&gt;"Realizado",P2850="",P2850=0),"",A2850+P2850)</f>
        <v/>
      </c>
      <c r="R2850" s="26">
        <f>IF(Q2850="","",IF(COUNTIFS($E$5:$E$3004,E2850,$A$5:$A$3004,"&gt;"&amp;A2850,$H$5:$H$3004,"&lt;&gt;Falta",$H$5:$H$3004,"&lt;&gt;Cancelado",$H$5:$H$3004,"&lt;&gt;Remarcado")&gt;0,"Sim","Não"))</f>
        <v/>
      </c>
      <c r="S2850" s="32">
        <f>IF(R2850&lt;&gt;"Não","",IF(Q2850+Config!$B$9&lt;=Config!$B$8,Config!$B$8-Q2850,""))</f>
        <v/>
      </c>
      <c r="T2850" s="26">
        <f>IF(S2850="","","Sim")</f>
        <v/>
      </c>
      <c r="U2850" s="41">
        <f>IF(T2850="Sim",S2850+ROW()/100000,0)</f>
        <v>0</v>
      </c>
      <c r="V2850" s="41">
        <f>IF(AND(H2850="Falta",L2850=Config!$B$7,M2850=Config!$B$5,COUNTIFS($E$5:E2850,E2850,$H$5:H2850,"Falta",$L$5:L2850,Config!$B$7,$M$5:M2850,Config!$B$5)=1),COUNTIFS($E$5:$E$3004,E2850,$H$5:$H$3004,"Falta",$L$5:$L$3004,Config!$B$7,$M$5:$M$3004,Config!$B$5)*1000-ROW()/100000,0)</f>
        <v>0</v>
      </c>
    </row>
    <row r="2851">
      <c r="A2851" s="39" t="n"/>
      <c r="B2851" s="40" t="n"/>
      <c r="C2851" s="35" t="n"/>
      <c r="D2851" s="35" t="n"/>
      <c r="E2851" s="34" t="n"/>
      <c r="F2851" s="35" t="n"/>
      <c r="G2851" s="35" t="n"/>
      <c r="H2851" s="35" t="n"/>
      <c r="I2851" s="35" t="n"/>
      <c r="J2851" s="35" t="n"/>
      <c r="K2851" s="34" t="n"/>
      <c r="L2851" s="26">
        <f>IF(A2851="","",MONTH(A2851))</f>
        <v/>
      </c>
      <c r="M2851" s="26">
        <f>IF(A2851="","",YEAR(A2851))</f>
        <v/>
      </c>
      <c r="N2851" s="26">
        <f>IF(A2851="","",CHOOSE(WEEKDAY(A2851,2),"Segunda","Terça","Quarta","Quinta","Sexta","Sábado","Domingo"))</f>
        <v/>
      </c>
      <c r="O2851" s="26">
        <f>IF(B2851="","",IF(B2851&lt;TIME(12,0,0),"Manhã",IF(B2851&lt;TIME(18,0,0),"Tarde","Noite")))</f>
        <v/>
      </c>
      <c r="P2851" s="32">
        <f>IF(G2851="","",IFERROR(INDEX(Config!$I$5:$I$16,MATCH(G2851,Config!$H$5:$H$16,0)),0))</f>
        <v/>
      </c>
      <c r="Q2851" s="30">
        <f>IF(OR(H2851&lt;&gt;"Realizado",P2851="",P2851=0),"",A2851+P2851)</f>
        <v/>
      </c>
      <c r="R2851" s="26">
        <f>IF(Q2851="","",IF(COUNTIFS($E$5:$E$3004,E2851,$A$5:$A$3004,"&gt;"&amp;A2851,$H$5:$H$3004,"&lt;&gt;Falta",$H$5:$H$3004,"&lt;&gt;Cancelado",$H$5:$H$3004,"&lt;&gt;Remarcado")&gt;0,"Sim","Não"))</f>
        <v/>
      </c>
      <c r="S2851" s="32">
        <f>IF(R2851&lt;&gt;"Não","",IF(Q2851+Config!$B$9&lt;=Config!$B$8,Config!$B$8-Q2851,""))</f>
        <v/>
      </c>
      <c r="T2851" s="26">
        <f>IF(S2851="","","Sim")</f>
        <v/>
      </c>
      <c r="U2851" s="41">
        <f>IF(T2851="Sim",S2851+ROW()/100000,0)</f>
        <v>0</v>
      </c>
      <c r="V2851" s="41">
        <f>IF(AND(H2851="Falta",L2851=Config!$B$7,M2851=Config!$B$5,COUNTIFS($E$5:E2851,E2851,$H$5:H2851,"Falta",$L$5:L2851,Config!$B$7,$M$5:M2851,Config!$B$5)=1),COUNTIFS($E$5:$E$3004,E2851,$H$5:$H$3004,"Falta",$L$5:$L$3004,Config!$B$7,$M$5:$M$3004,Config!$B$5)*1000-ROW()/100000,0)</f>
        <v>0</v>
      </c>
    </row>
    <row r="2852">
      <c r="A2852" s="39" t="n"/>
      <c r="B2852" s="40" t="n"/>
      <c r="C2852" s="35" t="n"/>
      <c r="D2852" s="35" t="n"/>
      <c r="E2852" s="34" t="n"/>
      <c r="F2852" s="35" t="n"/>
      <c r="G2852" s="35" t="n"/>
      <c r="H2852" s="35" t="n"/>
      <c r="I2852" s="35" t="n"/>
      <c r="J2852" s="35" t="n"/>
      <c r="K2852" s="34" t="n"/>
      <c r="L2852" s="26">
        <f>IF(A2852="","",MONTH(A2852))</f>
        <v/>
      </c>
      <c r="M2852" s="26">
        <f>IF(A2852="","",YEAR(A2852))</f>
        <v/>
      </c>
      <c r="N2852" s="26">
        <f>IF(A2852="","",CHOOSE(WEEKDAY(A2852,2),"Segunda","Terça","Quarta","Quinta","Sexta","Sábado","Domingo"))</f>
        <v/>
      </c>
      <c r="O2852" s="26">
        <f>IF(B2852="","",IF(B2852&lt;TIME(12,0,0),"Manhã",IF(B2852&lt;TIME(18,0,0),"Tarde","Noite")))</f>
        <v/>
      </c>
      <c r="P2852" s="32">
        <f>IF(G2852="","",IFERROR(INDEX(Config!$I$5:$I$16,MATCH(G2852,Config!$H$5:$H$16,0)),0))</f>
        <v/>
      </c>
      <c r="Q2852" s="30">
        <f>IF(OR(H2852&lt;&gt;"Realizado",P2852="",P2852=0),"",A2852+P2852)</f>
        <v/>
      </c>
      <c r="R2852" s="26">
        <f>IF(Q2852="","",IF(COUNTIFS($E$5:$E$3004,E2852,$A$5:$A$3004,"&gt;"&amp;A2852,$H$5:$H$3004,"&lt;&gt;Falta",$H$5:$H$3004,"&lt;&gt;Cancelado",$H$5:$H$3004,"&lt;&gt;Remarcado")&gt;0,"Sim","Não"))</f>
        <v/>
      </c>
      <c r="S2852" s="32">
        <f>IF(R2852&lt;&gt;"Não","",IF(Q2852+Config!$B$9&lt;=Config!$B$8,Config!$B$8-Q2852,""))</f>
        <v/>
      </c>
      <c r="T2852" s="26">
        <f>IF(S2852="","","Sim")</f>
        <v/>
      </c>
      <c r="U2852" s="41">
        <f>IF(T2852="Sim",S2852+ROW()/100000,0)</f>
        <v>0</v>
      </c>
      <c r="V2852" s="41">
        <f>IF(AND(H2852="Falta",L2852=Config!$B$7,M2852=Config!$B$5,COUNTIFS($E$5:E2852,E2852,$H$5:H2852,"Falta",$L$5:L2852,Config!$B$7,$M$5:M2852,Config!$B$5)=1),COUNTIFS($E$5:$E$3004,E2852,$H$5:$H$3004,"Falta",$L$5:$L$3004,Config!$B$7,$M$5:$M$3004,Config!$B$5)*1000-ROW()/100000,0)</f>
        <v>0</v>
      </c>
    </row>
    <row r="2853">
      <c r="A2853" s="39" t="n"/>
      <c r="B2853" s="40" t="n"/>
      <c r="C2853" s="35" t="n"/>
      <c r="D2853" s="35" t="n"/>
      <c r="E2853" s="34" t="n"/>
      <c r="F2853" s="35" t="n"/>
      <c r="G2853" s="35" t="n"/>
      <c r="H2853" s="35" t="n"/>
      <c r="I2853" s="35" t="n"/>
      <c r="J2853" s="35" t="n"/>
      <c r="K2853" s="34" t="n"/>
      <c r="L2853" s="26">
        <f>IF(A2853="","",MONTH(A2853))</f>
        <v/>
      </c>
      <c r="M2853" s="26">
        <f>IF(A2853="","",YEAR(A2853))</f>
        <v/>
      </c>
      <c r="N2853" s="26">
        <f>IF(A2853="","",CHOOSE(WEEKDAY(A2853,2),"Segunda","Terça","Quarta","Quinta","Sexta","Sábado","Domingo"))</f>
        <v/>
      </c>
      <c r="O2853" s="26">
        <f>IF(B2853="","",IF(B2853&lt;TIME(12,0,0),"Manhã",IF(B2853&lt;TIME(18,0,0),"Tarde","Noite")))</f>
        <v/>
      </c>
      <c r="P2853" s="32">
        <f>IF(G2853="","",IFERROR(INDEX(Config!$I$5:$I$16,MATCH(G2853,Config!$H$5:$H$16,0)),0))</f>
        <v/>
      </c>
      <c r="Q2853" s="30">
        <f>IF(OR(H2853&lt;&gt;"Realizado",P2853="",P2853=0),"",A2853+P2853)</f>
        <v/>
      </c>
      <c r="R2853" s="26">
        <f>IF(Q2853="","",IF(COUNTIFS($E$5:$E$3004,E2853,$A$5:$A$3004,"&gt;"&amp;A2853,$H$5:$H$3004,"&lt;&gt;Falta",$H$5:$H$3004,"&lt;&gt;Cancelado",$H$5:$H$3004,"&lt;&gt;Remarcado")&gt;0,"Sim","Não"))</f>
        <v/>
      </c>
      <c r="S2853" s="32">
        <f>IF(R2853&lt;&gt;"Não","",IF(Q2853+Config!$B$9&lt;=Config!$B$8,Config!$B$8-Q2853,""))</f>
        <v/>
      </c>
      <c r="T2853" s="26">
        <f>IF(S2853="","","Sim")</f>
        <v/>
      </c>
      <c r="U2853" s="41">
        <f>IF(T2853="Sim",S2853+ROW()/100000,0)</f>
        <v>0</v>
      </c>
      <c r="V2853" s="41">
        <f>IF(AND(H2853="Falta",L2853=Config!$B$7,M2853=Config!$B$5,COUNTIFS($E$5:E2853,E2853,$H$5:H2853,"Falta",$L$5:L2853,Config!$B$7,$M$5:M2853,Config!$B$5)=1),COUNTIFS($E$5:$E$3004,E2853,$H$5:$H$3004,"Falta",$L$5:$L$3004,Config!$B$7,$M$5:$M$3004,Config!$B$5)*1000-ROW()/100000,0)</f>
        <v>0</v>
      </c>
    </row>
    <row r="2854">
      <c r="A2854" s="39" t="n"/>
      <c r="B2854" s="40" t="n"/>
      <c r="C2854" s="35" t="n"/>
      <c r="D2854" s="35" t="n"/>
      <c r="E2854" s="34" t="n"/>
      <c r="F2854" s="35" t="n"/>
      <c r="G2854" s="35" t="n"/>
      <c r="H2854" s="35" t="n"/>
      <c r="I2854" s="35" t="n"/>
      <c r="J2854" s="35" t="n"/>
      <c r="K2854" s="34" t="n"/>
      <c r="L2854" s="26">
        <f>IF(A2854="","",MONTH(A2854))</f>
        <v/>
      </c>
      <c r="M2854" s="26">
        <f>IF(A2854="","",YEAR(A2854))</f>
        <v/>
      </c>
      <c r="N2854" s="26">
        <f>IF(A2854="","",CHOOSE(WEEKDAY(A2854,2),"Segunda","Terça","Quarta","Quinta","Sexta","Sábado","Domingo"))</f>
        <v/>
      </c>
      <c r="O2854" s="26">
        <f>IF(B2854="","",IF(B2854&lt;TIME(12,0,0),"Manhã",IF(B2854&lt;TIME(18,0,0),"Tarde","Noite")))</f>
        <v/>
      </c>
      <c r="P2854" s="32">
        <f>IF(G2854="","",IFERROR(INDEX(Config!$I$5:$I$16,MATCH(G2854,Config!$H$5:$H$16,0)),0))</f>
        <v/>
      </c>
      <c r="Q2854" s="30">
        <f>IF(OR(H2854&lt;&gt;"Realizado",P2854="",P2854=0),"",A2854+P2854)</f>
        <v/>
      </c>
      <c r="R2854" s="26">
        <f>IF(Q2854="","",IF(COUNTIFS($E$5:$E$3004,E2854,$A$5:$A$3004,"&gt;"&amp;A2854,$H$5:$H$3004,"&lt;&gt;Falta",$H$5:$H$3004,"&lt;&gt;Cancelado",$H$5:$H$3004,"&lt;&gt;Remarcado")&gt;0,"Sim","Não"))</f>
        <v/>
      </c>
      <c r="S2854" s="32">
        <f>IF(R2854&lt;&gt;"Não","",IF(Q2854+Config!$B$9&lt;=Config!$B$8,Config!$B$8-Q2854,""))</f>
        <v/>
      </c>
      <c r="T2854" s="26">
        <f>IF(S2854="","","Sim")</f>
        <v/>
      </c>
      <c r="U2854" s="41">
        <f>IF(T2854="Sim",S2854+ROW()/100000,0)</f>
        <v>0</v>
      </c>
      <c r="V2854" s="41">
        <f>IF(AND(H2854="Falta",L2854=Config!$B$7,M2854=Config!$B$5,COUNTIFS($E$5:E2854,E2854,$H$5:H2854,"Falta",$L$5:L2854,Config!$B$7,$M$5:M2854,Config!$B$5)=1),COUNTIFS($E$5:$E$3004,E2854,$H$5:$H$3004,"Falta",$L$5:$L$3004,Config!$B$7,$M$5:$M$3004,Config!$B$5)*1000-ROW()/100000,0)</f>
        <v>0</v>
      </c>
    </row>
    <row r="2855">
      <c r="A2855" s="39" t="n"/>
      <c r="B2855" s="40" t="n"/>
      <c r="C2855" s="35" t="n"/>
      <c r="D2855" s="35" t="n"/>
      <c r="E2855" s="34" t="n"/>
      <c r="F2855" s="35" t="n"/>
      <c r="G2855" s="35" t="n"/>
      <c r="H2855" s="35" t="n"/>
      <c r="I2855" s="35" t="n"/>
      <c r="J2855" s="35" t="n"/>
      <c r="K2855" s="34" t="n"/>
      <c r="L2855" s="26">
        <f>IF(A2855="","",MONTH(A2855))</f>
        <v/>
      </c>
      <c r="M2855" s="26">
        <f>IF(A2855="","",YEAR(A2855))</f>
        <v/>
      </c>
      <c r="N2855" s="26">
        <f>IF(A2855="","",CHOOSE(WEEKDAY(A2855,2),"Segunda","Terça","Quarta","Quinta","Sexta","Sábado","Domingo"))</f>
        <v/>
      </c>
      <c r="O2855" s="26">
        <f>IF(B2855="","",IF(B2855&lt;TIME(12,0,0),"Manhã",IF(B2855&lt;TIME(18,0,0),"Tarde","Noite")))</f>
        <v/>
      </c>
      <c r="P2855" s="32">
        <f>IF(G2855="","",IFERROR(INDEX(Config!$I$5:$I$16,MATCH(G2855,Config!$H$5:$H$16,0)),0))</f>
        <v/>
      </c>
      <c r="Q2855" s="30">
        <f>IF(OR(H2855&lt;&gt;"Realizado",P2855="",P2855=0),"",A2855+P2855)</f>
        <v/>
      </c>
      <c r="R2855" s="26">
        <f>IF(Q2855="","",IF(COUNTIFS($E$5:$E$3004,E2855,$A$5:$A$3004,"&gt;"&amp;A2855,$H$5:$H$3004,"&lt;&gt;Falta",$H$5:$H$3004,"&lt;&gt;Cancelado",$H$5:$H$3004,"&lt;&gt;Remarcado")&gt;0,"Sim","Não"))</f>
        <v/>
      </c>
      <c r="S2855" s="32">
        <f>IF(R2855&lt;&gt;"Não","",IF(Q2855+Config!$B$9&lt;=Config!$B$8,Config!$B$8-Q2855,""))</f>
        <v/>
      </c>
      <c r="T2855" s="26">
        <f>IF(S2855="","","Sim")</f>
        <v/>
      </c>
      <c r="U2855" s="41">
        <f>IF(T2855="Sim",S2855+ROW()/100000,0)</f>
        <v>0</v>
      </c>
      <c r="V2855" s="41">
        <f>IF(AND(H2855="Falta",L2855=Config!$B$7,M2855=Config!$B$5,COUNTIFS($E$5:E2855,E2855,$H$5:H2855,"Falta",$L$5:L2855,Config!$B$7,$M$5:M2855,Config!$B$5)=1),COUNTIFS($E$5:$E$3004,E2855,$H$5:$H$3004,"Falta",$L$5:$L$3004,Config!$B$7,$M$5:$M$3004,Config!$B$5)*1000-ROW()/100000,0)</f>
        <v>0</v>
      </c>
    </row>
    <row r="2856">
      <c r="A2856" s="39" t="n"/>
      <c r="B2856" s="40" t="n"/>
      <c r="C2856" s="35" t="n"/>
      <c r="D2856" s="35" t="n"/>
      <c r="E2856" s="34" t="n"/>
      <c r="F2856" s="35" t="n"/>
      <c r="G2856" s="35" t="n"/>
      <c r="H2856" s="35" t="n"/>
      <c r="I2856" s="35" t="n"/>
      <c r="J2856" s="35" t="n"/>
      <c r="K2856" s="34" t="n"/>
      <c r="L2856" s="26">
        <f>IF(A2856="","",MONTH(A2856))</f>
        <v/>
      </c>
      <c r="M2856" s="26">
        <f>IF(A2856="","",YEAR(A2856))</f>
        <v/>
      </c>
      <c r="N2856" s="26">
        <f>IF(A2856="","",CHOOSE(WEEKDAY(A2856,2),"Segunda","Terça","Quarta","Quinta","Sexta","Sábado","Domingo"))</f>
        <v/>
      </c>
      <c r="O2856" s="26">
        <f>IF(B2856="","",IF(B2856&lt;TIME(12,0,0),"Manhã",IF(B2856&lt;TIME(18,0,0),"Tarde","Noite")))</f>
        <v/>
      </c>
      <c r="P2856" s="32">
        <f>IF(G2856="","",IFERROR(INDEX(Config!$I$5:$I$16,MATCH(G2856,Config!$H$5:$H$16,0)),0))</f>
        <v/>
      </c>
      <c r="Q2856" s="30">
        <f>IF(OR(H2856&lt;&gt;"Realizado",P2856="",P2856=0),"",A2856+P2856)</f>
        <v/>
      </c>
      <c r="R2856" s="26">
        <f>IF(Q2856="","",IF(COUNTIFS($E$5:$E$3004,E2856,$A$5:$A$3004,"&gt;"&amp;A2856,$H$5:$H$3004,"&lt;&gt;Falta",$H$5:$H$3004,"&lt;&gt;Cancelado",$H$5:$H$3004,"&lt;&gt;Remarcado")&gt;0,"Sim","Não"))</f>
        <v/>
      </c>
      <c r="S2856" s="32">
        <f>IF(R2856&lt;&gt;"Não","",IF(Q2856+Config!$B$9&lt;=Config!$B$8,Config!$B$8-Q2856,""))</f>
        <v/>
      </c>
      <c r="T2856" s="26">
        <f>IF(S2856="","","Sim")</f>
        <v/>
      </c>
      <c r="U2856" s="41">
        <f>IF(T2856="Sim",S2856+ROW()/100000,0)</f>
        <v>0</v>
      </c>
      <c r="V2856" s="41">
        <f>IF(AND(H2856="Falta",L2856=Config!$B$7,M2856=Config!$B$5,COUNTIFS($E$5:E2856,E2856,$H$5:H2856,"Falta",$L$5:L2856,Config!$B$7,$M$5:M2856,Config!$B$5)=1),COUNTIFS($E$5:$E$3004,E2856,$H$5:$H$3004,"Falta",$L$5:$L$3004,Config!$B$7,$M$5:$M$3004,Config!$B$5)*1000-ROW()/100000,0)</f>
        <v>0</v>
      </c>
    </row>
    <row r="2857">
      <c r="A2857" s="39" t="n"/>
      <c r="B2857" s="40" t="n"/>
      <c r="C2857" s="35" t="n"/>
      <c r="D2857" s="35" t="n"/>
      <c r="E2857" s="34" t="n"/>
      <c r="F2857" s="35" t="n"/>
      <c r="G2857" s="35" t="n"/>
      <c r="H2857" s="35" t="n"/>
      <c r="I2857" s="35" t="n"/>
      <c r="J2857" s="35" t="n"/>
      <c r="K2857" s="34" t="n"/>
      <c r="L2857" s="26">
        <f>IF(A2857="","",MONTH(A2857))</f>
        <v/>
      </c>
      <c r="M2857" s="26">
        <f>IF(A2857="","",YEAR(A2857))</f>
        <v/>
      </c>
      <c r="N2857" s="26">
        <f>IF(A2857="","",CHOOSE(WEEKDAY(A2857,2),"Segunda","Terça","Quarta","Quinta","Sexta","Sábado","Domingo"))</f>
        <v/>
      </c>
      <c r="O2857" s="26">
        <f>IF(B2857="","",IF(B2857&lt;TIME(12,0,0),"Manhã",IF(B2857&lt;TIME(18,0,0),"Tarde","Noite")))</f>
        <v/>
      </c>
      <c r="P2857" s="32">
        <f>IF(G2857="","",IFERROR(INDEX(Config!$I$5:$I$16,MATCH(G2857,Config!$H$5:$H$16,0)),0))</f>
        <v/>
      </c>
      <c r="Q2857" s="30">
        <f>IF(OR(H2857&lt;&gt;"Realizado",P2857="",P2857=0),"",A2857+P2857)</f>
        <v/>
      </c>
      <c r="R2857" s="26">
        <f>IF(Q2857="","",IF(COUNTIFS($E$5:$E$3004,E2857,$A$5:$A$3004,"&gt;"&amp;A2857,$H$5:$H$3004,"&lt;&gt;Falta",$H$5:$H$3004,"&lt;&gt;Cancelado",$H$5:$H$3004,"&lt;&gt;Remarcado")&gt;0,"Sim","Não"))</f>
        <v/>
      </c>
      <c r="S2857" s="32">
        <f>IF(R2857&lt;&gt;"Não","",IF(Q2857+Config!$B$9&lt;=Config!$B$8,Config!$B$8-Q2857,""))</f>
        <v/>
      </c>
      <c r="T2857" s="26">
        <f>IF(S2857="","","Sim")</f>
        <v/>
      </c>
      <c r="U2857" s="41">
        <f>IF(T2857="Sim",S2857+ROW()/100000,0)</f>
        <v>0</v>
      </c>
      <c r="V2857" s="41">
        <f>IF(AND(H2857="Falta",L2857=Config!$B$7,M2857=Config!$B$5,COUNTIFS($E$5:E2857,E2857,$H$5:H2857,"Falta",$L$5:L2857,Config!$B$7,$M$5:M2857,Config!$B$5)=1),COUNTIFS($E$5:$E$3004,E2857,$H$5:$H$3004,"Falta",$L$5:$L$3004,Config!$B$7,$M$5:$M$3004,Config!$B$5)*1000-ROW()/100000,0)</f>
        <v>0</v>
      </c>
    </row>
    <row r="2858">
      <c r="A2858" s="39" t="n"/>
      <c r="B2858" s="40" t="n"/>
      <c r="C2858" s="35" t="n"/>
      <c r="D2858" s="35" t="n"/>
      <c r="E2858" s="34" t="n"/>
      <c r="F2858" s="35" t="n"/>
      <c r="G2858" s="35" t="n"/>
      <c r="H2858" s="35" t="n"/>
      <c r="I2858" s="35" t="n"/>
      <c r="J2858" s="35" t="n"/>
      <c r="K2858" s="34" t="n"/>
      <c r="L2858" s="26">
        <f>IF(A2858="","",MONTH(A2858))</f>
        <v/>
      </c>
      <c r="M2858" s="26">
        <f>IF(A2858="","",YEAR(A2858))</f>
        <v/>
      </c>
      <c r="N2858" s="26">
        <f>IF(A2858="","",CHOOSE(WEEKDAY(A2858,2),"Segunda","Terça","Quarta","Quinta","Sexta","Sábado","Domingo"))</f>
        <v/>
      </c>
      <c r="O2858" s="26">
        <f>IF(B2858="","",IF(B2858&lt;TIME(12,0,0),"Manhã",IF(B2858&lt;TIME(18,0,0),"Tarde","Noite")))</f>
        <v/>
      </c>
      <c r="P2858" s="32">
        <f>IF(G2858="","",IFERROR(INDEX(Config!$I$5:$I$16,MATCH(G2858,Config!$H$5:$H$16,0)),0))</f>
        <v/>
      </c>
      <c r="Q2858" s="30">
        <f>IF(OR(H2858&lt;&gt;"Realizado",P2858="",P2858=0),"",A2858+P2858)</f>
        <v/>
      </c>
      <c r="R2858" s="26">
        <f>IF(Q2858="","",IF(COUNTIFS($E$5:$E$3004,E2858,$A$5:$A$3004,"&gt;"&amp;A2858,$H$5:$H$3004,"&lt;&gt;Falta",$H$5:$H$3004,"&lt;&gt;Cancelado",$H$5:$H$3004,"&lt;&gt;Remarcado")&gt;0,"Sim","Não"))</f>
        <v/>
      </c>
      <c r="S2858" s="32">
        <f>IF(R2858&lt;&gt;"Não","",IF(Q2858+Config!$B$9&lt;=Config!$B$8,Config!$B$8-Q2858,""))</f>
        <v/>
      </c>
      <c r="T2858" s="26">
        <f>IF(S2858="","","Sim")</f>
        <v/>
      </c>
      <c r="U2858" s="41">
        <f>IF(T2858="Sim",S2858+ROW()/100000,0)</f>
        <v>0</v>
      </c>
      <c r="V2858" s="41">
        <f>IF(AND(H2858="Falta",L2858=Config!$B$7,M2858=Config!$B$5,COUNTIFS($E$5:E2858,E2858,$H$5:H2858,"Falta",$L$5:L2858,Config!$B$7,$M$5:M2858,Config!$B$5)=1),COUNTIFS($E$5:$E$3004,E2858,$H$5:$H$3004,"Falta",$L$5:$L$3004,Config!$B$7,$M$5:$M$3004,Config!$B$5)*1000-ROW()/100000,0)</f>
        <v>0</v>
      </c>
    </row>
    <row r="2859">
      <c r="A2859" s="39" t="n"/>
      <c r="B2859" s="40" t="n"/>
      <c r="C2859" s="35" t="n"/>
      <c r="D2859" s="35" t="n"/>
      <c r="E2859" s="34" t="n"/>
      <c r="F2859" s="35" t="n"/>
      <c r="G2859" s="35" t="n"/>
      <c r="H2859" s="35" t="n"/>
      <c r="I2859" s="35" t="n"/>
      <c r="J2859" s="35" t="n"/>
      <c r="K2859" s="34" t="n"/>
      <c r="L2859" s="26">
        <f>IF(A2859="","",MONTH(A2859))</f>
        <v/>
      </c>
      <c r="M2859" s="26">
        <f>IF(A2859="","",YEAR(A2859))</f>
        <v/>
      </c>
      <c r="N2859" s="26">
        <f>IF(A2859="","",CHOOSE(WEEKDAY(A2859,2),"Segunda","Terça","Quarta","Quinta","Sexta","Sábado","Domingo"))</f>
        <v/>
      </c>
      <c r="O2859" s="26">
        <f>IF(B2859="","",IF(B2859&lt;TIME(12,0,0),"Manhã",IF(B2859&lt;TIME(18,0,0),"Tarde","Noite")))</f>
        <v/>
      </c>
      <c r="P2859" s="32">
        <f>IF(G2859="","",IFERROR(INDEX(Config!$I$5:$I$16,MATCH(G2859,Config!$H$5:$H$16,0)),0))</f>
        <v/>
      </c>
      <c r="Q2859" s="30">
        <f>IF(OR(H2859&lt;&gt;"Realizado",P2859="",P2859=0),"",A2859+P2859)</f>
        <v/>
      </c>
      <c r="R2859" s="26">
        <f>IF(Q2859="","",IF(COUNTIFS($E$5:$E$3004,E2859,$A$5:$A$3004,"&gt;"&amp;A2859,$H$5:$H$3004,"&lt;&gt;Falta",$H$5:$H$3004,"&lt;&gt;Cancelado",$H$5:$H$3004,"&lt;&gt;Remarcado")&gt;0,"Sim","Não"))</f>
        <v/>
      </c>
      <c r="S2859" s="32">
        <f>IF(R2859&lt;&gt;"Não","",IF(Q2859+Config!$B$9&lt;=Config!$B$8,Config!$B$8-Q2859,""))</f>
        <v/>
      </c>
      <c r="T2859" s="26">
        <f>IF(S2859="","","Sim")</f>
        <v/>
      </c>
      <c r="U2859" s="41">
        <f>IF(T2859="Sim",S2859+ROW()/100000,0)</f>
        <v>0</v>
      </c>
      <c r="V2859" s="41">
        <f>IF(AND(H2859="Falta",L2859=Config!$B$7,M2859=Config!$B$5,COUNTIFS($E$5:E2859,E2859,$H$5:H2859,"Falta",$L$5:L2859,Config!$B$7,$M$5:M2859,Config!$B$5)=1),COUNTIFS($E$5:$E$3004,E2859,$H$5:$H$3004,"Falta",$L$5:$L$3004,Config!$B$7,$M$5:$M$3004,Config!$B$5)*1000-ROW()/100000,0)</f>
        <v>0</v>
      </c>
    </row>
    <row r="2860">
      <c r="A2860" s="39" t="n"/>
      <c r="B2860" s="40" t="n"/>
      <c r="C2860" s="35" t="n"/>
      <c r="D2860" s="35" t="n"/>
      <c r="E2860" s="34" t="n"/>
      <c r="F2860" s="35" t="n"/>
      <c r="G2860" s="35" t="n"/>
      <c r="H2860" s="35" t="n"/>
      <c r="I2860" s="35" t="n"/>
      <c r="J2860" s="35" t="n"/>
      <c r="K2860" s="34" t="n"/>
      <c r="L2860" s="26">
        <f>IF(A2860="","",MONTH(A2860))</f>
        <v/>
      </c>
      <c r="M2860" s="26">
        <f>IF(A2860="","",YEAR(A2860))</f>
        <v/>
      </c>
      <c r="N2860" s="26">
        <f>IF(A2860="","",CHOOSE(WEEKDAY(A2860,2),"Segunda","Terça","Quarta","Quinta","Sexta","Sábado","Domingo"))</f>
        <v/>
      </c>
      <c r="O2860" s="26">
        <f>IF(B2860="","",IF(B2860&lt;TIME(12,0,0),"Manhã",IF(B2860&lt;TIME(18,0,0),"Tarde","Noite")))</f>
        <v/>
      </c>
      <c r="P2860" s="32">
        <f>IF(G2860="","",IFERROR(INDEX(Config!$I$5:$I$16,MATCH(G2860,Config!$H$5:$H$16,0)),0))</f>
        <v/>
      </c>
      <c r="Q2860" s="30">
        <f>IF(OR(H2860&lt;&gt;"Realizado",P2860="",P2860=0),"",A2860+P2860)</f>
        <v/>
      </c>
      <c r="R2860" s="26">
        <f>IF(Q2860="","",IF(COUNTIFS($E$5:$E$3004,E2860,$A$5:$A$3004,"&gt;"&amp;A2860,$H$5:$H$3004,"&lt;&gt;Falta",$H$5:$H$3004,"&lt;&gt;Cancelado",$H$5:$H$3004,"&lt;&gt;Remarcado")&gt;0,"Sim","Não"))</f>
        <v/>
      </c>
      <c r="S2860" s="32">
        <f>IF(R2860&lt;&gt;"Não","",IF(Q2860+Config!$B$9&lt;=Config!$B$8,Config!$B$8-Q2860,""))</f>
        <v/>
      </c>
      <c r="T2860" s="26">
        <f>IF(S2860="","","Sim")</f>
        <v/>
      </c>
      <c r="U2860" s="41">
        <f>IF(T2860="Sim",S2860+ROW()/100000,0)</f>
        <v>0</v>
      </c>
      <c r="V2860" s="41">
        <f>IF(AND(H2860="Falta",L2860=Config!$B$7,M2860=Config!$B$5,COUNTIFS($E$5:E2860,E2860,$H$5:H2860,"Falta",$L$5:L2860,Config!$B$7,$M$5:M2860,Config!$B$5)=1),COUNTIFS($E$5:$E$3004,E2860,$H$5:$H$3004,"Falta",$L$5:$L$3004,Config!$B$7,$M$5:$M$3004,Config!$B$5)*1000-ROW()/100000,0)</f>
        <v>0</v>
      </c>
    </row>
    <row r="2861">
      <c r="A2861" s="39" t="n"/>
      <c r="B2861" s="40" t="n"/>
      <c r="C2861" s="35" t="n"/>
      <c r="D2861" s="35" t="n"/>
      <c r="E2861" s="34" t="n"/>
      <c r="F2861" s="35" t="n"/>
      <c r="G2861" s="35" t="n"/>
      <c r="H2861" s="35" t="n"/>
      <c r="I2861" s="35" t="n"/>
      <c r="J2861" s="35" t="n"/>
      <c r="K2861" s="34" t="n"/>
      <c r="L2861" s="26">
        <f>IF(A2861="","",MONTH(A2861))</f>
        <v/>
      </c>
      <c r="M2861" s="26">
        <f>IF(A2861="","",YEAR(A2861))</f>
        <v/>
      </c>
      <c r="N2861" s="26">
        <f>IF(A2861="","",CHOOSE(WEEKDAY(A2861,2),"Segunda","Terça","Quarta","Quinta","Sexta","Sábado","Domingo"))</f>
        <v/>
      </c>
      <c r="O2861" s="26">
        <f>IF(B2861="","",IF(B2861&lt;TIME(12,0,0),"Manhã",IF(B2861&lt;TIME(18,0,0),"Tarde","Noite")))</f>
        <v/>
      </c>
      <c r="P2861" s="32">
        <f>IF(G2861="","",IFERROR(INDEX(Config!$I$5:$I$16,MATCH(G2861,Config!$H$5:$H$16,0)),0))</f>
        <v/>
      </c>
      <c r="Q2861" s="30">
        <f>IF(OR(H2861&lt;&gt;"Realizado",P2861="",P2861=0),"",A2861+P2861)</f>
        <v/>
      </c>
      <c r="R2861" s="26">
        <f>IF(Q2861="","",IF(COUNTIFS($E$5:$E$3004,E2861,$A$5:$A$3004,"&gt;"&amp;A2861,$H$5:$H$3004,"&lt;&gt;Falta",$H$5:$H$3004,"&lt;&gt;Cancelado",$H$5:$H$3004,"&lt;&gt;Remarcado")&gt;0,"Sim","Não"))</f>
        <v/>
      </c>
      <c r="S2861" s="32">
        <f>IF(R2861&lt;&gt;"Não","",IF(Q2861+Config!$B$9&lt;=Config!$B$8,Config!$B$8-Q2861,""))</f>
        <v/>
      </c>
      <c r="T2861" s="26">
        <f>IF(S2861="","","Sim")</f>
        <v/>
      </c>
      <c r="U2861" s="41">
        <f>IF(T2861="Sim",S2861+ROW()/100000,0)</f>
        <v>0</v>
      </c>
      <c r="V2861" s="41">
        <f>IF(AND(H2861="Falta",L2861=Config!$B$7,M2861=Config!$B$5,COUNTIFS($E$5:E2861,E2861,$H$5:H2861,"Falta",$L$5:L2861,Config!$B$7,$M$5:M2861,Config!$B$5)=1),COUNTIFS($E$5:$E$3004,E2861,$H$5:$H$3004,"Falta",$L$5:$L$3004,Config!$B$7,$M$5:$M$3004,Config!$B$5)*1000-ROW()/100000,0)</f>
        <v>0</v>
      </c>
    </row>
    <row r="2862">
      <c r="A2862" s="39" t="n"/>
      <c r="B2862" s="40" t="n"/>
      <c r="C2862" s="35" t="n"/>
      <c r="D2862" s="35" t="n"/>
      <c r="E2862" s="34" t="n"/>
      <c r="F2862" s="35" t="n"/>
      <c r="G2862" s="35" t="n"/>
      <c r="H2862" s="35" t="n"/>
      <c r="I2862" s="35" t="n"/>
      <c r="J2862" s="35" t="n"/>
      <c r="K2862" s="34" t="n"/>
      <c r="L2862" s="26">
        <f>IF(A2862="","",MONTH(A2862))</f>
        <v/>
      </c>
      <c r="M2862" s="26">
        <f>IF(A2862="","",YEAR(A2862))</f>
        <v/>
      </c>
      <c r="N2862" s="26">
        <f>IF(A2862="","",CHOOSE(WEEKDAY(A2862,2),"Segunda","Terça","Quarta","Quinta","Sexta","Sábado","Domingo"))</f>
        <v/>
      </c>
      <c r="O2862" s="26">
        <f>IF(B2862="","",IF(B2862&lt;TIME(12,0,0),"Manhã",IF(B2862&lt;TIME(18,0,0),"Tarde","Noite")))</f>
        <v/>
      </c>
      <c r="P2862" s="32">
        <f>IF(G2862="","",IFERROR(INDEX(Config!$I$5:$I$16,MATCH(G2862,Config!$H$5:$H$16,0)),0))</f>
        <v/>
      </c>
      <c r="Q2862" s="30">
        <f>IF(OR(H2862&lt;&gt;"Realizado",P2862="",P2862=0),"",A2862+P2862)</f>
        <v/>
      </c>
      <c r="R2862" s="26">
        <f>IF(Q2862="","",IF(COUNTIFS($E$5:$E$3004,E2862,$A$5:$A$3004,"&gt;"&amp;A2862,$H$5:$H$3004,"&lt;&gt;Falta",$H$5:$H$3004,"&lt;&gt;Cancelado",$H$5:$H$3004,"&lt;&gt;Remarcado")&gt;0,"Sim","Não"))</f>
        <v/>
      </c>
      <c r="S2862" s="32">
        <f>IF(R2862&lt;&gt;"Não","",IF(Q2862+Config!$B$9&lt;=Config!$B$8,Config!$B$8-Q2862,""))</f>
        <v/>
      </c>
      <c r="T2862" s="26">
        <f>IF(S2862="","","Sim")</f>
        <v/>
      </c>
      <c r="U2862" s="41">
        <f>IF(T2862="Sim",S2862+ROW()/100000,0)</f>
        <v>0</v>
      </c>
      <c r="V2862" s="41">
        <f>IF(AND(H2862="Falta",L2862=Config!$B$7,M2862=Config!$B$5,COUNTIFS($E$5:E2862,E2862,$H$5:H2862,"Falta",$L$5:L2862,Config!$B$7,$M$5:M2862,Config!$B$5)=1),COUNTIFS($E$5:$E$3004,E2862,$H$5:$H$3004,"Falta",$L$5:$L$3004,Config!$B$7,$M$5:$M$3004,Config!$B$5)*1000-ROW()/100000,0)</f>
        <v>0</v>
      </c>
    </row>
    <row r="2863">
      <c r="A2863" s="39" t="n"/>
      <c r="B2863" s="40" t="n"/>
      <c r="C2863" s="35" t="n"/>
      <c r="D2863" s="35" t="n"/>
      <c r="E2863" s="34" t="n"/>
      <c r="F2863" s="35" t="n"/>
      <c r="G2863" s="35" t="n"/>
      <c r="H2863" s="35" t="n"/>
      <c r="I2863" s="35" t="n"/>
      <c r="J2863" s="35" t="n"/>
      <c r="K2863" s="34" t="n"/>
      <c r="L2863" s="26">
        <f>IF(A2863="","",MONTH(A2863))</f>
        <v/>
      </c>
      <c r="M2863" s="26">
        <f>IF(A2863="","",YEAR(A2863))</f>
        <v/>
      </c>
      <c r="N2863" s="26">
        <f>IF(A2863="","",CHOOSE(WEEKDAY(A2863,2),"Segunda","Terça","Quarta","Quinta","Sexta","Sábado","Domingo"))</f>
        <v/>
      </c>
      <c r="O2863" s="26">
        <f>IF(B2863="","",IF(B2863&lt;TIME(12,0,0),"Manhã",IF(B2863&lt;TIME(18,0,0),"Tarde","Noite")))</f>
        <v/>
      </c>
      <c r="P2863" s="32">
        <f>IF(G2863="","",IFERROR(INDEX(Config!$I$5:$I$16,MATCH(G2863,Config!$H$5:$H$16,0)),0))</f>
        <v/>
      </c>
      <c r="Q2863" s="30">
        <f>IF(OR(H2863&lt;&gt;"Realizado",P2863="",P2863=0),"",A2863+P2863)</f>
        <v/>
      </c>
      <c r="R2863" s="26">
        <f>IF(Q2863="","",IF(COUNTIFS($E$5:$E$3004,E2863,$A$5:$A$3004,"&gt;"&amp;A2863,$H$5:$H$3004,"&lt;&gt;Falta",$H$5:$H$3004,"&lt;&gt;Cancelado",$H$5:$H$3004,"&lt;&gt;Remarcado")&gt;0,"Sim","Não"))</f>
        <v/>
      </c>
      <c r="S2863" s="32">
        <f>IF(R2863&lt;&gt;"Não","",IF(Q2863+Config!$B$9&lt;=Config!$B$8,Config!$B$8-Q2863,""))</f>
        <v/>
      </c>
      <c r="T2863" s="26">
        <f>IF(S2863="","","Sim")</f>
        <v/>
      </c>
      <c r="U2863" s="41">
        <f>IF(T2863="Sim",S2863+ROW()/100000,0)</f>
        <v>0</v>
      </c>
      <c r="V2863" s="41">
        <f>IF(AND(H2863="Falta",L2863=Config!$B$7,M2863=Config!$B$5,COUNTIFS($E$5:E2863,E2863,$H$5:H2863,"Falta",$L$5:L2863,Config!$B$7,$M$5:M2863,Config!$B$5)=1),COUNTIFS($E$5:$E$3004,E2863,$H$5:$H$3004,"Falta",$L$5:$L$3004,Config!$B$7,$M$5:$M$3004,Config!$B$5)*1000-ROW()/100000,0)</f>
        <v>0</v>
      </c>
    </row>
    <row r="2864">
      <c r="A2864" s="39" t="n"/>
      <c r="B2864" s="40" t="n"/>
      <c r="C2864" s="35" t="n"/>
      <c r="D2864" s="35" t="n"/>
      <c r="E2864" s="34" t="n"/>
      <c r="F2864" s="35" t="n"/>
      <c r="G2864" s="35" t="n"/>
      <c r="H2864" s="35" t="n"/>
      <c r="I2864" s="35" t="n"/>
      <c r="J2864" s="35" t="n"/>
      <c r="K2864" s="34" t="n"/>
      <c r="L2864" s="26">
        <f>IF(A2864="","",MONTH(A2864))</f>
        <v/>
      </c>
      <c r="M2864" s="26">
        <f>IF(A2864="","",YEAR(A2864))</f>
        <v/>
      </c>
      <c r="N2864" s="26">
        <f>IF(A2864="","",CHOOSE(WEEKDAY(A2864,2),"Segunda","Terça","Quarta","Quinta","Sexta","Sábado","Domingo"))</f>
        <v/>
      </c>
      <c r="O2864" s="26">
        <f>IF(B2864="","",IF(B2864&lt;TIME(12,0,0),"Manhã",IF(B2864&lt;TIME(18,0,0),"Tarde","Noite")))</f>
        <v/>
      </c>
      <c r="P2864" s="32">
        <f>IF(G2864="","",IFERROR(INDEX(Config!$I$5:$I$16,MATCH(G2864,Config!$H$5:$H$16,0)),0))</f>
        <v/>
      </c>
      <c r="Q2864" s="30">
        <f>IF(OR(H2864&lt;&gt;"Realizado",P2864="",P2864=0),"",A2864+P2864)</f>
        <v/>
      </c>
      <c r="R2864" s="26">
        <f>IF(Q2864="","",IF(COUNTIFS($E$5:$E$3004,E2864,$A$5:$A$3004,"&gt;"&amp;A2864,$H$5:$H$3004,"&lt;&gt;Falta",$H$5:$H$3004,"&lt;&gt;Cancelado",$H$5:$H$3004,"&lt;&gt;Remarcado")&gt;0,"Sim","Não"))</f>
        <v/>
      </c>
      <c r="S2864" s="32">
        <f>IF(R2864&lt;&gt;"Não","",IF(Q2864+Config!$B$9&lt;=Config!$B$8,Config!$B$8-Q2864,""))</f>
        <v/>
      </c>
      <c r="T2864" s="26">
        <f>IF(S2864="","","Sim")</f>
        <v/>
      </c>
      <c r="U2864" s="41">
        <f>IF(T2864="Sim",S2864+ROW()/100000,0)</f>
        <v>0</v>
      </c>
      <c r="V2864" s="41">
        <f>IF(AND(H2864="Falta",L2864=Config!$B$7,M2864=Config!$B$5,COUNTIFS($E$5:E2864,E2864,$H$5:H2864,"Falta",$L$5:L2864,Config!$B$7,$M$5:M2864,Config!$B$5)=1),COUNTIFS($E$5:$E$3004,E2864,$H$5:$H$3004,"Falta",$L$5:$L$3004,Config!$B$7,$M$5:$M$3004,Config!$B$5)*1000-ROW()/100000,0)</f>
        <v>0</v>
      </c>
    </row>
    <row r="2865">
      <c r="A2865" s="39" t="n"/>
      <c r="B2865" s="40" t="n"/>
      <c r="C2865" s="35" t="n"/>
      <c r="D2865" s="35" t="n"/>
      <c r="E2865" s="34" t="n"/>
      <c r="F2865" s="35" t="n"/>
      <c r="G2865" s="35" t="n"/>
      <c r="H2865" s="35" t="n"/>
      <c r="I2865" s="35" t="n"/>
      <c r="J2865" s="35" t="n"/>
      <c r="K2865" s="34" t="n"/>
      <c r="L2865" s="26">
        <f>IF(A2865="","",MONTH(A2865))</f>
        <v/>
      </c>
      <c r="M2865" s="26">
        <f>IF(A2865="","",YEAR(A2865))</f>
        <v/>
      </c>
      <c r="N2865" s="26">
        <f>IF(A2865="","",CHOOSE(WEEKDAY(A2865,2),"Segunda","Terça","Quarta","Quinta","Sexta","Sábado","Domingo"))</f>
        <v/>
      </c>
      <c r="O2865" s="26">
        <f>IF(B2865="","",IF(B2865&lt;TIME(12,0,0),"Manhã",IF(B2865&lt;TIME(18,0,0),"Tarde","Noite")))</f>
        <v/>
      </c>
      <c r="P2865" s="32">
        <f>IF(G2865="","",IFERROR(INDEX(Config!$I$5:$I$16,MATCH(G2865,Config!$H$5:$H$16,0)),0))</f>
        <v/>
      </c>
      <c r="Q2865" s="30">
        <f>IF(OR(H2865&lt;&gt;"Realizado",P2865="",P2865=0),"",A2865+P2865)</f>
        <v/>
      </c>
      <c r="R2865" s="26">
        <f>IF(Q2865="","",IF(COUNTIFS($E$5:$E$3004,E2865,$A$5:$A$3004,"&gt;"&amp;A2865,$H$5:$H$3004,"&lt;&gt;Falta",$H$5:$H$3004,"&lt;&gt;Cancelado",$H$5:$H$3004,"&lt;&gt;Remarcado")&gt;0,"Sim","Não"))</f>
        <v/>
      </c>
      <c r="S2865" s="32">
        <f>IF(R2865&lt;&gt;"Não","",IF(Q2865+Config!$B$9&lt;=Config!$B$8,Config!$B$8-Q2865,""))</f>
        <v/>
      </c>
      <c r="T2865" s="26">
        <f>IF(S2865="","","Sim")</f>
        <v/>
      </c>
      <c r="U2865" s="41">
        <f>IF(T2865="Sim",S2865+ROW()/100000,0)</f>
        <v>0</v>
      </c>
      <c r="V2865" s="41">
        <f>IF(AND(H2865="Falta",L2865=Config!$B$7,M2865=Config!$B$5,COUNTIFS($E$5:E2865,E2865,$H$5:H2865,"Falta",$L$5:L2865,Config!$B$7,$M$5:M2865,Config!$B$5)=1),COUNTIFS($E$5:$E$3004,E2865,$H$5:$H$3004,"Falta",$L$5:$L$3004,Config!$B$7,$M$5:$M$3004,Config!$B$5)*1000-ROW()/100000,0)</f>
        <v>0</v>
      </c>
    </row>
    <row r="2866">
      <c r="A2866" s="39" t="n"/>
      <c r="B2866" s="40" t="n"/>
      <c r="C2866" s="35" t="n"/>
      <c r="D2866" s="35" t="n"/>
      <c r="E2866" s="34" t="n"/>
      <c r="F2866" s="35" t="n"/>
      <c r="G2866" s="35" t="n"/>
      <c r="H2866" s="35" t="n"/>
      <c r="I2866" s="35" t="n"/>
      <c r="J2866" s="35" t="n"/>
      <c r="K2866" s="34" t="n"/>
      <c r="L2866" s="26">
        <f>IF(A2866="","",MONTH(A2866))</f>
        <v/>
      </c>
      <c r="M2866" s="26">
        <f>IF(A2866="","",YEAR(A2866))</f>
        <v/>
      </c>
      <c r="N2866" s="26">
        <f>IF(A2866="","",CHOOSE(WEEKDAY(A2866,2),"Segunda","Terça","Quarta","Quinta","Sexta","Sábado","Domingo"))</f>
        <v/>
      </c>
      <c r="O2866" s="26">
        <f>IF(B2866="","",IF(B2866&lt;TIME(12,0,0),"Manhã",IF(B2866&lt;TIME(18,0,0),"Tarde","Noite")))</f>
        <v/>
      </c>
      <c r="P2866" s="32">
        <f>IF(G2866="","",IFERROR(INDEX(Config!$I$5:$I$16,MATCH(G2866,Config!$H$5:$H$16,0)),0))</f>
        <v/>
      </c>
      <c r="Q2866" s="30">
        <f>IF(OR(H2866&lt;&gt;"Realizado",P2866="",P2866=0),"",A2866+P2866)</f>
        <v/>
      </c>
      <c r="R2866" s="26">
        <f>IF(Q2866="","",IF(COUNTIFS($E$5:$E$3004,E2866,$A$5:$A$3004,"&gt;"&amp;A2866,$H$5:$H$3004,"&lt;&gt;Falta",$H$5:$H$3004,"&lt;&gt;Cancelado",$H$5:$H$3004,"&lt;&gt;Remarcado")&gt;0,"Sim","Não"))</f>
        <v/>
      </c>
      <c r="S2866" s="32">
        <f>IF(R2866&lt;&gt;"Não","",IF(Q2866+Config!$B$9&lt;=Config!$B$8,Config!$B$8-Q2866,""))</f>
        <v/>
      </c>
      <c r="T2866" s="26">
        <f>IF(S2866="","","Sim")</f>
        <v/>
      </c>
      <c r="U2866" s="41">
        <f>IF(T2866="Sim",S2866+ROW()/100000,0)</f>
        <v>0</v>
      </c>
      <c r="V2866" s="41">
        <f>IF(AND(H2866="Falta",L2866=Config!$B$7,M2866=Config!$B$5,COUNTIFS($E$5:E2866,E2866,$H$5:H2866,"Falta",$L$5:L2866,Config!$B$7,$M$5:M2866,Config!$B$5)=1),COUNTIFS($E$5:$E$3004,E2866,$H$5:$H$3004,"Falta",$L$5:$L$3004,Config!$B$7,$M$5:$M$3004,Config!$B$5)*1000-ROW()/100000,0)</f>
        <v>0</v>
      </c>
    </row>
    <row r="2867">
      <c r="A2867" s="39" t="n"/>
      <c r="B2867" s="40" t="n"/>
      <c r="C2867" s="35" t="n"/>
      <c r="D2867" s="35" t="n"/>
      <c r="E2867" s="34" t="n"/>
      <c r="F2867" s="35" t="n"/>
      <c r="G2867" s="35" t="n"/>
      <c r="H2867" s="35" t="n"/>
      <c r="I2867" s="35" t="n"/>
      <c r="J2867" s="35" t="n"/>
      <c r="K2867" s="34" t="n"/>
      <c r="L2867" s="26">
        <f>IF(A2867="","",MONTH(A2867))</f>
        <v/>
      </c>
      <c r="M2867" s="26">
        <f>IF(A2867="","",YEAR(A2867))</f>
        <v/>
      </c>
      <c r="N2867" s="26">
        <f>IF(A2867="","",CHOOSE(WEEKDAY(A2867,2),"Segunda","Terça","Quarta","Quinta","Sexta","Sábado","Domingo"))</f>
        <v/>
      </c>
      <c r="O2867" s="26">
        <f>IF(B2867="","",IF(B2867&lt;TIME(12,0,0),"Manhã",IF(B2867&lt;TIME(18,0,0),"Tarde","Noite")))</f>
        <v/>
      </c>
      <c r="P2867" s="32">
        <f>IF(G2867="","",IFERROR(INDEX(Config!$I$5:$I$16,MATCH(G2867,Config!$H$5:$H$16,0)),0))</f>
        <v/>
      </c>
      <c r="Q2867" s="30">
        <f>IF(OR(H2867&lt;&gt;"Realizado",P2867="",P2867=0),"",A2867+P2867)</f>
        <v/>
      </c>
      <c r="R2867" s="26">
        <f>IF(Q2867="","",IF(COUNTIFS($E$5:$E$3004,E2867,$A$5:$A$3004,"&gt;"&amp;A2867,$H$5:$H$3004,"&lt;&gt;Falta",$H$5:$H$3004,"&lt;&gt;Cancelado",$H$5:$H$3004,"&lt;&gt;Remarcado")&gt;0,"Sim","Não"))</f>
        <v/>
      </c>
      <c r="S2867" s="32">
        <f>IF(R2867&lt;&gt;"Não","",IF(Q2867+Config!$B$9&lt;=Config!$B$8,Config!$B$8-Q2867,""))</f>
        <v/>
      </c>
      <c r="T2867" s="26">
        <f>IF(S2867="","","Sim")</f>
        <v/>
      </c>
      <c r="U2867" s="41">
        <f>IF(T2867="Sim",S2867+ROW()/100000,0)</f>
        <v>0</v>
      </c>
      <c r="V2867" s="41">
        <f>IF(AND(H2867="Falta",L2867=Config!$B$7,M2867=Config!$B$5,COUNTIFS($E$5:E2867,E2867,$H$5:H2867,"Falta",$L$5:L2867,Config!$B$7,$M$5:M2867,Config!$B$5)=1),COUNTIFS($E$5:$E$3004,E2867,$H$5:$H$3004,"Falta",$L$5:$L$3004,Config!$B$7,$M$5:$M$3004,Config!$B$5)*1000-ROW()/100000,0)</f>
        <v>0</v>
      </c>
    </row>
    <row r="2868">
      <c r="A2868" s="39" t="n"/>
      <c r="B2868" s="40" t="n"/>
      <c r="C2868" s="35" t="n"/>
      <c r="D2868" s="35" t="n"/>
      <c r="E2868" s="34" t="n"/>
      <c r="F2868" s="35" t="n"/>
      <c r="G2868" s="35" t="n"/>
      <c r="H2868" s="35" t="n"/>
      <c r="I2868" s="35" t="n"/>
      <c r="J2868" s="35" t="n"/>
      <c r="K2868" s="34" t="n"/>
      <c r="L2868" s="26">
        <f>IF(A2868="","",MONTH(A2868))</f>
        <v/>
      </c>
      <c r="M2868" s="26">
        <f>IF(A2868="","",YEAR(A2868))</f>
        <v/>
      </c>
      <c r="N2868" s="26">
        <f>IF(A2868="","",CHOOSE(WEEKDAY(A2868,2),"Segunda","Terça","Quarta","Quinta","Sexta","Sábado","Domingo"))</f>
        <v/>
      </c>
      <c r="O2868" s="26">
        <f>IF(B2868="","",IF(B2868&lt;TIME(12,0,0),"Manhã",IF(B2868&lt;TIME(18,0,0),"Tarde","Noite")))</f>
        <v/>
      </c>
      <c r="P2868" s="32">
        <f>IF(G2868="","",IFERROR(INDEX(Config!$I$5:$I$16,MATCH(G2868,Config!$H$5:$H$16,0)),0))</f>
        <v/>
      </c>
      <c r="Q2868" s="30">
        <f>IF(OR(H2868&lt;&gt;"Realizado",P2868="",P2868=0),"",A2868+P2868)</f>
        <v/>
      </c>
      <c r="R2868" s="26">
        <f>IF(Q2868="","",IF(COUNTIFS($E$5:$E$3004,E2868,$A$5:$A$3004,"&gt;"&amp;A2868,$H$5:$H$3004,"&lt;&gt;Falta",$H$5:$H$3004,"&lt;&gt;Cancelado",$H$5:$H$3004,"&lt;&gt;Remarcado")&gt;0,"Sim","Não"))</f>
        <v/>
      </c>
      <c r="S2868" s="32">
        <f>IF(R2868&lt;&gt;"Não","",IF(Q2868+Config!$B$9&lt;=Config!$B$8,Config!$B$8-Q2868,""))</f>
        <v/>
      </c>
      <c r="T2868" s="26">
        <f>IF(S2868="","","Sim")</f>
        <v/>
      </c>
      <c r="U2868" s="41">
        <f>IF(T2868="Sim",S2868+ROW()/100000,0)</f>
        <v>0</v>
      </c>
      <c r="V2868" s="41">
        <f>IF(AND(H2868="Falta",L2868=Config!$B$7,M2868=Config!$B$5,COUNTIFS($E$5:E2868,E2868,$H$5:H2868,"Falta",$L$5:L2868,Config!$B$7,$M$5:M2868,Config!$B$5)=1),COUNTIFS($E$5:$E$3004,E2868,$H$5:$H$3004,"Falta",$L$5:$L$3004,Config!$B$7,$M$5:$M$3004,Config!$B$5)*1000-ROW()/100000,0)</f>
        <v>0</v>
      </c>
    </row>
    <row r="2869">
      <c r="A2869" s="39" t="n"/>
      <c r="B2869" s="40" t="n"/>
      <c r="C2869" s="35" t="n"/>
      <c r="D2869" s="35" t="n"/>
      <c r="E2869" s="34" t="n"/>
      <c r="F2869" s="35" t="n"/>
      <c r="G2869" s="35" t="n"/>
      <c r="H2869" s="35" t="n"/>
      <c r="I2869" s="35" t="n"/>
      <c r="J2869" s="35" t="n"/>
      <c r="K2869" s="34" t="n"/>
      <c r="L2869" s="26">
        <f>IF(A2869="","",MONTH(A2869))</f>
        <v/>
      </c>
      <c r="M2869" s="26">
        <f>IF(A2869="","",YEAR(A2869))</f>
        <v/>
      </c>
      <c r="N2869" s="26">
        <f>IF(A2869="","",CHOOSE(WEEKDAY(A2869,2),"Segunda","Terça","Quarta","Quinta","Sexta","Sábado","Domingo"))</f>
        <v/>
      </c>
      <c r="O2869" s="26">
        <f>IF(B2869="","",IF(B2869&lt;TIME(12,0,0),"Manhã",IF(B2869&lt;TIME(18,0,0),"Tarde","Noite")))</f>
        <v/>
      </c>
      <c r="P2869" s="32">
        <f>IF(G2869="","",IFERROR(INDEX(Config!$I$5:$I$16,MATCH(G2869,Config!$H$5:$H$16,0)),0))</f>
        <v/>
      </c>
      <c r="Q2869" s="30">
        <f>IF(OR(H2869&lt;&gt;"Realizado",P2869="",P2869=0),"",A2869+P2869)</f>
        <v/>
      </c>
      <c r="R2869" s="26">
        <f>IF(Q2869="","",IF(COUNTIFS($E$5:$E$3004,E2869,$A$5:$A$3004,"&gt;"&amp;A2869,$H$5:$H$3004,"&lt;&gt;Falta",$H$5:$H$3004,"&lt;&gt;Cancelado",$H$5:$H$3004,"&lt;&gt;Remarcado")&gt;0,"Sim","Não"))</f>
        <v/>
      </c>
      <c r="S2869" s="32">
        <f>IF(R2869&lt;&gt;"Não","",IF(Q2869+Config!$B$9&lt;=Config!$B$8,Config!$B$8-Q2869,""))</f>
        <v/>
      </c>
      <c r="T2869" s="26">
        <f>IF(S2869="","","Sim")</f>
        <v/>
      </c>
      <c r="U2869" s="41">
        <f>IF(T2869="Sim",S2869+ROW()/100000,0)</f>
        <v>0</v>
      </c>
      <c r="V2869" s="41">
        <f>IF(AND(H2869="Falta",L2869=Config!$B$7,M2869=Config!$B$5,COUNTIFS($E$5:E2869,E2869,$H$5:H2869,"Falta",$L$5:L2869,Config!$B$7,$M$5:M2869,Config!$B$5)=1),COUNTIFS($E$5:$E$3004,E2869,$H$5:$H$3004,"Falta",$L$5:$L$3004,Config!$B$7,$M$5:$M$3004,Config!$B$5)*1000-ROW()/100000,0)</f>
        <v>0</v>
      </c>
    </row>
    <row r="2870">
      <c r="A2870" s="39" t="n"/>
      <c r="B2870" s="40" t="n"/>
      <c r="C2870" s="35" t="n"/>
      <c r="D2870" s="35" t="n"/>
      <c r="E2870" s="34" t="n"/>
      <c r="F2870" s="35" t="n"/>
      <c r="G2870" s="35" t="n"/>
      <c r="H2870" s="35" t="n"/>
      <c r="I2870" s="35" t="n"/>
      <c r="J2870" s="35" t="n"/>
      <c r="K2870" s="34" t="n"/>
      <c r="L2870" s="26">
        <f>IF(A2870="","",MONTH(A2870))</f>
        <v/>
      </c>
      <c r="M2870" s="26">
        <f>IF(A2870="","",YEAR(A2870))</f>
        <v/>
      </c>
      <c r="N2870" s="26">
        <f>IF(A2870="","",CHOOSE(WEEKDAY(A2870,2),"Segunda","Terça","Quarta","Quinta","Sexta","Sábado","Domingo"))</f>
        <v/>
      </c>
      <c r="O2870" s="26">
        <f>IF(B2870="","",IF(B2870&lt;TIME(12,0,0),"Manhã",IF(B2870&lt;TIME(18,0,0),"Tarde","Noite")))</f>
        <v/>
      </c>
      <c r="P2870" s="32">
        <f>IF(G2870="","",IFERROR(INDEX(Config!$I$5:$I$16,MATCH(G2870,Config!$H$5:$H$16,0)),0))</f>
        <v/>
      </c>
      <c r="Q2870" s="30">
        <f>IF(OR(H2870&lt;&gt;"Realizado",P2870="",P2870=0),"",A2870+P2870)</f>
        <v/>
      </c>
      <c r="R2870" s="26">
        <f>IF(Q2870="","",IF(COUNTIFS($E$5:$E$3004,E2870,$A$5:$A$3004,"&gt;"&amp;A2870,$H$5:$H$3004,"&lt;&gt;Falta",$H$5:$H$3004,"&lt;&gt;Cancelado",$H$5:$H$3004,"&lt;&gt;Remarcado")&gt;0,"Sim","Não"))</f>
        <v/>
      </c>
      <c r="S2870" s="32">
        <f>IF(R2870&lt;&gt;"Não","",IF(Q2870+Config!$B$9&lt;=Config!$B$8,Config!$B$8-Q2870,""))</f>
        <v/>
      </c>
      <c r="T2870" s="26">
        <f>IF(S2870="","","Sim")</f>
        <v/>
      </c>
      <c r="U2870" s="41">
        <f>IF(T2870="Sim",S2870+ROW()/100000,0)</f>
        <v>0</v>
      </c>
      <c r="V2870" s="41">
        <f>IF(AND(H2870="Falta",L2870=Config!$B$7,M2870=Config!$B$5,COUNTIFS($E$5:E2870,E2870,$H$5:H2870,"Falta",$L$5:L2870,Config!$B$7,$M$5:M2870,Config!$B$5)=1),COUNTIFS($E$5:$E$3004,E2870,$H$5:$H$3004,"Falta",$L$5:$L$3004,Config!$B$7,$M$5:$M$3004,Config!$B$5)*1000-ROW()/100000,0)</f>
        <v>0</v>
      </c>
    </row>
    <row r="2871">
      <c r="A2871" s="39" t="n"/>
      <c r="B2871" s="40" t="n"/>
      <c r="C2871" s="35" t="n"/>
      <c r="D2871" s="35" t="n"/>
      <c r="E2871" s="34" t="n"/>
      <c r="F2871" s="35" t="n"/>
      <c r="G2871" s="35" t="n"/>
      <c r="H2871" s="35" t="n"/>
      <c r="I2871" s="35" t="n"/>
      <c r="J2871" s="35" t="n"/>
      <c r="K2871" s="34" t="n"/>
      <c r="L2871" s="26">
        <f>IF(A2871="","",MONTH(A2871))</f>
        <v/>
      </c>
      <c r="M2871" s="26">
        <f>IF(A2871="","",YEAR(A2871))</f>
        <v/>
      </c>
      <c r="N2871" s="26">
        <f>IF(A2871="","",CHOOSE(WEEKDAY(A2871,2),"Segunda","Terça","Quarta","Quinta","Sexta","Sábado","Domingo"))</f>
        <v/>
      </c>
      <c r="O2871" s="26">
        <f>IF(B2871="","",IF(B2871&lt;TIME(12,0,0),"Manhã",IF(B2871&lt;TIME(18,0,0),"Tarde","Noite")))</f>
        <v/>
      </c>
      <c r="P2871" s="32">
        <f>IF(G2871="","",IFERROR(INDEX(Config!$I$5:$I$16,MATCH(G2871,Config!$H$5:$H$16,0)),0))</f>
        <v/>
      </c>
      <c r="Q2871" s="30">
        <f>IF(OR(H2871&lt;&gt;"Realizado",P2871="",P2871=0),"",A2871+P2871)</f>
        <v/>
      </c>
      <c r="R2871" s="26">
        <f>IF(Q2871="","",IF(COUNTIFS($E$5:$E$3004,E2871,$A$5:$A$3004,"&gt;"&amp;A2871,$H$5:$H$3004,"&lt;&gt;Falta",$H$5:$H$3004,"&lt;&gt;Cancelado",$H$5:$H$3004,"&lt;&gt;Remarcado")&gt;0,"Sim","Não"))</f>
        <v/>
      </c>
      <c r="S2871" s="32">
        <f>IF(R2871&lt;&gt;"Não","",IF(Q2871+Config!$B$9&lt;=Config!$B$8,Config!$B$8-Q2871,""))</f>
        <v/>
      </c>
      <c r="T2871" s="26">
        <f>IF(S2871="","","Sim")</f>
        <v/>
      </c>
      <c r="U2871" s="41">
        <f>IF(T2871="Sim",S2871+ROW()/100000,0)</f>
        <v>0</v>
      </c>
      <c r="V2871" s="41">
        <f>IF(AND(H2871="Falta",L2871=Config!$B$7,M2871=Config!$B$5,COUNTIFS($E$5:E2871,E2871,$H$5:H2871,"Falta",$L$5:L2871,Config!$B$7,$M$5:M2871,Config!$B$5)=1),COUNTIFS($E$5:$E$3004,E2871,$H$5:$H$3004,"Falta",$L$5:$L$3004,Config!$B$7,$M$5:$M$3004,Config!$B$5)*1000-ROW()/100000,0)</f>
        <v>0</v>
      </c>
    </row>
    <row r="2872">
      <c r="A2872" s="39" t="n"/>
      <c r="B2872" s="40" t="n"/>
      <c r="C2872" s="35" t="n"/>
      <c r="D2872" s="35" t="n"/>
      <c r="E2872" s="34" t="n"/>
      <c r="F2872" s="35" t="n"/>
      <c r="G2872" s="35" t="n"/>
      <c r="H2872" s="35" t="n"/>
      <c r="I2872" s="35" t="n"/>
      <c r="J2872" s="35" t="n"/>
      <c r="K2872" s="34" t="n"/>
      <c r="L2872" s="26">
        <f>IF(A2872="","",MONTH(A2872))</f>
        <v/>
      </c>
      <c r="M2872" s="26">
        <f>IF(A2872="","",YEAR(A2872))</f>
        <v/>
      </c>
      <c r="N2872" s="26">
        <f>IF(A2872="","",CHOOSE(WEEKDAY(A2872,2),"Segunda","Terça","Quarta","Quinta","Sexta","Sábado","Domingo"))</f>
        <v/>
      </c>
      <c r="O2872" s="26">
        <f>IF(B2872="","",IF(B2872&lt;TIME(12,0,0),"Manhã",IF(B2872&lt;TIME(18,0,0),"Tarde","Noite")))</f>
        <v/>
      </c>
      <c r="P2872" s="32">
        <f>IF(G2872="","",IFERROR(INDEX(Config!$I$5:$I$16,MATCH(G2872,Config!$H$5:$H$16,0)),0))</f>
        <v/>
      </c>
      <c r="Q2872" s="30">
        <f>IF(OR(H2872&lt;&gt;"Realizado",P2872="",P2872=0),"",A2872+P2872)</f>
        <v/>
      </c>
      <c r="R2872" s="26">
        <f>IF(Q2872="","",IF(COUNTIFS($E$5:$E$3004,E2872,$A$5:$A$3004,"&gt;"&amp;A2872,$H$5:$H$3004,"&lt;&gt;Falta",$H$5:$H$3004,"&lt;&gt;Cancelado",$H$5:$H$3004,"&lt;&gt;Remarcado")&gt;0,"Sim","Não"))</f>
        <v/>
      </c>
      <c r="S2872" s="32">
        <f>IF(R2872&lt;&gt;"Não","",IF(Q2872+Config!$B$9&lt;=Config!$B$8,Config!$B$8-Q2872,""))</f>
        <v/>
      </c>
      <c r="T2872" s="26">
        <f>IF(S2872="","","Sim")</f>
        <v/>
      </c>
      <c r="U2872" s="41">
        <f>IF(T2872="Sim",S2872+ROW()/100000,0)</f>
        <v>0</v>
      </c>
      <c r="V2872" s="41">
        <f>IF(AND(H2872="Falta",L2872=Config!$B$7,M2872=Config!$B$5,COUNTIFS($E$5:E2872,E2872,$H$5:H2872,"Falta",$L$5:L2872,Config!$B$7,$M$5:M2872,Config!$B$5)=1),COUNTIFS($E$5:$E$3004,E2872,$H$5:$H$3004,"Falta",$L$5:$L$3004,Config!$B$7,$M$5:$M$3004,Config!$B$5)*1000-ROW()/100000,0)</f>
        <v>0</v>
      </c>
    </row>
    <row r="2873">
      <c r="A2873" s="39" t="n"/>
      <c r="B2873" s="40" t="n"/>
      <c r="C2873" s="35" t="n"/>
      <c r="D2873" s="35" t="n"/>
      <c r="E2873" s="34" t="n"/>
      <c r="F2873" s="35" t="n"/>
      <c r="G2873" s="35" t="n"/>
      <c r="H2873" s="35" t="n"/>
      <c r="I2873" s="35" t="n"/>
      <c r="J2873" s="35" t="n"/>
      <c r="K2873" s="34" t="n"/>
      <c r="L2873" s="26">
        <f>IF(A2873="","",MONTH(A2873))</f>
        <v/>
      </c>
      <c r="M2873" s="26">
        <f>IF(A2873="","",YEAR(A2873))</f>
        <v/>
      </c>
      <c r="N2873" s="26">
        <f>IF(A2873="","",CHOOSE(WEEKDAY(A2873,2),"Segunda","Terça","Quarta","Quinta","Sexta","Sábado","Domingo"))</f>
        <v/>
      </c>
      <c r="O2873" s="26">
        <f>IF(B2873="","",IF(B2873&lt;TIME(12,0,0),"Manhã",IF(B2873&lt;TIME(18,0,0),"Tarde","Noite")))</f>
        <v/>
      </c>
      <c r="P2873" s="32">
        <f>IF(G2873="","",IFERROR(INDEX(Config!$I$5:$I$16,MATCH(G2873,Config!$H$5:$H$16,0)),0))</f>
        <v/>
      </c>
      <c r="Q2873" s="30">
        <f>IF(OR(H2873&lt;&gt;"Realizado",P2873="",P2873=0),"",A2873+P2873)</f>
        <v/>
      </c>
      <c r="R2873" s="26">
        <f>IF(Q2873="","",IF(COUNTIFS($E$5:$E$3004,E2873,$A$5:$A$3004,"&gt;"&amp;A2873,$H$5:$H$3004,"&lt;&gt;Falta",$H$5:$H$3004,"&lt;&gt;Cancelado",$H$5:$H$3004,"&lt;&gt;Remarcado")&gt;0,"Sim","Não"))</f>
        <v/>
      </c>
      <c r="S2873" s="32">
        <f>IF(R2873&lt;&gt;"Não","",IF(Q2873+Config!$B$9&lt;=Config!$B$8,Config!$B$8-Q2873,""))</f>
        <v/>
      </c>
      <c r="T2873" s="26">
        <f>IF(S2873="","","Sim")</f>
        <v/>
      </c>
      <c r="U2873" s="41">
        <f>IF(T2873="Sim",S2873+ROW()/100000,0)</f>
        <v>0</v>
      </c>
      <c r="V2873" s="41">
        <f>IF(AND(H2873="Falta",L2873=Config!$B$7,M2873=Config!$B$5,COUNTIFS($E$5:E2873,E2873,$H$5:H2873,"Falta",$L$5:L2873,Config!$B$7,$M$5:M2873,Config!$B$5)=1),COUNTIFS($E$5:$E$3004,E2873,$H$5:$H$3004,"Falta",$L$5:$L$3004,Config!$B$7,$M$5:$M$3004,Config!$B$5)*1000-ROW()/100000,0)</f>
        <v>0</v>
      </c>
    </row>
    <row r="2874">
      <c r="A2874" s="39" t="n"/>
      <c r="B2874" s="40" t="n"/>
      <c r="C2874" s="35" t="n"/>
      <c r="D2874" s="35" t="n"/>
      <c r="E2874" s="34" t="n"/>
      <c r="F2874" s="35" t="n"/>
      <c r="G2874" s="35" t="n"/>
      <c r="H2874" s="35" t="n"/>
      <c r="I2874" s="35" t="n"/>
      <c r="J2874" s="35" t="n"/>
      <c r="K2874" s="34" t="n"/>
      <c r="L2874" s="26">
        <f>IF(A2874="","",MONTH(A2874))</f>
        <v/>
      </c>
      <c r="M2874" s="26">
        <f>IF(A2874="","",YEAR(A2874))</f>
        <v/>
      </c>
      <c r="N2874" s="26">
        <f>IF(A2874="","",CHOOSE(WEEKDAY(A2874,2),"Segunda","Terça","Quarta","Quinta","Sexta","Sábado","Domingo"))</f>
        <v/>
      </c>
      <c r="O2874" s="26">
        <f>IF(B2874="","",IF(B2874&lt;TIME(12,0,0),"Manhã",IF(B2874&lt;TIME(18,0,0),"Tarde","Noite")))</f>
        <v/>
      </c>
      <c r="P2874" s="32">
        <f>IF(G2874="","",IFERROR(INDEX(Config!$I$5:$I$16,MATCH(G2874,Config!$H$5:$H$16,0)),0))</f>
        <v/>
      </c>
      <c r="Q2874" s="30">
        <f>IF(OR(H2874&lt;&gt;"Realizado",P2874="",P2874=0),"",A2874+P2874)</f>
        <v/>
      </c>
      <c r="R2874" s="26">
        <f>IF(Q2874="","",IF(COUNTIFS($E$5:$E$3004,E2874,$A$5:$A$3004,"&gt;"&amp;A2874,$H$5:$H$3004,"&lt;&gt;Falta",$H$5:$H$3004,"&lt;&gt;Cancelado",$H$5:$H$3004,"&lt;&gt;Remarcado")&gt;0,"Sim","Não"))</f>
        <v/>
      </c>
      <c r="S2874" s="32">
        <f>IF(R2874&lt;&gt;"Não","",IF(Q2874+Config!$B$9&lt;=Config!$B$8,Config!$B$8-Q2874,""))</f>
        <v/>
      </c>
      <c r="T2874" s="26">
        <f>IF(S2874="","","Sim")</f>
        <v/>
      </c>
      <c r="U2874" s="41">
        <f>IF(T2874="Sim",S2874+ROW()/100000,0)</f>
        <v>0</v>
      </c>
      <c r="V2874" s="41">
        <f>IF(AND(H2874="Falta",L2874=Config!$B$7,M2874=Config!$B$5,COUNTIFS($E$5:E2874,E2874,$H$5:H2874,"Falta",$L$5:L2874,Config!$B$7,$M$5:M2874,Config!$B$5)=1),COUNTIFS($E$5:$E$3004,E2874,$H$5:$H$3004,"Falta",$L$5:$L$3004,Config!$B$7,$M$5:$M$3004,Config!$B$5)*1000-ROW()/100000,0)</f>
        <v>0</v>
      </c>
    </row>
    <row r="2875">
      <c r="A2875" s="39" t="n"/>
      <c r="B2875" s="40" t="n"/>
      <c r="C2875" s="35" t="n"/>
      <c r="D2875" s="35" t="n"/>
      <c r="E2875" s="34" t="n"/>
      <c r="F2875" s="35" t="n"/>
      <c r="G2875" s="35" t="n"/>
      <c r="H2875" s="35" t="n"/>
      <c r="I2875" s="35" t="n"/>
      <c r="J2875" s="35" t="n"/>
      <c r="K2875" s="34" t="n"/>
      <c r="L2875" s="26">
        <f>IF(A2875="","",MONTH(A2875))</f>
        <v/>
      </c>
      <c r="M2875" s="26">
        <f>IF(A2875="","",YEAR(A2875))</f>
        <v/>
      </c>
      <c r="N2875" s="26">
        <f>IF(A2875="","",CHOOSE(WEEKDAY(A2875,2),"Segunda","Terça","Quarta","Quinta","Sexta","Sábado","Domingo"))</f>
        <v/>
      </c>
      <c r="O2875" s="26">
        <f>IF(B2875="","",IF(B2875&lt;TIME(12,0,0),"Manhã",IF(B2875&lt;TIME(18,0,0),"Tarde","Noite")))</f>
        <v/>
      </c>
      <c r="P2875" s="32">
        <f>IF(G2875="","",IFERROR(INDEX(Config!$I$5:$I$16,MATCH(G2875,Config!$H$5:$H$16,0)),0))</f>
        <v/>
      </c>
      <c r="Q2875" s="30">
        <f>IF(OR(H2875&lt;&gt;"Realizado",P2875="",P2875=0),"",A2875+P2875)</f>
        <v/>
      </c>
      <c r="R2875" s="26">
        <f>IF(Q2875="","",IF(COUNTIFS($E$5:$E$3004,E2875,$A$5:$A$3004,"&gt;"&amp;A2875,$H$5:$H$3004,"&lt;&gt;Falta",$H$5:$H$3004,"&lt;&gt;Cancelado",$H$5:$H$3004,"&lt;&gt;Remarcado")&gt;0,"Sim","Não"))</f>
        <v/>
      </c>
      <c r="S2875" s="32">
        <f>IF(R2875&lt;&gt;"Não","",IF(Q2875+Config!$B$9&lt;=Config!$B$8,Config!$B$8-Q2875,""))</f>
        <v/>
      </c>
      <c r="T2875" s="26">
        <f>IF(S2875="","","Sim")</f>
        <v/>
      </c>
      <c r="U2875" s="41">
        <f>IF(T2875="Sim",S2875+ROW()/100000,0)</f>
        <v>0</v>
      </c>
      <c r="V2875" s="41">
        <f>IF(AND(H2875="Falta",L2875=Config!$B$7,M2875=Config!$B$5,COUNTIFS($E$5:E2875,E2875,$H$5:H2875,"Falta",$L$5:L2875,Config!$B$7,$M$5:M2875,Config!$B$5)=1),COUNTIFS($E$5:$E$3004,E2875,$H$5:$H$3004,"Falta",$L$5:$L$3004,Config!$B$7,$M$5:$M$3004,Config!$B$5)*1000-ROW()/100000,0)</f>
        <v>0</v>
      </c>
    </row>
    <row r="2876">
      <c r="A2876" s="39" t="n"/>
      <c r="B2876" s="40" t="n"/>
      <c r="C2876" s="35" t="n"/>
      <c r="D2876" s="35" t="n"/>
      <c r="E2876" s="34" t="n"/>
      <c r="F2876" s="35" t="n"/>
      <c r="G2876" s="35" t="n"/>
      <c r="H2876" s="35" t="n"/>
      <c r="I2876" s="35" t="n"/>
      <c r="J2876" s="35" t="n"/>
      <c r="K2876" s="34" t="n"/>
      <c r="L2876" s="26">
        <f>IF(A2876="","",MONTH(A2876))</f>
        <v/>
      </c>
      <c r="M2876" s="26">
        <f>IF(A2876="","",YEAR(A2876))</f>
        <v/>
      </c>
      <c r="N2876" s="26">
        <f>IF(A2876="","",CHOOSE(WEEKDAY(A2876,2),"Segunda","Terça","Quarta","Quinta","Sexta","Sábado","Domingo"))</f>
        <v/>
      </c>
      <c r="O2876" s="26">
        <f>IF(B2876="","",IF(B2876&lt;TIME(12,0,0),"Manhã",IF(B2876&lt;TIME(18,0,0),"Tarde","Noite")))</f>
        <v/>
      </c>
      <c r="P2876" s="32">
        <f>IF(G2876="","",IFERROR(INDEX(Config!$I$5:$I$16,MATCH(G2876,Config!$H$5:$H$16,0)),0))</f>
        <v/>
      </c>
      <c r="Q2876" s="30">
        <f>IF(OR(H2876&lt;&gt;"Realizado",P2876="",P2876=0),"",A2876+P2876)</f>
        <v/>
      </c>
      <c r="R2876" s="26">
        <f>IF(Q2876="","",IF(COUNTIFS($E$5:$E$3004,E2876,$A$5:$A$3004,"&gt;"&amp;A2876,$H$5:$H$3004,"&lt;&gt;Falta",$H$5:$H$3004,"&lt;&gt;Cancelado",$H$5:$H$3004,"&lt;&gt;Remarcado")&gt;0,"Sim","Não"))</f>
        <v/>
      </c>
      <c r="S2876" s="32">
        <f>IF(R2876&lt;&gt;"Não","",IF(Q2876+Config!$B$9&lt;=Config!$B$8,Config!$B$8-Q2876,""))</f>
        <v/>
      </c>
      <c r="T2876" s="26">
        <f>IF(S2876="","","Sim")</f>
        <v/>
      </c>
      <c r="U2876" s="41">
        <f>IF(T2876="Sim",S2876+ROW()/100000,0)</f>
        <v>0</v>
      </c>
      <c r="V2876" s="41">
        <f>IF(AND(H2876="Falta",L2876=Config!$B$7,M2876=Config!$B$5,COUNTIFS($E$5:E2876,E2876,$H$5:H2876,"Falta",$L$5:L2876,Config!$B$7,$M$5:M2876,Config!$B$5)=1),COUNTIFS($E$5:$E$3004,E2876,$H$5:$H$3004,"Falta",$L$5:$L$3004,Config!$B$7,$M$5:$M$3004,Config!$B$5)*1000-ROW()/100000,0)</f>
        <v>0</v>
      </c>
    </row>
    <row r="2877">
      <c r="A2877" s="39" t="n"/>
      <c r="B2877" s="40" t="n"/>
      <c r="C2877" s="35" t="n"/>
      <c r="D2877" s="35" t="n"/>
      <c r="E2877" s="34" t="n"/>
      <c r="F2877" s="35" t="n"/>
      <c r="G2877" s="35" t="n"/>
      <c r="H2877" s="35" t="n"/>
      <c r="I2877" s="35" t="n"/>
      <c r="J2877" s="35" t="n"/>
      <c r="K2877" s="34" t="n"/>
      <c r="L2877" s="26">
        <f>IF(A2877="","",MONTH(A2877))</f>
        <v/>
      </c>
      <c r="M2877" s="26">
        <f>IF(A2877="","",YEAR(A2877))</f>
        <v/>
      </c>
      <c r="N2877" s="26">
        <f>IF(A2877="","",CHOOSE(WEEKDAY(A2877,2),"Segunda","Terça","Quarta","Quinta","Sexta","Sábado","Domingo"))</f>
        <v/>
      </c>
      <c r="O2877" s="26">
        <f>IF(B2877="","",IF(B2877&lt;TIME(12,0,0),"Manhã",IF(B2877&lt;TIME(18,0,0),"Tarde","Noite")))</f>
        <v/>
      </c>
      <c r="P2877" s="32">
        <f>IF(G2877="","",IFERROR(INDEX(Config!$I$5:$I$16,MATCH(G2877,Config!$H$5:$H$16,0)),0))</f>
        <v/>
      </c>
      <c r="Q2877" s="30">
        <f>IF(OR(H2877&lt;&gt;"Realizado",P2877="",P2877=0),"",A2877+P2877)</f>
        <v/>
      </c>
      <c r="R2877" s="26">
        <f>IF(Q2877="","",IF(COUNTIFS($E$5:$E$3004,E2877,$A$5:$A$3004,"&gt;"&amp;A2877,$H$5:$H$3004,"&lt;&gt;Falta",$H$5:$H$3004,"&lt;&gt;Cancelado",$H$5:$H$3004,"&lt;&gt;Remarcado")&gt;0,"Sim","Não"))</f>
        <v/>
      </c>
      <c r="S2877" s="32">
        <f>IF(R2877&lt;&gt;"Não","",IF(Q2877+Config!$B$9&lt;=Config!$B$8,Config!$B$8-Q2877,""))</f>
        <v/>
      </c>
      <c r="T2877" s="26">
        <f>IF(S2877="","","Sim")</f>
        <v/>
      </c>
      <c r="U2877" s="41">
        <f>IF(T2877="Sim",S2877+ROW()/100000,0)</f>
        <v>0</v>
      </c>
      <c r="V2877" s="41">
        <f>IF(AND(H2877="Falta",L2877=Config!$B$7,M2877=Config!$B$5,COUNTIFS($E$5:E2877,E2877,$H$5:H2877,"Falta",$L$5:L2877,Config!$B$7,$M$5:M2877,Config!$B$5)=1),COUNTIFS($E$5:$E$3004,E2877,$H$5:$H$3004,"Falta",$L$5:$L$3004,Config!$B$7,$M$5:$M$3004,Config!$B$5)*1000-ROW()/100000,0)</f>
        <v>0</v>
      </c>
    </row>
    <row r="2878">
      <c r="A2878" s="39" t="n"/>
      <c r="B2878" s="40" t="n"/>
      <c r="C2878" s="35" t="n"/>
      <c r="D2878" s="35" t="n"/>
      <c r="E2878" s="34" t="n"/>
      <c r="F2878" s="35" t="n"/>
      <c r="G2878" s="35" t="n"/>
      <c r="H2878" s="35" t="n"/>
      <c r="I2878" s="35" t="n"/>
      <c r="J2878" s="35" t="n"/>
      <c r="K2878" s="34" t="n"/>
      <c r="L2878" s="26">
        <f>IF(A2878="","",MONTH(A2878))</f>
        <v/>
      </c>
      <c r="M2878" s="26">
        <f>IF(A2878="","",YEAR(A2878))</f>
        <v/>
      </c>
      <c r="N2878" s="26">
        <f>IF(A2878="","",CHOOSE(WEEKDAY(A2878,2),"Segunda","Terça","Quarta","Quinta","Sexta","Sábado","Domingo"))</f>
        <v/>
      </c>
      <c r="O2878" s="26">
        <f>IF(B2878="","",IF(B2878&lt;TIME(12,0,0),"Manhã",IF(B2878&lt;TIME(18,0,0),"Tarde","Noite")))</f>
        <v/>
      </c>
      <c r="P2878" s="32">
        <f>IF(G2878="","",IFERROR(INDEX(Config!$I$5:$I$16,MATCH(G2878,Config!$H$5:$H$16,0)),0))</f>
        <v/>
      </c>
      <c r="Q2878" s="30">
        <f>IF(OR(H2878&lt;&gt;"Realizado",P2878="",P2878=0),"",A2878+P2878)</f>
        <v/>
      </c>
      <c r="R2878" s="26">
        <f>IF(Q2878="","",IF(COUNTIFS($E$5:$E$3004,E2878,$A$5:$A$3004,"&gt;"&amp;A2878,$H$5:$H$3004,"&lt;&gt;Falta",$H$5:$H$3004,"&lt;&gt;Cancelado",$H$5:$H$3004,"&lt;&gt;Remarcado")&gt;0,"Sim","Não"))</f>
        <v/>
      </c>
      <c r="S2878" s="32">
        <f>IF(R2878&lt;&gt;"Não","",IF(Q2878+Config!$B$9&lt;=Config!$B$8,Config!$B$8-Q2878,""))</f>
        <v/>
      </c>
      <c r="T2878" s="26">
        <f>IF(S2878="","","Sim")</f>
        <v/>
      </c>
      <c r="U2878" s="41">
        <f>IF(T2878="Sim",S2878+ROW()/100000,0)</f>
        <v>0</v>
      </c>
      <c r="V2878" s="41">
        <f>IF(AND(H2878="Falta",L2878=Config!$B$7,M2878=Config!$B$5,COUNTIFS($E$5:E2878,E2878,$H$5:H2878,"Falta",$L$5:L2878,Config!$B$7,$M$5:M2878,Config!$B$5)=1),COUNTIFS($E$5:$E$3004,E2878,$H$5:$H$3004,"Falta",$L$5:$L$3004,Config!$B$7,$M$5:$M$3004,Config!$B$5)*1000-ROW()/100000,0)</f>
        <v>0</v>
      </c>
    </row>
    <row r="2879">
      <c r="A2879" s="39" t="n"/>
      <c r="B2879" s="40" t="n"/>
      <c r="C2879" s="35" t="n"/>
      <c r="D2879" s="35" t="n"/>
      <c r="E2879" s="34" t="n"/>
      <c r="F2879" s="35" t="n"/>
      <c r="G2879" s="35" t="n"/>
      <c r="H2879" s="35" t="n"/>
      <c r="I2879" s="35" t="n"/>
      <c r="J2879" s="35" t="n"/>
      <c r="K2879" s="34" t="n"/>
      <c r="L2879" s="26">
        <f>IF(A2879="","",MONTH(A2879))</f>
        <v/>
      </c>
      <c r="M2879" s="26">
        <f>IF(A2879="","",YEAR(A2879))</f>
        <v/>
      </c>
      <c r="N2879" s="26">
        <f>IF(A2879="","",CHOOSE(WEEKDAY(A2879,2),"Segunda","Terça","Quarta","Quinta","Sexta","Sábado","Domingo"))</f>
        <v/>
      </c>
      <c r="O2879" s="26">
        <f>IF(B2879="","",IF(B2879&lt;TIME(12,0,0),"Manhã",IF(B2879&lt;TIME(18,0,0),"Tarde","Noite")))</f>
        <v/>
      </c>
      <c r="P2879" s="32">
        <f>IF(G2879="","",IFERROR(INDEX(Config!$I$5:$I$16,MATCH(G2879,Config!$H$5:$H$16,0)),0))</f>
        <v/>
      </c>
      <c r="Q2879" s="30">
        <f>IF(OR(H2879&lt;&gt;"Realizado",P2879="",P2879=0),"",A2879+P2879)</f>
        <v/>
      </c>
      <c r="R2879" s="26">
        <f>IF(Q2879="","",IF(COUNTIFS($E$5:$E$3004,E2879,$A$5:$A$3004,"&gt;"&amp;A2879,$H$5:$H$3004,"&lt;&gt;Falta",$H$5:$H$3004,"&lt;&gt;Cancelado",$H$5:$H$3004,"&lt;&gt;Remarcado")&gt;0,"Sim","Não"))</f>
        <v/>
      </c>
      <c r="S2879" s="32">
        <f>IF(R2879&lt;&gt;"Não","",IF(Q2879+Config!$B$9&lt;=Config!$B$8,Config!$B$8-Q2879,""))</f>
        <v/>
      </c>
      <c r="T2879" s="26">
        <f>IF(S2879="","","Sim")</f>
        <v/>
      </c>
      <c r="U2879" s="41">
        <f>IF(T2879="Sim",S2879+ROW()/100000,0)</f>
        <v>0</v>
      </c>
      <c r="V2879" s="41">
        <f>IF(AND(H2879="Falta",L2879=Config!$B$7,M2879=Config!$B$5,COUNTIFS($E$5:E2879,E2879,$H$5:H2879,"Falta",$L$5:L2879,Config!$B$7,$M$5:M2879,Config!$B$5)=1),COUNTIFS($E$5:$E$3004,E2879,$H$5:$H$3004,"Falta",$L$5:$L$3004,Config!$B$7,$M$5:$M$3004,Config!$B$5)*1000-ROW()/100000,0)</f>
        <v>0</v>
      </c>
    </row>
    <row r="2880">
      <c r="A2880" s="39" t="n"/>
      <c r="B2880" s="40" t="n"/>
      <c r="C2880" s="35" t="n"/>
      <c r="D2880" s="35" t="n"/>
      <c r="E2880" s="34" t="n"/>
      <c r="F2880" s="35" t="n"/>
      <c r="G2880" s="35" t="n"/>
      <c r="H2880" s="35" t="n"/>
      <c r="I2880" s="35" t="n"/>
      <c r="J2880" s="35" t="n"/>
      <c r="K2880" s="34" t="n"/>
      <c r="L2880" s="26">
        <f>IF(A2880="","",MONTH(A2880))</f>
        <v/>
      </c>
      <c r="M2880" s="26">
        <f>IF(A2880="","",YEAR(A2880))</f>
        <v/>
      </c>
      <c r="N2880" s="26">
        <f>IF(A2880="","",CHOOSE(WEEKDAY(A2880,2),"Segunda","Terça","Quarta","Quinta","Sexta","Sábado","Domingo"))</f>
        <v/>
      </c>
      <c r="O2880" s="26">
        <f>IF(B2880="","",IF(B2880&lt;TIME(12,0,0),"Manhã",IF(B2880&lt;TIME(18,0,0),"Tarde","Noite")))</f>
        <v/>
      </c>
      <c r="P2880" s="32">
        <f>IF(G2880="","",IFERROR(INDEX(Config!$I$5:$I$16,MATCH(G2880,Config!$H$5:$H$16,0)),0))</f>
        <v/>
      </c>
      <c r="Q2880" s="30">
        <f>IF(OR(H2880&lt;&gt;"Realizado",P2880="",P2880=0),"",A2880+P2880)</f>
        <v/>
      </c>
      <c r="R2880" s="26">
        <f>IF(Q2880="","",IF(COUNTIFS($E$5:$E$3004,E2880,$A$5:$A$3004,"&gt;"&amp;A2880,$H$5:$H$3004,"&lt;&gt;Falta",$H$5:$H$3004,"&lt;&gt;Cancelado",$H$5:$H$3004,"&lt;&gt;Remarcado")&gt;0,"Sim","Não"))</f>
        <v/>
      </c>
      <c r="S2880" s="32">
        <f>IF(R2880&lt;&gt;"Não","",IF(Q2880+Config!$B$9&lt;=Config!$B$8,Config!$B$8-Q2880,""))</f>
        <v/>
      </c>
      <c r="T2880" s="26">
        <f>IF(S2880="","","Sim")</f>
        <v/>
      </c>
      <c r="U2880" s="41">
        <f>IF(T2880="Sim",S2880+ROW()/100000,0)</f>
        <v>0</v>
      </c>
      <c r="V2880" s="41">
        <f>IF(AND(H2880="Falta",L2880=Config!$B$7,M2880=Config!$B$5,COUNTIFS($E$5:E2880,E2880,$H$5:H2880,"Falta",$L$5:L2880,Config!$B$7,$M$5:M2880,Config!$B$5)=1),COUNTIFS($E$5:$E$3004,E2880,$H$5:$H$3004,"Falta",$L$5:$L$3004,Config!$B$7,$M$5:$M$3004,Config!$B$5)*1000-ROW()/100000,0)</f>
        <v>0</v>
      </c>
    </row>
    <row r="2881">
      <c r="A2881" s="39" t="n"/>
      <c r="B2881" s="40" t="n"/>
      <c r="C2881" s="35" t="n"/>
      <c r="D2881" s="35" t="n"/>
      <c r="E2881" s="34" t="n"/>
      <c r="F2881" s="35" t="n"/>
      <c r="G2881" s="35" t="n"/>
      <c r="H2881" s="35" t="n"/>
      <c r="I2881" s="35" t="n"/>
      <c r="J2881" s="35" t="n"/>
      <c r="K2881" s="34" t="n"/>
      <c r="L2881" s="26">
        <f>IF(A2881="","",MONTH(A2881))</f>
        <v/>
      </c>
      <c r="M2881" s="26">
        <f>IF(A2881="","",YEAR(A2881))</f>
        <v/>
      </c>
      <c r="N2881" s="26">
        <f>IF(A2881="","",CHOOSE(WEEKDAY(A2881,2),"Segunda","Terça","Quarta","Quinta","Sexta","Sábado","Domingo"))</f>
        <v/>
      </c>
      <c r="O2881" s="26">
        <f>IF(B2881="","",IF(B2881&lt;TIME(12,0,0),"Manhã",IF(B2881&lt;TIME(18,0,0),"Tarde","Noite")))</f>
        <v/>
      </c>
      <c r="P2881" s="32">
        <f>IF(G2881="","",IFERROR(INDEX(Config!$I$5:$I$16,MATCH(G2881,Config!$H$5:$H$16,0)),0))</f>
        <v/>
      </c>
      <c r="Q2881" s="30">
        <f>IF(OR(H2881&lt;&gt;"Realizado",P2881="",P2881=0),"",A2881+P2881)</f>
        <v/>
      </c>
      <c r="R2881" s="26">
        <f>IF(Q2881="","",IF(COUNTIFS($E$5:$E$3004,E2881,$A$5:$A$3004,"&gt;"&amp;A2881,$H$5:$H$3004,"&lt;&gt;Falta",$H$5:$H$3004,"&lt;&gt;Cancelado",$H$5:$H$3004,"&lt;&gt;Remarcado")&gt;0,"Sim","Não"))</f>
        <v/>
      </c>
      <c r="S2881" s="32">
        <f>IF(R2881&lt;&gt;"Não","",IF(Q2881+Config!$B$9&lt;=Config!$B$8,Config!$B$8-Q2881,""))</f>
        <v/>
      </c>
      <c r="T2881" s="26">
        <f>IF(S2881="","","Sim")</f>
        <v/>
      </c>
      <c r="U2881" s="41">
        <f>IF(T2881="Sim",S2881+ROW()/100000,0)</f>
        <v>0</v>
      </c>
      <c r="V2881" s="41">
        <f>IF(AND(H2881="Falta",L2881=Config!$B$7,M2881=Config!$B$5,COUNTIFS($E$5:E2881,E2881,$H$5:H2881,"Falta",$L$5:L2881,Config!$B$7,$M$5:M2881,Config!$B$5)=1),COUNTIFS($E$5:$E$3004,E2881,$H$5:$H$3004,"Falta",$L$5:$L$3004,Config!$B$7,$M$5:$M$3004,Config!$B$5)*1000-ROW()/100000,0)</f>
        <v>0</v>
      </c>
    </row>
    <row r="2882">
      <c r="A2882" s="39" t="n"/>
      <c r="B2882" s="40" t="n"/>
      <c r="C2882" s="35" t="n"/>
      <c r="D2882" s="35" t="n"/>
      <c r="E2882" s="34" t="n"/>
      <c r="F2882" s="35" t="n"/>
      <c r="G2882" s="35" t="n"/>
      <c r="H2882" s="35" t="n"/>
      <c r="I2882" s="35" t="n"/>
      <c r="J2882" s="35" t="n"/>
      <c r="K2882" s="34" t="n"/>
      <c r="L2882" s="26">
        <f>IF(A2882="","",MONTH(A2882))</f>
        <v/>
      </c>
      <c r="M2882" s="26">
        <f>IF(A2882="","",YEAR(A2882))</f>
        <v/>
      </c>
      <c r="N2882" s="26">
        <f>IF(A2882="","",CHOOSE(WEEKDAY(A2882,2),"Segunda","Terça","Quarta","Quinta","Sexta","Sábado","Domingo"))</f>
        <v/>
      </c>
      <c r="O2882" s="26">
        <f>IF(B2882="","",IF(B2882&lt;TIME(12,0,0),"Manhã",IF(B2882&lt;TIME(18,0,0),"Tarde","Noite")))</f>
        <v/>
      </c>
      <c r="P2882" s="32">
        <f>IF(G2882="","",IFERROR(INDEX(Config!$I$5:$I$16,MATCH(G2882,Config!$H$5:$H$16,0)),0))</f>
        <v/>
      </c>
      <c r="Q2882" s="30">
        <f>IF(OR(H2882&lt;&gt;"Realizado",P2882="",P2882=0),"",A2882+P2882)</f>
        <v/>
      </c>
      <c r="R2882" s="26">
        <f>IF(Q2882="","",IF(COUNTIFS($E$5:$E$3004,E2882,$A$5:$A$3004,"&gt;"&amp;A2882,$H$5:$H$3004,"&lt;&gt;Falta",$H$5:$H$3004,"&lt;&gt;Cancelado",$H$5:$H$3004,"&lt;&gt;Remarcado")&gt;0,"Sim","Não"))</f>
        <v/>
      </c>
      <c r="S2882" s="32">
        <f>IF(R2882&lt;&gt;"Não","",IF(Q2882+Config!$B$9&lt;=Config!$B$8,Config!$B$8-Q2882,""))</f>
        <v/>
      </c>
      <c r="T2882" s="26">
        <f>IF(S2882="","","Sim")</f>
        <v/>
      </c>
      <c r="U2882" s="41">
        <f>IF(T2882="Sim",S2882+ROW()/100000,0)</f>
        <v>0</v>
      </c>
      <c r="V2882" s="41">
        <f>IF(AND(H2882="Falta",L2882=Config!$B$7,M2882=Config!$B$5,COUNTIFS($E$5:E2882,E2882,$H$5:H2882,"Falta",$L$5:L2882,Config!$B$7,$M$5:M2882,Config!$B$5)=1),COUNTIFS($E$5:$E$3004,E2882,$H$5:$H$3004,"Falta",$L$5:$L$3004,Config!$B$7,$M$5:$M$3004,Config!$B$5)*1000-ROW()/100000,0)</f>
        <v>0</v>
      </c>
    </row>
    <row r="2883">
      <c r="A2883" s="39" t="n"/>
      <c r="B2883" s="40" t="n"/>
      <c r="C2883" s="35" t="n"/>
      <c r="D2883" s="35" t="n"/>
      <c r="E2883" s="34" t="n"/>
      <c r="F2883" s="35" t="n"/>
      <c r="G2883" s="35" t="n"/>
      <c r="H2883" s="35" t="n"/>
      <c r="I2883" s="35" t="n"/>
      <c r="J2883" s="35" t="n"/>
      <c r="K2883" s="34" t="n"/>
      <c r="L2883" s="26">
        <f>IF(A2883="","",MONTH(A2883))</f>
        <v/>
      </c>
      <c r="M2883" s="26">
        <f>IF(A2883="","",YEAR(A2883))</f>
        <v/>
      </c>
      <c r="N2883" s="26">
        <f>IF(A2883="","",CHOOSE(WEEKDAY(A2883,2),"Segunda","Terça","Quarta","Quinta","Sexta","Sábado","Domingo"))</f>
        <v/>
      </c>
      <c r="O2883" s="26">
        <f>IF(B2883="","",IF(B2883&lt;TIME(12,0,0),"Manhã",IF(B2883&lt;TIME(18,0,0),"Tarde","Noite")))</f>
        <v/>
      </c>
      <c r="P2883" s="32">
        <f>IF(G2883="","",IFERROR(INDEX(Config!$I$5:$I$16,MATCH(G2883,Config!$H$5:$H$16,0)),0))</f>
        <v/>
      </c>
      <c r="Q2883" s="30">
        <f>IF(OR(H2883&lt;&gt;"Realizado",P2883="",P2883=0),"",A2883+P2883)</f>
        <v/>
      </c>
      <c r="R2883" s="26">
        <f>IF(Q2883="","",IF(COUNTIFS($E$5:$E$3004,E2883,$A$5:$A$3004,"&gt;"&amp;A2883,$H$5:$H$3004,"&lt;&gt;Falta",$H$5:$H$3004,"&lt;&gt;Cancelado",$H$5:$H$3004,"&lt;&gt;Remarcado")&gt;0,"Sim","Não"))</f>
        <v/>
      </c>
      <c r="S2883" s="32">
        <f>IF(R2883&lt;&gt;"Não","",IF(Q2883+Config!$B$9&lt;=Config!$B$8,Config!$B$8-Q2883,""))</f>
        <v/>
      </c>
      <c r="T2883" s="26">
        <f>IF(S2883="","","Sim")</f>
        <v/>
      </c>
      <c r="U2883" s="41">
        <f>IF(T2883="Sim",S2883+ROW()/100000,0)</f>
        <v>0</v>
      </c>
      <c r="V2883" s="41">
        <f>IF(AND(H2883="Falta",L2883=Config!$B$7,M2883=Config!$B$5,COUNTIFS($E$5:E2883,E2883,$H$5:H2883,"Falta",$L$5:L2883,Config!$B$7,$M$5:M2883,Config!$B$5)=1),COUNTIFS($E$5:$E$3004,E2883,$H$5:$H$3004,"Falta",$L$5:$L$3004,Config!$B$7,$M$5:$M$3004,Config!$B$5)*1000-ROW()/100000,0)</f>
        <v>0</v>
      </c>
    </row>
    <row r="2884">
      <c r="A2884" s="39" t="n"/>
      <c r="B2884" s="40" t="n"/>
      <c r="C2884" s="35" t="n"/>
      <c r="D2884" s="35" t="n"/>
      <c r="E2884" s="34" t="n"/>
      <c r="F2884" s="35" t="n"/>
      <c r="G2884" s="35" t="n"/>
      <c r="H2884" s="35" t="n"/>
      <c r="I2884" s="35" t="n"/>
      <c r="J2884" s="35" t="n"/>
      <c r="K2884" s="34" t="n"/>
      <c r="L2884" s="26">
        <f>IF(A2884="","",MONTH(A2884))</f>
        <v/>
      </c>
      <c r="M2884" s="26">
        <f>IF(A2884="","",YEAR(A2884))</f>
        <v/>
      </c>
      <c r="N2884" s="26">
        <f>IF(A2884="","",CHOOSE(WEEKDAY(A2884,2),"Segunda","Terça","Quarta","Quinta","Sexta","Sábado","Domingo"))</f>
        <v/>
      </c>
      <c r="O2884" s="26">
        <f>IF(B2884="","",IF(B2884&lt;TIME(12,0,0),"Manhã",IF(B2884&lt;TIME(18,0,0),"Tarde","Noite")))</f>
        <v/>
      </c>
      <c r="P2884" s="32">
        <f>IF(G2884="","",IFERROR(INDEX(Config!$I$5:$I$16,MATCH(G2884,Config!$H$5:$H$16,0)),0))</f>
        <v/>
      </c>
      <c r="Q2884" s="30">
        <f>IF(OR(H2884&lt;&gt;"Realizado",P2884="",P2884=0),"",A2884+P2884)</f>
        <v/>
      </c>
      <c r="R2884" s="26">
        <f>IF(Q2884="","",IF(COUNTIFS($E$5:$E$3004,E2884,$A$5:$A$3004,"&gt;"&amp;A2884,$H$5:$H$3004,"&lt;&gt;Falta",$H$5:$H$3004,"&lt;&gt;Cancelado",$H$5:$H$3004,"&lt;&gt;Remarcado")&gt;0,"Sim","Não"))</f>
        <v/>
      </c>
      <c r="S2884" s="32">
        <f>IF(R2884&lt;&gt;"Não","",IF(Q2884+Config!$B$9&lt;=Config!$B$8,Config!$B$8-Q2884,""))</f>
        <v/>
      </c>
      <c r="T2884" s="26">
        <f>IF(S2884="","","Sim")</f>
        <v/>
      </c>
      <c r="U2884" s="41">
        <f>IF(T2884="Sim",S2884+ROW()/100000,0)</f>
        <v>0</v>
      </c>
      <c r="V2884" s="41">
        <f>IF(AND(H2884="Falta",L2884=Config!$B$7,M2884=Config!$B$5,COUNTIFS($E$5:E2884,E2884,$H$5:H2884,"Falta",$L$5:L2884,Config!$B$7,$M$5:M2884,Config!$B$5)=1),COUNTIFS($E$5:$E$3004,E2884,$H$5:$H$3004,"Falta",$L$5:$L$3004,Config!$B$7,$M$5:$M$3004,Config!$B$5)*1000-ROW()/100000,0)</f>
        <v>0</v>
      </c>
    </row>
    <row r="2885">
      <c r="A2885" s="39" t="n"/>
      <c r="B2885" s="40" t="n"/>
      <c r="C2885" s="35" t="n"/>
      <c r="D2885" s="35" t="n"/>
      <c r="E2885" s="34" t="n"/>
      <c r="F2885" s="35" t="n"/>
      <c r="G2885" s="35" t="n"/>
      <c r="H2885" s="35" t="n"/>
      <c r="I2885" s="35" t="n"/>
      <c r="J2885" s="35" t="n"/>
      <c r="K2885" s="34" t="n"/>
      <c r="L2885" s="26">
        <f>IF(A2885="","",MONTH(A2885))</f>
        <v/>
      </c>
      <c r="M2885" s="26">
        <f>IF(A2885="","",YEAR(A2885))</f>
        <v/>
      </c>
      <c r="N2885" s="26">
        <f>IF(A2885="","",CHOOSE(WEEKDAY(A2885,2),"Segunda","Terça","Quarta","Quinta","Sexta","Sábado","Domingo"))</f>
        <v/>
      </c>
      <c r="O2885" s="26">
        <f>IF(B2885="","",IF(B2885&lt;TIME(12,0,0),"Manhã",IF(B2885&lt;TIME(18,0,0),"Tarde","Noite")))</f>
        <v/>
      </c>
      <c r="P2885" s="32">
        <f>IF(G2885="","",IFERROR(INDEX(Config!$I$5:$I$16,MATCH(G2885,Config!$H$5:$H$16,0)),0))</f>
        <v/>
      </c>
      <c r="Q2885" s="30">
        <f>IF(OR(H2885&lt;&gt;"Realizado",P2885="",P2885=0),"",A2885+P2885)</f>
        <v/>
      </c>
      <c r="R2885" s="26">
        <f>IF(Q2885="","",IF(COUNTIFS($E$5:$E$3004,E2885,$A$5:$A$3004,"&gt;"&amp;A2885,$H$5:$H$3004,"&lt;&gt;Falta",$H$5:$H$3004,"&lt;&gt;Cancelado",$H$5:$H$3004,"&lt;&gt;Remarcado")&gt;0,"Sim","Não"))</f>
        <v/>
      </c>
      <c r="S2885" s="32">
        <f>IF(R2885&lt;&gt;"Não","",IF(Q2885+Config!$B$9&lt;=Config!$B$8,Config!$B$8-Q2885,""))</f>
        <v/>
      </c>
      <c r="T2885" s="26">
        <f>IF(S2885="","","Sim")</f>
        <v/>
      </c>
      <c r="U2885" s="41">
        <f>IF(T2885="Sim",S2885+ROW()/100000,0)</f>
        <v>0</v>
      </c>
      <c r="V2885" s="41">
        <f>IF(AND(H2885="Falta",L2885=Config!$B$7,M2885=Config!$B$5,COUNTIFS($E$5:E2885,E2885,$H$5:H2885,"Falta",$L$5:L2885,Config!$B$7,$M$5:M2885,Config!$B$5)=1),COUNTIFS($E$5:$E$3004,E2885,$H$5:$H$3004,"Falta",$L$5:$L$3004,Config!$B$7,$M$5:$M$3004,Config!$B$5)*1000-ROW()/100000,0)</f>
        <v>0</v>
      </c>
    </row>
    <row r="2886">
      <c r="A2886" s="39" t="n"/>
      <c r="B2886" s="40" t="n"/>
      <c r="C2886" s="35" t="n"/>
      <c r="D2886" s="35" t="n"/>
      <c r="E2886" s="34" t="n"/>
      <c r="F2886" s="35" t="n"/>
      <c r="G2886" s="35" t="n"/>
      <c r="H2886" s="35" t="n"/>
      <c r="I2886" s="35" t="n"/>
      <c r="J2886" s="35" t="n"/>
      <c r="K2886" s="34" t="n"/>
      <c r="L2886" s="26">
        <f>IF(A2886="","",MONTH(A2886))</f>
        <v/>
      </c>
      <c r="M2886" s="26">
        <f>IF(A2886="","",YEAR(A2886))</f>
        <v/>
      </c>
      <c r="N2886" s="26">
        <f>IF(A2886="","",CHOOSE(WEEKDAY(A2886,2),"Segunda","Terça","Quarta","Quinta","Sexta","Sábado","Domingo"))</f>
        <v/>
      </c>
      <c r="O2886" s="26">
        <f>IF(B2886="","",IF(B2886&lt;TIME(12,0,0),"Manhã",IF(B2886&lt;TIME(18,0,0),"Tarde","Noite")))</f>
        <v/>
      </c>
      <c r="P2886" s="32">
        <f>IF(G2886="","",IFERROR(INDEX(Config!$I$5:$I$16,MATCH(G2886,Config!$H$5:$H$16,0)),0))</f>
        <v/>
      </c>
      <c r="Q2886" s="30">
        <f>IF(OR(H2886&lt;&gt;"Realizado",P2886="",P2886=0),"",A2886+P2886)</f>
        <v/>
      </c>
      <c r="R2886" s="26">
        <f>IF(Q2886="","",IF(COUNTIFS($E$5:$E$3004,E2886,$A$5:$A$3004,"&gt;"&amp;A2886,$H$5:$H$3004,"&lt;&gt;Falta",$H$5:$H$3004,"&lt;&gt;Cancelado",$H$5:$H$3004,"&lt;&gt;Remarcado")&gt;0,"Sim","Não"))</f>
        <v/>
      </c>
      <c r="S2886" s="32">
        <f>IF(R2886&lt;&gt;"Não","",IF(Q2886+Config!$B$9&lt;=Config!$B$8,Config!$B$8-Q2886,""))</f>
        <v/>
      </c>
      <c r="T2886" s="26">
        <f>IF(S2886="","","Sim")</f>
        <v/>
      </c>
      <c r="U2886" s="41">
        <f>IF(T2886="Sim",S2886+ROW()/100000,0)</f>
        <v>0</v>
      </c>
      <c r="V2886" s="41">
        <f>IF(AND(H2886="Falta",L2886=Config!$B$7,M2886=Config!$B$5,COUNTIFS($E$5:E2886,E2886,$H$5:H2886,"Falta",$L$5:L2886,Config!$B$7,$M$5:M2886,Config!$B$5)=1),COUNTIFS($E$5:$E$3004,E2886,$H$5:$H$3004,"Falta",$L$5:$L$3004,Config!$B$7,$M$5:$M$3004,Config!$B$5)*1000-ROW()/100000,0)</f>
        <v>0</v>
      </c>
    </row>
    <row r="2887">
      <c r="A2887" s="39" t="n"/>
      <c r="B2887" s="40" t="n"/>
      <c r="C2887" s="35" t="n"/>
      <c r="D2887" s="35" t="n"/>
      <c r="E2887" s="34" t="n"/>
      <c r="F2887" s="35" t="n"/>
      <c r="G2887" s="35" t="n"/>
      <c r="H2887" s="35" t="n"/>
      <c r="I2887" s="35" t="n"/>
      <c r="J2887" s="35" t="n"/>
      <c r="K2887" s="34" t="n"/>
      <c r="L2887" s="26">
        <f>IF(A2887="","",MONTH(A2887))</f>
        <v/>
      </c>
      <c r="M2887" s="26">
        <f>IF(A2887="","",YEAR(A2887))</f>
        <v/>
      </c>
      <c r="N2887" s="26">
        <f>IF(A2887="","",CHOOSE(WEEKDAY(A2887,2),"Segunda","Terça","Quarta","Quinta","Sexta","Sábado","Domingo"))</f>
        <v/>
      </c>
      <c r="O2887" s="26">
        <f>IF(B2887="","",IF(B2887&lt;TIME(12,0,0),"Manhã",IF(B2887&lt;TIME(18,0,0),"Tarde","Noite")))</f>
        <v/>
      </c>
      <c r="P2887" s="32">
        <f>IF(G2887="","",IFERROR(INDEX(Config!$I$5:$I$16,MATCH(G2887,Config!$H$5:$H$16,0)),0))</f>
        <v/>
      </c>
      <c r="Q2887" s="30">
        <f>IF(OR(H2887&lt;&gt;"Realizado",P2887="",P2887=0),"",A2887+P2887)</f>
        <v/>
      </c>
      <c r="R2887" s="26">
        <f>IF(Q2887="","",IF(COUNTIFS($E$5:$E$3004,E2887,$A$5:$A$3004,"&gt;"&amp;A2887,$H$5:$H$3004,"&lt;&gt;Falta",$H$5:$H$3004,"&lt;&gt;Cancelado",$H$5:$H$3004,"&lt;&gt;Remarcado")&gt;0,"Sim","Não"))</f>
        <v/>
      </c>
      <c r="S2887" s="32">
        <f>IF(R2887&lt;&gt;"Não","",IF(Q2887+Config!$B$9&lt;=Config!$B$8,Config!$B$8-Q2887,""))</f>
        <v/>
      </c>
      <c r="T2887" s="26">
        <f>IF(S2887="","","Sim")</f>
        <v/>
      </c>
      <c r="U2887" s="41">
        <f>IF(T2887="Sim",S2887+ROW()/100000,0)</f>
        <v>0</v>
      </c>
      <c r="V2887" s="41">
        <f>IF(AND(H2887="Falta",L2887=Config!$B$7,M2887=Config!$B$5,COUNTIFS($E$5:E2887,E2887,$H$5:H2887,"Falta",$L$5:L2887,Config!$B$7,$M$5:M2887,Config!$B$5)=1),COUNTIFS($E$5:$E$3004,E2887,$H$5:$H$3004,"Falta",$L$5:$L$3004,Config!$B$7,$M$5:$M$3004,Config!$B$5)*1000-ROW()/100000,0)</f>
        <v>0</v>
      </c>
    </row>
    <row r="2888">
      <c r="A2888" s="39" t="n"/>
      <c r="B2888" s="40" t="n"/>
      <c r="C2888" s="35" t="n"/>
      <c r="D2888" s="35" t="n"/>
      <c r="E2888" s="34" t="n"/>
      <c r="F2888" s="35" t="n"/>
      <c r="G2888" s="35" t="n"/>
      <c r="H2888" s="35" t="n"/>
      <c r="I2888" s="35" t="n"/>
      <c r="J2888" s="35" t="n"/>
      <c r="K2888" s="34" t="n"/>
      <c r="L2888" s="26">
        <f>IF(A2888="","",MONTH(A2888))</f>
        <v/>
      </c>
      <c r="M2888" s="26">
        <f>IF(A2888="","",YEAR(A2888))</f>
        <v/>
      </c>
      <c r="N2888" s="26">
        <f>IF(A2888="","",CHOOSE(WEEKDAY(A2888,2),"Segunda","Terça","Quarta","Quinta","Sexta","Sábado","Domingo"))</f>
        <v/>
      </c>
      <c r="O2888" s="26">
        <f>IF(B2888="","",IF(B2888&lt;TIME(12,0,0),"Manhã",IF(B2888&lt;TIME(18,0,0),"Tarde","Noite")))</f>
        <v/>
      </c>
      <c r="P2888" s="32">
        <f>IF(G2888="","",IFERROR(INDEX(Config!$I$5:$I$16,MATCH(G2888,Config!$H$5:$H$16,0)),0))</f>
        <v/>
      </c>
      <c r="Q2888" s="30">
        <f>IF(OR(H2888&lt;&gt;"Realizado",P2888="",P2888=0),"",A2888+P2888)</f>
        <v/>
      </c>
      <c r="R2888" s="26">
        <f>IF(Q2888="","",IF(COUNTIFS($E$5:$E$3004,E2888,$A$5:$A$3004,"&gt;"&amp;A2888,$H$5:$H$3004,"&lt;&gt;Falta",$H$5:$H$3004,"&lt;&gt;Cancelado",$H$5:$H$3004,"&lt;&gt;Remarcado")&gt;0,"Sim","Não"))</f>
        <v/>
      </c>
      <c r="S2888" s="32">
        <f>IF(R2888&lt;&gt;"Não","",IF(Q2888+Config!$B$9&lt;=Config!$B$8,Config!$B$8-Q2888,""))</f>
        <v/>
      </c>
      <c r="T2888" s="26">
        <f>IF(S2888="","","Sim")</f>
        <v/>
      </c>
      <c r="U2888" s="41">
        <f>IF(T2888="Sim",S2888+ROW()/100000,0)</f>
        <v>0</v>
      </c>
      <c r="V2888" s="41">
        <f>IF(AND(H2888="Falta",L2888=Config!$B$7,M2888=Config!$B$5,COUNTIFS($E$5:E2888,E2888,$H$5:H2888,"Falta",$L$5:L2888,Config!$B$7,$M$5:M2888,Config!$B$5)=1),COUNTIFS($E$5:$E$3004,E2888,$H$5:$H$3004,"Falta",$L$5:$L$3004,Config!$B$7,$M$5:$M$3004,Config!$B$5)*1000-ROW()/100000,0)</f>
        <v>0</v>
      </c>
    </row>
    <row r="2889">
      <c r="A2889" s="39" t="n"/>
      <c r="B2889" s="40" t="n"/>
      <c r="C2889" s="35" t="n"/>
      <c r="D2889" s="35" t="n"/>
      <c r="E2889" s="34" t="n"/>
      <c r="F2889" s="35" t="n"/>
      <c r="G2889" s="35" t="n"/>
      <c r="H2889" s="35" t="n"/>
      <c r="I2889" s="35" t="n"/>
      <c r="J2889" s="35" t="n"/>
      <c r="K2889" s="34" t="n"/>
      <c r="L2889" s="26">
        <f>IF(A2889="","",MONTH(A2889))</f>
        <v/>
      </c>
      <c r="M2889" s="26">
        <f>IF(A2889="","",YEAR(A2889))</f>
        <v/>
      </c>
      <c r="N2889" s="26">
        <f>IF(A2889="","",CHOOSE(WEEKDAY(A2889,2),"Segunda","Terça","Quarta","Quinta","Sexta","Sábado","Domingo"))</f>
        <v/>
      </c>
      <c r="O2889" s="26">
        <f>IF(B2889="","",IF(B2889&lt;TIME(12,0,0),"Manhã",IF(B2889&lt;TIME(18,0,0),"Tarde","Noite")))</f>
        <v/>
      </c>
      <c r="P2889" s="32">
        <f>IF(G2889="","",IFERROR(INDEX(Config!$I$5:$I$16,MATCH(G2889,Config!$H$5:$H$16,0)),0))</f>
        <v/>
      </c>
      <c r="Q2889" s="30">
        <f>IF(OR(H2889&lt;&gt;"Realizado",P2889="",P2889=0),"",A2889+P2889)</f>
        <v/>
      </c>
      <c r="R2889" s="26">
        <f>IF(Q2889="","",IF(COUNTIFS($E$5:$E$3004,E2889,$A$5:$A$3004,"&gt;"&amp;A2889,$H$5:$H$3004,"&lt;&gt;Falta",$H$5:$H$3004,"&lt;&gt;Cancelado",$H$5:$H$3004,"&lt;&gt;Remarcado")&gt;0,"Sim","Não"))</f>
        <v/>
      </c>
      <c r="S2889" s="32">
        <f>IF(R2889&lt;&gt;"Não","",IF(Q2889+Config!$B$9&lt;=Config!$B$8,Config!$B$8-Q2889,""))</f>
        <v/>
      </c>
      <c r="T2889" s="26">
        <f>IF(S2889="","","Sim")</f>
        <v/>
      </c>
      <c r="U2889" s="41">
        <f>IF(T2889="Sim",S2889+ROW()/100000,0)</f>
        <v>0</v>
      </c>
      <c r="V2889" s="41">
        <f>IF(AND(H2889="Falta",L2889=Config!$B$7,M2889=Config!$B$5,COUNTIFS($E$5:E2889,E2889,$H$5:H2889,"Falta",$L$5:L2889,Config!$B$7,$M$5:M2889,Config!$B$5)=1),COUNTIFS($E$5:$E$3004,E2889,$H$5:$H$3004,"Falta",$L$5:$L$3004,Config!$B$7,$M$5:$M$3004,Config!$B$5)*1000-ROW()/100000,0)</f>
        <v>0</v>
      </c>
    </row>
    <row r="2890">
      <c r="A2890" s="39" t="n"/>
      <c r="B2890" s="40" t="n"/>
      <c r="C2890" s="35" t="n"/>
      <c r="D2890" s="35" t="n"/>
      <c r="E2890" s="34" t="n"/>
      <c r="F2890" s="35" t="n"/>
      <c r="G2890" s="35" t="n"/>
      <c r="H2890" s="35" t="n"/>
      <c r="I2890" s="35" t="n"/>
      <c r="J2890" s="35" t="n"/>
      <c r="K2890" s="34" t="n"/>
      <c r="L2890" s="26">
        <f>IF(A2890="","",MONTH(A2890))</f>
        <v/>
      </c>
      <c r="M2890" s="26">
        <f>IF(A2890="","",YEAR(A2890))</f>
        <v/>
      </c>
      <c r="N2890" s="26">
        <f>IF(A2890="","",CHOOSE(WEEKDAY(A2890,2),"Segunda","Terça","Quarta","Quinta","Sexta","Sábado","Domingo"))</f>
        <v/>
      </c>
      <c r="O2890" s="26">
        <f>IF(B2890="","",IF(B2890&lt;TIME(12,0,0),"Manhã",IF(B2890&lt;TIME(18,0,0),"Tarde","Noite")))</f>
        <v/>
      </c>
      <c r="P2890" s="32">
        <f>IF(G2890="","",IFERROR(INDEX(Config!$I$5:$I$16,MATCH(G2890,Config!$H$5:$H$16,0)),0))</f>
        <v/>
      </c>
      <c r="Q2890" s="30">
        <f>IF(OR(H2890&lt;&gt;"Realizado",P2890="",P2890=0),"",A2890+P2890)</f>
        <v/>
      </c>
      <c r="R2890" s="26">
        <f>IF(Q2890="","",IF(COUNTIFS($E$5:$E$3004,E2890,$A$5:$A$3004,"&gt;"&amp;A2890,$H$5:$H$3004,"&lt;&gt;Falta",$H$5:$H$3004,"&lt;&gt;Cancelado",$H$5:$H$3004,"&lt;&gt;Remarcado")&gt;0,"Sim","Não"))</f>
        <v/>
      </c>
      <c r="S2890" s="32">
        <f>IF(R2890&lt;&gt;"Não","",IF(Q2890+Config!$B$9&lt;=Config!$B$8,Config!$B$8-Q2890,""))</f>
        <v/>
      </c>
      <c r="T2890" s="26">
        <f>IF(S2890="","","Sim")</f>
        <v/>
      </c>
      <c r="U2890" s="41">
        <f>IF(T2890="Sim",S2890+ROW()/100000,0)</f>
        <v>0</v>
      </c>
      <c r="V2890" s="41">
        <f>IF(AND(H2890="Falta",L2890=Config!$B$7,M2890=Config!$B$5,COUNTIFS($E$5:E2890,E2890,$H$5:H2890,"Falta",$L$5:L2890,Config!$B$7,$M$5:M2890,Config!$B$5)=1),COUNTIFS($E$5:$E$3004,E2890,$H$5:$H$3004,"Falta",$L$5:$L$3004,Config!$B$7,$M$5:$M$3004,Config!$B$5)*1000-ROW()/100000,0)</f>
        <v>0</v>
      </c>
    </row>
    <row r="2891">
      <c r="A2891" s="39" t="n"/>
      <c r="B2891" s="40" t="n"/>
      <c r="C2891" s="35" t="n"/>
      <c r="D2891" s="35" t="n"/>
      <c r="E2891" s="34" t="n"/>
      <c r="F2891" s="35" t="n"/>
      <c r="G2891" s="35" t="n"/>
      <c r="H2891" s="35" t="n"/>
      <c r="I2891" s="35" t="n"/>
      <c r="J2891" s="35" t="n"/>
      <c r="K2891" s="34" t="n"/>
      <c r="L2891" s="26">
        <f>IF(A2891="","",MONTH(A2891))</f>
        <v/>
      </c>
      <c r="M2891" s="26">
        <f>IF(A2891="","",YEAR(A2891))</f>
        <v/>
      </c>
      <c r="N2891" s="26">
        <f>IF(A2891="","",CHOOSE(WEEKDAY(A2891,2),"Segunda","Terça","Quarta","Quinta","Sexta","Sábado","Domingo"))</f>
        <v/>
      </c>
      <c r="O2891" s="26">
        <f>IF(B2891="","",IF(B2891&lt;TIME(12,0,0),"Manhã",IF(B2891&lt;TIME(18,0,0),"Tarde","Noite")))</f>
        <v/>
      </c>
      <c r="P2891" s="32">
        <f>IF(G2891="","",IFERROR(INDEX(Config!$I$5:$I$16,MATCH(G2891,Config!$H$5:$H$16,0)),0))</f>
        <v/>
      </c>
      <c r="Q2891" s="30">
        <f>IF(OR(H2891&lt;&gt;"Realizado",P2891="",P2891=0),"",A2891+P2891)</f>
        <v/>
      </c>
      <c r="R2891" s="26">
        <f>IF(Q2891="","",IF(COUNTIFS($E$5:$E$3004,E2891,$A$5:$A$3004,"&gt;"&amp;A2891,$H$5:$H$3004,"&lt;&gt;Falta",$H$5:$H$3004,"&lt;&gt;Cancelado",$H$5:$H$3004,"&lt;&gt;Remarcado")&gt;0,"Sim","Não"))</f>
        <v/>
      </c>
      <c r="S2891" s="32">
        <f>IF(R2891&lt;&gt;"Não","",IF(Q2891+Config!$B$9&lt;=Config!$B$8,Config!$B$8-Q2891,""))</f>
        <v/>
      </c>
      <c r="T2891" s="26">
        <f>IF(S2891="","","Sim")</f>
        <v/>
      </c>
      <c r="U2891" s="41">
        <f>IF(T2891="Sim",S2891+ROW()/100000,0)</f>
        <v>0</v>
      </c>
      <c r="V2891" s="41">
        <f>IF(AND(H2891="Falta",L2891=Config!$B$7,M2891=Config!$B$5,COUNTIFS($E$5:E2891,E2891,$H$5:H2891,"Falta",$L$5:L2891,Config!$B$7,$M$5:M2891,Config!$B$5)=1),COUNTIFS($E$5:$E$3004,E2891,$H$5:$H$3004,"Falta",$L$5:$L$3004,Config!$B$7,$M$5:$M$3004,Config!$B$5)*1000-ROW()/100000,0)</f>
        <v>0</v>
      </c>
    </row>
    <row r="2892">
      <c r="A2892" s="39" t="n"/>
      <c r="B2892" s="40" t="n"/>
      <c r="C2892" s="35" t="n"/>
      <c r="D2892" s="35" t="n"/>
      <c r="E2892" s="34" t="n"/>
      <c r="F2892" s="35" t="n"/>
      <c r="G2892" s="35" t="n"/>
      <c r="H2892" s="35" t="n"/>
      <c r="I2892" s="35" t="n"/>
      <c r="J2892" s="35" t="n"/>
      <c r="K2892" s="34" t="n"/>
      <c r="L2892" s="26">
        <f>IF(A2892="","",MONTH(A2892))</f>
        <v/>
      </c>
      <c r="M2892" s="26">
        <f>IF(A2892="","",YEAR(A2892))</f>
        <v/>
      </c>
      <c r="N2892" s="26">
        <f>IF(A2892="","",CHOOSE(WEEKDAY(A2892,2),"Segunda","Terça","Quarta","Quinta","Sexta","Sábado","Domingo"))</f>
        <v/>
      </c>
      <c r="O2892" s="26">
        <f>IF(B2892="","",IF(B2892&lt;TIME(12,0,0),"Manhã",IF(B2892&lt;TIME(18,0,0),"Tarde","Noite")))</f>
        <v/>
      </c>
      <c r="P2892" s="32">
        <f>IF(G2892="","",IFERROR(INDEX(Config!$I$5:$I$16,MATCH(G2892,Config!$H$5:$H$16,0)),0))</f>
        <v/>
      </c>
      <c r="Q2892" s="30">
        <f>IF(OR(H2892&lt;&gt;"Realizado",P2892="",P2892=0),"",A2892+P2892)</f>
        <v/>
      </c>
      <c r="R2892" s="26">
        <f>IF(Q2892="","",IF(COUNTIFS($E$5:$E$3004,E2892,$A$5:$A$3004,"&gt;"&amp;A2892,$H$5:$H$3004,"&lt;&gt;Falta",$H$5:$H$3004,"&lt;&gt;Cancelado",$H$5:$H$3004,"&lt;&gt;Remarcado")&gt;0,"Sim","Não"))</f>
        <v/>
      </c>
      <c r="S2892" s="32">
        <f>IF(R2892&lt;&gt;"Não","",IF(Q2892+Config!$B$9&lt;=Config!$B$8,Config!$B$8-Q2892,""))</f>
        <v/>
      </c>
      <c r="T2892" s="26">
        <f>IF(S2892="","","Sim")</f>
        <v/>
      </c>
      <c r="U2892" s="41">
        <f>IF(T2892="Sim",S2892+ROW()/100000,0)</f>
        <v>0</v>
      </c>
      <c r="V2892" s="41">
        <f>IF(AND(H2892="Falta",L2892=Config!$B$7,M2892=Config!$B$5,COUNTIFS($E$5:E2892,E2892,$H$5:H2892,"Falta",$L$5:L2892,Config!$B$7,$M$5:M2892,Config!$B$5)=1),COUNTIFS($E$5:$E$3004,E2892,$H$5:$H$3004,"Falta",$L$5:$L$3004,Config!$B$7,$M$5:$M$3004,Config!$B$5)*1000-ROW()/100000,0)</f>
        <v>0</v>
      </c>
    </row>
    <row r="2893">
      <c r="A2893" s="39" t="n"/>
      <c r="B2893" s="40" t="n"/>
      <c r="C2893" s="35" t="n"/>
      <c r="D2893" s="35" t="n"/>
      <c r="E2893" s="34" t="n"/>
      <c r="F2893" s="35" t="n"/>
      <c r="G2893" s="35" t="n"/>
      <c r="H2893" s="35" t="n"/>
      <c r="I2893" s="35" t="n"/>
      <c r="J2893" s="35" t="n"/>
      <c r="K2893" s="34" t="n"/>
      <c r="L2893" s="26">
        <f>IF(A2893="","",MONTH(A2893))</f>
        <v/>
      </c>
      <c r="M2893" s="26">
        <f>IF(A2893="","",YEAR(A2893))</f>
        <v/>
      </c>
      <c r="N2893" s="26">
        <f>IF(A2893="","",CHOOSE(WEEKDAY(A2893,2),"Segunda","Terça","Quarta","Quinta","Sexta","Sábado","Domingo"))</f>
        <v/>
      </c>
      <c r="O2893" s="26">
        <f>IF(B2893="","",IF(B2893&lt;TIME(12,0,0),"Manhã",IF(B2893&lt;TIME(18,0,0),"Tarde","Noite")))</f>
        <v/>
      </c>
      <c r="P2893" s="32">
        <f>IF(G2893="","",IFERROR(INDEX(Config!$I$5:$I$16,MATCH(G2893,Config!$H$5:$H$16,0)),0))</f>
        <v/>
      </c>
      <c r="Q2893" s="30">
        <f>IF(OR(H2893&lt;&gt;"Realizado",P2893="",P2893=0),"",A2893+P2893)</f>
        <v/>
      </c>
      <c r="R2893" s="26">
        <f>IF(Q2893="","",IF(COUNTIFS($E$5:$E$3004,E2893,$A$5:$A$3004,"&gt;"&amp;A2893,$H$5:$H$3004,"&lt;&gt;Falta",$H$5:$H$3004,"&lt;&gt;Cancelado",$H$5:$H$3004,"&lt;&gt;Remarcado")&gt;0,"Sim","Não"))</f>
        <v/>
      </c>
      <c r="S2893" s="32">
        <f>IF(R2893&lt;&gt;"Não","",IF(Q2893+Config!$B$9&lt;=Config!$B$8,Config!$B$8-Q2893,""))</f>
        <v/>
      </c>
      <c r="T2893" s="26">
        <f>IF(S2893="","","Sim")</f>
        <v/>
      </c>
      <c r="U2893" s="41">
        <f>IF(T2893="Sim",S2893+ROW()/100000,0)</f>
        <v>0</v>
      </c>
      <c r="V2893" s="41">
        <f>IF(AND(H2893="Falta",L2893=Config!$B$7,M2893=Config!$B$5,COUNTIFS($E$5:E2893,E2893,$H$5:H2893,"Falta",$L$5:L2893,Config!$B$7,$M$5:M2893,Config!$B$5)=1),COUNTIFS($E$5:$E$3004,E2893,$H$5:$H$3004,"Falta",$L$5:$L$3004,Config!$B$7,$M$5:$M$3004,Config!$B$5)*1000-ROW()/100000,0)</f>
        <v>0</v>
      </c>
    </row>
    <row r="2894">
      <c r="A2894" s="39" t="n"/>
      <c r="B2894" s="40" t="n"/>
      <c r="C2894" s="35" t="n"/>
      <c r="D2894" s="35" t="n"/>
      <c r="E2894" s="34" t="n"/>
      <c r="F2894" s="35" t="n"/>
      <c r="G2894" s="35" t="n"/>
      <c r="H2894" s="35" t="n"/>
      <c r="I2894" s="35" t="n"/>
      <c r="J2894" s="35" t="n"/>
      <c r="K2894" s="34" t="n"/>
      <c r="L2894" s="26">
        <f>IF(A2894="","",MONTH(A2894))</f>
        <v/>
      </c>
      <c r="M2894" s="26">
        <f>IF(A2894="","",YEAR(A2894))</f>
        <v/>
      </c>
      <c r="N2894" s="26">
        <f>IF(A2894="","",CHOOSE(WEEKDAY(A2894,2),"Segunda","Terça","Quarta","Quinta","Sexta","Sábado","Domingo"))</f>
        <v/>
      </c>
      <c r="O2894" s="26">
        <f>IF(B2894="","",IF(B2894&lt;TIME(12,0,0),"Manhã",IF(B2894&lt;TIME(18,0,0),"Tarde","Noite")))</f>
        <v/>
      </c>
      <c r="P2894" s="32">
        <f>IF(G2894="","",IFERROR(INDEX(Config!$I$5:$I$16,MATCH(G2894,Config!$H$5:$H$16,0)),0))</f>
        <v/>
      </c>
      <c r="Q2894" s="30">
        <f>IF(OR(H2894&lt;&gt;"Realizado",P2894="",P2894=0),"",A2894+P2894)</f>
        <v/>
      </c>
      <c r="R2894" s="26">
        <f>IF(Q2894="","",IF(COUNTIFS($E$5:$E$3004,E2894,$A$5:$A$3004,"&gt;"&amp;A2894,$H$5:$H$3004,"&lt;&gt;Falta",$H$5:$H$3004,"&lt;&gt;Cancelado",$H$5:$H$3004,"&lt;&gt;Remarcado")&gt;0,"Sim","Não"))</f>
        <v/>
      </c>
      <c r="S2894" s="32">
        <f>IF(R2894&lt;&gt;"Não","",IF(Q2894+Config!$B$9&lt;=Config!$B$8,Config!$B$8-Q2894,""))</f>
        <v/>
      </c>
      <c r="T2894" s="26">
        <f>IF(S2894="","","Sim")</f>
        <v/>
      </c>
      <c r="U2894" s="41">
        <f>IF(T2894="Sim",S2894+ROW()/100000,0)</f>
        <v>0</v>
      </c>
      <c r="V2894" s="41">
        <f>IF(AND(H2894="Falta",L2894=Config!$B$7,M2894=Config!$B$5,COUNTIFS($E$5:E2894,E2894,$H$5:H2894,"Falta",$L$5:L2894,Config!$B$7,$M$5:M2894,Config!$B$5)=1),COUNTIFS($E$5:$E$3004,E2894,$H$5:$H$3004,"Falta",$L$5:$L$3004,Config!$B$7,$M$5:$M$3004,Config!$B$5)*1000-ROW()/100000,0)</f>
        <v>0</v>
      </c>
    </row>
    <row r="2895">
      <c r="A2895" s="39" t="n"/>
      <c r="B2895" s="40" t="n"/>
      <c r="C2895" s="35" t="n"/>
      <c r="D2895" s="35" t="n"/>
      <c r="E2895" s="34" t="n"/>
      <c r="F2895" s="35" t="n"/>
      <c r="G2895" s="35" t="n"/>
      <c r="H2895" s="35" t="n"/>
      <c r="I2895" s="35" t="n"/>
      <c r="J2895" s="35" t="n"/>
      <c r="K2895" s="34" t="n"/>
      <c r="L2895" s="26">
        <f>IF(A2895="","",MONTH(A2895))</f>
        <v/>
      </c>
      <c r="M2895" s="26">
        <f>IF(A2895="","",YEAR(A2895))</f>
        <v/>
      </c>
      <c r="N2895" s="26">
        <f>IF(A2895="","",CHOOSE(WEEKDAY(A2895,2),"Segunda","Terça","Quarta","Quinta","Sexta","Sábado","Domingo"))</f>
        <v/>
      </c>
      <c r="O2895" s="26">
        <f>IF(B2895="","",IF(B2895&lt;TIME(12,0,0),"Manhã",IF(B2895&lt;TIME(18,0,0),"Tarde","Noite")))</f>
        <v/>
      </c>
      <c r="P2895" s="32">
        <f>IF(G2895="","",IFERROR(INDEX(Config!$I$5:$I$16,MATCH(G2895,Config!$H$5:$H$16,0)),0))</f>
        <v/>
      </c>
      <c r="Q2895" s="30">
        <f>IF(OR(H2895&lt;&gt;"Realizado",P2895="",P2895=0),"",A2895+P2895)</f>
        <v/>
      </c>
      <c r="R2895" s="26">
        <f>IF(Q2895="","",IF(COUNTIFS($E$5:$E$3004,E2895,$A$5:$A$3004,"&gt;"&amp;A2895,$H$5:$H$3004,"&lt;&gt;Falta",$H$5:$H$3004,"&lt;&gt;Cancelado",$H$5:$H$3004,"&lt;&gt;Remarcado")&gt;0,"Sim","Não"))</f>
        <v/>
      </c>
      <c r="S2895" s="32">
        <f>IF(R2895&lt;&gt;"Não","",IF(Q2895+Config!$B$9&lt;=Config!$B$8,Config!$B$8-Q2895,""))</f>
        <v/>
      </c>
      <c r="T2895" s="26">
        <f>IF(S2895="","","Sim")</f>
        <v/>
      </c>
      <c r="U2895" s="41">
        <f>IF(T2895="Sim",S2895+ROW()/100000,0)</f>
        <v>0</v>
      </c>
      <c r="V2895" s="41">
        <f>IF(AND(H2895="Falta",L2895=Config!$B$7,M2895=Config!$B$5,COUNTIFS($E$5:E2895,E2895,$H$5:H2895,"Falta",$L$5:L2895,Config!$B$7,$M$5:M2895,Config!$B$5)=1),COUNTIFS($E$5:$E$3004,E2895,$H$5:$H$3004,"Falta",$L$5:$L$3004,Config!$B$7,$M$5:$M$3004,Config!$B$5)*1000-ROW()/100000,0)</f>
        <v>0</v>
      </c>
    </row>
    <row r="2896">
      <c r="A2896" s="39" t="n"/>
      <c r="B2896" s="40" t="n"/>
      <c r="C2896" s="35" t="n"/>
      <c r="D2896" s="35" t="n"/>
      <c r="E2896" s="34" t="n"/>
      <c r="F2896" s="35" t="n"/>
      <c r="G2896" s="35" t="n"/>
      <c r="H2896" s="35" t="n"/>
      <c r="I2896" s="35" t="n"/>
      <c r="J2896" s="35" t="n"/>
      <c r="K2896" s="34" t="n"/>
      <c r="L2896" s="26">
        <f>IF(A2896="","",MONTH(A2896))</f>
        <v/>
      </c>
      <c r="M2896" s="26">
        <f>IF(A2896="","",YEAR(A2896))</f>
        <v/>
      </c>
      <c r="N2896" s="26">
        <f>IF(A2896="","",CHOOSE(WEEKDAY(A2896,2),"Segunda","Terça","Quarta","Quinta","Sexta","Sábado","Domingo"))</f>
        <v/>
      </c>
      <c r="O2896" s="26">
        <f>IF(B2896="","",IF(B2896&lt;TIME(12,0,0),"Manhã",IF(B2896&lt;TIME(18,0,0),"Tarde","Noite")))</f>
        <v/>
      </c>
      <c r="P2896" s="32">
        <f>IF(G2896="","",IFERROR(INDEX(Config!$I$5:$I$16,MATCH(G2896,Config!$H$5:$H$16,0)),0))</f>
        <v/>
      </c>
      <c r="Q2896" s="30">
        <f>IF(OR(H2896&lt;&gt;"Realizado",P2896="",P2896=0),"",A2896+P2896)</f>
        <v/>
      </c>
      <c r="R2896" s="26">
        <f>IF(Q2896="","",IF(COUNTIFS($E$5:$E$3004,E2896,$A$5:$A$3004,"&gt;"&amp;A2896,$H$5:$H$3004,"&lt;&gt;Falta",$H$5:$H$3004,"&lt;&gt;Cancelado",$H$5:$H$3004,"&lt;&gt;Remarcado")&gt;0,"Sim","Não"))</f>
        <v/>
      </c>
      <c r="S2896" s="32">
        <f>IF(R2896&lt;&gt;"Não","",IF(Q2896+Config!$B$9&lt;=Config!$B$8,Config!$B$8-Q2896,""))</f>
        <v/>
      </c>
      <c r="T2896" s="26">
        <f>IF(S2896="","","Sim")</f>
        <v/>
      </c>
      <c r="U2896" s="41">
        <f>IF(T2896="Sim",S2896+ROW()/100000,0)</f>
        <v>0</v>
      </c>
      <c r="V2896" s="41">
        <f>IF(AND(H2896="Falta",L2896=Config!$B$7,M2896=Config!$B$5,COUNTIFS($E$5:E2896,E2896,$H$5:H2896,"Falta",$L$5:L2896,Config!$B$7,$M$5:M2896,Config!$B$5)=1),COUNTIFS($E$5:$E$3004,E2896,$H$5:$H$3004,"Falta",$L$5:$L$3004,Config!$B$7,$M$5:$M$3004,Config!$B$5)*1000-ROW()/100000,0)</f>
        <v>0</v>
      </c>
    </row>
    <row r="2897">
      <c r="A2897" s="39" t="n"/>
      <c r="B2897" s="40" t="n"/>
      <c r="C2897" s="35" t="n"/>
      <c r="D2897" s="35" t="n"/>
      <c r="E2897" s="34" t="n"/>
      <c r="F2897" s="35" t="n"/>
      <c r="G2897" s="35" t="n"/>
      <c r="H2897" s="35" t="n"/>
      <c r="I2897" s="35" t="n"/>
      <c r="J2897" s="35" t="n"/>
      <c r="K2897" s="34" t="n"/>
      <c r="L2897" s="26">
        <f>IF(A2897="","",MONTH(A2897))</f>
        <v/>
      </c>
      <c r="M2897" s="26">
        <f>IF(A2897="","",YEAR(A2897))</f>
        <v/>
      </c>
      <c r="N2897" s="26">
        <f>IF(A2897="","",CHOOSE(WEEKDAY(A2897,2),"Segunda","Terça","Quarta","Quinta","Sexta","Sábado","Domingo"))</f>
        <v/>
      </c>
      <c r="O2897" s="26">
        <f>IF(B2897="","",IF(B2897&lt;TIME(12,0,0),"Manhã",IF(B2897&lt;TIME(18,0,0),"Tarde","Noite")))</f>
        <v/>
      </c>
      <c r="P2897" s="32">
        <f>IF(G2897="","",IFERROR(INDEX(Config!$I$5:$I$16,MATCH(G2897,Config!$H$5:$H$16,0)),0))</f>
        <v/>
      </c>
      <c r="Q2897" s="30">
        <f>IF(OR(H2897&lt;&gt;"Realizado",P2897="",P2897=0),"",A2897+P2897)</f>
        <v/>
      </c>
      <c r="R2897" s="26">
        <f>IF(Q2897="","",IF(COUNTIFS($E$5:$E$3004,E2897,$A$5:$A$3004,"&gt;"&amp;A2897,$H$5:$H$3004,"&lt;&gt;Falta",$H$5:$H$3004,"&lt;&gt;Cancelado",$H$5:$H$3004,"&lt;&gt;Remarcado")&gt;0,"Sim","Não"))</f>
        <v/>
      </c>
      <c r="S2897" s="32">
        <f>IF(R2897&lt;&gt;"Não","",IF(Q2897+Config!$B$9&lt;=Config!$B$8,Config!$B$8-Q2897,""))</f>
        <v/>
      </c>
      <c r="T2897" s="26">
        <f>IF(S2897="","","Sim")</f>
        <v/>
      </c>
      <c r="U2897" s="41">
        <f>IF(T2897="Sim",S2897+ROW()/100000,0)</f>
        <v>0</v>
      </c>
      <c r="V2897" s="41">
        <f>IF(AND(H2897="Falta",L2897=Config!$B$7,M2897=Config!$B$5,COUNTIFS($E$5:E2897,E2897,$H$5:H2897,"Falta",$L$5:L2897,Config!$B$7,$M$5:M2897,Config!$B$5)=1),COUNTIFS($E$5:$E$3004,E2897,$H$5:$H$3004,"Falta",$L$5:$L$3004,Config!$B$7,$M$5:$M$3004,Config!$B$5)*1000-ROW()/100000,0)</f>
        <v>0</v>
      </c>
    </row>
    <row r="2898">
      <c r="A2898" s="39" t="n"/>
      <c r="B2898" s="40" t="n"/>
      <c r="C2898" s="35" t="n"/>
      <c r="D2898" s="35" t="n"/>
      <c r="E2898" s="34" t="n"/>
      <c r="F2898" s="35" t="n"/>
      <c r="G2898" s="35" t="n"/>
      <c r="H2898" s="35" t="n"/>
      <c r="I2898" s="35" t="n"/>
      <c r="J2898" s="35" t="n"/>
      <c r="K2898" s="34" t="n"/>
      <c r="L2898" s="26">
        <f>IF(A2898="","",MONTH(A2898))</f>
        <v/>
      </c>
      <c r="M2898" s="26">
        <f>IF(A2898="","",YEAR(A2898))</f>
        <v/>
      </c>
      <c r="N2898" s="26">
        <f>IF(A2898="","",CHOOSE(WEEKDAY(A2898,2),"Segunda","Terça","Quarta","Quinta","Sexta","Sábado","Domingo"))</f>
        <v/>
      </c>
      <c r="O2898" s="26">
        <f>IF(B2898="","",IF(B2898&lt;TIME(12,0,0),"Manhã",IF(B2898&lt;TIME(18,0,0),"Tarde","Noite")))</f>
        <v/>
      </c>
      <c r="P2898" s="32">
        <f>IF(G2898="","",IFERROR(INDEX(Config!$I$5:$I$16,MATCH(G2898,Config!$H$5:$H$16,0)),0))</f>
        <v/>
      </c>
      <c r="Q2898" s="30">
        <f>IF(OR(H2898&lt;&gt;"Realizado",P2898="",P2898=0),"",A2898+P2898)</f>
        <v/>
      </c>
      <c r="R2898" s="26">
        <f>IF(Q2898="","",IF(COUNTIFS($E$5:$E$3004,E2898,$A$5:$A$3004,"&gt;"&amp;A2898,$H$5:$H$3004,"&lt;&gt;Falta",$H$5:$H$3004,"&lt;&gt;Cancelado",$H$5:$H$3004,"&lt;&gt;Remarcado")&gt;0,"Sim","Não"))</f>
        <v/>
      </c>
      <c r="S2898" s="32">
        <f>IF(R2898&lt;&gt;"Não","",IF(Q2898+Config!$B$9&lt;=Config!$B$8,Config!$B$8-Q2898,""))</f>
        <v/>
      </c>
      <c r="T2898" s="26">
        <f>IF(S2898="","","Sim")</f>
        <v/>
      </c>
      <c r="U2898" s="41">
        <f>IF(T2898="Sim",S2898+ROW()/100000,0)</f>
        <v>0</v>
      </c>
      <c r="V2898" s="41">
        <f>IF(AND(H2898="Falta",L2898=Config!$B$7,M2898=Config!$B$5,COUNTIFS($E$5:E2898,E2898,$H$5:H2898,"Falta",$L$5:L2898,Config!$B$7,$M$5:M2898,Config!$B$5)=1),COUNTIFS($E$5:$E$3004,E2898,$H$5:$H$3004,"Falta",$L$5:$L$3004,Config!$B$7,$M$5:$M$3004,Config!$B$5)*1000-ROW()/100000,0)</f>
        <v>0</v>
      </c>
    </row>
    <row r="2899">
      <c r="A2899" s="39" t="n"/>
      <c r="B2899" s="40" t="n"/>
      <c r="C2899" s="35" t="n"/>
      <c r="D2899" s="35" t="n"/>
      <c r="E2899" s="34" t="n"/>
      <c r="F2899" s="35" t="n"/>
      <c r="G2899" s="35" t="n"/>
      <c r="H2899" s="35" t="n"/>
      <c r="I2899" s="35" t="n"/>
      <c r="J2899" s="35" t="n"/>
      <c r="K2899" s="34" t="n"/>
      <c r="L2899" s="26">
        <f>IF(A2899="","",MONTH(A2899))</f>
        <v/>
      </c>
      <c r="M2899" s="26">
        <f>IF(A2899="","",YEAR(A2899))</f>
        <v/>
      </c>
      <c r="N2899" s="26">
        <f>IF(A2899="","",CHOOSE(WEEKDAY(A2899,2),"Segunda","Terça","Quarta","Quinta","Sexta","Sábado","Domingo"))</f>
        <v/>
      </c>
      <c r="O2899" s="26">
        <f>IF(B2899="","",IF(B2899&lt;TIME(12,0,0),"Manhã",IF(B2899&lt;TIME(18,0,0),"Tarde","Noite")))</f>
        <v/>
      </c>
      <c r="P2899" s="32">
        <f>IF(G2899="","",IFERROR(INDEX(Config!$I$5:$I$16,MATCH(G2899,Config!$H$5:$H$16,0)),0))</f>
        <v/>
      </c>
      <c r="Q2899" s="30">
        <f>IF(OR(H2899&lt;&gt;"Realizado",P2899="",P2899=0),"",A2899+P2899)</f>
        <v/>
      </c>
      <c r="R2899" s="26">
        <f>IF(Q2899="","",IF(COUNTIFS($E$5:$E$3004,E2899,$A$5:$A$3004,"&gt;"&amp;A2899,$H$5:$H$3004,"&lt;&gt;Falta",$H$5:$H$3004,"&lt;&gt;Cancelado",$H$5:$H$3004,"&lt;&gt;Remarcado")&gt;0,"Sim","Não"))</f>
        <v/>
      </c>
      <c r="S2899" s="32">
        <f>IF(R2899&lt;&gt;"Não","",IF(Q2899+Config!$B$9&lt;=Config!$B$8,Config!$B$8-Q2899,""))</f>
        <v/>
      </c>
      <c r="T2899" s="26">
        <f>IF(S2899="","","Sim")</f>
        <v/>
      </c>
      <c r="U2899" s="41">
        <f>IF(T2899="Sim",S2899+ROW()/100000,0)</f>
        <v>0</v>
      </c>
      <c r="V2899" s="41">
        <f>IF(AND(H2899="Falta",L2899=Config!$B$7,M2899=Config!$B$5,COUNTIFS($E$5:E2899,E2899,$H$5:H2899,"Falta",$L$5:L2899,Config!$B$7,$M$5:M2899,Config!$B$5)=1),COUNTIFS($E$5:$E$3004,E2899,$H$5:$H$3004,"Falta",$L$5:$L$3004,Config!$B$7,$M$5:$M$3004,Config!$B$5)*1000-ROW()/100000,0)</f>
        <v>0</v>
      </c>
    </row>
    <row r="2900">
      <c r="A2900" s="39" t="n"/>
      <c r="B2900" s="40" t="n"/>
      <c r="C2900" s="35" t="n"/>
      <c r="D2900" s="35" t="n"/>
      <c r="E2900" s="34" t="n"/>
      <c r="F2900" s="35" t="n"/>
      <c r="G2900" s="35" t="n"/>
      <c r="H2900" s="35" t="n"/>
      <c r="I2900" s="35" t="n"/>
      <c r="J2900" s="35" t="n"/>
      <c r="K2900" s="34" t="n"/>
      <c r="L2900" s="26">
        <f>IF(A2900="","",MONTH(A2900))</f>
        <v/>
      </c>
      <c r="M2900" s="26">
        <f>IF(A2900="","",YEAR(A2900))</f>
        <v/>
      </c>
      <c r="N2900" s="26">
        <f>IF(A2900="","",CHOOSE(WEEKDAY(A2900,2),"Segunda","Terça","Quarta","Quinta","Sexta","Sábado","Domingo"))</f>
        <v/>
      </c>
      <c r="O2900" s="26">
        <f>IF(B2900="","",IF(B2900&lt;TIME(12,0,0),"Manhã",IF(B2900&lt;TIME(18,0,0),"Tarde","Noite")))</f>
        <v/>
      </c>
      <c r="P2900" s="32">
        <f>IF(G2900="","",IFERROR(INDEX(Config!$I$5:$I$16,MATCH(G2900,Config!$H$5:$H$16,0)),0))</f>
        <v/>
      </c>
      <c r="Q2900" s="30">
        <f>IF(OR(H2900&lt;&gt;"Realizado",P2900="",P2900=0),"",A2900+P2900)</f>
        <v/>
      </c>
      <c r="R2900" s="26">
        <f>IF(Q2900="","",IF(COUNTIFS($E$5:$E$3004,E2900,$A$5:$A$3004,"&gt;"&amp;A2900,$H$5:$H$3004,"&lt;&gt;Falta",$H$5:$H$3004,"&lt;&gt;Cancelado",$H$5:$H$3004,"&lt;&gt;Remarcado")&gt;0,"Sim","Não"))</f>
        <v/>
      </c>
      <c r="S2900" s="32">
        <f>IF(R2900&lt;&gt;"Não","",IF(Q2900+Config!$B$9&lt;=Config!$B$8,Config!$B$8-Q2900,""))</f>
        <v/>
      </c>
      <c r="T2900" s="26">
        <f>IF(S2900="","","Sim")</f>
        <v/>
      </c>
      <c r="U2900" s="41">
        <f>IF(T2900="Sim",S2900+ROW()/100000,0)</f>
        <v>0</v>
      </c>
      <c r="V2900" s="41">
        <f>IF(AND(H2900="Falta",L2900=Config!$B$7,M2900=Config!$B$5,COUNTIFS($E$5:E2900,E2900,$H$5:H2900,"Falta",$L$5:L2900,Config!$B$7,$M$5:M2900,Config!$B$5)=1),COUNTIFS($E$5:$E$3004,E2900,$H$5:$H$3004,"Falta",$L$5:$L$3004,Config!$B$7,$M$5:$M$3004,Config!$B$5)*1000-ROW()/100000,0)</f>
        <v>0</v>
      </c>
    </row>
    <row r="2901">
      <c r="A2901" s="39" t="n"/>
      <c r="B2901" s="40" t="n"/>
      <c r="C2901" s="35" t="n"/>
      <c r="D2901" s="35" t="n"/>
      <c r="E2901" s="34" t="n"/>
      <c r="F2901" s="35" t="n"/>
      <c r="G2901" s="35" t="n"/>
      <c r="H2901" s="35" t="n"/>
      <c r="I2901" s="35" t="n"/>
      <c r="J2901" s="35" t="n"/>
      <c r="K2901" s="34" t="n"/>
      <c r="L2901" s="26">
        <f>IF(A2901="","",MONTH(A2901))</f>
        <v/>
      </c>
      <c r="M2901" s="26">
        <f>IF(A2901="","",YEAR(A2901))</f>
        <v/>
      </c>
      <c r="N2901" s="26">
        <f>IF(A2901="","",CHOOSE(WEEKDAY(A2901,2),"Segunda","Terça","Quarta","Quinta","Sexta","Sábado","Domingo"))</f>
        <v/>
      </c>
      <c r="O2901" s="26">
        <f>IF(B2901="","",IF(B2901&lt;TIME(12,0,0),"Manhã",IF(B2901&lt;TIME(18,0,0),"Tarde","Noite")))</f>
        <v/>
      </c>
      <c r="P2901" s="32">
        <f>IF(G2901="","",IFERROR(INDEX(Config!$I$5:$I$16,MATCH(G2901,Config!$H$5:$H$16,0)),0))</f>
        <v/>
      </c>
      <c r="Q2901" s="30">
        <f>IF(OR(H2901&lt;&gt;"Realizado",P2901="",P2901=0),"",A2901+P2901)</f>
        <v/>
      </c>
      <c r="R2901" s="26">
        <f>IF(Q2901="","",IF(COUNTIFS($E$5:$E$3004,E2901,$A$5:$A$3004,"&gt;"&amp;A2901,$H$5:$H$3004,"&lt;&gt;Falta",$H$5:$H$3004,"&lt;&gt;Cancelado",$H$5:$H$3004,"&lt;&gt;Remarcado")&gt;0,"Sim","Não"))</f>
        <v/>
      </c>
      <c r="S2901" s="32">
        <f>IF(R2901&lt;&gt;"Não","",IF(Q2901+Config!$B$9&lt;=Config!$B$8,Config!$B$8-Q2901,""))</f>
        <v/>
      </c>
      <c r="T2901" s="26">
        <f>IF(S2901="","","Sim")</f>
        <v/>
      </c>
      <c r="U2901" s="41">
        <f>IF(T2901="Sim",S2901+ROW()/100000,0)</f>
        <v>0</v>
      </c>
      <c r="V2901" s="41">
        <f>IF(AND(H2901="Falta",L2901=Config!$B$7,M2901=Config!$B$5,COUNTIFS($E$5:E2901,E2901,$H$5:H2901,"Falta",$L$5:L2901,Config!$B$7,$M$5:M2901,Config!$B$5)=1),COUNTIFS($E$5:$E$3004,E2901,$H$5:$H$3004,"Falta",$L$5:$L$3004,Config!$B$7,$M$5:$M$3004,Config!$B$5)*1000-ROW()/100000,0)</f>
        <v>0</v>
      </c>
    </row>
    <row r="2902">
      <c r="A2902" s="39" t="n"/>
      <c r="B2902" s="40" t="n"/>
      <c r="C2902" s="35" t="n"/>
      <c r="D2902" s="35" t="n"/>
      <c r="E2902" s="34" t="n"/>
      <c r="F2902" s="35" t="n"/>
      <c r="G2902" s="35" t="n"/>
      <c r="H2902" s="35" t="n"/>
      <c r="I2902" s="35" t="n"/>
      <c r="J2902" s="35" t="n"/>
      <c r="K2902" s="34" t="n"/>
      <c r="L2902" s="26">
        <f>IF(A2902="","",MONTH(A2902))</f>
        <v/>
      </c>
      <c r="M2902" s="26">
        <f>IF(A2902="","",YEAR(A2902))</f>
        <v/>
      </c>
      <c r="N2902" s="26">
        <f>IF(A2902="","",CHOOSE(WEEKDAY(A2902,2),"Segunda","Terça","Quarta","Quinta","Sexta","Sábado","Domingo"))</f>
        <v/>
      </c>
      <c r="O2902" s="26">
        <f>IF(B2902="","",IF(B2902&lt;TIME(12,0,0),"Manhã",IF(B2902&lt;TIME(18,0,0),"Tarde","Noite")))</f>
        <v/>
      </c>
      <c r="P2902" s="32">
        <f>IF(G2902="","",IFERROR(INDEX(Config!$I$5:$I$16,MATCH(G2902,Config!$H$5:$H$16,0)),0))</f>
        <v/>
      </c>
      <c r="Q2902" s="30">
        <f>IF(OR(H2902&lt;&gt;"Realizado",P2902="",P2902=0),"",A2902+P2902)</f>
        <v/>
      </c>
      <c r="R2902" s="26">
        <f>IF(Q2902="","",IF(COUNTIFS($E$5:$E$3004,E2902,$A$5:$A$3004,"&gt;"&amp;A2902,$H$5:$H$3004,"&lt;&gt;Falta",$H$5:$H$3004,"&lt;&gt;Cancelado",$H$5:$H$3004,"&lt;&gt;Remarcado")&gt;0,"Sim","Não"))</f>
        <v/>
      </c>
      <c r="S2902" s="32">
        <f>IF(R2902&lt;&gt;"Não","",IF(Q2902+Config!$B$9&lt;=Config!$B$8,Config!$B$8-Q2902,""))</f>
        <v/>
      </c>
      <c r="T2902" s="26">
        <f>IF(S2902="","","Sim")</f>
        <v/>
      </c>
      <c r="U2902" s="41">
        <f>IF(T2902="Sim",S2902+ROW()/100000,0)</f>
        <v>0</v>
      </c>
      <c r="V2902" s="41">
        <f>IF(AND(H2902="Falta",L2902=Config!$B$7,M2902=Config!$B$5,COUNTIFS($E$5:E2902,E2902,$H$5:H2902,"Falta",$L$5:L2902,Config!$B$7,$M$5:M2902,Config!$B$5)=1),COUNTIFS($E$5:$E$3004,E2902,$H$5:$H$3004,"Falta",$L$5:$L$3004,Config!$B$7,$M$5:$M$3004,Config!$B$5)*1000-ROW()/100000,0)</f>
        <v>0</v>
      </c>
    </row>
    <row r="2903">
      <c r="A2903" s="39" t="n"/>
      <c r="B2903" s="40" t="n"/>
      <c r="C2903" s="35" t="n"/>
      <c r="D2903" s="35" t="n"/>
      <c r="E2903" s="34" t="n"/>
      <c r="F2903" s="35" t="n"/>
      <c r="G2903" s="35" t="n"/>
      <c r="H2903" s="35" t="n"/>
      <c r="I2903" s="35" t="n"/>
      <c r="J2903" s="35" t="n"/>
      <c r="K2903" s="34" t="n"/>
      <c r="L2903" s="26">
        <f>IF(A2903="","",MONTH(A2903))</f>
        <v/>
      </c>
      <c r="M2903" s="26">
        <f>IF(A2903="","",YEAR(A2903))</f>
        <v/>
      </c>
      <c r="N2903" s="26">
        <f>IF(A2903="","",CHOOSE(WEEKDAY(A2903,2),"Segunda","Terça","Quarta","Quinta","Sexta","Sábado","Domingo"))</f>
        <v/>
      </c>
      <c r="O2903" s="26">
        <f>IF(B2903="","",IF(B2903&lt;TIME(12,0,0),"Manhã",IF(B2903&lt;TIME(18,0,0),"Tarde","Noite")))</f>
        <v/>
      </c>
      <c r="P2903" s="32">
        <f>IF(G2903="","",IFERROR(INDEX(Config!$I$5:$I$16,MATCH(G2903,Config!$H$5:$H$16,0)),0))</f>
        <v/>
      </c>
      <c r="Q2903" s="30">
        <f>IF(OR(H2903&lt;&gt;"Realizado",P2903="",P2903=0),"",A2903+P2903)</f>
        <v/>
      </c>
      <c r="R2903" s="26">
        <f>IF(Q2903="","",IF(COUNTIFS($E$5:$E$3004,E2903,$A$5:$A$3004,"&gt;"&amp;A2903,$H$5:$H$3004,"&lt;&gt;Falta",$H$5:$H$3004,"&lt;&gt;Cancelado",$H$5:$H$3004,"&lt;&gt;Remarcado")&gt;0,"Sim","Não"))</f>
        <v/>
      </c>
      <c r="S2903" s="32">
        <f>IF(R2903&lt;&gt;"Não","",IF(Q2903+Config!$B$9&lt;=Config!$B$8,Config!$B$8-Q2903,""))</f>
        <v/>
      </c>
      <c r="T2903" s="26">
        <f>IF(S2903="","","Sim")</f>
        <v/>
      </c>
      <c r="U2903" s="41">
        <f>IF(T2903="Sim",S2903+ROW()/100000,0)</f>
        <v>0</v>
      </c>
      <c r="V2903" s="41">
        <f>IF(AND(H2903="Falta",L2903=Config!$B$7,M2903=Config!$B$5,COUNTIFS($E$5:E2903,E2903,$H$5:H2903,"Falta",$L$5:L2903,Config!$B$7,$M$5:M2903,Config!$B$5)=1),COUNTIFS($E$5:$E$3004,E2903,$H$5:$H$3004,"Falta",$L$5:$L$3004,Config!$B$7,$M$5:$M$3004,Config!$B$5)*1000-ROW()/100000,0)</f>
        <v>0</v>
      </c>
    </row>
    <row r="2904">
      <c r="A2904" s="39" t="n"/>
      <c r="B2904" s="40" t="n"/>
      <c r="C2904" s="35" t="n"/>
      <c r="D2904" s="35" t="n"/>
      <c r="E2904" s="34" t="n"/>
      <c r="F2904" s="35" t="n"/>
      <c r="G2904" s="35" t="n"/>
      <c r="H2904" s="35" t="n"/>
      <c r="I2904" s="35" t="n"/>
      <c r="J2904" s="35" t="n"/>
      <c r="K2904" s="34" t="n"/>
      <c r="L2904" s="26">
        <f>IF(A2904="","",MONTH(A2904))</f>
        <v/>
      </c>
      <c r="M2904" s="26">
        <f>IF(A2904="","",YEAR(A2904))</f>
        <v/>
      </c>
      <c r="N2904" s="26">
        <f>IF(A2904="","",CHOOSE(WEEKDAY(A2904,2),"Segunda","Terça","Quarta","Quinta","Sexta","Sábado","Domingo"))</f>
        <v/>
      </c>
      <c r="O2904" s="26">
        <f>IF(B2904="","",IF(B2904&lt;TIME(12,0,0),"Manhã",IF(B2904&lt;TIME(18,0,0),"Tarde","Noite")))</f>
        <v/>
      </c>
      <c r="P2904" s="32">
        <f>IF(G2904="","",IFERROR(INDEX(Config!$I$5:$I$16,MATCH(G2904,Config!$H$5:$H$16,0)),0))</f>
        <v/>
      </c>
      <c r="Q2904" s="30">
        <f>IF(OR(H2904&lt;&gt;"Realizado",P2904="",P2904=0),"",A2904+P2904)</f>
        <v/>
      </c>
      <c r="R2904" s="26">
        <f>IF(Q2904="","",IF(COUNTIFS($E$5:$E$3004,E2904,$A$5:$A$3004,"&gt;"&amp;A2904,$H$5:$H$3004,"&lt;&gt;Falta",$H$5:$H$3004,"&lt;&gt;Cancelado",$H$5:$H$3004,"&lt;&gt;Remarcado")&gt;0,"Sim","Não"))</f>
        <v/>
      </c>
      <c r="S2904" s="32">
        <f>IF(R2904&lt;&gt;"Não","",IF(Q2904+Config!$B$9&lt;=Config!$B$8,Config!$B$8-Q2904,""))</f>
        <v/>
      </c>
      <c r="T2904" s="26">
        <f>IF(S2904="","","Sim")</f>
        <v/>
      </c>
      <c r="U2904" s="41">
        <f>IF(T2904="Sim",S2904+ROW()/100000,0)</f>
        <v>0</v>
      </c>
      <c r="V2904" s="41">
        <f>IF(AND(H2904="Falta",L2904=Config!$B$7,M2904=Config!$B$5,COUNTIFS($E$5:E2904,E2904,$H$5:H2904,"Falta",$L$5:L2904,Config!$B$7,$M$5:M2904,Config!$B$5)=1),COUNTIFS($E$5:$E$3004,E2904,$H$5:$H$3004,"Falta",$L$5:$L$3004,Config!$B$7,$M$5:$M$3004,Config!$B$5)*1000-ROW()/100000,0)</f>
        <v>0</v>
      </c>
    </row>
    <row r="2905">
      <c r="A2905" s="39" t="n"/>
      <c r="B2905" s="40" t="n"/>
      <c r="C2905" s="35" t="n"/>
      <c r="D2905" s="35" t="n"/>
      <c r="E2905" s="34" t="n"/>
      <c r="F2905" s="35" t="n"/>
      <c r="G2905" s="35" t="n"/>
      <c r="H2905" s="35" t="n"/>
      <c r="I2905" s="35" t="n"/>
      <c r="J2905" s="35" t="n"/>
      <c r="K2905" s="34" t="n"/>
      <c r="L2905" s="26">
        <f>IF(A2905="","",MONTH(A2905))</f>
        <v/>
      </c>
      <c r="M2905" s="26">
        <f>IF(A2905="","",YEAR(A2905))</f>
        <v/>
      </c>
      <c r="N2905" s="26">
        <f>IF(A2905="","",CHOOSE(WEEKDAY(A2905,2),"Segunda","Terça","Quarta","Quinta","Sexta","Sábado","Domingo"))</f>
        <v/>
      </c>
      <c r="O2905" s="26">
        <f>IF(B2905="","",IF(B2905&lt;TIME(12,0,0),"Manhã",IF(B2905&lt;TIME(18,0,0),"Tarde","Noite")))</f>
        <v/>
      </c>
      <c r="P2905" s="32">
        <f>IF(G2905="","",IFERROR(INDEX(Config!$I$5:$I$16,MATCH(G2905,Config!$H$5:$H$16,0)),0))</f>
        <v/>
      </c>
      <c r="Q2905" s="30">
        <f>IF(OR(H2905&lt;&gt;"Realizado",P2905="",P2905=0),"",A2905+P2905)</f>
        <v/>
      </c>
      <c r="R2905" s="26">
        <f>IF(Q2905="","",IF(COUNTIFS($E$5:$E$3004,E2905,$A$5:$A$3004,"&gt;"&amp;A2905,$H$5:$H$3004,"&lt;&gt;Falta",$H$5:$H$3004,"&lt;&gt;Cancelado",$H$5:$H$3004,"&lt;&gt;Remarcado")&gt;0,"Sim","Não"))</f>
        <v/>
      </c>
      <c r="S2905" s="32">
        <f>IF(R2905&lt;&gt;"Não","",IF(Q2905+Config!$B$9&lt;=Config!$B$8,Config!$B$8-Q2905,""))</f>
        <v/>
      </c>
      <c r="T2905" s="26">
        <f>IF(S2905="","","Sim")</f>
        <v/>
      </c>
      <c r="U2905" s="41">
        <f>IF(T2905="Sim",S2905+ROW()/100000,0)</f>
        <v>0</v>
      </c>
      <c r="V2905" s="41">
        <f>IF(AND(H2905="Falta",L2905=Config!$B$7,M2905=Config!$B$5,COUNTIFS($E$5:E2905,E2905,$H$5:H2905,"Falta",$L$5:L2905,Config!$B$7,$M$5:M2905,Config!$B$5)=1),COUNTIFS($E$5:$E$3004,E2905,$H$5:$H$3004,"Falta",$L$5:$L$3004,Config!$B$7,$M$5:$M$3004,Config!$B$5)*1000-ROW()/100000,0)</f>
        <v>0</v>
      </c>
    </row>
    <row r="2906">
      <c r="A2906" s="39" t="n"/>
      <c r="B2906" s="40" t="n"/>
      <c r="C2906" s="35" t="n"/>
      <c r="D2906" s="35" t="n"/>
      <c r="E2906" s="34" t="n"/>
      <c r="F2906" s="35" t="n"/>
      <c r="G2906" s="35" t="n"/>
      <c r="H2906" s="35" t="n"/>
      <c r="I2906" s="35" t="n"/>
      <c r="J2906" s="35" t="n"/>
      <c r="K2906" s="34" t="n"/>
      <c r="L2906" s="26">
        <f>IF(A2906="","",MONTH(A2906))</f>
        <v/>
      </c>
      <c r="M2906" s="26">
        <f>IF(A2906="","",YEAR(A2906))</f>
        <v/>
      </c>
      <c r="N2906" s="26">
        <f>IF(A2906="","",CHOOSE(WEEKDAY(A2906,2),"Segunda","Terça","Quarta","Quinta","Sexta","Sábado","Domingo"))</f>
        <v/>
      </c>
      <c r="O2906" s="26">
        <f>IF(B2906="","",IF(B2906&lt;TIME(12,0,0),"Manhã",IF(B2906&lt;TIME(18,0,0),"Tarde","Noite")))</f>
        <v/>
      </c>
      <c r="P2906" s="32">
        <f>IF(G2906="","",IFERROR(INDEX(Config!$I$5:$I$16,MATCH(G2906,Config!$H$5:$H$16,0)),0))</f>
        <v/>
      </c>
      <c r="Q2906" s="30">
        <f>IF(OR(H2906&lt;&gt;"Realizado",P2906="",P2906=0),"",A2906+P2906)</f>
        <v/>
      </c>
      <c r="R2906" s="26">
        <f>IF(Q2906="","",IF(COUNTIFS($E$5:$E$3004,E2906,$A$5:$A$3004,"&gt;"&amp;A2906,$H$5:$H$3004,"&lt;&gt;Falta",$H$5:$H$3004,"&lt;&gt;Cancelado",$H$5:$H$3004,"&lt;&gt;Remarcado")&gt;0,"Sim","Não"))</f>
        <v/>
      </c>
      <c r="S2906" s="32">
        <f>IF(R2906&lt;&gt;"Não","",IF(Q2906+Config!$B$9&lt;=Config!$B$8,Config!$B$8-Q2906,""))</f>
        <v/>
      </c>
      <c r="T2906" s="26">
        <f>IF(S2906="","","Sim")</f>
        <v/>
      </c>
      <c r="U2906" s="41">
        <f>IF(T2906="Sim",S2906+ROW()/100000,0)</f>
        <v>0</v>
      </c>
      <c r="V2906" s="41">
        <f>IF(AND(H2906="Falta",L2906=Config!$B$7,M2906=Config!$B$5,COUNTIFS($E$5:E2906,E2906,$H$5:H2906,"Falta",$L$5:L2906,Config!$B$7,$M$5:M2906,Config!$B$5)=1),COUNTIFS($E$5:$E$3004,E2906,$H$5:$H$3004,"Falta",$L$5:$L$3004,Config!$B$7,$M$5:$M$3004,Config!$B$5)*1000-ROW()/100000,0)</f>
        <v>0</v>
      </c>
    </row>
    <row r="2907">
      <c r="A2907" s="39" t="n"/>
      <c r="B2907" s="40" t="n"/>
      <c r="C2907" s="35" t="n"/>
      <c r="D2907" s="35" t="n"/>
      <c r="E2907" s="34" t="n"/>
      <c r="F2907" s="35" t="n"/>
      <c r="G2907" s="35" t="n"/>
      <c r="H2907" s="35" t="n"/>
      <c r="I2907" s="35" t="n"/>
      <c r="J2907" s="35" t="n"/>
      <c r="K2907" s="34" t="n"/>
      <c r="L2907" s="26">
        <f>IF(A2907="","",MONTH(A2907))</f>
        <v/>
      </c>
      <c r="M2907" s="26">
        <f>IF(A2907="","",YEAR(A2907))</f>
        <v/>
      </c>
      <c r="N2907" s="26">
        <f>IF(A2907="","",CHOOSE(WEEKDAY(A2907,2),"Segunda","Terça","Quarta","Quinta","Sexta","Sábado","Domingo"))</f>
        <v/>
      </c>
      <c r="O2907" s="26">
        <f>IF(B2907="","",IF(B2907&lt;TIME(12,0,0),"Manhã",IF(B2907&lt;TIME(18,0,0),"Tarde","Noite")))</f>
        <v/>
      </c>
      <c r="P2907" s="32">
        <f>IF(G2907="","",IFERROR(INDEX(Config!$I$5:$I$16,MATCH(G2907,Config!$H$5:$H$16,0)),0))</f>
        <v/>
      </c>
      <c r="Q2907" s="30">
        <f>IF(OR(H2907&lt;&gt;"Realizado",P2907="",P2907=0),"",A2907+P2907)</f>
        <v/>
      </c>
      <c r="R2907" s="26">
        <f>IF(Q2907="","",IF(COUNTIFS($E$5:$E$3004,E2907,$A$5:$A$3004,"&gt;"&amp;A2907,$H$5:$H$3004,"&lt;&gt;Falta",$H$5:$H$3004,"&lt;&gt;Cancelado",$H$5:$H$3004,"&lt;&gt;Remarcado")&gt;0,"Sim","Não"))</f>
        <v/>
      </c>
      <c r="S2907" s="32">
        <f>IF(R2907&lt;&gt;"Não","",IF(Q2907+Config!$B$9&lt;=Config!$B$8,Config!$B$8-Q2907,""))</f>
        <v/>
      </c>
      <c r="T2907" s="26">
        <f>IF(S2907="","","Sim")</f>
        <v/>
      </c>
      <c r="U2907" s="41">
        <f>IF(T2907="Sim",S2907+ROW()/100000,0)</f>
        <v>0</v>
      </c>
      <c r="V2907" s="41">
        <f>IF(AND(H2907="Falta",L2907=Config!$B$7,M2907=Config!$B$5,COUNTIFS($E$5:E2907,E2907,$H$5:H2907,"Falta",$L$5:L2907,Config!$B$7,$M$5:M2907,Config!$B$5)=1),COUNTIFS($E$5:$E$3004,E2907,$H$5:$H$3004,"Falta",$L$5:$L$3004,Config!$B$7,$M$5:$M$3004,Config!$B$5)*1000-ROW()/100000,0)</f>
        <v>0</v>
      </c>
    </row>
    <row r="2908">
      <c r="A2908" s="39" t="n"/>
      <c r="B2908" s="40" t="n"/>
      <c r="C2908" s="35" t="n"/>
      <c r="D2908" s="35" t="n"/>
      <c r="E2908" s="34" t="n"/>
      <c r="F2908" s="35" t="n"/>
      <c r="G2908" s="35" t="n"/>
      <c r="H2908" s="35" t="n"/>
      <c r="I2908" s="35" t="n"/>
      <c r="J2908" s="35" t="n"/>
      <c r="K2908" s="34" t="n"/>
      <c r="L2908" s="26">
        <f>IF(A2908="","",MONTH(A2908))</f>
        <v/>
      </c>
      <c r="M2908" s="26">
        <f>IF(A2908="","",YEAR(A2908))</f>
        <v/>
      </c>
      <c r="N2908" s="26">
        <f>IF(A2908="","",CHOOSE(WEEKDAY(A2908,2),"Segunda","Terça","Quarta","Quinta","Sexta","Sábado","Domingo"))</f>
        <v/>
      </c>
      <c r="O2908" s="26">
        <f>IF(B2908="","",IF(B2908&lt;TIME(12,0,0),"Manhã",IF(B2908&lt;TIME(18,0,0),"Tarde","Noite")))</f>
        <v/>
      </c>
      <c r="P2908" s="32">
        <f>IF(G2908="","",IFERROR(INDEX(Config!$I$5:$I$16,MATCH(G2908,Config!$H$5:$H$16,0)),0))</f>
        <v/>
      </c>
      <c r="Q2908" s="30">
        <f>IF(OR(H2908&lt;&gt;"Realizado",P2908="",P2908=0),"",A2908+P2908)</f>
        <v/>
      </c>
      <c r="R2908" s="26">
        <f>IF(Q2908="","",IF(COUNTIFS($E$5:$E$3004,E2908,$A$5:$A$3004,"&gt;"&amp;A2908,$H$5:$H$3004,"&lt;&gt;Falta",$H$5:$H$3004,"&lt;&gt;Cancelado",$H$5:$H$3004,"&lt;&gt;Remarcado")&gt;0,"Sim","Não"))</f>
        <v/>
      </c>
      <c r="S2908" s="32">
        <f>IF(R2908&lt;&gt;"Não","",IF(Q2908+Config!$B$9&lt;=Config!$B$8,Config!$B$8-Q2908,""))</f>
        <v/>
      </c>
      <c r="T2908" s="26">
        <f>IF(S2908="","","Sim")</f>
        <v/>
      </c>
      <c r="U2908" s="41">
        <f>IF(T2908="Sim",S2908+ROW()/100000,0)</f>
        <v>0</v>
      </c>
      <c r="V2908" s="41">
        <f>IF(AND(H2908="Falta",L2908=Config!$B$7,M2908=Config!$B$5,COUNTIFS($E$5:E2908,E2908,$H$5:H2908,"Falta",$L$5:L2908,Config!$B$7,$M$5:M2908,Config!$B$5)=1),COUNTIFS($E$5:$E$3004,E2908,$H$5:$H$3004,"Falta",$L$5:$L$3004,Config!$B$7,$M$5:$M$3004,Config!$B$5)*1000-ROW()/100000,0)</f>
        <v>0</v>
      </c>
    </row>
    <row r="2909">
      <c r="A2909" s="39" t="n"/>
      <c r="B2909" s="40" t="n"/>
      <c r="C2909" s="35" t="n"/>
      <c r="D2909" s="35" t="n"/>
      <c r="E2909" s="34" t="n"/>
      <c r="F2909" s="35" t="n"/>
      <c r="G2909" s="35" t="n"/>
      <c r="H2909" s="35" t="n"/>
      <c r="I2909" s="35" t="n"/>
      <c r="J2909" s="35" t="n"/>
      <c r="K2909" s="34" t="n"/>
      <c r="L2909" s="26">
        <f>IF(A2909="","",MONTH(A2909))</f>
        <v/>
      </c>
      <c r="M2909" s="26">
        <f>IF(A2909="","",YEAR(A2909))</f>
        <v/>
      </c>
      <c r="N2909" s="26">
        <f>IF(A2909="","",CHOOSE(WEEKDAY(A2909,2),"Segunda","Terça","Quarta","Quinta","Sexta","Sábado","Domingo"))</f>
        <v/>
      </c>
      <c r="O2909" s="26">
        <f>IF(B2909="","",IF(B2909&lt;TIME(12,0,0),"Manhã",IF(B2909&lt;TIME(18,0,0),"Tarde","Noite")))</f>
        <v/>
      </c>
      <c r="P2909" s="32">
        <f>IF(G2909="","",IFERROR(INDEX(Config!$I$5:$I$16,MATCH(G2909,Config!$H$5:$H$16,0)),0))</f>
        <v/>
      </c>
      <c r="Q2909" s="30">
        <f>IF(OR(H2909&lt;&gt;"Realizado",P2909="",P2909=0),"",A2909+P2909)</f>
        <v/>
      </c>
      <c r="R2909" s="26">
        <f>IF(Q2909="","",IF(COUNTIFS($E$5:$E$3004,E2909,$A$5:$A$3004,"&gt;"&amp;A2909,$H$5:$H$3004,"&lt;&gt;Falta",$H$5:$H$3004,"&lt;&gt;Cancelado",$H$5:$H$3004,"&lt;&gt;Remarcado")&gt;0,"Sim","Não"))</f>
        <v/>
      </c>
      <c r="S2909" s="32">
        <f>IF(R2909&lt;&gt;"Não","",IF(Q2909+Config!$B$9&lt;=Config!$B$8,Config!$B$8-Q2909,""))</f>
        <v/>
      </c>
      <c r="T2909" s="26">
        <f>IF(S2909="","","Sim")</f>
        <v/>
      </c>
      <c r="U2909" s="41">
        <f>IF(T2909="Sim",S2909+ROW()/100000,0)</f>
        <v>0</v>
      </c>
      <c r="V2909" s="41">
        <f>IF(AND(H2909="Falta",L2909=Config!$B$7,M2909=Config!$B$5,COUNTIFS($E$5:E2909,E2909,$H$5:H2909,"Falta",$L$5:L2909,Config!$B$7,$M$5:M2909,Config!$B$5)=1),COUNTIFS($E$5:$E$3004,E2909,$H$5:$H$3004,"Falta",$L$5:$L$3004,Config!$B$7,$M$5:$M$3004,Config!$B$5)*1000-ROW()/100000,0)</f>
        <v>0</v>
      </c>
    </row>
    <row r="2910">
      <c r="A2910" s="39" t="n"/>
      <c r="B2910" s="40" t="n"/>
      <c r="C2910" s="35" t="n"/>
      <c r="D2910" s="35" t="n"/>
      <c r="E2910" s="34" t="n"/>
      <c r="F2910" s="35" t="n"/>
      <c r="G2910" s="35" t="n"/>
      <c r="H2910" s="35" t="n"/>
      <c r="I2910" s="35" t="n"/>
      <c r="J2910" s="35" t="n"/>
      <c r="K2910" s="34" t="n"/>
      <c r="L2910" s="26">
        <f>IF(A2910="","",MONTH(A2910))</f>
        <v/>
      </c>
      <c r="M2910" s="26">
        <f>IF(A2910="","",YEAR(A2910))</f>
        <v/>
      </c>
      <c r="N2910" s="26">
        <f>IF(A2910="","",CHOOSE(WEEKDAY(A2910,2),"Segunda","Terça","Quarta","Quinta","Sexta","Sábado","Domingo"))</f>
        <v/>
      </c>
      <c r="O2910" s="26">
        <f>IF(B2910="","",IF(B2910&lt;TIME(12,0,0),"Manhã",IF(B2910&lt;TIME(18,0,0),"Tarde","Noite")))</f>
        <v/>
      </c>
      <c r="P2910" s="32">
        <f>IF(G2910="","",IFERROR(INDEX(Config!$I$5:$I$16,MATCH(G2910,Config!$H$5:$H$16,0)),0))</f>
        <v/>
      </c>
      <c r="Q2910" s="30">
        <f>IF(OR(H2910&lt;&gt;"Realizado",P2910="",P2910=0),"",A2910+P2910)</f>
        <v/>
      </c>
      <c r="R2910" s="26">
        <f>IF(Q2910="","",IF(COUNTIFS($E$5:$E$3004,E2910,$A$5:$A$3004,"&gt;"&amp;A2910,$H$5:$H$3004,"&lt;&gt;Falta",$H$5:$H$3004,"&lt;&gt;Cancelado",$H$5:$H$3004,"&lt;&gt;Remarcado")&gt;0,"Sim","Não"))</f>
        <v/>
      </c>
      <c r="S2910" s="32">
        <f>IF(R2910&lt;&gt;"Não","",IF(Q2910+Config!$B$9&lt;=Config!$B$8,Config!$B$8-Q2910,""))</f>
        <v/>
      </c>
      <c r="T2910" s="26">
        <f>IF(S2910="","","Sim")</f>
        <v/>
      </c>
      <c r="U2910" s="41">
        <f>IF(T2910="Sim",S2910+ROW()/100000,0)</f>
        <v>0</v>
      </c>
      <c r="V2910" s="41">
        <f>IF(AND(H2910="Falta",L2910=Config!$B$7,M2910=Config!$B$5,COUNTIFS($E$5:E2910,E2910,$H$5:H2910,"Falta",$L$5:L2910,Config!$B$7,$M$5:M2910,Config!$B$5)=1),COUNTIFS($E$5:$E$3004,E2910,$H$5:$H$3004,"Falta",$L$5:$L$3004,Config!$B$7,$M$5:$M$3004,Config!$B$5)*1000-ROW()/100000,0)</f>
        <v>0</v>
      </c>
    </row>
    <row r="2911">
      <c r="A2911" s="39" t="n"/>
      <c r="B2911" s="40" t="n"/>
      <c r="C2911" s="35" t="n"/>
      <c r="D2911" s="35" t="n"/>
      <c r="E2911" s="34" t="n"/>
      <c r="F2911" s="35" t="n"/>
      <c r="G2911" s="35" t="n"/>
      <c r="H2911" s="35" t="n"/>
      <c r="I2911" s="35" t="n"/>
      <c r="J2911" s="35" t="n"/>
      <c r="K2911" s="34" t="n"/>
      <c r="L2911" s="26">
        <f>IF(A2911="","",MONTH(A2911))</f>
        <v/>
      </c>
      <c r="M2911" s="26">
        <f>IF(A2911="","",YEAR(A2911))</f>
        <v/>
      </c>
      <c r="N2911" s="26">
        <f>IF(A2911="","",CHOOSE(WEEKDAY(A2911,2),"Segunda","Terça","Quarta","Quinta","Sexta","Sábado","Domingo"))</f>
        <v/>
      </c>
      <c r="O2911" s="26">
        <f>IF(B2911="","",IF(B2911&lt;TIME(12,0,0),"Manhã",IF(B2911&lt;TIME(18,0,0),"Tarde","Noite")))</f>
        <v/>
      </c>
      <c r="P2911" s="32">
        <f>IF(G2911="","",IFERROR(INDEX(Config!$I$5:$I$16,MATCH(G2911,Config!$H$5:$H$16,0)),0))</f>
        <v/>
      </c>
      <c r="Q2911" s="30">
        <f>IF(OR(H2911&lt;&gt;"Realizado",P2911="",P2911=0),"",A2911+P2911)</f>
        <v/>
      </c>
      <c r="R2911" s="26">
        <f>IF(Q2911="","",IF(COUNTIFS($E$5:$E$3004,E2911,$A$5:$A$3004,"&gt;"&amp;A2911,$H$5:$H$3004,"&lt;&gt;Falta",$H$5:$H$3004,"&lt;&gt;Cancelado",$H$5:$H$3004,"&lt;&gt;Remarcado")&gt;0,"Sim","Não"))</f>
        <v/>
      </c>
      <c r="S2911" s="32">
        <f>IF(R2911&lt;&gt;"Não","",IF(Q2911+Config!$B$9&lt;=Config!$B$8,Config!$B$8-Q2911,""))</f>
        <v/>
      </c>
      <c r="T2911" s="26">
        <f>IF(S2911="","","Sim")</f>
        <v/>
      </c>
      <c r="U2911" s="41">
        <f>IF(T2911="Sim",S2911+ROW()/100000,0)</f>
        <v>0</v>
      </c>
      <c r="V2911" s="41">
        <f>IF(AND(H2911="Falta",L2911=Config!$B$7,M2911=Config!$B$5,COUNTIFS($E$5:E2911,E2911,$H$5:H2911,"Falta",$L$5:L2911,Config!$B$7,$M$5:M2911,Config!$B$5)=1),COUNTIFS($E$5:$E$3004,E2911,$H$5:$H$3004,"Falta",$L$5:$L$3004,Config!$B$7,$M$5:$M$3004,Config!$B$5)*1000-ROW()/100000,0)</f>
        <v>0</v>
      </c>
    </row>
    <row r="2912">
      <c r="A2912" s="39" t="n"/>
      <c r="B2912" s="40" t="n"/>
      <c r="C2912" s="35" t="n"/>
      <c r="D2912" s="35" t="n"/>
      <c r="E2912" s="34" t="n"/>
      <c r="F2912" s="35" t="n"/>
      <c r="G2912" s="35" t="n"/>
      <c r="H2912" s="35" t="n"/>
      <c r="I2912" s="35" t="n"/>
      <c r="J2912" s="35" t="n"/>
      <c r="K2912" s="34" t="n"/>
      <c r="L2912" s="26">
        <f>IF(A2912="","",MONTH(A2912))</f>
        <v/>
      </c>
      <c r="M2912" s="26">
        <f>IF(A2912="","",YEAR(A2912))</f>
        <v/>
      </c>
      <c r="N2912" s="26">
        <f>IF(A2912="","",CHOOSE(WEEKDAY(A2912,2),"Segunda","Terça","Quarta","Quinta","Sexta","Sábado","Domingo"))</f>
        <v/>
      </c>
      <c r="O2912" s="26">
        <f>IF(B2912="","",IF(B2912&lt;TIME(12,0,0),"Manhã",IF(B2912&lt;TIME(18,0,0),"Tarde","Noite")))</f>
        <v/>
      </c>
      <c r="P2912" s="32">
        <f>IF(G2912="","",IFERROR(INDEX(Config!$I$5:$I$16,MATCH(G2912,Config!$H$5:$H$16,0)),0))</f>
        <v/>
      </c>
      <c r="Q2912" s="30">
        <f>IF(OR(H2912&lt;&gt;"Realizado",P2912="",P2912=0),"",A2912+P2912)</f>
        <v/>
      </c>
      <c r="R2912" s="26">
        <f>IF(Q2912="","",IF(COUNTIFS($E$5:$E$3004,E2912,$A$5:$A$3004,"&gt;"&amp;A2912,$H$5:$H$3004,"&lt;&gt;Falta",$H$5:$H$3004,"&lt;&gt;Cancelado",$H$5:$H$3004,"&lt;&gt;Remarcado")&gt;0,"Sim","Não"))</f>
        <v/>
      </c>
      <c r="S2912" s="32">
        <f>IF(R2912&lt;&gt;"Não","",IF(Q2912+Config!$B$9&lt;=Config!$B$8,Config!$B$8-Q2912,""))</f>
        <v/>
      </c>
      <c r="T2912" s="26">
        <f>IF(S2912="","","Sim")</f>
        <v/>
      </c>
      <c r="U2912" s="41">
        <f>IF(T2912="Sim",S2912+ROW()/100000,0)</f>
        <v>0</v>
      </c>
      <c r="V2912" s="41">
        <f>IF(AND(H2912="Falta",L2912=Config!$B$7,M2912=Config!$B$5,COUNTIFS($E$5:E2912,E2912,$H$5:H2912,"Falta",$L$5:L2912,Config!$B$7,$M$5:M2912,Config!$B$5)=1),COUNTIFS($E$5:$E$3004,E2912,$H$5:$H$3004,"Falta",$L$5:$L$3004,Config!$B$7,$M$5:$M$3004,Config!$B$5)*1000-ROW()/100000,0)</f>
        <v>0</v>
      </c>
    </row>
    <row r="2913">
      <c r="A2913" s="39" t="n"/>
      <c r="B2913" s="40" t="n"/>
      <c r="C2913" s="35" t="n"/>
      <c r="D2913" s="35" t="n"/>
      <c r="E2913" s="34" t="n"/>
      <c r="F2913" s="35" t="n"/>
      <c r="G2913" s="35" t="n"/>
      <c r="H2913" s="35" t="n"/>
      <c r="I2913" s="35" t="n"/>
      <c r="J2913" s="35" t="n"/>
      <c r="K2913" s="34" t="n"/>
      <c r="L2913" s="26">
        <f>IF(A2913="","",MONTH(A2913))</f>
        <v/>
      </c>
      <c r="M2913" s="26">
        <f>IF(A2913="","",YEAR(A2913))</f>
        <v/>
      </c>
      <c r="N2913" s="26">
        <f>IF(A2913="","",CHOOSE(WEEKDAY(A2913,2),"Segunda","Terça","Quarta","Quinta","Sexta","Sábado","Domingo"))</f>
        <v/>
      </c>
      <c r="O2913" s="26">
        <f>IF(B2913="","",IF(B2913&lt;TIME(12,0,0),"Manhã",IF(B2913&lt;TIME(18,0,0),"Tarde","Noite")))</f>
        <v/>
      </c>
      <c r="P2913" s="32">
        <f>IF(G2913="","",IFERROR(INDEX(Config!$I$5:$I$16,MATCH(G2913,Config!$H$5:$H$16,0)),0))</f>
        <v/>
      </c>
      <c r="Q2913" s="30">
        <f>IF(OR(H2913&lt;&gt;"Realizado",P2913="",P2913=0),"",A2913+P2913)</f>
        <v/>
      </c>
      <c r="R2913" s="26">
        <f>IF(Q2913="","",IF(COUNTIFS($E$5:$E$3004,E2913,$A$5:$A$3004,"&gt;"&amp;A2913,$H$5:$H$3004,"&lt;&gt;Falta",$H$5:$H$3004,"&lt;&gt;Cancelado",$H$5:$H$3004,"&lt;&gt;Remarcado")&gt;0,"Sim","Não"))</f>
        <v/>
      </c>
      <c r="S2913" s="32">
        <f>IF(R2913&lt;&gt;"Não","",IF(Q2913+Config!$B$9&lt;=Config!$B$8,Config!$B$8-Q2913,""))</f>
        <v/>
      </c>
      <c r="T2913" s="26">
        <f>IF(S2913="","","Sim")</f>
        <v/>
      </c>
      <c r="U2913" s="41">
        <f>IF(T2913="Sim",S2913+ROW()/100000,0)</f>
        <v>0</v>
      </c>
      <c r="V2913" s="41">
        <f>IF(AND(H2913="Falta",L2913=Config!$B$7,M2913=Config!$B$5,COUNTIFS($E$5:E2913,E2913,$H$5:H2913,"Falta",$L$5:L2913,Config!$B$7,$M$5:M2913,Config!$B$5)=1),COUNTIFS($E$5:$E$3004,E2913,$H$5:$H$3004,"Falta",$L$5:$L$3004,Config!$B$7,$M$5:$M$3004,Config!$B$5)*1000-ROW()/100000,0)</f>
        <v>0</v>
      </c>
    </row>
    <row r="2914">
      <c r="A2914" s="39" t="n"/>
      <c r="B2914" s="40" t="n"/>
      <c r="C2914" s="35" t="n"/>
      <c r="D2914" s="35" t="n"/>
      <c r="E2914" s="34" t="n"/>
      <c r="F2914" s="35" t="n"/>
      <c r="G2914" s="35" t="n"/>
      <c r="H2914" s="35" t="n"/>
      <c r="I2914" s="35" t="n"/>
      <c r="J2914" s="35" t="n"/>
      <c r="K2914" s="34" t="n"/>
      <c r="L2914" s="26">
        <f>IF(A2914="","",MONTH(A2914))</f>
        <v/>
      </c>
      <c r="M2914" s="26">
        <f>IF(A2914="","",YEAR(A2914))</f>
        <v/>
      </c>
      <c r="N2914" s="26">
        <f>IF(A2914="","",CHOOSE(WEEKDAY(A2914,2),"Segunda","Terça","Quarta","Quinta","Sexta","Sábado","Domingo"))</f>
        <v/>
      </c>
      <c r="O2914" s="26">
        <f>IF(B2914="","",IF(B2914&lt;TIME(12,0,0),"Manhã",IF(B2914&lt;TIME(18,0,0),"Tarde","Noite")))</f>
        <v/>
      </c>
      <c r="P2914" s="32">
        <f>IF(G2914="","",IFERROR(INDEX(Config!$I$5:$I$16,MATCH(G2914,Config!$H$5:$H$16,0)),0))</f>
        <v/>
      </c>
      <c r="Q2914" s="30">
        <f>IF(OR(H2914&lt;&gt;"Realizado",P2914="",P2914=0),"",A2914+P2914)</f>
        <v/>
      </c>
      <c r="R2914" s="26">
        <f>IF(Q2914="","",IF(COUNTIFS($E$5:$E$3004,E2914,$A$5:$A$3004,"&gt;"&amp;A2914,$H$5:$H$3004,"&lt;&gt;Falta",$H$5:$H$3004,"&lt;&gt;Cancelado",$H$5:$H$3004,"&lt;&gt;Remarcado")&gt;0,"Sim","Não"))</f>
        <v/>
      </c>
      <c r="S2914" s="32">
        <f>IF(R2914&lt;&gt;"Não","",IF(Q2914+Config!$B$9&lt;=Config!$B$8,Config!$B$8-Q2914,""))</f>
        <v/>
      </c>
      <c r="T2914" s="26">
        <f>IF(S2914="","","Sim")</f>
        <v/>
      </c>
      <c r="U2914" s="41">
        <f>IF(T2914="Sim",S2914+ROW()/100000,0)</f>
        <v>0</v>
      </c>
      <c r="V2914" s="41">
        <f>IF(AND(H2914="Falta",L2914=Config!$B$7,M2914=Config!$B$5,COUNTIFS($E$5:E2914,E2914,$H$5:H2914,"Falta",$L$5:L2914,Config!$B$7,$M$5:M2914,Config!$B$5)=1),COUNTIFS($E$5:$E$3004,E2914,$H$5:$H$3004,"Falta",$L$5:$L$3004,Config!$B$7,$M$5:$M$3004,Config!$B$5)*1000-ROW()/100000,0)</f>
        <v>0</v>
      </c>
    </row>
    <row r="2915">
      <c r="A2915" s="39" t="n"/>
      <c r="B2915" s="40" t="n"/>
      <c r="C2915" s="35" t="n"/>
      <c r="D2915" s="35" t="n"/>
      <c r="E2915" s="34" t="n"/>
      <c r="F2915" s="35" t="n"/>
      <c r="G2915" s="35" t="n"/>
      <c r="H2915" s="35" t="n"/>
      <c r="I2915" s="35" t="n"/>
      <c r="J2915" s="35" t="n"/>
      <c r="K2915" s="34" t="n"/>
      <c r="L2915" s="26">
        <f>IF(A2915="","",MONTH(A2915))</f>
        <v/>
      </c>
      <c r="M2915" s="26">
        <f>IF(A2915="","",YEAR(A2915))</f>
        <v/>
      </c>
      <c r="N2915" s="26">
        <f>IF(A2915="","",CHOOSE(WEEKDAY(A2915,2),"Segunda","Terça","Quarta","Quinta","Sexta","Sábado","Domingo"))</f>
        <v/>
      </c>
      <c r="O2915" s="26">
        <f>IF(B2915="","",IF(B2915&lt;TIME(12,0,0),"Manhã",IF(B2915&lt;TIME(18,0,0),"Tarde","Noite")))</f>
        <v/>
      </c>
      <c r="P2915" s="32">
        <f>IF(G2915="","",IFERROR(INDEX(Config!$I$5:$I$16,MATCH(G2915,Config!$H$5:$H$16,0)),0))</f>
        <v/>
      </c>
      <c r="Q2915" s="30">
        <f>IF(OR(H2915&lt;&gt;"Realizado",P2915="",P2915=0),"",A2915+P2915)</f>
        <v/>
      </c>
      <c r="R2915" s="26">
        <f>IF(Q2915="","",IF(COUNTIFS($E$5:$E$3004,E2915,$A$5:$A$3004,"&gt;"&amp;A2915,$H$5:$H$3004,"&lt;&gt;Falta",$H$5:$H$3004,"&lt;&gt;Cancelado",$H$5:$H$3004,"&lt;&gt;Remarcado")&gt;0,"Sim","Não"))</f>
        <v/>
      </c>
      <c r="S2915" s="32">
        <f>IF(R2915&lt;&gt;"Não","",IF(Q2915+Config!$B$9&lt;=Config!$B$8,Config!$B$8-Q2915,""))</f>
        <v/>
      </c>
      <c r="T2915" s="26">
        <f>IF(S2915="","","Sim")</f>
        <v/>
      </c>
      <c r="U2915" s="41">
        <f>IF(T2915="Sim",S2915+ROW()/100000,0)</f>
        <v>0</v>
      </c>
      <c r="V2915" s="41">
        <f>IF(AND(H2915="Falta",L2915=Config!$B$7,M2915=Config!$B$5,COUNTIFS($E$5:E2915,E2915,$H$5:H2915,"Falta",$L$5:L2915,Config!$B$7,$M$5:M2915,Config!$B$5)=1),COUNTIFS($E$5:$E$3004,E2915,$H$5:$H$3004,"Falta",$L$5:$L$3004,Config!$B$7,$M$5:$M$3004,Config!$B$5)*1000-ROW()/100000,0)</f>
        <v>0</v>
      </c>
    </row>
    <row r="2916">
      <c r="A2916" s="39" t="n"/>
      <c r="B2916" s="40" t="n"/>
      <c r="C2916" s="35" t="n"/>
      <c r="D2916" s="35" t="n"/>
      <c r="E2916" s="34" t="n"/>
      <c r="F2916" s="35" t="n"/>
      <c r="G2916" s="35" t="n"/>
      <c r="H2916" s="35" t="n"/>
      <c r="I2916" s="35" t="n"/>
      <c r="J2916" s="35" t="n"/>
      <c r="K2916" s="34" t="n"/>
      <c r="L2916" s="26">
        <f>IF(A2916="","",MONTH(A2916))</f>
        <v/>
      </c>
      <c r="M2916" s="26">
        <f>IF(A2916="","",YEAR(A2916))</f>
        <v/>
      </c>
      <c r="N2916" s="26">
        <f>IF(A2916="","",CHOOSE(WEEKDAY(A2916,2),"Segunda","Terça","Quarta","Quinta","Sexta","Sábado","Domingo"))</f>
        <v/>
      </c>
      <c r="O2916" s="26">
        <f>IF(B2916="","",IF(B2916&lt;TIME(12,0,0),"Manhã",IF(B2916&lt;TIME(18,0,0),"Tarde","Noite")))</f>
        <v/>
      </c>
      <c r="P2916" s="32">
        <f>IF(G2916="","",IFERROR(INDEX(Config!$I$5:$I$16,MATCH(G2916,Config!$H$5:$H$16,0)),0))</f>
        <v/>
      </c>
      <c r="Q2916" s="30">
        <f>IF(OR(H2916&lt;&gt;"Realizado",P2916="",P2916=0),"",A2916+P2916)</f>
        <v/>
      </c>
      <c r="R2916" s="26">
        <f>IF(Q2916="","",IF(COUNTIFS($E$5:$E$3004,E2916,$A$5:$A$3004,"&gt;"&amp;A2916,$H$5:$H$3004,"&lt;&gt;Falta",$H$5:$H$3004,"&lt;&gt;Cancelado",$H$5:$H$3004,"&lt;&gt;Remarcado")&gt;0,"Sim","Não"))</f>
        <v/>
      </c>
      <c r="S2916" s="32">
        <f>IF(R2916&lt;&gt;"Não","",IF(Q2916+Config!$B$9&lt;=Config!$B$8,Config!$B$8-Q2916,""))</f>
        <v/>
      </c>
      <c r="T2916" s="26">
        <f>IF(S2916="","","Sim")</f>
        <v/>
      </c>
      <c r="U2916" s="41">
        <f>IF(T2916="Sim",S2916+ROW()/100000,0)</f>
        <v>0</v>
      </c>
      <c r="V2916" s="41">
        <f>IF(AND(H2916="Falta",L2916=Config!$B$7,M2916=Config!$B$5,COUNTIFS($E$5:E2916,E2916,$H$5:H2916,"Falta",$L$5:L2916,Config!$B$7,$M$5:M2916,Config!$B$5)=1),COUNTIFS($E$5:$E$3004,E2916,$H$5:$H$3004,"Falta",$L$5:$L$3004,Config!$B$7,$M$5:$M$3004,Config!$B$5)*1000-ROW()/100000,0)</f>
        <v>0</v>
      </c>
    </row>
    <row r="2917">
      <c r="A2917" s="39" t="n"/>
      <c r="B2917" s="40" t="n"/>
      <c r="C2917" s="35" t="n"/>
      <c r="D2917" s="35" t="n"/>
      <c r="E2917" s="34" t="n"/>
      <c r="F2917" s="35" t="n"/>
      <c r="G2917" s="35" t="n"/>
      <c r="H2917" s="35" t="n"/>
      <c r="I2917" s="35" t="n"/>
      <c r="J2917" s="35" t="n"/>
      <c r="K2917" s="34" t="n"/>
      <c r="L2917" s="26">
        <f>IF(A2917="","",MONTH(A2917))</f>
        <v/>
      </c>
      <c r="M2917" s="26">
        <f>IF(A2917="","",YEAR(A2917))</f>
        <v/>
      </c>
      <c r="N2917" s="26">
        <f>IF(A2917="","",CHOOSE(WEEKDAY(A2917,2),"Segunda","Terça","Quarta","Quinta","Sexta","Sábado","Domingo"))</f>
        <v/>
      </c>
      <c r="O2917" s="26">
        <f>IF(B2917="","",IF(B2917&lt;TIME(12,0,0),"Manhã",IF(B2917&lt;TIME(18,0,0),"Tarde","Noite")))</f>
        <v/>
      </c>
      <c r="P2917" s="32">
        <f>IF(G2917="","",IFERROR(INDEX(Config!$I$5:$I$16,MATCH(G2917,Config!$H$5:$H$16,0)),0))</f>
        <v/>
      </c>
      <c r="Q2917" s="30">
        <f>IF(OR(H2917&lt;&gt;"Realizado",P2917="",P2917=0),"",A2917+P2917)</f>
        <v/>
      </c>
      <c r="R2917" s="26">
        <f>IF(Q2917="","",IF(COUNTIFS($E$5:$E$3004,E2917,$A$5:$A$3004,"&gt;"&amp;A2917,$H$5:$H$3004,"&lt;&gt;Falta",$H$5:$H$3004,"&lt;&gt;Cancelado",$H$5:$H$3004,"&lt;&gt;Remarcado")&gt;0,"Sim","Não"))</f>
        <v/>
      </c>
      <c r="S2917" s="32">
        <f>IF(R2917&lt;&gt;"Não","",IF(Q2917+Config!$B$9&lt;=Config!$B$8,Config!$B$8-Q2917,""))</f>
        <v/>
      </c>
      <c r="T2917" s="26">
        <f>IF(S2917="","","Sim")</f>
        <v/>
      </c>
      <c r="U2917" s="41">
        <f>IF(T2917="Sim",S2917+ROW()/100000,0)</f>
        <v>0</v>
      </c>
      <c r="V2917" s="41">
        <f>IF(AND(H2917="Falta",L2917=Config!$B$7,M2917=Config!$B$5,COUNTIFS($E$5:E2917,E2917,$H$5:H2917,"Falta",$L$5:L2917,Config!$B$7,$M$5:M2917,Config!$B$5)=1),COUNTIFS($E$5:$E$3004,E2917,$H$5:$H$3004,"Falta",$L$5:$L$3004,Config!$B$7,$M$5:$M$3004,Config!$B$5)*1000-ROW()/100000,0)</f>
        <v>0</v>
      </c>
    </row>
    <row r="2918">
      <c r="A2918" s="39" t="n"/>
      <c r="B2918" s="40" t="n"/>
      <c r="C2918" s="35" t="n"/>
      <c r="D2918" s="35" t="n"/>
      <c r="E2918" s="34" t="n"/>
      <c r="F2918" s="35" t="n"/>
      <c r="G2918" s="35" t="n"/>
      <c r="H2918" s="35" t="n"/>
      <c r="I2918" s="35" t="n"/>
      <c r="J2918" s="35" t="n"/>
      <c r="K2918" s="34" t="n"/>
      <c r="L2918" s="26">
        <f>IF(A2918="","",MONTH(A2918))</f>
        <v/>
      </c>
      <c r="M2918" s="26">
        <f>IF(A2918="","",YEAR(A2918))</f>
        <v/>
      </c>
      <c r="N2918" s="26">
        <f>IF(A2918="","",CHOOSE(WEEKDAY(A2918,2),"Segunda","Terça","Quarta","Quinta","Sexta","Sábado","Domingo"))</f>
        <v/>
      </c>
      <c r="O2918" s="26">
        <f>IF(B2918="","",IF(B2918&lt;TIME(12,0,0),"Manhã",IF(B2918&lt;TIME(18,0,0),"Tarde","Noite")))</f>
        <v/>
      </c>
      <c r="P2918" s="32">
        <f>IF(G2918="","",IFERROR(INDEX(Config!$I$5:$I$16,MATCH(G2918,Config!$H$5:$H$16,0)),0))</f>
        <v/>
      </c>
      <c r="Q2918" s="30">
        <f>IF(OR(H2918&lt;&gt;"Realizado",P2918="",P2918=0),"",A2918+P2918)</f>
        <v/>
      </c>
      <c r="R2918" s="26">
        <f>IF(Q2918="","",IF(COUNTIFS($E$5:$E$3004,E2918,$A$5:$A$3004,"&gt;"&amp;A2918,$H$5:$H$3004,"&lt;&gt;Falta",$H$5:$H$3004,"&lt;&gt;Cancelado",$H$5:$H$3004,"&lt;&gt;Remarcado")&gt;0,"Sim","Não"))</f>
        <v/>
      </c>
      <c r="S2918" s="32">
        <f>IF(R2918&lt;&gt;"Não","",IF(Q2918+Config!$B$9&lt;=Config!$B$8,Config!$B$8-Q2918,""))</f>
        <v/>
      </c>
      <c r="T2918" s="26">
        <f>IF(S2918="","","Sim")</f>
        <v/>
      </c>
      <c r="U2918" s="41">
        <f>IF(T2918="Sim",S2918+ROW()/100000,0)</f>
        <v>0</v>
      </c>
      <c r="V2918" s="41">
        <f>IF(AND(H2918="Falta",L2918=Config!$B$7,M2918=Config!$B$5,COUNTIFS($E$5:E2918,E2918,$H$5:H2918,"Falta",$L$5:L2918,Config!$B$7,$M$5:M2918,Config!$B$5)=1),COUNTIFS($E$5:$E$3004,E2918,$H$5:$H$3004,"Falta",$L$5:$L$3004,Config!$B$7,$M$5:$M$3004,Config!$B$5)*1000-ROW()/100000,0)</f>
        <v>0</v>
      </c>
    </row>
    <row r="2919">
      <c r="A2919" s="39" t="n"/>
      <c r="B2919" s="40" t="n"/>
      <c r="C2919" s="35" t="n"/>
      <c r="D2919" s="35" t="n"/>
      <c r="E2919" s="34" t="n"/>
      <c r="F2919" s="35" t="n"/>
      <c r="G2919" s="35" t="n"/>
      <c r="H2919" s="35" t="n"/>
      <c r="I2919" s="35" t="n"/>
      <c r="J2919" s="35" t="n"/>
      <c r="K2919" s="34" t="n"/>
      <c r="L2919" s="26">
        <f>IF(A2919="","",MONTH(A2919))</f>
        <v/>
      </c>
      <c r="M2919" s="26">
        <f>IF(A2919="","",YEAR(A2919))</f>
        <v/>
      </c>
      <c r="N2919" s="26">
        <f>IF(A2919="","",CHOOSE(WEEKDAY(A2919,2),"Segunda","Terça","Quarta","Quinta","Sexta","Sábado","Domingo"))</f>
        <v/>
      </c>
      <c r="O2919" s="26">
        <f>IF(B2919="","",IF(B2919&lt;TIME(12,0,0),"Manhã",IF(B2919&lt;TIME(18,0,0),"Tarde","Noite")))</f>
        <v/>
      </c>
      <c r="P2919" s="32">
        <f>IF(G2919="","",IFERROR(INDEX(Config!$I$5:$I$16,MATCH(G2919,Config!$H$5:$H$16,0)),0))</f>
        <v/>
      </c>
      <c r="Q2919" s="30">
        <f>IF(OR(H2919&lt;&gt;"Realizado",P2919="",P2919=0),"",A2919+P2919)</f>
        <v/>
      </c>
      <c r="R2919" s="26">
        <f>IF(Q2919="","",IF(COUNTIFS($E$5:$E$3004,E2919,$A$5:$A$3004,"&gt;"&amp;A2919,$H$5:$H$3004,"&lt;&gt;Falta",$H$5:$H$3004,"&lt;&gt;Cancelado",$H$5:$H$3004,"&lt;&gt;Remarcado")&gt;0,"Sim","Não"))</f>
        <v/>
      </c>
      <c r="S2919" s="32">
        <f>IF(R2919&lt;&gt;"Não","",IF(Q2919+Config!$B$9&lt;=Config!$B$8,Config!$B$8-Q2919,""))</f>
        <v/>
      </c>
      <c r="T2919" s="26">
        <f>IF(S2919="","","Sim")</f>
        <v/>
      </c>
      <c r="U2919" s="41">
        <f>IF(T2919="Sim",S2919+ROW()/100000,0)</f>
        <v>0</v>
      </c>
      <c r="V2919" s="41">
        <f>IF(AND(H2919="Falta",L2919=Config!$B$7,M2919=Config!$B$5,COUNTIFS($E$5:E2919,E2919,$H$5:H2919,"Falta",$L$5:L2919,Config!$B$7,$M$5:M2919,Config!$B$5)=1),COUNTIFS($E$5:$E$3004,E2919,$H$5:$H$3004,"Falta",$L$5:$L$3004,Config!$B$7,$M$5:$M$3004,Config!$B$5)*1000-ROW()/100000,0)</f>
        <v>0</v>
      </c>
    </row>
    <row r="2920">
      <c r="A2920" s="39" t="n"/>
      <c r="B2920" s="40" t="n"/>
      <c r="C2920" s="35" t="n"/>
      <c r="D2920" s="35" t="n"/>
      <c r="E2920" s="34" t="n"/>
      <c r="F2920" s="35" t="n"/>
      <c r="G2920" s="35" t="n"/>
      <c r="H2920" s="35" t="n"/>
      <c r="I2920" s="35" t="n"/>
      <c r="J2920" s="35" t="n"/>
      <c r="K2920" s="34" t="n"/>
      <c r="L2920" s="26">
        <f>IF(A2920="","",MONTH(A2920))</f>
        <v/>
      </c>
      <c r="M2920" s="26">
        <f>IF(A2920="","",YEAR(A2920))</f>
        <v/>
      </c>
      <c r="N2920" s="26">
        <f>IF(A2920="","",CHOOSE(WEEKDAY(A2920,2),"Segunda","Terça","Quarta","Quinta","Sexta","Sábado","Domingo"))</f>
        <v/>
      </c>
      <c r="O2920" s="26">
        <f>IF(B2920="","",IF(B2920&lt;TIME(12,0,0),"Manhã",IF(B2920&lt;TIME(18,0,0),"Tarde","Noite")))</f>
        <v/>
      </c>
      <c r="P2920" s="32">
        <f>IF(G2920="","",IFERROR(INDEX(Config!$I$5:$I$16,MATCH(G2920,Config!$H$5:$H$16,0)),0))</f>
        <v/>
      </c>
      <c r="Q2920" s="30">
        <f>IF(OR(H2920&lt;&gt;"Realizado",P2920="",P2920=0),"",A2920+P2920)</f>
        <v/>
      </c>
      <c r="R2920" s="26">
        <f>IF(Q2920="","",IF(COUNTIFS($E$5:$E$3004,E2920,$A$5:$A$3004,"&gt;"&amp;A2920,$H$5:$H$3004,"&lt;&gt;Falta",$H$5:$H$3004,"&lt;&gt;Cancelado",$H$5:$H$3004,"&lt;&gt;Remarcado")&gt;0,"Sim","Não"))</f>
        <v/>
      </c>
      <c r="S2920" s="32">
        <f>IF(R2920&lt;&gt;"Não","",IF(Q2920+Config!$B$9&lt;=Config!$B$8,Config!$B$8-Q2920,""))</f>
        <v/>
      </c>
      <c r="T2920" s="26">
        <f>IF(S2920="","","Sim")</f>
        <v/>
      </c>
      <c r="U2920" s="41">
        <f>IF(T2920="Sim",S2920+ROW()/100000,0)</f>
        <v>0</v>
      </c>
      <c r="V2920" s="41">
        <f>IF(AND(H2920="Falta",L2920=Config!$B$7,M2920=Config!$B$5,COUNTIFS($E$5:E2920,E2920,$H$5:H2920,"Falta",$L$5:L2920,Config!$B$7,$M$5:M2920,Config!$B$5)=1),COUNTIFS($E$5:$E$3004,E2920,$H$5:$H$3004,"Falta",$L$5:$L$3004,Config!$B$7,$M$5:$M$3004,Config!$B$5)*1000-ROW()/100000,0)</f>
        <v>0</v>
      </c>
    </row>
    <row r="2921">
      <c r="A2921" s="39" t="n"/>
      <c r="B2921" s="40" t="n"/>
      <c r="C2921" s="35" t="n"/>
      <c r="D2921" s="35" t="n"/>
      <c r="E2921" s="34" t="n"/>
      <c r="F2921" s="35" t="n"/>
      <c r="G2921" s="35" t="n"/>
      <c r="H2921" s="35" t="n"/>
      <c r="I2921" s="35" t="n"/>
      <c r="J2921" s="35" t="n"/>
      <c r="K2921" s="34" t="n"/>
      <c r="L2921" s="26">
        <f>IF(A2921="","",MONTH(A2921))</f>
        <v/>
      </c>
      <c r="M2921" s="26">
        <f>IF(A2921="","",YEAR(A2921))</f>
        <v/>
      </c>
      <c r="N2921" s="26">
        <f>IF(A2921="","",CHOOSE(WEEKDAY(A2921,2),"Segunda","Terça","Quarta","Quinta","Sexta","Sábado","Domingo"))</f>
        <v/>
      </c>
      <c r="O2921" s="26">
        <f>IF(B2921="","",IF(B2921&lt;TIME(12,0,0),"Manhã",IF(B2921&lt;TIME(18,0,0),"Tarde","Noite")))</f>
        <v/>
      </c>
      <c r="P2921" s="32">
        <f>IF(G2921="","",IFERROR(INDEX(Config!$I$5:$I$16,MATCH(G2921,Config!$H$5:$H$16,0)),0))</f>
        <v/>
      </c>
      <c r="Q2921" s="30">
        <f>IF(OR(H2921&lt;&gt;"Realizado",P2921="",P2921=0),"",A2921+P2921)</f>
        <v/>
      </c>
      <c r="R2921" s="26">
        <f>IF(Q2921="","",IF(COUNTIFS($E$5:$E$3004,E2921,$A$5:$A$3004,"&gt;"&amp;A2921,$H$5:$H$3004,"&lt;&gt;Falta",$H$5:$H$3004,"&lt;&gt;Cancelado",$H$5:$H$3004,"&lt;&gt;Remarcado")&gt;0,"Sim","Não"))</f>
        <v/>
      </c>
      <c r="S2921" s="32">
        <f>IF(R2921&lt;&gt;"Não","",IF(Q2921+Config!$B$9&lt;=Config!$B$8,Config!$B$8-Q2921,""))</f>
        <v/>
      </c>
      <c r="T2921" s="26">
        <f>IF(S2921="","","Sim")</f>
        <v/>
      </c>
      <c r="U2921" s="41">
        <f>IF(T2921="Sim",S2921+ROW()/100000,0)</f>
        <v>0</v>
      </c>
      <c r="V2921" s="41">
        <f>IF(AND(H2921="Falta",L2921=Config!$B$7,M2921=Config!$B$5,COUNTIFS($E$5:E2921,E2921,$H$5:H2921,"Falta",$L$5:L2921,Config!$B$7,$M$5:M2921,Config!$B$5)=1),COUNTIFS($E$5:$E$3004,E2921,$H$5:$H$3004,"Falta",$L$5:$L$3004,Config!$B$7,$M$5:$M$3004,Config!$B$5)*1000-ROW()/100000,0)</f>
        <v>0</v>
      </c>
    </row>
    <row r="2922">
      <c r="A2922" s="39" t="n"/>
      <c r="B2922" s="40" t="n"/>
      <c r="C2922" s="35" t="n"/>
      <c r="D2922" s="35" t="n"/>
      <c r="E2922" s="34" t="n"/>
      <c r="F2922" s="35" t="n"/>
      <c r="G2922" s="35" t="n"/>
      <c r="H2922" s="35" t="n"/>
      <c r="I2922" s="35" t="n"/>
      <c r="J2922" s="35" t="n"/>
      <c r="K2922" s="34" t="n"/>
      <c r="L2922" s="26">
        <f>IF(A2922="","",MONTH(A2922))</f>
        <v/>
      </c>
      <c r="M2922" s="26">
        <f>IF(A2922="","",YEAR(A2922))</f>
        <v/>
      </c>
      <c r="N2922" s="26">
        <f>IF(A2922="","",CHOOSE(WEEKDAY(A2922,2),"Segunda","Terça","Quarta","Quinta","Sexta","Sábado","Domingo"))</f>
        <v/>
      </c>
      <c r="O2922" s="26">
        <f>IF(B2922="","",IF(B2922&lt;TIME(12,0,0),"Manhã",IF(B2922&lt;TIME(18,0,0),"Tarde","Noite")))</f>
        <v/>
      </c>
      <c r="P2922" s="32">
        <f>IF(G2922="","",IFERROR(INDEX(Config!$I$5:$I$16,MATCH(G2922,Config!$H$5:$H$16,0)),0))</f>
        <v/>
      </c>
      <c r="Q2922" s="30">
        <f>IF(OR(H2922&lt;&gt;"Realizado",P2922="",P2922=0),"",A2922+P2922)</f>
        <v/>
      </c>
      <c r="R2922" s="26">
        <f>IF(Q2922="","",IF(COUNTIFS($E$5:$E$3004,E2922,$A$5:$A$3004,"&gt;"&amp;A2922,$H$5:$H$3004,"&lt;&gt;Falta",$H$5:$H$3004,"&lt;&gt;Cancelado",$H$5:$H$3004,"&lt;&gt;Remarcado")&gt;0,"Sim","Não"))</f>
        <v/>
      </c>
      <c r="S2922" s="32">
        <f>IF(R2922&lt;&gt;"Não","",IF(Q2922+Config!$B$9&lt;=Config!$B$8,Config!$B$8-Q2922,""))</f>
        <v/>
      </c>
      <c r="T2922" s="26">
        <f>IF(S2922="","","Sim")</f>
        <v/>
      </c>
      <c r="U2922" s="41">
        <f>IF(T2922="Sim",S2922+ROW()/100000,0)</f>
        <v>0</v>
      </c>
      <c r="V2922" s="41">
        <f>IF(AND(H2922="Falta",L2922=Config!$B$7,M2922=Config!$B$5,COUNTIFS($E$5:E2922,E2922,$H$5:H2922,"Falta",$L$5:L2922,Config!$B$7,$M$5:M2922,Config!$B$5)=1),COUNTIFS($E$5:$E$3004,E2922,$H$5:$H$3004,"Falta",$L$5:$L$3004,Config!$B$7,$M$5:$M$3004,Config!$B$5)*1000-ROW()/100000,0)</f>
        <v>0</v>
      </c>
    </row>
    <row r="2923">
      <c r="A2923" s="39" t="n"/>
      <c r="B2923" s="40" t="n"/>
      <c r="C2923" s="35" t="n"/>
      <c r="D2923" s="35" t="n"/>
      <c r="E2923" s="34" t="n"/>
      <c r="F2923" s="35" t="n"/>
      <c r="G2923" s="35" t="n"/>
      <c r="H2923" s="35" t="n"/>
      <c r="I2923" s="35" t="n"/>
      <c r="J2923" s="35" t="n"/>
      <c r="K2923" s="34" t="n"/>
      <c r="L2923" s="26">
        <f>IF(A2923="","",MONTH(A2923))</f>
        <v/>
      </c>
      <c r="M2923" s="26">
        <f>IF(A2923="","",YEAR(A2923))</f>
        <v/>
      </c>
      <c r="N2923" s="26">
        <f>IF(A2923="","",CHOOSE(WEEKDAY(A2923,2),"Segunda","Terça","Quarta","Quinta","Sexta","Sábado","Domingo"))</f>
        <v/>
      </c>
      <c r="O2923" s="26">
        <f>IF(B2923="","",IF(B2923&lt;TIME(12,0,0),"Manhã",IF(B2923&lt;TIME(18,0,0),"Tarde","Noite")))</f>
        <v/>
      </c>
      <c r="P2923" s="32">
        <f>IF(G2923="","",IFERROR(INDEX(Config!$I$5:$I$16,MATCH(G2923,Config!$H$5:$H$16,0)),0))</f>
        <v/>
      </c>
      <c r="Q2923" s="30">
        <f>IF(OR(H2923&lt;&gt;"Realizado",P2923="",P2923=0),"",A2923+P2923)</f>
        <v/>
      </c>
      <c r="R2923" s="26">
        <f>IF(Q2923="","",IF(COUNTIFS($E$5:$E$3004,E2923,$A$5:$A$3004,"&gt;"&amp;A2923,$H$5:$H$3004,"&lt;&gt;Falta",$H$5:$H$3004,"&lt;&gt;Cancelado",$H$5:$H$3004,"&lt;&gt;Remarcado")&gt;0,"Sim","Não"))</f>
        <v/>
      </c>
      <c r="S2923" s="32">
        <f>IF(R2923&lt;&gt;"Não","",IF(Q2923+Config!$B$9&lt;=Config!$B$8,Config!$B$8-Q2923,""))</f>
        <v/>
      </c>
      <c r="T2923" s="26">
        <f>IF(S2923="","","Sim")</f>
        <v/>
      </c>
      <c r="U2923" s="41">
        <f>IF(T2923="Sim",S2923+ROW()/100000,0)</f>
        <v>0</v>
      </c>
      <c r="V2923" s="41">
        <f>IF(AND(H2923="Falta",L2923=Config!$B$7,M2923=Config!$B$5,COUNTIFS($E$5:E2923,E2923,$H$5:H2923,"Falta",$L$5:L2923,Config!$B$7,$M$5:M2923,Config!$B$5)=1),COUNTIFS($E$5:$E$3004,E2923,$H$5:$H$3004,"Falta",$L$5:$L$3004,Config!$B$7,$M$5:$M$3004,Config!$B$5)*1000-ROW()/100000,0)</f>
        <v>0</v>
      </c>
    </row>
    <row r="2924">
      <c r="A2924" s="39" t="n"/>
      <c r="B2924" s="40" t="n"/>
      <c r="C2924" s="35" t="n"/>
      <c r="D2924" s="35" t="n"/>
      <c r="E2924" s="34" t="n"/>
      <c r="F2924" s="35" t="n"/>
      <c r="G2924" s="35" t="n"/>
      <c r="H2924" s="35" t="n"/>
      <c r="I2924" s="35" t="n"/>
      <c r="J2924" s="35" t="n"/>
      <c r="K2924" s="34" t="n"/>
      <c r="L2924" s="26">
        <f>IF(A2924="","",MONTH(A2924))</f>
        <v/>
      </c>
      <c r="M2924" s="26">
        <f>IF(A2924="","",YEAR(A2924))</f>
        <v/>
      </c>
      <c r="N2924" s="26">
        <f>IF(A2924="","",CHOOSE(WEEKDAY(A2924,2),"Segunda","Terça","Quarta","Quinta","Sexta","Sábado","Domingo"))</f>
        <v/>
      </c>
      <c r="O2924" s="26">
        <f>IF(B2924="","",IF(B2924&lt;TIME(12,0,0),"Manhã",IF(B2924&lt;TIME(18,0,0),"Tarde","Noite")))</f>
        <v/>
      </c>
      <c r="P2924" s="32">
        <f>IF(G2924="","",IFERROR(INDEX(Config!$I$5:$I$16,MATCH(G2924,Config!$H$5:$H$16,0)),0))</f>
        <v/>
      </c>
      <c r="Q2924" s="30">
        <f>IF(OR(H2924&lt;&gt;"Realizado",P2924="",P2924=0),"",A2924+P2924)</f>
        <v/>
      </c>
      <c r="R2924" s="26">
        <f>IF(Q2924="","",IF(COUNTIFS($E$5:$E$3004,E2924,$A$5:$A$3004,"&gt;"&amp;A2924,$H$5:$H$3004,"&lt;&gt;Falta",$H$5:$H$3004,"&lt;&gt;Cancelado",$H$5:$H$3004,"&lt;&gt;Remarcado")&gt;0,"Sim","Não"))</f>
        <v/>
      </c>
      <c r="S2924" s="32">
        <f>IF(R2924&lt;&gt;"Não","",IF(Q2924+Config!$B$9&lt;=Config!$B$8,Config!$B$8-Q2924,""))</f>
        <v/>
      </c>
      <c r="T2924" s="26">
        <f>IF(S2924="","","Sim")</f>
        <v/>
      </c>
      <c r="U2924" s="41">
        <f>IF(T2924="Sim",S2924+ROW()/100000,0)</f>
        <v>0</v>
      </c>
      <c r="V2924" s="41">
        <f>IF(AND(H2924="Falta",L2924=Config!$B$7,M2924=Config!$B$5,COUNTIFS($E$5:E2924,E2924,$H$5:H2924,"Falta",$L$5:L2924,Config!$B$7,$M$5:M2924,Config!$B$5)=1),COUNTIFS($E$5:$E$3004,E2924,$H$5:$H$3004,"Falta",$L$5:$L$3004,Config!$B$7,$M$5:$M$3004,Config!$B$5)*1000-ROW()/100000,0)</f>
        <v>0</v>
      </c>
    </row>
    <row r="2925">
      <c r="A2925" s="39" t="n"/>
      <c r="B2925" s="40" t="n"/>
      <c r="C2925" s="35" t="n"/>
      <c r="D2925" s="35" t="n"/>
      <c r="E2925" s="34" t="n"/>
      <c r="F2925" s="35" t="n"/>
      <c r="G2925" s="35" t="n"/>
      <c r="H2925" s="35" t="n"/>
      <c r="I2925" s="35" t="n"/>
      <c r="J2925" s="35" t="n"/>
      <c r="K2925" s="34" t="n"/>
      <c r="L2925" s="26">
        <f>IF(A2925="","",MONTH(A2925))</f>
        <v/>
      </c>
      <c r="M2925" s="26">
        <f>IF(A2925="","",YEAR(A2925))</f>
        <v/>
      </c>
      <c r="N2925" s="26">
        <f>IF(A2925="","",CHOOSE(WEEKDAY(A2925,2),"Segunda","Terça","Quarta","Quinta","Sexta","Sábado","Domingo"))</f>
        <v/>
      </c>
      <c r="O2925" s="26">
        <f>IF(B2925="","",IF(B2925&lt;TIME(12,0,0),"Manhã",IF(B2925&lt;TIME(18,0,0),"Tarde","Noite")))</f>
        <v/>
      </c>
      <c r="P2925" s="32">
        <f>IF(G2925="","",IFERROR(INDEX(Config!$I$5:$I$16,MATCH(G2925,Config!$H$5:$H$16,0)),0))</f>
        <v/>
      </c>
      <c r="Q2925" s="30">
        <f>IF(OR(H2925&lt;&gt;"Realizado",P2925="",P2925=0),"",A2925+P2925)</f>
        <v/>
      </c>
      <c r="R2925" s="26">
        <f>IF(Q2925="","",IF(COUNTIFS($E$5:$E$3004,E2925,$A$5:$A$3004,"&gt;"&amp;A2925,$H$5:$H$3004,"&lt;&gt;Falta",$H$5:$H$3004,"&lt;&gt;Cancelado",$H$5:$H$3004,"&lt;&gt;Remarcado")&gt;0,"Sim","Não"))</f>
        <v/>
      </c>
      <c r="S2925" s="32">
        <f>IF(R2925&lt;&gt;"Não","",IF(Q2925+Config!$B$9&lt;=Config!$B$8,Config!$B$8-Q2925,""))</f>
        <v/>
      </c>
      <c r="T2925" s="26">
        <f>IF(S2925="","","Sim")</f>
        <v/>
      </c>
      <c r="U2925" s="41">
        <f>IF(T2925="Sim",S2925+ROW()/100000,0)</f>
        <v>0</v>
      </c>
      <c r="V2925" s="41">
        <f>IF(AND(H2925="Falta",L2925=Config!$B$7,M2925=Config!$B$5,COUNTIFS($E$5:E2925,E2925,$H$5:H2925,"Falta",$L$5:L2925,Config!$B$7,$M$5:M2925,Config!$B$5)=1),COUNTIFS($E$5:$E$3004,E2925,$H$5:$H$3004,"Falta",$L$5:$L$3004,Config!$B$7,$M$5:$M$3004,Config!$B$5)*1000-ROW()/100000,0)</f>
        <v>0</v>
      </c>
    </row>
    <row r="2926">
      <c r="A2926" s="39" t="n"/>
      <c r="B2926" s="40" t="n"/>
      <c r="C2926" s="35" t="n"/>
      <c r="D2926" s="35" t="n"/>
      <c r="E2926" s="34" t="n"/>
      <c r="F2926" s="35" t="n"/>
      <c r="G2926" s="35" t="n"/>
      <c r="H2926" s="35" t="n"/>
      <c r="I2926" s="35" t="n"/>
      <c r="J2926" s="35" t="n"/>
      <c r="K2926" s="34" t="n"/>
      <c r="L2926" s="26">
        <f>IF(A2926="","",MONTH(A2926))</f>
        <v/>
      </c>
      <c r="M2926" s="26">
        <f>IF(A2926="","",YEAR(A2926))</f>
        <v/>
      </c>
      <c r="N2926" s="26">
        <f>IF(A2926="","",CHOOSE(WEEKDAY(A2926,2),"Segunda","Terça","Quarta","Quinta","Sexta","Sábado","Domingo"))</f>
        <v/>
      </c>
      <c r="O2926" s="26">
        <f>IF(B2926="","",IF(B2926&lt;TIME(12,0,0),"Manhã",IF(B2926&lt;TIME(18,0,0),"Tarde","Noite")))</f>
        <v/>
      </c>
      <c r="P2926" s="32">
        <f>IF(G2926="","",IFERROR(INDEX(Config!$I$5:$I$16,MATCH(G2926,Config!$H$5:$H$16,0)),0))</f>
        <v/>
      </c>
      <c r="Q2926" s="30">
        <f>IF(OR(H2926&lt;&gt;"Realizado",P2926="",P2926=0),"",A2926+P2926)</f>
        <v/>
      </c>
      <c r="R2926" s="26">
        <f>IF(Q2926="","",IF(COUNTIFS($E$5:$E$3004,E2926,$A$5:$A$3004,"&gt;"&amp;A2926,$H$5:$H$3004,"&lt;&gt;Falta",$H$5:$H$3004,"&lt;&gt;Cancelado",$H$5:$H$3004,"&lt;&gt;Remarcado")&gt;0,"Sim","Não"))</f>
        <v/>
      </c>
      <c r="S2926" s="32">
        <f>IF(R2926&lt;&gt;"Não","",IF(Q2926+Config!$B$9&lt;=Config!$B$8,Config!$B$8-Q2926,""))</f>
        <v/>
      </c>
      <c r="T2926" s="26">
        <f>IF(S2926="","","Sim")</f>
        <v/>
      </c>
      <c r="U2926" s="41">
        <f>IF(T2926="Sim",S2926+ROW()/100000,0)</f>
        <v>0</v>
      </c>
      <c r="V2926" s="41">
        <f>IF(AND(H2926="Falta",L2926=Config!$B$7,M2926=Config!$B$5,COUNTIFS($E$5:E2926,E2926,$H$5:H2926,"Falta",$L$5:L2926,Config!$B$7,$M$5:M2926,Config!$B$5)=1),COUNTIFS($E$5:$E$3004,E2926,$H$5:$H$3004,"Falta",$L$5:$L$3004,Config!$B$7,$M$5:$M$3004,Config!$B$5)*1000-ROW()/100000,0)</f>
        <v>0</v>
      </c>
    </row>
    <row r="2927">
      <c r="A2927" s="39" t="n"/>
      <c r="B2927" s="40" t="n"/>
      <c r="C2927" s="35" t="n"/>
      <c r="D2927" s="35" t="n"/>
      <c r="E2927" s="34" t="n"/>
      <c r="F2927" s="35" t="n"/>
      <c r="G2927" s="35" t="n"/>
      <c r="H2927" s="35" t="n"/>
      <c r="I2927" s="35" t="n"/>
      <c r="J2927" s="35" t="n"/>
      <c r="K2927" s="34" t="n"/>
      <c r="L2927" s="26">
        <f>IF(A2927="","",MONTH(A2927))</f>
        <v/>
      </c>
      <c r="M2927" s="26">
        <f>IF(A2927="","",YEAR(A2927))</f>
        <v/>
      </c>
      <c r="N2927" s="26">
        <f>IF(A2927="","",CHOOSE(WEEKDAY(A2927,2),"Segunda","Terça","Quarta","Quinta","Sexta","Sábado","Domingo"))</f>
        <v/>
      </c>
      <c r="O2927" s="26">
        <f>IF(B2927="","",IF(B2927&lt;TIME(12,0,0),"Manhã",IF(B2927&lt;TIME(18,0,0),"Tarde","Noite")))</f>
        <v/>
      </c>
      <c r="P2927" s="32">
        <f>IF(G2927="","",IFERROR(INDEX(Config!$I$5:$I$16,MATCH(G2927,Config!$H$5:$H$16,0)),0))</f>
        <v/>
      </c>
      <c r="Q2927" s="30">
        <f>IF(OR(H2927&lt;&gt;"Realizado",P2927="",P2927=0),"",A2927+P2927)</f>
        <v/>
      </c>
      <c r="R2927" s="26">
        <f>IF(Q2927="","",IF(COUNTIFS($E$5:$E$3004,E2927,$A$5:$A$3004,"&gt;"&amp;A2927,$H$5:$H$3004,"&lt;&gt;Falta",$H$5:$H$3004,"&lt;&gt;Cancelado",$H$5:$H$3004,"&lt;&gt;Remarcado")&gt;0,"Sim","Não"))</f>
        <v/>
      </c>
      <c r="S2927" s="32">
        <f>IF(R2927&lt;&gt;"Não","",IF(Q2927+Config!$B$9&lt;=Config!$B$8,Config!$B$8-Q2927,""))</f>
        <v/>
      </c>
      <c r="T2927" s="26">
        <f>IF(S2927="","","Sim")</f>
        <v/>
      </c>
      <c r="U2927" s="41">
        <f>IF(T2927="Sim",S2927+ROW()/100000,0)</f>
        <v>0</v>
      </c>
      <c r="V2927" s="41">
        <f>IF(AND(H2927="Falta",L2927=Config!$B$7,M2927=Config!$B$5,COUNTIFS($E$5:E2927,E2927,$H$5:H2927,"Falta",$L$5:L2927,Config!$B$7,$M$5:M2927,Config!$B$5)=1),COUNTIFS($E$5:$E$3004,E2927,$H$5:$H$3004,"Falta",$L$5:$L$3004,Config!$B$7,$M$5:$M$3004,Config!$B$5)*1000-ROW()/100000,0)</f>
        <v>0</v>
      </c>
    </row>
    <row r="2928">
      <c r="A2928" s="39" t="n"/>
      <c r="B2928" s="40" t="n"/>
      <c r="C2928" s="35" t="n"/>
      <c r="D2928" s="35" t="n"/>
      <c r="E2928" s="34" t="n"/>
      <c r="F2928" s="35" t="n"/>
      <c r="G2928" s="35" t="n"/>
      <c r="H2928" s="35" t="n"/>
      <c r="I2928" s="35" t="n"/>
      <c r="J2928" s="35" t="n"/>
      <c r="K2928" s="34" t="n"/>
      <c r="L2928" s="26">
        <f>IF(A2928="","",MONTH(A2928))</f>
        <v/>
      </c>
      <c r="M2928" s="26">
        <f>IF(A2928="","",YEAR(A2928))</f>
        <v/>
      </c>
      <c r="N2928" s="26">
        <f>IF(A2928="","",CHOOSE(WEEKDAY(A2928,2),"Segunda","Terça","Quarta","Quinta","Sexta","Sábado","Domingo"))</f>
        <v/>
      </c>
      <c r="O2928" s="26">
        <f>IF(B2928="","",IF(B2928&lt;TIME(12,0,0),"Manhã",IF(B2928&lt;TIME(18,0,0),"Tarde","Noite")))</f>
        <v/>
      </c>
      <c r="P2928" s="32">
        <f>IF(G2928="","",IFERROR(INDEX(Config!$I$5:$I$16,MATCH(G2928,Config!$H$5:$H$16,0)),0))</f>
        <v/>
      </c>
      <c r="Q2928" s="30">
        <f>IF(OR(H2928&lt;&gt;"Realizado",P2928="",P2928=0),"",A2928+P2928)</f>
        <v/>
      </c>
      <c r="R2928" s="26">
        <f>IF(Q2928="","",IF(COUNTIFS($E$5:$E$3004,E2928,$A$5:$A$3004,"&gt;"&amp;A2928,$H$5:$H$3004,"&lt;&gt;Falta",$H$5:$H$3004,"&lt;&gt;Cancelado",$H$5:$H$3004,"&lt;&gt;Remarcado")&gt;0,"Sim","Não"))</f>
        <v/>
      </c>
      <c r="S2928" s="32">
        <f>IF(R2928&lt;&gt;"Não","",IF(Q2928+Config!$B$9&lt;=Config!$B$8,Config!$B$8-Q2928,""))</f>
        <v/>
      </c>
      <c r="T2928" s="26">
        <f>IF(S2928="","","Sim")</f>
        <v/>
      </c>
      <c r="U2928" s="41">
        <f>IF(T2928="Sim",S2928+ROW()/100000,0)</f>
        <v>0</v>
      </c>
      <c r="V2928" s="41">
        <f>IF(AND(H2928="Falta",L2928=Config!$B$7,M2928=Config!$B$5,COUNTIFS($E$5:E2928,E2928,$H$5:H2928,"Falta",$L$5:L2928,Config!$B$7,$M$5:M2928,Config!$B$5)=1),COUNTIFS($E$5:$E$3004,E2928,$H$5:$H$3004,"Falta",$L$5:$L$3004,Config!$B$7,$M$5:$M$3004,Config!$B$5)*1000-ROW()/100000,0)</f>
        <v>0</v>
      </c>
    </row>
    <row r="2929">
      <c r="A2929" s="39" t="n"/>
      <c r="B2929" s="40" t="n"/>
      <c r="C2929" s="35" t="n"/>
      <c r="D2929" s="35" t="n"/>
      <c r="E2929" s="34" t="n"/>
      <c r="F2929" s="35" t="n"/>
      <c r="G2929" s="35" t="n"/>
      <c r="H2929" s="35" t="n"/>
      <c r="I2929" s="35" t="n"/>
      <c r="J2929" s="35" t="n"/>
      <c r="K2929" s="34" t="n"/>
      <c r="L2929" s="26">
        <f>IF(A2929="","",MONTH(A2929))</f>
        <v/>
      </c>
      <c r="M2929" s="26">
        <f>IF(A2929="","",YEAR(A2929))</f>
        <v/>
      </c>
      <c r="N2929" s="26">
        <f>IF(A2929="","",CHOOSE(WEEKDAY(A2929,2),"Segunda","Terça","Quarta","Quinta","Sexta","Sábado","Domingo"))</f>
        <v/>
      </c>
      <c r="O2929" s="26">
        <f>IF(B2929="","",IF(B2929&lt;TIME(12,0,0),"Manhã",IF(B2929&lt;TIME(18,0,0),"Tarde","Noite")))</f>
        <v/>
      </c>
      <c r="P2929" s="32">
        <f>IF(G2929="","",IFERROR(INDEX(Config!$I$5:$I$16,MATCH(G2929,Config!$H$5:$H$16,0)),0))</f>
        <v/>
      </c>
      <c r="Q2929" s="30">
        <f>IF(OR(H2929&lt;&gt;"Realizado",P2929="",P2929=0),"",A2929+P2929)</f>
        <v/>
      </c>
      <c r="R2929" s="26">
        <f>IF(Q2929="","",IF(COUNTIFS($E$5:$E$3004,E2929,$A$5:$A$3004,"&gt;"&amp;A2929,$H$5:$H$3004,"&lt;&gt;Falta",$H$5:$H$3004,"&lt;&gt;Cancelado",$H$5:$H$3004,"&lt;&gt;Remarcado")&gt;0,"Sim","Não"))</f>
        <v/>
      </c>
      <c r="S2929" s="32">
        <f>IF(R2929&lt;&gt;"Não","",IF(Q2929+Config!$B$9&lt;=Config!$B$8,Config!$B$8-Q2929,""))</f>
        <v/>
      </c>
      <c r="T2929" s="26">
        <f>IF(S2929="","","Sim")</f>
        <v/>
      </c>
      <c r="U2929" s="41">
        <f>IF(T2929="Sim",S2929+ROW()/100000,0)</f>
        <v>0</v>
      </c>
      <c r="V2929" s="41">
        <f>IF(AND(H2929="Falta",L2929=Config!$B$7,M2929=Config!$B$5,COUNTIFS($E$5:E2929,E2929,$H$5:H2929,"Falta",$L$5:L2929,Config!$B$7,$M$5:M2929,Config!$B$5)=1),COUNTIFS($E$5:$E$3004,E2929,$H$5:$H$3004,"Falta",$L$5:$L$3004,Config!$B$7,$M$5:$M$3004,Config!$B$5)*1000-ROW()/100000,0)</f>
        <v>0</v>
      </c>
    </row>
    <row r="2930">
      <c r="A2930" s="39" t="n"/>
      <c r="B2930" s="40" t="n"/>
      <c r="C2930" s="35" t="n"/>
      <c r="D2930" s="35" t="n"/>
      <c r="E2930" s="34" t="n"/>
      <c r="F2930" s="35" t="n"/>
      <c r="G2930" s="35" t="n"/>
      <c r="H2930" s="35" t="n"/>
      <c r="I2930" s="35" t="n"/>
      <c r="J2930" s="35" t="n"/>
      <c r="K2930" s="34" t="n"/>
      <c r="L2930" s="26">
        <f>IF(A2930="","",MONTH(A2930))</f>
        <v/>
      </c>
      <c r="M2930" s="26">
        <f>IF(A2930="","",YEAR(A2930))</f>
        <v/>
      </c>
      <c r="N2930" s="26">
        <f>IF(A2930="","",CHOOSE(WEEKDAY(A2930,2),"Segunda","Terça","Quarta","Quinta","Sexta","Sábado","Domingo"))</f>
        <v/>
      </c>
      <c r="O2930" s="26">
        <f>IF(B2930="","",IF(B2930&lt;TIME(12,0,0),"Manhã",IF(B2930&lt;TIME(18,0,0),"Tarde","Noite")))</f>
        <v/>
      </c>
      <c r="P2930" s="32">
        <f>IF(G2930="","",IFERROR(INDEX(Config!$I$5:$I$16,MATCH(G2930,Config!$H$5:$H$16,0)),0))</f>
        <v/>
      </c>
      <c r="Q2930" s="30">
        <f>IF(OR(H2930&lt;&gt;"Realizado",P2930="",P2930=0),"",A2930+P2930)</f>
        <v/>
      </c>
      <c r="R2930" s="26">
        <f>IF(Q2930="","",IF(COUNTIFS($E$5:$E$3004,E2930,$A$5:$A$3004,"&gt;"&amp;A2930,$H$5:$H$3004,"&lt;&gt;Falta",$H$5:$H$3004,"&lt;&gt;Cancelado",$H$5:$H$3004,"&lt;&gt;Remarcado")&gt;0,"Sim","Não"))</f>
        <v/>
      </c>
      <c r="S2930" s="32">
        <f>IF(R2930&lt;&gt;"Não","",IF(Q2930+Config!$B$9&lt;=Config!$B$8,Config!$B$8-Q2930,""))</f>
        <v/>
      </c>
      <c r="T2930" s="26">
        <f>IF(S2930="","","Sim")</f>
        <v/>
      </c>
      <c r="U2930" s="41">
        <f>IF(T2930="Sim",S2930+ROW()/100000,0)</f>
        <v>0</v>
      </c>
      <c r="V2930" s="41">
        <f>IF(AND(H2930="Falta",L2930=Config!$B$7,M2930=Config!$B$5,COUNTIFS($E$5:E2930,E2930,$H$5:H2930,"Falta",$L$5:L2930,Config!$B$7,$M$5:M2930,Config!$B$5)=1),COUNTIFS($E$5:$E$3004,E2930,$H$5:$H$3004,"Falta",$L$5:$L$3004,Config!$B$7,$M$5:$M$3004,Config!$B$5)*1000-ROW()/100000,0)</f>
        <v>0</v>
      </c>
    </row>
    <row r="2931">
      <c r="A2931" s="39" t="n"/>
      <c r="B2931" s="40" t="n"/>
      <c r="C2931" s="35" t="n"/>
      <c r="D2931" s="35" t="n"/>
      <c r="E2931" s="34" t="n"/>
      <c r="F2931" s="35" t="n"/>
      <c r="G2931" s="35" t="n"/>
      <c r="H2931" s="35" t="n"/>
      <c r="I2931" s="35" t="n"/>
      <c r="J2931" s="35" t="n"/>
      <c r="K2931" s="34" t="n"/>
      <c r="L2931" s="26">
        <f>IF(A2931="","",MONTH(A2931))</f>
        <v/>
      </c>
      <c r="M2931" s="26">
        <f>IF(A2931="","",YEAR(A2931))</f>
        <v/>
      </c>
      <c r="N2931" s="26">
        <f>IF(A2931="","",CHOOSE(WEEKDAY(A2931,2),"Segunda","Terça","Quarta","Quinta","Sexta","Sábado","Domingo"))</f>
        <v/>
      </c>
      <c r="O2931" s="26">
        <f>IF(B2931="","",IF(B2931&lt;TIME(12,0,0),"Manhã",IF(B2931&lt;TIME(18,0,0),"Tarde","Noite")))</f>
        <v/>
      </c>
      <c r="P2931" s="32">
        <f>IF(G2931="","",IFERROR(INDEX(Config!$I$5:$I$16,MATCH(G2931,Config!$H$5:$H$16,0)),0))</f>
        <v/>
      </c>
      <c r="Q2931" s="30">
        <f>IF(OR(H2931&lt;&gt;"Realizado",P2931="",P2931=0),"",A2931+P2931)</f>
        <v/>
      </c>
      <c r="R2931" s="26">
        <f>IF(Q2931="","",IF(COUNTIFS($E$5:$E$3004,E2931,$A$5:$A$3004,"&gt;"&amp;A2931,$H$5:$H$3004,"&lt;&gt;Falta",$H$5:$H$3004,"&lt;&gt;Cancelado",$H$5:$H$3004,"&lt;&gt;Remarcado")&gt;0,"Sim","Não"))</f>
        <v/>
      </c>
      <c r="S2931" s="32">
        <f>IF(R2931&lt;&gt;"Não","",IF(Q2931+Config!$B$9&lt;=Config!$B$8,Config!$B$8-Q2931,""))</f>
        <v/>
      </c>
      <c r="T2931" s="26">
        <f>IF(S2931="","","Sim")</f>
        <v/>
      </c>
      <c r="U2931" s="41">
        <f>IF(T2931="Sim",S2931+ROW()/100000,0)</f>
        <v>0</v>
      </c>
      <c r="V2931" s="41">
        <f>IF(AND(H2931="Falta",L2931=Config!$B$7,M2931=Config!$B$5,COUNTIFS($E$5:E2931,E2931,$H$5:H2931,"Falta",$L$5:L2931,Config!$B$7,$M$5:M2931,Config!$B$5)=1),COUNTIFS($E$5:$E$3004,E2931,$H$5:$H$3004,"Falta",$L$5:$L$3004,Config!$B$7,$M$5:$M$3004,Config!$B$5)*1000-ROW()/100000,0)</f>
        <v>0</v>
      </c>
    </row>
    <row r="2932">
      <c r="A2932" s="39" t="n"/>
      <c r="B2932" s="40" t="n"/>
      <c r="C2932" s="35" t="n"/>
      <c r="D2932" s="35" t="n"/>
      <c r="E2932" s="34" t="n"/>
      <c r="F2932" s="35" t="n"/>
      <c r="G2932" s="35" t="n"/>
      <c r="H2932" s="35" t="n"/>
      <c r="I2932" s="35" t="n"/>
      <c r="J2932" s="35" t="n"/>
      <c r="K2932" s="34" t="n"/>
      <c r="L2932" s="26">
        <f>IF(A2932="","",MONTH(A2932))</f>
        <v/>
      </c>
      <c r="M2932" s="26">
        <f>IF(A2932="","",YEAR(A2932))</f>
        <v/>
      </c>
      <c r="N2932" s="26">
        <f>IF(A2932="","",CHOOSE(WEEKDAY(A2932,2),"Segunda","Terça","Quarta","Quinta","Sexta","Sábado","Domingo"))</f>
        <v/>
      </c>
      <c r="O2932" s="26">
        <f>IF(B2932="","",IF(B2932&lt;TIME(12,0,0),"Manhã",IF(B2932&lt;TIME(18,0,0),"Tarde","Noite")))</f>
        <v/>
      </c>
      <c r="P2932" s="32">
        <f>IF(G2932="","",IFERROR(INDEX(Config!$I$5:$I$16,MATCH(G2932,Config!$H$5:$H$16,0)),0))</f>
        <v/>
      </c>
      <c r="Q2932" s="30">
        <f>IF(OR(H2932&lt;&gt;"Realizado",P2932="",P2932=0),"",A2932+P2932)</f>
        <v/>
      </c>
      <c r="R2932" s="26">
        <f>IF(Q2932="","",IF(COUNTIFS($E$5:$E$3004,E2932,$A$5:$A$3004,"&gt;"&amp;A2932,$H$5:$H$3004,"&lt;&gt;Falta",$H$5:$H$3004,"&lt;&gt;Cancelado",$H$5:$H$3004,"&lt;&gt;Remarcado")&gt;0,"Sim","Não"))</f>
        <v/>
      </c>
      <c r="S2932" s="32">
        <f>IF(R2932&lt;&gt;"Não","",IF(Q2932+Config!$B$9&lt;=Config!$B$8,Config!$B$8-Q2932,""))</f>
        <v/>
      </c>
      <c r="T2932" s="26">
        <f>IF(S2932="","","Sim")</f>
        <v/>
      </c>
      <c r="U2932" s="41">
        <f>IF(T2932="Sim",S2932+ROW()/100000,0)</f>
        <v>0</v>
      </c>
      <c r="V2932" s="41">
        <f>IF(AND(H2932="Falta",L2932=Config!$B$7,M2932=Config!$B$5,COUNTIFS($E$5:E2932,E2932,$H$5:H2932,"Falta",$L$5:L2932,Config!$B$7,$M$5:M2932,Config!$B$5)=1),COUNTIFS($E$5:$E$3004,E2932,$H$5:$H$3004,"Falta",$L$5:$L$3004,Config!$B$7,$M$5:$M$3004,Config!$B$5)*1000-ROW()/100000,0)</f>
        <v>0</v>
      </c>
    </row>
    <row r="2933">
      <c r="A2933" s="39" t="n"/>
      <c r="B2933" s="40" t="n"/>
      <c r="C2933" s="35" t="n"/>
      <c r="D2933" s="35" t="n"/>
      <c r="E2933" s="34" t="n"/>
      <c r="F2933" s="35" t="n"/>
      <c r="G2933" s="35" t="n"/>
      <c r="H2933" s="35" t="n"/>
      <c r="I2933" s="35" t="n"/>
      <c r="J2933" s="35" t="n"/>
      <c r="K2933" s="34" t="n"/>
      <c r="L2933" s="26">
        <f>IF(A2933="","",MONTH(A2933))</f>
        <v/>
      </c>
      <c r="M2933" s="26">
        <f>IF(A2933="","",YEAR(A2933))</f>
        <v/>
      </c>
      <c r="N2933" s="26">
        <f>IF(A2933="","",CHOOSE(WEEKDAY(A2933,2),"Segunda","Terça","Quarta","Quinta","Sexta","Sábado","Domingo"))</f>
        <v/>
      </c>
      <c r="O2933" s="26">
        <f>IF(B2933="","",IF(B2933&lt;TIME(12,0,0),"Manhã",IF(B2933&lt;TIME(18,0,0),"Tarde","Noite")))</f>
        <v/>
      </c>
      <c r="P2933" s="32">
        <f>IF(G2933="","",IFERROR(INDEX(Config!$I$5:$I$16,MATCH(G2933,Config!$H$5:$H$16,0)),0))</f>
        <v/>
      </c>
      <c r="Q2933" s="30">
        <f>IF(OR(H2933&lt;&gt;"Realizado",P2933="",P2933=0),"",A2933+P2933)</f>
        <v/>
      </c>
      <c r="R2933" s="26">
        <f>IF(Q2933="","",IF(COUNTIFS($E$5:$E$3004,E2933,$A$5:$A$3004,"&gt;"&amp;A2933,$H$5:$H$3004,"&lt;&gt;Falta",$H$5:$H$3004,"&lt;&gt;Cancelado",$H$5:$H$3004,"&lt;&gt;Remarcado")&gt;0,"Sim","Não"))</f>
        <v/>
      </c>
      <c r="S2933" s="32">
        <f>IF(R2933&lt;&gt;"Não","",IF(Q2933+Config!$B$9&lt;=Config!$B$8,Config!$B$8-Q2933,""))</f>
        <v/>
      </c>
      <c r="T2933" s="26">
        <f>IF(S2933="","","Sim")</f>
        <v/>
      </c>
      <c r="U2933" s="41">
        <f>IF(T2933="Sim",S2933+ROW()/100000,0)</f>
        <v>0</v>
      </c>
      <c r="V2933" s="41">
        <f>IF(AND(H2933="Falta",L2933=Config!$B$7,M2933=Config!$B$5,COUNTIFS($E$5:E2933,E2933,$H$5:H2933,"Falta",$L$5:L2933,Config!$B$7,$M$5:M2933,Config!$B$5)=1),COUNTIFS($E$5:$E$3004,E2933,$H$5:$H$3004,"Falta",$L$5:$L$3004,Config!$B$7,$M$5:$M$3004,Config!$B$5)*1000-ROW()/100000,0)</f>
        <v>0</v>
      </c>
    </row>
    <row r="2934">
      <c r="A2934" s="39" t="n"/>
      <c r="B2934" s="40" t="n"/>
      <c r="C2934" s="35" t="n"/>
      <c r="D2934" s="35" t="n"/>
      <c r="E2934" s="34" t="n"/>
      <c r="F2934" s="35" t="n"/>
      <c r="G2934" s="35" t="n"/>
      <c r="H2934" s="35" t="n"/>
      <c r="I2934" s="35" t="n"/>
      <c r="J2934" s="35" t="n"/>
      <c r="K2934" s="34" t="n"/>
      <c r="L2934" s="26">
        <f>IF(A2934="","",MONTH(A2934))</f>
        <v/>
      </c>
      <c r="M2934" s="26">
        <f>IF(A2934="","",YEAR(A2934))</f>
        <v/>
      </c>
      <c r="N2934" s="26">
        <f>IF(A2934="","",CHOOSE(WEEKDAY(A2934,2),"Segunda","Terça","Quarta","Quinta","Sexta","Sábado","Domingo"))</f>
        <v/>
      </c>
      <c r="O2934" s="26">
        <f>IF(B2934="","",IF(B2934&lt;TIME(12,0,0),"Manhã",IF(B2934&lt;TIME(18,0,0),"Tarde","Noite")))</f>
        <v/>
      </c>
      <c r="P2934" s="32">
        <f>IF(G2934="","",IFERROR(INDEX(Config!$I$5:$I$16,MATCH(G2934,Config!$H$5:$H$16,0)),0))</f>
        <v/>
      </c>
      <c r="Q2934" s="30">
        <f>IF(OR(H2934&lt;&gt;"Realizado",P2934="",P2934=0),"",A2934+P2934)</f>
        <v/>
      </c>
      <c r="R2934" s="26">
        <f>IF(Q2934="","",IF(COUNTIFS($E$5:$E$3004,E2934,$A$5:$A$3004,"&gt;"&amp;A2934,$H$5:$H$3004,"&lt;&gt;Falta",$H$5:$H$3004,"&lt;&gt;Cancelado",$H$5:$H$3004,"&lt;&gt;Remarcado")&gt;0,"Sim","Não"))</f>
        <v/>
      </c>
      <c r="S2934" s="32">
        <f>IF(R2934&lt;&gt;"Não","",IF(Q2934+Config!$B$9&lt;=Config!$B$8,Config!$B$8-Q2934,""))</f>
        <v/>
      </c>
      <c r="T2934" s="26">
        <f>IF(S2934="","","Sim")</f>
        <v/>
      </c>
      <c r="U2934" s="41">
        <f>IF(T2934="Sim",S2934+ROW()/100000,0)</f>
        <v>0</v>
      </c>
      <c r="V2934" s="41">
        <f>IF(AND(H2934="Falta",L2934=Config!$B$7,M2934=Config!$B$5,COUNTIFS($E$5:E2934,E2934,$H$5:H2934,"Falta",$L$5:L2934,Config!$B$7,$M$5:M2934,Config!$B$5)=1),COUNTIFS($E$5:$E$3004,E2934,$H$5:$H$3004,"Falta",$L$5:$L$3004,Config!$B$7,$M$5:$M$3004,Config!$B$5)*1000-ROW()/100000,0)</f>
        <v>0</v>
      </c>
    </row>
    <row r="2935">
      <c r="A2935" s="39" t="n"/>
      <c r="B2935" s="40" t="n"/>
      <c r="C2935" s="35" t="n"/>
      <c r="D2935" s="35" t="n"/>
      <c r="E2935" s="34" t="n"/>
      <c r="F2935" s="35" t="n"/>
      <c r="G2935" s="35" t="n"/>
      <c r="H2935" s="35" t="n"/>
      <c r="I2935" s="35" t="n"/>
      <c r="J2935" s="35" t="n"/>
      <c r="K2935" s="34" t="n"/>
      <c r="L2935" s="26">
        <f>IF(A2935="","",MONTH(A2935))</f>
        <v/>
      </c>
      <c r="M2935" s="26">
        <f>IF(A2935="","",YEAR(A2935))</f>
        <v/>
      </c>
      <c r="N2935" s="26">
        <f>IF(A2935="","",CHOOSE(WEEKDAY(A2935,2),"Segunda","Terça","Quarta","Quinta","Sexta","Sábado","Domingo"))</f>
        <v/>
      </c>
      <c r="O2935" s="26">
        <f>IF(B2935="","",IF(B2935&lt;TIME(12,0,0),"Manhã",IF(B2935&lt;TIME(18,0,0),"Tarde","Noite")))</f>
        <v/>
      </c>
      <c r="P2935" s="32">
        <f>IF(G2935="","",IFERROR(INDEX(Config!$I$5:$I$16,MATCH(G2935,Config!$H$5:$H$16,0)),0))</f>
        <v/>
      </c>
      <c r="Q2935" s="30">
        <f>IF(OR(H2935&lt;&gt;"Realizado",P2935="",P2935=0),"",A2935+P2935)</f>
        <v/>
      </c>
      <c r="R2935" s="26">
        <f>IF(Q2935="","",IF(COUNTIFS($E$5:$E$3004,E2935,$A$5:$A$3004,"&gt;"&amp;A2935,$H$5:$H$3004,"&lt;&gt;Falta",$H$5:$H$3004,"&lt;&gt;Cancelado",$H$5:$H$3004,"&lt;&gt;Remarcado")&gt;0,"Sim","Não"))</f>
        <v/>
      </c>
      <c r="S2935" s="32">
        <f>IF(R2935&lt;&gt;"Não","",IF(Q2935+Config!$B$9&lt;=Config!$B$8,Config!$B$8-Q2935,""))</f>
        <v/>
      </c>
      <c r="T2935" s="26">
        <f>IF(S2935="","","Sim")</f>
        <v/>
      </c>
      <c r="U2935" s="41">
        <f>IF(T2935="Sim",S2935+ROW()/100000,0)</f>
        <v>0</v>
      </c>
      <c r="V2935" s="41">
        <f>IF(AND(H2935="Falta",L2935=Config!$B$7,M2935=Config!$B$5,COUNTIFS($E$5:E2935,E2935,$H$5:H2935,"Falta",$L$5:L2935,Config!$B$7,$M$5:M2935,Config!$B$5)=1),COUNTIFS($E$5:$E$3004,E2935,$H$5:$H$3004,"Falta",$L$5:$L$3004,Config!$B$7,$M$5:$M$3004,Config!$B$5)*1000-ROW()/100000,0)</f>
        <v>0</v>
      </c>
    </row>
    <row r="2936">
      <c r="A2936" s="39" t="n"/>
      <c r="B2936" s="40" t="n"/>
      <c r="C2936" s="35" t="n"/>
      <c r="D2936" s="35" t="n"/>
      <c r="E2936" s="34" t="n"/>
      <c r="F2936" s="35" t="n"/>
      <c r="G2936" s="35" t="n"/>
      <c r="H2936" s="35" t="n"/>
      <c r="I2936" s="35" t="n"/>
      <c r="J2936" s="35" t="n"/>
      <c r="K2936" s="34" t="n"/>
      <c r="L2936" s="26">
        <f>IF(A2936="","",MONTH(A2936))</f>
        <v/>
      </c>
      <c r="M2936" s="26">
        <f>IF(A2936="","",YEAR(A2936))</f>
        <v/>
      </c>
      <c r="N2936" s="26">
        <f>IF(A2936="","",CHOOSE(WEEKDAY(A2936,2),"Segunda","Terça","Quarta","Quinta","Sexta","Sábado","Domingo"))</f>
        <v/>
      </c>
      <c r="O2936" s="26">
        <f>IF(B2936="","",IF(B2936&lt;TIME(12,0,0),"Manhã",IF(B2936&lt;TIME(18,0,0),"Tarde","Noite")))</f>
        <v/>
      </c>
      <c r="P2936" s="32">
        <f>IF(G2936="","",IFERROR(INDEX(Config!$I$5:$I$16,MATCH(G2936,Config!$H$5:$H$16,0)),0))</f>
        <v/>
      </c>
      <c r="Q2936" s="30">
        <f>IF(OR(H2936&lt;&gt;"Realizado",P2936="",P2936=0),"",A2936+P2936)</f>
        <v/>
      </c>
      <c r="R2936" s="26">
        <f>IF(Q2936="","",IF(COUNTIFS($E$5:$E$3004,E2936,$A$5:$A$3004,"&gt;"&amp;A2936,$H$5:$H$3004,"&lt;&gt;Falta",$H$5:$H$3004,"&lt;&gt;Cancelado",$H$5:$H$3004,"&lt;&gt;Remarcado")&gt;0,"Sim","Não"))</f>
        <v/>
      </c>
      <c r="S2936" s="32">
        <f>IF(R2936&lt;&gt;"Não","",IF(Q2936+Config!$B$9&lt;=Config!$B$8,Config!$B$8-Q2936,""))</f>
        <v/>
      </c>
      <c r="T2936" s="26">
        <f>IF(S2936="","","Sim")</f>
        <v/>
      </c>
      <c r="U2936" s="41">
        <f>IF(T2936="Sim",S2936+ROW()/100000,0)</f>
        <v>0</v>
      </c>
      <c r="V2936" s="41">
        <f>IF(AND(H2936="Falta",L2936=Config!$B$7,M2936=Config!$B$5,COUNTIFS($E$5:E2936,E2936,$H$5:H2936,"Falta",$L$5:L2936,Config!$B$7,$M$5:M2936,Config!$B$5)=1),COUNTIFS($E$5:$E$3004,E2936,$H$5:$H$3004,"Falta",$L$5:$L$3004,Config!$B$7,$M$5:$M$3004,Config!$B$5)*1000-ROW()/100000,0)</f>
        <v>0</v>
      </c>
    </row>
    <row r="2937">
      <c r="A2937" s="39" t="n"/>
      <c r="B2937" s="40" t="n"/>
      <c r="C2937" s="35" t="n"/>
      <c r="D2937" s="35" t="n"/>
      <c r="E2937" s="34" t="n"/>
      <c r="F2937" s="35" t="n"/>
      <c r="G2937" s="35" t="n"/>
      <c r="H2937" s="35" t="n"/>
      <c r="I2937" s="35" t="n"/>
      <c r="J2937" s="35" t="n"/>
      <c r="K2937" s="34" t="n"/>
      <c r="L2937" s="26">
        <f>IF(A2937="","",MONTH(A2937))</f>
        <v/>
      </c>
      <c r="M2937" s="26">
        <f>IF(A2937="","",YEAR(A2937))</f>
        <v/>
      </c>
      <c r="N2937" s="26">
        <f>IF(A2937="","",CHOOSE(WEEKDAY(A2937,2),"Segunda","Terça","Quarta","Quinta","Sexta","Sábado","Domingo"))</f>
        <v/>
      </c>
      <c r="O2937" s="26">
        <f>IF(B2937="","",IF(B2937&lt;TIME(12,0,0),"Manhã",IF(B2937&lt;TIME(18,0,0),"Tarde","Noite")))</f>
        <v/>
      </c>
      <c r="P2937" s="32">
        <f>IF(G2937="","",IFERROR(INDEX(Config!$I$5:$I$16,MATCH(G2937,Config!$H$5:$H$16,0)),0))</f>
        <v/>
      </c>
      <c r="Q2937" s="30">
        <f>IF(OR(H2937&lt;&gt;"Realizado",P2937="",P2937=0),"",A2937+P2937)</f>
        <v/>
      </c>
      <c r="R2937" s="26">
        <f>IF(Q2937="","",IF(COUNTIFS($E$5:$E$3004,E2937,$A$5:$A$3004,"&gt;"&amp;A2937,$H$5:$H$3004,"&lt;&gt;Falta",$H$5:$H$3004,"&lt;&gt;Cancelado",$H$5:$H$3004,"&lt;&gt;Remarcado")&gt;0,"Sim","Não"))</f>
        <v/>
      </c>
      <c r="S2937" s="32">
        <f>IF(R2937&lt;&gt;"Não","",IF(Q2937+Config!$B$9&lt;=Config!$B$8,Config!$B$8-Q2937,""))</f>
        <v/>
      </c>
      <c r="T2937" s="26">
        <f>IF(S2937="","","Sim")</f>
        <v/>
      </c>
      <c r="U2937" s="41">
        <f>IF(T2937="Sim",S2937+ROW()/100000,0)</f>
        <v>0</v>
      </c>
      <c r="V2937" s="41">
        <f>IF(AND(H2937="Falta",L2937=Config!$B$7,M2937=Config!$B$5,COUNTIFS($E$5:E2937,E2937,$H$5:H2937,"Falta",$L$5:L2937,Config!$B$7,$M$5:M2937,Config!$B$5)=1),COUNTIFS($E$5:$E$3004,E2937,$H$5:$H$3004,"Falta",$L$5:$L$3004,Config!$B$7,$M$5:$M$3004,Config!$B$5)*1000-ROW()/100000,0)</f>
        <v>0</v>
      </c>
    </row>
    <row r="2938">
      <c r="A2938" s="39" t="n"/>
      <c r="B2938" s="40" t="n"/>
      <c r="C2938" s="35" t="n"/>
      <c r="D2938" s="35" t="n"/>
      <c r="E2938" s="34" t="n"/>
      <c r="F2938" s="35" t="n"/>
      <c r="G2938" s="35" t="n"/>
      <c r="H2938" s="35" t="n"/>
      <c r="I2938" s="35" t="n"/>
      <c r="J2938" s="35" t="n"/>
      <c r="K2938" s="34" t="n"/>
      <c r="L2938" s="26">
        <f>IF(A2938="","",MONTH(A2938))</f>
        <v/>
      </c>
      <c r="M2938" s="26">
        <f>IF(A2938="","",YEAR(A2938))</f>
        <v/>
      </c>
      <c r="N2938" s="26">
        <f>IF(A2938="","",CHOOSE(WEEKDAY(A2938,2),"Segunda","Terça","Quarta","Quinta","Sexta","Sábado","Domingo"))</f>
        <v/>
      </c>
      <c r="O2938" s="26">
        <f>IF(B2938="","",IF(B2938&lt;TIME(12,0,0),"Manhã",IF(B2938&lt;TIME(18,0,0),"Tarde","Noite")))</f>
        <v/>
      </c>
      <c r="P2938" s="32">
        <f>IF(G2938="","",IFERROR(INDEX(Config!$I$5:$I$16,MATCH(G2938,Config!$H$5:$H$16,0)),0))</f>
        <v/>
      </c>
      <c r="Q2938" s="30">
        <f>IF(OR(H2938&lt;&gt;"Realizado",P2938="",P2938=0),"",A2938+P2938)</f>
        <v/>
      </c>
      <c r="R2938" s="26">
        <f>IF(Q2938="","",IF(COUNTIFS($E$5:$E$3004,E2938,$A$5:$A$3004,"&gt;"&amp;A2938,$H$5:$H$3004,"&lt;&gt;Falta",$H$5:$H$3004,"&lt;&gt;Cancelado",$H$5:$H$3004,"&lt;&gt;Remarcado")&gt;0,"Sim","Não"))</f>
        <v/>
      </c>
      <c r="S2938" s="32">
        <f>IF(R2938&lt;&gt;"Não","",IF(Q2938+Config!$B$9&lt;=Config!$B$8,Config!$B$8-Q2938,""))</f>
        <v/>
      </c>
      <c r="T2938" s="26">
        <f>IF(S2938="","","Sim")</f>
        <v/>
      </c>
      <c r="U2938" s="41">
        <f>IF(T2938="Sim",S2938+ROW()/100000,0)</f>
        <v>0</v>
      </c>
      <c r="V2938" s="41">
        <f>IF(AND(H2938="Falta",L2938=Config!$B$7,M2938=Config!$B$5,COUNTIFS($E$5:E2938,E2938,$H$5:H2938,"Falta",$L$5:L2938,Config!$B$7,$M$5:M2938,Config!$B$5)=1),COUNTIFS($E$5:$E$3004,E2938,$H$5:$H$3004,"Falta",$L$5:$L$3004,Config!$B$7,$M$5:$M$3004,Config!$B$5)*1000-ROW()/100000,0)</f>
        <v>0</v>
      </c>
    </row>
    <row r="2939">
      <c r="A2939" s="39" t="n"/>
      <c r="B2939" s="40" t="n"/>
      <c r="C2939" s="35" t="n"/>
      <c r="D2939" s="35" t="n"/>
      <c r="E2939" s="34" t="n"/>
      <c r="F2939" s="35" t="n"/>
      <c r="G2939" s="35" t="n"/>
      <c r="H2939" s="35" t="n"/>
      <c r="I2939" s="35" t="n"/>
      <c r="J2939" s="35" t="n"/>
      <c r="K2939" s="34" t="n"/>
      <c r="L2939" s="26">
        <f>IF(A2939="","",MONTH(A2939))</f>
        <v/>
      </c>
      <c r="M2939" s="26">
        <f>IF(A2939="","",YEAR(A2939))</f>
        <v/>
      </c>
      <c r="N2939" s="26">
        <f>IF(A2939="","",CHOOSE(WEEKDAY(A2939,2),"Segunda","Terça","Quarta","Quinta","Sexta","Sábado","Domingo"))</f>
        <v/>
      </c>
      <c r="O2939" s="26">
        <f>IF(B2939="","",IF(B2939&lt;TIME(12,0,0),"Manhã",IF(B2939&lt;TIME(18,0,0),"Tarde","Noite")))</f>
        <v/>
      </c>
      <c r="P2939" s="32">
        <f>IF(G2939="","",IFERROR(INDEX(Config!$I$5:$I$16,MATCH(G2939,Config!$H$5:$H$16,0)),0))</f>
        <v/>
      </c>
      <c r="Q2939" s="30">
        <f>IF(OR(H2939&lt;&gt;"Realizado",P2939="",P2939=0),"",A2939+P2939)</f>
        <v/>
      </c>
      <c r="R2939" s="26">
        <f>IF(Q2939="","",IF(COUNTIFS($E$5:$E$3004,E2939,$A$5:$A$3004,"&gt;"&amp;A2939,$H$5:$H$3004,"&lt;&gt;Falta",$H$5:$H$3004,"&lt;&gt;Cancelado",$H$5:$H$3004,"&lt;&gt;Remarcado")&gt;0,"Sim","Não"))</f>
        <v/>
      </c>
      <c r="S2939" s="32">
        <f>IF(R2939&lt;&gt;"Não","",IF(Q2939+Config!$B$9&lt;=Config!$B$8,Config!$B$8-Q2939,""))</f>
        <v/>
      </c>
      <c r="T2939" s="26">
        <f>IF(S2939="","","Sim")</f>
        <v/>
      </c>
      <c r="U2939" s="41">
        <f>IF(T2939="Sim",S2939+ROW()/100000,0)</f>
        <v>0</v>
      </c>
      <c r="V2939" s="41">
        <f>IF(AND(H2939="Falta",L2939=Config!$B$7,M2939=Config!$B$5,COUNTIFS($E$5:E2939,E2939,$H$5:H2939,"Falta",$L$5:L2939,Config!$B$7,$M$5:M2939,Config!$B$5)=1),COUNTIFS($E$5:$E$3004,E2939,$H$5:$H$3004,"Falta",$L$5:$L$3004,Config!$B$7,$M$5:$M$3004,Config!$B$5)*1000-ROW()/100000,0)</f>
        <v>0</v>
      </c>
    </row>
    <row r="2940">
      <c r="A2940" s="39" t="n"/>
      <c r="B2940" s="40" t="n"/>
      <c r="C2940" s="35" t="n"/>
      <c r="D2940" s="35" t="n"/>
      <c r="E2940" s="34" t="n"/>
      <c r="F2940" s="35" t="n"/>
      <c r="G2940" s="35" t="n"/>
      <c r="H2940" s="35" t="n"/>
      <c r="I2940" s="35" t="n"/>
      <c r="J2940" s="35" t="n"/>
      <c r="K2940" s="34" t="n"/>
      <c r="L2940" s="26">
        <f>IF(A2940="","",MONTH(A2940))</f>
        <v/>
      </c>
      <c r="M2940" s="26">
        <f>IF(A2940="","",YEAR(A2940))</f>
        <v/>
      </c>
      <c r="N2940" s="26">
        <f>IF(A2940="","",CHOOSE(WEEKDAY(A2940,2),"Segunda","Terça","Quarta","Quinta","Sexta","Sábado","Domingo"))</f>
        <v/>
      </c>
      <c r="O2940" s="26">
        <f>IF(B2940="","",IF(B2940&lt;TIME(12,0,0),"Manhã",IF(B2940&lt;TIME(18,0,0),"Tarde","Noite")))</f>
        <v/>
      </c>
      <c r="P2940" s="32">
        <f>IF(G2940="","",IFERROR(INDEX(Config!$I$5:$I$16,MATCH(G2940,Config!$H$5:$H$16,0)),0))</f>
        <v/>
      </c>
      <c r="Q2940" s="30">
        <f>IF(OR(H2940&lt;&gt;"Realizado",P2940="",P2940=0),"",A2940+P2940)</f>
        <v/>
      </c>
      <c r="R2940" s="26">
        <f>IF(Q2940="","",IF(COUNTIFS($E$5:$E$3004,E2940,$A$5:$A$3004,"&gt;"&amp;A2940,$H$5:$H$3004,"&lt;&gt;Falta",$H$5:$H$3004,"&lt;&gt;Cancelado",$H$5:$H$3004,"&lt;&gt;Remarcado")&gt;0,"Sim","Não"))</f>
        <v/>
      </c>
      <c r="S2940" s="32">
        <f>IF(R2940&lt;&gt;"Não","",IF(Q2940+Config!$B$9&lt;=Config!$B$8,Config!$B$8-Q2940,""))</f>
        <v/>
      </c>
      <c r="T2940" s="26">
        <f>IF(S2940="","","Sim")</f>
        <v/>
      </c>
      <c r="U2940" s="41">
        <f>IF(T2940="Sim",S2940+ROW()/100000,0)</f>
        <v>0</v>
      </c>
      <c r="V2940" s="41">
        <f>IF(AND(H2940="Falta",L2940=Config!$B$7,M2940=Config!$B$5,COUNTIFS($E$5:E2940,E2940,$H$5:H2940,"Falta",$L$5:L2940,Config!$B$7,$M$5:M2940,Config!$B$5)=1),COUNTIFS($E$5:$E$3004,E2940,$H$5:$H$3004,"Falta",$L$5:$L$3004,Config!$B$7,$M$5:$M$3004,Config!$B$5)*1000-ROW()/100000,0)</f>
        <v>0</v>
      </c>
    </row>
    <row r="2941">
      <c r="A2941" s="39" t="n"/>
      <c r="B2941" s="40" t="n"/>
      <c r="C2941" s="35" t="n"/>
      <c r="D2941" s="35" t="n"/>
      <c r="E2941" s="34" t="n"/>
      <c r="F2941" s="35" t="n"/>
      <c r="G2941" s="35" t="n"/>
      <c r="H2941" s="35" t="n"/>
      <c r="I2941" s="35" t="n"/>
      <c r="J2941" s="35" t="n"/>
      <c r="K2941" s="34" t="n"/>
      <c r="L2941" s="26">
        <f>IF(A2941="","",MONTH(A2941))</f>
        <v/>
      </c>
      <c r="M2941" s="26">
        <f>IF(A2941="","",YEAR(A2941))</f>
        <v/>
      </c>
      <c r="N2941" s="26">
        <f>IF(A2941="","",CHOOSE(WEEKDAY(A2941,2),"Segunda","Terça","Quarta","Quinta","Sexta","Sábado","Domingo"))</f>
        <v/>
      </c>
      <c r="O2941" s="26">
        <f>IF(B2941="","",IF(B2941&lt;TIME(12,0,0),"Manhã",IF(B2941&lt;TIME(18,0,0),"Tarde","Noite")))</f>
        <v/>
      </c>
      <c r="P2941" s="32">
        <f>IF(G2941="","",IFERROR(INDEX(Config!$I$5:$I$16,MATCH(G2941,Config!$H$5:$H$16,0)),0))</f>
        <v/>
      </c>
      <c r="Q2941" s="30">
        <f>IF(OR(H2941&lt;&gt;"Realizado",P2941="",P2941=0),"",A2941+P2941)</f>
        <v/>
      </c>
      <c r="R2941" s="26">
        <f>IF(Q2941="","",IF(COUNTIFS($E$5:$E$3004,E2941,$A$5:$A$3004,"&gt;"&amp;A2941,$H$5:$H$3004,"&lt;&gt;Falta",$H$5:$H$3004,"&lt;&gt;Cancelado",$H$5:$H$3004,"&lt;&gt;Remarcado")&gt;0,"Sim","Não"))</f>
        <v/>
      </c>
      <c r="S2941" s="32">
        <f>IF(R2941&lt;&gt;"Não","",IF(Q2941+Config!$B$9&lt;=Config!$B$8,Config!$B$8-Q2941,""))</f>
        <v/>
      </c>
      <c r="T2941" s="26">
        <f>IF(S2941="","","Sim")</f>
        <v/>
      </c>
      <c r="U2941" s="41">
        <f>IF(T2941="Sim",S2941+ROW()/100000,0)</f>
        <v>0</v>
      </c>
      <c r="V2941" s="41">
        <f>IF(AND(H2941="Falta",L2941=Config!$B$7,M2941=Config!$B$5,COUNTIFS($E$5:E2941,E2941,$H$5:H2941,"Falta",$L$5:L2941,Config!$B$7,$M$5:M2941,Config!$B$5)=1),COUNTIFS($E$5:$E$3004,E2941,$H$5:$H$3004,"Falta",$L$5:$L$3004,Config!$B$7,$M$5:$M$3004,Config!$B$5)*1000-ROW()/100000,0)</f>
        <v>0</v>
      </c>
    </row>
    <row r="2942">
      <c r="A2942" s="39" t="n"/>
      <c r="B2942" s="40" t="n"/>
      <c r="C2942" s="35" t="n"/>
      <c r="D2942" s="35" t="n"/>
      <c r="E2942" s="34" t="n"/>
      <c r="F2942" s="35" t="n"/>
      <c r="G2942" s="35" t="n"/>
      <c r="H2942" s="35" t="n"/>
      <c r="I2942" s="35" t="n"/>
      <c r="J2942" s="35" t="n"/>
      <c r="K2942" s="34" t="n"/>
      <c r="L2942" s="26">
        <f>IF(A2942="","",MONTH(A2942))</f>
        <v/>
      </c>
      <c r="M2942" s="26">
        <f>IF(A2942="","",YEAR(A2942))</f>
        <v/>
      </c>
      <c r="N2942" s="26">
        <f>IF(A2942="","",CHOOSE(WEEKDAY(A2942,2),"Segunda","Terça","Quarta","Quinta","Sexta","Sábado","Domingo"))</f>
        <v/>
      </c>
      <c r="O2942" s="26">
        <f>IF(B2942="","",IF(B2942&lt;TIME(12,0,0),"Manhã",IF(B2942&lt;TIME(18,0,0),"Tarde","Noite")))</f>
        <v/>
      </c>
      <c r="P2942" s="32">
        <f>IF(G2942="","",IFERROR(INDEX(Config!$I$5:$I$16,MATCH(G2942,Config!$H$5:$H$16,0)),0))</f>
        <v/>
      </c>
      <c r="Q2942" s="30">
        <f>IF(OR(H2942&lt;&gt;"Realizado",P2942="",P2942=0),"",A2942+P2942)</f>
        <v/>
      </c>
      <c r="R2942" s="26">
        <f>IF(Q2942="","",IF(COUNTIFS($E$5:$E$3004,E2942,$A$5:$A$3004,"&gt;"&amp;A2942,$H$5:$H$3004,"&lt;&gt;Falta",$H$5:$H$3004,"&lt;&gt;Cancelado",$H$5:$H$3004,"&lt;&gt;Remarcado")&gt;0,"Sim","Não"))</f>
        <v/>
      </c>
      <c r="S2942" s="32">
        <f>IF(R2942&lt;&gt;"Não","",IF(Q2942+Config!$B$9&lt;=Config!$B$8,Config!$B$8-Q2942,""))</f>
        <v/>
      </c>
      <c r="T2942" s="26">
        <f>IF(S2942="","","Sim")</f>
        <v/>
      </c>
      <c r="U2942" s="41">
        <f>IF(T2942="Sim",S2942+ROW()/100000,0)</f>
        <v>0</v>
      </c>
      <c r="V2942" s="41">
        <f>IF(AND(H2942="Falta",L2942=Config!$B$7,M2942=Config!$B$5,COUNTIFS($E$5:E2942,E2942,$H$5:H2942,"Falta",$L$5:L2942,Config!$B$7,$M$5:M2942,Config!$B$5)=1),COUNTIFS($E$5:$E$3004,E2942,$H$5:$H$3004,"Falta",$L$5:$L$3004,Config!$B$7,$M$5:$M$3004,Config!$B$5)*1000-ROW()/100000,0)</f>
        <v>0</v>
      </c>
    </row>
    <row r="2943">
      <c r="A2943" s="39" t="n"/>
      <c r="B2943" s="40" t="n"/>
      <c r="C2943" s="35" t="n"/>
      <c r="D2943" s="35" t="n"/>
      <c r="E2943" s="34" t="n"/>
      <c r="F2943" s="35" t="n"/>
      <c r="G2943" s="35" t="n"/>
      <c r="H2943" s="35" t="n"/>
      <c r="I2943" s="35" t="n"/>
      <c r="J2943" s="35" t="n"/>
      <c r="K2943" s="34" t="n"/>
      <c r="L2943" s="26">
        <f>IF(A2943="","",MONTH(A2943))</f>
        <v/>
      </c>
      <c r="M2943" s="26">
        <f>IF(A2943="","",YEAR(A2943))</f>
        <v/>
      </c>
      <c r="N2943" s="26">
        <f>IF(A2943="","",CHOOSE(WEEKDAY(A2943,2),"Segunda","Terça","Quarta","Quinta","Sexta","Sábado","Domingo"))</f>
        <v/>
      </c>
      <c r="O2943" s="26">
        <f>IF(B2943="","",IF(B2943&lt;TIME(12,0,0),"Manhã",IF(B2943&lt;TIME(18,0,0),"Tarde","Noite")))</f>
        <v/>
      </c>
      <c r="P2943" s="32">
        <f>IF(G2943="","",IFERROR(INDEX(Config!$I$5:$I$16,MATCH(G2943,Config!$H$5:$H$16,0)),0))</f>
        <v/>
      </c>
      <c r="Q2943" s="30">
        <f>IF(OR(H2943&lt;&gt;"Realizado",P2943="",P2943=0),"",A2943+P2943)</f>
        <v/>
      </c>
      <c r="R2943" s="26">
        <f>IF(Q2943="","",IF(COUNTIFS($E$5:$E$3004,E2943,$A$5:$A$3004,"&gt;"&amp;A2943,$H$5:$H$3004,"&lt;&gt;Falta",$H$5:$H$3004,"&lt;&gt;Cancelado",$H$5:$H$3004,"&lt;&gt;Remarcado")&gt;0,"Sim","Não"))</f>
        <v/>
      </c>
      <c r="S2943" s="32">
        <f>IF(R2943&lt;&gt;"Não","",IF(Q2943+Config!$B$9&lt;=Config!$B$8,Config!$B$8-Q2943,""))</f>
        <v/>
      </c>
      <c r="T2943" s="26">
        <f>IF(S2943="","","Sim")</f>
        <v/>
      </c>
      <c r="U2943" s="41">
        <f>IF(T2943="Sim",S2943+ROW()/100000,0)</f>
        <v>0</v>
      </c>
      <c r="V2943" s="41">
        <f>IF(AND(H2943="Falta",L2943=Config!$B$7,M2943=Config!$B$5,COUNTIFS($E$5:E2943,E2943,$H$5:H2943,"Falta",$L$5:L2943,Config!$B$7,$M$5:M2943,Config!$B$5)=1),COUNTIFS($E$5:$E$3004,E2943,$H$5:$H$3004,"Falta",$L$5:$L$3004,Config!$B$7,$M$5:$M$3004,Config!$B$5)*1000-ROW()/100000,0)</f>
        <v>0</v>
      </c>
    </row>
    <row r="2944">
      <c r="A2944" s="39" t="n"/>
      <c r="B2944" s="40" t="n"/>
      <c r="C2944" s="35" t="n"/>
      <c r="D2944" s="35" t="n"/>
      <c r="E2944" s="34" t="n"/>
      <c r="F2944" s="35" t="n"/>
      <c r="G2944" s="35" t="n"/>
      <c r="H2944" s="35" t="n"/>
      <c r="I2944" s="35" t="n"/>
      <c r="J2944" s="35" t="n"/>
      <c r="K2944" s="34" t="n"/>
      <c r="L2944" s="26">
        <f>IF(A2944="","",MONTH(A2944))</f>
        <v/>
      </c>
      <c r="M2944" s="26">
        <f>IF(A2944="","",YEAR(A2944))</f>
        <v/>
      </c>
      <c r="N2944" s="26">
        <f>IF(A2944="","",CHOOSE(WEEKDAY(A2944,2),"Segunda","Terça","Quarta","Quinta","Sexta","Sábado","Domingo"))</f>
        <v/>
      </c>
      <c r="O2944" s="26">
        <f>IF(B2944="","",IF(B2944&lt;TIME(12,0,0),"Manhã",IF(B2944&lt;TIME(18,0,0),"Tarde","Noite")))</f>
        <v/>
      </c>
      <c r="P2944" s="32">
        <f>IF(G2944="","",IFERROR(INDEX(Config!$I$5:$I$16,MATCH(G2944,Config!$H$5:$H$16,0)),0))</f>
        <v/>
      </c>
      <c r="Q2944" s="30">
        <f>IF(OR(H2944&lt;&gt;"Realizado",P2944="",P2944=0),"",A2944+P2944)</f>
        <v/>
      </c>
      <c r="R2944" s="26">
        <f>IF(Q2944="","",IF(COUNTIFS($E$5:$E$3004,E2944,$A$5:$A$3004,"&gt;"&amp;A2944,$H$5:$H$3004,"&lt;&gt;Falta",$H$5:$H$3004,"&lt;&gt;Cancelado",$H$5:$H$3004,"&lt;&gt;Remarcado")&gt;0,"Sim","Não"))</f>
        <v/>
      </c>
      <c r="S2944" s="32">
        <f>IF(R2944&lt;&gt;"Não","",IF(Q2944+Config!$B$9&lt;=Config!$B$8,Config!$B$8-Q2944,""))</f>
        <v/>
      </c>
      <c r="T2944" s="26">
        <f>IF(S2944="","","Sim")</f>
        <v/>
      </c>
      <c r="U2944" s="41">
        <f>IF(T2944="Sim",S2944+ROW()/100000,0)</f>
        <v>0</v>
      </c>
      <c r="V2944" s="41">
        <f>IF(AND(H2944="Falta",L2944=Config!$B$7,M2944=Config!$B$5,COUNTIFS($E$5:E2944,E2944,$H$5:H2944,"Falta",$L$5:L2944,Config!$B$7,$M$5:M2944,Config!$B$5)=1),COUNTIFS($E$5:$E$3004,E2944,$H$5:$H$3004,"Falta",$L$5:$L$3004,Config!$B$7,$M$5:$M$3004,Config!$B$5)*1000-ROW()/100000,0)</f>
        <v>0</v>
      </c>
    </row>
    <row r="2945">
      <c r="A2945" s="39" t="n"/>
      <c r="B2945" s="40" t="n"/>
      <c r="C2945" s="35" t="n"/>
      <c r="D2945" s="35" t="n"/>
      <c r="E2945" s="34" t="n"/>
      <c r="F2945" s="35" t="n"/>
      <c r="G2945" s="35" t="n"/>
      <c r="H2945" s="35" t="n"/>
      <c r="I2945" s="35" t="n"/>
      <c r="J2945" s="35" t="n"/>
      <c r="K2945" s="34" t="n"/>
      <c r="L2945" s="26">
        <f>IF(A2945="","",MONTH(A2945))</f>
        <v/>
      </c>
      <c r="M2945" s="26">
        <f>IF(A2945="","",YEAR(A2945))</f>
        <v/>
      </c>
      <c r="N2945" s="26">
        <f>IF(A2945="","",CHOOSE(WEEKDAY(A2945,2),"Segunda","Terça","Quarta","Quinta","Sexta","Sábado","Domingo"))</f>
        <v/>
      </c>
      <c r="O2945" s="26">
        <f>IF(B2945="","",IF(B2945&lt;TIME(12,0,0),"Manhã",IF(B2945&lt;TIME(18,0,0),"Tarde","Noite")))</f>
        <v/>
      </c>
      <c r="P2945" s="32">
        <f>IF(G2945="","",IFERROR(INDEX(Config!$I$5:$I$16,MATCH(G2945,Config!$H$5:$H$16,0)),0))</f>
        <v/>
      </c>
      <c r="Q2945" s="30">
        <f>IF(OR(H2945&lt;&gt;"Realizado",P2945="",P2945=0),"",A2945+P2945)</f>
        <v/>
      </c>
      <c r="R2945" s="26">
        <f>IF(Q2945="","",IF(COUNTIFS($E$5:$E$3004,E2945,$A$5:$A$3004,"&gt;"&amp;A2945,$H$5:$H$3004,"&lt;&gt;Falta",$H$5:$H$3004,"&lt;&gt;Cancelado",$H$5:$H$3004,"&lt;&gt;Remarcado")&gt;0,"Sim","Não"))</f>
        <v/>
      </c>
      <c r="S2945" s="32">
        <f>IF(R2945&lt;&gt;"Não","",IF(Q2945+Config!$B$9&lt;=Config!$B$8,Config!$B$8-Q2945,""))</f>
        <v/>
      </c>
      <c r="T2945" s="26">
        <f>IF(S2945="","","Sim")</f>
        <v/>
      </c>
      <c r="U2945" s="41">
        <f>IF(T2945="Sim",S2945+ROW()/100000,0)</f>
        <v>0</v>
      </c>
      <c r="V2945" s="41">
        <f>IF(AND(H2945="Falta",L2945=Config!$B$7,M2945=Config!$B$5,COUNTIFS($E$5:E2945,E2945,$H$5:H2945,"Falta",$L$5:L2945,Config!$B$7,$M$5:M2945,Config!$B$5)=1),COUNTIFS($E$5:$E$3004,E2945,$H$5:$H$3004,"Falta",$L$5:$L$3004,Config!$B$7,$M$5:$M$3004,Config!$B$5)*1000-ROW()/100000,0)</f>
        <v>0</v>
      </c>
    </row>
    <row r="2946">
      <c r="A2946" s="39" t="n"/>
      <c r="B2946" s="40" t="n"/>
      <c r="C2946" s="35" t="n"/>
      <c r="D2946" s="35" t="n"/>
      <c r="E2946" s="34" t="n"/>
      <c r="F2946" s="35" t="n"/>
      <c r="G2946" s="35" t="n"/>
      <c r="H2946" s="35" t="n"/>
      <c r="I2946" s="35" t="n"/>
      <c r="J2946" s="35" t="n"/>
      <c r="K2946" s="34" t="n"/>
      <c r="L2946" s="26">
        <f>IF(A2946="","",MONTH(A2946))</f>
        <v/>
      </c>
      <c r="M2946" s="26">
        <f>IF(A2946="","",YEAR(A2946))</f>
        <v/>
      </c>
      <c r="N2946" s="26">
        <f>IF(A2946="","",CHOOSE(WEEKDAY(A2946,2),"Segunda","Terça","Quarta","Quinta","Sexta","Sábado","Domingo"))</f>
        <v/>
      </c>
      <c r="O2946" s="26">
        <f>IF(B2946="","",IF(B2946&lt;TIME(12,0,0),"Manhã",IF(B2946&lt;TIME(18,0,0),"Tarde","Noite")))</f>
        <v/>
      </c>
      <c r="P2946" s="32">
        <f>IF(G2946="","",IFERROR(INDEX(Config!$I$5:$I$16,MATCH(G2946,Config!$H$5:$H$16,0)),0))</f>
        <v/>
      </c>
      <c r="Q2946" s="30">
        <f>IF(OR(H2946&lt;&gt;"Realizado",P2946="",P2946=0),"",A2946+P2946)</f>
        <v/>
      </c>
      <c r="R2946" s="26">
        <f>IF(Q2946="","",IF(COUNTIFS($E$5:$E$3004,E2946,$A$5:$A$3004,"&gt;"&amp;A2946,$H$5:$H$3004,"&lt;&gt;Falta",$H$5:$H$3004,"&lt;&gt;Cancelado",$H$5:$H$3004,"&lt;&gt;Remarcado")&gt;0,"Sim","Não"))</f>
        <v/>
      </c>
      <c r="S2946" s="32">
        <f>IF(R2946&lt;&gt;"Não","",IF(Q2946+Config!$B$9&lt;=Config!$B$8,Config!$B$8-Q2946,""))</f>
        <v/>
      </c>
      <c r="T2946" s="26">
        <f>IF(S2946="","","Sim")</f>
        <v/>
      </c>
      <c r="U2946" s="41">
        <f>IF(T2946="Sim",S2946+ROW()/100000,0)</f>
        <v>0</v>
      </c>
      <c r="V2946" s="41">
        <f>IF(AND(H2946="Falta",L2946=Config!$B$7,M2946=Config!$B$5,COUNTIFS($E$5:E2946,E2946,$H$5:H2946,"Falta",$L$5:L2946,Config!$B$7,$M$5:M2946,Config!$B$5)=1),COUNTIFS($E$5:$E$3004,E2946,$H$5:$H$3004,"Falta",$L$5:$L$3004,Config!$B$7,$M$5:$M$3004,Config!$B$5)*1000-ROW()/100000,0)</f>
        <v>0</v>
      </c>
    </row>
    <row r="2947">
      <c r="A2947" s="39" t="n"/>
      <c r="B2947" s="40" t="n"/>
      <c r="C2947" s="35" t="n"/>
      <c r="D2947" s="35" t="n"/>
      <c r="E2947" s="34" t="n"/>
      <c r="F2947" s="35" t="n"/>
      <c r="G2947" s="35" t="n"/>
      <c r="H2947" s="35" t="n"/>
      <c r="I2947" s="35" t="n"/>
      <c r="J2947" s="35" t="n"/>
      <c r="K2947" s="34" t="n"/>
      <c r="L2947" s="26">
        <f>IF(A2947="","",MONTH(A2947))</f>
        <v/>
      </c>
      <c r="M2947" s="26">
        <f>IF(A2947="","",YEAR(A2947))</f>
        <v/>
      </c>
      <c r="N2947" s="26">
        <f>IF(A2947="","",CHOOSE(WEEKDAY(A2947,2),"Segunda","Terça","Quarta","Quinta","Sexta","Sábado","Domingo"))</f>
        <v/>
      </c>
      <c r="O2947" s="26">
        <f>IF(B2947="","",IF(B2947&lt;TIME(12,0,0),"Manhã",IF(B2947&lt;TIME(18,0,0),"Tarde","Noite")))</f>
        <v/>
      </c>
      <c r="P2947" s="32">
        <f>IF(G2947="","",IFERROR(INDEX(Config!$I$5:$I$16,MATCH(G2947,Config!$H$5:$H$16,0)),0))</f>
        <v/>
      </c>
      <c r="Q2947" s="30">
        <f>IF(OR(H2947&lt;&gt;"Realizado",P2947="",P2947=0),"",A2947+P2947)</f>
        <v/>
      </c>
      <c r="R2947" s="26">
        <f>IF(Q2947="","",IF(COUNTIFS($E$5:$E$3004,E2947,$A$5:$A$3004,"&gt;"&amp;A2947,$H$5:$H$3004,"&lt;&gt;Falta",$H$5:$H$3004,"&lt;&gt;Cancelado",$H$5:$H$3004,"&lt;&gt;Remarcado")&gt;0,"Sim","Não"))</f>
        <v/>
      </c>
      <c r="S2947" s="32">
        <f>IF(R2947&lt;&gt;"Não","",IF(Q2947+Config!$B$9&lt;=Config!$B$8,Config!$B$8-Q2947,""))</f>
        <v/>
      </c>
      <c r="T2947" s="26">
        <f>IF(S2947="","","Sim")</f>
        <v/>
      </c>
      <c r="U2947" s="41">
        <f>IF(T2947="Sim",S2947+ROW()/100000,0)</f>
        <v>0</v>
      </c>
      <c r="V2947" s="41">
        <f>IF(AND(H2947="Falta",L2947=Config!$B$7,M2947=Config!$B$5,COUNTIFS($E$5:E2947,E2947,$H$5:H2947,"Falta",$L$5:L2947,Config!$B$7,$M$5:M2947,Config!$B$5)=1),COUNTIFS($E$5:$E$3004,E2947,$H$5:$H$3004,"Falta",$L$5:$L$3004,Config!$B$7,$M$5:$M$3004,Config!$B$5)*1000-ROW()/100000,0)</f>
        <v>0</v>
      </c>
    </row>
    <row r="2948">
      <c r="A2948" s="39" t="n"/>
      <c r="B2948" s="40" t="n"/>
      <c r="C2948" s="35" t="n"/>
      <c r="D2948" s="35" t="n"/>
      <c r="E2948" s="34" t="n"/>
      <c r="F2948" s="35" t="n"/>
      <c r="G2948" s="35" t="n"/>
      <c r="H2948" s="35" t="n"/>
      <c r="I2948" s="35" t="n"/>
      <c r="J2948" s="35" t="n"/>
      <c r="K2948" s="34" t="n"/>
      <c r="L2948" s="26">
        <f>IF(A2948="","",MONTH(A2948))</f>
        <v/>
      </c>
      <c r="M2948" s="26">
        <f>IF(A2948="","",YEAR(A2948))</f>
        <v/>
      </c>
      <c r="N2948" s="26">
        <f>IF(A2948="","",CHOOSE(WEEKDAY(A2948,2),"Segunda","Terça","Quarta","Quinta","Sexta","Sábado","Domingo"))</f>
        <v/>
      </c>
      <c r="O2948" s="26">
        <f>IF(B2948="","",IF(B2948&lt;TIME(12,0,0),"Manhã",IF(B2948&lt;TIME(18,0,0),"Tarde","Noite")))</f>
        <v/>
      </c>
      <c r="P2948" s="32">
        <f>IF(G2948="","",IFERROR(INDEX(Config!$I$5:$I$16,MATCH(G2948,Config!$H$5:$H$16,0)),0))</f>
        <v/>
      </c>
      <c r="Q2948" s="30">
        <f>IF(OR(H2948&lt;&gt;"Realizado",P2948="",P2948=0),"",A2948+P2948)</f>
        <v/>
      </c>
      <c r="R2948" s="26">
        <f>IF(Q2948="","",IF(COUNTIFS($E$5:$E$3004,E2948,$A$5:$A$3004,"&gt;"&amp;A2948,$H$5:$H$3004,"&lt;&gt;Falta",$H$5:$H$3004,"&lt;&gt;Cancelado",$H$5:$H$3004,"&lt;&gt;Remarcado")&gt;0,"Sim","Não"))</f>
        <v/>
      </c>
      <c r="S2948" s="32">
        <f>IF(R2948&lt;&gt;"Não","",IF(Q2948+Config!$B$9&lt;=Config!$B$8,Config!$B$8-Q2948,""))</f>
        <v/>
      </c>
      <c r="T2948" s="26">
        <f>IF(S2948="","","Sim")</f>
        <v/>
      </c>
      <c r="U2948" s="41">
        <f>IF(T2948="Sim",S2948+ROW()/100000,0)</f>
        <v>0</v>
      </c>
      <c r="V2948" s="41">
        <f>IF(AND(H2948="Falta",L2948=Config!$B$7,M2948=Config!$B$5,COUNTIFS($E$5:E2948,E2948,$H$5:H2948,"Falta",$L$5:L2948,Config!$B$7,$M$5:M2948,Config!$B$5)=1),COUNTIFS($E$5:$E$3004,E2948,$H$5:$H$3004,"Falta",$L$5:$L$3004,Config!$B$7,$M$5:$M$3004,Config!$B$5)*1000-ROW()/100000,0)</f>
        <v>0</v>
      </c>
    </row>
    <row r="2949">
      <c r="A2949" s="39" t="n"/>
      <c r="B2949" s="40" t="n"/>
      <c r="C2949" s="35" t="n"/>
      <c r="D2949" s="35" t="n"/>
      <c r="E2949" s="34" t="n"/>
      <c r="F2949" s="35" t="n"/>
      <c r="G2949" s="35" t="n"/>
      <c r="H2949" s="35" t="n"/>
      <c r="I2949" s="35" t="n"/>
      <c r="J2949" s="35" t="n"/>
      <c r="K2949" s="34" t="n"/>
      <c r="L2949" s="26">
        <f>IF(A2949="","",MONTH(A2949))</f>
        <v/>
      </c>
      <c r="M2949" s="26">
        <f>IF(A2949="","",YEAR(A2949))</f>
        <v/>
      </c>
      <c r="N2949" s="26">
        <f>IF(A2949="","",CHOOSE(WEEKDAY(A2949,2),"Segunda","Terça","Quarta","Quinta","Sexta","Sábado","Domingo"))</f>
        <v/>
      </c>
      <c r="O2949" s="26">
        <f>IF(B2949="","",IF(B2949&lt;TIME(12,0,0),"Manhã",IF(B2949&lt;TIME(18,0,0),"Tarde","Noite")))</f>
        <v/>
      </c>
      <c r="P2949" s="32">
        <f>IF(G2949="","",IFERROR(INDEX(Config!$I$5:$I$16,MATCH(G2949,Config!$H$5:$H$16,0)),0))</f>
        <v/>
      </c>
      <c r="Q2949" s="30">
        <f>IF(OR(H2949&lt;&gt;"Realizado",P2949="",P2949=0),"",A2949+P2949)</f>
        <v/>
      </c>
      <c r="R2949" s="26">
        <f>IF(Q2949="","",IF(COUNTIFS($E$5:$E$3004,E2949,$A$5:$A$3004,"&gt;"&amp;A2949,$H$5:$H$3004,"&lt;&gt;Falta",$H$5:$H$3004,"&lt;&gt;Cancelado",$H$5:$H$3004,"&lt;&gt;Remarcado")&gt;0,"Sim","Não"))</f>
        <v/>
      </c>
      <c r="S2949" s="32">
        <f>IF(R2949&lt;&gt;"Não","",IF(Q2949+Config!$B$9&lt;=Config!$B$8,Config!$B$8-Q2949,""))</f>
        <v/>
      </c>
      <c r="T2949" s="26">
        <f>IF(S2949="","","Sim")</f>
        <v/>
      </c>
      <c r="U2949" s="41">
        <f>IF(T2949="Sim",S2949+ROW()/100000,0)</f>
        <v>0</v>
      </c>
      <c r="V2949" s="41">
        <f>IF(AND(H2949="Falta",L2949=Config!$B$7,M2949=Config!$B$5,COUNTIFS($E$5:E2949,E2949,$H$5:H2949,"Falta",$L$5:L2949,Config!$B$7,$M$5:M2949,Config!$B$5)=1),COUNTIFS($E$5:$E$3004,E2949,$H$5:$H$3004,"Falta",$L$5:$L$3004,Config!$B$7,$M$5:$M$3004,Config!$B$5)*1000-ROW()/100000,0)</f>
        <v>0</v>
      </c>
    </row>
    <row r="2950">
      <c r="A2950" s="39" t="n"/>
      <c r="B2950" s="40" t="n"/>
      <c r="C2950" s="35" t="n"/>
      <c r="D2950" s="35" t="n"/>
      <c r="E2950" s="34" t="n"/>
      <c r="F2950" s="35" t="n"/>
      <c r="G2950" s="35" t="n"/>
      <c r="H2950" s="35" t="n"/>
      <c r="I2950" s="35" t="n"/>
      <c r="J2950" s="35" t="n"/>
      <c r="K2950" s="34" t="n"/>
      <c r="L2950" s="26">
        <f>IF(A2950="","",MONTH(A2950))</f>
        <v/>
      </c>
      <c r="M2950" s="26">
        <f>IF(A2950="","",YEAR(A2950))</f>
        <v/>
      </c>
      <c r="N2950" s="26">
        <f>IF(A2950="","",CHOOSE(WEEKDAY(A2950,2),"Segunda","Terça","Quarta","Quinta","Sexta","Sábado","Domingo"))</f>
        <v/>
      </c>
      <c r="O2950" s="26">
        <f>IF(B2950="","",IF(B2950&lt;TIME(12,0,0),"Manhã",IF(B2950&lt;TIME(18,0,0),"Tarde","Noite")))</f>
        <v/>
      </c>
      <c r="P2950" s="32">
        <f>IF(G2950="","",IFERROR(INDEX(Config!$I$5:$I$16,MATCH(G2950,Config!$H$5:$H$16,0)),0))</f>
        <v/>
      </c>
      <c r="Q2950" s="30">
        <f>IF(OR(H2950&lt;&gt;"Realizado",P2950="",P2950=0),"",A2950+P2950)</f>
        <v/>
      </c>
      <c r="R2950" s="26">
        <f>IF(Q2950="","",IF(COUNTIFS($E$5:$E$3004,E2950,$A$5:$A$3004,"&gt;"&amp;A2950,$H$5:$H$3004,"&lt;&gt;Falta",$H$5:$H$3004,"&lt;&gt;Cancelado",$H$5:$H$3004,"&lt;&gt;Remarcado")&gt;0,"Sim","Não"))</f>
        <v/>
      </c>
      <c r="S2950" s="32">
        <f>IF(R2950&lt;&gt;"Não","",IF(Q2950+Config!$B$9&lt;=Config!$B$8,Config!$B$8-Q2950,""))</f>
        <v/>
      </c>
      <c r="T2950" s="26">
        <f>IF(S2950="","","Sim")</f>
        <v/>
      </c>
      <c r="U2950" s="41">
        <f>IF(T2950="Sim",S2950+ROW()/100000,0)</f>
        <v>0</v>
      </c>
      <c r="V2950" s="41">
        <f>IF(AND(H2950="Falta",L2950=Config!$B$7,M2950=Config!$B$5,COUNTIFS($E$5:E2950,E2950,$H$5:H2950,"Falta",$L$5:L2950,Config!$B$7,$M$5:M2950,Config!$B$5)=1),COUNTIFS($E$5:$E$3004,E2950,$H$5:$H$3004,"Falta",$L$5:$L$3004,Config!$B$7,$M$5:$M$3004,Config!$B$5)*1000-ROW()/100000,0)</f>
        <v>0</v>
      </c>
    </row>
    <row r="2951">
      <c r="A2951" s="39" t="n"/>
      <c r="B2951" s="40" t="n"/>
      <c r="C2951" s="35" t="n"/>
      <c r="D2951" s="35" t="n"/>
      <c r="E2951" s="34" t="n"/>
      <c r="F2951" s="35" t="n"/>
      <c r="G2951" s="35" t="n"/>
      <c r="H2951" s="35" t="n"/>
      <c r="I2951" s="35" t="n"/>
      <c r="J2951" s="35" t="n"/>
      <c r="K2951" s="34" t="n"/>
      <c r="L2951" s="26">
        <f>IF(A2951="","",MONTH(A2951))</f>
        <v/>
      </c>
      <c r="M2951" s="26">
        <f>IF(A2951="","",YEAR(A2951))</f>
        <v/>
      </c>
      <c r="N2951" s="26">
        <f>IF(A2951="","",CHOOSE(WEEKDAY(A2951,2),"Segunda","Terça","Quarta","Quinta","Sexta","Sábado","Domingo"))</f>
        <v/>
      </c>
      <c r="O2951" s="26">
        <f>IF(B2951="","",IF(B2951&lt;TIME(12,0,0),"Manhã",IF(B2951&lt;TIME(18,0,0),"Tarde","Noite")))</f>
        <v/>
      </c>
      <c r="P2951" s="32">
        <f>IF(G2951="","",IFERROR(INDEX(Config!$I$5:$I$16,MATCH(G2951,Config!$H$5:$H$16,0)),0))</f>
        <v/>
      </c>
      <c r="Q2951" s="30">
        <f>IF(OR(H2951&lt;&gt;"Realizado",P2951="",P2951=0),"",A2951+P2951)</f>
        <v/>
      </c>
      <c r="R2951" s="26">
        <f>IF(Q2951="","",IF(COUNTIFS($E$5:$E$3004,E2951,$A$5:$A$3004,"&gt;"&amp;A2951,$H$5:$H$3004,"&lt;&gt;Falta",$H$5:$H$3004,"&lt;&gt;Cancelado",$H$5:$H$3004,"&lt;&gt;Remarcado")&gt;0,"Sim","Não"))</f>
        <v/>
      </c>
      <c r="S2951" s="32">
        <f>IF(R2951&lt;&gt;"Não","",IF(Q2951+Config!$B$9&lt;=Config!$B$8,Config!$B$8-Q2951,""))</f>
        <v/>
      </c>
      <c r="T2951" s="26">
        <f>IF(S2951="","","Sim")</f>
        <v/>
      </c>
      <c r="U2951" s="41">
        <f>IF(T2951="Sim",S2951+ROW()/100000,0)</f>
        <v>0</v>
      </c>
      <c r="V2951" s="41">
        <f>IF(AND(H2951="Falta",L2951=Config!$B$7,M2951=Config!$B$5,COUNTIFS($E$5:E2951,E2951,$H$5:H2951,"Falta",$L$5:L2951,Config!$B$7,$M$5:M2951,Config!$B$5)=1),COUNTIFS($E$5:$E$3004,E2951,$H$5:$H$3004,"Falta",$L$5:$L$3004,Config!$B$7,$M$5:$M$3004,Config!$B$5)*1000-ROW()/100000,0)</f>
        <v>0</v>
      </c>
    </row>
    <row r="2952">
      <c r="A2952" s="39" t="n"/>
      <c r="B2952" s="40" t="n"/>
      <c r="C2952" s="35" t="n"/>
      <c r="D2952" s="35" t="n"/>
      <c r="E2952" s="34" t="n"/>
      <c r="F2952" s="35" t="n"/>
      <c r="G2952" s="35" t="n"/>
      <c r="H2952" s="35" t="n"/>
      <c r="I2952" s="35" t="n"/>
      <c r="J2952" s="35" t="n"/>
      <c r="K2952" s="34" t="n"/>
      <c r="L2952" s="26">
        <f>IF(A2952="","",MONTH(A2952))</f>
        <v/>
      </c>
      <c r="M2952" s="26">
        <f>IF(A2952="","",YEAR(A2952))</f>
        <v/>
      </c>
      <c r="N2952" s="26">
        <f>IF(A2952="","",CHOOSE(WEEKDAY(A2952,2),"Segunda","Terça","Quarta","Quinta","Sexta","Sábado","Domingo"))</f>
        <v/>
      </c>
      <c r="O2952" s="26">
        <f>IF(B2952="","",IF(B2952&lt;TIME(12,0,0),"Manhã",IF(B2952&lt;TIME(18,0,0),"Tarde","Noite")))</f>
        <v/>
      </c>
      <c r="P2952" s="32">
        <f>IF(G2952="","",IFERROR(INDEX(Config!$I$5:$I$16,MATCH(G2952,Config!$H$5:$H$16,0)),0))</f>
        <v/>
      </c>
      <c r="Q2952" s="30">
        <f>IF(OR(H2952&lt;&gt;"Realizado",P2952="",P2952=0),"",A2952+P2952)</f>
        <v/>
      </c>
      <c r="R2952" s="26">
        <f>IF(Q2952="","",IF(COUNTIFS($E$5:$E$3004,E2952,$A$5:$A$3004,"&gt;"&amp;A2952,$H$5:$H$3004,"&lt;&gt;Falta",$H$5:$H$3004,"&lt;&gt;Cancelado",$H$5:$H$3004,"&lt;&gt;Remarcado")&gt;0,"Sim","Não"))</f>
        <v/>
      </c>
      <c r="S2952" s="32">
        <f>IF(R2952&lt;&gt;"Não","",IF(Q2952+Config!$B$9&lt;=Config!$B$8,Config!$B$8-Q2952,""))</f>
        <v/>
      </c>
      <c r="T2952" s="26">
        <f>IF(S2952="","","Sim")</f>
        <v/>
      </c>
      <c r="U2952" s="41">
        <f>IF(T2952="Sim",S2952+ROW()/100000,0)</f>
        <v>0</v>
      </c>
      <c r="V2952" s="41">
        <f>IF(AND(H2952="Falta",L2952=Config!$B$7,M2952=Config!$B$5,COUNTIFS($E$5:E2952,E2952,$H$5:H2952,"Falta",$L$5:L2952,Config!$B$7,$M$5:M2952,Config!$B$5)=1),COUNTIFS($E$5:$E$3004,E2952,$H$5:$H$3004,"Falta",$L$5:$L$3004,Config!$B$7,$M$5:$M$3004,Config!$B$5)*1000-ROW()/100000,0)</f>
        <v>0</v>
      </c>
    </row>
    <row r="2953">
      <c r="A2953" s="39" t="n"/>
      <c r="B2953" s="40" t="n"/>
      <c r="C2953" s="35" t="n"/>
      <c r="D2953" s="35" t="n"/>
      <c r="E2953" s="34" t="n"/>
      <c r="F2953" s="35" t="n"/>
      <c r="G2953" s="35" t="n"/>
      <c r="H2953" s="35" t="n"/>
      <c r="I2953" s="35" t="n"/>
      <c r="J2953" s="35" t="n"/>
      <c r="K2953" s="34" t="n"/>
      <c r="L2953" s="26">
        <f>IF(A2953="","",MONTH(A2953))</f>
        <v/>
      </c>
      <c r="M2953" s="26">
        <f>IF(A2953="","",YEAR(A2953))</f>
        <v/>
      </c>
      <c r="N2953" s="26">
        <f>IF(A2953="","",CHOOSE(WEEKDAY(A2953,2),"Segunda","Terça","Quarta","Quinta","Sexta","Sábado","Domingo"))</f>
        <v/>
      </c>
      <c r="O2953" s="26">
        <f>IF(B2953="","",IF(B2953&lt;TIME(12,0,0),"Manhã",IF(B2953&lt;TIME(18,0,0),"Tarde","Noite")))</f>
        <v/>
      </c>
      <c r="P2953" s="32">
        <f>IF(G2953="","",IFERROR(INDEX(Config!$I$5:$I$16,MATCH(G2953,Config!$H$5:$H$16,0)),0))</f>
        <v/>
      </c>
      <c r="Q2953" s="30">
        <f>IF(OR(H2953&lt;&gt;"Realizado",P2953="",P2953=0),"",A2953+P2953)</f>
        <v/>
      </c>
      <c r="R2953" s="26">
        <f>IF(Q2953="","",IF(COUNTIFS($E$5:$E$3004,E2953,$A$5:$A$3004,"&gt;"&amp;A2953,$H$5:$H$3004,"&lt;&gt;Falta",$H$5:$H$3004,"&lt;&gt;Cancelado",$H$5:$H$3004,"&lt;&gt;Remarcado")&gt;0,"Sim","Não"))</f>
        <v/>
      </c>
      <c r="S2953" s="32">
        <f>IF(R2953&lt;&gt;"Não","",IF(Q2953+Config!$B$9&lt;=Config!$B$8,Config!$B$8-Q2953,""))</f>
        <v/>
      </c>
      <c r="T2953" s="26">
        <f>IF(S2953="","","Sim")</f>
        <v/>
      </c>
      <c r="U2953" s="41">
        <f>IF(T2953="Sim",S2953+ROW()/100000,0)</f>
        <v>0</v>
      </c>
      <c r="V2953" s="41">
        <f>IF(AND(H2953="Falta",L2953=Config!$B$7,M2953=Config!$B$5,COUNTIFS($E$5:E2953,E2953,$H$5:H2953,"Falta",$L$5:L2953,Config!$B$7,$M$5:M2953,Config!$B$5)=1),COUNTIFS($E$5:$E$3004,E2953,$H$5:$H$3004,"Falta",$L$5:$L$3004,Config!$B$7,$M$5:$M$3004,Config!$B$5)*1000-ROW()/100000,0)</f>
        <v>0</v>
      </c>
    </row>
    <row r="2954">
      <c r="A2954" s="39" t="n"/>
      <c r="B2954" s="40" t="n"/>
      <c r="C2954" s="35" t="n"/>
      <c r="D2954" s="35" t="n"/>
      <c r="E2954" s="34" t="n"/>
      <c r="F2954" s="35" t="n"/>
      <c r="G2954" s="35" t="n"/>
      <c r="H2954" s="35" t="n"/>
      <c r="I2954" s="35" t="n"/>
      <c r="J2954" s="35" t="n"/>
      <c r="K2954" s="34" t="n"/>
      <c r="L2954" s="26">
        <f>IF(A2954="","",MONTH(A2954))</f>
        <v/>
      </c>
      <c r="M2954" s="26">
        <f>IF(A2954="","",YEAR(A2954))</f>
        <v/>
      </c>
      <c r="N2954" s="26">
        <f>IF(A2954="","",CHOOSE(WEEKDAY(A2954,2),"Segunda","Terça","Quarta","Quinta","Sexta","Sábado","Domingo"))</f>
        <v/>
      </c>
      <c r="O2954" s="26">
        <f>IF(B2954="","",IF(B2954&lt;TIME(12,0,0),"Manhã",IF(B2954&lt;TIME(18,0,0),"Tarde","Noite")))</f>
        <v/>
      </c>
      <c r="P2954" s="32">
        <f>IF(G2954="","",IFERROR(INDEX(Config!$I$5:$I$16,MATCH(G2954,Config!$H$5:$H$16,0)),0))</f>
        <v/>
      </c>
      <c r="Q2954" s="30">
        <f>IF(OR(H2954&lt;&gt;"Realizado",P2954="",P2954=0),"",A2954+P2954)</f>
        <v/>
      </c>
      <c r="R2954" s="26">
        <f>IF(Q2954="","",IF(COUNTIFS($E$5:$E$3004,E2954,$A$5:$A$3004,"&gt;"&amp;A2954,$H$5:$H$3004,"&lt;&gt;Falta",$H$5:$H$3004,"&lt;&gt;Cancelado",$H$5:$H$3004,"&lt;&gt;Remarcado")&gt;0,"Sim","Não"))</f>
        <v/>
      </c>
      <c r="S2954" s="32">
        <f>IF(R2954&lt;&gt;"Não","",IF(Q2954+Config!$B$9&lt;=Config!$B$8,Config!$B$8-Q2954,""))</f>
        <v/>
      </c>
      <c r="T2954" s="26">
        <f>IF(S2954="","","Sim")</f>
        <v/>
      </c>
      <c r="U2954" s="41">
        <f>IF(T2954="Sim",S2954+ROW()/100000,0)</f>
        <v>0</v>
      </c>
      <c r="V2954" s="41">
        <f>IF(AND(H2954="Falta",L2954=Config!$B$7,M2954=Config!$B$5,COUNTIFS($E$5:E2954,E2954,$H$5:H2954,"Falta",$L$5:L2954,Config!$B$7,$M$5:M2954,Config!$B$5)=1),COUNTIFS($E$5:$E$3004,E2954,$H$5:$H$3004,"Falta",$L$5:$L$3004,Config!$B$7,$M$5:$M$3004,Config!$B$5)*1000-ROW()/100000,0)</f>
        <v>0</v>
      </c>
    </row>
    <row r="2955">
      <c r="A2955" s="39" t="n"/>
      <c r="B2955" s="40" t="n"/>
      <c r="C2955" s="35" t="n"/>
      <c r="D2955" s="35" t="n"/>
      <c r="E2955" s="34" t="n"/>
      <c r="F2955" s="35" t="n"/>
      <c r="G2955" s="35" t="n"/>
      <c r="H2955" s="35" t="n"/>
      <c r="I2955" s="35" t="n"/>
      <c r="J2955" s="35" t="n"/>
      <c r="K2955" s="34" t="n"/>
      <c r="L2955" s="26">
        <f>IF(A2955="","",MONTH(A2955))</f>
        <v/>
      </c>
      <c r="M2955" s="26">
        <f>IF(A2955="","",YEAR(A2955))</f>
        <v/>
      </c>
      <c r="N2955" s="26">
        <f>IF(A2955="","",CHOOSE(WEEKDAY(A2955,2),"Segunda","Terça","Quarta","Quinta","Sexta","Sábado","Domingo"))</f>
        <v/>
      </c>
      <c r="O2955" s="26">
        <f>IF(B2955="","",IF(B2955&lt;TIME(12,0,0),"Manhã",IF(B2955&lt;TIME(18,0,0),"Tarde","Noite")))</f>
        <v/>
      </c>
      <c r="P2955" s="32">
        <f>IF(G2955="","",IFERROR(INDEX(Config!$I$5:$I$16,MATCH(G2955,Config!$H$5:$H$16,0)),0))</f>
        <v/>
      </c>
      <c r="Q2955" s="30">
        <f>IF(OR(H2955&lt;&gt;"Realizado",P2955="",P2955=0),"",A2955+P2955)</f>
        <v/>
      </c>
      <c r="R2955" s="26">
        <f>IF(Q2955="","",IF(COUNTIFS($E$5:$E$3004,E2955,$A$5:$A$3004,"&gt;"&amp;A2955,$H$5:$H$3004,"&lt;&gt;Falta",$H$5:$H$3004,"&lt;&gt;Cancelado",$H$5:$H$3004,"&lt;&gt;Remarcado")&gt;0,"Sim","Não"))</f>
        <v/>
      </c>
      <c r="S2955" s="32">
        <f>IF(R2955&lt;&gt;"Não","",IF(Q2955+Config!$B$9&lt;=Config!$B$8,Config!$B$8-Q2955,""))</f>
        <v/>
      </c>
      <c r="T2955" s="26">
        <f>IF(S2955="","","Sim")</f>
        <v/>
      </c>
      <c r="U2955" s="41">
        <f>IF(T2955="Sim",S2955+ROW()/100000,0)</f>
        <v>0</v>
      </c>
      <c r="V2955" s="41">
        <f>IF(AND(H2955="Falta",L2955=Config!$B$7,M2955=Config!$B$5,COUNTIFS($E$5:E2955,E2955,$H$5:H2955,"Falta",$L$5:L2955,Config!$B$7,$M$5:M2955,Config!$B$5)=1),COUNTIFS($E$5:$E$3004,E2955,$H$5:$H$3004,"Falta",$L$5:$L$3004,Config!$B$7,$M$5:$M$3004,Config!$B$5)*1000-ROW()/100000,0)</f>
        <v>0</v>
      </c>
    </row>
    <row r="2956">
      <c r="A2956" s="39" t="n"/>
      <c r="B2956" s="40" t="n"/>
      <c r="C2956" s="35" t="n"/>
      <c r="D2956" s="35" t="n"/>
      <c r="E2956" s="34" t="n"/>
      <c r="F2956" s="35" t="n"/>
      <c r="G2956" s="35" t="n"/>
      <c r="H2956" s="35" t="n"/>
      <c r="I2956" s="35" t="n"/>
      <c r="J2956" s="35" t="n"/>
      <c r="K2956" s="34" t="n"/>
      <c r="L2956" s="26">
        <f>IF(A2956="","",MONTH(A2956))</f>
        <v/>
      </c>
      <c r="M2956" s="26">
        <f>IF(A2956="","",YEAR(A2956))</f>
        <v/>
      </c>
      <c r="N2956" s="26">
        <f>IF(A2956="","",CHOOSE(WEEKDAY(A2956,2),"Segunda","Terça","Quarta","Quinta","Sexta","Sábado","Domingo"))</f>
        <v/>
      </c>
      <c r="O2956" s="26">
        <f>IF(B2956="","",IF(B2956&lt;TIME(12,0,0),"Manhã",IF(B2956&lt;TIME(18,0,0),"Tarde","Noite")))</f>
        <v/>
      </c>
      <c r="P2956" s="32">
        <f>IF(G2956="","",IFERROR(INDEX(Config!$I$5:$I$16,MATCH(G2956,Config!$H$5:$H$16,0)),0))</f>
        <v/>
      </c>
      <c r="Q2956" s="30">
        <f>IF(OR(H2956&lt;&gt;"Realizado",P2956="",P2956=0),"",A2956+P2956)</f>
        <v/>
      </c>
      <c r="R2956" s="26">
        <f>IF(Q2956="","",IF(COUNTIFS($E$5:$E$3004,E2956,$A$5:$A$3004,"&gt;"&amp;A2956,$H$5:$H$3004,"&lt;&gt;Falta",$H$5:$H$3004,"&lt;&gt;Cancelado",$H$5:$H$3004,"&lt;&gt;Remarcado")&gt;0,"Sim","Não"))</f>
        <v/>
      </c>
      <c r="S2956" s="32">
        <f>IF(R2956&lt;&gt;"Não","",IF(Q2956+Config!$B$9&lt;=Config!$B$8,Config!$B$8-Q2956,""))</f>
        <v/>
      </c>
      <c r="T2956" s="26">
        <f>IF(S2956="","","Sim")</f>
        <v/>
      </c>
      <c r="U2956" s="41">
        <f>IF(T2956="Sim",S2956+ROW()/100000,0)</f>
        <v>0</v>
      </c>
      <c r="V2956" s="41">
        <f>IF(AND(H2956="Falta",L2956=Config!$B$7,M2956=Config!$B$5,COUNTIFS($E$5:E2956,E2956,$H$5:H2956,"Falta",$L$5:L2956,Config!$B$7,$M$5:M2956,Config!$B$5)=1),COUNTIFS($E$5:$E$3004,E2956,$H$5:$H$3004,"Falta",$L$5:$L$3004,Config!$B$7,$M$5:$M$3004,Config!$B$5)*1000-ROW()/100000,0)</f>
        <v>0</v>
      </c>
    </row>
    <row r="2957">
      <c r="A2957" s="39" t="n"/>
      <c r="B2957" s="40" t="n"/>
      <c r="C2957" s="35" t="n"/>
      <c r="D2957" s="35" t="n"/>
      <c r="E2957" s="34" t="n"/>
      <c r="F2957" s="35" t="n"/>
      <c r="G2957" s="35" t="n"/>
      <c r="H2957" s="35" t="n"/>
      <c r="I2957" s="35" t="n"/>
      <c r="J2957" s="35" t="n"/>
      <c r="K2957" s="34" t="n"/>
      <c r="L2957" s="26">
        <f>IF(A2957="","",MONTH(A2957))</f>
        <v/>
      </c>
      <c r="M2957" s="26">
        <f>IF(A2957="","",YEAR(A2957))</f>
        <v/>
      </c>
      <c r="N2957" s="26">
        <f>IF(A2957="","",CHOOSE(WEEKDAY(A2957,2),"Segunda","Terça","Quarta","Quinta","Sexta","Sábado","Domingo"))</f>
        <v/>
      </c>
      <c r="O2957" s="26">
        <f>IF(B2957="","",IF(B2957&lt;TIME(12,0,0),"Manhã",IF(B2957&lt;TIME(18,0,0),"Tarde","Noite")))</f>
        <v/>
      </c>
      <c r="P2957" s="32">
        <f>IF(G2957="","",IFERROR(INDEX(Config!$I$5:$I$16,MATCH(G2957,Config!$H$5:$H$16,0)),0))</f>
        <v/>
      </c>
      <c r="Q2957" s="30">
        <f>IF(OR(H2957&lt;&gt;"Realizado",P2957="",P2957=0),"",A2957+P2957)</f>
        <v/>
      </c>
      <c r="R2957" s="26">
        <f>IF(Q2957="","",IF(COUNTIFS($E$5:$E$3004,E2957,$A$5:$A$3004,"&gt;"&amp;A2957,$H$5:$H$3004,"&lt;&gt;Falta",$H$5:$H$3004,"&lt;&gt;Cancelado",$H$5:$H$3004,"&lt;&gt;Remarcado")&gt;0,"Sim","Não"))</f>
        <v/>
      </c>
      <c r="S2957" s="32">
        <f>IF(R2957&lt;&gt;"Não","",IF(Q2957+Config!$B$9&lt;=Config!$B$8,Config!$B$8-Q2957,""))</f>
        <v/>
      </c>
      <c r="T2957" s="26">
        <f>IF(S2957="","","Sim")</f>
        <v/>
      </c>
      <c r="U2957" s="41">
        <f>IF(T2957="Sim",S2957+ROW()/100000,0)</f>
        <v>0</v>
      </c>
      <c r="V2957" s="41">
        <f>IF(AND(H2957="Falta",L2957=Config!$B$7,M2957=Config!$B$5,COUNTIFS($E$5:E2957,E2957,$H$5:H2957,"Falta",$L$5:L2957,Config!$B$7,$M$5:M2957,Config!$B$5)=1),COUNTIFS($E$5:$E$3004,E2957,$H$5:$H$3004,"Falta",$L$5:$L$3004,Config!$B$7,$M$5:$M$3004,Config!$B$5)*1000-ROW()/100000,0)</f>
        <v>0</v>
      </c>
    </row>
    <row r="2958">
      <c r="A2958" s="39" t="n"/>
      <c r="B2958" s="40" t="n"/>
      <c r="C2958" s="35" t="n"/>
      <c r="D2958" s="35" t="n"/>
      <c r="E2958" s="34" t="n"/>
      <c r="F2958" s="35" t="n"/>
      <c r="G2958" s="35" t="n"/>
      <c r="H2958" s="35" t="n"/>
      <c r="I2958" s="35" t="n"/>
      <c r="J2958" s="35" t="n"/>
      <c r="K2958" s="34" t="n"/>
      <c r="L2958" s="26">
        <f>IF(A2958="","",MONTH(A2958))</f>
        <v/>
      </c>
      <c r="M2958" s="26">
        <f>IF(A2958="","",YEAR(A2958))</f>
        <v/>
      </c>
      <c r="N2958" s="26">
        <f>IF(A2958="","",CHOOSE(WEEKDAY(A2958,2),"Segunda","Terça","Quarta","Quinta","Sexta","Sábado","Domingo"))</f>
        <v/>
      </c>
      <c r="O2958" s="26">
        <f>IF(B2958="","",IF(B2958&lt;TIME(12,0,0),"Manhã",IF(B2958&lt;TIME(18,0,0),"Tarde","Noite")))</f>
        <v/>
      </c>
      <c r="P2958" s="32">
        <f>IF(G2958="","",IFERROR(INDEX(Config!$I$5:$I$16,MATCH(G2958,Config!$H$5:$H$16,0)),0))</f>
        <v/>
      </c>
      <c r="Q2958" s="30">
        <f>IF(OR(H2958&lt;&gt;"Realizado",P2958="",P2958=0),"",A2958+P2958)</f>
        <v/>
      </c>
      <c r="R2958" s="26">
        <f>IF(Q2958="","",IF(COUNTIFS($E$5:$E$3004,E2958,$A$5:$A$3004,"&gt;"&amp;A2958,$H$5:$H$3004,"&lt;&gt;Falta",$H$5:$H$3004,"&lt;&gt;Cancelado",$H$5:$H$3004,"&lt;&gt;Remarcado")&gt;0,"Sim","Não"))</f>
        <v/>
      </c>
      <c r="S2958" s="32">
        <f>IF(R2958&lt;&gt;"Não","",IF(Q2958+Config!$B$9&lt;=Config!$B$8,Config!$B$8-Q2958,""))</f>
        <v/>
      </c>
      <c r="T2958" s="26">
        <f>IF(S2958="","","Sim")</f>
        <v/>
      </c>
      <c r="U2958" s="41">
        <f>IF(T2958="Sim",S2958+ROW()/100000,0)</f>
        <v>0</v>
      </c>
      <c r="V2958" s="41">
        <f>IF(AND(H2958="Falta",L2958=Config!$B$7,M2958=Config!$B$5,COUNTIFS($E$5:E2958,E2958,$H$5:H2958,"Falta",$L$5:L2958,Config!$B$7,$M$5:M2958,Config!$B$5)=1),COUNTIFS($E$5:$E$3004,E2958,$H$5:$H$3004,"Falta",$L$5:$L$3004,Config!$B$7,$M$5:$M$3004,Config!$B$5)*1000-ROW()/100000,0)</f>
        <v>0</v>
      </c>
    </row>
    <row r="2959">
      <c r="A2959" s="39" t="n"/>
      <c r="B2959" s="40" t="n"/>
      <c r="C2959" s="35" t="n"/>
      <c r="D2959" s="35" t="n"/>
      <c r="E2959" s="34" t="n"/>
      <c r="F2959" s="35" t="n"/>
      <c r="G2959" s="35" t="n"/>
      <c r="H2959" s="35" t="n"/>
      <c r="I2959" s="35" t="n"/>
      <c r="J2959" s="35" t="n"/>
      <c r="K2959" s="34" t="n"/>
      <c r="L2959" s="26">
        <f>IF(A2959="","",MONTH(A2959))</f>
        <v/>
      </c>
      <c r="M2959" s="26">
        <f>IF(A2959="","",YEAR(A2959))</f>
        <v/>
      </c>
      <c r="N2959" s="26">
        <f>IF(A2959="","",CHOOSE(WEEKDAY(A2959,2),"Segunda","Terça","Quarta","Quinta","Sexta","Sábado","Domingo"))</f>
        <v/>
      </c>
      <c r="O2959" s="26">
        <f>IF(B2959="","",IF(B2959&lt;TIME(12,0,0),"Manhã",IF(B2959&lt;TIME(18,0,0),"Tarde","Noite")))</f>
        <v/>
      </c>
      <c r="P2959" s="32">
        <f>IF(G2959="","",IFERROR(INDEX(Config!$I$5:$I$16,MATCH(G2959,Config!$H$5:$H$16,0)),0))</f>
        <v/>
      </c>
      <c r="Q2959" s="30">
        <f>IF(OR(H2959&lt;&gt;"Realizado",P2959="",P2959=0),"",A2959+P2959)</f>
        <v/>
      </c>
      <c r="R2959" s="26">
        <f>IF(Q2959="","",IF(COUNTIFS($E$5:$E$3004,E2959,$A$5:$A$3004,"&gt;"&amp;A2959,$H$5:$H$3004,"&lt;&gt;Falta",$H$5:$H$3004,"&lt;&gt;Cancelado",$H$5:$H$3004,"&lt;&gt;Remarcado")&gt;0,"Sim","Não"))</f>
        <v/>
      </c>
      <c r="S2959" s="32">
        <f>IF(R2959&lt;&gt;"Não","",IF(Q2959+Config!$B$9&lt;=Config!$B$8,Config!$B$8-Q2959,""))</f>
        <v/>
      </c>
      <c r="T2959" s="26">
        <f>IF(S2959="","","Sim")</f>
        <v/>
      </c>
      <c r="U2959" s="41">
        <f>IF(T2959="Sim",S2959+ROW()/100000,0)</f>
        <v>0</v>
      </c>
      <c r="V2959" s="41">
        <f>IF(AND(H2959="Falta",L2959=Config!$B$7,M2959=Config!$B$5,COUNTIFS($E$5:E2959,E2959,$H$5:H2959,"Falta",$L$5:L2959,Config!$B$7,$M$5:M2959,Config!$B$5)=1),COUNTIFS($E$5:$E$3004,E2959,$H$5:$H$3004,"Falta",$L$5:$L$3004,Config!$B$7,$M$5:$M$3004,Config!$B$5)*1000-ROW()/100000,0)</f>
        <v>0</v>
      </c>
    </row>
    <row r="2960">
      <c r="A2960" s="39" t="n"/>
      <c r="B2960" s="40" t="n"/>
      <c r="C2960" s="35" t="n"/>
      <c r="D2960" s="35" t="n"/>
      <c r="E2960" s="34" t="n"/>
      <c r="F2960" s="35" t="n"/>
      <c r="G2960" s="35" t="n"/>
      <c r="H2960" s="35" t="n"/>
      <c r="I2960" s="35" t="n"/>
      <c r="J2960" s="35" t="n"/>
      <c r="K2960" s="34" t="n"/>
      <c r="L2960" s="26">
        <f>IF(A2960="","",MONTH(A2960))</f>
        <v/>
      </c>
      <c r="M2960" s="26">
        <f>IF(A2960="","",YEAR(A2960))</f>
        <v/>
      </c>
      <c r="N2960" s="26">
        <f>IF(A2960="","",CHOOSE(WEEKDAY(A2960,2),"Segunda","Terça","Quarta","Quinta","Sexta","Sábado","Domingo"))</f>
        <v/>
      </c>
      <c r="O2960" s="26">
        <f>IF(B2960="","",IF(B2960&lt;TIME(12,0,0),"Manhã",IF(B2960&lt;TIME(18,0,0),"Tarde","Noite")))</f>
        <v/>
      </c>
      <c r="P2960" s="32">
        <f>IF(G2960="","",IFERROR(INDEX(Config!$I$5:$I$16,MATCH(G2960,Config!$H$5:$H$16,0)),0))</f>
        <v/>
      </c>
      <c r="Q2960" s="30">
        <f>IF(OR(H2960&lt;&gt;"Realizado",P2960="",P2960=0),"",A2960+P2960)</f>
        <v/>
      </c>
      <c r="R2960" s="26">
        <f>IF(Q2960="","",IF(COUNTIFS($E$5:$E$3004,E2960,$A$5:$A$3004,"&gt;"&amp;A2960,$H$5:$H$3004,"&lt;&gt;Falta",$H$5:$H$3004,"&lt;&gt;Cancelado",$H$5:$H$3004,"&lt;&gt;Remarcado")&gt;0,"Sim","Não"))</f>
        <v/>
      </c>
      <c r="S2960" s="32">
        <f>IF(R2960&lt;&gt;"Não","",IF(Q2960+Config!$B$9&lt;=Config!$B$8,Config!$B$8-Q2960,""))</f>
        <v/>
      </c>
      <c r="T2960" s="26">
        <f>IF(S2960="","","Sim")</f>
        <v/>
      </c>
      <c r="U2960" s="41">
        <f>IF(T2960="Sim",S2960+ROW()/100000,0)</f>
        <v>0</v>
      </c>
      <c r="V2960" s="41">
        <f>IF(AND(H2960="Falta",L2960=Config!$B$7,M2960=Config!$B$5,COUNTIFS($E$5:E2960,E2960,$H$5:H2960,"Falta",$L$5:L2960,Config!$B$7,$M$5:M2960,Config!$B$5)=1),COUNTIFS($E$5:$E$3004,E2960,$H$5:$H$3004,"Falta",$L$5:$L$3004,Config!$B$7,$M$5:$M$3004,Config!$B$5)*1000-ROW()/100000,0)</f>
        <v>0</v>
      </c>
    </row>
    <row r="2961">
      <c r="A2961" s="39" t="n"/>
      <c r="B2961" s="40" t="n"/>
      <c r="C2961" s="35" t="n"/>
      <c r="D2961" s="35" t="n"/>
      <c r="E2961" s="34" t="n"/>
      <c r="F2961" s="35" t="n"/>
      <c r="G2961" s="35" t="n"/>
      <c r="H2961" s="35" t="n"/>
      <c r="I2961" s="35" t="n"/>
      <c r="J2961" s="35" t="n"/>
      <c r="K2961" s="34" t="n"/>
      <c r="L2961" s="26">
        <f>IF(A2961="","",MONTH(A2961))</f>
        <v/>
      </c>
      <c r="M2961" s="26">
        <f>IF(A2961="","",YEAR(A2961))</f>
        <v/>
      </c>
      <c r="N2961" s="26">
        <f>IF(A2961="","",CHOOSE(WEEKDAY(A2961,2),"Segunda","Terça","Quarta","Quinta","Sexta","Sábado","Domingo"))</f>
        <v/>
      </c>
      <c r="O2961" s="26">
        <f>IF(B2961="","",IF(B2961&lt;TIME(12,0,0),"Manhã",IF(B2961&lt;TIME(18,0,0),"Tarde","Noite")))</f>
        <v/>
      </c>
      <c r="P2961" s="32">
        <f>IF(G2961="","",IFERROR(INDEX(Config!$I$5:$I$16,MATCH(G2961,Config!$H$5:$H$16,0)),0))</f>
        <v/>
      </c>
      <c r="Q2961" s="30">
        <f>IF(OR(H2961&lt;&gt;"Realizado",P2961="",P2961=0),"",A2961+P2961)</f>
        <v/>
      </c>
      <c r="R2961" s="26">
        <f>IF(Q2961="","",IF(COUNTIFS($E$5:$E$3004,E2961,$A$5:$A$3004,"&gt;"&amp;A2961,$H$5:$H$3004,"&lt;&gt;Falta",$H$5:$H$3004,"&lt;&gt;Cancelado",$H$5:$H$3004,"&lt;&gt;Remarcado")&gt;0,"Sim","Não"))</f>
        <v/>
      </c>
      <c r="S2961" s="32">
        <f>IF(R2961&lt;&gt;"Não","",IF(Q2961+Config!$B$9&lt;=Config!$B$8,Config!$B$8-Q2961,""))</f>
        <v/>
      </c>
      <c r="T2961" s="26">
        <f>IF(S2961="","","Sim")</f>
        <v/>
      </c>
      <c r="U2961" s="41">
        <f>IF(T2961="Sim",S2961+ROW()/100000,0)</f>
        <v>0</v>
      </c>
      <c r="V2961" s="41">
        <f>IF(AND(H2961="Falta",L2961=Config!$B$7,M2961=Config!$B$5,COUNTIFS($E$5:E2961,E2961,$H$5:H2961,"Falta",$L$5:L2961,Config!$B$7,$M$5:M2961,Config!$B$5)=1),COUNTIFS($E$5:$E$3004,E2961,$H$5:$H$3004,"Falta",$L$5:$L$3004,Config!$B$7,$M$5:$M$3004,Config!$B$5)*1000-ROW()/100000,0)</f>
        <v>0</v>
      </c>
    </row>
    <row r="2962">
      <c r="A2962" s="39" t="n"/>
      <c r="B2962" s="40" t="n"/>
      <c r="C2962" s="35" t="n"/>
      <c r="D2962" s="35" t="n"/>
      <c r="E2962" s="34" t="n"/>
      <c r="F2962" s="35" t="n"/>
      <c r="G2962" s="35" t="n"/>
      <c r="H2962" s="35" t="n"/>
      <c r="I2962" s="35" t="n"/>
      <c r="J2962" s="35" t="n"/>
      <c r="K2962" s="34" t="n"/>
      <c r="L2962" s="26">
        <f>IF(A2962="","",MONTH(A2962))</f>
        <v/>
      </c>
      <c r="M2962" s="26">
        <f>IF(A2962="","",YEAR(A2962))</f>
        <v/>
      </c>
      <c r="N2962" s="26">
        <f>IF(A2962="","",CHOOSE(WEEKDAY(A2962,2),"Segunda","Terça","Quarta","Quinta","Sexta","Sábado","Domingo"))</f>
        <v/>
      </c>
      <c r="O2962" s="26">
        <f>IF(B2962="","",IF(B2962&lt;TIME(12,0,0),"Manhã",IF(B2962&lt;TIME(18,0,0),"Tarde","Noite")))</f>
        <v/>
      </c>
      <c r="P2962" s="32">
        <f>IF(G2962="","",IFERROR(INDEX(Config!$I$5:$I$16,MATCH(G2962,Config!$H$5:$H$16,0)),0))</f>
        <v/>
      </c>
      <c r="Q2962" s="30">
        <f>IF(OR(H2962&lt;&gt;"Realizado",P2962="",P2962=0),"",A2962+P2962)</f>
        <v/>
      </c>
      <c r="R2962" s="26">
        <f>IF(Q2962="","",IF(COUNTIFS($E$5:$E$3004,E2962,$A$5:$A$3004,"&gt;"&amp;A2962,$H$5:$H$3004,"&lt;&gt;Falta",$H$5:$H$3004,"&lt;&gt;Cancelado",$H$5:$H$3004,"&lt;&gt;Remarcado")&gt;0,"Sim","Não"))</f>
        <v/>
      </c>
      <c r="S2962" s="32">
        <f>IF(R2962&lt;&gt;"Não","",IF(Q2962+Config!$B$9&lt;=Config!$B$8,Config!$B$8-Q2962,""))</f>
        <v/>
      </c>
      <c r="T2962" s="26">
        <f>IF(S2962="","","Sim")</f>
        <v/>
      </c>
      <c r="U2962" s="41">
        <f>IF(T2962="Sim",S2962+ROW()/100000,0)</f>
        <v>0</v>
      </c>
      <c r="V2962" s="41">
        <f>IF(AND(H2962="Falta",L2962=Config!$B$7,M2962=Config!$B$5,COUNTIFS($E$5:E2962,E2962,$H$5:H2962,"Falta",$L$5:L2962,Config!$B$7,$M$5:M2962,Config!$B$5)=1),COUNTIFS($E$5:$E$3004,E2962,$H$5:$H$3004,"Falta",$L$5:$L$3004,Config!$B$7,$M$5:$M$3004,Config!$B$5)*1000-ROW()/100000,0)</f>
        <v>0</v>
      </c>
    </row>
    <row r="2963">
      <c r="A2963" s="39" t="n"/>
      <c r="B2963" s="40" t="n"/>
      <c r="C2963" s="35" t="n"/>
      <c r="D2963" s="35" t="n"/>
      <c r="E2963" s="34" t="n"/>
      <c r="F2963" s="35" t="n"/>
      <c r="G2963" s="35" t="n"/>
      <c r="H2963" s="35" t="n"/>
      <c r="I2963" s="35" t="n"/>
      <c r="J2963" s="35" t="n"/>
      <c r="K2963" s="34" t="n"/>
      <c r="L2963" s="26">
        <f>IF(A2963="","",MONTH(A2963))</f>
        <v/>
      </c>
      <c r="M2963" s="26">
        <f>IF(A2963="","",YEAR(A2963))</f>
        <v/>
      </c>
      <c r="N2963" s="26">
        <f>IF(A2963="","",CHOOSE(WEEKDAY(A2963,2),"Segunda","Terça","Quarta","Quinta","Sexta","Sábado","Domingo"))</f>
        <v/>
      </c>
      <c r="O2963" s="26">
        <f>IF(B2963="","",IF(B2963&lt;TIME(12,0,0),"Manhã",IF(B2963&lt;TIME(18,0,0),"Tarde","Noite")))</f>
        <v/>
      </c>
      <c r="P2963" s="32">
        <f>IF(G2963="","",IFERROR(INDEX(Config!$I$5:$I$16,MATCH(G2963,Config!$H$5:$H$16,0)),0))</f>
        <v/>
      </c>
      <c r="Q2963" s="30">
        <f>IF(OR(H2963&lt;&gt;"Realizado",P2963="",P2963=0),"",A2963+P2963)</f>
        <v/>
      </c>
      <c r="R2963" s="26">
        <f>IF(Q2963="","",IF(COUNTIFS($E$5:$E$3004,E2963,$A$5:$A$3004,"&gt;"&amp;A2963,$H$5:$H$3004,"&lt;&gt;Falta",$H$5:$H$3004,"&lt;&gt;Cancelado",$H$5:$H$3004,"&lt;&gt;Remarcado")&gt;0,"Sim","Não"))</f>
        <v/>
      </c>
      <c r="S2963" s="32">
        <f>IF(R2963&lt;&gt;"Não","",IF(Q2963+Config!$B$9&lt;=Config!$B$8,Config!$B$8-Q2963,""))</f>
        <v/>
      </c>
      <c r="T2963" s="26">
        <f>IF(S2963="","","Sim")</f>
        <v/>
      </c>
      <c r="U2963" s="41">
        <f>IF(T2963="Sim",S2963+ROW()/100000,0)</f>
        <v>0</v>
      </c>
      <c r="V2963" s="41">
        <f>IF(AND(H2963="Falta",L2963=Config!$B$7,M2963=Config!$B$5,COUNTIFS($E$5:E2963,E2963,$H$5:H2963,"Falta",$L$5:L2963,Config!$B$7,$M$5:M2963,Config!$B$5)=1),COUNTIFS($E$5:$E$3004,E2963,$H$5:$H$3004,"Falta",$L$5:$L$3004,Config!$B$7,$M$5:$M$3004,Config!$B$5)*1000-ROW()/100000,0)</f>
        <v>0</v>
      </c>
    </row>
    <row r="2964">
      <c r="A2964" s="39" t="n"/>
      <c r="B2964" s="40" t="n"/>
      <c r="C2964" s="35" t="n"/>
      <c r="D2964" s="35" t="n"/>
      <c r="E2964" s="34" t="n"/>
      <c r="F2964" s="35" t="n"/>
      <c r="G2964" s="35" t="n"/>
      <c r="H2964" s="35" t="n"/>
      <c r="I2964" s="35" t="n"/>
      <c r="J2964" s="35" t="n"/>
      <c r="K2964" s="34" t="n"/>
      <c r="L2964" s="26">
        <f>IF(A2964="","",MONTH(A2964))</f>
        <v/>
      </c>
      <c r="M2964" s="26">
        <f>IF(A2964="","",YEAR(A2964))</f>
        <v/>
      </c>
      <c r="N2964" s="26">
        <f>IF(A2964="","",CHOOSE(WEEKDAY(A2964,2),"Segunda","Terça","Quarta","Quinta","Sexta","Sábado","Domingo"))</f>
        <v/>
      </c>
      <c r="O2964" s="26">
        <f>IF(B2964="","",IF(B2964&lt;TIME(12,0,0),"Manhã",IF(B2964&lt;TIME(18,0,0),"Tarde","Noite")))</f>
        <v/>
      </c>
      <c r="P2964" s="32">
        <f>IF(G2964="","",IFERROR(INDEX(Config!$I$5:$I$16,MATCH(G2964,Config!$H$5:$H$16,0)),0))</f>
        <v/>
      </c>
      <c r="Q2964" s="30">
        <f>IF(OR(H2964&lt;&gt;"Realizado",P2964="",P2964=0),"",A2964+P2964)</f>
        <v/>
      </c>
      <c r="R2964" s="26">
        <f>IF(Q2964="","",IF(COUNTIFS($E$5:$E$3004,E2964,$A$5:$A$3004,"&gt;"&amp;A2964,$H$5:$H$3004,"&lt;&gt;Falta",$H$5:$H$3004,"&lt;&gt;Cancelado",$H$5:$H$3004,"&lt;&gt;Remarcado")&gt;0,"Sim","Não"))</f>
        <v/>
      </c>
      <c r="S2964" s="32">
        <f>IF(R2964&lt;&gt;"Não","",IF(Q2964+Config!$B$9&lt;=Config!$B$8,Config!$B$8-Q2964,""))</f>
        <v/>
      </c>
      <c r="T2964" s="26">
        <f>IF(S2964="","","Sim")</f>
        <v/>
      </c>
      <c r="U2964" s="41">
        <f>IF(T2964="Sim",S2964+ROW()/100000,0)</f>
        <v>0</v>
      </c>
      <c r="V2964" s="41">
        <f>IF(AND(H2964="Falta",L2964=Config!$B$7,M2964=Config!$B$5,COUNTIFS($E$5:E2964,E2964,$H$5:H2964,"Falta",$L$5:L2964,Config!$B$7,$M$5:M2964,Config!$B$5)=1),COUNTIFS($E$5:$E$3004,E2964,$H$5:$H$3004,"Falta",$L$5:$L$3004,Config!$B$7,$M$5:$M$3004,Config!$B$5)*1000-ROW()/100000,0)</f>
        <v>0</v>
      </c>
    </row>
    <row r="2965">
      <c r="A2965" s="39" t="n"/>
      <c r="B2965" s="40" t="n"/>
      <c r="C2965" s="35" t="n"/>
      <c r="D2965" s="35" t="n"/>
      <c r="E2965" s="34" t="n"/>
      <c r="F2965" s="35" t="n"/>
      <c r="G2965" s="35" t="n"/>
      <c r="H2965" s="35" t="n"/>
      <c r="I2965" s="35" t="n"/>
      <c r="J2965" s="35" t="n"/>
      <c r="K2965" s="34" t="n"/>
      <c r="L2965" s="26">
        <f>IF(A2965="","",MONTH(A2965))</f>
        <v/>
      </c>
      <c r="M2965" s="26">
        <f>IF(A2965="","",YEAR(A2965))</f>
        <v/>
      </c>
      <c r="N2965" s="26">
        <f>IF(A2965="","",CHOOSE(WEEKDAY(A2965,2),"Segunda","Terça","Quarta","Quinta","Sexta","Sábado","Domingo"))</f>
        <v/>
      </c>
      <c r="O2965" s="26">
        <f>IF(B2965="","",IF(B2965&lt;TIME(12,0,0),"Manhã",IF(B2965&lt;TIME(18,0,0),"Tarde","Noite")))</f>
        <v/>
      </c>
      <c r="P2965" s="32">
        <f>IF(G2965="","",IFERROR(INDEX(Config!$I$5:$I$16,MATCH(G2965,Config!$H$5:$H$16,0)),0))</f>
        <v/>
      </c>
      <c r="Q2965" s="30">
        <f>IF(OR(H2965&lt;&gt;"Realizado",P2965="",P2965=0),"",A2965+P2965)</f>
        <v/>
      </c>
      <c r="R2965" s="26">
        <f>IF(Q2965="","",IF(COUNTIFS($E$5:$E$3004,E2965,$A$5:$A$3004,"&gt;"&amp;A2965,$H$5:$H$3004,"&lt;&gt;Falta",$H$5:$H$3004,"&lt;&gt;Cancelado",$H$5:$H$3004,"&lt;&gt;Remarcado")&gt;0,"Sim","Não"))</f>
        <v/>
      </c>
      <c r="S2965" s="32">
        <f>IF(R2965&lt;&gt;"Não","",IF(Q2965+Config!$B$9&lt;=Config!$B$8,Config!$B$8-Q2965,""))</f>
        <v/>
      </c>
      <c r="T2965" s="26">
        <f>IF(S2965="","","Sim")</f>
        <v/>
      </c>
      <c r="U2965" s="41">
        <f>IF(T2965="Sim",S2965+ROW()/100000,0)</f>
        <v>0</v>
      </c>
      <c r="V2965" s="41">
        <f>IF(AND(H2965="Falta",L2965=Config!$B$7,M2965=Config!$B$5,COUNTIFS($E$5:E2965,E2965,$H$5:H2965,"Falta",$L$5:L2965,Config!$B$7,$M$5:M2965,Config!$B$5)=1),COUNTIFS($E$5:$E$3004,E2965,$H$5:$H$3004,"Falta",$L$5:$L$3004,Config!$B$7,$M$5:$M$3004,Config!$B$5)*1000-ROW()/100000,0)</f>
        <v>0</v>
      </c>
    </row>
    <row r="2966">
      <c r="A2966" s="39" t="n"/>
      <c r="B2966" s="40" t="n"/>
      <c r="C2966" s="35" t="n"/>
      <c r="D2966" s="35" t="n"/>
      <c r="E2966" s="34" t="n"/>
      <c r="F2966" s="35" t="n"/>
      <c r="G2966" s="35" t="n"/>
      <c r="H2966" s="35" t="n"/>
      <c r="I2966" s="35" t="n"/>
      <c r="J2966" s="35" t="n"/>
      <c r="K2966" s="34" t="n"/>
      <c r="L2966" s="26">
        <f>IF(A2966="","",MONTH(A2966))</f>
        <v/>
      </c>
      <c r="M2966" s="26">
        <f>IF(A2966="","",YEAR(A2966))</f>
        <v/>
      </c>
      <c r="N2966" s="26">
        <f>IF(A2966="","",CHOOSE(WEEKDAY(A2966,2),"Segunda","Terça","Quarta","Quinta","Sexta","Sábado","Domingo"))</f>
        <v/>
      </c>
      <c r="O2966" s="26">
        <f>IF(B2966="","",IF(B2966&lt;TIME(12,0,0),"Manhã",IF(B2966&lt;TIME(18,0,0),"Tarde","Noite")))</f>
        <v/>
      </c>
      <c r="P2966" s="32">
        <f>IF(G2966="","",IFERROR(INDEX(Config!$I$5:$I$16,MATCH(G2966,Config!$H$5:$H$16,0)),0))</f>
        <v/>
      </c>
      <c r="Q2966" s="30">
        <f>IF(OR(H2966&lt;&gt;"Realizado",P2966="",P2966=0),"",A2966+P2966)</f>
        <v/>
      </c>
      <c r="R2966" s="26">
        <f>IF(Q2966="","",IF(COUNTIFS($E$5:$E$3004,E2966,$A$5:$A$3004,"&gt;"&amp;A2966,$H$5:$H$3004,"&lt;&gt;Falta",$H$5:$H$3004,"&lt;&gt;Cancelado",$H$5:$H$3004,"&lt;&gt;Remarcado")&gt;0,"Sim","Não"))</f>
        <v/>
      </c>
      <c r="S2966" s="32">
        <f>IF(R2966&lt;&gt;"Não","",IF(Q2966+Config!$B$9&lt;=Config!$B$8,Config!$B$8-Q2966,""))</f>
        <v/>
      </c>
      <c r="T2966" s="26">
        <f>IF(S2966="","","Sim")</f>
        <v/>
      </c>
      <c r="U2966" s="41">
        <f>IF(T2966="Sim",S2966+ROW()/100000,0)</f>
        <v>0</v>
      </c>
      <c r="V2966" s="41">
        <f>IF(AND(H2966="Falta",L2966=Config!$B$7,M2966=Config!$B$5,COUNTIFS($E$5:E2966,E2966,$H$5:H2966,"Falta",$L$5:L2966,Config!$B$7,$M$5:M2966,Config!$B$5)=1),COUNTIFS($E$5:$E$3004,E2966,$H$5:$H$3004,"Falta",$L$5:$L$3004,Config!$B$7,$M$5:$M$3004,Config!$B$5)*1000-ROW()/100000,0)</f>
        <v>0</v>
      </c>
    </row>
    <row r="2967">
      <c r="A2967" s="39" t="n"/>
      <c r="B2967" s="40" t="n"/>
      <c r="C2967" s="35" t="n"/>
      <c r="D2967" s="35" t="n"/>
      <c r="E2967" s="34" t="n"/>
      <c r="F2967" s="35" t="n"/>
      <c r="G2967" s="35" t="n"/>
      <c r="H2967" s="35" t="n"/>
      <c r="I2967" s="35" t="n"/>
      <c r="J2967" s="35" t="n"/>
      <c r="K2967" s="34" t="n"/>
      <c r="L2967" s="26">
        <f>IF(A2967="","",MONTH(A2967))</f>
        <v/>
      </c>
      <c r="M2967" s="26">
        <f>IF(A2967="","",YEAR(A2967))</f>
        <v/>
      </c>
      <c r="N2967" s="26">
        <f>IF(A2967="","",CHOOSE(WEEKDAY(A2967,2),"Segunda","Terça","Quarta","Quinta","Sexta","Sábado","Domingo"))</f>
        <v/>
      </c>
      <c r="O2967" s="26">
        <f>IF(B2967="","",IF(B2967&lt;TIME(12,0,0),"Manhã",IF(B2967&lt;TIME(18,0,0),"Tarde","Noite")))</f>
        <v/>
      </c>
      <c r="P2967" s="32">
        <f>IF(G2967="","",IFERROR(INDEX(Config!$I$5:$I$16,MATCH(G2967,Config!$H$5:$H$16,0)),0))</f>
        <v/>
      </c>
      <c r="Q2967" s="30">
        <f>IF(OR(H2967&lt;&gt;"Realizado",P2967="",P2967=0),"",A2967+P2967)</f>
        <v/>
      </c>
      <c r="R2967" s="26">
        <f>IF(Q2967="","",IF(COUNTIFS($E$5:$E$3004,E2967,$A$5:$A$3004,"&gt;"&amp;A2967,$H$5:$H$3004,"&lt;&gt;Falta",$H$5:$H$3004,"&lt;&gt;Cancelado",$H$5:$H$3004,"&lt;&gt;Remarcado")&gt;0,"Sim","Não"))</f>
        <v/>
      </c>
      <c r="S2967" s="32">
        <f>IF(R2967&lt;&gt;"Não","",IF(Q2967+Config!$B$9&lt;=Config!$B$8,Config!$B$8-Q2967,""))</f>
        <v/>
      </c>
      <c r="T2967" s="26">
        <f>IF(S2967="","","Sim")</f>
        <v/>
      </c>
      <c r="U2967" s="41">
        <f>IF(T2967="Sim",S2967+ROW()/100000,0)</f>
        <v>0</v>
      </c>
      <c r="V2967" s="41">
        <f>IF(AND(H2967="Falta",L2967=Config!$B$7,M2967=Config!$B$5,COUNTIFS($E$5:E2967,E2967,$H$5:H2967,"Falta",$L$5:L2967,Config!$B$7,$M$5:M2967,Config!$B$5)=1),COUNTIFS($E$5:$E$3004,E2967,$H$5:$H$3004,"Falta",$L$5:$L$3004,Config!$B$7,$M$5:$M$3004,Config!$B$5)*1000-ROW()/100000,0)</f>
        <v>0</v>
      </c>
    </row>
    <row r="2968">
      <c r="A2968" s="39" t="n"/>
      <c r="B2968" s="40" t="n"/>
      <c r="C2968" s="35" t="n"/>
      <c r="D2968" s="35" t="n"/>
      <c r="E2968" s="34" t="n"/>
      <c r="F2968" s="35" t="n"/>
      <c r="G2968" s="35" t="n"/>
      <c r="H2968" s="35" t="n"/>
      <c r="I2968" s="35" t="n"/>
      <c r="J2968" s="35" t="n"/>
      <c r="K2968" s="34" t="n"/>
      <c r="L2968" s="26">
        <f>IF(A2968="","",MONTH(A2968))</f>
        <v/>
      </c>
      <c r="M2968" s="26">
        <f>IF(A2968="","",YEAR(A2968))</f>
        <v/>
      </c>
      <c r="N2968" s="26">
        <f>IF(A2968="","",CHOOSE(WEEKDAY(A2968,2),"Segunda","Terça","Quarta","Quinta","Sexta","Sábado","Domingo"))</f>
        <v/>
      </c>
      <c r="O2968" s="26">
        <f>IF(B2968="","",IF(B2968&lt;TIME(12,0,0),"Manhã",IF(B2968&lt;TIME(18,0,0),"Tarde","Noite")))</f>
        <v/>
      </c>
      <c r="P2968" s="32">
        <f>IF(G2968="","",IFERROR(INDEX(Config!$I$5:$I$16,MATCH(G2968,Config!$H$5:$H$16,0)),0))</f>
        <v/>
      </c>
      <c r="Q2968" s="30">
        <f>IF(OR(H2968&lt;&gt;"Realizado",P2968="",P2968=0),"",A2968+P2968)</f>
        <v/>
      </c>
      <c r="R2968" s="26">
        <f>IF(Q2968="","",IF(COUNTIFS($E$5:$E$3004,E2968,$A$5:$A$3004,"&gt;"&amp;A2968,$H$5:$H$3004,"&lt;&gt;Falta",$H$5:$H$3004,"&lt;&gt;Cancelado",$H$5:$H$3004,"&lt;&gt;Remarcado")&gt;0,"Sim","Não"))</f>
        <v/>
      </c>
      <c r="S2968" s="32">
        <f>IF(R2968&lt;&gt;"Não","",IF(Q2968+Config!$B$9&lt;=Config!$B$8,Config!$B$8-Q2968,""))</f>
        <v/>
      </c>
      <c r="T2968" s="26">
        <f>IF(S2968="","","Sim")</f>
        <v/>
      </c>
      <c r="U2968" s="41">
        <f>IF(T2968="Sim",S2968+ROW()/100000,0)</f>
        <v>0</v>
      </c>
      <c r="V2968" s="41">
        <f>IF(AND(H2968="Falta",L2968=Config!$B$7,M2968=Config!$B$5,COUNTIFS($E$5:E2968,E2968,$H$5:H2968,"Falta",$L$5:L2968,Config!$B$7,$M$5:M2968,Config!$B$5)=1),COUNTIFS($E$5:$E$3004,E2968,$H$5:$H$3004,"Falta",$L$5:$L$3004,Config!$B$7,$M$5:$M$3004,Config!$B$5)*1000-ROW()/100000,0)</f>
        <v>0</v>
      </c>
    </row>
    <row r="2969">
      <c r="A2969" s="39" t="n"/>
      <c r="B2969" s="40" t="n"/>
      <c r="C2969" s="35" t="n"/>
      <c r="D2969" s="35" t="n"/>
      <c r="E2969" s="34" t="n"/>
      <c r="F2969" s="35" t="n"/>
      <c r="G2969" s="35" t="n"/>
      <c r="H2969" s="35" t="n"/>
      <c r="I2969" s="35" t="n"/>
      <c r="J2969" s="35" t="n"/>
      <c r="K2969" s="34" t="n"/>
      <c r="L2969" s="26">
        <f>IF(A2969="","",MONTH(A2969))</f>
        <v/>
      </c>
      <c r="M2969" s="26">
        <f>IF(A2969="","",YEAR(A2969))</f>
        <v/>
      </c>
      <c r="N2969" s="26">
        <f>IF(A2969="","",CHOOSE(WEEKDAY(A2969,2),"Segunda","Terça","Quarta","Quinta","Sexta","Sábado","Domingo"))</f>
        <v/>
      </c>
      <c r="O2969" s="26">
        <f>IF(B2969="","",IF(B2969&lt;TIME(12,0,0),"Manhã",IF(B2969&lt;TIME(18,0,0),"Tarde","Noite")))</f>
        <v/>
      </c>
      <c r="P2969" s="32">
        <f>IF(G2969="","",IFERROR(INDEX(Config!$I$5:$I$16,MATCH(G2969,Config!$H$5:$H$16,0)),0))</f>
        <v/>
      </c>
      <c r="Q2969" s="30">
        <f>IF(OR(H2969&lt;&gt;"Realizado",P2969="",P2969=0),"",A2969+P2969)</f>
        <v/>
      </c>
      <c r="R2969" s="26">
        <f>IF(Q2969="","",IF(COUNTIFS($E$5:$E$3004,E2969,$A$5:$A$3004,"&gt;"&amp;A2969,$H$5:$H$3004,"&lt;&gt;Falta",$H$5:$H$3004,"&lt;&gt;Cancelado",$H$5:$H$3004,"&lt;&gt;Remarcado")&gt;0,"Sim","Não"))</f>
        <v/>
      </c>
      <c r="S2969" s="32">
        <f>IF(R2969&lt;&gt;"Não","",IF(Q2969+Config!$B$9&lt;=Config!$B$8,Config!$B$8-Q2969,""))</f>
        <v/>
      </c>
      <c r="T2969" s="26">
        <f>IF(S2969="","","Sim")</f>
        <v/>
      </c>
      <c r="U2969" s="41">
        <f>IF(T2969="Sim",S2969+ROW()/100000,0)</f>
        <v>0</v>
      </c>
      <c r="V2969" s="41">
        <f>IF(AND(H2969="Falta",L2969=Config!$B$7,M2969=Config!$B$5,COUNTIFS($E$5:E2969,E2969,$H$5:H2969,"Falta",$L$5:L2969,Config!$B$7,$M$5:M2969,Config!$B$5)=1),COUNTIFS($E$5:$E$3004,E2969,$H$5:$H$3004,"Falta",$L$5:$L$3004,Config!$B$7,$M$5:$M$3004,Config!$B$5)*1000-ROW()/100000,0)</f>
        <v>0</v>
      </c>
    </row>
    <row r="2970">
      <c r="A2970" s="39" t="n"/>
      <c r="B2970" s="40" t="n"/>
      <c r="C2970" s="35" t="n"/>
      <c r="D2970" s="35" t="n"/>
      <c r="E2970" s="34" t="n"/>
      <c r="F2970" s="35" t="n"/>
      <c r="G2970" s="35" t="n"/>
      <c r="H2970" s="35" t="n"/>
      <c r="I2970" s="35" t="n"/>
      <c r="J2970" s="35" t="n"/>
      <c r="K2970" s="34" t="n"/>
      <c r="L2970" s="26">
        <f>IF(A2970="","",MONTH(A2970))</f>
        <v/>
      </c>
      <c r="M2970" s="26">
        <f>IF(A2970="","",YEAR(A2970))</f>
        <v/>
      </c>
      <c r="N2970" s="26">
        <f>IF(A2970="","",CHOOSE(WEEKDAY(A2970,2),"Segunda","Terça","Quarta","Quinta","Sexta","Sábado","Domingo"))</f>
        <v/>
      </c>
      <c r="O2970" s="26">
        <f>IF(B2970="","",IF(B2970&lt;TIME(12,0,0),"Manhã",IF(B2970&lt;TIME(18,0,0),"Tarde","Noite")))</f>
        <v/>
      </c>
      <c r="P2970" s="32">
        <f>IF(G2970="","",IFERROR(INDEX(Config!$I$5:$I$16,MATCH(G2970,Config!$H$5:$H$16,0)),0))</f>
        <v/>
      </c>
      <c r="Q2970" s="30">
        <f>IF(OR(H2970&lt;&gt;"Realizado",P2970="",P2970=0),"",A2970+P2970)</f>
        <v/>
      </c>
      <c r="R2970" s="26">
        <f>IF(Q2970="","",IF(COUNTIFS($E$5:$E$3004,E2970,$A$5:$A$3004,"&gt;"&amp;A2970,$H$5:$H$3004,"&lt;&gt;Falta",$H$5:$H$3004,"&lt;&gt;Cancelado",$H$5:$H$3004,"&lt;&gt;Remarcado")&gt;0,"Sim","Não"))</f>
        <v/>
      </c>
      <c r="S2970" s="32">
        <f>IF(R2970&lt;&gt;"Não","",IF(Q2970+Config!$B$9&lt;=Config!$B$8,Config!$B$8-Q2970,""))</f>
        <v/>
      </c>
      <c r="T2970" s="26">
        <f>IF(S2970="","","Sim")</f>
        <v/>
      </c>
      <c r="U2970" s="41">
        <f>IF(T2970="Sim",S2970+ROW()/100000,0)</f>
        <v>0</v>
      </c>
      <c r="V2970" s="41">
        <f>IF(AND(H2970="Falta",L2970=Config!$B$7,M2970=Config!$B$5,COUNTIFS($E$5:E2970,E2970,$H$5:H2970,"Falta",$L$5:L2970,Config!$B$7,$M$5:M2970,Config!$B$5)=1),COUNTIFS($E$5:$E$3004,E2970,$H$5:$H$3004,"Falta",$L$5:$L$3004,Config!$B$7,$M$5:$M$3004,Config!$B$5)*1000-ROW()/100000,0)</f>
        <v>0</v>
      </c>
    </row>
    <row r="2971">
      <c r="A2971" s="39" t="n"/>
      <c r="B2971" s="40" t="n"/>
      <c r="C2971" s="35" t="n"/>
      <c r="D2971" s="35" t="n"/>
      <c r="E2971" s="34" t="n"/>
      <c r="F2971" s="35" t="n"/>
      <c r="G2971" s="35" t="n"/>
      <c r="H2971" s="35" t="n"/>
      <c r="I2971" s="35" t="n"/>
      <c r="J2971" s="35" t="n"/>
      <c r="K2971" s="34" t="n"/>
      <c r="L2971" s="26">
        <f>IF(A2971="","",MONTH(A2971))</f>
        <v/>
      </c>
      <c r="M2971" s="26">
        <f>IF(A2971="","",YEAR(A2971))</f>
        <v/>
      </c>
      <c r="N2971" s="26">
        <f>IF(A2971="","",CHOOSE(WEEKDAY(A2971,2),"Segunda","Terça","Quarta","Quinta","Sexta","Sábado","Domingo"))</f>
        <v/>
      </c>
      <c r="O2971" s="26">
        <f>IF(B2971="","",IF(B2971&lt;TIME(12,0,0),"Manhã",IF(B2971&lt;TIME(18,0,0),"Tarde","Noite")))</f>
        <v/>
      </c>
      <c r="P2971" s="32">
        <f>IF(G2971="","",IFERROR(INDEX(Config!$I$5:$I$16,MATCH(G2971,Config!$H$5:$H$16,0)),0))</f>
        <v/>
      </c>
      <c r="Q2971" s="30">
        <f>IF(OR(H2971&lt;&gt;"Realizado",P2971="",P2971=0),"",A2971+P2971)</f>
        <v/>
      </c>
      <c r="R2971" s="26">
        <f>IF(Q2971="","",IF(COUNTIFS($E$5:$E$3004,E2971,$A$5:$A$3004,"&gt;"&amp;A2971,$H$5:$H$3004,"&lt;&gt;Falta",$H$5:$H$3004,"&lt;&gt;Cancelado",$H$5:$H$3004,"&lt;&gt;Remarcado")&gt;0,"Sim","Não"))</f>
        <v/>
      </c>
      <c r="S2971" s="32">
        <f>IF(R2971&lt;&gt;"Não","",IF(Q2971+Config!$B$9&lt;=Config!$B$8,Config!$B$8-Q2971,""))</f>
        <v/>
      </c>
      <c r="T2971" s="26">
        <f>IF(S2971="","","Sim")</f>
        <v/>
      </c>
      <c r="U2971" s="41">
        <f>IF(T2971="Sim",S2971+ROW()/100000,0)</f>
        <v>0</v>
      </c>
      <c r="V2971" s="41">
        <f>IF(AND(H2971="Falta",L2971=Config!$B$7,M2971=Config!$B$5,COUNTIFS($E$5:E2971,E2971,$H$5:H2971,"Falta",$L$5:L2971,Config!$B$7,$M$5:M2971,Config!$B$5)=1),COUNTIFS($E$5:$E$3004,E2971,$H$5:$H$3004,"Falta",$L$5:$L$3004,Config!$B$7,$M$5:$M$3004,Config!$B$5)*1000-ROW()/100000,0)</f>
        <v>0</v>
      </c>
    </row>
    <row r="2972">
      <c r="A2972" s="39" t="n"/>
      <c r="B2972" s="40" t="n"/>
      <c r="C2972" s="35" t="n"/>
      <c r="D2972" s="35" t="n"/>
      <c r="E2972" s="34" t="n"/>
      <c r="F2972" s="35" t="n"/>
      <c r="G2972" s="35" t="n"/>
      <c r="H2972" s="35" t="n"/>
      <c r="I2972" s="35" t="n"/>
      <c r="J2972" s="35" t="n"/>
      <c r="K2972" s="34" t="n"/>
      <c r="L2972" s="26">
        <f>IF(A2972="","",MONTH(A2972))</f>
        <v/>
      </c>
      <c r="M2972" s="26">
        <f>IF(A2972="","",YEAR(A2972))</f>
        <v/>
      </c>
      <c r="N2972" s="26">
        <f>IF(A2972="","",CHOOSE(WEEKDAY(A2972,2),"Segunda","Terça","Quarta","Quinta","Sexta","Sábado","Domingo"))</f>
        <v/>
      </c>
      <c r="O2972" s="26">
        <f>IF(B2972="","",IF(B2972&lt;TIME(12,0,0),"Manhã",IF(B2972&lt;TIME(18,0,0),"Tarde","Noite")))</f>
        <v/>
      </c>
      <c r="P2972" s="32">
        <f>IF(G2972="","",IFERROR(INDEX(Config!$I$5:$I$16,MATCH(G2972,Config!$H$5:$H$16,0)),0))</f>
        <v/>
      </c>
      <c r="Q2972" s="30">
        <f>IF(OR(H2972&lt;&gt;"Realizado",P2972="",P2972=0),"",A2972+P2972)</f>
        <v/>
      </c>
      <c r="R2972" s="26">
        <f>IF(Q2972="","",IF(COUNTIFS($E$5:$E$3004,E2972,$A$5:$A$3004,"&gt;"&amp;A2972,$H$5:$H$3004,"&lt;&gt;Falta",$H$5:$H$3004,"&lt;&gt;Cancelado",$H$5:$H$3004,"&lt;&gt;Remarcado")&gt;0,"Sim","Não"))</f>
        <v/>
      </c>
      <c r="S2972" s="32">
        <f>IF(R2972&lt;&gt;"Não","",IF(Q2972+Config!$B$9&lt;=Config!$B$8,Config!$B$8-Q2972,""))</f>
        <v/>
      </c>
      <c r="T2972" s="26">
        <f>IF(S2972="","","Sim")</f>
        <v/>
      </c>
      <c r="U2972" s="41">
        <f>IF(T2972="Sim",S2972+ROW()/100000,0)</f>
        <v>0</v>
      </c>
      <c r="V2972" s="41">
        <f>IF(AND(H2972="Falta",L2972=Config!$B$7,M2972=Config!$B$5,COUNTIFS($E$5:E2972,E2972,$H$5:H2972,"Falta",$L$5:L2972,Config!$B$7,$M$5:M2972,Config!$B$5)=1),COUNTIFS($E$5:$E$3004,E2972,$H$5:$H$3004,"Falta",$L$5:$L$3004,Config!$B$7,$M$5:$M$3004,Config!$B$5)*1000-ROW()/100000,0)</f>
        <v>0</v>
      </c>
    </row>
    <row r="2973">
      <c r="A2973" s="39" t="n"/>
      <c r="B2973" s="40" t="n"/>
      <c r="C2973" s="35" t="n"/>
      <c r="D2973" s="35" t="n"/>
      <c r="E2973" s="34" t="n"/>
      <c r="F2973" s="35" t="n"/>
      <c r="G2973" s="35" t="n"/>
      <c r="H2973" s="35" t="n"/>
      <c r="I2973" s="35" t="n"/>
      <c r="J2973" s="35" t="n"/>
      <c r="K2973" s="34" t="n"/>
      <c r="L2973" s="26">
        <f>IF(A2973="","",MONTH(A2973))</f>
        <v/>
      </c>
      <c r="M2973" s="26">
        <f>IF(A2973="","",YEAR(A2973))</f>
        <v/>
      </c>
      <c r="N2973" s="26">
        <f>IF(A2973="","",CHOOSE(WEEKDAY(A2973,2),"Segunda","Terça","Quarta","Quinta","Sexta","Sábado","Domingo"))</f>
        <v/>
      </c>
      <c r="O2973" s="26">
        <f>IF(B2973="","",IF(B2973&lt;TIME(12,0,0),"Manhã",IF(B2973&lt;TIME(18,0,0),"Tarde","Noite")))</f>
        <v/>
      </c>
      <c r="P2973" s="32">
        <f>IF(G2973="","",IFERROR(INDEX(Config!$I$5:$I$16,MATCH(G2973,Config!$H$5:$H$16,0)),0))</f>
        <v/>
      </c>
      <c r="Q2973" s="30">
        <f>IF(OR(H2973&lt;&gt;"Realizado",P2973="",P2973=0),"",A2973+P2973)</f>
        <v/>
      </c>
      <c r="R2973" s="26">
        <f>IF(Q2973="","",IF(COUNTIFS($E$5:$E$3004,E2973,$A$5:$A$3004,"&gt;"&amp;A2973,$H$5:$H$3004,"&lt;&gt;Falta",$H$5:$H$3004,"&lt;&gt;Cancelado",$H$5:$H$3004,"&lt;&gt;Remarcado")&gt;0,"Sim","Não"))</f>
        <v/>
      </c>
      <c r="S2973" s="32">
        <f>IF(R2973&lt;&gt;"Não","",IF(Q2973+Config!$B$9&lt;=Config!$B$8,Config!$B$8-Q2973,""))</f>
        <v/>
      </c>
      <c r="T2973" s="26">
        <f>IF(S2973="","","Sim")</f>
        <v/>
      </c>
      <c r="U2973" s="41">
        <f>IF(T2973="Sim",S2973+ROW()/100000,0)</f>
        <v>0</v>
      </c>
      <c r="V2973" s="41">
        <f>IF(AND(H2973="Falta",L2973=Config!$B$7,M2973=Config!$B$5,COUNTIFS($E$5:E2973,E2973,$H$5:H2973,"Falta",$L$5:L2973,Config!$B$7,$M$5:M2973,Config!$B$5)=1),COUNTIFS($E$5:$E$3004,E2973,$H$5:$H$3004,"Falta",$L$5:$L$3004,Config!$B$7,$M$5:$M$3004,Config!$B$5)*1000-ROW()/100000,0)</f>
        <v>0</v>
      </c>
    </row>
    <row r="2974">
      <c r="A2974" s="39" t="n"/>
      <c r="B2974" s="40" t="n"/>
      <c r="C2974" s="35" t="n"/>
      <c r="D2974" s="35" t="n"/>
      <c r="E2974" s="34" t="n"/>
      <c r="F2974" s="35" t="n"/>
      <c r="G2974" s="35" t="n"/>
      <c r="H2974" s="35" t="n"/>
      <c r="I2974" s="35" t="n"/>
      <c r="J2974" s="35" t="n"/>
      <c r="K2974" s="34" t="n"/>
      <c r="L2974" s="26">
        <f>IF(A2974="","",MONTH(A2974))</f>
        <v/>
      </c>
      <c r="M2974" s="26">
        <f>IF(A2974="","",YEAR(A2974))</f>
        <v/>
      </c>
      <c r="N2974" s="26">
        <f>IF(A2974="","",CHOOSE(WEEKDAY(A2974,2),"Segunda","Terça","Quarta","Quinta","Sexta","Sábado","Domingo"))</f>
        <v/>
      </c>
      <c r="O2974" s="26">
        <f>IF(B2974="","",IF(B2974&lt;TIME(12,0,0),"Manhã",IF(B2974&lt;TIME(18,0,0),"Tarde","Noite")))</f>
        <v/>
      </c>
      <c r="P2974" s="32">
        <f>IF(G2974="","",IFERROR(INDEX(Config!$I$5:$I$16,MATCH(G2974,Config!$H$5:$H$16,0)),0))</f>
        <v/>
      </c>
      <c r="Q2974" s="30">
        <f>IF(OR(H2974&lt;&gt;"Realizado",P2974="",P2974=0),"",A2974+P2974)</f>
        <v/>
      </c>
      <c r="R2974" s="26">
        <f>IF(Q2974="","",IF(COUNTIFS($E$5:$E$3004,E2974,$A$5:$A$3004,"&gt;"&amp;A2974,$H$5:$H$3004,"&lt;&gt;Falta",$H$5:$H$3004,"&lt;&gt;Cancelado",$H$5:$H$3004,"&lt;&gt;Remarcado")&gt;0,"Sim","Não"))</f>
        <v/>
      </c>
      <c r="S2974" s="32">
        <f>IF(R2974&lt;&gt;"Não","",IF(Q2974+Config!$B$9&lt;=Config!$B$8,Config!$B$8-Q2974,""))</f>
        <v/>
      </c>
      <c r="T2974" s="26">
        <f>IF(S2974="","","Sim")</f>
        <v/>
      </c>
      <c r="U2974" s="41">
        <f>IF(T2974="Sim",S2974+ROW()/100000,0)</f>
        <v>0</v>
      </c>
      <c r="V2974" s="41">
        <f>IF(AND(H2974="Falta",L2974=Config!$B$7,M2974=Config!$B$5,COUNTIFS($E$5:E2974,E2974,$H$5:H2974,"Falta",$L$5:L2974,Config!$B$7,$M$5:M2974,Config!$B$5)=1),COUNTIFS($E$5:$E$3004,E2974,$H$5:$H$3004,"Falta",$L$5:$L$3004,Config!$B$7,$M$5:$M$3004,Config!$B$5)*1000-ROW()/100000,0)</f>
        <v>0</v>
      </c>
    </row>
    <row r="2975">
      <c r="A2975" s="39" t="n"/>
      <c r="B2975" s="40" t="n"/>
      <c r="C2975" s="35" t="n"/>
      <c r="D2975" s="35" t="n"/>
      <c r="E2975" s="34" t="n"/>
      <c r="F2975" s="35" t="n"/>
      <c r="G2975" s="35" t="n"/>
      <c r="H2975" s="35" t="n"/>
      <c r="I2975" s="35" t="n"/>
      <c r="J2975" s="35" t="n"/>
      <c r="K2975" s="34" t="n"/>
      <c r="L2975" s="26">
        <f>IF(A2975="","",MONTH(A2975))</f>
        <v/>
      </c>
      <c r="M2975" s="26">
        <f>IF(A2975="","",YEAR(A2975))</f>
        <v/>
      </c>
      <c r="N2975" s="26">
        <f>IF(A2975="","",CHOOSE(WEEKDAY(A2975,2),"Segunda","Terça","Quarta","Quinta","Sexta","Sábado","Domingo"))</f>
        <v/>
      </c>
      <c r="O2975" s="26">
        <f>IF(B2975="","",IF(B2975&lt;TIME(12,0,0),"Manhã",IF(B2975&lt;TIME(18,0,0),"Tarde","Noite")))</f>
        <v/>
      </c>
      <c r="P2975" s="32">
        <f>IF(G2975="","",IFERROR(INDEX(Config!$I$5:$I$16,MATCH(G2975,Config!$H$5:$H$16,0)),0))</f>
        <v/>
      </c>
      <c r="Q2975" s="30">
        <f>IF(OR(H2975&lt;&gt;"Realizado",P2975="",P2975=0),"",A2975+P2975)</f>
        <v/>
      </c>
      <c r="R2975" s="26">
        <f>IF(Q2975="","",IF(COUNTIFS($E$5:$E$3004,E2975,$A$5:$A$3004,"&gt;"&amp;A2975,$H$5:$H$3004,"&lt;&gt;Falta",$H$5:$H$3004,"&lt;&gt;Cancelado",$H$5:$H$3004,"&lt;&gt;Remarcado")&gt;0,"Sim","Não"))</f>
        <v/>
      </c>
      <c r="S2975" s="32">
        <f>IF(R2975&lt;&gt;"Não","",IF(Q2975+Config!$B$9&lt;=Config!$B$8,Config!$B$8-Q2975,""))</f>
        <v/>
      </c>
      <c r="T2975" s="26">
        <f>IF(S2975="","","Sim")</f>
        <v/>
      </c>
      <c r="U2975" s="41">
        <f>IF(T2975="Sim",S2975+ROW()/100000,0)</f>
        <v>0</v>
      </c>
      <c r="V2975" s="41">
        <f>IF(AND(H2975="Falta",L2975=Config!$B$7,M2975=Config!$B$5,COUNTIFS($E$5:E2975,E2975,$H$5:H2975,"Falta",$L$5:L2975,Config!$B$7,$M$5:M2975,Config!$B$5)=1),COUNTIFS($E$5:$E$3004,E2975,$H$5:$H$3004,"Falta",$L$5:$L$3004,Config!$B$7,$M$5:$M$3004,Config!$B$5)*1000-ROW()/100000,0)</f>
        <v>0</v>
      </c>
    </row>
    <row r="2976">
      <c r="A2976" s="39" t="n"/>
      <c r="B2976" s="40" t="n"/>
      <c r="C2976" s="35" t="n"/>
      <c r="D2976" s="35" t="n"/>
      <c r="E2976" s="34" t="n"/>
      <c r="F2976" s="35" t="n"/>
      <c r="G2976" s="35" t="n"/>
      <c r="H2976" s="35" t="n"/>
      <c r="I2976" s="35" t="n"/>
      <c r="J2976" s="35" t="n"/>
      <c r="K2976" s="34" t="n"/>
      <c r="L2976" s="26">
        <f>IF(A2976="","",MONTH(A2976))</f>
        <v/>
      </c>
      <c r="M2976" s="26">
        <f>IF(A2976="","",YEAR(A2976))</f>
        <v/>
      </c>
      <c r="N2976" s="26">
        <f>IF(A2976="","",CHOOSE(WEEKDAY(A2976,2),"Segunda","Terça","Quarta","Quinta","Sexta","Sábado","Domingo"))</f>
        <v/>
      </c>
      <c r="O2976" s="26">
        <f>IF(B2976="","",IF(B2976&lt;TIME(12,0,0),"Manhã",IF(B2976&lt;TIME(18,0,0),"Tarde","Noite")))</f>
        <v/>
      </c>
      <c r="P2976" s="32">
        <f>IF(G2976="","",IFERROR(INDEX(Config!$I$5:$I$16,MATCH(G2976,Config!$H$5:$H$16,0)),0))</f>
        <v/>
      </c>
      <c r="Q2976" s="30">
        <f>IF(OR(H2976&lt;&gt;"Realizado",P2976="",P2976=0),"",A2976+P2976)</f>
        <v/>
      </c>
      <c r="R2976" s="26">
        <f>IF(Q2976="","",IF(COUNTIFS($E$5:$E$3004,E2976,$A$5:$A$3004,"&gt;"&amp;A2976,$H$5:$H$3004,"&lt;&gt;Falta",$H$5:$H$3004,"&lt;&gt;Cancelado",$H$5:$H$3004,"&lt;&gt;Remarcado")&gt;0,"Sim","Não"))</f>
        <v/>
      </c>
      <c r="S2976" s="32">
        <f>IF(R2976&lt;&gt;"Não","",IF(Q2976+Config!$B$9&lt;=Config!$B$8,Config!$B$8-Q2976,""))</f>
        <v/>
      </c>
      <c r="T2976" s="26">
        <f>IF(S2976="","","Sim")</f>
        <v/>
      </c>
      <c r="U2976" s="41">
        <f>IF(T2976="Sim",S2976+ROW()/100000,0)</f>
        <v>0</v>
      </c>
      <c r="V2976" s="41">
        <f>IF(AND(H2976="Falta",L2976=Config!$B$7,M2976=Config!$B$5,COUNTIFS($E$5:E2976,E2976,$H$5:H2976,"Falta",$L$5:L2976,Config!$B$7,$M$5:M2976,Config!$B$5)=1),COUNTIFS($E$5:$E$3004,E2976,$H$5:$H$3004,"Falta",$L$5:$L$3004,Config!$B$7,$M$5:$M$3004,Config!$B$5)*1000-ROW()/100000,0)</f>
        <v>0</v>
      </c>
    </row>
    <row r="2977">
      <c r="A2977" s="39" t="n"/>
      <c r="B2977" s="40" t="n"/>
      <c r="C2977" s="35" t="n"/>
      <c r="D2977" s="35" t="n"/>
      <c r="E2977" s="34" t="n"/>
      <c r="F2977" s="35" t="n"/>
      <c r="G2977" s="35" t="n"/>
      <c r="H2977" s="35" t="n"/>
      <c r="I2977" s="35" t="n"/>
      <c r="J2977" s="35" t="n"/>
      <c r="K2977" s="34" t="n"/>
      <c r="L2977" s="26">
        <f>IF(A2977="","",MONTH(A2977))</f>
        <v/>
      </c>
      <c r="M2977" s="26">
        <f>IF(A2977="","",YEAR(A2977))</f>
        <v/>
      </c>
      <c r="N2977" s="26">
        <f>IF(A2977="","",CHOOSE(WEEKDAY(A2977,2),"Segunda","Terça","Quarta","Quinta","Sexta","Sábado","Domingo"))</f>
        <v/>
      </c>
      <c r="O2977" s="26">
        <f>IF(B2977="","",IF(B2977&lt;TIME(12,0,0),"Manhã",IF(B2977&lt;TIME(18,0,0),"Tarde","Noite")))</f>
        <v/>
      </c>
      <c r="P2977" s="32">
        <f>IF(G2977="","",IFERROR(INDEX(Config!$I$5:$I$16,MATCH(G2977,Config!$H$5:$H$16,0)),0))</f>
        <v/>
      </c>
      <c r="Q2977" s="30">
        <f>IF(OR(H2977&lt;&gt;"Realizado",P2977="",P2977=0),"",A2977+P2977)</f>
        <v/>
      </c>
      <c r="R2977" s="26">
        <f>IF(Q2977="","",IF(COUNTIFS($E$5:$E$3004,E2977,$A$5:$A$3004,"&gt;"&amp;A2977,$H$5:$H$3004,"&lt;&gt;Falta",$H$5:$H$3004,"&lt;&gt;Cancelado",$H$5:$H$3004,"&lt;&gt;Remarcado")&gt;0,"Sim","Não"))</f>
        <v/>
      </c>
      <c r="S2977" s="32">
        <f>IF(R2977&lt;&gt;"Não","",IF(Q2977+Config!$B$9&lt;=Config!$B$8,Config!$B$8-Q2977,""))</f>
        <v/>
      </c>
      <c r="T2977" s="26">
        <f>IF(S2977="","","Sim")</f>
        <v/>
      </c>
      <c r="U2977" s="41">
        <f>IF(T2977="Sim",S2977+ROW()/100000,0)</f>
        <v>0</v>
      </c>
      <c r="V2977" s="41">
        <f>IF(AND(H2977="Falta",L2977=Config!$B$7,M2977=Config!$B$5,COUNTIFS($E$5:E2977,E2977,$H$5:H2977,"Falta",$L$5:L2977,Config!$B$7,$M$5:M2977,Config!$B$5)=1),COUNTIFS($E$5:$E$3004,E2977,$H$5:$H$3004,"Falta",$L$5:$L$3004,Config!$B$7,$M$5:$M$3004,Config!$B$5)*1000-ROW()/100000,0)</f>
        <v>0</v>
      </c>
    </row>
    <row r="2978">
      <c r="A2978" s="39" t="n"/>
      <c r="B2978" s="40" t="n"/>
      <c r="C2978" s="35" t="n"/>
      <c r="D2978" s="35" t="n"/>
      <c r="E2978" s="34" t="n"/>
      <c r="F2978" s="35" t="n"/>
      <c r="G2978" s="35" t="n"/>
      <c r="H2978" s="35" t="n"/>
      <c r="I2978" s="35" t="n"/>
      <c r="J2978" s="35" t="n"/>
      <c r="K2978" s="34" t="n"/>
      <c r="L2978" s="26">
        <f>IF(A2978="","",MONTH(A2978))</f>
        <v/>
      </c>
      <c r="M2978" s="26">
        <f>IF(A2978="","",YEAR(A2978))</f>
        <v/>
      </c>
      <c r="N2978" s="26">
        <f>IF(A2978="","",CHOOSE(WEEKDAY(A2978,2),"Segunda","Terça","Quarta","Quinta","Sexta","Sábado","Domingo"))</f>
        <v/>
      </c>
      <c r="O2978" s="26">
        <f>IF(B2978="","",IF(B2978&lt;TIME(12,0,0),"Manhã",IF(B2978&lt;TIME(18,0,0),"Tarde","Noite")))</f>
        <v/>
      </c>
      <c r="P2978" s="32">
        <f>IF(G2978="","",IFERROR(INDEX(Config!$I$5:$I$16,MATCH(G2978,Config!$H$5:$H$16,0)),0))</f>
        <v/>
      </c>
      <c r="Q2978" s="30">
        <f>IF(OR(H2978&lt;&gt;"Realizado",P2978="",P2978=0),"",A2978+P2978)</f>
        <v/>
      </c>
      <c r="R2978" s="26">
        <f>IF(Q2978="","",IF(COUNTIFS($E$5:$E$3004,E2978,$A$5:$A$3004,"&gt;"&amp;A2978,$H$5:$H$3004,"&lt;&gt;Falta",$H$5:$H$3004,"&lt;&gt;Cancelado",$H$5:$H$3004,"&lt;&gt;Remarcado")&gt;0,"Sim","Não"))</f>
        <v/>
      </c>
      <c r="S2978" s="32">
        <f>IF(R2978&lt;&gt;"Não","",IF(Q2978+Config!$B$9&lt;=Config!$B$8,Config!$B$8-Q2978,""))</f>
        <v/>
      </c>
      <c r="T2978" s="26">
        <f>IF(S2978="","","Sim")</f>
        <v/>
      </c>
      <c r="U2978" s="41">
        <f>IF(T2978="Sim",S2978+ROW()/100000,0)</f>
        <v>0</v>
      </c>
      <c r="V2978" s="41">
        <f>IF(AND(H2978="Falta",L2978=Config!$B$7,M2978=Config!$B$5,COUNTIFS($E$5:E2978,E2978,$H$5:H2978,"Falta",$L$5:L2978,Config!$B$7,$M$5:M2978,Config!$B$5)=1),COUNTIFS($E$5:$E$3004,E2978,$H$5:$H$3004,"Falta",$L$5:$L$3004,Config!$B$7,$M$5:$M$3004,Config!$B$5)*1000-ROW()/100000,0)</f>
        <v>0</v>
      </c>
    </row>
    <row r="2979">
      <c r="A2979" s="39" t="n"/>
      <c r="B2979" s="40" t="n"/>
      <c r="C2979" s="35" t="n"/>
      <c r="D2979" s="35" t="n"/>
      <c r="E2979" s="34" t="n"/>
      <c r="F2979" s="35" t="n"/>
      <c r="G2979" s="35" t="n"/>
      <c r="H2979" s="35" t="n"/>
      <c r="I2979" s="35" t="n"/>
      <c r="J2979" s="35" t="n"/>
      <c r="K2979" s="34" t="n"/>
      <c r="L2979" s="26">
        <f>IF(A2979="","",MONTH(A2979))</f>
        <v/>
      </c>
      <c r="M2979" s="26">
        <f>IF(A2979="","",YEAR(A2979))</f>
        <v/>
      </c>
      <c r="N2979" s="26">
        <f>IF(A2979="","",CHOOSE(WEEKDAY(A2979,2),"Segunda","Terça","Quarta","Quinta","Sexta","Sábado","Domingo"))</f>
        <v/>
      </c>
      <c r="O2979" s="26">
        <f>IF(B2979="","",IF(B2979&lt;TIME(12,0,0),"Manhã",IF(B2979&lt;TIME(18,0,0),"Tarde","Noite")))</f>
        <v/>
      </c>
      <c r="P2979" s="32">
        <f>IF(G2979="","",IFERROR(INDEX(Config!$I$5:$I$16,MATCH(G2979,Config!$H$5:$H$16,0)),0))</f>
        <v/>
      </c>
      <c r="Q2979" s="30">
        <f>IF(OR(H2979&lt;&gt;"Realizado",P2979="",P2979=0),"",A2979+P2979)</f>
        <v/>
      </c>
      <c r="R2979" s="26">
        <f>IF(Q2979="","",IF(COUNTIFS($E$5:$E$3004,E2979,$A$5:$A$3004,"&gt;"&amp;A2979,$H$5:$H$3004,"&lt;&gt;Falta",$H$5:$H$3004,"&lt;&gt;Cancelado",$H$5:$H$3004,"&lt;&gt;Remarcado")&gt;0,"Sim","Não"))</f>
        <v/>
      </c>
      <c r="S2979" s="32">
        <f>IF(R2979&lt;&gt;"Não","",IF(Q2979+Config!$B$9&lt;=Config!$B$8,Config!$B$8-Q2979,""))</f>
        <v/>
      </c>
      <c r="T2979" s="26">
        <f>IF(S2979="","","Sim")</f>
        <v/>
      </c>
      <c r="U2979" s="41">
        <f>IF(T2979="Sim",S2979+ROW()/100000,0)</f>
        <v>0</v>
      </c>
      <c r="V2979" s="41">
        <f>IF(AND(H2979="Falta",L2979=Config!$B$7,M2979=Config!$B$5,COUNTIFS($E$5:E2979,E2979,$H$5:H2979,"Falta",$L$5:L2979,Config!$B$7,$M$5:M2979,Config!$B$5)=1),COUNTIFS($E$5:$E$3004,E2979,$H$5:$H$3004,"Falta",$L$5:$L$3004,Config!$B$7,$M$5:$M$3004,Config!$B$5)*1000-ROW()/100000,0)</f>
        <v>0</v>
      </c>
    </row>
    <row r="2980">
      <c r="A2980" s="39" t="n"/>
      <c r="B2980" s="40" t="n"/>
      <c r="C2980" s="35" t="n"/>
      <c r="D2980" s="35" t="n"/>
      <c r="E2980" s="34" t="n"/>
      <c r="F2980" s="35" t="n"/>
      <c r="G2980" s="35" t="n"/>
      <c r="H2980" s="35" t="n"/>
      <c r="I2980" s="35" t="n"/>
      <c r="J2980" s="35" t="n"/>
      <c r="K2980" s="34" t="n"/>
      <c r="L2980" s="26">
        <f>IF(A2980="","",MONTH(A2980))</f>
        <v/>
      </c>
      <c r="M2980" s="26">
        <f>IF(A2980="","",YEAR(A2980))</f>
        <v/>
      </c>
      <c r="N2980" s="26">
        <f>IF(A2980="","",CHOOSE(WEEKDAY(A2980,2),"Segunda","Terça","Quarta","Quinta","Sexta","Sábado","Domingo"))</f>
        <v/>
      </c>
      <c r="O2980" s="26">
        <f>IF(B2980="","",IF(B2980&lt;TIME(12,0,0),"Manhã",IF(B2980&lt;TIME(18,0,0),"Tarde","Noite")))</f>
        <v/>
      </c>
      <c r="P2980" s="32">
        <f>IF(G2980="","",IFERROR(INDEX(Config!$I$5:$I$16,MATCH(G2980,Config!$H$5:$H$16,0)),0))</f>
        <v/>
      </c>
      <c r="Q2980" s="30">
        <f>IF(OR(H2980&lt;&gt;"Realizado",P2980="",P2980=0),"",A2980+P2980)</f>
        <v/>
      </c>
      <c r="R2980" s="26">
        <f>IF(Q2980="","",IF(COUNTIFS($E$5:$E$3004,E2980,$A$5:$A$3004,"&gt;"&amp;A2980,$H$5:$H$3004,"&lt;&gt;Falta",$H$5:$H$3004,"&lt;&gt;Cancelado",$H$5:$H$3004,"&lt;&gt;Remarcado")&gt;0,"Sim","Não"))</f>
        <v/>
      </c>
      <c r="S2980" s="32">
        <f>IF(R2980&lt;&gt;"Não","",IF(Q2980+Config!$B$9&lt;=Config!$B$8,Config!$B$8-Q2980,""))</f>
        <v/>
      </c>
      <c r="T2980" s="26">
        <f>IF(S2980="","","Sim")</f>
        <v/>
      </c>
      <c r="U2980" s="41">
        <f>IF(T2980="Sim",S2980+ROW()/100000,0)</f>
        <v>0</v>
      </c>
      <c r="V2980" s="41">
        <f>IF(AND(H2980="Falta",L2980=Config!$B$7,M2980=Config!$B$5,COUNTIFS($E$5:E2980,E2980,$H$5:H2980,"Falta",$L$5:L2980,Config!$B$7,$M$5:M2980,Config!$B$5)=1),COUNTIFS($E$5:$E$3004,E2980,$H$5:$H$3004,"Falta",$L$5:$L$3004,Config!$B$7,$M$5:$M$3004,Config!$B$5)*1000-ROW()/100000,0)</f>
        <v>0</v>
      </c>
    </row>
    <row r="2981">
      <c r="A2981" s="39" t="n"/>
      <c r="B2981" s="40" t="n"/>
      <c r="C2981" s="35" t="n"/>
      <c r="D2981" s="35" t="n"/>
      <c r="E2981" s="34" t="n"/>
      <c r="F2981" s="35" t="n"/>
      <c r="G2981" s="35" t="n"/>
      <c r="H2981" s="35" t="n"/>
      <c r="I2981" s="35" t="n"/>
      <c r="J2981" s="35" t="n"/>
      <c r="K2981" s="34" t="n"/>
      <c r="L2981" s="26">
        <f>IF(A2981="","",MONTH(A2981))</f>
        <v/>
      </c>
      <c r="M2981" s="26">
        <f>IF(A2981="","",YEAR(A2981))</f>
        <v/>
      </c>
      <c r="N2981" s="26">
        <f>IF(A2981="","",CHOOSE(WEEKDAY(A2981,2),"Segunda","Terça","Quarta","Quinta","Sexta","Sábado","Domingo"))</f>
        <v/>
      </c>
      <c r="O2981" s="26">
        <f>IF(B2981="","",IF(B2981&lt;TIME(12,0,0),"Manhã",IF(B2981&lt;TIME(18,0,0),"Tarde","Noite")))</f>
        <v/>
      </c>
      <c r="P2981" s="32">
        <f>IF(G2981="","",IFERROR(INDEX(Config!$I$5:$I$16,MATCH(G2981,Config!$H$5:$H$16,0)),0))</f>
        <v/>
      </c>
      <c r="Q2981" s="30">
        <f>IF(OR(H2981&lt;&gt;"Realizado",P2981="",P2981=0),"",A2981+P2981)</f>
        <v/>
      </c>
      <c r="R2981" s="26">
        <f>IF(Q2981="","",IF(COUNTIFS($E$5:$E$3004,E2981,$A$5:$A$3004,"&gt;"&amp;A2981,$H$5:$H$3004,"&lt;&gt;Falta",$H$5:$H$3004,"&lt;&gt;Cancelado",$H$5:$H$3004,"&lt;&gt;Remarcado")&gt;0,"Sim","Não"))</f>
        <v/>
      </c>
      <c r="S2981" s="32">
        <f>IF(R2981&lt;&gt;"Não","",IF(Q2981+Config!$B$9&lt;=Config!$B$8,Config!$B$8-Q2981,""))</f>
        <v/>
      </c>
      <c r="T2981" s="26">
        <f>IF(S2981="","","Sim")</f>
        <v/>
      </c>
      <c r="U2981" s="41">
        <f>IF(T2981="Sim",S2981+ROW()/100000,0)</f>
        <v>0</v>
      </c>
      <c r="V2981" s="41">
        <f>IF(AND(H2981="Falta",L2981=Config!$B$7,M2981=Config!$B$5,COUNTIFS($E$5:E2981,E2981,$H$5:H2981,"Falta",$L$5:L2981,Config!$B$7,$M$5:M2981,Config!$B$5)=1),COUNTIFS($E$5:$E$3004,E2981,$H$5:$H$3004,"Falta",$L$5:$L$3004,Config!$B$7,$M$5:$M$3004,Config!$B$5)*1000-ROW()/100000,0)</f>
        <v>0</v>
      </c>
    </row>
    <row r="2982">
      <c r="A2982" s="39" t="n"/>
      <c r="B2982" s="40" t="n"/>
      <c r="C2982" s="35" t="n"/>
      <c r="D2982" s="35" t="n"/>
      <c r="E2982" s="34" t="n"/>
      <c r="F2982" s="35" t="n"/>
      <c r="G2982" s="35" t="n"/>
      <c r="H2982" s="35" t="n"/>
      <c r="I2982" s="35" t="n"/>
      <c r="J2982" s="35" t="n"/>
      <c r="K2982" s="34" t="n"/>
      <c r="L2982" s="26">
        <f>IF(A2982="","",MONTH(A2982))</f>
        <v/>
      </c>
      <c r="M2982" s="26">
        <f>IF(A2982="","",YEAR(A2982))</f>
        <v/>
      </c>
      <c r="N2982" s="26">
        <f>IF(A2982="","",CHOOSE(WEEKDAY(A2982,2),"Segunda","Terça","Quarta","Quinta","Sexta","Sábado","Domingo"))</f>
        <v/>
      </c>
      <c r="O2982" s="26">
        <f>IF(B2982="","",IF(B2982&lt;TIME(12,0,0),"Manhã",IF(B2982&lt;TIME(18,0,0),"Tarde","Noite")))</f>
        <v/>
      </c>
      <c r="P2982" s="32">
        <f>IF(G2982="","",IFERROR(INDEX(Config!$I$5:$I$16,MATCH(G2982,Config!$H$5:$H$16,0)),0))</f>
        <v/>
      </c>
      <c r="Q2982" s="30">
        <f>IF(OR(H2982&lt;&gt;"Realizado",P2982="",P2982=0),"",A2982+P2982)</f>
        <v/>
      </c>
      <c r="R2982" s="26">
        <f>IF(Q2982="","",IF(COUNTIFS($E$5:$E$3004,E2982,$A$5:$A$3004,"&gt;"&amp;A2982,$H$5:$H$3004,"&lt;&gt;Falta",$H$5:$H$3004,"&lt;&gt;Cancelado",$H$5:$H$3004,"&lt;&gt;Remarcado")&gt;0,"Sim","Não"))</f>
        <v/>
      </c>
      <c r="S2982" s="32">
        <f>IF(R2982&lt;&gt;"Não","",IF(Q2982+Config!$B$9&lt;=Config!$B$8,Config!$B$8-Q2982,""))</f>
        <v/>
      </c>
      <c r="T2982" s="26">
        <f>IF(S2982="","","Sim")</f>
        <v/>
      </c>
      <c r="U2982" s="41">
        <f>IF(T2982="Sim",S2982+ROW()/100000,0)</f>
        <v>0</v>
      </c>
      <c r="V2982" s="41">
        <f>IF(AND(H2982="Falta",L2982=Config!$B$7,M2982=Config!$B$5,COUNTIFS($E$5:E2982,E2982,$H$5:H2982,"Falta",$L$5:L2982,Config!$B$7,$M$5:M2982,Config!$B$5)=1),COUNTIFS($E$5:$E$3004,E2982,$H$5:$H$3004,"Falta",$L$5:$L$3004,Config!$B$7,$M$5:$M$3004,Config!$B$5)*1000-ROW()/100000,0)</f>
        <v>0</v>
      </c>
    </row>
    <row r="2983">
      <c r="A2983" s="39" t="n"/>
      <c r="B2983" s="40" t="n"/>
      <c r="C2983" s="35" t="n"/>
      <c r="D2983" s="35" t="n"/>
      <c r="E2983" s="34" t="n"/>
      <c r="F2983" s="35" t="n"/>
      <c r="G2983" s="35" t="n"/>
      <c r="H2983" s="35" t="n"/>
      <c r="I2983" s="35" t="n"/>
      <c r="J2983" s="35" t="n"/>
      <c r="K2983" s="34" t="n"/>
      <c r="L2983" s="26">
        <f>IF(A2983="","",MONTH(A2983))</f>
        <v/>
      </c>
      <c r="M2983" s="26">
        <f>IF(A2983="","",YEAR(A2983))</f>
        <v/>
      </c>
      <c r="N2983" s="26">
        <f>IF(A2983="","",CHOOSE(WEEKDAY(A2983,2),"Segunda","Terça","Quarta","Quinta","Sexta","Sábado","Domingo"))</f>
        <v/>
      </c>
      <c r="O2983" s="26">
        <f>IF(B2983="","",IF(B2983&lt;TIME(12,0,0),"Manhã",IF(B2983&lt;TIME(18,0,0),"Tarde","Noite")))</f>
        <v/>
      </c>
      <c r="P2983" s="32">
        <f>IF(G2983="","",IFERROR(INDEX(Config!$I$5:$I$16,MATCH(G2983,Config!$H$5:$H$16,0)),0))</f>
        <v/>
      </c>
      <c r="Q2983" s="30">
        <f>IF(OR(H2983&lt;&gt;"Realizado",P2983="",P2983=0),"",A2983+P2983)</f>
        <v/>
      </c>
      <c r="R2983" s="26">
        <f>IF(Q2983="","",IF(COUNTIFS($E$5:$E$3004,E2983,$A$5:$A$3004,"&gt;"&amp;A2983,$H$5:$H$3004,"&lt;&gt;Falta",$H$5:$H$3004,"&lt;&gt;Cancelado",$H$5:$H$3004,"&lt;&gt;Remarcado")&gt;0,"Sim","Não"))</f>
        <v/>
      </c>
      <c r="S2983" s="32">
        <f>IF(R2983&lt;&gt;"Não","",IF(Q2983+Config!$B$9&lt;=Config!$B$8,Config!$B$8-Q2983,""))</f>
        <v/>
      </c>
      <c r="T2983" s="26">
        <f>IF(S2983="","","Sim")</f>
        <v/>
      </c>
      <c r="U2983" s="41">
        <f>IF(T2983="Sim",S2983+ROW()/100000,0)</f>
        <v>0</v>
      </c>
      <c r="V2983" s="41">
        <f>IF(AND(H2983="Falta",L2983=Config!$B$7,M2983=Config!$B$5,COUNTIFS($E$5:E2983,E2983,$H$5:H2983,"Falta",$L$5:L2983,Config!$B$7,$M$5:M2983,Config!$B$5)=1),COUNTIFS($E$5:$E$3004,E2983,$H$5:$H$3004,"Falta",$L$5:$L$3004,Config!$B$7,$M$5:$M$3004,Config!$B$5)*1000-ROW()/100000,0)</f>
        <v>0</v>
      </c>
    </row>
    <row r="2984">
      <c r="A2984" s="39" t="n"/>
      <c r="B2984" s="40" t="n"/>
      <c r="C2984" s="35" t="n"/>
      <c r="D2984" s="35" t="n"/>
      <c r="E2984" s="34" t="n"/>
      <c r="F2984" s="35" t="n"/>
      <c r="G2984" s="35" t="n"/>
      <c r="H2984" s="35" t="n"/>
      <c r="I2984" s="35" t="n"/>
      <c r="J2984" s="35" t="n"/>
      <c r="K2984" s="34" t="n"/>
      <c r="L2984" s="26">
        <f>IF(A2984="","",MONTH(A2984))</f>
        <v/>
      </c>
      <c r="M2984" s="26">
        <f>IF(A2984="","",YEAR(A2984))</f>
        <v/>
      </c>
      <c r="N2984" s="26">
        <f>IF(A2984="","",CHOOSE(WEEKDAY(A2984,2),"Segunda","Terça","Quarta","Quinta","Sexta","Sábado","Domingo"))</f>
        <v/>
      </c>
      <c r="O2984" s="26">
        <f>IF(B2984="","",IF(B2984&lt;TIME(12,0,0),"Manhã",IF(B2984&lt;TIME(18,0,0),"Tarde","Noite")))</f>
        <v/>
      </c>
      <c r="P2984" s="32">
        <f>IF(G2984="","",IFERROR(INDEX(Config!$I$5:$I$16,MATCH(G2984,Config!$H$5:$H$16,0)),0))</f>
        <v/>
      </c>
      <c r="Q2984" s="30">
        <f>IF(OR(H2984&lt;&gt;"Realizado",P2984="",P2984=0),"",A2984+P2984)</f>
        <v/>
      </c>
      <c r="R2984" s="26">
        <f>IF(Q2984="","",IF(COUNTIFS($E$5:$E$3004,E2984,$A$5:$A$3004,"&gt;"&amp;A2984,$H$5:$H$3004,"&lt;&gt;Falta",$H$5:$H$3004,"&lt;&gt;Cancelado",$H$5:$H$3004,"&lt;&gt;Remarcado")&gt;0,"Sim","Não"))</f>
        <v/>
      </c>
      <c r="S2984" s="32">
        <f>IF(R2984&lt;&gt;"Não","",IF(Q2984+Config!$B$9&lt;=Config!$B$8,Config!$B$8-Q2984,""))</f>
        <v/>
      </c>
      <c r="T2984" s="26">
        <f>IF(S2984="","","Sim")</f>
        <v/>
      </c>
      <c r="U2984" s="41">
        <f>IF(T2984="Sim",S2984+ROW()/100000,0)</f>
        <v>0</v>
      </c>
      <c r="V2984" s="41">
        <f>IF(AND(H2984="Falta",L2984=Config!$B$7,M2984=Config!$B$5,COUNTIFS($E$5:E2984,E2984,$H$5:H2984,"Falta",$L$5:L2984,Config!$B$7,$M$5:M2984,Config!$B$5)=1),COUNTIFS($E$5:$E$3004,E2984,$H$5:$H$3004,"Falta",$L$5:$L$3004,Config!$B$7,$M$5:$M$3004,Config!$B$5)*1000-ROW()/100000,0)</f>
        <v>0</v>
      </c>
    </row>
    <row r="2985">
      <c r="A2985" s="39" t="n"/>
      <c r="B2985" s="40" t="n"/>
      <c r="C2985" s="35" t="n"/>
      <c r="D2985" s="35" t="n"/>
      <c r="E2985" s="34" t="n"/>
      <c r="F2985" s="35" t="n"/>
      <c r="G2985" s="35" t="n"/>
      <c r="H2985" s="35" t="n"/>
      <c r="I2985" s="35" t="n"/>
      <c r="J2985" s="35" t="n"/>
      <c r="K2985" s="34" t="n"/>
      <c r="L2985" s="26">
        <f>IF(A2985="","",MONTH(A2985))</f>
        <v/>
      </c>
      <c r="M2985" s="26">
        <f>IF(A2985="","",YEAR(A2985))</f>
        <v/>
      </c>
      <c r="N2985" s="26">
        <f>IF(A2985="","",CHOOSE(WEEKDAY(A2985,2),"Segunda","Terça","Quarta","Quinta","Sexta","Sábado","Domingo"))</f>
        <v/>
      </c>
      <c r="O2985" s="26">
        <f>IF(B2985="","",IF(B2985&lt;TIME(12,0,0),"Manhã",IF(B2985&lt;TIME(18,0,0),"Tarde","Noite")))</f>
        <v/>
      </c>
      <c r="P2985" s="32">
        <f>IF(G2985="","",IFERROR(INDEX(Config!$I$5:$I$16,MATCH(G2985,Config!$H$5:$H$16,0)),0))</f>
        <v/>
      </c>
      <c r="Q2985" s="30">
        <f>IF(OR(H2985&lt;&gt;"Realizado",P2985="",P2985=0),"",A2985+P2985)</f>
        <v/>
      </c>
      <c r="R2985" s="26">
        <f>IF(Q2985="","",IF(COUNTIFS($E$5:$E$3004,E2985,$A$5:$A$3004,"&gt;"&amp;A2985,$H$5:$H$3004,"&lt;&gt;Falta",$H$5:$H$3004,"&lt;&gt;Cancelado",$H$5:$H$3004,"&lt;&gt;Remarcado")&gt;0,"Sim","Não"))</f>
        <v/>
      </c>
      <c r="S2985" s="32">
        <f>IF(R2985&lt;&gt;"Não","",IF(Q2985+Config!$B$9&lt;=Config!$B$8,Config!$B$8-Q2985,""))</f>
        <v/>
      </c>
      <c r="T2985" s="26">
        <f>IF(S2985="","","Sim")</f>
        <v/>
      </c>
      <c r="U2985" s="41">
        <f>IF(T2985="Sim",S2985+ROW()/100000,0)</f>
        <v>0</v>
      </c>
      <c r="V2985" s="41">
        <f>IF(AND(H2985="Falta",L2985=Config!$B$7,M2985=Config!$B$5,COUNTIFS($E$5:E2985,E2985,$H$5:H2985,"Falta",$L$5:L2985,Config!$B$7,$M$5:M2985,Config!$B$5)=1),COUNTIFS($E$5:$E$3004,E2985,$H$5:$H$3004,"Falta",$L$5:$L$3004,Config!$B$7,$M$5:$M$3004,Config!$B$5)*1000-ROW()/100000,0)</f>
        <v>0</v>
      </c>
    </row>
    <row r="2986">
      <c r="A2986" s="39" t="n"/>
      <c r="B2986" s="40" t="n"/>
      <c r="C2986" s="35" t="n"/>
      <c r="D2986" s="35" t="n"/>
      <c r="E2986" s="34" t="n"/>
      <c r="F2986" s="35" t="n"/>
      <c r="G2986" s="35" t="n"/>
      <c r="H2986" s="35" t="n"/>
      <c r="I2986" s="35" t="n"/>
      <c r="J2986" s="35" t="n"/>
      <c r="K2986" s="34" t="n"/>
      <c r="L2986" s="26">
        <f>IF(A2986="","",MONTH(A2986))</f>
        <v/>
      </c>
      <c r="M2986" s="26">
        <f>IF(A2986="","",YEAR(A2986))</f>
        <v/>
      </c>
      <c r="N2986" s="26">
        <f>IF(A2986="","",CHOOSE(WEEKDAY(A2986,2),"Segunda","Terça","Quarta","Quinta","Sexta","Sábado","Domingo"))</f>
        <v/>
      </c>
      <c r="O2986" s="26">
        <f>IF(B2986="","",IF(B2986&lt;TIME(12,0,0),"Manhã",IF(B2986&lt;TIME(18,0,0),"Tarde","Noite")))</f>
        <v/>
      </c>
      <c r="P2986" s="32">
        <f>IF(G2986="","",IFERROR(INDEX(Config!$I$5:$I$16,MATCH(G2986,Config!$H$5:$H$16,0)),0))</f>
        <v/>
      </c>
      <c r="Q2986" s="30">
        <f>IF(OR(H2986&lt;&gt;"Realizado",P2986="",P2986=0),"",A2986+P2986)</f>
        <v/>
      </c>
      <c r="R2986" s="26">
        <f>IF(Q2986="","",IF(COUNTIFS($E$5:$E$3004,E2986,$A$5:$A$3004,"&gt;"&amp;A2986,$H$5:$H$3004,"&lt;&gt;Falta",$H$5:$H$3004,"&lt;&gt;Cancelado",$H$5:$H$3004,"&lt;&gt;Remarcado")&gt;0,"Sim","Não"))</f>
        <v/>
      </c>
      <c r="S2986" s="32">
        <f>IF(R2986&lt;&gt;"Não","",IF(Q2986+Config!$B$9&lt;=Config!$B$8,Config!$B$8-Q2986,""))</f>
        <v/>
      </c>
      <c r="T2986" s="26">
        <f>IF(S2986="","","Sim")</f>
        <v/>
      </c>
      <c r="U2986" s="41">
        <f>IF(T2986="Sim",S2986+ROW()/100000,0)</f>
        <v>0</v>
      </c>
      <c r="V2986" s="41">
        <f>IF(AND(H2986="Falta",L2986=Config!$B$7,M2986=Config!$B$5,COUNTIFS($E$5:E2986,E2986,$H$5:H2986,"Falta",$L$5:L2986,Config!$B$7,$M$5:M2986,Config!$B$5)=1),COUNTIFS($E$5:$E$3004,E2986,$H$5:$H$3004,"Falta",$L$5:$L$3004,Config!$B$7,$M$5:$M$3004,Config!$B$5)*1000-ROW()/100000,0)</f>
        <v>0</v>
      </c>
    </row>
    <row r="2987">
      <c r="A2987" s="39" t="n"/>
      <c r="B2987" s="40" t="n"/>
      <c r="C2987" s="35" t="n"/>
      <c r="D2987" s="35" t="n"/>
      <c r="E2987" s="34" t="n"/>
      <c r="F2987" s="35" t="n"/>
      <c r="G2987" s="35" t="n"/>
      <c r="H2987" s="35" t="n"/>
      <c r="I2987" s="35" t="n"/>
      <c r="J2987" s="35" t="n"/>
      <c r="K2987" s="34" t="n"/>
      <c r="L2987" s="26">
        <f>IF(A2987="","",MONTH(A2987))</f>
        <v/>
      </c>
      <c r="M2987" s="26">
        <f>IF(A2987="","",YEAR(A2987))</f>
        <v/>
      </c>
      <c r="N2987" s="26">
        <f>IF(A2987="","",CHOOSE(WEEKDAY(A2987,2),"Segunda","Terça","Quarta","Quinta","Sexta","Sábado","Domingo"))</f>
        <v/>
      </c>
      <c r="O2987" s="26">
        <f>IF(B2987="","",IF(B2987&lt;TIME(12,0,0),"Manhã",IF(B2987&lt;TIME(18,0,0),"Tarde","Noite")))</f>
        <v/>
      </c>
      <c r="P2987" s="32">
        <f>IF(G2987="","",IFERROR(INDEX(Config!$I$5:$I$16,MATCH(G2987,Config!$H$5:$H$16,0)),0))</f>
        <v/>
      </c>
      <c r="Q2987" s="30">
        <f>IF(OR(H2987&lt;&gt;"Realizado",P2987="",P2987=0),"",A2987+P2987)</f>
        <v/>
      </c>
      <c r="R2987" s="26">
        <f>IF(Q2987="","",IF(COUNTIFS($E$5:$E$3004,E2987,$A$5:$A$3004,"&gt;"&amp;A2987,$H$5:$H$3004,"&lt;&gt;Falta",$H$5:$H$3004,"&lt;&gt;Cancelado",$H$5:$H$3004,"&lt;&gt;Remarcado")&gt;0,"Sim","Não"))</f>
        <v/>
      </c>
      <c r="S2987" s="32">
        <f>IF(R2987&lt;&gt;"Não","",IF(Q2987+Config!$B$9&lt;=Config!$B$8,Config!$B$8-Q2987,""))</f>
        <v/>
      </c>
      <c r="T2987" s="26">
        <f>IF(S2987="","","Sim")</f>
        <v/>
      </c>
      <c r="U2987" s="41">
        <f>IF(T2987="Sim",S2987+ROW()/100000,0)</f>
        <v>0</v>
      </c>
      <c r="V2987" s="41">
        <f>IF(AND(H2987="Falta",L2987=Config!$B$7,M2987=Config!$B$5,COUNTIFS($E$5:E2987,E2987,$H$5:H2987,"Falta",$L$5:L2987,Config!$B$7,$M$5:M2987,Config!$B$5)=1),COUNTIFS($E$5:$E$3004,E2987,$H$5:$H$3004,"Falta",$L$5:$L$3004,Config!$B$7,$M$5:$M$3004,Config!$B$5)*1000-ROW()/100000,0)</f>
        <v>0</v>
      </c>
    </row>
    <row r="2988">
      <c r="A2988" s="39" t="n"/>
      <c r="B2988" s="40" t="n"/>
      <c r="C2988" s="35" t="n"/>
      <c r="D2988" s="35" t="n"/>
      <c r="E2988" s="34" t="n"/>
      <c r="F2988" s="35" t="n"/>
      <c r="G2988" s="35" t="n"/>
      <c r="H2988" s="35" t="n"/>
      <c r="I2988" s="35" t="n"/>
      <c r="J2988" s="35" t="n"/>
      <c r="K2988" s="34" t="n"/>
      <c r="L2988" s="26">
        <f>IF(A2988="","",MONTH(A2988))</f>
        <v/>
      </c>
      <c r="M2988" s="26">
        <f>IF(A2988="","",YEAR(A2988))</f>
        <v/>
      </c>
      <c r="N2988" s="26">
        <f>IF(A2988="","",CHOOSE(WEEKDAY(A2988,2),"Segunda","Terça","Quarta","Quinta","Sexta","Sábado","Domingo"))</f>
        <v/>
      </c>
      <c r="O2988" s="26">
        <f>IF(B2988="","",IF(B2988&lt;TIME(12,0,0),"Manhã",IF(B2988&lt;TIME(18,0,0),"Tarde","Noite")))</f>
        <v/>
      </c>
      <c r="P2988" s="32">
        <f>IF(G2988="","",IFERROR(INDEX(Config!$I$5:$I$16,MATCH(G2988,Config!$H$5:$H$16,0)),0))</f>
        <v/>
      </c>
      <c r="Q2988" s="30">
        <f>IF(OR(H2988&lt;&gt;"Realizado",P2988="",P2988=0),"",A2988+P2988)</f>
        <v/>
      </c>
      <c r="R2988" s="26">
        <f>IF(Q2988="","",IF(COUNTIFS($E$5:$E$3004,E2988,$A$5:$A$3004,"&gt;"&amp;A2988,$H$5:$H$3004,"&lt;&gt;Falta",$H$5:$H$3004,"&lt;&gt;Cancelado",$H$5:$H$3004,"&lt;&gt;Remarcado")&gt;0,"Sim","Não"))</f>
        <v/>
      </c>
      <c r="S2988" s="32">
        <f>IF(R2988&lt;&gt;"Não","",IF(Q2988+Config!$B$9&lt;=Config!$B$8,Config!$B$8-Q2988,""))</f>
        <v/>
      </c>
      <c r="T2988" s="26">
        <f>IF(S2988="","","Sim")</f>
        <v/>
      </c>
      <c r="U2988" s="41">
        <f>IF(T2988="Sim",S2988+ROW()/100000,0)</f>
        <v>0</v>
      </c>
      <c r="V2988" s="41">
        <f>IF(AND(H2988="Falta",L2988=Config!$B$7,M2988=Config!$B$5,COUNTIFS($E$5:E2988,E2988,$H$5:H2988,"Falta",$L$5:L2988,Config!$B$7,$M$5:M2988,Config!$B$5)=1),COUNTIFS($E$5:$E$3004,E2988,$H$5:$H$3004,"Falta",$L$5:$L$3004,Config!$B$7,$M$5:$M$3004,Config!$B$5)*1000-ROW()/100000,0)</f>
        <v>0</v>
      </c>
    </row>
    <row r="2989">
      <c r="A2989" s="39" t="n"/>
      <c r="B2989" s="40" t="n"/>
      <c r="C2989" s="35" t="n"/>
      <c r="D2989" s="35" t="n"/>
      <c r="E2989" s="34" t="n"/>
      <c r="F2989" s="35" t="n"/>
      <c r="G2989" s="35" t="n"/>
      <c r="H2989" s="35" t="n"/>
      <c r="I2989" s="35" t="n"/>
      <c r="J2989" s="35" t="n"/>
      <c r="K2989" s="34" t="n"/>
      <c r="L2989" s="26">
        <f>IF(A2989="","",MONTH(A2989))</f>
        <v/>
      </c>
      <c r="M2989" s="26">
        <f>IF(A2989="","",YEAR(A2989))</f>
        <v/>
      </c>
      <c r="N2989" s="26">
        <f>IF(A2989="","",CHOOSE(WEEKDAY(A2989,2),"Segunda","Terça","Quarta","Quinta","Sexta","Sábado","Domingo"))</f>
        <v/>
      </c>
      <c r="O2989" s="26">
        <f>IF(B2989="","",IF(B2989&lt;TIME(12,0,0),"Manhã",IF(B2989&lt;TIME(18,0,0),"Tarde","Noite")))</f>
        <v/>
      </c>
      <c r="P2989" s="32">
        <f>IF(G2989="","",IFERROR(INDEX(Config!$I$5:$I$16,MATCH(G2989,Config!$H$5:$H$16,0)),0))</f>
        <v/>
      </c>
      <c r="Q2989" s="30">
        <f>IF(OR(H2989&lt;&gt;"Realizado",P2989="",P2989=0),"",A2989+P2989)</f>
        <v/>
      </c>
      <c r="R2989" s="26">
        <f>IF(Q2989="","",IF(COUNTIFS($E$5:$E$3004,E2989,$A$5:$A$3004,"&gt;"&amp;A2989,$H$5:$H$3004,"&lt;&gt;Falta",$H$5:$H$3004,"&lt;&gt;Cancelado",$H$5:$H$3004,"&lt;&gt;Remarcado")&gt;0,"Sim","Não"))</f>
        <v/>
      </c>
      <c r="S2989" s="32">
        <f>IF(R2989&lt;&gt;"Não","",IF(Q2989+Config!$B$9&lt;=Config!$B$8,Config!$B$8-Q2989,""))</f>
        <v/>
      </c>
      <c r="T2989" s="26">
        <f>IF(S2989="","","Sim")</f>
        <v/>
      </c>
      <c r="U2989" s="41">
        <f>IF(T2989="Sim",S2989+ROW()/100000,0)</f>
        <v>0</v>
      </c>
      <c r="V2989" s="41">
        <f>IF(AND(H2989="Falta",L2989=Config!$B$7,M2989=Config!$B$5,COUNTIFS($E$5:E2989,E2989,$H$5:H2989,"Falta",$L$5:L2989,Config!$B$7,$M$5:M2989,Config!$B$5)=1),COUNTIFS($E$5:$E$3004,E2989,$H$5:$H$3004,"Falta",$L$5:$L$3004,Config!$B$7,$M$5:$M$3004,Config!$B$5)*1000-ROW()/100000,0)</f>
        <v>0</v>
      </c>
    </row>
    <row r="2990">
      <c r="A2990" s="39" t="n"/>
      <c r="B2990" s="40" t="n"/>
      <c r="C2990" s="35" t="n"/>
      <c r="D2990" s="35" t="n"/>
      <c r="E2990" s="34" t="n"/>
      <c r="F2990" s="35" t="n"/>
      <c r="G2990" s="35" t="n"/>
      <c r="H2990" s="35" t="n"/>
      <c r="I2990" s="35" t="n"/>
      <c r="J2990" s="35" t="n"/>
      <c r="K2990" s="34" t="n"/>
      <c r="L2990" s="26">
        <f>IF(A2990="","",MONTH(A2990))</f>
        <v/>
      </c>
      <c r="M2990" s="26">
        <f>IF(A2990="","",YEAR(A2990))</f>
        <v/>
      </c>
      <c r="N2990" s="26">
        <f>IF(A2990="","",CHOOSE(WEEKDAY(A2990,2),"Segunda","Terça","Quarta","Quinta","Sexta","Sábado","Domingo"))</f>
        <v/>
      </c>
      <c r="O2990" s="26">
        <f>IF(B2990="","",IF(B2990&lt;TIME(12,0,0),"Manhã",IF(B2990&lt;TIME(18,0,0),"Tarde","Noite")))</f>
        <v/>
      </c>
      <c r="P2990" s="32">
        <f>IF(G2990="","",IFERROR(INDEX(Config!$I$5:$I$16,MATCH(G2990,Config!$H$5:$H$16,0)),0))</f>
        <v/>
      </c>
      <c r="Q2990" s="30">
        <f>IF(OR(H2990&lt;&gt;"Realizado",P2990="",P2990=0),"",A2990+P2990)</f>
        <v/>
      </c>
      <c r="R2990" s="26">
        <f>IF(Q2990="","",IF(COUNTIFS($E$5:$E$3004,E2990,$A$5:$A$3004,"&gt;"&amp;A2990,$H$5:$H$3004,"&lt;&gt;Falta",$H$5:$H$3004,"&lt;&gt;Cancelado",$H$5:$H$3004,"&lt;&gt;Remarcado")&gt;0,"Sim","Não"))</f>
        <v/>
      </c>
      <c r="S2990" s="32">
        <f>IF(R2990&lt;&gt;"Não","",IF(Q2990+Config!$B$9&lt;=Config!$B$8,Config!$B$8-Q2990,""))</f>
        <v/>
      </c>
      <c r="T2990" s="26">
        <f>IF(S2990="","","Sim")</f>
        <v/>
      </c>
      <c r="U2990" s="41">
        <f>IF(T2990="Sim",S2990+ROW()/100000,0)</f>
        <v>0</v>
      </c>
      <c r="V2990" s="41">
        <f>IF(AND(H2990="Falta",L2990=Config!$B$7,M2990=Config!$B$5,COUNTIFS($E$5:E2990,E2990,$H$5:H2990,"Falta",$L$5:L2990,Config!$B$7,$M$5:M2990,Config!$B$5)=1),COUNTIFS($E$5:$E$3004,E2990,$H$5:$H$3004,"Falta",$L$5:$L$3004,Config!$B$7,$M$5:$M$3004,Config!$B$5)*1000-ROW()/100000,0)</f>
        <v>0</v>
      </c>
    </row>
    <row r="2991">
      <c r="A2991" s="39" t="n"/>
      <c r="B2991" s="40" t="n"/>
      <c r="C2991" s="35" t="n"/>
      <c r="D2991" s="35" t="n"/>
      <c r="E2991" s="34" t="n"/>
      <c r="F2991" s="35" t="n"/>
      <c r="G2991" s="35" t="n"/>
      <c r="H2991" s="35" t="n"/>
      <c r="I2991" s="35" t="n"/>
      <c r="J2991" s="35" t="n"/>
      <c r="K2991" s="34" t="n"/>
      <c r="L2991" s="26">
        <f>IF(A2991="","",MONTH(A2991))</f>
        <v/>
      </c>
      <c r="M2991" s="26">
        <f>IF(A2991="","",YEAR(A2991))</f>
        <v/>
      </c>
      <c r="N2991" s="26">
        <f>IF(A2991="","",CHOOSE(WEEKDAY(A2991,2),"Segunda","Terça","Quarta","Quinta","Sexta","Sábado","Domingo"))</f>
        <v/>
      </c>
      <c r="O2991" s="26">
        <f>IF(B2991="","",IF(B2991&lt;TIME(12,0,0),"Manhã",IF(B2991&lt;TIME(18,0,0),"Tarde","Noite")))</f>
        <v/>
      </c>
      <c r="P2991" s="32">
        <f>IF(G2991="","",IFERROR(INDEX(Config!$I$5:$I$16,MATCH(G2991,Config!$H$5:$H$16,0)),0))</f>
        <v/>
      </c>
      <c r="Q2991" s="30">
        <f>IF(OR(H2991&lt;&gt;"Realizado",P2991="",P2991=0),"",A2991+P2991)</f>
        <v/>
      </c>
      <c r="R2991" s="26">
        <f>IF(Q2991="","",IF(COUNTIFS($E$5:$E$3004,E2991,$A$5:$A$3004,"&gt;"&amp;A2991,$H$5:$H$3004,"&lt;&gt;Falta",$H$5:$H$3004,"&lt;&gt;Cancelado",$H$5:$H$3004,"&lt;&gt;Remarcado")&gt;0,"Sim","Não"))</f>
        <v/>
      </c>
      <c r="S2991" s="32">
        <f>IF(R2991&lt;&gt;"Não","",IF(Q2991+Config!$B$9&lt;=Config!$B$8,Config!$B$8-Q2991,""))</f>
        <v/>
      </c>
      <c r="T2991" s="26">
        <f>IF(S2991="","","Sim")</f>
        <v/>
      </c>
      <c r="U2991" s="41">
        <f>IF(T2991="Sim",S2991+ROW()/100000,0)</f>
        <v>0</v>
      </c>
      <c r="V2991" s="41">
        <f>IF(AND(H2991="Falta",L2991=Config!$B$7,M2991=Config!$B$5,COUNTIFS($E$5:E2991,E2991,$H$5:H2991,"Falta",$L$5:L2991,Config!$B$7,$M$5:M2991,Config!$B$5)=1),COUNTIFS($E$5:$E$3004,E2991,$H$5:$H$3004,"Falta",$L$5:$L$3004,Config!$B$7,$M$5:$M$3004,Config!$B$5)*1000-ROW()/100000,0)</f>
        <v>0</v>
      </c>
    </row>
    <row r="2992">
      <c r="A2992" s="39" t="n"/>
      <c r="B2992" s="40" t="n"/>
      <c r="C2992" s="35" t="n"/>
      <c r="D2992" s="35" t="n"/>
      <c r="E2992" s="34" t="n"/>
      <c r="F2992" s="35" t="n"/>
      <c r="G2992" s="35" t="n"/>
      <c r="H2992" s="35" t="n"/>
      <c r="I2992" s="35" t="n"/>
      <c r="J2992" s="35" t="n"/>
      <c r="K2992" s="34" t="n"/>
      <c r="L2992" s="26">
        <f>IF(A2992="","",MONTH(A2992))</f>
        <v/>
      </c>
      <c r="M2992" s="26">
        <f>IF(A2992="","",YEAR(A2992))</f>
        <v/>
      </c>
      <c r="N2992" s="26">
        <f>IF(A2992="","",CHOOSE(WEEKDAY(A2992,2),"Segunda","Terça","Quarta","Quinta","Sexta","Sábado","Domingo"))</f>
        <v/>
      </c>
      <c r="O2992" s="26">
        <f>IF(B2992="","",IF(B2992&lt;TIME(12,0,0),"Manhã",IF(B2992&lt;TIME(18,0,0),"Tarde","Noite")))</f>
        <v/>
      </c>
      <c r="P2992" s="32">
        <f>IF(G2992="","",IFERROR(INDEX(Config!$I$5:$I$16,MATCH(G2992,Config!$H$5:$H$16,0)),0))</f>
        <v/>
      </c>
      <c r="Q2992" s="30">
        <f>IF(OR(H2992&lt;&gt;"Realizado",P2992="",P2992=0),"",A2992+P2992)</f>
        <v/>
      </c>
      <c r="R2992" s="26">
        <f>IF(Q2992="","",IF(COUNTIFS($E$5:$E$3004,E2992,$A$5:$A$3004,"&gt;"&amp;A2992,$H$5:$H$3004,"&lt;&gt;Falta",$H$5:$H$3004,"&lt;&gt;Cancelado",$H$5:$H$3004,"&lt;&gt;Remarcado")&gt;0,"Sim","Não"))</f>
        <v/>
      </c>
      <c r="S2992" s="32">
        <f>IF(R2992&lt;&gt;"Não","",IF(Q2992+Config!$B$9&lt;=Config!$B$8,Config!$B$8-Q2992,""))</f>
        <v/>
      </c>
      <c r="T2992" s="26">
        <f>IF(S2992="","","Sim")</f>
        <v/>
      </c>
      <c r="U2992" s="41">
        <f>IF(T2992="Sim",S2992+ROW()/100000,0)</f>
        <v>0</v>
      </c>
      <c r="V2992" s="41">
        <f>IF(AND(H2992="Falta",L2992=Config!$B$7,M2992=Config!$B$5,COUNTIFS($E$5:E2992,E2992,$H$5:H2992,"Falta",$L$5:L2992,Config!$B$7,$M$5:M2992,Config!$B$5)=1),COUNTIFS($E$5:$E$3004,E2992,$H$5:$H$3004,"Falta",$L$5:$L$3004,Config!$B$7,$M$5:$M$3004,Config!$B$5)*1000-ROW()/100000,0)</f>
        <v>0</v>
      </c>
    </row>
    <row r="2993">
      <c r="A2993" s="39" t="n"/>
      <c r="B2993" s="40" t="n"/>
      <c r="C2993" s="35" t="n"/>
      <c r="D2993" s="35" t="n"/>
      <c r="E2993" s="34" t="n"/>
      <c r="F2993" s="35" t="n"/>
      <c r="G2993" s="35" t="n"/>
      <c r="H2993" s="35" t="n"/>
      <c r="I2993" s="35" t="n"/>
      <c r="J2993" s="35" t="n"/>
      <c r="K2993" s="34" t="n"/>
      <c r="L2993" s="26">
        <f>IF(A2993="","",MONTH(A2993))</f>
        <v/>
      </c>
      <c r="M2993" s="26">
        <f>IF(A2993="","",YEAR(A2993))</f>
        <v/>
      </c>
      <c r="N2993" s="26">
        <f>IF(A2993="","",CHOOSE(WEEKDAY(A2993,2),"Segunda","Terça","Quarta","Quinta","Sexta","Sábado","Domingo"))</f>
        <v/>
      </c>
      <c r="O2993" s="26">
        <f>IF(B2993="","",IF(B2993&lt;TIME(12,0,0),"Manhã",IF(B2993&lt;TIME(18,0,0),"Tarde","Noite")))</f>
        <v/>
      </c>
      <c r="P2993" s="32">
        <f>IF(G2993="","",IFERROR(INDEX(Config!$I$5:$I$16,MATCH(G2993,Config!$H$5:$H$16,0)),0))</f>
        <v/>
      </c>
      <c r="Q2993" s="30">
        <f>IF(OR(H2993&lt;&gt;"Realizado",P2993="",P2993=0),"",A2993+P2993)</f>
        <v/>
      </c>
      <c r="R2993" s="26">
        <f>IF(Q2993="","",IF(COUNTIFS($E$5:$E$3004,E2993,$A$5:$A$3004,"&gt;"&amp;A2993,$H$5:$H$3004,"&lt;&gt;Falta",$H$5:$H$3004,"&lt;&gt;Cancelado",$H$5:$H$3004,"&lt;&gt;Remarcado")&gt;0,"Sim","Não"))</f>
        <v/>
      </c>
      <c r="S2993" s="32">
        <f>IF(R2993&lt;&gt;"Não","",IF(Q2993+Config!$B$9&lt;=Config!$B$8,Config!$B$8-Q2993,""))</f>
        <v/>
      </c>
      <c r="T2993" s="26">
        <f>IF(S2993="","","Sim")</f>
        <v/>
      </c>
      <c r="U2993" s="41">
        <f>IF(T2993="Sim",S2993+ROW()/100000,0)</f>
        <v>0</v>
      </c>
      <c r="V2993" s="41">
        <f>IF(AND(H2993="Falta",L2993=Config!$B$7,M2993=Config!$B$5,COUNTIFS($E$5:E2993,E2993,$H$5:H2993,"Falta",$L$5:L2993,Config!$B$7,$M$5:M2993,Config!$B$5)=1),COUNTIFS($E$5:$E$3004,E2993,$H$5:$H$3004,"Falta",$L$5:$L$3004,Config!$B$7,$M$5:$M$3004,Config!$B$5)*1000-ROW()/100000,0)</f>
        <v>0</v>
      </c>
    </row>
    <row r="2994">
      <c r="A2994" s="39" t="n"/>
      <c r="B2994" s="40" t="n"/>
      <c r="C2994" s="35" t="n"/>
      <c r="D2994" s="35" t="n"/>
      <c r="E2994" s="34" t="n"/>
      <c r="F2994" s="35" t="n"/>
      <c r="G2994" s="35" t="n"/>
      <c r="H2994" s="35" t="n"/>
      <c r="I2994" s="35" t="n"/>
      <c r="J2994" s="35" t="n"/>
      <c r="K2994" s="34" t="n"/>
      <c r="L2994" s="26">
        <f>IF(A2994="","",MONTH(A2994))</f>
        <v/>
      </c>
      <c r="M2994" s="26">
        <f>IF(A2994="","",YEAR(A2994))</f>
        <v/>
      </c>
      <c r="N2994" s="26">
        <f>IF(A2994="","",CHOOSE(WEEKDAY(A2994,2),"Segunda","Terça","Quarta","Quinta","Sexta","Sábado","Domingo"))</f>
        <v/>
      </c>
      <c r="O2994" s="26">
        <f>IF(B2994="","",IF(B2994&lt;TIME(12,0,0),"Manhã",IF(B2994&lt;TIME(18,0,0),"Tarde","Noite")))</f>
        <v/>
      </c>
      <c r="P2994" s="32">
        <f>IF(G2994="","",IFERROR(INDEX(Config!$I$5:$I$16,MATCH(G2994,Config!$H$5:$H$16,0)),0))</f>
        <v/>
      </c>
      <c r="Q2994" s="30">
        <f>IF(OR(H2994&lt;&gt;"Realizado",P2994="",P2994=0),"",A2994+P2994)</f>
        <v/>
      </c>
      <c r="R2994" s="26">
        <f>IF(Q2994="","",IF(COUNTIFS($E$5:$E$3004,E2994,$A$5:$A$3004,"&gt;"&amp;A2994,$H$5:$H$3004,"&lt;&gt;Falta",$H$5:$H$3004,"&lt;&gt;Cancelado",$H$5:$H$3004,"&lt;&gt;Remarcado")&gt;0,"Sim","Não"))</f>
        <v/>
      </c>
      <c r="S2994" s="32">
        <f>IF(R2994&lt;&gt;"Não","",IF(Q2994+Config!$B$9&lt;=Config!$B$8,Config!$B$8-Q2994,""))</f>
        <v/>
      </c>
      <c r="T2994" s="26">
        <f>IF(S2994="","","Sim")</f>
        <v/>
      </c>
      <c r="U2994" s="41">
        <f>IF(T2994="Sim",S2994+ROW()/100000,0)</f>
        <v>0</v>
      </c>
      <c r="V2994" s="41">
        <f>IF(AND(H2994="Falta",L2994=Config!$B$7,M2994=Config!$B$5,COUNTIFS($E$5:E2994,E2994,$H$5:H2994,"Falta",$L$5:L2994,Config!$B$7,$M$5:M2994,Config!$B$5)=1),COUNTIFS($E$5:$E$3004,E2994,$H$5:$H$3004,"Falta",$L$5:$L$3004,Config!$B$7,$M$5:$M$3004,Config!$B$5)*1000-ROW()/100000,0)</f>
        <v>0</v>
      </c>
    </row>
    <row r="2995">
      <c r="A2995" s="39" t="n"/>
      <c r="B2995" s="40" t="n"/>
      <c r="C2995" s="35" t="n"/>
      <c r="D2995" s="35" t="n"/>
      <c r="E2995" s="34" t="n"/>
      <c r="F2995" s="35" t="n"/>
      <c r="G2995" s="35" t="n"/>
      <c r="H2995" s="35" t="n"/>
      <c r="I2995" s="35" t="n"/>
      <c r="J2995" s="35" t="n"/>
      <c r="K2995" s="34" t="n"/>
      <c r="L2995" s="26">
        <f>IF(A2995="","",MONTH(A2995))</f>
        <v/>
      </c>
      <c r="M2995" s="26">
        <f>IF(A2995="","",YEAR(A2995))</f>
        <v/>
      </c>
      <c r="N2995" s="26">
        <f>IF(A2995="","",CHOOSE(WEEKDAY(A2995,2),"Segunda","Terça","Quarta","Quinta","Sexta","Sábado","Domingo"))</f>
        <v/>
      </c>
      <c r="O2995" s="26">
        <f>IF(B2995="","",IF(B2995&lt;TIME(12,0,0),"Manhã",IF(B2995&lt;TIME(18,0,0),"Tarde","Noite")))</f>
        <v/>
      </c>
      <c r="P2995" s="32">
        <f>IF(G2995="","",IFERROR(INDEX(Config!$I$5:$I$16,MATCH(G2995,Config!$H$5:$H$16,0)),0))</f>
        <v/>
      </c>
      <c r="Q2995" s="30">
        <f>IF(OR(H2995&lt;&gt;"Realizado",P2995="",P2995=0),"",A2995+P2995)</f>
        <v/>
      </c>
      <c r="R2995" s="26">
        <f>IF(Q2995="","",IF(COUNTIFS($E$5:$E$3004,E2995,$A$5:$A$3004,"&gt;"&amp;A2995,$H$5:$H$3004,"&lt;&gt;Falta",$H$5:$H$3004,"&lt;&gt;Cancelado",$H$5:$H$3004,"&lt;&gt;Remarcado")&gt;0,"Sim","Não"))</f>
        <v/>
      </c>
      <c r="S2995" s="32">
        <f>IF(R2995&lt;&gt;"Não","",IF(Q2995+Config!$B$9&lt;=Config!$B$8,Config!$B$8-Q2995,""))</f>
        <v/>
      </c>
      <c r="T2995" s="26">
        <f>IF(S2995="","","Sim")</f>
        <v/>
      </c>
      <c r="U2995" s="41">
        <f>IF(T2995="Sim",S2995+ROW()/100000,0)</f>
        <v>0</v>
      </c>
      <c r="V2995" s="41">
        <f>IF(AND(H2995="Falta",L2995=Config!$B$7,M2995=Config!$B$5,COUNTIFS($E$5:E2995,E2995,$H$5:H2995,"Falta",$L$5:L2995,Config!$B$7,$M$5:M2995,Config!$B$5)=1),COUNTIFS($E$5:$E$3004,E2995,$H$5:$H$3004,"Falta",$L$5:$L$3004,Config!$B$7,$M$5:$M$3004,Config!$B$5)*1000-ROW()/100000,0)</f>
        <v>0</v>
      </c>
    </row>
    <row r="2996">
      <c r="A2996" s="39" t="n"/>
      <c r="B2996" s="40" t="n"/>
      <c r="C2996" s="35" t="n"/>
      <c r="D2996" s="35" t="n"/>
      <c r="E2996" s="34" t="n"/>
      <c r="F2996" s="35" t="n"/>
      <c r="G2996" s="35" t="n"/>
      <c r="H2996" s="35" t="n"/>
      <c r="I2996" s="35" t="n"/>
      <c r="J2996" s="35" t="n"/>
      <c r="K2996" s="34" t="n"/>
      <c r="L2996" s="26">
        <f>IF(A2996="","",MONTH(A2996))</f>
        <v/>
      </c>
      <c r="M2996" s="26">
        <f>IF(A2996="","",YEAR(A2996))</f>
        <v/>
      </c>
      <c r="N2996" s="26">
        <f>IF(A2996="","",CHOOSE(WEEKDAY(A2996,2),"Segunda","Terça","Quarta","Quinta","Sexta","Sábado","Domingo"))</f>
        <v/>
      </c>
      <c r="O2996" s="26">
        <f>IF(B2996="","",IF(B2996&lt;TIME(12,0,0),"Manhã",IF(B2996&lt;TIME(18,0,0),"Tarde","Noite")))</f>
        <v/>
      </c>
      <c r="P2996" s="32">
        <f>IF(G2996="","",IFERROR(INDEX(Config!$I$5:$I$16,MATCH(G2996,Config!$H$5:$H$16,0)),0))</f>
        <v/>
      </c>
      <c r="Q2996" s="30">
        <f>IF(OR(H2996&lt;&gt;"Realizado",P2996="",P2996=0),"",A2996+P2996)</f>
        <v/>
      </c>
      <c r="R2996" s="26">
        <f>IF(Q2996="","",IF(COUNTIFS($E$5:$E$3004,E2996,$A$5:$A$3004,"&gt;"&amp;A2996,$H$5:$H$3004,"&lt;&gt;Falta",$H$5:$H$3004,"&lt;&gt;Cancelado",$H$5:$H$3004,"&lt;&gt;Remarcado")&gt;0,"Sim","Não"))</f>
        <v/>
      </c>
      <c r="S2996" s="32">
        <f>IF(R2996&lt;&gt;"Não","",IF(Q2996+Config!$B$9&lt;=Config!$B$8,Config!$B$8-Q2996,""))</f>
        <v/>
      </c>
      <c r="T2996" s="26">
        <f>IF(S2996="","","Sim")</f>
        <v/>
      </c>
      <c r="U2996" s="41">
        <f>IF(T2996="Sim",S2996+ROW()/100000,0)</f>
        <v>0</v>
      </c>
      <c r="V2996" s="41">
        <f>IF(AND(H2996="Falta",L2996=Config!$B$7,M2996=Config!$B$5,COUNTIFS($E$5:E2996,E2996,$H$5:H2996,"Falta",$L$5:L2996,Config!$B$7,$M$5:M2996,Config!$B$5)=1),COUNTIFS($E$5:$E$3004,E2996,$H$5:$H$3004,"Falta",$L$5:$L$3004,Config!$B$7,$M$5:$M$3004,Config!$B$5)*1000-ROW()/100000,0)</f>
        <v>0</v>
      </c>
    </row>
    <row r="2997">
      <c r="A2997" s="39" t="n"/>
      <c r="B2997" s="40" t="n"/>
      <c r="C2997" s="35" t="n"/>
      <c r="D2997" s="35" t="n"/>
      <c r="E2997" s="34" t="n"/>
      <c r="F2997" s="35" t="n"/>
      <c r="G2997" s="35" t="n"/>
      <c r="H2997" s="35" t="n"/>
      <c r="I2997" s="35" t="n"/>
      <c r="J2997" s="35" t="n"/>
      <c r="K2997" s="34" t="n"/>
      <c r="L2997" s="26">
        <f>IF(A2997="","",MONTH(A2997))</f>
        <v/>
      </c>
      <c r="M2997" s="26">
        <f>IF(A2997="","",YEAR(A2997))</f>
        <v/>
      </c>
      <c r="N2997" s="26">
        <f>IF(A2997="","",CHOOSE(WEEKDAY(A2997,2),"Segunda","Terça","Quarta","Quinta","Sexta","Sábado","Domingo"))</f>
        <v/>
      </c>
      <c r="O2997" s="26">
        <f>IF(B2997="","",IF(B2997&lt;TIME(12,0,0),"Manhã",IF(B2997&lt;TIME(18,0,0),"Tarde","Noite")))</f>
        <v/>
      </c>
      <c r="P2997" s="32">
        <f>IF(G2997="","",IFERROR(INDEX(Config!$I$5:$I$16,MATCH(G2997,Config!$H$5:$H$16,0)),0))</f>
        <v/>
      </c>
      <c r="Q2997" s="30">
        <f>IF(OR(H2997&lt;&gt;"Realizado",P2997="",P2997=0),"",A2997+P2997)</f>
        <v/>
      </c>
      <c r="R2997" s="26">
        <f>IF(Q2997="","",IF(COUNTIFS($E$5:$E$3004,E2997,$A$5:$A$3004,"&gt;"&amp;A2997,$H$5:$H$3004,"&lt;&gt;Falta",$H$5:$H$3004,"&lt;&gt;Cancelado",$H$5:$H$3004,"&lt;&gt;Remarcado")&gt;0,"Sim","Não"))</f>
        <v/>
      </c>
      <c r="S2997" s="32">
        <f>IF(R2997&lt;&gt;"Não","",IF(Q2997+Config!$B$9&lt;=Config!$B$8,Config!$B$8-Q2997,""))</f>
        <v/>
      </c>
      <c r="T2997" s="26">
        <f>IF(S2997="","","Sim")</f>
        <v/>
      </c>
      <c r="U2997" s="41">
        <f>IF(T2997="Sim",S2997+ROW()/100000,0)</f>
        <v>0</v>
      </c>
      <c r="V2997" s="41">
        <f>IF(AND(H2997="Falta",L2997=Config!$B$7,M2997=Config!$B$5,COUNTIFS($E$5:E2997,E2997,$H$5:H2997,"Falta",$L$5:L2997,Config!$B$7,$M$5:M2997,Config!$B$5)=1),COUNTIFS($E$5:$E$3004,E2997,$H$5:$H$3004,"Falta",$L$5:$L$3004,Config!$B$7,$M$5:$M$3004,Config!$B$5)*1000-ROW()/100000,0)</f>
        <v>0</v>
      </c>
    </row>
    <row r="2998">
      <c r="A2998" s="39" t="n"/>
      <c r="B2998" s="40" t="n"/>
      <c r="C2998" s="35" t="n"/>
      <c r="D2998" s="35" t="n"/>
      <c r="E2998" s="34" t="n"/>
      <c r="F2998" s="35" t="n"/>
      <c r="G2998" s="35" t="n"/>
      <c r="H2998" s="35" t="n"/>
      <c r="I2998" s="35" t="n"/>
      <c r="J2998" s="35" t="n"/>
      <c r="K2998" s="34" t="n"/>
      <c r="L2998" s="26">
        <f>IF(A2998="","",MONTH(A2998))</f>
        <v/>
      </c>
      <c r="M2998" s="26">
        <f>IF(A2998="","",YEAR(A2998))</f>
        <v/>
      </c>
      <c r="N2998" s="26">
        <f>IF(A2998="","",CHOOSE(WEEKDAY(A2998,2),"Segunda","Terça","Quarta","Quinta","Sexta","Sábado","Domingo"))</f>
        <v/>
      </c>
      <c r="O2998" s="26">
        <f>IF(B2998="","",IF(B2998&lt;TIME(12,0,0),"Manhã",IF(B2998&lt;TIME(18,0,0),"Tarde","Noite")))</f>
        <v/>
      </c>
      <c r="P2998" s="32">
        <f>IF(G2998="","",IFERROR(INDEX(Config!$I$5:$I$16,MATCH(G2998,Config!$H$5:$H$16,0)),0))</f>
        <v/>
      </c>
      <c r="Q2998" s="30">
        <f>IF(OR(H2998&lt;&gt;"Realizado",P2998="",P2998=0),"",A2998+P2998)</f>
        <v/>
      </c>
      <c r="R2998" s="26">
        <f>IF(Q2998="","",IF(COUNTIFS($E$5:$E$3004,E2998,$A$5:$A$3004,"&gt;"&amp;A2998,$H$5:$H$3004,"&lt;&gt;Falta",$H$5:$H$3004,"&lt;&gt;Cancelado",$H$5:$H$3004,"&lt;&gt;Remarcado")&gt;0,"Sim","Não"))</f>
        <v/>
      </c>
      <c r="S2998" s="32">
        <f>IF(R2998&lt;&gt;"Não","",IF(Q2998+Config!$B$9&lt;=Config!$B$8,Config!$B$8-Q2998,""))</f>
        <v/>
      </c>
      <c r="T2998" s="26">
        <f>IF(S2998="","","Sim")</f>
        <v/>
      </c>
      <c r="U2998" s="41">
        <f>IF(T2998="Sim",S2998+ROW()/100000,0)</f>
        <v>0</v>
      </c>
      <c r="V2998" s="41">
        <f>IF(AND(H2998="Falta",L2998=Config!$B$7,M2998=Config!$B$5,COUNTIFS($E$5:E2998,E2998,$H$5:H2998,"Falta",$L$5:L2998,Config!$B$7,$M$5:M2998,Config!$B$5)=1),COUNTIFS($E$5:$E$3004,E2998,$H$5:$H$3004,"Falta",$L$5:$L$3004,Config!$B$7,$M$5:$M$3004,Config!$B$5)*1000-ROW()/100000,0)</f>
        <v>0</v>
      </c>
    </row>
    <row r="2999">
      <c r="A2999" s="39" t="n"/>
      <c r="B2999" s="40" t="n"/>
      <c r="C2999" s="35" t="n"/>
      <c r="D2999" s="35" t="n"/>
      <c r="E2999" s="34" t="n"/>
      <c r="F2999" s="35" t="n"/>
      <c r="G2999" s="35" t="n"/>
      <c r="H2999" s="35" t="n"/>
      <c r="I2999" s="35" t="n"/>
      <c r="J2999" s="35" t="n"/>
      <c r="K2999" s="34" t="n"/>
      <c r="L2999" s="26">
        <f>IF(A2999="","",MONTH(A2999))</f>
        <v/>
      </c>
      <c r="M2999" s="26">
        <f>IF(A2999="","",YEAR(A2999))</f>
        <v/>
      </c>
      <c r="N2999" s="26">
        <f>IF(A2999="","",CHOOSE(WEEKDAY(A2999,2),"Segunda","Terça","Quarta","Quinta","Sexta","Sábado","Domingo"))</f>
        <v/>
      </c>
      <c r="O2999" s="26">
        <f>IF(B2999="","",IF(B2999&lt;TIME(12,0,0),"Manhã",IF(B2999&lt;TIME(18,0,0),"Tarde","Noite")))</f>
        <v/>
      </c>
      <c r="P2999" s="32">
        <f>IF(G2999="","",IFERROR(INDEX(Config!$I$5:$I$16,MATCH(G2999,Config!$H$5:$H$16,0)),0))</f>
        <v/>
      </c>
      <c r="Q2999" s="30">
        <f>IF(OR(H2999&lt;&gt;"Realizado",P2999="",P2999=0),"",A2999+P2999)</f>
        <v/>
      </c>
      <c r="R2999" s="26">
        <f>IF(Q2999="","",IF(COUNTIFS($E$5:$E$3004,E2999,$A$5:$A$3004,"&gt;"&amp;A2999,$H$5:$H$3004,"&lt;&gt;Falta",$H$5:$H$3004,"&lt;&gt;Cancelado",$H$5:$H$3004,"&lt;&gt;Remarcado")&gt;0,"Sim","Não"))</f>
        <v/>
      </c>
      <c r="S2999" s="32">
        <f>IF(R2999&lt;&gt;"Não","",IF(Q2999+Config!$B$9&lt;=Config!$B$8,Config!$B$8-Q2999,""))</f>
        <v/>
      </c>
      <c r="T2999" s="26">
        <f>IF(S2999="","","Sim")</f>
        <v/>
      </c>
      <c r="U2999" s="41">
        <f>IF(T2999="Sim",S2999+ROW()/100000,0)</f>
        <v>0</v>
      </c>
      <c r="V2999" s="41">
        <f>IF(AND(H2999="Falta",L2999=Config!$B$7,M2999=Config!$B$5,COUNTIFS($E$5:E2999,E2999,$H$5:H2999,"Falta",$L$5:L2999,Config!$B$7,$M$5:M2999,Config!$B$5)=1),COUNTIFS($E$5:$E$3004,E2999,$H$5:$H$3004,"Falta",$L$5:$L$3004,Config!$B$7,$M$5:$M$3004,Config!$B$5)*1000-ROW()/100000,0)</f>
        <v>0</v>
      </c>
    </row>
    <row r="3000">
      <c r="A3000" s="39" t="n"/>
      <c r="B3000" s="40" t="n"/>
      <c r="C3000" s="35" t="n"/>
      <c r="D3000" s="35" t="n"/>
      <c r="E3000" s="34" t="n"/>
      <c r="F3000" s="35" t="n"/>
      <c r="G3000" s="35" t="n"/>
      <c r="H3000" s="35" t="n"/>
      <c r="I3000" s="35" t="n"/>
      <c r="J3000" s="35" t="n"/>
      <c r="K3000" s="34" t="n"/>
      <c r="L3000" s="26">
        <f>IF(A3000="","",MONTH(A3000))</f>
        <v/>
      </c>
      <c r="M3000" s="26">
        <f>IF(A3000="","",YEAR(A3000))</f>
        <v/>
      </c>
      <c r="N3000" s="26">
        <f>IF(A3000="","",CHOOSE(WEEKDAY(A3000,2),"Segunda","Terça","Quarta","Quinta","Sexta","Sábado","Domingo"))</f>
        <v/>
      </c>
      <c r="O3000" s="26">
        <f>IF(B3000="","",IF(B3000&lt;TIME(12,0,0),"Manhã",IF(B3000&lt;TIME(18,0,0),"Tarde","Noite")))</f>
        <v/>
      </c>
      <c r="P3000" s="32">
        <f>IF(G3000="","",IFERROR(INDEX(Config!$I$5:$I$16,MATCH(G3000,Config!$H$5:$H$16,0)),0))</f>
        <v/>
      </c>
      <c r="Q3000" s="30">
        <f>IF(OR(H3000&lt;&gt;"Realizado",P3000="",P3000=0),"",A3000+P3000)</f>
        <v/>
      </c>
      <c r="R3000" s="26">
        <f>IF(Q3000="","",IF(COUNTIFS($E$5:$E$3004,E3000,$A$5:$A$3004,"&gt;"&amp;A3000,$H$5:$H$3004,"&lt;&gt;Falta",$H$5:$H$3004,"&lt;&gt;Cancelado",$H$5:$H$3004,"&lt;&gt;Remarcado")&gt;0,"Sim","Não"))</f>
        <v/>
      </c>
      <c r="S3000" s="32">
        <f>IF(R3000&lt;&gt;"Não","",IF(Q3000+Config!$B$9&lt;=Config!$B$8,Config!$B$8-Q3000,""))</f>
        <v/>
      </c>
      <c r="T3000" s="26">
        <f>IF(S3000="","","Sim")</f>
        <v/>
      </c>
      <c r="U3000" s="41">
        <f>IF(T3000="Sim",S3000+ROW()/100000,0)</f>
        <v>0</v>
      </c>
      <c r="V3000" s="41">
        <f>IF(AND(H3000="Falta",L3000=Config!$B$7,M3000=Config!$B$5,COUNTIFS($E$5:E3000,E3000,$H$5:H3000,"Falta",$L$5:L3000,Config!$B$7,$M$5:M3000,Config!$B$5)=1),COUNTIFS($E$5:$E$3004,E3000,$H$5:$H$3004,"Falta",$L$5:$L$3004,Config!$B$7,$M$5:$M$3004,Config!$B$5)*1000-ROW()/100000,0)</f>
        <v>0</v>
      </c>
    </row>
    <row r="3001">
      <c r="A3001" s="39" t="n"/>
      <c r="B3001" s="40" t="n"/>
      <c r="C3001" s="35" t="n"/>
      <c r="D3001" s="35" t="n"/>
      <c r="E3001" s="34" t="n"/>
      <c r="F3001" s="35" t="n"/>
      <c r="G3001" s="35" t="n"/>
      <c r="H3001" s="35" t="n"/>
      <c r="I3001" s="35" t="n"/>
      <c r="J3001" s="35" t="n"/>
      <c r="K3001" s="34" t="n"/>
      <c r="L3001" s="26">
        <f>IF(A3001="","",MONTH(A3001))</f>
        <v/>
      </c>
      <c r="M3001" s="26">
        <f>IF(A3001="","",YEAR(A3001))</f>
        <v/>
      </c>
      <c r="N3001" s="26">
        <f>IF(A3001="","",CHOOSE(WEEKDAY(A3001,2),"Segunda","Terça","Quarta","Quinta","Sexta","Sábado","Domingo"))</f>
        <v/>
      </c>
      <c r="O3001" s="26">
        <f>IF(B3001="","",IF(B3001&lt;TIME(12,0,0),"Manhã",IF(B3001&lt;TIME(18,0,0),"Tarde","Noite")))</f>
        <v/>
      </c>
      <c r="P3001" s="32">
        <f>IF(G3001="","",IFERROR(INDEX(Config!$I$5:$I$16,MATCH(G3001,Config!$H$5:$H$16,0)),0))</f>
        <v/>
      </c>
      <c r="Q3001" s="30">
        <f>IF(OR(H3001&lt;&gt;"Realizado",P3001="",P3001=0),"",A3001+P3001)</f>
        <v/>
      </c>
      <c r="R3001" s="26">
        <f>IF(Q3001="","",IF(COUNTIFS($E$5:$E$3004,E3001,$A$5:$A$3004,"&gt;"&amp;A3001,$H$5:$H$3004,"&lt;&gt;Falta",$H$5:$H$3004,"&lt;&gt;Cancelado",$H$5:$H$3004,"&lt;&gt;Remarcado")&gt;0,"Sim","Não"))</f>
        <v/>
      </c>
      <c r="S3001" s="32">
        <f>IF(R3001&lt;&gt;"Não","",IF(Q3001+Config!$B$9&lt;=Config!$B$8,Config!$B$8-Q3001,""))</f>
        <v/>
      </c>
      <c r="T3001" s="26">
        <f>IF(S3001="","","Sim")</f>
        <v/>
      </c>
      <c r="U3001" s="41">
        <f>IF(T3001="Sim",S3001+ROW()/100000,0)</f>
        <v>0</v>
      </c>
      <c r="V3001" s="41">
        <f>IF(AND(H3001="Falta",L3001=Config!$B$7,M3001=Config!$B$5,COUNTIFS($E$5:E3001,E3001,$H$5:H3001,"Falta",$L$5:L3001,Config!$B$7,$M$5:M3001,Config!$B$5)=1),COUNTIFS($E$5:$E$3004,E3001,$H$5:$H$3004,"Falta",$L$5:$L$3004,Config!$B$7,$M$5:$M$3004,Config!$B$5)*1000-ROW()/100000,0)</f>
        <v>0</v>
      </c>
    </row>
    <row r="3002">
      <c r="A3002" s="39" t="n"/>
      <c r="B3002" s="40" t="n"/>
      <c r="C3002" s="35" t="n"/>
      <c r="D3002" s="35" t="n"/>
      <c r="E3002" s="34" t="n"/>
      <c r="F3002" s="35" t="n"/>
      <c r="G3002" s="35" t="n"/>
      <c r="H3002" s="35" t="n"/>
      <c r="I3002" s="35" t="n"/>
      <c r="J3002" s="35" t="n"/>
      <c r="K3002" s="34" t="n"/>
      <c r="L3002" s="26">
        <f>IF(A3002="","",MONTH(A3002))</f>
        <v/>
      </c>
      <c r="M3002" s="26">
        <f>IF(A3002="","",YEAR(A3002))</f>
        <v/>
      </c>
      <c r="N3002" s="26">
        <f>IF(A3002="","",CHOOSE(WEEKDAY(A3002,2),"Segunda","Terça","Quarta","Quinta","Sexta","Sábado","Domingo"))</f>
        <v/>
      </c>
      <c r="O3002" s="26">
        <f>IF(B3002="","",IF(B3002&lt;TIME(12,0,0),"Manhã",IF(B3002&lt;TIME(18,0,0),"Tarde","Noite")))</f>
        <v/>
      </c>
      <c r="P3002" s="32">
        <f>IF(G3002="","",IFERROR(INDEX(Config!$I$5:$I$16,MATCH(G3002,Config!$H$5:$H$16,0)),0))</f>
        <v/>
      </c>
      <c r="Q3002" s="30">
        <f>IF(OR(H3002&lt;&gt;"Realizado",P3002="",P3002=0),"",A3002+P3002)</f>
        <v/>
      </c>
      <c r="R3002" s="26">
        <f>IF(Q3002="","",IF(COUNTIFS($E$5:$E$3004,E3002,$A$5:$A$3004,"&gt;"&amp;A3002,$H$5:$H$3004,"&lt;&gt;Falta",$H$5:$H$3004,"&lt;&gt;Cancelado",$H$5:$H$3004,"&lt;&gt;Remarcado")&gt;0,"Sim","Não"))</f>
        <v/>
      </c>
      <c r="S3002" s="32">
        <f>IF(R3002&lt;&gt;"Não","",IF(Q3002+Config!$B$9&lt;=Config!$B$8,Config!$B$8-Q3002,""))</f>
        <v/>
      </c>
      <c r="T3002" s="26">
        <f>IF(S3002="","","Sim")</f>
        <v/>
      </c>
      <c r="U3002" s="41">
        <f>IF(T3002="Sim",S3002+ROW()/100000,0)</f>
        <v>0</v>
      </c>
      <c r="V3002" s="41">
        <f>IF(AND(H3002="Falta",L3002=Config!$B$7,M3002=Config!$B$5,COUNTIFS($E$5:E3002,E3002,$H$5:H3002,"Falta",$L$5:L3002,Config!$B$7,$M$5:M3002,Config!$B$5)=1),COUNTIFS($E$5:$E$3004,E3002,$H$5:$H$3004,"Falta",$L$5:$L$3004,Config!$B$7,$M$5:$M$3004,Config!$B$5)*1000-ROW()/100000,0)</f>
        <v>0</v>
      </c>
    </row>
    <row r="3003">
      <c r="A3003" s="39" t="n"/>
      <c r="B3003" s="40" t="n"/>
      <c r="C3003" s="35" t="n"/>
      <c r="D3003" s="35" t="n"/>
      <c r="E3003" s="34" t="n"/>
      <c r="F3003" s="35" t="n"/>
      <c r="G3003" s="35" t="n"/>
      <c r="H3003" s="35" t="n"/>
      <c r="I3003" s="35" t="n"/>
      <c r="J3003" s="35" t="n"/>
      <c r="K3003" s="34" t="n"/>
      <c r="L3003" s="26">
        <f>IF(A3003="","",MONTH(A3003))</f>
        <v/>
      </c>
      <c r="M3003" s="26">
        <f>IF(A3003="","",YEAR(A3003))</f>
        <v/>
      </c>
      <c r="N3003" s="26">
        <f>IF(A3003="","",CHOOSE(WEEKDAY(A3003,2),"Segunda","Terça","Quarta","Quinta","Sexta","Sábado","Domingo"))</f>
        <v/>
      </c>
      <c r="O3003" s="26">
        <f>IF(B3003="","",IF(B3003&lt;TIME(12,0,0),"Manhã",IF(B3003&lt;TIME(18,0,0),"Tarde","Noite")))</f>
        <v/>
      </c>
      <c r="P3003" s="32">
        <f>IF(G3003="","",IFERROR(INDEX(Config!$I$5:$I$16,MATCH(G3003,Config!$H$5:$H$16,0)),0))</f>
        <v/>
      </c>
      <c r="Q3003" s="30">
        <f>IF(OR(H3003&lt;&gt;"Realizado",P3003="",P3003=0),"",A3003+P3003)</f>
        <v/>
      </c>
      <c r="R3003" s="26">
        <f>IF(Q3003="","",IF(COUNTIFS($E$5:$E$3004,E3003,$A$5:$A$3004,"&gt;"&amp;A3003,$H$5:$H$3004,"&lt;&gt;Falta",$H$5:$H$3004,"&lt;&gt;Cancelado",$H$5:$H$3004,"&lt;&gt;Remarcado")&gt;0,"Sim","Não"))</f>
        <v/>
      </c>
      <c r="S3003" s="32">
        <f>IF(R3003&lt;&gt;"Não","",IF(Q3003+Config!$B$9&lt;=Config!$B$8,Config!$B$8-Q3003,""))</f>
        <v/>
      </c>
      <c r="T3003" s="26">
        <f>IF(S3003="","","Sim")</f>
        <v/>
      </c>
      <c r="U3003" s="41">
        <f>IF(T3003="Sim",S3003+ROW()/100000,0)</f>
        <v>0</v>
      </c>
      <c r="V3003" s="41">
        <f>IF(AND(H3003="Falta",L3003=Config!$B$7,M3003=Config!$B$5,COUNTIFS($E$5:E3003,E3003,$H$5:H3003,"Falta",$L$5:L3003,Config!$B$7,$M$5:M3003,Config!$B$5)=1),COUNTIFS($E$5:$E$3004,E3003,$H$5:$H$3004,"Falta",$L$5:$L$3004,Config!$B$7,$M$5:$M$3004,Config!$B$5)*1000-ROW()/100000,0)</f>
        <v>0</v>
      </c>
    </row>
    <row r="3004">
      <c r="A3004" s="39" t="n"/>
      <c r="B3004" s="40" t="n"/>
      <c r="C3004" s="35" t="n"/>
      <c r="D3004" s="35" t="n"/>
      <c r="E3004" s="34" t="n"/>
      <c r="F3004" s="35" t="n"/>
      <c r="G3004" s="35" t="n"/>
      <c r="H3004" s="35" t="n"/>
      <c r="I3004" s="35" t="n"/>
      <c r="J3004" s="35" t="n"/>
      <c r="K3004" s="34" t="n"/>
      <c r="L3004" s="26">
        <f>IF(A3004="","",MONTH(A3004))</f>
        <v/>
      </c>
      <c r="M3004" s="26">
        <f>IF(A3004="","",YEAR(A3004))</f>
        <v/>
      </c>
      <c r="N3004" s="26">
        <f>IF(A3004="","",CHOOSE(WEEKDAY(A3004,2),"Segunda","Terça","Quarta","Quinta","Sexta","Sábado","Domingo"))</f>
        <v/>
      </c>
      <c r="O3004" s="26">
        <f>IF(B3004="","",IF(B3004&lt;TIME(12,0,0),"Manhã",IF(B3004&lt;TIME(18,0,0),"Tarde","Noite")))</f>
        <v/>
      </c>
      <c r="P3004" s="32">
        <f>IF(G3004="","",IFERROR(INDEX(Config!$I$5:$I$16,MATCH(G3004,Config!$H$5:$H$16,0)),0))</f>
        <v/>
      </c>
      <c r="Q3004" s="30">
        <f>IF(OR(H3004&lt;&gt;"Realizado",P3004="",P3004=0),"",A3004+P3004)</f>
        <v/>
      </c>
      <c r="R3004" s="26">
        <f>IF(Q3004="","",IF(COUNTIFS($E$5:$E$3004,E3004,$A$5:$A$3004,"&gt;"&amp;A3004,$H$5:$H$3004,"&lt;&gt;Falta",$H$5:$H$3004,"&lt;&gt;Cancelado",$H$5:$H$3004,"&lt;&gt;Remarcado")&gt;0,"Sim","Não"))</f>
        <v/>
      </c>
      <c r="S3004" s="32">
        <f>IF(R3004&lt;&gt;"Não","",IF(Q3004+Config!$B$9&lt;=Config!$B$8,Config!$B$8-Q3004,""))</f>
        <v/>
      </c>
      <c r="T3004" s="26">
        <f>IF(S3004="","","Sim")</f>
        <v/>
      </c>
      <c r="U3004" s="41">
        <f>IF(T3004="Sim",S3004+ROW()/100000,0)</f>
        <v>0</v>
      </c>
      <c r="V3004" s="41">
        <f>IF(AND(H3004="Falta",L3004=Config!$B$7,M3004=Config!$B$5,COUNTIFS($E$5:E3004,E3004,$H$5:H3004,"Falta",$L$5:L3004,Config!$B$7,$M$5:M3004,Config!$B$5)=1),COUNTIFS($E$5:$E$3004,E3004,$H$5:$H$3004,"Falta",$L$5:$L$3004,Config!$B$7,$M$5:$M$3004,Config!$B$5)*1000-ROW()/100000,0)</f>
        <v>0</v>
      </c>
    </row>
    <row r="3006">
      <c r="A3006" s="31" t="inlineStr">
        <is>
          <t>Vermelho: falta. Amarelo: paciente na lista de retorno (passou do retorno previsto e não tem nenhum horário depois). "Voltou ou tem horário?" olha qualquer atendimento posterior do paciente que não seja falta, cancelamento ou remarcação.</t>
        </is>
      </c>
    </row>
    <row r="3007">
      <c r="A3007" s="31" t="inlineStr">
        <is>
          <t>Esta aba tem 3000 linhas (5 a 3004), a mesma capacidade da Agenda da planilha 01: com cerca de 300 atendimentos por mês, dá 10 meses. Para estender, desproteja a aba, copie a última linha para baixo e ajuste o número final nas fórmulas do Painel — ou comece um arquivo por ano, junto com a 01.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T3004"/>
  <mergeCells count="2">
    <mergeCell ref="A1:T1"/>
    <mergeCell ref="A2:T2"/>
  </mergeCells>
  <conditionalFormatting sqref="A5:T3004">
    <cfRule type="expression" priority="1" dxfId="3">
      <formula>$H5="Falta"</formula>
    </cfRule>
    <cfRule type="expression" priority="2" dxfId="2">
      <formula>$T5="Sim"</formula>
    </cfRule>
    <cfRule type="expression" priority="3" dxfId="4">
      <formula>OR($H5="Cancelado",$H5="Remarcado")</formula>
    </cfRule>
  </conditionalFormatting>
  <dataValidations count="5">
    <dataValidation sqref="C5:C3004" showDropDown="0" showInputMessage="0" showErrorMessage="0" allowBlank="1" type="list">
      <formula1>=OFFSET(Config!$D$5,0,0,MAX(1,COUNTA(Config!$D$5:$D$12)),1)</formula1>
    </dataValidation>
    <dataValidation sqref="F5:F3004" showDropDown="0" showInputMessage="0" showErrorMessage="0" allowBlank="1" type="list">
      <formula1>=OFFSET(Config!$F$5,0,0,MAX(1,COUNTA(Config!$F$5:$F$10)),1)</formula1>
    </dataValidation>
    <dataValidation sqref="G5:G3004" showDropDown="0" showInputMessage="0" showErrorMessage="0" allowBlank="1" type="list">
      <formula1>=OFFSET(Config!$H$5,0,0,MAX(1,COUNTA(Config!$H$5:$H$16)),1)</formula1>
    </dataValidation>
    <dataValidation sqref="H5:H3004" showDropDown="0" showInputMessage="0" showErrorMessage="1" allowBlank="1" type="list">
      <formula1>"Agendado,Confirmado,Realizado,Falta,Cancelado,Remarcado"</formula1>
    </dataValidation>
    <dataValidation sqref="A5:A3004" showDropDown="0" showInputMessage="0" showErrorMessage="0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Faltas, remarcações e lista de retorno · Kit de Gestão para Médicos</dc:title>
  <dcterms:created xmlns:dcterms="http://purl.org/dc/terms/" xmlns:xsi="http://www.w3.org/2001/XMLSchema-instance" xsi:type="dcterms:W3CDTF">2026-09-17T14:44:43Z</dcterms:created>
  <dcterms:modified xmlns:dcterms="http://purl.org/dc/terms/" xmlns:xsi="http://www.w3.org/2001/XMLSchema-instance" xsi:type="dcterms:W3CDTF">2026-09-17T14:44:49Z</dcterms:modified>
</cp:coreProperties>
</file>