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passe" sheetId="4" state="visible" r:id="rId4"/>
    <sheet xmlns:r="http://schemas.openxmlformats.org/officeDocument/2006/relationships" name="Resultado mensal" sheetId="5" state="visible" r:id="rId5"/>
    <sheet xmlns:r="http://schemas.openxmlformats.org/officeDocument/2006/relationships" name="Retiradas" sheetId="6" state="visible" r:id="rId6"/>
  </sheets>
  <definedNames>
    <definedName name="_xlnm._FilterDatabase" localSheetId="5" hidden="1">'Retiradas'!$A$4:$H$404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&quot;R$&quot; #,##0;[Red]-&quot;R$&quot; #,##0"/>
    <numFmt numFmtId="166" formatCode="#,##0.0"/>
    <numFmt numFmtId="167" formatCode="dd/mm/yyyy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7A1F1F"/>
      <sz val="10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13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4" fillId="0" borderId="0" pivotButton="0" quotePrefix="0" xfId="0"/>
    <xf numFmtId="0" fontId="8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1" fillId="4" borderId="0" applyAlignment="1" pivotButton="0" quotePrefix="0" xfId="0">
      <alignment horizontal="center"/>
    </xf>
    <xf numFmtId="0" fontId="0" fillId="4" borderId="0" pivotButton="0" quotePrefix="0" xfId="0"/>
    <xf numFmtId="0" fontId="11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5" fontId="13" fillId="6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4" fontId="4" fillId="2" borderId="1" applyProtection="1" pivotButton="0" quotePrefix="0" xfId="0">
      <protection locked="0" hidden="0"/>
    </xf>
    <xf numFmtId="0" fontId="3" fillId="0" borderId="1" pivotButton="0" quotePrefix="0" xfId="0"/>
    <xf numFmtId="9" fontId="3" fillId="0" borderId="1" applyAlignment="1" pivotButton="0" quotePrefix="0" xfId="0">
      <alignment horizontal="center"/>
    </xf>
    <xf numFmtId="164" fontId="3" fillId="0" borderId="1" pivotButton="0" quotePrefix="0" xfId="0"/>
    <xf numFmtId="0" fontId="7" fillId="0" borderId="0" pivotButton="0" quotePrefix="0" xfId="0"/>
    <xf numFmtId="1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9" fontId="4" fillId="0" borderId="1" applyAlignment="1" pivotButton="0" quotePrefix="0" xfId="0">
      <alignment horizontal="center"/>
    </xf>
    <xf numFmtId="167" fontId="4" fillId="2" borderId="1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name val="Arial"/>
        <b val="1"/>
        <color rgb="003B1F5E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3EEFB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ill>
        <patternFill patternType="solid">
          <fgColor rgb="00FBE4E4"/>
        </patternFill>
      </fill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Repasse aos médicos parceiros e pró-labore dos sócios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 três dinheiros que costumam se misturar: o repasse dos médicos parceiros (% da produção do mês), o pró-labore fixo dos sócios e o que passou do combinado (retirada extra, despesa pessoal paga pela clínica). Mostra se a parceria paga a sala que usa e distribui o lucro de cada trimestre fechado por uma regra clara.</t>
        </is>
      </c>
    </row>
    <row r="5" ht="46" customHeight="1">
      <c r="A5" s="3" t="inlineStr">
        <is>
          <t>Passo 1</t>
        </is>
      </c>
      <c r="B5" s="4" t="inlineStr">
        <is>
          <t>Em Config, cadastre os sócios (participação no lucro, pró-labore fixo), os parceiros (% de repasse, sobre produção ou recebido, dia de pagamento), a regra de distribuição e o custo indireto por hora (Painel da 05) — que entra só como informação, para mostrar o tamanho da estrutura que o parceiro usa.</t>
        </is>
      </c>
    </row>
    <row r="6" ht="46" customHeight="1">
      <c r="A6" s="3" t="inlineStr">
        <is>
          <t>Passo 2</t>
        </is>
      </c>
      <c r="B6" s="4" t="inlineStr">
        <is>
          <t>Em Repasse, uma linha por parceiro e mês: produção e horas atendidas (Painel da 01, por profissional, com o mês escolhido em Config), o material e insumo que os atendimentos dele consumiram e, quando pagar, a data e o valor. O repasse pago é a mesma saída do caixa (09).</t>
        </is>
      </c>
    </row>
    <row r="7" ht="46" customHeight="1">
      <c r="A7" s="3" t="inlineStr">
        <is>
          <t>Passo 3</t>
        </is>
      </c>
      <c r="B7" s="4" t="inlineStr">
        <is>
          <t>Em Resultado mensal, entradas e saídas da clínica sem nada dos sócios (Painel da 09). Em Retiradas, uma linha por movimento entre clínica e sócio: pró-labore, retirada extra, despesa pessoal, devolução e distribuição de lucro.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repasse devido e a pagar, margem da parceria, o que cada sócio retirou × o combinado no mês e no ano, o saldo a acertar e o lucro distribuível dos trimestres fechados contra o que já foi pago.</t>
        </is>
      </c>
    </row>
    <row r="9" ht="46" customHeight="1">
      <c r="A9" s="3" t="inlineStr">
        <is>
          <t>Rotina</t>
        </is>
      </c>
      <c r="B9" s="4" t="inlineStr">
        <is>
          <t>Dia 10: pagar o repasse do mês anterior e lançar. Dia 28: pagar o pró-labore e lançar. No fechamento do mês: lançar despesas pessoais que passaram pela conta da clínica e combinar como zerar. No fim de cada trimestre: distribuir o lucro pela regra, não pelo humor do caixa.</t>
        </is>
      </c>
    </row>
    <row r="10" ht="46" customHeight="1">
      <c r="A10" s="3" t="inlineStr">
        <is>
          <t>Com a IA</t>
        </is>
      </c>
      <c r="B10" s="4" t="inlineStr">
        <is>
          <t>Copie "Médicos parceiros" e "Sócios no ano" e use o prompt "Caixa 06 · Separar o que é da clínica e o que é pessoal" ou "Caixa 07 · Conversa sobre o repasse com o médico parceiro"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3" customWidth="1" min="4" max="4"/>
    <col width="14" customWidth="1" min="5" max="5"/>
    <col width="12" customWidth="1" min="6" max="6"/>
    <col width="13" customWidth="1" min="7" max="7"/>
    <col width="14" customWidth="1" min="8" max="8"/>
    <col width="14" customWidth="1" min="9" max="9"/>
    <col width="15" customWidth="1" min="10" max="10"/>
    <col width="17" customWidth="1" min="11" max="11"/>
  </cols>
  <sheetData>
    <row r="1" ht="28" customHeight="1">
      <c r="A1" s="5" t="str">
        <f>Config!B4&amp;" · Repasse e pró-labore · "&amp;Config!B6&amp;" de "&amp;Config!B5</f>
        <v>Clínica Vida Plena (exemplo fictício) · Repasse e pró-labore · Setembro de 2026</v>
      </c>
    </row>
    <row r="2">
      <c r="A2" s="6" t="inlineStr">
        <is>
          <t>Nada para digitar aqui. Parceiros e sócios vêm de Config; repasses, de Repasse; movimentos, de Retiradas; lucro, de Resultado mensal.</t>
        </is>
      </c>
    </row>
    <row r="3"/>
    <row r="4">
      <c r="A4" s="7" t="inlineStr">
        <is>
          <t>Repasse devido no mês</t>
        </is>
      </c>
      <c r="B4" s="8" t="n"/>
      <c r="C4" s="9" t="inlineStr">
        <is>
          <t>Repasse a pagar (ano)</t>
        </is>
      </c>
      <c r="D4" s="10" t="n"/>
      <c r="E4" s="9" t="inlineStr">
        <is>
          <t>Pró-labore combinado (mês)</t>
        </is>
      </c>
      <c r="F4" s="10" t="n"/>
      <c r="G4" s="11" t="inlineStr">
        <is>
          <t>Fora do combinado (mês)</t>
        </is>
      </c>
      <c r="H4" s="12" t="n"/>
      <c r="I4" s="11" t="inlineStr">
        <is>
          <t>A acertar com a clínica (ano)</t>
        </is>
      </c>
      <c r="J4" s="12" t="n"/>
    </row>
    <row r="5" ht="30" customHeight="1">
      <c r="A5" s="13">
        <f>SUM(C9:C12)</f>
        <v>2925</v>
      </c>
      <c r="B5" s="8" t="n"/>
      <c r="C5" s="14">
        <f>SUM(G9:G12)</f>
        <v>2925</v>
      </c>
      <c r="D5" s="10" t="n"/>
      <c r="E5" s="14">
        <f>Config!$C$21</f>
        <v>18000</v>
      </c>
      <c r="F5" s="10" t="n"/>
      <c r="G5" s="15">
        <f>SUM(I15:I20)</f>
        <v>0</v>
      </c>
      <c r="H5" s="12" t="n"/>
      <c r="I5" s="15">
        <f>SUM(G26:G31)</f>
        <v>5440</v>
      </c>
      <c r="J5" s="12" t="n"/>
    </row>
    <row r="6"/>
    <row r="7">
      <c r="A7" s="16" t="inlineStr">
        <is>
          <t>Médicos parceiros: no mês do painel e no ano</t>
        </is>
      </c>
    </row>
    <row r="8" ht="52" customHeight="1">
      <c r="A8" s="17" t="inlineStr">
        <is>
          <t>Parceiro</t>
        </is>
      </c>
      <c r="B8" s="17" t="inlineStr">
        <is>
          <t>Produção no mês</t>
        </is>
      </c>
      <c r="C8" s="17" t="inlineStr">
        <is>
          <t>Repasse devido no mês</t>
        </is>
      </c>
      <c r="D8" s="17" t="inlineStr">
        <is>
          <t>Produção no ano</t>
        </is>
      </c>
      <c r="E8" s="17" t="inlineStr">
        <is>
          <t>Repasse no ano</t>
        </is>
      </c>
      <c r="F8" s="17" t="inlineStr">
        <is>
          <t>Pago no ano</t>
        </is>
      </c>
      <c r="G8" s="17" t="inlineStr">
        <is>
          <t>A pagar</t>
        </is>
      </c>
      <c r="H8" s="17" t="inlineStr">
        <is>
          <t>Fica com a clínica (ano)</t>
        </is>
      </c>
      <c r="I8" s="17" t="inlineStr">
        <is>
          <t>Material e insumo (ano)</t>
        </is>
      </c>
      <c r="J8" s="17" t="inlineStr">
        <is>
          <t>Margem da parceria (ano)</t>
        </is>
      </c>
      <c r="K8" s="17" t="inlineStr">
        <is>
          <t>Custo indireto das horas (ano, informativo)</t>
        </is>
      </c>
    </row>
    <row r="9">
      <c r="A9" s="18" t="str">
        <f>IF(Config!$A$25="","",Config!$A$25)</f>
        <v>Dra. Renata Sousa</v>
      </c>
      <c r="B9" s="19">
        <f>IF(Config!$A$25="","",SUMIFS(Repasse!$D$5:$D$40,Repasse!$C$5:$C$40,Config!$A$25,Repasse!$O$5:$O$40,Config!$B$7,Repasse!$B$5:$B$40,Config!$B$5))</f>
        <v>5850</v>
      </c>
      <c r="C9" s="19">
        <f>IF(Config!$A$25="","",SUMIFS(Repasse!$G$5:$G$40,Repasse!$C$5:$C$40,Config!$A$25,Repasse!$O$5:$O$40,Config!$B$7,Repasse!$B$5:$B$40,Config!$B$5))</f>
        <v>2925</v>
      </c>
      <c r="D9" s="19">
        <f>IF(Config!$A$25="","",SUMIFS(Repasse!$D$5:$D$40,Repasse!$C$5:$C$40,Config!$A$25,Repasse!$B$5:$B$40,Config!$B$5,Repasse!$O$5:$O$40,"&lt;="&amp;Config!$B$7))</f>
        <v>80680</v>
      </c>
      <c r="E9" s="19">
        <f>IF(Config!$A$25="","",SUMIFS(Repasse!$G$5:$G$40,Repasse!$C$5:$C$40,Config!$A$25,Repasse!$B$5:$B$40,Config!$B$5,Repasse!$O$5:$O$40,"&lt;="&amp;Config!$B$7))</f>
        <v>40340</v>
      </c>
      <c r="F9" s="19">
        <f>IF(Config!$A$25="","",SUMIFS(Repasse!$I$5:$I$40,Repasse!$C$5:$C$40,Config!$A$25,Repasse!$B$5:$B$40,Config!$B$5,Repasse!$O$5:$O$40,"&lt;="&amp;Config!$B$7))</f>
        <v>37415</v>
      </c>
      <c r="G9" s="20">
        <f>IF(Config!$A$25="","",E9-F9)</f>
        <v>2925</v>
      </c>
      <c r="H9" s="19">
        <f>IF(Config!$A$25="","",D9-E9)</f>
        <v>40340</v>
      </c>
      <c r="I9" s="19">
        <f>IF(Config!$A$25="","",SUMIFS(Repasse!$L$5:$L$40,Repasse!$C$5:$C$40,Config!$A$25,Repasse!$B$5:$B$40,Config!$B$5,Repasse!$O$5:$O$40,"&lt;="&amp;Config!$B$7))</f>
        <v>1226</v>
      </c>
      <c r="J9" s="20">
        <f>IF(Config!$A$25="","",H9-I9)</f>
        <v>39114</v>
      </c>
      <c r="K9" s="21">
        <f>IF(Config!$A$25="","",SUMIFS(Repasse!$N$5:$N$40,Repasse!$C$5:$C$40,Config!$A$25,Repasse!$B$5:$B$40,Config!$B$5,Repasse!$O$5:$O$40,"&lt;="&amp;Config!$B$7))</f>
        <v>14600.00584</v>
      </c>
    </row>
    <row r="10">
      <c r="A10" s="18">
        <f>IF(Config!$A$26="","",Config!$A$26)</f>
        <v/>
      </c>
      <c r="B10" s="19">
        <f>IF(Config!$A$26="","",SUMIFS(Repasse!$D$5:$D$40,Repasse!$C$5:$C$40,Config!$A$26,Repasse!$O$5:$O$40,Config!$B$7,Repasse!$B$5:$B$40,Config!$B$5))</f>
        <v/>
      </c>
      <c r="C10" s="19">
        <f>IF(Config!$A$26="","",SUMIFS(Repasse!$G$5:$G$40,Repasse!$C$5:$C$40,Config!$A$26,Repasse!$O$5:$O$40,Config!$B$7,Repasse!$B$5:$B$40,Config!$B$5))</f>
        <v/>
      </c>
      <c r="D10" s="19">
        <f>IF(Config!$A$26="","",SUMIFS(Repasse!$D$5:$D$40,Repasse!$C$5:$C$40,Config!$A$26,Repasse!$B$5:$B$40,Config!$B$5,Repasse!$O$5:$O$40,"&lt;="&amp;Config!$B$7))</f>
        <v/>
      </c>
      <c r="E10" s="19">
        <f>IF(Config!$A$26="","",SUMIFS(Repasse!$G$5:$G$40,Repasse!$C$5:$C$40,Config!$A$26,Repasse!$B$5:$B$40,Config!$B$5,Repasse!$O$5:$O$40,"&lt;="&amp;Config!$B$7))</f>
        <v/>
      </c>
      <c r="F10" s="19">
        <f>IF(Config!$A$26="","",SUMIFS(Repasse!$I$5:$I$40,Repasse!$C$5:$C$40,Config!$A$26,Repasse!$B$5:$B$40,Config!$B$5,Repasse!$O$5:$O$40,"&lt;="&amp;Config!$B$7))</f>
        <v/>
      </c>
      <c r="G10" s="20">
        <f>IF(Config!$A$26="","",E10-F10)</f>
        <v/>
      </c>
      <c r="H10" s="19">
        <f>IF(Config!$A$26="","",D10-E10)</f>
        <v/>
      </c>
      <c r="I10" s="19">
        <f>IF(Config!$A$26="","",SUMIFS(Repasse!$L$5:$L$40,Repasse!$C$5:$C$40,Config!$A$26,Repasse!$B$5:$B$40,Config!$B$5,Repasse!$O$5:$O$40,"&lt;="&amp;Config!$B$7))</f>
        <v/>
      </c>
      <c r="J10" s="20">
        <f>IF(Config!$A$26="","",H10-I10)</f>
        <v/>
      </c>
      <c r="K10" s="21">
        <f>IF(Config!$A$26="","",SUMIFS(Repasse!$N$5:$N$40,Repasse!$C$5:$C$40,Config!$A$26,Repasse!$B$5:$B$40,Config!$B$5,Repasse!$O$5:$O$40,"&lt;="&amp;Config!$B$7))</f>
        <v/>
      </c>
    </row>
    <row r="11">
      <c r="A11" s="18">
        <f>IF(Config!$A$27="","",Config!$A$27)</f>
        <v/>
      </c>
      <c r="B11" s="19">
        <f>IF(Config!$A$27="","",SUMIFS(Repasse!$D$5:$D$40,Repasse!$C$5:$C$40,Config!$A$27,Repasse!$O$5:$O$40,Config!$B$7,Repasse!$B$5:$B$40,Config!$B$5))</f>
        <v/>
      </c>
      <c r="C11" s="19">
        <f>IF(Config!$A$27="","",SUMIFS(Repasse!$G$5:$G$40,Repasse!$C$5:$C$40,Config!$A$27,Repasse!$O$5:$O$40,Config!$B$7,Repasse!$B$5:$B$40,Config!$B$5))</f>
        <v/>
      </c>
      <c r="D11" s="19">
        <f>IF(Config!$A$27="","",SUMIFS(Repasse!$D$5:$D$40,Repasse!$C$5:$C$40,Config!$A$27,Repasse!$B$5:$B$40,Config!$B$5,Repasse!$O$5:$O$40,"&lt;="&amp;Config!$B$7))</f>
        <v/>
      </c>
      <c r="E11" s="19">
        <f>IF(Config!$A$27="","",SUMIFS(Repasse!$G$5:$G$40,Repasse!$C$5:$C$40,Config!$A$27,Repasse!$B$5:$B$40,Config!$B$5,Repasse!$O$5:$O$40,"&lt;="&amp;Config!$B$7))</f>
        <v/>
      </c>
      <c r="F11" s="19">
        <f>IF(Config!$A$27="","",SUMIFS(Repasse!$I$5:$I$40,Repasse!$C$5:$C$40,Config!$A$27,Repasse!$B$5:$B$40,Config!$B$5,Repasse!$O$5:$O$40,"&lt;="&amp;Config!$B$7))</f>
        <v/>
      </c>
      <c r="G11" s="20">
        <f>IF(Config!$A$27="","",E11-F11)</f>
        <v/>
      </c>
      <c r="H11" s="19">
        <f>IF(Config!$A$27="","",D11-E11)</f>
        <v/>
      </c>
      <c r="I11" s="19">
        <f>IF(Config!$A$27="","",SUMIFS(Repasse!$L$5:$L$40,Repasse!$C$5:$C$40,Config!$A$27,Repasse!$B$5:$B$40,Config!$B$5,Repasse!$O$5:$O$40,"&lt;="&amp;Config!$B$7))</f>
        <v/>
      </c>
      <c r="J11" s="20">
        <f>IF(Config!$A$27="","",H11-I11)</f>
        <v/>
      </c>
      <c r="K11" s="21">
        <f>IF(Config!$A$27="","",SUMIFS(Repasse!$N$5:$N$40,Repasse!$C$5:$C$40,Config!$A$27,Repasse!$B$5:$B$40,Config!$B$5,Repasse!$O$5:$O$40,"&lt;="&amp;Config!$B$7))</f>
        <v/>
      </c>
    </row>
    <row r="12">
      <c r="A12" s="18">
        <f>IF(Config!$A$28="","",Config!$A$28)</f>
        <v/>
      </c>
      <c r="B12" s="19">
        <f>IF(Config!$A$28="","",SUMIFS(Repasse!$D$5:$D$40,Repasse!$C$5:$C$40,Config!$A$28,Repasse!$O$5:$O$40,Config!$B$7,Repasse!$B$5:$B$40,Config!$B$5))</f>
        <v/>
      </c>
      <c r="C12" s="19">
        <f>IF(Config!$A$28="","",SUMIFS(Repasse!$G$5:$G$40,Repasse!$C$5:$C$40,Config!$A$28,Repasse!$O$5:$O$40,Config!$B$7,Repasse!$B$5:$B$40,Config!$B$5))</f>
        <v/>
      </c>
      <c r="D12" s="19">
        <f>IF(Config!$A$28="","",SUMIFS(Repasse!$D$5:$D$40,Repasse!$C$5:$C$40,Config!$A$28,Repasse!$B$5:$B$40,Config!$B$5,Repasse!$O$5:$O$40,"&lt;="&amp;Config!$B$7))</f>
        <v/>
      </c>
      <c r="E12" s="19">
        <f>IF(Config!$A$28="","",SUMIFS(Repasse!$G$5:$G$40,Repasse!$C$5:$C$40,Config!$A$28,Repasse!$B$5:$B$40,Config!$B$5,Repasse!$O$5:$O$40,"&lt;="&amp;Config!$B$7))</f>
        <v/>
      </c>
      <c r="F12" s="19">
        <f>IF(Config!$A$28="","",SUMIFS(Repasse!$I$5:$I$40,Repasse!$C$5:$C$40,Config!$A$28,Repasse!$B$5:$B$40,Config!$B$5,Repasse!$O$5:$O$40,"&lt;="&amp;Config!$B$7))</f>
        <v/>
      </c>
      <c r="G12" s="20">
        <f>IF(Config!$A$28="","",E12-F12)</f>
        <v/>
      </c>
      <c r="H12" s="19">
        <f>IF(Config!$A$28="","",D12-E12)</f>
        <v/>
      </c>
      <c r="I12" s="19">
        <f>IF(Config!$A$28="","",SUMIFS(Repasse!$L$5:$L$40,Repasse!$C$5:$C$40,Config!$A$28,Repasse!$B$5:$B$40,Config!$B$5,Repasse!$O$5:$O$40,"&lt;="&amp;Config!$B$7))</f>
        <v/>
      </c>
      <c r="J12" s="20">
        <f>IF(Config!$A$28="","",H12-I12)</f>
        <v/>
      </c>
      <c r="K12" s="21">
        <f>IF(Config!$A$28="","",SUMIFS(Repasse!$N$5:$N$40,Repasse!$C$5:$C$40,Config!$A$28,Repasse!$B$5:$B$40,Config!$B$5,Repasse!$O$5:$O$40,"&lt;="&amp;Config!$B$7))</f>
        <v/>
      </c>
    </row>
    <row r="13" ht="30" customHeight="1">
      <c r="A13" s="22" t="inlineStr">
        <is>
          <t>Sócios no mês</t>
        </is>
      </c>
    </row>
    <row r="14" ht="40" customHeight="1">
      <c r="A14" s="17" t="inlineStr">
        <is>
          <t>Sócio</t>
        </is>
      </c>
      <c r="B14" s="17" t="inlineStr">
        <is>
          <t>Pró-labore combinado</t>
        </is>
      </c>
      <c r="C14" s="17" t="inlineStr">
        <is>
          <t>Pró-labore pago</t>
        </is>
      </c>
      <c r="D14" s="17" t="inlineStr">
        <is>
          <t>Retiradas extras</t>
        </is>
      </c>
      <c r="E14" s="17" t="inlineStr">
        <is>
          <t>Despesas pessoais pela clínica</t>
        </is>
      </c>
      <c r="F14" s="17" t="inlineStr">
        <is>
          <t>Devoluções</t>
        </is>
      </c>
      <c r="G14" s="17" t="inlineStr">
        <is>
          <t>Distribuição de lucro</t>
        </is>
      </c>
      <c r="H14" s="17" t="inlineStr">
        <is>
          <t>Total retirado</t>
        </is>
      </c>
      <c r="I14" s="17" t="inlineStr">
        <is>
          <t>Fora do combinado</t>
        </is>
      </c>
      <c r="J14" s="17" t="inlineStr">
        <is>
          <t>Situação</t>
        </is>
      </c>
    </row>
    <row r="15">
      <c r="A15" s="18" t="str">
        <f>IF(Config!$A$15="","",Config!$A$15)</f>
        <v>Dra. Carolina Mendes</v>
      </c>
      <c r="B15" s="19">
        <f>IF(Config!$A$15="","",Config!$C$15)</f>
        <v>9000</v>
      </c>
      <c r="C15" s="19">
        <f>IF(Config!$A$15="","",SUMIFS(Retiradas!$E$5:$E$404,Retiradas!$B$5:$B$404,Config!$A$15,Retiradas!$C$5:$C$404,"Pró-labore",Retiradas!$G$5:$G$404,Config!$B$7,Retiradas!$H$5:$H$404,Config!$B$5))</f>
        <v>0</v>
      </c>
      <c r="D15" s="19">
        <f>IF(Config!$A$15="","",SUMIFS(Retiradas!$E$5:$E$404,Retiradas!$B$5:$B$404,Config!$A$15,Retiradas!$C$5:$C$404,"Retirada extra",Retiradas!$G$5:$G$404,Config!$B$7,Retiradas!$H$5:$H$404,Config!$B$5))</f>
        <v>0</v>
      </c>
      <c r="E15" s="19">
        <f>IF(Config!$A$15="","",SUMIFS(Retiradas!$E$5:$E$404,Retiradas!$B$5:$B$404,Config!$A$15,Retiradas!$C$5:$C$404,"Despesa pessoal paga pela clínica",Retiradas!$G$5:$G$404,Config!$B$7,Retiradas!$H$5:$H$404,Config!$B$5))</f>
        <v>0</v>
      </c>
      <c r="F15" s="19">
        <f>IF(Config!$A$15="","",SUMIFS(Retiradas!$E$5:$E$404,Retiradas!$B$5:$B$404,Config!$A$15,Retiradas!$C$5:$C$404,"Devolução à clínica",Retiradas!$G$5:$G$404,Config!$B$7,Retiradas!$H$5:$H$404,Config!$B$5))</f>
        <v>0</v>
      </c>
      <c r="G15" s="19">
        <f>IF(Config!$A$15="","",SUMIFS(Retiradas!$E$5:$E$404,Retiradas!$B$5:$B$404,Config!$A$15,Retiradas!$C$5:$C$404,"Distribuição de lucro",Retiradas!$G$5:$G$404,Config!$B$7,Retiradas!$H$5:$H$404,Config!$B$5))</f>
        <v>0</v>
      </c>
      <c r="H15" s="20">
        <f>IF(Config!$A$15="","",C15+D15+E15-F15+G15)</f>
        <v>0</v>
      </c>
      <c r="I15" s="19">
        <f>IF(Config!$A$15="","",D15+E15-F15)</f>
        <v>0</v>
      </c>
      <c r="J15" s="23" t="str">
        <f>IF(Config!$A$15="","",IF(I15&gt;0,"Acima do combinado",IF(C15&lt;B15,"Pró-labore ainda não pago por completo","Conforme o combinado")))</f>
        <v>Pró-labore ainda não pago por completo</v>
      </c>
    </row>
    <row r="16">
      <c r="A16" s="18" t="str">
        <f>IF(Config!$A$16="","",Config!$A$16)</f>
        <v>Dr. Paulo Andrade</v>
      </c>
      <c r="B16" s="19">
        <f>IF(Config!$A$16="","",Config!$C$16)</f>
        <v>9000</v>
      </c>
      <c r="C16" s="19">
        <f>IF(Config!$A$16="","",SUMIFS(Retiradas!$E$5:$E$404,Retiradas!$B$5:$B$404,Config!$A$16,Retiradas!$C$5:$C$404,"Pró-labore",Retiradas!$G$5:$G$404,Config!$B$7,Retiradas!$H$5:$H$404,Config!$B$5))</f>
        <v>0</v>
      </c>
      <c r="D16" s="19">
        <f>IF(Config!$A$16="","",SUMIFS(Retiradas!$E$5:$E$404,Retiradas!$B$5:$B$404,Config!$A$16,Retiradas!$C$5:$C$404,"Retirada extra",Retiradas!$G$5:$G$404,Config!$B$7,Retiradas!$H$5:$H$404,Config!$B$5))</f>
        <v>0</v>
      </c>
      <c r="E16" s="19">
        <f>IF(Config!$A$16="","",SUMIFS(Retiradas!$E$5:$E$404,Retiradas!$B$5:$B$404,Config!$A$16,Retiradas!$C$5:$C$404,"Despesa pessoal paga pela clínica",Retiradas!$G$5:$G$404,Config!$B$7,Retiradas!$H$5:$H$404,Config!$B$5))</f>
        <v>0</v>
      </c>
      <c r="F16" s="19">
        <f>IF(Config!$A$16="","",SUMIFS(Retiradas!$E$5:$E$404,Retiradas!$B$5:$B$404,Config!$A$16,Retiradas!$C$5:$C$404,"Devolução à clínica",Retiradas!$G$5:$G$404,Config!$B$7,Retiradas!$H$5:$H$404,Config!$B$5))</f>
        <v>0</v>
      </c>
      <c r="G16" s="19">
        <f>IF(Config!$A$16="","",SUMIFS(Retiradas!$E$5:$E$404,Retiradas!$B$5:$B$404,Config!$A$16,Retiradas!$C$5:$C$404,"Distribuição de lucro",Retiradas!$G$5:$G$404,Config!$B$7,Retiradas!$H$5:$H$404,Config!$B$5))</f>
        <v>0</v>
      </c>
      <c r="H16" s="20">
        <f>IF(Config!$A$16="","",C16+D16+E16-F16+G16)</f>
        <v>0</v>
      </c>
      <c r="I16" s="19">
        <f>IF(Config!$A$16="","",D16+E16-F16)</f>
        <v>0</v>
      </c>
      <c r="J16" s="23" t="str">
        <f>IF(Config!$A$16="","",IF(I16&gt;0,"Acima do combinado",IF(C16&lt;B16,"Pró-labore ainda não pago por completo","Conforme o combinado")))</f>
        <v>Pró-labore ainda não pago por completo</v>
      </c>
    </row>
    <row r="17">
      <c r="A17" s="18">
        <f>IF(Config!$A$17="","",Config!$A$17)</f>
        <v/>
      </c>
      <c r="B17" s="19">
        <f>IF(Config!$A$17="","",Config!$C$17)</f>
        <v/>
      </c>
      <c r="C17" s="19">
        <f>IF(Config!$A$17="","",SUMIFS(Retiradas!$E$5:$E$404,Retiradas!$B$5:$B$404,Config!$A$17,Retiradas!$C$5:$C$404,"Pró-labore",Retiradas!$G$5:$G$404,Config!$B$7,Retiradas!$H$5:$H$404,Config!$B$5))</f>
        <v/>
      </c>
      <c r="D17" s="19">
        <f>IF(Config!$A$17="","",SUMIFS(Retiradas!$E$5:$E$404,Retiradas!$B$5:$B$404,Config!$A$17,Retiradas!$C$5:$C$404,"Retirada extra",Retiradas!$G$5:$G$404,Config!$B$7,Retiradas!$H$5:$H$404,Config!$B$5))</f>
        <v/>
      </c>
      <c r="E17" s="19">
        <f>IF(Config!$A$17="","",SUMIFS(Retiradas!$E$5:$E$404,Retiradas!$B$5:$B$404,Config!$A$17,Retiradas!$C$5:$C$404,"Despesa pessoal paga pela clínica",Retiradas!$G$5:$G$404,Config!$B$7,Retiradas!$H$5:$H$404,Config!$B$5))</f>
        <v/>
      </c>
      <c r="F17" s="19">
        <f>IF(Config!$A$17="","",SUMIFS(Retiradas!$E$5:$E$404,Retiradas!$B$5:$B$404,Config!$A$17,Retiradas!$C$5:$C$404,"Devolução à clínica",Retiradas!$G$5:$G$404,Config!$B$7,Retiradas!$H$5:$H$404,Config!$B$5))</f>
        <v/>
      </c>
      <c r="G17" s="19">
        <f>IF(Config!$A$17="","",SUMIFS(Retiradas!$E$5:$E$404,Retiradas!$B$5:$B$404,Config!$A$17,Retiradas!$C$5:$C$404,"Distribuição de lucro",Retiradas!$G$5:$G$404,Config!$B$7,Retiradas!$H$5:$H$404,Config!$B$5))</f>
        <v/>
      </c>
      <c r="H17" s="20">
        <f>IF(Config!$A$17="","",C17+D17+E17-F17+G17)</f>
        <v/>
      </c>
      <c r="I17" s="19">
        <f>IF(Config!$A$17="","",D17+E17-F17)</f>
        <v/>
      </c>
      <c r="J17" s="23">
        <f>IF(Config!$A$17="","",IF(I17&gt;0,"Acima do combinado",IF(C17&lt;B17,"Pró-labore ainda não pago por completo","Conforme o combinado")))</f>
        <v/>
      </c>
    </row>
    <row r="18">
      <c r="A18" s="18">
        <f>IF(Config!$A$18="","",Config!$A$18)</f>
        <v/>
      </c>
      <c r="B18" s="19">
        <f>IF(Config!$A$18="","",Config!$C$18)</f>
        <v/>
      </c>
      <c r="C18" s="19">
        <f>IF(Config!$A$18="","",SUMIFS(Retiradas!$E$5:$E$404,Retiradas!$B$5:$B$404,Config!$A$18,Retiradas!$C$5:$C$404,"Pró-labore",Retiradas!$G$5:$G$404,Config!$B$7,Retiradas!$H$5:$H$404,Config!$B$5))</f>
        <v/>
      </c>
      <c r="D18" s="19">
        <f>IF(Config!$A$18="","",SUMIFS(Retiradas!$E$5:$E$404,Retiradas!$B$5:$B$404,Config!$A$18,Retiradas!$C$5:$C$404,"Retirada extra",Retiradas!$G$5:$G$404,Config!$B$7,Retiradas!$H$5:$H$404,Config!$B$5))</f>
        <v/>
      </c>
      <c r="E18" s="19">
        <f>IF(Config!$A$18="","",SUMIFS(Retiradas!$E$5:$E$404,Retiradas!$B$5:$B$404,Config!$A$18,Retiradas!$C$5:$C$404,"Despesa pessoal paga pela clínica",Retiradas!$G$5:$G$404,Config!$B$7,Retiradas!$H$5:$H$404,Config!$B$5))</f>
        <v/>
      </c>
      <c r="F18" s="19">
        <f>IF(Config!$A$18="","",SUMIFS(Retiradas!$E$5:$E$404,Retiradas!$B$5:$B$404,Config!$A$18,Retiradas!$C$5:$C$404,"Devolução à clínica",Retiradas!$G$5:$G$404,Config!$B$7,Retiradas!$H$5:$H$404,Config!$B$5))</f>
        <v/>
      </c>
      <c r="G18" s="19">
        <f>IF(Config!$A$18="","",SUMIFS(Retiradas!$E$5:$E$404,Retiradas!$B$5:$B$404,Config!$A$18,Retiradas!$C$5:$C$404,"Distribuição de lucro",Retiradas!$G$5:$G$404,Config!$B$7,Retiradas!$H$5:$H$404,Config!$B$5))</f>
        <v/>
      </c>
      <c r="H18" s="20">
        <f>IF(Config!$A$18="","",C18+D18+E18-F18+G18)</f>
        <v/>
      </c>
      <c r="I18" s="19">
        <f>IF(Config!$A$18="","",D18+E18-F18)</f>
        <v/>
      </c>
      <c r="J18" s="23">
        <f>IF(Config!$A$18="","",IF(I18&gt;0,"Acima do combinado",IF(C18&lt;B18,"Pró-labore ainda não pago por completo","Conforme o combinado")))</f>
        <v/>
      </c>
    </row>
    <row r="19">
      <c r="A19" s="18">
        <f>IF(Config!$A$19="","",Config!$A$19)</f>
        <v/>
      </c>
      <c r="B19" s="19">
        <f>IF(Config!$A$19="","",Config!$C$19)</f>
        <v/>
      </c>
      <c r="C19" s="19">
        <f>IF(Config!$A$19="","",SUMIFS(Retiradas!$E$5:$E$404,Retiradas!$B$5:$B$404,Config!$A$19,Retiradas!$C$5:$C$404,"Pró-labore",Retiradas!$G$5:$G$404,Config!$B$7,Retiradas!$H$5:$H$404,Config!$B$5))</f>
        <v/>
      </c>
      <c r="D19" s="19">
        <f>IF(Config!$A$19="","",SUMIFS(Retiradas!$E$5:$E$404,Retiradas!$B$5:$B$404,Config!$A$19,Retiradas!$C$5:$C$404,"Retirada extra",Retiradas!$G$5:$G$404,Config!$B$7,Retiradas!$H$5:$H$404,Config!$B$5))</f>
        <v/>
      </c>
      <c r="E19" s="19">
        <f>IF(Config!$A$19="","",SUMIFS(Retiradas!$E$5:$E$404,Retiradas!$B$5:$B$404,Config!$A$19,Retiradas!$C$5:$C$404,"Despesa pessoal paga pela clínica",Retiradas!$G$5:$G$404,Config!$B$7,Retiradas!$H$5:$H$404,Config!$B$5))</f>
        <v/>
      </c>
      <c r="F19" s="19">
        <f>IF(Config!$A$19="","",SUMIFS(Retiradas!$E$5:$E$404,Retiradas!$B$5:$B$404,Config!$A$19,Retiradas!$C$5:$C$404,"Devolução à clínica",Retiradas!$G$5:$G$404,Config!$B$7,Retiradas!$H$5:$H$404,Config!$B$5))</f>
        <v/>
      </c>
      <c r="G19" s="19">
        <f>IF(Config!$A$19="","",SUMIFS(Retiradas!$E$5:$E$404,Retiradas!$B$5:$B$404,Config!$A$19,Retiradas!$C$5:$C$404,"Distribuição de lucro",Retiradas!$G$5:$G$404,Config!$B$7,Retiradas!$H$5:$H$404,Config!$B$5))</f>
        <v/>
      </c>
      <c r="H19" s="20">
        <f>IF(Config!$A$19="","",C19+D19+E19-F19+G19)</f>
        <v/>
      </c>
      <c r="I19" s="19">
        <f>IF(Config!$A$19="","",D19+E19-F19)</f>
        <v/>
      </c>
      <c r="J19" s="23">
        <f>IF(Config!$A$19="","",IF(I19&gt;0,"Acima do combinado",IF(C19&lt;B19,"Pró-labore ainda não pago por completo","Conforme o combinado")))</f>
        <v/>
      </c>
    </row>
    <row r="20">
      <c r="A20" s="18">
        <f>IF(Config!$A$20="","",Config!$A$20)</f>
        <v/>
      </c>
      <c r="B20" s="19">
        <f>IF(Config!$A$20="","",Config!$C$20)</f>
        <v/>
      </c>
      <c r="C20" s="19">
        <f>IF(Config!$A$20="","",SUMIFS(Retiradas!$E$5:$E$404,Retiradas!$B$5:$B$404,Config!$A$20,Retiradas!$C$5:$C$404,"Pró-labore",Retiradas!$G$5:$G$404,Config!$B$7,Retiradas!$H$5:$H$404,Config!$B$5))</f>
        <v/>
      </c>
      <c r="D20" s="19">
        <f>IF(Config!$A$20="","",SUMIFS(Retiradas!$E$5:$E$404,Retiradas!$B$5:$B$404,Config!$A$20,Retiradas!$C$5:$C$404,"Retirada extra",Retiradas!$G$5:$G$404,Config!$B$7,Retiradas!$H$5:$H$404,Config!$B$5))</f>
        <v/>
      </c>
      <c r="E20" s="19">
        <f>IF(Config!$A$20="","",SUMIFS(Retiradas!$E$5:$E$404,Retiradas!$B$5:$B$404,Config!$A$20,Retiradas!$C$5:$C$404,"Despesa pessoal paga pela clínica",Retiradas!$G$5:$G$404,Config!$B$7,Retiradas!$H$5:$H$404,Config!$B$5))</f>
        <v/>
      </c>
      <c r="F20" s="19">
        <f>IF(Config!$A$20="","",SUMIFS(Retiradas!$E$5:$E$404,Retiradas!$B$5:$B$404,Config!$A$20,Retiradas!$C$5:$C$404,"Devolução à clínica",Retiradas!$G$5:$G$404,Config!$B$7,Retiradas!$H$5:$H$404,Config!$B$5))</f>
        <v/>
      </c>
      <c r="G20" s="19">
        <f>IF(Config!$A$20="","",SUMIFS(Retiradas!$E$5:$E$404,Retiradas!$B$5:$B$404,Config!$A$20,Retiradas!$C$5:$C$404,"Distribuição de lucro",Retiradas!$G$5:$G$404,Config!$B$7,Retiradas!$H$5:$H$404,Config!$B$5))</f>
        <v/>
      </c>
      <c r="H20" s="20">
        <f>IF(Config!$A$20="","",C20+D20+E20-F20+G20)</f>
        <v/>
      </c>
      <c r="I20" s="19">
        <f>IF(Config!$A$20="","",D20+E20-F20)</f>
        <v/>
      </c>
      <c r="J20" s="23">
        <f>IF(Config!$A$20="","",IF(I20&gt;0,"Acima do combinado",IF(C20&lt;B20,"Pró-labore ainda não pago por completo","Conforme o combinado")))</f>
        <v/>
      </c>
    </row>
    <row r="21">
      <c r="A21" s="24" t="inlineStr">
        <is>
          <t>Fora do combinado = retiradas extras + despesas pessoais pagas pela clínica − devoluções. Distribuição de lucro segue a regra de Config e não conta como "fora".</t>
        </is>
      </c>
    </row>
    <row r="22"/>
    <row r="23"/>
    <row r="24">
      <c r="A24" s="16" t="inlineStr">
        <is>
          <t>Sócios no ano, até o mês do painel</t>
        </is>
      </c>
    </row>
    <row r="25" ht="52" customHeight="1">
      <c r="A25" s="17" t="inlineStr">
        <is>
          <t>Sócio</t>
        </is>
      </c>
      <c r="B25" s="17" t="inlineStr">
        <is>
          <t>Pró-labore combinado até o mês</t>
        </is>
      </c>
      <c r="C25" s="17" t="inlineStr">
        <is>
          <t>Pró-labore pago</t>
        </is>
      </c>
      <c r="D25" s="17" t="inlineStr">
        <is>
          <t>Retiradas extras</t>
        </is>
      </c>
      <c r="E25" s="17" t="inlineStr">
        <is>
          <t>Despesas pessoais pela clínica</t>
        </is>
      </c>
      <c r="F25" s="17" t="inlineStr">
        <is>
          <t>Devoluções</t>
        </is>
      </c>
      <c r="G25" s="17" t="inlineStr">
        <is>
          <t>A acertar com a clínica</t>
        </is>
      </c>
      <c r="H25" s="17" t="inlineStr">
        <is>
          <t>Distribuição devida (trimestres fechados)</t>
        </is>
      </c>
      <c r="I25" s="17" t="inlineStr">
        <is>
          <t>Distribuição recebida</t>
        </is>
      </c>
      <c r="J25" s="17" t="inlineStr">
        <is>
          <t>Distribuição a receber</t>
        </is>
      </c>
    </row>
    <row r="26">
      <c r="A26" s="18" t="str">
        <f>IF(Config!$A$15="","",Config!$A$15)</f>
        <v>Dra. Carolina Mendes</v>
      </c>
      <c r="B26" s="19">
        <f>IF(Config!$A$15="","",Config!$C$15*Config!$B$7)</f>
        <v>81000</v>
      </c>
      <c r="C26" s="19">
        <f>IF(Config!$A$15="","",SUMIFS(Retiradas!$E$5:$E$404,Retiradas!$B$5:$B$404,Config!$A$15,Retiradas!$C$5:$C$404,"Pró-labore",Retiradas!$G$5:$G$404,"&lt;="&amp;Config!$B$7,Retiradas!$H$5:$H$404,Config!$B$5))</f>
        <v>72000</v>
      </c>
      <c r="D26" s="19">
        <f>IF(Config!$A$15="","",SUMIFS(Retiradas!$E$5:$E$404,Retiradas!$B$5:$B$404,Config!$A$15,Retiradas!$C$5:$C$404,"Retirada extra",Retiradas!$G$5:$G$404,"&lt;="&amp;Config!$B$7,Retiradas!$H$5:$H$404,Config!$B$5))</f>
        <v>1500</v>
      </c>
      <c r="E26" s="19">
        <f>IF(Config!$A$15="","",SUMIFS(Retiradas!$E$5:$E$404,Retiradas!$B$5:$B$404,Config!$A$15,Retiradas!$C$5:$C$404,"Despesa pessoal paga pela clínica",Retiradas!$G$5:$G$404,"&lt;="&amp;Config!$B$7,Retiradas!$H$5:$H$404,Config!$B$5))</f>
        <v>1860</v>
      </c>
      <c r="F26" s="19">
        <f>IF(Config!$A$15="","",SUMIFS(Retiradas!$E$5:$E$404,Retiradas!$B$5:$B$404,Config!$A$15,Retiradas!$C$5:$C$404,"Devolução à clínica",Retiradas!$G$5:$G$404,"&lt;="&amp;Config!$B$7,Retiradas!$H$5:$H$404,Config!$B$5))</f>
        <v>620</v>
      </c>
      <c r="G26" s="20">
        <f>IF(Config!$A$15="","",D26+E26-F26)</f>
        <v>2740</v>
      </c>
      <c r="H26" s="19">
        <f>IF(Config!$A$15="","",SUM($G$36:$G$39)*Config!$B$15)</f>
        <v>3204.435</v>
      </c>
      <c r="I26" s="19">
        <f>IF(Config!$A$15="","",SUMIFS(Retiradas!$E$5:$E$404,Retiradas!$B$5:$B$404,Config!$A$15,Retiradas!$C$5:$C$404,"Distribuição de lucro",Retiradas!$G$5:$G$404,"&lt;="&amp;Config!$B$7,Retiradas!$H$5:$H$404,Config!$B$5))</f>
        <v>3204</v>
      </c>
      <c r="J26" s="20">
        <f>IF(Config!$A$15="","",IF(ABS(H26-I26)&lt;1,0,H26-I26))</f>
        <v>0</v>
      </c>
    </row>
    <row r="27">
      <c r="A27" s="18" t="str">
        <f>IF(Config!$A$16="","",Config!$A$16)</f>
        <v>Dr. Paulo Andrade</v>
      </c>
      <c r="B27" s="19">
        <f>IF(Config!$A$16="","",Config!$C$16*Config!$B$7)</f>
        <v>81000</v>
      </c>
      <c r="C27" s="19">
        <f>IF(Config!$A$16="","",SUMIFS(Retiradas!$E$5:$E$404,Retiradas!$B$5:$B$404,Config!$A$16,Retiradas!$C$5:$C$404,"Pró-labore",Retiradas!$G$5:$G$404,"&lt;="&amp;Config!$B$7,Retiradas!$H$5:$H$404,Config!$B$5))</f>
        <v>72000</v>
      </c>
      <c r="D27" s="19">
        <f>IF(Config!$A$16="","",SUMIFS(Retiradas!$E$5:$E$404,Retiradas!$B$5:$B$404,Config!$A$16,Retiradas!$C$5:$C$404,"Retirada extra",Retiradas!$G$5:$G$404,"&lt;="&amp;Config!$B$7,Retiradas!$H$5:$H$404,Config!$B$5))</f>
        <v>2000</v>
      </c>
      <c r="E27" s="19">
        <f>IF(Config!$A$16="","",SUMIFS(Retiradas!$E$5:$E$404,Retiradas!$B$5:$B$404,Config!$A$16,Retiradas!$C$5:$C$404,"Despesa pessoal paga pela clínica",Retiradas!$G$5:$G$404,"&lt;="&amp;Config!$B$7,Retiradas!$H$5:$H$404,Config!$B$5))</f>
        <v>700</v>
      </c>
      <c r="F27" s="19">
        <f>IF(Config!$A$16="","",SUMIFS(Retiradas!$E$5:$E$404,Retiradas!$B$5:$B$404,Config!$A$16,Retiradas!$C$5:$C$404,"Devolução à clínica",Retiradas!$G$5:$G$404,"&lt;="&amp;Config!$B$7,Retiradas!$H$5:$H$404,Config!$B$5))</f>
        <v>0</v>
      </c>
      <c r="G27" s="20">
        <f>IF(Config!$A$16="","",D27+E27-F27)</f>
        <v>2700</v>
      </c>
      <c r="H27" s="19">
        <f>IF(Config!$A$16="","",SUM($G$36:$G$39)*Config!$B$16)</f>
        <v>3204.435</v>
      </c>
      <c r="I27" s="19">
        <f>IF(Config!$A$16="","",SUMIFS(Retiradas!$E$5:$E$404,Retiradas!$B$5:$B$404,Config!$A$16,Retiradas!$C$5:$C$404,"Distribuição de lucro",Retiradas!$G$5:$G$404,"&lt;="&amp;Config!$B$7,Retiradas!$H$5:$H$404,Config!$B$5))</f>
        <v>3205</v>
      </c>
      <c r="J27" s="20">
        <f>IF(Config!$A$16="","",IF(ABS(H27-I27)&lt;1,0,H27-I27))</f>
        <v>0</v>
      </c>
    </row>
    <row r="28">
      <c r="A28" s="18">
        <f>IF(Config!$A$17="","",Config!$A$17)</f>
        <v/>
      </c>
      <c r="B28" s="19">
        <f>IF(Config!$A$17="","",Config!$C$17*Config!$B$7)</f>
        <v/>
      </c>
      <c r="C28" s="19">
        <f>IF(Config!$A$17="","",SUMIFS(Retiradas!$E$5:$E$404,Retiradas!$B$5:$B$404,Config!$A$17,Retiradas!$C$5:$C$404,"Pró-labore",Retiradas!$G$5:$G$404,"&lt;="&amp;Config!$B$7,Retiradas!$H$5:$H$404,Config!$B$5))</f>
        <v/>
      </c>
      <c r="D28" s="19">
        <f>IF(Config!$A$17="","",SUMIFS(Retiradas!$E$5:$E$404,Retiradas!$B$5:$B$404,Config!$A$17,Retiradas!$C$5:$C$404,"Retirada extra",Retiradas!$G$5:$G$404,"&lt;="&amp;Config!$B$7,Retiradas!$H$5:$H$404,Config!$B$5))</f>
        <v/>
      </c>
      <c r="E28" s="19">
        <f>IF(Config!$A$17="","",SUMIFS(Retiradas!$E$5:$E$404,Retiradas!$B$5:$B$404,Config!$A$17,Retiradas!$C$5:$C$404,"Despesa pessoal paga pela clínica",Retiradas!$G$5:$G$404,"&lt;="&amp;Config!$B$7,Retiradas!$H$5:$H$404,Config!$B$5))</f>
        <v/>
      </c>
      <c r="F28" s="19">
        <f>IF(Config!$A$17="","",SUMIFS(Retiradas!$E$5:$E$404,Retiradas!$B$5:$B$404,Config!$A$17,Retiradas!$C$5:$C$404,"Devolução à clínica",Retiradas!$G$5:$G$404,"&lt;="&amp;Config!$B$7,Retiradas!$H$5:$H$404,Config!$B$5))</f>
        <v/>
      </c>
      <c r="G28" s="20">
        <f>IF(Config!$A$17="","",D28+E28-F28)</f>
        <v/>
      </c>
      <c r="H28" s="19">
        <f>IF(Config!$A$17="","",SUM($G$36:$G$39)*Config!$B$17)</f>
        <v/>
      </c>
      <c r="I28" s="19">
        <f>IF(Config!$A$17="","",SUMIFS(Retiradas!$E$5:$E$404,Retiradas!$B$5:$B$404,Config!$A$17,Retiradas!$C$5:$C$404,"Distribuição de lucro",Retiradas!$G$5:$G$404,"&lt;="&amp;Config!$B$7,Retiradas!$H$5:$H$404,Config!$B$5))</f>
        <v/>
      </c>
      <c r="J28" s="20">
        <f>IF(Config!$A$17="","",IF(ABS(H28-I28)&lt;1,0,H28-I28))</f>
        <v/>
      </c>
    </row>
    <row r="29">
      <c r="A29" s="18">
        <f>IF(Config!$A$18="","",Config!$A$18)</f>
        <v/>
      </c>
      <c r="B29" s="19">
        <f>IF(Config!$A$18="","",Config!$C$18*Config!$B$7)</f>
        <v/>
      </c>
      <c r="C29" s="19">
        <f>IF(Config!$A$18="","",SUMIFS(Retiradas!$E$5:$E$404,Retiradas!$B$5:$B$404,Config!$A$18,Retiradas!$C$5:$C$404,"Pró-labore",Retiradas!$G$5:$G$404,"&lt;="&amp;Config!$B$7,Retiradas!$H$5:$H$404,Config!$B$5))</f>
        <v/>
      </c>
      <c r="D29" s="19">
        <f>IF(Config!$A$18="","",SUMIFS(Retiradas!$E$5:$E$404,Retiradas!$B$5:$B$404,Config!$A$18,Retiradas!$C$5:$C$404,"Retirada extra",Retiradas!$G$5:$G$404,"&lt;="&amp;Config!$B$7,Retiradas!$H$5:$H$404,Config!$B$5))</f>
        <v/>
      </c>
      <c r="E29" s="19">
        <f>IF(Config!$A$18="","",SUMIFS(Retiradas!$E$5:$E$404,Retiradas!$B$5:$B$404,Config!$A$18,Retiradas!$C$5:$C$404,"Despesa pessoal paga pela clínica",Retiradas!$G$5:$G$404,"&lt;="&amp;Config!$B$7,Retiradas!$H$5:$H$404,Config!$B$5))</f>
        <v/>
      </c>
      <c r="F29" s="19">
        <f>IF(Config!$A$18="","",SUMIFS(Retiradas!$E$5:$E$404,Retiradas!$B$5:$B$404,Config!$A$18,Retiradas!$C$5:$C$404,"Devolução à clínica",Retiradas!$G$5:$G$404,"&lt;="&amp;Config!$B$7,Retiradas!$H$5:$H$404,Config!$B$5))</f>
        <v/>
      </c>
      <c r="G29" s="20">
        <f>IF(Config!$A$18="","",D29+E29-F29)</f>
        <v/>
      </c>
      <c r="H29" s="19">
        <f>IF(Config!$A$18="","",SUM($G$36:$G$39)*Config!$B$18)</f>
        <v/>
      </c>
      <c r="I29" s="19">
        <f>IF(Config!$A$18="","",SUMIFS(Retiradas!$E$5:$E$404,Retiradas!$B$5:$B$404,Config!$A$18,Retiradas!$C$5:$C$404,"Distribuição de lucro",Retiradas!$G$5:$G$404,"&lt;="&amp;Config!$B$7,Retiradas!$H$5:$H$404,Config!$B$5))</f>
        <v/>
      </c>
      <c r="J29" s="20">
        <f>IF(Config!$A$18="","",IF(ABS(H29-I29)&lt;1,0,H29-I29))</f>
        <v/>
      </c>
    </row>
    <row r="30">
      <c r="A30" s="18">
        <f>IF(Config!$A$19="","",Config!$A$19)</f>
        <v/>
      </c>
      <c r="B30" s="19">
        <f>IF(Config!$A$19="","",Config!$C$19*Config!$B$7)</f>
        <v/>
      </c>
      <c r="C30" s="19">
        <f>IF(Config!$A$19="","",SUMIFS(Retiradas!$E$5:$E$404,Retiradas!$B$5:$B$404,Config!$A$19,Retiradas!$C$5:$C$404,"Pró-labore",Retiradas!$G$5:$G$404,"&lt;="&amp;Config!$B$7,Retiradas!$H$5:$H$404,Config!$B$5))</f>
        <v/>
      </c>
      <c r="D30" s="19">
        <f>IF(Config!$A$19="","",SUMIFS(Retiradas!$E$5:$E$404,Retiradas!$B$5:$B$404,Config!$A$19,Retiradas!$C$5:$C$404,"Retirada extra",Retiradas!$G$5:$G$404,"&lt;="&amp;Config!$B$7,Retiradas!$H$5:$H$404,Config!$B$5))</f>
        <v/>
      </c>
      <c r="E30" s="19">
        <f>IF(Config!$A$19="","",SUMIFS(Retiradas!$E$5:$E$404,Retiradas!$B$5:$B$404,Config!$A$19,Retiradas!$C$5:$C$404,"Despesa pessoal paga pela clínica",Retiradas!$G$5:$G$404,"&lt;="&amp;Config!$B$7,Retiradas!$H$5:$H$404,Config!$B$5))</f>
        <v/>
      </c>
      <c r="F30" s="19">
        <f>IF(Config!$A$19="","",SUMIFS(Retiradas!$E$5:$E$404,Retiradas!$B$5:$B$404,Config!$A$19,Retiradas!$C$5:$C$404,"Devolução à clínica",Retiradas!$G$5:$G$404,"&lt;="&amp;Config!$B$7,Retiradas!$H$5:$H$404,Config!$B$5))</f>
        <v/>
      </c>
      <c r="G30" s="20">
        <f>IF(Config!$A$19="","",D30+E30-F30)</f>
        <v/>
      </c>
      <c r="H30" s="19">
        <f>IF(Config!$A$19="","",SUM($G$36:$G$39)*Config!$B$19)</f>
        <v/>
      </c>
      <c r="I30" s="19">
        <f>IF(Config!$A$19="","",SUMIFS(Retiradas!$E$5:$E$404,Retiradas!$B$5:$B$404,Config!$A$19,Retiradas!$C$5:$C$404,"Distribuição de lucro",Retiradas!$G$5:$G$404,"&lt;="&amp;Config!$B$7,Retiradas!$H$5:$H$404,Config!$B$5))</f>
        <v/>
      </c>
      <c r="J30" s="20">
        <f>IF(Config!$A$19="","",IF(ABS(H30-I30)&lt;1,0,H30-I30))</f>
        <v/>
      </c>
    </row>
    <row r="31">
      <c r="A31" s="18">
        <f>IF(Config!$A$20="","",Config!$A$20)</f>
        <v/>
      </c>
      <c r="B31" s="19">
        <f>IF(Config!$A$20="","",Config!$C$20*Config!$B$7)</f>
        <v/>
      </c>
      <c r="C31" s="19">
        <f>IF(Config!$A$20="","",SUMIFS(Retiradas!$E$5:$E$404,Retiradas!$B$5:$B$404,Config!$A$20,Retiradas!$C$5:$C$404,"Pró-labore",Retiradas!$G$5:$G$404,"&lt;="&amp;Config!$B$7,Retiradas!$H$5:$H$404,Config!$B$5))</f>
        <v/>
      </c>
      <c r="D31" s="19">
        <f>IF(Config!$A$20="","",SUMIFS(Retiradas!$E$5:$E$404,Retiradas!$B$5:$B$404,Config!$A$20,Retiradas!$C$5:$C$404,"Retirada extra",Retiradas!$G$5:$G$404,"&lt;="&amp;Config!$B$7,Retiradas!$H$5:$H$404,Config!$B$5))</f>
        <v/>
      </c>
      <c r="E31" s="19">
        <f>IF(Config!$A$20="","",SUMIFS(Retiradas!$E$5:$E$404,Retiradas!$B$5:$B$404,Config!$A$20,Retiradas!$C$5:$C$404,"Despesa pessoal paga pela clínica",Retiradas!$G$5:$G$404,"&lt;="&amp;Config!$B$7,Retiradas!$H$5:$H$404,Config!$B$5))</f>
        <v/>
      </c>
      <c r="F31" s="19">
        <f>IF(Config!$A$20="","",SUMIFS(Retiradas!$E$5:$E$404,Retiradas!$B$5:$B$404,Config!$A$20,Retiradas!$C$5:$C$404,"Devolução à clínica",Retiradas!$G$5:$G$404,"&lt;="&amp;Config!$B$7,Retiradas!$H$5:$H$404,Config!$B$5))</f>
        <v/>
      </c>
      <c r="G31" s="20">
        <f>IF(Config!$A$20="","",D31+E31-F31)</f>
        <v/>
      </c>
      <c r="H31" s="19">
        <f>IF(Config!$A$20="","",SUM($G$36:$G$39)*Config!$B$20)</f>
        <v/>
      </c>
      <c r="I31" s="19">
        <f>IF(Config!$A$20="","",SUMIFS(Retiradas!$E$5:$E$404,Retiradas!$B$5:$B$404,Config!$A$20,Retiradas!$C$5:$C$404,"Distribuição de lucro",Retiradas!$G$5:$G$404,"&lt;="&amp;Config!$B$7,Retiradas!$H$5:$H$404,Config!$B$5))</f>
        <v/>
      </c>
      <c r="J31" s="20">
        <f>IF(Config!$A$20="","",IF(ABS(H31-I31)&lt;1,0,H31-I31))</f>
        <v/>
      </c>
    </row>
    <row r="32" ht="30" customHeight="1">
      <c r="A32" s="24" t="inlineStr">
        <is>
          <t>A acertar com a clínica: o sócio devolve ou desconta da próxima distribuição de lucro. Distribuição devida = distribuível dos trimestres fechados × participação. Pró-labore, retiradas, repasse e distribuição têm tratamento tributário próprio: combine o formato com o contador.</t>
        </is>
      </c>
    </row>
    <row r="33"/>
    <row r="34">
      <c r="A34" s="16" t="inlineStr">
        <is>
          <t>Lucro e distribuição por trimestre</t>
        </is>
      </c>
    </row>
    <row r="35" ht="40" customHeight="1">
      <c r="A35" s="17" t="inlineStr">
        <is>
          <t>Trimestre</t>
        </is>
      </c>
      <c r="B35" s="17" t="inlineStr">
        <is>
          <t>Entradas</t>
        </is>
      </c>
      <c r="C35" s="17" t="inlineStr">
        <is>
          <t>Saídas (sem sócios)</t>
        </is>
      </c>
      <c r="D35" s="17" t="inlineStr">
        <is>
          <t>Pró-labore fixo</t>
        </is>
      </c>
      <c r="E35" s="17" t="inlineStr">
        <is>
          <t>Resultado após pró-labore</t>
        </is>
      </c>
      <c r="F35" s="17" t="inlineStr">
        <is>
          <t>Fechado?</t>
        </is>
      </c>
      <c r="G35" s="17" t="inlineStr">
        <is>
          <t>Distribuível aos sócios</t>
        </is>
      </c>
      <c r="H35" s="17" t="inlineStr">
        <is>
          <t>Já distribuído</t>
        </is>
      </c>
      <c r="I35" s="17" t="inlineStr">
        <is>
          <t>Falta distribuir</t>
        </is>
      </c>
    </row>
    <row r="36">
      <c r="A36" s="18" t="inlineStr">
        <is>
          <t>1º trimestre</t>
        </is>
      </c>
      <c r="B36" s="19">
        <f>SUM('Resultado mensal'!B5:B7)</f>
        <v>91500</v>
      </c>
      <c r="C36" s="19">
        <f>SUM('Resultado mensal'!C5:C7)</f>
        <v>53443.72</v>
      </c>
      <c r="D36" s="19">
        <f>SUM('Resultado mensal'!D5:D7)</f>
        <v>54000</v>
      </c>
      <c r="E36" s="19">
        <f>SUM('Resultado mensal'!E5:E7)</f>
        <v>-15943.72</v>
      </c>
      <c r="F36" s="23" t="str">
        <f>IF(Config!$B$7&gt;3,"Sim","Em andamento")</f>
        <v>Sim</v>
      </c>
      <c r="G36" s="20">
        <f>IF(AND(F36="Sim",E36&gt;=Config!$B$10),E36*Config!$B$9,0)</f>
        <v>0</v>
      </c>
      <c r="H36" s="19">
        <f>SUMIFS(Retiradas!$E$5:$E$404,Retiradas!$C$5:$C$404,"Distribuição de lucro",Retiradas!$F$5:$F$404,A36,Retiradas!$H$5:$H$404,Config!$B$5)</f>
        <v>0</v>
      </c>
      <c r="I36" s="19">
        <f>IF(ABS(G36-H36)&lt;1,0,G36-H36)</f>
        <v>0</v>
      </c>
    </row>
    <row r="37">
      <c r="A37" s="18" t="inlineStr">
        <is>
          <t>2º trimestre</t>
        </is>
      </c>
      <c r="B37" s="19">
        <f>SUM('Resultado mensal'!B8:B10)</f>
        <v>132775</v>
      </c>
      <c r="C37" s="19">
        <f>SUM('Resultado mensal'!C8:C10)</f>
        <v>65957.26</v>
      </c>
      <c r="D37" s="19">
        <f>SUM('Resultado mensal'!D8:D10)</f>
        <v>54000</v>
      </c>
      <c r="E37" s="19">
        <f>SUM('Resultado mensal'!E8:E10)</f>
        <v>12817.74</v>
      </c>
      <c r="F37" s="23" t="str">
        <f>IF(Config!$B$7&gt;6,"Sim","Em andamento")</f>
        <v>Sim</v>
      </c>
      <c r="G37" s="20">
        <f>IF(AND(F37="Sim",E37&gt;=Config!$B$10),E37*Config!$B$9,0)</f>
        <v>6408.87</v>
      </c>
      <c r="H37" s="19">
        <f>SUMIFS(Retiradas!$E$5:$E$404,Retiradas!$C$5:$C$404,"Distribuição de lucro",Retiradas!$F$5:$F$404,A37,Retiradas!$H$5:$H$404,Config!$B$5)</f>
        <v>6409</v>
      </c>
      <c r="I37" s="19">
        <f>IF(ABS(G37-H37)&lt;1,0,G37-H37)</f>
        <v>0</v>
      </c>
    </row>
    <row r="38">
      <c r="A38" s="18" t="inlineStr">
        <is>
          <t>3º trimestre</t>
        </is>
      </c>
      <c r="B38" s="19">
        <f>SUM('Resultado mensal'!B11:B13)</f>
        <v>121022</v>
      </c>
      <c r="C38" s="19">
        <f>SUM('Resultado mensal'!C11:C13)</f>
        <v>57441.21</v>
      </c>
      <c r="D38" s="19">
        <f>SUM('Resultado mensal'!D11:D13)</f>
        <v>54000</v>
      </c>
      <c r="E38" s="19">
        <f>SUM('Resultado mensal'!E11:E13)</f>
        <v>9580.79</v>
      </c>
      <c r="F38" s="23" t="str">
        <f>IF(Config!$B$7&gt;9,"Sim","Em andamento")</f>
        <v>Em andamento</v>
      </c>
      <c r="G38" s="20">
        <f>IF(AND(F38="Sim",E38&gt;=Config!$B$10),E38*Config!$B$9,0)</f>
        <v>0</v>
      </c>
      <c r="H38" s="19">
        <f>SUMIFS(Retiradas!$E$5:$E$404,Retiradas!$C$5:$C$404,"Distribuição de lucro",Retiradas!$F$5:$F$404,A38,Retiradas!$H$5:$H$404,Config!$B$5)</f>
        <v>0</v>
      </c>
      <c r="I38" s="19">
        <f>IF(ABS(G38-H38)&lt;1,0,G38-H38)</f>
        <v>0</v>
      </c>
    </row>
    <row r="39">
      <c r="A39" s="18" t="inlineStr">
        <is>
          <t>4º trimestre</t>
        </is>
      </c>
      <c r="B39" s="19">
        <f>SUM('Resultado mensal'!B14:B16)</f>
        <v>0</v>
      </c>
      <c r="C39" s="19">
        <f>SUM('Resultado mensal'!C14:C16)</f>
        <v>0</v>
      </c>
      <c r="D39" s="19">
        <f>SUM('Resultado mensal'!D14:D16)</f>
        <v>0</v>
      </c>
      <c r="E39" s="19">
        <f>SUM('Resultado mensal'!E14:E16)</f>
        <v>0</v>
      </c>
      <c r="F39" s="23" t="str">
        <f>IF(Config!$B$7&gt;12,"Sim","Em andamento")</f>
        <v>Em andamento</v>
      </c>
      <c r="G39" s="20">
        <f>IF(AND(F39="Sim",E39&gt;=Config!$B$10),E39*Config!$B$9,0)</f>
        <v>0</v>
      </c>
      <c r="H39" s="19">
        <f>SUMIFS(Retiradas!$E$5:$E$404,Retiradas!$C$5:$C$404,"Distribuição de lucro",Retiradas!$F$5:$F$404,A39,Retiradas!$H$5:$H$404,Config!$B$5)</f>
        <v>0</v>
      </c>
      <c r="I39" s="19">
        <f>IF(ABS(G39-H39)&lt;1,0,G39-H39)</f>
        <v>0</v>
      </c>
    </row>
    <row r="40" ht="30" customHeight="1">
      <c r="A40" s="24" t="inlineStr">
        <is>
          <t>Falta distribuir em amarelo: lucro do trimestre fechado ainda não pago aos sócios. Em vermelho: distribuiu mais do que a regra permite (ou o trimestre ainda não fechou). Diferenças de centavos são ignoradas.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A32:J32"/>
    <mergeCell ref="C5:D5"/>
    <mergeCell ref="E5:F5"/>
    <mergeCell ref="C4:D4"/>
    <mergeCell ref="E4:F4"/>
    <mergeCell ref="A40:J40"/>
    <mergeCell ref="A34:J34"/>
    <mergeCell ref="A24:J24"/>
    <mergeCell ref="A1:J1"/>
    <mergeCell ref="A5:B5"/>
    <mergeCell ref="G5:H5"/>
    <mergeCell ref="I5:J5"/>
    <mergeCell ref="A7:J7"/>
    <mergeCell ref="A13:K13"/>
    <mergeCell ref="A4:B4"/>
    <mergeCell ref="G4:H4"/>
    <mergeCell ref="I4:J4"/>
    <mergeCell ref="A21:J21"/>
    <mergeCell ref="A2:J2"/>
  </mergeCells>
  <conditionalFormatting sqref="G9:G12">
    <cfRule type="expression" priority="1" dxfId="0">
      <formula>AND(ISNUMBER(G9),G9&gt;0)</formula>
    </cfRule>
  </conditionalFormatting>
  <conditionalFormatting sqref="J9:J12">
    <cfRule type="expression" priority="2" dxfId="1">
      <formula>AND(ISNUMBER(J9),J9&lt;0)</formula>
    </cfRule>
  </conditionalFormatting>
  <conditionalFormatting sqref="E36:E39">
    <cfRule type="expression" priority="3" dxfId="2">
      <formula>E36&lt;0</formula>
    </cfRule>
  </conditionalFormatting>
  <conditionalFormatting sqref="I36:I39">
    <cfRule type="expression" priority="4" dxfId="0">
      <formula>I36&gt;0</formula>
    </cfRule>
    <cfRule type="expression" priority="5" dxfId="1">
      <formula>I36&lt;0</formula>
    </cfRule>
  </conditionalFormatting>
  <conditionalFormatting sqref="A36:I39">
    <cfRule type="expression" priority="6" dxfId="3">
      <formula>ROW()-36+1=Config!$B$8</formula>
    </cfRule>
  </conditionalFormatting>
  <conditionalFormatting sqref="J15:J20">
    <cfRule type="expression" priority="7" dxfId="1">
      <formula>J15="Acima do combinado"</formula>
    </cfRule>
    <cfRule type="expression" priority="8" dxfId="4">
      <formula>J15="Conforme o combinado"</formula>
    </cfRule>
    <cfRule type="expression" priority="9" dxfId="5">
      <formula>J15="Pró-labore ainda não pago por completo"</formula>
    </cfRule>
  </conditionalFormatting>
  <conditionalFormatting sqref="G26:G31">
    <cfRule type="expression" priority="10" dxfId="1">
      <formula>AND(G26&lt;&gt;"",G26&gt;0)</formula>
    </cfRule>
  </conditionalFormatting>
  <conditionalFormatting sqref="J26:J31">
    <cfRule type="expression" priority="11" dxfId="0">
      <formula>AND(J26&lt;&gt;"",J26&gt;0)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" customWidth="1" min="4" max="4"/>
    <col width="3" customWidth="1" min="5" max="5"/>
    <col width="3" customWidth="1" min="6" max="6"/>
    <col width="3" customWidth="1" min="7" max="7"/>
    <col width="12" customWidth="1" min="8" max="8"/>
    <col width="3" customWidth="1" min="9" max="9"/>
    <col width="3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Sócios, pró-labore combinado, médicos parceiros com % de repasse e a regra de distribuição de lucro ficam aqui.</t>
        </is>
      </c>
    </row>
    <row r="4">
      <c r="A4" s="25" t="inlineStr">
        <is>
          <t>Clínica</t>
        </is>
      </c>
      <c r="B4" s="26" t="inlineStr">
        <is>
          <t>Clínica Vida Plena (exemplo fictício)</t>
        </is>
      </c>
      <c r="H4" s="25" t="inlineStr">
        <is>
          <t>Meses</t>
        </is>
      </c>
      <c r="J4" s="25" t="inlineStr">
        <is>
          <t>Tipos de movimento</t>
        </is>
      </c>
    </row>
    <row r="5">
      <c r="A5" s="25" t="inlineStr">
        <is>
          <t>Ano</t>
        </is>
      </c>
      <c r="B5" s="27" t="n">
        <v>2026</v>
      </c>
      <c r="H5" s="28" t="inlineStr">
        <is>
          <t>Janeiro</t>
        </is>
      </c>
      <c r="J5" s="28" t="inlineStr">
        <is>
          <t>Pró-labore</t>
        </is>
      </c>
    </row>
    <row r="6">
      <c r="A6" s="25" t="inlineStr">
        <is>
          <t>Mês do painel</t>
        </is>
      </c>
      <c r="B6" s="27" t="inlineStr">
        <is>
          <t>Setembro</t>
        </is>
      </c>
      <c r="H6" s="28" t="inlineStr">
        <is>
          <t>Fevereiro</t>
        </is>
      </c>
      <c r="J6" s="28" t="inlineStr">
        <is>
          <t>Retirada extra</t>
        </is>
      </c>
    </row>
    <row r="7">
      <c r="A7" s="25" t="inlineStr">
        <is>
          <t>Número do mês</t>
        </is>
      </c>
      <c r="B7" s="23">
        <f>MATCH(B6,$H$5:$H$16,0)</f>
        <v>9</v>
      </c>
      <c r="H7" s="28" t="inlineStr">
        <is>
          <t>Março</t>
        </is>
      </c>
      <c r="J7" s="28" t="inlineStr">
        <is>
          <t>Despesa pessoal paga pela clínica</t>
        </is>
      </c>
    </row>
    <row r="8">
      <c r="A8" s="25" t="inlineStr">
        <is>
          <t>Trimestre do painel</t>
        </is>
      </c>
      <c r="B8" s="23">
        <f>ROUNDUP(B7/3,0)</f>
        <v>3</v>
      </c>
      <c r="H8" s="28" t="inlineStr">
        <is>
          <t>Abril</t>
        </is>
      </c>
      <c r="J8" s="28" t="inlineStr">
        <is>
          <t>Devolução à clínica</t>
        </is>
      </c>
    </row>
    <row r="9" ht="32" customHeight="1">
      <c r="A9" s="25" t="inlineStr">
        <is>
          <t>Parte do lucro do trimestre distribuída aos sócios</t>
        </is>
      </c>
      <c r="B9" s="29" t="n">
        <v>0.5</v>
      </c>
      <c r="D9" s="30" t="inlineStr">
        <is>
          <t>Regra combinada entre os sócios: o restante do lucro fica na clínica (reserva e provisões). Trimestre com lucro abaixo do mínimo não distribui.</t>
        </is>
      </c>
      <c r="H9" s="28" t="inlineStr">
        <is>
          <t>Maio</t>
        </is>
      </c>
      <c r="J9" s="28" t="inlineStr">
        <is>
          <t>Distribuição de lucro</t>
        </is>
      </c>
    </row>
    <row r="10" ht="32" customHeight="1">
      <c r="A10" s="25" t="inlineStr">
        <is>
          <t>Lucro mínimo do trimestre para haver distribuição</t>
        </is>
      </c>
      <c r="B10" s="31" t="n">
        <v>3000</v>
      </c>
      <c r="D10" s="30" t="inlineStr">
        <is>
          <t>A distribuição é calculada só para trimestres já fechados (os três meses lançados em Resultado mensal e anteriores ao mês do painel).</t>
        </is>
      </c>
      <c r="H10" s="28" t="inlineStr">
        <is>
          <t>Junho</t>
        </is>
      </c>
    </row>
    <row r="11" ht="32" customHeight="1">
      <c r="A11" s="25" t="inlineStr">
        <is>
          <t>Custo indireto por hora (planilha 05; informativo)</t>
        </is>
      </c>
      <c r="B11" s="31" t="n">
        <v>71.4286</v>
      </c>
      <c r="D11" s="30" t="inlineStr">
        <is>
          <t>Quanto vale a hora de sala, recepção e estrutura (custos fixos ÷ horas de atendimento: R$ 71,43 no exemplo). Serve só para MOSTRAR o tamanho da estrutura que o parceiro usa: esse custo NÃO é descontado da margem da parceria, porque a estrutura já está inteira dentro do custo-hora dos sócios na planilha 05 (10.000 de custo fixo ÷ 140 h) e o pró-labore dos dois sócios já cobre o mês. Descontar de novo cobraria a mesma estrutura duas vezes. A margem da parceria desconta só o que o parceiro consome de verdade: material e insumo.</t>
        </is>
      </c>
      <c r="H11" s="28" t="inlineStr">
        <is>
          <t>Julho</t>
        </is>
      </c>
    </row>
    <row r="12">
      <c r="H12" s="28" t="inlineStr">
        <is>
          <t>Agosto</t>
        </is>
      </c>
    </row>
    <row r="13">
      <c r="A13" s="25" t="inlineStr">
        <is>
          <t>Sócios (até 6)</t>
        </is>
      </c>
      <c r="H13" s="28" t="inlineStr">
        <is>
          <t>Setembro</t>
        </is>
      </c>
    </row>
    <row r="14" ht="26" customHeight="1">
      <c r="A14" s="17" t="inlineStr">
        <is>
          <t>Sócio</t>
        </is>
      </c>
      <c r="B14" s="17" t="inlineStr">
        <is>
          <t>Participação no lucro</t>
        </is>
      </c>
      <c r="C14" s="17" t="inlineStr">
        <is>
          <t>Pró-labore fixo mensal</t>
        </is>
      </c>
      <c r="H14" s="28" t="inlineStr">
        <is>
          <t>Outubro</t>
        </is>
      </c>
    </row>
    <row r="15">
      <c r="A15" s="26" t="inlineStr">
        <is>
          <t>Dra. Carolina Mendes</t>
        </is>
      </c>
      <c r="B15" s="29" t="n">
        <v>0.5</v>
      </c>
      <c r="C15" s="31" t="n">
        <v>9000</v>
      </c>
      <c r="H15" s="28" t="inlineStr">
        <is>
          <t>Novembro</t>
        </is>
      </c>
    </row>
    <row r="16">
      <c r="A16" s="26" t="inlineStr">
        <is>
          <t>Dr. Paulo Andrade</t>
        </is>
      </c>
      <c r="B16" s="29" t="n">
        <v>0.5</v>
      </c>
      <c r="C16" s="31" t="n">
        <v>9000</v>
      </c>
      <c r="H16" s="28" t="inlineStr">
        <is>
          <t>Dezembro</t>
        </is>
      </c>
    </row>
    <row r="17">
      <c r="A17" s="26" t="n"/>
      <c r="B17" s="29" t="n"/>
      <c r="C17" s="31" t="n"/>
    </row>
    <row r="18">
      <c r="A18" s="26" t="n"/>
      <c r="B18" s="29" t="n"/>
      <c r="C18" s="31" t="n"/>
    </row>
    <row r="19">
      <c r="A19" s="26" t="n"/>
      <c r="B19" s="29" t="n"/>
      <c r="C19" s="31" t="n"/>
    </row>
    <row r="20">
      <c r="A20" s="26" t="n"/>
      <c r="B20" s="29" t="n"/>
      <c r="C20" s="31" t="n"/>
    </row>
    <row r="21">
      <c r="A21" s="32" t="inlineStr">
        <is>
          <t>Total</t>
        </is>
      </c>
      <c r="B21" s="33">
        <f>SUM(B15:B20)</f>
        <v>1</v>
      </c>
      <c r="C21" s="34">
        <f>SUM(C15:C20)</f>
        <v>18000</v>
      </c>
      <c r="D21" s="35">
        <f>IF(ROUND(B21,4)=1,"","A participação deve somar 100 %")</f>
        <v/>
      </c>
    </row>
    <row r="23">
      <c r="A23" s="25" t="inlineStr">
        <is>
          <t>Médicos parceiros por repasse (até 4)</t>
        </is>
      </c>
    </row>
    <row r="24" ht="26" customHeight="1">
      <c r="A24" s="17" t="inlineStr">
        <is>
          <t>Parceiro</t>
        </is>
      </c>
      <c r="B24" s="17" t="inlineStr">
        <is>
          <t>% de repasse (parte do parceiro)</t>
        </is>
      </c>
      <c r="C24" s="17" t="inlineStr">
        <is>
          <t>Sobre</t>
        </is>
      </c>
      <c r="D24" s="17" t="inlineStr">
        <is>
          <t>Pago no dia</t>
        </is>
      </c>
    </row>
    <row r="25">
      <c r="A25" s="26" t="inlineStr">
        <is>
          <t>Dra. Renata Sousa</t>
        </is>
      </c>
      <c r="B25" s="29" t="n">
        <v>0.5</v>
      </c>
      <c r="C25" s="27" t="inlineStr">
        <is>
          <t>Produção do mês</t>
        </is>
      </c>
      <c r="D25" s="36" t="n">
        <v>10</v>
      </c>
    </row>
    <row r="26">
      <c r="A26" s="26" t="n"/>
      <c r="B26" s="29" t="n"/>
      <c r="C26" s="27" t="n"/>
      <c r="D26" s="36" t="n"/>
    </row>
    <row r="27">
      <c r="A27" s="26" t="n"/>
      <c r="B27" s="29" t="n"/>
      <c r="C27" s="27" t="n"/>
      <c r="D27" s="36" t="n"/>
    </row>
    <row r="28">
      <c r="A28" s="26" t="n"/>
      <c r="B28" s="29" t="n"/>
      <c r="C28" s="27" t="n"/>
      <c r="D28" s="36" t="n"/>
    </row>
    <row r="29">
      <c r="A29" s="37" t="inlineStr">
        <is>
          <t>Preencha de cima para baixo, sem pular linha. Repasse sobre a produção: o parceiro recebe pelo que atendeu, e a glosa do convênio fica com a clínica. Sobre o recebido: o parceiro espera o convênio pagar. Combine por escrito; a planilha só calcula.</t>
        </is>
      </c>
    </row>
    <row r="30">
      <c r="A30" s="37" t="inlineStr">
        <is>
          <t>Pró-labore fixo: o valor combinado que cada sócio retira todo mês. Retirada extra e despesa pessoal paga pela clínica são o que passou do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1:J1"/>
    <mergeCell ref="D11:F11"/>
    <mergeCell ref="D9:F9"/>
    <mergeCell ref="A2:J2"/>
    <mergeCell ref="D10:F10"/>
  </mergeCells>
  <dataValidations count="2">
    <dataValidation sqref="B6" showDropDown="0" showInputMessage="0" showErrorMessage="1" allowBlank="1" type="list">
      <formula1>=Config!$H$5:$H$16</formula1>
    </dataValidation>
    <dataValidation sqref="C25:C28" showDropDown="0" showInputMessage="0" showErrorMessage="1" allowBlank="1" type="list">
      <formula1>"Produção do mês,Recebido no mês"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4" customWidth="1" min="3" max="3"/>
    <col width="15" customWidth="1" min="4" max="4"/>
    <col width="11" customWidth="1" min="5" max="5"/>
    <col width="10" customWidth="1" min="6" max="6"/>
    <col width="14" customWidth="1" min="7" max="7"/>
    <col width="12" customWidth="1" min="8" max="8"/>
    <col width="13" customWidth="1" min="9" max="9"/>
    <col width="12" customWidth="1" min="10" max="10"/>
    <col width="14" customWidth="1" min="11" max="11"/>
    <col width="15" customWidth="1" min="12" max="12"/>
    <col width="14" customWidth="1" min="13" max="13"/>
    <col width="17" customWidth="1" min="14" max="14"/>
    <col hidden="1" width="13" customWidth="1" min="15" max="15"/>
  </cols>
  <sheetData>
    <row r="1" ht="28" customHeight="1">
      <c r="A1" s="5" t="inlineStr">
        <is>
          <t>Repasse aos médicos parceiros</t>
        </is>
      </c>
    </row>
    <row r="2">
      <c r="A2" s="6" t="inlineStr">
        <is>
          <t>Uma linha por parceiro e mês. Amarelo: produção e horas atendidas (Painel da 01, por profissional, com o mês escolhido em Config) e o que foi pago. O resto é calculado.</t>
        </is>
      </c>
    </row>
    <row r="4" ht="52" customHeight="1">
      <c r="A4" s="17" t="inlineStr">
        <is>
          <t>Mês</t>
        </is>
      </c>
      <c r="B4" s="17" t="inlineStr">
        <is>
          <t>Ano</t>
        </is>
      </c>
      <c r="C4" s="17" t="inlineStr">
        <is>
          <t>Parceiro</t>
        </is>
      </c>
      <c r="D4" s="17" t="inlineStr">
        <is>
          <t>Produção do mês (R$)</t>
        </is>
      </c>
      <c r="E4" s="17" t="inlineStr">
        <is>
          <t>Horas atendidas</t>
        </is>
      </c>
      <c r="F4" s="17" t="inlineStr">
        <is>
          <t>% de repasse</t>
        </is>
      </c>
      <c r="G4" s="17" t="inlineStr">
        <is>
          <t>Repasse devido (R$)</t>
        </is>
      </c>
      <c r="H4" s="17" t="inlineStr">
        <is>
          <t>Pago em</t>
        </is>
      </c>
      <c r="I4" s="17" t="inlineStr">
        <is>
          <t>Valor pago (R$)</t>
        </is>
      </c>
      <c r="J4" s="17" t="inlineStr">
        <is>
          <t>Diferença (R$)</t>
        </is>
      </c>
      <c r="K4" s="17" t="inlineStr">
        <is>
          <t>Fica com a clínica (R$)</t>
        </is>
      </c>
      <c r="L4" s="17" t="inlineStr">
        <is>
          <t>Material e insumo do parceiro (R$)</t>
        </is>
      </c>
      <c r="M4" s="17" t="inlineStr">
        <is>
          <t>Margem da parceria (R$)</t>
        </is>
      </c>
      <c r="N4" s="17" t="inlineStr">
        <is>
          <t>Custo indireto das horas (informativo, R$)</t>
        </is>
      </c>
    </row>
    <row r="5">
      <c r="A5" s="27" t="inlineStr">
        <is>
          <t>Janeiro</t>
        </is>
      </c>
      <c r="B5" s="27" t="n">
        <v>2026</v>
      </c>
      <c r="C5" s="26" t="inlineStr">
        <is>
          <t>Dra. Renata Sousa</t>
        </is>
      </c>
      <c r="D5" s="38" t="n">
        <v>7450</v>
      </c>
      <c r="E5" s="39" t="n">
        <v>17.7</v>
      </c>
      <c r="F5" s="40">
        <f>IF(C5="","",IFERROR(INDEX(Config!$B$25:$B$28,MATCH(C5,Config!$A$25:$A$28,0)),""))</f>
        <v>0.5</v>
      </c>
      <c r="G5" s="19">
        <f>IF(OR(C5="",D5="",F5=""),"",ROUND(D5*F5,0))</f>
        <v>3725</v>
      </c>
      <c r="H5" s="41" t="n">
        <v>46063</v>
      </c>
      <c r="I5" s="38" t="n">
        <v>3725</v>
      </c>
      <c r="J5" s="19">
        <f>IF(G5="","",IF(I5="",G5,G5-I5))</f>
        <v>0</v>
      </c>
      <c r="K5" s="19">
        <f>IF(G5="","",D5-G5)</f>
        <v>3725</v>
      </c>
      <c r="L5" s="38" t="n">
        <v>106</v>
      </c>
      <c r="M5" s="19">
        <f>IF(G5="","",K5-N(L5))</f>
        <v>3619</v>
      </c>
      <c r="N5" s="21">
        <f>IF(OR(G5="",E5=""),"",E5*Config!$B$11)</f>
        <v>1264.28622</v>
      </c>
      <c r="O5" s="42">
        <f>IF(A5="","",MATCH(A5,Config!$H$5:$H$16,0))</f>
        <v>1</v>
      </c>
    </row>
    <row r="6">
      <c r="A6" s="27" t="inlineStr">
        <is>
          <t>Fevereiro</t>
        </is>
      </c>
      <c r="B6" s="27" t="n">
        <v>2026</v>
      </c>
      <c r="C6" s="26" t="inlineStr">
        <is>
          <t>Dra. Renata Sousa</t>
        </is>
      </c>
      <c r="D6" s="38" t="n">
        <v>6510</v>
      </c>
      <c r="E6" s="39" t="n">
        <v>18.3</v>
      </c>
      <c r="F6" s="40">
        <f>IF(C6="","",IFERROR(INDEX(Config!$B$25:$B$28,MATCH(C6,Config!$A$25:$A$28,0)),""))</f>
        <v>0.5</v>
      </c>
      <c r="G6" s="19">
        <f>IF(OR(C6="",D6="",F6=""),"",ROUND(D6*F6,0))</f>
        <v>3255</v>
      </c>
      <c r="H6" s="41" t="n">
        <v>46091</v>
      </c>
      <c r="I6" s="38" t="n">
        <v>3255</v>
      </c>
      <c r="J6" s="19">
        <f>IF(G6="","",IF(I6="",G6,G6-I6))</f>
        <v>0</v>
      </c>
      <c r="K6" s="19">
        <f>IF(G6="","",D6-G6)</f>
        <v>3255</v>
      </c>
      <c r="L6" s="38" t="n">
        <v>110</v>
      </c>
      <c r="M6" s="19">
        <f>IF(G6="","",K6-N(L6))</f>
        <v>3145</v>
      </c>
      <c r="N6" s="21">
        <f>IF(OR(G6="",E6=""),"",E6*Config!$B$11)</f>
        <v>1307.14338</v>
      </c>
      <c r="O6" s="42">
        <f>IF(A6="","",MATCH(A6,Config!$H$5:$H$16,0))</f>
        <v>2</v>
      </c>
    </row>
    <row r="7">
      <c r="A7" s="27" t="inlineStr">
        <is>
          <t>Março</t>
        </is>
      </c>
      <c r="B7" s="27" t="n">
        <v>2026</v>
      </c>
      <c r="C7" s="26" t="inlineStr">
        <is>
          <t>Dra. Renata Sousa</t>
        </is>
      </c>
      <c r="D7" s="38" t="n">
        <v>12100</v>
      </c>
      <c r="E7" s="39" t="n">
        <v>28</v>
      </c>
      <c r="F7" s="40">
        <f>IF(C7="","",IFERROR(INDEX(Config!$B$25:$B$28,MATCH(C7,Config!$A$25:$A$28,0)),""))</f>
        <v>0.5</v>
      </c>
      <c r="G7" s="19">
        <f>IF(OR(C7="",D7="",F7=""),"",ROUND(D7*F7,0))</f>
        <v>6050</v>
      </c>
      <c r="H7" s="41" t="n">
        <v>46122</v>
      </c>
      <c r="I7" s="38" t="n">
        <v>6050</v>
      </c>
      <c r="J7" s="19">
        <f>IF(G7="","",IF(I7="",G7,G7-I7))</f>
        <v>0</v>
      </c>
      <c r="K7" s="19">
        <f>IF(G7="","",D7-G7)</f>
        <v>6050</v>
      </c>
      <c r="L7" s="38" t="n">
        <v>168</v>
      </c>
      <c r="M7" s="19">
        <f>IF(G7="","",K7-N(L7))</f>
        <v>5882</v>
      </c>
      <c r="N7" s="21">
        <f>IF(OR(G7="",E7=""),"",E7*Config!$B$11)</f>
        <v>2000.0008</v>
      </c>
      <c r="O7" s="42">
        <f>IF(A7="","",MATCH(A7,Config!$H$5:$H$16,0))</f>
        <v>3</v>
      </c>
    </row>
    <row r="8">
      <c r="A8" s="27" t="inlineStr">
        <is>
          <t>Abril</t>
        </is>
      </c>
      <c r="B8" s="27" t="n">
        <v>2026</v>
      </c>
      <c r="C8" s="26" t="inlineStr">
        <is>
          <t>Dra. Renata Sousa</t>
        </is>
      </c>
      <c r="D8" s="38" t="n">
        <v>8770</v>
      </c>
      <c r="E8" s="39" t="n">
        <v>24</v>
      </c>
      <c r="F8" s="40">
        <f>IF(C8="","",IFERROR(INDEX(Config!$B$25:$B$28,MATCH(C8,Config!$A$25:$A$28,0)),""))</f>
        <v>0.5</v>
      </c>
      <c r="G8" s="19">
        <f>IF(OR(C8="",D8="",F8=""),"",ROUND(D8*F8,0))</f>
        <v>4385</v>
      </c>
      <c r="H8" s="41" t="n">
        <v>46152</v>
      </c>
      <c r="I8" s="38" t="n">
        <v>4385</v>
      </c>
      <c r="J8" s="19">
        <f>IF(G8="","",IF(I8="",G8,G8-I8))</f>
        <v>0</v>
      </c>
      <c r="K8" s="19">
        <f>IF(G8="","",D8-G8)</f>
        <v>4385</v>
      </c>
      <c r="L8" s="38" t="n">
        <v>144</v>
      </c>
      <c r="M8" s="19">
        <f>IF(G8="","",K8-N(L8))</f>
        <v>4241</v>
      </c>
      <c r="N8" s="21">
        <f>IF(OR(G8="",E8=""),"",E8*Config!$B$11)</f>
        <v>1714.2864</v>
      </c>
      <c r="O8" s="42">
        <f>IF(A8="","",MATCH(A8,Config!$H$5:$H$16,0))</f>
        <v>4</v>
      </c>
    </row>
    <row r="9">
      <c r="A9" s="27" t="inlineStr">
        <is>
          <t>Maio</t>
        </is>
      </c>
      <c r="B9" s="27" t="n">
        <v>2026</v>
      </c>
      <c r="C9" s="26" t="inlineStr">
        <is>
          <t>Dra. Renata Sousa</t>
        </is>
      </c>
      <c r="D9" s="38" t="n">
        <v>10490</v>
      </c>
      <c r="E9" s="39" t="n">
        <v>26.7</v>
      </c>
      <c r="F9" s="40">
        <f>IF(C9="","",IFERROR(INDEX(Config!$B$25:$B$28,MATCH(C9,Config!$A$25:$A$28,0)),""))</f>
        <v>0.5</v>
      </c>
      <c r="G9" s="19">
        <f>IF(OR(C9="",D9="",F9=""),"",ROUND(D9*F9,0))</f>
        <v>5245</v>
      </c>
      <c r="H9" s="41" t="n">
        <v>46183</v>
      </c>
      <c r="I9" s="38" t="n">
        <v>5245</v>
      </c>
      <c r="J9" s="19">
        <f>IF(G9="","",IF(I9="",G9,G9-I9))</f>
        <v>0</v>
      </c>
      <c r="K9" s="19">
        <f>IF(G9="","",D9-G9)</f>
        <v>5245</v>
      </c>
      <c r="L9" s="38" t="n">
        <v>160</v>
      </c>
      <c r="M9" s="19">
        <f>IF(G9="","",K9-N(L9))</f>
        <v>5085</v>
      </c>
      <c r="N9" s="21">
        <f>IF(OR(G9="",E9=""),"",E9*Config!$B$11)</f>
        <v>1907.14362</v>
      </c>
      <c r="O9" s="42">
        <f>IF(A9="","",MATCH(A9,Config!$H$5:$H$16,0))</f>
        <v>5</v>
      </c>
    </row>
    <row r="10">
      <c r="A10" s="27" t="inlineStr">
        <is>
          <t>Junho</t>
        </is>
      </c>
      <c r="B10" s="27" t="n">
        <v>2026</v>
      </c>
      <c r="C10" s="26" t="inlineStr">
        <is>
          <t>Dra. Renata Sousa</t>
        </is>
      </c>
      <c r="D10" s="38" t="n">
        <v>9440</v>
      </c>
      <c r="E10" s="39" t="n">
        <v>24</v>
      </c>
      <c r="F10" s="40">
        <f>IF(C10="","",IFERROR(INDEX(Config!$B$25:$B$28,MATCH(C10,Config!$A$25:$A$28,0)),""))</f>
        <v>0.5</v>
      </c>
      <c r="G10" s="19">
        <f>IF(OR(C10="",D10="",F10=""),"",ROUND(D10*F10,0))</f>
        <v>4720</v>
      </c>
      <c r="H10" s="41" t="n">
        <v>46213</v>
      </c>
      <c r="I10" s="38" t="n">
        <v>4720</v>
      </c>
      <c r="J10" s="19">
        <f>IF(G10="","",IF(I10="",G10,G10-I10))</f>
        <v>0</v>
      </c>
      <c r="K10" s="19">
        <f>IF(G10="","",D10-G10)</f>
        <v>4720</v>
      </c>
      <c r="L10" s="38" t="n">
        <v>144</v>
      </c>
      <c r="M10" s="19">
        <f>IF(G10="","",K10-N(L10))</f>
        <v>4576</v>
      </c>
      <c r="N10" s="21">
        <f>IF(OR(G10="",E10=""),"",E10*Config!$B$11)</f>
        <v>1714.2864</v>
      </c>
      <c r="O10" s="42">
        <f>IF(A10="","",MATCH(A10,Config!$H$5:$H$16,0))</f>
        <v>6</v>
      </c>
    </row>
    <row r="11">
      <c r="A11" s="27" t="inlineStr">
        <is>
          <t>Julho</t>
        </is>
      </c>
      <c r="B11" s="27" t="n">
        <v>2026</v>
      </c>
      <c r="C11" s="26" t="inlineStr">
        <is>
          <t>Dra. Renata Sousa</t>
        </is>
      </c>
      <c r="D11" s="38" t="n">
        <v>9690</v>
      </c>
      <c r="E11" s="39" t="n">
        <v>28</v>
      </c>
      <c r="F11" s="40">
        <f>IF(C11="","",IFERROR(INDEX(Config!$B$25:$B$28,MATCH(C11,Config!$A$25:$A$28,0)),""))</f>
        <v>0.5</v>
      </c>
      <c r="G11" s="19">
        <f>IF(OR(C11="",D11="",F11=""),"",ROUND(D11*F11,0))</f>
        <v>4845</v>
      </c>
      <c r="H11" s="41" t="n">
        <v>46244</v>
      </c>
      <c r="I11" s="38" t="n">
        <v>4845</v>
      </c>
      <c r="J11" s="19">
        <f>IF(G11="","",IF(I11="",G11,G11-I11))</f>
        <v>0</v>
      </c>
      <c r="K11" s="19">
        <f>IF(G11="","",D11-G11)</f>
        <v>4845</v>
      </c>
      <c r="L11" s="38" t="n">
        <v>168</v>
      </c>
      <c r="M11" s="19">
        <f>IF(G11="","",K11-N(L11))</f>
        <v>4677</v>
      </c>
      <c r="N11" s="21">
        <f>IF(OR(G11="",E11=""),"",E11*Config!$B$11)</f>
        <v>2000.0008</v>
      </c>
      <c r="O11" s="42">
        <f>IF(A11="","",MATCH(A11,Config!$H$5:$H$16,0))</f>
        <v>7</v>
      </c>
    </row>
    <row r="12">
      <c r="A12" s="27" t="inlineStr">
        <is>
          <t>Agosto</t>
        </is>
      </c>
      <c r="B12" s="27" t="n">
        <v>2026</v>
      </c>
      <c r="C12" s="26" t="inlineStr">
        <is>
          <t>Dra. Renata Sousa</t>
        </is>
      </c>
      <c r="D12" s="38" t="n">
        <v>10380</v>
      </c>
      <c r="E12" s="39" t="n">
        <v>23.7</v>
      </c>
      <c r="F12" s="40">
        <f>IF(C12="","",IFERROR(INDEX(Config!$B$25:$B$28,MATCH(C12,Config!$A$25:$A$28,0)),""))</f>
        <v>0.5</v>
      </c>
      <c r="G12" s="19">
        <f>IF(OR(C12="",D12="",F12=""),"",ROUND(D12*F12,0))</f>
        <v>5190</v>
      </c>
      <c r="H12" s="41" t="n">
        <v>46275</v>
      </c>
      <c r="I12" s="38" t="n">
        <v>5190</v>
      </c>
      <c r="J12" s="19">
        <f>IF(G12="","",IF(I12="",G12,G12-I12))</f>
        <v>0</v>
      </c>
      <c r="K12" s="19">
        <f>IF(G12="","",D12-G12)</f>
        <v>5190</v>
      </c>
      <c r="L12" s="38" t="n">
        <v>142</v>
      </c>
      <c r="M12" s="19">
        <f>IF(G12="","",K12-N(L12))</f>
        <v>5048</v>
      </c>
      <c r="N12" s="21">
        <f>IF(OR(G12="",E12=""),"",E12*Config!$B$11)</f>
        <v>1692.85782</v>
      </c>
      <c r="O12" s="42">
        <f>IF(A12="","",MATCH(A12,Config!$H$5:$H$16,0))</f>
        <v>8</v>
      </c>
    </row>
    <row r="13">
      <c r="A13" s="27" t="inlineStr">
        <is>
          <t>Setembro</t>
        </is>
      </c>
      <c r="B13" s="27" t="n">
        <v>2026</v>
      </c>
      <c r="C13" s="26" t="inlineStr">
        <is>
          <t>Dra. Renata Sousa</t>
        </is>
      </c>
      <c r="D13" s="38" t="n">
        <v>5850</v>
      </c>
      <c r="E13" s="39" t="n">
        <v>14</v>
      </c>
      <c r="F13" s="40">
        <f>IF(C13="","",IFERROR(INDEX(Config!$B$25:$B$28,MATCH(C13,Config!$A$25:$A$28,0)),""))</f>
        <v>0.5</v>
      </c>
      <c r="G13" s="19">
        <f>IF(OR(C13="",D13="",F13=""),"",ROUND(D13*F13,0))</f>
        <v>2925</v>
      </c>
      <c r="H13" s="41" t="n"/>
      <c r="I13" s="38" t="n"/>
      <c r="J13" s="19">
        <f>IF(G13="","",IF(I13="",G13,G13-I13))</f>
        <v>2925</v>
      </c>
      <c r="K13" s="19">
        <f>IF(G13="","",D13-G13)</f>
        <v>2925</v>
      </c>
      <c r="L13" s="38" t="n">
        <v>84</v>
      </c>
      <c r="M13" s="19">
        <f>IF(G13="","",K13-N(L13))</f>
        <v>2841</v>
      </c>
      <c r="N13" s="21">
        <f>IF(OR(G13="",E13=""),"",E13*Config!$B$11)</f>
        <v>1000.0004</v>
      </c>
      <c r="O13" s="42">
        <f>IF(A13="","",MATCH(A13,Config!$H$5:$H$16,0))</f>
        <v>9</v>
      </c>
    </row>
    <row r="14">
      <c r="A14" s="27" t="n"/>
      <c r="B14" s="27" t="n"/>
      <c r="C14" s="26" t="n"/>
      <c r="D14" s="38" t="n"/>
      <c r="E14" s="39" t="n"/>
      <c r="F14" s="40">
        <f>IF(C14="","",IFERROR(INDEX(Config!$B$25:$B$28,MATCH(C14,Config!$A$25:$A$28,0)),""))</f>
        <v/>
      </c>
      <c r="G14" s="19">
        <f>IF(OR(C14="",D14="",F14=""),"",ROUND(D14*F14,0))</f>
        <v/>
      </c>
      <c r="H14" s="41" t="n"/>
      <c r="I14" s="38" t="n"/>
      <c r="J14" s="19">
        <f>IF(G14="","",IF(I14="",G14,G14-I14))</f>
        <v/>
      </c>
      <c r="K14" s="19">
        <f>IF(G14="","",D14-G14)</f>
        <v/>
      </c>
      <c r="L14" s="38" t="n"/>
      <c r="M14" s="19">
        <f>IF(G14="","",K14-N(L14))</f>
        <v/>
      </c>
      <c r="N14" s="21">
        <f>IF(OR(G14="",E14=""),"",E14*Config!$B$11)</f>
        <v/>
      </c>
      <c r="O14" s="42">
        <f>IF(A14="","",MATCH(A14,Config!$H$5:$H$16,0))</f>
        <v/>
      </c>
    </row>
    <row r="15">
      <c r="A15" s="27" t="n"/>
      <c r="B15" s="27" t="n"/>
      <c r="C15" s="26" t="n"/>
      <c r="D15" s="38" t="n"/>
      <c r="E15" s="39" t="n"/>
      <c r="F15" s="40">
        <f>IF(C15="","",IFERROR(INDEX(Config!$B$25:$B$28,MATCH(C15,Config!$A$25:$A$28,0)),""))</f>
        <v/>
      </c>
      <c r="G15" s="19">
        <f>IF(OR(C15="",D15="",F15=""),"",ROUND(D15*F15,0))</f>
        <v/>
      </c>
      <c r="H15" s="41" t="n"/>
      <c r="I15" s="38" t="n"/>
      <c r="J15" s="19">
        <f>IF(G15="","",IF(I15="",G15,G15-I15))</f>
        <v/>
      </c>
      <c r="K15" s="19">
        <f>IF(G15="","",D15-G15)</f>
        <v/>
      </c>
      <c r="L15" s="38" t="n"/>
      <c r="M15" s="19">
        <f>IF(G15="","",K15-N(L15))</f>
        <v/>
      </c>
      <c r="N15" s="21">
        <f>IF(OR(G15="",E15=""),"",E15*Config!$B$11)</f>
        <v/>
      </c>
      <c r="O15" s="42">
        <f>IF(A15="","",MATCH(A15,Config!$H$5:$H$16,0))</f>
        <v/>
      </c>
    </row>
    <row r="16">
      <c r="A16" s="27" t="n"/>
      <c r="B16" s="27" t="n"/>
      <c r="C16" s="26" t="n"/>
      <c r="D16" s="38" t="n"/>
      <c r="E16" s="39" t="n"/>
      <c r="F16" s="40">
        <f>IF(C16="","",IFERROR(INDEX(Config!$B$25:$B$28,MATCH(C16,Config!$A$25:$A$28,0)),""))</f>
        <v/>
      </c>
      <c r="G16" s="19">
        <f>IF(OR(C16="",D16="",F16=""),"",ROUND(D16*F16,0))</f>
        <v/>
      </c>
      <c r="H16" s="41" t="n"/>
      <c r="I16" s="38" t="n"/>
      <c r="J16" s="19">
        <f>IF(G16="","",IF(I16="",G16,G16-I16))</f>
        <v/>
      </c>
      <c r="K16" s="19">
        <f>IF(G16="","",D16-G16)</f>
        <v/>
      </c>
      <c r="L16" s="38" t="n"/>
      <c r="M16" s="19">
        <f>IF(G16="","",K16-N(L16))</f>
        <v/>
      </c>
      <c r="N16" s="21">
        <f>IF(OR(G16="",E16=""),"",E16*Config!$B$11)</f>
        <v/>
      </c>
      <c r="O16" s="42">
        <f>IF(A16="","",MATCH(A16,Config!$H$5:$H$16,0))</f>
        <v/>
      </c>
    </row>
    <row r="17">
      <c r="A17" s="27" t="n"/>
      <c r="B17" s="27" t="n"/>
      <c r="C17" s="26" t="n"/>
      <c r="D17" s="38" t="n"/>
      <c r="E17" s="39" t="n"/>
      <c r="F17" s="40">
        <f>IF(C17="","",IFERROR(INDEX(Config!$B$25:$B$28,MATCH(C17,Config!$A$25:$A$28,0)),""))</f>
        <v/>
      </c>
      <c r="G17" s="19">
        <f>IF(OR(C17="",D17="",F17=""),"",ROUND(D17*F17,0))</f>
        <v/>
      </c>
      <c r="H17" s="41" t="n"/>
      <c r="I17" s="38" t="n"/>
      <c r="J17" s="19">
        <f>IF(G17="","",IF(I17="",G17,G17-I17))</f>
        <v/>
      </c>
      <c r="K17" s="19">
        <f>IF(G17="","",D17-G17)</f>
        <v/>
      </c>
      <c r="L17" s="38" t="n"/>
      <c r="M17" s="19">
        <f>IF(G17="","",K17-N(L17))</f>
        <v/>
      </c>
      <c r="N17" s="21">
        <f>IF(OR(G17="",E17=""),"",E17*Config!$B$11)</f>
        <v/>
      </c>
      <c r="O17" s="42">
        <f>IF(A17="","",MATCH(A17,Config!$H$5:$H$16,0))</f>
        <v/>
      </c>
    </row>
    <row r="18">
      <c r="A18" s="27" t="n"/>
      <c r="B18" s="27" t="n"/>
      <c r="C18" s="26" t="n"/>
      <c r="D18" s="38" t="n"/>
      <c r="E18" s="39" t="n"/>
      <c r="F18" s="40">
        <f>IF(C18="","",IFERROR(INDEX(Config!$B$25:$B$28,MATCH(C18,Config!$A$25:$A$28,0)),""))</f>
        <v/>
      </c>
      <c r="G18" s="19">
        <f>IF(OR(C18="",D18="",F18=""),"",ROUND(D18*F18,0))</f>
        <v/>
      </c>
      <c r="H18" s="41" t="n"/>
      <c r="I18" s="38" t="n"/>
      <c r="J18" s="19">
        <f>IF(G18="","",IF(I18="",G18,G18-I18))</f>
        <v/>
      </c>
      <c r="K18" s="19">
        <f>IF(G18="","",D18-G18)</f>
        <v/>
      </c>
      <c r="L18" s="38" t="n"/>
      <c r="M18" s="19">
        <f>IF(G18="","",K18-N(L18))</f>
        <v/>
      </c>
      <c r="N18" s="21">
        <f>IF(OR(G18="",E18=""),"",E18*Config!$B$11)</f>
        <v/>
      </c>
      <c r="O18" s="42">
        <f>IF(A18="","",MATCH(A18,Config!$H$5:$H$16,0))</f>
        <v/>
      </c>
    </row>
    <row r="19">
      <c r="A19" s="27" t="n"/>
      <c r="B19" s="27" t="n"/>
      <c r="C19" s="26" t="n"/>
      <c r="D19" s="38" t="n"/>
      <c r="E19" s="39" t="n"/>
      <c r="F19" s="40">
        <f>IF(C19="","",IFERROR(INDEX(Config!$B$25:$B$28,MATCH(C19,Config!$A$25:$A$28,0)),""))</f>
        <v/>
      </c>
      <c r="G19" s="19">
        <f>IF(OR(C19="",D19="",F19=""),"",ROUND(D19*F19,0))</f>
        <v/>
      </c>
      <c r="H19" s="41" t="n"/>
      <c r="I19" s="38" t="n"/>
      <c r="J19" s="19">
        <f>IF(G19="","",IF(I19="",G19,G19-I19))</f>
        <v/>
      </c>
      <c r="K19" s="19">
        <f>IF(G19="","",D19-G19)</f>
        <v/>
      </c>
      <c r="L19" s="38" t="n"/>
      <c r="M19" s="19">
        <f>IF(G19="","",K19-N(L19))</f>
        <v/>
      </c>
      <c r="N19" s="21">
        <f>IF(OR(G19="",E19=""),"",E19*Config!$B$11)</f>
        <v/>
      </c>
      <c r="O19" s="42">
        <f>IF(A19="","",MATCH(A19,Config!$H$5:$H$16,0))</f>
        <v/>
      </c>
    </row>
    <row r="20">
      <c r="A20" s="27" t="n"/>
      <c r="B20" s="27" t="n"/>
      <c r="C20" s="26" t="n"/>
      <c r="D20" s="38" t="n"/>
      <c r="E20" s="39" t="n"/>
      <c r="F20" s="40">
        <f>IF(C20="","",IFERROR(INDEX(Config!$B$25:$B$28,MATCH(C20,Config!$A$25:$A$28,0)),""))</f>
        <v/>
      </c>
      <c r="G20" s="19">
        <f>IF(OR(C20="",D20="",F20=""),"",ROUND(D20*F20,0))</f>
        <v/>
      </c>
      <c r="H20" s="41" t="n"/>
      <c r="I20" s="38" t="n"/>
      <c r="J20" s="19">
        <f>IF(G20="","",IF(I20="",G20,G20-I20))</f>
        <v/>
      </c>
      <c r="K20" s="19">
        <f>IF(G20="","",D20-G20)</f>
        <v/>
      </c>
      <c r="L20" s="38" t="n"/>
      <c r="M20" s="19">
        <f>IF(G20="","",K20-N(L20))</f>
        <v/>
      </c>
      <c r="N20" s="21">
        <f>IF(OR(G20="",E20=""),"",E20*Config!$B$11)</f>
        <v/>
      </c>
      <c r="O20" s="42">
        <f>IF(A20="","",MATCH(A20,Config!$H$5:$H$16,0))</f>
        <v/>
      </c>
    </row>
    <row r="21">
      <c r="A21" s="27" t="n"/>
      <c r="B21" s="27" t="n"/>
      <c r="C21" s="26" t="n"/>
      <c r="D21" s="38" t="n"/>
      <c r="E21" s="39" t="n"/>
      <c r="F21" s="40">
        <f>IF(C21="","",IFERROR(INDEX(Config!$B$25:$B$28,MATCH(C21,Config!$A$25:$A$28,0)),""))</f>
        <v/>
      </c>
      <c r="G21" s="19">
        <f>IF(OR(C21="",D21="",F21=""),"",ROUND(D21*F21,0))</f>
        <v/>
      </c>
      <c r="H21" s="41" t="n"/>
      <c r="I21" s="38" t="n"/>
      <c r="J21" s="19">
        <f>IF(G21="","",IF(I21="",G21,G21-I21))</f>
        <v/>
      </c>
      <c r="K21" s="19">
        <f>IF(G21="","",D21-G21)</f>
        <v/>
      </c>
      <c r="L21" s="38" t="n"/>
      <c r="M21" s="19">
        <f>IF(G21="","",K21-N(L21))</f>
        <v/>
      </c>
      <c r="N21" s="21">
        <f>IF(OR(G21="",E21=""),"",E21*Config!$B$11)</f>
        <v/>
      </c>
      <c r="O21" s="42">
        <f>IF(A21="","",MATCH(A21,Config!$H$5:$H$16,0))</f>
        <v/>
      </c>
    </row>
    <row r="22">
      <c r="A22" s="27" t="n"/>
      <c r="B22" s="27" t="n"/>
      <c r="C22" s="26" t="n"/>
      <c r="D22" s="38" t="n"/>
      <c r="E22" s="39" t="n"/>
      <c r="F22" s="40">
        <f>IF(C22="","",IFERROR(INDEX(Config!$B$25:$B$28,MATCH(C22,Config!$A$25:$A$28,0)),""))</f>
        <v/>
      </c>
      <c r="G22" s="19">
        <f>IF(OR(C22="",D22="",F22=""),"",ROUND(D22*F22,0))</f>
        <v/>
      </c>
      <c r="H22" s="41" t="n"/>
      <c r="I22" s="38" t="n"/>
      <c r="J22" s="19">
        <f>IF(G22="","",IF(I22="",G22,G22-I22))</f>
        <v/>
      </c>
      <c r="K22" s="19">
        <f>IF(G22="","",D22-G22)</f>
        <v/>
      </c>
      <c r="L22" s="38" t="n"/>
      <c r="M22" s="19">
        <f>IF(G22="","",K22-N(L22))</f>
        <v/>
      </c>
      <c r="N22" s="21">
        <f>IF(OR(G22="",E22=""),"",E22*Config!$B$11)</f>
        <v/>
      </c>
      <c r="O22" s="42">
        <f>IF(A22="","",MATCH(A22,Config!$H$5:$H$16,0))</f>
        <v/>
      </c>
    </row>
    <row r="23">
      <c r="A23" s="27" t="n"/>
      <c r="B23" s="27" t="n"/>
      <c r="C23" s="26" t="n"/>
      <c r="D23" s="38" t="n"/>
      <c r="E23" s="39" t="n"/>
      <c r="F23" s="40">
        <f>IF(C23="","",IFERROR(INDEX(Config!$B$25:$B$28,MATCH(C23,Config!$A$25:$A$28,0)),""))</f>
        <v/>
      </c>
      <c r="G23" s="19">
        <f>IF(OR(C23="",D23="",F23=""),"",ROUND(D23*F23,0))</f>
        <v/>
      </c>
      <c r="H23" s="41" t="n"/>
      <c r="I23" s="38" t="n"/>
      <c r="J23" s="19">
        <f>IF(G23="","",IF(I23="",G23,G23-I23))</f>
        <v/>
      </c>
      <c r="K23" s="19">
        <f>IF(G23="","",D23-G23)</f>
        <v/>
      </c>
      <c r="L23" s="38" t="n"/>
      <c r="M23" s="19">
        <f>IF(G23="","",K23-N(L23))</f>
        <v/>
      </c>
      <c r="N23" s="21">
        <f>IF(OR(G23="",E23=""),"",E23*Config!$B$11)</f>
        <v/>
      </c>
      <c r="O23" s="42">
        <f>IF(A23="","",MATCH(A23,Config!$H$5:$H$16,0))</f>
        <v/>
      </c>
    </row>
    <row r="24">
      <c r="A24" s="27" t="n"/>
      <c r="B24" s="27" t="n"/>
      <c r="C24" s="26" t="n"/>
      <c r="D24" s="38" t="n"/>
      <c r="E24" s="39" t="n"/>
      <c r="F24" s="40">
        <f>IF(C24="","",IFERROR(INDEX(Config!$B$25:$B$28,MATCH(C24,Config!$A$25:$A$28,0)),""))</f>
        <v/>
      </c>
      <c r="G24" s="19">
        <f>IF(OR(C24="",D24="",F24=""),"",ROUND(D24*F24,0))</f>
        <v/>
      </c>
      <c r="H24" s="41" t="n"/>
      <c r="I24" s="38" t="n"/>
      <c r="J24" s="19">
        <f>IF(G24="","",IF(I24="",G24,G24-I24))</f>
        <v/>
      </c>
      <c r="K24" s="19">
        <f>IF(G24="","",D24-G24)</f>
        <v/>
      </c>
      <c r="L24" s="38" t="n"/>
      <c r="M24" s="19">
        <f>IF(G24="","",K24-N(L24))</f>
        <v/>
      </c>
      <c r="N24" s="21">
        <f>IF(OR(G24="",E24=""),"",E24*Config!$B$11)</f>
        <v/>
      </c>
      <c r="O24" s="42">
        <f>IF(A24="","",MATCH(A24,Config!$H$5:$H$16,0))</f>
        <v/>
      </c>
    </row>
    <row r="25">
      <c r="A25" s="27" t="n"/>
      <c r="B25" s="27" t="n"/>
      <c r="C25" s="26" t="n"/>
      <c r="D25" s="38" t="n"/>
      <c r="E25" s="39" t="n"/>
      <c r="F25" s="40">
        <f>IF(C25="","",IFERROR(INDEX(Config!$B$25:$B$28,MATCH(C25,Config!$A$25:$A$28,0)),""))</f>
        <v/>
      </c>
      <c r="G25" s="19">
        <f>IF(OR(C25="",D25="",F25=""),"",ROUND(D25*F25,0))</f>
        <v/>
      </c>
      <c r="H25" s="41" t="n"/>
      <c r="I25" s="38" t="n"/>
      <c r="J25" s="19">
        <f>IF(G25="","",IF(I25="",G25,G25-I25))</f>
        <v/>
      </c>
      <c r="K25" s="19">
        <f>IF(G25="","",D25-G25)</f>
        <v/>
      </c>
      <c r="L25" s="38" t="n"/>
      <c r="M25" s="19">
        <f>IF(G25="","",K25-N(L25))</f>
        <v/>
      </c>
      <c r="N25" s="21">
        <f>IF(OR(G25="",E25=""),"",E25*Config!$B$11)</f>
        <v/>
      </c>
      <c r="O25" s="42">
        <f>IF(A25="","",MATCH(A25,Config!$H$5:$H$16,0))</f>
        <v/>
      </c>
    </row>
    <row r="26">
      <c r="A26" s="27" t="n"/>
      <c r="B26" s="27" t="n"/>
      <c r="C26" s="26" t="n"/>
      <c r="D26" s="38" t="n"/>
      <c r="E26" s="39" t="n"/>
      <c r="F26" s="40">
        <f>IF(C26="","",IFERROR(INDEX(Config!$B$25:$B$28,MATCH(C26,Config!$A$25:$A$28,0)),""))</f>
        <v/>
      </c>
      <c r="G26" s="19">
        <f>IF(OR(C26="",D26="",F26=""),"",ROUND(D26*F26,0))</f>
        <v/>
      </c>
      <c r="H26" s="41" t="n"/>
      <c r="I26" s="38" t="n"/>
      <c r="J26" s="19">
        <f>IF(G26="","",IF(I26="",G26,G26-I26))</f>
        <v/>
      </c>
      <c r="K26" s="19">
        <f>IF(G26="","",D26-G26)</f>
        <v/>
      </c>
      <c r="L26" s="38" t="n"/>
      <c r="M26" s="19">
        <f>IF(G26="","",K26-N(L26))</f>
        <v/>
      </c>
      <c r="N26" s="21">
        <f>IF(OR(G26="",E26=""),"",E26*Config!$B$11)</f>
        <v/>
      </c>
      <c r="O26" s="42">
        <f>IF(A26="","",MATCH(A26,Config!$H$5:$H$16,0))</f>
        <v/>
      </c>
    </row>
    <row r="27">
      <c r="A27" s="27" t="n"/>
      <c r="B27" s="27" t="n"/>
      <c r="C27" s="26" t="n"/>
      <c r="D27" s="38" t="n"/>
      <c r="E27" s="39" t="n"/>
      <c r="F27" s="40">
        <f>IF(C27="","",IFERROR(INDEX(Config!$B$25:$B$28,MATCH(C27,Config!$A$25:$A$28,0)),""))</f>
        <v/>
      </c>
      <c r="G27" s="19">
        <f>IF(OR(C27="",D27="",F27=""),"",ROUND(D27*F27,0))</f>
        <v/>
      </c>
      <c r="H27" s="41" t="n"/>
      <c r="I27" s="38" t="n"/>
      <c r="J27" s="19">
        <f>IF(G27="","",IF(I27="",G27,G27-I27))</f>
        <v/>
      </c>
      <c r="K27" s="19">
        <f>IF(G27="","",D27-G27)</f>
        <v/>
      </c>
      <c r="L27" s="38" t="n"/>
      <c r="M27" s="19">
        <f>IF(G27="","",K27-N(L27))</f>
        <v/>
      </c>
      <c r="N27" s="21">
        <f>IF(OR(G27="",E27=""),"",E27*Config!$B$11)</f>
        <v/>
      </c>
      <c r="O27" s="42">
        <f>IF(A27="","",MATCH(A27,Config!$H$5:$H$16,0))</f>
        <v/>
      </c>
    </row>
    <row r="28">
      <c r="A28" s="27" t="n"/>
      <c r="B28" s="27" t="n"/>
      <c r="C28" s="26" t="n"/>
      <c r="D28" s="38" t="n"/>
      <c r="E28" s="39" t="n"/>
      <c r="F28" s="40">
        <f>IF(C28="","",IFERROR(INDEX(Config!$B$25:$B$28,MATCH(C28,Config!$A$25:$A$28,0)),""))</f>
        <v/>
      </c>
      <c r="G28" s="19">
        <f>IF(OR(C28="",D28="",F28=""),"",ROUND(D28*F28,0))</f>
        <v/>
      </c>
      <c r="H28" s="41" t="n"/>
      <c r="I28" s="38" t="n"/>
      <c r="J28" s="19">
        <f>IF(G28="","",IF(I28="",G28,G28-I28))</f>
        <v/>
      </c>
      <c r="K28" s="19">
        <f>IF(G28="","",D28-G28)</f>
        <v/>
      </c>
      <c r="L28" s="38" t="n"/>
      <c r="M28" s="19">
        <f>IF(G28="","",K28-N(L28))</f>
        <v/>
      </c>
      <c r="N28" s="21">
        <f>IF(OR(G28="",E28=""),"",E28*Config!$B$11)</f>
        <v/>
      </c>
      <c r="O28" s="42">
        <f>IF(A28="","",MATCH(A28,Config!$H$5:$H$16,0))</f>
        <v/>
      </c>
    </row>
    <row r="29">
      <c r="A29" s="27" t="n"/>
      <c r="B29" s="27" t="n"/>
      <c r="C29" s="26" t="n"/>
      <c r="D29" s="38" t="n"/>
      <c r="E29" s="39" t="n"/>
      <c r="F29" s="40">
        <f>IF(C29="","",IFERROR(INDEX(Config!$B$25:$B$28,MATCH(C29,Config!$A$25:$A$28,0)),""))</f>
        <v/>
      </c>
      <c r="G29" s="19">
        <f>IF(OR(C29="",D29="",F29=""),"",ROUND(D29*F29,0))</f>
        <v/>
      </c>
      <c r="H29" s="41" t="n"/>
      <c r="I29" s="38" t="n"/>
      <c r="J29" s="19">
        <f>IF(G29="","",IF(I29="",G29,G29-I29))</f>
        <v/>
      </c>
      <c r="K29" s="19">
        <f>IF(G29="","",D29-G29)</f>
        <v/>
      </c>
      <c r="L29" s="38" t="n"/>
      <c r="M29" s="19">
        <f>IF(G29="","",K29-N(L29))</f>
        <v/>
      </c>
      <c r="N29" s="21">
        <f>IF(OR(G29="",E29=""),"",E29*Config!$B$11)</f>
        <v/>
      </c>
      <c r="O29" s="42">
        <f>IF(A29="","",MATCH(A29,Config!$H$5:$H$16,0))</f>
        <v/>
      </c>
    </row>
    <row r="30">
      <c r="A30" s="27" t="n"/>
      <c r="B30" s="27" t="n"/>
      <c r="C30" s="26" t="n"/>
      <c r="D30" s="38" t="n"/>
      <c r="E30" s="39" t="n"/>
      <c r="F30" s="40">
        <f>IF(C30="","",IFERROR(INDEX(Config!$B$25:$B$28,MATCH(C30,Config!$A$25:$A$28,0)),""))</f>
        <v/>
      </c>
      <c r="G30" s="19">
        <f>IF(OR(C30="",D30="",F30=""),"",ROUND(D30*F30,0))</f>
        <v/>
      </c>
      <c r="H30" s="41" t="n"/>
      <c r="I30" s="38" t="n"/>
      <c r="J30" s="19">
        <f>IF(G30="","",IF(I30="",G30,G30-I30))</f>
        <v/>
      </c>
      <c r="K30" s="19">
        <f>IF(G30="","",D30-G30)</f>
        <v/>
      </c>
      <c r="L30" s="38" t="n"/>
      <c r="M30" s="19">
        <f>IF(G30="","",K30-N(L30))</f>
        <v/>
      </c>
      <c r="N30" s="21">
        <f>IF(OR(G30="",E30=""),"",E30*Config!$B$11)</f>
        <v/>
      </c>
      <c r="O30" s="42">
        <f>IF(A30="","",MATCH(A30,Config!$H$5:$H$16,0))</f>
        <v/>
      </c>
    </row>
    <row r="31">
      <c r="A31" s="27" t="n"/>
      <c r="B31" s="27" t="n"/>
      <c r="C31" s="26" t="n"/>
      <c r="D31" s="38" t="n"/>
      <c r="E31" s="39" t="n"/>
      <c r="F31" s="40">
        <f>IF(C31="","",IFERROR(INDEX(Config!$B$25:$B$28,MATCH(C31,Config!$A$25:$A$28,0)),""))</f>
        <v/>
      </c>
      <c r="G31" s="19">
        <f>IF(OR(C31="",D31="",F31=""),"",ROUND(D31*F31,0))</f>
        <v/>
      </c>
      <c r="H31" s="41" t="n"/>
      <c r="I31" s="38" t="n"/>
      <c r="J31" s="19">
        <f>IF(G31="","",IF(I31="",G31,G31-I31))</f>
        <v/>
      </c>
      <c r="K31" s="19">
        <f>IF(G31="","",D31-G31)</f>
        <v/>
      </c>
      <c r="L31" s="38" t="n"/>
      <c r="M31" s="19">
        <f>IF(G31="","",K31-N(L31))</f>
        <v/>
      </c>
      <c r="N31" s="21">
        <f>IF(OR(G31="",E31=""),"",E31*Config!$B$11)</f>
        <v/>
      </c>
      <c r="O31" s="42">
        <f>IF(A31="","",MATCH(A31,Config!$H$5:$H$16,0))</f>
        <v/>
      </c>
    </row>
    <row r="32">
      <c r="A32" s="27" t="n"/>
      <c r="B32" s="27" t="n"/>
      <c r="C32" s="26" t="n"/>
      <c r="D32" s="38" t="n"/>
      <c r="E32" s="39" t="n"/>
      <c r="F32" s="40">
        <f>IF(C32="","",IFERROR(INDEX(Config!$B$25:$B$28,MATCH(C32,Config!$A$25:$A$28,0)),""))</f>
        <v/>
      </c>
      <c r="G32" s="19">
        <f>IF(OR(C32="",D32="",F32=""),"",ROUND(D32*F32,0))</f>
        <v/>
      </c>
      <c r="H32" s="41" t="n"/>
      <c r="I32" s="38" t="n"/>
      <c r="J32" s="19">
        <f>IF(G32="","",IF(I32="",G32,G32-I32))</f>
        <v/>
      </c>
      <c r="K32" s="19">
        <f>IF(G32="","",D32-G32)</f>
        <v/>
      </c>
      <c r="L32" s="38" t="n"/>
      <c r="M32" s="19">
        <f>IF(G32="","",K32-N(L32))</f>
        <v/>
      </c>
      <c r="N32" s="21">
        <f>IF(OR(G32="",E32=""),"",E32*Config!$B$11)</f>
        <v/>
      </c>
      <c r="O32" s="42">
        <f>IF(A32="","",MATCH(A32,Config!$H$5:$H$16,0))</f>
        <v/>
      </c>
    </row>
    <row r="33">
      <c r="A33" s="27" t="n"/>
      <c r="B33" s="27" t="n"/>
      <c r="C33" s="26" t="n"/>
      <c r="D33" s="38" t="n"/>
      <c r="E33" s="39" t="n"/>
      <c r="F33" s="40">
        <f>IF(C33="","",IFERROR(INDEX(Config!$B$25:$B$28,MATCH(C33,Config!$A$25:$A$28,0)),""))</f>
        <v/>
      </c>
      <c r="G33" s="19">
        <f>IF(OR(C33="",D33="",F33=""),"",ROUND(D33*F33,0))</f>
        <v/>
      </c>
      <c r="H33" s="41" t="n"/>
      <c r="I33" s="38" t="n"/>
      <c r="J33" s="19">
        <f>IF(G33="","",IF(I33="",G33,G33-I33))</f>
        <v/>
      </c>
      <c r="K33" s="19">
        <f>IF(G33="","",D33-G33)</f>
        <v/>
      </c>
      <c r="L33" s="38" t="n"/>
      <c r="M33" s="19">
        <f>IF(G33="","",K33-N(L33))</f>
        <v/>
      </c>
      <c r="N33" s="21">
        <f>IF(OR(G33="",E33=""),"",E33*Config!$B$11)</f>
        <v/>
      </c>
      <c r="O33" s="42">
        <f>IF(A33="","",MATCH(A33,Config!$H$5:$H$16,0))</f>
        <v/>
      </c>
    </row>
    <row r="34">
      <c r="A34" s="27" t="n"/>
      <c r="B34" s="27" t="n"/>
      <c r="C34" s="26" t="n"/>
      <c r="D34" s="38" t="n"/>
      <c r="E34" s="39" t="n"/>
      <c r="F34" s="40">
        <f>IF(C34="","",IFERROR(INDEX(Config!$B$25:$B$28,MATCH(C34,Config!$A$25:$A$28,0)),""))</f>
        <v/>
      </c>
      <c r="G34" s="19">
        <f>IF(OR(C34="",D34="",F34=""),"",ROUND(D34*F34,0))</f>
        <v/>
      </c>
      <c r="H34" s="41" t="n"/>
      <c r="I34" s="38" t="n"/>
      <c r="J34" s="19">
        <f>IF(G34="","",IF(I34="",G34,G34-I34))</f>
        <v/>
      </c>
      <c r="K34" s="19">
        <f>IF(G34="","",D34-G34)</f>
        <v/>
      </c>
      <c r="L34" s="38" t="n"/>
      <c r="M34" s="19">
        <f>IF(G34="","",K34-N(L34))</f>
        <v/>
      </c>
      <c r="N34" s="21">
        <f>IF(OR(G34="",E34=""),"",E34*Config!$B$11)</f>
        <v/>
      </c>
      <c r="O34" s="42">
        <f>IF(A34="","",MATCH(A34,Config!$H$5:$H$16,0))</f>
        <v/>
      </c>
    </row>
    <row r="35">
      <c r="A35" s="27" t="n"/>
      <c r="B35" s="27" t="n"/>
      <c r="C35" s="26" t="n"/>
      <c r="D35" s="38" t="n"/>
      <c r="E35" s="39" t="n"/>
      <c r="F35" s="40">
        <f>IF(C35="","",IFERROR(INDEX(Config!$B$25:$B$28,MATCH(C35,Config!$A$25:$A$28,0)),""))</f>
        <v/>
      </c>
      <c r="G35" s="19">
        <f>IF(OR(C35="",D35="",F35=""),"",ROUND(D35*F35,0))</f>
        <v/>
      </c>
      <c r="H35" s="41" t="n"/>
      <c r="I35" s="38" t="n"/>
      <c r="J35" s="19">
        <f>IF(G35="","",IF(I35="",G35,G35-I35))</f>
        <v/>
      </c>
      <c r="K35" s="19">
        <f>IF(G35="","",D35-G35)</f>
        <v/>
      </c>
      <c r="L35" s="38" t="n"/>
      <c r="M35" s="19">
        <f>IF(G35="","",K35-N(L35))</f>
        <v/>
      </c>
      <c r="N35" s="21">
        <f>IF(OR(G35="",E35=""),"",E35*Config!$B$11)</f>
        <v/>
      </c>
      <c r="O35" s="42">
        <f>IF(A35="","",MATCH(A35,Config!$H$5:$H$16,0))</f>
        <v/>
      </c>
    </row>
    <row r="36">
      <c r="A36" s="27" t="n"/>
      <c r="B36" s="27" t="n"/>
      <c r="C36" s="26" t="n"/>
      <c r="D36" s="38" t="n"/>
      <c r="E36" s="39" t="n"/>
      <c r="F36" s="40">
        <f>IF(C36="","",IFERROR(INDEX(Config!$B$25:$B$28,MATCH(C36,Config!$A$25:$A$28,0)),""))</f>
        <v/>
      </c>
      <c r="G36" s="19">
        <f>IF(OR(C36="",D36="",F36=""),"",ROUND(D36*F36,0))</f>
        <v/>
      </c>
      <c r="H36" s="41" t="n"/>
      <c r="I36" s="38" t="n"/>
      <c r="J36" s="19">
        <f>IF(G36="","",IF(I36="",G36,G36-I36))</f>
        <v/>
      </c>
      <c r="K36" s="19">
        <f>IF(G36="","",D36-G36)</f>
        <v/>
      </c>
      <c r="L36" s="38" t="n"/>
      <c r="M36" s="19">
        <f>IF(G36="","",K36-N(L36))</f>
        <v/>
      </c>
      <c r="N36" s="21">
        <f>IF(OR(G36="",E36=""),"",E36*Config!$B$11)</f>
        <v/>
      </c>
      <c r="O36" s="42">
        <f>IF(A36="","",MATCH(A36,Config!$H$5:$H$16,0))</f>
        <v/>
      </c>
    </row>
    <row r="37">
      <c r="A37" s="27" t="n"/>
      <c r="B37" s="27" t="n"/>
      <c r="C37" s="26" t="n"/>
      <c r="D37" s="38" t="n"/>
      <c r="E37" s="39" t="n"/>
      <c r="F37" s="40">
        <f>IF(C37="","",IFERROR(INDEX(Config!$B$25:$B$28,MATCH(C37,Config!$A$25:$A$28,0)),""))</f>
        <v/>
      </c>
      <c r="G37" s="19">
        <f>IF(OR(C37="",D37="",F37=""),"",ROUND(D37*F37,0))</f>
        <v/>
      </c>
      <c r="H37" s="41" t="n"/>
      <c r="I37" s="38" t="n"/>
      <c r="J37" s="19">
        <f>IF(G37="","",IF(I37="",G37,G37-I37))</f>
        <v/>
      </c>
      <c r="K37" s="19">
        <f>IF(G37="","",D37-G37)</f>
        <v/>
      </c>
      <c r="L37" s="38" t="n"/>
      <c r="M37" s="19">
        <f>IF(G37="","",K37-N(L37))</f>
        <v/>
      </c>
      <c r="N37" s="21">
        <f>IF(OR(G37="",E37=""),"",E37*Config!$B$11)</f>
        <v/>
      </c>
      <c r="O37" s="42">
        <f>IF(A37="","",MATCH(A37,Config!$H$5:$H$16,0))</f>
        <v/>
      </c>
    </row>
    <row r="38">
      <c r="A38" s="27" t="n"/>
      <c r="B38" s="27" t="n"/>
      <c r="C38" s="26" t="n"/>
      <c r="D38" s="38" t="n"/>
      <c r="E38" s="39" t="n"/>
      <c r="F38" s="40">
        <f>IF(C38="","",IFERROR(INDEX(Config!$B$25:$B$28,MATCH(C38,Config!$A$25:$A$28,0)),""))</f>
        <v/>
      </c>
      <c r="G38" s="19">
        <f>IF(OR(C38="",D38="",F38=""),"",ROUND(D38*F38,0))</f>
        <v/>
      </c>
      <c r="H38" s="41" t="n"/>
      <c r="I38" s="38" t="n"/>
      <c r="J38" s="19">
        <f>IF(G38="","",IF(I38="",G38,G38-I38))</f>
        <v/>
      </c>
      <c r="K38" s="19">
        <f>IF(G38="","",D38-G38)</f>
        <v/>
      </c>
      <c r="L38" s="38" t="n"/>
      <c r="M38" s="19">
        <f>IF(G38="","",K38-N(L38))</f>
        <v/>
      </c>
      <c r="N38" s="21">
        <f>IF(OR(G38="",E38=""),"",E38*Config!$B$11)</f>
        <v/>
      </c>
      <c r="O38" s="42">
        <f>IF(A38="","",MATCH(A38,Config!$H$5:$H$16,0))</f>
        <v/>
      </c>
    </row>
    <row r="39">
      <c r="A39" s="27" t="n"/>
      <c r="B39" s="27" t="n"/>
      <c r="C39" s="26" t="n"/>
      <c r="D39" s="38" t="n"/>
      <c r="E39" s="39" t="n"/>
      <c r="F39" s="40">
        <f>IF(C39="","",IFERROR(INDEX(Config!$B$25:$B$28,MATCH(C39,Config!$A$25:$A$28,0)),""))</f>
        <v/>
      </c>
      <c r="G39" s="19">
        <f>IF(OR(C39="",D39="",F39=""),"",ROUND(D39*F39,0))</f>
        <v/>
      </c>
      <c r="H39" s="41" t="n"/>
      <c r="I39" s="38" t="n"/>
      <c r="J39" s="19">
        <f>IF(G39="","",IF(I39="",G39,G39-I39))</f>
        <v/>
      </c>
      <c r="K39" s="19">
        <f>IF(G39="","",D39-G39)</f>
        <v/>
      </c>
      <c r="L39" s="38" t="n"/>
      <c r="M39" s="19">
        <f>IF(G39="","",K39-N(L39))</f>
        <v/>
      </c>
      <c r="N39" s="21">
        <f>IF(OR(G39="",E39=""),"",E39*Config!$B$11)</f>
        <v/>
      </c>
      <c r="O39" s="42">
        <f>IF(A39="","",MATCH(A39,Config!$H$5:$H$16,0))</f>
        <v/>
      </c>
    </row>
    <row r="40">
      <c r="A40" s="27" t="n"/>
      <c r="B40" s="27" t="n"/>
      <c r="C40" s="26" t="n"/>
      <c r="D40" s="38" t="n"/>
      <c r="E40" s="39" t="n"/>
      <c r="F40" s="40">
        <f>IF(C40="","",IFERROR(INDEX(Config!$B$25:$B$28,MATCH(C40,Config!$A$25:$A$28,0)),""))</f>
        <v/>
      </c>
      <c r="G40" s="19">
        <f>IF(OR(C40="",D40="",F40=""),"",ROUND(D40*F40,0))</f>
        <v/>
      </c>
      <c r="H40" s="41" t="n"/>
      <c r="I40" s="38" t="n"/>
      <c r="J40" s="19">
        <f>IF(G40="","",IF(I40="",G40,G40-I40))</f>
        <v/>
      </c>
      <c r="K40" s="19">
        <f>IF(G40="","",D40-G40)</f>
        <v/>
      </c>
      <c r="L40" s="38" t="n"/>
      <c r="M40" s="19">
        <f>IF(G40="","",K40-N(L40))</f>
        <v/>
      </c>
      <c r="N40" s="21">
        <f>IF(OR(G40="",E40=""),"",E40*Config!$B$11)</f>
        <v/>
      </c>
      <c r="O40" s="42">
        <f>IF(A40="","",MATCH(A40,Config!$H$5:$H$16,0))</f>
        <v/>
      </c>
    </row>
    <row r="42" ht="30" customHeight="1">
      <c r="A42" s="30" t="inlineStr">
        <is>
          <t>Diferença em amarelo: repasse devido e ainda não pago (ou pago a menos). Margem da parceria = o que fica com a clínica − material e insumo que o parceiro consome (o custo direto da parceria). O custo indireto das horas é só informativo: a estrutura já está paga dentro do custo-hora dos sócios (05), e descontá-la aqui cobraria a mesma sala duas vezes. Margem negativa em vermelho: o repasse combinado não cobre nem o material; reveja o % ou a tabela.</t>
        </is>
      </c>
    </row>
    <row r="43">
      <c r="A43" s="37" t="inlineStr">
        <is>
          <t>No exemplo, a produção de janeiro a junho veio do fechamento do dia (a agenda na planilha 01 começou em julho); julho e agosto são o Painel da 01 por profissional; setembro está em andamento (até 11/09), sem repasse pago ainda.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:M2"/>
    <mergeCell ref="A1:M1"/>
    <mergeCell ref="A42:M42"/>
  </mergeCells>
  <conditionalFormatting sqref="J5:J40">
    <cfRule type="expression" priority="1" dxfId="0">
      <formula>AND(ISNUMBER(J5),J5&gt;0)</formula>
    </cfRule>
    <cfRule type="expression" priority="2" dxfId="1">
      <formula>AND(ISNUMBER(J5),J5&lt;0)</formula>
    </cfRule>
  </conditionalFormatting>
  <conditionalFormatting sqref="M5:M40">
    <cfRule type="expression" priority="3" dxfId="2">
      <formula>AND(ISNUMBER(M5),M5&lt;0)</formula>
    </cfRule>
  </conditionalFormatting>
  <dataValidations count="3">
    <dataValidation sqref="A5:A40" showDropDown="0" showInputMessage="0" showErrorMessage="1" allowBlank="1" type="list">
      <formula1>=Config!$H$5:$H$16</formula1>
    </dataValidation>
    <dataValidation sqref="C5:C40" showDropDown="0" showInputMessage="0" showErrorMessage="0" allowBlank="1" type="list">
      <formula1>=OFFSET(Config!$A$25,0,0,MAX(1,COUNTA(Config!$A$25:$A$28)),1)</formula1>
    </dataValidation>
    <dataValidation sqref="H5:H40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5" t="inlineStr">
        <is>
          <t>Resultado mensal da clínica</t>
        </is>
      </c>
    </row>
    <row r="2">
      <c r="A2" s="6" t="inlineStr">
        <is>
          <t>Amarelo: entradas e saídas de cada mês, sem nada dos sócios (copie do Painel da planilha 09). O resto é calculado.</t>
        </is>
      </c>
    </row>
    <row r="4" ht="40" customHeight="1">
      <c r="A4" s="17" t="inlineStr">
        <is>
          <t>Mês</t>
        </is>
      </c>
      <c r="B4" s="17" t="inlineStr">
        <is>
          <t>Entradas recebidas</t>
        </is>
      </c>
      <c r="C4" s="17" t="inlineStr">
        <is>
          <t>Saídas da clínica (sem sócios)</t>
        </is>
      </c>
      <c r="D4" s="17" t="inlineStr">
        <is>
          <t>Pró-labore fixo combinado</t>
        </is>
      </c>
      <c r="E4" s="17" t="inlineStr">
        <is>
          <t>Resultado após pró-labore</t>
        </is>
      </c>
      <c r="F4" s="17" t="inlineStr">
        <is>
          <t>Trimestre</t>
        </is>
      </c>
    </row>
    <row r="5">
      <c r="A5" s="18" t="inlineStr">
        <is>
          <t>Janeiro</t>
        </is>
      </c>
      <c r="B5" s="31" t="n">
        <v>25310</v>
      </c>
      <c r="C5" s="31" t="n">
        <v>17932.05</v>
      </c>
      <c r="D5" s="43">
        <f>IF(AND(B5="",C5=""),0,Config!$C$21)</f>
        <v>18000</v>
      </c>
      <c r="E5" s="43">
        <f>B5-C5-D5</f>
        <v>-10622.05</v>
      </c>
      <c r="F5" s="23" t="inlineStr">
        <is>
          <t>1º trimestre</t>
        </is>
      </c>
    </row>
    <row r="6">
      <c r="A6" s="18" t="inlineStr">
        <is>
          <t>Fevereiro</t>
        </is>
      </c>
      <c r="B6" s="31" t="n">
        <v>25650</v>
      </c>
      <c r="C6" s="31" t="n">
        <v>17610.54</v>
      </c>
      <c r="D6" s="43">
        <f>IF(AND(B6="",C6=""),0,Config!$C$21)</f>
        <v>18000</v>
      </c>
      <c r="E6" s="43">
        <f>B6-C6-D6</f>
        <v>-9960.54</v>
      </c>
      <c r="F6" s="23" t="inlineStr">
        <is>
          <t>1º trimestre</t>
        </is>
      </c>
    </row>
    <row r="7">
      <c r="A7" s="18" t="inlineStr">
        <is>
          <t>Março</t>
        </is>
      </c>
      <c r="B7" s="31" t="n">
        <v>40540</v>
      </c>
      <c r="C7" s="31" t="n">
        <v>17901.13</v>
      </c>
      <c r="D7" s="43">
        <f>IF(AND(B7="",C7=""),0,Config!$C$21)</f>
        <v>18000</v>
      </c>
      <c r="E7" s="43">
        <f>B7-C7-D7</f>
        <v>4638.87</v>
      </c>
      <c r="F7" s="23" t="inlineStr">
        <is>
          <t>1º trimestre</t>
        </is>
      </c>
    </row>
    <row r="8">
      <c r="A8" s="18" t="inlineStr">
        <is>
          <t>Abril</t>
        </is>
      </c>
      <c r="B8" s="31" t="n">
        <v>40155</v>
      </c>
      <c r="C8" s="31" t="n">
        <v>22254.1</v>
      </c>
      <c r="D8" s="43">
        <f>IF(AND(B8="",C8=""),0,Config!$C$21)</f>
        <v>18000</v>
      </c>
      <c r="E8" s="43">
        <f>B8-C8-D8</f>
        <v>-99.0999999999985</v>
      </c>
      <c r="F8" s="23" t="inlineStr">
        <is>
          <t>2º trimestre</t>
        </is>
      </c>
    </row>
    <row r="9">
      <c r="A9" s="18" t="inlineStr">
        <is>
          <t>Maio</t>
        </is>
      </c>
      <c r="B9" s="31" t="n">
        <v>45380</v>
      </c>
      <c r="C9" s="31" t="n">
        <v>21500.29</v>
      </c>
      <c r="D9" s="43">
        <f>IF(AND(B9="",C9=""),0,Config!$C$21)</f>
        <v>18000</v>
      </c>
      <c r="E9" s="43">
        <f>B9-C9-D9</f>
        <v>5879.71</v>
      </c>
      <c r="F9" s="23" t="inlineStr">
        <is>
          <t>2º trimestre</t>
        </is>
      </c>
    </row>
    <row r="10">
      <c r="A10" s="18" t="inlineStr">
        <is>
          <t>Junho</t>
        </is>
      </c>
      <c r="B10" s="31" t="n">
        <v>47240</v>
      </c>
      <c r="C10" s="31" t="n">
        <v>22202.87</v>
      </c>
      <c r="D10" s="43">
        <f>IF(AND(B10="",C10=""),0,Config!$C$21)</f>
        <v>18000</v>
      </c>
      <c r="E10" s="43">
        <f>B10-C10-D10</f>
        <v>7037.13</v>
      </c>
      <c r="F10" s="23" t="inlineStr">
        <is>
          <t>2º trimestre</t>
        </is>
      </c>
    </row>
    <row r="11">
      <c r="A11" s="18" t="inlineStr">
        <is>
          <t>Julho</t>
        </is>
      </c>
      <c r="B11" s="31" t="n">
        <v>44471</v>
      </c>
      <c r="C11" s="31" t="n">
        <v>21562.6</v>
      </c>
      <c r="D11" s="43">
        <f>IF(AND(B11="",C11=""),0,Config!$C$21)</f>
        <v>18000</v>
      </c>
      <c r="E11" s="43">
        <f>B11-C11-D11</f>
        <v>4908.4</v>
      </c>
      <c r="F11" s="23" t="inlineStr">
        <is>
          <t>3º trimestre</t>
        </is>
      </c>
    </row>
    <row r="12">
      <c r="A12" s="18" t="inlineStr">
        <is>
          <t>Agosto</t>
        </is>
      </c>
      <c r="B12" s="31" t="n">
        <v>55841</v>
      </c>
      <c r="C12" s="31" t="n">
        <v>22248.61</v>
      </c>
      <c r="D12" s="43">
        <f>IF(AND(B12="",C12=""),0,Config!$C$21)</f>
        <v>18000</v>
      </c>
      <c r="E12" s="43">
        <f>B12-C12-D12</f>
        <v>15592.39</v>
      </c>
      <c r="F12" s="23" t="inlineStr">
        <is>
          <t>3º trimestre</t>
        </is>
      </c>
    </row>
    <row r="13">
      <c r="A13" s="18" t="inlineStr">
        <is>
          <t>Setembro</t>
        </is>
      </c>
      <c r="B13" s="31" t="n">
        <v>20710</v>
      </c>
      <c r="C13" s="31" t="n">
        <v>13630</v>
      </c>
      <c r="D13" s="43">
        <f>IF(AND(B13="",C13=""),0,Config!$C$21)</f>
        <v>18000</v>
      </c>
      <c r="E13" s="43">
        <f>B13-C13-D13</f>
        <v>-10920</v>
      </c>
      <c r="F13" s="23" t="inlineStr">
        <is>
          <t>3º trimestre</t>
        </is>
      </c>
    </row>
    <row r="14">
      <c r="A14" s="18" t="inlineStr">
        <is>
          <t>Outubro</t>
        </is>
      </c>
      <c r="B14" s="31" t="n"/>
      <c r="C14" s="31" t="n"/>
      <c r="D14" s="43">
        <f>IF(AND(B14="",C14=""),0,Config!$C$21)</f>
        <v>0</v>
      </c>
      <c r="E14" s="43">
        <f>B14-C14-D14</f>
        <v>0</v>
      </c>
      <c r="F14" s="23" t="inlineStr">
        <is>
          <t>4º trimestre</t>
        </is>
      </c>
    </row>
    <row r="15">
      <c r="A15" s="18" t="inlineStr">
        <is>
          <t>Novembro</t>
        </is>
      </c>
      <c r="B15" s="31" t="n"/>
      <c r="C15" s="31" t="n"/>
      <c r="D15" s="43">
        <f>IF(AND(B15="",C15=""),0,Config!$C$21)</f>
        <v>0</v>
      </c>
      <c r="E15" s="43">
        <f>B15-C15-D15</f>
        <v>0</v>
      </c>
      <c r="F15" s="23" t="inlineStr">
        <is>
          <t>4º trimestre</t>
        </is>
      </c>
    </row>
    <row r="16">
      <c r="A16" s="18" t="inlineStr">
        <is>
          <t>Dezembro</t>
        </is>
      </c>
      <c r="B16" s="31" t="n"/>
      <c r="C16" s="31" t="n"/>
      <c r="D16" s="43">
        <f>IF(AND(B16="",C16=""),0,Config!$C$21)</f>
        <v>0</v>
      </c>
      <c r="E16" s="43">
        <f>B16-C16-D16</f>
        <v>0</v>
      </c>
      <c r="F16" s="23" t="inlineStr">
        <is>
          <t>4º trimestre</t>
        </is>
      </c>
    </row>
    <row r="18">
      <c r="A18" s="37" t="inlineStr">
        <is>
          <t>Entradas = Entrou no mês (Painel da planilha 09) menos devoluções dos sócios (Outras entradas). Saídas sem sócios = Saiu no mês menos pró-labore, retiradas extras, distribuição de lucro e despesas pessoais dos sócios (o repasse à parceira fica dentro). Meses não fechados ficam em branco (setembro: até 11/09).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conditionalFormatting sqref="E5:E16">
    <cfRule type="expression" priority="1" dxfId="2">
      <formula>E5&lt;0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4" customWidth="1" min="4" max="4"/>
    <col width="14" customWidth="1" min="5" max="5"/>
    <col width="22" customWidth="1" min="6" max="6"/>
    <col width="6" customWidth="1" min="7" max="7"/>
    <col width="7" customWidth="1" min="8" max="8"/>
  </cols>
  <sheetData>
    <row r="1" ht="28" customHeight="1">
      <c r="A1" s="5" t="inlineStr">
        <is>
          <t>Retiradas e movimentos sócio × clínica</t>
        </is>
      </c>
    </row>
    <row r="2">
      <c r="A2" s="6" t="inlineStr">
        <is>
          <t>Uma linha por movimento entre a conta da clínica e a pessoa física de cada sócio. Preencha o amarelo; mês e ano são calculados.</t>
        </is>
      </c>
    </row>
    <row r="4" ht="40" customHeight="1">
      <c r="A4" s="17" t="inlineStr">
        <is>
          <t>Data</t>
        </is>
      </c>
      <c r="B4" s="17" t="inlineStr">
        <is>
          <t>Sócio</t>
        </is>
      </c>
      <c r="C4" s="17" t="inlineStr">
        <is>
          <t>Tipo</t>
        </is>
      </c>
      <c r="D4" s="17" t="inlineStr">
        <is>
          <t>Descrição</t>
        </is>
      </c>
      <c r="E4" s="17" t="inlineStr">
        <is>
          <t>Valor</t>
        </is>
      </c>
      <c r="F4" s="17" t="inlineStr">
        <is>
          <t>Trimestre de referência (só distribuição)</t>
        </is>
      </c>
      <c r="G4" s="17" t="inlineStr">
        <is>
          <t>Mês</t>
        </is>
      </c>
      <c r="H4" s="17" t="inlineStr">
        <is>
          <t>Ano</t>
        </is>
      </c>
    </row>
    <row r="5">
      <c r="A5" s="41" t="n">
        <v>46050</v>
      </c>
      <c r="B5" s="27" t="inlineStr">
        <is>
          <t>Dr. Paulo Andrade</t>
        </is>
      </c>
      <c r="C5" s="27" t="inlineStr">
        <is>
          <t>Pró-labore</t>
        </is>
      </c>
      <c r="D5" s="26" t="inlineStr">
        <is>
          <t>Pró-labore de janeiro</t>
        </is>
      </c>
      <c r="E5" s="31" t="n">
        <v>9000</v>
      </c>
      <c r="F5" s="27" t="inlineStr"/>
      <c r="G5" s="23">
        <f>IF(A5="","",MONTH(A5))</f>
        <v>1</v>
      </c>
      <c r="H5" s="23">
        <f>IF(A5="","",YEAR(A5))</f>
        <v>2026</v>
      </c>
    </row>
    <row r="6">
      <c r="A6" s="41" t="n">
        <v>46050</v>
      </c>
      <c r="B6" s="27" t="inlineStr">
        <is>
          <t>Dra. Carolina Mendes</t>
        </is>
      </c>
      <c r="C6" s="27" t="inlineStr">
        <is>
          <t>Pró-labore</t>
        </is>
      </c>
      <c r="D6" s="26" t="inlineStr">
        <is>
          <t>Pró-labore de janeiro</t>
        </is>
      </c>
      <c r="E6" s="31" t="n">
        <v>9000</v>
      </c>
      <c r="F6" s="27" t="inlineStr"/>
      <c r="G6" s="23">
        <f>IF(A6="","",MONTH(A6))</f>
        <v>1</v>
      </c>
      <c r="H6" s="23">
        <f>IF(A6="","",YEAR(A6))</f>
        <v>2026</v>
      </c>
    </row>
    <row r="7">
      <c r="A7" s="41" t="n">
        <v>46059</v>
      </c>
      <c r="B7" s="27" t="inlineStr">
        <is>
          <t>Dra. Carolina Mendes</t>
        </is>
      </c>
      <c r="C7" s="27" t="inlineStr">
        <is>
          <t>Despesa pessoal paga pela clínica</t>
        </is>
      </c>
      <c r="D7" s="26" t="inlineStr">
        <is>
          <t>Plano de saúde da família</t>
        </is>
      </c>
      <c r="E7" s="31" t="n">
        <v>620</v>
      </c>
      <c r="F7" s="27" t="inlineStr"/>
      <c r="G7" s="23">
        <f>IF(A7="","",MONTH(A7))</f>
        <v>2</v>
      </c>
      <c r="H7" s="23">
        <f>IF(A7="","",YEAR(A7))</f>
        <v>2026</v>
      </c>
    </row>
    <row r="8">
      <c r="A8" s="41" t="n">
        <v>46081</v>
      </c>
      <c r="B8" s="27" t="inlineStr">
        <is>
          <t>Dr. Paulo Andrade</t>
        </is>
      </c>
      <c r="C8" s="27" t="inlineStr">
        <is>
          <t>Pró-labore</t>
        </is>
      </c>
      <c r="D8" s="26" t="inlineStr">
        <is>
          <t>Pró-labore de fevereiro</t>
        </is>
      </c>
      <c r="E8" s="31" t="n">
        <v>9000</v>
      </c>
      <c r="F8" s="27" t="inlineStr"/>
      <c r="G8" s="23">
        <f>IF(A8="","",MONTH(A8))</f>
        <v>2</v>
      </c>
      <c r="H8" s="23">
        <f>IF(A8="","",YEAR(A8))</f>
        <v>2026</v>
      </c>
    </row>
    <row r="9">
      <c r="A9" s="41" t="n">
        <v>46081</v>
      </c>
      <c r="B9" s="27" t="inlineStr">
        <is>
          <t>Dra. Carolina Mendes</t>
        </is>
      </c>
      <c r="C9" s="27" t="inlineStr">
        <is>
          <t>Pró-labore</t>
        </is>
      </c>
      <c r="D9" s="26" t="inlineStr">
        <is>
          <t>Pró-labore de fevereiro</t>
        </is>
      </c>
      <c r="E9" s="31" t="n">
        <v>9000</v>
      </c>
      <c r="F9" s="27" t="inlineStr"/>
      <c r="G9" s="23">
        <f>IF(A9="","",MONTH(A9))</f>
        <v>2</v>
      </c>
      <c r="H9" s="23">
        <f>IF(A9="","",YEAR(A9))</f>
        <v>2026</v>
      </c>
    </row>
    <row r="10">
      <c r="A10" s="41" t="n">
        <v>46092</v>
      </c>
      <c r="B10" s="27" t="inlineStr">
        <is>
          <t>Dr. Paulo Andrade</t>
        </is>
      </c>
      <c r="C10" s="27" t="inlineStr">
        <is>
          <t>Despesa pessoal paga pela clínica</t>
        </is>
      </c>
      <c r="D10" s="26" t="inlineStr">
        <is>
          <t>Combustível particular</t>
        </is>
      </c>
      <c r="E10" s="31" t="n">
        <v>350</v>
      </c>
      <c r="F10" s="27" t="inlineStr"/>
      <c r="G10" s="23">
        <f>IF(A10="","",MONTH(A10))</f>
        <v>3</v>
      </c>
      <c r="H10" s="23">
        <f>IF(A10="","",YEAR(A10))</f>
        <v>2026</v>
      </c>
    </row>
    <row r="11">
      <c r="A11" s="41" t="n">
        <v>46097</v>
      </c>
      <c r="B11" s="27" t="inlineStr">
        <is>
          <t>Dr. Paulo Andrade</t>
        </is>
      </c>
      <c r="C11" s="27" t="inlineStr">
        <is>
          <t>Retirada extra</t>
        </is>
      </c>
      <c r="D11" s="26" t="inlineStr">
        <is>
          <t>Adiantamento para congresso</t>
        </is>
      </c>
      <c r="E11" s="31" t="n">
        <v>2000</v>
      </c>
      <c r="F11" s="27" t="inlineStr"/>
      <c r="G11" s="23">
        <f>IF(A11="","",MONTH(A11))</f>
        <v>3</v>
      </c>
      <c r="H11" s="23">
        <f>IF(A11="","",YEAR(A11))</f>
        <v>2026</v>
      </c>
    </row>
    <row r="12">
      <c r="A12" s="41" t="n">
        <v>46109</v>
      </c>
      <c r="B12" s="27" t="inlineStr">
        <is>
          <t>Dr. Paulo Andrade</t>
        </is>
      </c>
      <c r="C12" s="27" t="inlineStr">
        <is>
          <t>Pró-labore</t>
        </is>
      </c>
      <c r="D12" s="26" t="inlineStr">
        <is>
          <t>Pró-labore de março</t>
        </is>
      </c>
      <c r="E12" s="31" t="n">
        <v>9000</v>
      </c>
      <c r="F12" s="27" t="inlineStr"/>
      <c r="G12" s="23">
        <f>IF(A12="","",MONTH(A12))</f>
        <v>3</v>
      </c>
      <c r="H12" s="23">
        <f>IF(A12="","",YEAR(A12))</f>
        <v>2026</v>
      </c>
    </row>
    <row r="13">
      <c r="A13" s="41" t="n">
        <v>46109</v>
      </c>
      <c r="B13" s="27" t="inlineStr">
        <is>
          <t>Dra. Carolina Mendes</t>
        </is>
      </c>
      <c r="C13" s="27" t="inlineStr">
        <is>
          <t>Pró-labore</t>
        </is>
      </c>
      <c r="D13" s="26" t="inlineStr">
        <is>
          <t>Pró-labore de março</t>
        </is>
      </c>
      <c r="E13" s="31" t="n">
        <v>9000</v>
      </c>
      <c r="F13" s="27" t="inlineStr"/>
      <c r="G13" s="23">
        <f>IF(A13="","",MONTH(A13))</f>
        <v>3</v>
      </c>
      <c r="H13" s="23">
        <f>IF(A13="","",YEAR(A13))</f>
        <v>2026</v>
      </c>
    </row>
    <row r="14">
      <c r="A14" s="41" t="n">
        <v>46126</v>
      </c>
      <c r="B14" s="27" t="inlineStr">
        <is>
          <t>Dra. Carolina Mendes</t>
        </is>
      </c>
      <c r="C14" s="27" t="inlineStr">
        <is>
          <t>Devolução à clínica</t>
        </is>
      </c>
      <c r="D14" s="26" t="inlineStr">
        <is>
          <t>Devolução da despesa pessoal (plano de saúde)</t>
        </is>
      </c>
      <c r="E14" s="31" t="n">
        <v>620</v>
      </c>
      <c r="F14" s="27" t="inlineStr"/>
      <c r="G14" s="23">
        <f>IF(A14="","",MONTH(A14))</f>
        <v>4</v>
      </c>
      <c r="H14" s="23">
        <f>IF(A14="","",YEAR(A14))</f>
        <v>2026</v>
      </c>
    </row>
    <row r="15">
      <c r="A15" s="41" t="n">
        <v>46140</v>
      </c>
      <c r="B15" s="27" t="inlineStr">
        <is>
          <t>Dr. Paulo Andrade</t>
        </is>
      </c>
      <c r="C15" s="27" t="inlineStr">
        <is>
          <t>Pró-labore</t>
        </is>
      </c>
      <c r="D15" s="26" t="inlineStr">
        <is>
          <t>Pró-labore de abril</t>
        </is>
      </c>
      <c r="E15" s="31" t="n">
        <v>9000</v>
      </c>
      <c r="F15" s="27" t="inlineStr"/>
      <c r="G15" s="23">
        <f>IF(A15="","",MONTH(A15))</f>
        <v>4</v>
      </c>
      <c r="H15" s="23">
        <f>IF(A15="","",YEAR(A15))</f>
        <v>2026</v>
      </c>
    </row>
    <row r="16">
      <c r="A16" s="41" t="n">
        <v>46140</v>
      </c>
      <c r="B16" s="27" t="inlineStr">
        <is>
          <t>Dra. Carolina Mendes</t>
        </is>
      </c>
      <c r="C16" s="27" t="inlineStr">
        <is>
          <t>Pró-labore</t>
        </is>
      </c>
      <c r="D16" s="26" t="inlineStr">
        <is>
          <t>Pró-labore de abril</t>
        </is>
      </c>
      <c r="E16" s="31" t="n">
        <v>9000</v>
      </c>
      <c r="F16" s="27" t="inlineStr"/>
      <c r="G16" s="23">
        <f>IF(A16="","",MONTH(A16))</f>
        <v>4</v>
      </c>
      <c r="H16" s="23">
        <f>IF(A16="","",YEAR(A16))</f>
        <v>2026</v>
      </c>
    </row>
    <row r="17">
      <c r="A17" s="41" t="n">
        <v>46148</v>
      </c>
      <c r="B17" s="27" t="inlineStr">
        <is>
          <t>Dra. Carolina Mendes</t>
        </is>
      </c>
      <c r="C17" s="27" t="inlineStr">
        <is>
          <t>Despesa pessoal paga pela clínica</t>
        </is>
      </c>
      <c r="D17" s="26" t="inlineStr">
        <is>
          <t>Plano de saúde da família</t>
        </is>
      </c>
      <c r="E17" s="31" t="n">
        <v>620</v>
      </c>
      <c r="F17" s="27" t="inlineStr"/>
      <c r="G17" s="23">
        <f>IF(A17="","",MONTH(A17))</f>
        <v>5</v>
      </c>
      <c r="H17" s="23">
        <f>IF(A17="","",YEAR(A17))</f>
        <v>2026</v>
      </c>
    </row>
    <row r="18">
      <c r="A18" s="41" t="n">
        <v>46170</v>
      </c>
      <c r="B18" s="27" t="inlineStr">
        <is>
          <t>Dr. Paulo Andrade</t>
        </is>
      </c>
      <c r="C18" s="27" t="inlineStr">
        <is>
          <t>Pró-labore</t>
        </is>
      </c>
      <c r="D18" s="26" t="inlineStr">
        <is>
          <t>Pró-labore de maio</t>
        </is>
      </c>
      <c r="E18" s="31" t="n">
        <v>9000</v>
      </c>
      <c r="F18" s="27" t="inlineStr"/>
      <c r="G18" s="23">
        <f>IF(A18="","",MONTH(A18))</f>
        <v>5</v>
      </c>
      <c r="H18" s="23">
        <f>IF(A18="","",YEAR(A18))</f>
        <v>2026</v>
      </c>
    </row>
    <row r="19">
      <c r="A19" s="41" t="n">
        <v>46170</v>
      </c>
      <c r="B19" s="27" t="inlineStr">
        <is>
          <t>Dra. Carolina Mendes</t>
        </is>
      </c>
      <c r="C19" s="27" t="inlineStr">
        <is>
          <t>Pró-labore</t>
        </is>
      </c>
      <c r="D19" s="26" t="inlineStr">
        <is>
          <t>Pró-labore de maio</t>
        </is>
      </c>
      <c r="E19" s="31" t="n">
        <v>9000</v>
      </c>
      <c r="F19" s="27" t="inlineStr"/>
      <c r="G19" s="23">
        <f>IF(A19="","",MONTH(A19))</f>
        <v>5</v>
      </c>
      <c r="H19" s="23">
        <f>IF(A19="","",YEAR(A19))</f>
        <v>2026</v>
      </c>
    </row>
    <row r="20">
      <c r="A20" s="41" t="n">
        <v>46192</v>
      </c>
      <c r="B20" s="27" t="inlineStr">
        <is>
          <t>Dra. Carolina Mendes</t>
        </is>
      </c>
      <c r="C20" s="27" t="inlineStr">
        <is>
          <t>Retirada extra</t>
        </is>
      </c>
      <c r="D20" s="26" t="inlineStr">
        <is>
          <t>Reforma em casa</t>
        </is>
      </c>
      <c r="E20" s="31" t="n">
        <v>1500</v>
      </c>
      <c r="F20" s="27" t="inlineStr"/>
      <c r="G20" s="23">
        <f>IF(A20="","",MONTH(A20))</f>
        <v>6</v>
      </c>
      <c r="H20" s="23">
        <f>IF(A20="","",YEAR(A20))</f>
        <v>2026</v>
      </c>
    </row>
    <row r="21">
      <c r="A21" s="41" t="n">
        <v>46201</v>
      </c>
      <c r="B21" s="27" t="inlineStr">
        <is>
          <t>Dr. Paulo Andrade</t>
        </is>
      </c>
      <c r="C21" s="27" t="inlineStr">
        <is>
          <t>Pró-labore</t>
        </is>
      </c>
      <c r="D21" s="26" t="inlineStr">
        <is>
          <t>Pró-labore de junho</t>
        </is>
      </c>
      <c r="E21" s="31" t="n">
        <v>9000</v>
      </c>
      <c r="F21" s="27" t="inlineStr"/>
      <c r="G21" s="23">
        <f>IF(A21="","",MONTH(A21))</f>
        <v>6</v>
      </c>
      <c r="H21" s="23">
        <f>IF(A21="","",YEAR(A21))</f>
        <v>2026</v>
      </c>
    </row>
    <row r="22">
      <c r="A22" s="41" t="n">
        <v>46201</v>
      </c>
      <c r="B22" s="27" t="inlineStr">
        <is>
          <t>Dra. Carolina Mendes</t>
        </is>
      </c>
      <c r="C22" s="27" t="inlineStr">
        <is>
          <t>Pró-labore</t>
        </is>
      </c>
      <c r="D22" s="26" t="inlineStr">
        <is>
          <t>Pró-labore de junho</t>
        </is>
      </c>
      <c r="E22" s="31" t="n">
        <v>9000</v>
      </c>
      <c r="F22" s="27" t="inlineStr"/>
      <c r="G22" s="23">
        <f>IF(A22="","",MONTH(A22))</f>
        <v>6</v>
      </c>
      <c r="H22" s="23">
        <f>IF(A22="","",YEAR(A22))</f>
        <v>2026</v>
      </c>
    </row>
    <row r="23">
      <c r="A23" s="41" t="n">
        <v>46213</v>
      </c>
      <c r="B23" s="27" t="inlineStr">
        <is>
          <t>Dr. Paulo Andrade</t>
        </is>
      </c>
      <c r="C23" s="27" t="inlineStr">
        <is>
          <t>Distribuição de lucro</t>
        </is>
      </c>
      <c r="D23" s="26" t="inlineStr">
        <is>
          <t>Distribuição de lucro · 2º trimestre</t>
        </is>
      </c>
      <c r="E23" s="31" t="n">
        <v>3205</v>
      </c>
      <c r="F23" s="27" t="inlineStr">
        <is>
          <t>2º trimestre</t>
        </is>
      </c>
      <c r="G23" s="23">
        <f>IF(A23="","",MONTH(A23))</f>
        <v>7</v>
      </c>
      <c r="H23" s="23">
        <f>IF(A23="","",YEAR(A23))</f>
        <v>2026</v>
      </c>
    </row>
    <row r="24">
      <c r="A24" s="41" t="n">
        <v>46213</v>
      </c>
      <c r="B24" s="27" t="inlineStr">
        <is>
          <t>Dra. Carolina Mendes</t>
        </is>
      </c>
      <c r="C24" s="27" t="inlineStr">
        <is>
          <t>Distribuição de lucro</t>
        </is>
      </c>
      <c r="D24" s="26" t="inlineStr">
        <is>
          <t>Distribuição de lucro · 2º trimestre</t>
        </is>
      </c>
      <c r="E24" s="31" t="n">
        <v>3204</v>
      </c>
      <c r="F24" s="27" t="inlineStr">
        <is>
          <t>2º trimestre</t>
        </is>
      </c>
      <c r="G24" s="23">
        <f>IF(A24="","",MONTH(A24))</f>
        <v>7</v>
      </c>
      <c r="H24" s="23">
        <f>IF(A24="","",YEAR(A24))</f>
        <v>2026</v>
      </c>
    </row>
    <row r="25">
      <c r="A25" s="41" t="n">
        <v>46214</v>
      </c>
      <c r="B25" s="27" t="inlineStr">
        <is>
          <t>Dr. Paulo Andrade</t>
        </is>
      </c>
      <c r="C25" s="27" t="inlineStr">
        <is>
          <t>Despesa pessoal paga pela clínica</t>
        </is>
      </c>
      <c r="D25" s="26" t="inlineStr">
        <is>
          <t>Combustível particular</t>
        </is>
      </c>
      <c r="E25" s="31" t="n">
        <v>350</v>
      </c>
      <c r="F25" s="27" t="inlineStr"/>
      <c r="G25" s="23">
        <f>IF(A25="","",MONTH(A25))</f>
        <v>7</v>
      </c>
      <c r="H25" s="23">
        <f>IF(A25="","",YEAR(A25))</f>
        <v>2026</v>
      </c>
    </row>
    <row r="26">
      <c r="A26" s="41" t="n">
        <v>46231</v>
      </c>
      <c r="B26" s="27" t="inlineStr">
        <is>
          <t>Dr. Paulo Andrade</t>
        </is>
      </c>
      <c r="C26" s="27" t="inlineStr">
        <is>
          <t>Pró-labore</t>
        </is>
      </c>
      <c r="D26" s="26" t="inlineStr">
        <is>
          <t>Pró-labore de julho</t>
        </is>
      </c>
      <c r="E26" s="31" t="n">
        <v>9000</v>
      </c>
      <c r="F26" s="27" t="inlineStr"/>
      <c r="G26" s="23">
        <f>IF(A26="","",MONTH(A26))</f>
        <v>7</v>
      </c>
      <c r="H26" s="23">
        <f>IF(A26="","",YEAR(A26))</f>
        <v>2026</v>
      </c>
    </row>
    <row r="27">
      <c r="A27" s="41" t="n">
        <v>46231</v>
      </c>
      <c r="B27" s="27" t="inlineStr">
        <is>
          <t>Dra. Carolina Mendes</t>
        </is>
      </c>
      <c r="C27" s="27" t="inlineStr">
        <is>
          <t>Pró-labore</t>
        </is>
      </c>
      <c r="D27" s="26" t="inlineStr">
        <is>
          <t>Pró-labore de julho</t>
        </is>
      </c>
      <c r="E27" s="31" t="n">
        <v>9000</v>
      </c>
      <c r="F27" s="27" t="inlineStr"/>
      <c r="G27" s="23">
        <f>IF(A27="","",MONTH(A27))</f>
        <v>7</v>
      </c>
      <c r="H27" s="23">
        <f>IF(A27="","",YEAR(A27))</f>
        <v>2026</v>
      </c>
    </row>
    <row r="28">
      <c r="A28" s="41" t="n">
        <v>46240</v>
      </c>
      <c r="B28" s="27" t="inlineStr">
        <is>
          <t>Dra. Carolina Mendes</t>
        </is>
      </c>
      <c r="C28" s="27" t="inlineStr">
        <is>
          <t>Despesa pessoal paga pela clínica</t>
        </is>
      </c>
      <c r="D28" s="26" t="inlineStr">
        <is>
          <t>Plano de saúde da família</t>
        </is>
      </c>
      <c r="E28" s="31" t="n">
        <v>620</v>
      </c>
      <c r="F28" s="27" t="inlineStr"/>
      <c r="G28" s="23">
        <f>IF(A28="","",MONTH(A28))</f>
        <v>8</v>
      </c>
      <c r="H28" s="23">
        <f>IF(A28="","",YEAR(A28))</f>
        <v>2026</v>
      </c>
    </row>
    <row r="29">
      <c r="A29" s="41" t="n">
        <v>46262</v>
      </c>
      <c r="B29" s="27" t="inlineStr">
        <is>
          <t>Dr. Paulo Andrade</t>
        </is>
      </c>
      <c r="C29" s="27" t="inlineStr">
        <is>
          <t>Pró-labore</t>
        </is>
      </c>
      <c r="D29" s="26" t="inlineStr">
        <is>
          <t>Pró-labore de agosto</t>
        </is>
      </c>
      <c r="E29" s="31" t="n">
        <v>9000</v>
      </c>
      <c r="F29" s="27" t="inlineStr"/>
      <c r="G29" s="23">
        <f>IF(A29="","",MONTH(A29))</f>
        <v>8</v>
      </c>
      <c r="H29" s="23">
        <f>IF(A29="","",YEAR(A29))</f>
        <v>2026</v>
      </c>
    </row>
    <row r="30">
      <c r="A30" s="41" t="n">
        <v>46262</v>
      </c>
      <c r="B30" s="27" t="inlineStr">
        <is>
          <t>Dra. Carolina Mendes</t>
        </is>
      </c>
      <c r="C30" s="27" t="inlineStr">
        <is>
          <t>Pró-labore</t>
        </is>
      </c>
      <c r="D30" s="26" t="inlineStr">
        <is>
          <t>Pró-labore de agosto</t>
        </is>
      </c>
      <c r="E30" s="31" t="n">
        <v>9000</v>
      </c>
      <c r="F30" s="27" t="inlineStr"/>
      <c r="G30" s="23">
        <f>IF(A30="","",MONTH(A30))</f>
        <v>8</v>
      </c>
      <c r="H30" s="23">
        <f>IF(A30="","",YEAR(A30))</f>
        <v>2026</v>
      </c>
    </row>
    <row r="31">
      <c r="A31" s="41" t="n"/>
      <c r="B31" s="27" t="n"/>
      <c r="C31" s="27" t="n"/>
      <c r="D31" s="26" t="n"/>
      <c r="E31" s="31" t="n"/>
      <c r="F31" s="27" t="n"/>
      <c r="G31" s="23">
        <f>IF(A31="","",MONTH(A31))</f>
        <v/>
      </c>
      <c r="H31" s="23">
        <f>IF(A31="","",YEAR(A31))</f>
        <v/>
      </c>
    </row>
    <row r="32">
      <c r="A32" s="41" t="n"/>
      <c r="B32" s="27" t="n"/>
      <c r="C32" s="27" t="n"/>
      <c r="D32" s="26" t="n"/>
      <c r="E32" s="31" t="n"/>
      <c r="F32" s="27" t="n"/>
      <c r="G32" s="23">
        <f>IF(A32="","",MONTH(A32))</f>
        <v/>
      </c>
      <c r="H32" s="23">
        <f>IF(A32="","",YEAR(A32))</f>
        <v/>
      </c>
    </row>
    <row r="33">
      <c r="A33" s="41" t="n"/>
      <c r="B33" s="27" t="n"/>
      <c r="C33" s="27" t="n"/>
      <c r="D33" s="26" t="n"/>
      <c r="E33" s="31" t="n"/>
      <c r="F33" s="27" t="n"/>
      <c r="G33" s="23">
        <f>IF(A33="","",MONTH(A33))</f>
        <v/>
      </c>
      <c r="H33" s="23">
        <f>IF(A33="","",YEAR(A33))</f>
        <v/>
      </c>
    </row>
    <row r="34">
      <c r="A34" s="41" t="n"/>
      <c r="B34" s="27" t="n"/>
      <c r="C34" s="27" t="n"/>
      <c r="D34" s="26" t="n"/>
      <c r="E34" s="31" t="n"/>
      <c r="F34" s="27" t="n"/>
      <c r="G34" s="23">
        <f>IF(A34="","",MONTH(A34))</f>
        <v/>
      </c>
      <c r="H34" s="23">
        <f>IF(A34="","",YEAR(A34))</f>
        <v/>
      </c>
    </row>
    <row r="35">
      <c r="A35" s="41" t="n"/>
      <c r="B35" s="27" t="n"/>
      <c r="C35" s="27" t="n"/>
      <c r="D35" s="26" t="n"/>
      <c r="E35" s="31" t="n"/>
      <c r="F35" s="27" t="n"/>
      <c r="G35" s="23">
        <f>IF(A35="","",MONTH(A35))</f>
        <v/>
      </c>
      <c r="H35" s="23">
        <f>IF(A35="","",YEAR(A35))</f>
        <v/>
      </c>
    </row>
    <row r="36">
      <c r="A36" s="41" t="n"/>
      <c r="B36" s="27" t="n"/>
      <c r="C36" s="27" t="n"/>
      <c r="D36" s="26" t="n"/>
      <c r="E36" s="31" t="n"/>
      <c r="F36" s="27" t="n"/>
      <c r="G36" s="23">
        <f>IF(A36="","",MONTH(A36))</f>
        <v/>
      </c>
      <c r="H36" s="23">
        <f>IF(A36="","",YEAR(A36))</f>
        <v/>
      </c>
    </row>
    <row r="37">
      <c r="A37" s="41" t="n"/>
      <c r="B37" s="27" t="n"/>
      <c r="C37" s="27" t="n"/>
      <c r="D37" s="26" t="n"/>
      <c r="E37" s="31" t="n"/>
      <c r="F37" s="27" t="n"/>
      <c r="G37" s="23">
        <f>IF(A37="","",MONTH(A37))</f>
        <v/>
      </c>
      <c r="H37" s="23">
        <f>IF(A37="","",YEAR(A37))</f>
        <v/>
      </c>
    </row>
    <row r="38">
      <c r="A38" s="41" t="n"/>
      <c r="B38" s="27" t="n"/>
      <c r="C38" s="27" t="n"/>
      <c r="D38" s="26" t="n"/>
      <c r="E38" s="31" t="n"/>
      <c r="F38" s="27" t="n"/>
      <c r="G38" s="23">
        <f>IF(A38="","",MONTH(A38))</f>
        <v/>
      </c>
      <c r="H38" s="23">
        <f>IF(A38="","",YEAR(A38))</f>
        <v/>
      </c>
    </row>
    <row r="39">
      <c r="A39" s="41" t="n"/>
      <c r="B39" s="27" t="n"/>
      <c r="C39" s="27" t="n"/>
      <c r="D39" s="26" t="n"/>
      <c r="E39" s="31" t="n"/>
      <c r="F39" s="27" t="n"/>
      <c r="G39" s="23">
        <f>IF(A39="","",MONTH(A39))</f>
        <v/>
      </c>
      <c r="H39" s="23">
        <f>IF(A39="","",YEAR(A39))</f>
        <v/>
      </c>
    </row>
    <row r="40">
      <c r="A40" s="41" t="n"/>
      <c r="B40" s="27" t="n"/>
      <c r="C40" s="27" t="n"/>
      <c r="D40" s="26" t="n"/>
      <c r="E40" s="31" t="n"/>
      <c r="F40" s="27" t="n"/>
      <c r="G40" s="23">
        <f>IF(A40="","",MONTH(A40))</f>
        <v/>
      </c>
      <c r="H40" s="23">
        <f>IF(A40="","",YEAR(A40))</f>
        <v/>
      </c>
    </row>
    <row r="41">
      <c r="A41" s="41" t="n"/>
      <c r="B41" s="27" t="n"/>
      <c r="C41" s="27" t="n"/>
      <c r="D41" s="26" t="n"/>
      <c r="E41" s="31" t="n"/>
      <c r="F41" s="27" t="n"/>
      <c r="G41" s="23">
        <f>IF(A41="","",MONTH(A41))</f>
        <v/>
      </c>
      <c r="H41" s="23">
        <f>IF(A41="","",YEAR(A41))</f>
        <v/>
      </c>
    </row>
    <row r="42">
      <c r="A42" s="41" t="n"/>
      <c r="B42" s="27" t="n"/>
      <c r="C42" s="27" t="n"/>
      <c r="D42" s="26" t="n"/>
      <c r="E42" s="31" t="n"/>
      <c r="F42" s="27" t="n"/>
      <c r="G42" s="23">
        <f>IF(A42="","",MONTH(A42))</f>
        <v/>
      </c>
      <c r="H42" s="23">
        <f>IF(A42="","",YEAR(A42))</f>
        <v/>
      </c>
    </row>
    <row r="43">
      <c r="A43" s="41" t="n"/>
      <c r="B43" s="27" t="n"/>
      <c r="C43" s="27" t="n"/>
      <c r="D43" s="26" t="n"/>
      <c r="E43" s="31" t="n"/>
      <c r="F43" s="27" t="n"/>
      <c r="G43" s="23">
        <f>IF(A43="","",MONTH(A43))</f>
        <v/>
      </c>
      <c r="H43" s="23">
        <f>IF(A43="","",YEAR(A43))</f>
        <v/>
      </c>
    </row>
    <row r="44">
      <c r="A44" s="41" t="n"/>
      <c r="B44" s="27" t="n"/>
      <c r="C44" s="27" t="n"/>
      <c r="D44" s="26" t="n"/>
      <c r="E44" s="31" t="n"/>
      <c r="F44" s="27" t="n"/>
      <c r="G44" s="23">
        <f>IF(A44="","",MONTH(A44))</f>
        <v/>
      </c>
      <c r="H44" s="23">
        <f>IF(A44="","",YEAR(A44))</f>
        <v/>
      </c>
    </row>
    <row r="45">
      <c r="A45" s="41" t="n"/>
      <c r="B45" s="27" t="n"/>
      <c r="C45" s="27" t="n"/>
      <c r="D45" s="26" t="n"/>
      <c r="E45" s="31" t="n"/>
      <c r="F45" s="27" t="n"/>
      <c r="G45" s="23">
        <f>IF(A45="","",MONTH(A45))</f>
        <v/>
      </c>
      <c r="H45" s="23">
        <f>IF(A45="","",YEAR(A45))</f>
        <v/>
      </c>
    </row>
    <row r="46">
      <c r="A46" s="41" t="n"/>
      <c r="B46" s="27" t="n"/>
      <c r="C46" s="27" t="n"/>
      <c r="D46" s="26" t="n"/>
      <c r="E46" s="31" t="n"/>
      <c r="F46" s="27" t="n"/>
      <c r="G46" s="23">
        <f>IF(A46="","",MONTH(A46))</f>
        <v/>
      </c>
      <c r="H46" s="23">
        <f>IF(A46="","",YEAR(A46))</f>
        <v/>
      </c>
    </row>
    <row r="47">
      <c r="A47" s="41" t="n"/>
      <c r="B47" s="27" t="n"/>
      <c r="C47" s="27" t="n"/>
      <c r="D47" s="26" t="n"/>
      <c r="E47" s="31" t="n"/>
      <c r="F47" s="27" t="n"/>
      <c r="G47" s="23">
        <f>IF(A47="","",MONTH(A47))</f>
        <v/>
      </c>
      <c r="H47" s="23">
        <f>IF(A47="","",YEAR(A47))</f>
        <v/>
      </c>
    </row>
    <row r="48">
      <c r="A48" s="41" t="n"/>
      <c r="B48" s="27" t="n"/>
      <c r="C48" s="27" t="n"/>
      <c r="D48" s="26" t="n"/>
      <c r="E48" s="31" t="n"/>
      <c r="F48" s="27" t="n"/>
      <c r="G48" s="23">
        <f>IF(A48="","",MONTH(A48))</f>
        <v/>
      </c>
      <c r="H48" s="23">
        <f>IF(A48="","",YEAR(A48))</f>
        <v/>
      </c>
    </row>
    <row r="49">
      <c r="A49" s="41" t="n"/>
      <c r="B49" s="27" t="n"/>
      <c r="C49" s="27" t="n"/>
      <c r="D49" s="26" t="n"/>
      <c r="E49" s="31" t="n"/>
      <c r="F49" s="27" t="n"/>
      <c r="G49" s="23">
        <f>IF(A49="","",MONTH(A49))</f>
        <v/>
      </c>
      <c r="H49" s="23">
        <f>IF(A49="","",YEAR(A49))</f>
        <v/>
      </c>
    </row>
    <row r="50">
      <c r="A50" s="41" t="n"/>
      <c r="B50" s="27" t="n"/>
      <c r="C50" s="27" t="n"/>
      <c r="D50" s="26" t="n"/>
      <c r="E50" s="31" t="n"/>
      <c r="F50" s="27" t="n"/>
      <c r="G50" s="23">
        <f>IF(A50="","",MONTH(A50))</f>
        <v/>
      </c>
      <c r="H50" s="23">
        <f>IF(A50="","",YEAR(A50))</f>
        <v/>
      </c>
    </row>
    <row r="51">
      <c r="A51" s="41" t="n"/>
      <c r="B51" s="27" t="n"/>
      <c r="C51" s="27" t="n"/>
      <c r="D51" s="26" t="n"/>
      <c r="E51" s="31" t="n"/>
      <c r="F51" s="27" t="n"/>
      <c r="G51" s="23">
        <f>IF(A51="","",MONTH(A51))</f>
        <v/>
      </c>
      <c r="H51" s="23">
        <f>IF(A51="","",YEAR(A51))</f>
        <v/>
      </c>
    </row>
    <row r="52">
      <c r="A52" s="41" t="n"/>
      <c r="B52" s="27" t="n"/>
      <c r="C52" s="27" t="n"/>
      <c r="D52" s="26" t="n"/>
      <c r="E52" s="31" t="n"/>
      <c r="F52" s="27" t="n"/>
      <c r="G52" s="23">
        <f>IF(A52="","",MONTH(A52))</f>
        <v/>
      </c>
      <c r="H52" s="23">
        <f>IF(A52="","",YEAR(A52))</f>
        <v/>
      </c>
    </row>
    <row r="53">
      <c r="A53" s="41" t="n"/>
      <c r="B53" s="27" t="n"/>
      <c r="C53" s="27" t="n"/>
      <c r="D53" s="26" t="n"/>
      <c r="E53" s="31" t="n"/>
      <c r="F53" s="27" t="n"/>
      <c r="G53" s="23">
        <f>IF(A53="","",MONTH(A53))</f>
        <v/>
      </c>
      <c r="H53" s="23">
        <f>IF(A53="","",YEAR(A53))</f>
        <v/>
      </c>
    </row>
    <row r="54">
      <c r="A54" s="41" t="n"/>
      <c r="B54" s="27" t="n"/>
      <c r="C54" s="27" t="n"/>
      <c r="D54" s="26" t="n"/>
      <c r="E54" s="31" t="n"/>
      <c r="F54" s="27" t="n"/>
      <c r="G54" s="23">
        <f>IF(A54="","",MONTH(A54))</f>
        <v/>
      </c>
      <c r="H54" s="23">
        <f>IF(A54="","",YEAR(A54))</f>
        <v/>
      </c>
    </row>
    <row r="55">
      <c r="A55" s="41" t="n"/>
      <c r="B55" s="27" t="n"/>
      <c r="C55" s="27" t="n"/>
      <c r="D55" s="26" t="n"/>
      <c r="E55" s="31" t="n"/>
      <c r="F55" s="27" t="n"/>
      <c r="G55" s="23">
        <f>IF(A55="","",MONTH(A55))</f>
        <v/>
      </c>
      <c r="H55" s="23">
        <f>IF(A55="","",YEAR(A55))</f>
        <v/>
      </c>
    </row>
    <row r="56">
      <c r="A56" s="41" t="n"/>
      <c r="B56" s="27" t="n"/>
      <c r="C56" s="27" t="n"/>
      <c r="D56" s="26" t="n"/>
      <c r="E56" s="31" t="n"/>
      <c r="F56" s="27" t="n"/>
      <c r="G56" s="23">
        <f>IF(A56="","",MONTH(A56))</f>
        <v/>
      </c>
      <c r="H56" s="23">
        <f>IF(A56="","",YEAR(A56))</f>
        <v/>
      </c>
    </row>
    <row r="57">
      <c r="A57" s="41" t="n"/>
      <c r="B57" s="27" t="n"/>
      <c r="C57" s="27" t="n"/>
      <c r="D57" s="26" t="n"/>
      <c r="E57" s="31" t="n"/>
      <c r="F57" s="27" t="n"/>
      <c r="G57" s="23">
        <f>IF(A57="","",MONTH(A57))</f>
        <v/>
      </c>
      <c r="H57" s="23">
        <f>IF(A57="","",YEAR(A57))</f>
        <v/>
      </c>
    </row>
    <row r="58">
      <c r="A58" s="41" t="n"/>
      <c r="B58" s="27" t="n"/>
      <c r="C58" s="27" t="n"/>
      <c r="D58" s="26" t="n"/>
      <c r="E58" s="31" t="n"/>
      <c r="F58" s="27" t="n"/>
      <c r="G58" s="23">
        <f>IF(A58="","",MONTH(A58))</f>
        <v/>
      </c>
      <c r="H58" s="23">
        <f>IF(A58="","",YEAR(A58))</f>
        <v/>
      </c>
    </row>
    <row r="59">
      <c r="A59" s="41" t="n"/>
      <c r="B59" s="27" t="n"/>
      <c r="C59" s="27" t="n"/>
      <c r="D59" s="26" t="n"/>
      <c r="E59" s="31" t="n"/>
      <c r="F59" s="27" t="n"/>
      <c r="G59" s="23">
        <f>IF(A59="","",MONTH(A59))</f>
        <v/>
      </c>
      <c r="H59" s="23">
        <f>IF(A59="","",YEAR(A59))</f>
        <v/>
      </c>
    </row>
    <row r="60">
      <c r="A60" s="41" t="n"/>
      <c r="B60" s="27" t="n"/>
      <c r="C60" s="27" t="n"/>
      <c r="D60" s="26" t="n"/>
      <c r="E60" s="31" t="n"/>
      <c r="F60" s="27" t="n"/>
      <c r="G60" s="23">
        <f>IF(A60="","",MONTH(A60))</f>
        <v/>
      </c>
      <c r="H60" s="23">
        <f>IF(A60="","",YEAR(A60))</f>
        <v/>
      </c>
    </row>
    <row r="61">
      <c r="A61" s="41" t="n"/>
      <c r="B61" s="27" t="n"/>
      <c r="C61" s="27" t="n"/>
      <c r="D61" s="26" t="n"/>
      <c r="E61" s="31" t="n"/>
      <c r="F61" s="27" t="n"/>
      <c r="G61" s="23">
        <f>IF(A61="","",MONTH(A61))</f>
        <v/>
      </c>
      <c r="H61" s="23">
        <f>IF(A61="","",YEAR(A61))</f>
        <v/>
      </c>
    </row>
    <row r="62">
      <c r="A62" s="41" t="n"/>
      <c r="B62" s="27" t="n"/>
      <c r="C62" s="27" t="n"/>
      <c r="D62" s="26" t="n"/>
      <c r="E62" s="31" t="n"/>
      <c r="F62" s="27" t="n"/>
      <c r="G62" s="23">
        <f>IF(A62="","",MONTH(A62))</f>
        <v/>
      </c>
      <c r="H62" s="23">
        <f>IF(A62="","",YEAR(A62))</f>
        <v/>
      </c>
    </row>
    <row r="63">
      <c r="A63" s="41" t="n"/>
      <c r="B63" s="27" t="n"/>
      <c r="C63" s="27" t="n"/>
      <c r="D63" s="26" t="n"/>
      <c r="E63" s="31" t="n"/>
      <c r="F63" s="27" t="n"/>
      <c r="G63" s="23">
        <f>IF(A63="","",MONTH(A63))</f>
        <v/>
      </c>
      <c r="H63" s="23">
        <f>IF(A63="","",YEAR(A63))</f>
        <v/>
      </c>
    </row>
    <row r="64">
      <c r="A64" s="41" t="n"/>
      <c r="B64" s="27" t="n"/>
      <c r="C64" s="27" t="n"/>
      <c r="D64" s="26" t="n"/>
      <c r="E64" s="31" t="n"/>
      <c r="F64" s="27" t="n"/>
      <c r="G64" s="23">
        <f>IF(A64="","",MONTH(A64))</f>
        <v/>
      </c>
      <c r="H64" s="23">
        <f>IF(A64="","",YEAR(A64))</f>
        <v/>
      </c>
    </row>
    <row r="65">
      <c r="A65" s="41" t="n"/>
      <c r="B65" s="27" t="n"/>
      <c r="C65" s="27" t="n"/>
      <c r="D65" s="26" t="n"/>
      <c r="E65" s="31" t="n"/>
      <c r="F65" s="27" t="n"/>
      <c r="G65" s="23">
        <f>IF(A65="","",MONTH(A65))</f>
        <v/>
      </c>
      <c r="H65" s="23">
        <f>IF(A65="","",YEAR(A65))</f>
        <v/>
      </c>
    </row>
    <row r="66">
      <c r="A66" s="41" t="n"/>
      <c r="B66" s="27" t="n"/>
      <c r="C66" s="27" t="n"/>
      <c r="D66" s="26" t="n"/>
      <c r="E66" s="31" t="n"/>
      <c r="F66" s="27" t="n"/>
      <c r="G66" s="23">
        <f>IF(A66="","",MONTH(A66))</f>
        <v/>
      </c>
      <c r="H66" s="23">
        <f>IF(A66="","",YEAR(A66))</f>
        <v/>
      </c>
    </row>
    <row r="67">
      <c r="A67" s="41" t="n"/>
      <c r="B67" s="27" t="n"/>
      <c r="C67" s="27" t="n"/>
      <c r="D67" s="26" t="n"/>
      <c r="E67" s="31" t="n"/>
      <c r="F67" s="27" t="n"/>
      <c r="G67" s="23">
        <f>IF(A67="","",MONTH(A67))</f>
        <v/>
      </c>
      <c r="H67" s="23">
        <f>IF(A67="","",YEAR(A67))</f>
        <v/>
      </c>
    </row>
    <row r="68">
      <c r="A68" s="41" t="n"/>
      <c r="B68" s="27" t="n"/>
      <c r="C68" s="27" t="n"/>
      <c r="D68" s="26" t="n"/>
      <c r="E68" s="31" t="n"/>
      <c r="F68" s="27" t="n"/>
      <c r="G68" s="23">
        <f>IF(A68="","",MONTH(A68))</f>
        <v/>
      </c>
      <c r="H68" s="23">
        <f>IF(A68="","",YEAR(A68))</f>
        <v/>
      </c>
    </row>
    <row r="69">
      <c r="A69" s="41" t="n"/>
      <c r="B69" s="27" t="n"/>
      <c r="C69" s="27" t="n"/>
      <c r="D69" s="26" t="n"/>
      <c r="E69" s="31" t="n"/>
      <c r="F69" s="27" t="n"/>
      <c r="G69" s="23">
        <f>IF(A69="","",MONTH(A69))</f>
        <v/>
      </c>
      <c r="H69" s="23">
        <f>IF(A69="","",YEAR(A69))</f>
        <v/>
      </c>
    </row>
    <row r="70">
      <c r="A70" s="41" t="n"/>
      <c r="B70" s="27" t="n"/>
      <c r="C70" s="27" t="n"/>
      <c r="D70" s="26" t="n"/>
      <c r="E70" s="31" t="n"/>
      <c r="F70" s="27" t="n"/>
      <c r="G70" s="23">
        <f>IF(A70="","",MONTH(A70))</f>
        <v/>
      </c>
      <c r="H70" s="23">
        <f>IF(A70="","",YEAR(A70))</f>
        <v/>
      </c>
    </row>
    <row r="71">
      <c r="A71" s="41" t="n"/>
      <c r="B71" s="27" t="n"/>
      <c r="C71" s="27" t="n"/>
      <c r="D71" s="26" t="n"/>
      <c r="E71" s="31" t="n"/>
      <c r="F71" s="27" t="n"/>
      <c r="G71" s="23">
        <f>IF(A71="","",MONTH(A71))</f>
        <v/>
      </c>
      <c r="H71" s="23">
        <f>IF(A71="","",YEAR(A71))</f>
        <v/>
      </c>
    </row>
    <row r="72">
      <c r="A72" s="41" t="n"/>
      <c r="B72" s="27" t="n"/>
      <c r="C72" s="27" t="n"/>
      <c r="D72" s="26" t="n"/>
      <c r="E72" s="31" t="n"/>
      <c r="F72" s="27" t="n"/>
      <c r="G72" s="23">
        <f>IF(A72="","",MONTH(A72))</f>
        <v/>
      </c>
      <c r="H72" s="23">
        <f>IF(A72="","",YEAR(A72))</f>
        <v/>
      </c>
    </row>
    <row r="73">
      <c r="A73" s="41" t="n"/>
      <c r="B73" s="27" t="n"/>
      <c r="C73" s="27" t="n"/>
      <c r="D73" s="26" t="n"/>
      <c r="E73" s="31" t="n"/>
      <c r="F73" s="27" t="n"/>
      <c r="G73" s="23">
        <f>IF(A73="","",MONTH(A73))</f>
        <v/>
      </c>
      <c r="H73" s="23">
        <f>IF(A73="","",YEAR(A73))</f>
        <v/>
      </c>
    </row>
    <row r="74">
      <c r="A74" s="41" t="n"/>
      <c r="B74" s="27" t="n"/>
      <c r="C74" s="27" t="n"/>
      <c r="D74" s="26" t="n"/>
      <c r="E74" s="31" t="n"/>
      <c r="F74" s="27" t="n"/>
      <c r="G74" s="23">
        <f>IF(A74="","",MONTH(A74))</f>
        <v/>
      </c>
      <c r="H74" s="23">
        <f>IF(A74="","",YEAR(A74))</f>
        <v/>
      </c>
    </row>
    <row r="75">
      <c r="A75" s="41" t="n"/>
      <c r="B75" s="27" t="n"/>
      <c r="C75" s="27" t="n"/>
      <c r="D75" s="26" t="n"/>
      <c r="E75" s="31" t="n"/>
      <c r="F75" s="27" t="n"/>
      <c r="G75" s="23">
        <f>IF(A75="","",MONTH(A75))</f>
        <v/>
      </c>
      <c r="H75" s="23">
        <f>IF(A75="","",YEAR(A75))</f>
        <v/>
      </c>
    </row>
    <row r="76">
      <c r="A76" s="41" t="n"/>
      <c r="B76" s="27" t="n"/>
      <c r="C76" s="27" t="n"/>
      <c r="D76" s="26" t="n"/>
      <c r="E76" s="31" t="n"/>
      <c r="F76" s="27" t="n"/>
      <c r="G76" s="23">
        <f>IF(A76="","",MONTH(A76))</f>
        <v/>
      </c>
      <c r="H76" s="23">
        <f>IF(A76="","",YEAR(A76))</f>
        <v/>
      </c>
    </row>
    <row r="77">
      <c r="A77" s="41" t="n"/>
      <c r="B77" s="27" t="n"/>
      <c r="C77" s="27" t="n"/>
      <c r="D77" s="26" t="n"/>
      <c r="E77" s="31" t="n"/>
      <c r="F77" s="27" t="n"/>
      <c r="G77" s="23">
        <f>IF(A77="","",MONTH(A77))</f>
        <v/>
      </c>
      <c r="H77" s="23">
        <f>IF(A77="","",YEAR(A77))</f>
        <v/>
      </c>
    </row>
    <row r="78">
      <c r="A78" s="41" t="n"/>
      <c r="B78" s="27" t="n"/>
      <c r="C78" s="27" t="n"/>
      <c r="D78" s="26" t="n"/>
      <c r="E78" s="31" t="n"/>
      <c r="F78" s="27" t="n"/>
      <c r="G78" s="23">
        <f>IF(A78="","",MONTH(A78))</f>
        <v/>
      </c>
      <c r="H78" s="23">
        <f>IF(A78="","",YEAR(A78))</f>
        <v/>
      </c>
    </row>
    <row r="79">
      <c r="A79" s="41" t="n"/>
      <c r="B79" s="27" t="n"/>
      <c r="C79" s="27" t="n"/>
      <c r="D79" s="26" t="n"/>
      <c r="E79" s="31" t="n"/>
      <c r="F79" s="27" t="n"/>
      <c r="G79" s="23">
        <f>IF(A79="","",MONTH(A79))</f>
        <v/>
      </c>
      <c r="H79" s="23">
        <f>IF(A79="","",YEAR(A79))</f>
        <v/>
      </c>
    </row>
    <row r="80">
      <c r="A80" s="41" t="n"/>
      <c r="B80" s="27" t="n"/>
      <c r="C80" s="27" t="n"/>
      <c r="D80" s="26" t="n"/>
      <c r="E80" s="31" t="n"/>
      <c r="F80" s="27" t="n"/>
      <c r="G80" s="23">
        <f>IF(A80="","",MONTH(A80))</f>
        <v/>
      </c>
      <c r="H80" s="23">
        <f>IF(A80="","",YEAR(A80))</f>
        <v/>
      </c>
    </row>
    <row r="81">
      <c r="A81" s="41" t="n"/>
      <c r="B81" s="27" t="n"/>
      <c r="C81" s="27" t="n"/>
      <c r="D81" s="26" t="n"/>
      <c r="E81" s="31" t="n"/>
      <c r="F81" s="27" t="n"/>
      <c r="G81" s="23">
        <f>IF(A81="","",MONTH(A81))</f>
        <v/>
      </c>
      <c r="H81" s="23">
        <f>IF(A81="","",YEAR(A81))</f>
        <v/>
      </c>
    </row>
    <row r="82">
      <c r="A82" s="41" t="n"/>
      <c r="B82" s="27" t="n"/>
      <c r="C82" s="27" t="n"/>
      <c r="D82" s="26" t="n"/>
      <c r="E82" s="31" t="n"/>
      <c r="F82" s="27" t="n"/>
      <c r="G82" s="23">
        <f>IF(A82="","",MONTH(A82))</f>
        <v/>
      </c>
      <c r="H82" s="23">
        <f>IF(A82="","",YEAR(A82))</f>
        <v/>
      </c>
    </row>
    <row r="83">
      <c r="A83" s="41" t="n"/>
      <c r="B83" s="27" t="n"/>
      <c r="C83" s="27" t="n"/>
      <c r="D83" s="26" t="n"/>
      <c r="E83" s="31" t="n"/>
      <c r="F83" s="27" t="n"/>
      <c r="G83" s="23">
        <f>IF(A83="","",MONTH(A83))</f>
        <v/>
      </c>
      <c r="H83" s="23">
        <f>IF(A83="","",YEAR(A83))</f>
        <v/>
      </c>
    </row>
    <row r="84">
      <c r="A84" s="41" t="n"/>
      <c r="B84" s="27" t="n"/>
      <c r="C84" s="27" t="n"/>
      <c r="D84" s="26" t="n"/>
      <c r="E84" s="31" t="n"/>
      <c r="F84" s="27" t="n"/>
      <c r="G84" s="23">
        <f>IF(A84="","",MONTH(A84))</f>
        <v/>
      </c>
      <c r="H84" s="23">
        <f>IF(A84="","",YEAR(A84))</f>
        <v/>
      </c>
    </row>
    <row r="85">
      <c r="A85" s="41" t="n"/>
      <c r="B85" s="27" t="n"/>
      <c r="C85" s="27" t="n"/>
      <c r="D85" s="26" t="n"/>
      <c r="E85" s="31" t="n"/>
      <c r="F85" s="27" t="n"/>
      <c r="G85" s="23">
        <f>IF(A85="","",MONTH(A85))</f>
        <v/>
      </c>
      <c r="H85" s="23">
        <f>IF(A85="","",YEAR(A85))</f>
        <v/>
      </c>
    </row>
    <row r="86">
      <c r="A86" s="41" t="n"/>
      <c r="B86" s="27" t="n"/>
      <c r="C86" s="27" t="n"/>
      <c r="D86" s="26" t="n"/>
      <c r="E86" s="31" t="n"/>
      <c r="F86" s="27" t="n"/>
      <c r="G86" s="23">
        <f>IF(A86="","",MONTH(A86))</f>
        <v/>
      </c>
      <c r="H86" s="23">
        <f>IF(A86="","",YEAR(A86))</f>
        <v/>
      </c>
    </row>
    <row r="87">
      <c r="A87" s="41" t="n"/>
      <c r="B87" s="27" t="n"/>
      <c r="C87" s="27" t="n"/>
      <c r="D87" s="26" t="n"/>
      <c r="E87" s="31" t="n"/>
      <c r="F87" s="27" t="n"/>
      <c r="G87" s="23">
        <f>IF(A87="","",MONTH(A87))</f>
        <v/>
      </c>
      <c r="H87" s="23">
        <f>IF(A87="","",YEAR(A87))</f>
        <v/>
      </c>
    </row>
    <row r="88">
      <c r="A88" s="41" t="n"/>
      <c r="B88" s="27" t="n"/>
      <c r="C88" s="27" t="n"/>
      <c r="D88" s="26" t="n"/>
      <c r="E88" s="31" t="n"/>
      <c r="F88" s="27" t="n"/>
      <c r="G88" s="23">
        <f>IF(A88="","",MONTH(A88))</f>
        <v/>
      </c>
      <c r="H88" s="23">
        <f>IF(A88="","",YEAR(A88))</f>
        <v/>
      </c>
    </row>
    <row r="89">
      <c r="A89" s="41" t="n"/>
      <c r="B89" s="27" t="n"/>
      <c r="C89" s="27" t="n"/>
      <c r="D89" s="26" t="n"/>
      <c r="E89" s="31" t="n"/>
      <c r="F89" s="27" t="n"/>
      <c r="G89" s="23">
        <f>IF(A89="","",MONTH(A89))</f>
        <v/>
      </c>
      <c r="H89" s="23">
        <f>IF(A89="","",YEAR(A89))</f>
        <v/>
      </c>
    </row>
    <row r="90">
      <c r="A90" s="41" t="n"/>
      <c r="B90" s="27" t="n"/>
      <c r="C90" s="27" t="n"/>
      <c r="D90" s="26" t="n"/>
      <c r="E90" s="31" t="n"/>
      <c r="F90" s="27" t="n"/>
      <c r="G90" s="23">
        <f>IF(A90="","",MONTH(A90))</f>
        <v/>
      </c>
      <c r="H90" s="23">
        <f>IF(A90="","",YEAR(A90))</f>
        <v/>
      </c>
    </row>
    <row r="91">
      <c r="A91" s="41" t="n"/>
      <c r="B91" s="27" t="n"/>
      <c r="C91" s="27" t="n"/>
      <c r="D91" s="26" t="n"/>
      <c r="E91" s="31" t="n"/>
      <c r="F91" s="27" t="n"/>
      <c r="G91" s="23">
        <f>IF(A91="","",MONTH(A91))</f>
        <v/>
      </c>
      <c r="H91" s="23">
        <f>IF(A91="","",YEAR(A91))</f>
        <v/>
      </c>
    </row>
    <row r="92">
      <c r="A92" s="41" t="n"/>
      <c r="B92" s="27" t="n"/>
      <c r="C92" s="27" t="n"/>
      <c r="D92" s="26" t="n"/>
      <c r="E92" s="31" t="n"/>
      <c r="F92" s="27" t="n"/>
      <c r="G92" s="23">
        <f>IF(A92="","",MONTH(A92))</f>
        <v/>
      </c>
      <c r="H92" s="23">
        <f>IF(A92="","",YEAR(A92))</f>
        <v/>
      </c>
    </row>
    <row r="93">
      <c r="A93" s="41" t="n"/>
      <c r="B93" s="27" t="n"/>
      <c r="C93" s="27" t="n"/>
      <c r="D93" s="26" t="n"/>
      <c r="E93" s="31" t="n"/>
      <c r="F93" s="27" t="n"/>
      <c r="G93" s="23">
        <f>IF(A93="","",MONTH(A93))</f>
        <v/>
      </c>
      <c r="H93" s="23">
        <f>IF(A93="","",YEAR(A93))</f>
        <v/>
      </c>
    </row>
    <row r="94">
      <c r="A94" s="41" t="n"/>
      <c r="B94" s="27" t="n"/>
      <c r="C94" s="27" t="n"/>
      <c r="D94" s="26" t="n"/>
      <c r="E94" s="31" t="n"/>
      <c r="F94" s="27" t="n"/>
      <c r="G94" s="23">
        <f>IF(A94="","",MONTH(A94))</f>
        <v/>
      </c>
      <c r="H94" s="23">
        <f>IF(A94="","",YEAR(A94))</f>
        <v/>
      </c>
    </row>
    <row r="95">
      <c r="A95" s="41" t="n"/>
      <c r="B95" s="27" t="n"/>
      <c r="C95" s="27" t="n"/>
      <c r="D95" s="26" t="n"/>
      <c r="E95" s="31" t="n"/>
      <c r="F95" s="27" t="n"/>
      <c r="G95" s="23">
        <f>IF(A95="","",MONTH(A95))</f>
        <v/>
      </c>
      <c r="H95" s="23">
        <f>IF(A95="","",YEAR(A95))</f>
        <v/>
      </c>
    </row>
    <row r="96">
      <c r="A96" s="41" t="n"/>
      <c r="B96" s="27" t="n"/>
      <c r="C96" s="27" t="n"/>
      <c r="D96" s="26" t="n"/>
      <c r="E96" s="31" t="n"/>
      <c r="F96" s="27" t="n"/>
      <c r="G96" s="23">
        <f>IF(A96="","",MONTH(A96))</f>
        <v/>
      </c>
      <c r="H96" s="23">
        <f>IF(A96="","",YEAR(A96))</f>
        <v/>
      </c>
    </row>
    <row r="97">
      <c r="A97" s="41" t="n"/>
      <c r="B97" s="27" t="n"/>
      <c r="C97" s="27" t="n"/>
      <c r="D97" s="26" t="n"/>
      <c r="E97" s="31" t="n"/>
      <c r="F97" s="27" t="n"/>
      <c r="G97" s="23">
        <f>IF(A97="","",MONTH(A97))</f>
        <v/>
      </c>
      <c r="H97" s="23">
        <f>IF(A97="","",YEAR(A97))</f>
        <v/>
      </c>
    </row>
    <row r="98">
      <c r="A98" s="41" t="n"/>
      <c r="B98" s="27" t="n"/>
      <c r="C98" s="27" t="n"/>
      <c r="D98" s="26" t="n"/>
      <c r="E98" s="31" t="n"/>
      <c r="F98" s="27" t="n"/>
      <c r="G98" s="23">
        <f>IF(A98="","",MONTH(A98))</f>
        <v/>
      </c>
      <c r="H98" s="23">
        <f>IF(A98="","",YEAR(A98))</f>
        <v/>
      </c>
    </row>
    <row r="99">
      <c r="A99" s="41" t="n"/>
      <c r="B99" s="27" t="n"/>
      <c r="C99" s="27" t="n"/>
      <c r="D99" s="26" t="n"/>
      <c r="E99" s="31" t="n"/>
      <c r="F99" s="27" t="n"/>
      <c r="G99" s="23">
        <f>IF(A99="","",MONTH(A99))</f>
        <v/>
      </c>
      <c r="H99" s="23">
        <f>IF(A99="","",YEAR(A99))</f>
        <v/>
      </c>
    </row>
    <row r="100">
      <c r="A100" s="41" t="n"/>
      <c r="B100" s="27" t="n"/>
      <c r="C100" s="27" t="n"/>
      <c r="D100" s="26" t="n"/>
      <c r="E100" s="31" t="n"/>
      <c r="F100" s="27" t="n"/>
      <c r="G100" s="23">
        <f>IF(A100="","",MONTH(A100))</f>
        <v/>
      </c>
      <c r="H100" s="23">
        <f>IF(A100="","",YEAR(A100))</f>
        <v/>
      </c>
    </row>
    <row r="101">
      <c r="A101" s="41" t="n"/>
      <c r="B101" s="27" t="n"/>
      <c r="C101" s="27" t="n"/>
      <c r="D101" s="26" t="n"/>
      <c r="E101" s="31" t="n"/>
      <c r="F101" s="27" t="n"/>
      <c r="G101" s="23">
        <f>IF(A101="","",MONTH(A101))</f>
        <v/>
      </c>
      <c r="H101" s="23">
        <f>IF(A101="","",YEAR(A101))</f>
        <v/>
      </c>
    </row>
    <row r="102">
      <c r="A102" s="41" t="n"/>
      <c r="B102" s="27" t="n"/>
      <c r="C102" s="27" t="n"/>
      <c r="D102" s="26" t="n"/>
      <c r="E102" s="31" t="n"/>
      <c r="F102" s="27" t="n"/>
      <c r="G102" s="23">
        <f>IF(A102="","",MONTH(A102))</f>
        <v/>
      </c>
      <c r="H102" s="23">
        <f>IF(A102="","",YEAR(A102))</f>
        <v/>
      </c>
    </row>
    <row r="103">
      <c r="A103" s="41" t="n"/>
      <c r="B103" s="27" t="n"/>
      <c r="C103" s="27" t="n"/>
      <c r="D103" s="26" t="n"/>
      <c r="E103" s="31" t="n"/>
      <c r="F103" s="27" t="n"/>
      <c r="G103" s="23">
        <f>IF(A103="","",MONTH(A103))</f>
        <v/>
      </c>
      <c r="H103" s="23">
        <f>IF(A103="","",YEAR(A103))</f>
        <v/>
      </c>
    </row>
    <row r="104">
      <c r="A104" s="41" t="n"/>
      <c r="B104" s="27" t="n"/>
      <c r="C104" s="27" t="n"/>
      <c r="D104" s="26" t="n"/>
      <c r="E104" s="31" t="n"/>
      <c r="F104" s="27" t="n"/>
      <c r="G104" s="23">
        <f>IF(A104="","",MONTH(A104))</f>
        <v/>
      </c>
      <c r="H104" s="23">
        <f>IF(A104="","",YEAR(A104))</f>
        <v/>
      </c>
    </row>
    <row r="105">
      <c r="A105" s="41" t="n"/>
      <c r="B105" s="27" t="n"/>
      <c r="C105" s="27" t="n"/>
      <c r="D105" s="26" t="n"/>
      <c r="E105" s="31" t="n"/>
      <c r="F105" s="27" t="n"/>
      <c r="G105" s="23">
        <f>IF(A105="","",MONTH(A105))</f>
        <v/>
      </c>
      <c r="H105" s="23">
        <f>IF(A105="","",YEAR(A105))</f>
        <v/>
      </c>
    </row>
    <row r="106">
      <c r="A106" s="41" t="n"/>
      <c r="B106" s="27" t="n"/>
      <c r="C106" s="27" t="n"/>
      <c r="D106" s="26" t="n"/>
      <c r="E106" s="31" t="n"/>
      <c r="F106" s="27" t="n"/>
      <c r="G106" s="23">
        <f>IF(A106="","",MONTH(A106))</f>
        <v/>
      </c>
      <c r="H106" s="23">
        <f>IF(A106="","",YEAR(A106))</f>
        <v/>
      </c>
    </row>
    <row r="107">
      <c r="A107" s="41" t="n"/>
      <c r="B107" s="27" t="n"/>
      <c r="C107" s="27" t="n"/>
      <c r="D107" s="26" t="n"/>
      <c r="E107" s="31" t="n"/>
      <c r="F107" s="27" t="n"/>
      <c r="G107" s="23">
        <f>IF(A107="","",MONTH(A107))</f>
        <v/>
      </c>
      <c r="H107" s="23">
        <f>IF(A107="","",YEAR(A107))</f>
        <v/>
      </c>
    </row>
    <row r="108">
      <c r="A108" s="41" t="n"/>
      <c r="B108" s="27" t="n"/>
      <c r="C108" s="27" t="n"/>
      <c r="D108" s="26" t="n"/>
      <c r="E108" s="31" t="n"/>
      <c r="F108" s="27" t="n"/>
      <c r="G108" s="23">
        <f>IF(A108="","",MONTH(A108))</f>
        <v/>
      </c>
      <c r="H108" s="23">
        <f>IF(A108="","",YEAR(A108))</f>
        <v/>
      </c>
    </row>
    <row r="109">
      <c r="A109" s="41" t="n"/>
      <c r="B109" s="27" t="n"/>
      <c r="C109" s="27" t="n"/>
      <c r="D109" s="26" t="n"/>
      <c r="E109" s="31" t="n"/>
      <c r="F109" s="27" t="n"/>
      <c r="G109" s="23">
        <f>IF(A109="","",MONTH(A109))</f>
        <v/>
      </c>
      <c r="H109" s="23">
        <f>IF(A109="","",YEAR(A109))</f>
        <v/>
      </c>
    </row>
    <row r="110">
      <c r="A110" s="41" t="n"/>
      <c r="B110" s="27" t="n"/>
      <c r="C110" s="27" t="n"/>
      <c r="D110" s="26" t="n"/>
      <c r="E110" s="31" t="n"/>
      <c r="F110" s="27" t="n"/>
      <c r="G110" s="23">
        <f>IF(A110="","",MONTH(A110))</f>
        <v/>
      </c>
      <c r="H110" s="23">
        <f>IF(A110="","",YEAR(A110))</f>
        <v/>
      </c>
    </row>
    <row r="111">
      <c r="A111" s="41" t="n"/>
      <c r="B111" s="27" t="n"/>
      <c r="C111" s="27" t="n"/>
      <c r="D111" s="26" t="n"/>
      <c r="E111" s="31" t="n"/>
      <c r="F111" s="27" t="n"/>
      <c r="G111" s="23">
        <f>IF(A111="","",MONTH(A111))</f>
        <v/>
      </c>
      <c r="H111" s="23">
        <f>IF(A111="","",YEAR(A111))</f>
        <v/>
      </c>
    </row>
    <row r="112">
      <c r="A112" s="41" t="n"/>
      <c r="B112" s="27" t="n"/>
      <c r="C112" s="27" t="n"/>
      <c r="D112" s="26" t="n"/>
      <c r="E112" s="31" t="n"/>
      <c r="F112" s="27" t="n"/>
      <c r="G112" s="23">
        <f>IF(A112="","",MONTH(A112))</f>
        <v/>
      </c>
      <c r="H112" s="23">
        <f>IF(A112="","",YEAR(A112))</f>
        <v/>
      </c>
    </row>
    <row r="113">
      <c r="A113" s="41" t="n"/>
      <c r="B113" s="27" t="n"/>
      <c r="C113" s="27" t="n"/>
      <c r="D113" s="26" t="n"/>
      <c r="E113" s="31" t="n"/>
      <c r="F113" s="27" t="n"/>
      <c r="G113" s="23">
        <f>IF(A113="","",MONTH(A113))</f>
        <v/>
      </c>
      <c r="H113" s="23">
        <f>IF(A113="","",YEAR(A113))</f>
        <v/>
      </c>
    </row>
    <row r="114">
      <c r="A114" s="41" t="n"/>
      <c r="B114" s="27" t="n"/>
      <c r="C114" s="27" t="n"/>
      <c r="D114" s="26" t="n"/>
      <c r="E114" s="31" t="n"/>
      <c r="F114" s="27" t="n"/>
      <c r="G114" s="23">
        <f>IF(A114="","",MONTH(A114))</f>
        <v/>
      </c>
      <c r="H114" s="23">
        <f>IF(A114="","",YEAR(A114))</f>
        <v/>
      </c>
    </row>
    <row r="115">
      <c r="A115" s="41" t="n"/>
      <c r="B115" s="27" t="n"/>
      <c r="C115" s="27" t="n"/>
      <c r="D115" s="26" t="n"/>
      <c r="E115" s="31" t="n"/>
      <c r="F115" s="27" t="n"/>
      <c r="G115" s="23">
        <f>IF(A115="","",MONTH(A115))</f>
        <v/>
      </c>
      <c r="H115" s="23">
        <f>IF(A115="","",YEAR(A115))</f>
        <v/>
      </c>
    </row>
    <row r="116">
      <c r="A116" s="41" t="n"/>
      <c r="B116" s="27" t="n"/>
      <c r="C116" s="27" t="n"/>
      <c r="D116" s="26" t="n"/>
      <c r="E116" s="31" t="n"/>
      <c r="F116" s="27" t="n"/>
      <c r="G116" s="23">
        <f>IF(A116="","",MONTH(A116))</f>
        <v/>
      </c>
      <c r="H116" s="23">
        <f>IF(A116="","",YEAR(A116))</f>
        <v/>
      </c>
    </row>
    <row r="117">
      <c r="A117" s="41" t="n"/>
      <c r="B117" s="27" t="n"/>
      <c r="C117" s="27" t="n"/>
      <c r="D117" s="26" t="n"/>
      <c r="E117" s="31" t="n"/>
      <c r="F117" s="27" t="n"/>
      <c r="G117" s="23">
        <f>IF(A117="","",MONTH(A117))</f>
        <v/>
      </c>
      <c r="H117" s="23">
        <f>IF(A117="","",YEAR(A117))</f>
        <v/>
      </c>
    </row>
    <row r="118">
      <c r="A118" s="41" t="n"/>
      <c r="B118" s="27" t="n"/>
      <c r="C118" s="27" t="n"/>
      <c r="D118" s="26" t="n"/>
      <c r="E118" s="31" t="n"/>
      <c r="F118" s="27" t="n"/>
      <c r="G118" s="23">
        <f>IF(A118="","",MONTH(A118))</f>
        <v/>
      </c>
      <c r="H118" s="23">
        <f>IF(A118="","",YEAR(A118))</f>
        <v/>
      </c>
    </row>
    <row r="119">
      <c r="A119" s="41" t="n"/>
      <c r="B119" s="27" t="n"/>
      <c r="C119" s="27" t="n"/>
      <c r="D119" s="26" t="n"/>
      <c r="E119" s="31" t="n"/>
      <c r="F119" s="27" t="n"/>
      <c r="G119" s="23">
        <f>IF(A119="","",MONTH(A119))</f>
        <v/>
      </c>
      <c r="H119" s="23">
        <f>IF(A119="","",YEAR(A119))</f>
        <v/>
      </c>
    </row>
    <row r="120">
      <c r="A120" s="41" t="n"/>
      <c r="B120" s="27" t="n"/>
      <c r="C120" s="27" t="n"/>
      <c r="D120" s="26" t="n"/>
      <c r="E120" s="31" t="n"/>
      <c r="F120" s="27" t="n"/>
      <c r="G120" s="23">
        <f>IF(A120="","",MONTH(A120))</f>
        <v/>
      </c>
      <c r="H120" s="23">
        <f>IF(A120="","",YEAR(A120))</f>
        <v/>
      </c>
    </row>
    <row r="121">
      <c r="A121" s="41" t="n"/>
      <c r="B121" s="27" t="n"/>
      <c r="C121" s="27" t="n"/>
      <c r="D121" s="26" t="n"/>
      <c r="E121" s="31" t="n"/>
      <c r="F121" s="27" t="n"/>
      <c r="G121" s="23">
        <f>IF(A121="","",MONTH(A121))</f>
        <v/>
      </c>
      <c r="H121" s="23">
        <f>IF(A121="","",YEAR(A121))</f>
        <v/>
      </c>
    </row>
    <row r="122">
      <c r="A122" s="41" t="n"/>
      <c r="B122" s="27" t="n"/>
      <c r="C122" s="27" t="n"/>
      <c r="D122" s="26" t="n"/>
      <c r="E122" s="31" t="n"/>
      <c r="F122" s="27" t="n"/>
      <c r="G122" s="23">
        <f>IF(A122="","",MONTH(A122))</f>
        <v/>
      </c>
      <c r="H122" s="23">
        <f>IF(A122="","",YEAR(A122))</f>
        <v/>
      </c>
    </row>
    <row r="123">
      <c r="A123" s="41" t="n"/>
      <c r="B123" s="27" t="n"/>
      <c r="C123" s="27" t="n"/>
      <c r="D123" s="26" t="n"/>
      <c r="E123" s="31" t="n"/>
      <c r="F123" s="27" t="n"/>
      <c r="G123" s="23">
        <f>IF(A123="","",MONTH(A123))</f>
        <v/>
      </c>
      <c r="H123" s="23">
        <f>IF(A123="","",YEAR(A123))</f>
        <v/>
      </c>
    </row>
    <row r="124">
      <c r="A124" s="41" t="n"/>
      <c r="B124" s="27" t="n"/>
      <c r="C124" s="27" t="n"/>
      <c r="D124" s="26" t="n"/>
      <c r="E124" s="31" t="n"/>
      <c r="F124" s="27" t="n"/>
      <c r="G124" s="23">
        <f>IF(A124="","",MONTH(A124))</f>
        <v/>
      </c>
      <c r="H124" s="23">
        <f>IF(A124="","",YEAR(A124))</f>
        <v/>
      </c>
    </row>
    <row r="125">
      <c r="A125" s="41" t="n"/>
      <c r="B125" s="27" t="n"/>
      <c r="C125" s="27" t="n"/>
      <c r="D125" s="26" t="n"/>
      <c r="E125" s="31" t="n"/>
      <c r="F125" s="27" t="n"/>
      <c r="G125" s="23">
        <f>IF(A125="","",MONTH(A125))</f>
        <v/>
      </c>
      <c r="H125" s="23">
        <f>IF(A125="","",YEAR(A125))</f>
        <v/>
      </c>
    </row>
    <row r="126">
      <c r="A126" s="41" t="n"/>
      <c r="B126" s="27" t="n"/>
      <c r="C126" s="27" t="n"/>
      <c r="D126" s="26" t="n"/>
      <c r="E126" s="31" t="n"/>
      <c r="F126" s="27" t="n"/>
      <c r="G126" s="23">
        <f>IF(A126="","",MONTH(A126))</f>
        <v/>
      </c>
      <c r="H126" s="23">
        <f>IF(A126="","",YEAR(A126))</f>
        <v/>
      </c>
    </row>
    <row r="127">
      <c r="A127" s="41" t="n"/>
      <c r="B127" s="27" t="n"/>
      <c r="C127" s="27" t="n"/>
      <c r="D127" s="26" t="n"/>
      <c r="E127" s="31" t="n"/>
      <c r="F127" s="27" t="n"/>
      <c r="G127" s="23">
        <f>IF(A127="","",MONTH(A127))</f>
        <v/>
      </c>
      <c r="H127" s="23">
        <f>IF(A127="","",YEAR(A127))</f>
        <v/>
      </c>
    </row>
    <row r="128">
      <c r="A128" s="41" t="n"/>
      <c r="B128" s="27" t="n"/>
      <c r="C128" s="27" t="n"/>
      <c r="D128" s="26" t="n"/>
      <c r="E128" s="31" t="n"/>
      <c r="F128" s="27" t="n"/>
      <c r="G128" s="23">
        <f>IF(A128="","",MONTH(A128))</f>
        <v/>
      </c>
      <c r="H128" s="23">
        <f>IF(A128="","",YEAR(A128))</f>
        <v/>
      </c>
    </row>
    <row r="129">
      <c r="A129" s="41" t="n"/>
      <c r="B129" s="27" t="n"/>
      <c r="C129" s="27" t="n"/>
      <c r="D129" s="26" t="n"/>
      <c r="E129" s="31" t="n"/>
      <c r="F129" s="27" t="n"/>
      <c r="G129" s="23">
        <f>IF(A129="","",MONTH(A129))</f>
        <v/>
      </c>
      <c r="H129" s="23">
        <f>IF(A129="","",YEAR(A129))</f>
        <v/>
      </c>
    </row>
    <row r="130">
      <c r="A130" s="41" t="n"/>
      <c r="B130" s="27" t="n"/>
      <c r="C130" s="27" t="n"/>
      <c r="D130" s="26" t="n"/>
      <c r="E130" s="31" t="n"/>
      <c r="F130" s="27" t="n"/>
      <c r="G130" s="23">
        <f>IF(A130="","",MONTH(A130))</f>
        <v/>
      </c>
      <c r="H130" s="23">
        <f>IF(A130="","",YEAR(A130))</f>
        <v/>
      </c>
    </row>
    <row r="131">
      <c r="A131" s="41" t="n"/>
      <c r="B131" s="27" t="n"/>
      <c r="C131" s="27" t="n"/>
      <c r="D131" s="26" t="n"/>
      <c r="E131" s="31" t="n"/>
      <c r="F131" s="27" t="n"/>
      <c r="G131" s="23">
        <f>IF(A131="","",MONTH(A131))</f>
        <v/>
      </c>
      <c r="H131" s="23">
        <f>IF(A131="","",YEAR(A131))</f>
        <v/>
      </c>
    </row>
    <row r="132">
      <c r="A132" s="41" t="n"/>
      <c r="B132" s="27" t="n"/>
      <c r="C132" s="27" t="n"/>
      <c r="D132" s="26" t="n"/>
      <c r="E132" s="31" t="n"/>
      <c r="F132" s="27" t="n"/>
      <c r="G132" s="23">
        <f>IF(A132="","",MONTH(A132))</f>
        <v/>
      </c>
      <c r="H132" s="23">
        <f>IF(A132="","",YEAR(A132))</f>
        <v/>
      </c>
    </row>
    <row r="133">
      <c r="A133" s="41" t="n"/>
      <c r="B133" s="27" t="n"/>
      <c r="C133" s="27" t="n"/>
      <c r="D133" s="26" t="n"/>
      <c r="E133" s="31" t="n"/>
      <c r="F133" s="27" t="n"/>
      <c r="G133" s="23">
        <f>IF(A133="","",MONTH(A133))</f>
        <v/>
      </c>
      <c r="H133" s="23">
        <f>IF(A133="","",YEAR(A133))</f>
        <v/>
      </c>
    </row>
    <row r="134">
      <c r="A134" s="41" t="n"/>
      <c r="B134" s="27" t="n"/>
      <c r="C134" s="27" t="n"/>
      <c r="D134" s="26" t="n"/>
      <c r="E134" s="31" t="n"/>
      <c r="F134" s="27" t="n"/>
      <c r="G134" s="23">
        <f>IF(A134="","",MONTH(A134))</f>
        <v/>
      </c>
      <c r="H134" s="23">
        <f>IF(A134="","",YEAR(A134))</f>
        <v/>
      </c>
    </row>
    <row r="135">
      <c r="A135" s="41" t="n"/>
      <c r="B135" s="27" t="n"/>
      <c r="C135" s="27" t="n"/>
      <c r="D135" s="26" t="n"/>
      <c r="E135" s="31" t="n"/>
      <c r="F135" s="27" t="n"/>
      <c r="G135" s="23">
        <f>IF(A135="","",MONTH(A135))</f>
        <v/>
      </c>
      <c r="H135" s="23">
        <f>IF(A135="","",YEAR(A135))</f>
        <v/>
      </c>
    </row>
    <row r="136">
      <c r="A136" s="41" t="n"/>
      <c r="B136" s="27" t="n"/>
      <c r="C136" s="27" t="n"/>
      <c r="D136" s="26" t="n"/>
      <c r="E136" s="31" t="n"/>
      <c r="F136" s="27" t="n"/>
      <c r="G136" s="23">
        <f>IF(A136="","",MONTH(A136))</f>
        <v/>
      </c>
      <c r="H136" s="23">
        <f>IF(A136="","",YEAR(A136))</f>
        <v/>
      </c>
    </row>
    <row r="137">
      <c r="A137" s="41" t="n"/>
      <c r="B137" s="27" t="n"/>
      <c r="C137" s="27" t="n"/>
      <c r="D137" s="26" t="n"/>
      <c r="E137" s="31" t="n"/>
      <c r="F137" s="27" t="n"/>
      <c r="G137" s="23">
        <f>IF(A137="","",MONTH(A137))</f>
        <v/>
      </c>
      <c r="H137" s="23">
        <f>IF(A137="","",YEAR(A137))</f>
        <v/>
      </c>
    </row>
    <row r="138">
      <c r="A138" s="41" t="n"/>
      <c r="B138" s="27" t="n"/>
      <c r="C138" s="27" t="n"/>
      <c r="D138" s="26" t="n"/>
      <c r="E138" s="31" t="n"/>
      <c r="F138" s="27" t="n"/>
      <c r="G138" s="23">
        <f>IF(A138="","",MONTH(A138))</f>
        <v/>
      </c>
      <c r="H138" s="23">
        <f>IF(A138="","",YEAR(A138))</f>
        <v/>
      </c>
    </row>
    <row r="139">
      <c r="A139" s="41" t="n"/>
      <c r="B139" s="27" t="n"/>
      <c r="C139" s="27" t="n"/>
      <c r="D139" s="26" t="n"/>
      <c r="E139" s="31" t="n"/>
      <c r="F139" s="27" t="n"/>
      <c r="G139" s="23">
        <f>IF(A139="","",MONTH(A139))</f>
        <v/>
      </c>
      <c r="H139" s="23">
        <f>IF(A139="","",YEAR(A139))</f>
        <v/>
      </c>
    </row>
    <row r="140">
      <c r="A140" s="41" t="n"/>
      <c r="B140" s="27" t="n"/>
      <c r="C140" s="27" t="n"/>
      <c r="D140" s="26" t="n"/>
      <c r="E140" s="31" t="n"/>
      <c r="F140" s="27" t="n"/>
      <c r="G140" s="23">
        <f>IF(A140="","",MONTH(A140))</f>
        <v/>
      </c>
      <c r="H140" s="23">
        <f>IF(A140="","",YEAR(A140))</f>
        <v/>
      </c>
    </row>
    <row r="141">
      <c r="A141" s="41" t="n"/>
      <c r="B141" s="27" t="n"/>
      <c r="C141" s="27" t="n"/>
      <c r="D141" s="26" t="n"/>
      <c r="E141" s="31" t="n"/>
      <c r="F141" s="27" t="n"/>
      <c r="G141" s="23">
        <f>IF(A141="","",MONTH(A141))</f>
        <v/>
      </c>
      <c r="H141" s="23">
        <f>IF(A141="","",YEAR(A141))</f>
        <v/>
      </c>
    </row>
    <row r="142">
      <c r="A142" s="41" t="n"/>
      <c r="B142" s="27" t="n"/>
      <c r="C142" s="27" t="n"/>
      <c r="D142" s="26" t="n"/>
      <c r="E142" s="31" t="n"/>
      <c r="F142" s="27" t="n"/>
      <c r="G142" s="23">
        <f>IF(A142="","",MONTH(A142))</f>
        <v/>
      </c>
      <c r="H142" s="23">
        <f>IF(A142="","",YEAR(A142))</f>
        <v/>
      </c>
    </row>
    <row r="143">
      <c r="A143" s="41" t="n"/>
      <c r="B143" s="27" t="n"/>
      <c r="C143" s="27" t="n"/>
      <c r="D143" s="26" t="n"/>
      <c r="E143" s="31" t="n"/>
      <c r="F143" s="27" t="n"/>
      <c r="G143" s="23">
        <f>IF(A143="","",MONTH(A143))</f>
        <v/>
      </c>
      <c r="H143" s="23">
        <f>IF(A143="","",YEAR(A143))</f>
        <v/>
      </c>
    </row>
    <row r="144">
      <c r="A144" s="41" t="n"/>
      <c r="B144" s="27" t="n"/>
      <c r="C144" s="27" t="n"/>
      <c r="D144" s="26" t="n"/>
      <c r="E144" s="31" t="n"/>
      <c r="F144" s="27" t="n"/>
      <c r="G144" s="23">
        <f>IF(A144="","",MONTH(A144))</f>
        <v/>
      </c>
      <c r="H144" s="23">
        <f>IF(A144="","",YEAR(A144))</f>
        <v/>
      </c>
    </row>
    <row r="145">
      <c r="A145" s="41" t="n"/>
      <c r="B145" s="27" t="n"/>
      <c r="C145" s="27" t="n"/>
      <c r="D145" s="26" t="n"/>
      <c r="E145" s="31" t="n"/>
      <c r="F145" s="27" t="n"/>
      <c r="G145" s="23">
        <f>IF(A145="","",MONTH(A145))</f>
        <v/>
      </c>
      <c r="H145" s="23">
        <f>IF(A145="","",YEAR(A145))</f>
        <v/>
      </c>
    </row>
    <row r="146">
      <c r="A146" s="41" t="n"/>
      <c r="B146" s="27" t="n"/>
      <c r="C146" s="27" t="n"/>
      <c r="D146" s="26" t="n"/>
      <c r="E146" s="31" t="n"/>
      <c r="F146" s="27" t="n"/>
      <c r="G146" s="23">
        <f>IF(A146="","",MONTH(A146))</f>
        <v/>
      </c>
      <c r="H146" s="23">
        <f>IF(A146="","",YEAR(A146))</f>
        <v/>
      </c>
    </row>
    <row r="147">
      <c r="A147" s="41" t="n"/>
      <c r="B147" s="27" t="n"/>
      <c r="C147" s="27" t="n"/>
      <c r="D147" s="26" t="n"/>
      <c r="E147" s="31" t="n"/>
      <c r="F147" s="27" t="n"/>
      <c r="G147" s="23">
        <f>IF(A147="","",MONTH(A147))</f>
        <v/>
      </c>
      <c r="H147" s="23">
        <f>IF(A147="","",YEAR(A147))</f>
        <v/>
      </c>
    </row>
    <row r="148">
      <c r="A148" s="41" t="n"/>
      <c r="B148" s="27" t="n"/>
      <c r="C148" s="27" t="n"/>
      <c r="D148" s="26" t="n"/>
      <c r="E148" s="31" t="n"/>
      <c r="F148" s="27" t="n"/>
      <c r="G148" s="23">
        <f>IF(A148="","",MONTH(A148))</f>
        <v/>
      </c>
      <c r="H148" s="23">
        <f>IF(A148="","",YEAR(A148))</f>
        <v/>
      </c>
    </row>
    <row r="149">
      <c r="A149" s="41" t="n"/>
      <c r="B149" s="27" t="n"/>
      <c r="C149" s="27" t="n"/>
      <c r="D149" s="26" t="n"/>
      <c r="E149" s="31" t="n"/>
      <c r="F149" s="27" t="n"/>
      <c r="G149" s="23">
        <f>IF(A149="","",MONTH(A149))</f>
        <v/>
      </c>
      <c r="H149" s="23">
        <f>IF(A149="","",YEAR(A149))</f>
        <v/>
      </c>
    </row>
    <row r="150">
      <c r="A150" s="41" t="n"/>
      <c r="B150" s="27" t="n"/>
      <c r="C150" s="27" t="n"/>
      <c r="D150" s="26" t="n"/>
      <c r="E150" s="31" t="n"/>
      <c r="F150" s="27" t="n"/>
      <c r="G150" s="23">
        <f>IF(A150="","",MONTH(A150))</f>
        <v/>
      </c>
      <c r="H150" s="23">
        <f>IF(A150="","",YEAR(A150))</f>
        <v/>
      </c>
    </row>
    <row r="151">
      <c r="A151" s="41" t="n"/>
      <c r="B151" s="27" t="n"/>
      <c r="C151" s="27" t="n"/>
      <c r="D151" s="26" t="n"/>
      <c r="E151" s="31" t="n"/>
      <c r="F151" s="27" t="n"/>
      <c r="G151" s="23">
        <f>IF(A151="","",MONTH(A151))</f>
        <v/>
      </c>
      <c r="H151" s="23">
        <f>IF(A151="","",YEAR(A151))</f>
        <v/>
      </c>
    </row>
    <row r="152">
      <c r="A152" s="41" t="n"/>
      <c r="B152" s="27" t="n"/>
      <c r="C152" s="27" t="n"/>
      <c r="D152" s="26" t="n"/>
      <c r="E152" s="31" t="n"/>
      <c r="F152" s="27" t="n"/>
      <c r="G152" s="23">
        <f>IF(A152="","",MONTH(A152))</f>
        <v/>
      </c>
      <c r="H152" s="23">
        <f>IF(A152="","",YEAR(A152))</f>
        <v/>
      </c>
    </row>
    <row r="153">
      <c r="A153" s="41" t="n"/>
      <c r="B153" s="27" t="n"/>
      <c r="C153" s="27" t="n"/>
      <c r="D153" s="26" t="n"/>
      <c r="E153" s="31" t="n"/>
      <c r="F153" s="27" t="n"/>
      <c r="G153" s="23">
        <f>IF(A153="","",MONTH(A153))</f>
        <v/>
      </c>
      <c r="H153" s="23">
        <f>IF(A153="","",YEAR(A153))</f>
        <v/>
      </c>
    </row>
    <row r="154">
      <c r="A154" s="41" t="n"/>
      <c r="B154" s="27" t="n"/>
      <c r="C154" s="27" t="n"/>
      <c r="D154" s="26" t="n"/>
      <c r="E154" s="31" t="n"/>
      <c r="F154" s="27" t="n"/>
      <c r="G154" s="23">
        <f>IF(A154="","",MONTH(A154))</f>
        <v/>
      </c>
      <c r="H154" s="23">
        <f>IF(A154="","",YEAR(A154))</f>
        <v/>
      </c>
    </row>
    <row r="155">
      <c r="A155" s="41" t="n"/>
      <c r="B155" s="27" t="n"/>
      <c r="C155" s="27" t="n"/>
      <c r="D155" s="26" t="n"/>
      <c r="E155" s="31" t="n"/>
      <c r="F155" s="27" t="n"/>
      <c r="G155" s="23">
        <f>IF(A155="","",MONTH(A155))</f>
        <v/>
      </c>
      <c r="H155" s="23">
        <f>IF(A155="","",YEAR(A155))</f>
        <v/>
      </c>
    </row>
    <row r="156">
      <c r="A156" s="41" t="n"/>
      <c r="B156" s="27" t="n"/>
      <c r="C156" s="27" t="n"/>
      <c r="D156" s="26" t="n"/>
      <c r="E156" s="31" t="n"/>
      <c r="F156" s="27" t="n"/>
      <c r="G156" s="23">
        <f>IF(A156="","",MONTH(A156))</f>
        <v/>
      </c>
      <c r="H156" s="23">
        <f>IF(A156="","",YEAR(A156))</f>
        <v/>
      </c>
    </row>
    <row r="157">
      <c r="A157" s="41" t="n"/>
      <c r="B157" s="27" t="n"/>
      <c r="C157" s="27" t="n"/>
      <c r="D157" s="26" t="n"/>
      <c r="E157" s="31" t="n"/>
      <c r="F157" s="27" t="n"/>
      <c r="G157" s="23">
        <f>IF(A157="","",MONTH(A157))</f>
        <v/>
      </c>
      <c r="H157" s="23">
        <f>IF(A157="","",YEAR(A157))</f>
        <v/>
      </c>
    </row>
    <row r="158">
      <c r="A158" s="41" t="n"/>
      <c r="B158" s="27" t="n"/>
      <c r="C158" s="27" t="n"/>
      <c r="D158" s="26" t="n"/>
      <c r="E158" s="31" t="n"/>
      <c r="F158" s="27" t="n"/>
      <c r="G158" s="23">
        <f>IF(A158="","",MONTH(A158))</f>
        <v/>
      </c>
      <c r="H158" s="23">
        <f>IF(A158="","",YEAR(A158))</f>
        <v/>
      </c>
    </row>
    <row r="159">
      <c r="A159" s="41" t="n"/>
      <c r="B159" s="27" t="n"/>
      <c r="C159" s="27" t="n"/>
      <c r="D159" s="26" t="n"/>
      <c r="E159" s="31" t="n"/>
      <c r="F159" s="27" t="n"/>
      <c r="G159" s="23">
        <f>IF(A159="","",MONTH(A159))</f>
        <v/>
      </c>
      <c r="H159" s="23">
        <f>IF(A159="","",YEAR(A159))</f>
        <v/>
      </c>
    </row>
    <row r="160">
      <c r="A160" s="41" t="n"/>
      <c r="B160" s="27" t="n"/>
      <c r="C160" s="27" t="n"/>
      <c r="D160" s="26" t="n"/>
      <c r="E160" s="31" t="n"/>
      <c r="F160" s="27" t="n"/>
      <c r="G160" s="23">
        <f>IF(A160="","",MONTH(A160))</f>
        <v/>
      </c>
      <c r="H160" s="23">
        <f>IF(A160="","",YEAR(A160))</f>
        <v/>
      </c>
    </row>
    <row r="161">
      <c r="A161" s="41" t="n"/>
      <c r="B161" s="27" t="n"/>
      <c r="C161" s="27" t="n"/>
      <c r="D161" s="26" t="n"/>
      <c r="E161" s="31" t="n"/>
      <c r="F161" s="27" t="n"/>
      <c r="G161" s="23">
        <f>IF(A161="","",MONTH(A161))</f>
        <v/>
      </c>
      <c r="H161" s="23">
        <f>IF(A161="","",YEAR(A161))</f>
        <v/>
      </c>
    </row>
    <row r="162">
      <c r="A162" s="41" t="n"/>
      <c r="B162" s="27" t="n"/>
      <c r="C162" s="27" t="n"/>
      <c r="D162" s="26" t="n"/>
      <c r="E162" s="31" t="n"/>
      <c r="F162" s="27" t="n"/>
      <c r="G162" s="23">
        <f>IF(A162="","",MONTH(A162))</f>
        <v/>
      </c>
      <c r="H162" s="23">
        <f>IF(A162="","",YEAR(A162))</f>
        <v/>
      </c>
    </row>
    <row r="163">
      <c r="A163" s="41" t="n"/>
      <c r="B163" s="27" t="n"/>
      <c r="C163" s="27" t="n"/>
      <c r="D163" s="26" t="n"/>
      <c r="E163" s="31" t="n"/>
      <c r="F163" s="27" t="n"/>
      <c r="G163" s="23">
        <f>IF(A163="","",MONTH(A163))</f>
        <v/>
      </c>
      <c r="H163" s="23">
        <f>IF(A163="","",YEAR(A163))</f>
        <v/>
      </c>
    </row>
    <row r="164">
      <c r="A164" s="41" t="n"/>
      <c r="B164" s="27" t="n"/>
      <c r="C164" s="27" t="n"/>
      <c r="D164" s="26" t="n"/>
      <c r="E164" s="31" t="n"/>
      <c r="F164" s="27" t="n"/>
      <c r="G164" s="23">
        <f>IF(A164="","",MONTH(A164))</f>
        <v/>
      </c>
      <c r="H164" s="23">
        <f>IF(A164="","",YEAR(A164))</f>
        <v/>
      </c>
    </row>
    <row r="165">
      <c r="A165" s="41" t="n"/>
      <c r="B165" s="27" t="n"/>
      <c r="C165" s="27" t="n"/>
      <c r="D165" s="26" t="n"/>
      <c r="E165" s="31" t="n"/>
      <c r="F165" s="27" t="n"/>
      <c r="G165" s="23">
        <f>IF(A165="","",MONTH(A165))</f>
        <v/>
      </c>
      <c r="H165" s="23">
        <f>IF(A165="","",YEAR(A165))</f>
        <v/>
      </c>
    </row>
    <row r="166">
      <c r="A166" s="41" t="n"/>
      <c r="B166" s="27" t="n"/>
      <c r="C166" s="27" t="n"/>
      <c r="D166" s="26" t="n"/>
      <c r="E166" s="31" t="n"/>
      <c r="F166" s="27" t="n"/>
      <c r="G166" s="23">
        <f>IF(A166="","",MONTH(A166))</f>
        <v/>
      </c>
      <c r="H166" s="23">
        <f>IF(A166="","",YEAR(A166))</f>
        <v/>
      </c>
    </row>
    <row r="167">
      <c r="A167" s="41" t="n"/>
      <c r="B167" s="27" t="n"/>
      <c r="C167" s="27" t="n"/>
      <c r="D167" s="26" t="n"/>
      <c r="E167" s="31" t="n"/>
      <c r="F167" s="27" t="n"/>
      <c r="G167" s="23">
        <f>IF(A167="","",MONTH(A167))</f>
        <v/>
      </c>
      <c r="H167" s="23">
        <f>IF(A167="","",YEAR(A167))</f>
        <v/>
      </c>
    </row>
    <row r="168">
      <c r="A168" s="41" t="n"/>
      <c r="B168" s="27" t="n"/>
      <c r="C168" s="27" t="n"/>
      <c r="D168" s="26" t="n"/>
      <c r="E168" s="31" t="n"/>
      <c r="F168" s="27" t="n"/>
      <c r="G168" s="23">
        <f>IF(A168="","",MONTH(A168))</f>
        <v/>
      </c>
      <c r="H168" s="23">
        <f>IF(A168="","",YEAR(A168))</f>
        <v/>
      </c>
    </row>
    <row r="169">
      <c r="A169" s="41" t="n"/>
      <c r="B169" s="27" t="n"/>
      <c r="C169" s="27" t="n"/>
      <c r="D169" s="26" t="n"/>
      <c r="E169" s="31" t="n"/>
      <c r="F169" s="27" t="n"/>
      <c r="G169" s="23">
        <f>IF(A169="","",MONTH(A169))</f>
        <v/>
      </c>
      <c r="H169" s="23">
        <f>IF(A169="","",YEAR(A169))</f>
        <v/>
      </c>
    </row>
    <row r="170">
      <c r="A170" s="41" t="n"/>
      <c r="B170" s="27" t="n"/>
      <c r="C170" s="27" t="n"/>
      <c r="D170" s="26" t="n"/>
      <c r="E170" s="31" t="n"/>
      <c r="F170" s="27" t="n"/>
      <c r="G170" s="23">
        <f>IF(A170="","",MONTH(A170))</f>
        <v/>
      </c>
      <c r="H170" s="23">
        <f>IF(A170="","",YEAR(A170))</f>
        <v/>
      </c>
    </row>
    <row r="171">
      <c r="A171" s="41" t="n"/>
      <c r="B171" s="27" t="n"/>
      <c r="C171" s="27" t="n"/>
      <c r="D171" s="26" t="n"/>
      <c r="E171" s="31" t="n"/>
      <c r="F171" s="27" t="n"/>
      <c r="G171" s="23">
        <f>IF(A171="","",MONTH(A171))</f>
        <v/>
      </c>
      <c r="H171" s="23">
        <f>IF(A171="","",YEAR(A171))</f>
        <v/>
      </c>
    </row>
    <row r="172">
      <c r="A172" s="41" t="n"/>
      <c r="B172" s="27" t="n"/>
      <c r="C172" s="27" t="n"/>
      <c r="D172" s="26" t="n"/>
      <c r="E172" s="31" t="n"/>
      <c r="F172" s="27" t="n"/>
      <c r="G172" s="23">
        <f>IF(A172="","",MONTH(A172))</f>
        <v/>
      </c>
      <c r="H172" s="23">
        <f>IF(A172="","",YEAR(A172))</f>
        <v/>
      </c>
    </row>
    <row r="173">
      <c r="A173" s="41" t="n"/>
      <c r="B173" s="27" t="n"/>
      <c r="C173" s="27" t="n"/>
      <c r="D173" s="26" t="n"/>
      <c r="E173" s="31" t="n"/>
      <c r="F173" s="27" t="n"/>
      <c r="G173" s="23">
        <f>IF(A173="","",MONTH(A173))</f>
        <v/>
      </c>
      <c r="H173" s="23">
        <f>IF(A173="","",YEAR(A173))</f>
        <v/>
      </c>
    </row>
    <row r="174">
      <c r="A174" s="41" t="n"/>
      <c r="B174" s="27" t="n"/>
      <c r="C174" s="27" t="n"/>
      <c r="D174" s="26" t="n"/>
      <c r="E174" s="31" t="n"/>
      <c r="F174" s="27" t="n"/>
      <c r="G174" s="23">
        <f>IF(A174="","",MONTH(A174))</f>
        <v/>
      </c>
      <c r="H174" s="23">
        <f>IF(A174="","",YEAR(A174))</f>
        <v/>
      </c>
    </row>
    <row r="175">
      <c r="A175" s="41" t="n"/>
      <c r="B175" s="27" t="n"/>
      <c r="C175" s="27" t="n"/>
      <c r="D175" s="26" t="n"/>
      <c r="E175" s="31" t="n"/>
      <c r="F175" s="27" t="n"/>
      <c r="G175" s="23">
        <f>IF(A175="","",MONTH(A175))</f>
        <v/>
      </c>
      <c r="H175" s="23">
        <f>IF(A175="","",YEAR(A175))</f>
        <v/>
      </c>
    </row>
    <row r="176">
      <c r="A176" s="41" t="n"/>
      <c r="B176" s="27" t="n"/>
      <c r="C176" s="27" t="n"/>
      <c r="D176" s="26" t="n"/>
      <c r="E176" s="31" t="n"/>
      <c r="F176" s="27" t="n"/>
      <c r="G176" s="23">
        <f>IF(A176="","",MONTH(A176))</f>
        <v/>
      </c>
      <c r="H176" s="23">
        <f>IF(A176="","",YEAR(A176))</f>
        <v/>
      </c>
    </row>
    <row r="177">
      <c r="A177" s="41" t="n"/>
      <c r="B177" s="27" t="n"/>
      <c r="C177" s="27" t="n"/>
      <c r="D177" s="26" t="n"/>
      <c r="E177" s="31" t="n"/>
      <c r="F177" s="27" t="n"/>
      <c r="G177" s="23">
        <f>IF(A177="","",MONTH(A177))</f>
        <v/>
      </c>
      <c r="H177" s="23">
        <f>IF(A177="","",YEAR(A177))</f>
        <v/>
      </c>
    </row>
    <row r="178">
      <c r="A178" s="41" t="n"/>
      <c r="B178" s="27" t="n"/>
      <c r="C178" s="27" t="n"/>
      <c r="D178" s="26" t="n"/>
      <c r="E178" s="31" t="n"/>
      <c r="F178" s="27" t="n"/>
      <c r="G178" s="23">
        <f>IF(A178="","",MONTH(A178))</f>
        <v/>
      </c>
      <c r="H178" s="23">
        <f>IF(A178="","",YEAR(A178))</f>
        <v/>
      </c>
    </row>
    <row r="179">
      <c r="A179" s="41" t="n"/>
      <c r="B179" s="27" t="n"/>
      <c r="C179" s="27" t="n"/>
      <c r="D179" s="26" t="n"/>
      <c r="E179" s="31" t="n"/>
      <c r="F179" s="27" t="n"/>
      <c r="G179" s="23">
        <f>IF(A179="","",MONTH(A179))</f>
        <v/>
      </c>
      <c r="H179" s="23">
        <f>IF(A179="","",YEAR(A179))</f>
        <v/>
      </c>
    </row>
    <row r="180">
      <c r="A180" s="41" t="n"/>
      <c r="B180" s="27" t="n"/>
      <c r="C180" s="27" t="n"/>
      <c r="D180" s="26" t="n"/>
      <c r="E180" s="31" t="n"/>
      <c r="F180" s="27" t="n"/>
      <c r="G180" s="23">
        <f>IF(A180="","",MONTH(A180))</f>
        <v/>
      </c>
      <c r="H180" s="23">
        <f>IF(A180="","",YEAR(A180))</f>
        <v/>
      </c>
    </row>
    <row r="181">
      <c r="A181" s="41" t="n"/>
      <c r="B181" s="27" t="n"/>
      <c r="C181" s="27" t="n"/>
      <c r="D181" s="26" t="n"/>
      <c r="E181" s="31" t="n"/>
      <c r="F181" s="27" t="n"/>
      <c r="G181" s="23">
        <f>IF(A181="","",MONTH(A181))</f>
        <v/>
      </c>
      <c r="H181" s="23">
        <f>IF(A181="","",YEAR(A181))</f>
        <v/>
      </c>
    </row>
    <row r="182">
      <c r="A182" s="41" t="n"/>
      <c r="B182" s="27" t="n"/>
      <c r="C182" s="27" t="n"/>
      <c r="D182" s="26" t="n"/>
      <c r="E182" s="31" t="n"/>
      <c r="F182" s="27" t="n"/>
      <c r="G182" s="23">
        <f>IF(A182="","",MONTH(A182))</f>
        <v/>
      </c>
      <c r="H182" s="23">
        <f>IF(A182="","",YEAR(A182))</f>
        <v/>
      </c>
    </row>
    <row r="183">
      <c r="A183" s="41" t="n"/>
      <c r="B183" s="27" t="n"/>
      <c r="C183" s="27" t="n"/>
      <c r="D183" s="26" t="n"/>
      <c r="E183" s="31" t="n"/>
      <c r="F183" s="27" t="n"/>
      <c r="G183" s="23">
        <f>IF(A183="","",MONTH(A183))</f>
        <v/>
      </c>
      <c r="H183" s="23">
        <f>IF(A183="","",YEAR(A183))</f>
        <v/>
      </c>
    </row>
    <row r="184">
      <c r="A184" s="41" t="n"/>
      <c r="B184" s="27" t="n"/>
      <c r="C184" s="27" t="n"/>
      <c r="D184" s="26" t="n"/>
      <c r="E184" s="31" t="n"/>
      <c r="F184" s="27" t="n"/>
      <c r="G184" s="23">
        <f>IF(A184="","",MONTH(A184))</f>
        <v/>
      </c>
      <c r="H184" s="23">
        <f>IF(A184="","",YEAR(A184))</f>
        <v/>
      </c>
    </row>
    <row r="185">
      <c r="A185" s="41" t="n"/>
      <c r="B185" s="27" t="n"/>
      <c r="C185" s="27" t="n"/>
      <c r="D185" s="26" t="n"/>
      <c r="E185" s="31" t="n"/>
      <c r="F185" s="27" t="n"/>
      <c r="G185" s="23">
        <f>IF(A185="","",MONTH(A185))</f>
        <v/>
      </c>
      <c r="H185" s="23">
        <f>IF(A185="","",YEAR(A185))</f>
        <v/>
      </c>
    </row>
    <row r="186">
      <c r="A186" s="41" t="n"/>
      <c r="B186" s="27" t="n"/>
      <c r="C186" s="27" t="n"/>
      <c r="D186" s="26" t="n"/>
      <c r="E186" s="31" t="n"/>
      <c r="F186" s="27" t="n"/>
      <c r="G186" s="23">
        <f>IF(A186="","",MONTH(A186))</f>
        <v/>
      </c>
      <c r="H186" s="23">
        <f>IF(A186="","",YEAR(A186))</f>
        <v/>
      </c>
    </row>
    <row r="187">
      <c r="A187" s="41" t="n"/>
      <c r="B187" s="27" t="n"/>
      <c r="C187" s="27" t="n"/>
      <c r="D187" s="26" t="n"/>
      <c r="E187" s="31" t="n"/>
      <c r="F187" s="27" t="n"/>
      <c r="G187" s="23">
        <f>IF(A187="","",MONTH(A187))</f>
        <v/>
      </c>
      <c r="H187" s="23">
        <f>IF(A187="","",YEAR(A187))</f>
        <v/>
      </c>
    </row>
    <row r="188">
      <c r="A188" s="41" t="n"/>
      <c r="B188" s="27" t="n"/>
      <c r="C188" s="27" t="n"/>
      <c r="D188" s="26" t="n"/>
      <c r="E188" s="31" t="n"/>
      <c r="F188" s="27" t="n"/>
      <c r="G188" s="23">
        <f>IF(A188="","",MONTH(A188))</f>
        <v/>
      </c>
      <c r="H188" s="23">
        <f>IF(A188="","",YEAR(A188))</f>
        <v/>
      </c>
    </row>
    <row r="189">
      <c r="A189" s="41" t="n"/>
      <c r="B189" s="27" t="n"/>
      <c r="C189" s="27" t="n"/>
      <c r="D189" s="26" t="n"/>
      <c r="E189" s="31" t="n"/>
      <c r="F189" s="27" t="n"/>
      <c r="G189" s="23">
        <f>IF(A189="","",MONTH(A189))</f>
        <v/>
      </c>
      <c r="H189" s="23">
        <f>IF(A189="","",YEAR(A189))</f>
        <v/>
      </c>
    </row>
    <row r="190">
      <c r="A190" s="41" t="n"/>
      <c r="B190" s="27" t="n"/>
      <c r="C190" s="27" t="n"/>
      <c r="D190" s="26" t="n"/>
      <c r="E190" s="31" t="n"/>
      <c r="F190" s="27" t="n"/>
      <c r="G190" s="23">
        <f>IF(A190="","",MONTH(A190))</f>
        <v/>
      </c>
      <c r="H190" s="23">
        <f>IF(A190="","",YEAR(A190))</f>
        <v/>
      </c>
    </row>
    <row r="191">
      <c r="A191" s="41" t="n"/>
      <c r="B191" s="27" t="n"/>
      <c r="C191" s="27" t="n"/>
      <c r="D191" s="26" t="n"/>
      <c r="E191" s="31" t="n"/>
      <c r="F191" s="27" t="n"/>
      <c r="G191" s="23">
        <f>IF(A191="","",MONTH(A191))</f>
        <v/>
      </c>
      <c r="H191" s="23">
        <f>IF(A191="","",YEAR(A191))</f>
        <v/>
      </c>
    </row>
    <row r="192">
      <c r="A192" s="41" t="n"/>
      <c r="B192" s="27" t="n"/>
      <c r="C192" s="27" t="n"/>
      <c r="D192" s="26" t="n"/>
      <c r="E192" s="31" t="n"/>
      <c r="F192" s="27" t="n"/>
      <c r="G192" s="23">
        <f>IF(A192="","",MONTH(A192))</f>
        <v/>
      </c>
      <c r="H192" s="23">
        <f>IF(A192="","",YEAR(A192))</f>
        <v/>
      </c>
    </row>
    <row r="193">
      <c r="A193" s="41" t="n"/>
      <c r="B193" s="27" t="n"/>
      <c r="C193" s="27" t="n"/>
      <c r="D193" s="26" t="n"/>
      <c r="E193" s="31" t="n"/>
      <c r="F193" s="27" t="n"/>
      <c r="G193" s="23">
        <f>IF(A193="","",MONTH(A193))</f>
        <v/>
      </c>
      <c r="H193" s="23">
        <f>IF(A193="","",YEAR(A193))</f>
        <v/>
      </c>
    </row>
    <row r="194">
      <c r="A194" s="41" t="n"/>
      <c r="B194" s="27" t="n"/>
      <c r="C194" s="27" t="n"/>
      <c r="D194" s="26" t="n"/>
      <c r="E194" s="31" t="n"/>
      <c r="F194" s="27" t="n"/>
      <c r="G194" s="23">
        <f>IF(A194="","",MONTH(A194))</f>
        <v/>
      </c>
      <c r="H194" s="23">
        <f>IF(A194="","",YEAR(A194))</f>
        <v/>
      </c>
    </row>
    <row r="195">
      <c r="A195" s="41" t="n"/>
      <c r="B195" s="27" t="n"/>
      <c r="C195" s="27" t="n"/>
      <c r="D195" s="26" t="n"/>
      <c r="E195" s="31" t="n"/>
      <c r="F195" s="27" t="n"/>
      <c r="G195" s="23">
        <f>IF(A195="","",MONTH(A195))</f>
        <v/>
      </c>
      <c r="H195" s="23">
        <f>IF(A195="","",YEAR(A195))</f>
        <v/>
      </c>
    </row>
    <row r="196">
      <c r="A196" s="41" t="n"/>
      <c r="B196" s="27" t="n"/>
      <c r="C196" s="27" t="n"/>
      <c r="D196" s="26" t="n"/>
      <c r="E196" s="31" t="n"/>
      <c r="F196" s="27" t="n"/>
      <c r="G196" s="23">
        <f>IF(A196="","",MONTH(A196))</f>
        <v/>
      </c>
      <c r="H196" s="23">
        <f>IF(A196="","",YEAR(A196))</f>
        <v/>
      </c>
    </row>
    <row r="197">
      <c r="A197" s="41" t="n"/>
      <c r="B197" s="27" t="n"/>
      <c r="C197" s="27" t="n"/>
      <c r="D197" s="26" t="n"/>
      <c r="E197" s="31" t="n"/>
      <c r="F197" s="27" t="n"/>
      <c r="G197" s="23">
        <f>IF(A197="","",MONTH(A197))</f>
        <v/>
      </c>
      <c r="H197" s="23">
        <f>IF(A197="","",YEAR(A197))</f>
        <v/>
      </c>
    </row>
    <row r="198">
      <c r="A198" s="41" t="n"/>
      <c r="B198" s="27" t="n"/>
      <c r="C198" s="27" t="n"/>
      <c r="D198" s="26" t="n"/>
      <c r="E198" s="31" t="n"/>
      <c r="F198" s="27" t="n"/>
      <c r="G198" s="23">
        <f>IF(A198="","",MONTH(A198))</f>
        <v/>
      </c>
      <c r="H198" s="23">
        <f>IF(A198="","",YEAR(A198))</f>
        <v/>
      </c>
    </row>
    <row r="199">
      <c r="A199" s="41" t="n"/>
      <c r="B199" s="27" t="n"/>
      <c r="C199" s="27" t="n"/>
      <c r="D199" s="26" t="n"/>
      <c r="E199" s="31" t="n"/>
      <c r="F199" s="27" t="n"/>
      <c r="G199" s="23">
        <f>IF(A199="","",MONTH(A199))</f>
        <v/>
      </c>
      <c r="H199" s="23">
        <f>IF(A199="","",YEAR(A199))</f>
        <v/>
      </c>
    </row>
    <row r="200">
      <c r="A200" s="41" t="n"/>
      <c r="B200" s="27" t="n"/>
      <c r="C200" s="27" t="n"/>
      <c r="D200" s="26" t="n"/>
      <c r="E200" s="31" t="n"/>
      <c r="F200" s="27" t="n"/>
      <c r="G200" s="23">
        <f>IF(A200="","",MONTH(A200))</f>
        <v/>
      </c>
      <c r="H200" s="23">
        <f>IF(A200="","",YEAR(A200))</f>
        <v/>
      </c>
    </row>
    <row r="201">
      <c r="A201" s="41" t="n"/>
      <c r="B201" s="27" t="n"/>
      <c r="C201" s="27" t="n"/>
      <c r="D201" s="26" t="n"/>
      <c r="E201" s="31" t="n"/>
      <c r="F201" s="27" t="n"/>
      <c r="G201" s="23">
        <f>IF(A201="","",MONTH(A201))</f>
        <v/>
      </c>
      <c r="H201" s="23">
        <f>IF(A201="","",YEAR(A201))</f>
        <v/>
      </c>
    </row>
    <row r="202">
      <c r="A202" s="41" t="n"/>
      <c r="B202" s="27" t="n"/>
      <c r="C202" s="27" t="n"/>
      <c r="D202" s="26" t="n"/>
      <c r="E202" s="31" t="n"/>
      <c r="F202" s="27" t="n"/>
      <c r="G202" s="23">
        <f>IF(A202="","",MONTH(A202))</f>
        <v/>
      </c>
      <c r="H202" s="23">
        <f>IF(A202="","",YEAR(A202))</f>
        <v/>
      </c>
    </row>
    <row r="203">
      <c r="A203" s="41" t="n"/>
      <c r="B203" s="27" t="n"/>
      <c r="C203" s="27" t="n"/>
      <c r="D203" s="26" t="n"/>
      <c r="E203" s="31" t="n"/>
      <c r="F203" s="27" t="n"/>
      <c r="G203" s="23">
        <f>IF(A203="","",MONTH(A203))</f>
        <v/>
      </c>
      <c r="H203" s="23">
        <f>IF(A203="","",YEAR(A203))</f>
        <v/>
      </c>
    </row>
    <row r="204">
      <c r="A204" s="41" t="n"/>
      <c r="B204" s="27" t="n"/>
      <c r="C204" s="27" t="n"/>
      <c r="D204" s="26" t="n"/>
      <c r="E204" s="31" t="n"/>
      <c r="F204" s="27" t="n"/>
      <c r="G204" s="23">
        <f>IF(A204="","",MONTH(A204))</f>
        <v/>
      </c>
      <c r="H204" s="23">
        <f>IF(A204="","",YEAR(A204))</f>
        <v/>
      </c>
    </row>
    <row r="205">
      <c r="A205" s="41" t="n"/>
      <c r="B205" s="27" t="n"/>
      <c r="C205" s="27" t="n"/>
      <c r="D205" s="26" t="n"/>
      <c r="E205" s="31" t="n"/>
      <c r="F205" s="27" t="n"/>
      <c r="G205" s="23">
        <f>IF(A205="","",MONTH(A205))</f>
        <v/>
      </c>
      <c r="H205" s="23">
        <f>IF(A205="","",YEAR(A205))</f>
        <v/>
      </c>
    </row>
    <row r="206">
      <c r="A206" s="41" t="n"/>
      <c r="B206" s="27" t="n"/>
      <c r="C206" s="27" t="n"/>
      <c r="D206" s="26" t="n"/>
      <c r="E206" s="31" t="n"/>
      <c r="F206" s="27" t="n"/>
      <c r="G206" s="23">
        <f>IF(A206="","",MONTH(A206))</f>
        <v/>
      </c>
      <c r="H206" s="23">
        <f>IF(A206="","",YEAR(A206))</f>
        <v/>
      </c>
    </row>
    <row r="207">
      <c r="A207" s="41" t="n"/>
      <c r="B207" s="27" t="n"/>
      <c r="C207" s="27" t="n"/>
      <c r="D207" s="26" t="n"/>
      <c r="E207" s="31" t="n"/>
      <c r="F207" s="27" t="n"/>
      <c r="G207" s="23">
        <f>IF(A207="","",MONTH(A207))</f>
        <v/>
      </c>
      <c r="H207" s="23">
        <f>IF(A207="","",YEAR(A207))</f>
        <v/>
      </c>
    </row>
    <row r="208">
      <c r="A208" s="41" t="n"/>
      <c r="B208" s="27" t="n"/>
      <c r="C208" s="27" t="n"/>
      <c r="D208" s="26" t="n"/>
      <c r="E208" s="31" t="n"/>
      <c r="F208" s="27" t="n"/>
      <c r="G208" s="23">
        <f>IF(A208="","",MONTH(A208))</f>
        <v/>
      </c>
      <c r="H208" s="23">
        <f>IF(A208="","",YEAR(A208))</f>
        <v/>
      </c>
    </row>
    <row r="209">
      <c r="A209" s="41" t="n"/>
      <c r="B209" s="27" t="n"/>
      <c r="C209" s="27" t="n"/>
      <c r="D209" s="26" t="n"/>
      <c r="E209" s="31" t="n"/>
      <c r="F209" s="27" t="n"/>
      <c r="G209" s="23">
        <f>IF(A209="","",MONTH(A209))</f>
        <v/>
      </c>
      <c r="H209" s="23">
        <f>IF(A209="","",YEAR(A209))</f>
        <v/>
      </c>
    </row>
    <row r="210">
      <c r="A210" s="41" t="n"/>
      <c r="B210" s="27" t="n"/>
      <c r="C210" s="27" t="n"/>
      <c r="D210" s="26" t="n"/>
      <c r="E210" s="31" t="n"/>
      <c r="F210" s="27" t="n"/>
      <c r="G210" s="23">
        <f>IF(A210="","",MONTH(A210))</f>
        <v/>
      </c>
      <c r="H210" s="23">
        <f>IF(A210="","",YEAR(A210))</f>
        <v/>
      </c>
    </row>
    <row r="211">
      <c r="A211" s="41" t="n"/>
      <c r="B211" s="27" t="n"/>
      <c r="C211" s="27" t="n"/>
      <c r="D211" s="26" t="n"/>
      <c r="E211" s="31" t="n"/>
      <c r="F211" s="27" t="n"/>
      <c r="G211" s="23">
        <f>IF(A211="","",MONTH(A211))</f>
        <v/>
      </c>
      <c r="H211" s="23">
        <f>IF(A211="","",YEAR(A211))</f>
        <v/>
      </c>
    </row>
    <row r="212">
      <c r="A212" s="41" t="n"/>
      <c r="B212" s="27" t="n"/>
      <c r="C212" s="27" t="n"/>
      <c r="D212" s="26" t="n"/>
      <c r="E212" s="31" t="n"/>
      <c r="F212" s="27" t="n"/>
      <c r="G212" s="23">
        <f>IF(A212="","",MONTH(A212))</f>
        <v/>
      </c>
      <c r="H212" s="23">
        <f>IF(A212="","",YEAR(A212))</f>
        <v/>
      </c>
    </row>
    <row r="213">
      <c r="A213" s="41" t="n"/>
      <c r="B213" s="27" t="n"/>
      <c r="C213" s="27" t="n"/>
      <c r="D213" s="26" t="n"/>
      <c r="E213" s="31" t="n"/>
      <c r="F213" s="27" t="n"/>
      <c r="G213" s="23">
        <f>IF(A213="","",MONTH(A213))</f>
        <v/>
      </c>
      <c r="H213" s="23">
        <f>IF(A213="","",YEAR(A213))</f>
        <v/>
      </c>
    </row>
    <row r="214">
      <c r="A214" s="41" t="n"/>
      <c r="B214" s="27" t="n"/>
      <c r="C214" s="27" t="n"/>
      <c r="D214" s="26" t="n"/>
      <c r="E214" s="31" t="n"/>
      <c r="F214" s="27" t="n"/>
      <c r="G214" s="23">
        <f>IF(A214="","",MONTH(A214))</f>
        <v/>
      </c>
      <c r="H214" s="23">
        <f>IF(A214="","",YEAR(A214))</f>
        <v/>
      </c>
    </row>
    <row r="215">
      <c r="A215" s="41" t="n"/>
      <c r="B215" s="27" t="n"/>
      <c r="C215" s="27" t="n"/>
      <c r="D215" s="26" t="n"/>
      <c r="E215" s="31" t="n"/>
      <c r="F215" s="27" t="n"/>
      <c r="G215" s="23">
        <f>IF(A215="","",MONTH(A215))</f>
        <v/>
      </c>
      <c r="H215" s="23">
        <f>IF(A215="","",YEAR(A215))</f>
        <v/>
      </c>
    </row>
    <row r="216">
      <c r="A216" s="41" t="n"/>
      <c r="B216" s="27" t="n"/>
      <c r="C216" s="27" t="n"/>
      <c r="D216" s="26" t="n"/>
      <c r="E216" s="31" t="n"/>
      <c r="F216" s="27" t="n"/>
      <c r="G216" s="23">
        <f>IF(A216="","",MONTH(A216))</f>
        <v/>
      </c>
      <c r="H216" s="23">
        <f>IF(A216="","",YEAR(A216))</f>
        <v/>
      </c>
    </row>
    <row r="217">
      <c r="A217" s="41" t="n"/>
      <c r="B217" s="27" t="n"/>
      <c r="C217" s="27" t="n"/>
      <c r="D217" s="26" t="n"/>
      <c r="E217" s="31" t="n"/>
      <c r="F217" s="27" t="n"/>
      <c r="G217" s="23">
        <f>IF(A217="","",MONTH(A217))</f>
        <v/>
      </c>
      <c r="H217" s="23">
        <f>IF(A217="","",YEAR(A217))</f>
        <v/>
      </c>
    </row>
    <row r="218">
      <c r="A218" s="41" t="n"/>
      <c r="B218" s="27" t="n"/>
      <c r="C218" s="27" t="n"/>
      <c r="D218" s="26" t="n"/>
      <c r="E218" s="31" t="n"/>
      <c r="F218" s="27" t="n"/>
      <c r="G218" s="23">
        <f>IF(A218="","",MONTH(A218))</f>
        <v/>
      </c>
      <c r="H218" s="23">
        <f>IF(A218="","",YEAR(A218))</f>
        <v/>
      </c>
    </row>
    <row r="219">
      <c r="A219" s="41" t="n"/>
      <c r="B219" s="27" t="n"/>
      <c r="C219" s="27" t="n"/>
      <c r="D219" s="26" t="n"/>
      <c r="E219" s="31" t="n"/>
      <c r="F219" s="27" t="n"/>
      <c r="G219" s="23">
        <f>IF(A219="","",MONTH(A219))</f>
        <v/>
      </c>
      <c r="H219" s="23">
        <f>IF(A219="","",YEAR(A219))</f>
        <v/>
      </c>
    </row>
    <row r="220">
      <c r="A220" s="41" t="n"/>
      <c r="B220" s="27" t="n"/>
      <c r="C220" s="27" t="n"/>
      <c r="D220" s="26" t="n"/>
      <c r="E220" s="31" t="n"/>
      <c r="F220" s="27" t="n"/>
      <c r="G220" s="23">
        <f>IF(A220="","",MONTH(A220))</f>
        <v/>
      </c>
      <c r="H220" s="23">
        <f>IF(A220="","",YEAR(A220))</f>
        <v/>
      </c>
    </row>
    <row r="221">
      <c r="A221" s="41" t="n"/>
      <c r="B221" s="27" t="n"/>
      <c r="C221" s="27" t="n"/>
      <c r="D221" s="26" t="n"/>
      <c r="E221" s="31" t="n"/>
      <c r="F221" s="27" t="n"/>
      <c r="G221" s="23">
        <f>IF(A221="","",MONTH(A221))</f>
        <v/>
      </c>
      <c r="H221" s="23">
        <f>IF(A221="","",YEAR(A221))</f>
        <v/>
      </c>
    </row>
    <row r="222">
      <c r="A222" s="41" t="n"/>
      <c r="B222" s="27" t="n"/>
      <c r="C222" s="27" t="n"/>
      <c r="D222" s="26" t="n"/>
      <c r="E222" s="31" t="n"/>
      <c r="F222" s="27" t="n"/>
      <c r="G222" s="23">
        <f>IF(A222="","",MONTH(A222))</f>
        <v/>
      </c>
      <c r="H222" s="23">
        <f>IF(A222="","",YEAR(A222))</f>
        <v/>
      </c>
    </row>
    <row r="223">
      <c r="A223" s="41" t="n"/>
      <c r="B223" s="27" t="n"/>
      <c r="C223" s="27" t="n"/>
      <c r="D223" s="26" t="n"/>
      <c r="E223" s="31" t="n"/>
      <c r="F223" s="27" t="n"/>
      <c r="G223" s="23">
        <f>IF(A223="","",MONTH(A223))</f>
        <v/>
      </c>
      <c r="H223" s="23">
        <f>IF(A223="","",YEAR(A223))</f>
        <v/>
      </c>
    </row>
    <row r="224">
      <c r="A224" s="41" t="n"/>
      <c r="B224" s="27" t="n"/>
      <c r="C224" s="27" t="n"/>
      <c r="D224" s="26" t="n"/>
      <c r="E224" s="31" t="n"/>
      <c r="F224" s="27" t="n"/>
      <c r="G224" s="23">
        <f>IF(A224="","",MONTH(A224))</f>
        <v/>
      </c>
      <c r="H224" s="23">
        <f>IF(A224="","",YEAR(A224))</f>
        <v/>
      </c>
    </row>
    <row r="225">
      <c r="A225" s="41" t="n"/>
      <c r="B225" s="27" t="n"/>
      <c r="C225" s="27" t="n"/>
      <c r="D225" s="26" t="n"/>
      <c r="E225" s="31" t="n"/>
      <c r="F225" s="27" t="n"/>
      <c r="G225" s="23">
        <f>IF(A225="","",MONTH(A225))</f>
        <v/>
      </c>
      <c r="H225" s="23">
        <f>IF(A225="","",YEAR(A225))</f>
        <v/>
      </c>
    </row>
    <row r="226">
      <c r="A226" s="41" t="n"/>
      <c r="B226" s="27" t="n"/>
      <c r="C226" s="27" t="n"/>
      <c r="D226" s="26" t="n"/>
      <c r="E226" s="31" t="n"/>
      <c r="F226" s="27" t="n"/>
      <c r="G226" s="23">
        <f>IF(A226="","",MONTH(A226))</f>
        <v/>
      </c>
      <c r="H226" s="23">
        <f>IF(A226="","",YEAR(A226))</f>
        <v/>
      </c>
    </row>
    <row r="227">
      <c r="A227" s="41" t="n"/>
      <c r="B227" s="27" t="n"/>
      <c r="C227" s="27" t="n"/>
      <c r="D227" s="26" t="n"/>
      <c r="E227" s="31" t="n"/>
      <c r="F227" s="27" t="n"/>
      <c r="G227" s="23">
        <f>IF(A227="","",MONTH(A227))</f>
        <v/>
      </c>
      <c r="H227" s="23">
        <f>IF(A227="","",YEAR(A227))</f>
        <v/>
      </c>
    </row>
    <row r="228">
      <c r="A228" s="41" t="n"/>
      <c r="B228" s="27" t="n"/>
      <c r="C228" s="27" t="n"/>
      <c r="D228" s="26" t="n"/>
      <c r="E228" s="31" t="n"/>
      <c r="F228" s="27" t="n"/>
      <c r="G228" s="23">
        <f>IF(A228="","",MONTH(A228))</f>
        <v/>
      </c>
      <c r="H228" s="23">
        <f>IF(A228="","",YEAR(A228))</f>
        <v/>
      </c>
    </row>
    <row r="229">
      <c r="A229" s="41" t="n"/>
      <c r="B229" s="27" t="n"/>
      <c r="C229" s="27" t="n"/>
      <c r="D229" s="26" t="n"/>
      <c r="E229" s="31" t="n"/>
      <c r="F229" s="27" t="n"/>
      <c r="G229" s="23">
        <f>IF(A229="","",MONTH(A229))</f>
        <v/>
      </c>
      <c r="H229" s="23">
        <f>IF(A229="","",YEAR(A229))</f>
        <v/>
      </c>
    </row>
    <row r="230">
      <c r="A230" s="41" t="n"/>
      <c r="B230" s="27" t="n"/>
      <c r="C230" s="27" t="n"/>
      <c r="D230" s="26" t="n"/>
      <c r="E230" s="31" t="n"/>
      <c r="F230" s="27" t="n"/>
      <c r="G230" s="23">
        <f>IF(A230="","",MONTH(A230))</f>
        <v/>
      </c>
      <c r="H230" s="23">
        <f>IF(A230="","",YEAR(A230))</f>
        <v/>
      </c>
    </row>
    <row r="231">
      <c r="A231" s="41" t="n"/>
      <c r="B231" s="27" t="n"/>
      <c r="C231" s="27" t="n"/>
      <c r="D231" s="26" t="n"/>
      <c r="E231" s="31" t="n"/>
      <c r="F231" s="27" t="n"/>
      <c r="G231" s="23">
        <f>IF(A231="","",MONTH(A231))</f>
        <v/>
      </c>
      <c r="H231" s="23">
        <f>IF(A231="","",YEAR(A231))</f>
        <v/>
      </c>
    </row>
    <row r="232">
      <c r="A232" s="41" t="n"/>
      <c r="B232" s="27" t="n"/>
      <c r="C232" s="27" t="n"/>
      <c r="D232" s="26" t="n"/>
      <c r="E232" s="31" t="n"/>
      <c r="F232" s="27" t="n"/>
      <c r="G232" s="23">
        <f>IF(A232="","",MONTH(A232))</f>
        <v/>
      </c>
      <c r="H232" s="23">
        <f>IF(A232="","",YEAR(A232))</f>
        <v/>
      </c>
    </row>
    <row r="233">
      <c r="A233" s="41" t="n"/>
      <c r="B233" s="27" t="n"/>
      <c r="C233" s="27" t="n"/>
      <c r="D233" s="26" t="n"/>
      <c r="E233" s="31" t="n"/>
      <c r="F233" s="27" t="n"/>
      <c r="G233" s="23">
        <f>IF(A233="","",MONTH(A233))</f>
        <v/>
      </c>
      <c r="H233" s="23">
        <f>IF(A233="","",YEAR(A233))</f>
        <v/>
      </c>
    </row>
    <row r="234">
      <c r="A234" s="41" t="n"/>
      <c r="B234" s="27" t="n"/>
      <c r="C234" s="27" t="n"/>
      <c r="D234" s="26" t="n"/>
      <c r="E234" s="31" t="n"/>
      <c r="F234" s="27" t="n"/>
      <c r="G234" s="23">
        <f>IF(A234="","",MONTH(A234))</f>
        <v/>
      </c>
      <c r="H234" s="23">
        <f>IF(A234="","",YEAR(A234))</f>
        <v/>
      </c>
    </row>
    <row r="235">
      <c r="A235" s="41" t="n"/>
      <c r="B235" s="27" t="n"/>
      <c r="C235" s="27" t="n"/>
      <c r="D235" s="26" t="n"/>
      <c r="E235" s="31" t="n"/>
      <c r="F235" s="27" t="n"/>
      <c r="G235" s="23">
        <f>IF(A235="","",MONTH(A235))</f>
        <v/>
      </c>
      <c r="H235" s="23">
        <f>IF(A235="","",YEAR(A235))</f>
        <v/>
      </c>
    </row>
    <row r="236">
      <c r="A236" s="41" t="n"/>
      <c r="B236" s="27" t="n"/>
      <c r="C236" s="27" t="n"/>
      <c r="D236" s="26" t="n"/>
      <c r="E236" s="31" t="n"/>
      <c r="F236" s="27" t="n"/>
      <c r="G236" s="23">
        <f>IF(A236="","",MONTH(A236))</f>
        <v/>
      </c>
      <c r="H236" s="23">
        <f>IF(A236="","",YEAR(A236))</f>
        <v/>
      </c>
    </row>
    <row r="237">
      <c r="A237" s="41" t="n"/>
      <c r="B237" s="27" t="n"/>
      <c r="C237" s="27" t="n"/>
      <c r="D237" s="26" t="n"/>
      <c r="E237" s="31" t="n"/>
      <c r="F237" s="27" t="n"/>
      <c r="G237" s="23">
        <f>IF(A237="","",MONTH(A237))</f>
        <v/>
      </c>
      <c r="H237" s="23">
        <f>IF(A237="","",YEAR(A237))</f>
        <v/>
      </c>
    </row>
    <row r="238">
      <c r="A238" s="41" t="n"/>
      <c r="B238" s="27" t="n"/>
      <c r="C238" s="27" t="n"/>
      <c r="D238" s="26" t="n"/>
      <c r="E238" s="31" t="n"/>
      <c r="F238" s="27" t="n"/>
      <c r="G238" s="23">
        <f>IF(A238="","",MONTH(A238))</f>
        <v/>
      </c>
      <c r="H238" s="23">
        <f>IF(A238="","",YEAR(A238))</f>
        <v/>
      </c>
    </row>
    <row r="239">
      <c r="A239" s="41" t="n"/>
      <c r="B239" s="27" t="n"/>
      <c r="C239" s="27" t="n"/>
      <c r="D239" s="26" t="n"/>
      <c r="E239" s="31" t="n"/>
      <c r="F239" s="27" t="n"/>
      <c r="G239" s="23">
        <f>IF(A239="","",MONTH(A239))</f>
        <v/>
      </c>
      <c r="H239" s="23">
        <f>IF(A239="","",YEAR(A239))</f>
        <v/>
      </c>
    </row>
    <row r="240">
      <c r="A240" s="41" t="n"/>
      <c r="B240" s="27" t="n"/>
      <c r="C240" s="27" t="n"/>
      <c r="D240" s="26" t="n"/>
      <c r="E240" s="31" t="n"/>
      <c r="F240" s="27" t="n"/>
      <c r="G240" s="23">
        <f>IF(A240="","",MONTH(A240))</f>
        <v/>
      </c>
      <c r="H240" s="23">
        <f>IF(A240="","",YEAR(A240))</f>
        <v/>
      </c>
    </row>
    <row r="241">
      <c r="A241" s="41" t="n"/>
      <c r="B241" s="27" t="n"/>
      <c r="C241" s="27" t="n"/>
      <c r="D241" s="26" t="n"/>
      <c r="E241" s="31" t="n"/>
      <c r="F241" s="27" t="n"/>
      <c r="G241" s="23">
        <f>IF(A241="","",MONTH(A241))</f>
        <v/>
      </c>
      <c r="H241" s="23">
        <f>IF(A241="","",YEAR(A241))</f>
        <v/>
      </c>
    </row>
    <row r="242">
      <c r="A242" s="41" t="n"/>
      <c r="B242" s="27" t="n"/>
      <c r="C242" s="27" t="n"/>
      <c r="D242" s="26" t="n"/>
      <c r="E242" s="31" t="n"/>
      <c r="F242" s="27" t="n"/>
      <c r="G242" s="23">
        <f>IF(A242="","",MONTH(A242))</f>
        <v/>
      </c>
      <c r="H242" s="23">
        <f>IF(A242="","",YEAR(A242))</f>
        <v/>
      </c>
    </row>
    <row r="243">
      <c r="A243" s="41" t="n"/>
      <c r="B243" s="27" t="n"/>
      <c r="C243" s="27" t="n"/>
      <c r="D243" s="26" t="n"/>
      <c r="E243" s="31" t="n"/>
      <c r="F243" s="27" t="n"/>
      <c r="G243" s="23">
        <f>IF(A243="","",MONTH(A243))</f>
        <v/>
      </c>
      <c r="H243" s="23">
        <f>IF(A243="","",YEAR(A243))</f>
        <v/>
      </c>
    </row>
    <row r="244">
      <c r="A244" s="41" t="n"/>
      <c r="B244" s="27" t="n"/>
      <c r="C244" s="27" t="n"/>
      <c r="D244" s="26" t="n"/>
      <c r="E244" s="31" t="n"/>
      <c r="F244" s="27" t="n"/>
      <c r="G244" s="23">
        <f>IF(A244="","",MONTH(A244))</f>
        <v/>
      </c>
      <c r="H244" s="23">
        <f>IF(A244="","",YEAR(A244))</f>
        <v/>
      </c>
    </row>
    <row r="245">
      <c r="A245" s="41" t="n"/>
      <c r="B245" s="27" t="n"/>
      <c r="C245" s="27" t="n"/>
      <c r="D245" s="26" t="n"/>
      <c r="E245" s="31" t="n"/>
      <c r="F245" s="27" t="n"/>
      <c r="G245" s="23">
        <f>IF(A245="","",MONTH(A245))</f>
        <v/>
      </c>
      <c r="H245" s="23">
        <f>IF(A245="","",YEAR(A245))</f>
        <v/>
      </c>
    </row>
    <row r="246">
      <c r="A246" s="41" t="n"/>
      <c r="B246" s="27" t="n"/>
      <c r="C246" s="27" t="n"/>
      <c r="D246" s="26" t="n"/>
      <c r="E246" s="31" t="n"/>
      <c r="F246" s="27" t="n"/>
      <c r="G246" s="23">
        <f>IF(A246="","",MONTH(A246))</f>
        <v/>
      </c>
      <c r="H246" s="23">
        <f>IF(A246="","",YEAR(A246))</f>
        <v/>
      </c>
    </row>
    <row r="247">
      <c r="A247" s="41" t="n"/>
      <c r="B247" s="27" t="n"/>
      <c r="C247" s="27" t="n"/>
      <c r="D247" s="26" t="n"/>
      <c r="E247" s="31" t="n"/>
      <c r="F247" s="27" t="n"/>
      <c r="G247" s="23">
        <f>IF(A247="","",MONTH(A247))</f>
        <v/>
      </c>
      <c r="H247" s="23">
        <f>IF(A247="","",YEAR(A247))</f>
        <v/>
      </c>
    </row>
    <row r="248">
      <c r="A248" s="41" t="n"/>
      <c r="B248" s="27" t="n"/>
      <c r="C248" s="27" t="n"/>
      <c r="D248" s="26" t="n"/>
      <c r="E248" s="31" t="n"/>
      <c r="F248" s="27" t="n"/>
      <c r="G248" s="23">
        <f>IF(A248="","",MONTH(A248))</f>
        <v/>
      </c>
      <c r="H248" s="23">
        <f>IF(A248="","",YEAR(A248))</f>
        <v/>
      </c>
    </row>
    <row r="249">
      <c r="A249" s="41" t="n"/>
      <c r="B249" s="27" t="n"/>
      <c r="C249" s="27" t="n"/>
      <c r="D249" s="26" t="n"/>
      <c r="E249" s="31" t="n"/>
      <c r="F249" s="27" t="n"/>
      <c r="G249" s="23">
        <f>IF(A249="","",MONTH(A249))</f>
        <v/>
      </c>
      <c r="H249" s="23">
        <f>IF(A249="","",YEAR(A249))</f>
        <v/>
      </c>
    </row>
    <row r="250">
      <c r="A250" s="41" t="n"/>
      <c r="B250" s="27" t="n"/>
      <c r="C250" s="27" t="n"/>
      <c r="D250" s="26" t="n"/>
      <c r="E250" s="31" t="n"/>
      <c r="F250" s="27" t="n"/>
      <c r="G250" s="23">
        <f>IF(A250="","",MONTH(A250))</f>
        <v/>
      </c>
      <c r="H250" s="23">
        <f>IF(A250="","",YEAR(A250))</f>
        <v/>
      </c>
    </row>
    <row r="251">
      <c r="A251" s="41" t="n"/>
      <c r="B251" s="27" t="n"/>
      <c r="C251" s="27" t="n"/>
      <c r="D251" s="26" t="n"/>
      <c r="E251" s="31" t="n"/>
      <c r="F251" s="27" t="n"/>
      <c r="G251" s="23">
        <f>IF(A251="","",MONTH(A251))</f>
        <v/>
      </c>
      <c r="H251" s="23">
        <f>IF(A251="","",YEAR(A251))</f>
        <v/>
      </c>
    </row>
    <row r="252">
      <c r="A252" s="41" t="n"/>
      <c r="B252" s="27" t="n"/>
      <c r="C252" s="27" t="n"/>
      <c r="D252" s="26" t="n"/>
      <c r="E252" s="31" t="n"/>
      <c r="F252" s="27" t="n"/>
      <c r="G252" s="23">
        <f>IF(A252="","",MONTH(A252))</f>
        <v/>
      </c>
      <c r="H252" s="23">
        <f>IF(A252="","",YEAR(A252))</f>
        <v/>
      </c>
    </row>
    <row r="253">
      <c r="A253" s="41" t="n"/>
      <c r="B253" s="27" t="n"/>
      <c r="C253" s="27" t="n"/>
      <c r="D253" s="26" t="n"/>
      <c r="E253" s="31" t="n"/>
      <c r="F253" s="27" t="n"/>
      <c r="G253" s="23">
        <f>IF(A253="","",MONTH(A253))</f>
        <v/>
      </c>
      <c r="H253" s="23">
        <f>IF(A253="","",YEAR(A253))</f>
        <v/>
      </c>
    </row>
    <row r="254">
      <c r="A254" s="41" t="n"/>
      <c r="B254" s="27" t="n"/>
      <c r="C254" s="27" t="n"/>
      <c r="D254" s="26" t="n"/>
      <c r="E254" s="31" t="n"/>
      <c r="F254" s="27" t="n"/>
      <c r="G254" s="23">
        <f>IF(A254="","",MONTH(A254))</f>
        <v/>
      </c>
      <c r="H254" s="23">
        <f>IF(A254="","",YEAR(A254))</f>
        <v/>
      </c>
    </row>
    <row r="255">
      <c r="A255" s="41" t="n"/>
      <c r="B255" s="27" t="n"/>
      <c r="C255" s="27" t="n"/>
      <c r="D255" s="26" t="n"/>
      <c r="E255" s="31" t="n"/>
      <c r="F255" s="27" t="n"/>
      <c r="G255" s="23">
        <f>IF(A255="","",MONTH(A255))</f>
        <v/>
      </c>
      <c r="H255" s="23">
        <f>IF(A255="","",YEAR(A255))</f>
        <v/>
      </c>
    </row>
    <row r="256">
      <c r="A256" s="41" t="n"/>
      <c r="B256" s="27" t="n"/>
      <c r="C256" s="27" t="n"/>
      <c r="D256" s="26" t="n"/>
      <c r="E256" s="31" t="n"/>
      <c r="F256" s="27" t="n"/>
      <c r="G256" s="23">
        <f>IF(A256="","",MONTH(A256))</f>
        <v/>
      </c>
      <c r="H256" s="23">
        <f>IF(A256="","",YEAR(A256))</f>
        <v/>
      </c>
    </row>
    <row r="257">
      <c r="A257" s="41" t="n"/>
      <c r="B257" s="27" t="n"/>
      <c r="C257" s="27" t="n"/>
      <c r="D257" s="26" t="n"/>
      <c r="E257" s="31" t="n"/>
      <c r="F257" s="27" t="n"/>
      <c r="G257" s="23">
        <f>IF(A257="","",MONTH(A257))</f>
        <v/>
      </c>
      <c r="H257" s="23">
        <f>IF(A257="","",YEAR(A257))</f>
        <v/>
      </c>
    </row>
    <row r="258">
      <c r="A258" s="41" t="n"/>
      <c r="B258" s="27" t="n"/>
      <c r="C258" s="27" t="n"/>
      <c r="D258" s="26" t="n"/>
      <c r="E258" s="31" t="n"/>
      <c r="F258" s="27" t="n"/>
      <c r="G258" s="23">
        <f>IF(A258="","",MONTH(A258))</f>
        <v/>
      </c>
      <c r="H258" s="23">
        <f>IF(A258="","",YEAR(A258))</f>
        <v/>
      </c>
    </row>
    <row r="259">
      <c r="A259" s="41" t="n"/>
      <c r="B259" s="27" t="n"/>
      <c r="C259" s="27" t="n"/>
      <c r="D259" s="26" t="n"/>
      <c r="E259" s="31" t="n"/>
      <c r="F259" s="27" t="n"/>
      <c r="G259" s="23">
        <f>IF(A259="","",MONTH(A259))</f>
        <v/>
      </c>
      <c r="H259" s="23">
        <f>IF(A259="","",YEAR(A259))</f>
        <v/>
      </c>
    </row>
    <row r="260">
      <c r="A260" s="41" t="n"/>
      <c r="B260" s="27" t="n"/>
      <c r="C260" s="27" t="n"/>
      <c r="D260" s="26" t="n"/>
      <c r="E260" s="31" t="n"/>
      <c r="F260" s="27" t="n"/>
      <c r="G260" s="23">
        <f>IF(A260="","",MONTH(A260))</f>
        <v/>
      </c>
      <c r="H260" s="23">
        <f>IF(A260="","",YEAR(A260))</f>
        <v/>
      </c>
    </row>
    <row r="261">
      <c r="A261" s="41" t="n"/>
      <c r="B261" s="27" t="n"/>
      <c r="C261" s="27" t="n"/>
      <c r="D261" s="26" t="n"/>
      <c r="E261" s="31" t="n"/>
      <c r="F261" s="27" t="n"/>
      <c r="G261" s="23">
        <f>IF(A261="","",MONTH(A261))</f>
        <v/>
      </c>
      <c r="H261" s="23">
        <f>IF(A261="","",YEAR(A261))</f>
        <v/>
      </c>
    </row>
    <row r="262">
      <c r="A262" s="41" t="n"/>
      <c r="B262" s="27" t="n"/>
      <c r="C262" s="27" t="n"/>
      <c r="D262" s="26" t="n"/>
      <c r="E262" s="31" t="n"/>
      <c r="F262" s="27" t="n"/>
      <c r="G262" s="23">
        <f>IF(A262="","",MONTH(A262))</f>
        <v/>
      </c>
      <c r="H262" s="23">
        <f>IF(A262="","",YEAR(A262))</f>
        <v/>
      </c>
    </row>
    <row r="263">
      <c r="A263" s="41" t="n"/>
      <c r="B263" s="27" t="n"/>
      <c r="C263" s="27" t="n"/>
      <c r="D263" s="26" t="n"/>
      <c r="E263" s="31" t="n"/>
      <c r="F263" s="27" t="n"/>
      <c r="G263" s="23">
        <f>IF(A263="","",MONTH(A263))</f>
        <v/>
      </c>
      <c r="H263" s="23">
        <f>IF(A263="","",YEAR(A263))</f>
        <v/>
      </c>
    </row>
    <row r="264">
      <c r="A264" s="41" t="n"/>
      <c r="B264" s="27" t="n"/>
      <c r="C264" s="27" t="n"/>
      <c r="D264" s="26" t="n"/>
      <c r="E264" s="31" t="n"/>
      <c r="F264" s="27" t="n"/>
      <c r="G264" s="23">
        <f>IF(A264="","",MONTH(A264))</f>
        <v/>
      </c>
      <c r="H264" s="23">
        <f>IF(A264="","",YEAR(A264))</f>
        <v/>
      </c>
    </row>
    <row r="265">
      <c r="A265" s="41" t="n"/>
      <c r="B265" s="27" t="n"/>
      <c r="C265" s="27" t="n"/>
      <c r="D265" s="26" t="n"/>
      <c r="E265" s="31" t="n"/>
      <c r="F265" s="27" t="n"/>
      <c r="G265" s="23">
        <f>IF(A265="","",MONTH(A265))</f>
        <v/>
      </c>
      <c r="H265" s="23">
        <f>IF(A265="","",YEAR(A265))</f>
        <v/>
      </c>
    </row>
    <row r="266">
      <c r="A266" s="41" t="n"/>
      <c r="B266" s="27" t="n"/>
      <c r="C266" s="27" t="n"/>
      <c r="D266" s="26" t="n"/>
      <c r="E266" s="31" t="n"/>
      <c r="F266" s="27" t="n"/>
      <c r="G266" s="23">
        <f>IF(A266="","",MONTH(A266))</f>
        <v/>
      </c>
      <c r="H266" s="23">
        <f>IF(A266="","",YEAR(A266))</f>
        <v/>
      </c>
    </row>
    <row r="267">
      <c r="A267" s="41" t="n"/>
      <c r="B267" s="27" t="n"/>
      <c r="C267" s="27" t="n"/>
      <c r="D267" s="26" t="n"/>
      <c r="E267" s="31" t="n"/>
      <c r="F267" s="27" t="n"/>
      <c r="G267" s="23">
        <f>IF(A267="","",MONTH(A267))</f>
        <v/>
      </c>
      <c r="H267" s="23">
        <f>IF(A267="","",YEAR(A267))</f>
        <v/>
      </c>
    </row>
    <row r="268">
      <c r="A268" s="41" t="n"/>
      <c r="B268" s="27" t="n"/>
      <c r="C268" s="27" t="n"/>
      <c r="D268" s="26" t="n"/>
      <c r="E268" s="31" t="n"/>
      <c r="F268" s="27" t="n"/>
      <c r="G268" s="23">
        <f>IF(A268="","",MONTH(A268))</f>
        <v/>
      </c>
      <c r="H268" s="23">
        <f>IF(A268="","",YEAR(A268))</f>
        <v/>
      </c>
    </row>
    <row r="269">
      <c r="A269" s="41" t="n"/>
      <c r="B269" s="27" t="n"/>
      <c r="C269" s="27" t="n"/>
      <c r="D269" s="26" t="n"/>
      <c r="E269" s="31" t="n"/>
      <c r="F269" s="27" t="n"/>
      <c r="G269" s="23">
        <f>IF(A269="","",MONTH(A269))</f>
        <v/>
      </c>
      <c r="H269" s="23">
        <f>IF(A269="","",YEAR(A269))</f>
        <v/>
      </c>
    </row>
    <row r="270">
      <c r="A270" s="41" t="n"/>
      <c r="B270" s="27" t="n"/>
      <c r="C270" s="27" t="n"/>
      <c r="D270" s="26" t="n"/>
      <c r="E270" s="31" t="n"/>
      <c r="F270" s="27" t="n"/>
      <c r="G270" s="23">
        <f>IF(A270="","",MONTH(A270))</f>
        <v/>
      </c>
      <c r="H270" s="23">
        <f>IF(A270="","",YEAR(A270))</f>
        <v/>
      </c>
    </row>
    <row r="271">
      <c r="A271" s="41" t="n"/>
      <c r="B271" s="27" t="n"/>
      <c r="C271" s="27" t="n"/>
      <c r="D271" s="26" t="n"/>
      <c r="E271" s="31" t="n"/>
      <c r="F271" s="27" t="n"/>
      <c r="G271" s="23">
        <f>IF(A271="","",MONTH(A271))</f>
        <v/>
      </c>
      <c r="H271" s="23">
        <f>IF(A271="","",YEAR(A271))</f>
        <v/>
      </c>
    </row>
    <row r="272">
      <c r="A272" s="41" t="n"/>
      <c r="B272" s="27" t="n"/>
      <c r="C272" s="27" t="n"/>
      <c r="D272" s="26" t="n"/>
      <c r="E272" s="31" t="n"/>
      <c r="F272" s="27" t="n"/>
      <c r="G272" s="23">
        <f>IF(A272="","",MONTH(A272))</f>
        <v/>
      </c>
      <c r="H272" s="23">
        <f>IF(A272="","",YEAR(A272))</f>
        <v/>
      </c>
    </row>
    <row r="273">
      <c r="A273" s="41" t="n"/>
      <c r="B273" s="27" t="n"/>
      <c r="C273" s="27" t="n"/>
      <c r="D273" s="26" t="n"/>
      <c r="E273" s="31" t="n"/>
      <c r="F273" s="27" t="n"/>
      <c r="G273" s="23">
        <f>IF(A273="","",MONTH(A273))</f>
        <v/>
      </c>
      <c r="H273" s="23">
        <f>IF(A273="","",YEAR(A273))</f>
        <v/>
      </c>
    </row>
    <row r="274">
      <c r="A274" s="41" t="n"/>
      <c r="B274" s="27" t="n"/>
      <c r="C274" s="27" t="n"/>
      <c r="D274" s="26" t="n"/>
      <c r="E274" s="31" t="n"/>
      <c r="F274" s="27" t="n"/>
      <c r="G274" s="23">
        <f>IF(A274="","",MONTH(A274))</f>
        <v/>
      </c>
      <c r="H274" s="23">
        <f>IF(A274="","",YEAR(A274))</f>
        <v/>
      </c>
    </row>
    <row r="275">
      <c r="A275" s="41" t="n"/>
      <c r="B275" s="27" t="n"/>
      <c r="C275" s="27" t="n"/>
      <c r="D275" s="26" t="n"/>
      <c r="E275" s="31" t="n"/>
      <c r="F275" s="27" t="n"/>
      <c r="G275" s="23">
        <f>IF(A275="","",MONTH(A275))</f>
        <v/>
      </c>
      <c r="H275" s="23">
        <f>IF(A275="","",YEAR(A275))</f>
        <v/>
      </c>
    </row>
    <row r="276">
      <c r="A276" s="41" t="n"/>
      <c r="B276" s="27" t="n"/>
      <c r="C276" s="27" t="n"/>
      <c r="D276" s="26" t="n"/>
      <c r="E276" s="31" t="n"/>
      <c r="F276" s="27" t="n"/>
      <c r="G276" s="23">
        <f>IF(A276="","",MONTH(A276))</f>
        <v/>
      </c>
      <c r="H276" s="23">
        <f>IF(A276="","",YEAR(A276))</f>
        <v/>
      </c>
    </row>
    <row r="277">
      <c r="A277" s="41" t="n"/>
      <c r="B277" s="27" t="n"/>
      <c r="C277" s="27" t="n"/>
      <c r="D277" s="26" t="n"/>
      <c r="E277" s="31" t="n"/>
      <c r="F277" s="27" t="n"/>
      <c r="G277" s="23">
        <f>IF(A277="","",MONTH(A277))</f>
        <v/>
      </c>
      <c r="H277" s="23">
        <f>IF(A277="","",YEAR(A277))</f>
        <v/>
      </c>
    </row>
    <row r="278">
      <c r="A278" s="41" t="n"/>
      <c r="B278" s="27" t="n"/>
      <c r="C278" s="27" t="n"/>
      <c r="D278" s="26" t="n"/>
      <c r="E278" s="31" t="n"/>
      <c r="F278" s="27" t="n"/>
      <c r="G278" s="23">
        <f>IF(A278="","",MONTH(A278))</f>
        <v/>
      </c>
      <c r="H278" s="23">
        <f>IF(A278="","",YEAR(A278))</f>
        <v/>
      </c>
    </row>
    <row r="279">
      <c r="A279" s="41" t="n"/>
      <c r="B279" s="27" t="n"/>
      <c r="C279" s="27" t="n"/>
      <c r="D279" s="26" t="n"/>
      <c r="E279" s="31" t="n"/>
      <c r="F279" s="27" t="n"/>
      <c r="G279" s="23">
        <f>IF(A279="","",MONTH(A279))</f>
        <v/>
      </c>
      <c r="H279" s="23">
        <f>IF(A279="","",YEAR(A279))</f>
        <v/>
      </c>
    </row>
    <row r="280">
      <c r="A280" s="41" t="n"/>
      <c r="B280" s="27" t="n"/>
      <c r="C280" s="27" t="n"/>
      <c r="D280" s="26" t="n"/>
      <c r="E280" s="31" t="n"/>
      <c r="F280" s="27" t="n"/>
      <c r="G280" s="23">
        <f>IF(A280="","",MONTH(A280))</f>
        <v/>
      </c>
      <c r="H280" s="23">
        <f>IF(A280="","",YEAR(A280))</f>
        <v/>
      </c>
    </row>
    <row r="281">
      <c r="A281" s="41" t="n"/>
      <c r="B281" s="27" t="n"/>
      <c r="C281" s="27" t="n"/>
      <c r="D281" s="26" t="n"/>
      <c r="E281" s="31" t="n"/>
      <c r="F281" s="27" t="n"/>
      <c r="G281" s="23">
        <f>IF(A281="","",MONTH(A281))</f>
        <v/>
      </c>
      <c r="H281" s="23">
        <f>IF(A281="","",YEAR(A281))</f>
        <v/>
      </c>
    </row>
    <row r="282">
      <c r="A282" s="41" t="n"/>
      <c r="B282" s="27" t="n"/>
      <c r="C282" s="27" t="n"/>
      <c r="D282" s="26" t="n"/>
      <c r="E282" s="31" t="n"/>
      <c r="F282" s="27" t="n"/>
      <c r="G282" s="23">
        <f>IF(A282="","",MONTH(A282))</f>
        <v/>
      </c>
      <c r="H282" s="23">
        <f>IF(A282="","",YEAR(A282))</f>
        <v/>
      </c>
    </row>
    <row r="283">
      <c r="A283" s="41" t="n"/>
      <c r="B283" s="27" t="n"/>
      <c r="C283" s="27" t="n"/>
      <c r="D283" s="26" t="n"/>
      <c r="E283" s="31" t="n"/>
      <c r="F283" s="27" t="n"/>
      <c r="G283" s="23">
        <f>IF(A283="","",MONTH(A283))</f>
        <v/>
      </c>
      <c r="H283" s="23">
        <f>IF(A283="","",YEAR(A283))</f>
        <v/>
      </c>
    </row>
    <row r="284">
      <c r="A284" s="41" t="n"/>
      <c r="B284" s="27" t="n"/>
      <c r="C284" s="27" t="n"/>
      <c r="D284" s="26" t="n"/>
      <c r="E284" s="31" t="n"/>
      <c r="F284" s="27" t="n"/>
      <c r="G284" s="23">
        <f>IF(A284="","",MONTH(A284))</f>
        <v/>
      </c>
      <c r="H284" s="23">
        <f>IF(A284="","",YEAR(A284))</f>
        <v/>
      </c>
    </row>
    <row r="285">
      <c r="A285" s="41" t="n"/>
      <c r="B285" s="27" t="n"/>
      <c r="C285" s="27" t="n"/>
      <c r="D285" s="26" t="n"/>
      <c r="E285" s="31" t="n"/>
      <c r="F285" s="27" t="n"/>
      <c r="G285" s="23">
        <f>IF(A285="","",MONTH(A285))</f>
        <v/>
      </c>
      <c r="H285" s="23">
        <f>IF(A285="","",YEAR(A285))</f>
        <v/>
      </c>
    </row>
    <row r="286">
      <c r="A286" s="41" t="n"/>
      <c r="B286" s="27" t="n"/>
      <c r="C286" s="27" t="n"/>
      <c r="D286" s="26" t="n"/>
      <c r="E286" s="31" t="n"/>
      <c r="F286" s="27" t="n"/>
      <c r="G286" s="23">
        <f>IF(A286="","",MONTH(A286))</f>
        <v/>
      </c>
      <c r="H286" s="23">
        <f>IF(A286="","",YEAR(A286))</f>
        <v/>
      </c>
    </row>
    <row r="287">
      <c r="A287" s="41" t="n"/>
      <c r="B287" s="27" t="n"/>
      <c r="C287" s="27" t="n"/>
      <c r="D287" s="26" t="n"/>
      <c r="E287" s="31" t="n"/>
      <c r="F287" s="27" t="n"/>
      <c r="G287" s="23">
        <f>IF(A287="","",MONTH(A287))</f>
        <v/>
      </c>
      <c r="H287" s="23">
        <f>IF(A287="","",YEAR(A287))</f>
        <v/>
      </c>
    </row>
    <row r="288">
      <c r="A288" s="41" t="n"/>
      <c r="B288" s="27" t="n"/>
      <c r="C288" s="27" t="n"/>
      <c r="D288" s="26" t="n"/>
      <c r="E288" s="31" t="n"/>
      <c r="F288" s="27" t="n"/>
      <c r="G288" s="23">
        <f>IF(A288="","",MONTH(A288))</f>
        <v/>
      </c>
      <c r="H288" s="23">
        <f>IF(A288="","",YEAR(A288))</f>
        <v/>
      </c>
    </row>
    <row r="289">
      <c r="A289" s="41" t="n"/>
      <c r="B289" s="27" t="n"/>
      <c r="C289" s="27" t="n"/>
      <c r="D289" s="26" t="n"/>
      <c r="E289" s="31" t="n"/>
      <c r="F289" s="27" t="n"/>
      <c r="G289" s="23">
        <f>IF(A289="","",MONTH(A289))</f>
        <v/>
      </c>
      <c r="H289" s="23">
        <f>IF(A289="","",YEAR(A289))</f>
        <v/>
      </c>
    </row>
    <row r="290">
      <c r="A290" s="41" t="n"/>
      <c r="B290" s="27" t="n"/>
      <c r="C290" s="27" t="n"/>
      <c r="D290" s="26" t="n"/>
      <c r="E290" s="31" t="n"/>
      <c r="F290" s="27" t="n"/>
      <c r="G290" s="23">
        <f>IF(A290="","",MONTH(A290))</f>
        <v/>
      </c>
      <c r="H290" s="23">
        <f>IF(A290="","",YEAR(A290))</f>
        <v/>
      </c>
    </row>
    <row r="291">
      <c r="A291" s="41" t="n"/>
      <c r="B291" s="27" t="n"/>
      <c r="C291" s="27" t="n"/>
      <c r="D291" s="26" t="n"/>
      <c r="E291" s="31" t="n"/>
      <c r="F291" s="27" t="n"/>
      <c r="G291" s="23">
        <f>IF(A291="","",MONTH(A291))</f>
        <v/>
      </c>
      <c r="H291" s="23">
        <f>IF(A291="","",YEAR(A291))</f>
        <v/>
      </c>
    </row>
    <row r="292">
      <c r="A292" s="41" t="n"/>
      <c r="B292" s="27" t="n"/>
      <c r="C292" s="27" t="n"/>
      <c r="D292" s="26" t="n"/>
      <c r="E292" s="31" t="n"/>
      <c r="F292" s="27" t="n"/>
      <c r="G292" s="23">
        <f>IF(A292="","",MONTH(A292))</f>
        <v/>
      </c>
      <c r="H292" s="23">
        <f>IF(A292="","",YEAR(A292))</f>
        <v/>
      </c>
    </row>
    <row r="293">
      <c r="A293" s="41" t="n"/>
      <c r="B293" s="27" t="n"/>
      <c r="C293" s="27" t="n"/>
      <c r="D293" s="26" t="n"/>
      <c r="E293" s="31" t="n"/>
      <c r="F293" s="27" t="n"/>
      <c r="G293" s="23">
        <f>IF(A293="","",MONTH(A293))</f>
        <v/>
      </c>
      <c r="H293" s="23">
        <f>IF(A293="","",YEAR(A293))</f>
        <v/>
      </c>
    </row>
    <row r="294">
      <c r="A294" s="41" t="n"/>
      <c r="B294" s="27" t="n"/>
      <c r="C294" s="27" t="n"/>
      <c r="D294" s="26" t="n"/>
      <c r="E294" s="31" t="n"/>
      <c r="F294" s="27" t="n"/>
      <c r="G294" s="23">
        <f>IF(A294="","",MONTH(A294))</f>
        <v/>
      </c>
      <c r="H294" s="23">
        <f>IF(A294="","",YEAR(A294))</f>
        <v/>
      </c>
    </row>
    <row r="295">
      <c r="A295" s="41" t="n"/>
      <c r="B295" s="27" t="n"/>
      <c r="C295" s="27" t="n"/>
      <c r="D295" s="26" t="n"/>
      <c r="E295" s="31" t="n"/>
      <c r="F295" s="27" t="n"/>
      <c r="G295" s="23">
        <f>IF(A295="","",MONTH(A295))</f>
        <v/>
      </c>
      <c r="H295" s="23">
        <f>IF(A295="","",YEAR(A295))</f>
        <v/>
      </c>
    </row>
    <row r="296">
      <c r="A296" s="41" t="n"/>
      <c r="B296" s="27" t="n"/>
      <c r="C296" s="27" t="n"/>
      <c r="D296" s="26" t="n"/>
      <c r="E296" s="31" t="n"/>
      <c r="F296" s="27" t="n"/>
      <c r="G296" s="23">
        <f>IF(A296="","",MONTH(A296))</f>
        <v/>
      </c>
      <c r="H296" s="23">
        <f>IF(A296="","",YEAR(A296))</f>
        <v/>
      </c>
    </row>
    <row r="297">
      <c r="A297" s="41" t="n"/>
      <c r="B297" s="27" t="n"/>
      <c r="C297" s="27" t="n"/>
      <c r="D297" s="26" t="n"/>
      <c r="E297" s="31" t="n"/>
      <c r="F297" s="27" t="n"/>
      <c r="G297" s="23">
        <f>IF(A297="","",MONTH(A297))</f>
        <v/>
      </c>
      <c r="H297" s="23">
        <f>IF(A297="","",YEAR(A297))</f>
        <v/>
      </c>
    </row>
    <row r="298">
      <c r="A298" s="41" t="n"/>
      <c r="B298" s="27" t="n"/>
      <c r="C298" s="27" t="n"/>
      <c r="D298" s="26" t="n"/>
      <c r="E298" s="31" t="n"/>
      <c r="F298" s="27" t="n"/>
      <c r="G298" s="23">
        <f>IF(A298="","",MONTH(A298))</f>
        <v/>
      </c>
      <c r="H298" s="23">
        <f>IF(A298="","",YEAR(A298))</f>
        <v/>
      </c>
    </row>
    <row r="299">
      <c r="A299" s="41" t="n"/>
      <c r="B299" s="27" t="n"/>
      <c r="C299" s="27" t="n"/>
      <c r="D299" s="26" t="n"/>
      <c r="E299" s="31" t="n"/>
      <c r="F299" s="27" t="n"/>
      <c r="G299" s="23">
        <f>IF(A299="","",MONTH(A299))</f>
        <v/>
      </c>
      <c r="H299" s="23">
        <f>IF(A299="","",YEAR(A299))</f>
        <v/>
      </c>
    </row>
    <row r="300">
      <c r="A300" s="41" t="n"/>
      <c r="B300" s="27" t="n"/>
      <c r="C300" s="27" t="n"/>
      <c r="D300" s="26" t="n"/>
      <c r="E300" s="31" t="n"/>
      <c r="F300" s="27" t="n"/>
      <c r="G300" s="23">
        <f>IF(A300="","",MONTH(A300))</f>
        <v/>
      </c>
      <c r="H300" s="23">
        <f>IF(A300="","",YEAR(A300))</f>
        <v/>
      </c>
    </row>
    <row r="301">
      <c r="A301" s="41" t="n"/>
      <c r="B301" s="27" t="n"/>
      <c r="C301" s="27" t="n"/>
      <c r="D301" s="26" t="n"/>
      <c r="E301" s="31" t="n"/>
      <c r="F301" s="27" t="n"/>
      <c r="G301" s="23">
        <f>IF(A301="","",MONTH(A301))</f>
        <v/>
      </c>
      <c r="H301" s="23">
        <f>IF(A301="","",YEAR(A301))</f>
        <v/>
      </c>
    </row>
    <row r="302">
      <c r="A302" s="41" t="n"/>
      <c r="B302" s="27" t="n"/>
      <c r="C302" s="27" t="n"/>
      <c r="D302" s="26" t="n"/>
      <c r="E302" s="31" t="n"/>
      <c r="F302" s="27" t="n"/>
      <c r="G302" s="23">
        <f>IF(A302="","",MONTH(A302))</f>
        <v/>
      </c>
      <c r="H302" s="23">
        <f>IF(A302="","",YEAR(A302))</f>
        <v/>
      </c>
    </row>
    <row r="303">
      <c r="A303" s="41" t="n"/>
      <c r="B303" s="27" t="n"/>
      <c r="C303" s="27" t="n"/>
      <c r="D303" s="26" t="n"/>
      <c r="E303" s="31" t="n"/>
      <c r="F303" s="27" t="n"/>
      <c r="G303" s="23">
        <f>IF(A303="","",MONTH(A303))</f>
        <v/>
      </c>
      <c r="H303" s="23">
        <f>IF(A303="","",YEAR(A303))</f>
        <v/>
      </c>
    </row>
    <row r="304">
      <c r="A304" s="41" t="n"/>
      <c r="B304" s="27" t="n"/>
      <c r="C304" s="27" t="n"/>
      <c r="D304" s="26" t="n"/>
      <c r="E304" s="31" t="n"/>
      <c r="F304" s="27" t="n"/>
      <c r="G304" s="23">
        <f>IF(A304="","",MONTH(A304))</f>
        <v/>
      </c>
      <c r="H304" s="23">
        <f>IF(A304="","",YEAR(A304))</f>
        <v/>
      </c>
    </row>
    <row r="305">
      <c r="A305" s="41" t="n"/>
      <c r="B305" s="27" t="n"/>
      <c r="C305" s="27" t="n"/>
      <c r="D305" s="26" t="n"/>
      <c r="E305" s="31" t="n"/>
      <c r="F305" s="27" t="n"/>
      <c r="G305" s="23">
        <f>IF(A305="","",MONTH(A305))</f>
        <v/>
      </c>
      <c r="H305" s="23">
        <f>IF(A305="","",YEAR(A305))</f>
        <v/>
      </c>
    </row>
    <row r="306">
      <c r="A306" s="41" t="n"/>
      <c r="B306" s="27" t="n"/>
      <c r="C306" s="27" t="n"/>
      <c r="D306" s="26" t="n"/>
      <c r="E306" s="31" t="n"/>
      <c r="F306" s="27" t="n"/>
      <c r="G306" s="23">
        <f>IF(A306="","",MONTH(A306))</f>
        <v/>
      </c>
      <c r="H306" s="23">
        <f>IF(A306="","",YEAR(A306))</f>
        <v/>
      </c>
    </row>
    <row r="307">
      <c r="A307" s="41" t="n"/>
      <c r="B307" s="27" t="n"/>
      <c r="C307" s="27" t="n"/>
      <c r="D307" s="26" t="n"/>
      <c r="E307" s="31" t="n"/>
      <c r="F307" s="27" t="n"/>
      <c r="G307" s="23">
        <f>IF(A307="","",MONTH(A307))</f>
        <v/>
      </c>
      <c r="H307" s="23">
        <f>IF(A307="","",YEAR(A307))</f>
        <v/>
      </c>
    </row>
    <row r="308">
      <c r="A308" s="41" t="n"/>
      <c r="B308" s="27" t="n"/>
      <c r="C308" s="27" t="n"/>
      <c r="D308" s="26" t="n"/>
      <c r="E308" s="31" t="n"/>
      <c r="F308" s="27" t="n"/>
      <c r="G308" s="23">
        <f>IF(A308="","",MONTH(A308))</f>
        <v/>
      </c>
      <c r="H308" s="23">
        <f>IF(A308="","",YEAR(A308))</f>
        <v/>
      </c>
    </row>
    <row r="309">
      <c r="A309" s="41" t="n"/>
      <c r="B309" s="27" t="n"/>
      <c r="C309" s="27" t="n"/>
      <c r="D309" s="26" t="n"/>
      <c r="E309" s="31" t="n"/>
      <c r="F309" s="27" t="n"/>
      <c r="G309" s="23">
        <f>IF(A309="","",MONTH(A309))</f>
        <v/>
      </c>
      <c r="H309" s="23">
        <f>IF(A309="","",YEAR(A309))</f>
        <v/>
      </c>
    </row>
    <row r="310">
      <c r="A310" s="41" t="n"/>
      <c r="B310" s="27" t="n"/>
      <c r="C310" s="27" t="n"/>
      <c r="D310" s="26" t="n"/>
      <c r="E310" s="31" t="n"/>
      <c r="F310" s="27" t="n"/>
      <c r="G310" s="23">
        <f>IF(A310="","",MONTH(A310))</f>
        <v/>
      </c>
      <c r="H310" s="23">
        <f>IF(A310="","",YEAR(A310))</f>
        <v/>
      </c>
    </row>
    <row r="311">
      <c r="A311" s="41" t="n"/>
      <c r="B311" s="27" t="n"/>
      <c r="C311" s="27" t="n"/>
      <c r="D311" s="26" t="n"/>
      <c r="E311" s="31" t="n"/>
      <c r="F311" s="27" t="n"/>
      <c r="G311" s="23">
        <f>IF(A311="","",MONTH(A311))</f>
        <v/>
      </c>
      <c r="H311" s="23">
        <f>IF(A311="","",YEAR(A311))</f>
        <v/>
      </c>
    </row>
    <row r="312">
      <c r="A312" s="41" t="n"/>
      <c r="B312" s="27" t="n"/>
      <c r="C312" s="27" t="n"/>
      <c r="D312" s="26" t="n"/>
      <c r="E312" s="31" t="n"/>
      <c r="F312" s="27" t="n"/>
      <c r="G312" s="23">
        <f>IF(A312="","",MONTH(A312))</f>
        <v/>
      </c>
      <c r="H312" s="23">
        <f>IF(A312="","",YEAR(A312))</f>
        <v/>
      </c>
    </row>
    <row r="313">
      <c r="A313" s="41" t="n"/>
      <c r="B313" s="27" t="n"/>
      <c r="C313" s="27" t="n"/>
      <c r="D313" s="26" t="n"/>
      <c r="E313" s="31" t="n"/>
      <c r="F313" s="27" t="n"/>
      <c r="G313" s="23">
        <f>IF(A313="","",MONTH(A313))</f>
        <v/>
      </c>
      <c r="H313" s="23">
        <f>IF(A313="","",YEAR(A313))</f>
        <v/>
      </c>
    </row>
    <row r="314">
      <c r="A314" s="41" t="n"/>
      <c r="B314" s="27" t="n"/>
      <c r="C314" s="27" t="n"/>
      <c r="D314" s="26" t="n"/>
      <c r="E314" s="31" t="n"/>
      <c r="F314" s="27" t="n"/>
      <c r="G314" s="23">
        <f>IF(A314="","",MONTH(A314))</f>
        <v/>
      </c>
      <c r="H314" s="23">
        <f>IF(A314="","",YEAR(A314))</f>
        <v/>
      </c>
    </row>
    <row r="315">
      <c r="A315" s="41" t="n"/>
      <c r="B315" s="27" t="n"/>
      <c r="C315" s="27" t="n"/>
      <c r="D315" s="26" t="n"/>
      <c r="E315" s="31" t="n"/>
      <c r="F315" s="27" t="n"/>
      <c r="G315" s="23">
        <f>IF(A315="","",MONTH(A315))</f>
        <v/>
      </c>
      <c r="H315" s="23">
        <f>IF(A315="","",YEAR(A315))</f>
        <v/>
      </c>
    </row>
    <row r="316">
      <c r="A316" s="41" t="n"/>
      <c r="B316" s="27" t="n"/>
      <c r="C316" s="27" t="n"/>
      <c r="D316" s="26" t="n"/>
      <c r="E316" s="31" t="n"/>
      <c r="F316" s="27" t="n"/>
      <c r="G316" s="23">
        <f>IF(A316="","",MONTH(A316))</f>
        <v/>
      </c>
      <c r="H316" s="23">
        <f>IF(A316="","",YEAR(A316))</f>
        <v/>
      </c>
    </row>
    <row r="317">
      <c r="A317" s="41" t="n"/>
      <c r="B317" s="27" t="n"/>
      <c r="C317" s="27" t="n"/>
      <c r="D317" s="26" t="n"/>
      <c r="E317" s="31" t="n"/>
      <c r="F317" s="27" t="n"/>
      <c r="G317" s="23">
        <f>IF(A317="","",MONTH(A317))</f>
        <v/>
      </c>
      <c r="H317" s="23">
        <f>IF(A317="","",YEAR(A317))</f>
        <v/>
      </c>
    </row>
    <row r="318">
      <c r="A318" s="41" t="n"/>
      <c r="B318" s="27" t="n"/>
      <c r="C318" s="27" t="n"/>
      <c r="D318" s="26" t="n"/>
      <c r="E318" s="31" t="n"/>
      <c r="F318" s="27" t="n"/>
      <c r="G318" s="23">
        <f>IF(A318="","",MONTH(A318))</f>
        <v/>
      </c>
      <c r="H318" s="23">
        <f>IF(A318="","",YEAR(A318))</f>
        <v/>
      </c>
    </row>
    <row r="319">
      <c r="A319" s="41" t="n"/>
      <c r="B319" s="27" t="n"/>
      <c r="C319" s="27" t="n"/>
      <c r="D319" s="26" t="n"/>
      <c r="E319" s="31" t="n"/>
      <c r="F319" s="27" t="n"/>
      <c r="G319" s="23">
        <f>IF(A319="","",MONTH(A319))</f>
        <v/>
      </c>
      <c r="H319" s="23">
        <f>IF(A319="","",YEAR(A319))</f>
        <v/>
      </c>
    </row>
    <row r="320">
      <c r="A320" s="41" t="n"/>
      <c r="B320" s="27" t="n"/>
      <c r="C320" s="27" t="n"/>
      <c r="D320" s="26" t="n"/>
      <c r="E320" s="31" t="n"/>
      <c r="F320" s="27" t="n"/>
      <c r="G320" s="23">
        <f>IF(A320="","",MONTH(A320))</f>
        <v/>
      </c>
      <c r="H320" s="23">
        <f>IF(A320="","",YEAR(A320))</f>
        <v/>
      </c>
    </row>
    <row r="321">
      <c r="A321" s="41" t="n"/>
      <c r="B321" s="27" t="n"/>
      <c r="C321" s="27" t="n"/>
      <c r="D321" s="26" t="n"/>
      <c r="E321" s="31" t="n"/>
      <c r="F321" s="27" t="n"/>
      <c r="G321" s="23">
        <f>IF(A321="","",MONTH(A321))</f>
        <v/>
      </c>
      <c r="H321" s="23">
        <f>IF(A321="","",YEAR(A321))</f>
        <v/>
      </c>
    </row>
    <row r="322">
      <c r="A322" s="41" t="n"/>
      <c r="B322" s="27" t="n"/>
      <c r="C322" s="27" t="n"/>
      <c r="D322" s="26" t="n"/>
      <c r="E322" s="31" t="n"/>
      <c r="F322" s="27" t="n"/>
      <c r="G322" s="23">
        <f>IF(A322="","",MONTH(A322))</f>
        <v/>
      </c>
      <c r="H322" s="23">
        <f>IF(A322="","",YEAR(A322))</f>
        <v/>
      </c>
    </row>
    <row r="323">
      <c r="A323" s="41" t="n"/>
      <c r="B323" s="27" t="n"/>
      <c r="C323" s="27" t="n"/>
      <c r="D323" s="26" t="n"/>
      <c r="E323" s="31" t="n"/>
      <c r="F323" s="27" t="n"/>
      <c r="G323" s="23">
        <f>IF(A323="","",MONTH(A323))</f>
        <v/>
      </c>
      <c r="H323" s="23">
        <f>IF(A323="","",YEAR(A323))</f>
        <v/>
      </c>
    </row>
    <row r="324">
      <c r="A324" s="41" t="n"/>
      <c r="B324" s="27" t="n"/>
      <c r="C324" s="27" t="n"/>
      <c r="D324" s="26" t="n"/>
      <c r="E324" s="31" t="n"/>
      <c r="F324" s="27" t="n"/>
      <c r="G324" s="23">
        <f>IF(A324="","",MONTH(A324))</f>
        <v/>
      </c>
      <c r="H324" s="23">
        <f>IF(A324="","",YEAR(A324))</f>
        <v/>
      </c>
    </row>
    <row r="325">
      <c r="A325" s="41" t="n"/>
      <c r="B325" s="27" t="n"/>
      <c r="C325" s="27" t="n"/>
      <c r="D325" s="26" t="n"/>
      <c r="E325" s="31" t="n"/>
      <c r="F325" s="27" t="n"/>
      <c r="G325" s="23">
        <f>IF(A325="","",MONTH(A325))</f>
        <v/>
      </c>
      <c r="H325" s="23">
        <f>IF(A325="","",YEAR(A325))</f>
        <v/>
      </c>
    </row>
    <row r="326">
      <c r="A326" s="41" t="n"/>
      <c r="B326" s="27" t="n"/>
      <c r="C326" s="27" t="n"/>
      <c r="D326" s="26" t="n"/>
      <c r="E326" s="31" t="n"/>
      <c r="F326" s="27" t="n"/>
      <c r="G326" s="23">
        <f>IF(A326="","",MONTH(A326))</f>
        <v/>
      </c>
      <c r="H326" s="23">
        <f>IF(A326="","",YEAR(A326))</f>
        <v/>
      </c>
    </row>
    <row r="327">
      <c r="A327" s="41" t="n"/>
      <c r="B327" s="27" t="n"/>
      <c r="C327" s="27" t="n"/>
      <c r="D327" s="26" t="n"/>
      <c r="E327" s="31" t="n"/>
      <c r="F327" s="27" t="n"/>
      <c r="G327" s="23">
        <f>IF(A327="","",MONTH(A327))</f>
        <v/>
      </c>
      <c r="H327" s="23">
        <f>IF(A327="","",YEAR(A327))</f>
        <v/>
      </c>
    </row>
    <row r="328">
      <c r="A328" s="41" t="n"/>
      <c r="B328" s="27" t="n"/>
      <c r="C328" s="27" t="n"/>
      <c r="D328" s="26" t="n"/>
      <c r="E328" s="31" t="n"/>
      <c r="F328" s="27" t="n"/>
      <c r="G328" s="23">
        <f>IF(A328="","",MONTH(A328))</f>
        <v/>
      </c>
      <c r="H328" s="23">
        <f>IF(A328="","",YEAR(A328))</f>
        <v/>
      </c>
    </row>
    <row r="329">
      <c r="A329" s="41" t="n"/>
      <c r="B329" s="27" t="n"/>
      <c r="C329" s="27" t="n"/>
      <c r="D329" s="26" t="n"/>
      <c r="E329" s="31" t="n"/>
      <c r="F329" s="27" t="n"/>
      <c r="G329" s="23">
        <f>IF(A329="","",MONTH(A329))</f>
        <v/>
      </c>
      <c r="H329" s="23">
        <f>IF(A329="","",YEAR(A329))</f>
        <v/>
      </c>
    </row>
    <row r="330">
      <c r="A330" s="41" t="n"/>
      <c r="B330" s="27" t="n"/>
      <c r="C330" s="27" t="n"/>
      <c r="D330" s="26" t="n"/>
      <c r="E330" s="31" t="n"/>
      <c r="F330" s="27" t="n"/>
      <c r="G330" s="23">
        <f>IF(A330="","",MONTH(A330))</f>
        <v/>
      </c>
      <c r="H330" s="23">
        <f>IF(A330="","",YEAR(A330))</f>
        <v/>
      </c>
    </row>
    <row r="331">
      <c r="A331" s="41" t="n"/>
      <c r="B331" s="27" t="n"/>
      <c r="C331" s="27" t="n"/>
      <c r="D331" s="26" t="n"/>
      <c r="E331" s="31" t="n"/>
      <c r="F331" s="27" t="n"/>
      <c r="G331" s="23">
        <f>IF(A331="","",MONTH(A331))</f>
        <v/>
      </c>
      <c r="H331" s="23">
        <f>IF(A331="","",YEAR(A331))</f>
        <v/>
      </c>
    </row>
    <row r="332">
      <c r="A332" s="41" t="n"/>
      <c r="B332" s="27" t="n"/>
      <c r="C332" s="27" t="n"/>
      <c r="D332" s="26" t="n"/>
      <c r="E332" s="31" t="n"/>
      <c r="F332" s="27" t="n"/>
      <c r="G332" s="23">
        <f>IF(A332="","",MONTH(A332))</f>
        <v/>
      </c>
      <c r="H332" s="23">
        <f>IF(A332="","",YEAR(A332))</f>
        <v/>
      </c>
    </row>
    <row r="333">
      <c r="A333" s="41" t="n"/>
      <c r="B333" s="27" t="n"/>
      <c r="C333" s="27" t="n"/>
      <c r="D333" s="26" t="n"/>
      <c r="E333" s="31" t="n"/>
      <c r="F333" s="27" t="n"/>
      <c r="G333" s="23">
        <f>IF(A333="","",MONTH(A333))</f>
        <v/>
      </c>
      <c r="H333" s="23">
        <f>IF(A333="","",YEAR(A333))</f>
        <v/>
      </c>
    </row>
    <row r="334">
      <c r="A334" s="41" t="n"/>
      <c r="B334" s="27" t="n"/>
      <c r="C334" s="27" t="n"/>
      <c r="D334" s="26" t="n"/>
      <c r="E334" s="31" t="n"/>
      <c r="F334" s="27" t="n"/>
      <c r="G334" s="23">
        <f>IF(A334="","",MONTH(A334))</f>
        <v/>
      </c>
      <c r="H334" s="23">
        <f>IF(A334="","",YEAR(A334))</f>
        <v/>
      </c>
    </row>
    <row r="335">
      <c r="A335" s="41" t="n"/>
      <c r="B335" s="27" t="n"/>
      <c r="C335" s="27" t="n"/>
      <c r="D335" s="26" t="n"/>
      <c r="E335" s="31" t="n"/>
      <c r="F335" s="27" t="n"/>
      <c r="G335" s="23">
        <f>IF(A335="","",MONTH(A335))</f>
        <v/>
      </c>
      <c r="H335" s="23">
        <f>IF(A335="","",YEAR(A335))</f>
        <v/>
      </c>
    </row>
    <row r="336">
      <c r="A336" s="41" t="n"/>
      <c r="B336" s="27" t="n"/>
      <c r="C336" s="27" t="n"/>
      <c r="D336" s="26" t="n"/>
      <c r="E336" s="31" t="n"/>
      <c r="F336" s="27" t="n"/>
      <c r="G336" s="23">
        <f>IF(A336="","",MONTH(A336))</f>
        <v/>
      </c>
      <c r="H336" s="23">
        <f>IF(A336="","",YEAR(A336))</f>
        <v/>
      </c>
    </row>
    <row r="337">
      <c r="A337" s="41" t="n"/>
      <c r="B337" s="27" t="n"/>
      <c r="C337" s="27" t="n"/>
      <c r="D337" s="26" t="n"/>
      <c r="E337" s="31" t="n"/>
      <c r="F337" s="27" t="n"/>
      <c r="G337" s="23">
        <f>IF(A337="","",MONTH(A337))</f>
        <v/>
      </c>
      <c r="H337" s="23">
        <f>IF(A337="","",YEAR(A337))</f>
        <v/>
      </c>
    </row>
    <row r="338">
      <c r="A338" s="41" t="n"/>
      <c r="B338" s="27" t="n"/>
      <c r="C338" s="27" t="n"/>
      <c r="D338" s="26" t="n"/>
      <c r="E338" s="31" t="n"/>
      <c r="F338" s="27" t="n"/>
      <c r="G338" s="23">
        <f>IF(A338="","",MONTH(A338))</f>
        <v/>
      </c>
      <c r="H338" s="23">
        <f>IF(A338="","",YEAR(A338))</f>
        <v/>
      </c>
    </row>
    <row r="339">
      <c r="A339" s="41" t="n"/>
      <c r="B339" s="27" t="n"/>
      <c r="C339" s="27" t="n"/>
      <c r="D339" s="26" t="n"/>
      <c r="E339" s="31" t="n"/>
      <c r="F339" s="27" t="n"/>
      <c r="G339" s="23">
        <f>IF(A339="","",MONTH(A339))</f>
        <v/>
      </c>
      <c r="H339" s="23">
        <f>IF(A339="","",YEAR(A339))</f>
        <v/>
      </c>
    </row>
    <row r="340">
      <c r="A340" s="41" t="n"/>
      <c r="B340" s="27" t="n"/>
      <c r="C340" s="27" t="n"/>
      <c r="D340" s="26" t="n"/>
      <c r="E340" s="31" t="n"/>
      <c r="F340" s="27" t="n"/>
      <c r="G340" s="23">
        <f>IF(A340="","",MONTH(A340))</f>
        <v/>
      </c>
      <c r="H340" s="23">
        <f>IF(A340="","",YEAR(A340))</f>
        <v/>
      </c>
    </row>
    <row r="341">
      <c r="A341" s="41" t="n"/>
      <c r="B341" s="27" t="n"/>
      <c r="C341" s="27" t="n"/>
      <c r="D341" s="26" t="n"/>
      <c r="E341" s="31" t="n"/>
      <c r="F341" s="27" t="n"/>
      <c r="G341" s="23">
        <f>IF(A341="","",MONTH(A341))</f>
        <v/>
      </c>
      <c r="H341" s="23">
        <f>IF(A341="","",YEAR(A341))</f>
        <v/>
      </c>
    </row>
    <row r="342">
      <c r="A342" s="41" t="n"/>
      <c r="B342" s="27" t="n"/>
      <c r="C342" s="27" t="n"/>
      <c r="D342" s="26" t="n"/>
      <c r="E342" s="31" t="n"/>
      <c r="F342" s="27" t="n"/>
      <c r="G342" s="23">
        <f>IF(A342="","",MONTH(A342))</f>
        <v/>
      </c>
      <c r="H342" s="23">
        <f>IF(A342="","",YEAR(A342))</f>
        <v/>
      </c>
    </row>
    <row r="343">
      <c r="A343" s="41" t="n"/>
      <c r="B343" s="27" t="n"/>
      <c r="C343" s="27" t="n"/>
      <c r="D343" s="26" t="n"/>
      <c r="E343" s="31" t="n"/>
      <c r="F343" s="27" t="n"/>
      <c r="G343" s="23">
        <f>IF(A343="","",MONTH(A343))</f>
        <v/>
      </c>
      <c r="H343" s="23">
        <f>IF(A343="","",YEAR(A343))</f>
        <v/>
      </c>
    </row>
    <row r="344">
      <c r="A344" s="41" t="n"/>
      <c r="B344" s="27" t="n"/>
      <c r="C344" s="27" t="n"/>
      <c r="D344" s="26" t="n"/>
      <c r="E344" s="31" t="n"/>
      <c r="F344" s="27" t="n"/>
      <c r="G344" s="23">
        <f>IF(A344="","",MONTH(A344))</f>
        <v/>
      </c>
      <c r="H344" s="23">
        <f>IF(A344="","",YEAR(A344))</f>
        <v/>
      </c>
    </row>
    <row r="345">
      <c r="A345" s="41" t="n"/>
      <c r="B345" s="27" t="n"/>
      <c r="C345" s="27" t="n"/>
      <c r="D345" s="26" t="n"/>
      <c r="E345" s="31" t="n"/>
      <c r="F345" s="27" t="n"/>
      <c r="G345" s="23">
        <f>IF(A345="","",MONTH(A345))</f>
        <v/>
      </c>
      <c r="H345" s="23">
        <f>IF(A345="","",YEAR(A345))</f>
        <v/>
      </c>
    </row>
    <row r="346">
      <c r="A346" s="41" t="n"/>
      <c r="B346" s="27" t="n"/>
      <c r="C346" s="27" t="n"/>
      <c r="D346" s="26" t="n"/>
      <c r="E346" s="31" t="n"/>
      <c r="F346" s="27" t="n"/>
      <c r="G346" s="23">
        <f>IF(A346="","",MONTH(A346))</f>
        <v/>
      </c>
      <c r="H346" s="23">
        <f>IF(A346="","",YEAR(A346))</f>
        <v/>
      </c>
    </row>
    <row r="347">
      <c r="A347" s="41" t="n"/>
      <c r="B347" s="27" t="n"/>
      <c r="C347" s="27" t="n"/>
      <c r="D347" s="26" t="n"/>
      <c r="E347" s="31" t="n"/>
      <c r="F347" s="27" t="n"/>
      <c r="G347" s="23">
        <f>IF(A347="","",MONTH(A347))</f>
        <v/>
      </c>
      <c r="H347" s="23">
        <f>IF(A347="","",YEAR(A347))</f>
        <v/>
      </c>
    </row>
    <row r="348">
      <c r="A348" s="41" t="n"/>
      <c r="B348" s="27" t="n"/>
      <c r="C348" s="27" t="n"/>
      <c r="D348" s="26" t="n"/>
      <c r="E348" s="31" t="n"/>
      <c r="F348" s="27" t="n"/>
      <c r="G348" s="23">
        <f>IF(A348="","",MONTH(A348))</f>
        <v/>
      </c>
      <c r="H348" s="23">
        <f>IF(A348="","",YEAR(A348))</f>
        <v/>
      </c>
    </row>
    <row r="349">
      <c r="A349" s="41" t="n"/>
      <c r="B349" s="27" t="n"/>
      <c r="C349" s="27" t="n"/>
      <c r="D349" s="26" t="n"/>
      <c r="E349" s="31" t="n"/>
      <c r="F349" s="27" t="n"/>
      <c r="G349" s="23">
        <f>IF(A349="","",MONTH(A349))</f>
        <v/>
      </c>
      <c r="H349" s="23">
        <f>IF(A349="","",YEAR(A349))</f>
        <v/>
      </c>
    </row>
    <row r="350">
      <c r="A350" s="41" t="n"/>
      <c r="B350" s="27" t="n"/>
      <c r="C350" s="27" t="n"/>
      <c r="D350" s="26" t="n"/>
      <c r="E350" s="31" t="n"/>
      <c r="F350" s="27" t="n"/>
      <c r="G350" s="23">
        <f>IF(A350="","",MONTH(A350))</f>
        <v/>
      </c>
      <c r="H350" s="23">
        <f>IF(A350="","",YEAR(A350))</f>
        <v/>
      </c>
    </row>
    <row r="351">
      <c r="A351" s="41" t="n"/>
      <c r="B351" s="27" t="n"/>
      <c r="C351" s="27" t="n"/>
      <c r="D351" s="26" t="n"/>
      <c r="E351" s="31" t="n"/>
      <c r="F351" s="27" t="n"/>
      <c r="G351" s="23">
        <f>IF(A351="","",MONTH(A351))</f>
        <v/>
      </c>
      <c r="H351" s="23">
        <f>IF(A351="","",YEAR(A351))</f>
        <v/>
      </c>
    </row>
    <row r="352">
      <c r="A352" s="41" t="n"/>
      <c r="B352" s="27" t="n"/>
      <c r="C352" s="27" t="n"/>
      <c r="D352" s="26" t="n"/>
      <c r="E352" s="31" t="n"/>
      <c r="F352" s="27" t="n"/>
      <c r="G352" s="23">
        <f>IF(A352="","",MONTH(A352))</f>
        <v/>
      </c>
      <c r="H352" s="23">
        <f>IF(A352="","",YEAR(A352))</f>
        <v/>
      </c>
    </row>
    <row r="353">
      <c r="A353" s="41" t="n"/>
      <c r="B353" s="27" t="n"/>
      <c r="C353" s="27" t="n"/>
      <c r="D353" s="26" t="n"/>
      <c r="E353" s="31" t="n"/>
      <c r="F353" s="27" t="n"/>
      <c r="G353" s="23">
        <f>IF(A353="","",MONTH(A353))</f>
        <v/>
      </c>
      <c r="H353" s="23">
        <f>IF(A353="","",YEAR(A353))</f>
        <v/>
      </c>
    </row>
    <row r="354">
      <c r="A354" s="41" t="n"/>
      <c r="B354" s="27" t="n"/>
      <c r="C354" s="27" t="n"/>
      <c r="D354" s="26" t="n"/>
      <c r="E354" s="31" t="n"/>
      <c r="F354" s="27" t="n"/>
      <c r="G354" s="23">
        <f>IF(A354="","",MONTH(A354))</f>
        <v/>
      </c>
      <c r="H354" s="23">
        <f>IF(A354="","",YEAR(A354))</f>
        <v/>
      </c>
    </row>
    <row r="355">
      <c r="A355" s="41" t="n"/>
      <c r="B355" s="27" t="n"/>
      <c r="C355" s="27" t="n"/>
      <c r="D355" s="26" t="n"/>
      <c r="E355" s="31" t="n"/>
      <c r="F355" s="27" t="n"/>
      <c r="G355" s="23">
        <f>IF(A355="","",MONTH(A355))</f>
        <v/>
      </c>
      <c r="H355" s="23">
        <f>IF(A355="","",YEAR(A355))</f>
        <v/>
      </c>
    </row>
    <row r="356">
      <c r="A356" s="41" t="n"/>
      <c r="B356" s="27" t="n"/>
      <c r="C356" s="27" t="n"/>
      <c r="D356" s="26" t="n"/>
      <c r="E356" s="31" t="n"/>
      <c r="F356" s="27" t="n"/>
      <c r="G356" s="23">
        <f>IF(A356="","",MONTH(A356))</f>
        <v/>
      </c>
      <c r="H356" s="23">
        <f>IF(A356="","",YEAR(A356))</f>
        <v/>
      </c>
    </row>
    <row r="357">
      <c r="A357" s="41" t="n"/>
      <c r="B357" s="27" t="n"/>
      <c r="C357" s="27" t="n"/>
      <c r="D357" s="26" t="n"/>
      <c r="E357" s="31" t="n"/>
      <c r="F357" s="27" t="n"/>
      <c r="G357" s="23">
        <f>IF(A357="","",MONTH(A357))</f>
        <v/>
      </c>
      <c r="H357" s="23">
        <f>IF(A357="","",YEAR(A357))</f>
        <v/>
      </c>
    </row>
    <row r="358">
      <c r="A358" s="41" t="n"/>
      <c r="B358" s="27" t="n"/>
      <c r="C358" s="27" t="n"/>
      <c r="D358" s="26" t="n"/>
      <c r="E358" s="31" t="n"/>
      <c r="F358" s="27" t="n"/>
      <c r="G358" s="23">
        <f>IF(A358="","",MONTH(A358))</f>
        <v/>
      </c>
      <c r="H358" s="23">
        <f>IF(A358="","",YEAR(A358))</f>
        <v/>
      </c>
    </row>
    <row r="359">
      <c r="A359" s="41" t="n"/>
      <c r="B359" s="27" t="n"/>
      <c r="C359" s="27" t="n"/>
      <c r="D359" s="26" t="n"/>
      <c r="E359" s="31" t="n"/>
      <c r="F359" s="27" t="n"/>
      <c r="G359" s="23">
        <f>IF(A359="","",MONTH(A359))</f>
        <v/>
      </c>
      <c r="H359" s="23">
        <f>IF(A359="","",YEAR(A359))</f>
        <v/>
      </c>
    </row>
    <row r="360">
      <c r="A360" s="41" t="n"/>
      <c r="B360" s="27" t="n"/>
      <c r="C360" s="27" t="n"/>
      <c r="D360" s="26" t="n"/>
      <c r="E360" s="31" t="n"/>
      <c r="F360" s="27" t="n"/>
      <c r="G360" s="23">
        <f>IF(A360="","",MONTH(A360))</f>
        <v/>
      </c>
      <c r="H360" s="23">
        <f>IF(A360="","",YEAR(A360))</f>
        <v/>
      </c>
    </row>
    <row r="361">
      <c r="A361" s="41" t="n"/>
      <c r="B361" s="27" t="n"/>
      <c r="C361" s="27" t="n"/>
      <c r="D361" s="26" t="n"/>
      <c r="E361" s="31" t="n"/>
      <c r="F361" s="27" t="n"/>
      <c r="G361" s="23">
        <f>IF(A361="","",MONTH(A361))</f>
        <v/>
      </c>
      <c r="H361" s="23">
        <f>IF(A361="","",YEAR(A361))</f>
        <v/>
      </c>
    </row>
    <row r="362">
      <c r="A362" s="41" t="n"/>
      <c r="B362" s="27" t="n"/>
      <c r="C362" s="27" t="n"/>
      <c r="D362" s="26" t="n"/>
      <c r="E362" s="31" t="n"/>
      <c r="F362" s="27" t="n"/>
      <c r="G362" s="23">
        <f>IF(A362="","",MONTH(A362))</f>
        <v/>
      </c>
      <c r="H362" s="23">
        <f>IF(A362="","",YEAR(A362))</f>
        <v/>
      </c>
    </row>
    <row r="363">
      <c r="A363" s="41" t="n"/>
      <c r="B363" s="27" t="n"/>
      <c r="C363" s="27" t="n"/>
      <c r="D363" s="26" t="n"/>
      <c r="E363" s="31" t="n"/>
      <c r="F363" s="27" t="n"/>
      <c r="G363" s="23">
        <f>IF(A363="","",MONTH(A363))</f>
        <v/>
      </c>
      <c r="H363" s="23">
        <f>IF(A363="","",YEAR(A363))</f>
        <v/>
      </c>
    </row>
    <row r="364">
      <c r="A364" s="41" t="n"/>
      <c r="B364" s="27" t="n"/>
      <c r="C364" s="27" t="n"/>
      <c r="D364" s="26" t="n"/>
      <c r="E364" s="31" t="n"/>
      <c r="F364" s="27" t="n"/>
      <c r="G364" s="23">
        <f>IF(A364="","",MONTH(A364))</f>
        <v/>
      </c>
      <c r="H364" s="23">
        <f>IF(A364="","",YEAR(A364))</f>
        <v/>
      </c>
    </row>
    <row r="365">
      <c r="A365" s="41" t="n"/>
      <c r="B365" s="27" t="n"/>
      <c r="C365" s="27" t="n"/>
      <c r="D365" s="26" t="n"/>
      <c r="E365" s="31" t="n"/>
      <c r="F365" s="27" t="n"/>
      <c r="G365" s="23">
        <f>IF(A365="","",MONTH(A365))</f>
        <v/>
      </c>
      <c r="H365" s="23">
        <f>IF(A365="","",YEAR(A365))</f>
        <v/>
      </c>
    </row>
    <row r="366">
      <c r="A366" s="41" t="n"/>
      <c r="B366" s="27" t="n"/>
      <c r="C366" s="27" t="n"/>
      <c r="D366" s="26" t="n"/>
      <c r="E366" s="31" t="n"/>
      <c r="F366" s="27" t="n"/>
      <c r="G366" s="23">
        <f>IF(A366="","",MONTH(A366))</f>
        <v/>
      </c>
      <c r="H366" s="23">
        <f>IF(A366="","",YEAR(A366))</f>
        <v/>
      </c>
    </row>
    <row r="367">
      <c r="A367" s="41" t="n"/>
      <c r="B367" s="27" t="n"/>
      <c r="C367" s="27" t="n"/>
      <c r="D367" s="26" t="n"/>
      <c r="E367" s="31" t="n"/>
      <c r="F367" s="27" t="n"/>
      <c r="G367" s="23">
        <f>IF(A367="","",MONTH(A367))</f>
        <v/>
      </c>
      <c r="H367" s="23">
        <f>IF(A367="","",YEAR(A367))</f>
        <v/>
      </c>
    </row>
    <row r="368">
      <c r="A368" s="41" t="n"/>
      <c r="B368" s="27" t="n"/>
      <c r="C368" s="27" t="n"/>
      <c r="D368" s="26" t="n"/>
      <c r="E368" s="31" t="n"/>
      <c r="F368" s="27" t="n"/>
      <c r="G368" s="23">
        <f>IF(A368="","",MONTH(A368))</f>
        <v/>
      </c>
      <c r="H368" s="23">
        <f>IF(A368="","",YEAR(A368))</f>
        <v/>
      </c>
    </row>
    <row r="369">
      <c r="A369" s="41" t="n"/>
      <c r="B369" s="27" t="n"/>
      <c r="C369" s="27" t="n"/>
      <c r="D369" s="26" t="n"/>
      <c r="E369" s="31" t="n"/>
      <c r="F369" s="27" t="n"/>
      <c r="G369" s="23">
        <f>IF(A369="","",MONTH(A369))</f>
        <v/>
      </c>
      <c r="H369" s="23">
        <f>IF(A369="","",YEAR(A369))</f>
        <v/>
      </c>
    </row>
    <row r="370">
      <c r="A370" s="41" t="n"/>
      <c r="B370" s="27" t="n"/>
      <c r="C370" s="27" t="n"/>
      <c r="D370" s="26" t="n"/>
      <c r="E370" s="31" t="n"/>
      <c r="F370" s="27" t="n"/>
      <c r="G370" s="23">
        <f>IF(A370="","",MONTH(A370))</f>
        <v/>
      </c>
      <c r="H370" s="23">
        <f>IF(A370="","",YEAR(A370))</f>
        <v/>
      </c>
    </row>
    <row r="371">
      <c r="A371" s="41" t="n"/>
      <c r="B371" s="27" t="n"/>
      <c r="C371" s="27" t="n"/>
      <c r="D371" s="26" t="n"/>
      <c r="E371" s="31" t="n"/>
      <c r="F371" s="27" t="n"/>
      <c r="G371" s="23">
        <f>IF(A371="","",MONTH(A371))</f>
        <v/>
      </c>
      <c r="H371" s="23">
        <f>IF(A371="","",YEAR(A371))</f>
        <v/>
      </c>
    </row>
    <row r="372">
      <c r="A372" s="41" t="n"/>
      <c r="B372" s="27" t="n"/>
      <c r="C372" s="27" t="n"/>
      <c r="D372" s="26" t="n"/>
      <c r="E372" s="31" t="n"/>
      <c r="F372" s="27" t="n"/>
      <c r="G372" s="23">
        <f>IF(A372="","",MONTH(A372))</f>
        <v/>
      </c>
      <c r="H372" s="23">
        <f>IF(A372="","",YEAR(A372))</f>
        <v/>
      </c>
    </row>
    <row r="373">
      <c r="A373" s="41" t="n"/>
      <c r="B373" s="27" t="n"/>
      <c r="C373" s="27" t="n"/>
      <c r="D373" s="26" t="n"/>
      <c r="E373" s="31" t="n"/>
      <c r="F373" s="27" t="n"/>
      <c r="G373" s="23">
        <f>IF(A373="","",MONTH(A373))</f>
        <v/>
      </c>
      <c r="H373" s="23">
        <f>IF(A373="","",YEAR(A373))</f>
        <v/>
      </c>
    </row>
    <row r="374">
      <c r="A374" s="41" t="n"/>
      <c r="B374" s="27" t="n"/>
      <c r="C374" s="27" t="n"/>
      <c r="D374" s="26" t="n"/>
      <c r="E374" s="31" t="n"/>
      <c r="F374" s="27" t="n"/>
      <c r="G374" s="23">
        <f>IF(A374="","",MONTH(A374))</f>
        <v/>
      </c>
      <c r="H374" s="23">
        <f>IF(A374="","",YEAR(A374))</f>
        <v/>
      </c>
    </row>
    <row r="375">
      <c r="A375" s="41" t="n"/>
      <c r="B375" s="27" t="n"/>
      <c r="C375" s="27" t="n"/>
      <c r="D375" s="26" t="n"/>
      <c r="E375" s="31" t="n"/>
      <c r="F375" s="27" t="n"/>
      <c r="G375" s="23">
        <f>IF(A375="","",MONTH(A375))</f>
        <v/>
      </c>
      <c r="H375" s="23">
        <f>IF(A375="","",YEAR(A375))</f>
        <v/>
      </c>
    </row>
    <row r="376">
      <c r="A376" s="41" t="n"/>
      <c r="B376" s="27" t="n"/>
      <c r="C376" s="27" t="n"/>
      <c r="D376" s="26" t="n"/>
      <c r="E376" s="31" t="n"/>
      <c r="F376" s="27" t="n"/>
      <c r="G376" s="23">
        <f>IF(A376="","",MONTH(A376))</f>
        <v/>
      </c>
      <c r="H376" s="23">
        <f>IF(A376="","",YEAR(A376))</f>
        <v/>
      </c>
    </row>
    <row r="377">
      <c r="A377" s="41" t="n"/>
      <c r="B377" s="27" t="n"/>
      <c r="C377" s="27" t="n"/>
      <c r="D377" s="26" t="n"/>
      <c r="E377" s="31" t="n"/>
      <c r="F377" s="27" t="n"/>
      <c r="G377" s="23">
        <f>IF(A377="","",MONTH(A377))</f>
        <v/>
      </c>
      <c r="H377" s="23">
        <f>IF(A377="","",YEAR(A377))</f>
        <v/>
      </c>
    </row>
    <row r="378">
      <c r="A378" s="41" t="n"/>
      <c r="B378" s="27" t="n"/>
      <c r="C378" s="27" t="n"/>
      <c r="D378" s="26" t="n"/>
      <c r="E378" s="31" t="n"/>
      <c r="F378" s="27" t="n"/>
      <c r="G378" s="23">
        <f>IF(A378="","",MONTH(A378))</f>
        <v/>
      </c>
      <c r="H378" s="23">
        <f>IF(A378="","",YEAR(A378))</f>
        <v/>
      </c>
    </row>
    <row r="379">
      <c r="A379" s="41" t="n"/>
      <c r="B379" s="27" t="n"/>
      <c r="C379" s="27" t="n"/>
      <c r="D379" s="26" t="n"/>
      <c r="E379" s="31" t="n"/>
      <c r="F379" s="27" t="n"/>
      <c r="G379" s="23">
        <f>IF(A379="","",MONTH(A379))</f>
        <v/>
      </c>
      <c r="H379" s="23">
        <f>IF(A379="","",YEAR(A379))</f>
        <v/>
      </c>
    </row>
    <row r="380">
      <c r="A380" s="41" t="n"/>
      <c r="B380" s="27" t="n"/>
      <c r="C380" s="27" t="n"/>
      <c r="D380" s="26" t="n"/>
      <c r="E380" s="31" t="n"/>
      <c r="F380" s="27" t="n"/>
      <c r="G380" s="23">
        <f>IF(A380="","",MONTH(A380))</f>
        <v/>
      </c>
      <c r="H380" s="23">
        <f>IF(A380="","",YEAR(A380))</f>
        <v/>
      </c>
    </row>
    <row r="381">
      <c r="A381" s="41" t="n"/>
      <c r="B381" s="27" t="n"/>
      <c r="C381" s="27" t="n"/>
      <c r="D381" s="26" t="n"/>
      <c r="E381" s="31" t="n"/>
      <c r="F381" s="27" t="n"/>
      <c r="G381" s="23">
        <f>IF(A381="","",MONTH(A381))</f>
        <v/>
      </c>
      <c r="H381" s="23">
        <f>IF(A381="","",YEAR(A381))</f>
        <v/>
      </c>
    </row>
    <row r="382">
      <c r="A382" s="41" t="n"/>
      <c r="B382" s="27" t="n"/>
      <c r="C382" s="27" t="n"/>
      <c r="D382" s="26" t="n"/>
      <c r="E382" s="31" t="n"/>
      <c r="F382" s="27" t="n"/>
      <c r="G382" s="23">
        <f>IF(A382="","",MONTH(A382))</f>
        <v/>
      </c>
      <c r="H382" s="23">
        <f>IF(A382="","",YEAR(A382))</f>
        <v/>
      </c>
    </row>
    <row r="383">
      <c r="A383" s="41" t="n"/>
      <c r="B383" s="27" t="n"/>
      <c r="C383" s="27" t="n"/>
      <c r="D383" s="26" t="n"/>
      <c r="E383" s="31" t="n"/>
      <c r="F383" s="27" t="n"/>
      <c r="G383" s="23">
        <f>IF(A383="","",MONTH(A383))</f>
        <v/>
      </c>
      <c r="H383" s="23">
        <f>IF(A383="","",YEAR(A383))</f>
        <v/>
      </c>
    </row>
    <row r="384">
      <c r="A384" s="41" t="n"/>
      <c r="B384" s="27" t="n"/>
      <c r="C384" s="27" t="n"/>
      <c r="D384" s="26" t="n"/>
      <c r="E384" s="31" t="n"/>
      <c r="F384" s="27" t="n"/>
      <c r="G384" s="23">
        <f>IF(A384="","",MONTH(A384))</f>
        <v/>
      </c>
      <c r="H384" s="23">
        <f>IF(A384="","",YEAR(A384))</f>
        <v/>
      </c>
    </row>
    <row r="385">
      <c r="A385" s="41" t="n"/>
      <c r="B385" s="27" t="n"/>
      <c r="C385" s="27" t="n"/>
      <c r="D385" s="26" t="n"/>
      <c r="E385" s="31" t="n"/>
      <c r="F385" s="27" t="n"/>
      <c r="G385" s="23">
        <f>IF(A385="","",MONTH(A385))</f>
        <v/>
      </c>
      <c r="H385" s="23">
        <f>IF(A385="","",YEAR(A385))</f>
        <v/>
      </c>
    </row>
    <row r="386">
      <c r="A386" s="41" t="n"/>
      <c r="B386" s="27" t="n"/>
      <c r="C386" s="27" t="n"/>
      <c r="D386" s="26" t="n"/>
      <c r="E386" s="31" t="n"/>
      <c r="F386" s="27" t="n"/>
      <c r="G386" s="23">
        <f>IF(A386="","",MONTH(A386))</f>
        <v/>
      </c>
      <c r="H386" s="23">
        <f>IF(A386="","",YEAR(A386))</f>
        <v/>
      </c>
    </row>
    <row r="387">
      <c r="A387" s="41" t="n"/>
      <c r="B387" s="27" t="n"/>
      <c r="C387" s="27" t="n"/>
      <c r="D387" s="26" t="n"/>
      <c r="E387" s="31" t="n"/>
      <c r="F387" s="27" t="n"/>
      <c r="G387" s="23">
        <f>IF(A387="","",MONTH(A387))</f>
        <v/>
      </c>
      <c r="H387" s="23">
        <f>IF(A387="","",YEAR(A387))</f>
        <v/>
      </c>
    </row>
    <row r="388">
      <c r="A388" s="41" t="n"/>
      <c r="B388" s="27" t="n"/>
      <c r="C388" s="27" t="n"/>
      <c r="D388" s="26" t="n"/>
      <c r="E388" s="31" t="n"/>
      <c r="F388" s="27" t="n"/>
      <c r="G388" s="23">
        <f>IF(A388="","",MONTH(A388))</f>
        <v/>
      </c>
      <c r="H388" s="23">
        <f>IF(A388="","",YEAR(A388))</f>
        <v/>
      </c>
    </row>
    <row r="389">
      <c r="A389" s="41" t="n"/>
      <c r="B389" s="27" t="n"/>
      <c r="C389" s="27" t="n"/>
      <c r="D389" s="26" t="n"/>
      <c r="E389" s="31" t="n"/>
      <c r="F389" s="27" t="n"/>
      <c r="G389" s="23">
        <f>IF(A389="","",MONTH(A389))</f>
        <v/>
      </c>
      <c r="H389" s="23">
        <f>IF(A389="","",YEAR(A389))</f>
        <v/>
      </c>
    </row>
    <row r="390">
      <c r="A390" s="41" t="n"/>
      <c r="B390" s="27" t="n"/>
      <c r="C390" s="27" t="n"/>
      <c r="D390" s="26" t="n"/>
      <c r="E390" s="31" t="n"/>
      <c r="F390" s="27" t="n"/>
      <c r="G390" s="23">
        <f>IF(A390="","",MONTH(A390))</f>
        <v/>
      </c>
      <c r="H390" s="23">
        <f>IF(A390="","",YEAR(A390))</f>
        <v/>
      </c>
    </row>
    <row r="391">
      <c r="A391" s="41" t="n"/>
      <c r="B391" s="27" t="n"/>
      <c r="C391" s="27" t="n"/>
      <c r="D391" s="26" t="n"/>
      <c r="E391" s="31" t="n"/>
      <c r="F391" s="27" t="n"/>
      <c r="G391" s="23">
        <f>IF(A391="","",MONTH(A391))</f>
        <v/>
      </c>
      <c r="H391" s="23">
        <f>IF(A391="","",YEAR(A391))</f>
        <v/>
      </c>
    </row>
    <row r="392">
      <c r="A392" s="41" t="n"/>
      <c r="B392" s="27" t="n"/>
      <c r="C392" s="27" t="n"/>
      <c r="D392" s="26" t="n"/>
      <c r="E392" s="31" t="n"/>
      <c r="F392" s="27" t="n"/>
      <c r="G392" s="23">
        <f>IF(A392="","",MONTH(A392))</f>
        <v/>
      </c>
      <c r="H392" s="23">
        <f>IF(A392="","",YEAR(A392))</f>
        <v/>
      </c>
    </row>
    <row r="393">
      <c r="A393" s="41" t="n"/>
      <c r="B393" s="27" t="n"/>
      <c r="C393" s="27" t="n"/>
      <c r="D393" s="26" t="n"/>
      <c r="E393" s="31" t="n"/>
      <c r="F393" s="27" t="n"/>
      <c r="G393" s="23">
        <f>IF(A393="","",MONTH(A393))</f>
        <v/>
      </c>
      <c r="H393" s="23">
        <f>IF(A393="","",YEAR(A393))</f>
        <v/>
      </c>
    </row>
    <row r="394">
      <c r="A394" s="41" t="n"/>
      <c r="B394" s="27" t="n"/>
      <c r="C394" s="27" t="n"/>
      <c r="D394" s="26" t="n"/>
      <c r="E394" s="31" t="n"/>
      <c r="F394" s="27" t="n"/>
      <c r="G394" s="23">
        <f>IF(A394="","",MONTH(A394))</f>
        <v/>
      </c>
      <c r="H394" s="23">
        <f>IF(A394="","",YEAR(A394))</f>
        <v/>
      </c>
    </row>
    <row r="395">
      <c r="A395" s="41" t="n"/>
      <c r="B395" s="27" t="n"/>
      <c r="C395" s="27" t="n"/>
      <c r="D395" s="26" t="n"/>
      <c r="E395" s="31" t="n"/>
      <c r="F395" s="27" t="n"/>
      <c r="G395" s="23">
        <f>IF(A395="","",MONTH(A395))</f>
        <v/>
      </c>
      <c r="H395" s="23">
        <f>IF(A395="","",YEAR(A395))</f>
        <v/>
      </c>
    </row>
    <row r="396">
      <c r="A396" s="41" t="n"/>
      <c r="B396" s="27" t="n"/>
      <c r="C396" s="27" t="n"/>
      <c r="D396" s="26" t="n"/>
      <c r="E396" s="31" t="n"/>
      <c r="F396" s="27" t="n"/>
      <c r="G396" s="23">
        <f>IF(A396="","",MONTH(A396))</f>
        <v/>
      </c>
      <c r="H396" s="23">
        <f>IF(A396="","",YEAR(A396))</f>
        <v/>
      </c>
    </row>
    <row r="397">
      <c r="A397" s="41" t="n"/>
      <c r="B397" s="27" t="n"/>
      <c r="C397" s="27" t="n"/>
      <c r="D397" s="26" t="n"/>
      <c r="E397" s="31" t="n"/>
      <c r="F397" s="27" t="n"/>
      <c r="G397" s="23">
        <f>IF(A397="","",MONTH(A397))</f>
        <v/>
      </c>
      <c r="H397" s="23">
        <f>IF(A397="","",YEAR(A397))</f>
        <v/>
      </c>
    </row>
    <row r="398">
      <c r="A398" s="41" t="n"/>
      <c r="B398" s="27" t="n"/>
      <c r="C398" s="27" t="n"/>
      <c r="D398" s="26" t="n"/>
      <c r="E398" s="31" t="n"/>
      <c r="F398" s="27" t="n"/>
      <c r="G398" s="23">
        <f>IF(A398="","",MONTH(A398))</f>
        <v/>
      </c>
      <c r="H398" s="23">
        <f>IF(A398="","",YEAR(A398))</f>
        <v/>
      </c>
    </row>
    <row r="399">
      <c r="A399" s="41" t="n"/>
      <c r="B399" s="27" t="n"/>
      <c r="C399" s="27" t="n"/>
      <c r="D399" s="26" t="n"/>
      <c r="E399" s="31" t="n"/>
      <c r="F399" s="27" t="n"/>
      <c r="G399" s="23">
        <f>IF(A399="","",MONTH(A399))</f>
        <v/>
      </c>
      <c r="H399" s="23">
        <f>IF(A399="","",YEAR(A399))</f>
        <v/>
      </c>
    </row>
    <row r="400">
      <c r="A400" s="41" t="n"/>
      <c r="B400" s="27" t="n"/>
      <c r="C400" s="27" t="n"/>
      <c r="D400" s="26" t="n"/>
      <c r="E400" s="31" t="n"/>
      <c r="F400" s="27" t="n"/>
      <c r="G400" s="23">
        <f>IF(A400="","",MONTH(A400))</f>
        <v/>
      </c>
      <c r="H400" s="23">
        <f>IF(A400="","",YEAR(A400))</f>
        <v/>
      </c>
    </row>
    <row r="401">
      <c r="A401" s="41" t="n"/>
      <c r="B401" s="27" t="n"/>
      <c r="C401" s="27" t="n"/>
      <c r="D401" s="26" t="n"/>
      <c r="E401" s="31" t="n"/>
      <c r="F401" s="27" t="n"/>
      <c r="G401" s="23">
        <f>IF(A401="","",MONTH(A401))</f>
        <v/>
      </c>
      <c r="H401" s="23">
        <f>IF(A401="","",YEAR(A401))</f>
        <v/>
      </c>
    </row>
    <row r="402">
      <c r="A402" s="41" t="n"/>
      <c r="B402" s="27" t="n"/>
      <c r="C402" s="27" t="n"/>
      <c r="D402" s="26" t="n"/>
      <c r="E402" s="31" t="n"/>
      <c r="F402" s="27" t="n"/>
      <c r="G402" s="23">
        <f>IF(A402="","",MONTH(A402))</f>
        <v/>
      </c>
      <c r="H402" s="23">
        <f>IF(A402="","",YEAR(A402))</f>
        <v/>
      </c>
    </row>
    <row r="403">
      <c r="A403" s="41" t="n"/>
      <c r="B403" s="27" t="n"/>
      <c r="C403" s="27" t="n"/>
      <c r="D403" s="26" t="n"/>
      <c r="E403" s="31" t="n"/>
      <c r="F403" s="27" t="n"/>
      <c r="G403" s="23">
        <f>IF(A403="","",MONTH(A403))</f>
        <v/>
      </c>
      <c r="H403" s="23">
        <f>IF(A403="","",YEAR(A403))</f>
        <v/>
      </c>
    </row>
    <row r="404">
      <c r="A404" s="41" t="n"/>
      <c r="B404" s="27" t="n"/>
      <c r="C404" s="27" t="n"/>
      <c r="D404" s="26" t="n"/>
      <c r="E404" s="31" t="n"/>
      <c r="F404" s="27" t="n"/>
      <c r="G404" s="23">
        <f>IF(A404="","",MONTH(A404))</f>
        <v/>
      </c>
      <c r="H404" s="23">
        <f>IF(A404="","",YEAR(A404))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2:H2"/>
    <mergeCell ref="A1:H1"/>
  </mergeCells>
  <conditionalFormatting sqref="A5:H404">
    <cfRule type="expression" priority="1" dxfId="6">
      <formula>$C5="Despesa pessoal paga pela clínica"</formula>
    </cfRule>
    <cfRule type="expression" priority="2" dxfId="7">
      <formula>$C5="Devolução à clínica"</formula>
    </cfRule>
  </conditionalFormatting>
  <dataValidations count="5">
    <dataValidation sqref="B5:B404" showDropDown="0" showInputMessage="0" showErrorMessage="0" allowBlank="1" type="list">
      <formula1>=OFFSET(Config!$A$15,0,0,MAX(1,COUNTA(Config!$A$15:$A$20)),1)</formula1>
    </dataValidation>
    <dataValidation sqref="C5:C404" showDropDown="0" showInputMessage="0" showErrorMessage="1" allowBlank="1" type="list">
      <formula1>=Config!$J$5:$J$9</formula1>
    </dataValidation>
    <dataValidation sqref="F5:F404" showDropDown="0" showInputMessage="0" showErrorMessage="1" allowBlank="1" type="list">
      <formula1>"1º trimestre,2º trimestre,3º trimestre,4º trimestre"</formula1>
    </dataValidation>
    <dataValidation sqref="A5:A404" showDropDown="0" showInputMessage="0" showErrorMessage="0" allowBlank="1" type="date" operator="greaterThan">
      <formula1>1</formula1>
    </dataValidation>
    <dataValidation sqref="E5:E4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Repasse e pró-labore · Kit de Gestão para Médicos</dc:title>
  <dcterms:created xmlns:dcterms="http://purl.org/dc/terms/" xmlns:xsi="http://www.w3.org/2001/XMLSchema-instance" xsi:type="dcterms:W3CDTF">2026-09-17T14:44:56Z</dcterms:created>
  <dcterms:modified xmlns:dcterms="http://purl.org/dc/terms/" xmlns:xsi="http://www.w3.org/2001/XMLSchema-instance" xsi:type="dcterms:W3CDTF">2026-09-17T14:44:56Z</dcterms:modified>
</cp:coreProperties>
</file>