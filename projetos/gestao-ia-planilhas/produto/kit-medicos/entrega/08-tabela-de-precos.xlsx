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Tabela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dd/mm/yyyy"/>
    <numFmt numFmtId="166" formatCode="&quot;R$&quot; #,##0.00;[Red]-&quot;R$&quot; #,##0.00"/>
    <numFmt numFmtId="167" formatCode="&quot;R$&quot; #,##0;[Red]-&quot;R$&quot; #,##0"/>
    <numFmt numFmtId="168" formatCode="+0%;-0%;0%"/>
    <numFmt numFmtId="169" formatCode="0.0"/>
  </numFmts>
  <fonts count="18">
    <font>
      <name val="Calibri"/>
      <family val="2"/>
      <color theme="1"/>
      <sz val="11"/>
      <scheme val="minor"/>
    </font>
    <font>
      <name val="Arial"/>
      <b val="1"/>
      <color rgb="003B1F5E"/>
      <sz val="16"/>
    </font>
    <font>
      <name val="Arial"/>
      <i val="1"/>
      <color rgb="007A5AA8"/>
      <sz val="10"/>
    </font>
    <font>
      <name val="Arial"/>
      <b val="1"/>
      <color rgb="003B1F5E"/>
      <sz val="10"/>
    </font>
    <font>
      <name val="Arial"/>
      <color rgb="001F1235"/>
      <sz val="10"/>
    </font>
    <font>
      <name val="Arial"/>
      <color rgb="007A5AA8"/>
      <sz val="9"/>
    </font>
    <font>
      <name val="Arial"/>
      <color rgb="003B1F5E"/>
      <sz val="10"/>
    </font>
    <font>
      <name val="Arial"/>
      <b val="1"/>
      <color rgb="00FFFFFF"/>
      <sz val="10"/>
    </font>
    <font>
      <name val="Arial"/>
      <b val="1"/>
      <color rgb="003B1F5E"/>
      <sz val="9"/>
    </font>
    <font>
      <name val="Arial"/>
      <b val="1"/>
      <color rgb="007A1F1F"/>
      <sz val="9"/>
    </font>
    <font>
      <name val="Arial"/>
      <b val="1"/>
      <color rgb="007A1F1F"/>
      <sz val="16"/>
    </font>
    <font>
      <name val="Arial"/>
      <b val="1"/>
      <color rgb="00155E3C"/>
      <sz val="9"/>
    </font>
    <font>
      <name val="Arial"/>
      <b val="1"/>
      <color rgb="00155E3C"/>
      <sz val="16"/>
    </font>
    <font>
      <name val="Arial"/>
      <b val="1"/>
      <color rgb="003B1F5E"/>
      <sz val="13"/>
    </font>
    <font>
      <name val="Arial"/>
      <b val="1"/>
      <color rgb="003B1F5E"/>
      <sz val="20"/>
    </font>
    <font>
      <name val="Arial"/>
      <color rgb="007A5AA8"/>
      <sz val="10"/>
    </font>
    <font>
      <name val="Arial"/>
      <b val="1"/>
      <color rgb="003B1F5E"/>
    </font>
    <font>
      <name val="Arial"/>
      <color rgb="001F1235"/>
    </font>
  </fonts>
  <fills count="8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3B1F5E"/>
      </patternFill>
    </fill>
    <fill>
      <patternFill patternType="solid">
        <fgColor rgb="00F3EEFB"/>
      </patternFill>
    </fill>
    <fill>
      <patternFill patternType="solid">
        <fgColor rgb="00FBE4E4"/>
      </patternFill>
    </fill>
    <fill>
      <patternFill patternType="solid">
        <fgColor rgb="00DDF3E7"/>
      </patternFill>
    </fill>
    <fill>
      <patternFill patternType="solid">
        <fgColor rgb="00FFC83D"/>
      </patternFill>
    </fill>
  </fills>
  <borders count="2">
    <border>
      <left/>
      <right/>
      <top/>
      <bottom/>
      <diagonal/>
    </border>
    <border>
      <left style="thin">
        <color rgb="00DCD2EC"/>
      </left>
      <right style="thin">
        <color rgb="00DCD2EC"/>
      </right>
      <top style="thin">
        <color rgb="00DCD2EC"/>
      </top>
      <bottom style="thin">
        <color rgb="00DCD2EC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applyAlignment="1" pivotButton="0" quotePrefix="0" xfId="0">
      <alignment vertical="top"/>
    </xf>
    <xf numFmtId="0" fontId="17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8" fillId="4" borderId="0" applyAlignment="1" pivotButton="0" quotePrefix="0" xfId="0">
      <alignment horizontal="center"/>
    </xf>
    <xf numFmtId="0" fontId="0" fillId="4" borderId="0" pivotButton="0" quotePrefix="0" xfId="0"/>
    <xf numFmtId="0" fontId="9" fillId="5" borderId="0" applyAlignment="1" pivotButton="0" quotePrefix="0" xfId="0">
      <alignment horizontal="center"/>
    </xf>
    <xf numFmtId="0" fontId="0" fillId="5" borderId="0" pivotButton="0" quotePrefix="0" xfId="0"/>
    <xf numFmtId="0" fontId="11" fillId="6" borderId="0" applyAlignment="1" pivotButton="0" quotePrefix="0" xfId="0">
      <alignment horizontal="center"/>
    </xf>
    <xf numFmtId="0" fontId="0" fillId="6" borderId="0" pivotButton="0" quotePrefix="0" xfId="0"/>
    <xf numFmtId="0" fontId="8" fillId="7" borderId="0" applyAlignment="1" pivotButton="0" quotePrefix="0" xfId="0">
      <alignment horizontal="center"/>
    </xf>
    <xf numFmtId="0" fontId="0" fillId="7" borderId="0" pivotButton="0" quotePrefix="0" xfId="0"/>
    <xf numFmtId="166" fontId="1" fillId="4" borderId="0" applyAlignment="1" pivotButton="0" quotePrefix="0" xfId="0">
      <alignment horizontal="center"/>
    </xf>
    <xf numFmtId="49" fontId="10" fillId="5" borderId="0" applyAlignment="1" pivotButton="0" quotePrefix="0" xfId="0">
      <alignment horizontal="center"/>
    </xf>
    <xf numFmtId="1" fontId="10" fillId="5" borderId="0" applyAlignment="1" pivotButton="0" quotePrefix="0" xfId="0">
      <alignment horizontal="center"/>
    </xf>
    <xf numFmtId="167" fontId="12" fillId="6" borderId="0" applyAlignment="1" pivotButton="0" quotePrefix="0" xfId="0">
      <alignment horizontal="center"/>
    </xf>
    <xf numFmtId="166" fontId="1" fillId="7" borderId="0" applyAlignment="1" pivotButton="0" quotePrefix="0" xfId="0">
      <alignment horizontal="center"/>
    </xf>
    <xf numFmtId="168" fontId="1" fillId="4" borderId="0" applyAlignment="1" pivotButton="0" quotePrefix="0" xfId="0">
      <alignment horizontal="center"/>
    </xf>
    <xf numFmtId="0" fontId="7" fillId="3" borderId="1" applyAlignment="1" pivotButton="0" quotePrefix="0" xfId="0">
      <alignment horizontal="center" vertical="center" wrapText="1"/>
    </xf>
    <xf numFmtId="0" fontId="4" fillId="2" borderId="1" applyProtection="1" pivotButton="0" quotePrefix="0" xfId="0">
      <protection locked="0" hidden="0"/>
    </xf>
    <xf numFmtId="1" fontId="4" fillId="2" borderId="1" applyAlignment="1" applyProtection="1" pivotButton="0" quotePrefix="0" xfId="0">
      <alignment horizontal="center"/>
      <protection locked="0" hidden="0"/>
    </xf>
    <xf numFmtId="0" fontId="4" fillId="2" borderId="1" applyAlignment="1" applyProtection="1" pivotButton="0" quotePrefix="0" xfId="0">
      <alignment horizontal="center"/>
      <protection locked="0" hidden="0"/>
    </xf>
    <xf numFmtId="166" fontId="4" fillId="2" borderId="1" applyAlignment="1" applyProtection="1" pivotButton="0" quotePrefix="0" xfId="0">
      <alignment horizontal="center"/>
      <protection locked="0" hidden="0"/>
    </xf>
    <xf numFmtId="166" fontId="4" fillId="0" borderId="1" applyAlignment="1" pivotButton="0" quotePrefix="0" xfId="0">
      <alignment horizontal="center"/>
    </xf>
    <xf numFmtId="166" fontId="3" fillId="0" borderId="1" applyAlignment="1" pivotButton="0" quotePrefix="0" xfId="0">
      <alignment horizontal="center"/>
    </xf>
    <xf numFmtId="167" fontId="4" fillId="2" borderId="1" applyAlignment="1" applyProtection="1" pivotButton="0" quotePrefix="0" xfId="0">
      <alignment horizontal="center"/>
      <protection locked="0" hidden="0"/>
    </xf>
    <xf numFmtId="0" fontId="4" fillId="0" borderId="1" applyAlignment="1" pivotButton="0" quotePrefix="0" xfId="0">
      <alignment horizontal="center"/>
    </xf>
    <xf numFmtId="1" fontId="4" fillId="0" borderId="1" applyAlignment="1" pivotButton="0" quotePrefix="0" xfId="0">
      <alignment horizontal="center"/>
    </xf>
    <xf numFmtId="168" fontId="4" fillId="0" borderId="1" applyAlignment="1" pivotButton="0" quotePrefix="0" xfId="0">
      <alignment horizontal="center"/>
    </xf>
    <xf numFmtId="0" fontId="5" fillId="0" borderId="0" applyAlignment="1" pivotButton="0" quotePrefix="0" xfId="0">
      <alignment vertical="top" wrapText="1"/>
    </xf>
    <xf numFmtId="0" fontId="13" fillId="0" borderId="0" applyAlignment="1" pivotButton="0" quotePrefix="0" xfId="0">
      <alignment horizontal="left" vertical="top"/>
    </xf>
    <xf numFmtId="0" fontId="4" fillId="0" borderId="1" pivotButton="0" quotePrefix="0" xfId="0"/>
    <xf numFmtId="169" fontId="4" fillId="0" borderId="1" applyAlignment="1" pivotButton="0" quotePrefix="0" xfId="0">
      <alignment horizontal="center"/>
    </xf>
    <xf numFmtId="167" fontId="4" fillId="0" borderId="1" applyAlignment="1" pivotButton="0" quotePrefix="0" xfId="0">
      <alignment horizontal="center"/>
    </xf>
    <xf numFmtId="0" fontId="5" fillId="0" borderId="0" pivotButton="0" quotePrefix="0" xfId="0"/>
    <xf numFmtId="0" fontId="3" fillId="0" borderId="0" pivotButton="0" quotePrefix="0" xfId="0"/>
    <xf numFmtId="165" fontId="4" fillId="0" borderId="1" applyAlignment="1" pivotButton="0" quotePrefix="0" xfId="0">
      <alignment horizontal="center"/>
    </xf>
    <xf numFmtId="9" fontId="4" fillId="2" borderId="1" applyAlignment="1" applyProtection="1" pivotButton="0" quotePrefix="0" xfId="0">
      <alignment horizontal="center"/>
      <protection locked="0" hidden="0"/>
    </xf>
    <xf numFmtId="2" fontId="4" fillId="2" borderId="1" applyAlignment="1" applyProtection="1" pivotButton="0" quotePrefix="0" xfId="0">
      <alignment horizontal="center"/>
      <protection locked="0" hidden="0"/>
    </xf>
    <xf numFmtId="0" fontId="6" fillId="0" borderId="0" pivotButton="0" quotePrefix="0" xfId="0"/>
  </cellXfs>
  <cellStyles count="1">
    <cellStyle name="Normal" xfId="0" builtinId="0" hidden="0"/>
  </cellStyles>
  <dxfs count="6">
    <dxf>
      <font>
        <name val="Arial"/>
        <b val="1"/>
        <color rgb="007A1F1F"/>
        <sz val="10"/>
      </font>
      <fill>
        <patternFill patternType="solid">
          <fgColor rgb="00FBE4E4"/>
        </patternFill>
      </fill>
    </dxf>
    <dxf>
      <fill>
        <patternFill patternType="solid">
          <fgColor rgb="00FFF4CC"/>
        </patternFill>
      </fill>
    </dxf>
    <dxf>
      <font>
        <name val="Arial"/>
        <color rgb="00155E3C"/>
        <sz val="10"/>
      </font>
      <fill>
        <patternFill patternType="solid">
          <fgColor rgb="00DDF3E7"/>
        </patternFill>
      </fill>
    </dxf>
    <dxf>
      <font>
        <name val="Arial"/>
        <color rgb="008A86A0"/>
        <sz val="10"/>
      </font>
    </dxf>
    <dxf>
      <font>
        <name val="Arial"/>
        <color rgb="007A1F1F"/>
        <sz val="10"/>
      </font>
      <fill>
        <patternFill patternType="solid">
          <fgColor rgb="00FBE4E4"/>
        </patternFill>
      </fill>
    </dxf>
    <dxf>
      <font>
        <name val="Arial"/>
        <b val="1"/>
        <color rgb="00C8402E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Valor por hora: particular × convênios (R$)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'Tabela'!C26</f>
            </strRef>
          </tx>
          <spPr>
            <a:solidFill xmlns:a="http://schemas.openxmlformats.org/drawingml/2006/main">
              <a:srgbClr val="3B1F5E"/>
            </a:solidFill>
            <a:ln xmlns:a="http://schemas.openxmlformats.org/drawingml/2006/main">
              <a:prstDash val="solid"/>
            </a:ln>
          </spPr>
          <cat>
            <numRef>
              <f>'Tabela'!$A$27:$A$33</f>
            </numRef>
          </cat>
          <val>
            <numRef>
              <f>'Tabela'!$C$27:$C$33</f>
            </numRef>
          </val>
        </ser>
        <ser>
          <idx val="1"/>
          <order val="1"/>
          <tx>
            <strRef>
              <f>'Tabela'!D26</f>
            </strRef>
          </tx>
          <spPr>
            <a:solidFill xmlns:a="http://schemas.openxmlformats.org/drawingml/2006/main">
              <a:srgbClr val="B89BE0"/>
            </a:solidFill>
            <a:ln xmlns:a="http://schemas.openxmlformats.org/drawingml/2006/main">
              <a:prstDash val="solid"/>
            </a:ln>
          </spPr>
          <cat>
            <numRef>
              <f>'Tabela'!$A$27:$A$33</f>
            </numRef>
          </cat>
          <val>
            <numRef>
              <f>'Tabela'!$D$27:$D$33</f>
            </numRef>
          </val>
        </ser>
        <ser>
          <idx val="2"/>
          <order val="2"/>
          <tx>
            <strRef>
              <f>'Tabela'!E26</f>
            </strRef>
          </tx>
          <spPr>
            <a:solidFill xmlns:a="http://schemas.openxmlformats.org/drawingml/2006/main">
              <a:srgbClr val="7A5AA8"/>
            </a:solidFill>
            <a:ln xmlns:a="http://schemas.openxmlformats.org/drawingml/2006/main">
              <a:prstDash val="solid"/>
            </a:ln>
          </spPr>
          <cat>
            <numRef>
              <f>'Tabela'!$A$27:$A$33</f>
            </numRef>
          </cat>
          <val>
            <numRef>
              <f>'Tabela'!$E$27:$E$33</f>
            </numRef>
          </val>
        </ser>
        <ser>
          <idx val="3"/>
          <order val="3"/>
          <tx>
            <strRef>
              <f>'Tabela'!F26</f>
            </strRef>
          </tx>
          <spPr>
            <a:solidFill xmlns:a="http://schemas.openxmlformats.org/drawingml/2006/main">
              <a:srgbClr val="FFC83D"/>
            </a:solidFill>
            <a:ln xmlns:a="http://schemas.openxmlformats.org/drawingml/2006/main">
              <a:prstDash val="solid"/>
            </a:ln>
          </spPr>
          <cat>
            <numRef>
              <f>'Tabela'!$A$27:$A$33</f>
            </numRef>
          </cat>
          <val>
            <numRef>
              <f>'Tabela'!$F$27:$F$33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11</col>
      <colOff>0</colOff>
      <row>24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>
      <c r="A1" s="1" t="inlineStr">
        <is>
          <t>Tabela de preços e referência por procedimento</t>
        </is>
      </c>
    </row>
    <row r="2">
      <c r="A2" s="2" t="inlineStr">
        <is>
          <t>Kit de Gestão para Médicos · Seu Sócio Gestor · versão 1.0 (setembro de 2026)</t>
        </is>
      </c>
    </row>
    <row r="4" ht="46" customHeight="1">
      <c r="A4" s="3" t="inlineStr">
        <is>
          <t>O que esta planilha faz</t>
        </is>
      </c>
      <c r="B4" s="4" t="inlineStr">
        <is>
          <t>É a tabela interna da clínica: para cada procedimento, o preço particular e a tabela de cada convênio ao lado do custo cheio, do preço mínimo e do preço alvo (a mesma conta da 06), mais o valor por hora que cada pagador paga e o valor médio praticado no mês fechado.</t>
        </is>
      </c>
    </row>
    <row r="5" ht="46" customHeight="1">
      <c r="A5" s="3" t="inlineStr">
        <is>
          <t>Passo 1</t>
        </is>
      </c>
      <c r="B5" s="4" t="inlineStr">
        <is>
          <t>Em Config, copie o custo-hora da planilha 05, a alíquota, as margens e os pagadores (o primeiro é o particular).</t>
        </is>
      </c>
    </row>
    <row r="6" ht="46" customHeight="1">
      <c r="A6" s="3" t="inlineStr">
        <is>
          <t>Passo 2</t>
        </is>
      </c>
      <c r="B6" s="4" t="inlineStr">
        <is>
          <t>Em Tabela, uma linha por procedimento: minutos, se gera retorno, material e o valor de cada pagador. Esta é a tabela oficial da clínica: a Config da planilha 01 (agenda), a 06 e a 07 copiam daqui.</t>
        </is>
      </c>
    </row>
    <row r="7" ht="46" customHeight="1">
      <c r="A7" s="3" t="inlineStr">
        <is>
          <t>Passo 3</t>
        </is>
      </c>
      <c r="B7" s="4" t="inlineStr">
        <is>
          <t>Copie de "Por procedimento" no Painel da 01 (mês fechado) os realizados e a produção do mês: a planilha mostra o valor médio praticado e quanto ele fica acima ou abaixo do mínimo.</t>
        </is>
      </c>
    </row>
    <row r="8" ht="46" customHeight="1">
      <c r="A8" s="3" t="inlineStr">
        <is>
          <t>Passo 4</t>
        </is>
      </c>
      <c r="B8" s="4" t="inlineStr">
        <is>
          <t>Leia as cores: particular abaixo do mínimo (vermelho) é preço a revisar; tabela de convênio vermelha não cobre o custo cheio (leve para a planilha 07 antes de decidir). O quadro "Valor por hora" é o argumento para negociar tabela.</t>
        </is>
      </c>
    </row>
    <row r="9" ht="46" customHeight="1">
      <c r="A9" s="3" t="inlineStr">
        <is>
          <t>Ordem de atualização</t>
        </is>
      </c>
      <c r="B9" s="4" t="inlineStr">
        <is>
          <t>Mudou um preço? Atualize sempre nesta ordem: 08 (aqui) → 06 · Precificação → 07 · Simulador → 01 · Config (a tabela que a Agenda busca). Procedimento novo: 01 e 02 (Config), 08, 06 e 07. Convênio novo: 01, 02, 06, 07, 08, 09 (categorias de entrada) e 13 (Config, com prazo e dia de envio).</t>
        </is>
      </c>
    </row>
    <row r="10" ht="46" customHeight="1">
      <c r="A10" s="3" t="inlineStr">
        <is>
          <t>Rotina</t>
        </is>
      </c>
      <c r="B10" s="4" t="inlineStr">
        <is>
          <t>Revise quando o custo-hora mudar (05) ou ao renegociar um convênio. Se pesquisar preços da região, anote na coluna "Referência de mercado"; a divulgação de preços segue as regras do CFM.</t>
        </is>
      </c>
    </row>
    <row r="11" ht="46" customHeight="1">
      <c r="A11" s="3" t="inlineStr">
        <is>
          <t>Com a IA</t>
        </is>
      </c>
      <c r="B11" s="4" t="inlineStr">
        <is>
          <t>Copie a Tabela e use o prompt "Preço 04 · Revisar a tabela de preços" da biblioteca do kit, ou "Preço 03 · Vale a pena este convênio?" para um convênio específico.</t>
        </is>
      </c>
    </row>
    <row r="12" ht="46" customHeight="1">
      <c r="A12" s="3" t="inlineStr">
        <is>
          <t>Legenda</t>
        </is>
      </c>
      <c r="B12" s="4" t="inlineStr">
        <is>
          <t>Células amarelas: você preenche. Brancas: calculadas. Não é preciso mexer em nada fora do amarelo.</t>
        </is>
      </c>
    </row>
    <row r="13" ht="46" customHeight="1">
      <c r="A13" s="3" t="inlineStr">
        <is>
          <t>Proteção</t>
        </is>
      </c>
      <c r="B13" s="4" t="inlineStr">
        <is>
          <t>Fórmulas protegidas sem senha. Para editar: Revisar &gt; Desproteger planilha (Excel) ou Dados &gt; Proteger intervalos (Google Sheets).</t>
        </is>
      </c>
    </row>
    <row r="14" ht="46" customHeight="1">
      <c r="A14" s="3" t="inlineStr">
        <is>
          <t>Requisitos</t>
        </is>
      </c>
      <c r="B14" s="4" t="inlineStr">
        <is>
          <t>Excel 2016 ou mais novo, Microsoft 365 ou Google Sheets (só funções do Excel 2007+; nada de MÍNIMOSES, MÁXIMOSES ou UNIRTEXTO). No celular abre nos aplicativos; para preencher, use o computador.</t>
        </is>
      </c>
    </row>
    <row r="15" ht="46" customHeight="1">
      <c r="A15" s="3" t="inlineStr">
        <is>
          <t>Dados de pacientes</t>
        </is>
      </c>
      <c r="B15" s="4" t="inlineStr">
        <is>
          <t>Guarde só o que a gestão precisa (nome, contato, valor, data). Nada de diagnóstico, prontuário ou exame nestas planilhas: o kit é gestão, não é prontuário. Veja o guia LGPD do kit antes de colar qualquer tabela em uma IA.</t>
        </is>
      </c>
    </row>
    <row r="16" ht="46" customHeight="1">
      <c r="A16" s="3" t="inlineStr">
        <is>
          <t>Google Sheets</t>
        </is>
      </c>
      <c r="B16" s="4" t="inlineStr">
        <is>
          <t>Faça upload no Google Drive e abra com o Google Sheets. Fórmulas, listas, cores e gráficos funcionam.</t>
        </is>
      </c>
    </row>
    <row r="17" ht="46" customHeight="1">
      <c r="A17" s="3" t="inlineStr">
        <is>
          <t>Exemplos</t>
        </is>
      </c>
      <c r="B17" s="4" t="inlineStr">
        <is>
          <t>Clínica Vida Plena é uma clínica fictícia. Pacientes, convênios, nomes, contatos e valores são inventados; não há nenhum dado clínico. Apague o exemplo antes de começar.</t>
        </is>
      </c>
    </row>
    <row r="18" ht="46" customHeight="1">
      <c r="A18" s="3" t="inlineStr">
        <is>
          <t>Data de referência</t>
        </is>
      </c>
      <c r="B18" s="4" t="inlineStr">
        <is>
          <t>O exemplo está congelado em 14/09/2026, para todos os arquivos do kit mostrarem a mesma foto e os números fecharem entre eles. Ao começar a usar com os seus dados, troque a data de referência em Config por =HOJE(): daí em diante ela acompanha o dia.</t>
        </is>
      </c>
    </row>
    <row r="19" ht="46" customHeight="1">
      <c r="A19" s="3" t="inlineStr">
        <is>
          <t>Suporte</t>
        </is>
      </c>
      <c r="B19" s="4" t="inlineStr">
        <is>
          <t>suporte@seusociogestor.com.br · resposta em até 5 dias úteis · reembolso em até 7 dias pelo mesmo canal.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9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8" customWidth="1" min="2" max="2"/>
    <col width="9" customWidth="1" min="3" max="3"/>
    <col width="1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9" customWidth="1" min="12" max="12"/>
    <col width="9" customWidth="1" min="13" max="13"/>
    <col width="18" customWidth="1" min="14" max="14"/>
    <col width="11" customWidth="1" min="15" max="15"/>
    <col width="10" customWidth="1" min="16" max="16"/>
    <col width="13" customWidth="1" min="17" max="17"/>
    <col width="12" customWidth="1" min="18" max="18"/>
    <col width="11" customWidth="1" min="19" max="19"/>
    <col width="22" customWidth="1" min="20" max="20"/>
  </cols>
  <sheetData>
    <row r="1" ht="28" customHeight="1">
      <c r="A1" s="5" t="str">
        <f>Config!$B$4&amp;" · Tabela de preços e referência · volume de "&amp;Config!$B$5</f>
        <v>Clínica Vida Plena (exemplo fictício) · Tabela de preços e referência · volume de Agosto de 2026</v>
      </c>
    </row>
    <row r="2">
      <c r="A2" s="6" t="inlineStr">
        <is>
          <t>Amarelo: procedimento, minutos, retorno, material, valor de cada pagador e o volume do mês (Painel da 01, por procedimento). Branco: custo cheio, mínimo, alvo, situação e valor médio praticado.</t>
        </is>
      </c>
    </row>
    <row r="3"/>
    <row r="4">
      <c r="A4" s="7" t="inlineStr">
        <is>
          <t>Hora mínima (05)</t>
        </is>
      </c>
      <c r="B4" s="8" t="n"/>
      <c r="C4" s="9" t="inlineStr">
        <is>
          <t>Particular abaixo do mínimo</t>
        </is>
      </c>
      <c r="D4" s="10" t="n"/>
      <c r="E4" s="9" t="inlineStr">
        <is>
          <t>Tabelas de convênio abaixo do custo cheio + imposto</t>
        </is>
      </c>
      <c r="F4" s="10" t="n"/>
      <c r="G4" s="11" t="inlineStr">
        <is>
          <t>Produção no mês (R$)</t>
        </is>
      </c>
      <c r="H4" s="12" t="n"/>
      <c r="I4" s="13" t="inlineStr">
        <is>
          <t>Valor médio por hora no mês</t>
        </is>
      </c>
      <c r="J4" s="14" t="n"/>
      <c r="K4" s="7" t="inlineStr">
        <is>
          <t>Contra a hora mínima</t>
        </is>
      </c>
      <c r="L4" s="8" t="n"/>
    </row>
    <row r="5" ht="30" customHeight="1">
      <c r="A5" s="15">
        <f>Config!$B$13</f>
        <v>338.983050847458</v>
      </c>
      <c r="B5" s="8" t="n"/>
      <c r="C5" s="16" t="str">
        <f>COUNTIF($N$8:$N$19,"Abaixo do mínimo")&amp;" de "&amp;COUNTA($A$8:$A$19)</f>
        <v>0 de 7</v>
      </c>
      <c r="D5" s="10" t="n"/>
      <c r="E5" s="17">
        <f>SUM($O$8:$O$19)</f>
        <v>14</v>
      </c>
      <c r="F5" s="10" t="n"/>
      <c r="G5" s="18">
        <f>SUM($Q$8:$Q$19)</f>
        <v>48631</v>
      </c>
      <c r="H5" s="12" t="n"/>
      <c r="I5" s="19">
        <f>IFERROR(SUM($Q$8:$Q$19)/(SUMPRODUCT($P$8:$P$19,$B$8:$B$19)/60),0)</f>
        <v>410.966197183099</v>
      </c>
      <c r="J5" s="14" t="n"/>
      <c r="K5" s="20">
        <f>IFERROR(I5/Config!$B$13-1,0)</f>
        <v>0.212350281690141</v>
      </c>
      <c r="L5" s="8" t="n"/>
    </row>
    <row r="6"/>
    <row r="7" ht="44" customHeight="1">
      <c r="A7" s="21" t="inlineStr">
        <is>
          <t>Procedimento</t>
        </is>
      </c>
      <c r="B7" s="21" t="inlineStr">
        <is>
          <t>Minutos</t>
        </is>
      </c>
      <c r="C7" s="21" t="inlineStr">
        <is>
          <t>Gera retorno?</t>
        </is>
      </c>
      <c r="D7" s="21" t="inlineStr">
        <is>
          <t>Material (R$)</t>
        </is>
      </c>
      <c r="E7" s="21" t="inlineStr">
        <is>
          <t>Custo cheio (R$)</t>
        </is>
      </c>
      <c r="F7" s="21" t="inlineStr">
        <is>
          <t>Preço mínimo (R$)</t>
        </is>
      </c>
      <c r="G7" s="21" t="inlineStr">
        <is>
          <t>Preço alvo (R$)</t>
        </is>
      </c>
      <c r="H7" s="21" t="str">
        <f>IF(Config!$B$17="","",Config!$B$17)</f>
        <v>Particular</v>
      </c>
      <c r="I7" s="21" t="str">
        <f>IF(Config!$B$18="","",Config!$B$18)</f>
        <v>Saúde Total</v>
      </c>
      <c r="J7" s="21" t="str">
        <f>IF(Config!$B$19="","",Config!$B$19)</f>
        <v>MediPlan</v>
      </c>
      <c r="K7" s="21" t="str">
        <f>IF(Config!$B$20="","",Config!$B$20)</f>
        <v>Vida Care</v>
      </c>
      <c r="L7" s="21">
        <f>IF(Config!$B$21="","",Config!$B$21)</f>
        <v/>
      </c>
      <c r="M7" s="21">
        <f>IF(Config!$B$22="","",Config!$B$22)</f>
        <v/>
      </c>
      <c r="N7" s="21" t="inlineStr">
        <is>
          <t>Situação do particular</t>
        </is>
      </c>
      <c r="O7" s="21" t="inlineStr">
        <is>
          <t>Tabelas abaixo do custo cheio + imposto</t>
        </is>
      </c>
      <c r="P7" s="21" t="inlineStr">
        <is>
          <t>Realizados no mês</t>
        </is>
      </c>
      <c r="Q7" s="21" t="inlineStr">
        <is>
          <t>Produção no mês (R$)</t>
        </is>
      </c>
      <c r="R7" s="21" t="inlineStr">
        <is>
          <t>Valor médio praticado (R$)</t>
        </is>
      </c>
      <c r="S7" s="21" t="inlineStr">
        <is>
          <t>Valor médio contra o mínimo</t>
        </is>
      </c>
      <c r="T7" s="21" t="inlineStr">
        <is>
          <t>Referência de mercado (opcional)</t>
        </is>
      </c>
    </row>
    <row r="8">
      <c r="A8" s="22" t="inlineStr">
        <is>
          <t>Consulta</t>
        </is>
      </c>
      <c r="B8" s="23" t="n">
        <v>30</v>
      </c>
      <c r="C8" s="24" t="inlineStr">
        <is>
          <t>Sim</t>
        </is>
      </c>
      <c r="D8" s="25" t="n">
        <v>4</v>
      </c>
      <c r="E8" s="26">
        <f>IF(A8="","",(B8+IF(C8="Sim",Config!$B$11*Config!$B$12,0))/60*Config!$B$7+D8)</f>
        <v>130.666666666667</v>
      </c>
      <c r="F8" s="27">
        <f>IF(A8="","",IFERROR(E8/(1-Config!$B$8-Config!$B$9),""))</f>
        <v>221.468926553672</v>
      </c>
      <c r="G8" s="26">
        <f>IF(A8="","",IFERROR(E8/(1-Config!$B$8-Config!$B$10),""))</f>
        <v>296.969696969697</v>
      </c>
      <c r="H8" s="28" t="n">
        <v>380</v>
      </c>
      <c r="I8" s="28" t="n">
        <v>120</v>
      </c>
      <c r="J8" s="28" t="n">
        <v>100</v>
      </c>
      <c r="K8" s="28" t="n">
        <v>90</v>
      </c>
      <c r="L8" s="28" t="n"/>
      <c r="M8" s="28" t="n"/>
      <c r="N8" s="29" t="str">
        <f>IF(OR(A8="",H8=""),"",IF(H8=0,"Sem cobrança",IF(H8&lt;F8,"Abaixo do mínimo",IF(H8&lt;G8,"Entre mínimo e alvo","No alvo ou acima"))))</f>
        <v>No alvo ou acima</v>
      </c>
      <c r="O8" s="30">
        <f>IF(A8="","",SUMPRODUCT((I8:M8&lt;&gt;"")*(I8:M8&gt;0)*(I8:M8*(1-Config!$B$8)&lt;E8)))</f>
        <v>3</v>
      </c>
      <c r="P8" s="23" t="n">
        <v>130</v>
      </c>
      <c r="Q8" s="28" t="n">
        <v>30730</v>
      </c>
      <c r="R8" s="26">
        <f>IF(OR(A8="",P8="",P8=0),"",Q8/P8)</f>
        <v>236.384615384615</v>
      </c>
      <c r="S8" s="31">
        <f>IF(OR(R8="",F8="",H8=0),"",R8/F8-1)</f>
        <v>0.0673489010989012</v>
      </c>
      <c r="T8" s="22" t="n"/>
    </row>
    <row r="9">
      <c r="A9" s="22" t="inlineStr">
        <is>
          <t>Retorno</t>
        </is>
      </c>
      <c r="B9" s="23" t="n">
        <v>20</v>
      </c>
      <c r="C9" s="24" t="inlineStr">
        <is>
          <t>Não</t>
        </is>
      </c>
      <c r="D9" s="25" t="n">
        <v>2</v>
      </c>
      <c r="E9" s="26">
        <f>IF(A9="","",(B9+IF(C9="Sim",Config!$B$11*Config!$B$12,0))/60*Config!$B$7+D9)</f>
        <v>68.6666666666667</v>
      </c>
      <c r="F9" s="27">
        <f>IF(A9="","",IFERROR(E9/(1-Config!$B$8-Config!$B$9),""))</f>
        <v>116.38418079096</v>
      </c>
      <c r="G9" s="26">
        <f>IF(A9="","",IFERROR(E9/(1-Config!$B$8-Config!$B$10),""))</f>
        <v>156.060606060606</v>
      </c>
      <c r="H9" s="28" t="n">
        <v>0</v>
      </c>
      <c r="I9" s="28" t="n">
        <v>0</v>
      </c>
      <c r="J9" s="28" t="n">
        <v>0</v>
      </c>
      <c r="K9" s="28" t="n">
        <v>0</v>
      </c>
      <c r="L9" s="28" t="n"/>
      <c r="M9" s="28" t="n"/>
      <c r="N9" s="29" t="str">
        <f>IF(OR(A9="",H9=""),"",IF(H9=0,"Sem cobrança",IF(H9&lt;F9,"Abaixo do mínimo",IF(H9&lt;G9,"Entre mínimo e alvo","No alvo ou acima"))))</f>
        <v>Sem cobrança</v>
      </c>
      <c r="O9" s="30">
        <f>IF(A9="","",SUMPRODUCT((I9:M9&lt;&gt;"")*(I9:M9&gt;0)*(I9:M9*(1-Config!$B$8)&lt;E9)))</f>
        <v>0</v>
      </c>
      <c r="P9" s="23" t="n">
        <v>48</v>
      </c>
      <c r="Q9" s="28" t="n">
        <v>0</v>
      </c>
      <c r="R9" s="26">
        <f>IF(OR(A9="",P9="",P9=0),"",Q9/P9)</f>
        <v>0</v>
      </c>
      <c r="S9" s="31">
        <f>IF(OR(R9="",F9="",H9=0),"",R9/F9-1)</f>
        <v/>
      </c>
      <c r="T9" s="22" t="n"/>
    </row>
    <row r="10">
      <c r="A10" s="22" t="inlineStr">
        <is>
          <t>ECG</t>
        </is>
      </c>
      <c r="B10" s="23" t="n">
        <v>20</v>
      </c>
      <c r="C10" s="24" t="inlineStr">
        <is>
          <t>Não</t>
        </is>
      </c>
      <c r="D10" s="25" t="n">
        <v>8</v>
      </c>
      <c r="E10" s="26">
        <f>IF(A10="","",(B10+IF(C10="Sim",Config!$B$11*Config!$B$12,0))/60*Config!$B$7+D10)</f>
        <v>74.6666666666667</v>
      </c>
      <c r="F10" s="27">
        <f>IF(A10="","",IFERROR(E10/(1-Config!$B$8-Config!$B$9),""))</f>
        <v>126.553672316384</v>
      </c>
      <c r="G10" s="26">
        <f>IF(A10="","",IFERROR(E10/(1-Config!$B$8-Config!$B$10),""))</f>
        <v>169.69696969697</v>
      </c>
      <c r="H10" s="28" t="n">
        <v>130</v>
      </c>
      <c r="I10" s="28" t="n">
        <v>40</v>
      </c>
      <c r="J10" s="28" t="n">
        <v>35</v>
      </c>
      <c r="K10" s="28" t="n">
        <v>32</v>
      </c>
      <c r="L10" s="28" t="n"/>
      <c r="M10" s="28" t="n"/>
      <c r="N10" s="29" t="str">
        <f>IF(OR(A10="",H10=""),"",IF(H10=0,"Sem cobrança",IF(H10&lt;F10,"Abaixo do mínimo",IF(H10&lt;G10,"Entre mínimo e alvo","No alvo ou acima"))))</f>
        <v>Entre mínimo e alvo</v>
      </c>
      <c r="O10" s="30">
        <f>IF(A10="","",SUMPRODUCT((I10:M10&lt;&gt;"")*(I10:M10&gt;0)*(I10:M10*(1-Config!$B$8)&lt;E10)))</f>
        <v>3</v>
      </c>
      <c r="P10" s="23" t="n">
        <v>18</v>
      </c>
      <c r="Q10" s="28" t="n">
        <v>1416</v>
      </c>
      <c r="R10" s="26">
        <f>IF(OR(A10="",P10="",P10=0),"",Q10/P10)</f>
        <v>78.6666666666667</v>
      </c>
      <c r="S10" s="31">
        <f>IF(OR(R10="",F10="",H10=0),"",R10/F10-1)</f>
        <v>-0.378392857142857</v>
      </c>
      <c r="T10" s="22" t="n"/>
    </row>
    <row r="11">
      <c r="A11" s="22" t="inlineStr">
        <is>
          <t>MAPA</t>
        </is>
      </c>
      <c r="B11" s="23" t="n">
        <v>20</v>
      </c>
      <c r="C11" s="24" t="inlineStr">
        <is>
          <t>Não</t>
        </is>
      </c>
      <c r="D11" s="25" t="n">
        <v>15</v>
      </c>
      <c r="E11" s="26">
        <f>IF(A11="","",(B11+IF(C11="Sim",Config!$B$11*Config!$B$12,0))/60*Config!$B$7+D11)</f>
        <v>81.6666666666667</v>
      </c>
      <c r="F11" s="27">
        <f>IF(A11="","",IFERROR(E11/(1-Config!$B$8-Config!$B$9),""))</f>
        <v>138.418079096045</v>
      </c>
      <c r="G11" s="26">
        <f>IF(A11="","",IFERROR(E11/(1-Config!$B$8-Config!$B$10),""))</f>
        <v>185.606060606061</v>
      </c>
      <c r="H11" s="28" t="n">
        <v>300</v>
      </c>
      <c r="I11" s="28" t="n">
        <v>95</v>
      </c>
      <c r="J11" s="28" t="n">
        <v>85</v>
      </c>
      <c r="K11" s="28" t="n">
        <v>75</v>
      </c>
      <c r="L11" s="28" t="n"/>
      <c r="M11" s="28" t="n"/>
      <c r="N11" s="29" t="str">
        <f>IF(OR(A11="",H11=""),"",IF(H11=0,"Sem cobrança",IF(H11&lt;F11,"Abaixo do mínimo",IF(H11&lt;G11,"Entre mínimo e alvo","No alvo ou acima"))))</f>
        <v>No alvo ou acima</v>
      </c>
      <c r="O11" s="30">
        <f>IF(A11="","",SUMPRODUCT((I11:M11&lt;&gt;"")*(I11:M11&gt;0)*(I11:M11*(1-Config!$B$8)&lt;E11)))</f>
        <v>2</v>
      </c>
      <c r="P11" s="23" t="n">
        <v>8</v>
      </c>
      <c r="Q11" s="28" t="n">
        <v>1345</v>
      </c>
      <c r="R11" s="26">
        <f>IF(OR(A11="",P11="",P11=0),"",Q11/P11)</f>
        <v>168.125</v>
      </c>
      <c r="S11" s="31">
        <f>IF(OR(R11="",F11="",H11=0),"",R11/F11-1)</f>
        <v>0.214617346938776</v>
      </c>
      <c r="T11" s="22" t="n"/>
    </row>
    <row r="12">
      <c r="A12" s="22" t="inlineStr">
        <is>
          <t>Holter</t>
        </is>
      </c>
      <c r="B12" s="23" t="n">
        <v>20</v>
      </c>
      <c r="C12" s="24" t="inlineStr">
        <is>
          <t>Não</t>
        </is>
      </c>
      <c r="D12" s="25" t="n">
        <v>18</v>
      </c>
      <c r="E12" s="26">
        <f>IF(A12="","",(B12+IF(C12="Sim",Config!$B$11*Config!$B$12,0))/60*Config!$B$7+D12)</f>
        <v>84.6666666666667</v>
      </c>
      <c r="F12" s="27">
        <f>IF(A12="","",IFERROR(E12/(1-Config!$B$8-Config!$B$9),""))</f>
        <v>143.502824858757</v>
      </c>
      <c r="G12" s="26">
        <f>IF(A12="","",IFERROR(E12/(1-Config!$B$8-Config!$B$10),""))</f>
        <v>192.424242424242</v>
      </c>
      <c r="H12" s="28" t="n">
        <v>350</v>
      </c>
      <c r="I12" s="28" t="n">
        <v>105</v>
      </c>
      <c r="J12" s="28" t="n">
        <v>95</v>
      </c>
      <c r="K12" s="28" t="n">
        <v>85</v>
      </c>
      <c r="L12" s="28" t="n"/>
      <c r="M12" s="28" t="n"/>
      <c r="N12" s="29" t="str">
        <f>IF(OR(A12="",H12=""),"",IF(H12=0,"Sem cobrança",IF(H12&lt;F12,"Abaixo do mínimo",IF(H12&lt;G12,"Entre mínimo e alvo","No alvo ou acima"))))</f>
        <v>No alvo ou acima</v>
      </c>
      <c r="O12" s="30">
        <f>IF(A12="","",SUMPRODUCT((I12:M12&lt;&gt;"")*(I12:M12&gt;0)*(I12:M12*(1-Config!$B$8)&lt;E12)))</f>
        <v>2</v>
      </c>
      <c r="P12" s="23" t="n">
        <v>10</v>
      </c>
      <c r="Q12" s="28" t="n">
        <v>2490</v>
      </c>
      <c r="R12" s="26">
        <f>IF(OR(A12="",P12="",P12=0),"",Q12/P12)</f>
        <v>249</v>
      </c>
      <c r="S12" s="31">
        <f>IF(OR(R12="",F12="",H12=0),"",R12/F12-1)</f>
        <v>0.735157480314961</v>
      </c>
      <c r="T12" s="22" t="n"/>
    </row>
    <row r="13">
      <c r="A13" s="22" t="inlineStr">
        <is>
          <t>Teste ergométrico</t>
        </is>
      </c>
      <c r="B13" s="23" t="n">
        <v>40</v>
      </c>
      <c r="C13" s="24" t="inlineStr">
        <is>
          <t>Não</t>
        </is>
      </c>
      <c r="D13" s="25" t="n">
        <v>25</v>
      </c>
      <c r="E13" s="26">
        <f>IF(A13="","",(B13+IF(C13="Sim",Config!$B$11*Config!$B$12,0))/60*Config!$B$7+D13)</f>
        <v>158.333333333333</v>
      </c>
      <c r="F13" s="27">
        <f>IF(A13="","",IFERROR(E13/(1-Config!$B$8-Config!$B$9),""))</f>
        <v>268.361581920904</v>
      </c>
      <c r="G13" s="26">
        <f>IF(A13="","",IFERROR(E13/(1-Config!$B$8-Config!$B$10),""))</f>
        <v>359.848484848485</v>
      </c>
      <c r="H13" s="28" t="n">
        <v>450</v>
      </c>
      <c r="I13" s="28" t="n">
        <v>140</v>
      </c>
      <c r="J13" s="28" t="n">
        <v>125</v>
      </c>
      <c r="K13" s="28" t="n">
        <v>110</v>
      </c>
      <c r="L13" s="28" t="n"/>
      <c r="M13" s="28" t="n"/>
      <c r="N13" s="29" t="str">
        <f>IF(OR(A13="",H13=""),"",IF(H13=0,"Sem cobrança",IF(H13&lt;F13,"Abaixo do mínimo",IF(H13&lt;G13,"Entre mínimo e alvo","No alvo ou acima"))))</f>
        <v>No alvo ou acima</v>
      </c>
      <c r="O13" s="30">
        <f>IF(A13="","",SUMPRODUCT((I13:M13&lt;&gt;"")*(I13:M13&gt;0)*(I13:M13*(1-Config!$B$8)&lt;E13)))</f>
        <v>3</v>
      </c>
      <c r="P13" s="23" t="n">
        <v>8</v>
      </c>
      <c r="Q13" s="28" t="n">
        <v>2270</v>
      </c>
      <c r="R13" s="26">
        <f>IF(OR(A13="",P13="",P13=0),"",Q13/P13)</f>
        <v>283.75</v>
      </c>
      <c r="S13" s="31">
        <f>IF(OR(R13="",F13="",H13=0),"",R13/F13-1)</f>
        <v>0.0573421052631582</v>
      </c>
      <c r="T13" s="22" t="n"/>
    </row>
    <row r="14">
      <c r="A14" s="22" t="inlineStr">
        <is>
          <t>Avaliação endócrina</t>
        </is>
      </c>
      <c r="B14" s="23" t="n">
        <v>40</v>
      </c>
      <c r="C14" s="24" t="inlineStr">
        <is>
          <t>Sim</t>
        </is>
      </c>
      <c r="D14" s="25" t="n">
        <v>4</v>
      </c>
      <c r="E14" s="26">
        <f>IF(A14="","",(B14+IF(C14="Sim",Config!$B$11*Config!$B$12,0))/60*Config!$B$7+D14)</f>
        <v>164</v>
      </c>
      <c r="F14" s="27">
        <f>IF(A14="","",IFERROR(E14/(1-Config!$B$8-Config!$B$9),""))</f>
        <v>277.966101694915</v>
      </c>
      <c r="G14" s="26">
        <f>IF(A14="","",IFERROR(E14/(1-Config!$B$8-Config!$B$10),""))</f>
        <v>372.727272727273</v>
      </c>
      <c r="H14" s="28" t="n">
        <v>400</v>
      </c>
      <c r="I14" s="28" t="n">
        <v>130</v>
      </c>
      <c r="J14" s="28" t="n"/>
      <c r="K14" s="28" t="n"/>
      <c r="L14" s="28" t="n"/>
      <c r="M14" s="28" t="n"/>
      <c r="N14" s="29" t="str">
        <f>IF(OR(A14="",H14=""),"",IF(H14=0,"Sem cobrança",IF(H14&lt;F14,"Abaixo do mínimo",IF(H14&lt;G14,"Entre mínimo e alvo","No alvo ou acima"))))</f>
        <v>No alvo ou acima</v>
      </c>
      <c r="O14" s="30">
        <f>IF(A14="","",SUMPRODUCT((I14:M14&lt;&gt;"")*(I14:M14&gt;0)*(I14:M14*(1-Config!$B$8)&lt;E14)))</f>
        <v>1</v>
      </c>
      <c r="P14" s="23" t="n">
        <v>30</v>
      </c>
      <c r="Q14" s="28" t="n">
        <v>10380</v>
      </c>
      <c r="R14" s="26">
        <f>IF(OR(A14="",P14="",P14=0),"",Q14/P14)</f>
        <v>346</v>
      </c>
      <c r="S14" s="31">
        <f>IF(OR(R14="",F14="",H14=0),"",R14/F14-1)</f>
        <v>0.244756097560976</v>
      </c>
      <c r="T14" s="22" t="n"/>
    </row>
    <row r="15">
      <c r="A15" s="22" t="n"/>
      <c r="B15" s="23" t="n"/>
      <c r="C15" s="24" t="n"/>
      <c r="D15" s="25" t="n"/>
      <c r="E15" s="26">
        <f>IF(A15="","",(B15+IF(C15="Sim",Config!$B$11*Config!$B$12,0))/60*Config!$B$7+D15)</f>
        <v/>
      </c>
      <c r="F15" s="27">
        <f>IF(A15="","",IFERROR(E15/(1-Config!$B$8-Config!$B$9),""))</f>
        <v/>
      </c>
      <c r="G15" s="26">
        <f>IF(A15="","",IFERROR(E15/(1-Config!$B$8-Config!$B$10),""))</f>
        <v/>
      </c>
      <c r="H15" s="28" t="n"/>
      <c r="I15" s="28" t="n"/>
      <c r="J15" s="28" t="n"/>
      <c r="K15" s="28" t="n"/>
      <c r="L15" s="28" t="n"/>
      <c r="M15" s="28" t="n"/>
      <c r="N15" s="29">
        <f>IF(OR(A15="",H15=""),"",IF(H15=0,"Sem cobrança",IF(H15&lt;F15,"Abaixo do mínimo",IF(H15&lt;G15,"Entre mínimo e alvo","No alvo ou acima"))))</f>
        <v/>
      </c>
      <c r="O15" s="30">
        <f>IF(A15="","",SUMPRODUCT((I15:M15&lt;&gt;"")*(I15:M15&gt;0)*(I15:M15*(1-Config!$B$8)&lt;E15)))</f>
        <v/>
      </c>
      <c r="P15" s="23" t="n"/>
      <c r="Q15" s="28" t="n"/>
      <c r="R15" s="26">
        <f>IF(OR(A15="",P15="",P15=0),"",Q15/P15)</f>
        <v/>
      </c>
      <c r="S15" s="31">
        <f>IF(OR(R15="",F15="",H15=0),"",R15/F15-1)</f>
        <v/>
      </c>
      <c r="T15" s="22" t="n"/>
    </row>
    <row r="16">
      <c r="A16" s="22" t="n"/>
      <c r="B16" s="23" t="n"/>
      <c r="C16" s="24" t="n"/>
      <c r="D16" s="25" t="n"/>
      <c r="E16" s="26">
        <f>IF(A16="","",(B16+IF(C16="Sim",Config!$B$11*Config!$B$12,0))/60*Config!$B$7+D16)</f>
        <v/>
      </c>
      <c r="F16" s="27">
        <f>IF(A16="","",IFERROR(E16/(1-Config!$B$8-Config!$B$9),""))</f>
        <v/>
      </c>
      <c r="G16" s="26">
        <f>IF(A16="","",IFERROR(E16/(1-Config!$B$8-Config!$B$10),""))</f>
        <v/>
      </c>
      <c r="H16" s="28" t="n"/>
      <c r="I16" s="28" t="n"/>
      <c r="J16" s="28" t="n"/>
      <c r="K16" s="28" t="n"/>
      <c r="L16" s="28" t="n"/>
      <c r="M16" s="28" t="n"/>
      <c r="N16" s="29">
        <f>IF(OR(A16="",H16=""),"",IF(H16=0,"Sem cobrança",IF(H16&lt;F16,"Abaixo do mínimo",IF(H16&lt;G16,"Entre mínimo e alvo","No alvo ou acima"))))</f>
        <v/>
      </c>
      <c r="O16" s="30">
        <f>IF(A16="","",SUMPRODUCT((I16:M16&lt;&gt;"")*(I16:M16&gt;0)*(I16:M16*(1-Config!$B$8)&lt;E16)))</f>
        <v/>
      </c>
      <c r="P16" s="23" t="n"/>
      <c r="Q16" s="28" t="n"/>
      <c r="R16" s="26">
        <f>IF(OR(A16="",P16="",P16=0),"",Q16/P16)</f>
        <v/>
      </c>
      <c r="S16" s="31">
        <f>IF(OR(R16="",F16="",H16=0),"",R16/F16-1)</f>
        <v/>
      </c>
      <c r="T16" s="22" t="n"/>
    </row>
    <row r="17">
      <c r="A17" s="22" t="n"/>
      <c r="B17" s="23" t="n"/>
      <c r="C17" s="24" t="n"/>
      <c r="D17" s="25" t="n"/>
      <c r="E17" s="26">
        <f>IF(A17="","",(B17+IF(C17="Sim",Config!$B$11*Config!$B$12,0))/60*Config!$B$7+D17)</f>
        <v/>
      </c>
      <c r="F17" s="27">
        <f>IF(A17="","",IFERROR(E17/(1-Config!$B$8-Config!$B$9),""))</f>
        <v/>
      </c>
      <c r="G17" s="26">
        <f>IF(A17="","",IFERROR(E17/(1-Config!$B$8-Config!$B$10),""))</f>
        <v/>
      </c>
      <c r="H17" s="28" t="n"/>
      <c r="I17" s="28" t="n"/>
      <c r="J17" s="28" t="n"/>
      <c r="K17" s="28" t="n"/>
      <c r="L17" s="28" t="n"/>
      <c r="M17" s="28" t="n"/>
      <c r="N17" s="29">
        <f>IF(OR(A17="",H17=""),"",IF(H17=0,"Sem cobrança",IF(H17&lt;F17,"Abaixo do mínimo",IF(H17&lt;G17,"Entre mínimo e alvo","No alvo ou acima"))))</f>
        <v/>
      </c>
      <c r="O17" s="30">
        <f>IF(A17="","",SUMPRODUCT((I17:M17&lt;&gt;"")*(I17:M17&gt;0)*(I17:M17*(1-Config!$B$8)&lt;E17)))</f>
        <v/>
      </c>
      <c r="P17" s="23" t="n"/>
      <c r="Q17" s="28" t="n"/>
      <c r="R17" s="26">
        <f>IF(OR(A17="",P17="",P17=0),"",Q17/P17)</f>
        <v/>
      </c>
      <c r="S17" s="31">
        <f>IF(OR(R17="",F17="",H17=0),"",R17/F17-1)</f>
        <v/>
      </c>
      <c r="T17" s="22" t="n"/>
    </row>
    <row r="18">
      <c r="A18" s="22" t="n"/>
      <c r="B18" s="23" t="n"/>
      <c r="C18" s="24" t="n"/>
      <c r="D18" s="25" t="n"/>
      <c r="E18" s="26">
        <f>IF(A18="","",(B18+IF(C18="Sim",Config!$B$11*Config!$B$12,0))/60*Config!$B$7+D18)</f>
        <v/>
      </c>
      <c r="F18" s="27">
        <f>IF(A18="","",IFERROR(E18/(1-Config!$B$8-Config!$B$9),""))</f>
        <v/>
      </c>
      <c r="G18" s="26">
        <f>IF(A18="","",IFERROR(E18/(1-Config!$B$8-Config!$B$10),""))</f>
        <v/>
      </c>
      <c r="H18" s="28" t="n"/>
      <c r="I18" s="28" t="n"/>
      <c r="J18" s="28" t="n"/>
      <c r="K18" s="28" t="n"/>
      <c r="L18" s="28" t="n"/>
      <c r="M18" s="28" t="n"/>
      <c r="N18" s="29">
        <f>IF(OR(A18="",H18=""),"",IF(H18=0,"Sem cobrança",IF(H18&lt;F18,"Abaixo do mínimo",IF(H18&lt;G18,"Entre mínimo e alvo","No alvo ou acima"))))</f>
        <v/>
      </c>
      <c r="O18" s="30">
        <f>IF(A18="","",SUMPRODUCT((I18:M18&lt;&gt;"")*(I18:M18&gt;0)*(I18:M18*(1-Config!$B$8)&lt;E18)))</f>
        <v/>
      </c>
      <c r="P18" s="23" t="n"/>
      <c r="Q18" s="28" t="n"/>
      <c r="R18" s="26">
        <f>IF(OR(A18="",P18="",P18=0),"",Q18/P18)</f>
        <v/>
      </c>
      <c r="S18" s="31">
        <f>IF(OR(R18="",F18="",H18=0),"",R18/F18-1)</f>
        <v/>
      </c>
      <c r="T18" s="22" t="n"/>
    </row>
    <row r="19">
      <c r="A19" s="22" t="n"/>
      <c r="B19" s="23" t="n"/>
      <c r="C19" s="24" t="n"/>
      <c r="D19" s="25" t="n"/>
      <c r="E19" s="26">
        <f>IF(A19="","",(B19+IF(C19="Sim",Config!$B$11*Config!$B$12,0))/60*Config!$B$7+D19)</f>
        <v/>
      </c>
      <c r="F19" s="27">
        <f>IF(A19="","",IFERROR(E19/(1-Config!$B$8-Config!$B$9),""))</f>
        <v/>
      </c>
      <c r="G19" s="26">
        <f>IF(A19="","",IFERROR(E19/(1-Config!$B$8-Config!$B$10),""))</f>
        <v/>
      </c>
      <c r="H19" s="28" t="n"/>
      <c r="I19" s="28" t="n"/>
      <c r="J19" s="28" t="n"/>
      <c r="K19" s="28" t="n"/>
      <c r="L19" s="28" t="n"/>
      <c r="M19" s="28" t="n"/>
      <c r="N19" s="29">
        <f>IF(OR(A19="",H19=""),"",IF(H19=0,"Sem cobrança",IF(H19&lt;F19,"Abaixo do mínimo",IF(H19&lt;G19,"Entre mínimo e alvo","No alvo ou acima"))))</f>
        <v/>
      </c>
      <c r="O19" s="30">
        <f>IF(A19="","",SUMPRODUCT((I19:M19&lt;&gt;"")*(I19:M19&gt;0)*(I19:M19*(1-Config!$B$8)&lt;E19)))</f>
        <v/>
      </c>
      <c r="P19" s="23" t="n"/>
      <c r="Q19" s="28" t="n"/>
      <c r="R19" s="26">
        <f>IF(OR(A19="",P19="",P19=0),"",Q19/P19)</f>
        <v/>
      </c>
      <c r="S19" s="31">
        <f>IF(OR(R19="",F19="",H19=0),"",R19/F19-1)</f>
        <v/>
      </c>
      <c r="T19" s="22" t="n"/>
    </row>
    <row r="20"/>
    <row r="21" ht="30" customHeight="1">
      <c r="A21" s="32" t="inlineStr">
        <is>
          <t>Custo cheio, preço mínimo e preço alvo: a mesma conta da planilha 06 (tempo com retorno × custo-hora + material; ÷ (1 − impostos − margem)). Tabela de convênio em vermelho: depois dos impostos não cobre o custo cheio (margem negativa) — é a mesma conta e o mesmo número do KPI "Tabelas de convênio abaixo do custo cheio + imposto" e do Resumo da planilha 06. Amarela: cobre o custo, mas não a margem mínima.</t>
        </is>
      </c>
    </row>
    <row r="22" ht="30" customHeight="1">
      <c r="A22" s="32" t="inlineStr">
        <is>
          <t>Realizados e Produção no mês: copie de "Por procedimento" no Painel da planilha 01 com o mês fechado escolhido em Config (no exemplo, agosto de 2026). Valor médio praticado = produção ÷ realizados: mistura particular e convênio, por isso fica abaixo do preço particular.</t>
        </is>
      </c>
    </row>
    <row r="23" ht="30" customHeight="1">
      <c r="A23" s="32" t="inlineStr">
        <is>
          <t>Referência de mercado é opcional e sua: pesquise a faixa da sua região e anote; a planilha não afirma preço de mercado. A tabela de preços e a divulgação de valores seguem as regras do CFM: revise antes de publicar.</t>
        </is>
      </c>
    </row>
    <row r="24"/>
    <row r="25">
      <c r="A25" s="33" t="inlineStr">
        <is>
          <t>Valor por hora de atendimento, por pagador (tabela ÷ tempo com retorno)</t>
        </is>
      </c>
    </row>
    <row r="26" ht="32" customHeight="1">
      <c r="A26" s="21" t="inlineStr">
        <is>
          <t>Procedimento</t>
        </is>
      </c>
      <c r="B26" s="21" t="inlineStr">
        <is>
          <t>Minutos com retorno</t>
        </is>
      </c>
      <c r="C26" s="21" t="str">
        <f>IF(Config!$B$17="","",Config!$B$17)</f>
        <v>Particular</v>
      </c>
      <c r="D26" s="21" t="str">
        <f>IF(Config!$B$18="","",Config!$B$18)</f>
        <v>Saúde Total</v>
      </c>
      <c r="E26" s="21" t="str">
        <f>IF(Config!$B$19="","",Config!$B$19)</f>
        <v>MediPlan</v>
      </c>
      <c r="F26" s="21" t="str">
        <f>IF(Config!$B$20="","",Config!$B$20)</f>
        <v>Vida Care</v>
      </c>
      <c r="G26" s="21">
        <f>IF(Config!$B$21="","",Config!$B$21)</f>
        <v/>
      </c>
      <c r="H26" s="21">
        <f>IF(Config!$B$22="","",Config!$B$22)</f>
        <v/>
      </c>
      <c r="I26" s="21" t="inlineStr">
        <is>
          <t>Hora mínima</t>
        </is>
      </c>
      <c r="J26" s="21" t="inlineStr">
        <is>
          <t>Hora alvo</t>
        </is>
      </c>
    </row>
    <row r="27">
      <c r="A27" s="34" t="str">
        <f>IF($A8="","",$A8)</f>
        <v>Consulta</v>
      </c>
      <c r="B27" s="35">
        <f>IF($A8="","",B8+IF(C8="Sim",Config!$B$11*Config!$B$12,0))</f>
        <v>38</v>
      </c>
      <c r="C27" s="36">
        <f>IF(OR($A8="",H8="",$B27=0),"",H8/($B27/60))</f>
        <v>600</v>
      </c>
      <c r="D27" s="36">
        <f>IF(OR($A8="",I8="",$B27=0),"",I8/($B27/60))</f>
        <v>189.473684210526</v>
      </c>
      <c r="E27" s="36">
        <f>IF(OR($A8="",J8="",$B27=0),"",J8/($B27/60))</f>
        <v>157.894736842105</v>
      </c>
      <c r="F27" s="36">
        <f>IF(OR($A8="",K8="",$B27=0),"",K8/($B27/60))</f>
        <v>142.105263157895</v>
      </c>
      <c r="G27" s="36">
        <f>IF(OR($A8="",L8="",$B27=0),"",L8/($B27/60))</f>
        <v/>
      </c>
      <c r="H27" s="36">
        <f>IF(OR($A8="",M8="",$B27=0),"",M8/($B27/60))</f>
        <v/>
      </c>
      <c r="I27" s="36">
        <f>IF($A8="","",Config!$B$13)</f>
        <v>338.983050847458</v>
      </c>
      <c r="J27" s="36">
        <f>IF($A8="","",Config!$B$14)</f>
        <v>454.545454545455</v>
      </c>
    </row>
    <row r="28">
      <c r="A28" s="34" t="str">
        <f>IF($A9="","",$A9)</f>
        <v>Retorno</v>
      </c>
      <c r="B28" s="35">
        <f>IF($A9="","",B9+IF(C9="Sim",Config!$B$11*Config!$B$12,0))</f>
        <v>20</v>
      </c>
      <c r="C28" s="36">
        <f>IF(OR($A9="",H9="",$B28=0),"",H9/($B28/60))</f>
        <v>0</v>
      </c>
      <c r="D28" s="36">
        <f>IF(OR($A9="",I9="",$B28=0),"",I9/($B28/60))</f>
        <v>0</v>
      </c>
      <c r="E28" s="36">
        <f>IF(OR($A9="",J9="",$B28=0),"",J9/($B28/60))</f>
        <v>0</v>
      </c>
      <c r="F28" s="36">
        <f>IF(OR($A9="",K9="",$B28=0),"",K9/($B28/60))</f>
        <v>0</v>
      </c>
      <c r="G28" s="36">
        <f>IF(OR($A9="",L9="",$B28=0),"",L9/($B28/60))</f>
        <v/>
      </c>
      <c r="H28" s="36">
        <f>IF(OR($A9="",M9="",$B28=0),"",M9/($B28/60))</f>
        <v/>
      </c>
      <c r="I28" s="36">
        <f>IF($A9="","",Config!$B$13)</f>
        <v>338.983050847458</v>
      </c>
      <c r="J28" s="36">
        <f>IF($A9="","",Config!$B$14)</f>
        <v>454.545454545455</v>
      </c>
    </row>
    <row r="29">
      <c r="A29" s="34" t="str">
        <f>IF($A10="","",$A10)</f>
        <v>ECG</v>
      </c>
      <c r="B29" s="35">
        <f>IF($A10="","",B10+IF(C10="Sim",Config!$B$11*Config!$B$12,0))</f>
        <v>20</v>
      </c>
      <c r="C29" s="36">
        <f>IF(OR($A10="",H10="",$B29=0),"",H10/($B29/60))</f>
        <v>390</v>
      </c>
      <c r="D29" s="36">
        <f>IF(OR($A10="",I10="",$B29=0),"",I10/($B29/60))</f>
        <v>120</v>
      </c>
      <c r="E29" s="36">
        <f>IF(OR($A10="",J10="",$B29=0),"",J10/($B29/60))</f>
        <v>105</v>
      </c>
      <c r="F29" s="36">
        <f>IF(OR($A10="",K10="",$B29=0),"",K10/($B29/60))</f>
        <v>96</v>
      </c>
      <c r="G29" s="36">
        <f>IF(OR($A10="",L10="",$B29=0),"",L10/($B29/60))</f>
        <v/>
      </c>
      <c r="H29" s="36">
        <f>IF(OR($A10="",M10="",$B29=0),"",M10/($B29/60))</f>
        <v/>
      </c>
      <c r="I29" s="36">
        <f>IF($A10="","",Config!$B$13)</f>
        <v>338.983050847458</v>
      </c>
      <c r="J29" s="36">
        <f>IF($A10="","",Config!$B$14)</f>
        <v>454.545454545455</v>
      </c>
    </row>
    <row r="30">
      <c r="A30" s="34" t="str">
        <f>IF($A11="","",$A11)</f>
        <v>MAPA</v>
      </c>
      <c r="B30" s="35">
        <f>IF($A11="","",B11+IF(C11="Sim",Config!$B$11*Config!$B$12,0))</f>
        <v>20</v>
      </c>
      <c r="C30" s="36">
        <f>IF(OR($A11="",H11="",$B30=0),"",H11/($B30/60))</f>
        <v>900</v>
      </c>
      <c r="D30" s="36">
        <f>IF(OR($A11="",I11="",$B30=0),"",I11/($B30/60))</f>
        <v>285</v>
      </c>
      <c r="E30" s="36">
        <f>IF(OR($A11="",J11="",$B30=0),"",J11/($B30/60))</f>
        <v>255</v>
      </c>
      <c r="F30" s="36">
        <f>IF(OR($A11="",K11="",$B30=0),"",K11/($B30/60))</f>
        <v>225</v>
      </c>
      <c r="G30" s="36">
        <f>IF(OR($A11="",L11="",$B30=0),"",L11/($B30/60))</f>
        <v/>
      </c>
      <c r="H30" s="36">
        <f>IF(OR($A11="",M11="",$B30=0),"",M11/($B30/60))</f>
        <v/>
      </c>
      <c r="I30" s="36">
        <f>IF($A11="","",Config!$B$13)</f>
        <v>338.983050847458</v>
      </c>
      <c r="J30" s="36">
        <f>IF($A11="","",Config!$B$14)</f>
        <v>454.545454545455</v>
      </c>
    </row>
    <row r="31">
      <c r="A31" s="34" t="str">
        <f>IF($A12="","",$A12)</f>
        <v>Holter</v>
      </c>
      <c r="B31" s="35">
        <f>IF($A12="","",B12+IF(C12="Sim",Config!$B$11*Config!$B$12,0))</f>
        <v>20</v>
      </c>
      <c r="C31" s="36">
        <f>IF(OR($A12="",H12="",$B31=0),"",H12/($B31/60))</f>
        <v>1050</v>
      </c>
      <c r="D31" s="36">
        <f>IF(OR($A12="",I12="",$B31=0),"",I12/($B31/60))</f>
        <v>315</v>
      </c>
      <c r="E31" s="36">
        <f>IF(OR($A12="",J12="",$B31=0),"",J12/($B31/60))</f>
        <v>285</v>
      </c>
      <c r="F31" s="36">
        <f>IF(OR($A12="",K12="",$B31=0),"",K12/($B31/60))</f>
        <v>255</v>
      </c>
      <c r="G31" s="36">
        <f>IF(OR($A12="",L12="",$B31=0),"",L12/($B31/60))</f>
        <v/>
      </c>
      <c r="H31" s="36">
        <f>IF(OR($A12="",M12="",$B31=0),"",M12/($B31/60))</f>
        <v/>
      </c>
      <c r="I31" s="36">
        <f>IF($A12="","",Config!$B$13)</f>
        <v>338.983050847458</v>
      </c>
      <c r="J31" s="36">
        <f>IF($A12="","",Config!$B$14)</f>
        <v>454.545454545455</v>
      </c>
    </row>
    <row r="32">
      <c r="A32" s="34" t="str">
        <f>IF($A13="","",$A13)</f>
        <v>Teste ergométrico</v>
      </c>
      <c r="B32" s="35">
        <f>IF($A13="","",B13+IF(C13="Sim",Config!$B$11*Config!$B$12,0))</f>
        <v>40</v>
      </c>
      <c r="C32" s="36">
        <f>IF(OR($A13="",H13="",$B32=0),"",H13/($B32/60))</f>
        <v>675</v>
      </c>
      <c r="D32" s="36">
        <f>IF(OR($A13="",I13="",$B32=0),"",I13/($B32/60))</f>
        <v>210</v>
      </c>
      <c r="E32" s="36">
        <f>IF(OR($A13="",J13="",$B32=0),"",J13/($B32/60))</f>
        <v>187.5</v>
      </c>
      <c r="F32" s="36">
        <f>IF(OR($A13="",K13="",$B32=0),"",K13/($B32/60))</f>
        <v>165</v>
      </c>
      <c r="G32" s="36">
        <f>IF(OR($A13="",L13="",$B32=0),"",L13/($B32/60))</f>
        <v/>
      </c>
      <c r="H32" s="36">
        <f>IF(OR($A13="",M13="",$B32=0),"",M13/($B32/60))</f>
        <v/>
      </c>
      <c r="I32" s="36">
        <f>IF($A13="","",Config!$B$13)</f>
        <v>338.983050847458</v>
      </c>
      <c r="J32" s="36">
        <f>IF($A13="","",Config!$B$14)</f>
        <v>454.545454545455</v>
      </c>
    </row>
    <row r="33">
      <c r="A33" s="34" t="str">
        <f>IF($A14="","",$A14)</f>
        <v>Avaliação endócrina</v>
      </c>
      <c r="B33" s="35">
        <f>IF($A14="","",B14+IF(C14="Sim",Config!$B$11*Config!$B$12,0))</f>
        <v>48</v>
      </c>
      <c r="C33" s="36">
        <f>IF(OR($A14="",H14="",$B33=0),"",H14/($B33/60))</f>
        <v>500</v>
      </c>
      <c r="D33" s="36">
        <f>IF(OR($A14="",I14="",$B33=0),"",I14/($B33/60))</f>
        <v>162.5</v>
      </c>
      <c r="E33" s="36">
        <f>IF(OR($A14="",J14="",$B33=0),"",J14/($B33/60))</f>
        <v/>
      </c>
      <c r="F33" s="36">
        <f>IF(OR($A14="",K14="",$B33=0),"",K14/($B33/60))</f>
        <v/>
      </c>
      <c r="G33" s="36">
        <f>IF(OR($A14="",L14="",$B33=0),"",L14/($B33/60))</f>
        <v/>
      </c>
      <c r="H33" s="36">
        <f>IF(OR($A14="",M14="",$B33=0),"",M14/($B33/60))</f>
        <v/>
      </c>
      <c r="I33" s="36">
        <f>IF($A14="","",Config!$B$13)</f>
        <v>338.983050847458</v>
      </c>
      <c r="J33" s="36">
        <f>IF($A14="","",Config!$B$14)</f>
        <v>454.545454545455</v>
      </c>
    </row>
    <row r="34">
      <c r="A34" s="34">
        <f>IF($A15="","",$A15)</f>
        <v/>
      </c>
      <c r="B34" s="35">
        <f>IF($A15="","",B15+IF(C15="Sim",Config!$B$11*Config!$B$12,0))</f>
        <v/>
      </c>
      <c r="C34" s="36">
        <f>IF(OR($A15="",H15="",$B34=0),"",H15/($B34/60))</f>
        <v/>
      </c>
      <c r="D34" s="36">
        <f>IF(OR($A15="",I15="",$B34=0),"",I15/($B34/60))</f>
        <v/>
      </c>
      <c r="E34" s="36">
        <f>IF(OR($A15="",J15="",$B34=0),"",J15/($B34/60))</f>
        <v/>
      </c>
      <c r="F34" s="36">
        <f>IF(OR($A15="",K15="",$B34=0),"",K15/($B34/60))</f>
        <v/>
      </c>
      <c r="G34" s="36">
        <f>IF(OR($A15="",L15="",$B34=0),"",L15/($B34/60))</f>
        <v/>
      </c>
      <c r="H34" s="36">
        <f>IF(OR($A15="",M15="",$B34=0),"",M15/($B34/60))</f>
        <v/>
      </c>
      <c r="I34" s="36">
        <f>IF($A15="","",Config!$B$13)</f>
        <v/>
      </c>
      <c r="J34" s="36">
        <f>IF($A15="","",Config!$B$14)</f>
        <v/>
      </c>
    </row>
    <row r="35">
      <c r="A35" s="34">
        <f>IF($A16="","",$A16)</f>
        <v/>
      </c>
      <c r="B35" s="35">
        <f>IF($A16="","",B16+IF(C16="Sim",Config!$B$11*Config!$B$12,0))</f>
        <v/>
      </c>
      <c r="C35" s="36">
        <f>IF(OR($A16="",H16="",$B35=0),"",H16/($B35/60))</f>
        <v/>
      </c>
      <c r="D35" s="36">
        <f>IF(OR($A16="",I16="",$B35=0),"",I16/($B35/60))</f>
        <v/>
      </c>
      <c r="E35" s="36">
        <f>IF(OR($A16="",J16="",$B35=0),"",J16/($B35/60))</f>
        <v/>
      </c>
      <c r="F35" s="36">
        <f>IF(OR($A16="",K16="",$B35=0),"",K16/($B35/60))</f>
        <v/>
      </c>
      <c r="G35" s="36">
        <f>IF(OR($A16="",L16="",$B35=0),"",L16/($B35/60))</f>
        <v/>
      </c>
      <c r="H35" s="36">
        <f>IF(OR($A16="",M16="",$B35=0),"",M16/($B35/60))</f>
        <v/>
      </c>
      <c r="I35" s="36">
        <f>IF($A16="","",Config!$B$13)</f>
        <v/>
      </c>
      <c r="J35" s="36">
        <f>IF($A16="","",Config!$B$14)</f>
        <v/>
      </c>
    </row>
    <row r="36">
      <c r="A36" s="34">
        <f>IF($A17="","",$A17)</f>
        <v/>
      </c>
      <c r="B36" s="35">
        <f>IF($A17="","",B17+IF(C17="Sim",Config!$B$11*Config!$B$12,0))</f>
        <v/>
      </c>
      <c r="C36" s="36">
        <f>IF(OR($A17="",H17="",$B36=0),"",H17/($B36/60))</f>
        <v/>
      </c>
      <c r="D36" s="36">
        <f>IF(OR($A17="",I17="",$B36=0),"",I17/($B36/60))</f>
        <v/>
      </c>
      <c r="E36" s="36">
        <f>IF(OR($A17="",J17="",$B36=0),"",J17/($B36/60))</f>
        <v/>
      </c>
      <c r="F36" s="36">
        <f>IF(OR($A17="",K17="",$B36=0),"",K17/($B36/60))</f>
        <v/>
      </c>
      <c r="G36" s="36">
        <f>IF(OR($A17="",L17="",$B36=0),"",L17/($B36/60))</f>
        <v/>
      </c>
      <c r="H36" s="36">
        <f>IF(OR($A17="",M17="",$B36=0),"",M17/($B36/60))</f>
        <v/>
      </c>
      <c r="I36" s="36">
        <f>IF($A17="","",Config!$B$13)</f>
        <v/>
      </c>
      <c r="J36" s="36">
        <f>IF($A17="","",Config!$B$14)</f>
        <v/>
      </c>
    </row>
    <row r="37">
      <c r="A37" s="34">
        <f>IF($A18="","",$A18)</f>
        <v/>
      </c>
      <c r="B37" s="35">
        <f>IF($A18="","",B18+IF(C18="Sim",Config!$B$11*Config!$B$12,0))</f>
        <v/>
      </c>
      <c r="C37" s="36">
        <f>IF(OR($A18="",H18="",$B37=0),"",H18/($B37/60))</f>
        <v/>
      </c>
      <c r="D37" s="36">
        <f>IF(OR($A18="",I18="",$B37=0),"",I18/($B37/60))</f>
        <v/>
      </c>
      <c r="E37" s="36">
        <f>IF(OR($A18="",J18="",$B37=0),"",J18/($B37/60))</f>
        <v/>
      </c>
      <c r="F37" s="36">
        <f>IF(OR($A18="",K18="",$B37=0),"",K18/($B37/60))</f>
        <v/>
      </c>
      <c r="G37" s="36">
        <f>IF(OR($A18="",L18="",$B37=0),"",L18/($B37/60))</f>
        <v/>
      </c>
      <c r="H37" s="36">
        <f>IF(OR($A18="",M18="",$B37=0),"",M18/($B37/60))</f>
        <v/>
      </c>
      <c r="I37" s="36">
        <f>IF($A18="","",Config!$B$13)</f>
        <v/>
      </c>
      <c r="J37" s="36">
        <f>IF($A18="","",Config!$B$14)</f>
        <v/>
      </c>
    </row>
    <row r="38">
      <c r="A38" s="34">
        <f>IF($A19="","",$A19)</f>
        <v/>
      </c>
      <c r="B38" s="35">
        <f>IF($A19="","",B19+IF(C19="Sim",Config!$B$11*Config!$B$12,0))</f>
        <v/>
      </c>
      <c r="C38" s="36">
        <f>IF(OR($A19="",H19="",$B38=0),"",H19/($B38/60))</f>
        <v/>
      </c>
      <c r="D38" s="36">
        <f>IF(OR($A19="",I19="",$B38=0),"",I19/($B38/60))</f>
        <v/>
      </c>
      <c r="E38" s="36">
        <f>IF(OR($A19="",J19="",$B38=0),"",J19/($B38/60))</f>
        <v/>
      </c>
      <c r="F38" s="36">
        <f>IF(OR($A19="",K19="",$B38=0),"",K19/($B38/60))</f>
        <v/>
      </c>
      <c r="G38" s="36">
        <f>IF(OR($A19="",L19="",$B38=0),"",L19/($B38/60))</f>
        <v/>
      </c>
      <c r="H38" s="36">
        <f>IF(OR($A19="",M19="",$B38=0),"",M19/($B38/60))</f>
        <v/>
      </c>
      <c r="I38" s="36">
        <f>IF($A19="","",Config!$B$13)</f>
        <v/>
      </c>
      <c r="J38" s="36">
        <f>IF($A19="","",Config!$B$14)</f>
        <v/>
      </c>
    </row>
    <row r="39">
      <c r="A39" s="37" t="inlineStr">
        <is>
          <t>Vermelho: abaixo da hora mínima. Verde: na hora alvo ou acima. Retorno aparece vazio (valor zero). Este quadro é o argumento na negociação de tabela: quanto cada convênio paga pela hora da clínica.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9">
    <mergeCell ref="C5:D5"/>
    <mergeCell ref="A39:T39"/>
    <mergeCell ref="E5:F5"/>
    <mergeCell ref="K5:L5"/>
    <mergeCell ref="C4:D4"/>
    <mergeCell ref="A1:T1"/>
    <mergeCell ref="E4:F4"/>
    <mergeCell ref="A21:T21"/>
    <mergeCell ref="A5:B5"/>
    <mergeCell ref="G5:H5"/>
    <mergeCell ref="I5:J5"/>
    <mergeCell ref="A2:T2"/>
    <mergeCell ref="A25:J25"/>
    <mergeCell ref="A4:B4"/>
    <mergeCell ref="G4:H4"/>
    <mergeCell ref="A23:T23"/>
    <mergeCell ref="I4:J4"/>
    <mergeCell ref="A22:T22"/>
    <mergeCell ref="K4:L4"/>
  </mergeCells>
  <conditionalFormatting sqref="N8:N19">
    <cfRule type="expression" priority="1" dxfId="0">
      <formula>N8="Abaixo do mínimo"</formula>
    </cfRule>
    <cfRule type="expression" priority="2" dxfId="1">
      <formula>N8="Entre mínimo e alvo"</formula>
    </cfRule>
    <cfRule type="expression" priority="3" dxfId="2">
      <formula>N8="No alvo ou acima"</formula>
    </cfRule>
    <cfRule type="expression" priority="6" dxfId="3">
      <formula>N8="Sem cobrança"</formula>
    </cfRule>
  </conditionalFormatting>
  <conditionalFormatting sqref="I8:M19">
    <cfRule type="expression" priority="4" dxfId="4">
      <formula>AND(ISNUMBER(I8),I8&gt;0,I8*(1-Config!$B$8)&lt;$E8)</formula>
    </cfRule>
    <cfRule type="expression" priority="5" dxfId="1">
      <formula>AND(ISNUMBER(I8),I8*(1-Config!$B$8)&gt;=$E8,I8&lt;$F8)</formula>
    </cfRule>
  </conditionalFormatting>
  <conditionalFormatting sqref="O8:O19">
    <cfRule type="expression" priority="7" dxfId="5">
      <formula>AND(ISNUMBER(O8),O8&gt;0)</formula>
    </cfRule>
  </conditionalFormatting>
  <conditionalFormatting sqref="S8:S19">
    <cfRule type="expression" priority="8" dxfId="5">
      <formula>AND(ISNUMBER(S8),S8&lt;0)</formula>
    </cfRule>
  </conditionalFormatting>
  <conditionalFormatting sqref="C27:H38">
    <cfRule type="expression" priority="9" dxfId="4">
      <formula>AND(ISNUMBER(C27),C27&gt;0,C27&lt;Config!$B$13)</formula>
    </cfRule>
    <cfRule type="expression" priority="10" dxfId="2">
      <formula>AND(ISNUMBER(C27),C27&gt;=Config!$B$14)</formula>
    </cfRule>
  </conditionalFormatting>
  <dataValidations count="1">
    <dataValidation sqref="C8:C19" showDropDown="0" showInputMessage="0" showErrorMessage="1" allowBlank="1" type="list">
      <formula1>"Sim,Não"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90" customWidth="1" min="3" max="3"/>
  </cols>
  <sheetData>
    <row r="1" ht="28" customHeight="1">
      <c r="A1" s="5" t="inlineStr">
        <is>
          <t>Configurações</t>
        </is>
      </c>
    </row>
    <row r="2">
      <c r="A2" s="6" t="inlineStr">
        <is>
          <t>Células amarelas: você preenche. Custo-hora da planilha 05; margens e impostos iguais aos da 06.</t>
        </is>
      </c>
    </row>
    <row r="4">
      <c r="A4" s="38" t="inlineStr">
        <is>
          <t>Nome da clínica</t>
        </is>
      </c>
      <c r="B4" s="22" t="inlineStr">
        <is>
          <t>Clínica Vida Plena (exemplo fictício)</t>
        </is>
      </c>
    </row>
    <row r="5">
      <c r="A5" s="38" t="inlineStr">
        <is>
          <t>Mês do volume (mês fechado)</t>
        </is>
      </c>
      <c r="B5" s="22" t="inlineStr">
        <is>
          <t>Agosto de 2026</t>
        </is>
      </c>
    </row>
    <row r="6">
      <c r="A6" s="38" t="inlineStr">
        <is>
          <t>Data de referência</t>
        </is>
      </c>
      <c r="B6" s="39" t="n">
        <v>46279</v>
      </c>
    </row>
    <row r="7">
      <c r="A7" s="38" t="inlineStr">
        <is>
          <t>Custo da hora de atendimento (R$)</t>
        </is>
      </c>
      <c r="B7" s="25" t="n">
        <v>200</v>
      </c>
      <c r="C7" s="37" t="inlineStr">
        <is>
          <t>Copie do Painel da planilha 05 ("Custo da hora de atendimento"). No exemplo, R$ 200,00.</t>
        </is>
      </c>
    </row>
    <row r="8">
      <c r="A8" s="38" t="inlineStr">
        <is>
          <t>Impostos sobre o que entra (%)</t>
        </is>
      </c>
      <c r="B8" s="40" t="n">
        <v>0.11</v>
      </c>
      <c r="C8" s="37" t="inlineStr">
        <is>
          <t>A mesma alíquota efetiva das planilhas 05, 06 e 07 (exemplo: 11 %). Só imposto: a taxa da maquininha não entra aqui (fica na 16 e no resultado 18).</t>
        </is>
      </c>
    </row>
    <row r="9">
      <c r="A9" s="38" t="inlineStr">
        <is>
          <t>Margem mínima sobre o preço (%)</t>
        </is>
      </c>
      <c r="B9" s="40" t="n">
        <v>0.3</v>
      </c>
      <c r="C9" s="37" t="inlineStr">
        <is>
          <t>Piso da faixa (a mesma margem da 05 e da 06).</t>
        </is>
      </c>
    </row>
    <row r="10">
      <c r="A10" s="38" t="inlineStr">
        <is>
          <t>Margem alvo sobre o preço (%)</t>
        </is>
      </c>
      <c r="B10" s="40" t="n">
        <v>0.45</v>
      </c>
      <c r="C10" s="37" t="inlineStr">
        <is>
          <t>Teto da faixa (a mesma da 06).</t>
        </is>
      </c>
    </row>
    <row r="11">
      <c r="A11" s="38" t="inlineStr">
        <is>
          <t>Retornos por consulta (média)</t>
        </is>
      </c>
      <c r="B11" s="41" t="n">
        <v>0.4</v>
      </c>
      <c r="C11" s="37" t="inlineStr">
        <is>
          <t>Iguais à 06: o tempo do retorno entra no custo da consulta.</t>
        </is>
      </c>
    </row>
    <row r="12">
      <c r="A12" s="38" t="inlineStr">
        <is>
          <t>Duração do retorno (minutos)</t>
        </is>
      </c>
      <c r="B12" s="23" t="n">
        <v>20</v>
      </c>
    </row>
    <row r="13">
      <c r="A13" s="38" t="inlineStr">
        <is>
          <t>Hora mínima a cobrar (R$)</t>
        </is>
      </c>
      <c r="B13" s="27">
        <f>IFERROR(B7/(1-B8-B9),"")</f>
        <v>338.983050847458</v>
      </c>
      <c r="C13" s="37" t="inlineStr">
        <is>
          <t>Custo-hora ÷ (1 − impostos − margem mínima) = R$ 338,98 no exemplo (a 05 arredonda para R$ 340).</t>
        </is>
      </c>
    </row>
    <row r="14">
      <c r="A14" s="38" t="inlineStr">
        <is>
          <t>Hora alvo (R$)</t>
        </is>
      </c>
      <c r="B14" s="27">
        <f>IFERROR(B7/(1-B8-B10),"")</f>
        <v>454.545454545455</v>
      </c>
      <c r="C14" s="37" t="inlineStr">
        <is>
          <t>Custo-hora ÷ (1 − impostos − margem alvo).</t>
        </is>
      </c>
    </row>
    <row r="16">
      <c r="A16" s="38" t="inlineStr">
        <is>
          <t>Pagadores (até 6, na ordem das colunas da Tabela; o primeiro é o particular)</t>
        </is>
      </c>
    </row>
    <row r="17">
      <c r="A17" s="42" t="inlineStr">
        <is>
          <t>Nomes</t>
        </is>
      </c>
      <c r="B17" s="22" t="inlineStr">
        <is>
          <t>Particular</t>
        </is>
      </c>
      <c r="C17" s="37" t="inlineStr">
        <is>
          <t>Preencha de cima para baixo, sem pular linha. Os mesmos da Config da planilha 01.</t>
        </is>
      </c>
    </row>
    <row r="18">
      <c r="B18" s="22" t="inlineStr">
        <is>
          <t>Saúde Total</t>
        </is>
      </c>
    </row>
    <row r="19">
      <c r="B19" s="22" t="inlineStr">
        <is>
          <t>MediPlan</t>
        </is>
      </c>
    </row>
    <row r="20">
      <c r="B20" s="22" t="inlineStr">
        <is>
          <t>Vida Care</t>
        </is>
      </c>
    </row>
    <row r="21">
      <c r="B21" s="22" t="n"/>
    </row>
    <row r="22">
      <c r="B22" s="22" t="n"/>
    </row>
    <row r="23">
      <c r="A23" s="37" t="inlineStr">
        <is>
          <t>Esta planilha é a FONTE ÚNICA da tabela de preços do kit. A aba Tabela é onde o preço é decidido; 06 (precificação), 07 (simulador) e a Config da planilha 01 (agenda) copiam daqui.</t>
        </is>
      </c>
    </row>
    <row r="24">
      <c r="A24" s="37" t="inlineStr">
        <is>
          <t>Ordem de atualização quando um preço muda: 1) aqui, na aba Tabela; 2) planilha 06 · Precificação (colunas do particular e dos convênios); 3) planilha 07 · Simulador (quadro 2, valor de tabela); 4) planilha 01 · Config (tabela de preços por pagador, que é o que a Agenda busca). Procedimentos novos: cadastre na 01 (Config), na 02, aqui, na 06 e na 07. Convênio novo: 01, 02, 06, 07, aqui, 09 (categorias de entrada) e 13 (Config).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Seu Sócio Gestor</dc:creator>
  <dc:title xmlns:dc="http://purl.org/dc/elements/1.1/">Tabela de preços e referência · Kit de Gestão para Médicos</dc:title>
  <dcterms:created xmlns:dcterms="http://purl.org/dc/terms/" xmlns:xsi="http://www.w3.org/2001/XMLSchema-instance" xsi:type="dcterms:W3CDTF">2026-09-17T15:51:44Z</dcterms:created>
  <dcterms:modified xmlns:dcterms="http://purl.org/dc/terms/" xmlns:xsi="http://www.w3.org/2001/XMLSchema-instance" xsi:type="dcterms:W3CDTF">2026-09-17T15:51:44Z</dcterms:modified>
</cp:coreProperties>
</file>