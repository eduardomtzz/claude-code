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IF(NOT(ISNUMBER(Config!$B$13)),Config!$B$13,IF((SUMPRODUCT(($A$8:$A$19&lt;&gt;"")*(ISNUMBER($F$8:$F$19)=FALSE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(SUMPRODUCT(($A$8:$A$19&lt;&gt;"")*(ISNUMBER($F$8:$F$19)=FALSE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 ou preço(s) incompletos",COUNTIF($N$8:$N$19,"Abaixo do mínimo")&amp;" de "&amp;COUNTA($A$8:$A$19)))</f>
        <v>0 de 7</v>
      </c>
      <c r="D5" s="10" t="n"/>
      <c r="E5" s="17">
        <f>IF(NOT(ISNUMBER(Config!$B$13)),Config!$B$13,IF((SUMPRODUCT(($A$8:$A$19&lt;&gt;"")*(ISNUMBER($F$8:$F$19)=FALSE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(SUMPRODUCT(($A$8:$A$19&lt;&gt;"")*(ISNUMBER($F$8:$F$19)=FALSE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 ou preço(s) incompletos",SUM($O$8:$O$19)))</f>
        <v>14</v>
      </c>
      <c r="F5" s="10" t="n"/>
      <c r="G5" s="18">
        <f>IF((SUMPRODUCT((($P$8:$P$19&lt;&gt;"")+($Q$8:$Q$19&lt;&gt;"")&gt;0)*((ISNUMBER($P$8:$P$19)=FALSE)+ISNUMBER($P$8:$P$19)*($P$8:$P$19&lt;0)+(ISNUMBER($Q$8:$Q$19)=FALSE)+ISNUMBER($Q$8:$Q$19)*($Q$8:$Q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"produção incompleta em "&amp;(SUMPRODUCT((($P$8:$P$19&lt;&gt;"")+($Q$8:$Q$19&lt;&gt;"")&gt;0)*((ISNUMBER($P$8:$P$19)=FALSE)+ISNUMBER($P$8:$P$19)*($P$8:$P$19&lt;0)+(ISNUMBER($Q$8:$Q$19)=FALSE)+ISNUMBER($Q$8:$Q$19)*($Q$8:$Q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linha(s)",SUM($Q$8:$Q$19))</f>
        <v>48631</v>
      </c>
      <c r="H5" s="12" t="n"/>
      <c r="I5" s="19">
        <f>IF((SUMPRODUCT((($P$8:$P$19&lt;&gt;"")+($Q$8:$Q$19&lt;&gt;"")&gt;0)*((ISNUMBER($P$8:$P$19)=FALSE)+ISNUMBER($P$8:$P$19)*($P$8:$P$19&lt;0)+(ISNUMBER($Q$8:$Q$19)=FALSE)+ISNUMBER($Q$8:$Q$19)*($Q$8:$Q$19&lt;0)+(ISNUMBER($B$8:$B$19)=FALSE)+ISNUMBER($B$8:$B$19)*($B$8:$B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"volume incompleto em "&amp;(SUMPRODUCT((($P$8:$P$19&lt;&gt;"")+($Q$8:$Q$19&lt;&gt;"")&gt;0)*((ISNUMBER($P$8:$P$19)=FALSE)+ISNUMBER($P$8:$P$19)*($P$8:$P$19&lt;0)+(ISNUMBER($Q$8:$Q$19)=FALSE)+ISNUMBER($Q$8:$Q$19)*($Q$8:$Q$19&lt;0)+(ISNUMBER($B$8:$B$19)=FALSE)+ISNUMBER($B$8:$B$19)*($B$8:$B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linha(s)",IFERROR(SUM($Q$8:$Q$19)/(SUMPRODUCT($P$8:$P$19,$B$8:$B$19)/60),""))</f>
        <v>410.966197183099</v>
      </c>
      <c r="J5" s="14" t="n"/>
      <c r="K5" s="20">
        <f>IF(NOT(ISNUMBER(Config!$B$13)),"",IF(Config!$B$13=0,"sem base (mínimo zero)",IFERROR(I5/Config!$B$13-1,"")))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IF(A8="","",IF(NOT(ISNUMBER((IF(NOT(IF(ISNUMBER(B8),AND(B8&gt;=0),FALSE)),"faltam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Config",B8+IF(C8="Sim",Config!$B$11*Config!$B$12,0))))))),(IF(NOT(IF(ISNUMBER(B8),AND(B8&gt;=0),FALSE)),"faltam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Config",B8+IF(C8="Sim",Config!$B$11*Config!$B$12,0))))),IF(NOT(ISNUMBER(Config!$B$7)),"falta o custo-hora em Config",IF(NOT(IF(ISNUMBER(D8),AND(D8&gt;=0),FALSE)),"falta o material",(IF(NOT(IF(ISNUMBER(B8),AND(B8&gt;=0),FALSE)),"faltam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Config",B8+IF(C8="Sim",Config!$B$11*Config!$B$12,0)))))/60*Config!$B$7+D8))))</f>
        <v>130.666666666667</v>
      </c>
      <c r="F8" s="27">
        <f>IF(A8="","",IF(NOT(ISNUMBER(E8)),E8,IF((Config!$B$15&lt;&gt;"Sim"),"margens inválidas (Config)",E8/(1-Config!$B$8-Config!$B$9))))</f>
        <v>221.468926553672</v>
      </c>
      <c r="G8" s="26">
        <f>IF(A8="","",IF(NOT(ISNUMBER(E8)),E8,IF((Config!$B$15&lt;&gt;"Sim"),"margens inválidas (Config)",E8/(1-Config!$B$8-Config!$B$10))))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IF(OR(A8="",H8=""),"",IF(NOT(IF(ISNUMBER(H8),AND(H8&gt;=0),FALSE)),"Preço inválido",IF(NOT(ISNUMBER(E8)),IF(ISNUMBER(Config!$B$7),"Faltam dados da linha","Falta o custo-hora"),IF(OR(NOT(ISNUMBER(F8)),NOT(ISNUMBER(G8))),"Margens inválidas",IF(H8=0,"Sem cobrança",IF(H8&lt;F8,"Abaixo do mínimo",IF(H8&lt;G8,"Entre mínimo e alvo","No alvo ou acima")))))))</f>
        <v>No alvo ou acima</v>
      </c>
      <c r="O8" s="30">
        <f>IF(OR(A8="",NOT(ISNUMBER(F8))),"",IF(SUMPRODUCT(ISTEXT(I8:M8)+ISNUMBER(I8:M8)*(I8:M8&lt;0))&gt;0,"tabela inválida (texto ou negativo)",SUMPRODUCT((I8:M8&lt;&gt;"")*(I8:M8&gt;0)*(I8:M8*(1-Config!$B$8)&lt;E8))))</f>
        <v>3</v>
      </c>
      <c r="P8" s="23" t="n">
        <v>130</v>
      </c>
      <c r="Q8" s="28" t="n">
        <v>30730</v>
      </c>
      <c r="R8" s="26">
        <f>IF(OR(A8="",AND(P8="",Q8="")),"",IF(OR(NOT(IF(ISNUMBER(P8),AND(P8&gt;=0),FALSE)),NOT(IF(ISNUMBER(Q8),AND(Q8&gt;=0),FALSE))),"volume ou produção faltando ou negativos",IF(P8=0,"",Q8/P8)))</f>
        <v>236.384615384615</v>
      </c>
      <c r="S8" s="31">
        <f>IF(OR(NOT(ISNUMBER(R8)),NOT(ISNUMBER(F8)),N(H8)=0),"",IF(F8=0,"sem base (mínimo zero)",R8/F8-1))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IF(A9="","",IF(NOT(ISNUMBER((IF(NOT(IF(ISNUMBER(B9),AND(B9&gt;=0),FALSE)),"faltam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Config",B9+IF(C9="Sim",Config!$B$11*Config!$B$12,0))))))),(IF(NOT(IF(ISNUMBER(B9),AND(B9&gt;=0),FALSE)),"faltam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Config",B9+IF(C9="Sim",Config!$B$11*Config!$B$12,0))))),IF(NOT(ISNUMBER(Config!$B$7)),"falta o custo-hora em Config",IF(NOT(IF(ISNUMBER(D9),AND(D9&gt;=0),FALSE)),"falta o material",(IF(NOT(IF(ISNUMBER(B9),AND(B9&gt;=0),FALSE)),"faltam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Config",B9+IF(C9="Sim",Config!$B$11*Config!$B$12,0)))))/60*Config!$B$7+D9))))</f>
        <v>68.6666666666667</v>
      </c>
      <c r="F9" s="27">
        <f>IF(A9="","",IF(NOT(ISNUMBER(E9)),E9,IF((Config!$B$15&lt;&gt;"Sim"),"margens inválidas (Config)",E9/(1-Config!$B$8-Config!$B$9))))</f>
        <v>116.38418079096</v>
      </c>
      <c r="G9" s="26">
        <f>IF(A9="","",IF(NOT(ISNUMBER(E9)),E9,IF((Config!$B$15&lt;&gt;"Sim"),"margens inválidas (Config)",E9/(1-Config!$B$8-Config!$B$10))))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IF(OR(A9="",H9=""),"",IF(NOT(IF(ISNUMBER(H9),AND(H9&gt;=0),FALSE)),"Preço inválido",IF(NOT(ISNUMBER(E9)),IF(ISNUMBER(Config!$B$7),"Faltam dados da linha","Falta o custo-hora"),IF(OR(NOT(ISNUMBER(F9)),NOT(ISNUMBER(G9))),"Margens inválidas",IF(H9=0,"Sem cobrança",IF(H9&lt;F9,"Abaixo do mínimo",IF(H9&lt;G9,"Entre mínimo e alvo","No alvo ou acima")))))))</f>
        <v>Sem cobrança</v>
      </c>
      <c r="O9" s="30">
        <f>IF(OR(A9="",NOT(ISNUMBER(F9))),"",IF(SUMPRODUCT(ISTEXT(I9:M9)+ISNUMBER(I9:M9)*(I9:M9&lt;0))&gt;0,"tabela inválida (texto ou negativo)",SUMPRODUCT((I9:M9&lt;&gt;"")*(I9:M9&gt;0)*(I9:M9*(1-Config!$B$8)&lt;E9))))</f>
        <v>0</v>
      </c>
      <c r="P9" s="23" t="n">
        <v>48</v>
      </c>
      <c r="Q9" s="28" t="n">
        <v>0</v>
      </c>
      <c r="R9" s="26">
        <f>IF(OR(A9="",AND(P9="",Q9="")),"",IF(OR(NOT(IF(ISNUMBER(P9),AND(P9&gt;=0),FALSE)),NOT(IF(ISNUMBER(Q9),AND(Q9&gt;=0),FALSE))),"volume ou produção faltando ou negativos",IF(P9=0,"",Q9/P9)))</f>
        <v>0</v>
      </c>
      <c r="S9" s="31">
        <f>IF(OR(NOT(ISNUMBER(R9)),NOT(ISNUMBER(F9)),N(H9)=0),"",IF(F9=0,"sem base (mínimo zero)",R9/F9-1))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IF(A10="","",IF(NOT(ISNUMBER((IF(NOT(IF(ISNUMBER(B10),AND(B10&gt;=0),FALSE)),"faltam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Config",B10+IF(C10="Sim",Config!$B$11*Config!$B$12,0))))))),(IF(NOT(IF(ISNUMBER(B10),AND(B10&gt;=0),FALSE)),"faltam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Config",B10+IF(C10="Sim",Config!$B$11*Config!$B$12,0))))),IF(NOT(ISNUMBER(Config!$B$7)),"falta o custo-hora em Config",IF(NOT(IF(ISNUMBER(D10),AND(D10&gt;=0),FALSE)),"falta o material",(IF(NOT(IF(ISNUMBER(B10),AND(B10&gt;=0),FALSE)),"faltam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Config",B10+IF(C10="Sim",Config!$B$11*Config!$B$12,0)))))/60*Config!$B$7+D10))))</f>
        <v>74.6666666666667</v>
      </c>
      <c r="F10" s="27">
        <f>IF(A10="","",IF(NOT(ISNUMBER(E10)),E10,IF((Config!$B$15&lt;&gt;"Sim"),"margens inválidas (Config)",E10/(1-Config!$B$8-Config!$B$9))))</f>
        <v>126.553672316384</v>
      </c>
      <c r="G10" s="26">
        <f>IF(A10="","",IF(NOT(ISNUMBER(E10)),E10,IF((Config!$B$15&lt;&gt;"Sim"),"margens inválidas (Config)",E10/(1-Config!$B$8-Config!$B$10))))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IF(OR(A10="",H10=""),"",IF(NOT(IF(ISNUMBER(H10),AND(H10&gt;=0),FALSE)),"Preço inválido",IF(NOT(ISNUMBER(E10)),IF(ISNUMBER(Config!$B$7),"Faltam dados da linha","Falta o custo-hora"),IF(OR(NOT(ISNUMBER(F10)),NOT(ISNUMBER(G10))),"Margens inválidas",IF(H10=0,"Sem cobrança",IF(H10&lt;F10,"Abaixo do mínimo",IF(H10&lt;G10,"Entre mínimo e alvo","No alvo ou acima")))))))</f>
        <v>Entre mínimo e alvo</v>
      </c>
      <c r="O10" s="30">
        <f>IF(OR(A10="",NOT(ISNUMBER(F10))),"",IF(SUMPRODUCT(ISTEXT(I10:M10)+ISNUMBER(I10:M10)*(I10:M10&lt;0))&gt;0,"tabela inválida (texto ou negativo)",SUMPRODUCT((I10:M10&lt;&gt;"")*(I10:M10&gt;0)*(I10:M10*(1-Config!$B$8)&lt;E10))))</f>
        <v>3</v>
      </c>
      <c r="P10" s="23" t="n">
        <v>18</v>
      </c>
      <c r="Q10" s="28" t="n">
        <v>1416</v>
      </c>
      <c r="R10" s="26">
        <f>IF(OR(A10="",AND(P10="",Q10="")),"",IF(OR(NOT(IF(ISNUMBER(P10),AND(P10&gt;=0),FALSE)),NOT(IF(ISNUMBER(Q10),AND(Q10&gt;=0),FALSE))),"volume ou produção faltando ou negativos",IF(P10=0,"",Q10/P10)))</f>
        <v>78.6666666666667</v>
      </c>
      <c r="S10" s="31">
        <f>IF(OR(NOT(ISNUMBER(R10)),NOT(ISNUMBER(F10)),N(H10)=0),"",IF(F10=0,"sem base (mínimo zero)",R10/F10-1))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IF(A11="","",IF(NOT(ISNUMBER((IF(NOT(IF(ISNUMBER(B11),AND(B11&gt;=0),FALSE)),"faltam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Config",B11+IF(C11="Sim",Config!$B$11*Config!$B$12,0))))))),(IF(NOT(IF(ISNUMBER(B11),AND(B11&gt;=0),FALSE)),"faltam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Config",B11+IF(C11="Sim",Config!$B$11*Config!$B$12,0))))),IF(NOT(ISNUMBER(Config!$B$7)),"falta o custo-hora em Config",IF(NOT(IF(ISNUMBER(D11),AND(D11&gt;=0),FALSE)),"falta o material",(IF(NOT(IF(ISNUMBER(B11),AND(B11&gt;=0),FALSE)),"faltam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Config",B11+IF(C11="Sim",Config!$B$11*Config!$B$12,0)))))/60*Config!$B$7+D11))))</f>
        <v>81.6666666666667</v>
      </c>
      <c r="F11" s="27">
        <f>IF(A11="","",IF(NOT(ISNUMBER(E11)),E11,IF((Config!$B$15&lt;&gt;"Sim"),"margens inválidas (Config)",E11/(1-Config!$B$8-Config!$B$9))))</f>
        <v>138.418079096045</v>
      </c>
      <c r="G11" s="26">
        <f>IF(A11="","",IF(NOT(ISNUMBER(E11)),E11,IF((Config!$B$15&lt;&gt;"Sim"),"margens inválidas (Config)",E11/(1-Config!$B$8-Config!$B$10))))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IF(OR(A11="",H11=""),"",IF(NOT(IF(ISNUMBER(H11),AND(H11&gt;=0),FALSE)),"Preço inválido",IF(NOT(ISNUMBER(E11)),IF(ISNUMBER(Config!$B$7),"Faltam dados da linha","Falta o custo-hora"),IF(OR(NOT(ISNUMBER(F11)),NOT(ISNUMBER(G11))),"Margens inválidas",IF(H11=0,"Sem cobrança",IF(H11&lt;F11,"Abaixo do mínimo",IF(H11&lt;G11,"Entre mínimo e alvo","No alvo ou acima")))))))</f>
        <v>No alvo ou acima</v>
      </c>
      <c r="O11" s="30">
        <f>IF(OR(A11="",NOT(ISNUMBER(F11))),"",IF(SUMPRODUCT(ISTEXT(I11:M11)+ISNUMBER(I11:M11)*(I11:M11&lt;0))&gt;0,"tabela inválida (texto ou negativo)",SUMPRODUCT((I11:M11&lt;&gt;"")*(I11:M11&gt;0)*(I11:M11*(1-Config!$B$8)&lt;E11))))</f>
        <v>2</v>
      </c>
      <c r="P11" s="23" t="n">
        <v>8</v>
      </c>
      <c r="Q11" s="28" t="n">
        <v>1345</v>
      </c>
      <c r="R11" s="26">
        <f>IF(OR(A11="",AND(P11="",Q11="")),"",IF(OR(NOT(IF(ISNUMBER(P11),AND(P11&gt;=0),FALSE)),NOT(IF(ISNUMBER(Q11),AND(Q11&gt;=0),FALSE))),"volume ou produção faltando ou negativos",IF(P11=0,"",Q11/P11)))</f>
        <v>168.125</v>
      </c>
      <c r="S11" s="31">
        <f>IF(OR(NOT(ISNUMBER(R11)),NOT(ISNUMBER(F11)),N(H11)=0),"",IF(F11=0,"sem base (mínimo zero)",R11/F11-1))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IF(A12="","",IF(NOT(ISNUMBER((IF(NOT(IF(ISNUMBER(B12),AND(B12&gt;=0),FALSE)),"faltam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Config",B12+IF(C12="Sim",Config!$B$11*Config!$B$12,0))))))),(IF(NOT(IF(ISNUMBER(B12),AND(B12&gt;=0),FALSE)),"faltam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Config",B12+IF(C12="Sim",Config!$B$11*Config!$B$12,0))))),IF(NOT(ISNUMBER(Config!$B$7)),"falta o custo-hora em Config",IF(NOT(IF(ISNUMBER(D12),AND(D12&gt;=0),FALSE)),"falta o material",(IF(NOT(IF(ISNUMBER(B12),AND(B12&gt;=0),FALSE)),"faltam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Config",B12+IF(C12="Sim",Config!$B$11*Config!$B$12,0)))))/60*Config!$B$7+D12))))</f>
        <v>84.6666666666667</v>
      </c>
      <c r="F12" s="27">
        <f>IF(A12="","",IF(NOT(ISNUMBER(E12)),E12,IF((Config!$B$15&lt;&gt;"Sim"),"margens inválidas (Config)",E12/(1-Config!$B$8-Config!$B$9))))</f>
        <v>143.502824858757</v>
      </c>
      <c r="G12" s="26">
        <f>IF(A12="","",IF(NOT(ISNUMBER(E12)),E12,IF((Config!$B$15&lt;&gt;"Sim"),"margens inválidas (Config)",E12/(1-Config!$B$8-Config!$B$10))))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IF(OR(A12="",H12=""),"",IF(NOT(IF(ISNUMBER(H12),AND(H12&gt;=0),FALSE)),"Preço inválido",IF(NOT(ISNUMBER(E12)),IF(ISNUMBER(Config!$B$7),"Faltam dados da linha","Falta o custo-hora"),IF(OR(NOT(ISNUMBER(F12)),NOT(ISNUMBER(G12))),"Margens inválidas",IF(H12=0,"Sem cobrança",IF(H12&lt;F12,"Abaixo do mínimo",IF(H12&lt;G12,"Entre mínimo e alvo","No alvo ou acima")))))))</f>
        <v>No alvo ou acima</v>
      </c>
      <c r="O12" s="30">
        <f>IF(OR(A12="",NOT(ISNUMBER(F12))),"",IF(SUMPRODUCT(ISTEXT(I12:M12)+ISNUMBER(I12:M12)*(I12:M12&lt;0))&gt;0,"tabela inválida (texto ou negativo)",SUMPRODUCT((I12:M12&lt;&gt;"")*(I12:M12&gt;0)*(I12:M12*(1-Config!$B$8)&lt;E12))))</f>
        <v>2</v>
      </c>
      <c r="P12" s="23" t="n">
        <v>10</v>
      </c>
      <c r="Q12" s="28" t="n">
        <v>2490</v>
      </c>
      <c r="R12" s="26">
        <f>IF(OR(A12="",AND(P12="",Q12="")),"",IF(OR(NOT(IF(ISNUMBER(P12),AND(P12&gt;=0),FALSE)),NOT(IF(ISNUMBER(Q12),AND(Q12&gt;=0),FALSE))),"volume ou produção faltando ou negativos",IF(P12=0,"",Q12/P12)))</f>
        <v>249</v>
      </c>
      <c r="S12" s="31">
        <f>IF(OR(NOT(ISNUMBER(R12)),NOT(ISNUMBER(F12)),N(H12)=0),"",IF(F12=0,"sem base (mínimo zero)",R12/F12-1))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IF(A13="","",IF(NOT(ISNUMBER((IF(NOT(IF(ISNUMBER(B13),AND(B13&gt;=0),FALSE)),"faltam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Config",B13+IF(C13="Sim",Config!$B$11*Config!$B$12,0))))))),(IF(NOT(IF(ISNUMBER(B13),AND(B13&gt;=0),FALSE)),"faltam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Config",B13+IF(C13="Sim",Config!$B$11*Config!$B$12,0))))),IF(NOT(ISNUMBER(Config!$B$7)),"falta o custo-hora em Config",IF(NOT(IF(ISNUMBER(D13),AND(D13&gt;=0),FALSE)),"falta o material",(IF(NOT(IF(ISNUMBER(B13),AND(B13&gt;=0),FALSE)),"faltam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Config",B13+IF(C13="Sim",Config!$B$11*Config!$B$12,0)))))/60*Config!$B$7+D13))))</f>
        <v>158.333333333333</v>
      </c>
      <c r="F13" s="27">
        <f>IF(A13="","",IF(NOT(ISNUMBER(E13)),E13,IF((Config!$B$15&lt;&gt;"Sim"),"margens inválidas (Config)",E13/(1-Config!$B$8-Config!$B$9))))</f>
        <v>268.361581920904</v>
      </c>
      <c r="G13" s="26">
        <f>IF(A13="","",IF(NOT(ISNUMBER(E13)),E13,IF((Config!$B$15&lt;&gt;"Sim"),"margens inválidas (Config)",E13/(1-Config!$B$8-Config!$B$10))))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IF(OR(A13="",H13=""),"",IF(NOT(IF(ISNUMBER(H13),AND(H13&gt;=0),FALSE)),"Preço inválido",IF(NOT(ISNUMBER(E13)),IF(ISNUMBER(Config!$B$7),"Faltam dados da linha","Falta o custo-hora"),IF(OR(NOT(ISNUMBER(F13)),NOT(ISNUMBER(G13))),"Margens inválidas",IF(H13=0,"Sem cobrança",IF(H13&lt;F13,"Abaixo do mínimo",IF(H13&lt;G13,"Entre mínimo e alvo","No alvo ou acima")))))))</f>
        <v>No alvo ou acima</v>
      </c>
      <c r="O13" s="30">
        <f>IF(OR(A13="",NOT(ISNUMBER(F13))),"",IF(SUMPRODUCT(ISTEXT(I13:M13)+ISNUMBER(I13:M13)*(I13:M13&lt;0))&gt;0,"tabela inválida (texto ou negativo)",SUMPRODUCT((I13:M13&lt;&gt;"")*(I13:M13&gt;0)*(I13:M13*(1-Config!$B$8)&lt;E13))))</f>
        <v>3</v>
      </c>
      <c r="P13" s="23" t="n">
        <v>8</v>
      </c>
      <c r="Q13" s="28" t="n">
        <v>2270</v>
      </c>
      <c r="R13" s="26">
        <f>IF(OR(A13="",AND(P13="",Q13="")),"",IF(OR(NOT(IF(ISNUMBER(P13),AND(P13&gt;=0),FALSE)),NOT(IF(ISNUMBER(Q13),AND(Q13&gt;=0),FALSE))),"volume ou produção faltando ou negativos",IF(P13=0,"",Q13/P13)))</f>
        <v>283.75</v>
      </c>
      <c r="S13" s="31">
        <f>IF(OR(NOT(ISNUMBER(R13)),NOT(ISNUMBER(F13)),N(H13)=0),"",IF(F13=0,"sem base (mínimo zero)",R13/F13-1))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IF(A14="","",IF(NOT(ISNUMBER((IF(NOT(IF(ISNUMBER(B14),AND(B14&gt;=0),FALSE)),"faltam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Config",B14+IF(C14="Sim",Config!$B$11*Config!$B$12,0))))))),(IF(NOT(IF(ISNUMBER(B14),AND(B14&gt;=0),FALSE)),"faltam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Config",B14+IF(C14="Sim",Config!$B$11*Config!$B$12,0))))),IF(NOT(ISNUMBER(Config!$B$7)),"falta o custo-hora em Config",IF(NOT(IF(ISNUMBER(D14),AND(D14&gt;=0),FALSE)),"falta o material",(IF(NOT(IF(ISNUMBER(B14),AND(B14&gt;=0),FALSE)),"faltam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Config",B14+IF(C14="Sim",Config!$B$11*Config!$B$12,0)))))/60*Config!$B$7+D14))))</f>
        <v>164</v>
      </c>
      <c r="F14" s="27">
        <f>IF(A14="","",IF(NOT(ISNUMBER(E14)),E14,IF((Config!$B$15&lt;&gt;"Sim"),"margens inválidas (Config)",E14/(1-Config!$B$8-Config!$B$9))))</f>
        <v>277.966101694915</v>
      </c>
      <c r="G14" s="26">
        <f>IF(A14="","",IF(NOT(ISNUMBER(E14)),E14,IF((Config!$B$15&lt;&gt;"Sim"),"margens inválidas (Config)",E14/(1-Config!$B$8-Config!$B$10))))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IF(OR(A14="",H14=""),"",IF(NOT(IF(ISNUMBER(H14),AND(H14&gt;=0),FALSE)),"Preço inválido",IF(NOT(ISNUMBER(E14)),IF(ISNUMBER(Config!$B$7),"Faltam dados da linha","Falta o custo-hora"),IF(OR(NOT(ISNUMBER(F14)),NOT(ISNUMBER(G14))),"Margens inválidas",IF(H14=0,"Sem cobrança",IF(H14&lt;F14,"Abaixo do mínimo",IF(H14&lt;G14,"Entre mínimo e alvo","No alvo ou acima")))))))</f>
        <v>No alvo ou acima</v>
      </c>
      <c r="O14" s="30">
        <f>IF(OR(A14="",NOT(ISNUMBER(F14))),"",IF(SUMPRODUCT(ISTEXT(I14:M14)+ISNUMBER(I14:M14)*(I14:M14&lt;0))&gt;0,"tabela inválida (texto ou negativo)",SUMPRODUCT((I14:M14&lt;&gt;"")*(I14:M14&gt;0)*(I14:M14*(1-Config!$B$8)&lt;E14))))</f>
        <v>1</v>
      </c>
      <c r="P14" s="23" t="n">
        <v>30</v>
      </c>
      <c r="Q14" s="28" t="n">
        <v>10380</v>
      </c>
      <c r="R14" s="26">
        <f>IF(OR(A14="",AND(P14="",Q14="")),"",IF(OR(NOT(IF(ISNUMBER(P14),AND(P14&gt;=0),FALSE)),NOT(IF(ISNUMBER(Q14),AND(Q14&gt;=0),FALSE))),"volume ou produção faltando ou negativos",IF(P14=0,"",Q14/P14)))</f>
        <v>346</v>
      </c>
      <c r="S14" s="31">
        <f>IF(OR(NOT(ISNUMBER(R14)),NOT(ISNUMBER(F14)),N(H14)=0),"",IF(F14=0,"sem base (mínimo zero)",R14/F14-1))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IF(A15="","",IF(NOT(ISNUMBER((IF(NOT(IF(ISNUMBER(B15),AND(B15&gt;=0),FALSE)),"faltam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Config",B15+IF(C15="Sim",Config!$B$11*Config!$B$12,0))))))),(IF(NOT(IF(ISNUMBER(B15),AND(B15&gt;=0),FALSE)),"faltam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Config",B15+IF(C15="Sim",Config!$B$11*Config!$B$12,0))))),IF(NOT(ISNUMBER(Config!$B$7)),"falta o custo-hora em Config",IF(NOT(IF(ISNUMBER(D15),AND(D15&gt;=0),FALSE)),"falta o material",(IF(NOT(IF(ISNUMBER(B15),AND(B15&gt;=0),FALSE)),"faltam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Config",B15+IF(C15="Sim",Config!$B$11*Config!$B$12,0)))))/60*Config!$B$7+D15))))</f>
        <v/>
      </c>
      <c r="F15" s="27">
        <f>IF(A15="","",IF(NOT(ISNUMBER(E15)),E15,IF((Config!$B$15&lt;&gt;"Sim"),"margens inválidas (Config)",E15/(1-Config!$B$8-Config!$B$9))))</f>
        <v/>
      </c>
      <c r="G15" s="26">
        <f>IF(A15="","",IF(NOT(ISNUMBER(E15)),E15,IF((Config!$B$15&lt;&gt;"Sim"),"margens inválidas (Config)",E15/(1-Config!$B$8-Config!$B$10))))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IF(OR(A15="",H15=""),"",IF(NOT(IF(ISNUMBER(H15),AND(H15&gt;=0),FALSE)),"Preço inválido",IF(NOT(ISNUMBER(E15)),IF(ISNUMBER(Config!$B$7),"Faltam dados da linha","Falta o custo-hora"),IF(OR(NOT(ISNUMBER(F15)),NOT(ISNUMBER(G15))),"Margens inválidas",IF(H15=0,"Sem cobrança",IF(H15&lt;F15,"Abaixo do mínimo",IF(H15&lt;G15,"Entre mínimo e alvo","No alvo ou acima")))))))</f>
        <v/>
      </c>
      <c r="O15" s="30">
        <f>IF(OR(A15="",NOT(ISNUMBER(F15))),"",IF(SUMPRODUCT(ISTEXT(I15:M15)+ISNUMBER(I15:M15)*(I15:M15&lt;0))&gt;0,"tabela inválida (texto ou negativo)",SUMPRODUCT((I15:M15&lt;&gt;"")*(I15:M15&gt;0)*(I15:M15*(1-Config!$B$8)&lt;E15))))</f>
        <v/>
      </c>
      <c r="P15" s="23" t="n"/>
      <c r="Q15" s="28" t="n"/>
      <c r="R15" s="26">
        <f>IF(OR(A15="",AND(P15="",Q15="")),"",IF(OR(NOT(IF(ISNUMBER(P15),AND(P15&gt;=0),FALSE)),NOT(IF(ISNUMBER(Q15),AND(Q15&gt;=0),FALSE))),"volume ou produção faltando ou negativos",IF(P15=0,"",Q15/P15)))</f>
        <v/>
      </c>
      <c r="S15" s="31">
        <f>IF(OR(NOT(ISNUMBER(R15)),NOT(ISNUMBER(F15)),N(H15)=0),"",IF(F15=0,"sem base (mínimo zero)",R15/F15-1))</f>
        <v/>
      </c>
      <c r="T15" s="22" t="n"/>
    </row>
    <row r="16">
      <c r="A16" s="22" t="n"/>
      <c r="B16" s="23" t="n"/>
      <c r="C16" s="24" t="n"/>
      <c r="D16" s="25" t="n"/>
      <c r="E16" s="26">
        <f>IF(A16="","",IF(NOT(ISNUMBER((IF(NOT(IF(ISNUMBER(B16),AND(B16&gt;=0),FALSE)),"faltam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Config",B16+IF(C16="Sim",Config!$B$11*Config!$B$12,0))))))),(IF(NOT(IF(ISNUMBER(B16),AND(B16&gt;=0),FALSE)),"faltam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Config",B16+IF(C16="Sim",Config!$B$11*Config!$B$12,0))))),IF(NOT(ISNUMBER(Config!$B$7)),"falta o custo-hora em Config",IF(NOT(IF(ISNUMBER(D16),AND(D16&gt;=0),FALSE)),"falta o material",(IF(NOT(IF(ISNUMBER(B16),AND(B16&gt;=0),FALSE)),"faltam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Config",B16+IF(C16="Sim",Config!$B$11*Config!$B$12,0)))))/60*Config!$B$7+D16))))</f>
        <v/>
      </c>
      <c r="F16" s="27">
        <f>IF(A16="","",IF(NOT(ISNUMBER(E16)),E16,IF((Config!$B$15&lt;&gt;"Sim"),"margens inválidas (Config)",E16/(1-Config!$B$8-Config!$B$9))))</f>
        <v/>
      </c>
      <c r="G16" s="26">
        <f>IF(A16="","",IF(NOT(ISNUMBER(E16)),E16,IF((Config!$B$15&lt;&gt;"Sim"),"margens inválidas (Config)",E16/(1-Config!$B$8-Config!$B$10))))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IF(OR(A16="",H16=""),"",IF(NOT(IF(ISNUMBER(H16),AND(H16&gt;=0),FALSE)),"Preço inválido",IF(NOT(ISNUMBER(E16)),IF(ISNUMBER(Config!$B$7),"Faltam dados da linha","Falta o custo-hora"),IF(OR(NOT(ISNUMBER(F16)),NOT(ISNUMBER(G16))),"Margens inválidas",IF(H16=0,"Sem cobrança",IF(H16&lt;F16,"Abaixo do mínimo",IF(H16&lt;G16,"Entre mínimo e alvo","No alvo ou acima")))))))</f>
        <v/>
      </c>
      <c r="O16" s="30">
        <f>IF(OR(A16="",NOT(ISNUMBER(F16))),"",IF(SUMPRODUCT(ISTEXT(I16:M16)+ISNUMBER(I16:M16)*(I16:M16&lt;0))&gt;0,"tabela inválida (texto ou negativo)",SUMPRODUCT((I16:M16&lt;&gt;"")*(I16:M16&gt;0)*(I16:M16*(1-Config!$B$8)&lt;E16))))</f>
        <v/>
      </c>
      <c r="P16" s="23" t="n"/>
      <c r="Q16" s="28" t="n"/>
      <c r="R16" s="26">
        <f>IF(OR(A16="",AND(P16="",Q16="")),"",IF(OR(NOT(IF(ISNUMBER(P16),AND(P16&gt;=0),FALSE)),NOT(IF(ISNUMBER(Q16),AND(Q16&gt;=0),FALSE))),"volume ou produção faltando ou negativos",IF(P16=0,"",Q16/P16)))</f>
        <v/>
      </c>
      <c r="S16" s="31">
        <f>IF(OR(NOT(ISNUMBER(R16)),NOT(ISNUMBER(F16)),N(H16)=0),"",IF(F16=0,"sem base (mínimo zero)",R16/F16-1))</f>
        <v/>
      </c>
      <c r="T16" s="22" t="n"/>
    </row>
    <row r="17">
      <c r="A17" s="22" t="n"/>
      <c r="B17" s="23" t="n"/>
      <c r="C17" s="24" t="n"/>
      <c r="D17" s="25" t="n"/>
      <c r="E17" s="26">
        <f>IF(A17="","",IF(NOT(ISNUMBER((IF(NOT(IF(ISNUMBER(B17),AND(B17&gt;=0),FALSE)),"faltam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Config",B17+IF(C17="Sim",Config!$B$11*Config!$B$12,0))))))),(IF(NOT(IF(ISNUMBER(B17),AND(B17&gt;=0),FALSE)),"faltam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Config",B17+IF(C17="Sim",Config!$B$11*Config!$B$12,0))))),IF(NOT(ISNUMBER(Config!$B$7)),"falta o custo-hora em Config",IF(NOT(IF(ISNUMBER(D17),AND(D17&gt;=0),FALSE)),"falta o material",(IF(NOT(IF(ISNUMBER(B17),AND(B17&gt;=0),FALSE)),"faltam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Config",B17+IF(C17="Sim",Config!$B$11*Config!$B$12,0)))))/60*Config!$B$7+D17))))</f>
        <v/>
      </c>
      <c r="F17" s="27">
        <f>IF(A17="","",IF(NOT(ISNUMBER(E17)),E17,IF((Config!$B$15&lt;&gt;"Sim"),"margens inválidas (Config)",E17/(1-Config!$B$8-Config!$B$9))))</f>
        <v/>
      </c>
      <c r="G17" s="26">
        <f>IF(A17="","",IF(NOT(ISNUMBER(E17)),E17,IF((Config!$B$15&lt;&gt;"Sim"),"margens inválidas (Config)",E17/(1-Config!$B$8-Config!$B$10))))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IF(OR(A17="",H17=""),"",IF(NOT(IF(ISNUMBER(H17),AND(H17&gt;=0),FALSE)),"Preço inválido",IF(NOT(ISNUMBER(E17)),IF(ISNUMBER(Config!$B$7),"Faltam dados da linha","Falta o custo-hora"),IF(OR(NOT(ISNUMBER(F17)),NOT(ISNUMBER(G17))),"Margens inválidas",IF(H17=0,"Sem cobrança",IF(H17&lt;F17,"Abaixo do mínimo",IF(H17&lt;G17,"Entre mínimo e alvo","No alvo ou acima")))))))</f>
        <v/>
      </c>
      <c r="O17" s="30">
        <f>IF(OR(A17="",NOT(ISNUMBER(F17))),"",IF(SUMPRODUCT(ISTEXT(I17:M17)+ISNUMBER(I17:M17)*(I17:M17&lt;0))&gt;0,"tabela inválida (texto ou negativo)",SUMPRODUCT((I17:M17&lt;&gt;"")*(I17:M17&gt;0)*(I17:M17*(1-Config!$B$8)&lt;E17))))</f>
        <v/>
      </c>
      <c r="P17" s="23" t="n"/>
      <c r="Q17" s="28" t="n"/>
      <c r="R17" s="26">
        <f>IF(OR(A17="",AND(P17="",Q17="")),"",IF(OR(NOT(IF(ISNUMBER(P17),AND(P17&gt;=0),FALSE)),NOT(IF(ISNUMBER(Q17),AND(Q17&gt;=0),FALSE))),"volume ou produção faltando ou negativos",IF(P17=0,"",Q17/P17)))</f>
        <v/>
      </c>
      <c r="S17" s="31">
        <f>IF(OR(NOT(ISNUMBER(R17)),NOT(ISNUMBER(F17)),N(H17)=0),"",IF(F17=0,"sem base (mínimo zero)",R17/F17-1))</f>
        <v/>
      </c>
      <c r="T17" s="22" t="n"/>
    </row>
    <row r="18">
      <c r="A18" s="22" t="n"/>
      <c r="B18" s="23" t="n"/>
      <c r="C18" s="24" t="n"/>
      <c r="D18" s="25" t="n"/>
      <c r="E18" s="26">
        <f>IF(A18="","",IF(NOT(ISNUMBER((IF(NOT(IF(ISNUMBER(B18),AND(B18&gt;=0),FALSE)),"faltam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Config",B18+IF(C18="Sim",Config!$B$11*Config!$B$12,0))))))),(IF(NOT(IF(ISNUMBER(B18),AND(B18&gt;=0),FALSE)),"faltam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Config",B18+IF(C18="Sim",Config!$B$11*Config!$B$12,0))))),IF(NOT(ISNUMBER(Config!$B$7)),"falta o custo-hora em Config",IF(NOT(IF(ISNUMBER(D18),AND(D18&gt;=0),FALSE)),"falta o material",(IF(NOT(IF(ISNUMBER(B18),AND(B18&gt;=0),FALSE)),"faltam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Config",B18+IF(C18="Sim",Config!$B$11*Config!$B$12,0)))))/60*Config!$B$7+D18))))</f>
        <v/>
      </c>
      <c r="F18" s="27">
        <f>IF(A18="","",IF(NOT(ISNUMBER(E18)),E18,IF((Config!$B$15&lt;&gt;"Sim"),"margens inválidas (Config)",E18/(1-Config!$B$8-Config!$B$9))))</f>
        <v/>
      </c>
      <c r="G18" s="26">
        <f>IF(A18="","",IF(NOT(ISNUMBER(E18)),E18,IF((Config!$B$15&lt;&gt;"Sim"),"margens inválidas (Config)",E18/(1-Config!$B$8-Config!$B$10))))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IF(OR(A18="",H18=""),"",IF(NOT(IF(ISNUMBER(H18),AND(H18&gt;=0),FALSE)),"Preço inválido",IF(NOT(ISNUMBER(E18)),IF(ISNUMBER(Config!$B$7),"Faltam dados da linha","Falta o custo-hora"),IF(OR(NOT(ISNUMBER(F18)),NOT(ISNUMBER(G18))),"Margens inválidas",IF(H18=0,"Sem cobrança",IF(H18&lt;F18,"Abaixo do mínimo",IF(H18&lt;G18,"Entre mínimo e alvo","No alvo ou acima")))))))</f>
        <v/>
      </c>
      <c r="O18" s="30">
        <f>IF(OR(A18="",NOT(ISNUMBER(F18))),"",IF(SUMPRODUCT(ISTEXT(I18:M18)+ISNUMBER(I18:M18)*(I18:M18&lt;0))&gt;0,"tabela inválida (texto ou negativo)",SUMPRODUCT((I18:M18&lt;&gt;"")*(I18:M18&gt;0)*(I18:M18*(1-Config!$B$8)&lt;E18))))</f>
        <v/>
      </c>
      <c r="P18" s="23" t="n"/>
      <c r="Q18" s="28" t="n"/>
      <c r="R18" s="26">
        <f>IF(OR(A18="",AND(P18="",Q18="")),"",IF(OR(NOT(IF(ISNUMBER(P18),AND(P18&gt;=0),FALSE)),NOT(IF(ISNUMBER(Q18),AND(Q18&gt;=0),FALSE))),"volume ou produção faltando ou negativos",IF(P18=0,"",Q18/P18)))</f>
        <v/>
      </c>
      <c r="S18" s="31">
        <f>IF(OR(NOT(ISNUMBER(R18)),NOT(ISNUMBER(F18)),N(H18)=0),"",IF(F18=0,"sem base (mínimo zero)",R18/F18-1))</f>
        <v/>
      </c>
      <c r="T18" s="22" t="n"/>
    </row>
    <row r="19">
      <c r="A19" s="22" t="n"/>
      <c r="B19" s="23" t="n"/>
      <c r="C19" s="24" t="n"/>
      <c r="D19" s="25" t="n"/>
      <c r="E19" s="26">
        <f>IF(A19="","",IF(NOT(ISNUMBER((IF(NOT(IF(ISNUMBER(B19),AND(B19&gt;=0),FALSE)),"faltam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Config",B19+IF(C19="Sim",Config!$B$11*Config!$B$12,0))))))),(IF(NOT(IF(ISNUMBER(B19),AND(B19&gt;=0),FALSE)),"faltam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Config",B19+IF(C19="Sim",Config!$B$11*Config!$B$12,0))))),IF(NOT(ISNUMBER(Config!$B$7)),"falta o custo-hora em Config",IF(NOT(IF(ISNUMBER(D19),AND(D19&gt;=0),FALSE)),"falta o material",(IF(NOT(IF(ISNUMBER(B19),AND(B19&gt;=0),FALSE)),"faltam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Config",B19+IF(C19="Sim",Config!$B$11*Config!$B$12,0)))))/60*Config!$B$7+D19))))</f>
        <v/>
      </c>
      <c r="F19" s="27">
        <f>IF(A19="","",IF(NOT(ISNUMBER(E19)),E19,IF((Config!$B$15&lt;&gt;"Sim"),"margens inválidas (Config)",E19/(1-Config!$B$8-Config!$B$9))))</f>
        <v/>
      </c>
      <c r="G19" s="26">
        <f>IF(A19="","",IF(NOT(ISNUMBER(E19)),E19,IF((Config!$B$15&lt;&gt;"Sim"),"margens inválidas (Config)",E19/(1-Config!$B$8-Config!$B$10))))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IF(OR(A19="",H19=""),"",IF(NOT(IF(ISNUMBER(H19),AND(H19&gt;=0),FALSE)),"Preço inválido",IF(NOT(ISNUMBER(E19)),IF(ISNUMBER(Config!$B$7),"Faltam dados da linha","Falta o custo-hora"),IF(OR(NOT(ISNUMBER(F19)),NOT(ISNUMBER(G19))),"Margens inválidas",IF(H19=0,"Sem cobrança",IF(H19&lt;F19,"Abaixo do mínimo",IF(H19&lt;G19,"Entre mínimo e alvo","No alvo ou acima")))))))</f>
        <v/>
      </c>
      <c r="O19" s="30">
        <f>IF(OR(A19="",NOT(ISNUMBER(F19))),"",IF(SUMPRODUCT(ISTEXT(I19:M19)+ISNUMBER(I19:M19)*(I19:M19&lt;0))&gt;0,"tabela inválida (texto ou negativo)",SUMPRODUCT((I19:M19&lt;&gt;"")*(I19:M19&gt;0)*(I19:M19*(1-Config!$B$8)&lt;E19))))</f>
        <v/>
      </c>
      <c r="P19" s="23" t="n"/>
      <c r="Q19" s="28" t="n"/>
      <c r="R19" s="26">
        <f>IF(OR(A19="",AND(P19="",Q19="")),"",IF(OR(NOT(IF(ISNUMBER(P19),AND(P19&gt;=0),FALSE)),NOT(IF(ISNUMBER(Q19),AND(Q19&gt;=0),FALSE))),"volume ou produção faltando ou negativos",IF(P19=0,"",Q19/P19)))</f>
        <v/>
      </c>
      <c r="S19" s="31">
        <f>IF(OR(NOT(ISNUMBER(R19)),NOT(ISNUMBER(F19)),N(H19)=0),"",IF(F19=0,"sem base (mínimo zero)",R19/F19-1))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38</v>
      </c>
      <c r="C27" s="36">
        <f>IF(OR($A8="",H8="",NOT(IF(ISNUMBER(H8),AND(H8&gt;=0),FALSE)),NOT(ISNUMBER($B27)),N($B27)=0),"",H8/($B27/60))</f>
        <v>600</v>
      </c>
      <c r="D27" s="36">
        <f>IF(OR($A8="",I8="",NOT(IF(ISNUMBER(I8),AND(I8&gt;=0),FALSE)),NOT(ISNUMBER($B27)),N($B27)=0),"",I8/($B27/60))</f>
        <v>189.473684210526</v>
      </c>
      <c r="E27" s="36">
        <f>IF(OR($A8="",J8="",NOT(IF(ISNUMBER(J8),AND(J8&gt;=0),FALSE)),NOT(ISNUMBER($B27)),N($B27)=0),"",J8/($B27/60))</f>
        <v>157.894736842105</v>
      </c>
      <c r="F27" s="36">
        <f>IF(OR($A8="",K8="",NOT(IF(ISNUMBER(K8),AND(K8&gt;=0),FALSE)),NOT(ISNUMBER($B27)),N($B27)=0),"",K8/($B27/60))</f>
        <v>142.105263157895</v>
      </c>
      <c r="G27" s="36">
        <f>IF(OR($A8="",L8="",NOT(IF(ISNUMBER(L8),AND(L8&gt;=0),FALSE)),NOT(ISNUMBER($B27)),N($B27)=0),"",L8/($B27/60))</f>
        <v/>
      </c>
      <c r="H27" s="36">
        <f>IF(OR($A8="",M8="",NOT(IF(ISNUMBER(M8),AND(M8&gt;=0),FALSE)),NOT(ISNUMBER($B27)),N($B27)=0),"",M8/($B27/60))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C28" s="36">
        <f>IF(OR($A9="",H9="",NOT(IF(ISNUMBER(H9),AND(H9&gt;=0),FALSE)),NOT(ISNUMBER($B28)),N($B28)=0),"",H9/($B28/60))</f>
        <v>0</v>
      </c>
      <c r="D28" s="36">
        <f>IF(OR($A9="",I9="",NOT(IF(ISNUMBER(I9),AND(I9&gt;=0),FALSE)),NOT(ISNUMBER($B28)),N($B28)=0),"",I9/($B28/60))</f>
        <v>0</v>
      </c>
      <c r="E28" s="36">
        <f>IF(OR($A9="",J9="",NOT(IF(ISNUMBER(J9),AND(J9&gt;=0),FALSE)),NOT(ISNUMBER($B28)),N($B28)=0),"",J9/($B28/60))</f>
        <v>0</v>
      </c>
      <c r="F28" s="36">
        <f>IF(OR($A9="",K9="",NOT(IF(ISNUMBER(K9),AND(K9&gt;=0),FALSE)),NOT(ISNUMBER($B28)),N($B28)=0),"",K9/($B28/60))</f>
        <v>0</v>
      </c>
      <c r="G28" s="36">
        <f>IF(OR($A9="",L9="",NOT(IF(ISNUMBER(L9),AND(L9&gt;=0),FALSE)),NOT(ISNUMBER($B28)),N($B28)=0),"",L9/($B28/60))</f>
        <v/>
      </c>
      <c r="H28" s="36">
        <f>IF(OR($A9="",M9="",NOT(IF(ISNUMBER(M9),AND(M9&gt;=0),FALSE)),NOT(ISNUMBER($B28)),N($B28)=0),"",M9/($B28/60))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20</v>
      </c>
      <c r="C29" s="36">
        <f>IF(OR($A10="",H10="",NOT(IF(ISNUMBER(H10),AND(H10&gt;=0),FALSE)),NOT(ISNUMBER($B29)),N($B29)=0),"",H10/($B29/60))</f>
        <v>390</v>
      </c>
      <c r="D29" s="36">
        <f>IF(OR($A10="",I10="",NOT(IF(ISNUMBER(I10),AND(I10&gt;=0),FALSE)),NOT(ISNUMBER($B29)),N($B29)=0),"",I10/($B29/60))</f>
        <v>120</v>
      </c>
      <c r="E29" s="36">
        <f>IF(OR($A10="",J10="",NOT(IF(ISNUMBER(J10),AND(J10&gt;=0),FALSE)),NOT(ISNUMBER($B29)),N($B29)=0),"",J10/($B29/60))</f>
        <v>105</v>
      </c>
      <c r="F29" s="36">
        <f>IF(OR($A10="",K10="",NOT(IF(ISNUMBER(K10),AND(K10&gt;=0),FALSE)),NOT(ISNUMBER($B29)),N($B29)=0),"",K10/($B29/60))</f>
        <v>96</v>
      </c>
      <c r="G29" s="36">
        <f>IF(OR($A10="",L10="",NOT(IF(ISNUMBER(L10),AND(L10&gt;=0),FALSE)),NOT(ISNUMBER($B29)),N($B29)=0),"",L10/($B29/60))</f>
        <v/>
      </c>
      <c r="H29" s="36">
        <f>IF(OR($A10="",M10="",NOT(IF(ISNUMBER(M10),AND(M10&gt;=0),FALSE)),NOT(ISNUMBER($B29)),N($B29)=0),"",M10/($B29/60))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20</v>
      </c>
      <c r="C30" s="36">
        <f>IF(OR($A11="",H11="",NOT(IF(ISNUMBER(H11),AND(H11&gt;=0),FALSE)),NOT(ISNUMBER($B30)),N($B30)=0),"",H11/($B30/60))</f>
        <v>900</v>
      </c>
      <c r="D30" s="36">
        <f>IF(OR($A11="",I11="",NOT(IF(ISNUMBER(I11),AND(I11&gt;=0),FALSE)),NOT(ISNUMBER($B30)),N($B30)=0),"",I11/($B30/60))</f>
        <v>285</v>
      </c>
      <c r="E30" s="36">
        <f>IF(OR($A11="",J11="",NOT(IF(ISNUMBER(J11),AND(J11&gt;=0),FALSE)),NOT(ISNUMBER($B30)),N($B30)=0),"",J11/($B30/60))</f>
        <v>255</v>
      </c>
      <c r="F30" s="36">
        <f>IF(OR($A11="",K11="",NOT(IF(ISNUMBER(K11),AND(K11&gt;=0),FALSE)),NOT(ISNUMBER($B30)),N($B30)=0),"",K11/($B30/60))</f>
        <v>225</v>
      </c>
      <c r="G30" s="36">
        <f>IF(OR($A11="",L11="",NOT(IF(ISNUMBER(L11),AND(L11&gt;=0),FALSE)),NOT(ISNUMBER($B30)),N($B30)=0),"",L11/($B30/60))</f>
        <v/>
      </c>
      <c r="H30" s="36">
        <f>IF(OR($A11="",M11="",NOT(IF(ISNUMBER(M11),AND(M11&gt;=0),FALSE)),NOT(ISNUMBER($B30)),N($B30)=0),"",M11/($B30/60))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>20</v>
      </c>
      <c r="C31" s="36">
        <f>IF(OR($A12="",H12="",NOT(IF(ISNUMBER(H12),AND(H12&gt;=0),FALSE)),NOT(ISNUMBER($B31)),N($B31)=0),"",H12/($B31/60))</f>
        <v>1050</v>
      </c>
      <c r="D31" s="36">
        <f>IF(OR($A12="",I12="",NOT(IF(ISNUMBER(I12),AND(I12&gt;=0),FALSE)),NOT(ISNUMBER($B31)),N($B31)=0),"",I12/($B31/60))</f>
        <v>315</v>
      </c>
      <c r="E31" s="36">
        <f>IF(OR($A12="",J12="",NOT(IF(ISNUMBER(J12),AND(J12&gt;=0),FALSE)),NOT(ISNUMBER($B31)),N($B31)=0),"",J12/($B31/60))</f>
        <v>285</v>
      </c>
      <c r="F31" s="36">
        <f>IF(OR($A12="",K12="",NOT(IF(ISNUMBER(K12),AND(K12&gt;=0),FALSE)),NOT(ISNUMBER($B31)),N($B31)=0),"",K12/($B31/60))</f>
        <v>255</v>
      </c>
      <c r="G31" s="36">
        <f>IF(OR($A12="",L12="",NOT(IF(ISNUMBER(L12),AND(L12&gt;=0),FALSE)),NOT(ISNUMBER($B31)),N($B31)=0),"",L12/($B31/60))</f>
        <v/>
      </c>
      <c r="H31" s="36">
        <f>IF(OR($A12="",M12="",NOT(IF(ISNUMBER(M12),AND(M12&gt;=0),FALSE)),NOT(ISNUMBER($B31)),N($B31)=0),"",M12/($B31/60))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>40</v>
      </c>
      <c r="C32" s="36">
        <f>IF(OR($A13="",H13="",NOT(IF(ISNUMBER(H13),AND(H13&gt;=0),FALSE)),NOT(ISNUMBER($B32)),N($B32)=0),"",H13/($B32/60))</f>
        <v>675</v>
      </c>
      <c r="D32" s="36">
        <f>IF(OR($A13="",I13="",NOT(IF(ISNUMBER(I13),AND(I13&gt;=0),FALSE)),NOT(ISNUMBER($B32)),N($B32)=0),"",I13/($B32/60))</f>
        <v>210</v>
      </c>
      <c r="E32" s="36">
        <f>IF(OR($A13="",J13="",NOT(IF(ISNUMBER(J13),AND(J13&gt;=0),FALSE)),NOT(ISNUMBER($B32)),N($B32)=0),"",J13/($B32/60))</f>
        <v>187.5</v>
      </c>
      <c r="F32" s="36">
        <f>IF(OR($A13="",K13="",NOT(IF(ISNUMBER(K13),AND(K13&gt;=0),FALSE)),NOT(ISNUMBER($B32)),N($B32)=0),"",K13/($B32/60))</f>
        <v>165</v>
      </c>
      <c r="G32" s="36">
        <f>IF(OR($A13="",L13="",NOT(IF(ISNUMBER(L13),AND(L13&gt;=0),FALSE)),NOT(ISNUMBER($B32)),N($B32)=0),"",L13/($B32/60))</f>
        <v/>
      </c>
      <c r="H32" s="36">
        <f>IF(OR($A13="",M13="",NOT(IF(ISNUMBER(M13),AND(M13&gt;=0),FALSE)),NOT(ISNUMBER($B32)),N($B32)=0),"",M13/($B32/60))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>48</v>
      </c>
      <c r="C33" s="36">
        <f>IF(OR($A14="",H14="",NOT(IF(ISNUMBER(H14),AND(H14&gt;=0),FALSE)),NOT(ISNUMBER($B33)),N($B33)=0),"",H14/($B33/60))</f>
        <v>500</v>
      </c>
      <c r="D33" s="36">
        <f>IF(OR($A14="",I14="",NOT(IF(ISNUMBER(I14),AND(I14&gt;=0),FALSE)),NOT(ISNUMBER($B33)),N($B33)=0),"",I14/($B33/60))</f>
        <v>162.5</v>
      </c>
      <c r="E33" s="36">
        <f>IF(OR($A14="",J14="",NOT(IF(ISNUMBER(J14),AND(J14&gt;=0),FALSE)),NOT(ISNUMBER($B33)),N($B33)=0),"",J14/($B33/60))</f>
        <v/>
      </c>
      <c r="F33" s="36">
        <f>IF(OR($A14="",K14="",NOT(IF(ISNUMBER(K14),AND(K14&gt;=0),FALSE)),NOT(ISNUMBER($B33)),N($B33)=0),"",K14/($B33/60))</f>
        <v/>
      </c>
      <c r="G33" s="36">
        <f>IF(OR($A14="",L14="",NOT(IF(ISNUMBER(L14),AND(L14&gt;=0),FALSE)),NOT(ISNUMBER($B33)),N($B33)=0),"",L14/($B33/60))</f>
        <v/>
      </c>
      <c r="H33" s="36">
        <f>IF(OR($A14="",M14="",NOT(IF(ISNUMBER(M14),AND(M14&gt;=0),FALSE)),NOT(ISNUMBER($B33)),N($B33)=0),"",M14/($B33/60))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C34" s="36">
        <f>IF(OR($A15="",H15="",NOT(IF(ISNUMBER(H15),AND(H15&gt;=0),FALSE)),NOT(ISNUMBER($B34)),N($B34)=0),"",H15/($B34/60))</f>
        <v/>
      </c>
      <c r="D34" s="36">
        <f>IF(OR($A15="",I15="",NOT(IF(ISNUMBER(I15),AND(I15&gt;=0),FALSE)),NOT(ISNUMBER($B34)),N($B34)=0),"",I15/($B34/60))</f>
        <v/>
      </c>
      <c r="E34" s="36">
        <f>IF(OR($A15="",J15="",NOT(IF(ISNUMBER(J15),AND(J15&gt;=0),FALSE)),NOT(ISNUMBER($B34)),N($B34)=0),"",J15/($B34/60))</f>
        <v/>
      </c>
      <c r="F34" s="36">
        <f>IF(OR($A15="",K15="",NOT(IF(ISNUMBER(K15),AND(K15&gt;=0),FALSE)),NOT(ISNUMBER($B34)),N($B34)=0),"",K15/($B34/60))</f>
        <v/>
      </c>
      <c r="G34" s="36">
        <f>IF(OR($A15="",L15="",NOT(IF(ISNUMBER(L15),AND(L15&gt;=0),FALSE)),NOT(ISNUMBER($B34)),N($B34)=0),"",L15/($B34/60))</f>
        <v/>
      </c>
      <c r="H34" s="36">
        <f>IF(OR($A15="",M15="",NOT(IF(ISNUMBER(M15),AND(M15&gt;=0),FALSE)),NOT(ISNUMBER($B34)),N($B34)=0),"",M15/($B34/60))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C35" s="36">
        <f>IF(OR($A16="",H16="",NOT(IF(ISNUMBER(H16),AND(H16&gt;=0),FALSE)),NOT(ISNUMBER($B35)),N($B35)=0),"",H16/($B35/60))</f>
        <v/>
      </c>
      <c r="D35" s="36">
        <f>IF(OR($A16="",I16="",NOT(IF(ISNUMBER(I16),AND(I16&gt;=0),FALSE)),NOT(ISNUMBER($B35)),N($B35)=0),"",I16/($B35/60))</f>
        <v/>
      </c>
      <c r="E35" s="36">
        <f>IF(OR($A16="",J16="",NOT(IF(ISNUMBER(J16),AND(J16&gt;=0),FALSE)),NOT(ISNUMBER($B35)),N($B35)=0),"",J16/($B35/60))</f>
        <v/>
      </c>
      <c r="F35" s="36">
        <f>IF(OR($A16="",K16="",NOT(IF(ISNUMBER(K16),AND(K16&gt;=0),FALSE)),NOT(ISNUMBER($B35)),N($B35)=0),"",K16/($B35/60))</f>
        <v/>
      </c>
      <c r="G35" s="36">
        <f>IF(OR($A16="",L16="",NOT(IF(ISNUMBER(L16),AND(L16&gt;=0),FALSE)),NOT(ISNUMBER($B35)),N($B35)=0),"",L16/($B35/60))</f>
        <v/>
      </c>
      <c r="H35" s="36">
        <f>IF(OR($A16="",M16="",NOT(IF(ISNUMBER(M16),AND(M16&gt;=0),FALSE)),NOT(ISNUMBER($B35)),N($B35)=0),"",M16/($B35/60))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</f>
        <v/>
      </c>
      <c r="C36" s="36">
        <f>IF(OR($A17="",H17="",NOT(IF(ISNUMBER(H17),AND(H17&gt;=0),FALSE)),NOT(ISNUMBER($B36)),N($B36)=0),"",H17/($B36/60))</f>
        <v/>
      </c>
      <c r="D36" s="36">
        <f>IF(OR($A17="",I17="",NOT(IF(ISNUMBER(I17),AND(I17&gt;=0),FALSE)),NOT(ISNUMBER($B36)),N($B36)=0),"",I17/($B36/60))</f>
        <v/>
      </c>
      <c r="E36" s="36">
        <f>IF(OR($A17="",J17="",NOT(IF(ISNUMBER(J17),AND(J17&gt;=0),FALSE)),NOT(ISNUMBER($B36)),N($B36)=0),"",J17/($B36/60))</f>
        <v/>
      </c>
      <c r="F36" s="36">
        <f>IF(OR($A17="",K17="",NOT(IF(ISNUMBER(K17),AND(K17&gt;=0),FALSE)),NOT(ISNUMBER($B36)),N($B36)=0),"",K17/($B36/60))</f>
        <v/>
      </c>
      <c r="G36" s="36">
        <f>IF(OR($A17="",L17="",NOT(IF(ISNUMBER(L17),AND(L17&gt;=0),FALSE)),NOT(ISNUMBER($B36)),N($B36)=0),"",L17/($B36/60))</f>
        <v/>
      </c>
      <c r="H36" s="36">
        <f>IF(OR($A17="",M17="",NOT(IF(ISNUMBER(M17),AND(M17&gt;=0),FALSE)),NOT(ISNUMBER($B36)),N($B36)=0),"",M17/($B36/60))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</f>
        <v/>
      </c>
      <c r="C37" s="36">
        <f>IF(OR($A18="",H18="",NOT(IF(ISNUMBER(H18),AND(H18&gt;=0),FALSE)),NOT(ISNUMBER($B37)),N($B37)=0),"",H18/($B37/60))</f>
        <v/>
      </c>
      <c r="D37" s="36">
        <f>IF(OR($A18="",I18="",NOT(IF(ISNUMBER(I18),AND(I18&gt;=0),FALSE)),NOT(ISNUMBER($B37)),N($B37)=0),"",I18/($B37/60))</f>
        <v/>
      </c>
      <c r="E37" s="36">
        <f>IF(OR($A18="",J18="",NOT(IF(ISNUMBER(J18),AND(J18&gt;=0),FALSE)),NOT(ISNUMBER($B37)),N($B37)=0),"",J18/($B37/60))</f>
        <v/>
      </c>
      <c r="F37" s="36">
        <f>IF(OR($A18="",K18="",NOT(IF(ISNUMBER(K18),AND(K18&gt;=0),FALSE)),NOT(ISNUMBER($B37)),N($B37)=0),"",K18/($B37/60))</f>
        <v/>
      </c>
      <c r="G37" s="36">
        <f>IF(OR($A18="",L18="",NOT(IF(ISNUMBER(L18),AND(L18&gt;=0),FALSE)),NOT(ISNUMBER($B37)),N($B37)=0),"",L18/($B37/60))</f>
        <v/>
      </c>
      <c r="H37" s="36">
        <f>IF(OR($A18="",M18="",NOT(IF(ISNUMBER(M18),AND(M18&gt;=0),FALSE)),NOT(ISNUMBER($B37)),N($B37)=0),"",M18/($B37/60))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</f>
        <v/>
      </c>
      <c r="C38" s="36">
        <f>IF(OR($A19="",H19="",NOT(IF(ISNUMBER(H19),AND(H19&gt;=0),FALSE)),NOT(ISNUMBER($B38)),N($B38)=0),"",H19/($B38/60))</f>
        <v/>
      </c>
      <c r="D38" s="36">
        <f>IF(OR($A19="",I19="",NOT(IF(ISNUMBER(I19),AND(I19&gt;=0),FALSE)),NOT(ISNUMBER($B38)),N($B38)=0),"",I19/($B38/60))</f>
        <v/>
      </c>
      <c r="E38" s="36">
        <f>IF(OR($A19="",J19="",NOT(IF(ISNUMBER(J19),AND(J19&gt;=0),FALSE)),NOT(ISNUMBER($B38)),N($B38)=0),"",J19/($B38/60))</f>
        <v/>
      </c>
      <c r="F38" s="36">
        <f>IF(OR($A19="",K19="",NOT(IF(ISNUMBER(K19),AND(K19&gt;=0),FALSE)),NOT(ISNUMBER($B38)),N($B38)=0),"",K19/($B38/60))</f>
        <v/>
      </c>
      <c r="G38" s="36">
        <f>IF(OR($A19="",L19="",NOT(IF(ISNUMBER(L19),AND(L19&gt;=0),FALSE)),NOT(ISNUMBER($B38)),N($B38)=0),"",L19/($B38/60))</f>
        <v/>
      </c>
      <c r="H38" s="36">
        <f>IF(OR($A19="",M19="",NOT(IF(ISNUMBER(M19),AND(M19&gt;=0),FALSE)),NOT(ISNUMBER($B38)),N($B38)=0),"",M19/($B38/60))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OR(N8="Abaixo do mínimo",N8="Falta o custo-hora",N8="Margens inválidas",N8="Faltam dados da linha",N8="Preço inválido")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AND(ISNUMBER(I8),I8&gt;0,ISNUMBER($F8),I8*(1-INDIRECT("Config!$B$8"))&lt;$E8)</formula>
    </cfRule>
    <cfRule type="expression" priority="5" dxfId="1">
      <formula>AND(ISNUMBER(I8),ISNUMBER($F8),I8*(1-INDIRECT("Config!$B$8"))&gt;=$E8,I8&lt;$F8)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AND(ISNUMBER(C27),C27&gt;0,ISNUMBER(INDIRECT("Config!$B$13")),C27&lt;INDIRECT("Config!$B$13"))</formula>
    </cfRule>
    <cfRule type="expression" priority="10" dxfId="2">
      <formula>AND(ISNUMBER(C27),ISNUMBER(INDIRECT("Config!$B$14")),C27&gt;=INDIRECT("Config!$B$14"))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IF(NOT(ISNUMBER(B7)),"falta o custo-hora",IF(B15&lt;&gt;"Sim","margens inválidas (Config)",B7/(1-B8-B9)))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IF(NOT(ISNUMBER(B7)),"falta o custo-hora",IF(B15&lt;&gt;"Sim","margens inválidas (Config)",B7/(1-B8-B10)))</f>
        <v>454.545454545455</v>
      </c>
      <c r="C14" s="37" t="inlineStr">
        <is>
          <t>Custo-hora ÷ (1 − impostos − margem alvo).</t>
        </is>
      </c>
    </row>
    <row r="15">
      <c r="A15" s="38" t="inlineStr">
        <is>
          <t>Impostos e margens conferem? (calculado)</t>
        </is>
      </c>
      <c r="B15" s="29" t="str">
        <f>IF(AND(ISNUMBER(B8),ISNUMBER(B9),ISNUMBER(B10)),IF(AND(B8&gt;=0,B8&lt;1,B9&gt;=0,B9&lt;=B10,B10&lt;1,B8+B10&lt;1),"Sim","Não"),"Não")</f>
        <v>Sim</v>
      </c>
      <c r="C15" s="37" t="inlineStr">
        <is>
          <t>"Não" suspende preços, situação e contagens: impostos e margens de 0 % a 99 %, mínima ≤ alvo e impostos + margem alvo abaixo de 100 %.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2026-09-24T15:26:35Z</dcterms:created>
  <dcterms:modified xmlns:dcterms="http://purl.org/dc/terms/" xmlns:xsi="http://www.w3.org/2001/XMLSchema-instance" xsi:type="dcterms:W3CDTF">2026-09-24T15:26:35Z</dcterms:modified>
</cp:coreProperties>
</file>