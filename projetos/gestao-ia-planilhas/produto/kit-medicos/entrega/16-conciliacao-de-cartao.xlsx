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Vendas" sheetId="4" state="visible" r:id="rId4"/>
  </sheets>
  <definedNames>
    <definedName name="_xlnm._FilterDatabase" localSheetId="3" hidden="1">'Vendas'!$A$4:$N$604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R$&quot; #,##0;[Red]-&quot;R$&quot; #,##0"/>
    <numFmt numFmtId="166" formatCode="0.0%"/>
    <numFmt numFmtId="167" formatCode="&quot;R$&quot; #,##0.00;[Red]-&quot;R$&quot; #,##0.00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BE4E4"/>
      </patternFill>
    </fill>
    <fill>
      <patternFill patternType="solid">
        <fgColor rgb="00DDF3E7"/>
      </patternFill>
    </fill>
    <fill>
      <patternFill patternType="solid">
        <fgColor rgb="00FFC83D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165" fontId="1" fillId="4" borderId="0" applyAlignment="1" pivotButton="0" quotePrefix="0" xfId="0">
      <alignment horizontal="center"/>
    </xf>
    <xf numFmtId="167" fontId="10" fillId="5" borderId="0" applyAlignment="1" pivotButton="0" quotePrefix="0" xfId="0">
      <alignment horizontal="center"/>
    </xf>
    <xf numFmtId="10" fontId="10" fillId="5" borderId="0" applyAlignment="1" pivotButton="0" quotePrefix="0" xfId="0">
      <alignment horizontal="center"/>
    </xf>
    <xf numFmtId="165" fontId="12" fillId="6" borderId="0" applyAlignment="1" pivotButton="0" quotePrefix="0" xfId="0">
      <alignment horizontal="center"/>
    </xf>
    <xf numFmtId="165" fontId="1" fillId="7" borderId="0" applyAlignment="1" pivotButton="0" quotePrefix="0" xfId="0">
      <alignment horizontal="center"/>
    </xf>
    <xf numFmtId="165" fontId="10" fillId="5" borderId="0" applyAlignment="1" pivotButton="0" quotePrefix="0" xfId="0">
      <alignment horizontal="center"/>
    </xf>
    <xf numFmtId="0" fontId="6" fillId="0" borderId="0" pivotButton="0" quotePrefix="0" xfId="0"/>
    <xf numFmtId="0" fontId="13" fillId="0" borderId="0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4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167" fontId="3" fillId="0" borderId="1" pivotButton="0" quotePrefix="0" xfId="0"/>
    <xf numFmtId="0" fontId="6" fillId="0" borderId="0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164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10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6">
    <dxf>
      <font>
        <name val="Arial"/>
        <color rgb="00B0A6C4"/>
        <sz val="10"/>
      </font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</dxf>
    <dxf>
      <fill>
        <patternFill patternType="solid">
          <fgColor rgb="00F3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Líquido × taxas por tipo (R$)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'Painel'!F10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'Painel'!$A$11:$A$14</f>
            </numRef>
          </cat>
          <val>
            <numRef>
              <f>'Painel'!$F$11:$F$14</f>
            </numRef>
          </val>
        </ser>
        <ser>
          <idx val="1"/>
          <order val="1"/>
          <tx>
            <strRef>
              <f>'Painel'!D10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'Painel'!$A$11:$A$14</f>
            </numRef>
          </cat>
          <val>
            <numRef>
              <f>'Painel'!$D$11:$D$14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8</row>
      <rowOff>0</rowOff>
    </from>
    <ext cx="468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Conciliação de cartão e taxas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Cada pagamento no cartão ou no Pix com a taxa da operadora, o valor líquido e o dia em que cai na conta. Mostra quanto as taxas comem no mês (e a quantas consultas equivalem), o que ainda vai cair, o que já deveria ter caído e não foi conferido, e o dia a dia para bater com o extrato.</t>
        </is>
      </c>
    </row>
    <row r="5" ht="46" customHeight="1">
      <c r="A5" s="3" t="inlineStr">
        <is>
          <t>Passo 1</t>
        </is>
      </c>
      <c r="B5" s="4" t="inlineStr">
        <is>
          <t>Em Config, digite as taxas e os prazos da sua operadora (contrato da maquininha ou extrato), se antecipa o crédito e o preço da consulta particular (só para a comparação).</t>
        </is>
      </c>
    </row>
    <row r="6" ht="46" customHeight="1">
      <c r="A6" s="3" t="inlineStr">
        <is>
          <t>Passo 2</t>
        </is>
      </c>
      <c r="B6" s="4" t="inlineStr">
        <is>
          <t>Em Vendas, uma linha por pagamento: data, paciente, procedimento, tipo, parcelas e valor bruto (copie da Agenda da 01, filtrando os particulares pagos com Pix ou cartão). Toda sexta, marque Sim em "Conferido no extrato?" para o que caiu na conta.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Config: vendas, taxas, líquido, por tipo, dia a dia e a lista "Falta conferir". No fechamento do mês, lance o total de taxas como saída "Taxas de cartão" no caixa (09).</t>
        </is>
      </c>
    </row>
    <row r="8" ht="46" customHeight="1">
      <c r="A8" s="3" t="inlineStr">
        <is>
          <t>Rotina</t>
        </is>
      </c>
      <c r="B8" s="4" t="inlineStr">
        <is>
          <t>Sexta-feira, 10 minutos: conferir o extrato da operadora contra "Cai na conta neste dia" e marcar as conferidas. Uma vez por semestre: comparar a taxa média com outra operadora.</t>
        </is>
      </c>
    </row>
    <row r="9" ht="46" customHeight="1">
      <c r="A9" s="3" t="inlineStr">
        <is>
          <t>Ligação com as outras planilhas</t>
        </is>
      </c>
      <c r="B9" s="4" t="inlineStr">
        <is>
          <t>O caixa (09) registra o bruto no dia da venda; as taxas do mês são a saída do fim do mês (o total deste Painel). O resultado mensal (18) mostra as taxas como despesa variável. No exemplo o Painel está em agosto (mês fechado); setembro está em andamento.</t>
        </is>
      </c>
    </row>
    <row r="10" ht="46" customHeight="1">
      <c r="A10" s="3" t="inlineStr">
        <is>
          <t>Com a IA</t>
        </is>
      </c>
      <c r="B10" s="4" t="inlineStr">
        <is>
          <t>Copie "Por tipo de pagamento" e use o prompt "Caixa 09 · A taxa da maquininha está comendo a margem?" da biblioteca do kit para decidir entre absorver a taxa, oferecer desconto no Pix ou trocar de operadora.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 e gráficos funcionam.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 Agenda futura e vencimentos em aberto do exemplo são relativos a hoje.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3" customWidth="1" min="4" max="4"/>
    <col width="13" customWidth="1" min="5" max="5"/>
    <col width="13" customWidth="1" min="6" max="6"/>
    <col width="16" customWidth="1" min="7" max="7"/>
    <col width="14" customWidth="1" min="8" max="8"/>
    <col width="13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5" t="str">
        <f>Config!$B$4&amp;" · Conciliação de cartão e taxas · "&amp;Config!$B$6&amp;" de "&amp;Config!$B$5</f>
        <v>Clínica Vida Plena (exemplo fictício) · Conciliação de cartão e taxas · Agosto de 2026</v>
      </c>
    </row>
    <row r="2">
      <c r="A2" s="6" t="inlineStr">
        <is>
          <t>Nada para digitar aqui. Escolha o mês em Config; tudo vem de Vendas. Taxas por mês da venda; a receber por previsão na conta.</t>
        </is>
      </c>
    </row>
    <row r="3"/>
    <row r="4">
      <c r="A4" s="7" t="inlineStr">
        <is>
          <t>Vendas no mês (bruto)</t>
        </is>
      </c>
      <c r="B4" s="8" t="n"/>
      <c r="C4" s="9" t="inlineStr">
        <is>
          <t>Taxas no mês</t>
        </is>
      </c>
      <c r="D4" s="10" t="n"/>
      <c r="E4" s="9" t="inlineStr">
        <is>
          <t>Taxa média</t>
        </is>
      </c>
      <c r="F4" s="10" t="n"/>
      <c r="G4" s="11" t="inlineStr">
        <is>
          <t>Líquido no mês</t>
        </is>
      </c>
      <c r="H4" s="12" t="n"/>
      <c r="I4" s="13" t="inlineStr">
        <is>
          <t>Ainda vai cair (todas as vendas)</t>
        </is>
      </c>
      <c r="J4" s="14" t="n"/>
      <c r="K4" s="9" t="inlineStr">
        <is>
          <t>A conferir</t>
        </is>
      </c>
      <c r="L4" s="10" t="n"/>
    </row>
    <row r="5" ht="30" customHeight="1">
      <c r="A5" s="15">
        <f>SUMIFS(Vendas!$F$5:$F$604,Vendas!$L$5:$L$604,Config!$B$7,Vendas!$M$5:$M$604,Config!$B$5)</f>
        <v>31820</v>
      </c>
      <c r="B5" s="8" t="n"/>
      <c r="C5" s="16">
        <f>SUMIFS(Vendas!$I$5:$I$604,Vendas!$L$5:$L$604,Config!$B$7,Vendas!$M$5:$M$604,Config!$B$5)</f>
        <v>484.12</v>
      </c>
      <c r="D5" s="10" t="n"/>
      <c r="E5" s="17">
        <f>IF(A5=0,"",C5/A5)</f>
        <v>0.0152143306096794</v>
      </c>
      <c r="F5" s="10" t="n"/>
      <c r="G5" s="18">
        <f>A5-C5</f>
        <v>31335.88</v>
      </c>
      <c r="H5" s="12" t="n"/>
      <c r="I5" s="19">
        <f>SUMIFS(Vendas!$J$5:$J$604,Vendas!$N$5:$N$604,"A cair")</f>
        <v>10898.71</v>
      </c>
      <c r="J5" s="14" t="n"/>
      <c r="K5" s="20">
        <f>SUMIFS(Vendas!$J$5:$J$604,Vendas!$N$5:$N$604,"A conferir")</f>
        <v>4047.84</v>
      </c>
      <c r="L5" s="10" t="n"/>
    </row>
    <row r="6"/>
    <row r="7">
      <c r="A7" s="21" t="str">
        <f>"As taxas do mês equivalem a "&amp;FIXED(IF(Config!$B$9=0,0,C5/Config!$B$9),1)&amp;" consultas particulares. Lance este total no caixa (09) como saída 'Taxas de cartão' no fim do mês."</f>
        <v>As taxas do mês equivalem a 1.3 consultas particulares. Lance este total no caixa (09) como saída 'Taxas de cartão' no fim do mês.</v>
      </c>
    </row>
    <row r="8"/>
    <row r="9">
      <c r="A9" s="22" t="inlineStr">
        <is>
          <t>Por tipo de pagamento no mês</t>
        </is>
      </c>
    </row>
    <row r="10" ht="26" customHeight="1">
      <c r="A10" s="23" t="inlineStr">
        <is>
          <t>Tipo</t>
        </is>
      </c>
      <c r="B10" s="23" t="inlineStr">
        <is>
          <t>Vendas</t>
        </is>
      </c>
      <c r="C10" s="23" t="inlineStr">
        <is>
          <t>Bruto (R$)</t>
        </is>
      </c>
      <c r="D10" s="23" t="inlineStr">
        <is>
          <t>Taxas (R$)</t>
        </is>
      </c>
      <c r="E10" s="23" t="inlineStr">
        <is>
          <t>Taxa média</t>
        </is>
      </c>
      <c r="F10" s="23" t="inlineStr">
        <is>
          <t>Líquido (R$)</t>
        </is>
      </c>
      <c r="G10" s="23" t="inlineStr">
        <is>
          <t>% do bruto</t>
        </is>
      </c>
      <c r="H10" s="23" t="inlineStr">
        <is>
          <t>Barra</t>
        </is>
      </c>
      <c r="I10" s="24" t="n"/>
      <c r="J10" s="25" t="n"/>
    </row>
    <row r="11">
      <c r="A11" s="26" t="inlineStr">
        <is>
          <t>Pix</t>
        </is>
      </c>
      <c r="B11" s="27">
        <f>COUNTIFS(Vendas!$D$5:$D$604,"Pix",Vendas!$L$5:$L$604,Config!$B$7,Vendas!$M$5:$M$604,Config!$B$5)</f>
        <v>37</v>
      </c>
      <c r="C11" s="28">
        <f>SUMIFS(Vendas!$F$5:$F$604,Vendas!$D$5:$D$604,"Pix",Vendas!$L$5:$L$604,Config!$B$7,Vendas!$M$5:$M$604,Config!$B$5)</f>
        <v>13380</v>
      </c>
      <c r="D11" s="29">
        <f>SUMIFS(Vendas!$I$5:$I$604,Vendas!$D$5:$D$604,"Pix",Vendas!$L$5:$L$604,Config!$B$7,Vendas!$M$5:$M$604,Config!$B$5)</f>
        <v>0</v>
      </c>
      <c r="E11" s="30">
        <f>IF(C11=0,"",D11/C11)</f>
        <v>0</v>
      </c>
      <c r="F11" s="28">
        <f>C11-D11</f>
        <v>13380</v>
      </c>
      <c r="G11" s="31">
        <f>IF($A$5=0,"",C11/$A$5)</f>
        <v>0.42049025769956</v>
      </c>
      <c r="H11" s="32" t="str">
        <f>IF(G11="","",REPT("█",ROUND(G11*30,0)))</f>
        <v>█████████████</v>
      </c>
      <c r="I11" s="24" t="n"/>
      <c r="J11" s="25" t="n"/>
    </row>
    <row r="12">
      <c r="A12" s="26" t="inlineStr">
        <is>
          <t>Cartão de débito</t>
        </is>
      </c>
      <c r="B12" s="27">
        <f>COUNTIFS(Vendas!$D$5:$D$604,"Cartão de débito",Vendas!$L$5:$L$604,Config!$B$7,Vendas!$M$5:$M$604,Config!$B$5)</f>
        <v>22</v>
      </c>
      <c r="C12" s="28">
        <f>SUMIFS(Vendas!$F$5:$F$604,Vendas!$D$5:$D$604,"Cartão de débito",Vendas!$L$5:$L$604,Config!$B$7,Vendas!$M$5:$M$604,Config!$B$5)</f>
        <v>8090</v>
      </c>
      <c r="D12" s="29">
        <f>SUMIFS(Vendas!$I$5:$I$604,Vendas!$D$5:$D$604,"Cartão de débito",Vendas!$L$5:$L$604,Config!$B$7,Vendas!$M$5:$M$604,Config!$B$5)</f>
        <v>121.35</v>
      </c>
      <c r="E12" s="30">
        <f>IF(C12=0,"",D12/C12)</f>
        <v>0.015</v>
      </c>
      <c r="F12" s="28">
        <f>C12-D12</f>
        <v>7968.65</v>
      </c>
      <c r="G12" s="31">
        <f>IF($A$5=0,"",C12/$A$5)</f>
        <v>0.254242614707731</v>
      </c>
      <c r="H12" s="32" t="str">
        <f>IF(G12="","",REPT("█",ROUND(G12*30,0)))</f>
        <v>████████</v>
      </c>
      <c r="I12" s="24" t="n"/>
      <c r="J12" s="25" t="n"/>
    </row>
    <row r="13">
      <c r="A13" s="26" t="inlineStr">
        <is>
          <t>Cartão de crédito à vista</t>
        </is>
      </c>
      <c r="B13" s="27">
        <f>COUNTIFS(Vendas!$D$5:$D$604,"Cartão de crédito",Vendas!$E$5:$E$604,"&lt;2",Vendas!$L$5:$L$604,Config!$B$7,Vendas!$M$5:$M$604,Config!$B$5)</f>
        <v>0</v>
      </c>
      <c r="C13" s="28">
        <f>SUMIFS(Vendas!$F$5:$F$604,Vendas!$D$5:$D$604,"Cartão de crédito",Vendas!$E$5:$E$604,"&lt;2",Vendas!$L$5:$L$604,Config!$B$7,Vendas!$M$5:$M$604,Config!$B$5)</f>
        <v>0</v>
      </c>
      <c r="D13" s="29">
        <f>SUMIFS(Vendas!$I$5:$I$604,Vendas!$D$5:$D$604,"Cartão de crédito",Vendas!$E$5:$E$604,"&lt;2",Vendas!$L$5:$L$604,Config!$B$7,Vendas!$M$5:$M$604,Config!$B$5)</f>
        <v>0</v>
      </c>
      <c r="E13" s="30">
        <f>IF(C13=0,"",D13/C13)</f>
        <v/>
      </c>
      <c r="F13" s="28">
        <f>C13-D13</f>
        <v>0</v>
      </c>
      <c r="G13" s="31">
        <f>IF($A$5=0,"",C13/$A$5)</f>
        <v>0</v>
      </c>
      <c r="H13" s="32">
        <f>IF(G13="","",REPT("█",ROUND(G13*30,0)))</f>
        <v/>
      </c>
      <c r="I13" s="24" t="n"/>
      <c r="J13" s="25" t="n"/>
    </row>
    <row r="14">
      <c r="A14" s="26" t="inlineStr">
        <is>
          <t>Cartão de crédito parcelado</t>
        </is>
      </c>
      <c r="B14" s="27">
        <f>COUNTIFS(Vendas!$D$5:$D$604,"Cartão de crédito",Vendas!$E$5:$E$604,"&gt;1",Vendas!$L$5:$L$604,Config!$B$7,Vendas!$M$5:$M$604,Config!$B$5)</f>
        <v>12</v>
      </c>
      <c r="C14" s="28">
        <f>SUMIFS(Vendas!$F$5:$F$604,Vendas!$D$5:$D$604,"Cartão de crédito",Vendas!$E$5:$E$604,"&gt;1",Vendas!$L$5:$L$604,Config!$B$7,Vendas!$M$5:$M$604,Config!$B$5)</f>
        <v>4510</v>
      </c>
      <c r="D14" s="29">
        <f>SUMIFS(Vendas!$I$5:$I$604,Vendas!$D$5:$D$604,"Cartão de crédito",Vendas!$E$5:$E$604,"&gt;1",Vendas!$L$5:$L$604,Config!$B$7,Vendas!$M$5:$M$604,Config!$B$5)</f>
        <v>175.89</v>
      </c>
      <c r="E14" s="30">
        <f>IF(C14=0,"",D14/C14)</f>
        <v>0.039</v>
      </c>
      <c r="F14" s="28">
        <f>C14-D14</f>
        <v>4334.11</v>
      </c>
      <c r="G14" s="31">
        <f>IF($A$5=0,"",C14/$A$5)</f>
        <v>0.141734758013828</v>
      </c>
      <c r="H14" s="32" t="str">
        <f>IF(G14="","",REPT("█",ROUND(G14*30,0)))</f>
        <v>████</v>
      </c>
      <c r="I14" s="24" t="n"/>
      <c r="J14" s="25" t="n"/>
    </row>
    <row r="15">
      <c r="A15" s="33" t="inlineStr">
        <is>
          <t>Total</t>
        </is>
      </c>
      <c r="B15" s="33">
        <f>SUM(B11:B14)</f>
        <v>71</v>
      </c>
      <c r="C15" s="34">
        <f>SUM(C11:C14)</f>
        <v>25980</v>
      </c>
      <c r="D15" s="35">
        <f>SUM(D11:D14)</f>
        <v>297.24</v>
      </c>
      <c r="F15" s="34">
        <f>SUM(F11:F14)</f>
        <v>25682.76</v>
      </c>
    </row>
    <row r="16">
      <c r="A16" s="36" t="inlineStr">
        <is>
          <t>Parcelado custa mais e demora mais. Se o parcelado pesa, vale oferecer desconto no Pix em vez de absorver a taxa; a decisão é da clínica.</t>
        </is>
      </c>
    </row>
    <row r="17"/>
    <row r="18">
      <c r="A18" s="22" t="inlineStr">
        <is>
          <t>Dia a dia do mês: vendas, taxas e previsão de crédito</t>
        </is>
      </c>
    </row>
    <row r="19" ht="32" customHeight="1">
      <c r="A19" s="23" t="inlineStr">
        <is>
          <t>Dia</t>
        </is>
      </c>
      <c r="B19" s="23" t="inlineStr">
        <is>
          <t>Data</t>
        </is>
      </c>
      <c r="C19" s="23" t="inlineStr">
        <is>
          <t>Vendas</t>
        </is>
      </c>
      <c r="D19" s="23" t="inlineStr">
        <is>
          <t>Bruto (R$)</t>
        </is>
      </c>
      <c r="E19" s="23" t="inlineStr">
        <is>
          <t>Taxas (R$)</t>
        </is>
      </c>
      <c r="F19" s="23" t="inlineStr">
        <is>
          <t>Líquido (R$)</t>
        </is>
      </c>
      <c r="G19" s="23" t="inlineStr">
        <is>
          <t>Cai na conta neste dia (R$)</t>
        </is>
      </c>
      <c r="H19" s="23" t="inlineStr">
        <is>
          <t>Conferido?</t>
        </is>
      </c>
    </row>
    <row r="20">
      <c r="A20" s="27" t="n">
        <v>1</v>
      </c>
      <c r="B20" s="37">
        <f>IF(1&gt;DAY(DATE(Config!$B$5,Config!$B$7+1,0)),"",DATE(Config!$B$5,Config!$B$7,1))</f>
        <v>46235.0</v>
      </c>
      <c r="C20" s="27">
        <f>IF(B20="","",COUNTIFS(Vendas!$A$5:$A$604,B20))</f>
        <v>0</v>
      </c>
      <c r="D20" s="28">
        <f>IF(B20="","",SUMIFS(Vendas!$F$5:$F$604,Vendas!$A$5:$A$604,B20))</f>
        <v>0</v>
      </c>
      <c r="E20" s="29">
        <f>IF(B20="","",SUMIFS(Vendas!$I$5:$I$604,Vendas!$A$5:$A$604,B20))</f>
        <v>0</v>
      </c>
      <c r="F20" s="28">
        <f>IF(B20="","",D20-E20)</f>
        <v>0</v>
      </c>
      <c r="G20" s="28">
        <f>IF(B20="","",SUMIFS(Vendas!$J$5:$J$604,Vendas!$K$5:$K$604,B20))</f>
        <v>1862.22</v>
      </c>
      <c r="H20" s="27" t="str">
        <f>IF(OR(B20="",G20=0),"",IF(COUNTIFS(Vendas!$K$5:$K$604,B20,Vendas!$N$5:$N$604,"A conferir")&gt;0,"Falta conferir",IF(COUNTIFS(Vendas!$K$5:$K$604,B20,Vendas!$N$5:$N$604,"A cair")&gt;0,"A cair","Conferido")))</f>
        <v>Conferido</v>
      </c>
    </row>
    <row r="21">
      <c r="A21" s="27" t="n">
        <v>2</v>
      </c>
      <c r="B21" s="37">
        <f>IF(2&gt;DAY(DATE(Config!$B$5,Config!$B$7+1,0)),"",DATE(Config!$B$5,Config!$B$7,2))</f>
        <v>46236.0</v>
      </c>
      <c r="C21" s="27">
        <f>IF(B21="","",COUNTIFS(Vendas!$A$5:$A$604,B21))</f>
        <v>0</v>
      </c>
      <c r="D21" s="28">
        <f>IF(B21="","",SUMIFS(Vendas!$F$5:$F$604,Vendas!$A$5:$A$604,B21))</f>
        <v>0</v>
      </c>
      <c r="E21" s="29">
        <f>IF(B21="","",SUMIFS(Vendas!$I$5:$I$604,Vendas!$A$5:$A$604,B21))</f>
        <v>0</v>
      </c>
      <c r="F21" s="28">
        <f>IF(B21="","",D21-E21)</f>
        <v>0</v>
      </c>
      <c r="G21" s="28">
        <f>IF(B21="","",SUMIFS(Vendas!$J$5:$J$604,Vendas!$K$5:$K$604,B21))</f>
        <v>0</v>
      </c>
      <c r="H21" s="27">
        <f>IF(OR(B21="",G21=0),"",IF(COUNTIFS(Vendas!$K$5:$K$604,B21,Vendas!$N$5:$N$604,"A conferir")&gt;0,"Falta conferir",IF(COUNTIFS(Vendas!$K$5:$K$604,B21,Vendas!$N$5:$N$604,"A cair")&gt;0,"A cair","Conferido")))</f>
        <v/>
      </c>
    </row>
    <row r="22">
      <c r="A22" s="27" t="n">
        <v>3</v>
      </c>
      <c r="B22" s="37">
        <f>IF(3&gt;DAY(DATE(Config!$B$5,Config!$B$7+1,0)),"",DATE(Config!$B$5,Config!$B$7,3))</f>
        <v>46237.0</v>
      </c>
      <c r="C22" s="27">
        <f>IF(B22="","",COUNTIFS(Vendas!$A$5:$A$604,B22))</f>
        <v>2</v>
      </c>
      <c r="D22" s="28">
        <f>IF(B22="","",SUMIFS(Vendas!$F$5:$F$604,Vendas!$A$5:$A$604,B22))</f>
        <v>680</v>
      </c>
      <c r="E22" s="29">
        <f>IF(B22="","",SUMIFS(Vendas!$I$5:$I$604,Vendas!$A$5:$A$604,B22))</f>
        <v>16.66</v>
      </c>
      <c r="F22" s="28">
        <f>IF(B22="","",D22-E22)</f>
        <v>663.34</v>
      </c>
      <c r="G22" s="28">
        <f>IF(B22="","",SUMIFS(Vendas!$J$5:$J$604,Vendas!$K$5:$K$604,B22))</f>
        <v>0</v>
      </c>
      <c r="H22" s="27">
        <f>IF(OR(B22="",G22=0),"",IF(COUNTIFS(Vendas!$K$5:$K$604,B22,Vendas!$N$5:$N$604,"A conferir")&gt;0,"Falta conferir",IF(COUNTIFS(Vendas!$K$5:$K$604,B22,Vendas!$N$5:$N$604,"A cair")&gt;0,"A cair","Conferido")))</f>
        <v/>
      </c>
    </row>
    <row r="23">
      <c r="A23" s="27" t="n">
        <v>4</v>
      </c>
      <c r="B23" s="37">
        <f>IF(4&gt;DAY(DATE(Config!$B$5,Config!$B$7+1,0)),"",DATE(Config!$B$5,Config!$B$7,4))</f>
        <v>46238.0</v>
      </c>
      <c r="C23" s="27">
        <f>IF(B23="","",COUNTIFS(Vendas!$A$5:$A$604,B23))</f>
        <v>8</v>
      </c>
      <c r="D23" s="28">
        <f>IF(B23="","",SUMIFS(Vendas!$F$5:$F$604,Vendas!$A$5:$A$604,B23))</f>
        <v>3060</v>
      </c>
      <c r="E23" s="29">
        <f>IF(B23="","",SUMIFS(Vendas!$I$5:$I$604,Vendas!$A$5:$A$604,B23))</f>
        <v>47.42</v>
      </c>
      <c r="F23" s="28">
        <f>IF(B23="","",D23-E23)</f>
        <v>3012.58</v>
      </c>
      <c r="G23" s="28">
        <f>IF(B23="","",SUMIFS(Vendas!$J$5:$J$604,Vendas!$K$5:$K$604,B23))</f>
        <v>1055.5</v>
      </c>
      <c r="H23" s="27" t="str">
        <f>IF(OR(B23="",G23=0),"",IF(COUNTIFS(Vendas!$K$5:$K$604,B23,Vendas!$N$5:$N$604,"A conferir")&gt;0,"Falta conferir",IF(COUNTIFS(Vendas!$K$5:$K$604,B23,Vendas!$N$5:$N$604,"A cair")&gt;0,"A cair","Conferido")))</f>
        <v>Conferido</v>
      </c>
    </row>
    <row r="24">
      <c r="A24" s="27" t="n">
        <v>5</v>
      </c>
      <c r="B24" s="37">
        <f>IF(5&gt;DAY(DATE(Config!$B$5,Config!$B$7+1,0)),"",DATE(Config!$B$5,Config!$B$7,5))</f>
        <v>46239.0</v>
      </c>
      <c r="C24" s="27">
        <f>IF(B24="","",COUNTIFS(Vendas!$A$5:$A$604,B24))</f>
        <v>3</v>
      </c>
      <c r="D24" s="28">
        <f>IF(B24="","",SUMIFS(Vendas!$F$5:$F$604,Vendas!$A$5:$A$604,B24))</f>
        <v>1140</v>
      </c>
      <c r="E24" s="29">
        <f>IF(B24="","",SUMIFS(Vendas!$I$5:$I$604,Vendas!$A$5:$A$604,B24))</f>
        <v>20.52</v>
      </c>
      <c r="F24" s="28">
        <f>IF(B24="","",D24-E24)</f>
        <v>1119.48</v>
      </c>
      <c r="G24" s="28">
        <f>IF(B24="","",SUMIFS(Vendas!$J$5:$J$604,Vendas!$K$5:$K$604,B24))</f>
        <v>2629.92</v>
      </c>
      <c r="H24" s="27" t="str">
        <f>IF(OR(B24="",G24=0),"",IF(COUNTIFS(Vendas!$K$5:$K$604,B24,Vendas!$N$5:$N$604,"A conferir")&gt;0,"Falta conferir",IF(COUNTIFS(Vendas!$K$5:$K$604,B24,Vendas!$N$5:$N$604,"A cair")&gt;0,"A cair","Conferido")))</f>
        <v>Conferido</v>
      </c>
    </row>
    <row r="25">
      <c r="A25" s="27" t="n">
        <v>6</v>
      </c>
      <c r="B25" s="37">
        <f>IF(6&gt;DAY(DATE(Config!$B$5,Config!$B$7+1,0)),"",DATE(Config!$B$5,Config!$B$7,6))</f>
        <v>46240.0</v>
      </c>
      <c r="C25" s="27">
        <f>IF(B25="","",COUNTIFS(Vendas!$A$5:$A$604,B25))</f>
        <v>5</v>
      </c>
      <c r="D25" s="28">
        <f>IF(B25="","",SUMIFS(Vendas!$F$5:$F$604,Vendas!$A$5:$A$604,B25))</f>
        <v>2010</v>
      </c>
      <c r="E25" s="29">
        <f>IF(B25="","",SUMIFS(Vendas!$I$5:$I$604,Vendas!$A$5:$A$604,B25))</f>
        <v>36.12</v>
      </c>
      <c r="F25" s="28">
        <f>IF(B25="","",D25-E25)</f>
        <v>1973.88</v>
      </c>
      <c r="G25" s="28">
        <f>IF(B25="","",SUMIFS(Vendas!$J$5:$J$604,Vendas!$K$5:$K$604,B25))</f>
        <v>1959.98</v>
      </c>
      <c r="H25" s="27" t="str">
        <f>IF(OR(B25="",G25=0),"",IF(COUNTIFS(Vendas!$K$5:$K$604,B25,Vendas!$N$5:$N$604,"A conferir")&gt;0,"Falta conferir",IF(COUNTIFS(Vendas!$K$5:$K$604,B25,Vendas!$N$5:$N$604,"A cair")&gt;0,"A cair","Conferido")))</f>
        <v>Conferido</v>
      </c>
    </row>
    <row r="26">
      <c r="A26" s="27" t="n">
        <v>7</v>
      </c>
      <c r="B26" s="37">
        <f>IF(7&gt;DAY(DATE(Config!$B$5,Config!$B$7+1,0)),"",DATE(Config!$B$5,Config!$B$7,7))</f>
        <v>46241.0</v>
      </c>
      <c r="C26" s="27">
        <f>IF(B26="","",COUNTIFS(Vendas!$A$5:$A$604,B26))</f>
        <v>2</v>
      </c>
      <c r="D26" s="28">
        <f>IF(B26="","",SUMIFS(Vendas!$F$5:$F$604,Vendas!$A$5:$A$604,B26))</f>
        <v>510</v>
      </c>
      <c r="E26" s="29">
        <f>IF(B26="","",SUMIFS(Vendas!$I$5:$I$604,Vendas!$A$5:$A$604,B26))</f>
        <v>12.16</v>
      </c>
      <c r="F26" s="28">
        <f>IF(B26="","",D26-E26)</f>
        <v>497.84</v>
      </c>
      <c r="G26" s="28">
        <f>IF(B26="","",SUMIFS(Vendas!$J$5:$J$604,Vendas!$K$5:$K$604,B26))</f>
        <v>872.14</v>
      </c>
      <c r="H26" s="27" t="str">
        <f>IF(OR(B26="",G26=0),"",IF(COUNTIFS(Vendas!$K$5:$K$604,B26,Vendas!$N$5:$N$604,"A conferir")&gt;0,"Falta conferir",IF(COUNTIFS(Vendas!$K$5:$K$604,B26,Vendas!$N$5:$N$604,"A cair")&gt;0,"A cair","Conferido")))</f>
        <v>Conferido</v>
      </c>
    </row>
    <row r="27">
      <c r="A27" s="27" t="n">
        <v>8</v>
      </c>
      <c r="B27" s="37">
        <f>IF(8&gt;DAY(DATE(Config!$B$5,Config!$B$7+1,0)),"",DATE(Config!$B$5,Config!$B$7,8))</f>
        <v>46242.0</v>
      </c>
      <c r="C27" s="27">
        <f>IF(B27="","",COUNTIFS(Vendas!$A$5:$A$604,B27))</f>
        <v>0</v>
      </c>
      <c r="D27" s="28">
        <f>IF(B27="","",SUMIFS(Vendas!$F$5:$F$604,Vendas!$A$5:$A$604,B27))</f>
        <v>0</v>
      </c>
      <c r="E27" s="29">
        <f>IF(B27="","",SUMIFS(Vendas!$I$5:$I$604,Vendas!$A$5:$A$604,B27))</f>
        <v>0</v>
      </c>
      <c r="F27" s="28">
        <f>IF(B27="","",D27-E27)</f>
        <v>0</v>
      </c>
      <c r="G27" s="28">
        <f>IF(B27="","",SUMIFS(Vendas!$J$5:$J$604,Vendas!$K$5:$K$604,B27))</f>
        <v>1248.72</v>
      </c>
      <c r="H27" s="27" t="str">
        <f>IF(OR(B27="",G27=0),"",IF(COUNTIFS(Vendas!$K$5:$K$604,B27,Vendas!$N$5:$N$604,"A conferir")&gt;0,"Falta conferir",IF(COUNTIFS(Vendas!$K$5:$K$604,B27,Vendas!$N$5:$N$604,"A cair")&gt;0,"A cair","Conferido")))</f>
        <v>Conferido</v>
      </c>
    </row>
    <row r="28">
      <c r="A28" s="27" t="n">
        <v>9</v>
      </c>
      <c r="B28" s="37">
        <f>IF(9&gt;DAY(DATE(Config!$B$5,Config!$B$7+1,0)),"",DATE(Config!$B$5,Config!$B$7,9))</f>
        <v>46243.0</v>
      </c>
      <c r="C28" s="27">
        <f>IF(B28="","",COUNTIFS(Vendas!$A$5:$A$604,B28))</f>
        <v>0</v>
      </c>
      <c r="D28" s="28">
        <f>IF(B28="","",SUMIFS(Vendas!$F$5:$F$604,Vendas!$A$5:$A$604,B28))</f>
        <v>0</v>
      </c>
      <c r="E28" s="29">
        <f>IF(B28="","",SUMIFS(Vendas!$I$5:$I$604,Vendas!$A$5:$A$604,B28))</f>
        <v>0</v>
      </c>
      <c r="F28" s="28">
        <f>IF(B28="","",D28-E28)</f>
        <v>0</v>
      </c>
      <c r="G28" s="28">
        <f>IF(B28="","",SUMIFS(Vendas!$J$5:$J$604,Vendas!$K$5:$K$604,B28))</f>
        <v>0</v>
      </c>
      <c r="H28" s="27">
        <f>IF(OR(B28="",G28=0),"",IF(COUNTIFS(Vendas!$K$5:$K$604,B28,Vendas!$N$5:$N$604,"A conferir")&gt;0,"Falta conferir",IF(COUNTIFS(Vendas!$K$5:$K$604,B28,Vendas!$N$5:$N$604,"A cair")&gt;0,"A cair","Conferido")))</f>
        <v/>
      </c>
    </row>
    <row r="29">
      <c r="A29" s="27" t="n">
        <v>10</v>
      </c>
      <c r="B29" s="37">
        <f>IF(10&gt;DAY(DATE(Config!$B$5,Config!$B$7+1,0)),"",DATE(Config!$B$5,Config!$B$7,10))</f>
        <v>46244.0</v>
      </c>
      <c r="C29" s="27">
        <f>IF(B29="","",COUNTIFS(Vendas!$A$5:$A$604,B29))</f>
        <v>3</v>
      </c>
      <c r="D29" s="28">
        <f>IF(B29="","",SUMIFS(Vendas!$F$5:$F$604,Vendas!$A$5:$A$604,B29))</f>
        <v>860</v>
      </c>
      <c r="E29" s="29">
        <f>IF(B29="","",SUMIFS(Vendas!$I$5:$I$604,Vendas!$A$5:$A$604,B29))</f>
        <v>17.41</v>
      </c>
      <c r="F29" s="28">
        <f>IF(B29="","",D29-E29)</f>
        <v>842.59</v>
      </c>
      <c r="G29" s="28">
        <f>IF(B29="","",SUMIFS(Vendas!$J$5:$J$604,Vendas!$K$5:$K$604,B29))</f>
        <v>130</v>
      </c>
      <c r="H29" s="27" t="str">
        <f>IF(OR(B29="",G29=0),"",IF(COUNTIFS(Vendas!$K$5:$K$604,B29,Vendas!$N$5:$N$604,"A conferir")&gt;0,"Falta conferir",IF(COUNTIFS(Vendas!$K$5:$K$604,B29,Vendas!$N$5:$N$604,"A cair")&gt;0,"A cair","Conferido")))</f>
        <v>Conferido</v>
      </c>
    </row>
    <row r="30">
      <c r="A30" s="27" t="n">
        <v>11</v>
      </c>
      <c r="B30" s="37">
        <f>IF(11&gt;DAY(DATE(Config!$B$5,Config!$B$7+1,0)),"",DATE(Config!$B$5,Config!$B$7,11))</f>
        <v>46245.0</v>
      </c>
      <c r="C30" s="27">
        <f>IF(B30="","",COUNTIFS(Vendas!$A$5:$A$604,B30))</f>
        <v>7</v>
      </c>
      <c r="D30" s="28">
        <f>IF(B30="","",SUMIFS(Vendas!$F$5:$F$604,Vendas!$A$5:$A$604,B30))</f>
        <v>2490</v>
      </c>
      <c r="E30" s="29">
        <f>IF(B30="","",SUMIFS(Vendas!$I$5:$I$604,Vendas!$A$5:$A$604,B30))</f>
        <v>45.03</v>
      </c>
      <c r="F30" s="28">
        <f>IF(B30="","",D30-E30)</f>
        <v>2444.97</v>
      </c>
      <c r="G30" s="28">
        <f>IF(B30="","",SUMIFS(Vendas!$J$5:$J$604,Vendas!$K$5:$K$604,B30))</f>
        <v>1324.75</v>
      </c>
      <c r="H30" s="27" t="str">
        <f>IF(OR(B30="",G30=0),"",IF(COUNTIFS(Vendas!$K$5:$K$604,B30,Vendas!$N$5:$N$604,"A conferir")&gt;0,"Falta conferir",IF(COUNTIFS(Vendas!$K$5:$K$604,B30,Vendas!$N$5:$N$604,"A cair")&gt;0,"A cair","Conferido")))</f>
        <v>Conferido</v>
      </c>
    </row>
    <row r="31">
      <c r="A31" s="27" t="n">
        <v>12</v>
      </c>
      <c r="B31" s="37">
        <f>IF(12&gt;DAY(DATE(Config!$B$5,Config!$B$7+1,0)),"",DATE(Config!$B$5,Config!$B$7,12))</f>
        <v>46246.0</v>
      </c>
      <c r="C31" s="27">
        <f>IF(B31="","",COUNTIFS(Vendas!$A$5:$A$604,B31))</f>
        <v>4</v>
      </c>
      <c r="D31" s="28">
        <f>IF(B31="","",SUMIFS(Vendas!$F$5:$F$604,Vendas!$A$5:$A$604,B31))</f>
        <v>1520</v>
      </c>
      <c r="E31" s="29">
        <f>IF(B31="","",SUMIFS(Vendas!$I$5:$I$604,Vendas!$A$5:$A$604,B31))</f>
        <v>24.32</v>
      </c>
      <c r="F31" s="28">
        <f>IF(B31="","",D31-E31)</f>
        <v>1495.68</v>
      </c>
      <c r="G31" s="28">
        <f>IF(B31="","",SUMIFS(Vendas!$J$5:$J$604,Vendas!$K$5:$K$604,B31))</f>
        <v>1595.77</v>
      </c>
      <c r="H31" s="27" t="str">
        <f>IF(OR(B31="",G31=0),"",IF(COUNTIFS(Vendas!$K$5:$K$604,B31,Vendas!$N$5:$N$604,"A conferir")&gt;0,"Falta conferir",IF(COUNTIFS(Vendas!$K$5:$K$604,B31,Vendas!$N$5:$N$604,"A cair")&gt;0,"A cair","Conferido")))</f>
        <v>Conferido</v>
      </c>
    </row>
    <row r="32">
      <c r="A32" s="27" t="n">
        <v>13</v>
      </c>
      <c r="B32" s="37">
        <f>IF(13&gt;DAY(DATE(Config!$B$5,Config!$B$7+1,0)),"",DATE(Config!$B$5,Config!$B$7,13))</f>
        <v>46247.0</v>
      </c>
      <c r="C32" s="27">
        <f>IF(B32="","",COUNTIFS(Vendas!$A$5:$A$604,B32))</f>
        <v>8</v>
      </c>
      <c r="D32" s="28">
        <f>IF(B32="","",SUMIFS(Vendas!$F$5:$F$604,Vendas!$A$5:$A$604,B32))</f>
        <v>3120</v>
      </c>
      <c r="E32" s="29">
        <f>IF(B32="","",SUMIFS(Vendas!$I$5:$I$604,Vendas!$A$5:$A$604,B32))</f>
        <v>24.16</v>
      </c>
      <c r="F32" s="28">
        <f>IF(B32="","",D32-E32)</f>
        <v>3095.84</v>
      </c>
      <c r="G32" s="28">
        <f>IF(B32="","",SUMIFS(Vendas!$J$5:$J$604,Vendas!$K$5:$K$604,B32))</f>
        <v>4262.52</v>
      </c>
      <c r="H32" s="27" t="str">
        <f>IF(OR(B32="",G32=0),"",IF(COUNTIFS(Vendas!$K$5:$K$604,B32,Vendas!$N$5:$N$604,"A conferir")&gt;0,"Falta conferir",IF(COUNTIFS(Vendas!$K$5:$K$604,B32,Vendas!$N$5:$N$604,"A cair")&gt;0,"A cair","Conferido")))</f>
        <v>Conferido</v>
      </c>
    </row>
    <row r="33">
      <c r="A33" s="27" t="n">
        <v>14</v>
      </c>
      <c r="B33" s="37">
        <f>IF(14&gt;DAY(DATE(Config!$B$5,Config!$B$7+1,0)),"",DATE(Config!$B$5,Config!$B$7,14))</f>
        <v>46248.0</v>
      </c>
      <c r="C33" s="27">
        <f>IF(B33="","",COUNTIFS(Vendas!$A$5:$A$604,B33))</f>
        <v>0</v>
      </c>
      <c r="D33" s="28">
        <f>IF(B33="","",SUMIFS(Vendas!$F$5:$F$604,Vendas!$A$5:$A$604,B33))</f>
        <v>0</v>
      </c>
      <c r="E33" s="29">
        <f>IF(B33="","",SUMIFS(Vendas!$I$5:$I$604,Vendas!$A$5:$A$604,B33))</f>
        <v>0</v>
      </c>
      <c r="F33" s="28">
        <f>IF(B33="","",D33-E33)</f>
        <v>0</v>
      </c>
      <c r="G33" s="28">
        <f>IF(B33="","",SUMIFS(Vendas!$J$5:$J$604,Vendas!$K$5:$K$604,B33))</f>
        <v>1155.84</v>
      </c>
      <c r="H33" s="27" t="str">
        <f>IF(OR(B33="",G33=0),"",IF(COUNTIFS(Vendas!$K$5:$K$604,B33,Vendas!$N$5:$N$604,"A conferir")&gt;0,"Falta conferir",IF(COUNTIFS(Vendas!$K$5:$K$604,B33,Vendas!$N$5:$N$604,"A cair")&gt;0,"A cair","Conferido")))</f>
        <v>Conferido</v>
      </c>
    </row>
    <row r="34">
      <c r="A34" s="27" t="n">
        <v>15</v>
      </c>
      <c r="B34" s="37">
        <f>IF(15&gt;DAY(DATE(Config!$B$5,Config!$B$7+1,0)),"",DATE(Config!$B$5,Config!$B$7,15))</f>
        <v>46249.0</v>
      </c>
      <c r="C34" s="27">
        <f>IF(B34="","",COUNTIFS(Vendas!$A$5:$A$604,B34))</f>
        <v>0</v>
      </c>
      <c r="D34" s="28">
        <f>IF(B34="","",SUMIFS(Vendas!$F$5:$F$604,Vendas!$A$5:$A$604,B34))</f>
        <v>0</v>
      </c>
      <c r="E34" s="29">
        <f>IF(B34="","",SUMIFS(Vendas!$I$5:$I$604,Vendas!$A$5:$A$604,B34))</f>
        <v>0</v>
      </c>
      <c r="F34" s="28">
        <f>IF(B34="","",D34-E34)</f>
        <v>0</v>
      </c>
      <c r="G34" s="28">
        <f>IF(B34="","",SUMIFS(Vendas!$J$5:$J$604,Vendas!$K$5:$K$604,B34))</f>
        <v>1122.88</v>
      </c>
      <c r="H34" s="27" t="str">
        <f>IF(OR(B34="",G34=0),"",IF(COUNTIFS(Vendas!$K$5:$K$604,B34,Vendas!$N$5:$N$604,"A conferir")&gt;0,"Falta conferir",IF(COUNTIFS(Vendas!$K$5:$K$604,B34,Vendas!$N$5:$N$604,"A cair")&gt;0,"A cair","Conferido")))</f>
        <v>Conferido</v>
      </c>
    </row>
    <row r="35">
      <c r="A35" s="27" t="n">
        <v>16</v>
      </c>
      <c r="B35" s="37">
        <f>IF(16&gt;DAY(DATE(Config!$B$5,Config!$B$7+1,0)),"",DATE(Config!$B$5,Config!$B$7,16))</f>
        <v>46250.0</v>
      </c>
      <c r="C35" s="27">
        <f>IF(B35="","",COUNTIFS(Vendas!$A$5:$A$604,B35))</f>
        <v>0</v>
      </c>
      <c r="D35" s="28">
        <f>IF(B35="","",SUMIFS(Vendas!$F$5:$F$604,Vendas!$A$5:$A$604,B35))</f>
        <v>0</v>
      </c>
      <c r="E35" s="29">
        <f>IF(B35="","",SUMIFS(Vendas!$I$5:$I$604,Vendas!$A$5:$A$604,B35))</f>
        <v>0</v>
      </c>
      <c r="F35" s="28">
        <f>IF(B35="","",D35-E35)</f>
        <v>0</v>
      </c>
      <c r="G35" s="28">
        <f>IF(B35="","",SUMIFS(Vendas!$J$5:$J$604,Vendas!$K$5:$K$604,B35))</f>
        <v>367.84</v>
      </c>
      <c r="H35" s="27" t="str">
        <f>IF(OR(B35="",G35=0),"",IF(COUNTIFS(Vendas!$K$5:$K$604,B35,Vendas!$N$5:$N$604,"A conferir")&gt;0,"Falta conferir",IF(COUNTIFS(Vendas!$K$5:$K$604,B35,Vendas!$N$5:$N$604,"A cair")&gt;0,"A cair","Conferido")))</f>
        <v>Conferido</v>
      </c>
    </row>
    <row r="36">
      <c r="A36" s="27" t="n">
        <v>17</v>
      </c>
      <c r="B36" s="37">
        <f>IF(17&gt;DAY(DATE(Config!$B$5,Config!$B$7+1,0)),"",DATE(Config!$B$5,Config!$B$7,17))</f>
        <v>46251.0</v>
      </c>
      <c r="C36" s="27">
        <f>IF(B36="","",COUNTIFS(Vendas!$A$5:$A$604,B36))</f>
        <v>3</v>
      </c>
      <c r="D36" s="28">
        <f>IF(B36="","",SUMIFS(Vendas!$F$5:$F$604,Vendas!$A$5:$A$604,B36))</f>
        <v>1060</v>
      </c>
      <c r="E36" s="29">
        <f>IF(B36="","",SUMIFS(Vendas!$I$5:$I$604,Vendas!$A$5:$A$604,B36))</f>
        <v>17.4</v>
      </c>
      <c r="F36" s="28">
        <f>IF(B36="","",D36-E36)</f>
        <v>1042.6</v>
      </c>
      <c r="G36" s="28">
        <f>IF(B36="","",SUMIFS(Vendas!$J$5:$J$604,Vendas!$K$5:$K$604,B36))</f>
        <v>380</v>
      </c>
      <c r="H36" s="27" t="str">
        <f>IF(OR(B36="",G36=0),"",IF(COUNTIFS(Vendas!$K$5:$K$604,B36,Vendas!$N$5:$N$604,"A conferir")&gt;0,"Falta conferir",IF(COUNTIFS(Vendas!$K$5:$K$604,B36,Vendas!$N$5:$N$604,"A cair")&gt;0,"A cair","Conferido")))</f>
        <v>Conferido</v>
      </c>
    </row>
    <row r="37">
      <c r="A37" s="27" t="n">
        <v>18</v>
      </c>
      <c r="B37" s="37">
        <f>IF(18&gt;DAY(DATE(Config!$B$5,Config!$B$7+1,0)),"",DATE(Config!$B$5,Config!$B$7,18))</f>
        <v>46252.0</v>
      </c>
      <c r="C37" s="27">
        <f>IF(B37="","",COUNTIFS(Vendas!$A$5:$A$604,B37))</f>
        <v>4</v>
      </c>
      <c r="D37" s="28">
        <f>IF(B37="","",SUMIFS(Vendas!$F$5:$F$604,Vendas!$A$5:$A$604,B37))</f>
        <v>1540</v>
      </c>
      <c r="E37" s="29">
        <f>IF(B37="","",SUMIFS(Vendas!$I$5:$I$604,Vendas!$A$5:$A$604,B37))</f>
        <v>20.52</v>
      </c>
      <c r="F37" s="28">
        <f>IF(B37="","",D37-E37)</f>
        <v>1519.48</v>
      </c>
      <c r="G37" s="28">
        <f>IF(B37="","",SUMIFS(Vendas!$J$5:$J$604,Vendas!$K$5:$K$604,B37))</f>
        <v>1154.3</v>
      </c>
      <c r="H37" s="27" t="str">
        <f>IF(OR(B37="",G37=0),"",IF(COUNTIFS(Vendas!$K$5:$K$604,B37,Vendas!$N$5:$N$604,"A conferir")&gt;0,"Falta conferir",IF(COUNTIFS(Vendas!$K$5:$K$604,B37,Vendas!$N$5:$N$604,"A cair")&gt;0,"A cair","Conferido")))</f>
        <v>Conferido</v>
      </c>
    </row>
    <row r="38">
      <c r="A38" s="27" t="n">
        <v>19</v>
      </c>
      <c r="B38" s="37">
        <f>IF(19&gt;DAY(DATE(Config!$B$5,Config!$B$7+1,0)),"",DATE(Config!$B$5,Config!$B$7,19))</f>
        <v>46253.0</v>
      </c>
      <c r="C38" s="27">
        <f>IF(B38="","",COUNTIFS(Vendas!$A$5:$A$604,B38))</f>
        <v>2</v>
      </c>
      <c r="D38" s="28">
        <f>IF(B38="","",SUMIFS(Vendas!$F$5:$F$604,Vendas!$A$5:$A$604,B38))</f>
        <v>760</v>
      </c>
      <c r="E38" s="29">
        <f>IF(B38="","",SUMIFS(Vendas!$I$5:$I$604,Vendas!$A$5:$A$604,B38))</f>
        <v>5.7</v>
      </c>
      <c r="F38" s="28">
        <f>IF(B38="","",D38-E38)</f>
        <v>754.3</v>
      </c>
      <c r="G38" s="28">
        <f>IF(B38="","",SUMIFS(Vendas!$J$5:$J$604,Vendas!$K$5:$K$604,B38))</f>
        <v>1489.98</v>
      </c>
      <c r="H38" s="27" t="str">
        <f>IF(OR(B38="",G38=0),"",IF(COUNTIFS(Vendas!$K$5:$K$604,B38,Vendas!$N$5:$N$604,"A conferir")&gt;0,"Falta conferir",IF(COUNTIFS(Vendas!$K$5:$K$604,B38,Vendas!$N$5:$N$604,"A cair")&gt;0,"A cair","Conferido")))</f>
        <v>Conferido</v>
      </c>
    </row>
    <row r="39">
      <c r="A39" s="27" t="n">
        <v>20</v>
      </c>
      <c r="B39" s="37">
        <f>IF(20&gt;DAY(DATE(Config!$B$5,Config!$B$7+1,0)),"",DATE(Config!$B$5,Config!$B$7,20))</f>
        <v>46254.0</v>
      </c>
      <c r="C39" s="27">
        <f>IF(B39="","",COUNTIFS(Vendas!$A$5:$A$604,B39))</f>
        <v>9</v>
      </c>
      <c r="D39" s="28">
        <f>IF(B39="","",SUMIFS(Vendas!$F$5:$F$604,Vendas!$A$5:$A$604,B39))</f>
        <v>3370</v>
      </c>
      <c r="E39" s="29">
        <f>IF(B39="","",SUMIFS(Vendas!$I$5:$I$604,Vendas!$A$5:$A$604,B39))</f>
        <v>34.4</v>
      </c>
      <c r="F39" s="28">
        <f>IF(B39="","",D39-E39)</f>
        <v>3335.6</v>
      </c>
      <c r="G39" s="28">
        <f>IF(B39="","",SUMIFS(Vendas!$J$5:$J$604,Vendas!$K$5:$K$604,B39))</f>
        <v>3664.52</v>
      </c>
      <c r="H39" s="27" t="str">
        <f>IF(OR(B39="",G39=0),"",IF(COUNTIFS(Vendas!$K$5:$K$604,B39,Vendas!$N$5:$N$604,"A conferir")&gt;0,"Falta conferir",IF(COUNTIFS(Vendas!$K$5:$K$604,B39,Vendas!$N$5:$N$604,"A cair")&gt;0,"A cair","Conferido")))</f>
        <v>Conferido</v>
      </c>
    </row>
    <row r="40">
      <c r="A40" s="27" t="n">
        <v>21</v>
      </c>
      <c r="B40" s="37">
        <f>IF(21&gt;DAY(DATE(Config!$B$5,Config!$B$7+1,0)),"",DATE(Config!$B$5,Config!$B$7,21))</f>
        <v>46255.0</v>
      </c>
      <c r="C40" s="27">
        <f>IF(B40="","",COUNTIFS(Vendas!$A$5:$A$604,B40))</f>
        <v>0</v>
      </c>
      <c r="D40" s="28">
        <f>IF(B40="","",SUMIFS(Vendas!$F$5:$F$604,Vendas!$A$5:$A$604,B40))</f>
        <v>0</v>
      </c>
      <c r="E40" s="29">
        <f>IF(B40="","",SUMIFS(Vendas!$I$5:$I$604,Vendas!$A$5:$A$604,B40))</f>
        <v>0</v>
      </c>
      <c r="F40" s="28">
        <f>IF(B40="","",D40-E40)</f>
        <v>0</v>
      </c>
      <c r="G40" s="28">
        <f>IF(B40="","",SUMIFS(Vendas!$J$5:$J$604,Vendas!$K$5:$K$604,B40))</f>
        <v>1129.68</v>
      </c>
      <c r="H40" s="27" t="str">
        <f>IF(OR(B40="",G40=0),"",IF(COUNTIFS(Vendas!$K$5:$K$604,B40,Vendas!$N$5:$N$604,"A conferir")&gt;0,"Falta conferir",IF(COUNTIFS(Vendas!$K$5:$K$604,B40,Vendas!$N$5:$N$604,"A cair")&gt;0,"A cair","Conferido")))</f>
        <v>Conferido</v>
      </c>
    </row>
    <row r="41">
      <c r="A41" s="27" t="n">
        <v>22</v>
      </c>
      <c r="B41" s="37">
        <f>IF(22&gt;DAY(DATE(Config!$B$5,Config!$B$7+1,0)),"",DATE(Config!$B$5,Config!$B$7,22))</f>
        <v>46256.0</v>
      </c>
      <c r="C41" s="27">
        <f>IF(B41="","",COUNTIFS(Vendas!$A$5:$A$604,B41))</f>
        <v>0</v>
      </c>
      <c r="D41" s="28">
        <f>IF(B41="","",SUMIFS(Vendas!$F$5:$F$604,Vendas!$A$5:$A$604,B41))</f>
        <v>0</v>
      </c>
      <c r="E41" s="29">
        <f>IF(B41="","",SUMIFS(Vendas!$I$5:$I$604,Vendas!$A$5:$A$604,B41))</f>
        <v>0</v>
      </c>
      <c r="F41" s="28">
        <f>IF(B41="","",D41-E41)</f>
        <v>0</v>
      </c>
      <c r="G41" s="28">
        <f>IF(B41="","",SUMIFS(Vendas!$J$5:$J$604,Vendas!$K$5:$K$604,B41))</f>
        <v>1485.26</v>
      </c>
      <c r="H41" s="27" t="str">
        <f>IF(OR(B41="",G41=0),"",IF(COUNTIFS(Vendas!$K$5:$K$604,B41,Vendas!$N$5:$N$604,"A conferir")&gt;0,"Falta conferir",IF(COUNTIFS(Vendas!$K$5:$K$604,B41,Vendas!$N$5:$N$604,"A cair")&gt;0,"A cair","Conferido")))</f>
        <v>Conferido</v>
      </c>
    </row>
    <row r="42">
      <c r="A42" s="27" t="n">
        <v>23</v>
      </c>
      <c r="B42" s="37">
        <f>IF(23&gt;DAY(DATE(Config!$B$5,Config!$B$7+1,0)),"",DATE(Config!$B$5,Config!$B$7,23))</f>
        <v>46257.0</v>
      </c>
      <c r="C42" s="27">
        <f>IF(B42="","",COUNTIFS(Vendas!$A$5:$A$604,B42))</f>
        <v>0</v>
      </c>
      <c r="D42" s="28">
        <f>IF(B42="","",SUMIFS(Vendas!$F$5:$F$604,Vendas!$A$5:$A$604,B42))</f>
        <v>0</v>
      </c>
      <c r="E42" s="29">
        <f>IF(B42="","",SUMIFS(Vendas!$I$5:$I$604,Vendas!$A$5:$A$604,B42))</f>
        <v>0</v>
      </c>
      <c r="F42" s="28">
        <f>IF(B42="","",D42-E42)</f>
        <v>0</v>
      </c>
      <c r="G42" s="28">
        <f>IF(B42="","",SUMIFS(Vendas!$J$5:$J$604,Vendas!$K$5:$K$604,B42))</f>
        <v>0</v>
      </c>
      <c r="H42" s="27">
        <f>IF(OR(B42="",G42=0),"",IF(COUNTIFS(Vendas!$K$5:$K$604,B42,Vendas!$N$5:$N$604,"A conferir")&gt;0,"Falta conferir",IF(COUNTIFS(Vendas!$K$5:$K$604,B42,Vendas!$N$5:$N$604,"A cair")&gt;0,"A cair","Conferido")))</f>
        <v/>
      </c>
    </row>
    <row r="43">
      <c r="A43" s="27" t="n">
        <v>24</v>
      </c>
      <c r="B43" s="37">
        <f>IF(24&gt;DAY(DATE(Config!$B$5,Config!$B$7+1,0)),"",DATE(Config!$B$5,Config!$B$7,24))</f>
        <v>46258.0</v>
      </c>
      <c r="C43" s="27">
        <f>IF(B43="","",COUNTIFS(Vendas!$A$5:$A$604,B43))</f>
        <v>7</v>
      </c>
      <c r="D43" s="28">
        <f>IF(B43="","",SUMIFS(Vendas!$F$5:$F$604,Vendas!$A$5:$A$604,B43))</f>
        <v>2410</v>
      </c>
      <c r="E43" s="29">
        <f>IF(B43="","",SUMIFS(Vendas!$I$5:$I$604,Vendas!$A$5:$A$604,B43))</f>
        <v>36.84</v>
      </c>
      <c r="F43" s="28">
        <f>IF(B43="","",D43-E43)</f>
        <v>2373.16</v>
      </c>
      <c r="G43" s="28">
        <f>IF(B43="","",SUMIFS(Vendas!$J$5:$J$604,Vendas!$K$5:$K$604,B43))</f>
        <v>1140</v>
      </c>
      <c r="H43" s="27" t="str">
        <f>IF(OR(B43="",G43=0),"",IF(COUNTIFS(Vendas!$K$5:$K$604,B43,Vendas!$N$5:$N$604,"A conferir")&gt;0,"Falta conferir",IF(COUNTIFS(Vendas!$K$5:$K$604,B43,Vendas!$N$5:$N$604,"A cair")&gt;0,"A cair","Conferido")))</f>
        <v>Conferido</v>
      </c>
    </row>
    <row r="44">
      <c r="A44" s="27" t="n">
        <v>25</v>
      </c>
      <c r="B44" s="37">
        <f>IF(25&gt;DAY(DATE(Config!$B$5,Config!$B$7+1,0)),"",DATE(Config!$B$5,Config!$B$7,25))</f>
        <v>46259.0</v>
      </c>
      <c r="C44" s="27">
        <f>IF(B44="","",COUNTIFS(Vendas!$A$5:$A$604,B44))</f>
        <v>8</v>
      </c>
      <c r="D44" s="28">
        <f>IF(B44="","",SUMIFS(Vendas!$F$5:$F$604,Vendas!$A$5:$A$604,B44))</f>
        <v>3020</v>
      </c>
      <c r="E44" s="29">
        <f>IF(B44="","",SUMIFS(Vendas!$I$5:$I$604,Vendas!$A$5:$A$604,B44))</f>
        <v>76.09</v>
      </c>
      <c r="F44" s="28">
        <f>IF(B44="","",D44-E44)</f>
        <v>2943.91</v>
      </c>
      <c r="G44" s="28">
        <f>IF(B44="","",SUMIFS(Vendas!$J$5:$J$604,Vendas!$K$5:$K$604,B44))</f>
        <v>1134.3</v>
      </c>
      <c r="H44" s="27" t="str">
        <f>IF(OR(B44="",G44=0),"",IF(COUNTIFS(Vendas!$K$5:$K$604,B44,Vendas!$N$5:$N$604,"A conferir")&gt;0,"Falta conferir",IF(COUNTIFS(Vendas!$K$5:$K$604,B44,Vendas!$N$5:$N$604,"A cair")&gt;0,"A cair","Conferido")))</f>
        <v>Conferido</v>
      </c>
    </row>
    <row r="45">
      <c r="A45" s="27" t="n">
        <v>26</v>
      </c>
      <c r="B45" s="37">
        <f>IF(26&gt;DAY(DATE(Config!$B$5,Config!$B$7+1,0)),"",DATE(Config!$B$5,Config!$B$7,26))</f>
        <v>46260.0</v>
      </c>
      <c r="C45" s="27">
        <f>IF(B45="","",COUNTIFS(Vendas!$A$5:$A$604,B45))</f>
        <v>3</v>
      </c>
      <c r="D45" s="28">
        <f>IF(B45="","",SUMIFS(Vendas!$F$5:$F$604,Vendas!$A$5:$A$604,B45))</f>
        <v>1140</v>
      </c>
      <c r="E45" s="29">
        <f>IF(B45="","",SUMIFS(Vendas!$I$5:$I$604,Vendas!$A$5:$A$604,B45))</f>
        <v>5.7</v>
      </c>
      <c r="F45" s="28">
        <f>IF(B45="","",D45-E45)</f>
        <v>1134.3</v>
      </c>
      <c r="G45" s="28">
        <f>IF(B45="","",SUMIFS(Vendas!$J$5:$J$604,Vendas!$K$5:$K$604,B45))</f>
        <v>1521.84</v>
      </c>
      <c r="H45" s="27" t="str">
        <f>IF(OR(B45="",G45=0),"",IF(COUNTIFS(Vendas!$K$5:$K$604,B45,Vendas!$N$5:$N$604,"A conferir")&gt;0,"Falta conferir",IF(COUNTIFS(Vendas!$K$5:$K$604,B45,Vendas!$N$5:$N$604,"A cair")&gt;0,"A cair","Conferido")))</f>
        <v>Conferido</v>
      </c>
    </row>
    <row r="46">
      <c r="A46" s="27" t="n">
        <v>27</v>
      </c>
      <c r="B46" s="37">
        <f>IF(27&gt;DAY(DATE(Config!$B$5,Config!$B$7+1,0)),"",DATE(Config!$B$5,Config!$B$7,27))</f>
        <v>46261.0</v>
      </c>
      <c r="C46" s="27">
        <f>IF(B46="","",COUNTIFS(Vendas!$A$5:$A$604,B46))</f>
        <v>6</v>
      </c>
      <c r="D46" s="28">
        <f>IF(B46="","",SUMIFS(Vendas!$F$5:$F$604,Vendas!$A$5:$A$604,B46))</f>
        <v>2240</v>
      </c>
      <c r="E46" s="29">
        <f>IF(B46="","",SUMIFS(Vendas!$I$5:$I$604,Vendas!$A$5:$A$604,B46))</f>
        <v>36.02</v>
      </c>
      <c r="F46" s="28">
        <f>IF(B46="","",D46-E46)</f>
        <v>2203.98</v>
      </c>
      <c r="G46" s="28">
        <f>IF(B46="","",SUMIFS(Vendas!$J$5:$J$604,Vendas!$K$5:$K$604,B46))</f>
        <v>2262.14</v>
      </c>
      <c r="H46" s="27" t="str">
        <f>IF(OR(B46="",G46=0),"",IF(COUNTIFS(Vendas!$K$5:$K$604,B46,Vendas!$N$5:$N$604,"A conferir")&gt;0,"Falta conferir",IF(COUNTIFS(Vendas!$K$5:$K$604,B46,Vendas!$N$5:$N$604,"A cair")&gt;0,"A cair","Conferido")))</f>
        <v>Conferido</v>
      </c>
    </row>
    <row r="47">
      <c r="A47" s="27" t="n">
        <v>28</v>
      </c>
      <c r="B47" s="37">
        <f>IF(28&gt;DAY(DATE(Config!$B$5,Config!$B$7+1,0)),"",DATE(Config!$B$5,Config!$B$7,28))</f>
        <v>46262.0</v>
      </c>
      <c r="C47" s="27">
        <f>IF(B47="","",COUNTIFS(Vendas!$A$5:$A$604,B47))</f>
        <v>0</v>
      </c>
      <c r="D47" s="28">
        <f>IF(B47="","",SUMIFS(Vendas!$F$5:$F$604,Vendas!$A$5:$A$604,B47))</f>
        <v>0</v>
      </c>
      <c r="E47" s="29">
        <f>IF(B47="","",SUMIFS(Vendas!$I$5:$I$604,Vendas!$A$5:$A$604,B47))</f>
        <v>0</v>
      </c>
      <c r="F47" s="28">
        <f>IF(B47="","",D47-E47)</f>
        <v>0</v>
      </c>
      <c r="G47" s="28">
        <f>IF(B47="","",SUMIFS(Vendas!$J$5:$J$604,Vendas!$K$5:$K$604,B47))</f>
        <v>768.3</v>
      </c>
      <c r="H47" s="27" t="str">
        <f>IF(OR(B47="",G47=0),"",IF(COUNTIFS(Vendas!$K$5:$K$604,B47,Vendas!$N$5:$N$604,"A conferir")&gt;0,"Falta conferir",IF(COUNTIFS(Vendas!$K$5:$K$604,B47,Vendas!$N$5:$N$604,"A cair")&gt;0,"A cair","Conferido")))</f>
        <v>Conferido</v>
      </c>
    </row>
    <row r="48">
      <c r="A48" s="27" t="n">
        <v>29</v>
      </c>
      <c r="B48" s="37">
        <f>IF(29&gt;DAY(DATE(Config!$B$5,Config!$B$7+1,0)),"",DATE(Config!$B$5,Config!$B$7,29))</f>
        <v>46263.0</v>
      </c>
      <c r="C48" s="27">
        <f>IF(B48="","",COUNTIFS(Vendas!$A$5:$A$604,B48))</f>
        <v>0</v>
      </c>
      <c r="D48" s="28">
        <f>IF(B48="","",SUMIFS(Vendas!$F$5:$F$604,Vendas!$A$5:$A$604,B48))</f>
        <v>0</v>
      </c>
      <c r="E48" s="29">
        <f>IF(B48="","",SUMIFS(Vendas!$I$5:$I$604,Vendas!$A$5:$A$604,B48))</f>
        <v>0</v>
      </c>
      <c r="F48" s="28">
        <f>IF(B48="","",D48-E48)</f>
        <v>0</v>
      </c>
      <c r="G48" s="28">
        <f>IF(B48="","",SUMIFS(Vendas!$J$5:$J$604,Vendas!$K$5:$K$604,B48))</f>
        <v>387.2</v>
      </c>
      <c r="H48" s="27" t="str">
        <f>IF(OR(B48="",G48=0),"",IF(COUNTIFS(Vendas!$K$5:$K$604,B48,Vendas!$N$5:$N$604,"A conferir")&gt;0,"Falta conferir",IF(COUNTIFS(Vendas!$K$5:$K$604,B48,Vendas!$N$5:$N$604,"A cair")&gt;0,"A cair","Conferido")))</f>
        <v>Conferido</v>
      </c>
    </row>
    <row r="49">
      <c r="A49" s="27" t="n">
        <v>30</v>
      </c>
      <c r="B49" s="37">
        <f>IF(30&gt;DAY(DATE(Config!$B$5,Config!$B$7+1,0)),"",DATE(Config!$B$5,Config!$B$7,30))</f>
        <v>46264.0</v>
      </c>
      <c r="C49" s="27">
        <f>IF(B49="","",COUNTIFS(Vendas!$A$5:$A$604,B49))</f>
        <v>0</v>
      </c>
      <c r="D49" s="28">
        <f>IF(B49="","",SUMIFS(Vendas!$F$5:$F$604,Vendas!$A$5:$A$604,B49))</f>
        <v>0</v>
      </c>
      <c r="E49" s="29">
        <f>IF(B49="","",SUMIFS(Vendas!$I$5:$I$604,Vendas!$A$5:$A$604,B49))</f>
        <v>0</v>
      </c>
      <c r="F49" s="28">
        <f>IF(B49="","",D49-E49)</f>
        <v>0</v>
      </c>
      <c r="G49" s="28">
        <f>IF(B49="","",SUMIFS(Vendas!$J$5:$J$604,Vendas!$K$5:$K$604,B49))</f>
        <v>929.28</v>
      </c>
      <c r="H49" s="27" t="str">
        <f>IF(OR(B49="",G49=0),"",IF(COUNTIFS(Vendas!$K$5:$K$604,B49,Vendas!$N$5:$N$604,"A conferir")&gt;0,"Falta conferir",IF(COUNTIFS(Vendas!$K$5:$K$604,B49,Vendas!$N$5:$N$604,"A cair")&gt;0,"A cair","Conferido")))</f>
        <v>Conferido</v>
      </c>
    </row>
    <row r="50">
      <c r="A50" s="27" t="n">
        <v>31</v>
      </c>
      <c r="B50" s="37">
        <f>IF(31&gt;DAY(DATE(Config!$B$5,Config!$B$7+1,0)),"",DATE(Config!$B$5,Config!$B$7,31))</f>
        <v>46265.0</v>
      </c>
      <c r="C50" s="27">
        <f>IF(B50="","",COUNTIFS(Vendas!$A$5:$A$604,B50))</f>
        <v>3</v>
      </c>
      <c r="D50" s="28">
        <f>IF(B50="","",SUMIFS(Vendas!$F$5:$F$604,Vendas!$A$5:$A$604,B50))</f>
        <v>890</v>
      </c>
      <c r="E50" s="29">
        <f>IF(B50="","",SUMIFS(Vendas!$I$5:$I$604,Vendas!$A$5:$A$604,B50))</f>
        <v>7.65</v>
      </c>
      <c r="F50" s="28">
        <f>IF(B50="","",D50-E50)</f>
        <v>882.35</v>
      </c>
      <c r="G50" s="28">
        <f>IF(B50="","",SUMIFS(Vendas!$J$5:$J$604,Vendas!$K$5:$K$604,B50))</f>
        <v>380</v>
      </c>
      <c r="H50" s="27" t="str">
        <f>IF(OR(B50="",G50=0),"",IF(COUNTIFS(Vendas!$K$5:$K$604,B50,Vendas!$N$5:$N$604,"A conferir")&gt;0,"Falta conferir",IF(COUNTIFS(Vendas!$K$5:$K$604,B50,Vendas!$N$5:$N$604,"A cair")&gt;0,"A cair","Conferido")))</f>
        <v>Conferido</v>
      </c>
    </row>
    <row r="51">
      <c r="A51" s="36" t="inlineStr">
        <is>
          <t>"Cai na conta neste dia" soma o líquido das vendas com previsão nesse dia (inclusive vendas de meses anteriores): é o número para bater com o extrato da conta.</t>
        </is>
      </c>
    </row>
    <row r="52"/>
    <row r="53"/>
    <row r="54">
      <c r="A54" s="22" t="inlineStr">
        <is>
          <t>Falta conferir no extrato (previsão vencida)</t>
        </is>
      </c>
    </row>
    <row r="55" ht="32" customHeight="1">
      <c r="A55" s="23" t="inlineStr">
        <is>
          <t>#</t>
        </is>
      </c>
      <c r="B55" s="23" t="inlineStr">
        <is>
          <t>Data da venda</t>
        </is>
      </c>
      <c r="C55" s="23" t="inlineStr">
        <is>
          <t>Paciente</t>
        </is>
      </c>
      <c r="D55" s="23" t="inlineStr">
        <is>
          <t>Procedimento</t>
        </is>
      </c>
      <c r="E55" s="23" t="inlineStr">
        <is>
          <t>Tipo</t>
        </is>
      </c>
      <c r="F55" s="23" t="inlineStr">
        <is>
          <t>Parcelas</t>
        </is>
      </c>
      <c r="G55" s="23" t="inlineStr">
        <is>
          <t>Bruto (R$)</t>
        </is>
      </c>
      <c r="H55" s="23" t="inlineStr">
        <is>
          <t>Líquido (R$)</t>
        </is>
      </c>
      <c r="I55" s="23" t="inlineStr">
        <is>
          <t>Previsão na conta</t>
        </is>
      </c>
      <c r="J55" s="23" t="inlineStr">
        <is>
          <t>Dias desde a previsão</t>
        </is>
      </c>
    </row>
    <row r="56">
      <c r="A56" s="27" t="n">
        <v>1</v>
      </c>
      <c r="B56" s="37">
        <f>IFERROR(IF(LARGE(Vendas!$O$5:$O$604,1)&gt;0,INDEX(Vendas!$A$5:$A$604,MATCH(LARGE(Vendas!$O$5:$O$604,1),Vendas!$O$5:$O$604,0)),""),"")</f>
        <v>46275.0</v>
      </c>
      <c r="C56" s="26" t="str">
        <f>IFERROR(IF(LARGE(Vendas!$O$5:$O$604,1)&gt;0,INDEX(Vendas!$B$5:$B$604,MATCH(LARGE(Vendas!$O$5:$O$604,1),Vendas!$O$5:$O$604,0)),""),"")</f>
        <v>Mônica Almeida</v>
      </c>
      <c r="D56" s="26" t="str">
        <f>IFERROR(IF(LARGE(Vendas!$O$5:$O$604,1)&gt;0,INDEX(Vendas!$C$5:$C$604,MATCH(LARGE(Vendas!$O$5:$O$604,1),Vendas!$O$5:$O$604,0)),""),"")</f>
        <v>Avaliação endócrina</v>
      </c>
      <c r="E56" s="27" t="str">
        <f>IFERROR(IF(LARGE(Vendas!$O$5:$O$604,1)&gt;0,INDEX(Vendas!$D$5:$D$604,MATCH(LARGE(Vendas!$O$5:$O$604,1),Vendas!$O$5:$O$604,0)),""),"")</f>
        <v>Pix</v>
      </c>
      <c r="F56" s="27">
        <f>IFERROR(IF(LARGE(Vendas!$O$5:$O$604,1)&gt;0,INDEX(Vendas!$E$5:$E$604,MATCH(LARGE(Vendas!$O$5:$O$604,1),Vendas!$O$5:$O$604,0)),""),"")</f>
        <v>0</v>
      </c>
      <c r="G56" s="28">
        <f>IFERROR(IF(LARGE(Vendas!$O$5:$O$604,1)&gt;0,INDEX(Vendas!$F$5:$F$604,MATCH(LARGE(Vendas!$O$5:$O$604,1),Vendas!$O$5:$O$604,0)),""),"")</f>
        <v>400</v>
      </c>
      <c r="H56" s="29">
        <f>IFERROR(IF(LARGE(Vendas!$O$5:$O$604,1)&gt;0,INDEX(Vendas!$J$5:$J$604,MATCH(LARGE(Vendas!$O$5:$O$604,1),Vendas!$O$5:$O$604,0)),""),"")</f>
        <v>400</v>
      </c>
      <c r="I56" s="37">
        <f>IFERROR(IF(LARGE(Vendas!$O$5:$O$604,1)&gt;0,INDEX(Vendas!$K$5:$K$604,MATCH(LARGE(Vendas!$O$5:$O$604,1),Vendas!$O$5:$O$604,0)),""),"")</f>
        <v>46275.0</v>
      </c>
      <c r="J56" s="38">
        <f>IF(I56="","",Config!$B$8-I56)</f>
        <v>4</v>
      </c>
    </row>
    <row r="57">
      <c r="A57" s="27" t="n">
        <v>2</v>
      </c>
      <c r="B57" s="37">
        <f>IFERROR(IF(LARGE(Vendas!$O$5:$O$604,2)&gt;0,INDEX(Vendas!$A$5:$A$604,MATCH(LARGE(Vendas!$O$5:$O$604,2),Vendas!$O$5:$O$604,0)),""),"")</f>
        <v>46245.0</v>
      </c>
      <c r="C57" s="26" t="str">
        <f>IFERROR(IF(LARGE(Vendas!$O$5:$O$604,2)&gt;0,INDEX(Vendas!$B$5:$B$604,MATCH(LARGE(Vendas!$O$5:$O$604,2),Vendas!$O$5:$O$604,0)),""),"")</f>
        <v>Beatriz Monteiro</v>
      </c>
      <c r="D57" s="26" t="str">
        <f>IFERROR(IF(LARGE(Vendas!$O$5:$O$604,2)&gt;0,INDEX(Vendas!$C$5:$C$604,MATCH(LARGE(Vendas!$O$5:$O$604,2),Vendas!$O$5:$O$604,0)),""),"")</f>
        <v>Avaliação endócrina</v>
      </c>
      <c r="E57" s="27" t="str">
        <f>IFERROR(IF(LARGE(Vendas!$O$5:$O$604,2)&gt;0,INDEX(Vendas!$D$5:$D$604,MATCH(LARGE(Vendas!$O$5:$O$604,2),Vendas!$O$5:$O$604,0)),""),"")</f>
        <v>Cartão de crédito</v>
      </c>
      <c r="F57" s="27">
        <f>IFERROR(IF(LARGE(Vendas!$O$5:$O$604,2)&gt;0,INDEX(Vendas!$E$5:$E$604,MATCH(LARGE(Vendas!$O$5:$O$604,2),Vendas!$O$5:$O$604,0)),""),"")</f>
        <v>0</v>
      </c>
      <c r="G57" s="28">
        <f>IFERROR(IF(LARGE(Vendas!$O$5:$O$604,2)&gt;0,INDEX(Vendas!$F$5:$F$604,MATCH(LARGE(Vendas!$O$5:$O$604,2),Vendas!$O$5:$O$604,0)),""),"")</f>
        <v>400</v>
      </c>
      <c r="H57" s="29">
        <f>IFERROR(IF(LARGE(Vendas!$O$5:$O$604,2)&gt;0,INDEX(Vendas!$J$5:$J$604,MATCH(LARGE(Vendas!$O$5:$O$604,2),Vendas!$O$5:$O$604,0)),""),"")</f>
        <v>387.2</v>
      </c>
      <c r="I57" s="37">
        <f>IFERROR(IF(LARGE(Vendas!$O$5:$O$604,2)&gt;0,INDEX(Vendas!$K$5:$K$604,MATCH(LARGE(Vendas!$O$5:$O$604,2),Vendas!$O$5:$O$604,0)),""),"")</f>
        <v>46275.0</v>
      </c>
      <c r="J57" s="38">
        <f>IF(I57="","",Config!$B$8-I57)</f>
        <v>4</v>
      </c>
    </row>
    <row r="58">
      <c r="A58" s="27" t="n">
        <v>3</v>
      </c>
      <c r="B58" s="37">
        <f>IFERROR(IF(LARGE(Vendas!$O$5:$O$604,3)&gt;0,INDEX(Vendas!$A$5:$A$604,MATCH(LARGE(Vendas!$O$5:$O$604,3),Vendas!$O$5:$O$604,0)),""),"")</f>
        <v>46275.0</v>
      </c>
      <c r="C58" s="26" t="str">
        <f>IFERROR(IF(LARGE(Vendas!$O$5:$O$604,3)&gt;0,INDEX(Vendas!$B$5:$B$604,MATCH(LARGE(Vendas!$O$5:$O$604,3),Vendas!$O$5:$O$604,0)),""),"")</f>
        <v>Regina Macedo</v>
      </c>
      <c r="D58" s="26" t="str">
        <f>IFERROR(IF(LARGE(Vendas!$O$5:$O$604,3)&gt;0,INDEX(Vendas!$C$5:$C$604,MATCH(LARGE(Vendas!$O$5:$O$604,3),Vendas!$O$5:$O$604,0)),""),"")</f>
        <v>Consulta</v>
      </c>
      <c r="E58" s="27" t="str">
        <f>IFERROR(IF(LARGE(Vendas!$O$5:$O$604,3)&gt;0,INDEX(Vendas!$D$5:$D$604,MATCH(LARGE(Vendas!$O$5:$O$604,3),Vendas!$O$5:$O$604,0)),""),"")</f>
        <v>Pix</v>
      </c>
      <c r="F58" s="27">
        <f>IFERROR(IF(LARGE(Vendas!$O$5:$O$604,3)&gt;0,INDEX(Vendas!$E$5:$E$604,MATCH(LARGE(Vendas!$O$5:$O$604,3),Vendas!$O$5:$O$604,0)),""),"")</f>
        <v>0</v>
      </c>
      <c r="G58" s="28">
        <f>IFERROR(IF(LARGE(Vendas!$O$5:$O$604,3)&gt;0,INDEX(Vendas!$F$5:$F$604,MATCH(LARGE(Vendas!$O$5:$O$604,3),Vendas!$O$5:$O$604,0)),""),"")</f>
        <v>380</v>
      </c>
      <c r="H58" s="29">
        <f>IFERROR(IF(LARGE(Vendas!$O$5:$O$604,3)&gt;0,INDEX(Vendas!$J$5:$J$604,MATCH(LARGE(Vendas!$O$5:$O$604,3),Vendas!$O$5:$O$604,0)),""),"")</f>
        <v>380</v>
      </c>
      <c r="I58" s="37">
        <f>IFERROR(IF(LARGE(Vendas!$O$5:$O$604,3)&gt;0,INDEX(Vendas!$K$5:$K$604,MATCH(LARGE(Vendas!$O$5:$O$604,3),Vendas!$O$5:$O$604,0)),""),"")</f>
        <v>46275.0</v>
      </c>
      <c r="J58" s="38">
        <f>IF(I58="","",Config!$B$8-I58)</f>
        <v>4</v>
      </c>
    </row>
    <row r="59">
      <c r="A59" s="27" t="n">
        <v>4</v>
      </c>
      <c r="B59" s="37">
        <f>IFERROR(IF(LARGE(Vendas!$O$5:$O$604,4)&gt;0,INDEX(Vendas!$A$5:$A$604,MATCH(LARGE(Vendas!$O$5:$O$604,4),Vendas!$O$5:$O$604,0)),""),"")</f>
        <v>46274.0</v>
      </c>
      <c r="C59" s="26" t="str">
        <f>IFERROR(IF(LARGE(Vendas!$O$5:$O$604,4)&gt;0,INDEX(Vendas!$B$5:$B$604,MATCH(LARGE(Vendas!$O$5:$O$604,4),Vendas!$O$5:$O$604,0)),""),"")</f>
        <v>Cláudia Santos</v>
      </c>
      <c r="D59" s="26" t="str">
        <f>IFERROR(IF(LARGE(Vendas!$O$5:$O$604,4)&gt;0,INDEX(Vendas!$C$5:$C$604,MATCH(LARGE(Vendas!$O$5:$O$604,4),Vendas!$O$5:$O$604,0)),""),"")</f>
        <v>Consulta</v>
      </c>
      <c r="E59" s="27" t="str">
        <f>IFERROR(IF(LARGE(Vendas!$O$5:$O$604,4)&gt;0,INDEX(Vendas!$D$5:$D$604,MATCH(LARGE(Vendas!$O$5:$O$604,4),Vendas!$O$5:$O$604,0)),""),"")</f>
        <v>Cartão de débito</v>
      </c>
      <c r="F59" s="27">
        <f>IFERROR(IF(LARGE(Vendas!$O$5:$O$604,4)&gt;0,INDEX(Vendas!$E$5:$E$604,MATCH(LARGE(Vendas!$O$5:$O$604,4),Vendas!$O$5:$O$604,0)),""),"")</f>
        <v>0</v>
      </c>
      <c r="G59" s="28">
        <f>IFERROR(IF(LARGE(Vendas!$O$5:$O$604,4)&gt;0,INDEX(Vendas!$F$5:$F$604,MATCH(LARGE(Vendas!$O$5:$O$604,4),Vendas!$O$5:$O$604,0)),""),"")</f>
        <v>380</v>
      </c>
      <c r="H59" s="29">
        <f>IFERROR(IF(LARGE(Vendas!$O$5:$O$604,4)&gt;0,INDEX(Vendas!$J$5:$J$604,MATCH(LARGE(Vendas!$O$5:$O$604,4),Vendas!$O$5:$O$604,0)),""),"")</f>
        <v>374.3</v>
      </c>
      <c r="I59" s="37">
        <f>IFERROR(IF(LARGE(Vendas!$O$5:$O$604,4)&gt;0,INDEX(Vendas!$K$5:$K$604,MATCH(LARGE(Vendas!$O$5:$O$604,4),Vendas!$O$5:$O$604,0)),""),"")</f>
        <v>46275.0</v>
      </c>
      <c r="J59" s="38">
        <f>IF(I59="","",Config!$B$8-I59)</f>
        <v>4</v>
      </c>
    </row>
    <row r="60">
      <c r="A60" s="27" t="n">
        <v>5</v>
      </c>
      <c r="B60" s="37">
        <f>IFERROR(IF(LARGE(Vendas!$O$5:$O$604,5)&gt;0,INDEX(Vendas!$A$5:$A$604,MATCH(LARGE(Vendas!$O$5:$O$604,5),Vendas!$O$5:$O$604,0)),""),"")</f>
        <v>46245.0</v>
      </c>
      <c r="C60" s="26" t="str">
        <f>IFERROR(IF(LARGE(Vendas!$O$5:$O$604,5)&gt;0,INDEX(Vendas!$B$5:$B$604,MATCH(LARGE(Vendas!$O$5:$O$604,5),Vendas!$O$5:$O$604,0)),""),"")</f>
        <v>Gustavo Ferreira</v>
      </c>
      <c r="D60" s="26" t="str">
        <f>IFERROR(IF(LARGE(Vendas!$O$5:$O$604,5)&gt;0,INDEX(Vendas!$C$5:$C$604,MATCH(LARGE(Vendas!$O$5:$O$604,5),Vendas!$O$5:$O$604,0)),""),"")</f>
        <v>Consulta</v>
      </c>
      <c r="E60" s="27" t="str">
        <f>IFERROR(IF(LARGE(Vendas!$O$5:$O$604,5)&gt;0,INDEX(Vendas!$D$5:$D$604,MATCH(LARGE(Vendas!$O$5:$O$604,5),Vendas!$O$5:$O$604,0)),""),"")</f>
        <v>Cartão de crédito</v>
      </c>
      <c r="F60" s="27">
        <f>IFERROR(IF(LARGE(Vendas!$O$5:$O$604,5)&gt;0,INDEX(Vendas!$E$5:$E$604,MATCH(LARGE(Vendas!$O$5:$O$604,5),Vendas!$O$5:$O$604,0)),""),"")</f>
        <v>0</v>
      </c>
      <c r="G60" s="28">
        <f>IFERROR(IF(LARGE(Vendas!$O$5:$O$604,5)&gt;0,INDEX(Vendas!$F$5:$F$604,MATCH(LARGE(Vendas!$O$5:$O$604,5),Vendas!$O$5:$O$604,0)),""),"")</f>
        <v>380</v>
      </c>
      <c r="H60" s="29">
        <f>IFERROR(IF(LARGE(Vendas!$O$5:$O$604,5)&gt;0,INDEX(Vendas!$J$5:$J$604,MATCH(LARGE(Vendas!$O$5:$O$604,5),Vendas!$O$5:$O$604,0)),""),"")</f>
        <v>367.84</v>
      </c>
      <c r="I60" s="37">
        <f>IFERROR(IF(LARGE(Vendas!$O$5:$O$604,5)&gt;0,INDEX(Vendas!$K$5:$K$604,MATCH(LARGE(Vendas!$O$5:$O$604,5),Vendas!$O$5:$O$604,0)),""),"")</f>
        <v>46275.0</v>
      </c>
      <c r="J60" s="38">
        <f>IF(I60="","",Config!$B$8-I60)</f>
        <v>4</v>
      </c>
    </row>
    <row r="61">
      <c r="A61" s="27" t="n">
        <v>6</v>
      </c>
      <c r="B61" s="37">
        <f>IFERROR(IF(LARGE(Vendas!$O$5:$O$604,6)&gt;0,INDEX(Vendas!$A$5:$A$604,MATCH(LARGE(Vendas!$O$5:$O$604,6),Vendas!$O$5:$O$604,0)),""),"")</f>
        <v>46245.0</v>
      </c>
      <c r="C61" s="26" t="str">
        <f>IFERROR(IF(LARGE(Vendas!$O$5:$O$604,6)&gt;0,INDEX(Vendas!$B$5:$B$604,MATCH(LARGE(Vendas!$O$5:$O$604,6),Vendas!$O$5:$O$604,0)),""),"")</f>
        <v>Ana Costa</v>
      </c>
      <c r="D61" s="26" t="str">
        <f>IFERROR(IF(LARGE(Vendas!$O$5:$O$604,6)&gt;0,INDEX(Vendas!$C$5:$C$604,MATCH(LARGE(Vendas!$O$5:$O$604,6),Vendas!$O$5:$O$604,0)),""),"")</f>
        <v>Consulta</v>
      </c>
      <c r="E61" s="27" t="str">
        <f>IFERROR(IF(LARGE(Vendas!$O$5:$O$604,6)&gt;0,INDEX(Vendas!$D$5:$D$604,MATCH(LARGE(Vendas!$O$5:$O$604,6),Vendas!$O$5:$O$604,0)),""),"")</f>
        <v>Cartão de crédito</v>
      </c>
      <c r="F61" s="27">
        <f>IFERROR(IF(LARGE(Vendas!$O$5:$O$604,6)&gt;0,INDEX(Vendas!$E$5:$E$604,MATCH(LARGE(Vendas!$O$5:$O$604,6),Vendas!$O$5:$O$604,0)),""),"")</f>
        <v>2</v>
      </c>
      <c r="G61" s="28">
        <f>IFERROR(IF(LARGE(Vendas!$O$5:$O$604,6)&gt;0,INDEX(Vendas!$F$5:$F$604,MATCH(LARGE(Vendas!$O$5:$O$604,6),Vendas!$O$5:$O$604,0)),""),"")</f>
        <v>380</v>
      </c>
      <c r="H61" s="29">
        <f>IFERROR(IF(LARGE(Vendas!$O$5:$O$604,6)&gt;0,INDEX(Vendas!$J$5:$J$604,MATCH(LARGE(Vendas!$O$5:$O$604,6),Vendas!$O$5:$O$604,0)),""),"")</f>
        <v>365.18</v>
      </c>
      <c r="I61" s="37">
        <f>IFERROR(IF(LARGE(Vendas!$O$5:$O$604,6)&gt;0,INDEX(Vendas!$K$5:$K$604,MATCH(LARGE(Vendas!$O$5:$O$604,6),Vendas!$O$5:$O$604,0)),""),"")</f>
        <v>46275.0</v>
      </c>
      <c r="J61" s="38">
        <f>IF(I61="","",Config!$B$8-I61)</f>
        <v>4</v>
      </c>
    </row>
    <row r="62">
      <c r="A62" s="27" t="n">
        <v>7</v>
      </c>
      <c r="B62" s="37">
        <f>IFERROR(IF(LARGE(Vendas!$O$5:$O$604,7)&gt;0,INDEX(Vendas!$A$5:$A$604,MATCH(LARGE(Vendas!$O$5:$O$604,7),Vendas!$O$5:$O$604,0)),""),"")</f>
        <v>46275.0</v>
      </c>
      <c r="C62" s="26" t="str">
        <f>IFERROR(IF(LARGE(Vendas!$O$5:$O$604,7)&gt;0,INDEX(Vendas!$B$5:$B$604,MATCH(LARGE(Vendas!$O$5:$O$604,7),Vendas!$O$5:$O$604,0)),""),"")</f>
        <v>Rafael Dias</v>
      </c>
      <c r="D62" s="26" t="str">
        <f>IFERROR(IF(LARGE(Vendas!$O$5:$O$604,7)&gt;0,INDEX(Vendas!$C$5:$C$604,MATCH(LARGE(Vendas!$O$5:$O$604,7),Vendas!$O$5:$O$604,0)),""),"")</f>
        <v>Consulta</v>
      </c>
      <c r="E62" s="27" t="str">
        <f>IFERROR(IF(LARGE(Vendas!$O$5:$O$604,7)&gt;0,INDEX(Vendas!$D$5:$D$604,MATCH(LARGE(Vendas!$O$5:$O$604,7),Vendas!$O$5:$O$604,0)),""),"")</f>
        <v>Cartão de débito</v>
      </c>
      <c r="F62" s="27">
        <f>IFERROR(IF(LARGE(Vendas!$O$5:$O$604,7)&gt;0,INDEX(Vendas!$E$5:$E$604,MATCH(LARGE(Vendas!$O$5:$O$604,7),Vendas!$O$5:$O$604,0)),""),"")</f>
        <v>0</v>
      </c>
      <c r="G62" s="28">
        <f>IFERROR(IF(LARGE(Vendas!$O$5:$O$604,7)&gt;0,INDEX(Vendas!$F$5:$F$604,MATCH(LARGE(Vendas!$O$5:$O$604,7),Vendas!$O$5:$O$604,0)),""),"")</f>
        <v>380</v>
      </c>
      <c r="H62" s="29">
        <f>IFERROR(IF(LARGE(Vendas!$O$5:$O$604,7)&gt;0,INDEX(Vendas!$J$5:$J$604,MATCH(LARGE(Vendas!$O$5:$O$604,7),Vendas!$O$5:$O$604,0)),""),"")</f>
        <v>374.3</v>
      </c>
      <c r="I62" s="37">
        <f>IFERROR(IF(LARGE(Vendas!$O$5:$O$604,7)&gt;0,INDEX(Vendas!$K$5:$K$604,MATCH(LARGE(Vendas!$O$5:$O$604,7),Vendas!$O$5:$O$604,0)),""),"")</f>
        <v>46276.0</v>
      </c>
      <c r="J62" s="38">
        <f>IF(I62="","",Config!$B$8-I62)</f>
        <v>3</v>
      </c>
    </row>
    <row r="63">
      <c r="A63" s="27" t="n">
        <v>8</v>
      </c>
      <c r="B63" s="37">
        <f>IFERROR(IF(LARGE(Vendas!$O$5:$O$604,8)&gt;0,INDEX(Vendas!$A$5:$A$604,MATCH(LARGE(Vendas!$O$5:$O$604,8),Vendas!$O$5:$O$604,0)),""),"")</f>
        <v>46246.0</v>
      </c>
      <c r="C63" s="26" t="str">
        <f>IFERROR(IF(LARGE(Vendas!$O$5:$O$604,8)&gt;0,INDEX(Vendas!$B$5:$B$604,MATCH(LARGE(Vendas!$O$5:$O$604,8),Vendas!$O$5:$O$604,0)),""),"")</f>
        <v>Otávio Nascimento</v>
      </c>
      <c r="D63" s="26" t="str">
        <f>IFERROR(IF(LARGE(Vendas!$O$5:$O$604,8)&gt;0,INDEX(Vendas!$C$5:$C$604,MATCH(LARGE(Vendas!$O$5:$O$604,8),Vendas!$O$5:$O$604,0)),""),"")</f>
        <v>Consulta</v>
      </c>
      <c r="E63" s="27" t="str">
        <f>IFERROR(IF(LARGE(Vendas!$O$5:$O$604,8)&gt;0,INDEX(Vendas!$D$5:$D$604,MATCH(LARGE(Vendas!$O$5:$O$604,8),Vendas!$O$5:$O$604,0)),""),"")</f>
        <v>Cartão de crédito</v>
      </c>
      <c r="F63" s="27">
        <f>IFERROR(IF(LARGE(Vendas!$O$5:$O$604,8)&gt;0,INDEX(Vendas!$E$5:$E$604,MATCH(LARGE(Vendas!$O$5:$O$604,8),Vendas!$O$5:$O$604,0)),""),"")</f>
        <v>0</v>
      </c>
      <c r="G63" s="28">
        <f>IFERROR(IF(LARGE(Vendas!$O$5:$O$604,8)&gt;0,INDEX(Vendas!$F$5:$F$604,MATCH(LARGE(Vendas!$O$5:$O$604,8),Vendas!$O$5:$O$604,0)),""),"")</f>
        <v>380</v>
      </c>
      <c r="H63" s="29">
        <f>IFERROR(IF(LARGE(Vendas!$O$5:$O$604,8)&gt;0,INDEX(Vendas!$J$5:$J$604,MATCH(LARGE(Vendas!$O$5:$O$604,8),Vendas!$O$5:$O$604,0)),""),"")</f>
        <v>367.84</v>
      </c>
      <c r="I63" s="37">
        <f>IFERROR(IF(LARGE(Vendas!$O$5:$O$604,8)&gt;0,INDEX(Vendas!$K$5:$K$604,MATCH(LARGE(Vendas!$O$5:$O$604,8),Vendas!$O$5:$O$604,0)),""),"")</f>
        <v>46276.0</v>
      </c>
      <c r="J63" s="38">
        <f>IF(I63="","",Config!$B$8-I63)</f>
        <v>3</v>
      </c>
    </row>
    <row r="64">
      <c r="A64" s="27" t="n">
        <v>9</v>
      </c>
      <c r="B64" s="37">
        <f>IFERROR(IF(LARGE(Vendas!$O$5:$O$604,9)&gt;0,INDEX(Vendas!$A$5:$A$604,MATCH(LARGE(Vendas!$O$5:$O$604,9),Vendas!$O$5:$O$604,0)),""),"")</f>
        <v>46246.0</v>
      </c>
      <c r="C64" s="26" t="str">
        <f>IFERROR(IF(LARGE(Vendas!$O$5:$O$604,9)&gt;0,INDEX(Vendas!$B$5:$B$604,MATCH(LARGE(Vendas!$O$5:$O$604,9),Vendas!$O$5:$O$604,0)),""),"")</f>
        <v>Wagner Lima</v>
      </c>
      <c r="D64" s="26" t="str">
        <f>IFERROR(IF(LARGE(Vendas!$O$5:$O$604,9)&gt;0,INDEX(Vendas!$C$5:$C$604,MATCH(LARGE(Vendas!$O$5:$O$604,9),Vendas!$O$5:$O$604,0)),""),"")</f>
        <v>Consulta</v>
      </c>
      <c r="E64" s="27" t="str">
        <f>IFERROR(IF(LARGE(Vendas!$O$5:$O$604,9)&gt;0,INDEX(Vendas!$D$5:$D$604,MATCH(LARGE(Vendas!$O$5:$O$604,9),Vendas!$O$5:$O$604,0)),""),"")</f>
        <v>Cartão de crédito</v>
      </c>
      <c r="F64" s="27">
        <f>IFERROR(IF(LARGE(Vendas!$O$5:$O$604,9)&gt;0,INDEX(Vendas!$E$5:$E$604,MATCH(LARGE(Vendas!$O$5:$O$604,9),Vendas!$O$5:$O$604,0)),""),"")</f>
        <v>0</v>
      </c>
      <c r="G64" s="28">
        <f>IFERROR(IF(LARGE(Vendas!$O$5:$O$604,9)&gt;0,INDEX(Vendas!$F$5:$F$604,MATCH(LARGE(Vendas!$O$5:$O$604,9),Vendas!$O$5:$O$604,0)),""),"")</f>
        <v>380</v>
      </c>
      <c r="H64" s="29">
        <f>IFERROR(IF(LARGE(Vendas!$O$5:$O$604,9)&gt;0,INDEX(Vendas!$J$5:$J$604,MATCH(LARGE(Vendas!$O$5:$O$604,9),Vendas!$O$5:$O$604,0)),""),"")</f>
        <v>367.84</v>
      </c>
      <c r="I64" s="37">
        <f>IFERROR(IF(LARGE(Vendas!$O$5:$O$604,9)&gt;0,INDEX(Vendas!$K$5:$K$604,MATCH(LARGE(Vendas!$O$5:$O$604,9),Vendas!$O$5:$O$604,0)),""),"")</f>
        <v>46276.0</v>
      </c>
      <c r="J64" s="38">
        <f>IF(I64="","",Config!$B$8-I64)</f>
        <v>3</v>
      </c>
    </row>
    <row r="65">
      <c r="A65" s="27" t="n">
        <v>10</v>
      </c>
      <c r="B65" s="37">
        <f>IFERROR(IF(LARGE(Vendas!$O$5:$O$604,10)&gt;0,INDEX(Vendas!$A$5:$A$604,MATCH(LARGE(Vendas!$O$5:$O$604,10),Vendas!$O$5:$O$604,0)),""),"")</f>
        <v>46275.0</v>
      </c>
      <c r="C65" s="26" t="str">
        <f>IFERROR(IF(LARGE(Vendas!$O$5:$O$604,10)&gt;0,INDEX(Vendas!$B$5:$B$604,MATCH(LARGE(Vendas!$O$5:$O$604,10),Vendas!$O$5:$O$604,0)),""),"")</f>
        <v>Eduardo Lima</v>
      </c>
      <c r="D65" s="26" t="str">
        <f>IFERROR(IF(LARGE(Vendas!$O$5:$O$604,10)&gt;0,INDEX(Vendas!$C$5:$C$604,MATCH(LARGE(Vendas!$O$5:$O$604,10),Vendas!$O$5:$O$604,0)),""),"")</f>
        <v>MAPA</v>
      </c>
      <c r="E65" s="27" t="str">
        <f>IFERROR(IF(LARGE(Vendas!$O$5:$O$604,10)&gt;0,INDEX(Vendas!$D$5:$D$604,MATCH(LARGE(Vendas!$O$5:$O$604,10),Vendas!$O$5:$O$604,0)),""),"")</f>
        <v>Cartão de débito</v>
      </c>
      <c r="F65" s="27">
        <f>IFERROR(IF(LARGE(Vendas!$O$5:$O$604,10)&gt;0,INDEX(Vendas!$E$5:$E$604,MATCH(LARGE(Vendas!$O$5:$O$604,10),Vendas!$O$5:$O$604,0)),""),"")</f>
        <v>0</v>
      </c>
      <c r="G65" s="28">
        <f>IFERROR(IF(LARGE(Vendas!$O$5:$O$604,10)&gt;0,INDEX(Vendas!$F$5:$F$604,MATCH(LARGE(Vendas!$O$5:$O$604,10),Vendas!$O$5:$O$604,0)),""),"")</f>
        <v>300</v>
      </c>
      <c r="H65" s="29">
        <f>IFERROR(IF(LARGE(Vendas!$O$5:$O$604,10)&gt;0,INDEX(Vendas!$J$5:$J$604,MATCH(LARGE(Vendas!$O$5:$O$604,10),Vendas!$O$5:$O$604,0)),""),"")</f>
        <v>295.5</v>
      </c>
      <c r="I65" s="37">
        <f>IFERROR(IF(LARGE(Vendas!$O$5:$O$604,10)&gt;0,INDEX(Vendas!$K$5:$K$604,MATCH(LARGE(Vendas!$O$5:$O$604,10),Vendas!$O$5:$O$604,0)),""),"")</f>
        <v>46276.0</v>
      </c>
      <c r="J65" s="38">
        <f>IF(I65="","",Config!$B$8-I65)</f>
        <v>3</v>
      </c>
    </row>
    <row r="66">
      <c r="A66" s="21" t="inlineStr">
        <is>
          <t>Venda que não caiu na conta na data prevista: confira o extrato da operadora (estorno, chargeback, erro de bandeira) antes de cobrar o paciente. A planilha aponta; a conferência é sua.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6">
    <mergeCell ref="A7:L7"/>
    <mergeCell ref="C5:D5"/>
    <mergeCell ref="E5:F5"/>
    <mergeCell ref="K5:L5"/>
    <mergeCell ref="A66:L66"/>
    <mergeCell ref="H11:J11"/>
    <mergeCell ref="C4:D4"/>
    <mergeCell ref="A2:L2"/>
    <mergeCell ref="E4:F4"/>
    <mergeCell ref="A9:J9"/>
    <mergeCell ref="H13:J13"/>
    <mergeCell ref="H12:J12"/>
    <mergeCell ref="A51:J51"/>
    <mergeCell ref="H14:J14"/>
    <mergeCell ref="A5:B5"/>
    <mergeCell ref="G5:H5"/>
    <mergeCell ref="I5:J5"/>
    <mergeCell ref="A16:J16"/>
    <mergeCell ref="A54:J54"/>
    <mergeCell ref="A4:B4"/>
    <mergeCell ref="G4:H4"/>
    <mergeCell ref="I4:J4"/>
    <mergeCell ref="H10:J10"/>
    <mergeCell ref="A18:J18"/>
    <mergeCell ref="A1:L1"/>
    <mergeCell ref="K4:L4"/>
  </mergeCells>
  <conditionalFormatting sqref="A20:H50">
    <cfRule type="expression" priority="1" dxfId="0">
      <formula>$C20=0</formula>
    </cfRule>
  </conditionalFormatting>
  <conditionalFormatting sqref="H20:H50">
    <cfRule type="expression" priority="2" dxfId="1">
      <formula>H20="Falta conferir"</formula>
    </cfRule>
    <cfRule type="expression" priority="3" dxfId="2">
      <formula>H20="Conferido"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0" customWidth="1" min="3" max="3"/>
    <col width="70" customWidth="1" min="4" max="4"/>
    <col width="3" customWidth="1" min="5" max="5"/>
    <col width="3" customWidth="1" min="6" max="6"/>
    <col width="3" customWidth="1" min="7" max="7"/>
    <col width="12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Taxas e prazos da sua operadora (o contrato da maquininha diz; confira no extrato).</t>
        </is>
      </c>
    </row>
    <row r="4">
      <c r="A4" s="39" t="inlineStr">
        <is>
          <t>Clínica</t>
        </is>
      </c>
      <c r="B4" s="40" t="inlineStr">
        <is>
          <t>Clínica Vida Plena (exemplo fictício)</t>
        </is>
      </c>
      <c r="H4" s="39" t="inlineStr">
        <is>
          <t>Meses</t>
        </is>
      </c>
    </row>
    <row r="5">
      <c r="A5" s="39" t="inlineStr">
        <is>
          <t>Ano do painel</t>
        </is>
      </c>
      <c r="B5" s="41" t="n">
        <v>2026</v>
      </c>
      <c r="H5" s="42" t="inlineStr">
        <is>
          <t>Janeiro</t>
        </is>
      </c>
    </row>
    <row r="6">
      <c r="A6" s="39" t="inlineStr">
        <is>
          <t>Mês do painel</t>
        </is>
      </c>
      <c r="B6" s="41" t="inlineStr">
        <is>
          <t>Agosto</t>
        </is>
      </c>
      <c r="H6" s="42" t="inlineStr">
        <is>
          <t>Fevereiro</t>
        </is>
      </c>
    </row>
    <row r="7">
      <c r="A7" s="39" t="inlineStr">
        <is>
          <t>Número do mês</t>
        </is>
      </c>
      <c r="B7" s="27">
        <f>MATCH(B6,$H$5:$H$16,0)</f>
        <v>8</v>
      </c>
      <c r="H7" s="42" t="inlineStr">
        <is>
          <t>Março</t>
        </is>
      </c>
    </row>
    <row r="8">
      <c r="A8" s="39" t="inlineStr">
        <is>
          <t>Data de referência (hoje)</t>
        </is>
      </c>
      <c r="B8" s="43">
        <f>TODAY()</f>
        <v>46279.0</v>
      </c>
      <c r="H8" s="42" t="inlineStr">
        <is>
          <t>Abril</t>
        </is>
      </c>
    </row>
    <row r="9">
      <c r="A9" s="39" t="inlineStr">
        <is>
          <t>Preço da consulta particular (para a comparação)</t>
        </is>
      </c>
      <c r="B9" s="44" t="n">
        <v>380</v>
      </c>
      <c r="H9" s="42" t="inlineStr">
        <is>
          <t>Maio</t>
        </is>
      </c>
    </row>
    <row r="10">
      <c r="H10" s="42" t="inlineStr">
        <is>
          <t>Junho</t>
        </is>
      </c>
    </row>
    <row r="11" ht="30" customHeight="1">
      <c r="A11" s="23" t="inlineStr">
        <is>
          <t>Tipo</t>
        </is>
      </c>
      <c r="B11" s="23" t="inlineStr">
        <is>
          <t>Taxa (%)</t>
        </is>
      </c>
      <c r="C11" s="23" t="inlineStr">
        <is>
          <t>Cai na conta em (dias)</t>
        </is>
      </c>
      <c r="D11" s="23" t="inlineStr">
        <is>
          <t>Observação</t>
        </is>
      </c>
      <c r="H11" s="42" t="inlineStr">
        <is>
          <t>Julho</t>
        </is>
      </c>
    </row>
    <row r="12">
      <c r="A12" s="26" t="inlineStr">
        <is>
          <t>Pix</t>
        </is>
      </c>
      <c r="B12" s="45" t="n">
        <v>0</v>
      </c>
      <c r="C12" s="46" t="n">
        <v>0</v>
      </c>
      <c r="D12" s="21" t="inlineStr">
        <is>
          <t>Pix na conta PJ: no exemplo, sem taxa (alguns bancos cobram por recebimento).</t>
        </is>
      </c>
      <c r="H12" s="42" t="inlineStr">
        <is>
          <t>Agosto</t>
        </is>
      </c>
    </row>
    <row r="13">
      <c r="A13" s="26" t="inlineStr">
        <is>
          <t>Cartão de débito</t>
        </is>
      </c>
      <c r="B13" s="45" t="n">
        <v>0.015</v>
      </c>
      <c r="C13" s="46" t="n">
        <v>1</v>
      </c>
      <c r="D13" s="21" t="inlineStr">
        <is>
          <t>Débito costuma cair no dia útil seguinte.</t>
        </is>
      </c>
      <c r="H13" s="42" t="inlineStr">
        <is>
          <t>Setembro</t>
        </is>
      </c>
    </row>
    <row r="14">
      <c r="A14" s="26" t="inlineStr">
        <is>
          <t>Cartão de crédito</t>
        </is>
      </c>
      <c r="B14" s="45" t="n">
        <v>0.032</v>
      </c>
      <c r="C14" s="46" t="n">
        <v>30</v>
      </c>
      <c r="D14" s="21" t="inlineStr">
        <is>
          <t>Crédito à vista cai em 30 dias.</t>
        </is>
      </c>
      <c r="H14" s="42" t="inlineStr">
        <is>
          <t>Outubro</t>
        </is>
      </c>
    </row>
    <row r="15">
      <c r="A15" s="26" t="inlineStr">
        <is>
          <t>Cartão de crédito parcelado</t>
        </is>
      </c>
      <c r="B15" s="45" t="n">
        <v>0.039</v>
      </c>
      <c r="C15" s="46" t="n">
        <v>30</v>
      </c>
      <c r="D15" s="21" t="inlineStr">
        <is>
          <t>Parcelado: cada parcela cai 30 dias depois da anterior; a taxa é maior.</t>
        </is>
      </c>
      <c r="H15" s="42" t="inlineStr">
        <is>
          <t>Novembro</t>
        </is>
      </c>
    </row>
    <row r="16">
      <c r="H16" s="42" t="inlineStr">
        <is>
          <t>Dezembro</t>
        </is>
      </c>
    </row>
    <row r="17">
      <c r="A17" s="39" t="inlineStr">
        <is>
          <t>Antecipar o crédito? (Sim/Não)</t>
        </is>
      </c>
      <c r="B17" s="41" t="inlineStr">
        <is>
          <t>Não</t>
        </is>
      </c>
      <c r="D17" s="21" t="inlineStr">
        <is>
          <t>Com antecipação, o crédito cai em 1 dia e a operadora cobra a taxa de antecipação sobre o valor pelo prazo antecipado. No exemplo, a clínica não antecipa.</t>
        </is>
      </c>
    </row>
    <row r="18">
      <c r="A18" s="39" t="inlineStr">
        <is>
          <t>Taxa de antecipação (% ao mês)</t>
        </is>
      </c>
      <c r="B18" s="47" t="n">
        <v>0.018</v>
      </c>
    </row>
    <row r="20">
      <c r="A20" s="21" t="inlineStr">
        <is>
          <t>As taxas do exemplo são ilustrativas. Pegue as suas no contrato da maquininha ou no extrato da operadora; elas mudam por bandeira e por volume.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dataValidations count="2">
    <dataValidation sqref="B6" showDropDown="0" showInputMessage="0" showErrorMessage="1" allowBlank="0" type="list">
      <formula1>=Config!$H$5:$H$16</formula1>
    </dataValidation>
    <dataValidation sqref="B17" showDropDown="0" showInputMessage="0" showErrorMessage="1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7" customWidth="1" min="4" max="4"/>
    <col width="9" customWidth="1" min="5" max="5"/>
    <col width="13" customWidth="1" min="6" max="6"/>
    <col width="12" customWidth="1" min="7" max="7"/>
    <col width="9" customWidth="1" min="8" max="8"/>
    <col width="11" customWidth="1" min="9" max="9"/>
    <col width="13" customWidth="1" min="10" max="10"/>
    <col width="13" customWidth="1" min="11" max="11"/>
    <col width="6" customWidth="1" min="12" max="12"/>
    <col width="6" customWidth="1" min="13" max="13"/>
    <col width="12" customWidth="1" min="14" max="14"/>
    <col hidden="1" width="13" customWidth="1" min="15" max="15"/>
  </cols>
  <sheetData>
    <row r="1" ht="28" customHeight="1">
      <c r="A1" s="5" t="inlineStr">
        <is>
          <t>Vendas no cartão e no Pix</t>
        </is>
      </c>
    </row>
    <row r="2">
      <c r="A2" s="6" t="inlineStr">
        <is>
          <t>Uma linha por pagamento (copie da Agenda da planilha 01: atendimentos particulares realizados com Pix ou cartão). Amarelo: data, paciente, procedimento, tipo, parcelas, valor bruto e a conferência no extrato.</t>
        </is>
      </c>
    </row>
    <row r="4" ht="32" customHeight="1">
      <c r="A4" s="23" t="inlineStr">
        <is>
          <t>Data da venda</t>
        </is>
      </c>
      <c r="B4" s="23" t="inlineStr">
        <is>
          <t>Paciente</t>
        </is>
      </c>
      <c r="C4" s="23" t="inlineStr">
        <is>
          <t>Procedimento</t>
        </is>
      </c>
      <c r="D4" s="23" t="inlineStr">
        <is>
          <t>Tipo</t>
        </is>
      </c>
      <c r="E4" s="23" t="inlineStr">
        <is>
          <t>Parcelas</t>
        </is>
      </c>
      <c r="F4" s="23" t="inlineStr">
        <is>
          <t>Valor bruto (R$)</t>
        </is>
      </c>
      <c r="G4" s="23" t="inlineStr">
        <is>
          <t>Conferido no extrato?</t>
        </is>
      </c>
      <c r="H4" s="23" t="inlineStr">
        <is>
          <t>Taxa (%)</t>
        </is>
      </c>
      <c r="I4" s="23" t="inlineStr">
        <is>
          <t>Taxa (R$)</t>
        </is>
      </c>
      <c r="J4" s="23" t="inlineStr">
        <is>
          <t>Valor líquido (R$)</t>
        </is>
      </c>
      <c r="K4" s="23" t="inlineStr">
        <is>
          <t>Previsão na conta</t>
        </is>
      </c>
      <c r="L4" s="23" t="inlineStr">
        <is>
          <t>Mês</t>
        </is>
      </c>
      <c r="M4" s="23" t="inlineStr">
        <is>
          <t>Ano</t>
        </is>
      </c>
      <c r="N4" s="23" t="inlineStr">
        <is>
          <t>Situação</t>
        </is>
      </c>
    </row>
    <row r="5">
      <c r="A5" s="48" t="n">
        <v>46204</v>
      </c>
      <c r="B5" s="40" t="inlineStr">
        <is>
          <t>Cláudia Santos</t>
        </is>
      </c>
      <c r="C5" s="40" t="inlineStr">
        <is>
          <t>Consulta</t>
        </is>
      </c>
      <c r="D5" s="41" t="inlineStr">
        <is>
          <t>Pix</t>
        </is>
      </c>
      <c r="E5" s="41" t="n"/>
      <c r="F5" s="49" t="n">
        <v>380</v>
      </c>
      <c r="G5" s="41" t="inlineStr">
        <is>
          <t>Sim</t>
        </is>
      </c>
      <c r="H5" s="30">
        <f>IF(D5="","",IFERROR(INDEX(Config!$B$12:$B$15,MATCH(IF(AND(D5="Cartão de crédito",N(E5)&gt;1),"Cartão de crédito parcelado",D5),Config!$A$12:$A$15,0)),0)+IF(AND(Config!$B$17="Sim",LEFT(D5,17)="Cartão de crédito"),Config!$B$18*IFERROR(INDEX(Config!$C$12:$C$15,MATCH(IF(AND(D5="Cartão de crédito",N(E5)&gt;1),"Cartão de crédito parcelado",D5),Config!$A$12:$A$15,0)),0)/30*MAX(1,N(E5)),0))</f>
        <v>0</v>
      </c>
      <c r="I5" s="29">
        <f>IF(OR(D5="",F5=""),"",ROUND(F5*H5,2))</f>
        <v>0</v>
      </c>
      <c r="J5" s="29">
        <f>IF(I5="","",F5-I5)</f>
        <v>380</v>
      </c>
      <c r="K5" s="37">
        <f>IF(OR(D5="",A5=""),"",A5+IF(AND(Config!$B$17="Sim",LEFT(D5,17)="Cartão de crédito"),1,IFERROR(INDEX(Config!$C$12:$C$15,MATCH(IF(AND(D5="Cartão de crédito",N(E5)&gt;1),"Cartão de crédito parcelado",D5),Config!$A$12:$A$15,0)),0)))</f>
        <v>46204.0</v>
      </c>
      <c r="L5" s="27">
        <f>IF(A5="","",MONTH(A5))</f>
        <v>7</v>
      </c>
      <c r="M5" s="27">
        <f>IF(A5="","",YEAR(A5))</f>
        <v>2026</v>
      </c>
      <c r="N5" s="27" t="str">
        <f>IF(K5="","",IF(G5="Sim","Conferido",IF(K5&gt;Config!$B$8,"A cair","A conferir")))</f>
        <v>Conferido</v>
      </c>
      <c r="O5" s="50">
        <f>IF(N5="A conferir",(Config!$B$8-K5)*1000+N(F5)/1000+ROW()/100000,0)</f>
        <v>0</v>
      </c>
    </row>
    <row r="6">
      <c r="A6" s="48" t="n">
        <v>46204</v>
      </c>
      <c r="B6" s="40" t="inlineStr">
        <is>
          <t>Lucas Lopes</t>
        </is>
      </c>
      <c r="C6" s="40" t="inlineStr">
        <is>
          <t>Consulta</t>
        </is>
      </c>
      <c r="D6" s="41" t="inlineStr">
        <is>
          <t>Cartão de débito</t>
        </is>
      </c>
      <c r="E6" s="41" t="n"/>
      <c r="F6" s="49" t="n">
        <v>380</v>
      </c>
      <c r="G6" s="41" t="inlineStr">
        <is>
          <t>Sim</t>
        </is>
      </c>
      <c r="H6" s="30">
        <f>IF(D6="","",IFERROR(INDEX(Config!$B$12:$B$15,MATCH(IF(AND(D6="Cartão de crédito",N(E6)&gt;1),"Cartão de crédito parcelado",D6),Config!$A$12:$A$15,0)),0)+IF(AND(Config!$B$17="Sim",LEFT(D6,17)="Cartão de crédito"),Config!$B$18*IFERROR(INDEX(Config!$C$12:$C$15,MATCH(IF(AND(D6="Cartão de crédito",N(E6)&gt;1),"Cartão de crédito parcelado",D6),Config!$A$12:$A$15,0)),0)/30*MAX(1,N(E6)),0))</f>
        <v>0.015</v>
      </c>
      <c r="I6" s="29">
        <f>IF(OR(D6="",F6=""),"",ROUND(F6*H6,2))</f>
        <v>5.7</v>
      </c>
      <c r="J6" s="29">
        <f>IF(I6="","",F6-I6)</f>
        <v>374.3</v>
      </c>
      <c r="K6" s="37">
        <f>IF(OR(D6="",A6=""),"",A6+IF(AND(Config!$B$17="Sim",LEFT(D6,17)="Cartão de crédito"),1,IFERROR(INDEX(Config!$C$12:$C$15,MATCH(IF(AND(D6="Cartão de crédito",N(E6)&gt;1),"Cartão de crédito parcelado",D6),Config!$A$12:$A$15,0)),0)))</f>
        <v>46205.0</v>
      </c>
      <c r="L6" s="27">
        <f>IF(A6="","",MONTH(A6))</f>
        <v>7</v>
      </c>
      <c r="M6" s="27">
        <f>IF(A6="","",YEAR(A6))</f>
        <v>2026</v>
      </c>
      <c r="N6" s="27" t="str">
        <f>IF(K6="","",IF(G6="Sim","Conferido",IF(K6&gt;Config!$B$8,"A cair","A conferir")))</f>
        <v>Conferido</v>
      </c>
      <c r="O6" s="50">
        <f>IF(N6="A conferir",(Config!$B$8-K6)*1000+N(F6)/1000+ROW()/100000,0)</f>
        <v>0</v>
      </c>
    </row>
    <row r="7">
      <c r="A7" s="48" t="n">
        <v>46204</v>
      </c>
      <c r="B7" s="40" t="inlineStr">
        <is>
          <t>Mônica Martins</t>
        </is>
      </c>
      <c r="C7" s="40" t="inlineStr">
        <is>
          <t>Consulta</t>
        </is>
      </c>
      <c r="D7" s="41" t="inlineStr">
        <is>
          <t>Pix</t>
        </is>
      </c>
      <c r="E7" s="41" t="n"/>
      <c r="F7" s="49" t="n">
        <v>380</v>
      </c>
      <c r="G7" s="41" t="inlineStr">
        <is>
          <t>Sim</t>
        </is>
      </c>
      <c r="H7" s="30">
        <f>IF(D7="","",IFERROR(INDEX(Config!$B$12:$B$15,MATCH(IF(AND(D7="Cartão de crédito",N(E7)&gt;1),"Cartão de crédito parcelado",D7),Config!$A$12:$A$15,0)),0)+IF(AND(Config!$B$17="Sim",LEFT(D7,17)="Cartão de crédito"),Config!$B$18*IFERROR(INDEX(Config!$C$12:$C$15,MATCH(IF(AND(D7="Cartão de crédito",N(E7)&gt;1),"Cartão de crédito parcelado",D7),Config!$A$12:$A$15,0)),0)/30*MAX(1,N(E7)),0))</f>
        <v>0</v>
      </c>
      <c r="I7" s="29">
        <f>IF(OR(D7="",F7=""),"",ROUND(F7*H7,2))</f>
        <v>0</v>
      </c>
      <c r="J7" s="29">
        <f>IF(I7="","",F7-I7)</f>
        <v>380</v>
      </c>
      <c r="K7" s="37">
        <f>IF(OR(D7="",A7=""),"",A7+IF(AND(Config!$B$17="Sim",LEFT(D7,17)="Cartão de crédito"),1,IFERROR(INDEX(Config!$C$12:$C$15,MATCH(IF(AND(D7="Cartão de crédito",N(E7)&gt;1),"Cartão de crédito parcelado",D7),Config!$A$12:$A$15,0)),0)))</f>
        <v>46204.0</v>
      </c>
      <c r="L7" s="27">
        <f>IF(A7="","",MONTH(A7))</f>
        <v>7</v>
      </c>
      <c r="M7" s="27">
        <f>IF(A7="","",YEAR(A7))</f>
        <v>2026</v>
      </c>
      <c r="N7" s="27" t="str">
        <f>IF(K7="","",IF(G7="Sim","Conferido",IF(K7&gt;Config!$B$8,"A cair","A conferir")))</f>
        <v>Conferido</v>
      </c>
      <c r="O7" s="50">
        <f>IF(N7="A conferir",(Config!$B$8-K7)*1000+N(F7)/1000+ROW()/100000,0)</f>
        <v>0</v>
      </c>
    </row>
    <row r="8">
      <c r="A8" s="48" t="n">
        <v>46205</v>
      </c>
      <c r="B8" s="40" t="inlineStr">
        <is>
          <t>Débora Ramos</t>
        </is>
      </c>
      <c r="C8" s="40" t="inlineStr">
        <is>
          <t>Consulta</t>
        </is>
      </c>
      <c r="D8" s="41" t="inlineStr">
        <is>
          <t>Cartão de crédito</t>
        </is>
      </c>
      <c r="E8" s="41" t="n"/>
      <c r="F8" s="49" t="n">
        <v>380</v>
      </c>
      <c r="G8" s="41" t="inlineStr">
        <is>
          <t>Sim</t>
        </is>
      </c>
      <c r="H8" s="30">
        <f>IF(D8="","",IFERROR(INDEX(Config!$B$12:$B$15,MATCH(IF(AND(D8="Cartão de crédito",N(E8)&gt;1),"Cartão de crédito parcelado",D8),Config!$A$12:$A$15,0)),0)+IF(AND(Config!$B$17="Sim",LEFT(D8,17)="Cartão de crédito"),Config!$B$18*IFERROR(INDEX(Config!$C$12:$C$15,MATCH(IF(AND(D8="Cartão de crédito",N(E8)&gt;1),"Cartão de crédito parcelado",D8),Config!$A$12:$A$15,0)),0)/30*MAX(1,N(E8)),0))</f>
        <v>0.032</v>
      </c>
      <c r="I8" s="29">
        <f>IF(OR(D8="",F8=""),"",ROUND(F8*H8,2))</f>
        <v>12.16</v>
      </c>
      <c r="J8" s="29">
        <f>IF(I8="","",F8-I8)</f>
        <v>367.84</v>
      </c>
      <c r="K8" s="37">
        <f>IF(OR(D8="",A8=""),"",A8+IF(AND(Config!$B$17="Sim",LEFT(D8,17)="Cartão de crédito"),1,IFERROR(INDEX(Config!$C$12:$C$15,MATCH(IF(AND(D8="Cartão de crédito",N(E8)&gt;1),"Cartão de crédito parcelado",D8),Config!$A$12:$A$15,0)),0)))</f>
        <v>46235.0</v>
      </c>
      <c r="L8" s="27">
        <f>IF(A8="","",MONTH(A8))</f>
        <v>7</v>
      </c>
      <c r="M8" s="27">
        <f>IF(A8="","",YEAR(A8))</f>
        <v>2026</v>
      </c>
      <c r="N8" s="27" t="str">
        <f>IF(K8="","",IF(G8="Sim","Conferido",IF(K8&gt;Config!$B$8,"A cair","A conferir")))</f>
        <v>Conferido</v>
      </c>
      <c r="O8" s="50">
        <f>IF(N8="A conferir",(Config!$B$8-K8)*1000+N(F8)/1000+ROW()/100000,0)</f>
        <v>0</v>
      </c>
    </row>
    <row r="9">
      <c r="A9" s="48" t="n">
        <v>46205</v>
      </c>
      <c r="B9" s="40" t="inlineStr">
        <is>
          <t>Mariana Nascimento</t>
        </is>
      </c>
      <c r="C9" s="40" t="inlineStr">
        <is>
          <t>Consulta</t>
        </is>
      </c>
      <c r="D9" s="41" t="inlineStr">
        <is>
          <t>Cartão de crédito</t>
        </is>
      </c>
      <c r="E9" s="41" t="n"/>
      <c r="F9" s="49" t="n">
        <v>380</v>
      </c>
      <c r="G9" s="41" t="inlineStr">
        <is>
          <t>Sim</t>
        </is>
      </c>
      <c r="H9" s="30">
        <f>IF(D9="","",IFERROR(INDEX(Config!$B$12:$B$15,MATCH(IF(AND(D9="Cartão de crédito",N(E9)&gt;1),"Cartão de crédito parcelado",D9),Config!$A$12:$A$15,0)),0)+IF(AND(Config!$B$17="Sim",LEFT(D9,17)="Cartão de crédito"),Config!$B$18*IFERROR(INDEX(Config!$C$12:$C$15,MATCH(IF(AND(D9="Cartão de crédito",N(E9)&gt;1),"Cartão de crédito parcelado",D9),Config!$A$12:$A$15,0)),0)/30*MAX(1,N(E9)),0))</f>
        <v>0.032</v>
      </c>
      <c r="I9" s="29">
        <f>IF(OR(D9="",F9=""),"",ROUND(F9*H9,2))</f>
        <v>12.16</v>
      </c>
      <c r="J9" s="29">
        <f>IF(I9="","",F9-I9)</f>
        <v>367.84</v>
      </c>
      <c r="K9" s="37">
        <f>IF(OR(D9="",A9=""),"",A9+IF(AND(Config!$B$17="Sim",LEFT(D9,17)="Cartão de crédito"),1,IFERROR(INDEX(Config!$C$12:$C$15,MATCH(IF(AND(D9="Cartão de crédito",N(E9)&gt;1),"Cartão de crédito parcelado",D9),Config!$A$12:$A$15,0)),0)))</f>
        <v>46235.0</v>
      </c>
      <c r="L9" s="27">
        <f>IF(A9="","",MONTH(A9))</f>
        <v>7</v>
      </c>
      <c r="M9" s="27">
        <f>IF(A9="","",YEAR(A9))</f>
        <v>2026</v>
      </c>
      <c r="N9" s="27" t="str">
        <f>IF(K9="","",IF(G9="Sim","Conferido",IF(K9&gt;Config!$B$8,"A cair","A conferir")))</f>
        <v>Conferido</v>
      </c>
      <c r="O9" s="50">
        <f>IF(N9="A conferir",(Config!$B$8-K9)*1000+N(F9)/1000+ROW()/100000,0)</f>
        <v>0</v>
      </c>
    </row>
    <row r="10">
      <c r="A10" s="48" t="n">
        <v>46205</v>
      </c>
      <c r="B10" s="40" t="inlineStr">
        <is>
          <t>Helena Moreira</t>
        </is>
      </c>
      <c r="C10" s="40" t="inlineStr">
        <is>
          <t>Consulta</t>
        </is>
      </c>
      <c r="D10" s="41" t="inlineStr">
        <is>
          <t>Cartão de crédito</t>
        </is>
      </c>
      <c r="E10" s="41" t="n"/>
      <c r="F10" s="49" t="n">
        <v>380</v>
      </c>
      <c r="G10" s="41" t="inlineStr">
        <is>
          <t>Sim</t>
        </is>
      </c>
      <c r="H10" s="30">
        <f>IF(D10="","",IFERROR(INDEX(Config!$B$12:$B$15,MATCH(IF(AND(D10="Cartão de crédito",N(E10)&gt;1),"Cartão de crédito parcelado",D10),Config!$A$12:$A$15,0)),0)+IF(AND(Config!$B$17="Sim",LEFT(D10,17)="Cartão de crédito"),Config!$B$18*IFERROR(INDEX(Config!$C$12:$C$15,MATCH(IF(AND(D10="Cartão de crédito",N(E10)&gt;1),"Cartão de crédito parcelado",D10),Config!$A$12:$A$15,0)),0)/30*MAX(1,N(E10)),0))</f>
        <v>0.032</v>
      </c>
      <c r="I10" s="29">
        <f>IF(OR(D10="",F10=""),"",ROUND(F10*H10,2))</f>
        <v>12.16</v>
      </c>
      <c r="J10" s="29">
        <f>IF(I10="","",F10-I10)</f>
        <v>367.84</v>
      </c>
      <c r="K10" s="37">
        <f>IF(OR(D10="",A10=""),"",A10+IF(AND(Config!$B$17="Sim",LEFT(D10,17)="Cartão de crédito"),1,IFERROR(INDEX(Config!$C$12:$C$15,MATCH(IF(AND(D10="Cartão de crédito",N(E10)&gt;1),"Cartão de crédito parcelado",D10),Config!$A$12:$A$15,0)),0)))</f>
        <v>46235.0</v>
      </c>
      <c r="L10" s="27">
        <f>IF(A10="","",MONTH(A10))</f>
        <v>7</v>
      </c>
      <c r="M10" s="27">
        <f>IF(A10="","",YEAR(A10))</f>
        <v>2026</v>
      </c>
      <c r="N10" s="27" t="str">
        <f>IF(K10="","",IF(G10="Sim","Conferido",IF(K10&gt;Config!$B$8,"A cair","A conferir")))</f>
        <v>Conferido</v>
      </c>
      <c r="O10" s="50">
        <f>IF(N10="A conferir",(Config!$B$8-K10)*1000+N(F10)/1000+ROW()/100000,0)</f>
        <v>0</v>
      </c>
    </row>
    <row r="11">
      <c r="A11" s="48" t="n">
        <v>46205</v>
      </c>
      <c r="B11" s="40" t="inlineStr">
        <is>
          <t>Gabriel Oliveira</t>
        </is>
      </c>
      <c r="C11" s="40" t="inlineStr">
        <is>
          <t>ECG</t>
        </is>
      </c>
      <c r="D11" s="41" t="inlineStr">
        <is>
          <t>Pix</t>
        </is>
      </c>
      <c r="E11" s="41" t="n"/>
      <c r="F11" s="49" t="n">
        <v>130</v>
      </c>
      <c r="G11" s="41" t="inlineStr">
        <is>
          <t>Sim</t>
        </is>
      </c>
      <c r="H11" s="30">
        <f>IF(D11="","",IFERROR(INDEX(Config!$B$12:$B$15,MATCH(IF(AND(D11="Cartão de crédito",N(E11)&gt;1),"Cartão de crédito parcelado",D11),Config!$A$12:$A$15,0)),0)+IF(AND(Config!$B$17="Sim",LEFT(D11,17)="Cartão de crédito"),Config!$B$18*IFERROR(INDEX(Config!$C$12:$C$15,MATCH(IF(AND(D11="Cartão de crédito",N(E11)&gt;1),"Cartão de crédito parcelado",D11),Config!$A$12:$A$15,0)),0)/30*MAX(1,N(E11)),0))</f>
        <v>0</v>
      </c>
      <c r="I11" s="29">
        <f>IF(OR(D11="",F11=""),"",ROUND(F11*H11,2))</f>
        <v>0</v>
      </c>
      <c r="J11" s="29">
        <f>IF(I11="","",F11-I11)</f>
        <v>130</v>
      </c>
      <c r="K11" s="37">
        <f>IF(OR(D11="",A11=""),"",A11+IF(AND(Config!$B$17="Sim",LEFT(D11,17)="Cartão de crédito"),1,IFERROR(INDEX(Config!$C$12:$C$15,MATCH(IF(AND(D11="Cartão de crédito",N(E11)&gt;1),"Cartão de crédito parcelado",D11),Config!$A$12:$A$15,0)),0)))</f>
        <v>46205.0</v>
      </c>
      <c r="L11" s="27">
        <f>IF(A11="","",MONTH(A11))</f>
        <v>7</v>
      </c>
      <c r="M11" s="27">
        <f>IF(A11="","",YEAR(A11))</f>
        <v>2026</v>
      </c>
      <c r="N11" s="27" t="str">
        <f>IF(K11="","",IF(G11="Sim","Conferido",IF(K11&gt;Config!$B$8,"A cair","A conferir")))</f>
        <v>Conferido</v>
      </c>
      <c r="O11" s="50">
        <f>IF(N11="A conferir",(Config!$B$8-K11)*1000+N(F11)/1000+ROW()/100000,0)</f>
        <v>0</v>
      </c>
    </row>
    <row r="12">
      <c r="A12" s="48" t="n">
        <v>46205</v>
      </c>
      <c r="B12" s="40" t="inlineStr">
        <is>
          <t>Beatriz Monteiro</t>
        </is>
      </c>
      <c r="C12" s="40" t="inlineStr">
        <is>
          <t>Avaliação endócrina</t>
        </is>
      </c>
      <c r="D12" s="41" t="inlineStr">
        <is>
          <t>Cartão de crédito</t>
        </is>
      </c>
      <c r="E12" s="41" t="n">
        <v>2</v>
      </c>
      <c r="F12" s="49" t="n">
        <v>400</v>
      </c>
      <c r="G12" s="41" t="inlineStr">
        <is>
          <t>Sim</t>
        </is>
      </c>
      <c r="H12" s="30">
        <f>IF(D12="","",IFERROR(INDEX(Config!$B$12:$B$15,MATCH(IF(AND(D12="Cartão de crédito",N(E12)&gt;1),"Cartão de crédito parcelado",D12),Config!$A$12:$A$15,0)),0)+IF(AND(Config!$B$17="Sim",LEFT(D12,17)="Cartão de crédito"),Config!$B$18*IFERROR(INDEX(Config!$C$12:$C$15,MATCH(IF(AND(D12="Cartão de crédito",N(E12)&gt;1),"Cartão de crédito parcelado",D12),Config!$A$12:$A$15,0)),0)/30*MAX(1,N(E12)),0))</f>
        <v>0.039</v>
      </c>
      <c r="I12" s="29">
        <f>IF(OR(D12="",F12=""),"",ROUND(F12*H12,2))</f>
        <v>15.6</v>
      </c>
      <c r="J12" s="29">
        <f>IF(I12="","",F12-I12)</f>
        <v>384.4</v>
      </c>
      <c r="K12" s="37">
        <f>IF(OR(D12="",A12=""),"",A12+IF(AND(Config!$B$17="Sim",LEFT(D12,17)="Cartão de crédito"),1,IFERROR(INDEX(Config!$C$12:$C$15,MATCH(IF(AND(D12="Cartão de crédito",N(E12)&gt;1),"Cartão de crédito parcelado",D12),Config!$A$12:$A$15,0)),0)))</f>
        <v>46235.0</v>
      </c>
      <c r="L12" s="27">
        <f>IF(A12="","",MONTH(A12))</f>
        <v>7</v>
      </c>
      <c r="M12" s="27">
        <f>IF(A12="","",YEAR(A12))</f>
        <v>2026</v>
      </c>
      <c r="N12" s="27" t="str">
        <f>IF(K12="","",IF(G12="Sim","Conferido",IF(K12&gt;Config!$B$8,"A cair","A conferir")))</f>
        <v>Conferido</v>
      </c>
      <c r="O12" s="50">
        <f>IF(N12="A conferir",(Config!$B$8-K12)*1000+N(F12)/1000+ROW()/100000,0)</f>
        <v>0</v>
      </c>
    </row>
    <row r="13">
      <c r="A13" s="48" t="n">
        <v>46206</v>
      </c>
      <c r="B13" s="40" t="inlineStr">
        <is>
          <t>Renato Dias</t>
        </is>
      </c>
      <c r="C13" s="40" t="inlineStr">
        <is>
          <t>ECG</t>
        </is>
      </c>
      <c r="D13" s="41" t="inlineStr">
        <is>
          <t>Pix</t>
        </is>
      </c>
      <c r="E13" s="41" t="n"/>
      <c r="F13" s="49" t="n">
        <v>130</v>
      </c>
      <c r="G13" s="41" t="inlineStr">
        <is>
          <t>Sim</t>
        </is>
      </c>
      <c r="H13" s="30">
        <f>IF(D13="","",IFERROR(INDEX(Config!$B$12:$B$15,MATCH(IF(AND(D13="Cartão de crédito",N(E13)&gt;1),"Cartão de crédito parcelado",D13),Config!$A$12:$A$15,0)),0)+IF(AND(Config!$B$17="Sim",LEFT(D13,17)="Cartão de crédito"),Config!$B$18*IFERROR(INDEX(Config!$C$12:$C$15,MATCH(IF(AND(D13="Cartão de crédito",N(E13)&gt;1),"Cartão de crédito parcelado",D13),Config!$A$12:$A$15,0)),0)/30*MAX(1,N(E13)),0))</f>
        <v>0</v>
      </c>
      <c r="I13" s="29">
        <f>IF(OR(D13="",F13=""),"",ROUND(F13*H13,2))</f>
        <v>0</v>
      </c>
      <c r="J13" s="29">
        <f>IF(I13="","",F13-I13)</f>
        <v>130</v>
      </c>
      <c r="K13" s="37">
        <f>IF(OR(D13="",A13=""),"",A13+IF(AND(Config!$B$17="Sim",LEFT(D13,17)="Cartão de crédito"),1,IFERROR(INDEX(Config!$C$12:$C$15,MATCH(IF(AND(D13="Cartão de crédito",N(E13)&gt;1),"Cartão de crédito parcelado",D13),Config!$A$12:$A$15,0)),0)))</f>
        <v>46206.0</v>
      </c>
      <c r="L13" s="27">
        <f>IF(A13="","",MONTH(A13))</f>
        <v>7</v>
      </c>
      <c r="M13" s="27">
        <f>IF(A13="","",YEAR(A13))</f>
        <v>2026</v>
      </c>
      <c r="N13" s="27" t="str">
        <f>IF(K13="","",IF(G13="Sim","Conferido",IF(K13&gt;Config!$B$8,"A cair","A conferir")))</f>
        <v>Conferido</v>
      </c>
      <c r="O13" s="50">
        <f>IF(N13="A conferir",(Config!$B$8-K13)*1000+N(F13)/1000+ROW()/100000,0)</f>
        <v>0</v>
      </c>
    </row>
    <row r="14">
      <c r="A14" s="48" t="n">
        <v>46206</v>
      </c>
      <c r="B14" s="40" t="inlineStr">
        <is>
          <t>Wagner Costa</t>
        </is>
      </c>
      <c r="C14" s="40" t="inlineStr">
        <is>
          <t>Consulta</t>
        </is>
      </c>
      <c r="D14" s="41" t="inlineStr">
        <is>
          <t>Pix</t>
        </is>
      </c>
      <c r="E14" s="41" t="n"/>
      <c r="F14" s="49" t="n">
        <v>380</v>
      </c>
      <c r="G14" s="41" t="inlineStr">
        <is>
          <t>Sim</t>
        </is>
      </c>
      <c r="H14" s="30">
        <f>IF(D14="","",IFERROR(INDEX(Config!$B$12:$B$15,MATCH(IF(AND(D14="Cartão de crédito",N(E14)&gt;1),"Cartão de crédito parcelado",D14),Config!$A$12:$A$15,0)),0)+IF(AND(Config!$B$17="Sim",LEFT(D14,17)="Cartão de crédito"),Config!$B$18*IFERROR(INDEX(Config!$C$12:$C$15,MATCH(IF(AND(D14="Cartão de crédito",N(E14)&gt;1),"Cartão de crédito parcelado",D14),Config!$A$12:$A$15,0)),0)/30*MAX(1,N(E14)),0))</f>
        <v>0</v>
      </c>
      <c r="I14" s="29">
        <f>IF(OR(D14="",F14=""),"",ROUND(F14*H14,2))</f>
        <v>0</v>
      </c>
      <c r="J14" s="29">
        <f>IF(I14="","",F14-I14)</f>
        <v>380</v>
      </c>
      <c r="K14" s="37">
        <f>IF(OR(D14="",A14=""),"",A14+IF(AND(Config!$B$17="Sim",LEFT(D14,17)="Cartão de crédito"),1,IFERROR(INDEX(Config!$C$12:$C$15,MATCH(IF(AND(D14="Cartão de crédito",N(E14)&gt;1),"Cartão de crédito parcelado",D14),Config!$A$12:$A$15,0)),0)))</f>
        <v>46206.0</v>
      </c>
      <c r="L14" s="27">
        <f>IF(A14="","",MONTH(A14))</f>
        <v>7</v>
      </c>
      <c r="M14" s="27">
        <f>IF(A14="","",YEAR(A14))</f>
        <v>2026</v>
      </c>
      <c r="N14" s="27" t="str">
        <f>IF(K14="","",IF(G14="Sim","Conferido",IF(K14&gt;Config!$B$8,"A cair","A conferir")))</f>
        <v>Conferido</v>
      </c>
      <c r="O14" s="50">
        <f>IF(N14="A conferir",(Config!$B$8-K14)*1000+N(F14)/1000+ROW()/100000,0)</f>
        <v>0</v>
      </c>
    </row>
    <row r="15">
      <c r="A15" s="48" t="n">
        <v>46209</v>
      </c>
      <c r="B15" s="40" t="inlineStr">
        <is>
          <t>Wagner Lima</t>
        </is>
      </c>
      <c r="C15" s="40" t="inlineStr">
        <is>
          <t>Consulta</t>
        </is>
      </c>
      <c r="D15" s="41" t="inlineStr">
        <is>
          <t>Cartão de crédito</t>
        </is>
      </c>
      <c r="E15" s="41" t="n">
        <v>2</v>
      </c>
      <c r="F15" s="49" t="n">
        <v>380</v>
      </c>
      <c r="G15" s="41" t="inlineStr">
        <is>
          <t>Sim</t>
        </is>
      </c>
      <c r="H15" s="30">
        <f>IF(D15="","",IFERROR(INDEX(Config!$B$12:$B$15,MATCH(IF(AND(D15="Cartão de crédito",N(E15)&gt;1),"Cartão de crédito parcelado",D15),Config!$A$12:$A$15,0)),0)+IF(AND(Config!$B$17="Sim",LEFT(D15,17)="Cartão de crédito"),Config!$B$18*IFERROR(INDEX(Config!$C$12:$C$15,MATCH(IF(AND(D15="Cartão de crédito",N(E15)&gt;1),"Cartão de crédito parcelado",D15),Config!$A$12:$A$15,0)),0)/30*MAX(1,N(E15)),0))</f>
        <v>0.039</v>
      </c>
      <c r="I15" s="29">
        <f>IF(OR(D15="",F15=""),"",ROUND(F15*H15,2))</f>
        <v>14.82</v>
      </c>
      <c r="J15" s="29">
        <f>IF(I15="","",F15-I15)</f>
        <v>365.18</v>
      </c>
      <c r="K15" s="37">
        <f>IF(OR(D15="",A15=""),"",A15+IF(AND(Config!$B$17="Sim",LEFT(D15,17)="Cartão de crédito"),1,IFERROR(INDEX(Config!$C$12:$C$15,MATCH(IF(AND(D15="Cartão de crédito",N(E15)&gt;1),"Cartão de crédito parcelado",D15),Config!$A$12:$A$15,0)),0)))</f>
        <v>46239.0</v>
      </c>
      <c r="L15" s="27">
        <f>IF(A15="","",MONTH(A15))</f>
        <v>7</v>
      </c>
      <c r="M15" s="27">
        <f>IF(A15="","",YEAR(A15))</f>
        <v>2026</v>
      </c>
      <c r="N15" s="27" t="str">
        <f>IF(K15="","",IF(G15="Sim","Conferido",IF(K15&gt;Config!$B$8,"A cair","A conferir")))</f>
        <v>Conferido</v>
      </c>
      <c r="O15" s="50">
        <f>IF(N15="A conferir",(Config!$B$8-K15)*1000+N(F15)/1000+ROW()/100000,0)</f>
        <v>0</v>
      </c>
    </row>
    <row r="16">
      <c r="A16" s="48" t="n">
        <v>46209</v>
      </c>
      <c r="B16" s="40" t="inlineStr">
        <is>
          <t>Paulo Reis</t>
        </is>
      </c>
      <c r="C16" s="40" t="inlineStr">
        <is>
          <t>Consulta</t>
        </is>
      </c>
      <c r="D16" s="41" t="inlineStr">
        <is>
          <t>Cartão de crédito</t>
        </is>
      </c>
      <c r="E16" s="41" t="n"/>
      <c r="F16" s="49" t="n">
        <v>380</v>
      </c>
      <c r="G16" s="41" t="inlineStr">
        <is>
          <t>Sim</t>
        </is>
      </c>
      <c r="H16" s="30">
        <f>IF(D16="","",IFERROR(INDEX(Config!$B$12:$B$15,MATCH(IF(AND(D16="Cartão de crédito",N(E16)&gt;1),"Cartão de crédito parcelado",D16),Config!$A$12:$A$15,0)),0)+IF(AND(Config!$B$17="Sim",LEFT(D16,17)="Cartão de crédito"),Config!$B$18*IFERROR(INDEX(Config!$C$12:$C$15,MATCH(IF(AND(D16="Cartão de crédito",N(E16)&gt;1),"Cartão de crédito parcelado",D16),Config!$A$12:$A$15,0)),0)/30*MAX(1,N(E16)),0))</f>
        <v>0.032</v>
      </c>
      <c r="I16" s="29">
        <f>IF(OR(D16="",F16=""),"",ROUND(F16*H16,2))</f>
        <v>12.16</v>
      </c>
      <c r="J16" s="29">
        <f>IF(I16="","",F16-I16)</f>
        <v>367.84</v>
      </c>
      <c r="K16" s="37">
        <f>IF(OR(D16="",A16=""),"",A16+IF(AND(Config!$B$17="Sim",LEFT(D16,17)="Cartão de crédito"),1,IFERROR(INDEX(Config!$C$12:$C$15,MATCH(IF(AND(D16="Cartão de crédito",N(E16)&gt;1),"Cartão de crédito parcelado",D16),Config!$A$12:$A$15,0)),0)))</f>
        <v>46239.0</v>
      </c>
      <c r="L16" s="27">
        <f>IF(A16="","",MONTH(A16))</f>
        <v>7</v>
      </c>
      <c r="M16" s="27">
        <f>IF(A16="","",YEAR(A16))</f>
        <v>2026</v>
      </c>
      <c r="N16" s="27" t="str">
        <f>IF(K16="","",IF(G16="Sim","Conferido",IF(K16&gt;Config!$B$8,"A cair","A conferir")))</f>
        <v>Conferido</v>
      </c>
      <c r="O16" s="50">
        <f>IF(N16="A conferir",(Config!$B$8-K16)*1000+N(F16)/1000+ROW()/100000,0)</f>
        <v>0</v>
      </c>
    </row>
    <row r="17">
      <c r="A17" s="48" t="n">
        <v>46210</v>
      </c>
      <c r="B17" s="40" t="inlineStr">
        <is>
          <t>Marcelo Santos</t>
        </is>
      </c>
      <c r="C17" s="40" t="inlineStr">
        <is>
          <t>Consulta</t>
        </is>
      </c>
      <c r="D17" s="41" t="inlineStr">
        <is>
          <t>Pix</t>
        </is>
      </c>
      <c r="E17" s="41" t="n"/>
      <c r="F17" s="49" t="n">
        <v>380</v>
      </c>
      <c r="G17" s="41" t="inlineStr">
        <is>
          <t>Sim</t>
        </is>
      </c>
      <c r="H17" s="30">
        <f>IF(D17="","",IFERROR(INDEX(Config!$B$12:$B$15,MATCH(IF(AND(D17="Cartão de crédito",N(E17)&gt;1),"Cartão de crédito parcelado",D17),Config!$A$12:$A$15,0)),0)+IF(AND(Config!$B$17="Sim",LEFT(D17,17)="Cartão de crédito"),Config!$B$18*IFERROR(INDEX(Config!$C$12:$C$15,MATCH(IF(AND(D17="Cartão de crédito",N(E17)&gt;1),"Cartão de crédito parcelado",D17),Config!$A$12:$A$15,0)),0)/30*MAX(1,N(E17)),0))</f>
        <v>0</v>
      </c>
      <c r="I17" s="29">
        <f>IF(OR(D17="",F17=""),"",ROUND(F17*H17,2))</f>
        <v>0</v>
      </c>
      <c r="J17" s="29">
        <f>IF(I17="","",F17-I17)</f>
        <v>380</v>
      </c>
      <c r="K17" s="37">
        <f>IF(OR(D17="",A17=""),"",A17+IF(AND(Config!$B$17="Sim",LEFT(D17,17)="Cartão de crédito"),1,IFERROR(INDEX(Config!$C$12:$C$15,MATCH(IF(AND(D17="Cartão de crédito",N(E17)&gt;1),"Cartão de crédito parcelado",D17),Config!$A$12:$A$15,0)),0)))</f>
        <v>46210.0</v>
      </c>
      <c r="L17" s="27">
        <f>IF(A17="","",MONTH(A17))</f>
        <v>7</v>
      </c>
      <c r="M17" s="27">
        <f>IF(A17="","",YEAR(A17))</f>
        <v>2026</v>
      </c>
      <c r="N17" s="27" t="str">
        <f>IF(K17="","",IF(G17="Sim","Conferido",IF(K17&gt;Config!$B$8,"A cair","A conferir")))</f>
        <v>Conferido</v>
      </c>
      <c r="O17" s="50">
        <f>IF(N17="A conferir",(Config!$B$8-K17)*1000+N(F17)/1000+ROW()/100000,0)</f>
        <v>0</v>
      </c>
    </row>
    <row r="18">
      <c r="A18" s="48" t="n">
        <v>46210</v>
      </c>
      <c r="B18" s="40" t="inlineStr">
        <is>
          <t>Regina Teixeira</t>
        </is>
      </c>
      <c r="C18" s="40" t="inlineStr">
        <is>
          <t>Consulta</t>
        </is>
      </c>
      <c r="D18" s="41" t="inlineStr">
        <is>
          <t>Pix</t>
        </is>
      </c>
      <c r="E18" s="41" t="n"/>
      <c r="F18" s="49" t="n">
        <v>380</v>
      </c>
      <c r="G18" s="41" t="inlineStr">
        <is>
          <t>Sim</t>
        </is>
      </c>
      <c r="H18" s="30">
        <f>IF(D18="","",IFERROR(INDEX(Config!$B$12:$B$15,MATCH(IF(AND(D18="Cartão de crédito",N(E18)&gt;1),"Cartão de crédito parcelado",D18),Config!$A$12:$A$15,0)),0)+IF(AND(Config!$B$17="Sim",LEFT(D18,17)="Cartão de crédito"),Config!$B$18*IFERROR(INDEX(Config!$C$12:$C$15,MATCH(IF(AND(D18="Cartão de crédito",N(E18)&gt;1),"Cartão de crédito parcelado",D18),Config!$A$12:$A$15,0)),0)/30*MAX(1,N(E18)),0))</f>
        <v>0</v>
      </c>
      <c r="I18" s="29">
        <f>IF(OR(D18="",F18=""),"",ROUND(F18*H18,2))</f>
        <v>0</v>
      </c>
      <c r="J18" s="29">
        <f>IF(I18="","",F18-I18)</f>
        <v>380</v>
      </c>
      <c r="K18" s="37">
        <f>IF(OR(D18="",A18=""),"",A18+IF(AND(Config!$B$17="Sim",LEFT(D18,17)="Cartão de crédito"),1,IFERROR(INDEX(Config!$C$12:$C$15,MATCH(IF(AND(D18="Cartão de crédito",N(E18)&gt;1),"Cartão de crédito parcelado",D18),Config!$A$12:$A$15,0)),0)))</f>
        <v>46210.0</v>
      </c>
      <c r="L18" s="27">
        <f>IF(A18="","",MONTH(A18))</f>
        <v>7</v>
      </c>
      <c r="M18" s="27">
        <f>IF(A18="","",YEAR(A18))</f>
        <v>2026</v>
      </c>
      <c r="N18" s="27" t="str">
        <f>IF(K18="","",IF(G18="Sim","Conferido",IF(K18&gt;Config!$B$8,"A cair","A conferir")))</f>
        <v>Conferido</v>
      </c>
      <c r="O18" s="50">
        <f>IF(N18="A conferir",(Config!$B$8-K18)*1000+N(F18)/1000+ROW()/100000,0)</f>
        <v>0</v>
      </c>
    </row>
    <row r="19">
      <c r="A19" s="48" t="n">
        <v>46210</v>
      </c>
      <c r="B19" s="40" t="inlineStr">
        <is>
          <t>Gisele Ribeiro</t>
        </is>
      </c>
      <c r="C19" s="40" t="inlineStr">
        <is>
          <t>Consulta</t>
        </is>
      </c>
      <c r="D19" s="41" t="inlineStr">
        <is>
          <t>Pix</t>
        </is>
      </c>
      <c r="E19" s="41" t="n"/>
      <c r="F19" s="49" t="n">
        <v>380</v>
      </c>
      <c r="G19" s="41" t="inlineStr">
        <is>
          <t>Sim</t>
        </is>
      </c>
      <c r="H19" s="30">
        <f>IF(D19="","",IFERROR(INDEX(Config!$B$12:$B$15,MATCH(IF(AND(D19="Cartão de crédito",N(E19)&gt;1),"Cartão de crédito parcelado",D19),Config!$A$12:$A$15,0)),0)+IF(AND(Config!$B$17="Sim",LEFT(D19,17)="Cartão de crédito"),Config!$B$18*IFERROR(INDEX(Config!$C$12:$C$15,MATCH(IF(AND(D19="Cartão de crédito",N(E19)&gt;1),"Cartão de crédito parcelado",D19),Config!$A$12:$A$15,0)),0)/30*MAX(1,N(E19)),0))</f>
        <v>0</v>
      </c>
      <c r="I19" s="29">
        <f>IF(OR(D19="",F19=""),"",ROUND(F19*H19,2))</f>
        <v>0</v>
      </c>
      <c r="J19" s="29">
        <f>IF(I19="","",F19-I19)</f>
        <v>380</v>
      </c>
      <c r="K19" s="37">
        <f>IF(OR(D19="",A19=""),"",A19+IF(AND(Config!$B$17="Sim",LEFT(D19,17)="Cartão de crédito"),1,IFERROR(INDEX(Config!$C$12:$C$15,MATCH(IF(AND(D19="Cartão de crédito",N(E19)&gt;1),"Cartão de crédito parcelado",D19),Config!$A$12:$A$15,0)),0)))</f>
        <v>46210.0</v>
      </c>
      <c r="L19" s="27">
        <f>IF(A19="","",MONTH(A19))</f>
        <v>7</v>
      </c>
      <c r="M19" s="27">
        <f>IF(A19="","",YEAR(A19))</f>
        <v>2026</v>
      </c>
      <c r="N19" s="27" t="str">
        <f>IF(K19="","",IF(G19="Sim","Conferido",IF(K19&gt;Config!$B$8,"A cair","A conferir")))</f>
        <v>Conferido</v>
      </c>
      <c r="O19" s="50">
        <f>IF(N19="A conferir",(Config!$B$8-K19)*1000+N(F19)/1000+ROW()/100000,0)</f>
        <v>0</v>
      </c>
    </row>
    <row r="20">
      <c r="A20" s="48" t="n">
        <v>46210</v>
      </c>
      <c r="B20" s="40" t="inlineStr">
        <is>
          <t>Beatriz Reis</t>
        </is>
      </c>
      <c r="C20" s="40" t="inlineStr">
        <is>
          <t>Avaliação endócrina</t>
        </is>
      </c>
      <c r="D20" s="41" t="inlineStr">
        <is>
          <t>Pix</t>
        </is>
      </c>
      <c r="E20" s="41" t="n"/>
      <c r="F20" s="49" t="n">
        <v>400</v>
      </c>
      <c r="G20" s="41" t="inlineStr">
        <is>
          <t>Sim</t>
        </is>
      </c>
      <c r="H20" s="30">
        <f>IF(D20="","",IFERROR(INDEX(Config!$B$12:$B$15,MATCH(IF(AND(D20="Cartão de crédito",N(E20)&gt;1),"Cartão de crédito parcelado",D20),Config!$A$12:$A$15,0)),0)+IF(AND(Config!$B$17="Sim",LEFT(D20,17)="Cartão de crédito"),Config!$B$18*IFERROR(INDEX(Config!$C$12:$C$15,MATCH(IF(AND(D20="Cartão de crédito",N(E20)&gt;1),"Cartão de crédito parcelado",D20),Config!$A$12:$A$15,0)),0)/30*MAX(1,N(E20)),0))</f>
        <v>0</v>
      </c>
      <c r="I20" s="29">
        <f>IF(OR(D20="",F20=""),"",ROUND(F20*H20,2))</f>
        <v>0</v>
      </c>
      <c r="J20" s="29">
        <f>IF(I20="","",F20-I20)</f>
        <v>400</v>
      </c>
      <c r="K20" s="37">
        <f>IF(OR(D20="",A20=""),"",A20+IF(AND(Config!$B$17="Sim",LEFT(D20,17)="Cartão de crédito"),1,IFERROR(INDEX(Config!$C$12:$C$15,MATCH(IF(AND(D20="Cartão de crédito",N(E20)&gt;1),"Cartão de crédito parcelado",D20),Config!$A$12:$A$15,0)),0)))</f>
        <v>46210.0</v>
      </c>
      <c r="L20" s="27">
        <f>IF(A20="","",MONTH(A20))</f>
        <v>7</v>
      </c>
      <c r="M20" s="27">
        <f>IF(A20="","",YEAR(A20))</f>
        <v>2026</v>
      </c>
      <c r="N20" s="27" t="str">
        <f>IF(K20="","",IF(G20="Sim","Conferido",IF(K20&gt;Config!$B$8,"A cair","A conferir")))</f>
        <v>Conferido</v>
      </c>
      <c r="O20" s="50">
        <f>IF(N20="A conferir",(Config!$B$8-K20)*1000+N(F20)/1000+ROW()/100000,0)</f>
        <v>0</v>
      </c>
    </row>
    <row r="21">
      <c r="A21" s="48" t="n">
        <v>46210</v>
      </c>
      <c r="B21" s="40" t="inlineStr">
        <is>
          <t>Marcelo Ferreira</t>
        </is>
      </c>
      <c r="C21" s="40" t="inlineStr">
        <is>
          <t>Consulta</t>
        </is>
      </c>
      <c r="D21" s="41" t="inlineStr">
        <is>
          <t>Cartão de crédito</t>
        </is>
      </c>
      <c r="E21" s="41" t="n"/>
      <c r="F21" s="49" t="n">
        <v>380</v>
      </c>
      <c r="G21" s="41" t="inlineStr">
        <is>
          <t>Sim</t>
        </is>
      </c>
      <c r="H21" s="30">
        <f>IF(D21="","",IFERROR(INDEX(Config!$B$12:$B$15,MATCH(IF(AND(D21="Cartão de crédito",N(E21)&gt;1),"Cartão de crédito parcelado",D21),Config!$A$12:$A$15,0)),0)+IF(AND(Config!$B$17="Sim",LEFT(D21,17)="Cartão de crédito"),Config!$B$18*IFERROR(INDEX(Config!$C$12:$C$15,MATCH(IF(AND(D21="Cartão de crédito",N(E21)&gt;1),"Cartão de crédito parcelado",D21),Config!$A$12:$A$15,0)),0)/30*MAX(1,N(E21)),0))</f>
        <v>0.032</v>
      </c>
      <c r="I21" s="29">
        <f>IF(OR(D21="",F21=""),"",ROUND(F21*H21,2))</f>
        <v>12.16</v>
      </c>
      <c r="J21" s="29">
        <f>IF(I21="","",F21-I21)</f>
        <v>367.84</v>
      </c>
      <c r="K21" s="37">
        <f>IF(OR(D21="",A21=""),"",A21+IF(AND(Config!$B$17="Sim",LEFT(D21,17)="Cartão de crédito"),1,IFERROR(INDEX(Config!$C$12:$C$15,MATCH(IF(AND(D21="Cartão de crédito",N(E21)&gt;1),"Cartão de crédito parcelado",D21),Config!$A$12:$A$15,0)),0)))</f>
        <v>46240.0</v>
      </c>
      <c r="L21" s="27">
        <f>IF(A21="","",MONTH(A21))</f>
        <v>7</v>
      </c>
      <c r="M21" s="27">
        <f>IF(A21="","",YEAR(A21))</f>
        <v>2026</v>
      </c>
      <c r="N21" s="27" t="str">
        <f>IF(K21="","",IF(G21="Sim","Conferido",IF(K21&gt;Config!$B$8,"A cair","A conferir")))</f>
        <v>Conferido</v>
      </c>
      <c r="O21" s="50">
        <f>IF(N21="A conferir",(Config!$B$8-K21)*1000+N(F21)/1000+ROW()/100000,0)</f>
        <v>0</v>
      </c>
    </row>
    <row r="22">
      <c r="A22" s="48" t="n">
        <v>46210</v>
      </c>
      <c r="B22" s="40" t="inlineStr">
        <is>
          <t>Lucas Cardoso</t>
        </is>
      </c>
      <c r="C22" s="40" t="inlineStr">
        <is>
          <t>Consulta</t>
        </is>
      </c>
      <c r="D22" s="41" t="inlineStr">
        <is>
          <t>Cartão de crédito</t>
        </is>
      </c>
      <c r="E22" s="41" t="n"/>
      <c r="F22" s="49" t="n">
        <v>380</v>
      </c>
      <c r="G22" s="41" t="inlineStr">
        <is>
          <t>Sim</t>
        </is>
      </c>
      <c r="H22" s="30">
        <f>IF(D22="","",IFERROR(INDEX(Config!$B$12:$B$15,MATCH(IF(AND(D22="Cartão de crédito",N(E22)&gt;1),"Cartão de crédito parcelado",D22),Config!$A$12:$A$15,0)),0)+IF(AND(Config!$B$17="Sim",LEFT(D22,17)="Cartão de crédito"),Config!$B$18*IFERROR(INDEX(Config!$C$12:$C$15,MATCH(IF(AND(D22="Cartão de crédito",N(E22)&gt;1),"Cartão de crédito parcelado",D22),Config!$A$12:$A$15,0)),0)/30*MAX(1,N(E22)),0))</f>
        <v>0.032</v>
      </c>
      <c r="I22" s="29">
        <f>IF(OR(D22="",F22=""),"",ROUND(F22*H22,2))</f>
        <v>12.16</v>
      </c>
      <c r="J22" s="29">
        <f>IF(I22="","",F22-I22)</f>
        <v>367.84</v>
      </c>
      <c r="K22" s="37">
        <f>IF(OR(D22="",A22=""),"",A22+IF(AND(Config!$B$17="Sim",LEFT(D22,17)="Cartão de crédito"),1,IFERROR(INDEX(Config!$C$12:$C$15,MATCH(IF(AND(D22="Cartão de crédito",N(E22)&gt;1),"Cartão de crédito parcelado",D22),Config!$A$12:$A$15,0)),0)))</f>
        <v>46240.0</v>
      </c>
      <c r="L22" s="27">
        <f>IF(A22="","",MONTH(A22))</f>
        <v>7</v>
      </c>
      <c r="M22" s="27">
        <f>IF(A22="","",YEAR(A22))</f>
        <v>2026</v>
      </c>
      <c r="N22" s="27" t="str">
        <f>IF(K22="","",IF(G22="Sim","Conferido",IF(K22&gt;Config!$B$8,"A cair","A conferir")))</f>
        <v>Conferido</v>
      </c>
      <c r="O22" s="50">
        <f>IF(N22="A conferir",(Config!$B$8-K22)*1000+N(F22)/1000+ROW()/100000,0)</f>
        <v>0</v>
      </c>
    </row>
    <row r="23">
      <c r="A23" s="48" t="n">
        <v>46211</v>
      </c>
      <c r="B23" s="40" t="inlineStr">
        <is>
          <t>Cláudia Santos</t>
        </is>
      </c>
      <c r="C23" s="40" t="inlineStr">
        <is>
          <t>Consulta</t>
        </is>
      </c>
      <c r="D23" s="41" t="inlineStr">
        <is>
          <t>Pix</t>
        </is>
      </c>
      <c r="E23" s="41" t="n"/>
      <c r="F23" s="49" t="n">
        <v>380</v>
      </c>
      <c r="G23" s="41" t="inlineStr">
        <is>
          <t>Sim</t>
        </is>
      </c>
      <c r="H23" s="30">
        <f>IF(D23="","",IFERROR(INDEX(Config!$B$12:$B$15,MATCH(IF(AND(D23="Cartão de crédito",N(E23)&gt;1),"Cartão de crédito parcelado",D23),Config!$A$12:$A$15,0)),0)+IF(AND(Config!$B$17="Sim",LEFT(D23,17)="Cartão de crédito"),Config!$B$18*IFERROR(INDEX(Config!$C$12:$C$15,MATCH(IF(AND(D23="Cartão de crédito",N(E23)&gt;1),"Cartão de crédito parcelado",D23),Config!$A$12:$A$15,0)),0)/30*MAX(1,N(E23)),0))</f>
        <v>0</v>
      </c>
      <c r="I23" s="29">
        <f>IF(OR(D23="",F23=""),"",ROUND(F23*H23,2))</f>
        <v>0</v>
      </c>
      <c r="J23" s="29">
        <f>IF(I23="","",F23-I23)</f>
        <v>380</v>
      </c>
      <c r="K23" s="37">
        <f>IF(OR(D23="",A23=""),"",A23+IF(AND(Config!$B$17="Sim",LEFT(D23,17)="Cartão de crédito"),1,IFERROR(INDEX(Config!$C$12:$C$15,MATCH(IF(AND(D23="Cartão de crédito",N(E23)&gt;1),"Cartão de crédito parcelado",D23),Config!$A$12:$A$15,0)),0)))</f>
        <v>46211.0</v>
      </c>
      <c r="L23" s="27">
        <f>IF(A23="","",MONTH(A23))</f>
        <v>7</v>
      </c>
      <c r="M23" s="27">
        <f>IF(A23="","",YEAR(A23))</f>
        <v>2026</v>
      </c>
      <c r="N23" s="27" t="str">
        <f>IF(K23="","",IF(G23="Sim","Conferido",IF(K23&gt;Config!$B$8,"A cair","A conferir")))</f>
        <v>Conferido</v>
      </c>
      <c r="O23" s="50">
        <f>IF(N23="A conferir",(Config!$B$8-K23)*1000+N(F23)/1000+ROW()/100000,0)</f>
        <v>0</v>
      </c>
    </row>
    <row r="24">
      <c r="A24" s="48" t="n">
        <v>46211</v>
      </c>
      <c r="B24" s="40" t="inlineStr">
        <is>
          <t>Otávio Nascimento</t>
        </is>
      </c>
      <c r="C24" s="40" t="inlineStr">
        <is>
          <t>Consulta</t>
        </is>
      </c>
      <c r="D24" s="41" t="inlineStr">
        <is>
          <t>Cartão de crédito</t>
        </is>
      </c>
      <c r="E24" s="41" t="n"/>
      <c r="F24" s="49" t="n">
        <v>380</v>
      </c>
      <c r="G24" s="41" t="inlineStr">
        <is>
          <t>Sim</t>
        </is>
      </c>
      <c r="H24" s="30">
        <f>IF(D24="","",IFERROR(INDEX(Config!$B$12:$B$15,MATCH(IF(AND(D24="Cartão de crédito",N(E24)&gt;1),"Cartão de crédito parcelado",D24),Config!$A$12:$A$15,0)),0)+IF(AND(Config!$B$17="Sim",LEFT(D24,17)="Cartão de crédito"),Config!$B$18*IFERROR(INDEX(Config!$C$12:$C$15,MATCH(IF(AND(D24="Cartão de crédito",N(E24)&gt;1),"Cartão de crédito parcelado",D24),Config!$A$12:$A$15,0)),0)/30*MAX(1,N(E24)),0))</f>
        <v>0.032</v>
      </c>
      <c r="I24" s="29">
        <f>IF(OR(D24="",F24=""),"",ROUND(F24*H24,2))</f>
        <v>12.16</v>
      </c>
      <c r="J24" s="29">
        <f>IF(I24="","",F24-I24)</f>
        <v>367.84</v>
      </c>
      <c r="K24" s="37">
        <f>IF(OR(D24="",A24=""),"",A24+IF(AND(Config!$B$17="Sim",LEFT(D24,17)="Cartão de crédito"),1,IFERROR(INDEX(Config!$C$12:$C$15,MATCH(IF(AND(D24="Cartão de crédito",N(E24)&gt;1),"Cartão de crédito parcelado",D24),Config!$A$12:$A$15,0)),0)))</f>
        <v>46241.0</v>
      </c>
      <c r="L24" s="27">
        <f>IF(A24="","",MONTH(A24))</f>
        <v>7</v>
      </c>
      <c r="M24" s="27">
        <f>IF(A24="","",YEAR(A24))</f>
        <v>2026</v>
      </c>
      <c r="N24" s="27" t="str">
        <f>IF(K24="","",IF(G24="Sim","Conferido",IF(K24&gt;Config!$B$8,"A cair","A conferir")))</f>
        <v>Conferido</v>
      </c>
      <c r="O24" s="50">
        <f>IF(N24="A conferir",(Config!$B$8-K24)*1000+N(F24)/1000+ROW()/100000,0)</f>
        <v>0</v>
      </c>
    </row>
    <row r="25">
      <c r="A25" s="48" t="n">
        <v>46212</v>
      </c>
      <c r="B25" s="40" t="inlineStr">
        <is>
          <t>Elaine Cardoso</t>
        </is>
      </c>
      <c r="C25" s="40" t="inlineStr">
        <is>
          <t>Consulta</t>
        </is>
      </c>
      <c r="D25" s="41" t="inlineStr">
        <is>
          <t>Cartão de crédito</t>
        </is>
      </c>
      <c r="E25" s="41" t="n"/>
      <c r="F25" s="49" t="n">
        <v>380</v>
      </c>
      <c r="G25" s="41" t="inlineStr">
        <is>
          <t>Sim</t>
        </is>
      </c>
      <c r="H25" s="30">
        <f>IF(D25="","",IFERROR(INDEX(Config!$B$12:$B$15,MATCH(IF(AND(D25="Cartão de crédito",N(E25)&gt;1),"Cartão de crédito parcelado",D25),Config!$A$12:$A$15,0)),0)+IF(AND(Config!$B$17="Sim",LEFT(D25,17)="Cartão de crédito"),Config!$B$18*IFERROR(INDEX(Config!$C$12:$C$15,MATCH(IF(AND(D25="Cartão de crédito",N(E25)&gt;1),"Cartão de crédito parcelado",D25),Config!$A$12:$A$15,0)),0)/30*MAX(1,N(E25)),0))</f>
        <v>0.032</v>
      </c>
      <c r="I25" s="29">
        <f>IF(OR(D25="",F25=""),"",ROUND(F25*H25,2))</f>
        <v>12.16</v>
      </c>
      <c r="J25" s="29">
        <f>IF(I25="","",F25-I25)</f>
        <v>367.84</v>
      </c>
      <c r="K25" s="37">
        <f>IF(OR(D25="",A25=""),"",A25+IF(AND(Config!$B$17="Sim",LEFT(D25,17)="Cartão de crédito"),1,IFERROR(INDEX(Config!$C$12:$C$15,MATCH(IF(AND(D25="Cartão de crédito",N(E25)&gt;1),"Cartão de crédito parcelado",D25),Config!$A$12:$A$15,0)),0)))</f>
        <v>46242.0</v>
      </c>
      <c r="L25" s="27">
        <f>IF(A25="","",MONTH(A25))</f>
        <v>7</v>
      </c>
      <c r="M25" s="27">
        <f>IF(A25="","",YEAR(A25))</f>
        <v>2026</v>
      </c>
      <c r="N25" s="27" t="str">
        <f>IF(K25="","",IF(G25="Sim","Conferido",IF(K25&gt;Config!$B$8,"A cair","A conferir")))</f>
        <v>Conferido</v>
      </c>
      <c r="O25" s="50">
        <f>IF(N25="A conferir",(Config!$B$8-K25)*1000+N(F25)/1000+ROW()/100000,0)</f>
        <v>0</v>
      </c>
    </row>
    <row r="26">
      <c r="A26" s="48" t="n">
        <v>46212</v>
      </c>
      <c r="B26" s="40" t="inlineStr">
        <is>
          <t>Roberta Araújo</t>
        </is>
      </c>
      <c r="C26" s="40" t="inlineStr">
        <is>
          <t>Consulta</t>
        </is>
      </c>
      <c r="D26" s="41" t="inlineStr">
        <is>
          <t>Pix</t>
        </is>
      </c>
      <c r="E26" s="41" t="n"/>
      <c r="F26" s="49" t="n">
        <v>380</v>
      </c>
      <c r="G26" s="41" t="inlineStr">
        <is>
          <t>Sim</t>
        </is>
      </c>
      <c r="H26" s="30">
        <f>IF(D26="","",IFERROR(INDEX(Config!$B$12:$B$15,MATCH(IF(AND(D26="Cartão de crédito",N(E26)&gt;1),"Cartão de crédito parcelado",D26),Config!$A$12:$A$15,0)),0)+IF(AND(Config!$B$17="Sim",LEFT(D26,17)="Cartão de crédito"),Config!$B$18*IFERROR(INDEX(Config!$C$12:$C$15,MATCH(IF(AND(D26="Cartão de crédito",N(E26)&gt;1),"Cartão de crédito parcelado",D26),Config!$A$12:$A$15,0)),0)/30*MAX(1,N(E26)),0))</f>
        <v>0</v>
      </c>
      <c r="I26" s="29">
        <f>IF(OR(D26="",F26=""),"",ROUND(F26*H26,2))</f>
        <v>0</v>
      </c>
      <c r="J26" s="29">
        <f>IF(I26="","",F26-I26)</f>
        <v>380</v>
      </c>
      <c r="K26" s="37">
        <f>IF(OR(D26="",A26=""),"",A26+IF(AND(Config!$B$17="Sim",LEFT(D26,17)="Cartão de crédito"),1,IFERROR(INDEX(Config!$C$12:$C$15,MATCH(IF(AND(D26="Cartão de crédito",N(E26)&gt;1),"Cartão de crédito parcelado",D26),Config!$A$12:$A$15,0)),0)))</f>
        <v>46212.0</v>
      </c>
      <c r="L26" s="27">
        <f>IF(A26="","",MONTH(A26))</f>
        <v>7</v>
      </c>
      <c r="M26" s="27">
        <f>IF(A26="","",YEAR(A26))</f>
        <v>2026</v>
      </c>
      <c r="N26" s="27" t="str">
        <f>IF(K26="","",IF(G26="Sim","Conferido",IF(K26&gt;Config!$B$8,"A cair","A conferir")))</f>
        <v>Conferido</v>
      </c>
      <c r="O26" s="50">
        <f>IF(N26="A conferir",(Config!$B$8-K26)*1000+N(F26)/1000+ROW()/100000,0)</f>
        <v>0</v>
      </c>
    </row>
    <row r="27">
      <c r="A27" s="48" t="n">
        <v>46212</v>
      </c>
      <c r="B27" s="40" t="inlineStr">
        <is>
          <t>Fábio Gomes</t>
        </is>
      </c>
      <c r="C27" s="40" t="inlineStr">
        <is>
          <t>Avaliação endócrina</t>
        </is>
      </c>
      <c r="D27" s="41" t="inlineStr">
        <is>
          <t>Cartão de crédito</t>
        </is>
      </c>
      <c r="E27" s="41" t="n"/>
      <c r="F27" s="49" t="n">
        <v>400</v>
      </c>
      <c r="G27" s="41" t="inlineStr">
        <is>
          <t>Sim</t>
        </is>
      </c>
      <c r="H27" s="30">
        <f>IF(D27="","",IFERROR(INDEX(Config!$B$12:$B$15,MATCH(IF(AND(D27="Cartão de crédito",N(E27)&gt;1),"Cartão de crédito parcelado",D27),Config!$A$12:$A$15,0)),0)+IF(AND(Config!$B$17="Sim",LEFT(D27,17)="Cartão de crédito"),Config!$B$18*IFERROR(INDEX(Config!$C$12:$C$15,MATCH(IF(AND(D27="Cartão de crédito",N(E27)&gt;1),"Cartão de crédito parcelado",D27),Config!$A$12:$A$15,0)),0)/30*MAX(1,N(E27)),0))</f>
        <v>0.032</v>
      </c>
      <c r="I27" s="29">
        <f>IF(OR(D27="",F27=""),"",ROUND(F27*H27,2))</f>
        <v>12.8</v>
      </c>
      <c r="J27" s="29">
        <f>IF(I27="","",F27-I27)</f>
        <v>387.2</v>
      </c>
      <c r="K27" s="37">
        <f>IF(OR(D27="",A27=""),"",A27+IF(AND(Config!$B$17="Sim",LEFT(D27,17)="Cartão de crédito"),1,IFERROR(INDEX(Config!$C$12:$C$15,MATCH(IF(AND(D27="Cartão de crédito",N(E27)&gt;1),"Cartão de crédito parcelado",D27),Config!$A$12:$A$15,0)),0)))</f>
        <v>46242.0</v>
      </c>
      <c r="L27" s="27">
        <f>IF(A27="","",MONTH(A27))</f>
        <v>7</v>
      </c>
      <c r="M27" s="27">
        <f>IF(A27="","",YEAR(A27))</f>
        <v>2026</v>
      </c>
      <c r="N27" s="27" t="str">
        <f>IF(K27="","",IF(G27="Sim","Conferido",IF(K27&gt;Config!$B$8,"A cair","A conferir")))</f>
        <v>Conferido</v>
      </c>
      <c r="O27" s="50">
        <f>IF(N27="A conferir",(Config!$B$8-K27)*1000+N(F27)/1000+ROW()/100000,0)</f>
        <v>0</v>
      </c>
    </row>
    <row r="28">
      <c r="A28" s="48" t="n">
        <v>46212</v>
      </c>
      <c r="B28" s="40" t="inlineStr">
        <is>
          <t>Rafael Pereira</t>
        </is>
      </c>
      <c r="C28" s="40" t="inlineStr">
        <is>
          <t>Avaliação endócrina</t>
        </is>
      </c>
      <c r="D28" s="41" t="inlineStr">
        <is>
          <t>Pix</t>
        </is>
      </c>
      <c r="E28" s="41" t="n"/>
      <c r="F28" s="49" t="n">
        <v>400</v>
      </c>
      <c r="G28" s="41" t="inlineStr">
        <is>
          <t>Sim</t>
        </is>
      </c>
      <c r="H28" s="30">
        <f>IF(D28="","",IFERROR(INDEX(Config!$B$12:$B$15,MATCH(IF(AND(D28="Cartão de crédito",N(E28)&gt;1),"Cartão de crédito parcelado",D28),Config!$A$12:$A$15,0)),0)+IF(AND(Config!$B$17="Sim",LEFT(D28,17)="Cartão de crédito"),Config!$B$18*IFERROR(INDEX(Config!$C$12:$C$15,MATCH(IF(AND(D28="Cartão de crédito",N(E28)&gt;1),"Cartão de crédito parcelado",D28),Config!$A$12:$A$15,0)),0)/30*MAX(1,N(E28)),0))</f>
        <v>0</v>
      </c>
      <c r="I28" s="29">
        <f>IF(OR(D28="",F28=""),"",ROUND(F28*H28,2))</f>
        <v>0</v>
      </c>
      <c r="J28" s="29">
        <f>IF(I28="","",F28-I28)</f>
        <v>400</v>
      </c>
      <c r="K28" s="37">
        <f>IF(OR(D28="",A28=""),"",A28+IF(AND(Config!$B$17="Sim",LEFT(D28,17)="Cartão de crédito"),1,IFERROR(INDEX(Config!$C$12:$C$15,MATCH(IF(AND(D28="Cartão de crédito",N(E28)&gt;1),"Cartão de crédito parcelado",D28),Config!$A$12:$A$15,0)),0)))</f>
        <v>46212.0</v>
      </c>
      <c r="L28" s="27">
        <f>IF(A28="","",MONTH(A28))</f>
        <v>7</v>
      </c>
      <c r="M28" s="27">
        <f>IF(A28="","",YEAR(A28))</f>
        <v>2026</v>
      </c>
      <c r="N28" s="27" t="str">
        <f>IF(K28="","",IF(G28="Sim","Conferido",IF(K28&gt;Config!$B$8,"A cair","A conferir")))</f>
        <v>Conferido</v>
      </c>
      <c r="O28" s="50">
        <f>IF(N28="A conferir",(Config!$B$8-K28)*1000+N(F28)/1000+ROW()/100000,0)</f>
        <v>0</v>
      </c>
    </row>
    <row r="29">
      <c r="A29" s="48" t="n">
        <v>46212</v>
      </c>
      <c r="B29" s="40" t="inlineStr">
        <is>
          <t>Larissa Costa</t>
        </is>
      </c>
      <c r="C29" s="40" t="inlineStr">
        <is>
          <t>ECG</t>
        </is>
      </c>
      <c r="D29" s="41" t="inlineStr">
        <is>
          <t>Cartão de crédito</t>
        </is>
      </c>
      <c r="E29" s="41" t="n"/>
      <c r="F29" s="49" t="n">
        <v>130</v>
      </c>
      <c r="G29" s="41" t="inlineStr">
        <is>
          <t>Sim</t>
        </is>
      </c>
      <c r="H29" s="30">
        <f>IF(D29="","",IFERROR(INDEX(Config!$B$12:$B$15,MATCH(IF(AND(D29="Cartão de crédito",N(E29)&gt;1),"Cartão de crédito parcelado",D29),Config!$A$12:$A$15,0)),0)+IF(AND(Config!$B$17="Sim",LEFT(D29,17)="Cartão de crédito"),Config!$B$18*IFERROR(INDEX(Config!$C$12:$C$15,MATCH(IF(AND(D29="Cartão de crédito",N(E29)&gt;1),"Cartão de crédito parcelado",D29),Config!$A$12:$A$15,0)),0)/30*MAX(1,N(E29)),0))</f>
        <v>0.032</v>
      </c>
      <c r="I29" s="29">
        <f>IF(OR(D29="",F29=""),"",ROUND(F29*H29,2))</f>
        <v>4.16</v>
      </c>
      <c r="J29" s="29">
        <f>IF(I29="","",F29-I29)</f>
        <v>125.84</v>
      </c>
      <c r="K29" s="37">
        <f>IF(OR(D29="",A29=""),"",A29+IF(AND(Config!$B$17="Sim",LEFT(D29,17)="Cartão de crédito"),1,IFERROR(INDEX(Config!$C$12:$C$15,MATCH(IF(AND(D29="Cartão de crédito",N(E29)&gt;1),"Cartão de crédito parcelado",D29),Config!$A$12:$A$15,0)),0)))</f>
        <v>46242.0</v>
      </c>
      <c r="L29" s="27">
        <f>IF(A29="","",MONTH(A29))</f>
        <v>7</v>
      </c>
      <c r="M29" s="27">
        <f>IF(A29="","",YEAR(A29))</f>
        <v>2026</v>
      </c>
      <c r="N29" s="27" t="str">
        <f>IF(K29="","",IF(G29="Sim","Conferido",IF(K29&gt;Config!$B$8,"A cair","A conferir")))</f>
        <v>Conferido</v>
      </c>
      <c r="O29" s="50">
        <f>IF(N29="A conferir",(Config!$B$8-K29)*1000+N(F29)/1000+ROW()/100000,0)</f>
        <v>0</v>
      </c>
    </row>
    <row r="30">
      <c r="A30" s="48" t="n">
        <v>46212</v>
      </c>
      <c r="B30" s="40" t="inlineStr">
        <is>
          <t>Fábio Correia</t>
        </is>
      </c>
      <c r="C30" s="40" t="inlineStr">
        <is>
          <t>Consulta</t>
        </is>
      </c>
      <c r="D30" s="41" t="inlineStr">
        <is>
          <t>Cartão de crédito</t>
        </is>
      </c>
      <c r="E30" s="41" t="n"/>
      <c r="F30" s="49" t="n">
        <v>380</v>
      </c>
      <c r="G30" s="41" t="inlineStr">
        <is>
          <t>Sim</t>
        </is>
      </c>
      <c r="H30" s="30">
        <f>IF(D30="","",IFERROR(INDEX(Config!$B$12:$B$15,MATCH(IF(AND(D30="Cartão de crédito",N(E30)&gt;1),"Cartão de crédito parcelado",D30),Config!$A$12:$A$15,0)),0)+IF(AND(Config!$B$17="Sim",LEFT(D30,17)="Cartão de crédito"),Config!$B$18*IFERROR(INDEX(Config!$C$12:$C$15,MATCH(IF(AND(D30="Cartão de crédito",N(E30)&gt;1),"Cartão de crédito parcelado",D30),Config!$A$12:$A$15,0)),0)/30*MAX(1,N(E30)),0))</f>
        <v>0.032</v>
      </c>
      <c r="I30" s="29">
        <f>IF(OR(D30="",F30=""),"",ROUND(F30*H30,2))</f>
        <v>12.16</v>
      </c>
      <c r="J30" s="29">
        <f>IF(I30="","",F30-I30)</f>
        <v>367.84</v>
      </c>
      <c r="K30" s="37">
        <f>IF(OR(D30="",A30=""),"",A30+IF(AND(Config!$B$17="Sim",LEFT(D30,17)="Cartão de crédito"),1,IFERROR(INDEX(Config!$C$12:$C$15,MATCH(IF(AND(D30="Cartão de crédito",N(E30)&gt;1),"Cartão de crédito parcelado",D30),Config!$A$12:$A$15,0)),0)))</f>
        <v>46242.0</v>
      </c>
      <c r="L30" s="27">
        <f>IF(A30="","",MONTH(A30))</f>
        <v>7</v>
      </c>
      <c r="M30" s="27">
        <f>IF(A30="","",YEAR(A30))</f>
        <v>2026</v>
      </c>
      <c r="N30" s="27" t="str">
        <f>IF(K30="","",IF(G30="Sim","Conferido",IF(K30&gt;Config!$B$8,"A cair","A conferir")))</f>
        <v>Conferido</v>
      </c>
      <c r="O30" s="50">
        <f>IF(N30="A conferir",(Config!$B$8-K30)*1000+N(F30)/1000+ROW()/100000,0)</f>
        <v>0</v>
      </c>
    </row>
    <row r="31">
      <c r="A31" s="48" t="n">
        <v>46212</v>
      </c>
      <c r="B31" s="40" t="inlineStr">
        <is>
          <t>Gustavo Ferreira</t>
        </is>
      </c>
      <c r="C31" s="40" t="inlineStr">
        <is>
          <t>Holter</t>
        </is>
      </c>
      <c r="D31" s="41" t="inlineStr">
        <is>
          <t>Pix</t>
        </is>
      </c>
      <c r="E31" s="41" t="n"/>
      <c r="F31" s="49" t="n">
        <v>350</v>
      </c>
      <c r="G31" s="41" t="inlineStr">
        <is>
          <t>Sim</t>
        </is>
      </c>
      <c r="H31" s="30">
        <f>IF(D31="","",IFERROR(INDEX(Config!$B$12:$B$15,MATCH(IF(AND(D31="Cartão de crédito",N(E31)&gt;1),"Cartão de crédito parcelado",D31),Config!$A$12:$A$15,0)),0)+IF(AND(Config!$B$17="Sim",LEFT(D31,17)="Cartão de crédito"),Config!$B$18*IFERROR(INDEX(Config!$C$12:$C$15,MATCH(IF(AND(D31="Cartão de crédito",N(E31)&gt;1),"Cartão de crédito parcelado",D31),Config!$A$12:$A$15,0)),0)/30*MAX(1,N(E31)),0))</f>
        <v>0</v>
      </c>
      <c r="I31" s="29">
        <f>IF(OR(D31="",F31=""),"",ROUND(F31*H31,2))</f>
        <v>0</v>
      </c>
      <c r="J31" s="29">
        <f>IF(I31="","",F31-I31)</f>
        <v>350</v>
      </c>
      <c r="K31" s="37">
        <f>IF(OR(D31="",A31=""),"",A31+IF(AND(Config!$B$17="Sim",LEFT(D31,17)="Cartão de crédito"),1,IFERROR(INDEX(Config!$C$12:$C$15,MATCH(IF(AND(D31="Cartão de crédito",N(E31)&gt;1),"Cartão de crédito parcelado",D31),Config!$A$12:$A$15,0)),0)))</f>
        <v>46212.0</v>
      </c>
      <c r="L31" s="27">
        <f>IF(A31="","",MONTH(A31))</f>
        <v>7</v>
      </c>
      <c r="M31" s="27">
        <f>IF(A31="","",YEAR(A31))</f>
        <v>2026</v>
      </c>
      <c r="N31" s="27" t="str">
        <f>IF(K31="","",IF(G31="Sim","Conferido",IF(K31&gt;Config!$B$8,"A cair","A conferir")))</f>
        <v>Conferido</v>
      </c>
      <c r="O31" s="50">
        <f>IF(N31="A conferir",(Config!$B$8-K31)*1000+N(F31)/1000+ROW()/100000,0)</f>
        <v>0</v>
      </c>
    </row>
    <row r="32">
      <c r="A32" s="48" t="n">
        <v>46213</v>
      </c>
      <c r="B32" s="40" t="inlineStr">
        <is>
          <t>Wagner Costa</t>
        </is>
      </c>
      <c r="C32" s="40" t="inlineStr">
        <is>
          <t>Consulta</t>
        </is>
      </c>
      <c r="D32" s="41" t="inlineStr">
        <is>
          <t>Cartão de débito</t>
        </is>
      </c>
      <c r="E32" s="41" t="n"/>
      <c r="F32" s="49" t="n">
        <v>380</v>
      </c>
      <c r="G32" s="41" t="inlineStr">
        <is>
          <t>Sim</t>
        </is>
      </c>
      <c r="H32" s="30">
        <f>IF(D32="","",IFERROR(INDEX(Config!$B$12:$B$15,MATCH(IF(AND(D32="Cartão de crédito",N(E32)&gt;1),"Cartão de crédito parcelado",D32),Config!$A$12:$A$15,0)),0)+IF(AND(Config!$B$17="Sim",LEFT(D32,17)="Cartão de crédito"),Config!$B$18*IFERROR(INDEX(Config!$C$12:$C$15,MATCH(IF(AND(D32="Cartão de crédito",N(E32)&gt;1),"Cartão de crédito parcelado",D32),Config!$A$12:$A$15,0)),0)/30*MAX(1,N(E32)),0))</f>
        <v>0.015</v>
      </c>
      <c r="I32" s="29">
        <f>IF(OR(D32="",F32=""),"",ROUND(F32*H32,2))</f>
        <v>5.7</v>
      </c>
      <c r="J32" s="29">
        <f>IF(I32="","",F32-I32)</f>
        <v>374.3</v>
      </c>
      <c r="K32" s="37">
        <f>IF(OR(D32="",A32=""),"",A32+IF(AND(Config!$B$17="Sim",LEFT(D32,17)="Cartão de crédito"),1,IFERROR(INDEX(Config!$C$12:$C$15,MATCH(IF(AND(D32="Cartão de crédito",N(E32)&gt;1),"Cartão de crédito parcelado",D32),Config!$A$12:$A$15,0)),0)))</f>
        <v>46214.0</v>
      </c>
      <c r="L32" s="27">
        <f>IF(A32="","",MONTH(A32))</f>
        <v>7</v>
      </c>
      <c r="M32" s="27">
        <f>IF(A32="","",YEAR(A32))</f>
        <v>2026</v>
      </c>
      <c r="N32" s="27" t="str">
        <f>IF(K32="","",IF(G32="Sim","Conferido",IF(K32&gt;Config!$B$8,"A cair","A conferir")))</f>
        <v>Conferido</v>
      </c>
      <c r="O32" s="50">
        <f>IF(N32="A conferir",(Config!$B$8-K32)*1000+N(F32)/1000+ROW()/100000,0)</f>
        <v>0</v>
      </c>
    </row>
    <row r="33">
      <c r="A33" s="48" t="n">
        <v>46216</v>
      </c>
      <c r="B33" s="40" t="inlineStr">
        <is>
          <t>Ana Costa</t>
        </is>
      </c>
      <c r="C33" s="40" t="inlineStr">
        <is>
          <t>Consulta</t>
        </is>
      </c>
      <c r="D33" s="41" t="inlineStr">
        <is>
          <t>Cartão de débito</t>
        </is>
      </c>
      <c r="E33" s="41" t="n"/>
      <c r="F33" s="49" t="n">
        <v>380</v>
      </c>
      <c r="G33" s="41" t="inlineStr">
        <is>
          <t>Sim</t>
        </is>
      </c>
      <c r="H33" s="30">
        <f>IF(D33="","",IFERROR(INDEX(Config!$B$12:$B$15,MATCH(IF(AND(D33="Cartão de crédito",N(E33)&gt;1),"Cartão de crédito parcelado",D33),Config!$A$12:$A$15,0)),0)+IF(AND(Config!$B$17="Sim",LEFT(D33,17)="Cartão de crédito"),Config!$B$18*IFERROR(INDEX(Config!$C$12:$C$15,MATCH(IF(AND(D33="Cartão de crédito",N(E33)&gt;1),"Cartão de crédito parcelado",D33),Config!$A$12:$A$15,0)),0)/30*MAX(1,N(E33)),0))</f>
        <v>0.015</v>
      </c>
      <c r="I33" s="29">
        <f>IF(OR(D33="",F33=""),"",ROUND(F33*H33,2))</f>
        <v>5.7</v>
      </c>
      <c r="J33" s="29">
        <f>IF(I33="","",F33-I33)</f>
        <v>374.3</v>
      </c>
      <c r="K33" s="37">
        <f>IF(OR(D33="",A33=""),"",A33+IF(AND(Config!$B$17="Sim",LEFT(D33,17)="Cartão de crédito"),1,IFERROR(INDEX(Config!$C$12:$C$15,MATCH(IF(AND(D33="Cartão de crédito",N(E33)&gt;1),"Cartão de crédito parcelado",D33),Config!$A$12:$A$15,0)),0)))</f>
        <v>46217.0</v>
      </c>
      <c r="L33" s="27">
        <f>IF(A33="","",MONTH(A33))</f>
        <v>7</v>
      </c>
      <c r="M33" s="27">
        <f>IF(A33="","",YEAR(A33))</f>
        <v>2026</v>
      </c>
      <c r="N33" s="27" t="str">
        <f>IF(K33="","",IF(G33="Sim","Conferido",IF(K33&gt;Config!$B$8,"A cair","A conferir")))</f>
        <v>Conferido</v>
      </c>
      <c r="O33" s="50">
        <f>IF(N33="A conferir",(Config!$B$8-K33)*1000+N(F33)/1000+ROW()/100000,0)</f>
        <v>0</v>
      </c>
    </row>
    <row r="34">
      <c r="A34" s="48" t="n">
        <v>46216</v>
      </c>
      <c r="B34" s="40" t="inlineStr">
        <is>
          <t>Débora Ramos</t>
        </is>
      </c>
      <c r="C34" s="40" t="inlineStr">
        <is>
          <t>Consulta</t>
        </is>
      </c>
      <c r="D34" s="41" t="inlineStr">
        <is>
          <t>Cartão de débito</t>
        </is>
      </c>
      <c r="E34" s="41" t="n"/>
      <c r="F34" s="49" t="n">
        <v>380</v>
      </c>
      <c r="G34" s="41" t="inlineStr">
        <is>
          <t>Sim</t>
        </is>
      </c>
      <c r="H34" s="30">
        <f>IF(D34="","",IFERROR(INDEX(Config!$B$12:$B$15,MATCH(IF(AND(D34="Cartão de crédito",N(E34)&gt;1),"Cartão de crédito parcelado",D34),Config!$A$12:$A$15,0)),0)+IF(AND(Config!$B$17="Sim",LEFT(D34,17)="Cartão de crédito"),Config!$B$18*IFERROR(INDEX(Config!$C$12:$C$15,MATCH(IF(AND(D34="Cartão de crédito",N(E34)&gt;1),"Cartão de crédito parcelado",D34),Config!$A$12:$A$15,0)),0)/30*MAX(1,N(E34)),0))</f>
        <v>0.015</v>
      </c>
      <c r="I34" s="29">
        <f>IF(OR(D34="",F34=""),"",ROUND(F34*H34,2))</f>
        <v>5.7</v>
      </c>
      <c r="J34" s="29">
        <f>IF(I34="","",F34-I34)</f>
        <v>374.3</v>
      </c>
      <c r="K34" s="37">
        <f>IF(OR(D34="",A34=""),"",A34+IF(AND(Config!$B$17="Sim",LEFT(D34,17)="Cartão de crédito"),1,IFERROR(INDEX(Config!$C$12:$C$15,MATCH(IF(AND(D34="Cartão de crédito",N(E34)&gt;1),"Cartão de crédito parcelado",D34),Config!$A$12:$A$15,0)),0)))</f>
        <v>46217.0</v>
      </c>
      <c r="L34" s="27">
        <f>IF(A34="","",MONTH(A34))</f>
        <v>7</v>
      </c>
      <c r="M34" s="27">
        <f>IF(A34="","",YEAR(A34))</f>
        <v>2026</v>
      </c>
      <c r="N34" s="27" t="str">
        <f>IF(K34="","",IF(G34="Sim","Conferido",IF(K34&gt;Config!$B$8,"A cair","A conferir")))</f>
        <v>Conferido</v>
      </c>
      <c r="O34" s="50">
        <f>IF(N34="A conferir",(Config!$B$8-K34)*1000+N(F34)/1000+ROW()/100000,0)</f>
        <v>0</v>
      </c>
    </row>
    <row r="35">
      <c r="A35" s="48" t="n">
        <v>46216</v>
      </c>
      <c r="B35" s="40" t="inlineStr">
        <is>
          <t>Gisele Ribeiro</t>
        </is>
      </c>
      <c r="C35" s="40" t="inlineStr">
        <is>
          <t>ECG</t>
        </is>
      </c>
      <c r="D35" s="41" t="inlineStr">
        <is>
          <t>Cartão de crédito</t>
        </is>
      </c>
      <c r="E35" s="41" t="n"/>
      <c r="F35" s="49" t="n">
        <v>130</v>
      </c>
      <c r="G35" s="41" t="inlineStr">
        <is>
          <t>Sim</t>
        </is>
      </c>
      <c r="H35" s="30">
        <f>IF(D35="","",IFERROR(INDEX(Config!$B$12:$B$15,MATCH(IF(AND(D35="Cartão de crédito",N(E35)&gt;1),"Cartão de crédito parcelado",D35),Config!$A$12:$A$15,0)),0)+IF(AND(Config!$B$17="Sim",LEFT(D35,17)="Cartão de crédito"),Config!$B$18*IFERROR(INDEX(Config!$C$12:$C$15,MATCH(IF(AND(D35="Cartão de crédito",N(E35)&gt;1),"Cartão de crédito parcelado",D35),Config!$A$12:$A$15,0)),0)/30*MAX(1,N(E35)),0))</f>
        <v>0.032</v>
      </c>
      <c r="I35" s="29">
        <f>IF(OR(D35="",F35=""),"",ROUND(F35*H35,2))</f>
        <v>4.16</v>
      </c>
      <c r="J35" s="29">
        <f>IF(I35="","",F35-I35)</f>
        <v>125.84</v>
      </c>
      <c r="K35" s="37">
        <f>IF(OR(D35="",A35=""),"",A35+IF(AND(Config!$B$17="Sim",LEFT(D35,17)="Cartão de crédito"),1,IFERROR(INDEX(Config!$C$12:$C$15,MATCH(IF(AND(D35="Cartão de crédito",N(E35)&gt;1),"Cartão de crédito parcelado",D35),Config!$A$12:$A$15,0)),0)))</f>
        <v>46246.0</v>
      </c>
      <c r="L35" s="27">
        <f>IF(A35="","",MONTH(A35))</f>
        <v>7</v>
      </c>
      <c r="M35" s="27">
        <f>IF(A35="","",YEAR(A35))</f>
        <v>2026</v>
      </c>
      <c r="N35" s="27" t="str">
        <f>IF(K35="","",IF(G35="Sim","Conferido",IF(K35&gt;Config!$B$8,"A cair","A conferir")))</f>
        <v>Conferido</v>
      </c>
      <c r="O35" s="50">
        <f>IF(N35="A conferir",(Config!$B$8-K35)*1000+N(F35)/1000+ROW()/100000,0)</f>
        <v>0</v>
      </c>
    </row>
    <row r="36">
      <c r="A36" s="48" t="n">
        <v>46216</v>
      </c>
      <c r="B36" s="40" t="inlineStr">
        <is>
          <t>Henrique Ribeiro</t>
        </is>
      </c>
      <c r="C36" s="40" t="inlineStr">
        <is>
          <t>Consulta</t>
        </is>
      </c>
      <c r="D36" s="41" t="inlineStr">
        <is>
          <t>Cartão de crédito</t>
        </is>
      </c>
      <c r="E36" s="41" t="n">
        <v>2</v>
      </c>
      <c r="F36" s="49" t="n">
        <v>380</v>
      </c>
      <c r="G36" s="41" t="inlineStr">
        <is>
          <t>Sim</t>
        </is>
      </c>
      <c r="H36" s="30">
        <f>IF(D36="","",IFERROR(INDEX(Config!$B$12:$B$15,MATCH(IF(AND(D36="Cartão de crédito",N(E36)&gt;1),"Cartão de crédito parcelado",D36),Config!$A$12:$A$15,0)),0)+IF(AND(Config!$B$17="Sim",LEFT(D36,17)="Cartão de crédito"),Config!$B$18*IFERROR(INDEX(Config!$C$12:$C$15,MATCH(IF(AND(D36="Cartão de crédito",N(E36)&gt;1),"Cartão de crédito parcelado",D36),Config!$A$12:$A$15,0)),0)/30*MAX(1,N(E36)),0))</f>
        <v>0.039</v>
      </c>
      <c r="I36" s="29">
        <f>IF(OR(D36="",F36=""),"",ROUND(F36*H36,2))</f>
        <v>14.82</v>
      </c>
      <c r="J36" s="29">
        <f>IF(I36="","",F36-I36)</f>
        <v>365.18</v>
      </c>
      <c r="K36" s="37">
        <f>IF(OR(D36="",A36=""),"",A36+IF(AND(Config!$B$17="Sim",LEFT(D36,17)="Cartão de crédito"),1,IFERROR(INDEX(Config!$C$12:$C$15,MATCH(IF(AND(D36="Cartão de crédito",N(E36)&gt;1),"Cartão de crédito parcelado",D36),Config!$A$12:$A$15,0)),0)))</f>
        <v>46246.0</v>
      </c>
      <c r="L36" s="27">
        <f>IF(A36="","",MONTH(A36))</f>
        <v>7</v>
      </c>
      <c r="M36" s="27">
        <f>IF(A36="","",YEAR(A36))</f>
        <v>2026</v>
      </c>
      <c r="N36" s="27" t="str">
        <f>IF(K36="","",IF(G36="Sim","Conferido",IF(K36&gt;Config!$B$8,"A cair","A conferir")))</f>
        <v>Conferido</v>
      </c>
      <c r="O36" s="50">
        <f>IF(N36="A conferir",(Config!$B$8-K36)*1000+N(F36)/1000+ROW()/100000,0)</f>
        <v>0</v>
      </c>
    </row>
    <row r="37">
      <c r="A37" s="48" t="n">
        <v>46216</v>
      </c>
      <c r="B37" s="40" t="inlineStr">
        <is>
          <t>Gabriel Oliveira</t>
        </is>
      </c>
      <c r="C37" s="40" t="inlineStr">
        <is>
          <t>Consulta</t>
        </is>
      </c>
      <c r="D37" s="41" t="inlineStr">
        <is>
          <t>Pix</t>
        </is>
      </c>
      <c r="E37" s="41" t="n"/>
      <c r="F37" s="49" t="n">
        <v>380</v>
      </c>
      <c r="G37" s="41" t="inlineStr">
        <is>
          <t>Sim</t>
        </is>
      </c>
      <c r="H37" s="30">
        <f>IF(D37="","",IFERROR(INDEX(Config!$B$12:$B$15,MATCH(IF(AND(D37="Cartão de crédito",N(E37)&gt;1),"Cartão de crédito parcelado",D37),Config!$A$12:$A$15,0)),0)+IF(AND(Config!$B$17="Sim",LEFT(D37,17)="Cartão de crédito"),Config!$B$18*IFERROR(INDEX(Config!$C$12:$C$15,MATCH(IF(AND(D37="Cartão de crédito",N(E37)&gt;1),"Cartão de crédito parcelado",D37),Config!$A$12:$A$15,0)),0)/30*MAX(1,N(E37)),0))</f>
        <v>0</v>
      </c>
      <c r="I37" s="29">
        <f>IF(OR(D37="",F37=""),"",ROUND(F37*H37,2))</f>
        <v>0</v>
      </c>
      <c r="J37" s="29">
        <f>IF(I37="","",F37-I37)</f>
        <v>380</v>
      </c>
      <c r="K37" s="37">
        <f>IF(OR(D37="",A37=""),"",A37+IF(AND(Config!$B$17="Sim",LEFT(D37,17)="Cartão de crédito"),1,IFERROR(INDEX(Config!$C$12:$C$15,MATCH(IF(AND(D37="Cartão de crédito",N(E37)&gt;1),"Cartão de crédito parcelado",D37),Config!$A$12:$A$15,0)),0)))</f>
        <v>46216.0</v>
      </c>
      <c r="L37" s="27">
        <f>IF(A37="","",MONTH(A37))</f>
        <v>7</v>
      </c>
      <c r="M37" s="27">
        <f>IF(A37="","",YEAR(A37))</f>
        <v>2026</v>
      </c>
      <c r="N37" s="27" t="str">
        <f>IF(K37="","",IF(G37="Sim","Conferido",IF(K37&gt;Config!$B$8,"A cair","A conferir")))</f>
        <v>Conferido</v>
      </c>
      <c r="O37" s="50">
        <f>IF(N37="A conferir",(Config!$B$8-K37)*1000+N(F37)/1000+ROW()/100000,0)</f>
        <v>0</v>
      </c>
    </row>
    <row r="38">
      <c r="A38" s="48" t="n">
        <v>46217</v>
      </c>
      <c r="B38" s="40" t="inlineStr">
        <is>
          <t>Regina Teixeira</t>
        </is>
      </c>
      <c r="C38" s="40" t="inlineStr">
        <is>
          <t>Consulta</t>
        </is>
      </c>
      <c r="D38" s="41" t="inlineStr">
        <is>
          <t>Pix</t>
        </is>
      </c>
      <c r="E38" s="41" t="n"/>
      <c r="F38" s="49" t="n">
        <v>380</v>
      </c>
      <c r="G38" s="41" t="inlineStr">
        <is>
          <t>Sim</t>
        </is>
      </c>
      <c r="H38" s="30">
        <f>IF(D38="","",IFERROR(INDEX(Config!$B$12:$B$15,MATCH(IF(AND(D38="Cartão de crédito",N(E38)&gt;1),"Cartão de crédito parcelado",D38),Config!$A$12:$A$15,0)),0)+IF(AND(Config!$B$17="Sim",LEFT(D38,17)="Cartão de crédito"),Config!$B$18*IFERROR(INDEX(Config!$C$12:$C$15,MATCH(IF(AND(D38="Cartão de crédito",N(E38)&gt;1),"Cartão de crédito parcelado",D38),Config!$A$12:$A$15,0)),0)/30*MAX(1,N(E38)),0))</f>
        <v>0</v>
      </c>
      <c r="I38" s="29">
        <f>IF(OR(D38="",F38=""),"",ROUND(F38*H38,2))</f>
        <v>0</v>
      </c>
      <c r="J38" s="29">
        <f>IF(I38="","",F38-I38)</f>
        <v>380</v>
      </c>
      <c r="K38" s="37">
        <f>IF(OR(D38="",A38=""),"",A38+IF(AND(Config!$B$17="Sim",LEFT(D38,17)="Cartão de crédito"),1,IFERROR(INDEX(Config!$C$12:$C$15,MATCH(IF(AND(D38="Cartão de crédito",N(E38)&gt;1),"Cartão de crédito parcelado",D38),Config!$A$12:$A$15,0)),0)))</f>
        <v>46217.0</v>
      </c>
      <c r="L38" s="27">
        <f>IF(A38="","",MONTH(A38))</f>
        <v>7</v>
      </c>
      <c r="M38" s="27">
        <f>IF(A38="","",YEAR(A38))</f>
        <v>2026</v>
      </c>
      <c r="N38" s="27" t="str">
        <f>IF(K38="","",IF(G38="Sim","Conferido",IF(K38&gt;Config!$B$8,"A cair","A conferir")))</f>
        <v>Conferido</v>
      </c>
      <c r="O38" s="50">
        <f>IF(N38="A conferir",(Config!$B$8-K38)*1000+N(F38)/1000+ROW()/100000,0)</f>
        <v>0</v>
      </c>
    </row>
    <row r="39">
      <c r="A39" s="48" t="n">
        <v>46217</v>
      </c>
      <c r="B39" s="40" t="inlineStr">
        <is>
          <t>Priscila Reis</t>
        </is>
      </c>
      <c r="C39" s="40" t="inlineStr">
        <is>
          <t>Avaliação endócrina</t>
        </is>
      </c>
      <c r="D39" s="41" t="inlineStr">
        <is>
          <t>Pix</t>
        </is>
      </c>
      <c r="E39" s="41" t="n"/>
      <c r="F39" s="49" t="n">
        <v>400</v>
      </c>
      <c r="G39" s="41" t="inlineStr">
        <is>
          <t>Sim</t>
        </is>
      </c>
      <c r="H39" s="30">
        <f>IF(D39="","",IFERROR(INDEX(Config!$B$12:$B$15,MATCH(IF(AND(D39="Cartão de crédito",N(E39)&gt;1),"Cartão de crédito parcelado",D39),Config!$A$12:$A$15,0)),0)+IF(AND(Config!$B$17="Sim",LEFT(D39,17)="Cartão de crédito"),Config!$B$18*IFERROR(INDEX(Config!$C$12:$C$15,MATCH(IF(AND(D39="Cartão de crédito",N(E39)&gt;1),"Cartão de crédito parcelado",D39),Config!$A$12:$A$15,0)),0)/30*MAX(1,N(E39)),0))</f>
        <v>0</v>
      </c>
      <c r="I39" s="29">
        <f>IF(OR(D39="",F39=""),"",ROUND(F39*H39,2))</f>
        <v>0</v>
      </c>
      <c r="J39" s="29">
        <f>IF(I39="","",F39-I39)</f>
        <v>400</v>
      </c>
      <c r="K39" s="37">
        <f>IF(OR(D39="",A39=""),"",A39+IF(AND(Config!$B$17="Sim",LEFT(D39,17)="Cartão de crédito"),1,IFERROR(INDEX(Config!$C$12:$C$15,MATCH(IF(AND(D39="Cartão de crédito",N(E39)&gt;1),"Cartão de crédito parcelado",D39),Config!$A$12:$A$15,0)),0)))</f>
        <v>46217.0</v>
      </c>
      <c r="L39" s="27">
        <f>IF(A39="","",MONTH(A39))</f>
        <v>7</v>
      </c>
      <c r="M39" s="27">
        <f>IF(A39="","",YEAR(A39))</f>
        <v>2026</v>
      </c>
      <c r="N39" s="27" t="str">
        <f>IF(K39="","",IF(G39="Sim","Conferido",IF(K39&gt;Config!$B$8,"A cair","A conferir")))</f>
        <v>Conferido</v>
      </c>
      <c r="O39" s="50">
        <f>IF(N39="A conferir",(Config!$B$8-K39)*1000+N(F39)/1000+ROW()/100000,0)</f>
        <v>0</v>
      </c>
    </row>
    <row r="40">
      <c r="A40" s="48" t="n">
        <v>46217</v>
      </c>
      <c r="B40" s="40" t="inlineStr">
        <is>
          <t>Cláudia Melo</t>
        </is>
      </c>
      <c r="C40" s="40" t="inlineStr">
        <is>
          <t>Avaliação endócrina</t>
        </is>
      </c>
      <c r="D40" s="41" t="inlineStr">
        <is>
          <t>Cartão de crédito</t>
        </is>
      </c>
      <c r="E40" s="41" t="n"/>
      <c r="F40" s="49" t="n">
        <v>400</v>
      </c>
      <c r="G40" s="41" t="inlineStr">
        <is>
          <t>Sim</t>
        </is>
      </c>
      <c r="H40" s="30">
        <f>IF(D40="","",IFERROR(INDEX(Config!$B$12:$B$15,MATCH(IF(AND(D40="Cartão de crédito",N(E40)&gt;1),"Cartão de crédito parcelado",D40),Config!$A$12:$A$15,0)),0)+IF(AND(Config!$B$17="Sim",LEFT(D40,17)="Cartão de crédito"),Config!$B$18*IFERROR(INDEX(Config!$C$12:$C$15,MATCH(IF(AND(D40="Cartão de crédito",N(E40)&gt;1),"Cartão de crédito parcelado",D40),Config!$A$12:$A$15,0)),0)/30*MAX(1,N(E40)),0))</f>
        <v>0.032</v>
      </c>
      <c r="I40" s="29">
        <f>IF(OR(D40="",F40=""),"",ROUND(F40*H40,2))</f>
        <v>12.8</v>
      </c>
      <c r="J40" s="29">
        <f>IF(I40="","",F40-I40)</f>
        <v>387.2</v>
      </c>
      <c r="K40" s="37">
        <f>IF(OR(D40="",A40=""),"",A40+IF(AND(Config!$B$17="Sim",LEFT(D40,17)="Cartão de crédito"),1,IFERROR(INDEX(Config!$C$12:$C$15,MATCH(IF(AND(D40="Cartão de crédito",N(E40)&gt;1),"Cartão de crédito parcelado",D40),Config!$A$12:$A$15,0)),0)))</f>
        <v>46247.0</v>
      </c>
      <c r="L40" s="27">
        <f>IF(A40="","",MONTH(A40))</f>
        <v>7</v>
      </c>
      <c r="M40" s="27">
        <f>IF(A40="","",YEAR(A40))</f>
        <v>2026</v>
      </c>
      <c r="N40" s="27" t="str">
        <f>IF(K40="","",IF(G40="Sim","Conferido",IF(K40&gt;Config!$B$8,"A cair","A conferir")))</f>
        <v>Conferido</v>
      </c>
      <c r="O40" s="50">
        <f>IF(N40="A conferir",(Config!$B$8-K40)*1000+N(F40)/1000+ROW()/100000,0)</f>
        <v>0</v>
      </c>
    </row>
    <row r="41">
      <c r="A41" s="48" t="n">
        <v>46217</v>
      </c>
      <c r="B41" s="40" t="inlineStr">
        <is>
          <t>Rafael Dias</t>
        </is>
      </c>
      <c r="C41" s="40" t="inlineStr">
        <is>
          <t>ECG</t>
        </is>
      </c>
      <c r="D41" s="41" t="inlineStr">
        <is>
          <t>Cartão de crédito</t>
        </is>
      </c>
      <c r="E41" s="41" t="n"/>
      <c r="F41" s="49" t="n">
        <v>130</v>
      </c>
      <c r="G41" s="41" t="inlineStr">
        <is>
          <t>Sim</t>
        </is>
      </c>
      <c r="H41" s="30">
        <f>IF(D41="","",IFERROR(INDEX(Config!$B$12:$B$15,MATCH(IF(AND(D41="Cartão de crédito",N(E41)&gt;1),"Cartão de crédito parcelado",D41),Config!$A$12:$A$15,0)),0)+IF(AND(Config!$B$17="Sim",LEFT(D41,17)="Cartão de crédito"),Config!$B$18*IFERROR(INDEX(Config!$C$12:$C$15,MATCH(IF(AND(D41="Cartão de crédito",N(E41)&gt;1),"Cartão de crédito parcelado",D41),Config!$A$12:$A$15,0)),0)/30*MAX(1,N(E41)),0))</f>
        <v>0.032</v>
      </c>
      <c r="I41" s="29">
        <f>IF(OR(D41="",F41=""),"",ROUND(F41*H41,2))</f>
        <v>4.16</v>
      </c>
      <c r="J41" s="29">
        <f>IF(I41="","",F41-I41)</f>
        <v>125.84</v>
      </c>
      <c r="K41" s="37">
        <f>IF(OR(D41="",A41=""),"",A41+IF(AND(Config!$B$17="Sim",LEFT(D41,17)="Cartão de crédito"),1,IFERROR(INDEX(Config!$C$12:$C$15,MATCH(IF(AND(D41="Cartão de crédito",N(E41)&gt;1),"Cartão de crédito parcelado",D41),Config!$A$12:$A$15,0)),0)))</f>
        <v>46247.0</v>
      </c>
      <c r="L41" s="27">
        <f>IF(A41="","",MONTH(A41))</f>
        <v>7</v>
      </c>
      <c r="M41" s="27">
        <f>IF(A41="","",YEAR(A41))</f>
        <v>2026</v>
      </c>
      <c r="N41" s="27" t="str">
        <f>IF(K41="","",IF(G41="Sim","Conferido",IF(K41&gt;Config!$B$8,"A cair","A conferir")))</f>
        <v>Conferido</v>
      </c>
      <c r="O41" s="50">
        <f>IF(N41="A conferir",(Config!$B$8-K41)*1000+N(F41)/1000+ROW()/100000,0)</f>
        <v>0</v>
      </c>
    </row>
    <row r="42">
      <c r="A42" s="48" t="n">
        <v>46217</v>
      </c>
      <c r="B42" s="40" t="inlineStr">
        <is>
          <t>Mônica Martins</t>
        </is>
      </c>
      <c r="C42" s="40" t="inlineStr">
        <is>
          <t>ECG</t>
        </is>
      </c>
      <c r="D42" s="41" t="inlineStr">
        <is>
          <t>Pix</t>
        </is>
      </c>
      <c r="E42" s="41" t="n"/>
      <c r="F42" s="49" t="n">
        <v>130</v>
      </c>
      <c r="G42" s="41" t="inlineStr">
        <is>
          <t>Sim</t>
        </is>
      </c>
      <c r="H42" s="30">
        <f>IF(D42="","",IFERROR(INDEX(Config!$B$12:$B$15,MATCH(IF(AND(D42="Cartão de crédito",N(E42)&gt;1),"Cartão de crédito parcelado",D42),Config!$A$12:$A$15,0)),0)+IF(AND(Config!$B$17="Sim",LEFT(D42,17)="Cartão de crédito"),Config!$B$18*IFERROR(INDEX(Config!$C$12:$C$15,MATCH(IF(AND(D42="Cartão de crédito",N(E42)&gt;1),"Cartão de crédito parcelado",D42),Config!$A$12:$A$15,0)),0)/30*MAX(1,N(E42)),0))</f>
        <v>0</v>
      </c>
      <c r="I42" s="29">
        <f>IF(OR(D42="",F42=""),"",ROUND(F42*H42,2))</f>
        <v>0</v>
      </c>
      <c r="J42" s="29">
        <f>IF(I42="","",F42-I42)</f>
        <v>130</v>
      </c>
      <c r="K42" s="37">
        <f>IF(OR(D42="",A42=""),"",A42+IF(AND(Config!$B$17="Sim",LEFT(D42,17)="Cartão de crédito"),1,IFERROR(INDEX(Config!$C$12:$C$15,MATCH(IF(AND(D42="Cartão de crédito",N(E42)&gt;1),"Cartão de crédito parcelado",D42),Config!$A$12:$A$15,0)),0)))</f>
        <v>46217.0</v>
      </c>
      <c r="L42" s="27">
        <f>IF(A42="","",MONTH(A42))</f>
        <v>7</v>
      </c>
      <c r="M42" s="27">
        <f>IF(A42="","",YEAR(A42))</f>
        <v>2026</v>
      </c>
      <c r="N42" s="27" t="str">
        <f>IF(K42="","",IF(G42="Sim","Conferido",IF(K42&gt;Config!$B$8,"A cair","A conferir")))</f>
        <v>Conferido</v>
      </c>
      <c r="O42" s="50">
        <f>IF(N42="A conferir",(Config!$B$8-K42)*1000+N(F42)/1000+ROW()/100000,0)</f>
        <v>0</v>
      </c>
    </row>
    <row r="43">
      <c r="A43" s="48" t="n">
        <v>46217</v>
      </c>
      <c r="B43" s="40" t="inlineStr">
        <is>
          <t>Marcelo Ferreira</t>
        </is>
      </c>
      <c r="C43" s="40" t="inlineStr">
        <is>
          <t>Consulta</t>
        </is>
      </c>
      <c r="D43" s="41" t="inlineStr">
        <is>
          <t>Cartão de crédito</t>
        </is>
      </c>
      <c r="E43" s="41" t="n">
        <v>2</v>
      </c>
      <c r="F43" s="49" t="n">
        <v>380</v>
      </c>
      <c r="G43" s="41" t="inlineStr">
        <is>
          <t>Sim</t>
        </is>
      </c>
      <c r="H43" s="30">
        <f>IF(D43="","",IFERROR(INDEX(Config!$B$12:$B$15,MATCH(IF(AND(D43="Cartão de crédito",N(E43)&gt;1),"Cartão de crédito parcelado",D43),Config!$A$12:$A$15,0)),0)+IF(AND(Config!$B$17="Sim",LEFT(D43,17)="Cartão de crédito"),Config!$B$18*IFERROR(INDEX(Config!$C$12:$C$15,MATCH(IF(AND(D43="Cartão de crédito",N(E43)&gt;1),"Cartão de crédito parcelado",D43),Config!$A$12:$A$15,0)),0)/30*MAX(1,N(E43)),0))</f>
        <v>0.039</v>
      </c>
      <c r="I43" s="29">
        <f>IF(OR(D43="",F43=""),"",ROUND(F43*H43,2))</f>
        <v>14.82</v>
      </c>
      <c r="J43" s="29">
        <f>IF(I43="","",F43-I43)</f>
        <v>365.18</v>
      </c>
      <c r="K43" s="37">
        <f>IF(OR(D43="",A43=""),"",A43+IF(AND(Config!$B$17="Sim",LEFT(D43,17)="Cartão de crédito"),1,IFERROR(INDEX(Config!$C$12:$C$15,MATCH(IF(AND(D43="Cartão de crédito",N(E43)&gt;1),"Cartão de crédito parcelado",D43),Config!$A$12:$A$15,0)),0)))</f>
        <v>46247.0</v>
      </c>
      <c r="L43" s="27">
        <f>IF(A43="","",MONTH(A43))</f>
        <v>7</v>
      </c>
      <c r="M43" s="27">
        <f>IF(A43="","",YEAR(A43))</f>
        <v>2026</v>
      </c>
      <c r="N43" s="27" t="str">
        <f>IF(K43="","",IF(G43="Sim","Conferido",IF(K43&gt;Config!$B$8,"A cair","A conferir")))</f>
        <v>Conferido</v>
      </c>
      <c r="O43" s="50">
        <f>IF(N43="A conferir",(Config!$B$8-K43)*1000+N(F43)/1000+ROW()/100000,0)</f>
        <v>0</v>
      </c>
    </row>
    <row r="44">
      <c r="A44" s="48" t="n">
        <v>46217</v>
      </c>
      <c r="B44" s="40" t="inlineStr">
        <is>
          <t>Roberta Lima</t>
        </is>
      </c>
      <c r="C44" s="40" t="inlineStr">
        <is>
          <t>Avaliação endócrina</t>
        </is>
      </c>
      <c r="D44" s="41" t="inlineStr">
        <is>
          <t>Cartão de crédito</t>
        </is>
      </c>
      <c r="E44" s="41" t="n"/>
      <c r="F44" s="49" t="n">
        <v>400</v>
      </c>
      <c r="G44" s="41" t="inlineStr">
        <is>
          <t>Sim</t>
        </is>
      </c>
      <c r="H44" s="30">
        <f>IF(D44="","",IFERROR(INDEX(Config!$B$12:$B$15,MATCH(IF(AND(D44="Cartão de crédito",N(E44)&gt;1),"Cartão de crédito parcelado",D44),Config!$A$12:$A$15,0)),0)+IF(AND(Config!$B$17="Sim",LEFT(D44,17)="Cartão de crédito"),Config!$B$18*IFERROR(INDEX(Config!$C$12:$C$15,MATCH(IF(AND(D44="Cartão de crédito",N(E44)&gt;1),"Cartão de crédito parcelado",D44),Config!$A$12:$A$15,0)),0)/30*MAX(1,N(E44)),0))</f>
        <v>0.032</v>
      </c>
      <c r="I44" s="29">
        <f>IF(OR(D44="",F44=""),"",ROUND(F44*H44,2))</f>
        <v>12.8</v>
      </c>
      <c r="J44" s="29">
        <f>IF(I44="","",F44-I44)</f>
        <v>387.2</v>
      </c>
      <c r="K44" s="37">
        <f>IF(OR(D44="",A44=""),"",A44+IF(AND(Config!$B$17="Sim",LEFT(D44,17)="Cartão de crédito"),1,IFERROR(INDEX(Config!$C$12:$C$15,MATCH(IF(AND(D44="Cartão de crédito",N(E44)&gt;1),"Cartão de crédito parcelado",D44),Config!$A$12:$A$15,0)),0)))</f>
        <v>46247.0</v>
      </c>
      <c r="L44" s="27">
        <f>IF(A44="","",MONTH(A44))</f>
        <v>7</v>
      </c>
      <c r="M44" s="27">
        <f>IF(A44="","",YEAR(A44))</f>
        <v>2026</v>
      </c>
      <c r="N44" s="27" t="str">
        <f>IF(K44="","",IF(G44="Sim","Conferido",IF(K44&gt;Config!$B$8,"A cair","A conferir")))</f>
        <v>Conferido</v>
      </c>
      <c r="O44" s="50">
        <f>IF(N44="A conferir",(Config!$B$8-K44)*1000+N(F44)/1000+ROW()/100000,0)</f>
        <v>0</v>
      </c>
    </row>
    <row r="45">
      <c r="A45" s="48" t="n">
        <v>46217</v>
      </c>
      <c r="B45" s="40" t="inlineStr">
        <is>
          <t>Thiago Melo</t>
        </is>
      </c>
      <c r="C45" s="40" t="inlineStr">
        <is>
          <t>Avaliação endócrina</t>
        </is>
      </c>
      <c r="D45" s="41" t="inlineStr">
        <is>
          <t>Cartão de crédito</t>
        </is>
      </c>
      <c r="E45" s="41" t="n">
        <v>2</v>
      </c>
      <c r="F45" s="49" t="n">
        <v>400</v>
      </c>
      <c r="G45" s="41" t="inlineStr">
        <is>
          <t>Sim</t>
        </is>
      </c>
      <c r="H45" s="30">
        <f>IF(D45="","",IFERROR(INDEX(Config!$B$12:$B$15,MATCH(IF(AND(D45="Cartão de crédito",N(E45)&gt;1),"Cartão de crédito parcelado",D45),Config!$A$12:$A$15,0)),0)+IF(AND(Config!$B$17="Sim",LEFT(D45,17)="Cartão de crédito"),Config!$B$18*IFERROR(INDEX(Config!$C$12:$C$15,MATCH(IF(AND(D45="Cartão de crédito",N(E45)&gt;1),"Cartão de crédito parcelado",D45),Config!$A$12:$A$15,0)),0)/30*MAX(1,N(E45)),0))</f>
        <v>0.039</v>
      </c>
      <c r="I45" s="29">
        <f>IF(OR(D45="",F45=""),"",ROUND(F45*H45,2))</f>
        <v>15.6</v>
      </c>
      <c r="J45" s="29">
        <f>IF(I45="","",F45-I45)</f>
        <v>384.4</v>
      </c>
      <c r="K45" s="37">
        <f>IF(OR(D45="",A45=""),"",A45+IF(AND(Config!$B$17="Sim",LEFT(D45,17)="Cartão de crédito"),1,IFERROR(INDEX(Config!$C$12:$C$15,MATCH(IF(AND(D45="Cartão de crédito",N(E45)&gt;1),"Cartão de crédito parcelado",D45),Config!$A$12:$A$15,0)),0)))</f>
        <v>46247.0</v>
      </c>
      <c r="L45" s="27">
        <f>IF(A45="","",MONTH(A45))</f>
        <v>7</v>
      </c>
      <c r="M45" s="27">
        <f>IF(A45="","",YEAR(A45))</f>
        <v>2026</v>
      </c>
      <c r="N45" s="27" t="str">
        <f>IF(K45="","",IF(G45="Sim","Conferido",IF(K45&gt;Config!$B$8,"A cair","A conferir")))</f>
        <v>Conferido</v>
      </c>
      <c r="O45" s="50">
        <f>IF(N45="A conferir",(Config!$B$8-K45)*1000+N(F45)/1000+ROW()/100000,0)</f>
        <v>0</v>
      </c>
    </row>
    <row r="46">
      <c r="A46" s="48" t="n">
        <v>46217</v>
      </c>
      <c r="B46" s="40" t="inlineStr">
        <is>
          <t>Rafael Barros</t>
        </is>
      </c>
      <c r="C46" s="40" t="inlineStr">
        <is>
          <t>Consulta</t>
        </is>
      </c>
      <c r="D46" s="41" t="inlineStr">
        <is>
          <t>Pix</t>
        </is>
      </c>
      <c r="E46" s="41" t="n"/>
      <c r="F46" s="49" t="n">
        <v>380</v>
      </c>
      <c r="G46" s="41" t="inlineStr">
        <is>
          <t>Sim</t>
        </is>
      </c>
      <c r="H46" s="30">
        <f>IF(D46="","",IFERROR(INDEX(Config!$B$12:$B$15,MATCH(IF(AND(D46="Cartão de crédito",N(E46)&gt;1),"Cartão de crédito parcelado",D46),Config!$A$12:$A$15,0)),0)+IF(AND(Config!$B$17="Sim",LEFT(D46,17)="Cartão de crédito"),Config!$B$18*IFERROR(INDEX(Config!$C$12:$C$15,MATCH(IF(AND(D46="Cartão de crédito",N(E46)&gt;1),"Cartão de crédito parcelado",D46),Config!$A$12:$A$15,0)),0)/30*MAX(1,N(E46)),0))</f>
        <v>0</v>
      </c>
      <c r="I46" s="29">
        <f>IF(OR(D46="",F46=""),"",ROUND(F46*H46,2))</f>
        <v>0</v>
      </c>
      <c r="J46" s="29">
        <f>IF(I46="","",F46-I46)</f>
        <v>380</v>
      </c>
      <c r="K46" s="37">
        <f>IF(OR(D46="",A46=""),"",A46+IF(AND(Config!$B$17="Sim",LEFT(D46,17)="Cartão de crédito"),1,IFERROR(INDEX(Config!$C$12:$C$15,MATCH(IF(AND(D46="Cartão de crédito",N(E46)&gt;1),"Cartão de crédito parcelado",D46),Config!$A$12:$A$15,0)),0)))</f>
        <v>46217.0</v>
      </c>
      <c r="L46" s="27">
        <f>IF(A46="","",MONTH(A46))</f>
        <v>7</v>
      </c>
      <c r="M46" s="27">
        <f>IF(A46="","",YEAR(A46))</f>
        <v>2026</v>
      </c>
      <c r="N46" s="27" t="str">
        <f>IF(K46="","",IF(G46="Sim","Conferido",IF(K46&gt;Config!$B$8,"A cair","A conferir")))</f>
        <v>Conferido</v>
      </c>
      <c r="O46" s="50">
        <f>IF(N46="A conferir",(Config!$B$8-K46)*1000+N(F46)/1000+ROW()/100000,0)</f>
        <v>0</v>
      </c>
    </row>
    <row r="47">
      <c r="A47" s="48" t="n">
        <v>46217</v>
      </c>
      <c r="B47" s="40" t="inlineStr">
        <is>
          <t>Mariana Reis</t>
        </is>
      </c>
      <c r="C47" s="40" t="inlineStr">
        <is>
          <t>Avaliação endócrina</t>
        </is>
      </c>
      <c r="D47" s="41" t="inlineStr">
        <is>
          <t>Cartão de crédito</t>
        </is>
      </c>
      <c r="E47" s="41" t="n">
        <v>2</v>
      </c>
      <c r="F47" s="49" t="n">
        <v>400</v>
      </c>
      <c r="G47" s="41" t="inlineStr">
        <is>
          <t>Sim</t>
        </is>
      </c>
      <c r="H47" s="30">
        <f>IF(D47="","",IFERROR(INDEX(Config!$B$12:$B$15,MATCH(IF(AND(D47="Cartão de crédito",N(E47)&gt;1),"Cartão de crédito parcelado",D47),Config!$A$12:$A$15,0)),0)+IF(AND(Config!$B$17="Sim",LEFT(D47,17)="Cartão de crédito"),Config!$B$18*IFERROR(INDEX(Config!$C$12:$C$15,MATCH(IF(AND(D47="Cartão de crédito",N(E47)&gt;1),"Cartão de crédito parcelado",D47),Config!$A$12:$A$15,0)),0)/30*MAX(1,N(E47)),0))</f>
        <v>0.039</v>
      </c>
      <c r="I47" s="29">
        <f>IF(OR(D47="",F47=""),"",ROUND(F47*H47,2))</f>
        <v>15.6</v>
      </c>
      <c r="J47" s="29">
        <f>IF(I47="","",F47-I47)</f>
        <v>384.4</v>
      </c>
      <c r="K47" s="37">
        <f>IF(OR(D47="",A47=""),"",A47+IF(AND(Config!$B$17="Sim",LEFT(D47,17)="Cartão de crédito"),1,IFERROR(INDEX(Config!$C$12:$C$15,MATCH(IF(AND(D47="Cartão de crédito",N(E47)&gt;1),"Cartão de crédito parcelado",D47),Config!$A$12:$A$15,0)),0)))</f>
        <v>46247.0</v>
      </c>
      <c r="L47" s="27">
        <f>IF(A47="","",MONTH(A47))</f>
        <v>7</v>
      </c>
      <c r="M47" s="27">
        <f>IF(A47="","",YEAR(A47))</f>
        <v>2026</v>
      </c>
      <c r="N47" s="27" t="str">
        <f>IF(K47="","",IF(G47="Sim","Conferido",IF(K47&gt;Config!$B$8,"A cair","A conferir")))</f>
        <v>Conferido</v>
      </c>
      <c r="O47" s="50">
        <f>IF(N47="A conferir",(Config!$B$8-K47)*1000+N(F47)/1000+ROW()/100000,0)</f>
        <v>0</v>
      </c>
    </row>
    <row r="48">
      <c r="A48" s="48" t="n">
        <v>46217</v>
      </c>
      <c r="B48" s="40" t="inlineStr">
        <is>
          <t>Helena Moreira</t>
        </is>
      </c>
      <c r="C48" s="40" t="inlineStr">
        <is>
          <t>MAPA</t>
        </is>
      </c>
      <c r="D48" s="41" t="inlineStr">
        <is>
          <t>Cartão de crédito</t>
        </is>
      </c>
      <c r="E48" s="41" t="n">
        <v>2</v>
      </c>
      <c r="F48" s="49" t="n">
        <v>300</v>
      </c>
      <c r="G48" s="41" t="inlineStr">
        <is>
          <t>Sim</t>
        </is>
      </c>
      <c r="H48" s="30">
        <f>IF(D48="","",IFERROR(INDEX(Config!$B$12:$B$15,MATCH(IF(AND(D48="Cartão de crédito",N(E48)&gt;1),"Cartão de crédito parcelado",D48),Config!$A$12:$A$15,0)),0)+IF(AND(Config!$B$17="Sim",LEFT(D48,17)="Cartão de crédito"),Config!$B$18*IFERROR(INDEX(Config!$C$12:$C$15,MATCH(IF(AND(D48="Cartão de crédito",N(E48)&gt;1),"Cartão de crédito parcelado",D48),Config!$A$12:$A$15,0)),0)/30*MAX(1,N(E48)),0))</f>
        <v>0.039</v>
      </c>
      <c r="I48" s="29">
        <f>IF(OR(D48="",F48=""),"",ROUND(F48*H48,2))</f>
        <v>11.7</v>
      </c>
      <c r="J48" s="29">
        <f>IF(I48="","",F48-I48)</f>
        <v>288.3</v>
      </c>
      <c r="K48" s="37">
        <f>IF(OR(D48="",A48=""),"",A48+IF(AND(Config!$B$17="Sim",LEFT(D48,17)="Cartão de crédito"),1,IFERROR(INDEX(Config!$C$12:$C$15,MATCH(IF(AND(D48="Cartão de crédito",N(E48)&gt;1),"Cartão de crédito parcelado",D48),Config!$A$12:$A$15,0)),0)))</f>
        <v>46247.0</v>
      </c>
      <c r="L48" s="27">
        <f>IF(A48="","",MONTH(A48))</f>
        <v>7</v>
      </c>
      <c r="M48" s="27">
        <f>IF(A48="","",YEAR(A48))</f>
        <v>2026</v>
      </c>
      <c r="N48" s="27" t="str">
        <f>IF(K48="","",IF(G48="Sim","Conferido",IF(K48&gt;Config!$B$8,"A cair","A conferir")))</f>
        <v>Conferido</v>
      </c>
      <c r="O48" s="50">
        <f>IF(N48="A conferir",(Config!$B$8-K48)*1000+N(F48)/1000+ROW()/100000,0)</f>
        <v>0</v>
      </c>
    </row>
    <row r="49">
      <c r="A49" s="48" t="n">
        <v>46218</v>
      </c>
      <c r="B49" s="40" t="inlineStr">
        <is>
          <t>Marcelo Santos</t>
        </is>
      </c>
      <c r="C49" s="40" t="inlineStr">
        <is>
          <t>Consulta</t>
        </is>
      </c>
      <c r="D49" s="41" t="inlineStr">
        <is>
          <t>Cartão de crédito</t>
        </is>
      </c>
      <c r="E49" s="41" t="n"/>
      <c r="F49" s="49" t="n">
        <v>380</v>
      </c>
      <c r="G49" s="41" t="inlineStr">
        <is>
          <t>Sim</t>
        </is>
      </c>
      <c r="H49" s="30">
        <f>IF(D49="","",IFERROR(INDEX(Config!$B$12:$B$15,MATCH(IF(AND(D49="Cartão de crédito",N(E49)&gt;1),"Cartão de crédito parcelado",D49),Config!$A$12:$A$15,0)),0)+IF(AND(Config!$B$17="Sim",LEFT(D49,17)="Cartão de crédito"),Config!$B$18*IFERROR(INDEX(Config!$C$12:$C$15,MATCH(IF(AND(D49="Cartão de crédito",N(E49)&gt;1),"Cartão de crédito parcelado",D49),Config!$A$12:$A$15,0)),0)/30*MAX(1,N(E49)),0))</f>
        <v>0.032</v>
      </c>
      <c r="I49" s="29">
        <f>IF(OR(D49="",F49=""),"",ROUND(F49*H49,2))</f>
        <v>12.16</v>
      </c>
      <c r="J49" s="29">
        <f>IF(I49="","",F49-I49)</f>
        <v>367.84</v>
      </c>
      <c r="K49" s="37">
        <f>IF(OR(D49="",A49=""),"",A49+IF(AND(Config!$B$17="Sim",LEFT(D49,17)="Cartão de crédito"),1,IFERROR(INDEX(Config!$C$12:$C$15,MATCH(IF(AND(D49="Cartão de crédito",N(E49)&gt;1),"Cartão de crédito parcelado",D49),Config!$A$12:$A$15,0)),0)))</f>
        <v>46248.0</v>
      </c>
      <c r="L49" s="27">
        <f>IF(A49="","",MONTH(A49))</f>
        <v>7</v>
      </c>
      <c r="M49" s="27">
        <f>IF(A49="","",YEAR(A49))</f>
        <v>2026</v>
      </c>
      <c r="N49" s="27" t="str">
        <f>IF(K49="","",IF(G49="Sim","Conferido",IF(K49&gt;Config!$B$8,"A cair","A conferir")))</f>
        <v>Conferido</v>
      </c>
      <c r="O49" s="50">
        <f>IF(N49="A conferir",(Config!$B$8-K49)*1000+N(F49)/1000+ROW()/100000,0)</f>
        <v>0</v>
      </c>
    </row>
    <row r="50">
      <c r="A50" s="48" t="n">
        <v>46218</v>
      </c>
      <c r="B50" s="40" t="inlineStr">
        <is>
          <t>Gustavo Ferreira</t>
        </is>
      </c>
      <c r="C50" s="40" t="inlineStr">
        <is>
          <t>Consulta</t>
        </is>
      </c>
      <c r="D50" s="41" t="inlineStr">
        <is>
          <t>Cartão de débito</t>
        </is>
      </c>
      <c r="E50" s="41" t="n"/>
      <c r="F50" s="49" t="n">
        <v>380</v>
      </c>
      <c r="G50" s="41" t="inlineStr">
        <is>
          <t>Sim</t>
        </is>
      </c>
      <c r="H50" s="30">
        <f>IF(D50="","",IFERROR(INDEX(Config!$B$12:$B$15,MATCH(IF(AND(D50="Cartão de crédito",N(E50)&gt;1),"Cartão de crédito parcelado",D50),Config!$A$12:$A$15,0)),0)+IF(AND(Config!$B$17="Sim",LEFT(D50,17)="Cartão de crédito"),Config!$B$18*IFERROR(INDEX(Config!$C$12:$C$15,MATCH(IF(AND(D50="Cartão de crédito",N(E50)&gt;1),"Cartão de crédito parcelado",D50),Config!$A$12:$A$15,0)),0)/30*MAX(1,N(E50)),0))</f>
        <v>0.015</v>
      </c>
      <c r="I50" s="29">
        <f>IF(OR(D50="",F50=""),"",ROUND(F50*H50,2))</f>
        <v>5.7</v>
      </c>
      <c r="J50" s="29">
        <f>IF(I50="","",F50-I50)</f>
        <v>374.3</v>
      </c>
      <c r="K50" s="37">
        <f>IF(OR(D50="",A50=""),"",A50+IF(AND(Config!$B$17="Sim",LEFT(D50,17)="Cartão de crédito"),1,IFERROR(INDEX(Config!$C$12:$C$15,MATCH(IF(AND(D50="Cartão de crédito",N(E50)&gt;1),"Cartão de crédito parcelado",D50),Config!$A$12:$A$15,0)),0)))</f>
        <v>46219.0</v>
      </c>
      <c r="L50" s="27">
        <f>IF(A50="","",MONTH(A50))</f>
        <v>7</v>
      </c>
      <c r="M50" s="27">
        <f>IF(A50="","",YEAR(A50))</f>
        <v>2026</v>
      </c>
      <c r="N50" s="27" t="str">
        <f>IF(K50="","",IF(G50="Sim","Conferido",IF(K50&gt;Config!$B$8,"A cair","A conferir")))</f>
        <v>Conferido</v>
      </c>
      <c r="O50" s="50">
        <f>IF(N50="A conferir",(Config!$B$8-K50)*1000+N(F50)/1000+ROW()/100000,0)</f>
        <v>0</v>
      </c>
    </row>
    <row r="51">
      <c r="A51" s="48" t="n">
        <v>46219</v>
      </c>
      <c r="B51" s="40" t="inlineStr">
        <is>
          <t>Otávio Cardoso</t>
        </is>
      </c>
      <c r="C51" s="40" t="inlineStr">
        <is>
          <t>Consulta</t>
        </is>
      </c>
      <c r="D51" s="41" t="inlineStr">
        <is>
          <t>Cartão de crédito</t>
        </is>
      </c>
      <c r="E51" s="41" t="n"/>
      <c r="F51" s="49" t="n">
        <v>380</v>
      </c>
      <c r="G51" s="41" t="inlineStr">
        <is>
          <t>Sim</t>
        </is>
      </c>
      <c r="H51" s="30">
        <f>IF(D51="","",IFERROR(INDEX(Config!$B$12:$B$15,MATCH(IF(AND(D51="Cartão de crédito",N(E51)&gt;1),"Cartão de crédito parcelado",D51),Config!$A$12:$A$15,0)),0)+IF(AND(Config!$B$17="Sim",LEFT(D51,17)="Cartão de crédito"),Config!$B$18*IFERROR(INDEX(Config!$C$12:$C$15,MATCH(IF(AND(D51="Cartão de crédito",N(E51)&gt;1),"Cartão de crédito parcelado",D51),Config!$A$12:$A$15,0)),0)/30*MAX(1,N(E51)),0))</f>
        <v>0.032</v>
      </c>
      <c r="I51" s="29">
        <f>IF(OR(D51="",F51=""),"",ROUND(F51*H51,2))</f>
        <v>12.16</v>
      </c>
      <c r="J51" s="29">
        <f>IF(I51="","",F51-I51)</f>
        <v>367.84</v>
      </c>
      <c r="K51" s="37">
        <f>IF(OR(D51="",A51=""),"",A51+IF(AND(Config!$B$17="Sim",LEFT(D51,17)="Cartão de crédito"),1,IFERROR(INDEX(Config!$C$12:$C$15,MATCH(IF(AND(D51="Cartão de crédito",N(E51)&gt;1),"Cartão de crédito parcelado",D51),Config!$A$12:$A$15,0)),0)))</f>
        <v>46249.0</v>
      </c>
      <c r="L51" s="27">
        <f>IF(A51="","",MONTH(A51))</f>
        <v>7</v>
      </c>
      <c r="M51" s="27">
        <f>IF(A51="","",YEAR(A51))</f>
        <v>2026</v>
      </c>
      <c r="N51" s="27" t="str">
        <f>IF(K51="","",IF(G51="Sim","Conferido",IF(K51&gt;Config!$B$8,"A cair","A conferir")))</f>
        <v>Conferido</v>
      </c>
      <c r="O51" s="50">
        <f>IF(N51="A conferir",(Config!$B$8-K51)*1000+N(F51)/1000+ROW()/100000,0)</f>
        <v>0</v>
      </c>
    </row>
    <row r="52">
      <c r="A52" s="48" t="n">
        <v>46219</v>
      </c>
      <c r="B52" s="40" t="inlineStr">
        <is>
          <t>Gisele Ribeiro</t>
        </is>
      </c>
      <c r="C52" s="40" t="inlineStr">
        <is>
          <t>Consulta</t>
        </is>
      </c>
      <c r="D52" s="41" t="inlineStr">
        <is>
          <t>Cartão de débito</t>
        </is>
      </c>
      <c r="E52" s="41" t="n"/>
      <c r="F52" s="49" t="n">
        <v>380</v>
      </c>
      <c r="G52" s="41" t="inlineStr">
        <is>
          <t>Sim</t>
        </is>
      </c>
      <c r="H52" s="30">
        <f>IF(D52="","",IFERROR(INDEX(Config!$B$12:$B$15,MATCH(IF(AND(D52="Cartão de crédito",N(E52)&gt;1),"Cartão de crédito parcelado",D52),Config!$A$12:$A$15,0)),0)+IF(AND(Config!$B$17="Sim",LEFT(D52,17)="Cartão de crédito"),Config!$B$18*IFERROR(INDEX(Config!$C$12:$C$15,MATCH(IF(AND(D52="Cartão de crédito",N(E52)&gt;1),"Cartão de crédito parcelado",D52),Config!$A$12:$A$15,0)),0)/30*MAX(1,N(E52)),0))</f>
        <v>0.015</v>
      </c>
      <c r="I52" s="29">
        <f>IF(OR(D52="",F52=""),"",ROUND(F52*H52,2))</f>
        <v>5.7</v>
      </c>
      <c r="J52" s="29">
        <f>IF(I52="","",F52-I52)</f>
        <v>374.3</v>
      </c>
      <c r="K52" s="37">
        <f>IF(OR(D52="",A52=""),"",A52+IF(AND(Config!$B$17="Sim",LEFT(D52,17)="Cartão de crédito"),1,IFERROR(INDEX(Config!$C$12:$C$15,MATCH(IF(AND(D52="Cartão de crédito",N(E52)&gt;1),"Cartão de crédito parcelado",D52),Config!$A$12:$A$15,0)),0)))</f>
        <v>46220.0</v>
      </c>
      <c r="L52" s="27">
        <f>IF(A52="","",MONTH(A52))</f>
        <v>7</v>
      </c>
      <c r="M52" s="27">
        <f>IF(A52="","",YEAR(A52))</f>
        <v>2026</v>
      </c>
      <c r="N52" s="27" t="str">
        <f>IF(K52="","",IF(G52="Sim","Conferido",IF(K52&gt;Config!$B$8,"A cair","A conferir")))</f>
        <v>Conferido</v>
      </c>
      <c r="O52" s="50">
        <f>IF(N52="A conferir",(Config!$B$8-K52)*1000+N(F52)/1000+ROW()/100000,0)</f>
        <v>0</v>
      </c>
    </row>
    <row r="53">
      <c r="A53" s="48" t="n">
        <v>46219</v>
      </c>
      <c r="B53" s="40" t="inlineStr">
        <is>
          <t>Wagner Santos</t>
        </is>
      </c>
      <c r="C53" s="40" t="inlineStr">
        <is>
          <t>Consulta</t>
        </is>
      </c>
      <c r="D53" s="41" t="inlineStr">
        <is>
          <t>Pix</t>
        </is>
      </c>
      <c r="E53" s="41" t="n"/>
      <c r="F53" s="49" t="n">
        <v>380</v>
      </c>
      <c r="G53" s="41" t="inlineStr">
        <is>
          <t>Sim</t>
        </is>
      </c>
      <c r="H53" s="30">
        <f>IF(D53="","",IFERROR(INDEX(Config!$B$12:$B$15,MATCH(IF(AND(D53="Cartão de crédito",N(E53)&gt;1),"Cartão de crédito parcelado",D53),Config!$A$12:$A$15,0)),0)+IF(AND(Config!$B$17="Sim",LEFT(D53,17)="Cartão de crédito"),Config!$B$18*IFERROR(INDEX(Config!$C$12:$C$15,MATCH(IF(AND(D53="Cartão de crédito",N(E53)&gt;1),"Cartão de crédito parcelado",D53),Config!$A$12:$A$15,0)),0)/30*MAX(1,N(E53)),0))</f>
        <v>0</v>
      </c>
      <c r="I53" s="29">
        <f>IF(OR(D53="",F53=""),"",ROUND(F53*H53,2))</f>
        <v>0</v>
      </c>
      <c r="J53" s="29">
        <f>IF(I53="","",F53-I53)</f>
        <v>380</v>
      </c>
      <c r="K53" s="37">
        <f>IF(OR(D53="",A53=""),"",A53+IF(AND(Config!$B$17="Sim",LEFT(D53,17)="Cartão de crédito"),1,IFERROR(INDEX(Config!$C$12:$C$15,MATCH(IF(AND(D53="Cartão de crédito",N(E53)&gt;1),"Cartão de crédito parcelado",D53),Config!$A$12:$A$15,0)),0)))</f>
        <v>46219.0</v>
      </c>
      <c r="L53" s="27">
        <f>IF(A53="","",MONTH(A53))</f>
        <v>7</v>
      </c>
      <c r="M53" s="27">
        <f>IF(A53="","",YEAR(A53))</f>
        <v>2026</v>
      </c>
      <c r="N53" s="27" t="str">
        <f>IF(K53="","",IF(G53="Sim","Conferido",IF(K53&gt;Config!$B$8,"A cair","A conferir")))</f>
        <v>Conferido</v>
      </c>
      <c r="O53" s="50">
        <f>IF(N53="A conferir",(Config!$B$8-K53)*1000+N(F53)/1000+ROW()/100000,0)</f>
        <v>0</v>
      </c>
    </row>
    <row r="54">
      <c r="A54" s="48" t="n">
        <v>46219</v>
      </c>
      <c r="B54" s="40" t="inlineStr">
        <is>
          <t>Elaine Cardoso</t>
        </is>
      </c>
      <c r="C54" s="40" t="inlineStr">
        <is>
          <t>Consulta</t>
        </is>
      </c>
      <c r="D54" s="41" t="inlineStr">
        <is>
          <t>Cartão de crédito</t>
        </is>
      </c>
      <c r="E54" s="41" t="n"/>
      <c r="F54" s="49" t="n">
        <v>380</v>
      </c>
      <c r="G54" s="41" t="inlineStr">
        <is>
          <t>Sim</t>
        </is>
      </c>
      <c r="H54" s="30">
        <f>IF(D54="","",IFERROR(INDEX(Config!$B$12:$B$15,MATCH(IF(AND(D54="Cartão de crédito",N(E54)&gt;1),"Cartão de crédito parcelado",D54),Config!$A$12:$A$15,0)),0)+IF(AND(Config!$B$17="Sim",LEFT(D54,17)="Cartão de crédito"),Config!$B$18*IFERROR(INDEX(Config!$C$12:$C$15,MATCH(IF(AND(D54="Cartão de crédito",N(E54)&gt;1),"Cartão de crédito parcelado",D54),Config!$A$12:$A$15,0)),0)/30*MAX(1,N(E54)),0))</f>
        <v>0.032</v>
      </c>
      <c r="I54" s="29">
        <f>IF(OR(D54="",F54=""),"",ROUND(F54*H54,2))</f>
        <v>12.16</v>
      </c>
      <c r="J54" s="29">
        <f>IF(I54="","",F54-I54)</f>
        <v>367.84</v>
      </c>
      <c r="K54" s="37">
        <f>IF(OR(D54="",A54=""),"",A54+IF(AND(Config!$B$17="Sim",LEFT(D54,17)="Cartão de crédito"),1,IFERROR(INDEX(Config!$C$12:$C$15,MATCH(IF(AND(D54="Cartão de crédito",N(E54)&gt;1),"Cartão de crédito parcelado",D54),Config!$A$12:$A$15,0)),0)))</f>
        <v>46249.0</v>
      </c>
      <c r="L54" s="27">
        <f>IF(A54="","",MONTH(A54))</f>
        <v>7</v>
      </c>
      <c r="M54" s="27">
        <f>IF(A54="","",YEAR(A54))</f>
        <v>2026</v>
      </c>
      <c r="N54" s="27" t="str">
        <f>IF(K54="","",IF(G54="Sim","Conferido",IF(K54&gt;Config!$B$8,"A cair","A conferir")))</f>
        <v>Conferido</v>
      </c>
      <c r="O54" s="50">
        <f>IF(N54="A conferir",(Config!$B$8-K54)*1000+N(F54)/1000+ROW()/100000,0)</f>
        <v>0</v>
      </c>
    </row>
    <row r="55">
      <c r="A55" s="48" t="n">
        <v>46219</v>
      </c>
      <c r="B55" s="40" t="inlineStr">
        <is>
          <t>Sérgio Martins</t>
        </is>
      </c>
      <c r="C55" s="40" t="inlineStr">
        <is>
          <t>ECG</t>
        </is>
      </c>
      <c r="D55" s="41" t="inlineStr">
        <is>
          <t>Cartão de débito</t>
        </is>
      </c>
      <c r="E55" s="41" t="n"/>
      <c r="F55" s="49" t="n">
        <v>130</v>
      </c>
      <c r="G55" s="41" t="inlineStr">
        <is>
          <t>Sim</t>
        </is>
      </c>
      <c r="H55" s="30">
        <f>IF(D55="","",IFERROR(INDEX(Config!$B$12:$B$15,MATCH(IF(AND(D55="Cartão de crédito",N(E55)&gt;1),"Cartão de crédito parcelado",D55),Config!$A$12:$A$15,0)),0)+IF(AND(Config!$B$17="Sim",LEFT(D55,17)="Cartão de crédito"),Config!$B$18*IFERROR(INDEX(Config!$C$12:$C$15,MATCH(IF(AND(D55="Cartão de crédito",N(E55)&gt;1),"Cartão de crédito parcelado",D55),Config!$A$12:$A$15,0)),0)/30*MAX(1,N(E55)),0))</f>
        <v>0.015</v>
      </c>
      <c r="I55" s="29">
        <f>IF(OR(D55="",F55=""),"",ROUND(F55*H55,2))</f>
        <v>1.95</v>
      </c>
      <c r="J55" s="29">
        <f>IF(I55="","",F55-I55)</f>
        <v>128.05</v>
      </c>
      <c r="K55" s="37">
        <f>IF(OR(D55="",A55=""),"",A55+IF(AND(Config!$B$17="Sim",LEFT(D55,17)="Cartão de crédito"),1,IFERROR(INDEX(Config!$C$12:$C$15,MATCH(IF(AND(D55="Cartão de crédito",N(E55)&gt;1),"Cartão de crédito parcelado",D55),Config!$A$12:$A$15,0)),0)))</f>
        <v>46220.0</v>
      </c>
      <c r="L55" s="27">
        <f>IF(A55="","",MONTH(A55))</f>
        <v>7</v>
      </c>
      <c r="M55" s="27">
        <f>IF(A55="","",YEAR(A55))</f>
        <v>2026</v>
      </c>
      <c r="N55" s="27" t="str">
        <f>IF(K55="","",IF(G55="Sim","Conferido",IF(K55&gt;Config!$B$8,"A cair","A conferir")))</f>
        <v>Conferido</v>
      </c>
      <c r="O55" s="50">
        <f>IF(N55="A conferir",(Config!$B$8-K55)*1000+N(F55)/1000+ROW()/100000,0)</f>
        <v>0</v>
      </c>
    </row>
    <row r="56">
      <c r="A56" s="48" t="n">
        <v>46219</v>
      </c>
      <c r="B56" s="40" t="inlineStr">
        <is>
          <t>Gisele Xavier</t>
        </is>
      </c>
      <c r="C56" s="40" t="inlineStr">
        <is>
          <t>ECG</t>
        </is>
      </c>
      <c r="D56" s="41" t="inlineStr">
        <is>
          <t>Pix</t>
        </is>
      </c>
      <c r="E56" s="41" t="n"/>
      <c r="F56" s="49" t="n">
        <v>130</v>
      </c>
      <c r="G56" s="41" t="inlineStr">
        <is>
          <t>Sim</t>
        </is>
      </c>
      <c r="H56" s="30">
        <f>IF(D56="","",IFERROR(INDEX(Config!$B$12:$B$15,MATCH(IF(AND(D56="Cartão de crédito",N(E56)&gt;1),"Cartão de crédito parcelado",D56),Config!$A$12:$A$15,0)),0)+IF(AND(Config!$B$17="Sim",LEFT(D56,17)="Cartão de crédito"),Config!$B$18*IFERROR(INDEX(Config!$C$12:$C$15,MATCH(IF(AND(D56="Cartão de crédito",N(E56)&gt;1),"Cartão de crédito parcelado",D56),Config!$A$12:$A$15,0)),0)/30*MAX(1,N(E56)),0))</f>
        <v>0</v>
      </c>
      <c r="I56" s="29">
        <f>IF(OR(D56="",F56=""),"",ROUND(F56*H56,2))</f>
        <v>0</v>
      </c>
      <c r="J56" s="29">
        <f>IF(I56="","",F56-I56)</f>
        <v>130</v>
      </c>
      <c r="K56" s="37">
        <f>IF(OR(D56="",A56=""),"",A56+IF(AND(Config!$B$17="Sim",LEFT(D56,17)="Cartão de crédito"),1,IFERROR(INDEX(Config!$C$12:$C$15,MATCH(IF(AND(D56="Cartão de crédito",N(E56)&gt;1),"Cartão de crédito parcelado",D56),Config!$A$12:$A$15,0)),0)))</f>
        <v>46219.0</v>
      </c>
      <c r="L56" s="27">
        <f>IF(A56="","",MONTH(A56))</f>
        <v>7</v>
      </c>
      <c r="M56" s="27">
        <f>IF(A56="","",YEAR(A56))</f>
        <v>2026</v>
      </c>
      <c r="N56" s="27" t="str">
        <f>IF(K56="","",IF(G56="Sim","Conferido",IF(K56&gt;Config!$B$8,"A cair","A conferir")))</f>
        <v>Conferido</v>
      </c>
      <c r="O56" s="50">
        <f>IF(N56="A conferir",(Config!$B$8-K56)*1000+N(F56)/1000+ROW()/100000,0)</f>
        <v>0</v>
      </c>
    </row>
    <row r="57">
      <c r="A57" s="48" t="n">
        <v>46219</v>
      </c>
      <c r="B57" s="40" t="inlineStr">
        <is>
          <t>Márcia Duarte</t>
        </is>
      </c>
      <c r="C57" s="40" t="inlineStr">
        <is>
          <t>Avaliação endócrina</t>
        </is>
      </c>
      <c r="D57" s="41" t="inlineStr">
        <is>
          <t>Cartão de crédito</t>
        </is>
      </c>
      <c r="E57" s="41" t="n"/>
      <c r="F57" s="49" t="n">
        <v>400</v>
      </c>
      <c r="G57" s="41" t="inlineStr">
        <is>
          <t>Sim</t>
        </is>
      </c>
      <c r="H57" s="30">
        <f>IF(D57="","",IFERROR(INDEX(Config!$B$12:$B$15,MATCH(IF(AND(D57="Cartão de crédito",N(E57)&gt;1),"Cartão de crédito parcelado",D57),Config!$A$12:$A$15,0)),0)+IF(AND(Config!$B$17="Sim",LEFT(D57,17)="Cartão de crédito"),Config!$B$18*IFERROR(INDEX(Config!$C$12:$C$15,MATCH(IF(AND(D57="Cartão de crédito",N(E57)&gt;1),"Cartão de crédito parcelado",D57),Config!$A$12:$A$15,0)),0)/30*MAX(1,N(E57)),0))</f>
        <v>0.032</v>
      </c>
      <c r="I57" s="29">
        <f>IF(OR(D57="",F57=""),"",ROUND(F57*H57,2))</f>
        <v>12.8</v>
      </c>
      <c r="J57" s="29">
        <f>IF(I57="","",F57-I57)</f>
        <v>387.2</v>
      </c>
      <c r="K57" s="37">
        <f>IF(OR(D57="",A57=""),"",A57+IF(AND(Config!$B$17="Sim",LEFT(D57,17)="Cartão de crédito"),1,IFERROR(INDEX(Config!$C$12:$C$15,MATCH(IF(AND(D57="Cartão de crédito",N(E57)&gt;1),"Cartão de crédito parcelado",D57),Config!$A$12:$A$15,0)),0)))</f>
        <v>46249.0</v>
      </c>
      <c r="L57" s="27">
        <f>IF(A57="","",MONTH(A57))</f>
        <v>7</v>
      </c>
      <c r="M57" s="27">
        <f>IF(A57="","",YEAR(A57))</f>
        <v>2026</v>
      </c>
      <c r="N57" s="27" t="str">
        <f>IF(K57="","",IF(G57="Sim","Conferido",IF(K57&gt;Config!$B$8,"A cair","A conferir")))</f>
        <v>Conferido</v>
      </c>
      <c r="O57" s="50">
        <f>IF(N57="A conferir",(Config!$B$8-K57)*1000+N(F57)/1000+ROW()/100000,0)</f>
        <v>0</v>
      </c>
    </row>
    <row r="58">
      <c r="A58" s="48" t="n">
        <v>46220</v>
      </c>
      <c r="B58" s="40" t="inlineStr">
        <is>
          <t>Lucas Cardoso</t>
        </is>
      </c>
      <c r="C58" s="40" t="inlineStr">
        <is>
          <t>Consulta</t>
        </is>
      </c>
      <c r="D58" s="41" t="inlineStr">
        <is>
          <t>Cartão de crédito</t>
        </is>
      </c>
      <c r="E58" s="41" t="n"/>
      <c r="F58" s="49" t="n">
        <v>380</v>
      </c>
      <c r="G58" s="41" t="inlineStr">
        <is>
          <t>Sim</t>
        </is>
      </c>
      <c r="H58" s="30">
        <f>IF(D58="","",IFERROR(INDEX(Config!$B$12:$B$15,MATCH(IF(AND(D58="Cartão de crédito",N(E58)&gt;1),"Cartão de crédito parcelado",D58),Config!$A$12:$A$15,0)),0)+IF(AND(Config!$B$17="Sim",LEFT(D58,17)="Cartão de crédito"),Config!$B$18*IFERROR(INDEX(Config!$C$12:$C$15,MATCH(IF(AND(D58="Cartão de crédito",N(E58)&gt;1),"Cartão de crédito parcelado",D58),Config!$A$12:$A$15,0)),0)/30*MAX(1,N(E58)),0))</f>
        <v>0.032</v>
      </c>
      <c r="I58" s="29">
        <f>IF(OR(D58="",F58=""),"",ROUND(F58*H58,2))</f>
        <v>12.16</v>
      </c>
      <c r="J58" s="29">
        <f>IF(I58="","",F58-I58)</f>
        <v>367.84</v>
      </c>
      <c r="K58" s="37">
        <f>IF(OR(D58="",A58=""),"",A58+IF(AND(Config!$B$17="Sim",LEFT(D58,17)="Cartão de crédito"),1,IFERROR(INDEX(Config!$C$12:$C$15,MATCH(IF(AND(D58="Cartão de crédito",N(E58)&gt;1),"Cartão de crédito parcelado",D58),Config!$A$12:$A$15,0)),0)))</f>
        <v>46250.0</v>
      </c>
      <c r="L58" s="27">
        <f>IF(A58="","",MONTH(A58))</f>
        <v>7</v>
      </c>
      <c r="M58" s="27">
        <f>IF(A58="","",YEAR(A58))</f>
        <v>2026</v>
      </c>
      <c r="N58" s="27" t="str">
        <f>IF(K58="","",IF(G58="Sim","Conferido",IF(K58&gt;Config!$B$8,"A cair","A conferir")))</f>
        <v>Conferido</v>
      </c>
      <c r="O58" s="50">
        <f>IF(N58="A conferir",(Config!$B$8-K58)*1000+N(F58)/1000+ROW()/100000,0)</f>
        <v>0</v>
      </c>
    </row>
    <row r="59">
      <c r="A59" s="48" t="n">
        <v>46223</v>
      </c>
      <c r="B59" s="40" t="inlineStr">
        <is>
          <t>Marcelo Moreira</t>
        </is>
      </c>
      <c r="C59" s="40" t="inlineStr">
        <is>
          <t>Consulta</t>
        </is>
      </c>
      <c r="D59" s="41" t="inlineStr">
        <is>
          <t>Cartão de débito</t>
        </is>
      </c>
      <c r="E59" s="41" t="n"/>
      <c r="F59" s="49" t="n">
        <v>380</v>
      </c>
      <c r="G59" s="41" t="inlineStr">
        <is>
          <t>Sim</t>
        </is>
      </c>
      <c r="H59" s="30">
        <f>IF(D59="","",IFERROR(INDEX(Config!$B$12:$B$15,MATCH(IF(AND(D59="Cartão de crédito",N(E59)&gt;1),"Cartão de crédito parcelado",D59),Config!$A$12:$A$15,0)),0)+IF(AND(Config!$B$17="Sim",LEFT(D59,17)="Cartão de crédito"),Config!$B$18*IFERROR(INDEX(Config!$C$12:$C$15,MATCH(IF(AND(D59="Cartão de crédito",N(E59)&gt;1),"Cartão de crédito parcelado",D59),Config!$A$12:$A$15,0)),0)/30*MAX(1,N(E59)),0))</f>
        <v>0.015</v>
      </c>
      <c r="I59" s="29">
        <f>IF(OR(D59="",F59=""),"",ROUND(F59*H59,2))</f>
        <v>5.7</v>
      </c>
      <c r="J59" s="29">
        <f>IF(I59="","",F59-I59)</f>
        <v>374.3</v>
      </c>
      <c r="K59" s="37">
        <f>IF(OR(D59="",A59=""),"",A59+IF(AND(Config!$B$17="Sim",LEFT(D59,17)="Cartão de crédito"),1,IFERROR(INDEX(Config!$C$12:$C$15,MATCH(IF(AND(D59="Cartão de crédito",N(E59)&gt;1),"Cartão de crédito parcelado",D59),Config!$A$12:$A$15,0)),0)))</f>
        <v>46224.0</v>
      </c>
      <c r="L59" s="27">
        <f>IF(A59="","",MONTH(A59))</f>
        <v>7</v>
      </c>
      <c r="M59" s="27">
        <f>IF(A59="","",YEAR(A59))</f>
        <v>2026</v>
      </c>
      <c r="N59" s="27" t="str">
        <f>IF(K59="","",IF(G59="Sim","Conferido",IF(K59&gt;Config!$B$8,"A cair","A conferir")))</f>
        <v>Conferido</v>
      </c>
      <c r="O59" s="50">
        <f>IF(N59="A conferir",(Config!$B$8-K59)*1000+N(F59)/1000+ROW()/100000,0)</f>
        <v>0</v>
      </c>
    </row>
    <row r="60">
      <c r="A60" s="48" t="n">
        <v>46223</v>
      </c>
      <c r="B60" s="40" t="inlineStr">
        <is>
          <t>Eduardo Lima</t>
        </is>
      </c>
      <c r="C60" s="40" t="inlineStr">
        <is>
          <t>Consulta</t>
        </is>
      </c>
      <c r="D60" s="41" t="inlineStr">
        <is>
          <t>Cartão de crédito</t>
        </is>
      </c>
      <c r="E60" s="41" t="n"/>
      <c r="F60" s="49" t="n">
        <v>380</v>
      </c>
      <c r="G60" s="41" t="inlineStr">
        <is>
          <t>Sim</t>
        </is>
      </c>
      <c r="H60" s="30">
        <f>IF(D60="","",IFERROR(INDEX(Config!$B$12:$B$15,MATCH(IF(AND(D60="Cartão de crédito",N(E60)&gt;1),"Cartão de crédito parcelado",D60),Config!$A$12:$A$15,0)),0)+IF(AND(Config!$B$17="Sim",LEFT(D60,17)="Cartão de crédito"),Config!$B$18*IFERROR(INDEX(Config!$C$12:$C$15,MATCH(IF(AND(D60="Cartão de crédito",N(E60)&gt;1),"Cartão de crédito parcelado",D60),Config!$A$12:$A$15,0)),0)/30*MAX(1,N(E60)),0))</f>
        <v>0.032</v>
      </c>
      <c r="I60" s="29">
        <f>IF(OR(D60="",F60=""),"",ROUND(F60*H60,2))</f>
        <v>12.16</v>
      </c>
      <c r="J60" s="29">
        <f>IF(I60="","",F60-I60)</f>
        <v>367.84</v>
      </c>
      <c r="K60" s="37">
        <f>IF(OR(D60="",A60=""),"",A60+IF(AND(Config!$B$17="Sim",LEFT(D60,17)="Cartão de crédito"),1,IFERROR(INDEX(Config!$C$12:$C$15,MATCH(IF(AND(D60="Cartão de crédito",N(E60)&gt;1),"Cartão de crédito parcelado",D60),Config!$A$12:$A$15,0)),0)))</f>
        <v>46253.0</v>
      </c>
      <c r="L60" s="27">
        <f>IF(A60="","",MONTH(A60))</f>
        <v>7</v>
      </c>
      <c r="M60" s="27">
        <f>IF(A60="","",YEAR(A60))</f>
        <v>2026</v>
      </c>
      <c r="N60" s="27" t="str">
        <f>IF(K60="","",IF(G60="Sim","Conferido",IF(K60&gt;Config!$B$8,"A cair","A conferir")))</f>
        <v>Conferido</v>
      </c>
      <c r="O60" s="50">
        <f>IF(N60="A conferir",(Config!$B$8-K60)*1000+N(F60)/1000+ROW()/100000,0)</f>
        <v>0</v>
      </c>
    </row>
    <row r="61">
      <c r="A61" s="48" t="n">
        <v>46223</v>
      </c>
      <c r="B61" s="40" t="inlineStr">
        <is>
          <t>Débora Ramos</t>
        </is>
      </c>
      <c r="C61" s="40" t="inlineStr">
        <is>
          <t>Teste ergométrico</t>
        </is>
      </c>
      <c r="D61" s="41" t="inlineStr">
        <is>
          <t>Pix</t>
        </is>
      </c>
      <c r="E61" s="41" t="n"/>
      <c r="F61" s="49" t="n">
        <v>450</v>
      </c>
      <c r="G61" s="41" t="inlineStr">
        <is>
          <t>Sim</t>
        </is>
      </c>
      <c r="H61" s="30">
        <f>IF(D61="","",IFERROR(INDEX(Config!$B$12:$B$15,MATCH(IF(AND(D61="Cartão de crédito",N(E61)&gt;1),"Cartão de crédito parcelado",D61),Config!$A$12:$A$15,0)),0)+IF(AND(Config!$B$17="Sim",LEFT(D61,17)="Cartão de crédito"),Config!$B$18*IFERROR(INDEX(Config!$C$12:$C$15,MATCH(IF(AND(D61="Cartão de crédito",N(E61)&gt;1),"Cartão de crédito parcelado",D61),Config!$A$12:$A$15,0)),0)/30*MAX(1,N(E61)),0))</f>
        <v>0</v>
      </c>
      <c r="I61" s="29">
        <f>IF(OR(D61="",F61=""),"",ROUND(F61*H61,2))</f>
        <v>0</v>
      </c>
      <c r="J61" s="29">
        <f>IF(I61="","",F61-I61)</f>
        <v>450</v>
      </c>
      <c r="K61" s="37">
        <f>IF(OR(D61="",A61=""),"",A61+IF(AND(Config!$B$17="Sim",LEFT(D61,17)="Cartão de crédito"),1,IFERROR(INDEX(Config!$C$12:$C$15,MATCH(IF(AND(D61="Cartão de crédito",N(E61)&gt;1),"Cartão de crédito parcelado",D61),Config!$A$12:$A$15,0)),0)))</f>
        <v>46223.0</v>
      </c>
      <c r="L61" s="27">
        <f>IF(A61="","",MONTH(A61))</f>
        <v>7</v>
      </c>
      <c r="M61" s="27">
        <f>IF(A61="","",YEAR(A61))</f>
        <v>2026</v>
      </c>
      <c r="N61" s="27" t="str">
        <f>IF(K61="","",IF(G61="Sim","Conferido",IF(K61&gt;Config!$B$8,"A cair","A conferir")))</f>
        <v>Conferido</v>
      </c>
      <c r="O61" s="50">
        <f>IF(N61="A conferir",(Config!$B$8-K61)*1000+N(F61)/1000+ROW()/100000,0)</f>
        <v>0</v>
      </c>
    </row>
    <row r="62">
      <c r="A62" s="48" t="n">
        <v>46223</v>
      </c>
      <c r="B62" s="40" t="inlineStr">
        <is>
          <t>Fábio Correia</t>
        </is>
      </c>
      <c r="C62" s="40" t="inlineStr">
        <is>
          <t>Consulta</t>
        </is>
      </c>
      <c r="D62" s="41" t="inlineStr">
        <is>
          <t>Cartão de crédito</t>
        </is>
      </c>
      <c r="E62" s="41" t="n"/>
      <c r="F62" s="49" t="n">
        <v>380</v>
      </c>
      <c r="G62" s="41" t="inlineStr">
        <is>
          <t>Sim</t>
        </is>
      </c>
      <c r="H62" s="30">
        <f>IF(D62="","",IFERROR(INDEX(Config!$B$12:$B$15,MATCH(IF(AND(D62="Cartão de crédito",N(E62)&gt;1),"Cartão de crédito parcelado",D62),Config!$A$12:$A$15,0)),0)+IF(AND(Config!$B$17="Sim",LEFT(D62,17)="Cartão de crédito"),Config!$B$18*IFERROR(INDEX(Config!$C$12:$C$15,MATCH(IF(AND(D62="Cartão de crédito",N(E62)&gt;1),"Cartão de crédito parcelado",D62),Config!$A$12:$A$15,0)),0)/30*MAX(1,N(E62)),0))</f>
        <v>0.032</v>
      </c>
      <c r="I62" s="29">
        <f>IF(OR(D62="",F62=""),"",ROUND(F62*H62,2))</f>
        <v>12.16</v>
      </c>
      <c r="J62" s="29">
        <f>IF(I62="","",F62-I62)</f>
        <v>367.84</v>
      </c>
      <c r="K62" s="37">
        <f>IF(OR(D62="",A62=""),"",A62+IF(AND(Config!$B$17="Sim",LEFT(D62,17)="Cartão de crédito"),1,IFERROR(INDEX(Config!$C$12:$C$15,MATCH(IF(AND(D62="Cartão de crédito",N(E62)&gt;1),"Cartão de crédito parcelado",D62),Config!$A$12:$A$15,0)),0)))</f>
        <v>46253.0</v>
      </c>
      <c r="L62" s="27">
        <f>IF(A62="","",MONTH(A62))</f>
        <v>7</v>
      </c>
      <c r="M62" s="27">
        <f>IF(A62="","",YEAR(A62))</f>
        <v>2026</v>
      </c>
      <c r="N62" s="27" t="str">
        <f>IF(K62="","",IF(G62="Sim","Conferido",IF(K62&gt;Config!$B$8,"A cair","A conferir")))</f>
        <v>Conferido</v>
      </c>
      <c r="O62" s="50">
        <f>IF(N62="A conferir",(Config!$B$8-K62)*1000+N(F62)/1000+ROW()/100000,0)</f>
        <v>0</v>
      </c>
    </row>
    <row r="63">
      <c r="A63" s="48" t="n">
        <v>46224</v>
      </c>
      <c r="B63" s="40" t="inlineStr">
        <is>
          <t>Regina Teixeira</t>
        </is>
      </c>
      <c r="C63" s="40" t="inlineStr">
        <is>
          <t>Consulta</t>
        </is>
      </c>
      <c r="D63" s="41" t="inlineStr">
        <is>
          <t>Cartão de crédito</t>
        </is>
      </c>
      <c r="E63" s="41" t="n">
        <v>2</v>
      </c>
      <c r="F63" s="49" t="n">
        <v>380</v>
      </c>
      <c r="G63" s="41" t="inlineStr">
        <is>
          <t>Sim</t>
        </is>
      </c>
      <c r="H63" s="30">
        <f>IF(D63="","",IFERROR(INDEX(Config!$B$12:$B$15,MATCH(IF(AND(D63="Cartão de crédito",N(E63)&gt;1),"Cartão de crédito parcelado",D63),Config!$A$12:$A$15,0)),0)+IF(AND(Config!$B$17="Sim",LEFT(D63,17)="Cartão de crédito"),Config!$B$18*IFERROR(INDEX(Config!$C$12:$C$15,MATCH(IF(AND(D63="Cartão de crédito",N(E63)&gt;1),"Cartão de crédito parcelado",D63),Config!$A$12:$A$15,0)),0)/30*MAX(1,N(E63)),0))</f>
        <v>0.039</v>
      </c>
      <c r="I63" s="29">
        <f>IF(OR(D63="",F63=""),"",ROUND(F63*H63,2))</f>
        <v>14.82</v>
      </c>
      <c r="J63" s="29">
        <f>IF(I63="","",F63-I63)</f>
        <v>365.18</v>
      </c>
      <c r="K63" s="37">
        <f>IF(OR(D63="",A63=""),"",A63+IF(AND(Config!$B$17="Sim",LEFT(D63,17)="Cartão de crédito"),1,IFERROR(INDEX(Config!$C$12:$C$15,MATCH(IF(AND(D63="Cartão de crédito",N(E63)&gt;1),"Cartão de crédito parcelado",D63),Config!$A$12:$A$15,0)),0)))</f>
        <v>46254.0</v>
      </c>
      <c r="L63" s="27">
        <f>IF(A63="","",MONTH(A63))</f>
        <v>7</v>
      </c>
      <c r="M63" s="27">
        <f>IF(A63="","",YEAR(A63))</f>
        <v>2026</v>
      </c>
      <c r="N63" s="27" t="str">
        <f>IF(K63="","",IF(G63="Sim","Conferido",IF(K63&gt;Config!$B$8,"A cair","A conferir")))</f>
        <v>Conferido</v>
      </c>
      <c r="O63" s="50">
        <f>IF(N63="A conferir",(Config!$B$8-K63)*1000+N(F63)/1000+ROW()/100000,0)</f>
        <v>0</v>
      </c>
    </row>
    <row r="64">
      <c r="A64" s="48" t="n">
        <v>46224</v>
      </c>
      <c r="B64" s="40" t="inlineStr">
        <is>
          <t>Lucas Lopes</t>
        </is>
      </c>
      <c r="C64" s="40" t="inlineStr">
        <is>
          <t>Consulta</t>
        </is>
      </c>
      <c r="D64" s="41" t="inlineStr">
        <is>
          <t>Pix</t>
        </is>
      </c>
      <c r="E64" s="41" t="n"/>
      <c r="F64" s="49" t="n">
        <v>380</v>
      </c>
      <c r="G64" s="41" t="inlineStr">
        <is>
          <t>Sim</t>
        </is>
      </c>
      <c r="H64" s="30">
        <f>IF(D64="","",IFERROR(INDEX(Config!$B$12:$B$15,MATCH(IF(AND(D64="Cartão de crédito",N(E64)&gt;1),"Cartão de crédito parcelado",D64),Config!$A$12:$A$15,0)),0)+IF(AND(Config!$B$17="Sim",LEFT(D64,17)="Cartão de crédito"),Config!$B$18*IFERROR(INDEX(Config!$C$12:$C$15,MATCH(IF(AND(D64="Cartão de crédito",N(E64)&gt;1),"Cartão de crédito parcelado",D64),Config!$A$12:$A$15,0)),0)/30*MAX(1,N(E64)),0))</f>
        <v>0</v>
      </c>
      <c r="I64" s="29">
        <f>IF(OR(D64="",F64=""),"",ROUND(F64*H64,2))</f>
        <v>0</v>
      </c>
      <c r="J64" s="29">
        <f>IF(I64="","",F64-I64)</f>
        <v>380</v>
      </c>
      <c r="K64" s="37">
        <f>IF(OR(D64="",A64=""),"",A64+IF(AND(Config!$B$17="Sim",LEFT(D64,17)="Cartão de crédito"),1,IFERROR(INDEX(Config!$C$12:$C$15,MATCH(IF(AND(D64="Cartão de crédito",N(E64)&gt;1),"Cartão de crédito parcelado",D64),Config!$A$12:$A$15,0)),0)))</f>
        <v>46224.0</v>
      </c>
      <c r="L64" s="27">
        <f>IF(A64="","",MONTH(A64))</f>
        <v>7</v>
      </c>
      <c r="M64" s="27">
        <f>IF(A64="","",YEAR(A64))</f>
        <v>2026</v>
      </c>
      <c r="N64" s="27" t="str">
        <f>IF(K64="","",IF(G64="Sim","Conferido",IF(K64&gt;Config!$B$8,"A cair","A conferir")))</f>
        <v>Conferido</v>
      </c>
      <c r="O64" s="50">
        <f>IF(N64="A conferir",(Config!$B$8-K64)*1000+N(F64)/1000+ROW()/100000,0)</f>
        <v>0</v>
      </c>
    </row>
    <row r="65">
      <c r="A65" s="48" t="n">
        <v>46224</v>
      </c>
      <c r="B65" s="40" t="inlineStr">
        <is>
          <t>Otávio Nascimento</t>
        </is>
      </c>
      <c r="C65" s="40" t="inlineStr">
        <is>
          <t>Consulta</t>
        </is>
      </c>
      <c r="D65" s="41" t="inlineStr">
        <is>
          <t>Cartão de crédito</t>
        </is>
      </c>
      <c r="E65" s="41" t="n"/>
      <c r="F65" s="49" t="n">
        <v>380</v>
      </c>
      <c r="G65" s="41" t="inlineStr">
        <is>
          <t>Sim</t>
        </is>
      </c>
      <c r="H65" s="30">
        <f>IF(D65="","",IFERROR(INDEX(Config!$B$12:$B$15,MATCH(IF(AND(D65="Cartão de crédito",N(E65)&gt;1),"Cartão de crédito parcelado",D65),Config!$A$12:$A$15,0)),0)+IF(AND(Config!$B$17="Sim",LEFT(D65,17)="Cartão de crédito"),Config!$B$18*IFERROR(INDEX(Config!$C$12:$C$15,MATCH(IF(AND(D65="Cartão de crédito",N(E65)&gt;1),"Cartão de crédito parcelado",D65),Config!$A$12:$A$15,0)),0)/30*MAX(1,N(E65)),0))</f>
        <v>0.032</v>
      </c>
      <c r="I65" s="29">
        <f>IF(OR(D65="",F65=""),"",ROUND(F65*H65,2))</f>
        <v>12.16</v>
      </c>
      <c r="J65" s="29">
        <f>IF(I65="","",F65-I65)</f>
        <v>367.84</v>
      </c>
      <c r="K65" s="37">
        <f>IF(OR(D65="",A65=""),"",A65+IF(AND(Config!$B$17="Sim",LEFT(D65,17)="Cartão de crédito"),1,IFERROR(INDEX(Config!$C$12:$C$15,MATCH(IF(AND(D65="Cartão de crédito",N(E65)&gt;1),"Cartão de crédito parcelado",D65),Config!$A$12:$A$15,0)),0)))</f>
        <v>46254.0</v>
      </c>
      <c r="L65" s="27">
        <f>IF(A65="","",MONTH(A65))</f>
        <v>7</v>
      </c>
      <c r="M65" s="27">
        <f>IF(A65="","",YEAR(A65))</f>
        <v>2026</v>
      </c>
      <c r="N65" s="27" t="str">
        <f>IF(K65="","",IF(G65="Sim","Conferido",IF(K65&gt;Config!$B$8,"A cair","A conferir")))</f>
        <v>Conferido</v>
      </c>
      <c r="O65" s="50">
        <f>IF(N65="A conferir",(Config!$B$8-K65)*1000+N(F65)/1000+ROW()/100000,0)</f>
        <v>0</v>
      </c>
    </row>
    <row r="66">
      <c r="A66" s="48" t="n">
        <v>46224</v>
      </c>
      <c r="B66" s="40" t="inlineStr">
        <is>
          <t>Carlos Freitas</t>
        </is>
      </c>
      <c r="C66" s="40" t="inlineStr">
        <is>
          <t>Avaliação endócrina</t>
        </is>
      </c>
      <c r="D66" s="41" t="inlineStr">
        <is>
          <t>Pix</t>
        </is>
      </c>
      <c r="E66" s="41" t="n"/>
      <c r="F66" s="49" t="n">
        <v>400</v>
      </c>
      <c r="G66" s="41" t="inlineStr">
        <is>
          <t>Sim</t>
        </is>
      </c>
      <c r="H66" s="30">
        <f>IF(D66="","",IFERROR(INDEX(Config!$B$12:$B$15,MATCH(IF(AND(D66="Cartão de crédito",N(E66)&gt;1),"Cartão de crédito parcelado",D66),Config!$A$12:$A$15,0)),0)+IF(AND(Config!$B$17="Sim",LEFT(D66,17)="Cartão de crédito"),Config!$B$18*IFERROR(INDEX(Config!$C$12:$C$15,MATCH(IF(AND(D66="Cartão de crédito",N(E66)&gt;1),"Cartão de crédito parcelado",D66),Config!$A$12:$A$15,0)),0)/30*MAX(1,N(E66)),0))</f>
        <v>0</v>
      </c>
      <c r="I66" s="29">
        <f>IF(OR(D66="",F66=""),"",ROUND(F66*H66,2))</f>
        <v>0</v>
      </c>
      <c r="J66" s="29">
        <f>IF(I66="","",F66-I66)</f>
        <v>400</v>
      </c>
      <c r="K66" s="37">
        <f>IF(OR(D66="",A66=""),"",A66+IF(AND(Config!$B$17="Sim",LEFT(D66,17)="Cartão de crédito"),1,IFERROR(INDEX(Config!$C$12:$C$15,MATCH(IF(AND(D66="Cartão de crédito",N(E66)&gt;1),"Cartão de crédito parcelado",D66),Config!$A$12:$A$15,0)),0)))</f>
        <v>46224.0</v>
      </c>
      <c r="L66" s="27">
        <f>IF(A66="","",MONTH(A66))</f>
        <v>7</v>
      </c>
      <c r="M66" s="27">
        <f>IF(A66="","",YEAR(A66))</f>
        <v>2026</v>
      </c>
      <c r="N66" s="27" t="str">
        <f>IF(K66="","",IF(G66="Sim","Conferido",IF(K66&gt;Config!$B$8,"A cair","A conferir")))</f>
        <v>Conferido</v>
      </c>
      <c r="O66" s="50">
        <f>IF(N66="A conferir",(Config!$B$8-K66)*1000+N(F66)/1000+ROW()/100000,0)</f>
        <v>0</v>
      </c>
    </row>
    <row r="67">
      <c r="A67" s="48" t="n">
        <v>46224</v>
      </c>
      <c r="B67" s="40" t="inlineStr">
        <is>
          <t>Isabela Xavier</t>
        </is>
      </c>
      <c r="C67" s="40" t="inlineStr">
        <is>
          <t>Avaliação endócrina</t>
        </is>
      </c>
      <c r="D67" s="41" t="inlineStr">
        <is>
          <t>Cartão de crédito</t>
        </is>
      </c>
      <c r="E67" s="41" t="n"/>
      <c r="F67" s="49" t="n">
        <v>400</v>
      </c>
      <c r="G67" s="41" t="inlineStr">
        <is>
          <t>Sim</t>
        </is>
      </c>
      <c r="H67" s="30">
        <f>IF(D67="","",IFERROR(INDEX(Config!$B$12:$B$15,MATCH(IF(AND(D67="Cartão de crédito",N(E67)&gt;1),"Cartão de crédito parcelado",D67),Config!$A$12:$A$15,0)),0)+IF(AND(Config!$B$17="Sim",LEFT(D67,17)="Cartão de crédito"),Config!$B$18*IFERROR(INDEX(Config!$C$12:$C$15,MATCH(IF(AND(D67="Cartão de crédito",N(E67)&gt;1),"Cartão de crédito parcelado",D67),Config!$A$12:$A$15,0)),0)/30*MAX(1,N(E67)),0))</f>
        <v>0.032</v>
      </c>
      <c r="I67" s="29">
        <f>IF(OR(D67="",F67=""),"",ROUND(F67*H67,2))</f>
        <v>12.8</v>
      </c>
      <c r="J67" s="29">
        <f>IF(I67="","",F67-I67)</f>
        <v>387.2</v>
      </c>
      <c r="K67" s="37">
        <f>IF(OR(D67="",A67=""),"",A67+IF(AND(Config!$B$17="Sim",LEFT(D67,17)="Cartão de crédito"),1,IFERROR(INDEX(Config!$C$12:$C$15,MATCH(IF(AND(D67="Cartão de crédito",N(E67)&gt;1),"Cartão de crédito parcelado",D67),Config!$A$12:$A$15,0)),0)))</f>
        <v>46254.0</v>
      </c>
      <c r="L67" s="27">
        <f>IF(A67="","",MONTH(A67))</f>
        <v>7</v>
      </c>
      <c r="M67" s="27">
        <f>IF(A67="","",YEAR(A67))</f>
        <v>2026</v>
      </c>
      <c r="N67" s="27" t="str">
        <f>IF(K67="","",IF(G67="Sim","Conferido",IF(K67&gt;Config!$B$8,"A cair","A conferir")))</f>
        <v>Conferido</v>
      </c>
      <c r="O67" s="50">
        <f>IF(N67="A conferir",(Config!$B$8-K67)*1000+N(F67)/1000+ROW()/100000,0)</f>
        <v>0</v>
      </c>
    </row>
    <row r="68">
      <c r="A68" s="48" t="n">
        <v>46224</v>
      </c>
      <c r="B68" s="40" t="inlineStr">
        <is>
          <t>Regina Macedo</t>
        </is>
      </c>
      <c r="C68" s="40" t="inlineStr">
        <is>
          <t>ECG</t>
        </is>
      </c>
      <c r="D68" s="41" t="inlineStr">
        <is>
          <t>Pix</t>
        </is>
      </c>
      <c r="E68" s="41" t="n"/>
      <c r="F68" s="49" t="n">
        <v>130</v>
      </c>
      <c r="G68" s="41" t="inlineStr">
        <is>
          <t>Sim</t>
        </is>
      </c>
      <c r="H68" s="30">
        <f>IF(D68="","",IFERROR(INDEX(Config!$B$12:$B$15,MATCH(IF(AND(D68="Cartão de crédito",N(E68)&gt;1),"Cartão de crédito parcelado",D68),Config!$A$12:$A$15,0)),0)+IF(AND(Config!$B$17="Sim",LEFT(D68,17)="Cartão de crédito"),Config!$B$18*IFERROR(INDEX(Config!$C$12:$C$15,MATCH(IF(AND(D68="Cartão de crédito",N(E68)&gt;1),"Cartão de crédito parcelado",D68),Config!$A$12:$A$15,0)),0)/30*MAX(1,N(E68)),0))</f>
        <v>0</v>
      </c>
      <c r="I68" s="29">
        <f>IF(OR(D68="",F68=""),"",ROUND(F68*H68,2))</f>
        <v>0</v>
      </c>
      <c r="J68" s="29">
        <f>IF(I68="","",F68-I68)</f>
        <v>130</v>
      </c>
      <c r="K68" s="37">
        <f>IF(OR(D68="",A68=""),"",A68+IF(AND(Config!$B$17="Sim",LEFT(D68,17)="Cartão de crédito"),1,IFERROR(INDEX(Config!$C$12:$C$15,MATCH(IF(AND(D68="Cartão de crédito",N(E68)&gt;1),"Cartão de crédito parcelado",D68),Config!$A$12:$A$15,0)),0)))</f>
        <v>46224.0</v>
      </c>
      <c r="L68" s="27">
        <f>IF(A68="","",MONTH(A68))</f>
        <v>7</v>
      </c>
      <c r="M68" s="27">
        <f>IF(A68="","",YEAR(A68))</f>
        <v>2026</v>
      </c>
      <c r="N68" s="27" t="str">
        <f>IF(K68="","",IF(G68="Sim","Conferido",IF(K68&gt;Config!$B$8,"A cair","A conferir")))</f>
        <v>Conferido</v>
      </c>
      <c r="O68" s="50">
        <f>IF(N68="A conferir",(Config!$B$8-K68)*1000+N(F68)/1000+ROW()/100000,0)</f>
        <v>0</v>
      </c>
    </row>
    <row r="69">
      <c r="A69" s="48" t="n">
        <v>46225</v>
      </c>
      <c r="B69" s="40" t="inlineStr">
        <is>
          <t>Ana Costa</t>
        </is>
      </c>
      <c r="C69" s="40" t="inlineStr">
        <is>
          <t>Consulta</t>
        </is>
      </c>
      <c r="D69" s="41" t="inlineStr">
        <is>
          <t>Pix</t>
        </is>
      </c>
      <c r="E69" s="41" t="n"/>
      <c r="F69" s="49" t="n">
        <v>380</v>
      </c>
      <c r="G69" s="41" t="inlineStr">
        <is>
          <t>Sim</t>
        </is>
      </c>
      <c r="H69" s="30">
        <f>IF(D69="","",IFERROR(INDEX(Config!$B$12:$B$15,MATCH(IF(AND(D69="Cartão de crédito",N(E69)&gt;1),"Cartão de crédito parcelado",D69),Config!$A$12:$A$15,0)),0)+IF(AND(Config!$B$17="Sim",LEFT(D69,17)="Cartão de crédito"),Config!$B$18*IFERROR(INDEX(Config!$C$12:$C$15,MATCH(IF(AND(D69="Cartão de crédito",N(E69)&gt;1),"Cartão de crédito parcelado",D69),Config!$A$12:$A$15,0)),0)/30*MAX(1,N(E69)),0))</f>
        <v>0</v>
      </c>
      <c r="I69" s="29">
        <f>IF(OR(D69="",F69=""),"",ROUND(F69*H69,2))</f>
        <v>0</v>
      </c>
      <c r="J69" s="29">
        <f>IF(I69="","",F69-I69)</f>
        <v>380</v>
      </c>
      <c r="K69" s="37">
        <f>IF(OR(D69="",A69=""),"",A69+IF(AND(Config!$B$17="Sim",LEFT(D69,17)="Cartão de crédito"),1,IFERROR(INDEX(Config!$C$12:$C$15,MATCH(IF(AND(D69="Cartão de crédito",N(E69)&gt;1),"Cartão de crédito parcelado",D69),Config!$A$12:$A$15,0)),0)))</f>
        <v>46225.0</v>
      </c>
      <c r="L69" s="27">
        <f>IF(A69="","",MONTH(A69))</f>
        <v>7</v>
      </c>
      <c r="M69" s="27">
        <f>IF(A69="","",YEAR(A69))</f>
        <v>2026</v>
      </c>
      <c r="N69" s="27" t="str">
        <f>IF(K69="","",IF(G69="Sim","Conferido",IF(K69&gt;Config!$B$8,"A cair","A conferir")))</f>
        <v>Conferido</v>
      </c>
      <c r="O69" s="50">
        <f>IF(N69="A conferir",(Config!$B$8-K69)*1000+N(F69)/1000+ROW()/100000,0)</f>
        <v>0</v>
      </c>
    </row>
    <row r="70">
      <c r="A70" s="48" t="n">
        <v>46225</v>
      </c>
      <c r="B70" s="40" t="inlineStr">
        <is>
          <t>Rodrigo Moreira</t>
        </is>
      </c>
      <c r="C70" s="40" t="inlineStr">
        <is>
          <t>Consulta</t>
        </is>
      </c>
      <c r="D70" s="41" t="inlineStr">
        <is>
          <t>Pix</t>
        </is>
      </c>
      <c r="E70" s="41" t="n"/>
      <c r="F70" s="49" t="n">
        <v>380</v>
      </c>
      <c r="G70" s="41" t="inlineStr">
        <is>
          <t>Sim</t>
        </is>
      </c>
      <c r="H70" s="30">
        <f>IF(D70="","",IFERROR(INDEX(Config!$B$12:$B$15,MATCH(IF(AND(D70="Cartão de crédito",N(E70)&gt;1),"Cartão de crédito parcelado",D70),Config!$A$12:$A$15,0)),0)+IF(AND(Config!$B$17="Sim",LEFT(D70,17)="Cartão de crédito"),Config!$B$18*IFERROR(INDEX(Config!$C$12:$C$15,MATCH(IF(AND(D70="Cartão de crédito",N(E70)&gt;1),"Cartão de crédito parcelado",D70),Config!$A$12:$A$15,0)),0)/30*MAX(1,N(E70)),0))</f>
        <v>0</v>
      </c>
      <c r="I70" s="29">
        <f>IF(OR(D70="",F70=""),"",ROUND(F70*H70,2))</f>
        <v>0</v>
      </c>
      <c r="J70" s="29">
        <f>IF(I70="","",F70-I70)</f>
        <v>380</v>
      </c>
      <c r="K70" s="37">
        <f>IF(OR(D70="",A70=""),"",A70+IF(AND(Config!$B$17="Sim",LEFT(D70,17)="Cartão de crédito"),1,IFERROR(INDEX(Config!$C$12:$C$15,MATCH(IF(AND(D70="Cartão de crédito",N(E70)&gt;1),"Cartão de crédito parcelado",D70),Config!$A$12:$A$15,0)),0)))</f>
        <v>46225.0</v>
      </c>
      <c r="L70" s="27">
        <f>IF(A70="","",MONTH(A70))</f>
        <v>7</v>
      </c>
      <c r="M70" s="27">
        <f>IF(A70="","",YEAR(A70))</f>
        <v>2026</v>
      </c>
      <c r="N70" s="27" t="str">
        <f>IF(K70="","",IF(G70="Sim","Conferido",IF(K70&gt;Config!$B$8,"A cair","A conferir")))</f>
        <v>Conferido</v>
      </c>
      <c r="O70" s="50">
        <f>IF(N70="A conferir",(Config!$B$8-K70)*1000+N(F70)/1000+ROW()/100000,0)</f>
        <v>0</v>
      </c>
    </row>
    <row r="71">
      <c r="A71" s="48" t="n">
        <v>46225</v>
      </c>
      <c r="B71" s="40" t="inlineStr">
        <is>
          <t>Roberta Araújo</t>
        </is>
      </c>
      <c r="C71" s="40" t="inlineStr">
        <is>
          <t>Consulta</t>
        </is>
      </c>
      <c r="D71" s="41" t="inlineStr">
        <is>
          <t>Pix</t>
        </is>
      </c>
      <c r="E71" s="41" t="n"/>
      <c r="F71" s="49" t="n">
        <v>380</v>
      </c>
      <c r="G71" s="41" t="inlineStr">
        <is>
          <t>Sim</t>
        </is>
      </c>
      <c r="H71" s="30">
        <f>IF(D71="","",IFERROR(INDEX(Config!$B$12:$B$15,MATCH(IF(AND(D71="Cartão de crédito",N(E71)&gt;1),"Cartão de crédito parcelado",D71),Config!$A$12:$A$15,0)),0)+IF(AND(Config!$B$17="Sim",LEFT(D71,17)="Cartão de crédito"),Config!$B$18*IFERROR(INDEX(Config!$C$12:$C$15,MATCH(IF(AND(D71="Cartão de crédito",N(E71)&gt;1),"Cartão de crédito parcelado",D71),Config!$A$12:$A$15,0)),0)/30*MAX(1,N(E71)),0))</f>
        <v>0</v>
      </c>
      <c r="I71" s="29">
        <f>IF(OR(D71="",F71=""),"",ROUND(F71*H71,2))</f>
        <v>0</v>
      </c>
      <c r="J71" s="29">
        <f>IF(I71="","",F71-I71)</f>
        <v>380</v>
      </c>
      <c r="K71" s="37">
        <f>IF(OR(D71="",A71=""),"",A71+IF(AND(Config!$B$17="Sim",LEFT(D71,17)="Cartão de crédito"),1,IFERROR(INDEX(Config!$C$12:$C$15,MATCH(IF(AND(D71="Cartão de crédito",N(E71)&gt;1),"Cartão de crédito parcelado",D71),Config!$A$12:$A$15,0)),0)))</f>
        <v>46225.0</v>
      </c>
      <c r="L71" s="27">
        <f>IF(A71="","",MONTH(A71))</f>
        <v>7</v>
      </c>
      <c r="M71" s="27">
        <f>IF(A71="","",YEAR(A71))</f>
        <v>2026</v>
      </c>
      <c r="N71" s="27" t="str">
        <f>IF(K71="","",IF(G71="Sim","Conferido",IF(K71&gt;Config!$B$8,"A cair","A conferir")))</f>
        <v>Conferido</v>
      </c>
      <c r="O71" s="50">
        <f>IF(N71="A conferir",(Config!$B$8-K71)*1000+N(F71)/1000+ROW()/100000,0)</f>
        <v>0</v>
      </c>
    </row>
    <row r="72">
      <c r="A72" s="48" t="n">
        <v>46225</v>
      </c>
      <c r="B72" s="40" t="inlineStr">
        <is>
          <t>Marcelo Santos</t>
        </is>
      </c>
      <c r="C72" s="40" t="inlineStr">
        <is>
          <t>Consulta</t>
        </is>
      </c>
      <c r="D72" s="41" t="inlineStr">
        <is>
          <t>Cartão de crédito</t>
        </is>
      </c>
      <c r="E72" s="41" t="n"/>
      <c r="F72" s="49" t="n">
        <v>380</v>
      </c>
      <c r="G72" s="41" t="inlineStr">
        <is>
          <t>Sim</t>
        </is>
      </c>
      <c r="H72" s="30">
        <f>IF(D72="","",IFERROR(INDEX(Config!$B$12:$B$15,MATCH(IF(AND(D72="Cartão de crédito",N(E72)&gt;1),"Cartão de crédito parcelado",D72),Config!$A$12:$A$15,0)),0)+IF(AND(Config!$B$17="Sim",LEFT(D72,17)="Cartão de crédito"),Config!$B$18*IFERROR(INDEX(Config!$C$12:$C$15,MATCH(IF(AND(D72="Cartão de crédito",N(E72)&gt;1),"Cartão de crédito parcelado",D72),Config!$A$12:$A$15,0)),0)/30*MAX(1,N(E72)),0))</f>
        <v>0.032</v>
      </c>
      <c r="I72" s="29">
        <f>IF(OR(D72="",F72=""),"",ROUND(F72*H72,2))</f>
        <v>12.16</v>
      </c>
      <c r="J72" s="29">
        <f>IF(I72="","",F72-I72)</f>
        <v>367.84</v>
      </c>
      <c r="K72" s="37">
        <f>IF(OR(D72="",A72=""),"",A72+IF(AND(Config!$B$17="Sim",LEFT(D72,17)="Cartão de crédito"),1,IFERROR(INDEX(Config!$C$12:$C$15,MATCH(IF(AND(D72="Cartão de crédito",N(E72)&gt;1),"Cartão de crédito parcelado",D72),Config!$A$12:$A$15,0)),0)))</f>
        <v>46255.0</v>
      </c>
      <c r="L72" s="27">
        <f>IF(A72="","",MONTH(A72))</f>
        <v>7</v>
      </c>
      <c r="M72" s="27">
        <f>IF(A72="","",YEAR(A72))</f>
        <v>2026</v>
      </c>
      <c r="N72" s="27" t="str">
        <f>IF(K72="","",IF(G72="Sim","Conferido",IF(K72&gt;Config!$B$8,"A cair","A conferir")))</f>
        <v>Conferido</v>
      </c>
      <c r="O72" s="50">
        <f>IF(N72="A conferir",(Config!$B$8-K72)*1000+N(F72)/1000+ROW()/100000,0)</f>
        <v>0</v>
      </c>
    </row>
    <row r="73">
      <c r="A73" s="48" t="n">
        <v>46225</v>
      </c>
      <c r="B73" s="40" t="inlineStr">
        <is>
          <t>Mônica Martins</t>
        </is>
      </c>
      <c r="C73" s="40" t="inlineStr">
        <is>
          <t>Consulta</t>
        </is>
      </c>
      <c r="D73" s="41" t="inlineStr">
        <is>
          <t>Cartão de crédito</t>
        </is>
      </c>
      <c r="E73" s="41" t="n"/>
      <c r="F73" s="49" t="n">
        <v>380</v>
      </c>
      <c r="G73" s="41" t="inlineStr">
        <is>
          <t>Sim</t>
        </is>
      </c>
      <c r="H73" s="30">
        <f>IF(D73="","",IFERROR(INDEX(Config!$B$12:$B$15,MATCH(IF(AND(D73="Cartão de crédito",N(E73)&gt;1),"Cartão de crédito parcelado",D73),Config!$A$12:$A$15,0)),0)+IF(AND(Config!$B$17="Sim",LEFT(D73,17)="Cartão de crédito"),Config!$B$18*IFERROR(INDEX(Config!$C$12:$C$15,MATCH(IF(AND(D73="Cartão de crédito",N(E73)&gt;1),"Cartão de crédito parcelado",D73),Config!$A$12:$A$15,0)),0)/30*MAX(1,N(E73)),0))</f>
        <v>0.032</v>
      </c>
      <c r="I73" s="29">
        <f>IF(OR(D73="",F73=""),"",ROUND(F73*H73,2))</f>
        <v>12.16</v>
      </c>
      <c r="J73" s="29">
        <f>IF(I73="","",F73-I73)</f>
        <v>367.84</v>
      </c>
      <c r="K73" s="37">
        <f>IF(OR(D73="",A73=""),"",A73+IF(AND(Config!$B$17="Sim",LEFT(D73,17)="Cartão de crédito"),1,IFERROR(INDEX(Config!$C$12:$C$15,MATCH(IF(AND(D73="Cartão de crédito",N(E73)&gt;1),"Cartão de crédito parcelado",D73),Config!$A$12:$A$15,0)),0)))</f>
        <v>46255.0</v>
      </c>
      <c r="L73" s="27">
        <f>IF(A73="","",MONTH(A73))</f>
        <v>7</v>
      </c>
      <c r="M73" s="27">
        <f>IF(A73="","",YEAR(A73))</f>
        <v>2026</v>
      </c>
      <c r="N73" s="27" t="str">
        <f>IF(K73="","",IF(G73="Sim","Conferido",IF(K73&gt;Config!$B$8,"A cair","A conferir")))</f>
        <v>Conferido</v>
      </c>
      <c r="O73" s="50">
        <f>IF(N73="A conferir",(Config!$B$8-K73)*1000+N(F73)/1000+ROW()/100000,0)</f>
        <v>0</v>
      </c>
    </row>
    <row r="74">
      <c r="A74" s="48" t="n">
        <v>46225</v>
      </c>
      <c r="B74" s="40" t="inlineStr">
        <is>
          <t>Débora Ramos</t>
        </is>
      </c>
      <c r="C74" s="40" t="inlineStr">
        <is>
          <t>Consulta</t>
        </is>
      </c>
      <c r="D74" s="41" t="inlineStr">
        <is>
          <t>Pix</t>
        </is>
      </c>
      <c r="E74" s="41" t="n"/>
      <c r="F74" s="49" t="n">
        <v>380</v>
      </c>
      <c r="G74" s="41" t="inlineStr">
        <is>
          <t>Sim</t>
        </is>
      </c>
      <c r="H74" s="30">
        <f>IF(D74="","",IFERROR(INDEX(Config!$B$12:$B$15,MATCH(IF(AND(D74="Cartão de crédito",N(E74)&gt;1),"Cartão de crédito parcelado",D74),Config!$A$12:$A$15,0)),0)+IF(AND(Config!$B$17="Sim",LEFT(D74,17)="Cartão de crédito"),Config!$B$18*IFERROR(INDEX(Config!$C$12:$C$15,MATCH(IF(AND(D74="Cartão de crédito",N(E74)&gt;1),"Cartão de crédito parcelado",D74),Config!$A$12:$A$15,0)),0)/30*MAX(1,N(E74)),0))</f>
        <v>0</v>
      </c>
      <c r="I74" s="29">
        <f>IF(OR(D74="",F74=""),"",ROUND(F74*H74,2))</f>
        <v>0</v>
      </c>
      <c r="J74" s="29">
        <f>IF(I74="","",F74-I74)</f>
        <v>380</v>
      </c>
      <c r="K74" s="37">
        <f>IF(OR(D74="",A74=""),"",A74+IF(AND(Config!$B$17="Sim",LEFT(D74,17)="Cartão de crédito"),1,IFERROR(INDEX(Config!$C$12:$C$15,MATCH(IF(AND(D74="Cartão de crédito",N(E74)&gt;1),"Cartão de crédito parcelado",D74),Config!$A$12:$A$15,0)),0)))</f>
        <v>46225.0</v>
      </c>
      <c r="L74" s="27">
        <f>IF(A74="","",MONTH(A74))</f>
        <v>7</v>
      </c>
      <c r="M74" s="27">
        <f>IF(A74="","",YEAR(A74))</f>
        <v>2026</v>
      </c>
      <c r="N74" s="27" t="str">
        <f>IF(K74="","",IF(G74="Sim","Conferido",IF(K74&gt;Config!$B$8,"A cair","A conferir")))</f>
        <v>Conferido</v>
      </c>
      <c r="O74" s="50">
        <f>IF(N74="A conferir",(Config!$B$8-K74)*1000+N(F74)/1000+ROW()/100000,0)</f>
        <v>0</v>
      </c>
    </row>
    <row r="75">
      <c r="A75" s="48" t="n">
        <v>46226</v>
      </c>
      <c r="B75" s="40" t="inlineStr">
        <is>
          <t>Mariana Nascimento</t>
        </is>
      </c>
      <c r="C75" s="40" t="inlineStr">
        <is>
          <t>Consulta</t>
        </is>
      </c>
      <c r="D75" s="41" t="inlineStr">
        <is>
          <t>Cartão de débito</t>
        </is>
      </c>
      <c r="E75" s="41" t="n"/>
      <c r="F75" s="49" t="n">
        <v>380</v>
      </c>
      <c r="G75" s="41" t="inlineStr">
        <is>
          <t>Sim</t>
        </is>
      </c>
      <c r="H75" s="30">
        <f>IF(D75="","",IFERROR(INDEX(Config!$B$12:$B$15,MATCH(IF(AND(D75="Cartão de crédito",N(E75)&gt;1),"Cartão de crédito parcelado",D75),Config!$A$12:$A$15,0)),0)+IF(AND(Config!$B$17="Sim",LEFT(D75,17)="Cartão de crédito"),Config!$B$18*IFERROR(INDEX(Config!$C$12:$C$15,MATCH(IF(AND(D75="Cartão de crédito",N(E75)&gt;1),"Cartão de crédito parcelado",D75),Config!$A$12:$A$15,0)),0)/30*MAX(1,N(E75)),0))</f>
        <v>0.015</v>
      </c>
      <c r="I75" s="29">
        <f>IF(OR(D75="",F75=""),"",ROUND(F75*H75,2))</f>
        <v>5.7</v>
      </c>
      <c r="J75" s="29">
        <f>IF(I75="","",F75-I75)</f>
        <v>374.3</v>
      </c>
      <c r="K75" s="37">
        <f>IF(OR(D75="",A75=""),"",A75+IF(AND(Config!$B$17="Sim",LEFT(D75,17)="Cartão de crédito"),1,IFERROR(INDEX(Config!$C$12:$C$15,MATCH(IF(AND(D75="Cartão de crédito",N(E75)&gt;1),"Cartão de crédito parcelado",D75),Config!$A$12:$A$15,0)),0)))</f>
        <v>46227.0</v>
      </c>
      <c r="L75" s="27">
        <f>IF(A75="","",MONTH(A75))</f>
        <v>7</v>
      </c>
      <c r="M75" s="27">
        <f>IF(A75="","",YEAR(A75))</f>
        <v>2026</v>
      </c>
      <c r="N75" s="27" t="str">
        <f>IF(K75="","",IF(G75="Sim","Conferido",IF(K75&gt;Config!$B$8,"A cair","A conferir")))</f>
        <v>Conferido</v>
      </c>
      <c r="O75" s="50">
        <f>IF(N75="A conferir",(Config!$B$8-K75)*1000+N(F75)/1000+ROW()/100000,0)</f>
        <v>0</v>
      </c>
    </row>
    <row r="76">
      <c r="A76" s="48" t="n">
        <v>46226</v>
      </c>
      <c r="B76" s="40" t="inlineStr">
        <is>
          <t>Elaine Cardoso</t>
        </is>
      </c>
      <c r="C76" s="40" t="inlineStr">
        <is>
          <t>Consulta</t>
        </is>
      </c>
      <c r="D76" s="41" t="inlineStr">
        <is>
          <t>Pix</t>
        </is>
      </c>
      <c r="E76" s="41" t="n"/>
      <c r="F76" s="49" t="n">
        <v>380</v>
      </c>
      <c r="G76" s="41" t="inlineStr">
        <is>
          <t>Sim</t>
        </is>
      </c>
      <c r="H76" s="30">
        <f>IF(D76="","",IFERROR(INDEX(Config!$B$12:$B$15,MATCH(IF(AND(D76="Cartão de crédito",N(E76)&gt;1),"Cartão de crédito parcelado",D76),Config!$A$12:$A$15,0)),0)+IF(AND(Config!$B$17="Sim",LEFT(D76,17)="Cartão de crédito"),Config!$B$18*IFERROR(INDEX(Config!$C$12:$C$15,MATCH(IF(AND(D76="Cartão de crédito",N(E76)&gt;1),"Cartão de crédito parcelado",D76),Config!$A$12:$A$15,0)),0)/30*MAX(1,N(E76)),0))</f>
        <v>0</v>
      </c>
      <c r="I76" s="29">
        <f>IF(OR(D76="",F76=""),"",ROUND(F76*H76,2))</f>
        <v>0</v>
      </c>
      <c r="J76" s="29">
        <f>IF(I76="","",F76-I76)</f>
        <v>380</v>
      </c>
      <c r="K76" s="37">
        <f>IF(OR(D76="",A76=""),"",A76+IF(AND(Config!$B$17="Sim",LEFT(D76,17)="Cartão de crédito"),1,IFERROR(INDEX(Config!$C$12:$C$15,MATCH(IF(AND(D76="Cartão de crédito",N(E76)&gt;1),"Cartão de crédito parcelado",D76),Config!$A$12:$A$15,0)),0)))</f>
        <v>46226.0</v>
      </c>
      <c r="L76" s="27">
        <f>IF(A76="","",MONTH(A76))</f>
        <v>7</v>
      </c>
      <c r="M76" s="27">
        <f>IF(A76="","",YEAR(A76))</f>
        <v>2026</v>
      </c>
      <c r="N76" s="27" t="str">
        <f>IF(K76="","",IF(G76="Sim","Conferido",IF(K76&gt;Config!$B$8,"A cair","A conferir")))</f>
        <v>Conferido</v>
      </c>
      <c r="O76" s="50">
        <f>IF(N76="A conferir",(Config!$B$8-K76)*1000+N(F76)/1000+ROW()/100000,0)</f>
        <v>0</v>
      </c>
    </row>
    <row r="77">
      <c r="A77" s="48" t="n">
        <v>46226</v>
      </c>
      <c r="B77" s="40" t="inlineStr">
        <is>
          <t>Otávio Cardoso</t>
        </is>
      </c>
      <c r="C77" s="40" t="inlineStr">
        <is>
          <t>Consulta</t>
        </is>
      </c>
      <c r="D77" s="41" t="inlineStr">
        <is>
          <t>Cartão de crédito</t>
        </is>
      </c>
      <c r="E77" s="41" t="n">
        <v>2</v>
      </c>
      <c r="F77" s="49" t="n">
        <v>380</v>
      </c>
      <c r="G77" s="41" t="inlineStr">
        <is>
          <t>Sim</t>
        </is>
      </c>
      <c r="H77" s="30">
        <f>IF(D77="","",IFERROR(INDEX(Config!$B$12:$B$15,MATCH(IF(AND(D77="Cartão de crédito",N(E77)&gt;1),"Cartão de crédito parcelado",D77),Config!$A$12:$A$15,0)),0)+IF(AND(Config!$B$17="Sim",LEFT(D77,17)="Cartão de crédito"),Config!$B$18*IFERROR(INDEX(Config!$C$12:$C$15,MATCH(IF(AND(D77="Cartão de crédito",N(E77)&gt;1),"Cartão de crédito parcelado",D77),Config!$A$12:$A$15,0)),0)/30*MAX(1,N(E77)),0))</f>
        <v>0.039</v>
      </c>
      <c r="I77" s="29">
        <f>IF(OR(D77="",F77=""),"",ROUND(F77*H77,2))</f>
        <v>14.82</v>
      </c>
      <c r="J77" s="29">
        <f>IF(I77="","",F77-I77)</f>
        <v>365.18</v>
      </c>
      <c r="K77" s="37">
        <f>IF(OR(D77="",A77=""),"",A77+IF(AND(Config!$B$17="Sim",LEFT(D77,17)="Cartão de crédito"),1,IFERROR(INDEX(Config!$C$12:$C$15,MATCH(IF(AND(D77="Cartão de crédito",N(E77)&gt;1),"Cartão de crédito parcelado",D77),Config!$A$12:$A$15,0)),0)))</f>
        <v>46256.0</v>
      </c>
      <c r="L77" s="27">
        <f>IF(A77="","",MONTH(A77))</f>
        <v>7</v>
      </c>
      <c r="M77" s="27">
        <f>IF(A77="","",YEAR(A77))</f>
        <v>2026</v>
      </c>
      <c r="N77" s="27" t="str">
        <f>IF(K77="","",IF(G77="Sim","Conferido",IF(K77&gt;Config!$B$8,"A cair","A conferir")))</f>
        <v>Conferido</v>
      </c>
      <c r="O77" s="50">
        <f>IF(N77="A conferir",(Config!$B$8-K77)*1000+N(F77)/1000+ROW()/100000,0)</f>
        <v>0</v>
      </c>
    </row>
    <row r="78">
      <c r="A78" s="48" t="n">
        <v>46226</v>
      </c>
      <c r="B78" s="40" t="inlineStr">
        <is>
          <t>Helena Moreira</t>
        </is>
      </c>
      <c r="C78" s="40" t="inlineStr">
        <is>
          <t>Consulta</t>
        </is>
      </c>
      <c r="D78" s="41" t="inlineStr">
        <is>
          <t>Cartão de crédito</t>
        </is>
      </c>
      <c r="E78" s="41" t="n"/>
      <c r="F78" s="49" t="n">
        <v>380</v>
      </c>
      <c r="G78" s="41" t="inlineStr">
        <is>
          <t>Sim</t>
        </is>
      </c>
      <c r="H78" s="30">
        <f>IF(D78="","",IFERROR(INDEX(Config!$B$12:$B$15,MATCH(IF(AND(D78="Cartão de crédito",N(E78)&gt;1),"Cartão de crédito parcelado",D78),Config!$A$12:$A$15,0)),0)+IF(AND(Config!$B$17="Sim",LEFT(D78,17)="Cartão de crédito"),Config!$B$18*IFERROR(INDEX(Config!$C$12:$C$15,MATCH(IF(AND(D78="Cartão de crédito",N(E78)&gt;1),"Cartão de crédito parcelado",D78),Config!$A$12:$A$15,0)),0)/30*MAX(1,N(E78)),0))</f>
        <v>0.032</v>
      </c>
      <c r="I78" s="29">
        <f>IF(OR(D78="",F78=""),"",ROUND(F78*H78,2))</f>
        <v>12.16</v>
      </c>
      <c r="J78" s="29">
        <f>IF(I78="","",F78-I78)</f>
        <v>367.84</v>
      </c>
      <c r="K78" s="37">
        <f>IF(OR(D78="",A78=""),"",A78+IF(AND(Config!$B$17="Sim",LEFT(D78,17)="Cartão de crédito"),1,IFERROR(INDEX(Config!$C$12:$C$15,MATCH(IF(AND(D78="Cartão de crédito",N(E78)&gt;1),"Cartão de crédito parcelado",D78),Config!$A$12:$A$15,0)),0)))</f>
        <v>46256.0</v>
      </c>
      <c r="L78" s="27">
        <f>IF(A78="","",MONTH(A78))</f>
        <v>7</v>
      </c>
      <c r="M78" s="27">
        <f>IF(A78="","",YEAR(A78))</f>
        <v>2026</v>
      </c>
      <c r="N78" s="27" t="str">
        <f>IF(K78="","",IF(G78="Sim","Conferido",IF(K78&gt;Config!$B$8,"A cair","A conferir")))</f>
        <v>Conferido</v>
      </c>
      <c r="O78" s="50">
        <f>IF(N78="A conferir",(Config!$B$8-K78)*1000+N(F78)/1000+ROW()/100000,0)</f>
        <v>0</v>
      </c>
    </row>
    <row r="79">
      <c r="A79" s="48" t="n">
        <v>46226</v>
      </c>
      <c r="B79" s="40" t="inlineStr">
        <is>
          <t>Mariana Reis</t>
        </is>
      </c>
      <c r="C79" s="40" t="inlineStr">
        <is>
          <t>Avaliação endócrina</t>
        </is>
      </c>
      <c r="D79" s="41" t="inlineStr">
        <is>
          <t>Pix</t>
        </is>
      </c>
      <c r="E79" s="41" t="n"/>
      <c r="F79" s="49" t="n">
        <v>400</v>
      </c>
      <c r="G79" s="41" t="inlineStr">
        <is>
          <t>Sim</t>
        </is>
      </c>
      <c r="H79" s="30">
        <f>IF(D79="","",IFERROR(INDEX(Config!$B$12:$B$15,MATCH(IF(AND(D79="Cartão de crédito",N(E79)&gt;1),"Cartão de crédito parcelado",D79),Config!$A$12:$A$15,0)),0)+IF(AND(Config!$B$17="Sim",LEFT(D79,17)="Cartão de crédito"),Config!$B$18*IFERROR(INDEX(Config!$C$12:$C$15,MATCH(IF(AND(D79="Cartão de crédito",N(E79)&gt;1),"Cartão de crédito parcelado",D79),Config!$A$12:$A$15,0)),0)/30*MAX(1,N(E79)),0))</f>
        <v>0</v>
      </c>
      <c r="I79" s="29">
        <f>IF(OR(D79="",F79=""),"",ROUND(F79*H79,2))</f>
        <v>0</v>
      </c>
      <c r="J79" s="29">
        <f>IF(I79="","",F79-I79)</f>
        <v>400</v>
      </c>
      <c r="K79" s="37">
        <f>IF(OR(D79="",A79=""),"",A79+IF(AND(Config!$B$17="Sim",LEFT(D79,17)="Cartão de crédito"),1,IFERROR(INDEX(Config!$C$12:$C$15,MATCH(IF(AND(D79="Cartão de crédito",N(E79)&gt;1),"Cartão de crédito parcelado",D79),Config!$A$12:$A$15,0)),0)))</f>
        <v>46226.0</v>
      </c>
      <c r="L79" s="27">
        <f>IF(A79="","",MONTH(A79))</f>
        <v>7</v>
      </c>
      <c r="M79" s="27">
        <f>IF(A79="","",YEAR(A79))</f>
        <v>2026</v>
      </c>
      <c r="N79" s="27" t="str">
        <f>IF(K79="","",IF(G79="Sim","Conferido",IF(K79&gt;Config!$B$8,"A cair","A conferir")))</f>
        <v>Conferido</v>
      </c>
      <c r="O79" s="50">
        <f>IF(N79="A conferir",(Config!$B$8-K79)*1000+N(F79)/1000+ROW()/100000,0)</f>
        <v>0</v>
      </c>
    </row>
    <row r="80">
      <c r="A80" s="48" t="n">
        <v>46226</v>
      </c>
      <c r="B80" s="40" t="inlineStr">
        <is>
          <t>Paulo Reis</t>
        </is>
      </c>
      <c r="C80" s="40" t="inlineStr">
        <is>
          <t>Consulta</t>
        </is>
      </c>
      <c r="D80" s="41" t="inlineStr">
        <is>
          <t>Cartão de crédito</t>
        </is>
      </c>
      <c r="E80" s="41" t="n"/>
      <c r="F80" s="49" t="n">
        <v>380</v>
      </c>
      <c r="G80" s="41" t="inlineStr">
        <is>
          <t>Sim</t>
        </is>
      </c>
      <c r="H80" s="30">
        <f>IF(D80="","",IFERROR(INDEX(Config!$B$12:$B$15,MATCH(IF(AND(D80="Cartão de crédito",N(E80)&gt;1),"Cartão de crédito parcelado",D80),Config!$A$12:$A$15,0)),0)+IF(AND(Config!$B$17="Sim",LEFT(D80,17)="Cartão de crédito"),Config!$B$18*IFERROR(INDEX(Config!$C$12:$C$15,MATCH(IF(AND(D80="Cartão de crédito",N(E80)&gt;1),"Cartão de crédito parcelado",D80),Config!$A$12:$A$15,0)),0)/30*MAX(1,N(E80)),0))</f>
        <v>0.032</v>
      </c>
      <c r="I80" s="29">
        <f>IF(OR(D80="",F80=""),"",ROUND(F80*H80,2))</f>
        <v>12.16</v>
      </c>
      <c r="J80" s="29">
        <f>IF(I80="","",F80-I80)</f>
        <v>367.84</v>
      </c>
      <c r="K80" s="37">
        <f>IF(OR(D80="",A80=""),"",A80+IF(AND(Config!$B$17="Sim",LEFT(D80,17)="Cartão de crédito"),1,IFERROR(INDEX(Config!$C$12:$C$15,MATCH(IF(AND(D80="Cartão de crédito",N(E80)&gt;1),"Cartão de crédito parcelado",D80),Config!$A$12:$A$15,0)),0)))</f>
        <v>46256.0</v>
      </c>
      <c r="L80" s="27">
        <f>IF(A80="","",MONTH(A80))</f>
        <v>7</v>
      </c>
      <c r="M80" s="27">
        <f>IF(A80="","",YEAR(A80))</f>
        <v>2026</v>
      </c>
      <c r="N80" s="27" t="str">
        <f>IF(K80="","",IF(G80="Sim","Conferido",IF(K80&gt;Config!$B$8,"A cair","A conferir")))</f>
        <v>Conferido</v>
      </c>
      <c r="O80" s="50">
        <f>IF(N80="A conferir",(Config!$B$8-K80)*1000+N(F80)/1000+ROW()/100000,0)</f>
        <v>0</v>
      </c>
    </row>
    <row r="81">
      <c r="A81" s="48" t="n">
        <v>46226</v>
      </c>
      <c r="B81" s="40" t="inlineStr">
        <is>
          <t>Priscila Reis</t>
        </is>
      </c>
      <c r="C81" s="40" t="inlineStr">
        <is>
          <t>Avaliação endócrina</t>
        </is>
      </c>
      <c r="D81" s="41" t="inlineStr">
        <is>
          <t>Cartão de crédito</t>
        </is>
      </c>
      <c r="E81" s="41" t="n">
        <v>2</v>
      </c>
      <c r="F81" s="49" t="n">
        <v>400</v>
      </c>
      <c r="G81" s="41" t="inlineStr">
        <is>
          <t>Sim</t>
        </is>
      </c>
      <c r="H81" s="30">
        <f>IF(D81="","",IFERROR(INDEX(Config!$B$12:$B$15,MATCH(IF(AND(D81="Cartão de crédito",N(E81)&gt;1),"Cartão de crédito parcelado",D81),Config!$A$12:$A$15,0)),0)+IF(AND(Config!$B$17="Sim",LEFT(D81,17)="Cartão de crédito"),Config!$B$18*IFERROR(INDEX(Config!$C$12:$C$15,MATCH(IF(AND(D81="Cartão de crédito",N(E81)&gt;1),"Cartão de crédito parcelado",D81),Config!$A$12:$A$15,0)),0)/30*MAX(1,N(E81)),0))</f>
        <v>0.039</v>
      </c>
      <c r="I81" s="29">
        <f>IF(OR(D81="",F81=""),"",ROUND(F81*H81,2))</f>
        <v>15.6</v>
      </c>
      <c r="J81" s="29">
        <f>IF(I81="","",F81-I81)</f>
        <v>384.4</v>
      </c>
      <c r="K81" s="37">
        <f>IF(OR(D81="",A81=""),"",A81+IF(AND(Config!$B$17="Sim",LEFT(D81,17)="Cartão de crédito"),1,IFERROR(INDEX(Config!$C$12:$C$15,MATCH(IF(AND(D81="Cartão de crédito",N(E81)&gt;1),"Cartão de crédito parcelado",D81),Config!$A$12:$A$15,0)),0)))</f>
        <v>46256.0</v>
      </c>
      <c r="L81" s="27">
        <f>IF(A81="","",MONTH(A81))</f>
        <v>7</v>
      </c>
      <c r="M81" s="27">
        <f>IF(A81="","",YEAR(A81))</f>
        <v>2026</v>
      </c>
      <c r="N81" s="27" t="str">
        <f>IF(K81="","",IF(G81="Sim","Conferido",IF(K81&gt;Config!$B$8,"A cair","A conferir")))</f>
        <v>Conferido</v>
      </c>
      <c r="O81" s="50">
        <f>IF(N81="A conferir",(Config!$B$8-K81)*1000+N(F81)/1000+ROW()/100000,0)</f>
        <v>0</v>
      </c>
    </row>
    <row r="82">
      <c r="A82" s="48" t="n">
        <v>46227</v>
      </c>
      <c r="B82" s="40" t="inlineStr">
        <is>
          <t>Ana Costa</t>
        </is>
      </c>
      <c r="C82" s="40" t="inlineStr">
        <is>
          <t>ECG</t>
        </is>
      </c>
      <c r="D82" s="41" t="inlineStr">
        <is>
          <t>Pix</t>
        </is>
      </c>
      <c r="E82" s="41" t="n"/>
      <c r="F82" s="49" t="n">
        <v>130</v>
      </c>
      <c r="G82" s="41" t="inlineStr">
        <is>
          <t>Sim</t>
        </is>
      </c>
      <c r="H82" s="30">
        <f>IF(D82="","",IFERROR(INDEX(Config!$B$12:$B$15,MATCH(IF(AND(D82="Cartão de crédito",N(E82)&gt;1),"Cartão de crédito parcelado",D82),Config!$A$12:$A$15,0)),0)+IF(AND(Config!$B$17="Sim",LEFT(D82,17)="Cartão de crédito"),Config!$B$18*IFERROR(INDEX(Config!$C$12:$C$15,MATCH(IF(AND(D82="Cartão de crédito",N(E82)&gt;1),"Cartão de crédito parcelado",D82),Config!$A$12:$A$15,0)),0)/30*MAX(1,N(E82)),0))</f>
        <v>0</v>
      </c>
      <c r="I82" s="29">
        <f>IF(OR(D82="",F82=""),"",ROUND(F82*H82,2))</f>
        <v>0</v>
      </c>
      <c r="J82" s="29">
        <f>IF(I82="","",F82-I82)</f>
        <v>130</v>
      </c>
      <c r="K82" s="37">
        <f>IF(OR(D82="",A82=""),"",A82+IF(AND(Config!$B$17="Sim",LEFT(D82,17)="Cartão de crédito"),1,IFERROR(INDEX(Config!$C$12:$C$15,MATCH(IF(AND(D82="Cartão de crédito",N(E82)&gt;1),"Cartão de crédito parcelado",D82),Config!$A$12:$A$15,0)),0)))</f>
        <v>46227.0</v>
      </c>
      <c r="L82" s="27">
        <f>IF(A82="","",MONTH(A82))</f>
        <v>7</v>
      </c>
      <c r="M82" s="27">
        <f>IF(A82="","",YEAR(A82))</f>
        <v>2026</v>
      </c>
      <c r="N82" s="27" t="str">
        <f>IF(K82="","",IF(G82="Sim","Conferido",IF(K82&gt;Config!$B$8,"A cair","A conferir")))</f>
        <v>Conferido</v>
      </c>
      <c r="O82" s="50">
        <f>IF(N82="A conferir",(Config!$B$8-K82)*1000+N(F82)/1000+ROW()/100000,0)</f>
        <v>0</v>
      </c>
    </row>
    <row r="83">
      <c r="A83" s="48" t="n">
        <v>46230</v>
      </c>
      <c r="B83" s="40" t="inlineStr">
        <is>
          <t>Eduardo Lima</t>
        </is>
      </c>
      <c r="C83" s="40" t="inlineStr">
        <is>
          <t>Consulta</t>
        </is>
      </c>
      <c r="D83" s="41" t="inlineStr">
        <is>
          <t>Cartão de crédito</t>
        </is>
      </c>
      <c r="E83" s="41" t="n"/>
      <c r="F83" s="49" t="n">
        <v>380</v>
      </c>
      <c r="G83" s="41" t="inlineStr">
        <is>
          <t>Sim</t>
        </is>
      </c>
      <c r="H83" s="30">
        <f>IF(D83="","",IFERROR(INDEX(Config!$B$12:$B$15,MATCH(IF(AND(D83="Cartão de crédito",N(E83)&gt;1),"Cartão de crédito parcelado",D83),Config!$A$12:$A$15,0)),0)+IF(AND(Config!$B$17="Sim",LEFT(D83,17)="Cartão de crédito"),Config!$B$18*IFERROR(INDEX(Config!$C$12:$C$15,MATCH(IF(AND(D83="Cartão de crédito",N(E83)&gt;1),"Cartão de crédito parcelado",D83),Config!$A$12:$A$15,0)),0)/30*MAX(1,N(E83)),0))</f>
        <v>0.032</v>
      </c>
      <c r="I83" s="29">
        <f>IF(OR(D83="",F83=""),"",ROUND(F83*H83,2))</f>
        <v>12.16</v>
      </c>
      <c r="J83" s="29">
        <f>IF(I83="","",F83-I83)</f>
        <v>367.84</v>
      </c>
      <c r="K83" s="37">
        <f>IF(OR(D83="",A83=""),"",A83+IF(AND(Config!$B$17="Sim",LEFT(D83,17)="Cartão de crédito"),1,IFERROR(INDEX(Config!$C$12:$C$15,MATCH(IF(AND(D83="Cartão de crédito",N(E83)&gt;1),"Cartão de crédito parcelado",D83),Config!$A$12:$A$15,0)),0)))</f>
        <v>46260.0</v>
      </c>
      <c r="L83" s="27">
        <f>IF(A83="","",MONTH(A83))</f>
        <v>7</v>
      </c>
      <c r="M83" s="27">
        <f>IF(A83="","",YEAR(A83))</f>
        <v>2026</v>
      </c>
      <c r="N83" s="27" t="str">
        <f>IF(K83="","",IF(G83="Sim","Conferido",IF(K83&gt;Config!$B$8,"A cair","A conferir")))</f>
        <v>Conferido</v>
      </c>
      <c r="O83" s="50">
        <f>IF(N83="A conferir",(Config!$B$8-K83)*1000+N(F83)/1000+ROW()/100000,0)</f>
        <v>0</v>
      </c>
    </row>
    <row r="84">
      <c r="A84" s="48" t="n">
        <v>46230</v>
      </c>
      <c r="B84" s="40" t="inlineStr">
        <is>
          <t>Débora Moreira</t>
        </is>
      </c>
      <c r="C84" s="40" t="inlineStr">
        <is>
          <t>Consulta</t>
        </is>
      </c>
      <c r="D84" s="41" t="inlineStr">
        <is>
          <t>Pix</t>
        </is>
      </c>
      <c r="E84" s="41" t="n"/>
      <c r="F84" s="49" t="n">
        <v>380</v>
      </c>
      <c r="G84" s="41" t="inlineStr">
        <is>
          <t>Sim</t>
        </is>
      </c>
      <c r="H84" s="30">
        <f>IF(D84="","",IFERROR(INDEX(Config!$B$12:$B$15,MATCH(IF(AND(D84="Cartão de crédito",N(E84)&gt;1),"Cartão de crédito parcelado",D84),Config!$A$12:$A$15,0)),0)+IF(AND(Config!$B$17="Sim",LEFT(D84,17)="Cartão de crédito"),Config!$B$18*IFERROR(INDEX(Config!$C$12:$C$15,MATCH(IF(AND(D84="Cartão de crédito",N(E84)&gt;1),"Cartão de crédito parcelado",D84),Config!$A$12:$A$15,0)),0)/30*MAX(1,N(E84)),0))</f>
        <v>0</v>
      </c>
      <c r="I84" s="29">
        <f>IF(OR(D84="",F84=""),"",ROUND(F84*H84,2))</f>
        <v>0</v>
      </c>
      <c r="J84" s="29">
        <f>IF(I84="","",F84-I84)</f>
        <v>380</v>
      </c>
      <c r="K84" s="37">
        <f>IF(OR(D84="",A84=""),"",A84+IF(AND(Config!$B$17="Sim",LEFT(D84,17)="Cartão de crédito"),1,IFERROR(INDEX(Config!$C$12:$C$15,MATCH(IF(AND(D84="Cartão de crédito",N(E84)&gt;1),"Cartão de crédito parcelado",D84),Config!$A$12:$A$15,0)),0)))</f>
        <v>46230.0</v>
      </c>
      <c r="L84" s="27">
        <f>IF(A84="","",MONTH(A84))</f>
        <v>7</v>
      </c>
      <c r="M84" s="27">
        <f>IF(A84="","",YEAR(A84))</f>
        <v>2026</v>
      </c>
      <c r="N84" s="27" t="str">
        <f>IF(K84="","",IF(G84="Sim","Conferido",IF(K84&gt;Config!$B$8,"A cair","A conferir")))</f>
        <v>Conferido</v>
      </c>
      <c r="O84" s="50">
        <f>IF(N84="A conferir",(Config!$B$8-K84)*1000+N(F84)/1000+ROW()/100000,0)</f>
        <v>0</v>
      </c>
    </row>
    <row r="85">
      <c r="A85" s="48" t="n">
        <v>46231</v>
      </c>
      <c r="B85" s="40" t="inlineStr">
        <is>
          <t>Gisele Ribeiro</t>
        </is>
      </c>
      <c r="C85" s="40" t="inlineStr">
        <is>
          <t>Consulta</t>
        </is>
      </c>
      <c r="D85" s="41" t="inlineStr">
        <is>
          <t>Cartão de débito</t>
        </is>
      </c>
      <c r="E85" s="41" t="n"/>
      <c r="F85" s="49" t="n">
        <v>380</v>
      </c>
      <c r="G85" s="41" t="inlineStr">
        <is>
          <t>Sim</t>
        </is>
      </c>
      <c r="H85" s="30">
        <f>IF(D85="","",IFERROR(INDEX(Config!$B$12:$B$15,MATCH(IF(AND(D85="Cartão de crédito",N(E85)&gt;1),"Cartão de crédito parcelado",D85),Config!$A$12:$A$15,0)),0)+IF(AND(Config!$B$17="Sim",LEFT(D85,17)="Cartão de crédito"),Config!$B$18*IFERROR(INDEX(Config!$C$12:$C$15,MATCH(IF(AND(D85="Cartão de crédito",N(E85)&gt;1),"Cartão de crédito parcelado",D85),Config!$A$12:$A$15,0)),0)/30*MAX(1,N(E85)),0))</f>
        <v>0.015</v>
      </c>
      <c r="I85" s="29">
        <f>IF(OR(D85="",F85=""),"",ROUND(F85*H85,2))</f>
        <v>5.7</v>
      </c>
      <c r="J85" s="29">
        <f>IF(I85="","",F85-I85)</f>
        <v>374.3</v>
      </c>
      <c r="K85" s="37">
        <f>IF(OR(D85="",A85=""),"",A85+IF(AND(Config!$B$17="Sim",LEFT(D85,17)="Cartão de crédito"),1,IFERROR(INDEX(Config!$C$12:$C$15,MATCH(IF(AND(D85="Cartão de crédito",N(E85)&gt;1),"Cartão de crédito parcelado",D85),Config!$A$12:$A$15,0)),0)))</f>
        <v>46232.0</v>
      </c>
      <c r="L85" s="27">
        <f>IF(A85="","",MONTH(A85))</f>
        <v>7</v>
      </c>
      <c r="M85" s="27">
        <f>IF(A85="","",YEAR(A85))</f>
        <v>2026</v>
      </c>
      <c r="N85" s="27" t="str">
        <f>IF(K85="","",IF(G85="Sim","Conferido",IF(K85&gt;Config!$B$8,"A cair","A conferir")))</f>
        <v>Conferido</v>
      </c>
      <c r="O85" s="50">
        <f>IF(N85="A conferir",(Config!$B$8-K85)*1000+N(F85)/1000+ROW()/100000,0)</f>
        <v>0</v>
      </c>
    </row>
    <row r="86">
      <c r="A86" s="48" t="n">
        <v>46231</v>
      </c>
      <c r="B86" s="40" t="inlineStr">
        <is>
          <t>Wagner Santos</t>
        </is>
      </c>
      <c r="C86" s="40" t="inlineStr">
        <is>
          <t>Consulta</t>
        </is>
      </c>
      <c r="D86" s="41" t="inlineStr">
        <is>
          <t>Cartão de crédito</t>
        </is>
      </c>
      <c r="E86" s="41" t="n"/>
      <c r="F86" s="49" t="n">
        <v>380</v>
      </c>
      <c r="G86" s="41" t="inlineStr">
        <is>
          <t>Sim</t>
        </is>
      </c>
      <c r="H86" s="30">
        <f>IF(D86="","",IFERROR(INDEX(Config!$B$12:$B$15,MATCH(IF(AND(D86="Cartão de crédito",N(E86)&gt;1),"Cartão de crédito parcelado",D86),Config!$A$12:$A$15,0)),0)+IF(AND(Config!$B$17="Sim",LEFT(D86,17)="Cartão de crédito"),Config!$B$18*IFERROR(INDEX(Config!$C$12:$C$15,MATCH(IF(AND(D86="Cartão de crédito",N(E86)&gt;1),"Cartão de crédito parcelado",D86),Config!$A$12:$A$15,0)),0)/30*MAX(1,N(E86)),0))</f>
        <v>0.032</v>
      </c>
      <c r="I86" s="29">
        <f>IF(OR(D86="",F86=""),"",ROUND(F86*H86,2))</f>
        <v>12.16</v>
      </c>
      <c r="J86" s="29">
        <f>IF(I86="","",F86-I86)</f>
        <v>367.84</v>
      </c>
      <c r="K86" s="37">
        <f>IF(OR(D86="",A86=""),"",A86+IF(AND(Config!$B$17="Sim",LEFT(D86,17)="Cartão de crédito"),1,IFERROR(INDEX(Config!$C$12:$C$15,MATCH(IF(AND(D86="Cartão de crédito",N(E86)&gt;1),"Cartão de crédito parcelado",D86),Config!$A$12:$A$15,0)),0)))</f>
        <v>46261.0</v>
      </c>
      <c r="L86" s="27">
        <f>IF(A86="","",MONTH(A86))</f>
        <v>7</v>
      </c>
      <c r="M86" s="27">
        <f>IF(A86="","",YEAR(A86))</f>
        <v>2026</v>
      </c>
      <c r="N86" s="27" t="str">
        <f>IF(K86="","",IF(G86="Sim","Conferido",IF(K86&gt;Config!$B$8,"A cair","A conferir")))</f>
        <v>Conferido</v>
      </c>
      <c r="O86" s="50">
        <f>IF(N86="A conferir",(Config!$B$8-K86)*1000+N(F86)/1000+ROW()/100000,0)</f>
        <v>0</v>
      </c>
    </row>
    <row r="87">
      <c r="A87" s="48" t="n">
        <v>46231</v>
      </c>
      <c r="B87" s="40" t="inlineStr">
        <is>
          <t>Carlos Freitas</t>
        </is>
      </c>
      <c r="C87" s="40" t="inlineStr">
        <is>
          <t>Avaliação endócrina</t>
        </is>
      </c>
      <c r="D87" s="41" t="inlineStr">
        <is>
          <t>Cartão de crédito</t>
        </is>
      </c>
      <c r="E87" s="41" t="n">
        <v>2</v>
      </c>
      <c r="F87" s="49" t="n">
        <v>400</v>
      </c>
      <c r="G87" s="41" t="inlineStr">
        <is>
          <t>Sim</t>
        </is>
      </c>
      <c r="H87" s="30">
        <f>IF(D87="","",IFERROR(INDEX(Config!$B$12:$B$15,MATCH(IF(AND(D87="Cartão de crédito",N(E87)&gt;1),"Cartão de crédito parcelado",D87),Config!$A$12:$A$15,0)),0)+IF(AND(Config!$B$17="Sim",LEFT(D87,17)="Cartão de crédito"),Config!$B$18*IFERROR(INDEX(Config!$C$12:$C$15,MATCH(IF(AND(D87="Cartão de crédito",N(E87)&gt;1),"Cartão de crédito parcelado",D87),Config!$A$12:$A$15,0)),0)/30*MAX(1,N(E87)),0))</f>
        <v>0.039</v>
      </c>
      <c r="I87" s="29">
        <f>IF(OR(D87="",F87=""),"",ROUND(F87*H87,2))</f>
        <v>15.6</v>
      </c>
      <c r="J87" s="29">
        <f>IF(I87="","",F87-I87)</f>
        <v>384.4</v>
      </c>
      <c r="K87" s="37">
        <f>IF(OR(D87="",A87=""),"",A87+IF(AND(Config!$B$17="Sim",LEFT(D87,17)="Cartão de crédito"),1,IFERROR(INDEX(Config!$C$12:$C$15,MATCH(IF(AND(D87="Cartão de crédito",N(E87)&gt;1),"Cartão de crédito parcelado",D87),Config!$A$12:$A$15,0)),0)))</f>
        <v>46261.0</v>
      </c>
      <c r="L87" s="27">
        <f>IF(A87="","",MONTH(A87))</f>
        <v>7</v>
      </c>
      <c r="M87" s="27">
        <f>IF(A87="","",YEAR(A87))</f>
        <v>2026</v>
      </c>
      <c r="N87" s="27" t="str">
        <f>IF(K87="","",IF(G87="Sim","Conferido",IF(K87&gt;Config!$B$8,"A cair","A conferir")))</f>
        <v>Conferido</v>
      </c>
      <c r="O87" s="50">
        <f>IF(N87="A conferir",(Config!$B$8-K87)*1000+N(F87)/1000+ROW()/100000,0)</f>
        <v>0</v>
      </c>
    </row>
    <row r="88">
      <c r="A88" s="48" t="n">
        <v>46231</v>
      </c>
      <c r="B88" s="40" t="inlineStr">
        <is>
          <t>Cláudia Melo</t>
        </is>
      </c>
      <c r="C88" s="40" t="inlineStr">
        <is>
          <t>Avaliação endócrina</t>
        </is>
      </c>
      <c r="D88" s="41" t="inlineStr">
        <is>
          <t>Pix</t>
        </is>
      </c>
      <c r="E88" s="41" t="n"/>
      <c r="F88" s="49" t="n">
        <v>400</v>
      </c>
      <c r="G88" s="41" t="inlineStr">
        <is>
          <t>Sim</t>
        </is>
      </c>
      <c r="H88" s="30">
        <f>IF(D88="","",IFERROR(INDEX(Config!$B$12:$B$15,MATCH(IF(AND(D88="Cartão de crédito",N(E88)&gt;1),"Cartão de crédito parcelado",D88),Config!$A$12:$A$15,0)),0)+IF(AND(Config!$B$17="Sim",LEFT(D88,17)="Cartão de crédito"),Config!$B$18*IFERROR(INDEX(Config!$C$12:$C$15,MATCH(IF(AND(D88="Cartão de crédito",N(E88)&gt;1),"Cartão de crédito parcelado",D88),Config!$A$12:$A$15,0)),0)/30*MAX(1,N(E88)),0))</f>
        <v>0</v>
      </c>
      <c r="I88" s="29">
        <f>IF(OR(D88="",F88=""),"",ROUND(F88*H88,2))</f>
        <v>0</v>
      </c>
      <c r="J88" s="29">
        <f>IF(I88="","",F88-I88)</f>
        <v>400</v>
      </c>
      <c r="K88" s="37">
        <f>IF(OR(D88="",A88=""),"",A88+IF(AND(Config!$B$17="Sim",LEFT(D88,17)="Cartão de crédito"),1,IFERROR(INDEX(Config!$C$12:$C$15,MATCH(IF(AND(D88="Cartão de crédito",N(E88)&gt;1),"Cartão de crédito parcelado",D88),Config!$A$12:$A$15,0)),0)))</f>
        <v>46231.0</v>
      </c>
      <c r="L88" s="27">
        <f>IF(A88="","",MONTH(A88))</f>
        <v>7</v>
      </c>
      <c r="M88" s="27">
        <f>IF(A88="","",YEAR(A88))</f>
        <v>2026</v>
      </c>
      <c r="N88" s="27" t="str">
        <f>IF(K88="","",IF(G88="Sim","Conferido",IF(K88&gt;Config!$B$8,"A cair","A conferir")))</f>
        <v>Conferido</v>
      </c>
      <c r="O88" s="50">
        <f>IF(N88="A conferir",(Config!$B$8-K88)*1000+N(F88)/1000+ROW()/100000,0)</f>
        <v>0</v>
      </c>
    </row>
    <row r="89">
      <c r="A89" s="48" t="n">
        <v>46231</v>
      </c>
      <c r="B89" s="40" t="inlineStr">
        <is>
          <t>Marcelo Ferreira</t>
        </is>
      </c>
      <c r="C89" s="40" t="inlineStr">
        <is>
          <t>Consulta</t>
        </is>
      </c>
      <c r="D89" s="41" t="inlineStr">
        <is>
          <t>Cartão de débito</t>
        </is>
      </c>
      <c r="E89" s="41" t="n"/>
      <c r="F89" s="49" t="n">
        <v>380</v>
      </c>
      <c r="G89" s="41" t="inlineStr">
        <is>
          <t>Sim</t>
        </is>
      </c>
      <c r="H89" s="30">
        <f>IF(D89="","",IFERROR(INDEX(Config!$B$12:$B$15,MATCH(IF(AND(D89="Cartão de crédito",N(E89)&gt;1),"Cartão de crédito parcelado",D89),Config!$A$12:$A$15,0)),0)+IF(AND(Config!$B$17="Sim",LEFT(D89,17)="Cartão de crédito"),Config!$B$18*IFERROR(INDEX(Config!$C$12:$C$15,MATCH(IF(AND(D89="Cartão de crédito",N(E89)&gt;1),"Cartão de crédito parcelado",D89),Config!$A$12:$A$15,0)),0)/30*MAX(1,N(E89)),0))</f>
        <v>0.015</v>
      </c>
      <c r="I89" s="29">
        <f>IF(OR(D89="",F89=""),"",ROUND(F89*H89,2))</f>
        <v>5.7</v>
      </c>
      <c r="J89" s="29">
        <f>IF(I89="","",F89-I89)</f>
        <v>374.3</v>
      </c>
      <c r="K89" s="37">
        <f>IF(OR(D89="",A89=""),"",A89+IF(AND(Config!$B$17="Sim",LEFT(D89,17)="Cartão de crédito"),1,IFERROR(INDEX(Config!$C$12:$C$15,MATCH(IF(AND(D89="Cartão de crédito",N(E89)&gt;1),"Cartão de crédito parcelado",D89),Config!$A$12:$A$15,0)),0)))</f>
        <v>46232.0</v>
      </c>
      <c r="L89" s="27">
        <f>IF(A89="","",MONTH(A89))</f>
        <v>7</v>
      </c>
      <c r="M89" s="27">
        <f>IF(A89="","",YEAR(A89))</f>
        <v>2026</v>
      </c>
      <c r="N89" s="27" t="str">
        <f>IF(K89="","",IF(G89="Sim","Conferido",IF(K89&gt;Config!$B$8,"A cair","A conferir")))</f>
        <v>Conferido</v>
      </c>
      <c r="O89" s="50">
        <f>IF(N89="A conferir",(Config!$B$8-K89)*1000+N(F89)/1000+ROW()/100000,0)</f>
        <v>0</v>
      </c>
    </row>
    <row r="90">
      <c r="A90" s="48" t="n">
        <v>46231</v>
      </c>
      <c r="B90" s="40" t="inlineStr">
        <is>
          <t>Fernanda Freitas</t>
        </is>
      </c>
      <c r="C90" s="40" t="inlineStr">
        <is>
          <t>Teste ergométrico</t>
        </is>
      </c>
      <c r="D90" s="41" t="inlineStr">
        <is>
          <t>Cartão de crédito</t>
        </is>
      </c>
      <c r="E90" s="41" t="n"/>
      <c r="F90" s="49" t="n">
        <v>450</v>
      </c>
      <c r="G90" s="41" t="inlineStr">
        <is>
          <t>Sim</t>
        </is>
      </c>
      <c r="H90" s="30">
        <f>IF(D90="","",IFERROR(INDEX(Config!$B$12:$B$15,MATCH(IF(AND(D90="Cartão de crédito",N(E90)&gt;1),"Cartão de crédito parcelado",D90),Config!$A$12:$A$15,0)),0)+IF(AND(Config!$B$17="Sim",LEFT(D90,17)="Cartão de crédito"),Config!$B$18*IFERROR(INDEX(Config!$C$12:$C$15,MATCH(IF(AND(D90="Cartão de crédito",N(E90)&gt;1),"Cartão de crédito parcelado",D90),Config!$A$12:$A$15,0)),0)/30*MAX(1,N(E90)),0))</f>
        <v>0.032</v>
      </c>
      <c r="I90" s="29">
        <f>IF(OR(D90="",F90=""),"",ROUND(F90*H90,2))</f>
        <v>14.4</v>
      </c>
      <c r="J90" s="29">
        <f>IF(I90="","",F90-I90)</f>
        <v>435.6</v>
      </c>
      <c r="K90" s="37">
        <f>IF(OR(D90="",A90=""),"",A90+IF(AND(Config!$B$17="Sim",LEFT(D90,17)="Cartão de crédito"),1,IFERROR(INDEX(Config!$C$12:$C$15,MATCH(IF(AND(D90="Cartão de crédito",N(E90)&gt;1),"Cartão de crédito parcelado",D90),Config!$A$12:$A$15,0)),0)))</f>
        <v>46261.0</v>
      </c>
      <c r="L90" s="27">
        <f>IF(A90="","",MONTH(A90))</f>
        <v>7</v>
      </c>
      <c r="M90" s="27">
        <f>IF(A90="","",YEAR(A90))</f>
        <v>2026</v>
      </c>
      <c r="N90" s="27" t="str">
        <f>IF(K90="","",IF(G90="Sim","Conferido",IF(K90&gt;Config!$B$8,"A cair","A conferir")))</f>
        <v>Conferido</v>
      </c>
      <c r="O90" s="50">
        <f>IF(N90="A conferir",(Config!$B$8-K90)*1000+N(F90)/1000+ROW()/100000,0)</f>
        <v>0</v>
      </c>
    </row>
    <row r="91">
      <c r="A91" s="48" t="n">
        <v>46232</v>
      </c>
      <c r="B91" s="40" t="inlineStr">
        <is>
          <t>Gisele Xavier</t>
        </is>
      </c>
      <c r="C91" s="40" t="inlineStr">
        <is>
          <t>Consulta</t>
        </is>
      </c>
      <c r="D91" s="41" t="inlineStr">
        <is>
          <t>Pix</t>
        </is>
      </c>
      <c r="E91" s="41" t="n"/>
      <c r="F91" s="49" t="n">
        <v>380</v>
      </c>
      <c r="G91" s="41" t="inlineStr">
        <is>
          <t>Sim</t>
        </is>
      </c>
      <c r="H91" s="30">
        <f>IF(D91="","",IFERROR(INDEX(Config!$B$12:$B$15,MATCH(IF(AND(D91="Cartão de crédito",N(E91)&gt;1),"Cartão de crédito parcelado",D91),Config!$A$12:$A$15,0)),0)+IF(AND(Config!$B$17="Sim",LEFT(D91,17)="Cartão de crédito"),Config!$B$18*IFERROR(INDEX(Config!$C$12:$C$15,MATCH(IF(AND(D91="Cartão de crédito",N(E91)&gt;1),"Cartão de crédito parcelado",D91),Config!$A$12:$A$15,0)),0)/30*MAX(1,N(E91)),0))</f>
        <v>0</v>
      </c>
      <c r="I91" s="29">
        <f>IF(OR(D91="",F91=""),"",ROUND(F91*H91,2))</f>
        <v>0</v>
      </c>
      <c r="J91" s="29">
        <f>IF(I91="","",F91-I91)</f>
        <v>380</v>
      </c>
      <c r="K91" s="37">
        <f>IF(OR(D91="",A91=""),"",A91+IF(AND(Config!$B$17="Sim",LEFT(D91,17)="Cartão de crédito"),1,IFERROR(INDEX(Config!$C$12:$C$15,MATCH(IF(AND(D91="Cartão de crédito",N(E91)&gt;1),"Cartão de crédito parcelado",D91),Config!$A$12:$A$15,0)),0)))</f>
        <v>46232.0</v>
      </c>
      <c r="L91" s="27">
        <f>IF(A91="","",MONTH(A91))</f>
        <v>7</v>
      </c>
      <c r="M91" s="27">
        <f>IF(A91="","",YEAR(A91))</f>
        <v>2026</v>
      </c>
      <c r="N91" s="27" t="str">
        <f>IF(K91="","",IF(G91="Sim","Conferido",IF(K91&gt;Config!$B$8,"A cair","A conferir")))</f>
        <v>Conferido</v>
      </c>
      <c r="O91" s="50">
        <f>IF(N91="A conferir",(Config!$B$8-K91)*1000+N(F91)/1000+ROW()/100000,0)</f>
        <v>0</v>
      </c>
    </row>
    <row r="92">
      <c r="A92" s="48" t="n">
        <v>46232</v>
      </c>
      <c r="B92" s="40" t="inlineStr">
        <is>
          <t>Cláudia Santos</t>
        </is>
      </c>
      <c r="C92" s="40" t="inlineStr">
        <is>
          <t>Consulta</t>
        </is>
      </c>
      <c r="D92" s="41" t="inlineStr">
        <is>
          <t>Pix</t>
        </is>
      </c>
      <c r="E92" s="41" t="n"/>
      <c r="F92" s="49" t="n">
        <v>380</v>
      </c>
      <c r="G92" s="41" t="inlineStr">
        <is>
          <t>Sim</t>
        </is>
      </c>
      <c r="H92" s="30">
        <f>IF(D92="","",IFERROR(INDEX(Config!$B$12:$B$15,MATCH(IF(AND(D92="Cartão de crédito",N(E92)&gt;1),"Cartão de crédito parcelado",D92),Config!$A$12:$A$15,0)),0)+IF(AND(Config!$B$17="Sim",LEFT(D92,17)="Cartão de crédito"),Config!$B$18*IFERROR(INDEX(Config!$C$12:$C$15,MATCH(IF(AND(D92="Cartão de crédito",N(E92)&gt;1),"Cartão de crédito parcelado",D92),Config!$A$12:$A$15,0)),0)/30*MAX(1,N(E92)),0))</f>
        <v>0</v>
      </c>
      <c r="I92" s="29">
        <f>IF(OR(D92="",F92=""),"",ROUND(F92*H92,2))</f>
        <v>0</v>
      </c>
      <c r="J92" s="29">
        <f>IF(I92="","",F92-I92)</f>
        <v>380</v>
      </c>
      <c r="K92" s="37">
        <f>IF(OR(D92="",A92=""),"",A92+IF(AND(Config!$B$17="Sim",LEFT(D92,17)="Cartão de crédito"),1,IFERROR(INDEX(Config!$C$12:$C$15,MATCH(IF(AND(D92="Cartão de crédito",N(E92)&gt;1),"Cartão de crédito parcelado",D92),Config!$A$12:$A$15,0)),0)))</f>
        <v>46232.0</v>
      </c>
      <c r="L92" s="27">
        <f>IF(A92="","",MONTH(A92))</f>
        <v>7</v>
      </c>
      <c r="M92" s="27">
        <f>IF(A92="","",YEAR(A92))</f>
        <v>2026</v>
      </c>
      <c r="N92" s="27" t="str">
        <f>IF(K92="","",IF(G92="Sim","Conferido",IF(K92&gt;Config!$B$8,"A cair","A conferir")))</f>
        <v>Conferido</v>
      </c>
      <c r="O92" s="50">
        <f>IF(N92="A conferir",(Config!$B$8-K92)*1000+N(F92)/1000+ROW()/100000,0)</f>
        <v>0</v>
      </c>
    </row>
    <row r="93">
      <c r="A93" s="48" t="n">
        <v>46232</v>
      </c>
      <c r="B93" s="40" t="inlineStr">
        <is>
          <t>Gustavo Ferreira</t>
        </is>
      </c>
      <c r="C93" s="40" t="inlineStr">
        <is>
          <t>Consulta</t>
        </is>
      </c>
      <c r="D93" s="41" t="inlineStr">
        <is>
          <t>Cartão de débito</t>
        </is>
      </c>
      <c r="E93" s="41" t="n"/>
      <c r="F93" s="49" t="n">
        <v>380</v>
      </c>
      <c r="G93" s="41" t="inlineStr">
        <is>
          <t>Sim</t>
        </is>
      </c>
      <c r="H93" s="30">
        <f>IF(D93="","",IFERROR(INDEX(Config!$B$12:$B$15,MATCH(IF(AND(D93="Cartão de crédito",N(E93)&gt;1),"Cartão de crédito parcelado",D93),Config!$A$12:$A$15,0)),0)+IF(AND(Config!$B$17="Sim",LEFT(D93,17)="Cartão de crédito"),Config!$B$18*IFERROR(INDEX(Config!$C$12:$C$15,MATCH(IF(AND(D93="Cartão de crédito",N(E93)&gt;1),"Cartão de crédito parcelado",D93),Config!$A$12:$A$15,0)),0)/30*MAX(1,N(E93)),0))</f>
        <v>0.015</v>
      </c>
      <c r="I93" s="29">
        <f>IF(OR(D93="",F93=""),"",ROUND(F93*H93,2))</f>
        <v>5.7</v>
      </c>
      <c r="J93" s="29">
        <f>IF(I93="","",F93-I93)</f>
        <v>374.3</v>
      </c>
      <c r="K93" s="37">
        <f>IF(OR(D93="",A93=""),"",A93+IF(AND(Config!$B$17="Sim",LEFT(D93,17)="Cartão de crédito"),1,IFERROR(INDEX(Config!$C$12:$C$15,MATCH(IF(AND(D93="Cartão de crédito",N(E93)&gt;1),"Cartão de crédito parcelado",D93),Config!$A$12:$A$15,0)),0)))</f>
        <v>46233.0</v>
      </c>
      <c r="L93" s="27">
        <f>IF(A93="","",MONTH(A93))</f>
        <v>7</v>
      </c>
      <c r="M93" s="27">
        <f>IF(A93="","",YEAR(A93))</f>
        <v>2026</v>
      </c>
      <c r="N93" s="27" t="str">
        <f>IF(K93="","",IF(G93="Sim","Conferido",IF(K93&gt;Config!$B$8,"A cair","A conferir")))</f>
        <v>Conferido</v>
      </c>
      <c r="O93" s="50">
        <f>IF(N93="A conferir",(Config!$B$8-K93)*1000+N(F93)/1000+ROW()/100000,0)</f>
        <v>0</v>
      </c>
    </row>
    <row r="94">
      <c r="A94" s="48" t="n">
        <v>46232</v>
      </c>
      <c r="B94" s="40" t="inlineStr">
        <is>
          <t>Rafael Dias</t>
        </is>
      </c>
      <c r="C94" s="40" t="inlineStr">
        <is>
          <t>Consulta</t>
        </is>
      </c>
      <c r="D94" s="41" t="inlineStr">
        <is>
          <t>Cartão de débito</t>
        </is>
      </c>
      <c r="E94" s="41" t="n"/>
      <c r="F94" s="49" t="n">
        <v>380</v>
      </c>
      <c r="G94" s="41" t="inlineStr">
        <is>
          <t>Sim</t>
        </is>
      </c>
      <c r="H94" s="30">
        <f>IF(D94="","",IFERROR(INDEX(Config!$B$12:$B$15,MATCH(IF(AND(D94="Cartão de crédito",N(E94)&gt;1),"Cartão de crédito parcelado",D94),Config!$A$12:$A$15,0)),0)+IF(AND(Config!$B$17="Sim",LEFT(D94,17)="Cartão de crédito"),Config!$B$18*IFERROR(INDEX(Config!$C$12:$C$15,MATCH(IF(AND(D94="Cartão de crédito",N(E94)&gt;1),"Cartão de crédito parcelado",D94),Config!$A$12:$A$15,0)),0)/30*MAX(1,N(E94)),0))</f>
        <v>0.015</v>
      </c>
      <c r="I94" s="29">
        <f>IF(OR(D94="",F94=""),"",ROUND(F94*H94,2))</f>
        <v>5.7</v>
      </c>
      <c r="J94" s="29">
        <f>IF(I94="","",F94-I94)</f>
        <v>374.3</v>
      </c>
      <c r="K94" s="37">
        <f>IF(OR(D94="",A94=""),"",A94+IF(AND(Config!$B$17="Sim",LEFT(D94,17)="Cartão de crédito"),1,IFERROR(INDEX(Config!$C$12:$C$15,MATCH(IF(AND(D94="Cartão de crédito",N(E94)&gt;1),"Cartão de crédito parcelado",D94),Config!$A$12:$A$15,0)),0)))</f>
        <v>46233.0</v>
      </c>
      <c r="L94" s="27">
        <f>IF(A94="","",MONTH(A94))</f>
        <v>7</v>
      </c>
      <c r="M94" s="27">
        <f>IF(A94="","",YEAR(A94))</f>
        <v>2026</v>
      </c>
      <c r="N94" s="27" t="str">
        <f>IF(K94="","",IF(G94="Sim","Conferido",IF(K94&gt;Config!$B$8,"A cair","A conferir")))</f>
        <v>Conferido</v>
      </c>
      <c r="O94" s="50">
        <f>IF(N94="A conferir",(Config!$B$8-K94)*1000+N(F94)/1000+ROW()/100000,0)</f>
        <v>0</v>
      </c>
    </row>
    <row r="95">
      <c r="A95" s="48" t="n">
        <v>46233</v>
      </c>
      <c r="B95" s="40" t="inlineStr">
        <is>
          <t>Regina Macedo</t>
        </is>
      </c>
      <c r="C95" s="40" t="inlineStr">
        <is>
          <t>Consulta</t>
        </is>
      </c>
      <c r="D95" s="41" t="inlineStr">
        <is>
          <t>Pix</t>
        </is>
      </c>
      <c r="E95" s="41" t="n"/>
      <c r="F95" s="49" t="n">
        <v>380</v>
      </c>
      <c r="G95" s="41" t="inlineStr">
        <is>
          <t>Sim</t>
        </is>
      </c>
      <c r="H95" s="30">
        <f>IF(D95="","",IFERROR(INDEX(Config!$B$12:$B$15,MATCH(IF(AND(D95="Cartão de crédito",N(E95)&gt;1),"Cartão de crédito parcelado",D95),Config!$A$12:$A$15,0)),0)+IF(AND(Config!$B$17="Sim",LEFT(D95,17)="Cartão de crédito"),Config!$B$18*IFERROR(INDEX(Config!$C$12:$C$15,MATCH(IF(AND(D95="Cartão de crédito",N(E95)&gt;1),"Cartão de crédito parcelado",D95),Config!$A$12:$A$15,0)),0)/30*MAX(1,N(E95)),0))</f>
        <v>0</v>
      </c>
      <c r="I95" s="29">
        <f>IF(OR(D95="",F95=""),"",ROUND(F95*H95,2))</f>
        <v>0</v>
      </c>
      <c r="J95" s="29">
        <f>IF(I95="","",F95-I95)</f>
        <v>380</v>
      </c>
      <c r="K95" s="37">
        <f>IF(OR(D95="",A95=""),"",A95+IF(AND(Config!$B$17="Sim",LEFT(D95,17)="Cartão de crédito"),1,IFERROR(INDEX(Config!$C$12:$C$15,MATCH(IF(AND(D95="Cartão de crédito",N(E95)&gt;1),"Cartão de crédito parcelado",D95),Config!$A$12:$A$15,0)),0)))</f>
        <v>46233.0</v>
      </c>
      <c r="L95" s="27">
        <f>IF(A95="","",MONTH(A95))</f>
        <v>7</v>
      </c>
      <c r="M95" s="27">
        <f>IF(A95="","",YEAR(A95))</f>
        <v>2026</v>
      </c>
      <c r="N95" s="27" t="str">
        <f>IF(K95="","",IF(G95="Sim","Conferido",IF(K95&gt;Config!$B$8,"A cair","A conferir")))</f>
        <v>Conferido</v>
      </c>
      <c r="O95" s="50">
        <f>IF(N95="A conferir",(Config!$B$8-K95)*1000+N(F95)/1000+ROW()/100000,0)</f>
        <v>0</v>
      </c>
    </row>
    <row r="96">
      <c r="A96" s="48" t="n">
        <v>46233</v>
      </c>
      <c r="B96" s="40" t="inlineStr">
        <is>
          <t>Roberta Araújo</t>
        </is>
      </c>
      <c r="C96" s="40" t="inlineStr">
        <is>
          <t>Consulta</t>
        </is>
      </c>
      <c r="D96" s="41" t="inlineStr">
        <is>
          <t>Pix</t>
        </is>
      </c>
      <c r="E96" s="41" t="n"/>
      <c r="F96" s="49" t="n">
        <v>380</v>
      </c>
      <c r="G96" s="41" t="inlineStr">
        <is>
          <t>Sim</t>
        </is>
      </c>
      <c r="H96" s="30">
        <f>IF(D96="","",IFERROR(INDEX(Config!$B$12:$B$15,MATCH(IF(AND(D96="Cartão de crédito",N(E96)&gt;1),"Cartão de crédito parcelado",D96),Config!$A$12:$A$15,0)),0)+IF(AND(Config!$B$17="Sim",LEFT(D96,17)="Cartão de crédito"),Config!$B$18*IFERROR(INDEX(Config!$C$12:$C$15,MATCH(IF(AND(D96="Cartão de crédito",N(E96)&gt;1),"Cartão de crédito parcelado",D96),Config!$A$12:$A$15,0)),0)/30*MAX(1,N(E96)),0))</f>
        <v>0</v>
      </c>
      <c r="I96" s="29">
        <f>IF(OR(D96="",F96=""),"",ROUND(F96*H96,2))</f>
        <v>0</v>
      </c>
      <c r="J96" s="29">
        <f>IF(I96="","",F96-I96)</f>
        <v>380</v>
      </c>
      <c r="K96" s="37">
        <f>IF(OR(D96="",A96=""),"",A96+IF(AND(Config!$B$17="Sim",LEFT(D96,17)="Cartão de crédito"),1,IFERROR(INDEX(Config!$C$12:$C$15,MATCH(IF(AND(D96="Cartão de crédito",N(E96)&gt;1),"Cartão de crédito parcelado",D96),Config!$A$12:$A$15,0)),0)))</f>
        <v>46233.0</v>
      </c>
      <c r="L96" s="27">
        <f>IF(A96="","",MONTH(A96))</f>
        <v>7</v>
      </c>
      <c r="M96" s="27">
        <f>IF(A96="","",YEAR(A96))</f>
        <v>2026</v>
      </c>
      <c r="N96" s="27" t="str">
        <f>IF(K96="","",IF(G96="Sim","Conferido",IF(K96&gt;Config!$B$8,"A cair","A conferir")))</f>
        <v>Conferido</v>
      </c>
      <c r="O96" s="50">
        <f>IF(N96="A conferir",(Config!$B$8-K96)*1000+N(F96)/1000+ROW()/100000,0)</f>
        <v>0</v>
      </c>
    </row>
    <row r="97">
      <c r="A97" s="48" t="n">
        <v>46233</v>
      </c>
      <c r="B97" s="40" t="inlineStr">
        <is>
          <t>Patrícia Dias</t>
        </is>
      </c>
      <c r="C97" s="40" t="inlineStr">
        <is>
          <t>Avaliação endócrina</t>
        </is>
      </c>
      <c r="D97" s="41" t="inlineStr">
        <is>
          <t>Cartão de crédito</t>
        </is>
      </c>
      <c r="E97" s="41" t="n"/>
      <c r="F97" s="49" t="n">
        <v>400</v>
      </c>
      <c r="G97" s="41" t="inlineStr">
        <is>
          <t>Sim</t>
        </is>
      </c>
      <c r="H97" s="30">
        <f>IF(D97="","",IFERROR(INDEX(Config!$B$12:$B$15,MATCH(IF(AND(D97="Cartão de crédito",N(E97)&gt;1),"Cartão de crédito parcelado",D97),Config!$A$12:$A$15,0)),0)+IF(AND(Config!$B$17="Sim",LEFT(D97,17)="Cartão de crédito"),Config!$B$18*IFERROR(INDEX(Config!$C$12:$C$15,MATCH(IF(AND(D97="Cartão de crédito",N(E97)&gt;1),"Cartão de crédito parcelado",D97),Config!$A$12:$A$15,0)),0)/30*MAX(1,N(E97)),0))</f>
        <v>0.032</v>
      </c>
      <c r="I97" s="29">
        <f>IF(OR(D97="",F97=""),"",ROUND(F97*H97,2))</f>
        <v>12.8</v>
      </c>
      <c r="J97" s="29">
        <f>IF(I97="","",F97-I97)</f>
        <v>387.2</v>
      </c>
      <c r="K97" s="37">
        <f>IF(OR(D97="",A97=""),"",A97+IF(AND(Config!$B$17="Sim",LEFT(D97,17)="Cartão de crédito"),1,IFERROR(INDEX(Config!$C$12:$C$15,MATCH(IF(AND(D97="Cartão de crédito",N(E97)&gt;1),"Cartão de crédito parcelado",D97),Config!$A$12:$A$15,0)),0)))</f>
        <v>46263.0</v>
      </c>
      <c r="L97" s="27">
        <f>IF(A97="","",MONTH(A97))</f>
        <v>7</v>
      </c>
      <c r="M97" s="27">
        <f>IF(A97="","",YEAR(A97))</f>
        <v>2026</v>
      </c>
      <c r="N97" s="27" t="str">
        <f>IF(K97="","",IF(G97="Sim","Conferido",IF(K97&gt;Config!$B$8,"A cair","A conferir")))</f>
        <v>Conferido</v>
      </c>
      <c r="O97" s="50">
        <f>IF(N97="A conferir",(Config!$B$8-K97)*1000+N(F97)/1000+ROW()/100000,0)</f>
        <v>0</v>
      </c>
    </row>
    <row r="98">
      <c r="A98" s="48" t="n">
        <v>46234</v>
      </c>
      <c r="B98" s="40" t="inlineStr">
        <is>
          <t>Fábio Machado</t>
        </is>
      </c>
      <c r="C98" s="40" t="inlineStr">
        <is>
          <t>Consulta</t>
        </is>
      </c>
      <c r="D98" s="41" t="inlineStr">
        <is>
          <t>Cartão de crédito</t>
        </is>
      </c>
      <c r="E98" s="41" t="n"/>
      <c r="F98" s="49" t="n">
        <v>380</v>
      </c>
      <c r="G98" s="41" t="inlineStr">
        <is>
          <t>Sim</t>
        </is>
      </c>
      <c r="H98" s="30">
        <f>IF(D98="","",IFERROR(INDEX(Config!$B$12:$B$15,MATCH(IF(AND(D98="Cartão de crédito",N(E98)&gt;1),"Cartão de crédito parcelado",D98),Config!$A$12:$A$15,0)),0)+IF(AND(Config!$B$17="Sim",LEFT(D98,17)="Cartão de crédito"),Config!$B$18*IFERROR(INDEX(Config!$C$12:$C$15,MATCH(IF(AND(D98="Cartão de crédito",N(E98)&gt;1),"Cartão de crédito parcelado",D98),Config!$A$12:$A$15,0)),0)/30*MAX(1,N(E98)),0))</f>
        <v>0.032</v>
      </c>
      <c r="I98" s="29">
        <f>IF(OR(D98="",F98=""),"",ROUND(F98*H98,2))</f>
        <v>12.16</v>
      </c>
      <c r="J98" s="29">
        <f>IF(I98="","",F98-I98)</f>
        <v>367.84</v>
      </c>
      <c r="K98" s="37">
        <f>IF(OR(D98="",A98=""),"",A98+IF(AND(Config!$B$17="Sim",LEFT(D98,17)="Cartão de crédito"),1,IFERROR(INDEX(Config!$C$12:$C$15,MATCH(IF(AND(D98="Cartão de crédito",N(E98)&gt;1),"Cartão de crédito parcelado",D98),Config!$A$12:$A$15,0)),0)))</f>
        <v>46264.0</v>
      </c>
      <c r="L98" s="27">
        <f>IF(A98="","",MONTH(A98))</f>
        <v>7</v>
      </c>
      <c r="M98" s="27">
        <f>IF(A98="","",YEAR(A98))</f>
        <v>2026</v>
      </c>
      <c r="N98" s="27" t="str">
        <f>IF(K98="","",IF(G98="Sim","Conferido",IF(K98&gt;Config!$B$8,"A cair","A conferir")))</f>
        <v>Conferido</v>
      </c>
      <c r="O98" s="50">
        <f>IF(N98="A conferir",(Config!$B$8-K98)*1000+N(F98)/1000+ROW()/100000,0)</f>
        <v>0</v>
      </c>
    </row>
    <row r="99">
      <c r="A99" s="48" t="n">
        <v>46234</v>
      </c>
      <c r="B99" s="40" t="inlineStr">
        <is>
          <t>Fábio Machado</t>
        </is>
      </c>
      <c r="C99" s="40" t="inlineStr">
        <is>
          <t>ECG</t>
        </is>
      </c>
      <c r="D99" s="41" t="inlineStr">
        <is>
          <t>Cartão de crédito</t>
        </is>
      </c>
      <c r="E99" s="41" t="n"/>
      <c r="F99" s="49" t="n">
        <v>130</v>
      </c>
      <c r="G99" s="41" t="inlineStr">
        <is>
          <t>Sim</t>
        </is>
      </c>
      <c r="H99" s="30">
        <f>IF(D99="","",IFERROR(INDEX(Config!$B$12:$B$15,MATCH(IF(AND(D99="Cartão de crédito",N(E99)&gt;1),"Cartão de crédito parcelado",D99),Config!$A$12:$A$15,0)),0)+IF(AND(Config!$B$17="Sim",LEFT(D99,17)="Cartão de crédito"),Config!$B$18*IFERROR(INDEX(Config!$C$12:$C$15,MATCH(IF(AND(D99="Cartão de crédito",N(E99)&gt;1),"Cartão de crédito parcelado",D99),Config!$A$12:$A$15,0)),0)/30*MAX(1,N(E99)),0))</f>
        <v>0.032</v>
      </c>
      <c r="I99" s="29">
        <f>IF(OR(D99="",F99=""),"",ROUND(F99*H99,2))</f>
        <v>4.16</v>
      </c>
      <c r="J99" s="29">
        <f>IF(I99="","",F99-I99)</f>
        <v>125.84</v>
      </c>
      <c r="K99" s="37">
        <f>IF(OR(D99="",A99=""),"",A99+IF(AND(Config!$B$17="Sim",LEFT(D99,17)="Cartão de crédito"),1,IFERROR(INDEX(Config!$C$12:$C$15,MATCH(IF(AND(D99="Cartão de crédito",N(E99)&gt;1),"Cartão de crédito parcelado",D99),Config!$A$12:$A$15,0)),0)))</f>
        <v>46264.0</v>
      </c>
      <c r="L99" s="27">
        <f>IF(A99="","",MONTH(A99))</f>
        <v>7</v>
      </c>
      <c r="M99" s="27">
        <f>IF(A99="","",YEAR(A99))</f>
        <v>2026</v>
      </c>
      <c r="N99" s="27" t="str">
        <f>IF(K99="","",IF(G99="Sim","Conferido",IF(K99&gt;Config!$B$8,"A cair","A conferir")))</f>
        <v>Conferido</v>
      </c>
      <c r="O99" s="50">
        <f>IF(N99="A conferir",(Config!$B$8-K99)*1000+N(F99)/1000+ROW()/100000,0)</f>
        <v>0</v>
      </c>
    </row>
    <row r="100">
      <c r="A100" s="48" t="n">
        <v>46234</v>
      </c>
      <c r="B100" s="40" t="inlineStr">
        <is>
          <t>Fábio Machado</t>
        </is>
      </c>
      <c r="C100" s="40" t="inlineStr">
        <is>
          <t>Teste ergométrico</t>
        </is>
      </c>
      <c r="D100" s="41" t="inlineStr">
        <is>
          <t>Cartão de crédito</t>
        </is>
      </c>
      <c r="E100" s="41" t="n"/>
      <c r="F100" s="49" t="n">
        <v>450</v>
      </c>
      <c r="G100" s="41" t="inlineStr">
        <is>
          <t>Sim</t>
        </is>
      </c>
      <c r="H100" s="30">
        <f>IF(D100="","",IFERROR(INDEX(Config!$B$12:$B$15,MATCH(IF(AND(D100="Cartão de crédito",N(E100)&gt;1),"Cartão de crédito parcelado",D100),Config!$A$12:$A$15,0)),0)+IF(AND(Config!$B$17="Sim",LEFT(D100,17)="Cartão de crédito"),Config!$B$18*IFERROR(INDEX(Config!$C$12:$C$15,MATCH(IF(AND(D100="Cartão de crédito",N(E100)&gt;1),"Cartão de crédito parcelado",D100),Config!$A$12:$A$15,0)),0)/30*MAX(1,N(E100)),0))</f>
        <v>0.032</v>
      </c>
      <c r="I100" s="29">
        <f>IF(OR(D100="",F100=""),"",ROUND(F100*H100,2))</f>
        <v>14.4</v>
      </c>
      <c r="J100" s="29">
        <f>IF(I100="","",F100-I100)</f>
        <v>435.6</v>
      </c>
      <c r="K100" s="37">
        <f>IF(OR(D100="",A100=""),"",A100+IF(AND(Config!$B$17="Sim",LEFT(D100,17)="Cartão de crédito"),1,IFERROR(INDEX(Config!$C$12:$C$15,MATCH(IF(AND(D100="Cartão de crédito",N(E100)&gt;1),"Cartão de crédito parcelado",D100),Config!$A$12:$A$15,0)),0)))</f>
        <v>46264.0</v>
      </c>
      <c r="L100" s="27">
        <f>IF(A100="","",MONTH(A100))</f>
        <v>7</v>
      </c>
      <c r="M100" s="27">
        <f>IF(A100="","",YEAR(A100))</f>
        <v>2026</v>
      </c>
      <c r="N100" s="27" t="str">
        <f>IF(K100="","",IF(G100="Sim","Conferido",IF(K100&gt;Config!$B$8,"A cair","A conferir")))</f>
        <v>Conferido</v>
      </c>
      <c r="O100" s="50">
        <f>IF(N100="A conferir",(Config!$B$8-K100)*1000+N(F100)/1000+ROW()/100000,0)</f>
        <v>0</v>
      </c>
    </row>
    <row r="101">
      <c r="A101" s="48" t="n">
        <v>46234</v>
      </c>
      <c r="B101" s="40" t="inlineStr">
        <is>
          <t>Henrique Ribeiro</t>
        </is>
      </c>
      <c r="C101" s="40" t="inlineStr">
        <is>
          <t>Consulta</t>
        </is>
      </c>
      <c r="D101" s="41" t="inlineStr">
        <is>
          <t>Cartão de débito</t>
        </is>
      </c>
      <c r="E101" s="41" t="n"/>
      <c r="F101" s="49" t="n">
        <v>380</v>
      </c>
      <c r="G101" s="41" t="inlineStr">
        <is>
          <t>Sim</t>
        </is>
      </c>
      <c r="H101" s="30">
        <f>IF(D101="","",IFERROR(INDEX(Config!$B$12:$B$15,MATCH(IF(AND(D101="Cartão de crédito",N(E101)&gt;1),"Cartão de crédito parcelado",D101),Config!$A$12:$A$15,0)),0)+IF(AND(Config!$B$17="Sim",LEFT(D101,17)="Cartão de crédito"),Config!$B$18*IFERROR(INDEX(Config!$C$12:$C$15,MATCH(IF(AND(D101="Cartão de crédito",N(E101)&gt;1),"Cartão de crédito parcelado",D101),Config!$A$12:$A$15,0)),0)/30*MAX(1,N(E101)),0))</f>
        <v>0.015</v>
      </c>
      <c r="I101" s="29">
        <f>IF(OR(D101="",F101=""),"",ROUND(F101*H101,2))</f>
        <v>5.7</v>
      </c>
      <c r="J101" s="29">
        <f>IF(I101="","",F101-I101)</f>
        <v>374.3</v>
      </c>
      <c r="K101" s="37">
        <f>IF(OR(D101="",A101=""),"",A101+IF(AND(Config!$B$17="Sim",LEFT(D101,17)="Cartão de crédito"),1,IFERROR(INDEX(Config!$C$12:$C$15,MATCH(IF(AND(D101="Cartão de crédito",N(E101)&gt;1),"Cartão de crédito parcelado",D101),Config!$A$12:$A$15,0)),0)))</f>
        <v>46235.0</v>
      </c>
      <c r="L101" s="27">
        <f>IF(A101="","",MONTH(A101))</f>
        <v>7</v>
      </c>
      <c r="M101" s="27">
        <f>IF(A101="","",YEAR(A101))</f>
        <v>2026</v>
      </c>
      <c r="N101" s="27" t="str">
        <f>IF(K101="","",IF(G101="Sim","Conferido",IF(K101&gt;Config!$B$8,"A cair","A conferir")))</f>
        <v>Conferido</v>
      </c>
      <c r="O101" s="50">
        <f>IF(N101="A conferir",(Config!$B$8-K101)*1000+N(F101)/1000+ROW()/100000,0)</f>
        <v>0</v>
      </c>
    </row>
    <row r="102">
      <c r="A102" s="48" t="n">
        <v>46237</v>
      </c>
      <c r="B102" s="40" t="inlineStr">
        <is>
          <t>Mônica Martins</t>
        </is>
      </c>
      <c r="C102" s="40" t="inlineStr">
        <is>
          <t>Consulta</t>
        </is>
      </c>
      <c r="D102" s="41" t="inlineStr">
        <is>
          <t>Cartão de crédito</t>
        </is>
      </c>
      <c r="E102" s="41" t="n"/>
      <c r="F102" s="49" t="n">
        <v>380</v>
      </c>
      <c r="G102" s="41" t="inlineStr">
        <is>
          <t>Sim</t>
        </is>
      </c>
      <c r="H102" s="30">
        <f>IF(D102="","",IFERROR(INDEX(Config!$B$12:$B$15,MATCH(IF(AND(D102="Cartão de crédito",N(E102)&gt;1),"Cartão de crédito parcelado",D102),Config!$A$12:$A$15,0)),0)+IF(AND(Config!$B$17="Sim",LEFT(D102,17)="Cartão de crédito"),Config!$B$18*IFERROR(INDEX(Config!$C$12:$C$15,MATCH(IF(AND(D102="Cartão de crédito",N(E102)&gt;1),"Cartão de crédito parcelado",D102),Config!$A$12:$A$15,0)),0)/30*MAX(1,N(E102)),0))</f>
        <v>0.032</v>
      </c>
      <c r="I102" s="29">
        <f>IF(OR(D102="",F102=""),"",ROUND(F102*H102,2))</f>
        <v>12.16</v>
      </c>
      <c r="J102" s="29">
        <f>IF(I102="","",F102-I102)</f>
        <v>367.84</v>
      </c>
      <c r="K102" s="37">
        <f>IF(OR(D102="",A102=""),"",A102+IF(AND(Config!$B$17="Sim",LEFT(D102,17)="Cartão de crédito"),1,IFERROR(INDEX(Config!$C$12:$C$15,MATCH(IF(AND(D102="Cartão de crédito",N(E102)&gt;1),"Cartão de crédito parcelado",D102),Config!$A$12:$A$15,0)),0)))</f>
        <v>46267.0</v>
      </c>
      <c r="L102" s="27">
        <f>IF(A102="","",MONTH(A102))</f>
        <v>8</v>
      </c>
      <c r="M102" s="27">
        <f>IF(A102="","",YEAR(A102))</f>
        <v>2026</v>
      </c>
      <c r="N102" s="27" t="str">
        <f>IF(K102="","",IF(G102="Sim","Conferido",IF(K102&gt;Config!$B$8,"A cair","A conferir")))</f>
        <v>Conferido</v>
      </c>
      <c r="O102" s="50">
        <f>IF(N102="A conferir",(Config!$B$8-K102)*1000+N(F102)/1000+ROW()/100000,0)</f>
        <v>0</v>
      </c>
    </row>
    <row r="103">
      <c r="A103" s="48" t="n">
        <v>46237</v>
      </c>
      <c r="B103" s="40" t="inlineStr">
        <is>
          <t>Wagner Santos</t>
        </is>
      </c>
      <c r="C103" s="40" t="inlineStr">
        <is>
          <t>MAPA</t>
        </is>
      </c>
      <c r="D103" s="41" t="inlineStr">
        <is>
          <t>Cartão de débito</t>
        </is>
      </c>
      <c r="E103" s="41" t="n"/>
      <c r="F103" s="49" t="n">
        <v>300</v>
      </c>
      <c r="G103" s="41" t="inlineStr">
        <is>
          <t>Sim</t>
        </is>
      </c>
      <c r="H103" s="30">
        <f>IF(D103="","",IFERROR(INDEX(Config!$B$12:$B$15,MATCH(IF(AND(D103="Cartão de crédito",N(E103)&gt;1),"Cartão de crédito parcelado",D103),Config!$A$12:$A$15,0)),0)+IF(AND(Config!$B$17="Sim",LEFT(D103,17)="Cartão de crédito"),Config!$B$18*IFERROR(INDEX(Config!$C$12:$C$15,MATCH(IF(AND(D103="Cartão de crédito",N(E103)&gt;1),"Cartão de crédito parcelado",D103),Config!$A$12:$A$15,0)),0)/30*MAX(1,N(E103)),0))</f>
        <v>0.015</v>
      </c>
      <c r="I103" s="29">
        <f>IF(OR(D103="",F103=""),"",ROUND(F103*H103,2))</f>
        <v>4.5</v>
      </c>
      <c r="J103" s="29">
        <f>IF(I103="","",F103-I103)</f>
        <v>295.5</v>
      </c>
      <c r="K103" s="37">
        <f>IF(OR(D103="",A103=""),"",A103+IF(AND(Config!$B$17="Sim",LEFT(D103,17)="Cartão de crédito"),1,IFERROR(INDEX(Config!$C$12:$C$15,MATCH(IF(AND(D103="Cartão de crédito",N(E103)&gt;1),"Cartão de crédito parcelado",D103),Config!$A$12:$A$15,0)),0)))</f>
        <v>46238.0</v>
      </c>
      <c r="L103" s="27">
        <f>IF(A103="","",MONTH(A103))</f>
        <v>8</v>
      </c>
      <c r="M103" s="27">
        <f>IF(A103="","",YEAR(A103))</f>
        <v>2026</v>
      </c>
      <c r="N103" s="27" t="str">
        <f>IF(K103="","",IF(G103="Sim","Conferido",IF(K103&gt;Config!$B$8,"A cair","A conferir")))</f>
        <v>Conferido</v>
      </c>
      <c r="O103" s="50">
        <f>IF(N103="A conferir",(Config!$B$8-K103)*1000+N(F103)/1000+ROW()/100000,0)</f>
        <v>0</v>
      </c>
    </row>
    <row r="104">
      <c r="A104" s="48" t="n">
        <v>46238</v>
      </c>
      <c r="B104" s="40" t="inlineStr">
        <is>
          <t>Helena Moreira</t>
        </is>
      </c>
      <c r="C104" s="40" t="inlineStr">
        <is>
          <t>Consulta</t>
        </is>
      </c>
      <c r="D104" s="41" t="inlineStr">
        <is>
          <t>Cartão de crédito</t>
        </is>
      </c>
      <c r="E104" s="41" t="n"/>
      <c r="F104" s="49" t="n">
        <v>380</v>
      </c>
      <c r="G104" s="41" t="inlineStr">
        <is>
          <t>Sim</t>
        </is>
      </c>
      <c r="H104" s="30">
        <f>IF(D104="","",IFERROR(INDEX(Config!$B$12:$B$15,MATCH(IF(AND(D104="Cartão de crédito",N(E104)&gt;1),"Cartão de crédito parcelado",D104),Config!$A$12:$A$15,0)),0)+IF(AND(Config!$B$17="Sim",LEFT(D104,17)="Cartão de crédito"),Config!$B$18*IFERROR(INDEX(Config!$C$12:$C$15,MATCH(IF(AND(D104="Cartão de crédito",N(E104)&gt;1),"Cartão de crédito parcelado",D104),Config!$A$12:$A$15,0)),0)/30*MAX(1,N(E104)),0))</f>
        <v>0.032</v>
      </c>
      <c r="I104" s="29">
        <f>IF(OR(D104="",F104=""),"",ROUND(F104*H104,2))</f>
        <v>12.16</v>
      </c>
      <c r="J104" s="29">
        <f>IF(I104="","",F104-I104)</f>
        <v>367.84</v>
      </c>
      <c r="K104" s="37">
        <f>IF(OR(D104="",A104=""),"",A104+IF(AND(Config!$B$17="Sim",LEFT(D104,17)="Cartão de crédito"),1,IFERROR(INDEX(Config!$C$12:$C$15,MATCH(IF(AND(D104="Cartão de crédito",N(E104)&gt;1),"Cartão de crédito parcelado",D104),Config!$A$12:$A$15,0)),0)))</f>
        <v>46268.0</v>
      </c>
      <c r="L104" s="27">
        <f>IF(A104="","",MONTH(A104))</f>
        <v>8</v>
      </c>
      <c r="M104" s="27">
        <f>IF(A104="","",YEAR(A104))</f>
        <v>2026</v>
      </c>
      <c r="N104" s="27" t="str">
        <f>IF(K104="","",IF(G104="Sim","Conferido",IF(K104&gt;Config!$B$8,"A cair","A conferir")))</f>
        <v>Conferido</v>
      </c>
      <c r="O104" s="50">
        <f>IF(N104="A conferir",(Config!$B$8-K104)*1000+N(F104)/1000+ROW()/100000,0)</f>
        <v>0</v>
      </c>
    </row>
    <row r="105">
      <c r="A105" s="48" t="n">
        <v>46238</v>
      </c>
      <c r="B105" s="40" t="inlineStr">
        <is>
          <t>Fernanda Freitas</t>
        </is>
      </c>
      <c r="C105" s="40" t="inlineStr">
        <is>
          <t>Consulta</t>
        </is>
      </c>
      <c r="D105" s="41" t="inlineStr">
        <is>
          <t>Cartão de débito</t>
        </is>
      </c>
      <c r="E105" s="41" t="n"/>
      <c r="F105" s="49" t="n">
        <v>380</v>
      </c>
      <c r="G105" s="41" t="inlineStr">
        <is>
          <t>Sim</t>
        </is>
      </c>
      <c r="H105" s="30">
        <f>IF(D105="","",IFERROR(INDEX(Config!$B$12:$B$15,MATCH(IF(AND(D105="Cartão de crédito",N(E105)&gt;1),"Cartão de crédito parcelado",D105),Config!$A$12:$A$15,0)),0)+IF(AND(Config!$B$17="Sim",LEFT(D105,17)="Cartão de crédito"),Config!$B$18*IFERROR(INDEX(Config!$C$12:$C$15,MATCH(IF(AND(D105="Cartão de crédito",N(E105)&gt;1),"Cartão de crédito parcelado",D105),Config!$A$12:$A$15,0)),0)/30*MAX(1,N(E105)),0))</f>
        <v>0.015</v>
      </c>
      <c r="I105" s="29">
        <f>IF(OR(D105="",F105=""),"",ROUND(F105*H105,2))</f>
        <v>5.7</v>
      </c>
      <c r="J105" s="29">
        <f>IF(I105="","",F105-I105)</f>
        <v>374.3</v>
      </c>
      <c r="K105" s="37">
        <f>IF(OR(D105="",A105=""),"",A105+IF(AND(Config!$B$17="Sim",LEFT(D105,17)="Cartão de crédito"),1,IFERROR(INDEX(Config!$C$12:$C$15,MATCH(IF(AND(D105="Cartão de crédito",N(E105)&gt;1),"Cartão de crédito parcelado",D105),Config!$A$12:$A$15,0)),0)))</f>
        <v>46239.0</v>
      </c>
      <c r="L105" s="27">
        <f>IF(A105="","",MONTH(A105))</f>
        <v>8</v>
      </c>
      <c r="M105" s="27">
        <f>IF(A105="","",YEAR(A105))</f>
        <v>2026</v>
      </c>
      <c r="N105" s="27" t="str">
        <f>IF(K105="","",IF(G105="Sim","Conferido",IF(K105&gt;Config!$B$8,"A cair","A conferir")))</f>
        <v>Conferido</v>
      </c>
      <c r="O105" s="50">
        <f>IF(N105="A conferir",(Config!$B$8-K105)*1000+N(F105)/1000+ROW()/100000,0)</f>
        <v>0</v>
      </c>
    </row>
    <row r="106">
      <c r="A106" s="48" t="n">
        <v>46238</v>
      </c>
      <c r="B106" s="40" t="inlineStr">
        <is>
          <t>Ana Costa</t>
        </is>
      </c>
      <c r="C106" s="40" t="inlineStr">
        <is>
          <t>Consulta</t>
        </is>
      </c>
      <c r="D106" s="41" t="inlineStr">
        <is>
          <t>Pix</t>
        </is>
      </c>
      <c r="E106" s="41" t="n"/>
      <c r="F106" s="49" t="n">
        <v>380</v>
      </c>
      <c r="G106" s="41" t="inlineStr">
        <is>
          <t>Sim</t>
        </is>
      </c>
      <c r="H106" s="30">
        <f>IF(D106="","",IFERROR(INDEX(Config!$B$12:$B$15,MATCH(IF(AND(D106="Cartão de crédito",N(E106)&gt;1),"Cartão de crédito parcelado",D106),Config!$A$12:$A$15,0)),0)+IF(AND(Config!$B$17="Sim",LEFT(D106,17)="Cartão de crédito"),Config!$B$18*IFERROR(INDEX(Config!$C$12:$C$15,MATCH(IF(AND(D106="Cartão de crédito",N(E106)&gt;1),"Cartão de crédito parcelado",D106),Config!$A$12:$A$15,0)),0)/30*MAX(1,N(E106)),0))</f>
        <v>0</v>
      </c>
      <c r="I106" s="29">
        <f>IF(OR(D106="",F106=""),"",ROUND(F106*H106,2))</f>
        <v>0</v>
      </c>
      <c r="J106" s="29">
        <f>IF(I106="","",F106-I106)</f>
        <v>380</v>
      </c>
      <c r="K106" s="37">
        <f>IF(OR(D106="",A106=""),"",A106+IF(AND(Config!$B$17="Sim",LEFT(D106,17)="Cartão de crédito"),1,IFERROR(INDEX(Config!$C$12:$C$15,MATCH(IF(AND(D106="Cartão de crédito",N(E106)&gt;1),"Cartão de crédito parcelado",D106),Config!$A$12:$A$15,0)),0)))</f>
        <v>46238.0</v>
      </c>
      <c r="L106" s="27">
        <f>IF(A106="","",MONTH(A106))</f>
        <v>8</v>
      </c>
      <c r="M106" s="27">
        <f>IF(A106="","",YEAR(A106))</f>
        <v>2026</v>
      </c>
      <c r="N106" s="27" t="str">
        <f>IF(K106="","",IF(G106="Sim","Conferido",IF(K106&gt;Config!$B$8,"A cair","A conferir")))</f>
        <v>Conferido</v>
      </c>
      <c r="O106" s="50">
        <f>IF(N106="A conferir",(Config!$B$8-K106)*1000+N(F106)/1000+ROW()/100000,0)</f>
        <v>0</v>
      </c>
    </row>
    <row r="107">
      <c r="A107" s="48" t="n">
        <v>46238</v>
      </c>
      <c r="B107" s="40" t="inlineStr">
        <is>
          <t>Eduardo Lima</t>
        </is>
      </c>
      <c r="C107" s="40" t="inlineStr">
        <is>
          <t>Consulta</t>
        </is>
      </c>
      <c r="D107" s="41" t="inlineStr">
        <is>
          <t>Pix</t>
        </is>
      </c>
      <c r="E107" s="41" t="n"/>
      <c r="F107" s="49" t="n">
        <v>380</v>
      </c>
      <c r="G107" s="41" t="inlineStr">
        <is>
          <t>Sim</t>
        </is>
      </c>
      <c r="H107" s="30">
        <f>IF(D107="","",IFERROR(INDEX(Config!$B$12:$B$15,MATCH(IF(AND(D107="Cartão de crédito",N(E107)&gt;1),"Cartão de crédito parcelado",D107),Config!$A$12:$A$15,0)),0)+IF(AND(Config!$B$17="Sim",LEFT(D107,17)="Cartão de crédito"),Config!$B$18*IFERROR(INDEX(Config!$C$12:$C$15,MATCH(IF(AND(D107="Cartão de crédito",N(E107)&gt;1),"Cartão de crédito parcelado",D107),Config!$A$12:$A$15,0)),0)/30*MAX(1,N(E107)),0))</f>
        <v>0</v>
      </c>
      <c r="I107" s="29">
        <f>IF(OR(D107="",F107=""),"",ROUND(F107*H107,2))</f>
        <v>0</v>
      </c>
      <c r="J107" s="29">
        <f>IF(I107="","",F107-I107)</f>
        <v>380</v>
      </c>
      <c r="K107" s="37">
        <f>IF(OR(D107="",A107=""),"",A107+IF(AND(Config!$B$17="Sim",LEFT(D107,17)="Cartão de crédito"),1,IFERROR(INDEX(Config!$C$12:$C$15,MATCH(IF(AND(D107="Cartão de crédito",N(E107)&gt;1),"Cartão de crédito parcelado",D107),Config!$A$12:$A$15,0)),0)))</f>
        <v>46238.0</v>
      </c>
      <c r="L107" s="27">
        <f>IF(A107="","",MONTH(A107))</f>
        <v>8</v>
      </c>
      <c r="M107" s="27">
        <f>IF(A107="","",YEAR(A107))</f>
        <v>2026</v>
      </c>
      <c r="N107" s="27" t="str">
        <f>IF(K107="","",IF(G107="Sim","Conferido",IF(K107&gt;Config!$B$8,"A cair","A conferir")))</f>
        <v>Conferido</v>
      </c>
      <c r="O107" s="50">
        <f>IF(N107="A conferir",(Config!$B$8-K107)*1000+N(F107)/1000+ROW()/100000,0)</f>
        <v>0</v>
      </c>
    </row>
    <row r="108">
      <c r="A108" s="48" t="n">
        <v>46238</v>
      </c>
      <c r="B108" s="40" t="inlineStr">
        <is>
          <t>Wagner Lima</t>
        </is>
      </c>
      <c r="C108" s="40" t="inlineStr">
        <is>
          <t>Consulta</t>
        </is>
      </c>
      <c r="D108" s="41" t="inlineStr">
        <is>
          <t>Cartão de débito</t>
        </is>
      </c>
      <c r="E108" s="41" t="n"/>
      <c r="F108" s="49" t="n">
        <v>380</v>
      </c>
      <c r="G108" s="41" t="inlineStr">
        <is>
          <t>Sim</t>
        </is>
      </c>
      <c r="H108" s="30">
        <f>IF(D108="","",IFERROR(INDEX(Config!$B$12:$B$15,MATCH(IF(AND(D108="Cartão de crédito",N(E108)&gt;1),"Cartão de crédito parcelado",D108),Config!$A$12:$A$15,0)),0)+IF(AND(Config!$B$17="Sim",LEFT(D108,17)="Cartão de crédito"),Config!$B$18*IFERROR(INDEX(Config!$C$12:$C$15,MATCH(IF(AND(D108="Cartão de crédito",N(E108)&gt;1),"Cartão de crédito parcelado",D108),Config!$A$12:$A$15,0)),0)/30*MAX(1,N(E108)),0))</f>
        <v>0.015</v>
      </c>
      <c r="I108" s="29">
        <f>IF(OR(D108="",F108=""),"",ROUND(F108*H108,2))</f>
        <v>5.7</v>
      </c>
      <c r="J108" s="29">
        <f>IF(I108="","",F108-I108)</f>
        <v>374.3</v>
      </c>
      <c r="K108" s="37">
        <f>IF(OR(D108="",A108=""),"",A108+IF(AND(Config!$B$17="Sim",LEFT(D108,17)="Cartão de crédito"),1,IFERROR(INDEX(Config!$C$12:$C$15,MATCH(IF(AND(D108="Cartão de crédito",N(E108)&gt;1),"Cartão de crédito parcelado",D108),Config!$A$12:$A$15,0)),0)))</f>
        <v>46239.0</v>
      </c>
      <c r="L108" s="27">
        <f>IF(A108="","",MONTH(A108))</f>
        <v>8</v>
      </c>
      <c r="M108" s="27">
        <f>IF(A108="","",YEAR(A108))</f>
        <v>2026</v>
      </c>
      <c r="N108" s="27" t="str">
        <f>IF(K108="","",IF(G108="Sim","Conferido",IF(K108&gt;Config!$B$8,"A cair","A conferir")))</f>
        <v>Conferido</v>
      </c>
      <c r="O108" s="50">
        <f>IF(N108="A conferir",(Config!$B$8-K108)*1000+N(F108)/1000+ROW()/100000,0)</f>
        <v>0</v>
      </c>
    </row>
    <row r="109">
      <c r="A109" s="48" t="n">
        <v>46238</v>
      </c>
      <c r="B109" s="40" t="inlineStr">
        <is>
          <t>Gustavo Pinto</t>
        </is>
      </c>
      <c r="C109" s="40" t="inlineStr">
        <is>
          <t>Consulta</t>
        </is>
      </c>
      <c r="D109" s="41" t="inlineStr">
        <is>
          <t>Cartão de crédito</t>
        </is>
      </c>
      <c r="E109" s="41" t="n"/>
      <c r="F109" s="49" t="n">
        <v>380</v>
      </c>
      <c r="G109" s="41" t="inlineStr">
        <is>
          <t>Sim</t>
        </is>
      </c>
      <c r="H109" s="30">
        <f>IF(D109="","",IFERROR(INDEX(Config!$B$12:$B$15,MATCH(IF(AND(D109="Cartão de crédito",N(E109)&gt;1),"Cartão de crédito parcelado",D109),Config!$A$12:$A$15,0)),0)+IF(AND(Config!$B$17="Sim",LEFT(D109,17)="Cartão de crédito"),Config!$B$18*IFERROR(INDEX(Config!$C$12:$C$15,MATCH(IF(AND(D109="Cartão de crédito",N(E109)&gt;1),"Cartão de crédito parcelado",D109),Config!$A$12:$A$15,0)),0)/30*MAX(1,N(E109)),0))</f>
        <v>0.032</v>
      </c>
      <c r="I109" s="29">
        <f>IF(OR(D109="",F109=""),"",ROUND(F109*H109,2))</f>
        <v>12.16</v>
      </c>
      <c r="J109" s="29">
        <f>IF(I109="","",F109-I109)</f>
        <v>367.84</v>
      </c>
      <c r="K109" s="37">
        <f>IF(OR(D109="",A109=""),"",A109+IF(AND(Config!$B$17="Sim",LEFT(D109,17)="Cartão de crédito"),1,IFERROR(INDEX(Config!$C$12:$C$15,MATCH(IF(AND(D109="Cartão de crédito",N(E109)&gt;1),"Cartão de crédito parcelado",D109),Config!$A$12:$A$15,0)),0)))</f>
        <v>46268.0</v>
      </c>
      <c r="L109" s="27">
        <f>IF(A109="","",MONTH(A109))</f>
        <v>8</v>
      </c>
      <c r="M109" s="27">
        <f>IF(A109="","",YEAR(A109))</f>
        <v>2026</v>
      </c>
      <c r="N109" s="27" t="str">
        <f>IF(K109="","",IF(G109="Sim","Conferido",IF(K109&gt;Config!$B$8,"A cair","A conferir")))</f>
        <v>Conferido</v>
      </c>
      <c r="O109" s="50">
        <f>IF(N109="A conferir",(Config!$B$8-K109)*1000+N(F109)/1000+ROW()/100000,0)</f>
        <v>0</v>
      </c>
    </row>
    <row r="110">
      <c r="A110" s="48" t="n">
        <v>46238</v>
      </c>
      <c r="B110" s="40" t="inlineStr">
        <is>
          <t>Rafael Pereira</t>
        </is>
      </c>
      <c r="C110" s="40" t="inlineStr">
        <is>
          <t>Avaliação endócrina</t>
        </is>
      </c>
      <c r="D110" s="41" t="inlineStr">
        <is>
          <t>Cartão de débito</t>
        </is>
      </c>
      <c r="E110" s="41" t="n"/>
      <c r="F110" s="49" t="n">
        <v>400</v>
      </c>
      <c r="G110" s="41" t="inlineStr">
        <is>
          <t>Sim</t>
        </is>
      </c>
      <c r="H110" s="30">
        <f>IF(D110="","",IFERROR(INDEX(Config!$B$12:$B$15,MATCH(IF(AND(D110="Cartão de crédito",N(E110)&gt;1),"Cartão de crédito parcelado",D110),Config!$A$12:$A$15,0)),0)+IF(AND(Config!$B$17="Sim",LEFT(D110,17)="Cartão de crédito"),Config!$B$18*IFERROR(INDEX(Config!$C$12:$C$15,MATCH(IF(AND(D110="Cartão de crédito",N(E110)&gt;1),"Cartão de crédito parcelado",D110),Config!$A$12:$A$15,0)),0)/30*MAX(1,N(E110)),0))</f>
        <v>0.015</v>
      </c>
      <c r="I110" s="29">
        <f>IF(OR(D110="",F110=""),"",ROUND(F110*H110,2))</f>
        <v>6</v>
      </c>
      <c r="J110" s="29">
        <f>IF(I110="","",F110-I110)</f>
        <v>394</v>
      </c>
      <c r="K110" s="37">
        <f>IF(OR(D110="",A110=""),"",A110+IF(AND(Config!$B$17="Sim",LEFT(D110,17)="Cartão de crédito"),1,IFERROR(INDEX(Config!$C$12:$C$15,MATCH(IF(AND(D110="Cartão de crédito",N(E110)&gt;1),"Cartão de crédito parcelado",D110),Config!$A$12:$A$15,0)),0)))</f>
        <v>46239.0</v>
      </c>
      <c r="L110" s="27">
        <f>IF(A110="","",MONTH(A110))</f>
        <v>8</v>
      </c>
      <c r="M110" s="27">
        <f>IF(A110="","",YEAR(A110))</f>
        <v>2026</v>
      </c>
      <c r="N110" s="27" t="str">
        <f>IF(K110="","",IF(G110="Sim","Conferido",IF(K110&gt;Config!$B$8,"A cair","A conferir")))</f>
        <v>Conferido</v>
      </c>
      <c r="O110" s="50">
        <f>IF(N110="A conferir",(Config!$B$8-K110)*1000+N(F110)/1000+ROW()/100000,0)</f>
        <v>0</v>
      </c>
    </row>
    <row r="111">
      <c r="A111" s="48" t="n">
        <v>46238</v>
      </c>
      <c r="B111" s="40" t="inlineStr">
        <is>
          <t>Viviane Teixeira</t>
        </is>
      </c>
      <c r="C111" s="40" t="inlineStr">
        <is>
          <t>Consulta</t>
        </is>
      </c>
      <c r="D111" s="41" t="inlineStr">
        <is>
          <t>Cartão de débito</t>
        </is>
      </c>
      <c r="E111" s="41" t="n"/>
      <c r="F111" s="49" t="n">
        <v>380</v>
      </c>
      <c r="G111" s="41" t="inlineStr">
        <is>
          <t>Sim</t>
        </is>
      </c>
      <c r="H111" s="30">
        <f>IF(D111="","",IFERROR(INDEX(Config!$B$12:$B$15,MATCH(IF(AND(D111="Cartão de crédito",N(E111)&gt;1),"Cartão de crédito parcelado",D111),Config!$A$12:$A$15,0)),0)+IF(AND(Config!$B$17="Sim",LEFT(D111,17)="Cartão de crédito"),Config!$B$18*IFERROR(INDEX(Config!$C$12:$C$15,MATCH(IF(AND(D111="Cartão de crédito",N(E111)&gt;1),"Cartão de crédito parcelado",D111),Config!$A$12:$A$15,0)),0)/30*MAX(1,N(E111)),0))</f>
        <v>0.015</v>
      </c>
      <c r="I111" s="29">
        <f>IF(OR(D111="",F111=""),"",ROUND(F111*H111,2))</f>
        <v>5.7</v>
      </c>
      <c r="J111" s="29">
        <f>IF(I111="","",F111-I111)</f>
        <v>374.3</v>
      </c>
      <c r="K111" s="37">
        <f>IF(OR(D111="",A111=""),"",A111+IF(AND(Config!$B$17="Sim",LEFT(D111,17)="Cartão de crédito"),1,IFERROR(INDEX(Config!$C$12:$C$15,MATCH(IF(AND(D111="Cartão de crédito",N(E111)&gt;1),"Cartão de crédito parcelado",D111),Config!$A$12:$A$15,0)),0)))</f>
        <v>46239.0</v>
      </c>
      <c r="L111" s="27">
        <f>IF(A111="","",MONTH(A111))</f>
        <v>8</v>
      </c>
      <c r="M111" s="27">
        <f>IF(A111="","",YEAR(A111))</f>
        <v>2026</v>
      </c>
      <c r="N111" s="27" t="str">
        <f>IF(K111="","",IF(G111="Sim","Conferido",IF(K111&gt;Config!$B$8,"A cair","A conferir")))</f>
        <v>Conferido</v>
      </c>
      <c r="O111" s="50">
        <f>IF(N111="A conferir",(Config!$B$8-K111)*1000+N(F111)/1000+ROW()/100000,0)</f>
        <v>0</v>
      </c>
    </row>
    <row r="112">
      <c r="A112" s="48" t="n">
        <v>46239</v>
      </c>
      <c r="B112" s="40" t="inlineStr">
        <is>
          <t>Regina Duarte</t>
        </is>
      </c>
      <c r="C112" s="40" t="inlineStr">
        <is>
          <t>Consulta</t>
        </is>
      </c>
      <c r="D112" s="41" t="inlineStr">
        <is>
          <t>Cartão de crédito</t>
        </is>
      </c>
      <c r="E112" s="41" t="n">
        <v>2</v>
      </c>
      <c r="F112" s="49" t="n">
        <v>380</v>
      </c>
      <c r="G112" s="41" t="inlineStr">
        <is>
          <t>Sim</t>
        </is>
      </c>
      <c r="H112" s="30">
        <f>IF(D112="","",IFERROR(INDEX(Config!$B$12:$B$15,MATCH(IF(AND(D112="Cartão de crédito",N(E112)&gt;1),"Cartão de crédito parcelado",D112),Config!$A$12:$A$15,0)),0)+IF(AND(Config!$B$17="Sim",LEFT(D112,17)="Cartão de crédito"),Config!$B$18*IFERROR(INDEX(Config!$C$12:$C$15,MATCH(IF(AND(D112="Cartão de crédito",N(E112)&gt;1),"Cartão de crédito parcelado",D112),Config!$A$12:$A$15,0)),0)/30*MAX(1,N(E112)),0))</f>
        <v>0.039</v>
      </c>
      <c r="I112" s="29">
        <f>IF(OR(D112="",F112=""),"",ROUND(F112*H112,2))</f>
        <v>14.82</v>
      </c>
      <c r="J112" s="29">
        <f>IF(I112="","",F112-I112)</f>
        <v>365.18</v>
      </c>
      <c r="K112" s="37">
        <f>IF(OR(D112="",A112=""),"",A112+IF(AND(Config!$B$17="Sim",LEFT(D112,17)="Cartão de crédito"),1,IFERROR(INDEX(Config!$C$12:$C$15,MATCH(IF(AND(D112="Cartão de crédito",N(E112)&gt;1),"Cartão de crédito parcelado",D112),Config!$A$12:$A$15,0)),0)))</f>
        <v>46269.0</v>
      </c>
      <c r="L112" s="27">
        <f>IF(A112="","",MONTH(A112))</f>
        <v>8</v>
      </c>
      <c r="M112" s="27">
        <f>IF(A112="","",YEAR(A112))</f>
        <v>2026</v>
      </c>
      <c r="N112" s="27" t="str">
        <f>IF(K112="","",IF(G112="Sim","Conferido",IF(K112&gt;Config!$B$8,"A cair","A conferir")))</f>
        <v>Conferido</v>
      </c>
      <c r="O112" s="50">
        <f>IF(N112="A conferir",(Config!$B$8-K112)*1000+N(F112)/1000+ROW()/100000,0)</f>
        <v>0</v>
      </c>
    </row>
    <row r="113">
      <c r="A113" s="48" t="n">
        <v>46239</v>
      </c>
      <c r="B113" s="40" t="inlineStr">
        <is>
          <t>Marcelo Santos</t>
        </is>
      </c>
      <c r="C113" s="40" t="inlineStr">
        <is>
          <t>Consulta</t>
        </is>
      </c>
      <c r="D113" s="41" t="inlineStr">
        <is>
          <t>Pix</t>
        </is>
      </c>
      <c r="E113" s="41" t="n"/>
      <c r="F113" s="49" t="n">
        <v>380</v>
      </c>
      <c r="G113" s="41" t="inlineStr">
        <is>
          <t>Sim</t>
        </is>
      </c>
      <c r="H113" s="30">
        <f>IF(D113="","",IFERROR(INDEX(Config!$B$12:$B$15,MATCH(IF(AND(D113="Cartão de crédito",N(E113)&gt;1),"Cartão de crédito parcelado",D113),Config!$A$12:$A$15,0)),0)+IF(AND(Config!$B$17="Sim",LEFT(D113,17)="Cartão de crédito"),Config!$B$18*IFERROR(INDEX(Config!$C$12:$C$15,MATCH(IF(AND(D113="Cartão de crédito",N(E113)&gt;1),"Cartão de crédito parcelado",D113),Config!$A$12:$A$15,0)),0)/30*MAX(1,N(E113)),0))</f>
        <v>0</v>
      </c>
      <c r="I113" s="29">
        <f>IF(OR(D113="",F113=""),"",ROUND(F113*H113,2))</f>
        <v>0</v>
      </c>
      <c r="J113" s="29">
        <f>IF(I113="","",F113-I113)</f>
        <v>380</v>
      </c>
      <c r="K113" s="37">
        <f>IF(OR(D113="",A113=""),"",A113+IF(AND(Config!$B$17="Sim",LEFT(D113,17)="Cartão de crédito"),1,IFERROR(INDEX(Config!$C$12:$C$15,MATCH(IF(AND(D113="Cartão de crédito",N(E113)&gt;1),"Cartão de crédito parcelado",D113),Config!$A$12:$A$15,0)),0)))</f>
        <v>46239.0</v>
      </c>
      <c r="L113" s="27">
        <f>IF(A113="","",MONTH(A113))</f>
        <v>8</v>
      </c>
      <c r="M113" s="27">
        <f>IF(A113="","",YEAR(A113))</f>
        <v>2026</v>
      </c>
      <c r="N113" s="27" t="str">
        <f>IF(K113="","",IF(G113="Sim","Conferido",IF(K113&gt;Config!$B$8,"A cair","A conferir")))</f>
        <v>Conferido</v>
      </c>
      <c r="O113" s="50">
        <f>IF(N113="A conferir",(Config!$B$8-K113)*1000+N(F113)/1000+ROW()/100000,0)</f>
        <v>0</v>
      </c>
    </row>
    <row r="114">
      <c r="A114" s="48" t="n">
        <v>46239</v>
      </c>
      <c r="B114" s="40" t="inlineStr">
        <is>
          <t>Rodrigo Moreira</t>
        </is>
      </c>
      <c r="C114" s="40" t="inlineStr">
        <is>
          <t>Consulta</t>
        </is>
      </c>
      <c r="D114" s="41" t="inlineStr">
        <is>
          <t>Cartão de débito</t>
        </is>
      </c>
      <c r="E114" s="41" t="n"/>
      <c r="F114" s="49" t="n">
        <v>380</v>
      </c>
      <c r="G114" s="41" t="inlineStr">
        <is>
          <t>Sim</t>
        </is>
      </c>
      <c r="H114" s="30">
        <f>IF(D114="","",IFERROR(INDEX(Config!$B$12:$B$15,MATCH(IF(AND(D114="Cartão de crédito",N(E114)&gt;1),"Cartão de crédito parcelado",D114),Config!$A$12:$A$15,0)),0)+IF(AND(Config!$B$17="Sim",LEFT(D114,17)="Cartão de crédito"),Config!$B$18*IFERROR(INDEX(Config!$C$12:$C$15,MATCH(IF(AND(D114="Cartão de crédito",N(E114)&gt;1),"Cartão de crédito parcelado",D114),Config!$A$12:$A$15,0)),0)/30*MAX(1,N(E114)),0))</f>
        <v>0.015</v>
      </c>
      <c r="I114" s="29">
        <f>IF(OR(D114="",F114=""),"",ROUND(F114*H114,2))</f>
        <v>5.7</v>
      </c>
      <c r="J114" s="29">
        <f>IF(I114="","",F114-I114)</f>
        <v>374.3</v>
      </c>
      <c r="K114" s="37">
        <f>IF(OR(D114="",A114=""),"",A114+IF(AND(Config!$B$17="Sim",LEFT(D114,17)="Cartão de crédito"),1,IFERROR(INDEX(Config!$C$12:$C$15,MATCH(IF(AND(D114="Cartão de crédito",N(E114)&gt;1),"Cartão de crédito parcelado",D114),Config!$A$12:$A$15,0)),0)))</f>
        <v>46240.0</v>
      </c>
      <c r="L114" s="27">
        <f>IF(A114="","",MONTH(A114))</f>
        <v>8</v>
      </c>
      <c r="M114" s="27">
        <f>IF(A114="","",YEAR(A114))</f>
        <v>2026</v>
      </c>
      <c r="N114" s="27" t="str">
        <f>IF(K114="","",IF(G114="Sim","Conferido",IF(K114&gt;Config!$B$8,"A cair","A conferir")))</f>
        <v>Conferido</v>
      </c>
      <c r="O114" s="50">
        <f>IF(N114="A conferir",(Config!$B$8-K114)*1000+N(F114)/1000+ROW()/100000,0)</f>
        <v>0</v>
      </c>
    </row>
    <row r="115">
      <c r="A115" s="48" t="n">
        <v>46240</v>
      </c>
      <c r="B115" s="40" t="inlineStr">
        <is>
          <t>Elaine Cardoso</t>
        </is>
      </c>
      <c r="C115" s="40" t="inlineStr">
        <is>
          <t>Consulta</t>
        </is>
      </c>
      <c r="D115" s="41" t="inlineStr">
        <is>
          <t>Cartão de crédito</t>
        </is>
      </c>
      <c r="E115" s="41" t="n">
        <v>2</v>
      </c>
      <c r="F115" s="49" t="n">
        <v>380</v>
      </c>
      <c r="G115" s="41" t="inlineStr">
        <is>
          <t>Sim</t>
        </is>
      </c>
      <c r="H115" s="30">
        <f>IF(D115="","",IFERROR(INDEX(Config!$B$12:$B$15,MATCH(IF(AND(D115="Cartão de crédito",N(E115)&gt;1),"Cartão de crédito parcelado",D115),Config!$A$12:$A$15,0)),0)+IF(AND(Config!$B$17="Sim",LEFT(D115,17)="Cartão de crédito"),Config!$B$18*IFERROR(INDEX(Config!$C$12:$C$15,MATCH(IF(AND(D115="Cartão de crédito",N(E115)&gt;1),"Cartão de crédito parcelado",D115),Config!$A$12:$A$15,0)),0)/30*MAX(1,N(E115)),0))</f>
        <v>0.039</v>
      </c>
      <c r="I115" s="29">
        <f>IF(OR(D115="",F115=""),"",ROUND(F115*H115,2))</f>
        <v>14.82</v>
      </c>
      <c r="J115" s="29">
        <f>IF(I115="","",F115-I115)</f>
        <v>365.18</v>
      </c>
      <c r="K115" s="37">
        <f>IF(OR(D115="",A115=""),"",A115+IF(AND(Config!$B$17="Sim",LEFT(D115,17)="Cartão de crédito"),1,IFERROR(INDEX(Config!$C$12:$C$15,MATCH(IF(AND(D115="Cartão de crédito",N(E115)&gt;1),"Cartão de crédito parcelado",D115),Config!$A$12:$A$15,0)),0)))</f>
        <v>46270.0</v>
      </c>
      <c r="L115" s="27">
        <f>IF(A115="","",MONTH(A115))</f>
        <v>8</v>
      </c>
      <c r="M115" s="27">
        <f>IF(A115="","",YEAR(A115))</f>
        <v>2026</v>
      </c>
      <c r="N115" s="27" t="str">
        <f>IF(K115="","",IF(G115="Sim","Conferido",IF(K115&gt;Config!$B$8,"A cair","A conferir")))</f>
        <v>Conferido</v>
      </c>
      <c r="O115" s="50">
        <f>IF(N115="A conferir",(Config!$B$8-K115)*1000+N(F115)/1000+ROW()/100000,0)</f>
        <v>0</v>
      </c>
    </row>
    <row r="116">
      <c r="A116" s="48" t="n">
        <v>46240</v>
      </c>
      <c r="B116" s="40" t="inlineStr">
        <is>
          <t>Patrícia Fernandes</t>
        </is>
      </c>
      <c r="C116" s="40" t="inlineStr">
        <is>
          <t>Consulta</t>
        </is>
      </c>
      <c r="D116" s="41" t="inlineStr">
        <is>
          <t>Cartão de débito</t>
        </is>
      </c>
      <c r="E116" s="41" t="n"/>
      <c r="F116" s="49" t="n">
        <v>380</v>
      </c>
      <c r="G116" s="41" t="inlineStr">
        <is>
          <t>Sim</t>
        </is>
      </c>
      <c r="H116" s="30">
        <f>IF(D116="","",IFERROR(INDEX(Config!$B$12:$B$15,MATCH(IF(AND(D116="Cartão de crédito",N(E116)&gt;1),"Cartão de crédito parcelado",D116),Config!$A$12:$A$15,0)),0)+IF(AND(Config!$B$17="Sim",LEFT(D116,17)="Cartão de crédito"),Config!$B$18*IFERROR(INDEX(Config!$C$12:$C$15,MATCH(IF(AND(D116="Cartão de crédito",N(E116)&gt;1),"Cartão de crédito parcelado",D116),Config!$A$12:$A$15,0)),0)/30*MAX(1,N(E116)),0))</f>
        <v>0.015</v>
      </c>
      <c r="I116" s="29">
        <f>IF(OR(D116="",F116=""),"",ROUND(F116*H116,2))</f>
        <v>5.7</v>
      </c>
      <c r="J116" s="29">
        <f>IF(I116="","",F116-I116)</f>
        <v>374.3</v>
      </c>
      <c r="K116" s="37">
        <f>IF(OR(D116="",A116=""),"",A116+IF(AND(Config!$B$17="Sim",LEFT(D116,17)="Cartão de crédito"),1,IFERROR(INDEX(Config!$C$12:$C$15,MATCH(IF(AND(D116="Cartão de crédito",N(E116)&gt;1),"Cartão de crédito parcelado",D116),Config!$A$12:$A$15,0)),0)))</f>
        <v>46241.0</v>
      </c>
      <c r="L116" s="27">
        <f>IF(A116="","",MONTH(A116))</f>
        <v>8</v>
      </c>
      <c r="M116" s="27">
        <f>IF(A116="","",YEAR(A116))</f>
        <v>2026</v>
      </c>
      <c r="N116" s="27" t="str">
        <f>IF(K116="","",IF(G116="Sim","Conferido",IF(K116&gt;Config!$B$8,"A cair","A conferir")))</f>
        <v>Conferido</v>
      </c>
      <c r="O116" s="50">
        <f>IF(N116="A conferir",(Config!$B$8-K116)*1000+N(F116)/1000+ROW()/100000,0)</f>
        <v>0</v>
      </c>
    </row>
    <row r="117">
      <c r="A117" s="48" t="n">
        <v>46240</v>
      </c>
      <c r="B117" s="40" t="inlineStr">
        <is>
          <t>Fábio Ferreira</t>
        </is>
      </c>
      <c r="C117" s="40" t="inlineStr">
        <is>
          <t>Avaliação endócrina</t>
        </is>
      </c>
      <c r="D117" s="41" t="inlineStr">
        <is>
          <t>Cartão de crédito</t>
        </is>
      </c>
      <c r="E117" s="41" t="n">
        <v>2</v>
      </c>
      <c r="F117" s="49" t="n">
        <v>400</v>
      </c>
      <c r="G117" s="41" t="inlineStr">
        <is>
          <t>Sim</t>
        </is>
      </c>
      <c r="H117" s="30">
        <f>IF(D117="","",IFERROR(INDEX(Config!$B$12:$B$15,MATCH(IF(AND(D117="Cartão de crédito",N(E117)&gt;1),"Cartão de crédito parcelado",D117),Config!$A$12:$A$15,0)),0)+IF(AND(Config!$B$17="Sim",LEFT(D117,17)="Cartão de crédito"),Config!$B$18*IFERROR(INDEX(Config!$C$12:$C$15,MATCH(IF(AND(D117="Cartão de crédito",N(E117)&gt;1),"Cartão de crédito parcelado",D117),Config!$A$12:$A$15,0)),0)/30*MAX(1,N(E117)),0))</f>
        <v>0.039</v>
      </c>
      <c r="I117" s="29">
        <f>IF(OR(D117="",F117=""),"",ROUND(F117*H117,2))</f>
        <v>15.6</v>
      </c>
      <c r="J117" s="29">
        <f>IF(I117="","",F117-I117)</f>
        <v>384.4</v>
      </c>
      <c r="K117" s="37">
        <f>IF(OR(D117="",A117=""),"",A117+IF(AND(Config!$B$17="Sim",LEFT(D117,17)="Cartão de crédito"),1,IFERROR(INDEX(Config!$C$12:$C$15,MATCH(IF(AND(D117="Cartão de crédito",N(E117)&gt;1),"Cartão de crédito parcelado",D117),Config!$A$12:$A$15,0)),0)))</f>
        <v>46270.0</v>
      </c>
      <c r="L117" s="27">
        <f>IF(A117="","",MONTH(A117))</f>
        <v>8</v>
      </c>
      <c r="M117" s="27">
        <f>IF(A117="","",YEAR(A117))</f>
        <v>2026</v>
      </c>
      <c r="N117" s="27" t="str">
        <f>IF(K117="","",IF(G117="Sim","Conferido",IF(K117&gt;Config!$B$8,"A cair","A conferir")))</f>
        <v>Conferido</v>
      </c>
      <c r="O117" s="50">
        <f>IF(N117="A conferir",(Config!$B$8-K117)*1000+N(F117)/1000+ROW()/100000,0)</f>
        <v>0</v>
      </c>
    </row>
    <row r="118">
      <c r="A118" s="48" t="n">
        <v>46240</v>
      </c>
      <c r="B118" s="40" t="inlineStr">
        <is>
          <t>Cláudia Melo</t>
        </is>
      </c>
      <c r="C118" s="40" t="inlineStr">
        <is>
          <t>Avaliação endócrina</t>
        </is>
      </c>
      <c r="D118" s="41" t="inlineStr">
        <is>
          <t>Pix</t>
        </is>
      </c>
      <c r="E118" s="41" t="n"/>
      <c r="F118" s="49" t="n">
        <v>400</v>
      </c>
      <c r="G118" s="41" t="inlineStr">
        <is>
          <t>Sim</t>
        </is>
      </c>
      <c r="H118" s="30">
        <f>IF(D118="","",IFERROR(INDEX(Config!$B$12:$B$15,MATCH(IF(AND(D118="Cartão de crédito",N(E118)&gt;1),"Cartão de crédito parcelado",D118),Config!$A$12:$A$15,0)),0)+IF(AND(Config!$B$17="Sim",LEFT(D118,17)="Cartão de crédito"),Config!$B$18*IFERROR(INDEX(Config!$C$12:$C$15,MATCH(IF(AND(D118="Cartão de crédito",N(E118)&gt;1),"Cartão de crédito parcelado",D118),Config!$A$12:$A$15,0)),0)/30*MAX(1,N(E118)),0))</f>
        <v>0</v>
      </c>
      <c r="I118" s="29">
        <f>IF(OR(D118="",F118=""),"",ROUND(F118*H118,2))</f>
        <v>0</v>
      </c>
      <c r="J118" s="29">
        <f>IF(I118="","",F118-I118)</f>
        <v>400</v>
      </c>
      <c r="K118" s="37">
        <f>IF(OR(D118="",A118=""),"",A118+IF(AND(Config!$B$17="Sim",LEFT(D118,17)="Cartão de crédito"),1,IFERROR(INDEX(Config!$C$12:$C$15,MATCH(IF(AND(D118="Cartão de crédito",N(E118)&gt;1),"Cartão de crédito parcelado",D118),Config!$A$12:$A$15,0)),0)))</f>
        <v>46240.0</v>
      </c>
      <c r="L118" s="27">
        <f>IF(A118="","",MONTH(A118))</f>
        <v>8</v>
      </c>
      <c r="M118" s="27">
        <f>IF(A118="","",YEAR(A118))</f>
        <v>2026</v>
      </c>
      <c r="N118" s="27" t="str">
        <f>IF(K118="","",IF(G118="Sim","Conferido",IF(K118&gt;Config!$B$8,"A cair","A conferir")))</f>
        <v>Conferido</v>
      </c>
      <c r="O118" s="50">
        <f>IF(N118="A conferir",(Config!$B$8-K118)*1000+N(F118)/1000+ROW()/100000,0)</f>
        <v>0</v>
      </c>
    </row>
    <row r="119">
      <c r="A119" s="48" t="n">
        <v>46240</v>
      </c>
      <c r="B119" s="40" t="inlineStr">
        <is>
          <t>Otávio Cardoso</t>
        </is>
      </c>
      <c r="C119" s="40" t="inlineStr">
        <is>
          <t>Teste ergométrico</t>
        </is>
      </c>
      <c r="D119" s="41" t="inlineStr">
        <is>
          <t>Pix</t>
        </is>
      </c>
      <c r="E119" s="41" t="n"/>
      <c r="F119" s="49" t="n">
        <v>450</v>
      </c>
      <c r="G119" s="41" t="inlineStr">
        <is>
          <t>Sim</t>
        </is>
      </c>
      <c r="H119" s="30">
        <f>IF(D119="","",IFERROR(INDEX(Config!$B$12:$B$15,MATCH(IF(AND(D119="Cartão de crédito",N(E119)&gt;1),"Cartão de crédito parcelado",D119),Config!$A$12:$A$15,0)),0)+IF(AND(Config!$B$17="Sim",LEFT(D119,17)="Cartão de crédito"),Config!$B$18*IFERROR(INDEX(Config!$C$12:$C$15,MATCH(IF(AND(D119="Cartão de crédito",N(E119)&gt;1),"Cartão de crédito parcelado",D119),Config!$A$12:$A$15,0)),0)/30*MAX(1,N(E119)),0))</f>
        <v>0</v>
      </c>
      <c r="I119" s="29">
        <f>IF(OR(D119="",F119=""),"",ROUND(F119*H119,2))</f>
        <v>0</v>
      </c>
      <c r="J119" s="29">
        <f>IF(I119="","",F119-I119)</f>
        <v>450</v>
      </c>
      <c r="K119" s="37">
        <f>IF(OR(D119="",A119=""),"",A119+IF(AND(Config!$B$17="Sim",LEFT(D119,17)="Cartão de crédito"),1,IFERROR(INDEX(Config!$C$12:$C$15,MATCH(IF(AND(D119="Cartão de crédito",N(E119)&gt;1),"Cartão de crédito parcelado",D119),Config!$A$12:$A$15,0)),0)))</f>
        <v>46240.0</v>
      </c>
      <c r="L119" s="27">
        <f>IF(A119="","",MONTH(A119))</f>
        <v>8</v>
      </c>
      <c r="M119" s="27">
        <f>IF(A119="","",YEAR(A119))</f>
        <v>2026</v>
      </c>
      <c r="N119" s="27" t="str">
        <f>IF(K119="","",IF(G119="Sim","Conferido",IF(K119&gt;Config!$B$8,"A cair","A conferir")))</f>
        <v>Conferido</v>
      </c>
      <c r="O119" s="50">
        <f>IF(N119="A conferir",(Config!$B$8-K119)*1000+N(F119)/1000+ROW()/100000,0)</f>
        <v>0</v>
      </c>
    </row>
    <row r="120">
      <c r="A120" s="48" t="n">
        <v>46241</v>
      </c>
      <c r="B120" s="40" t="inlineStr">
        <is>
          <t>Cláudia Costa</t>
        </is>
      </c>
      <c r="C120" s="40" t="inlineStr">
        <is>
          <t>ECG</t>
        </is>
      </c>
      <c r="D120" s="41" t="inlineStr">
        <is>
          <t>Pix</t>
        </is>
      </c>
      <c r="E120" s="41" t="n"/>
      <c r="F120" s="49" t="n">
        <v>130</v>
      </c>
      <c r="G120" s="41" t="inlineStr">
        <is>
          <t>Sim</t>
        </is>
      </c>
      <c r="H120" s="30">
        <f>IF(D120="","",IFERROR(INDEX(Config!$B$12:$B$15,MATCH(IF(AND(D120="Cartão de crédito",N(E120)&gt;1),"Cartão de crédito parcelado",D120),Config!$A$12:$A$15,0)),0)+IF(AND(Config!$B$17="Sim",LEFT(D120,17)="Cartão de crédito"),Config!$B$18*IFERROR(INDEX(Config!$C$12:$C$15,MATCH(IF(AND(D120="Cartão de crédito",N(E120)&gt;1),"Cartão de crédito parcelado",D120),Config!$A$12:$A$15,0)),0)/30*MAX(1,N(E120)),0))</f>
        <v>0</v>
      </c>
      <c r="I120" s="29">
        <f>IF(OR(D120="",F120=""),"",ROUND(F120*H120,2))</f>
        <v>0</v>
      </c>
      <c r="J120" s="29">
        <f>IF(I120="","",F120-I120)</f>
        <v>130</v>
      </c>
      <c r="K120" s="37">
        <f>IF(OR(D120="",A120=""),"",A120+IF(AND(Config!$B$17="Sim",LEFT(D120,17)="Cartão de crédito"),1,IFERROR(INDEX(Config!$C$12:$C$15,MATCH(IF(AND(D120="Cartão de crédito",N(E120)&gt;1),"Cartão de crédito parcelado",D120),Config!$A$12:$A$15,0)),0)))</f>
        <v>46241.0</v>
      </c>
      <c r="L120" s="27">
        <f>IF(A120="","",MONTH(A120))</f>
        <v>8</v>
      </c>
      <c r="M120" s="27">
        <f>IF(A120="","",YEAR(A120))</f>
        <v>2026</v>
      </c>
      <c r="N120" s="27" t="str">
        <f>IF(K120="","",IF(G120="Sim","Conferido",IF(K120&gt;Config!$B$8,"A cair","A conferir")))</f>
        <v>Conferido</v>
      </c>
      <c r="O120" s="50">
        <f>IF(N120="A conferir",(Config!$B$8-K120)*1000+N(F120)/1000+ROW()/100000,0)</f>
        <v>0</v>
      </c>
    </row>
    <row r="121">
      <c r="A121" s="48" t="n">
        <v>46241</v>
      </c>
      <c r="B121" s="40" t="inlineStr">
        <is>
          <t>Wagner Costa</t>
        </is>
      </c>
      <c r="C121" s="40" t="inlineStr">
        <is>
          <t>Consulta</t>
        </is>
      </c>
      <c r="D121" s="41" t="inlineStr">
        <is>
          <t>Cartão de crédito</t>
        </is>
      </c>
      <c r="E121" s="41" t="n"/>
      <c r="F121" s="49" t="n">
        <v>380</v>
      </c>
      <c r="G121" s="41" t="inlineStr">
        <is>
          <t>Sim</t>
        </is>
      </c>
      <c r="H121" s="30">
        <f>IF(D121="","",IFERROR(INDEX(Config!$B$12:$B$15,MATCH(IF(AND(D121="Cartão de crédito",N(E121)&gt;1),"Cartão de crédito parcelado",D121),Config!$A$12:$A$15,0)),0)+IF(AND(Config!$B$17="Sim",LEFT(D121,17)="Cartão de crédito"),Config!$B$18*IFERROR(INDEX(Config!$C$12:$C$15,MATCH(IF(AND(D121="Cartão de crédito",N(E121)&gt;1),"Cartão de crédito parcelado",D121),Config!$A$12:$A$15,0)),0)/30*MAX(1,N(E121)),0))</f>
        <v>0.032</v>
      </c>
      <c r="I121" s="29">
        <f>IF(OR(D121="",F121=""),"",ROUND(F121*H121,2))</f>
        <v>12.16</v>
      </c>
      <c r="J121" s="29">
        <f>IF(I121="","",F121-I121)</f>
        <v>367.84</v>
      </c>
      <c r="K121" s="37">
        <f>IF(OR(D121="",A121=""),"",A121+IF(AND(Config!$B$17="Sim",LEFT(D121,17)="Cartão de crédito"),1,IFERROR(INDEX(Config!$C$12:$C$15,MATCH(IF(AND(D121="Cartão de crédito",N(E121)&gt;1),"Cartão de crédito parcelado",D121),Config!$A$12:$A$15,0)),0)))</f>
        <v>46271.0</v>
      </c>
      <c r="L121" s="27">
        <f>IF(A121="","",MONTH(A121))</f>
        <v>8</v>
      </c>
      <c r="M121" s="27">
        <f>IF(A121="","",YEAR(A121))</f>
        <v>2026</v>
      </c>
      <c r="N121" s="27" t="str">
        <f>IF(K121="","",IF(G121="Sim","Conferido",IF(K121&gt;Config!$B$8,"A cair","A conferir")))</f>
        <v>Conferido</v>
      </c>
      <c r="O121" s="50">
        <f>IF(N121="A conferir",(Config!$B$8-K121)*1000+N(F121)/1000+ROW()/100000,0)</f>
        <v>0</v>
      </c>
    </row>
    <row r="122">
      <c r="A122" s="48" t="n">
        <v>46244</v>
      </c>
      <c r="B122" s="40" t="inlineStr">
        <is>
          <t>Marcelo Moreira</t>
        </is>
      </c>
      <c r="C122" s="40" t="inlineStr">
        <is>
          <t>Holter</t>
        </is>
      </c>
      <c r="D122" s="41" t="inlineStr">
        <is>
          <t>Cartão de débito</t>
        </is>
      </c>
      <c r="E122" s="41" t="n"/>
      <c r="F122" s="49" t="n">
        <v>350</v>
      </c>
      <c r="G122" s="41" t="inlineStr">
        <is>
          <t>Sim</t>
        </is>
      </c>
      <c r="H122" s="30">
        <f>IF(D122="","",IFERROR(INDEX(Config!$B$12:$B$15,MATCH(IF(AND(D122="Cartão de crédito",N(E122)&gt;1),"Cartão de crédito parcelado",D122),Config!$A$12:$A$15,0)),0)+IF(AND(Config!$B$17="Sim",LEFT(D122,17)="Cartão de crédito"),Config!$B$18*IFERROR(INDEX(Config!$C$12:$C$15,MATCH(IF(AND(D122="Cartão de crédito",N(E122)&gt;1),"Cartão de crédito parcelado",D122),Config!$A$12:$A$15,0)),0)/30*MAX(1,N(E122)),0))</f>
        <v>0.015</v>
      </c>
      <c r="I122" s="29">
        <f>IF(OR(D122="",F122=""),"",ROUND(F122*H122,2))</f>
        <v>5.25</v>
      </c>
      <c r="J122" s="29">
        <f>IF(I122="","",F122-I122)</f>
        <v>344.75</v>
      </c>
      <c r="K122" s="37">
        <f>IF(OR(D122="",A122=""),"",A122+IF(AND(Config!$B$17="Sim",LEFT(D122,17)="Cartão de crédito"),1,IFERROR(INDEX(Config!$C$12:$C$15,MATCH(IF(AND(D122="Cartão de crédito",N(E122)&gt;1),"Cartão de crédito parcelado",D122),Config!$A$12:$A$15,0)),0)))</f>
        <v>46245.0</v>
      </c>
      <c r="L122" s="27">
        <f>IF(A122="","",MONTH(A122))</f>
        <v>8</v>
      </c>
      <c r="M122" s="27">
        <f>IF(A122="","",YEAR(A122))</f>
        <v>2026</v>
      </c>
      <c r="N122" s="27" t="str">
        <f>IF(K122="","",IF(G122="Sim","Conferido",IF(K122&gt;Config!$B$8,"A cair","A conferir")))</f>
        <v>Conferido</v>
      </c>
      <c r="O122" s="50">
        <f>IF(N122="A conferir",(Config!$B$8-K122)*1000+N(F122)/1000+ROW()/100000,0)</f>
        <v>0</v>
      </c>
    </row>
    <row r="123">
      <c r="A123" s="48" t="n">
        <v>46244</v>
      </c>
      <c r="B123" s="40" t="inlineStr">
        <is>
          <t>Marcelo Santos</t>
        </is>
      </c>
      <c r="C123" s="40" t="inlineStr">
        <is>
          <t>ECG</t>
        </is>
      </c>
      <c r="D123" s="41" t="inlineStr">
        <is>
          <t>Pix</t>
        </is>
      </c>
      <c r="E123" s="41" t="n"/>
      <c r="F123" s="49" t="n">
        <v>130</v>
      </c>
      <c r="G123" s="41" t="inlineStr">
        <is>
          <t>Sim</t>
        </is>
      </c>
      <c r="H123" s="30">
        <f>IF(D123="","",IFERROR(INDEX(Config!$B$12:$B$15,MATCH(IF(AND(D123="Cartão de crédito",N(E123)&gt;1),"Cartão de crédito parcelado",D123),Config!$A$12:$A$15,0)),0)+IF(AND(Config!$B$17="Sim",LEFT(D123,17)="Cartão de crédito"),Config!$B$18*IFERROR(INDEX(Config!$C$12:$C$15,MATCH(IF(AND(D123="Cartão de crédito",N(E123)&gt;1),"Cartão de crédito parcelado",D123),Config!$A$12:$A$15,0)),0)/30*MAX(1,N(E123)),0))</f>
        <v>0</v>
      </c>
      <c r="I123" s="29">
        <f>IF(OR(D123="",F123=""),"",ROUND(F123*H123,2))</f>
        <v>0</v>
      </c>
      <c r="J123" s="29">
        <f>IF(I123="","",F123-I123)</f>
        <v>130</v>
      </c>
      <c r="K123" s="37">
        <f>IF(OR(D123="",A123=""),"",A123+IF(AND(Config!$B$17="Sim",LEFT(D123,17)="Cartão de crédito"),1,IFERROR(INDEX(Config!$C$12:$C$15,MATCH(IF(AND(D123="Cartão de crédito",N(E123)&gt;1),"Cartão de crédito parcelado",D123),Config!$A$12:$A$15,0)),0)))</f>
        <v>46244.0</v>
      </c>
      <c r="L123" s="27">
        <f>IF(A123="","",MONTH(A123))</f>
        <v>8</v>
      </c>
      <c r="M123" s="27">
        <f>IF(A123="","",YEAR(A123))</f>
        <v>2026</v>
      </c>
      <c r="N123" s="27" t="str">
        <f>IF(K123="","",IF(G123="Sim","Conferido",IF(K123&gt;Config!$B$8,"A cair","A conferir")))</f>
        <v>Conferido</v>
      </c>
      <c r="O123" s="50">
        <f>IF(N123="A conferir",(Config!$B$8-K123)*1000+N(F123)/1000+ROW()/100000,0)</f>
        <v>0</v>
      </c>
    </row>
    <row r="124">
      <c r="A124" s="48" t="n">
        <v>46244</v>
      </c>
      <c r="B124" s="40" t="inlineStr">
        <is>
          <t>Rafael Correia</t>
        </is>
      </c>
      <c r="C124" s="40" t="inlineStr">
        <is>
          <t>Consulta</t>
        </is>
      </c>
      <c r="D124" s="41" t="inlineStr">
        <is>
          <t>Cartão de crédito</t>
        </is>
      </c>
      <c r="E124" s="41" t="n"/>
      <c r="F124" s="49" t="n">
        <v>380</v>
      </c>
      <c r="G124" s="41" t="inlineStr">
        <is>
          <t>Sim</t>
        </is>
      </c>
      <c r="H124" s="30">
        <f>IF(D124="","",IFERROR(INDEX(Config!$B$12:$B$15,MATCH(IF(AND(D124="Cartão de crédito",N(E124)&gt;1),"Cartão de crédito parcelado",D124),Config!$A$12:$A$15,0)),0)+IF(AND(Config!$B$17="Sim",LEFT(D124,17)="Cartão de crédito"),Config!$B$18*IFERROR(INDEX(Config!$C$12:$C$15,MATCH(IF(AND(D124="Cartão de crédito",N(E124)&gt;1),"Cartão de crédito parcelado",D124),Config!$A$12:$A$15,0)),0)/30*MAX(1,N(E124)),0))</f>
        <v>0.032</v>
      </c>
      <c r="I124" s="29">
        <f>IF(OR(D124="",F124=""),"",ROUND(F124*H124,2))</f>
        <v>12.16</v>
      </c>
      <c r="J124" s="29">
        <f>IF(I124="","",F124-I124)</f>
        <v>367.84</v>
      </c>
      <c r="K124" s="37">
        <f>IF(OR(D124="",A124=""),"",A124+IF(AND(Config!$B$17="Sim",LEFT(D124,17)="Cartão de crédito"),1,IFERROR(INDEX(Config!$C$12:$C$15,MATCH(IF(AND(D124="Cartão de crédito",N(E124)&gt;1),"Cartão de crédito parcelado",D124),Config!$A$12:$A$15,0)),0)))</f>
        <v>46274.0</v>
      </c>
      <c r="L124" s="27">
        <f>IF(A124="","",MONTH(A124))</f>
        <v>8</v>
      </c>
      <c r="M124" s="27">
        <f>IF(A124="","",YEAR(A124))</f>
        <v>2026</v>
      </c>
      <c r="N124" s="27" t="str">
        <f>IF(K124="","",IF(G124="Sim","Conferido",IF(K124&gt;Config!$B$8,"A cair","A conferir")))</f>
        <v>Conferido</v>
      </c>
      <c r="O124" s="50">
        <f>IF(N124="A conferir",(Config!$B$8-K124)*1000+N(F124)/1000+ROW()/100000,0)</f>
        <v>0</v>
      </c>
    </row>
    <row r="125">
      <c r="A125" s="48" t="n">
        <v>46245</v>
      </c>
      <c r="B125" s="40" t="inlineStr">
        <is>
          <t>Ana Costa</t>
        </is>
      </c>
      <c r="C125" s="40" t="inlineStr">
        <is>
          <t>Consulta</t>
        </is>
      </c>
      <c r="D125" s="41" t="inlineStr">
        <is>
          <t>Cartão de crédito</t>
        </is>
      </c>
      <c r="E125" s="41" t="n">
        <v>2</v>
      </c>
      <c r="F125" s="49" t="n">
        <v>380</v>
      </c>
      <c r="G125" s="41" t="n"/>
      <c r="H125" s="30">
        <f>IF(D125="","",IFERROR(INDEX(Config!$B$12:$B$15,MATCH(IF(AND(D125="Cartão de crédito",N(E125)&gt;1),"Cartão de crédito parcelado",D125),Config!$A$12:$A$15,0)),0)+IF(AND(Config!$B$17="Sim",LEFT(D125,17)="Cartão de crédito"),Config!$B$18*IFERROR(INDEX(Config!$C$12:$C$15,MATCH(IF(AND(D125="Cartão de crédito",N(E125)&gt;1),"Cartão de crédito parcelado",D125),Config!$A$12:$A$15,0)),0)/30*MAX(1,N(E125)),0))</f>
        <v>0.039</v>
      </c>
      <c r="I125" s="29">
        <f>IF(OR(D125="",F125=""),"",ROUND(F125*H125,2))</f>
        <v>14.82</v>
      </c>
      <c r="J125" s="29">
        <f>IF(I125="","",F125-I125)</f>
        <v>365.18</v>
      </c>
      <c r="K125" s="37">
        <f>IF(OR(D125="",A125=""),"",A125+IF(AND(Config!$B$17="Sim",LEFT(D125,17)="Cartão de crédito"),1,IFERROR(INDEX(Config!$C$12:$C$15,MATCH(IF(AND(D125="Cartão de crédito",N(E125)&gt;1),"Cartão de crédito parcelado",D125),Config!$A$12:$A$15,0)),0)))</f>
        <v>46275.0</v>
      </c>
      <c r="L125" s="27">
        <f>IF(A125="","",MONTH(A125))</f>
        <v>8</v>
      </c>
      <c r="M125" s="27">
        <f>IF(A125="","",YEAR(A125))</f>
        <v>2026</v>
      </c>
      <c r="N125" s="27" t="str">
        <f>IF(K125="","",IF(G125="Sim","Conferido",IF(K125&gt;Config!$B$8,"A cair","A conferir")))</f>
        <v>A conferir</v>
      </c>
      <c r="O125" s="50">
        <f>IF(N125="A conferir",(Config!$B$8-K125)*1000+N(F125)/1000+ROW()/100000,0)</f>
        <v>4000.38125</v>
      </c>
    </row>
    <row r="126">
      <c r="A126" s="48" t="n">
        <v>46245</v>
      </c>
      <c r="B126" s="40" t="inlineStr">
        <is>
          <t>Gustavo Ferreira</t>
        </is>
      </c>
      <c r="C126" s="40" t="inlineStr">
        <is>
          <t>Consulta</t>
        </is>
      </c>
      <c r="D126" s="41" t="inlineStr">
        <is>
          <t>Cartão de crédito</t>
        </is>
      </c>
      <c r="E126" s="41" t="n"/>
      <c r="F126" s="49" t="n">
        <v>380</v>
      </c>
      <c r="G126" s="41" t="n"/>
      <c r="H126" s="30">
        <f>IF(D126="","",IFERROR(INDEX(Config!$B$12:$B$15,MATCH(IF(AND(D126="Cartão de crédito",N(E126)&gt;1),"Cartão de crédito parcelado",D126),Config!$A$12:$A$15,0)),0)+IF(AND(Config!$B$17="Sim",LEFT(D126,17)="Cartão de crédito"),Config!$B$18*IFERROR(INDEX(Config!$C$12:$C$15,MATCH(IF(AND(D126="Cartão de crédito",N(E126)&gt;1),"Cartão de crédito parcelado",D126),Config!$A$12:$A$15,0)),0)/30*MAX(1,N(E126)),0))</f>
        <v>0.032</v>
      </c>
      <c r="I126" s="29">
        <f>IF(OR(D126="",F126=""),"",ROUND(F126*H126,2))</f>
        <v>12.16</v>
      </c>
      <c r="J126" s="29">
        <f>IF(I126="","",F126-I126)</f>
        <v>367.84</v>
      </c>
      <c r="K126" s="37">
        <f>IF(OR(D126="",A126=""),"",A126+IF(AND(Config!$B$17="Sim",LEFT(D126,17)="Cartão de crédito"),1,IFERROR(INDEX(Config!$C$12:$C$15,MATCH(IF(AND(D126="Cartão de crédito",N(E126)&gt;1),"Cartão de crédito parcelado",D126),Config!$A$12:$A$15,0)),0)))</f>
        <v>46275.0</v>
      </c>
      <c r="L126" s="27">
        <f>IF(A126="","",MONTH(A126))</f>
        <v>8</v>
      </c>
      <c r="M126" s="27">
        <f>IF(A126="","",YEAR(A126))</f>
        <v>2026</v>
      </c>
      <c r="N126" s="27" t="str">
        <f>IF(K126="","",IF(G126="Sim","Conferido",IF(K126&gt;Config!$B$8,"A cair","A conferir")))</f>
        <v>A conferir</v>
      </c>
      <c r="O126" s="50">
        <f>IF(N126="A conferir",(Config!$B$8-K126)*1000+N(F126)/1000+ROW()/100000,0)</f>
        <v>4000.38126</v>
      </c>
    </row>
    <row r="127">
      <c r="A127" s="48" t="n">
        <v>46245</v>
      </c>
      <c r="B127" s="40" t="inlineStr">
        <is>
          <t>Larissa Costa</t>
        </is>
      </c>
      <c r="C127" s="40" t="inlineStr">
        <is>
          <t>Holter</t>
        </is>
      </c>
      <c r="D127" s="41" t="inlineStr">
        <is>
          <t>Cartão de débito</t>
        </is>
      </c>
      <c r="E127" s="41" t="n"/>
      <c r="F127" s="49" t="n">
        <v>350</v>
      </c>
      <c r="G127" s="41" t="inlineStr">
        <is>
          <t>Sim</t>
        </is>
      </c>
      <c r="H127" s="30">
        <f>IF(D127="","",IFERROR(INDEX(Config!$B$12:$B$15,MATCH(IF(AND(D127="Cartão de crédito",N(E127)&gt;1),"Cartão de crédito parcelado",D127),Config!$A$12:$A$15,0)),0)+IF(AND(Config!$B$17="Sim",LEFT(D127,17)="Cartão de crédito"),Config!$B$18*IFERROR(INDEX(Config!$C$12:$C$15,MATCH(IF(AND(D127="Cartão de crédito",N(E127)&gt;1),"Cartão de crédito parcelado",D127),Config!$A$12:$A$15,0)),0)/30*MAX(1,N(E127)),0))</f>
        <v>0.015</v>
      </c>
      <c r="I127" s="29">
        <f>IF(OR(D127="",F127=""),"",ROUND(F127*H127,2))</f>
        <v>5.25</v>
      </c>
      <c r="J127" s="29">
        <f>IF(I127="","",F127-I127)</f>
        <v>344.75</v>
      </c>
      <c r="K127" s="37">
        <f>IF(OR(D127="",A127=""),"",A127+IF(AND(Config!$B$17="Sim",LEFT(D127,17)="Cartão de crédito"),1,IFERROR(INDEX(Config!$C$12:$C$15,MATCH(IF(AND(D127="Cartão de crédito",N(E127)&gt;1),"Cartão de crédito parcelado",D127),Config!$A$12:$A$15,0)),0)))</f>
        <v>46246.0</v>
      </c>
      <c r="L127" s="27">
        <f>IF(A127="","",MONTH(A127))</f>
        <v>8</v>
      </c>
      <c r="M127" s="27">
        <f>IF(A127="","",YEAR(A127))</f>
        <v>2026</v>
      </c>
      <c r="N127" s="27" t="str">
        <f>IF(K127="","",IF(G127="Sim","Conferido",IF(K127&gt;Config!$B$8,"A cair","A conferir")))</f>
        <v>Conferido</v>
      </c>
      <c r="O127" s="50">
        <f>IF(N127="A conferir",(Config!$B$8-K127)*1000+N(F127)/1000+ROW()/100000,0)</f>
        <v>0</v>
      </c>
    </row>
    <row r="128">
      <c r="A128" s="48" t="n">
        <v>46245</v>
      </c>
      <c r="B128" s="40" t="inlineStr">
        <is>
          <t>Regina Duarte</t>
        </is>
      </c>
      <c r="C128" s="40" t="inlineStr">
        <is>
          <t>Teste ergométrico</t>
        </is>
      </c>
      <c r="D128" s="41" t="inlineStr">
        <is>
          <t>Pix</t>
        </is>
      </c>
      <c r="E128" s="41" t="n"/>
      <c r="F128" s="49" t="n">
        <v>450</v>
      </c>
      <c r="G128" s="41" t="inlineStr">
        <is>
          <t>Sim</t>
        </is>
      </c>
      <c r="H128" s="30">
        <f>IF(D128="","",IFERROR(INDEX(Config!$B$12:$B$15,MATCH(IF(AND(D128="Cartão de crédito",N(E128)&gt;1),"Cartão de crédito parcelado",D128),Config!$A$12:$A$15,0)),0)+IF(AND(Config!$B$17="Sim",LEFT(D128,17)="Cartão de crédito"),Config!$B$18*IFERROR(INDEX(Config!$C$12:$C$15,MATCH(IF(AND(D128="Cartão de crédito",N(E128)&gt;1),"Cartão de crédito parcelado",D128),Config!$A$12:$A$15,0)),0)/30*MAX(1,N(E128)),0))</f>
        <v>0</v>
      </c>
      <c r="I128" s="29">
        <f>IF(OR(D128="",F128=""),"",ROUND(F128*H128,2))</f>
        <v>0</v>
      </c>
      <c r="J128" s="29">
        <f>IF(I128="","",F128-I128)</f>
        <v>450</v>
      </c>
      <c r="K128" s="37">
        <f>IF(OR(D128="",A128=""),"",A128+IF(AND(Config!$B$17="Sim",LEFT(D128,17)="Cartão de crédito"),1,IFERROR(INDEX(Config!$C$12:$C$15,MATCH(IF(AND(D128="Cartão de crédito",N(E128)&gt;1),"Cartão de crédito parcelado",D128),Config!$A$12:$A$15,0)),0)))</f>
        <v>46245.0</v>
      </c>
      <c r="L128" s="27">
        <f>IF(A128="","",MONTH(A128))</f>
        <v>8</v>
      </c>
      <c r="M128" s="27">
        <f>IF(A128="","",YEAR(A128))</f>
        <v>2026</v>
      </c>
      <c r="N128" s="27" t="str">
        <f>IF(K128="","",IF(G128="Sim","Conferido",IF(K128&gt;Config!$B$8,"A cair","A conferir")))</f>
        <v>Conferido</v>
      </c>
      <c r="O128" s="50">
        <f>IF(N128="A conferir",(Config!$B$8-K128)*1000+N(F128)/1000+ROW()/100000,0)</f>
        <v>0</v>
      </c>
    </row>
    <row r="129">
      <c r="A129" s="48" t="n">
        <v>46245</v>
      </c>
      <c r="B129" s="40" t="inlineStr">
        <is>
          <t>Beatriz Monteiro</t>
        </is>
      </c>
      <c r="C129" s="40" t="inlineStr">
        <is>
          <t>Avaliação endócrina</t>
        </is>
      </c>
      <c r="D129" s="41" t="inlineStr">
        <is>
          <t>Cartão de crédito</t>
        </is>
      </c>
      <c r="E129" s="41" t="n"/>
      <c r="F129" s="49" t="n">
        <v>400</v>
      </c>
      <c r="G129" s="41" t="n"/>
      <c r="H129" s="30">
        <f>IF(D129="","",IFERROR(INDEX(Config!$B$12:$B$15,MATCH(IF(AND(D129="Cartão de crédito",N(E129)&gt;1),"Cartão de crédito parcelado",D129),Config!$A$12:$A$15,0)),0)+IF(AND(Config!$B$17="Sim",LEFT(D129,17)="Cartão de crédito"),Config!$B$18*IFERROR(INDEX(Config!$C$12:$C$15,MATCH(IF(AND(D129="Cartão de crédito",N(E129)&gt;1),"Cartão de crédito parcelado",D129),Config!$A$12:$A$15,0)),0)/30*MAX(1,N(E129)),0))</f>
        <v>0.032</v>
      </c>
      <c r="I129" s="29">
        <f>IF(OR(D129="",F129=""),"",ROUND(F129*H129,2))</f>
        <v>12.8</v>
      </c>
      <c r="J129" s="29">
        <f>IF(I129="","",F129-I129)</f>
        <v>387.2</v>
      </c>
      <c r="K129" s="37">
        <f>IF(OR(D129="",A129=""),"",A129+IF(AND(Config!$B$17="Sim",LEFT(D129,17)="Cartão de crédito"),1,IFERROR(INDEX(Config!$C$12:$C$15,MATCH(IF(AND(D129="Cartão de crédito",N(E129)&gt;1),"Cartão de crédito parcelado",D129),Config!$A$12:$A$15,0)),0)))</f>
        <v>46275.0</v>
      </c>
      <c r="L129" s="27">
        <f>IF(A129="","",MONTH(A129))</f>
        <v>8</v>
      </c>
      <c r="M129" s="27">
        <f>IF(A129="","",YEAR(A129))</f>
        <v>2026</v>
      </c>
      <c r="N129" s="27" t="str">
        <f>IF(K129="","",IF(G129="Sim","Conferido",IF(K129&gt;Config!$B$8,"A cair","A conferir")))</f>
        <v>A conferir</v>
      </c>
      <c r="O129" s="50">
        <f>IF(N129="A conferir",(Config!$B$8-K129)*1000+N(F129)/1000+ROW()/100000,0)</f>
        <v>4000.40129</v>
      </c>
    </row>
    <row r="130">
      <c r="A130" s="48" t="n">
        <v>46245</v>
      </c>
      <c r="B130" s="40" t="inlineStr">
        <is>
          <t>Gustavo Carvalho</t>
        </is>
      </c>
      <c r="C130" s="40" t="inlineStr">
        <is>
          <t>Avaliação endócrina</t>
        </is>
      </c>
      <c r="D130" s="41" t="inlineStr">
        <is>
          <t>Pix</t>
        </is>
      </c>
      <c r="E130" s="41" t="n"/>
      <c r="F130" s="49" t="n">
        <v>400</v>
      </c>
      <c r="G130" s="41" t="inlineStr">
        <is>
          <t>Sim</t>
        </is>
      </c>
      <c r="H130" s="30">
        <f>IF(D130="","",IFERROR(INDEX(Config!$B$12:$B$15,MATCH(IF(AND(D130="Cartão de crédito",N(E130)&gt;1),"Cartão de crédito parcelado",D130),Config!$A$12:$A$15,0)),0)+IF(AND(Config!$B$17="Sim",LEFT(D130,17)="Cartão de crédito"),Config!$B$18*IFERROR(INDEX(Config!$C$12:$C$15,MATCH(IF(AND(D130="Cartão de crédito",N(E130)&gt;1),"Cartão de crédito parcelado",D130),Config!$A$12:$A$15,0)),0)/30*MAX(1,N(E130)),0))</f>
        <v>0</v>
      </c>
      <c r="I130" s="29">
        <f>IF(OR(D130="",F130=""),"",ROUND(F130*H130,2))</f>
        <v>0</v>
      </c>
      <c r="J130" s="29">
        <f>IF(I130="","",F130-I130)</f>
        <v>400</v>
      </c>
      <c r="K130" s="37">
        <f>IF(OR(D130="",A130=""),"",A130+IF(AND(Config!$B$17="Sim",LEFT(D130,17)="Cartão de crédito"),1,IFERROR(INDEX(Config!$C$12:$C$15,MATCH(IF(AND(D130="Cartão de crédito",N(E130)&gt;1),"Cartão de crédito parcelado",D130),Config!$A$12:$A$15,0)),0)))</f>
        <v>46245.0</v>
      </c>
      <c r="L130" s="27">
        <f>IF(A130="","",MONTH(A130))</f>
        <v>8</v>
      </c>
      <c r="M130" s="27">
        <f>IF(A130="","",YEAR(A130))</f>
        <v>2026</v>
      </c>
      <c r="N130" s="27" t="str">
        <f>IF(K130="","",IF(G130="Sim","Conferido",IF(K130&gt;Config!$B$8,"A cair","A conferir")))</f>
        <v>Conferido</v>
      </c>
      <c r="O130" s="50">
        <f>IF(N130="A conferir",(Config!$B$8-K130)*1000+N(F130)/1000+ROW()/100000,0)</f>
        <v>0</v>
      </c>
    </row>
    <row r="131">
      <c r="A131" s="48" t="n">
        <v>46245</v>
      </c>
      <c r="B131" s="40" t="inlineStr">
        <is>
          <t>Gisele Ribeiro</t>
        </is>
      </c>
      <c r="C131" s="40" t="inlineStr">
        <is>
          <t>ECG</t>
        </is>
      </c>
      <c r="D131" s="41" t="inlineStr">
        <is>
          <t>Pix</t>
        </is>
      </c>
      <c r="E131" s="41" t="n"/>
      <c r="F131" s="49" t="n">
        <v>130</v>
      </c>
      <c r="G131" s="41" t="inlineStr">
        <is>
          <t>Sim</t>
        </is>
      </c>
      <c r="H131" s="30">
        <f>IF(D131="","",IFERROR(INDEX(Config!$B$12:$B$15,MATCH(IF(AND(D131="Cartão de crédito",N(E131)&gt;1),"Cartão de crédito parcelado",D131),Config!$A$12:$A$15,0)),0)+IF(AND(Config!$B$17="Sim",LEFT(D131,17)="Cartão de crédito"),Config!$B$18*IFERROR(INDEX(Config!$C$12:$C$15,MATCH(IF(AND(D131="Cartão de crédito",N(E131)&gt;1),"Cartão de crédito parcelado",D131),Config!$A$12:$A$15,0)),0)/30*MAX(1,N(E131)),0))</f>
        <v>0</v>
      </c>
      <c r="I131" s="29">
        <f>IF(OR(D131="",F131=""),"",ROUND(F131*H131,2))</f>
        <v>0</v>
      </c>
      <c r="J131" s="29">
        <f>IF(I131="","",F131-I131)</f>
        <v>130</v>
      </c>
      <c r="K131" s="37">
        <f>IF(OR(D131="",A131=""),"",A131+IF(AND(Config!$B$17="Sim",LEFT(D131,17)="Cartão de crédito"),1,IFERROR(INDEX(Config!$C$12:$C$15,MATCH(IF(AND(D131="Cartão de crédito",N(E131)&gt;1),"Cartão de crédito parcelado",D131),Config!$A$12:$A$15,0)),0)))</f>
        <v>46245.0</v>
      </c>
      <c r="L131" s="27">
        <f>IF(A131="","",MONTH(A131))</f>
        <v>8</v>
      </c>
      <c r="M131" s="27">
        <f>IF(A131="","",YEAR(A131))</f>
        <v>2026</v>
      </c>
      <c r="N131" s="27" t="str">
        <f>IF(K131="","",IF(G131="Sim","Conferido",IF(K131&gt;Config!$B$8,"A cair","A conferir")))</f>
        <v>Conferido</v>
      </c>
      <c r="O131" s="50">
        <f>IF(N131="A conferir",(Config!$B$8-K131)*1000+N(F131)/1000+ROW()/100000,0)</f>
        <v>0</v>
      </c>
    </row>
    <row r="132">
      <c r="A132" s="48" t="n">
        <v>46246</v>
      </c>
      <c r="B132" s="40" t="inlineStr">
        <is>
          <t>Cláudia Santos</t>
        </is>
      </c>
      <c r="C132" s="40" t="inlineStr">
        <is>
          <t>Consulta</t>
        </is>
      </c>
      <c r="D132" s="41" t="inlineStr">
        <is>
          <t>Pix</t>
        </is>
      </c>
      <c r="E132" s="41" t="n"/>
      <c r="F132" s="49" t="n">
        <v>380</v>
      </c>
      <c r="G132" s="41" t="inlineStr">
        <is>
          <t>Sim</t>
        </is>
      </c>
      <c r="H132" s="30">
        <f>IF(D132="","",IFERROR(INDEX(Config!$B$12:$B$15,MATCH(IF(AND(D132="Cartão de crédito",N(E132)&gt;1),"Cartão de crédito parcelado",D132),Config!$A$12:$A$15,0)),0)+IF(AND(Config!$B$17="Sim",LEFT(D132,17)="Cartão de crédito"),Config!$B$18*IFERROR(INDEX(Config!$C$12:$C$15,MATCH(IF(AND(D132="Cartão de crédito",N(E132)&gt;1),"Cartão de crédito parcelado",D132),Config!$A$12:$A$15,0)),0)/30*MAX(1,N(E132)),0))</f>
        <v>0</v>
      </c>
      <c r="I132" s="29">
        <f>IF(OR(D132="",F132=""),"",ROUND(F132*H132,2))</f>
        <v>0</v>
      </c>
      <c r="J132" s="29">
        <f>IF(I132="","",F132-I132)</f>
        <v>380</v>
      </c>
      <c r="K132" s="37">
        <f>IF(OR(D132="",A132=""),"",A132+IF(AND(Config!$B$17="Sim",LEFT(D132,17)="Cartão de crédito"),1,IFERROR(INDEX(Config!$C$12:$C$15,MATCH(IF(AND(D132="Cartão de crédito",N(E132)&gt;1),"Cartão de crédito parcelado",D132),Config!$A$12:$A$15,0)),0)))</f>
        <v>46246.0</v>
      </c>
      <c r="L132" s="27">
        <f>IF(A132="","",MONTH(A132))</f>
        <v>8</v>
      </c>
      <c r="M132" s="27">
        <f>IF(A132="","",YEAR(A132))</f>
        <v>2026</v>
      </c>
      <c r="N132" s="27" t="str">
        <f>IF(K132="","",IF(G132="Sim","Conferido",IF(K132&gt;Config!$B$8,"A cair","A conferir")))</f>
        <v>Conferido</v>
      </c>
      <c r="O132" s="50">
        <f>IF(N132="A conferir",(Config!$B$8-K132)*1000+N(F132)/1000+ROW()/100000,0)</f>
        <v>0</v>
      </c>
    </row>
    <row r="133">
      <c r="A133" s="48" t="n">
        <v>46246</v>
      </c>
      <c r="B133" s="40" t="inlineStr">
        <is>
          <t>Gisele Xavier</t>
        </is>
      </c>
      <c r="C133" s="40" t="inlineStr">
        <is>
          <t>Consulta</t>
        </is>
      </c>
      <c r="D133" s="41" t="inlineStr">
        <is>
          <t>Pix</t>
        </is>
      </c>
      <c r="E133" s="41" t="n"/>
      <c r="F133" s="49" t="n">
        <v>380</v>
      </c>
      <c r="G133" s="41" t="inlineStr">
        <is>
          <t>Sim</t>
        </is>
      </c>
      <c r="H133" s="30">
        <f>IF(D133="","",IFERROR(INDEX(Config!$B$12:$B$15,MATCH(IF(AND(D133="Cartão de crédito",N(E133)&gt;1),"Cartão de crédito parcelado",D133),Config!$A$12:$A$15,0)),0)+IF(AND(Config!$B$17="Sim",LEFT(D133,17)="Cartão de crédito"),Config!$B$18*IFERROR(INDEX(Config!$C$12:$C$15,MATCH(IF(AND(D133="Cartão de crédito",N(E133)&gt;1),"Cartão de crédito parcelado",D133),Config!$A$12:$A$15,0)),0)/30*MAX(1,N(E133)),0))</f>
        <v>0</v>
      </c>
      <c r="I133" s="29">
        <f>IF(OR(D133="",F133=""),"",ROUND(F133*H133,2))</f>
        <v>0</v>
      </c>
      <c r="J133" s="29">
        <f>IF(I133="","",F133-I133)</f>
        <v>380</v>
      </c>
      <c r="K133" s="37">
        <f>IF(OR(D133="",A133=""),"",A133+IF(AND(Config!$B$17="Sim",LEFT(D133,17)="Cartão de crédito"),1,IFERROR(INDEX(Config!$C$12:$C$15,MATCH(IF(AND(D133="Cartão de crédito",N(E133)&gt;1),"Cartão de crédito parcelado",D133),Config!$A$12:$A$15,0)),0)))</f>
        <v>46246.0</v>
      </c>
      <c r="L133" s="27">
        <f>IF(A133="","",MONTH(A133))</f>
        <v>8</v>
      </c>
      <c r="M133" s="27">
        <f>IF(A133="","",YEAR(A133))</f>
        <v>2026</v>
      </c>
      <c r="N133" s="27" t="str">
        <f>IF(K133="","",IF(G133="Sim","Conferido",IF(K133&gt;Config!$B$8,"A cair","A conferir")))</f>
        <v>Conferido</v>
      </c>
      <c r="O133" s="50">
        <f>IF(N133="A conferir",(Config!$B$8-K133)*1000+N(F133)/1000+ROW()/100000,0)</f>
        <v>0</v>
      </c>
    </row>
    <row r="134">
      <c r="A134" s="48" t="n">
        <v>46246</v>
      </c>
      <c r="B134" s="40" t="inlineStr">
        <is>
          <t>Wagner Lima</t>
        </is>
      </c>
      <c r="C134" s="40" t="inlineStr">
        <is>
          <t>Consulta</t>
        </is>
      </c>
      <c r="D134" s="41" t="inlineStr">
        <is>
          <t>Cartão de crédito</t>
        </is>
      </c>
      <c r="E134" s="41" t="n"/>
      <c r="F134" s="49" t="n">
        <v>380</v>
      </c>
      <c r="G134" s="41" t="n"/>
      <c r="H134" s="30">
        <f>IF(D134="","",IFERROR(INDEX(Config!$B$12:$B$15,MATCH(IF(AND(D134="Cartão de crédito",N(E134)&gt;1),"Cartão de crédito parcelado",D134),Config!$A$12:$A$15,0)),0)+IF(AND(Config!$B$17="Sim",LEFT(D134,17)="Cartão de crédito"),Config!$B$18*IFERROR(INDEX(Config!$C$12:$C$15,MATCH(IF(AND(D134="Cartão de crédito",N(E134)&gt;1),"Cartão de crédito parcelado",D134),Config!$A$12:$A$15,0)),0)/30*MAX(1,N(E134)),0))</f>
        <v>0.032</v>
      </c>
      <c r="I134" s="29">
        <f>IF(OR(D134="",F134=""),"",ROUND(F134*H134,2))</f>
        <v>12.16</v>
      </c>
      <c r="J134" s="29">
        <f>IF(I134="","",F134-I134)</f>
        <v>367.84</v>
      </c>
      <c r="K134" s="37">
        <f>IF(OR(D134="",A134=""),"",A134+IF(AND(Config!$B$17="Sim",LEFT(D134,17)="Cartão de crédito"),1,IFERROR(INDEX(Config!$C$12:$C$15,MATCH(IF(AND(D134="Cartão de crédito",N(E134)&gt;1),"Cartão de crédito parcelado",D134),Config!$A$12:$A$15,0)),0)))</f>
        <v>46276.0</v>
      </c>
      <c r="L134" s="27">
        <f>IF(A134="","",MONTH(A134))</f>
        <v>8</v>
      </c>
      <c r="M134" s="27">
        <f>IF(A134="","",YEAR(A134))</f>
        <v>2026</v>
      </c>
      <c r="N134" s="27" t="str">
        <f>IF(K134="","",IF(G134="Sim","Conferido",IF(K134&gt;Config!$B$8,"A cair","A conferir")))</f>
        <v>A conferir</v>
      </c>
      <c r="O134" s="50">
        <f>IF(N134="A conferir",(Config!$B$8-K134)*1000+N(F134)/1000+ROW()/100000,0)</f>
        <v>3000.38134</v>
      </c>
    </row>
    <row r="135">
      <c r="A135" s="48" t="n">
        <v>46246</v>
      </c>
      <c r="B135" s="40" t="inlineStr">
        <is>
          <t>Otávio Nascimento</t>
        </is>
      </c>
      <c r="C135" s="40" t="inlineStr">
        <is>
          <t>Consulta</t>
        </is>
      </c>
      <c r="D135" s="41" t="inlineStr">
        <is>
          <t>Cartão de crédito</t>
        </is>
      </c>
      <c r="E135" s="41" t="n"/>
      <c r="F135" s="49" t="n">
        <v>380</v>
      </c>
      <c r="G135" s="41" t="n"/>
      <c r="H135" s="30">
        <f>IF(D135="","",IFERROR(INDEX(Config!$B$12:$B$15,MATCH(IF(AND(D135="Cartão de crédito",N(E135)&gt;1),"Cartão de crédito parcelado",D135),Config!$A$12:$A$15,0)),0)+IF(AND(Config!$B$17="Sim",LEFT(D135,17)="Cartão de crédito"),Config!$B$18*IFERROR(INDEX(Config!$C$12:$C$15,MATCH(IF(AND(D135="Cartão de crédito",N(E135)&gt;1),"Cartão de crédito parcelado",D135),Config!$A$12:$A$15,0)),0)/30*MAX(1,N(E135)),0))</f>
        <v>0.032</v>
      </c>
      <c r="I135" s="29">
        <f>IF(OR(D135="",F135=""),"",ROUND(F135*H135,2))</f>
        <v>12.16</v>
      </c>
      <c r="J135" s="29">
        <f>IF(I135="","",F135-I135)</f>
        <v>367.84</v>
      </c>
      <c r="K135" s="37">
        <f>IF(OR(D135="",A135=""),"",A135+IF(AND(Config!$B$17="Sim",LEFT(D135,17)="Cartão de crédito"),1,IFERROR(INDEX(Config!$C$12:$C$15,MATCH(IF(AND(D135="Cartão de crédito",N(E135)&gt;1),"Cartão de crédito parcelado",D135),Config!$A$12:$A$15,0)),0)))</f>
        <v>46276.0</v>
      </c>
      <c r="L135" s="27">
        <f>IF(A135="","",MONTH(A135))</f>
        <v>8</v>
      </c>
      <c r="M135" s="27">
        <f>IF(A135="","",YEAR(A135))</f>
        <v>2026</v>
      </c>
      <c r="N135" s="27" t="str">
        <f>IF(K135="","",IF(G135="Sim","Conferido",IF(K135&gt;Config!$B$8,"A cair","A conferir")))</f>
        <v>A conferir</v>
      </c>
      <c r="O135" s="50">
        <f>IF(N135="A conferir",(Config!$B$8-K135)*1000+N(F135)/1000+ROW()/100000,0)</f>
        <v>3000.38135</v>
      </c>
    </row>
    <row r="136">
      <c r="A136" s="48" t="n">
        <v>46247</v>
      </c>
      <c r="B136" s="40" t="inlineStr">
        <is>
          <t>Eduardo Lima</t>
        </is>
      </c>
      <c r="C136" s="40" t="inlineStr">
        <is>
          <t>Consulta</t>
        </is>
      </c>
      <c r="D136" s="41" t="inlineStr">
        <is>
          <t>Cartão de crédito</t>
        </is>
      </c>
      <c r="E136" s="41" t="n"/>
      <c r="F136" s="49" t="n">
        <v>380</v>
      </c>
      <c r="G136" s="41" t="n"/>
      <c r="H136" s="30">
        <f>IF(D136="","",IFERROR(INDEX(Config!$B$12:$B$15,MATCH(IF(AND(D136="Cartão de crédito",N(E136)&gt;1),"Cartão de crédito parcelado",D136),Config!$A$12:$A$15,0)),0)+IF(AND(Config!$B$17="Sim",LEFT(D136,17)="Cartão de crédito"),Config!$B$18*IFERROR(INDEX(Config!$C$12:$C$15,MATCH(IF(AND(D136="Cartão de crédito",N(E136)&gt;1),"Cartão de crédito parcelado",D136),Config!$A$12:$A$15,0)),0)/30*MAX(1,N(E136)),0))</f>
        <v>0.032</v>
      </c>
      <c r="I136" s="29">
        <f>IF(OR(D136="",F136=""),"",ROUND(F136*H136,2))</f>
        <v>12.16</v>
      </c>
      <c r="J136" s="29">
        <f>IF(I136="","",F136-I136)</f>
        <v>367.84</v>
      </c>
      <c r="K136" s="37">
        <f>IF(OR(D136="",A136=""),"",A136+IF(AND(Config!$B$17="Sim",LEFT(D136,17)="Cartão de crédito"),1,IFERROR(INDEX(Config!$C$12:$C$15,MATCH(IF(AND(D136="Cartão de crédito",N(E136)&gt;1),"Cartão de crédito parcelado",D136),Config!$A$12:$A$15,0)),0)))</f>
        <v>46277.0</v>
      </c>
      <c r="L136" s="27">
        <f>IF(A136="","",MONTH(A136))</f>
        <v>8</v>
      </c>
      <c r="M136" s="27">
        <f>IF(A136="","",YEAR(A136))</f>
        <v>2026</v>
      </c>
      <c r="N136" s="27" t="str">
        <f>IF(K136="","",IF(G136="Sim","Conferido",IF(K136&gt;Config!$B$8,"A cair","A conferir")))</f>
        <v>A conferir</v>
      </c>
      <c r="O136" s="50">
        <f>IF(N136="A conferir",(Config!$B$8-K136)*1000+N(F136)/1000+ROW()/100000,0)</f>
        <v>2000.38136</v>
      </c>
    </row>
    <row r="137">
      <c r="A137" s="48" t="n">
        <v>46247</v>
      </c>
      <c r="B137" s="40" t="inlineStr">
        <is>
          <t>Regina Macedo</t>
        </is>
      </c>
      <c r="C137" s="40" t="inlineStr">
        <is>
          <t>Consulta</t>
        </is>
      </c>
      <c r="D137" s="41" t="inlineStr">
        <is>
          <t>Pix</t>
        </is>
      </c>
      <c r="E137" s="41" t="n"/>
      <c r="F137" s="49" t="n">
        <v>380</v>
      </c>
      <c r="G137" s="41" t="inlineStr">
        <is>
          <t>Sim</t>
        </is>
      </c>
      <c r="H137" s="30">
        <f>IF(D137="","",IFERROR(INDEX(Config!$B$12:$B$15,MATCH(IF(AND(D137="Cartão de crédito",N(E137)&gt;1),"Cartão de crédito parcelado",D137),Config!$A$12:$A$15,0)),0)+IF(AND(Config!$B$17="Sim",LEFT(D137,17)="Cartão de crédito"),Config!$B$18*IFERROR(INDEX(Config!$C$12:$C$15,MATCH(IF(AND(D137="Cartão de crédito",N(E137)&gt;1),"Cartão de crédito parcelado",D137),Config!$A$12:$A$15,0)),0)/30*MAX(1,N(E137)),0))</f>
        <v>0</v>
      </c>
      <c r="I137" s="29">
        <f>IF(OR(D137="",F137=""),"",ROUND(F137*H137,2))</f>
        <v>0</v>
      </c>
      <c r="J137" s="29">
        <f>IF(I137="","",F137-I137)</f>
        <v>380</v>
      </c>
      <c r="K137" s="37">
        <f>IF(OR(D137="",A137=""),"",A137+IF(AND(Config!$B$17="Sim",LEFT(D137,17)="Cartão de crédito"),1,IFERROR(INDEX(Config!$C$12:$C$15,MATCH(IF(AND(D137="Cartão de crédito",N(E137)&gt;1),"Cartão de crédito parcelado",D137),Config!$A$12:$A$15,0)),0)))</f>
        <v>46247.0</v>
      </c>
      <c r="L137" s="27">
        <f>IF(A137="","",MONTH(A137))</f>
        <v>8</v>
      </c>
      <c r="M137" s="27">
        <f>IF(A137="","",YEAR(A137))</f>
        <v>2026</v>
      </c>
      <c r="N137" s="27" t="str">
        <f>IF(K137="","",IF(G137="Sim","Conferido",IF(K137&gt;Config!$B$8,"A cair","A conferir")))</f>
        <v>Conferido</v>
      </c>
      <c r="O137" s="50">
        <f>IF(N137="A conferir",(Config!$B$8-K137)*1000+N(F137)/1000+ROW()/100000,0)</f>
        <v>0</v>
      </c>
    </row>
    <row r="138">
      <c r="A138" s="48" t="n">
        <v>46247</v>
      </c>
      <c r="B138" s="40" t="inlineStr">
        <is>
          <t>Rafael Pereira</t>
        </is>
      </c>
      <c r="C138" s="40" t="inlineStr">
        <is>
          <t>Avaliação endócrina</t>
        </is>
      </c>
      <c r="D138" s="41" t="inlineStr">
        <is>
          <t>Pix</t>
        </is>
      </c>
      <c r="E138" s="41" t="n"/>
      <c r="F138" s="49" t="n">
        <v>400</v>
      </c>
      <c r="G138" s="41" t="inlineStr">
        <is>
          <t>Sim</t>
        </is>
      </c>
      <c r="H138" s="30">
        <f>IF(D138="","",IFERROR(INDEX(Config!$B$12:$B$15,MATCH(IF(AND(D138="Cartão de crédito",N(E138)&gt;1),"Cartão de crédito parcelado",D138),Config!$A$12:$A$15,0)),0)+IF(AND(Config!$B$17="Sim",LEFT(D138,17)="Cartão de crédito"),Config!$B$18*IFERROR(INDEX(Config!$C$12:$C$15,MATCH(IF(AND(D138="Cartão de crédito",N(E138)&gt;1),"Cartão de crédito parcelado",D138),Config!$A$12:$A$15,0)),0)/30*MAX(1,N(E138)),0))</f>
        <v>0</v>
      </c>
      <c r="I138" s="29">
        <f>IF(OR(D138="",F138=""),"",ROUND(F138*H138,2))</f>
        <v>0</v>
      </c>
      <c r="J138" s="29">
        <f>IF(I138="","",F138-I138)</f>
        <v>400</v>
      </c>
      <c r="K138" s="37">
        <f>IF(OR(D138="",A138=""),"",A138+IF(AND(Config!$B$17="Sim",LEFT(D138,17)="Cartão de crédito"),1,IFERROR(INDEX(Config!$C$12:$C$15,MATCH(IF(AND(D138="Cartão de crédito",N(E138)&gt;1),"Cartão de crédito parcelado",D138),Config!$A$12:$A$15,0)),0)))</f>
        <v>46247.0</v>
      </c>
      <c r="L138" s="27">
        <f>IF(A138="","",MONTH(A138))</f>
        <v>8</v>
      </c>
      <c r="M138" s="27">
        <f>IF(A138="","",YEAR(A138))</f>
        <v>2026</v>
      </c>
      <c r="N138" s="27" t="str">
        <f>IF(K138="","",IF(G138="Sim","Conferido",IF(K138&gt;Config!$B$8,"A cair","A conferir")))</f>
        <v>Conferido</v>
      </c>
      <c r="O138" s="50">
        <f>IF(N138="A conferir",(Config!$B$8-K138)*1000+N(F138)/1000+ROW()/100000,0)</f>
        <v>0</v>
      </c>
    </row>
    <row r="139">
      <c r="A139" s="48" t="n">
        <v>46247</v>
      </c>
      <c r="B139" s="40" t="inlineStr">
        <is>
          <t>Camila Freitas</t>
        </is>
      </c>
      <c r="C139" s="40" t="inlineStr">
        <is>
          <t>Consulta</t>
        </is>
      </c>
      <c r="D139" s="41" t="inlineStr">
        <is>
          <t>Pix</t>
        </is>
      </c>
      <c r="E139" s="41" t="n"/>
      <c r="F139" s="49" t="n">
        <v>380</v>
      </c>
      <c r="G139" s="41" t="inlineStr">
        <is>
          <t>Sim</t>
        </is>
      </c>
      <c r="H139" s="30">
        <f>IF(D139="","",IFERROR(INDEX(Config!$B$12:$B$15,MATCH(IF(AND(D139="Cartão de crédito",N(E139)&gt;1),"Cartão de crédito parcelado",D139),Config!$A$12:$A$15,0)),0)+IF(AND(Config!$B$17="Sim",LEFT(D139,17)="Cartão de crédito"),Config!$B$18*IFERROR(INDEX(Config!$C$12:$C$15,MATCH(IF(AND(D139="Cartão de crédito",N(E139)&gt;1),"Cartão de crédito parcelado",D139),Config!$A$12:$A$15,0)),0)/30*MAX(1,N(E139)),0))</f>
        <v>0</v>
      </c>
      <c r="I139" s="29">
        <f>IF(OR(D139="",F139=""),"",ROUND(F139*H139,2))</f>
        <v>0</v>
      </c>
      <c r="J139" s="29">
        <f>IF(I139="","",F139-I139)</f>
        <v>380</v>
      </c>
      <c r="K139" s="37">
        <f>IF(OR(D139="",A139=""),"",A139+IF(AND(Config!$B$17="Sim",LEFT(D139,17)="Cartão de crédito"),1,IFERROR(INDEX(Config!$C$12:$C$15,MATCH(IF(AND(D139="Cartão de crédito",N(E139)&gt;1),"Cartão de crédito parcelado",D139),Config!$A$12:$A$15,0)),0)))</f>
        <v>46247.0</v>
      </c>
      <c r="L139" s="27">
        <f>IF(A139="","",MONTH(A139))</f>
        <v>8</v>
      </c>
      <c r="M139" s="27">
        <f>IF(A139="","",YEAR(A139))</f>
        <v>2026</v>
      </c>
      <c r="N139" s="27" t="str">
        <f>IF(K139="","",IF(G139="Sim","Conferido",IF(K139&gt;Config!$B$8,"A cair","A conferir")))</f>
        <v>Conferido</v>
      </c>
      <c r="O139" s="50">
        <f>IF(N139="A conferir",(Config!$B$8-K139)*1000+N(F139)/1000+ROW()/100000,0)</f>
        <v>0</v>
      </c>
    </row>
    <row r="140">
      <c r="A140" s="48" t="n">
        <v>46247</v>
      </c>
      <c r="B140" s="40" t="inlineStr">
        <is>
          <t>Cláudia Melo</t>
        </is>
      </c>
      <c r="C140" s="40" t="inlineStr">
        <is>
          <t>Avaliação endócrina</t>
        </is>
      </c>
      <c r="D140" s="41" t="inlineStr">
        <is>
          <t>Cartão de débito</t>
        </is>
      </c>
      <c r="E140" s="41" t="n"/>
      <c r="F140" s="49" t="n">
        <v>400</v>
      </c>
      <c r="G140" s="41" t="inlineStr">
        <is>
          <t>Sim</t>
        </is>
      </c>
      <c r="H140" s="30">
        <f>IF(D140="","",IFERROR(INDEX(Config!$B$12:$B$15,MATCH(IF(AND(D140="Cartão de crédito",N(E140)&gt;1),"Cartão de crédito parcelado",D140),Config!$A$12:$A$15,0)),0)+IF(AND(Config!$B$17="Sim",LEFT(D140,17)="Cartão de crédito"),Config!$B$18*IFERROR(INDEX(Config!$C$12:$C$15,MATCH(IF(AND(D140="Cartão de crédito",N(E140)&gt;1),"Cartão de crédito parcelado",D140),Config!$A$12:$A$15,0)),0)/30*MAX(1,N(E140)),0))</f>
        <v>0.015</v>
      </c>
      <c r="I140" s="29">
        <f>IF(OR(D140="",F140=""),"",ROUND(F140*H140,2))</f>
        <v>6</v>
      </c>
      <c r="J140" s="29">
        <f>IF(I140="","",F140-I140)</f>
        <v>394</v>
      </c>
      <c r="K140" s="37">
        <f>IF(OR(D140="",A140=""),"",A140+IF(AND(Config!$B$17="Sim",LEFT(D140,17)="Cartão de crédito"),1,IFERROR(INDEX(Config!$C$12:$C$15,MATCH(IF(AND(D140="Cartão de crédito",N(E140)&gt;1),"Cartão de crédito parcelado",D140),Config!$A$12:$A$15,0)),0)))</f>
        <v>46248.0</v>
      </c>
      <c r="L140" s="27">
        <f>IF(A140="","",MONTH(A140))</f>
        <v>8</v>
      </c>
      <c r="M140" s="27">
        <f>IF(A140="","",YEAR(A140))</f>
        <v>2026</v>
      </c>
      <c r="N140" s="27" t="str">
        <f>IF(K140="","",IF(G140="Sim","Conferido",IF(K140&gt;Config!$B$8,"A cair","A conferir")))</f>
        <v>Conferido</v>
      </c>
      <c r="O140" s="50">
        <f>IF(N140="A conferir",(Config!$B$8-K140)*1000+N(F140)/1000+ROW()/100000,0)</f>
        <v>0</v>
      </c>
    </row>
    <row r="141">
      <c r="A141" s="48" t="n">
        <v>46247</v>
      </c>
      <c r="B141" s="40" t="inlineStr">
        <is>
          <t>Débora Moreira</t>
        </is>
      </c>
      <c r="C141" s="40" t="inlineStr">
        <is>
          <t>Consulta</t>
        </is>
      </c>
      <c r="D141" s="41" t="inlineStr">
        <is>
          <t>Pix</t>
        </is>
      </c>
      <c r="E141" s="41" t="n"/>
      <c r="F141" s="49" t="n">
        <v>380</v>
      </c>
      <c r="G141" s="41" t="inlineStr">
        <is>
          <t>Sim</t>
        </is>
      </c>
      <c r="H141" s="30">
        <f>IF(D141="","",IFERROR(INDEX(Config!$B$12:$B$15,MATCH(IF(AND(D141="Cartão de crédito",N(E141)&gt;1),"Cartão de crédito parcelado",D141),Config!$A$12:$A$15,0)),0)+IF(AND(Config!$B$17="Sim",LEFT(D141,17)="Cartão de crédito"),Config!$B$18*IFERROR(INDEX(Config!$C$12:$C$15,MATCH(IF(AND(D141="Cartão de crédito",N(E141)&gt;1),"Cartão de crédito parcelado",D141),Config!$A$12:$A$15,0)),0)/30*MAX(1,N(E141)),0))</f>
        <v>0</v>
      </c>
      <c r="I141" s="29">
        <f>IF(OR(D141="",F141=""),"",ROUND(F141*H141,2))</f>
        <v>0</v>
      </c>
      <c r="J141" s="29">
        <f>IF(I141="","",F141-I141)</f>
        <v>380</v>
      </c>
      <c r="K141" s="37">
        <f>IF(OR(D141="",A141=""),"",A141+IF(AND(Config!$B$17="Sim",LEFT(D141,17)="Cartão de crédito"),1,IFERROR(INDEX(Config!$C$12:$C$15,MATCH(IF(AND(D141="Cartão de crédito",N(E141)&gt;1),"Cartão de crédito parcelado",D141),Config!$A$12:$A$15,0)),0)))</f>
        <v>46247.0</v>
      </c>
      <c r="L141" s="27">
        <f>IF(A141="","",MONTH(A141))</f>
        <v>8</v>
      </c>
      <c r="M141" s="27">
        <f>IF(A141="","",YEAR(A141))</f>
        <v>2026</v>
      </c>
      <c r="N141" s="27" t="str">
        <f>IF(K141="","",IF(G141="Sim","Conferido",IF(K141&gt;Config!$B$8,"A cair","A conferir")))</f>
        <v>Conferido</v>
      </c>
      <c r="O141" s="50">
        <f>IF(N141="A conferir",(Config!$B$8-K141)*1000+N(F141)/1000+ROW()/100000,0)</f>
        <v>0</v>
      </c>
    </row>
    <row r="142">
      <c r="A142" s="48" t="n">
        <v>46247</v>
      </c>
      <c r="B142" s="40" t="inlineStr">
        <is>
          <t>Isabela Xavier</t>
        </is>
      </c>
      <c r="C142" s="40" t="inlineStr">
        <is>
          <t>Avaliação endócrina</t>
        </is>
      </c>
      <c r="D142" s="41" t="inlineStr">
        <is>
          <t>Cartão de débito</t>
        </is>
      </c>
      <c r="E142" s="41" t="n"/>
      <c r="F142" s="49" t="n">
        <v>400</v>
      </c>
      <c r="G142" s="41" t="inlineStr">
        <is>
          <t>Sim</t>
        </is>
      </c>
      <c r="H142" s="30">
        <f>IF(D142="","",IFERROR(INDEX(Config!$B$12:$B$15,MATCH(IF(AND(D142="Cartão de crédito",N(E142)&gt;1),"Cartão de crédito parcelado",D142),Config!$A$12:$A$15,0)),0)+IF(AND(Config!$B$17="Sim",LEFT(D142,17)="Cartão de crédito"),Config!$B$18*IFERROR(INDEX(Config!$C$12:$C$15,MATCH(IF(AND(D142="Cartão de crédito",N(E142)&gt;1),"Cartão de crédito parcelado",D142),Config!$A$12:$A$15,0)),0)/30*MAX(1,N(E142)),0))</f>
        <v>0.015</v>
      </c>
      <c r="I142" s="29">
        <f>IF(OR(D142="",F142=""),"",ROUND(F142*H142,2))</f>
        <v>6</v>
      </c>
      <c r="J142" s="29">
        <f>IF(I142="","",F142-I142)</f>
        <v>394</v>
      </c>
      <c r="K142" s="37">
        <f>IF(OR(D142="",A142=""),"",A142+IF(AND(Config!$B$17="Sim",LEFT(D142,17)="Cartão de crédito"),1,IFERROR(INDEX(Config!$C$12:$C$15,MATCH(IF(AND(D142="Cartão de crédito",N(E142)&gt;1),"Cartão de crédito parcelado",D142),Config!$A$12:$A$15,0)),0)))</f>
        <v>46248.0</v>
      </c>
      <c r="L142" s="27">
        <f>IF(A142="","",MONTH(A142))</f>
        <v>8</v>
      </c>
      <c r="M142" s="27">
        <f>IF(A142="","",YEAR(A142))</f>
        <v>2026</v>
      </c>
      <c r="N142" s="27" t="str">
        <f>IF(K142="","",IF(G142="Sim","Conferido",IF(K142&gt;Config!$B$8,"A cair","A conferir")))</f>
        <v>Conferido</v>
      </c>
      <c r="O142" s="50">
        <f>IF(N142="A conferir",(Config!$B$8-K142)*1000+N(F142)/1000+ROW()/100000,0)</f>
        <v>0</v>
      </c>
    </row>
    <row r="143">
      <c r="A143" s="48" t="n">
        <v>46247</v>
      </c>
      <c r="B143" s="40" t="inlineStr">
        <is>
          <t>Priscila Reis</t>
        </is>
      </c>
      <c r="C143" s="40" t="inlineStr">
        <is>
          <t>Avaliação endócrina</t>
        </is>
      </c>
      <c r="D143" s="41" t="inlineStr">
        <is>
          <t>Pix</t>
        </is>
      </c>
      <c r="E143" s="41" t="n"/>
      <c r="F143" s="49" t="n">
        <v>400</v>
      </c>
      <c r="G143" s="41" t="inlineStr">
        <is>
          <t>Sim</t>
        </is>
      </c>
      <c r="H143" s="30">
        <f>IF(D143="","",IFERROR(INDEX(Config!$B$12:$B$15,MATCH(IF(AND(D143="Cartão de crédito",N(E143)&gt;1),"Cartão de crédito parcelado",D143),Config!$A$12:$A$15,0)),0)+IF(AND(Config!$B$17="Sim",LEFT(D143,17)="Cartão de crédito"),Config!$B$18*IFERROR(INDEX(Config!$C$12:$C$15,MATCH(IF(AND(D143="Cartão de crédito",N(E143)&gt;1),"Cartão de crédito parcelado",D143),Config!$A$12:$A$15,0)),0)/30*MAX(1,N(E143)),0))</f>
        <v>0</v>
      </c>
      <c r="I143" s="29">
        <f>IF(OR(D143="",F143=""),"",ROUND(F143*H143,2))</f>
        <v>0</v>
      </c>
      <c r="J143" s="29">
        <f>IF(I143="","",F143-I143)</f>
        <v>400</v>
      </c>
      <c r="K143" s="37">
        <f>IF(OR(D143="",A143=""),"",A143+IF(AND(Config!$B$17="Sim",LEFT(D143,17)="Cartão de crédito"),1,IFERROR(INDEX(Config!$C$12:$C$15,MATCH(IF(AND(D143="Cartão de crédito",N(E143)&gt;1),"Cartão de crédito parcelado",D143),Config!$A$12:$A$15,0)),0)))</f>
        <v>46247.0</v>
      </c>
      <c r="L143" s="27">
        <f>IF(A143="","",MONTH(A143))</f>
        <v>8</v>
      </c>
      <c r="M143" s="27">
        <f>IF(A143="","",YEAR(A143))</f>
        <v>2026</v>
      </c>
      <c r="N143" s="27" t="str">
        <f>IF(K143="","",IF(G143="Sim","Conferido",IF(K143&gt;Config!$B$8,"A cair","A conferir")))</f>
        <v>Conferido</v>
      </c>
      <c r="O143" s="50">
        <f>IF(N143="A conferir",(Config!$B$8-K143)*1000+N(F143)/1000+ROW()/100000,0)</f>
        <v>0</v>
      </c>
    </row>
    <row r="144">
      <c r="A144" s="48" t="n">
        <v>46251</v>
      </c>
      <c r="B144" s="40" t="inlineStr">
        <is>
          <t>Regina Duarte</t>
        </is>
      </c>
      <c r="C144" s="40" t="inlineStr">
        <is>
          <t>Consulta</t>
        </is>
      </c>
      <c r="D144" s="41" t="inlineStr">
        <is>
          <t>Cartão de débito</t>
        </is>
      </c>
      <c r="E144" s="41" t="n"/>
      <c r="F144" s="49" t="n">
        <v>380</v>
      </c>
      <c r="G144" s="41" t="inlineStr">
        <is>
          <t>Sim</t>
        </is>
      </c>
      <c r="H144" s="30">
        <f>IF(D144="","",IFERROR(INDEX(Config!$B$12:$B$15,MATCH(IF(AND(D144="Cartão de crédito",N(E144)&gt;1),"Cartão de crédito parcelado",D144),Config!$A$12:$A$15,0)),0)+IF(AND(Config!$B$17="Sim",LEFT(D144,17)="Cartão de crédito"),Config!$B$18*IFERROR(INDEX(Config!$C$12:$C$15,MATCH(IF(AND(D144="Cartão de crédito",N(E144)&gt;1),"Cartão de crédito parcelado",D144),Config!$A$12:$A$15,0)),0)/30*MAX(1,N(E144)),0))</f>
        <v>0.015</v>
      </c>
      <c r="I144" s="29">
        <f>IF(OR(D144="",F144=""),"",ROUND(F144*H144,2))</f>
        <v>5.7</v>
      </c>
      <c r="J144" s="29">
        <f>IF(I144="","",F144-I144)</f>
        <v>374.3</v>
      </c>
      <c r="K144" s="37">
        <f>IF(OR(D144="",A144=""),"",A144+IF(AND(Config!$B$17="Sim",LEFT(D144,17)="Cartão de crédito"),1,IFERROR(INDEX(Config!$C$12:$C$15,MATCH(IF(AND(D144="Cartão de crédito",N(E144)&gt;1),"Cartão de crédito parcelado",D144),Config!$A$12:$A$15,0)),0)))</f>
        <v>46252.0</v>
      </c>
      <c r="L144" s="27">
        <f>IF(A144="","",MONTH(A144))</f>
        <v>8</v>
      </c>
      <c r="M144" s="27">
        <f>IF(A144="","",YEAR(A144))</f>
        <v>2026</v>
      </c>
      <c r="N144" s="27" t="str">
        <f>IF(K144="","",IF(G144="Sim","Conferido",IF(K144&gt;Config!$B$8,"A cair","A conferir")))</f>
        <v>Conferido</v>
      </c>
      <c r="O144" s="50">
        <f>IF(N144="A conferir",(Config!$B$8-K144)*1000+N(F144)/1000+ROW()/100000,0)</f>
        <v>0</v>
      </c>
    </row>
    <row r="145">
      <c r="A145" s="48" t="n">
        <v>46251</v>
      </c>
      <c r="B145" s="40" t="inlineStr">
        <is>
          <t>Helena Moreira</t>
        </is>
      </c>
      <c r="C145" s="40" t="inlineStr">
        <is>
          <t>MAPA</t>
        </is>
      </c>
      <c r="D145" s="41" t="inlineStr">
        <is>
          <t>Cartão de crédito</t>
        </is>
      </c>
      <c r="E145" s="41" t="n">
        <v>2</v>
      </c>
      <c r="F145" s="49" t="n">
        <v>300</v>
      </c>
      <c r="G145" s="41" t="n"/>
      <c r="H145" s="30">
        <f>IF(D145="","",IFERROR(INDEX(Config!$B$12:$B$15,MATCH(IF(AND(D145="Cartão de crédito",N(E145)&gt;1),"Cartão de crédito parcelado",D145),Config!$A$12:$A$15,0)),0)+IF(AND(Config!$B$17="Sim",LEFT(D145,17)="Cartão de crédito"),Config!$B$18*IFERROR(INDEX(Config!$C$12:$C$15,MATCH(IF(AND(D145="Cartão de crédito",N(E145)&gt;1),"Cartão de crédito parcelado",D145),Config!$A$12:$A$15,0)),0)/30*MAX(1,N(E145)),0))</f>
        <v>0.039</v>
      </c>
      <c r="I145" s="29">
        <f>IF(OR(D145="",F145=""),"",ROUND(F145*H145,2))</f>
        <v>11.7</v>
      </c>
      <c r="J145" s="29">
        <f>IF(I145="","",F145-I145)</f>
        <v>288.3</v>
      </c>
      <c r="K145" s="37">
        <f>IF(OR(D145="",A145=""),"",A145+IF(AND(Config!$B$17="Sim",LEFT(D145,17)="Cartão de crédito"),1,IFERROR(INDEX(Config!$C$12:$C$15,MATCH(IF(AND(D145="Cartão de crédito",N(E145)&gt;1),"Cartão de crédito parcelado",D145),Config!$A$12:$A$15,0)),0)))</f>
        <v>46281.0</v>
      </c>
      <c r="L145" s="27">
        <f>IF(A145="","",MONTH(A145))</f>
        <v>8</v>
      </c>
      <c r="M145" s="27">
        <f>IF(A145="","",YEAR(A145))</f>
        <v>2026</v>
      </c>
      <c r="N145" s="27" t="str">
        <f>IF(K145="","",IF(G145="Sim","Conferido",IF(K145&gt;Config!$B$8,"A cair","A conferir")))</f>
        <v>A cair</v>
      </c>
      <c r="O145" s="50">
        <f>IF(N145="A conferir",(Config!$B$8-K145)*1000+N(F145)/1000+ROW()/100000,0)</f>
        <v>0</v>
      </c>
    </row>
    <row r="146">
      <c r="A146" s="48" t="n">
        <v>46251</v>
      </c>
      <c r="B146" s="40" t="inlineStr">
        <is>
          <t>Marcelo Ferreira</t>
        </is>
      </c>
      <c r="C146" s="40" t="inlineStr">
        <is>
          <t>Consulta</t>
        </is>
      </c>
      <c r="D146" s="41" t="inlineStr">
        <is>
          <t>Pix</t>
        </is>
      </c>
      <c r="E146" s="41" t="n"/>
      <c r="F146" s="49" t="n">
        <v>380</v>
      </c>
      <c r="G146" s="41" t="inlineStr">
        <is>
          <t>Sim</t>
        </is>
      </c>
      <c r="H146" s="30">
        <f>IF(D146="","",IFERROR(INDEX(Config!$B$12:$B$15,MATCH(IF(AND(D146="Cartão de crédito",N(E146)&gt;1),"Cartão de crédito parcelado",D146),Config!$A$12:$A$15,0)),0)+IF(AND(Config!$B$17="Sim",LEFT(D146,17)="Cartão de crédito"),Config!$B$18*IFERROR(INDEX(Config!$C$12:$C$15,MATCH(IF(AND(D146="Cartão de crédito",N(E146)&gt;1),"Cartão de crédito parcelado",D146),Config!$A$12:$A$15,0)),0)/30*MAX(1,N(E146)),0))</f>
        <v>0</v>
      </c>
      <c r="I146" s="29">
        <f>IF(OR(D146="",F146=""),"",ROUND(F146*H146,2))</f>
        <v>0</v>
      </c>
      <c r="J146" s="29">
        <f>IF(I146="","",F146-I146)</f>
        <v>380</v>
      </c>
      <c r="K146" s="37">
        <f>IF(OR(D146="",A146=""),"",A146+IF(AND(Config!$B$17="Sim",LEFT(D146,17)="Cartão de crédito"),1,IFERROR(INDEX(Config!$C$12:$C$15,MATCH(IF(AND(D146="Cartão de crédito",N(E146)&gt;1),"Cartão de crédito parcelado",D146),Config!$A$12:$A$15,0)),0)))</f>
        <v>46251.0</v>
      </c>
      <c r="L146" s="27">
        <f>IF(A146="","",MONTH(A146))</f>
        <v>8</v>
      </c>
      <c r="M146" s="27">
        <f>IF(A146="","",YEAR(A146))</f>
        <v>2026</v>
      </c>
      <c r="N146" s="27" t="str">
        <f>IF(K146="","",IF(G146="Sim","Conferido",IF(K146&gt;Config!$B$8,"A cair","A conferir")))</f>
        <v>Conferido</v>
      </c>
      <c r="O146" s="50">
        <f>IF(N146="A conferir",(Config!$B$8-K146)*1000+N(F146)/1000+ROW()/100000,0)</f>
        <v>0</v>
      </c>
    </row>
    <row r="147">
      <c r="A147" s="48" t="n">
        <v>46252</v>
      </c>
      <c r="B147" s="40" t="inlineStr">
        <is>
          <t>Sérgio Martins</t>
        </is>
      </c>
      <c r="C147" s="40" t="inlineStr">
        <is>
          <t>Consulta</t>
        </is>
      </c>
      <c r="D147" s="41" t="inlineStr">
        <is>
          <t>Cartão de débito</t>
        </is>
      </c>
      <c r="E147" s="41" t="n"/>
      <c r="F147" s="49" t="n">
        <v>380</v>
      </c>
      <c r="G147" s="41" t="inlineStr">
        <is>
          <t>Sim</t>
        </is>
      </c>
      <c r="H147" s="30">
        <f>IF(D147="","",IFERROR(INDEX(Config!$B$12:$B$15,MATCH(IF(AND(D147="Cartão de crédito",N(E147)&gt;1),"Cartão de crédito parcelado",D147),Config!$A$12:$A$15,0)),0)+IF(AND(Config!$B$17="Sim",LEFT(D147,17)="Cartão de crédito"),Config!$B$18*IFERROR(INDEX(Config!$C$12:$C$15,MATCH(IF(AND(D147="Cartão de crédito",N(E147)&gt;1),"Cartão de crédito parcelado",D147),Config!$A$12:$A$15,0)),0)/30*MAX(1,N(E147)),0))</f>
        <v>0.015</v>
      </c>
      <c r="I147" s="29">
        <f>IF(OR(D147="",F147=""),"",ROUND(F147*H147,2))</f>
        <v>5.7</v>
      </c>
      <c r="J147" s="29">
        <f>IF(I147="","",F147-I147)</f>
        <v>374.3</v>
      </c>
      <c r="K147" s="37">
        <f>IF(OR(D147="",A147=""),"",A147+IF(AND(Config!$B$17="Sim",LEFT(D147,17)="Cartão de crédito"),1,IFERROR(INDEX(Config!$C$12:$C$15,MATCH(IF(AND(D147="Cartão de crédito",N(E147)&gt;1),"Cartão de crédito parcelado",D147),Config!$A$12:$A$15,0)),0)))</f>
        <v>46253.0</v>
      </c>
      <c r="L147" s="27">
        <f>IF(A147="","",MONTH(A147))</f>
        <v>8</v>
      </c>
      <c r="M147" s="27">
        <f>IF(A147="","",YEAR(A147))</f>
        <v>2026</v>
      </c>
      <c r="N147" s="27" t="str">
        <f>IF(K147="","",IF(G147="Sim","Conferido",IF(K147&gt;Config!$B$8,"A cair","A conferir")))</f>
        <v>Conferido</v>
      </c>
      <c r="O147" s="50">
        <f>IF(N147="A conferir",(Config!$B$8-K147)*1000+N(F147)/1000+ROW()/100000,0)</f>
        <v>0</v>
      </c>
    </row>
    <row r="148">
      <c r="A148" s="48" t="n">
        <v>46252</v>
      </c>
      <c r="B148" s="40" t="inlineStr">
        <is>
          <t>Rodrigo Moreira</t>
        </is>
      </c>
      <c r="C148" s="40" t="inlineStr">
        <is>
          <t>Consulta</t>
        </is>
      </c>
      <c r="D148" s="41" t="inlineStr">
        <is>
          <t>Cartão de crédito</t>
        </is>
      </c>
      <c r="E148" s="41" t="n">
        <v>2</v>
      </c>
      <c r="F148" s="49" t="n">
        <v>380</v>
      </c>
      <c r="G148" s="41" t="n"/>
      <c r="H148" s="30">
        <f>IF(D148="","",IFERROR(INDEX(Config!$B$12:$B$15,MATCH(IF(AND(D148="Cartão de crédito",N(E148)&gt;1),"Cartão de crédito parcelado",D148),Config!$A$12:$A$15,0)),0)+IF(AND(Config!$B$17="Sim",LEFT(D148,17)="Cartão de crédito"),Config!$B$18*IFERROR(INDEX(Config!$C$12:$C$15,MATCH(IF(AND(D148="Cartão de crédito",N(E148)&gt;1),"Cartão de crédito parcelado",D148),Config!$A$12:$A$15,0)),0)/30*MAX(1,N(E148)),0))</f>
        <v>0.039</v>
      </c>
      <c r="I148" s="29">
        <f>IF(OR(D148="",F148=""),"",ROUND(F148*H148,2))</f>
        <v>14.82</v>
      </c>
      <c r="J148" s="29">
        <f>IF(I148="","",F148-I148)</f>
        <v>365.18</v>
      </c>
      <c r="K148" s="37">
        <f>IF(OR(D148="",A148=""),"",A148+IF(AND(Config!$B$17="Sim",LEFT(D148,17)="Cartão de crédito"),1,IFERROR(INDEX(Config!$C$12:$C$15,MATCH(IF(AND(D148="Cartão de crédito",N(E148)&gt;1),"Cartão de crédito parcelado",D148),Config!$A$12:$A$15,0)),0)))</f>
        <v>46282.0</v>
      </c>
      <c r="L148" s="27">
        <f>IF(A148="","",MONTH(A148))</f>
        <v>8</v>
      </c>
      <c r="M148" s="27">
        <f>IF(A148="","",YEAR(A148))</f>
        <v>2026</v>
      </c>
      <c r="N148" s="27" t="str">
        <f>IF(K148="","",IF(G148="Sim","Conferido",IF(K148&gt;Config!$B$8,"A cair","A conferir")))</f>
        <v>A cair</v>
      </c>
      <c r="O148" s="50">
        <f>IF(N148="A conferir",(Config!$B$8-K148)*1000+N(F148)/1000+ROW()/100000,0)</f>
        <v>0</v>
      </c>
    </row>
    <row r="149">
      <c r="A149" s="48" t="n">
        <v>46252</v>
      </c>
      <c r="B149" s="40" t="inlineStr">
        <is>
          <t>Mariana Reis</t>
        </is>
      </c>
      <c r="C149" s="40" t="inlineStr">
        <is>
          <t>Avaliação endócrina</t>
        </is>
      </c>
      <c r="D149" s="41" t="inlineStr">
        <is>
          <t>Pix</t>
        </is>
      </c>
      <c r="E149" s="41" t="n"/>
      <c r="F149" s="49" t="n">
        <v>400</v>
      </c>
      <c r="G149" s="41" t="inlineStr">
        <is>
          <t>Sim</t>
        </is>
      </c>
      <c r="H149" s="30">
        <f>IF(D149="","",IFERROR(INDEX(Config!$B$12:$B$15,MATCH(IF(AND(D149="Cartão de crédito",N(E149)&gt;1),"Cartão de crédito parcelado",D149),Config!$A$12:$A$15,0)),0)+IF(AND(Config!$B$17="Sim",LEFT(D149,17)="Cartão de crédito"),Config!$B$18*IFERROR(INDEX(Config!$C$12:$C$15,MATCH(IF(AND(D149="Cartão de crédito",N(E149)&gt;1),"Cartão de crédito parcelado",D149),Config!$A$12:$A$15,0)),0)/30*MAX(1,N(E149)),0))</f>
        <v>0</v>
      </c>
      <c r="I149" s="29">
        <f>IF(OR(D149="",F149=""),"",ROUND(F149*H149,2))</f>
        <v>0</v>
      </c>
      <c r="J149" s="29">
        <f>IF(I149="","",F149-I149)</f>
        <v>400</v>
      </c>
      <c r="K149" s="37">
        <f>IF(OR(D149="",A149=""),"",A149+IF(AND(Config!$B$17="Sim",LEFT(D149,17)="Cartão de crédito"),1,IFERROR(INDEX(Config!$C$12:$C$15,MATCH(IF(AND(D149="Cartão de crédito",N(E149)&gt;1),"Cartão de crédito parcelado",D149),Config!$A$12:$A$15,0)),0)))</f>
        <v>46252.0</v>
      </c>
      <c r="L149" s="27">
        <f>IF(A149="","",MONTH(A149))</f>
        <v>8</v>
      </c>
      <c r="M149" s="27">
        <f>IF(A149="","",YEAR(A149))</f>
        <v>2026</v>
      </c>
      <c r="N149" s="27" t="str">
        <f>IF(K149="","",IF(G149="Sim","Conferido",IF(K149&gt;Config!$B$8,"A cair","A conferir")))</f>
        <v>Conferido</v>
      </c>
      <c r="O149" s="50">
        <f>IF(N149="A conferir",(Config!$B$8-K149)*1000+N(F149)/1000+ROW()/100000,0)</f>
        <v>0</v>
      </c>
    </row>
    <row r="150">
      <c r="A150" s="48" t="n">
        <v>46252</v>
      </c>
      <c r="B150" s="40" t="inlineStr">
        <is>
          <t>Fábio Correia</t>
        </is>
      </c>
      <c r="C150" s="40" t="inlineStr">
        <is>
          <t>Consulta</t>
        </is>
      </c>
      <c r="D150" s="41" t="inlineStr">
        <is>
          <t>Pix</t>
        </is>
      </c>
      <c r="E150" s="41" t="n"/>
      <c r="F150" s="49" t="n">
        <v>380</v>
      </c>
      <c r="G150" s="41" t="inlineStr">
        <is>
          <t>Sim</t>
        </is>
      </c>
      <c r="H150" s="30">
        <f>IF(D150="","",IFERROR(INDEX(Config!$B$12:$B$15,MATCH(IF(AND(D150="Cartão de crédito",N(E150)&gt;1),"Cartão de crédito parcelado",D150),Config!$A$12:$A$15,0)),0)+IF(AND(Config!$B$17="Sim",LEFT(D150,17)="Cartão de crédito"),Config!$B$18*IFERROR(INDEX(Config!$C$12:$C$15,MATCH(IF(AND(D150="Cartão de crédito",N(E150)&gt;1),"Cartão de crédito parcelado",D150),Config!$A$12:$A$15,0)),0)/30*MAX(1,N(E150)),0))</f>
        <v>0</v>
      </c>
      <c r="I150" s="29">
        <f>IF(OR(D150="",F150=""),"",ROUND(F150*H150,2))</f>
        <v>0</v>
      </c>
      <c r="J150" s="29">
        <f>IF(I150="","",F150-I150)</f>
        <v>380</v>
      </c>
      <c r="K150" s="37">
        <f>IF(OR(D150="",A150=""),"",A150+IF(AND(Config!$B$17="Sim",LEFT(D150,17)="Cartão de crédito"),1,IFERROR(INDEX(Config!$C$12:$C$15,MATCH(IF(AND(D150="Cartão de crédito",N(E150)&gt;1),"Cartão de crédito parcelado",D150),Config!$A$12:$A$15,0)),0)))</f>
        <v>46252.0</v>
      </c>
      <c r="L150" s="27">
        <f>IF(A150="","",MONTH(A150))</f>
        <v>8</v>
      </c>
      <c r="M150" s="27">
        <f>IF(A150="","",YEAR(A150))</f>
        <v>2026</v>
      </c>
      <c r="N150" s="27" t="str">
        <f>IF(K150="","",IF(G150="Sim","Conferido",IF(K150&gt;Config!$B$8,"A cair","A conferir")))</f>
        <v>Conferido</v>
      </c>
      <c r="O150" s="50">
        <f>IF(N150="A conferir",(Config!$B$8-K150)*1000+N(F150)/1000+ROW()/100000,0)</f>
        <v>0</v>
      </c>
    </row>
    <row r="151">
      <c r="A151" s="48" t="n">
        <v>46253</v>
      </c>
      <c r="B151" s="40" t="inlineStr">
        <is>
          <t>Marcelo Santos</t>
        </is>
      </c>
      <c r="C151" s="40" t="inlineStr">
        <is>
          <t>Consulta</t>
        </is>
      </c>
      <c r="D151" s="41" t="inlineStr">
        <is>
          <t>Pix</t>
        </is>
      </c>
      <c r="E151" s="41" t="n"/>
      <c r="F151" s="49" t="n">
        <v>380</v>
      </c>
      <c r="G151" s="41" t="inlineStr">
        <is>
          <t>Sim</t>
        </is>
      </c>
      <c r="H151" s="30">
        <f>IF(D151="","",IFERROR(INDEX(Config!$B$12:$B$15,MATCH(IF(AND(D151="Cartão de crédito",N(E151)&gt;1),"Cartão de crédito parcelado",D151),Config!$A$12:$A$15,0)),0)+IF(AND(Config!$B$17="Sim",LEFT(D151,17)="Cartão de crédito"),Config!$B$18*IFERROR(INDEX(Config!$C$12:$C$15,MATCH(IF(AND(D151="Cartão de crédito",N(E151)&gt;1),"Cartão de crédito parcelado",D151),Config!$A$12:$A$15,0)),0)/30*MAX(1,N(E151)),0))</f>
        <v>0</v>
      </c>
      <c r="I151" s="29">
        <f>IF(OR(D151="",F151=""),"",ROUND(F151*H151,2))</f>
        <v>0</v>
      </c>
      <c r="J151" s="29">
        <f>IF(I151="","",F151-I151)</f>
        <v>380</v>
      </c>
      <c r="K151" s="37">
        <f>IF(OR(D151="",A151=""),"",A151+IF(AND(Config!$B$17="Sim",LEFT(D151,17)="Cartão de crédito"),1,IFERROR(INDEX(Config!$C$12:$C$15,MATCH(IF(AND(D151="Cartão de crédito",N(E151)&gt;1),"Cartão de crédito parcelado",D151),Config!$A$12:$A$15,0)),0)))</f>
        <v>46253.0</v>
      </c>
      <c r="L151" s="27">
        <f>IF(A151="","",MONTH(A151))</f>
        <v>8</v>
      </c>
      <c r="M151" s="27">
        <f>IF(A151="","",YEAR(A151))</f>
        <v>2026</v>
      </c>
      <c r="N151" s="27" t="str">
        <f>IF(K151="","",IF(G151="Sim","Conferido",IF(K151&gt;Config!$B$8,"A cair","A conferir")))</f>
        <v>Conferido</v>
      </c>
      <c r="O151" s="50">
        <f>IF(N151="A conferir",(Config!$B$8-K151)*1000+N(F151)/1000+ROW()/100000,0)</f>
        <v>0</v>
      </c>
    </row>
    <row r="152">
      <c r="A152" s="48" t="n">
        <v>46253</v>
      </c>
      <c r="B152" s="40" t="inlineStr">
        <is>
          <t>Gisele Xavier</t>
        </is>
      </c>
      <c r="C152" s="40" t="inlineStr">
        <is>
          <t>Consulta</t>
        </is>
      </c>
      <c r="D152" s="41" t="inlineStr">
        <is>
          <t>Cartão de débito</t>
        </is>
      </c>
      <c r="E152" s="41" t="n"/>
      <c r="F152" s="49" t="n">
        <v>380</v>
      </c>
      <c r="G152" s="41" t="inlineStr">
        <is>
          <t>Sim</t>
        </is>
      </c>
      <c r="H152" s="30">
        <f>IF(D152="","",IFERROR(INDEX(Config!$B$12:$B$15,MATCH(IF(AND(D152="Cartão de crédito",N(E152)&gt;1),"Cartão de crédito parcelado",D152),Config!$A$12:$A$15,0)),0)+IF(AND(Config!$B$17="Sim",LEFT(D152,17)="Cartão de crédito"),Config!$B$18*IFERROR(INDEX(Config!$C$12:$C$15,MATCH(IF(AND(D152="Cartão de crédito",N(E152)&gt;1),"Cartão de crédito parcelado",D152),Config!$A$12:$A$15,0)),0)/30*MAX(1,N(E152)),0))</f>
        <v>0.015</v>
      </c>
      <c r="I152" s="29">
        <f>IF(OR(D152="",F152=""),"",ROUND(F152*H152,2))</f>
        <v>5.7</v>
      </c>
      <c r="J152" s="29">
        <f>IF(I152="","",F152-I152)</f>
        <v>374.3</v>
      </c>
      <c r="K152" s="37">
        <f>IF(OR(D152="",A152=""),"",A152+IF(AND(Config!$B$17="Sim",LEFT(D152,17)="Cartão de crédito"),1,IFERROR(INDEX(Config!$C$12:$C$15,MATCH(IF(AND(D152="Cartão de crédito",N(E152)&gt;1),"Cartão de crédito parcelado",D152),Config!$A$12:$A$15,0)),0)))</f>
        <v>46254.0</v>
      </c>
      <c r="L152" s="27">
        <f>IF(A152="","",MONTH(A152))</f>
        <v>8</v>
      </c>
      <c r="M152" s="27">
        <f>IF(A152="","",YEAR(A152))</f>
        <v>2026</v>
      </c>
      <c r="N152" s="27" t="str">
        <f>IF(K152="","",IF(G152="Sim","Conferido",IF(K152&gt;Config!$B$8,"A cair","A conferir")))</f>
        <v>Conferido</v>
      </c>
      <c r="O152" s="50">
        <f>IF(N152="A conferir",(Config!$B$8-K152)*1000+N(F152)/1000+ROW()/100000,0)</f>
        <v>0</v>
      </c>
    </row>
    <row r="153">
      <c r="A153" s="48" t="n">
        <v>46254</v>
      </c>
      <c r="B153" s="40" t="inlineStr">
        <is>
          <t>Regina Macedo</t>
        </is>
      </c>
      <c r="C153" s="40" t="inlineStr">
        <is>
          <t>Consulta</t>
        </is>
      </c>
      <c r="D153" s="41" t="inlineStr">
        <is>
          <t>Pix</t>
        </is>
      </c>
      <c r="E153" s="41" t="n"/>
      <c r="F153" s="49" t="n">
        <v>380</v>
      </c>
      <c r="G153" s="41" t="inlineStr">
        <is>
          <t>Sim</t>
        </is>
      </c>
      <c r="H153" s="30">
        <f>IF(D153="","",IFERROR(INDEX(Config!$B$12:$B$15,MATCH(IF(AND(D153="Cartão de crédito",N(E153)&gt;1),"Cartão de crédito parcelado",D153),Config!$A$12:$A$15,0)),0)+IF(AND(Config!$B$17="Sim",LEFT(D153,17)="Cartão de crédito"),Config!$B$18*IFERROR(INDEX(Config!$C$12:$C$15,MATCH(IF(AND(D153="Cartão de crédito",N(E153)&gt;1),"Cartão de crédito parcelado",D153),Config!$A$12:$A$15,0)),0)/30*MAX(1,N(E153)),0))</f>
        <v>0</v>
      </c>
      <c r="I153" s="29">
        <f>IF(OR(D153="",F153=""),"",ROUND(F153*H153,2))</f>
        <v>0</v>
      </c>
      <c r="J153" s="29">
        <f>IF(I153="","",F153-I153)</f>
        <v>380</v>
      </c>
      <c r="K153" s="37">
        <f>IF(OR(D153="",A153=""),"",A153+IF(AND(Config!$B$17="Sim",LEFT(D153,17)="Cartão de crédito"),1,IFERROR(INDEX(Config!$C$12:$C$15,MATCH(IF(AND(D153="Cartão de crédito",N(E153)&gt;1),"Cartão de crédito parcelado",D153),Config!$A$12:$A$15,0)),0)))</f>
        <v>46254.0</v>
      </c>
      <c r="L153" s="27">
        <f>IF(A153="","",MONTH(A153))</f>
        <v>8</v>
      </c>
      <c r="M153" s="27">
        <f>IF(A153="","",YEAR(A153))</f>
        <v>2026</v>
      </c>
      <c r="N153" s="27" t="str">
        <f>IF(K153="","",IF(G153="Sim","Conferido",IF(K153&gt;Config!$B$8,"A cair","A conferir")))</f>
        <v>Conferido</v>
      </c>
      <c r="O153" s="50">
        <f>IF(N153="A conferir",(Config!$B$8-K153)*1000+N(F153)/1000+ROW()/100000,0)</f>
        <v>0</v>
      </c>
    </row>
    <row r="154">
      <c r="A154" s="48" t="n">
        <v>46254</v>
      </c>
      <c r="B154" s="40" t="inlineStr">
        <is>
          <t>Viviane Ribeiro</t>
        </is>
      </c>
      <c r="C154" s="40" t="inlineStr">
        <is>
          <t>Teste ergométrico</t>
        </is>
      </c>
      <c r="D154" s="41" t="inlineStr">
        <is>
          <t>Pix</t>
        </is>
      </c>
      <c r="E154" s="41" t="n"/>
      <c r="F154" s="49" t="n">
        <v>450</v>
      </c>
      <c r="G154" s="41" t="inlineStr">
        <is>
          <t>Sim</t>
        </is>
      </c>
      <c r="H154" s="30">
        <f>IF(D154="","",IFERROR(INDEX(Config!$B$12:$B$15,MATCH(IF(AND(D154="Cartão de crédito",N(E154)&gt;1),"Cartão de crédito parcelado",D154),Config!$A$12:$A$15,0)),0)+IF(AND(Config!$B$17="Sim",LEFT(D154,17)="Cartão de crédito"),Config!$B$18*IFERROR(INDEX(Config!$C$12:$C$15,MATCH(IF(AND(D154="Cartão de crédito",N(E154)&gt;1),"Cartão de crédito parcelado",D154),Config!$A$12:$A$15,0)),0)/30*MAX(1,N(E154)),0))</f>
        <v>0</v>
      </c>
      <c r="I154" s="29">
        <f>IF(OR(D154="",F154=""),"",ROUND(F154*H154,2))</f>
        <v>0</v>
      </c>
      <c r="J154" s="29">
        <f>IF(I154="","",F154-I154)</f>
        <v>450</v>
      </c>
      <c r="K154" s="37">
        <f>IF(OR(D154="",A154=""),"",A154+IF(AND(Config!$B$17="Sim",LEFT(D154,17)="Cartão de crédito"),1,IFERROR(INDEX(Config!$C$12:$C$15,MATCH(IF(AND(D154="Cartão de crédito",N(E154)&gt;1),"Cartão de crédito parcelado",D154),Config!$A$12:$A$15,0)),0)))</f>
        <v>46254.0</v>
      </c>
      <c r="L154" s="27">
        <f>IF(A154="","",MONTH(A154))</f>
        <v>8</v>
      </c>
      <c r="M154" s="27">
        <f>IF(A154="","",YEAR(A154))</f>
        <v>2026</v>
      </c>
      <c r="N154" s="27" t="str">
        <f>IF(K154="","",IF(G154="Sim","Conferido",IF(K154&gt;Config!$B$8,"A cair","A conferir")))</f>
        <v>Conferido</v>
      </c>
      <c r="O154" s="50">
        <f>IF(N154="A conferir",(Config!$B$8-K154)*1000+N(F154)/1000+ROW()/100000,0)</f>
        <v>0</v>
      </c>
    </row>
    <row r="155">
      <c r="A155" s="48" t="n">
        <v>46254</v>
      </c>
      <c r="B155" s="40" t="inlineStr">
        <is>
          <t>Patrícia Dias</t>
        </is>
      </c>
      <c r="C155" s="40" t="inlineStr">
        <is>
          <t>Avaliação endócrina</t>
        </is>
      </c>
      <c r="D155" s="41" t="inlineStr">
        <is>
          <t>Cartão de crédito</t>
        </is>
      </c>
      <c r="E155" s="41" t="n">
        <v>2</v>
      </c>
      <c r="F155" s="49" t="n">
        <v>400</v>
      </c>
      <c r="G155" s="41" t="n"/>
      <c r="H155" s="30">
        <f>IF(D155="","",IFERROR(INDEX(Config!$B$12:$B$15,MATCH(IF(AND(D155="Cartão de crédito",N(E155)&gt;1),"Cartão de crédito parcelado",D155),Config!$A$12:$A$15,0)),0)+IF(AND(Config!$B$17="Sim",LEFT(D155,17)="Cartão de crédito"),Config!$B$18*IFERROR(INDEX(Config!$C$12:$C$15,MATCH(IF(AND(D155="Cartão de crédito",N(E155)&gt;1),"Cartão de crédito parcelado",D155),Config!$A$12:$A$15,0)),0)/30*MAX(1,N(E155)),0))</f>
        <v>0.039</v>
      </c>
      <c r="I155" s="29">
        <f>IF(OR(D155="",F155=""),"",ROUND(F155*H155,2))</f>
        <v>15.6</v>
      </c>
      <c r="J155" s="29">
        <f>IF(I155="","",F155-I155)</f>
        <v>384.4</v>
      </c>
      <c r="K155" s="37">
        <f>IF(OR(D155="",A155=""),"",A155+IF(AND(Config!$B$17="Sim",LEFT(D155,17)="Cartão de crédito"),1,IFERROR(INDEX(Config!$C$12:$C$15,MATCH(IF(AND(D155="Cartão de crédito",N(E155)&gt;1),"Cartão de crédito parcelado",D155),Config!$A$12:$A$15,0)),0)))</f>
        <v>46284.0</v>
      </c>
      <c r="L155" s="27">
        <f>IF(A155="","",MONTH(A155))</f>
        <v>8</v>
      </c>
      <c r="M155" s="27">
        <f>IF(A155="","",YEAR(A155))</f>
        <v>2026</v>
      </c>
      <c r="N155" s="27" t="str">
        <f>IF(K155="","",IF(G155="Sim","Conferido",IF(K155&gt;Config!$B$8,"A cair","A conferir")))</f>
        <v>A cair</v>
      </c>
      <c r="O155" s="50">
        <f>IF(N155="A conferir",(Config!$B$8-K155)*1000+N(F155)/1000+ROW()/100000,0)</f>
        <v>0</v>
      </c>
    </row>
    <row r="156">
      <c r="A156" s="48" t="n">
        <v>46254</v>
      </c>
      <c r="B156" s="40" t="inlineStr">
        <is>
          <t>Wagner Costa</t>
        </is>
      </c>
      <c r="C156" s="40" t="inlineStr">
        <is>
          <t>Consulta</t>
        </is>
      </c>
      <c r="D156" s="41" t="inlineStr">
        <is>
          <t>Pix</t>
        </is>
      </c>
      <c r="E156" s="41" t="n"/>
      <c r="F156" s="49" t="n">
        <v>380</v>
      </c>
      <c r="G156" s="41" t="inlineStr">
        <is>
          <t>Sim</t>
        </is>
      </c>
      <c r="H156" s="30">
        <f>IF(D156="","",IFERROR(INDEX(Config!$B$12:$B$15,MATCH(IF(AND(D156="Cartão de crédito",N(E156)&gt;1),"Cartão de crédito parcelado",D156),Config!$A$12:$A$15,0)),0)+IF(AND(Config!$B$17="Sim",LEFT(D156,17)="Cartão de crédito"),Config!$B$18*IFERROR(INDEX(Config!$C$12:$C$15,MATCH(IF(AND(D156="Cartão de crédito",N(E156)&gt;1),"Cartão de crédito parcelado",D156),Config!$A$12:$A$15,0)),0)/30*MAX(1,N(E156)),0))</f>
        <v>0</v>
      </c>
      <c r="I156" s="29">
        <f>IF(OR(D156="",F156=""),"",ROUND(F156*H156,2))</f>
        <v>0</v>
      </c>
      <c r="J156" s="29">
        <f>IF(I156="","",F156-I156)</f>
        <v>380</v>
      </c>
      <c r="K156" s="37">
        <f>IF(OR(D156="",A156=""),"",A156+IF(AND(Config!$B$17="Sim",LEFT(D156,17)="Cartão de crédito"),1,IFERROR(INDEX(Config!$C$12:$C$15,MATCH(IF(AND(D156="Cartão de crédito",N(E156)&gt;1),"Cartão de crédito parcelado",D156),Config!$A$12:$A$15,0)),0)))</f>
        <v>46254.0</v>
      </c>
      <c r="L156" s="27">
        <f>IF(A156="","",MONTH(A156))</f>
        <v>8</v>
      </c>
      <c r="M156" s="27">
        <f>IF(A156="","",YEAR(A156))</f>
        <v>2026</v>
      </c>
      <c r="N156" s="27" t="str">
        <f>IF(K156="","",IF(G156="Sim","Conferido",IF(K156&gt;Config!$B$8,"A cair","A conferir")))</f>
        <v>Conferido</v>
      </c>
      <c r="O156" s="50">
        <f>IF(N156="A conferir",(Config!$B$8-K156)*1000+N(F156)/1000+ROW()/100000,0)</f>
        <v>0</v>
      </c>
    </row>
    <row r="157">
      <c r="A157" s="48" t="n">
        <v>46254</v>
      </c>
      <c r="B157" s="40" t="inlineStr">
        <is>
          <t>Regina Teixeira</t>
        </is>
      </c>
      <c r="C157" s="40" t="inlineStr">
        <is>
          <t>Consulta</t>
        </is>
      </c>
      <c r="D157" s="41" t="inlineStr">
        <is>
          <t>Pix</t>
        </is>
      </c>
      <c r="E157" s="41" t="n"/>
      <c r="F157" s="49" t="n">
        <v>380</v>
      </c>
      <c r="G157" s="41" t="inlineStr">
        <is>
          <t>Sim</t>
        </is>
      </c>
      <c r="H157" s="30">
        <f>IF(D157="","",IFERROR(INDEX(Config!$B$12:$B$15,MATCH(IF(AND(D157="Cartão de crédito",N(E157)&gt;1),"Cartão de crédito parcelado",D157),Config!$A$12:$A$15,0)),0)+IF(AND(Config!$B$17="Sim",LEFT(D157,17)="Cartão de crédito"),Config!$B$18*IFERROR(INDEX(Config!$C$12:$C$15,MATCH(IF(AND(D157="Cartão de crédito",N(E157)&gt;1),"Cartão de crédito parcelado",D157),Config!$A$12:$A$15,0)),0)/30*MAX(1,N(E157)),0))</f>
        <v>0</v>
      </c>
      <c r="I157" s="29">
        <f>IF(OR(D157="",F157=""),"",ROUND(F157*H157,2))</f>
        <v>0</v>
      </c>
      <c r="J157" s="29">
        <f>IF(I157="","",F157-I157)</f>
        <v>380</v>
      </c>
      <c r="K157" s="37">
        <f>IF(OR(D157="",A157=""),"",A157+IF(AND(Config!$B$17="Sim",LEFT(D157,17)="Cartão de crédito"),1,IFERROR(INDEX(Config!$C$12:$C$15,MATCH(IF(AND(D157="Cartão de crédito",N(E157)&gt;1),"Cartão de crédito parcelado",D157),Config!$A$12:$A$15,0)),0)))</f>
        <v>46254.0</v>
      </c>
      <c r="L157" s="27">
        <f>IF(A157="","",MONTH(A157))</f>
        <v>8</v>
      </c>
      <c r="M157" s="27">
        <f>IF(A157="","",YEAR(A157))</f>
        <v>2026</v>
      </c>
      <c r="N157" s="27" t="str">
        <f>IF(K157="","",IF(G157="Sim","Conferido",IF(K157&gt;Config!$B$8,"A cair","A conferir")))</f>
        <v>Conferido</v>
      </c>
      <c r="O157" s="50">
        <f>IF(N157="A conferir",(Config!$B$8-K157)*1000+N(F157)/1000+ROW()/100000,0)</f>
        <v>0</v>
      </c>
    </row>
    <row r="158">
      <c r="A158" s="48" t="n">
        <v>46254</v>
      </c>
      <c r="B158" s="40" t="inlineStr">
        <is>
          <t>Beatriz Monteiro</t>
        </is>
      </c>
      <c r="C158" s="40" t="inlineStr">
        <is>
          <t>Avaliação endócrina</t>
        </is>
      </c>
      <c r="D158" s="41" t="inlineStr">
        <is>
          <t>Cartão de débito</t>
        </is>
      </c>
      <c r="E158" s="41" t="n"/>
      <c r="F158" s="49" t="n">
        <v>400</v>
      </c>
      <c r="G158" s="41" t="inlineStr">
        <is>
          <t>Sim</t>
        </is>
      </c>
      <c r="H158" s="30">
        <f>IF(D158="","",IFERROR(INDEX(Config!$B$12:$B$15,MATCH(IF(AND(D158="Cartão de crédito",N(E158)&gt;1),"Cartão de crédito parcelado",D158),Config!$A$12:$A$15,0)),0)+IF(AND(Config!$B$17="Sim",LEFT(D158,17)="Cartão de crédito"),Config!$B$18*IFERROR(INDEX(Config!$C$12:$C$15,MATCH(IF(AND(D158="Cartão de crédito",N(E158)&gt;1),"Cartão de crédito parcelado",D158),Config!$A$12:$A$15,0)),0)/30*MAX(1,N(E158)),0))</f>
        <v>0.015</v>
      </c>
      <c r="I158" s="29">
        <f>IF(OR(D158="",F158=""),"",ROUND(F158*H158,2))</f>
        <v>6</v>
      </c>
      <c r="J158" s="29">
        <f>IF(I158="","",F158-I158)</f>
        <v>394</v>
      </c>
      <c r="K158" s="37">
        <f>IF(OR(D158="",A158=""),"",A158+IF(AND(Config!$B$17="Sim",LEFT(D158,17)="Cartão de crédito"),1,IFERROR(INDEX(Config!$C$12:$C$15,MATCH(IF(AND(D158="Cartão de crédito",N(E158)&gt;1),"Cartão de crédito parcelado",D158),Config!$A$12:$A$15,0)),0)))</f>
        <v>46255.0</v>
      </c>
      <c r="L158" s="27">
        <f>IF(A158="","",MONTH(A158))</f>
        <v>8</v>
      </c>
      <c r="M158" s="27">
        <f>IF(A158="","",YEAR(A158))</f>
        <v>2026</v>
      </c>
      <c r="N158" s="27" t="str">
        <f>IF(K158="","",IF(G158="Sim","Conferido",IF(K158&gt;Config!$B$8,"A cair","A conferir")))</f>
        <v>Conferido</v>
      </c>
      <c r="O158" s="50">
        <f>IF(N158="A conferir",(Config!$B$8-K158)*1000+N(F158)/1000+ROW()/100000,0)</f>
        <v>0</v>
      </c>
    </row>
    <row r="159">
      <c r="A159" s="48" t="n">
        <v>46254</v>
      </c>
      <c r="B159" s="40" t="inlineStr">
        <is>
          <t>Regina Teixeira</t>
        </is>
      </c>
      <c r="C159" s="40" t="inlineStr">
        <is>
          <t>ECG</t>
        </is>
      </c>
      <c r="D159" s="41" t="inlineStr">
        <is>
          <t>Pix</t>
        </is>
      </c>
      <c r="E159" s="41" t="n"/>
      <c r="F159" s="49" t="n">
        <v>130</v>
      </c>
      <c r="G159" s="41" t="inlineStr">
        <is>
          <t>Sim</t>
        </is>
      </c>
      <c r="H159" s="30">
        <f>IF(D159="","",IFERROR(INDEX(Config!$B$12:$B$15,MATCH(IF(AND(D159="Cartão de crédito",N(E159)&gt;1),"Cartão de crédito parcelado",D159),Config!$A$12:$A$15,0)),0)+IF(AND(Config!$B$17="Sim",LEFT(D159,17)="Cartão de crédito"),Config!$B$18*IFERROR(INDEX(Config!$C$12:$C$15,MATCH(IF(AND(D159="Cartão de crédito",N(E159)&gt;1),"Cartão de crédito parcelado",D159),Config!$A$12:$A$15,0)),0)/30*MAX(1,N(E159)),0))</f>
        <v>0</v>
      </c>
      <c r="I159" s="29">
        <f>IF(OR(D159="",F159=""),"",ROUND(F159*H159,2))</f>
        <v>0</v>
      </c>
      <c r="J159" s="29">
        <f>IF(I159="","",F159-I159)</f>
        <v>130</v>
      </c>
      <c r="K159" s="37">
        <f>IF(OR(D159="",A159=""),"",A159+IF(AND(Config!$B$17="Sim",LEFT(D159,17)="Cartão de crédito"),1,IFERROR(INDEX(Config!$C$12:$C$15,MATCH(IF(AND(D159="Cartão de crédito",N(E159)&gt;1),"Cartão de crédito parcelado",D159),Config!$A$12:$A$15,0)),0)))</f>
        <v>46254.0</v>
      </c>
      <c r="L159" s="27">
        <f>IF(A159="","",MONTH(A159))</f>
        <v>8</v>
      </c>
      <c r="M159" s="27">
        <f>IF(A159="","",YEAR(A159))</f>
        <v>2026</v>
      </c>
      <c r="N159" s="27" t="str">
        <f>IF(K159="","",IF(G159="Sim","Conferido",IF(K159&gt;Config!$B$8,"A cair","A conferir")))</f>
        <v>Conferido</v>
      </c>
      <c r="O159" s="50">
        <f>IF(N159="A conferir",(Config!$B$8-K159)*1000+N(F159)/1000+ROW()/100000,0)</f>
        <v>0</v>
      </c>
    </row>
    <row r="160">
      <c r="A160" s="48" t="n">
        <v>46254</v>
      </c>
      <c r="B160" s="40" t="inlineStr">
        <is>
          <t>Isabela Xavier</t>
        </is>
      </c>
      <c r="C160" s="40" t="inlineStr">
        <is>
          <t>Avaliação endócrina</t>
        </is>
      </c>
      <c r="D160" s="41" t="inlineStr">
        <is>
          <t>Cartão de crédito</t>
        </is>
      </c>
      <c r="E160" s="41" t="n"/>
      <c r="F160" s="49" t="n">
        <v>400</v>
      </c>
      <c r="G160" s="41" t="n"/>
      <c r="H160" s="30">
        <f>IF(D160="","",IFERROR(INDEX(Config!$B$12:$B$15,MATCH(IF(AND(D160="Cartão de crédito",N(E160)&gt;1),"Cartão de crédito parcelado",D160),Config!$A$12:$A$15,0)),0)+IF(AND(Config!$B$17="Sim",LEFT(D160,17)="Cartão de crédito"),Config!$B$18*IFERROR(INDEX(Config!$C$12:$C$15,MATCH(IF(AND(D160="Cartão de crédito",N(E160)&gt;1),"Cartão de crédito parcelado",D160),Config!$A$12:$A$15,0)),0)/30*MAX(1,N(E160)),0))</f>
        <v>0.032</v>
      </c>
      <c r="I160" s="29">
        <f>IF(OR(D160="",F160=""),"",ROUND(F160*H160,2))</f>
        <v>12.8</v>
      </c>
      <c r="J160" s="29">
        <f>IF(I160="","",F160-I160)</f>
        <v>387.2</v>
      </c>
      <c r="K160" s="37">
        <f>IF(OR(D160="",A160=""),"",A160+IF(AND(Config!$B$17="Sim",LEFT(D160,17)="Cartão de crédito"),1,IFERROR(INDEX(Config!$C$12:$C$15,MATCH(IF(AND(D160="Cartão de crédito",N(E160)&gt;1),"Cartão de crédito parcelado",D160),Config!$A$12:$A$15,0)),0)))</f>
        <v>46284.0</v>
      </c>
      <c r="L160" s="27">
        <f>IF(A160="","",MONTH(A160))</f>
        <v>8</v>
      </c>
      <c r="M160" s="27">
        <f>IF(A160="","",YEAR(A160))</f>
        <v>2026</v>
      </c>
      <c r="N160" s="27" t="str">
        <f>IF(K160="","",IF(G160="Sim","Conferido",IF(K160&gt;Config!$B$8,"A cair","A conferir")))</f>
        <v>A cair</v>
      </c>
      <c r="O160" s="50">
        <f>IF(N160="A conferir",(Config!$B$8-K160)*1000+N(F160)/1000+ROW()/100000,0)</f>
        <v>0</v>
      </c>
    </row>
    <row r="161">
      <c r="A161" s="48" t="n">
        <v>46254</v>
      </c>
      <c r="B161" s="40" t="inlineStr">
        <is>
          <t>Regina Teixeira</t>
        </is>
      </c>
      <c r="C161" s="40" t="inlineStr">
        <is>
          <t>Teste ergométrico</t>
        </is>
      </c>
      <c r="D161" s="41" t="inlineStr">
        <is>
          <t>Pix</t>
        </is>
      </c>
      <c r="E161" s="41" t="n"/>
      <c r="F161" s="49" t="n">
        <v>450</v>
      </c>
      <c r="G161" s="41" t="inlineStr">
        <is>
          <t>Sim</t>
        </is>
      </c>
      <c r="H161" s="30">
        <f>IF(D161="","",IFERROR(INDEX(Config!$B$12:$B$15,MATCH(IF(AND(D161="Cartão de crédito",N(E161)&gt;1),"Cartão de crédito parcelado",D161),Config!$A$12:$A$15,0)),0)+IF(AND(Config!$B$17="Sim",LEFT(D161,17)="Cartão de crédito"),Config!$B$18*IFERROR(INDEX(Config!$C$12:$C$15,MATCH(IF(AND(D161="Cartão de crédito",N(E161)&gt;1),"Cartão de crédito parcelado",D161),Config!$A$12:$A$15,0)),0)/30*MAX(1,N(E161)),0))</f>
        <v>0</v>
      </c>
      <c r="I161" s="29">
        <f>IF(OR(D161="",F161=""),"",ROUND(F161*H161,2))</f>
        <v>0</v>
      </c>
      <c r="J161" s="29">
        <f>IF(I161="","",F161-I161)</f>
        <v>450</v>
      </c>
      <c r="K161" s="37">
        <f>IF(OR(D161="",A161=""),"",A161+IF(AND(Config!$B$17="Sim",LEFT(D161,17)="Cartão de crédito"),1,IFERROR(INDEX(Config!$C$12:$C$15,MATCH(IF(AND(D161="Cartão de crédito",N(E161)&gt;1),"Cartão de crédito parcelado",D161),Config!$A$12:$A$15,0)),0)))</f>
        <v>46254.0</v>
      </c>
      <c r="L161" s="27">
        <f>IF(A161="","",MONTH(A161))</f>
        <v>8</v>
      </c>
      <c r="M161" s="27">
        <f>IF(A161="","",YEAR(A161))</f>
        <v>2026</v>
      </c>
      <c r="N161" s="27" t="str">
        <f>IF(K161="","",IF(G161="Sim","Conferido",IF(K161&gt;Config!$B$8,"A cair","A conferir")))</f>
        <v>Conferido</v>
      </c>
      <c r="O161" s="50">
        <f>IF(N161="A conferir",(Config!$B$8-K161)*1000+N(F161)/1000+ROW()/100000,0)</f>
        <v>0</v>
      </c>
    </row>
    <row r="162">
      <c r="A162" s="48" t="n">
        <v>46258</v>
      </c>
      <c r="B162" s="40" t="inlineStr">
        <is>
          <t>Wagner Lima</t>
        </is>
      </c>
      <c r="C162" s="40" t="inlineStr">
        <is>
          <t>Consulta</t>
        </is>
      </c>
      <c r="D162" s="41" t="inlineStr">
        <is>
          <t>Cartão de débito</t>
        </is>
      </c>
      <c r="E162" s="41" t="n"/>
      <c r="F162" s="49" t="n">
        <v>380</v>
      </c>
      <c r="G162" s="41" t="inlineStr">
        <is>
          <t>Sim</t>
        </is>
      </c>
      <c r="H162" s="30">
        <f>IF(D162="","",IFERROR(INDEX(Config!$B$12:$B$15,MATCH(IF(AND(D162="Cartão de crédito",N(E162)&gt;1),"Cartão de crédito parcelado",D162),Config!$A$12:$A$15,0)),0)+IF(AND(Config!$B$17="Sim",LEFT(D162,17)="Cartão de crédito"),Config!$B$18*IFERROR(INDEX(Config!$C$12:$C$15,MATCH(IF(AND(D162="Cartão de crédito",N(E162)&gt;1),"Cartão de crédito parcelado",D162),Config!$A$12:$A$15,0)),0)/30*MAX(1,N(E162)),0))</f>
        <v>0.015</v>
      </c>
      <c r="I162" s="29">
        <f>IF(OR(D162="",F162=""),"",ROUND(F162*H162,2))</f>
        <v>5.7</v>
      </c>
      <c r="J162" s="29">
        <f>IF(I162="","",F162-I162)</f>
        <v>374.3</v>
      </c>
      <c r="K162" s="37">
        <f>IF(OR(D162="",A162=""),"",A162+IF(AND(Config!$B$17="Sim",LEFT(D162,17)="Cartão de crédito"),1,IFERROR(INDEX(Config!$C$12:$C$15,MATCH(IF(AND(D162="Cartão de crédito",N(E162)&gt;1),"Cartão de crédito parcelado",D162),Config!$A$12:$A$15,0)),0)))</f>
        <v>46259.0</v>
      </c>
      <c r="L162" s="27">
        <f>IF(A162="","",MONTH(A162))</f>
        <v>8</v>
      </c>
      <c r="M162" s="27">
        <f>IF(A162="","",YEAR(A162))</f>
        <v>2026</v>
      </c>
      <c r="N162" s="27" t="str">
        <f>IF(K162="","",IF(G162="Sim","Conferido",IF(K162&gt;Config!$B$8,"A cair","A conferir")))</f>
        <v>Conferido</v>
      </c>
      <c r="O162" s="50">
        <f>IF(N162="A conferir",(Config!$B$8-K162)*1000+N(F162)/1000+ROW()/100000,0)</f>
        <v>0</v>
      </c>
    </row>
    <row r="163">
      <c r="A163" s="48" t="n">
        <v>46258</v>
      </c>
      <c r="B163" s="40" t="inlineStr">
        <is>
          <t>Renato Dias</t>
        </is>
      </c>
      <c r="C163" s="40" t="inlineStr">
        <is>
          <t>Consulta</t>
        </is>
      </c>
      <c r="D163" s="41" t="inlineStr">
        <is>
          <t>Pix</t>
        </is>
      </c>
      <c r="E163" s="41" t="n"/>
      <c r="F163" s="49" t="n">
        <v>380</v>
      </c>
      <c r="G163" s="41" t="inlineStr">
        <is>
          <t>Sim</t>
        </is>
      </c>
      <c r="H163" s="30">
        <f>IF(D163="","",IFERROR(INDEX(Config!$B$12:$B$15,MATCH(IF(AND(D163="Cartão de crédito",N(E163)&gt;1),"Cartão de crédito parcelado",D163),Config!$A$12:$A$15,0)),0)+IF(AND(Config!$B$17="Sim",LEFT(D163,17)="Cartão de crédito"),Config!$B$18*IFERROR(INDEX(Config!$C$12:$C$15,MATCH(IF(AND(D163="Cartão de crédito",N(E163)&gt;1),"Cartão de crédito parcelado",D163),Config!$A$12:$A$15,0)),0)/30*MAX(1,N(E163)),0))</f>
        <v>0</v>
      </c>
      <c r="I163" s="29">
        <f>IF(OR(D163="",F163=""),"",ROUND(F163*H163,2))</f>
        <v>0</v>
      </c>
      <c r="J163" s="29">
        <f>IF(I163="","",F163-I163)</f>
        <v>380</v>
      </c>
      <c r="K163" s="37">
        <f>IF(OR(D163="",A163=""),"",A163+IF(AND(Config!$B$17="Sim",LEFT(D163,17)="Cartão de crédito"),1,IFERROR(INDEX(Config!$C$12:$C$15,MATCH(IF(AND(D163="Cartão de crédito",N(E163)&gt;1),"Cartão de crédito parcelado",D163),Config!$A$12:$A$15,0)),0)))</f>
        <v>46258.0</v>
      </c>
      <c r="L163" s="27">
        <f>IF(A163="","",MONTH(A163))</f>
        <v>8</v>
      </c>
      <c r="M163" s="27">
        <f>IF(A163="","",YEAR(A163))</f>
        <v>2026</v>
      </c>
      <c r="N163" s="27" t="str">
        <f>IF(K163="","",IF(G163="Sim","Conferido",IF(K163&gt;Config!$B$8,"A cair","A conferir")))</f>
        <v>Conferido</v>
      </c>
      <c r="O163" s="50">
        <f>IF(N163="A conferir",(Config!$B$8-K163)*1000+N(F163)/1000+ROW()/100000,0)</f>
        <v>0</v>
      </c>
    </row>
    <row r="164">
      <c r="A164" s="48" t="n">
        <v>46258</v>
      </c>
      <c r="B164" s="40" t="inlineStr">
        <is>
          <t>Mariana Nascimento</t>
        </is>
      </c>
      <c r="C164" s="40" t="inlineStr">
        <is>
          <t>Consulta</t>
        </is>
      </c>
      <c r="D164" s="41" t="inlineStr">
        <is>
          <t>Cartão de crédito</t>
        </is>
      </c>
      <c r="E164" s="41" t="n">
        <v>2</v>
      </c>
      <c r="F164" s="49" t="n">
        <v>380</v>
      </c>
      <c r="G164" s="41" t="n"/>
      <c r="H164" s="30">
        <f>IF(D164="","",IFERROR(INDEX(Config!$B$12:$B$15,MATCH(IF(AND(D164="Cartão de crédito",N(E164)&gt;1),"Cartão de crédito parcelado",D164),Config!$A$12:$A$15,0)),0)+IF(AND(Config!$B$17="Sim",LEFT(D164,17)="Cartão de crédito"),Config!$B$18*IFERROR(INDEX(Config!$C$12:$C$15,MATCH(IF(AND(D164="Cartão de crédito",N(E164)&gt;1),"Cartão de crédito parcelado",D164),Config!$A$12:$A$15,0)),0)/30*MAX(1,N(E164)),0))</f>
        <v>0.039</v>
      </c>
      <c r="I164" s="29">
        <f>IF(OR(D164="",F164=""),"",ROUND(F164*H164,2))</f>
        <v>14.82</v>
      </c>
      <c r="J164" s="29">
        <f>IF(I164="","",F164-I164)</f>
        <v>365.18</v>
      </c>
      <c r="K164" s="37">
        <f>IF(OR(D164="",A164=""),"",A164+IF(AND(Config!$B$17="Sim",LEFT(D164,17)="Cartão de crédito"),1,IFERROR(INDEX(Config!$C$12:$C$15,MATCH(IF(AND(D164="Cartão de crédito",N(E164)&gt;1),"Cartão de crédito parcelado",D164),Config!$A$12:$A$15,0)),0)))</f>
        <v>46288.0</v>
      </c>
      <c r="L164" s="27">
        <f>IF(A164="","",MONTH(A164))</f>
        <v>8</v>
      </c>
      <c r="M164" s="27">
        <f>IF(A164="","",YEAR(A164))</f>
        <v>2026</v>
      </c>
      <c r="N164" s="27" t="str">
        <f>IF(K164="","",IF(G164="Sim","Conferido",IF(K164&gt;Config!$B$8,"A cair","A conferir")))</f>
        <v>A cair</v>
      </c>
      <c r="O164" s="50">
        <f>IF(N164="A conferir",(Config!$B$8-K164)*1000+N(F164)/1000+ROW()/100000,0)</f>
        <v>0</v>
      </c>
    </row>
    <row r="165">
      <c r="A165" s="48" t="n">
        <v>46258</v>
      </c>
      <c r="B165" s="40" t="inlineStr">
        <is>
          <t>Ana Costa</t>
        </is>
      </c>
      <c r="C165" s="40" t="inlineStr">
        <is>
          <t>Consulta</t>
        </is>
      </c>
      <c r="D165" s="41" t="inlineStr">
        <is>
          <t>Cartão de crédito</t>
        </is>
      </c>
      <c r="E165" s="41" t="n"/>
      <c r="F165" s="49" t="n">
        <v>380</v>
      </c>
      <c r="G165" s="41" t="n"/>
      <c r="H165" s="30">
        <f>IF(D165="","",IFERROR(INDEX(Config!$B$12:$B$15,MATCH(IF(AND(D165="Cartão de crédito",N(E165)&gt;1),"Cartão de crédito parcelado",D165),Config!$A$12:$A$15,0)),0)+IF(AND(Config!$B$17="Sim",LEFT(D165,17)="Cartão de crédito"),Config!$B$18*IFERROR(INDEX(Config!$C$12:$C$15,MATCH(IF(AND(D165="Cartão de crédito",N(E165)&gt;1),"Cartão de crédito parcelado",D165),Config!$A$12:$A$15,0)),0)/30*MAX(1,N(E165)),0))</f>
        <v>0.032</v>
      </c>
      <c r="I165" s="29">
        <f>IF(OR(D165="",F165=""),"",ROUND(F165*H165,2))</f>
        <v>12.16</v>
      </c>
      <c r="J165" s="29">
        <f>IF(I165="","",F165-I165)</f>
        <v>367.84</v>
      </c>
      <c r="K165" s="37">
        <f>IF(OR(D165="",A165=""),"",A165+IF(AND(Config!$B$17="Sim",LEFT(D165,17)="Cartão de crédito"),1,IFERROR(INDEX(Config!$C$12:$C$15,MATCH(IF(AND(D165="Cartão de crédito",N(E165)&gt;1),"Cartão de crédito parcelado",D165),Config!$A$12:$A$15,0)),0)))</f>
        <v>46288.0</v>
      </c>
      <c r="L165" s="27">
        <f>IF(A165="","",MONTH(A165))</f>
        <v>8</v>
      </c>
      <c r="M165" s="27">
        <f>IF(A165="","",YEAR(A165))</f>
        <v>2026</v>
      </c>
      <c r="N165" s="27" t="str">
        <f>IF(K165="","",IF(G165="Sim","Conferido",IF(K165&gt;Config!$B$8,"A cair","A conferir")))</f>
        <v>A cair</v>
      </c>
      <c r="O165" s="50">
        <f>IF(N165="A conferir",(Config!$B$8-K165)*1000+N(F165)/1000+ROW()/100000,0)</f>
        <v>0</v>
      </c>
    </row>
    <row r="166">
      <c r="A166" s="48" t="n">
        <v>46258</v>
      </c>
      <c r="B166" s="40" t="inlineStr">
        <is>
          <t>Carlos Fernandes</t>
        </is>
      </c>
      <c r="C166" s="40" t="inlineStr">
        <is>
          <t>ECG</t>
        </is>
      </c>
      <c r="D166" s="41" t="inlineStr">
        <is>
          <t>Cartão de crédito</t>
        </is>
      </c>
      <c r="E166" s="41" t="n"/>
      <c r="F166" s="49" t="n">
        <v>130</v>
      </c>
      <c r="G166" s="41" t="n"/>
      <c r="H166" s="30">
        <f>IF(D166="","",IFERROR(INDEX(Config!$B$12:$B$15,MATCH(IF(AND(D166="Cartão de crédito",N(E166)&gt;1),"Cartão de crédito parcelado",D166),Config!$A$12:$A$15,0)),0)+IF(AND(Config!$B$17="Sim",LEFT(D166,17)="Cartão de crédito"),Config!$B$18*IFERROR(INDEX(Config!$C$12:$C$15,MATCH(IF(AND(D166="Cartão de crédito",N(E166)&gt;1),"Cartão de crédito parcelado",D166),Config!$A$12:$A$15,0)),0)/30*MAX(1,N(E166)),0))</f>
        <v>0.032</v>
      </c>
      <c r="I166" s="29">
        <f>IF(OR(D166="",F166=""),"",ROUND(F166*H166,2))</f>
        <v>4.16</v>
      </c>
      <c r="J166" s="29">
        <f>IF(I166="","",F166-I166)</f>
        <v>125.84</v>
      </c>
      <c r="K166" s="37">
        <f>IF(OR(D166="",A166=""),"",A166+IF(AND(Config!$B$17="Sim",LEFT(D166,17)="Cartão de crédito"),1,IFERROR(INDEX(Config!$C$12:$C$15,MATCH(IF(AND(D166="Cartão de crédito",N(E166)&gt;1),"Cartão de crédito parcelado",D166),Config!$A$12:$A$15,0)),0)))</f>
        <v>46288.0</v>
      </c>
      <c r="L166" s="27">
        <f>IF(A166="","",MONTH(A166))</f>
        <v>8</v>
      </c>
      <c r="M166" s="27">
        <f>IF(A166="","",YEAR(A166))</f>
        <v>2026</v>
      </c>
      <c r="N166" s="27" t="str">
        <f>IF(K166="","",IF(G166="Sim","Conferido",IF(K166&gt;Config!$B$8,"A cair","A conferir")))</f>
        <v>A cair</v>
      </c>
      <c r="O166" s="50">
        <f>IF(N166="A conferir",(Config!$B$8-K166)*1000+N(F166)/1000+ROW()/100000,0)</f>
        <v>0</v>
      </c>
    </row>
    <row r="167">
      <c r="A167" s="48" t="n">
        <v>46258</v>
      </c>
      <c r="B167" s="40" t="inlineStr">
        <is>
          <t>Camila Freitas</t>
        </is>
      </c>
      <c r="C167" s="40" t="inlineStr">
        <is>
          <t>Consulta</t>
        </is>
      </c>
      <c r="D167" s="41" t="inlineStr">
        <is>
          <t>Pix</t>
        </is>
      </c>
      <c r="E167" s="41" t="n"/>
      <c r="F167" s="49" t="n">
        <v>380</v>
      </c>
      <c r="G167" s="41" t="inlineStr">
        <is>
          <t>Sim</t>
        </is>
      </c>
      <c r="H167" s="30">
        <f>IF(D167="","",IFERROR(INDEX(Config!$B$12:$B$15,MATCH(IF(AND(D167="Cartão de crédito",N(E167)&gt;1),"Cartão de crédito parcelado",D167),Config!$A$12:$A$15,0)),0)+IF(AND(Config!$B$17="Sim",LEFT(D167,17)="Cartão de crédito"),Config!$B$18*IFERROR(INDEX(Config!$C$12:$C$15,MATCH(IF(AND(D167="Cartão de crédito",N(E167)&gt;1),"Cartão de crédito parcelado",D167),Config!$A$12:$A$15,0)),0)/30*MAX(1,N(E167)),0))</f>
        <v>0</v>
      </c>
      <c r="I167" s="29">
        <f>IF(OR(D167="",F167=""),"",ROUND(F167*H167,2))</f>
        <v>0</v>
      </c>
      <c r="J167" s="29">
        <f>IF(I167="","",F167-I167)</f>
        <v>380</v>
      </c>
      <c r="K167" s="37">
        <f>IF(OR(D167="",A167=""),"",A167+IF(AND(Config!$B$17="Sim",LEFT(D167,17)="Cartão de crédito"),1,IFERROR(INDEX(Config!$C$12:$C$15,MATCH(IF(AND(D167="Cartão de crédito",N(E167)&gt;1),"Cartão de crédito parcelado",D167),Config!$A$12:$A$15,0)),0)))</f>
        <v>46258.0</v>
      </c>
      <c r="L167" s="27">
        <f>IF(A167="","",MONTH(A167))</f>
        <v>8</v>
      </c>
      <c r="M167" s="27">
        <f>IF(A167="","",YEAR(A167))</f>
        <v>2026</v>
      </c>
      <c r="N167" s="27" t="str">
        <f>IF(K167="","",IF(G167="Sim","Conferido",IF(K167&gt;Config!$B$8,"A cair","A conferir")))</f>
        <v>Conferido</v>
      </c>
      <c r="O167" s="50">
        <f>IF(N167="A conferir",(Config!$B$8-K167)*1000+N(F167)/1000+ROW()/100000,0)</f>
        <v>0</v>
      </c>
    </row>
    <row r="168">
      <c r="A168" s="48" t="n">
        <v>46258</v>
      </c>
      <c r="B168" s="40" t="inlineStr">
        <is>
          <t>Gabriel Oliveira</t>
        </is>
      </c>
      <c r="C168" s="40" t="inlineStr">
        <is>
          <t>Consulta</t>
        </is>
      </c>
      <c r="D168" s="41" t="inlineStr">
        <is>
          <t>Pix</t>
        </is>
      </c>
      <c r="E168" s="41" t="n"/>
      <c r="F168" s="49" t="n">
        <v>380</v>
      </c>
      <c r="G168" s="41" t="inlineStr">
        <is>
          <t>Sim</t>
        </is>
      </c>
      <c r="H168" s="30">
        <f>IF(D168="","",IFERROR(INDEX(Config!$B$12:$B$15,MATCH(IF(AND(D168="Cartão de crédito",N(E168)&gt;1),"Cartão de crédito parcelado",D168),Config!$A$12:$A$15,0)),0)+IF(AND(Config!$B$17="Sim",LEFT(D168,17)="Cartão de crédito"),Config!$B$18*IFERROR(INDEX(Config!$C$12:$C$15,MATCH(IF(AND(D168="Cartão de crédito",N(E168)&gt;1),"Cartão de crédito parcelado",D168),Config!$A$12:$A$15,0)),0)/30*MAX(1,N(E168)),0))</f>
        <v>0</v>
      </c>
      <c r="I168" s="29">
        <f>IF(OR(D168="",F168=""),"",ROUND(F168*H168,2))</f>
        <v>0</v>
      </c>
      <c r="J168" s="29">
        <f>IF(I168="","",F168-I168)</f>
        <v>380</v>
      </c>
      <c r="K168" s="37">
        <f>IF(OR(D168="",A168=""),"",A168+IF(AND(Config!$B$17="Sim",LEFT(D168,17)="Cartão de crédito"),1,IFERROR(INDEX(Config!$C$12:$C$15,MATCH(IF(AND(D168="Cartão de crédito",N(E168)&gt;1),"Cartão de crédito parcelado",D168),Config!$A$12:$A$15,0)),0)))</f>
        <v>46258.0</v>
      </c>
      <c r="L168" s="27">
        <f>IF(A168="","",MONTH(A168))</f>
        <v>8</v>
      </c>
      <c r="M168" s="27">
        <f>IF(A168="","",YEAR(A168))</f>
        <v>2026</v>
      </c>
      <c r="N168" s="27" t="str">
        <f>IF(K168="","",IF(G168="Sim","Conferido",IF(K168&gt;Config!$B$8,"A cair","A conferir")))</f>
        <v>Conferido</v>
      </c>
      <c r="O168" s="50">
        <f>IF(N168="A conferir",(Config!$B$8-K168)*1000+N(F168)/1000+ROW()/100000,0)</f>
        <v>0</v>
      </c>
    </row>
    <row r="169">
      <c r="A169" s="48" t="n">
        <v>46259</v>
      </c>
      <c r="B169" s="40" t="inlineStr">
        <is>
          <t>Larissa Costa</t>
        </is>
      </c>
      <c r="C169" s="40" t="inlineStr">
        <is>
          <t>Consulta</t>
        </is>
      </c>
      <c r="D169" s="41" t="inlineStr">
        <is>
          <t>Pix</t>
        </is>
      </c>
      <c r="E169" s="41" t="n"/>
      <c r="F169" s="49" t="n">
        <v>380</v>
      </c>
      <c r="G169" s="41" t="inlineStr">
        <is>
          <t>Sim</t>
        </is>
      </c>
      <c r="H169" s="30">
        <f>IF(D169="","",IFERROR(INDEX(Config!$B$12:$B$15,MATCH(IF(AND(D169="Cartão de crédito",N(E169)&gt;1),"Cartão de crédito parcelado",D169),Config!$A$12:$A$15,0)),0)+IF(AND(Config!$B$17="Sim",LEFT(D169,17)="Cartão de crédito"),Config!$B$18*IFERROR(INDEX(Config!$C$12:$C$15,MATCH(IF(AND(D169="Cartão de crédito",N(E169)&gt;1),"Cartão de crédito parcelado",D169),Config!$A$12:$A$15,0)),0)/30*MAX(1,N(E169)),0))</f>
        <v>0</v>
      </c>
      <c r="I169" s="29">
        <f>IF(OR(D169="",F169=""),"",ROUND(F169*H169,2))</f>
        <v>0</v>
      </c>
      <c r="J169" s="29">
        <f>IF(I169="","",F169-I169)</f>
        <v>380</v>
      </c>
      <c r="K169" s="37">
        <f>IF(OR(D169="",A169=""),"",A169+IF(AND(Config!$B$17="Sim",LEFT(D169,17)="Cartão de crédito"),1,IFERROR(INDEX(Config!$C$12:$C$15,MATCH(IF(AND(D169="Cartão de crédito",N(E169)&gt;1),"Cartão de crédito parcelado",D169),Config!$A$12:$A$15,0)),0)))</f>
        <v>46259.0</v>
      </c>
      <c r="L169" s="27">
        <f>IF(A169="","",MONTH(A169))</f>
        <v>8</v>
      </c>
      <c r="M169" s="27">
        <f>IF(A169="","",YEAR(A169))</f>
        <v>2026</v>
      </c>
      <c r="N169" s="27" t="str">
        <f>IF(K169="","",IF(G169="Sim","Conferido",IF(K169&gt;Config!$B$8,"A cair","A conferir")))</f>
        <v>Conferido</v>
      </c>
      <c r="O169" s="50">
        <f>IF(N169="A conferir",(Config!$B$8-K169)*1000+N(F169)/1000+ROW()/100000,0)</f>
        <v>0</v>
      </c>
    </row>
    <row r="170">
      <c r="A170" s="48" t="n">
        <v>46259</v>
      </c>
      <c r="B170" s="40" t="inlineStr">
        <is>
          <t>Otávio Nascimento</t>
        </is>
      </c>
      <c r="C170" s="40" t="inlineStr">
        <is>
          <t>Consulta</t>
        </is>
      </c>
      <c r="D170" s="41" t="inlineStr">
        <is>
          <t>Cartão de crédito</t>
        </is>
      </c>
      <c r="E170" s="41" t="n">
        <v>2</v>
      </c>
      <c r="F170" s="49" t="n">
        <v>380</v>
      </c>
      <c r="G170" s="41" t="n"/>
      <c r="H170" s="30">
        <f>IF(D170="","",IFERROR(INDEX(Config!$B$12:$B$15,MATCH(IF(AND(D170="Cartão de crédito",N(E170)&gt;1),"Cartão de crédito parcelado",D170),Config!$A$12:$A$15,0)),0)+IF(AND(Config!$B$17="Sim",LEFT(D170,17)="Cartão de crédito"),Config!$B$18*IFERROR(INDEX(Config!$C$12:$C$15,MATCH(IF(AND(D170="Cartão de crédito",N(E170)&gt;1),"Cartão de crédito parcelado",D170),Config!$A$12:$A$15,0)),0)/30*MAX(1,N(E170)),0))</f>
        <v>0.039</v>
      </c>
      <c r="I170" s="29">
        <f>IF(OR(D170="",F170=""),"",ROUND(F170*H170,2))</f>
        <v>14.82</v>
      </c>
      <c r="J170" s="29">
        <f>IF(I170="","",F170-I170)</f>
        <v>365.18</v>
      </c>
      <c r="K170" s="37">
        <f>IF(OR(D170="",A170=""),"",A170+IF(AND(Config!$B$17="Sim",LEFT(D170,17)="Cartão de crédito"),1,IFERROR(INDEX(Config!$C$12:$C$15,MATCH(IF(AND(D170="Cartão de crédito",N(E170)&gt;1),"Cartão de crédito parcelado",D170),Config!$A$12:$A$15,0)),0)))</f>
        <v>46289.0</v>
      </c>
      <c r="L170" s="27">
        <f>IF(A170="","",MONTH(A170))</f>
        <v>8</v>
      </c>
      <c r="M170" s="27">
        <f>IF(A170="","",YEAR(A170))</f>
        <v>2026</v>
      </c>
      <c r="N170" s="27" t="str">
        <f>IF(K170="","",IF(G170="Sim","Conferido",IF(K170&gt;Config!$B$8,"A cair","A conferir")))</f>
        <v>A cair</v>
      </c>
      <c r="O170" s="50">
        <f>IF(N170="A conferir",(Config!$B$8-K170)*1000+N(F170)/1000+ROW()/100000,0)</f>
        <v>0</v>
      </c>
    </row>
    <row r="171">
      <c r="A171" s="48" t="n">
        <v>46259</v>
      </c>
      <c r="B171" s="40" t="inlineStr">
        <is>
          <t>Mônica Almeida</t>
        </is>
      </c>
      <c r="C171" s="40" t="inlineStr">
        <is>
          <t>Avaliação endócrina</t>
        </is>
      </c>
      <c r="D171" s="41" t="inlineStr">
        <is>
          <t>Cartão de crédito</t>
        </is>
      </c>
      <c r="E171" s="41" t="n">
        <v>2</v>
      </c>
      <c r="F171" s="49" t="n">
        <v>400</v>
      </c>
      <c r="G171" s="41" t="n"/>
      <c r="H171" s="30">
        <f>IF(D171="","",IFERROR(INDEX(Config!$B$12:$B$15,MATCH(IF(AND(D171="Cartão de crédito",N(E171)&gt;1),"Cartão de crédito parcelado",D171),Config!$A$12:$A$15,0)),0)+IF(AND(Config!$B$17="Sim",LEFT(D171,17)="Cartão de crédito"),Config!$B$18*IFERROR(INDEX(Config!$C$12:$C$15,MATCH(IF(AND(D171="Cartão de crédito",N(E171)&gt;1),"Cartão de crédito parcelado",D171),Config!$A$12:$A$15,0)),0)/30*MAX(1,N(E171)),0))</f>
        <v>0.039</v>
      </c>
      <c r="I171" s="29">
        <f>IF(OR(D171="",F171=""),"",ROUND(F171*H171,2))</f>
        <v>15.6</v>
      </c>
      <c r="J171" s="29">
        <f>IF(I171="","",F171-I171)</f>
        <v>384.4</v>
      </c>
      <c r="K171" s="37">
        <f>IF(OR(D171="",A171=""),"",A171+IF(AND(Config!$B$17="Sim",LEFT(D171,17)="Cartão de crédito"),1,IFERROR(INDEX(Config!$C$12:$C$15,MATCH(IF(AND(D171="Cartão de crédito",N(E171)&gt;1),"Cartão de crédito parcelado",D171),Config!$A$12:$A$15,0)),0)))</f>
        <v>46289.0</v>
      </c>
      <c r="L171" s="27">
        <f>IF(A171="","",MONTH(A171))</f>
        <v>8</v>
      </c>
      <c r="M171" s="27">
        <f>IF(A171="","",YEAR(A171))</f>
        <v>2026</v>
      </c>
      <c r="N171" s="27" t="str">
        <f>IF(K171="","",IF(G171="Sim","Conferido",IF(K171&gt;Config!$B$8,"A cair","A conferir")))</f>
        <v>A cair</v>
      </c>
      <c r="O171" s="50">
        <f>IF(N171="A conferir",(Config!$B$8-K171)*1000+N(F171)/1000+ROW()/100000,0)</f>
        <v>0</v>
      </c>
    </row>
    <row r="172">
      <c r="A172" s="48" t="n">
        <v>46259</v>
      </c>
      <c r="B172" s="40" t="inlineStr">
        <is>
          <t>Lucas Cardoso</t>
        </is>
      </c>
      <c r="C172" s="40" t="inlineStr">
        <is>
          <t>Consulta</t>
        </is>
      </c>
      <c r="D172" s="41" t="inlineStr">
        <is>
          <t>Pix</t>
        </is>
      </c>
      <c r="E172" s="41" t="n"/>
      <c r="F172" s="49" t="n">
        <v>380</v>
      </c>
      <c r="G172" s="41" t="inlineStr">
        <is>
          <t>Sim</t>
        </is>
      </c>
      <c r="H172" s="30">
        <f>IF(D172="","",IFERROR(INDEX(Config!$B$12:$B$15,MATCH(IF(AND(D172="Cartão de crédito",N(E172)&gt;1),"Cartão de crédito parcelado",D172),Config!$A$12:$A$15,0)),0)+IF(AND(Config!$B$17="Sim",LEFT(D172,17)="Cartão de crédito"),Config!$B$18*IFERROR(INDEX(Config!$C$12:$C$15,MATCH(IF(AND(D172="Cartão de crédito",N(E172)&gt;1),"Cartão de crédito parcelado",D172),Config!$A$12:$A$15,0)),0)/30*MAX(1,N(E172)),0))</f>
        <v>0</v>
      </c>
      <c r="I172" s="29">
        <f>IF(OR(D172="",F172=""),"",ROUND(F172*H172,2))</f>
        <v>0</v>
      </c>
      <c r="J172" s="29">
        <f>IF(I172="","",F172-I172)</f>
        <v>380</v>
      </c>
      <c r="K172" s="37">
        <f>IF(OR(D172="",A172=""),"",A172+IF(AND(Config!$B$17="Sim",LEFT(D172,17)="Cartão de crédito"),1,IFERROR(INDEX(Config!$C$12:$C$15,MATCH(IF(AND(D172="Cartão de crédito",N(E172)&gt;1),"Cartão de crédito parcelado",D172),Config!$A$12:$A$15,0)),0)))</f>
        <v>46259.0</v>
      </c>
      <c r="L172" s="27">
        <f>IF(A172="","",MONTH(A172))</f>
        <v>8</v>
      </c>
      <c r="M172" s="27">
        <f>IF(A172="","",YEAR(A172))</f>
        <v>2026</v>
      </c>
      <c r="N172" s="27" t="str">
        <f>IF(K172="","",IF(G172="Sim","Conferido",IF(K172&gt;Config!$B$8,"A cair","A conferir")))</f>
        <v>Conferido</v>
      </c>
      <c r="O172" s="50">
        <f>IF(N172="A conferir",(Config!$B$8-K172)*1000+N(F172)/1000+ROW()/100000,0)</f>
        <v>0</v>
      </c>
    </row>
    <row r="173">
      <c r="A173" s="48" t="n">
        <v>46259</v>
      </c>
      <c r="B173" s="40" t="inlineStr">
        <is>
          <t>Roberta Araújo</t>
        </is>
      </c>
      <c r="C173" s="40" t="inlineStr">
        <is>
          <t>Holter</t>
        </is>
      </c>
      <c r="D173" s="41" t="inlineStr">
        <is>
          <t>Cartão de crédito</t>
        </is>
      </c>
      <c r="E173" s="41" t="n"/>
      <c r="F173" s="49" t="n">
        <v>350</v>
      </c>
      <c r="G173" s="41" t="n"/>
      <c r="H173" s="30">
        <f>IF(D173="","",IFERROR(INDEX(Config!$B$12:$B$15,MATCH(IF(AND(D173="Cartão de crédito",N(E173)&gt;1),"Cartão de crédito parcelado",D173),Config!$A$12:$A$15,0)),0)+IF(AND(Config!$B$17="Sim",LEFT(D173,17)="Cartão de crédito"),Config!$B$18*IFERROR(INDEX(Config!$C$12:$C$15,MATCH(IF(AND(D173="Cartão de crédito",N(E173)&gt;1),"Cartão de crédito parcelado",D173),Config!$A$12:$A$15,0)),0)/30*MAX(1,N(E173)),0))</f>
        <v>0.032</v>
      </c>
      <c r="I173" s="29">
        <f>IF(OR(D173="",F173=""),"",ROUND(F173*H173,2))</f>
        <v>11.2</v>
      </c>
      <c r="J173" s="29">
        <f>IF(I173="","",F173-I173)</f>
        <v>338.8</v>
      </c>
      <c r="K173" s="37">
        <f>IF(OR(D173="",A173=""),"",A173+IF(AND(Config!$B$17="Sim",LEFT(D173,17)="Cartão de crédito"),1,IFERROR(INDEX(Config!$C$12:$C$15,MATCH(IF(AND(D173="Cartão de crédito",N(E173)&gt;1),"Cartão de crédito parcelado",D173),Config!$A$12:$A$15,0)),0)))</f>
        <v>46289.0</v>
      </c>
      <c r="L173" s="27">
        <f>IF(A173="","",MONTH(A173))</f>
        <v>8</v>
      </c>
      <c r="M173" s="27">
        <f>IF(A173="","",YEAR(A173))</f>
        <v>2026</v>
      </c>
      <c r="N173" s="27" t="str">
        <f>IF(K173="","",IF(G173="Sim","Conferido",IF(K173&gt;Config!$B$8,"A cair","A conferir")))</f>
        <v>A cair</v>
      </c>
      <c r="O173" s="50">
        <f>IF(N173="A conferir",(Config!$B$8-K173)*1000+N(F173)/1000+ROW()/100000,0)</f>
        <v>0</v>
      </c>
    </row>
    <row r="174">
      <c r="A174" s="48" t="n">
        <v>46259</v>
      </c>
      <c r="B174" s="40" t="inlineStr">
        <is>
          <t>Rafael Barros</t>
        </is>
      </c>
      <c r="C174" s="40" t="inlineStr">
        <is>
          <t>Consulta</t>
        </is>
      </c>
      <c r="D174" s="41" t="inlineStr">
        <is>
          <t>Cartão de crédito</t>
        </is>
      </c>
      <c r="E174" s="41" t="n">
        <v>2</v>
      </c>
      <c r="F174" s="49" t="n">
        <v>380</v>
      </c>
      <c r="G174" s="41" t="n"/>
      <c r="H174" s="30">
        <f>IF(D174="","",IFERROR(INDEX(Config!$B$12:$B$15,MATCH(IF(AND(D174="Cartão de crédito",N(E174)&gt;1),"Cartão de crédito parcelado",D174),Config!$A$12:$A$15,0)),0)+IF(AND(Config!$B$17="Sim",LEFT(D174,17)="Cartão de crédito"),Config!$B$18*IFERROR(INDEX(Config!$C$12:$C$15,MATCH(IF(AND(D174="Cartão de crédito",N(E174)&gt;1),"Cartão de crédito parcelado",D174),Config!$A$12:$A$15,0)),0)/30*MAX(1,N(E174)),0))</f>
        <v>0.039</v>
      </c>
      <c r="I174" s="29">
        <f>IF(OR(D174="",F174=""),"",ROUND(F174*H174,2))</f>
        <v>14.82</v>
      </c>
      <c r="J174" s="29">
        <f>IF(I174="","",F174-I174)</f>
        <v>365.18</v>
      </c>
      <c r="K174" s="37">
        <f>IF(OR(D174="",A174=""),"",A174+IF(AND(Config!$B$17="Sim",LEFT(D174,17)="Cartão de crédito"),1,IFERROR(INDEX(Config!$C$12:$C$15,MATCH(IF(AND(D174="Cartão de crédito",N(E174)&gt;1),"Cartão de crédito parcelado",D174),Config!$A$12:$A$15,0)),0)))</f>
        <v>46289.0</v>
      </c>
      <c r="L174" s="27">
        <f>IF(A174="","",MONTH(A174))</f>
        <v>8</v>
      </c>
      <c r="M174" s="27">
        <f>IF(A174="","",YEAR(A174))</f>
        <v>2026</v>
      </c>
      <c r="N174" s="27" t="str">
        <f>IF(K174="","",IF(G174="Sim","Conferido",IF(K174&gt;Config!$B$8,"A cair","A conferir")))</f>
        <v>A cair</v>
      </c>
      <c r="O174" s="50">
        <f>IF(N174="A conferir",(Config!$B$8-K174)*1000+N(F174)/1000+ROW()/100000,0)</f>
        <v>0</v>
      </c>
    </row>
    <row r="175">
      <c r="A175" s="48" t="n">
        <v>46259</v>
      </c>
      <c r="B175" s="40" t="inlineStr">
        <is>
          <t>Cláudia Melo</t>
        </is>
      </c>
      <c r="C175" s="40" t="inlineStr">
        <is>
          <t>Avaliação endócrina</t>
        </is>
      </c>
      <c r="D175" s="41" t="inlineStr">
        <is>
          <t>Cartão de débito</t>
        </is>
      </c>
      <c r="E175" s="41" t="n"/>
      <c r="F175" s="49" t="n">
        <v>400</v>
      </c>
      <c r="G175" s="41" t="inlineStr">
        <is>
          <t>Sim</t>
        </is>
      </c>
      <c r="H175" s="30">
        <f>IF(D175="","",IFERROR(INDEX(Config!$B$12:$B$15,MATCH(IF(AND(D175="Cartão de crédito",N(E175)&gt;1),"Cartão de crédito parcelado",D175),Config!$A$12:$A$15,0)),0)+IF(AND(Config!$B$17="Sim",LEFT(D175,17)="Cartão de crédito"),Config!$B$18*IFERROR(INDEX(Config!$C$12:$C$15,MATCH(IF(AND(D175="Cartão de crédito",N(E175)&gt;1),"Cartão de crédito parcelado",D175),Config!$A$12:$A$15,0)),0)/30*MAX(1,N(E175)),0))</f>
        <v>0.015</v>
      </c>
      <c r="I175" s="29">
        <f>IF(OR(D175="",F175=""),"",ROUND(F175*H175,2))</f>
        <v>6</v>
      </c>
      <c r="J175" s="29">
        <f>IF(I175="","",F175-I175)</f>
        <v>394</v>
      </c>
      <c r="K175" s="37">
        <f>IF(OR(D175="",A175=""),"",A175+IF(AND(Config!$B$17="Sim",LEFT(D175,17)="Cartão de crédito"),1,IFERROR(INDEX(Config!$C$12:$C$15,MATCH(IF(AND(D175="Cartão de crédito",N(E175)&gt;1),"Cartão de crédito parcelado",D175),Config!$A$12:$A$15,0)),0)))</f>
        <v>46260.0</v>
      </c>
      <c r="L175" s="27">
        <f>IF(A175="","",MONTH(A175))</f>
        <v>8</v>
      </c>
      <c r="M175" s="27">
        <f>IF(A175="","",YEAR(A175))</f>
        <v>2026</v>
      </c>
      <c r="N175" s="27" t="str">
        <f>IF(K175="","",IF(G175="Sim","Conferido",IF(K175&gt;Config!$B$8,"A cair","A conferir")))</f>
        <v>Conferido</v>
      </c>
      <c r="O175" s="50">
        <f>IF(N175="A conferir",(Config!$B$8-K175)*1000+N(F175)/1000+ROW()/100000,0)</f>
        <v>0</v>
      </c>
    </row>
    <row r="176">
      <c r="A176" s="48" t="n">
        <v>46259</v>
      </c>
      <c r="B176" s="40" t="inlineStr">
        <is>
          <t>Paulo Reis</t>
        </is>
      </c>
      <c r="C176" s="40" t="inlineStr">
        <is>
          <t>Holter</t>
        </is>
      </c>
      <c r="D176" s="41" t="inlineStr">
        <is>
          <t>Cartão de crédito</t>
        </is>
      </c>
      <c r="E176" s="41" t="n">
        <v>2</v>
      </c>
      <c r="F176" s="49" t="n">
        <v>350</v>
      </c>
      <c r="G176" s="41" t="n"/>
      <c r="H176" s="30">
        <f>IF(D176="","",IFERROR(INDEX(Config!$B$12:$B$15,MATCH(IF(AND(D176="Cartão de crédito",N(E176)&gt;1),"Cartão de crédito parcelado",D176),Config!$A$12:$A$15,0)),0)+IF(AND(Config!$B$17="Sim",LEFT(D176,17)="Cartão de crédito"),Config!$B$18*IFERROR(INDEX(Config!$C$12:$C$15,MATCH(IF(AND(D176="Cartão de crédito",N(E176)&gt;1),"Cartão de crédito parcelado",D176),Config!$A$12:$A$15,0)),0)/30*MAX(1,N(E176)),0))</f>
        <v>0.039</v>
      </c>
      <c r="I176" s="29">
        <f>IF(OR(D176="",F176=""),"",ROUND(F176*H176,2))</f>
        <v>13.65</v>
      </c>
      <c r="J176" s="29">
        <f>IF(I176="","",F176-I176)</f>
        <v>336.35</v>
      </c>
      <c r="K176" s="37">
        <f>IF(OR(D176="",A176=""),"",A176+IF(AND(Config!$B$17="Sim",LEFT(D176,17)="Cartão de crédito"),1,IFERROR(INDEX(Config!$C$12:$C$15,MATCH(IF(AND(D176="Cartão de crédito",N(E176)&gt;1),"Cartão de crédito parcelado",D176),Config!$A$12:$A$15,0)),0)))</f>
        <v>46289.0</v>
      </c>
      <c r="L176" s="27">
        <f>IF(A176="","",MONTH(A176))</f>
        <v>8</v>
      </c>
      <c r="M176" s="27">
        <f>IF(A176="","",YEAR(A176))</f>
        <v>2026</v>
      </c>
      <c r="N176" s="27" t="str">
        <f>IF(K176="","",IF(G176="Sim","Conferido",IF(K176&gt;Config!$B$8,"A cair","A conferir")))</f>
        <v>A cair</v>
      </c>
      <c r="O176" s="50">
        <f>IF(N176="A conferir",(Config!$B$8-K176)*1000+N(F176)/1000+ROW()/100000,0)</f>
        <v>0</v>
      </c>
    </row>
    <row r="177">
      <c r="A177" s="48" t="n">
        <v>46260</v>
      </c>
      <c r="B177" s="40" t="inlineStr">
        <is>
          <t>Helena Moreira</t>
        </is>
      </c>
      <c r="C177" s="40" t="inlineStr">
        <is>
          <t>Consulta</t>
        </is>
      </c>
      <c r="D177" s="41" t="inlineStr">
        <is>
          <t>Cartão de débito</t>
        </is>
      </c>
      <c r="E177" s="41" t="n"/>
      <c r="F177" s="49" t="n">
        <v>380</v>
      </c>
      <c r="G177" s="41" t="inlineStr">
        <is>
          <t>Sim</t>
        </is>
      </c>
      <c r="H177" s="30">
        <f>IF(D177="","",IFERROR(INDEX(Config!$B$12:$B$15,MATCH(IF(AND(D177="Cartão de crédito",N(E177)&gt;1),"Cartão de crédito parcelado",D177),Config!$A$12:$A$15,0)),0)+IF(AND(Config!$B$17="Sim",LEFT(D177,17)="Cartão de crédito"),Config!$B$18*IFERROR(INDEX(Config!$C$12:$C$15,MATCH(IF(AND(D177="Cartão de crédito",N(E177)&gt;1),"Cartão de crédito parcelado",D177),Config!$A$12:$A$15,0)),0)/30*MAX(1,N(E177)),0))</f>
        <v>0.015</v>
      </c>
      <c r="I177" s="29">
        <f>IF(OR(D177="",F177=""),"",ROUND(F177*H177,2))</f>
        <v>5.7</v>
      </c>
      <c r="J177" s="29">
        <f>IF(I177="","",F177-I177)</f>
        <v>374.3</v>
      </c>
      <c r="K177" s="37">
        <f>IF(OR(D177="",A177=""),"",A177+IF(AND(Config!$B$17="Sim",LEFT(D177,17)="Cartão de crédito"),1,IFERROR(INDEX(Config!$C$12:$C$15,MATCH(IF(AND(D177="Cartão de crédito",N(E177)&gt;1),"Cartão de crédito parcelado",D177),Config!$A$12:$A$15,0)),0)))</f>
        <v>46261.0</v>
      </c>
      <c r="L177" s="27">
        <f>IF(A177="","",MONTH(A177))</f>
        <v>8</v>
      </c>
      <c r="M177" s="27">
        <f>IF(A177="","",YEAR(A177))</f>
        <v>2026</v>
      </c>
      <c r="N177" s="27" t="str">
        <f>IF(K177="","",IF(G177="Sim","Conferido",IF(K177&gt;Config!$B$8,"A cair","A conferir")))</f>
        <v>Conferido</v>
      </c>
      <c r="O177" s="50">
        <f>IF(N177="A conferir",(Config!$B$8-K177)*1000+N(F177)/1000+ROW()/100000,0)</f>
        <v>0</v>
      </c>
    </row>
    <row r="178">
      <c r="A178" s="48" t="n">
        <v>46260</v>
      </c>
      <c r="B178" s="40" t="inlineStr">
        <is>
          <t>Rodrigo Moreira</t>
        </is>
      </c>
      <c r="C178" s="40" t="inlineStr">
        <is>
          <t>Consulta</t>
        </is>
      </c>
      <c r="D178" s="41" t="inlineStr">
        <is>
          <t>Pix</t>
        </is>
      </c>
      <c r="E178" s="41" t="n"/>
      <c r="F178" s="49" t="n">
        <v>380</v>
      </c>
      <c r="G178" s="41" t="inlineStr">
        <is>
          <t>Sim</t>
        </is>
      </c>
      <c r="H178" s="30">
        <f>IF(D178="","",IFERROR(INDEX(Config!$B$12:$B$15,MATCH(IF(AND(D178="Cartão de crédito",N(E178)&gt;1),"Cartão de crédito parcelado",D178),Config!$A$12:$A$15,0)),0)+IF(AND(Config!$B$17="Sim",LEFT(D178,17)="Cartão de crédito"),Config!$B$18*IFERROR(INDEX(Config!$C$12:$C$15,MATCH(IF(AND(D178="Cartão de crédito",N(E178)&gt;1),"Cartão de crédito parcelado",D178),Config!$A$12:$A$15,0)),0)/30*MAX(1,N(E178)),0))</f>
        <v>0</v>
      </c>
      <c r="I178" s="29">
        <f>IF(OR(D178="",F178=""),"",ROUND(F178*H178,2))</f>
        <v>0</v>
      </c>
      <c r="J178" s="29">
        <f>IF(I178="","",F178-I178)</f>
        <v>380</v>
      </c>
      <c r="K178" s="37">
        <f>IF(OR(D178="",A178=""),"",A178+IF(AND(Config!$B$17="Sim",LEFT(D178,17)="Cartão de crédito"),1,IFERROR(INDEX(Config!$C$12:$C$15,MATCH(IF(AND(D178="Cartão de crédito",N(E178)&gt;1),"Cartão de crédito parcelado",D178),Config!$A$12:$A$15,0)),0)))</f>
        <v>46260.0</v>
      </c>
      <c r="L178" s="27">
        <f>IF(A178="","",MONTH(A178))</f>
        <v>8</v>
      </c>
      <c r="M178" s="27">
        <f>IF(A178="","",YEAR(A178))</f>
        <v>2026</v>
      </c>
      <c r="N178" s="27" t="str">
        <f>IF(K178="","",IF(G178="Sim","Conferido",IF(K178&gt;Config!$B$8,"A cair","A conferir")))</f>
        <v>Conferido</v>
      </c>
      <c r="O178" s="50">
        <f>IF(N178="A conferir",(Config!$B$8-K178)*1000+N(F178)/1000+ROW()/100000,0)</f>
        <v>0</v>
      </c>
    </row>
    <row r="179">
      <c r="A179" s="48" t="n">
        <v>46260</v>
      </c>
      <c r="B179" s="40" t="inlineStr">
        <is>
          <t>Rafael Dias</t>
        </is>
      </c>
      <c r="C179" s="40" t="inlineStr">
        <is>
          <t>Consulta</t>
        </is>
      </c>
      <c r="D179" s="41" t="inlineStr">
        <is>
          <t>Pix</t>
        </is>
      </c>
      <c r="E179" s="41" t="n"/>
      <c r="F179" s="49" t="n">
        <v>380</v>
      </c>
      <c r="G179" s="41" t="inlineStr">
        <is>
          <t>Sim</t>
        </is>
      </c>
      <c r="H179" s="30">
        <f>IF(D179="","",IFERROR(INDEX(Config!$B$12:$B$15,MATCH(IF(AND(D179="Cartão de crédito",N(E179)&gt;1),"Cartão de crédito parcelado",D179),Config!$A$12:$A$15,0)),0)+IF(AND(Config!$B$17="Sim",LEFT(D179,17)="Cartão de crédito"),Config!$B$18*IFERROR(INDEX(Config!$C$12:$C$15,MATCH(IF(AND(D179="Cartão de crédito",N(E179)&gt;1),"Cartão de crédito parcelado",D179),Config!$A$12:$A$15,0)),0)/30*MAX(1,N(E179)),0))</f>
        <v>0</v>
      </c>
      <c r="I179" s="29">
        <f>IF(OR(D179="",F179=""),"",ROUND(F179*H179,2))</f>
        <v>0</v>
      </c>
      <c r="J179" s="29">
        <f>IF(I179="","",F179-I179)</f>
        <v>380</v>
      </c>
      <c r="K179" s="37">
        <f>IF(OR(D179="",A179=""),"",A179+IF(AND(Config!$B$17="Sim",LEFT(D179,17)="Cartão de crédito"),1,IFERROR(INDEX(Config!$C$12:$C$15,MATCH(IF(AND(D179="Cartão de crédito",N(E179)&gt;1),"Cartão de crédito parcelado",D179),Config!$A$12:$A$15,0)),0)))</f>
        <v>46260.0</v>
      </c>
      <c r="L179" s="27">
        <f>IF(A179="","",MONTH(A179))</f>
        <v>8</v>
      </c>
      <c r="M179" s="27">
        <f>IF(A179="","",YEAR(A179))</f>
        <v>2026</v>
      </c>
      <c r="N179" s="27" t="str">
        <f>IF(K179="","",IF(G179="Sim","Conferido",IF(K179&gt;Config!$B$8,"A cair","A conferir")))</f>
        <v>Conferido</v>
      </c>
      <c r="O179" s="50">
        <f>IF(N179="A conferir",(Config!$B$8-K179)*1000+N(F179)/1000+ROW()/100000,0)</f>
        <v>0</v>
      </c>
    </row>
    <row r="180">
      <c r="A180" s="48" t="n">
        <v>46261</v>
      </c>
      <c r="B180" s="40" t="inlineStr">
        <is>
          <t>Regina Duarte</t>
        </is>
      </c>
      <c r="C180" s="40" t="inlineStr">
        <is>
          <t>Consulta</t>
        </is>
      </c>
      <c r="D180" s="41" t="inlineStr">
        <is>
          <t>Cartão de débito</t>
        </is>
      </c>
      <c r="E180" s="41" t="n"/>
      <c r="F180" s="49" t="n">
        <v>380</v>
      </c>
      <c r="G180" s="41" t="inlineStr">
        <is>
          <t>Sim</t>
        </is>
      </c>
      <c r="H180" s="30">
        <f>IF(D180="","",IFERROR(INDEX(Config!$B$12:$B$15,MATCH(IF(AND(D180="Cartão de crédito",N(E180)&gt;1),"Cartão de crédito parcelado",D180),Config!$A$12:$A$15,0)),0)+IF(AND(Config!$B$17="Sim",LEFT(D180,17)="Cartão de crédito"),Config!$B$18*IFERROR(INDEX(Config!$C$12:$C$15,MATCH(IF(AND(D180="Cartão de crédito",N(E180)&gt;1),"Cartão de crédito parcelado",D180),Config!$A$12:$A$15,0)),0)/30*MAX(1,N(E180)),0))</f>
        <v>0.015</v>
      </c>
      <c r="I180" s="29">
        <f>IF(OR(D180="",F180=""),"",ROUND(F180*H180,2))</f>
        <v>5.7</v>
      </c>
      <c r="J180" s="29">
        <f>IF(I180="","",F180-I180)</f>
        <v>374.3</v>
      </c>
      <c r="K180" s="37">
        <f>IF(OR(D180="",A180=""),"",A180+IF(AND(Config!$B$17="Sim",LEFT(D180,17)="Cartão de crédito"),1,IFERROR(INDEX(Config!$C$12:$C$15,MATCH(IF(AND(D180="Cartão de crédito",N(E180)&gt;1),"Cartão de crédito parcelado",D180),Config!$A$12:$A$15,0)),0)))</f>
        <v>46262.0</v>
      </c>
      <c r="L180" s="27">
        <f>IF(A180="","",MONTH(A180))</f>
        <v>8</v>
      </c>
      <c r="M180" s="27">
        <f>IF(A180="","",YEAR(A180))</f>
        <v>2026</v>
      </c>
      <c r="N180" s="27" t="str">
        <f>IF(K180="","",IF(G180="Sim","Conferido",IF(K180&gt;Config!$B$8,"A cair","A conferir")))</f>
        <v>Conferido</v>
      </c>
      <c r="O180" s="50">
        <f>IF(N180="A conferir",(Config!$B$8-K180)*1000+N(F180)/1000+ROW()/100000,0)</f>
        <v>0</v>
      </c>
    </row>
    <row r="181">
      <c r="A181" s="48" t="n">
        <v>46261</v>
      </c>
      <c r="B181" s="40" t="inlineStr">
        <is>
          <t>Gisele Xavier</t>
        </is>
      </c>
      <c r="C181" s="40" t="inlineStr">
        <is>
          <t>Consulta</t>
        </is>
      </c>
      <c r="D181" s="41" t="inlineStr">
        <is>
          <t>Cartão de crédito</t>
        </is>
      </c>
      <c r="E181" s="41" t="n"/>
      <c r="F181" s="49" t="n">
        <v>380</v>
      </c>
      <c r="G181" s="41" t="n"/>
      <c r="H181" s="30">
        <f>IF(D181="","",IFERROR(INDEX(Config!$B$12:$B$15,MATCH(IF(AND(D181="Cartão de crédito",N(E181)&gt;1),"Cartão de crédito parcelado",D181),Config!$A$12:$A$15,0)),0)+IF(AND(Config!$B$17="Sim",LEFT(D181,17)="Cartão de crédito"),Config!$B$18*IFERROR(INDEX(Config!$C$12:$C$15,MATCH(IF(AND(D181="Cartão de crédito",N(E181)&gt;1),"Cartão de crédito parcelado",D181),Config!$A$12:$A$15,0)),0)/30*MAX(1,N(E181)),0))</f>
        <v>0.032</v>
      </c>
      <c r="I181" s="29">
        <f>IF(OR(D181="",F181=""),"",ROUND(F181*H181,2))</f>
        <v>12.16</v>
      </c>
      <c r="J181" s="29">
        <f>IF(I181="","",F181-I181)</f>
        <v>367.84</v>
      </c>
      <c r="K181" s="37">
        <f>IF(OR(D181="",A181=""),"",A181+IF(AND(Config!$B$17="Sim",LEFT(D181,17)="Cartão de crédito"),1,IFERROR(INDEX(Config!$C$12:$C$15,MATCH(IF(AND(D181="Cartão de crédito",N(E181)&gt;1),"Cartão de crédito parcelado",D181),Config!$A$12:$A$15,0)),0)))</f>
        <v>46291.0</v>
      </c>
      <c r="L181" s="27">
        <f>IF(A181="","",MONTH(A181))</f>
        <v>8</v>
      </c>
      <c r="M181" s="27">
        <f>IF(A181="","",YEAR(A181))</f>
        <v>2026</v>
      </c>
      <c r="N181" s="27" t="str">
        <f>IF(K181="","",IF(G181="Sim","Conferido",IF(K181&gt;Config!$B$8,"A cair","A conferir")))</f>
        <v>A cair</v>
      </c>
      <c r="O181" s="50">
        <f>IF(N181="A conferir",(Config!$B$8-K181)*1000+N(F181)/1000+ROW()/100000,0)</f>
        <v>0</v>
      </c>
    </row>
    <row r="182">
      <c r="A182" s="48" t="n">
        <v>46261</v>
      </c>
      <c r="B182" s="40" t="inlineStr">
        <is>
          <t>Marcelo Santos</t>
        </is>
      </c>
      <c r="C182" s="40" t="inlineStr">
        <is>
          <t>Consulta</t>
        </is>
      </c>
      <c r="D182" s="41" t="inlineStr">
        <is>
          <t>Cartão de crédito</t>
        </is>
      </c>
      <c r="E182" s="41" t="n"/>
      <c r="F182" s="49" t="n">
        <v>380</v>
      </c>
      <c r="G182" s="41" t="n"/>
      <c r="H182" s="30">
        <f>IF(D182="","",IFERROR(INDEX(Config!$B$12:$B$15,MATCH(IF(AND(D182="Cartão de crédito",N(E182)&gt;1),"Cartão de crédito parcelado",D182),Config!$A$12:$A$15,0)),0)+IF(AND(Config!$B$17="Sim",LEFT(D182,17)="Cartão de crédito"),Config!$B$18*IFERROR(INDEX(Config!$C$12:$C$15,MATCH(IF(AND(D182="Cartão de crédito",N(E182)&gt;1),"Cartão de crédito parcelado",D182),Config!$A$12:$A$15,0)),0)/30*MAX(1,N(E182)),0))</f>
        <v>0.032</v>
      </c>
      <c r="I182" s="29">
        <f>IF(OR(D182="",F182=""),"",ROUND(F182*H182,2))</f>
        <v>12.16</v>
      </c>
      <c r="J182" s="29">
        <f>IF(I182="","",F182-I182)</f>
        <v>367.84</v>
      </c>
      <c r="K182" s="37">
        <f>IF(OR(D182="",A182=""),"",A182+IF(AND(Config!$B$17="Sim",LEFT(D182,17)="Cartão de crédito"),1,IFERROR(INDEX(Config!$C$12:$C$15,MATCH(IF(AND(D182="Cartão de crédito",N(E182)&gt;1),"Cartão de crédito parcelado",D182),Config!$A$12:$A$15,0)),0)))</f>
        <v>46291.0</v>
      </c>
      <c r="L182" s="27">
        <f>IF(A182="","",MONTH(A182))</f>
        <v>8</v>
      </c>
      <c r="M182" s="27">
        <f>IF(A182="","",YEAR(A182))</f>
        <v>2026</v>
      </c>
      <c r="N182" s="27" t="str">
        <f>IF(K182="","",IF(G182="Sim","Conferido",IF(K182&gt;Config!$B$8,"A cair","A conferir")))</f>
        <v>A cair</v>
      </c>
      <c r="O182" s="50">
        <f>IF(N182="A conferir",(Config!$B$8-K182)*1000+N(F182)/1000+ROW()/100000,0)</f>
        <v>0</v>
      </c>
    </row>
    <row r="183">
      <c r="A183" s="48" t="n">
        <v>46261</v>
      </c>
      <c r="B183" s="40" t="inlineStr">
        <is>
          <t>Priscila Reis</t>
        </is>
      </c>
      <c r="C183" s="40" t="inlineStr">
        <is>
          <t>Avaliação endócrina</t>
        </is>
      </c>
      <c r="D183" s="41" t="inlineStr">
        <is>
          <t>Cartão de débito</t>
        </is>
      </c>
      <c r="E183" s="41" t="n"/>
      <c r="F183" s="49" t="n">
        <v>400</v>
      </c>
      <c r="G183" s="41" t="inlineStr">
        <is>
          <t>Sim</t>
        </is>
      </c>
      <c r="H183" s="30">
        <f>IF(D183="","",IFERROR(INDEX(Config!$B$12:$B$15,MATCH(IF(AND(D183="Cartão de crédito",N(E183)&gt;1),"Cartão de crédito parcelado",D183),Config!$A$12:$A$15,0)),0)+IF(AND(Config!$B$17="Sim",LEFT(D183,17)="Cartão de crédito"),Config!$B$18*IFERROR(INDEX(Config!$C$12:$C$15,MATCH(IF(AND(D183="Cartão de crédito",N(E183)&gt;1),"Cartão de crédito parcelado",D183),Config!$A$12:$A$15,0)),0)/30*MAX(1,N(E183)),0))</f>
        <v>0.015</v>
      </c>
      <c r="I183" s="29">
        <f>IF(OR(D183="",F183=""),"",ROUND(F183*H183,2))</f>
        <v>6</v>
      </c>
      <c r="J183" s="29">
        <f>IF(I183="","",F183-I183)</f>
        <v>394</v>
      </c>
      <c r="K183" s="37">
        <f>IF(OR(D183="",A183=""),"",A183+IF(AND(Config!$B$17="Sim",LEFT(D183,17)="Cartão de crédito"),1,IFERROR(INDEX(Config!$C$12:$C$15,MATCH(IF(AND(D183="Cartão de crédito",N(E183)&gt;1),"Cartão de crédito parcelado",D183),Config!$A$12:$A$15,0)),0)))</f>
        <v>46262.0</v>
      </c>
      <c r="L183" s="27">
        <f>IF(A183="","",MONTH(A183))</f>
        <v>8</v>
      </c>
      <c r="M183" s="27">
        <f>IF(A183="","",YEAR(A183))</f>
        <v>2026</v>
      </c>
      <c r="N183" s="27" t="str">
        <f>IF(K183="","",IF(G183="Sim","Conferido",IF(K183&gt;Config!$B$8,"A cair","A conferir")))</f>
        <v>Conferido</v>
      </c>
      <c r="O183" s="50">
        <f>IF(N183="A conferir",(Config!$B$8-K183)*1000+N(F183)/1000+ROW()/100000,0)</f>
        <v>0</v>
      </c>
    </row>
    <row r="184">
      <c r="A184" s="48" t="n">
        <v>46261</v>
      </c>
      <c r="B184" s="40" t="inlineStr">
        <is>
          <t>Wagner Costa</t>
        </is>
      </c>
      <c r="C184" s="40" t="inlineStr">
        <is>
          <t>MAPA</t>
        </is>
      </c>
      <c r="D184" s="41" t="inlineStr">
        <is>
          <t>Pix</t>
        </is>
      </c>
      <c r="E184" s="41" t="n"/>
      <c r="F184" s="49" t="n">
        <v>300</v>
      </c>
      <c r="G184" s="41" t="inlineStr">
        <is>
          <t>Sim</t>
        </is>
      </c>
      <c r="H184" s="30">
        <f>IF(D184="","",IFERROR(INDEX(Config!$B$12:$B$15,MATCH(IF(AND(D184="Cartão de crédito",N(E184)&gt;1),"Cartão de crédito parcelado",D184),Config!$A$12:$A$15,0)),0)+IF(AND(Config!$B$17="Sim",LEFT(D184,17)="Cartão de crédito"),Config!$B$18*IFERROR(INDEX(Config!$C$12:$C$15,MATCH(IF(AND(D184="Cartão de crédito",N(E184)&gt;1),"Cartão de crédito parcelado",D184),Config!$A$12:$A$15,0)),0)/30*MAX(1,N(E184)),0))</f>
        <v>0</v>
      </c>
      <c r="I184" s="29">
        <f>IF(OR(D184="",F184=""),"",ROUND(F184*H184,2))</f>
        <v>0</v>
      </c>
      <c r="J184" s="29">
        <f>IF(I184="","",F184-I184)</f>
        <v>300</v>
      </c>
      <c r="K184" s="37">
        <f>IF(OR(D184="",A184=""),"",A184+IF(AND(Config!$B$17="Sim",LEFT(D184,17)="Cartão de crédito"),1,IFERROR(INDEX(Config!$C$12:$C$15,MATCH(IF(AND(D184="Cartão de crédito",N(E184)&gt;1),"Cartão de crédito parcelado",D184),Config!$A$12:$A$15,0)),0)))</f>
        <v>46261.0</v>
      </c>
      <c r="L184" s="27">
        <f>IF(A184="","",MONTH(A184))</f>
        <v>8</v>
      </c>
      <c r="M184" s="27">
        <f>IF(A184="","",YEAR(A184))</f>
        <v>2026</v>
      </c>
      <c r="N184" s="27" t="str">
        <f>IF(K184="","",IF(G184="Sim","Conferido",IF(K184&gt;Config!$B$8,"A cair","A conferir")))</f>
        <v>Conferido</v>
      </c>
      <c r="O184" s="50">
        <f>IF(N184="A conferir",(Config!$B$8-K184)*1000+N(F184)/1000+ROW()/100000,0)</f>
        <v>0</v>
      </c>
    </row>
    <row r="185">
      <c r="A185" s="48" t="n">
        <v>46261</v>
      </c>
      <c r="B185" s="40" t="inlineStr">
        <is>
          <t>Tatiana Macedo</t>
        </is>
      </c>
      <c r="C185" s="40" t="inlineStr">
        <is>
          <t>Avaliação endócrina</t>
        </is>
      </c>
      <c r="D185" s="41" t="inlineStr">
        <is>
          <t>Pix</t>
        </is>
      </c>
      <c r="E185" s="41" t="n"/>
      <c r="F185" s="49" t="n">
        <v>400</v>
      </c>
      <c r="G185" s="41" t="inlineStr">
        <is>
          <t>Sim</t>
        </is>
      </c>
      <c r="H185" s="30">
        <f>IF(D185="","",IFERROR(INDEX(Config!$B$12:$B$15,MATCH(IF(AND(D185="Cartão de crédito",N(E185)&gt;1),"Cartão de crédito parcelado",D185),Config!$A$12:$A$15,0)),0)+IF(AND(Config!$B$17="Sim",LEFT(D185,17)="Cartão de crédito"),Config!$B$18*IFERROR(INDEX(Config!$C$12:$C$15,MATCH(IF(AND(D185="Cartão de crédito",N(E185)&gt;1),"Cartão de crédito parcelado",D185),Config!$A$12:$A$15,0)),0)/30*MAX(1,N(E185)),0))</f>
        <v>0</v>
      </c>
      <c r="I185" s="29">
        <f>IF(OR(D185="",F185=""),"",ROUND(F185*H185,2))</f>
        <v>0</v>
      </c>
      <c r="J185" s="29">
        <f>IF(I185="","",F185-I185)</f>
        <v>400</v>
      </c>
      <c r="K185" s="37">
        <f>IF(OR(D185="",A185=""),"",A185+IF(AND(Config!$B$17="Sim",LEFT(D185,17)="Cartão de crédito"),1,IFERROR(INDEX(Config!$C$12:$C$15,MATCH(IF(AND(D185="Cartão de crédito",N(E185)&gt;1),"Cartão de crédito parcelado",D185),Config!$A$12:$A$15,0)),0)))</f>
        <v>46261.0</v>
      </c>
      <c r="L185" s="27">
        <f>IF(A185="","",MONTH(A185))</f>
        <v>8</v>
      </c>
      <c r="M185" s="27">
        <f>IF(A185="","",YEAR(A185))</f>
        <v>2026</v>
      </c>
      <c r="N185" s="27" t="str">
        <f>IF(K185="","",IF(G185="Sim","Conferido",IF(K185&gt;Config!$B$8,"A cair","A conferir")))</f>
        <v>Conferido</v>
      </c>
      <c r="O185" s="50">
        <f>IF(N185="A conferir",(Config!$B$8-K185)*1000+N(F185)/1000+ROW()/100000,0)</f>
        <v>0</v>
      </c>
    </row>
    <row r="186">
      <c r="A186" s="48" t="n">
        <v>46265</v>
      </c>
      <c r="B186" s="40" t="inlineStr">
        <is>
          <t>Renato Dias</t>
        </is>
      </c>
      <c r="C186" s="40" t="inlineStr">
        <is>
          <t>Consulta</t>
        </is>
      </c>
      <c r="D186" s="41" t="inlineStr">
        <is>
          <t>Cartão de débito</t>
        </is>
      </c>
      <c r="E186" s="41" t="n"/>
      <c r="F186" s="49" t="n">
        <v>380</v>
      </c>
      <c r="G186" s="41" t="inlineStr">
        <is>
          <t>Sim</t>
        </is>
      </c>
      <c r="H186" s="30">
        <f>IF(D186="","",IFERROR(INDEX(Config!$B$12:$B$15,MATCH(IF(AND(D186="Cartão de crédito",N(E186)&gt;1),"Cartão de crédito parcelado",D186),Config!$A$12:$A$15,0)),0)+IF(AND(Config!$B$17="Sim",LEFT(D186,17)="Cartão de crédito"),Config!$B$18*IFERROR(INDEX(Config!$C$12:$C$15,MATCH(IF(AND(D186="Cartão de crédito",N(E186)&gt;1),"Cartão de crédito parcelado",D186),Config!$A$12:$A$15,0)),0)/30*MAX(1,N(E186)),0))</f>
        <v>0.015</v>
      </c>
      <c r="I186" s="29">
        <f>IF(OR(D186="",F186=""),"",ROUND(F186*H186,2))</f>
        <v>5.7</v>
      </c>
      <c r="J186" s="29">
        <f>IF(I186="","",F186-I186)</f>
        <v>374.3</v>
      </c>
      <c r="K186" s="37">
        <f>IF(OR(D186="",A186=""),"",A186+IF(AND(Config!$B$17="Sim",LEFT(D186,17)="Cartão de crédito"),1,IFERROR(INDEX(Config!$C$12:$C$15,MATCH(IF(AND(D186="Cartão de crédito",N(E186)&gt;1),"Cartão de crédito parcelado",D186),Config!$A$12:$A$15,0)),0)))</f>
        <v>46266.0</v>
      </c>
      <c r="L186" s="27">
        <f>IF(A186="","",MONTH(A186))</f>
        <v>8</v>
      </c>
      <c r="M186" s="27">
        <f>IF(A186="","",YEAR(A186))</f>
        <v>2026</v>
      </c>
      <c r="N186" s="27" t="str">
        <f>IF(K186="","",IF(G186="Sim","Conferido",IF(K186&gt;Config!$B$8,"A cair","A conferir")))</f>
        <v>Conferido</v>
      </c>
      <c r="O186" s="50">
        <f>IF(N186="A conferir",(Config!$B$8-K186)*1000+N(F186)/1000+ROW()/100000,0)</f>
        <v>0</v>
      </c>
    </row>
    <row r="187">
      <c r="A187" s="48" t="n">
        <v>46265</v>
      </c>
      <c r="B187" s="40" t="inlineStr">
        <is>
          <t>Henrique Ribeiro</t>
        </is>
      </c>
      <c r="C187" s="40" t="inlineStr">
        <is>
          <t>Consulta</t>
        </is>
      </c>
      <c r="D187" s="41" t="inlineStr">
        <is>
          <t>Pix</t>
        </is>
      </c>
      <c r="E187" s="41" t="n"/>
      <c r="F187" s="49" t="n">
        <v>380</v>
      </c>
      <c r="G187" s="41" t="inlineStr">
        <is>
          <t>Sim</t>
        </is>
      </c>
      <c r="H187" s="30">
        <f>IF(D187="","",IFERROR(INDEX(Config!$B$12:$B$15,MATCH(IF(AND(D187="Cartão de crédito",N(E187)&gt;1),"Cartão de crédito parcelado",D187),Config!$A$12:$A$15,0)),0)+IF(AND(Config!$B$17="Sim",LEFT(D187,17)="Cartão de crédito"),Config!$B$18*IFERROR(INDEX(Config!$C$12:$C$15,MATCH(IF(AND(D187="Cartão de crédito",N(E187)&gt;1),"Cartão de crédito parcelado",D187),Config!$A$12:$A$15,0)),0)/30*MAX(1,N(E187)),0))</f>
        <v>0</v>
      </c>
      <c r="I187" s="29">
        <f>IF(OR(D187="",F187=""),"",ROUND(F187*H187,2))</f>
        <v>0</v>
      </c>
      <c r="J187" s="29">
        <f>IF(I187="","",F187-I187)</f>
        <v>380</v>
      </c>
      <c r="K187" s="37">
        <f>IF(OR(D187="",A187=""),"",A187+IF(AND(Config!$B$17="Sim",LEFT(D187,17)="Cartão de crédito"),1,IFERROR(INDEX(Config!$C$12:$C$15,MATCH(IF(AND(D187="Cartão de crédito",N(E187)&gt;1),"Cartão de crédito parcelado",D187),Config!$A$12:$A$15,0)),0)))</f>
        <v>46265.0</v>
      </c>
      <c r="L187" s="27">
        <f>IF(A187="","",MONTH(A187))</f>
        <v>8</v>
      </c>
      <c r="M187" s="27">
        <f>IF(A187="","",YEAR(A187))</f>
        <v>2026</v>
      </c>
      <c r="N187" s="27" t="str">
        <f>IF(K187="","",IF(G187="Sim","Conferido",IF(K187&gt;Config!$B$8,"A cair","A conferir")))</f>
        <v>Conferido</v>
      </c>
      <c r="O187" s="50">
        <f>IF(N187="A conferir",(Config!$B$8-K187)*1000+N(F187)/1000+ROW()/100000,0)</f>
        <v>0</v>
      </c>
    </row>
    <row r="188">
      <c r="A188" s="48" t="n">
        <v>46265</v>
      </c>
      <c r="B188" s="40" t="inlineStr">
        <is>
          <t>Débora Ramos</t>
        </is>
      </c>
      <c r="C188" s="40" t="inlineStr">
        <is>
          <t>ECG</t>
        </is>
      </c>
      <c r="D188" s="41" t="inlineStr">
        <is>
          <t>Cartão de débito</t>
        </is>
      </c>
      <c r="E188" s="41" t="n"/>
      <c r="F188" s="49" t="n">
        <v>130</v>
      </c>
      <c r="G188" s="41" t="inlineStr">
        <is>
          <t>Sim</t>
        </is>
      </c>
      <c r="H188" s="30">
        <f>IF(D188="","",IFERROR(INDEX(Config!$B$12:$B$15,MATCH(IF(AND(D188="Cartão de crédito",N(E188)&gt;1),"Cartão de crédito parcelado",D188),Config!$A$12:$A$15,0)),0)+IF(AND(Config!$B$17="Sim",LEFT(D188,17)="Cartão de crédito"),Config!$B$18*IFERROR(INDEX(Config!$C$12:$C$15,MATCH(IF(AND(D188="Cartão de crédito",N(E188)&gt;1),"Cartão de crédito parcelado",D188),Config!$A$12:$A$15,0)),0)/30*MAX(1,N(E188)),0))</f>
        <v>0.015</v>
      </c>
      <c r="I188" s="29">
        <f>IF(OR(D188="",F188=""),"",ROUND(F188*H188,2))</f>
        <v>1.95</v>
      </c>
      <c r="J188" s="29">
        <f>IF(I188="","",F188-I188)</f>
        <v>128.05</v>
      </c>
      <c r="K188" s="37">
        <f>IF(OR(D188="",A188=""),"",A188+IF(AND(Config!$B$17="Sim",LEFT(D188,17)="Cartão de crédito"),1,IFERROR(INDEX(Config!$C$12:$C$15,MATCH(IF(AND(D188="Cartão de crédito",N(E188)&gt;1),"Cartão de crédito parcelado",D188),Config!$A$12:$A$15,0)),0)))</f>
        <v>46266.0</v>
      </c>
      <c r="L188" s="27">
        <f>IF(A188="","",MONTH(A188))</f>
        <v>8</v>
      </c>
      <c r="M188" s="27">
        <f>IF(A188="","",YEAR(A188))</f>
        <v>2026</v>
      </c>
      <c r="N188" s="27" t="str">
        <f>IF(K188="","",IF(G188="Sim","Conferido",IF(K188&gt;Config!$B$8,"A cair","A conferir")))</f>
        <v>Conferido</v>
      </c>
      <c r="O188" s="50">
        <f>IF(N188="A conferir",(Config!$B$8-K188)*1000+N(F188)/1000+ROW()/100000,0)</f>
        <v>0</v>
      </c>
    </row>
    <row r="189">
      <c r="A189" s="48" t="n">
        <v>46266</v>
      </c>
      <c r="B189" s="40" t="inlineStr">
        <is>
          <t>Ana Costa</t>
        </is>
      </c>
      <c r="C189" s="40" t="inlineStr">
        <is>
          <t>Consulta</t>
        </is>
      </c>
      <c r="D189" s="41" t="inlineStr">
        <is>
          <t>Cartão de crédito</t>
        </is>
      </c>
      <c r="E189" s="41" t="n"/>
      <c r="F189" s="49" t="n">
        <v>380</v>
      </c>
      <c r="G189" s="41" t="n"/>
      <c r="H189" s="30">
        <f>IF(D189="","",IFERROR(INDEX(Config!$B$12:$B$15,MATCH(IF(AND(D189="Cartão de crédito",N(E189)&gt;1),"Cartão de crédito parcelado",D189),Config!$A$12:$A$15,0)),0)+IF(AND(Config!$B$17="Sim",LEFT(D189,17)="Cartão de crédito"),Config!$B$18*IFERROR(INDEX(Config!$C$12:$C$15,MATCH(IF(AND(D189="Cartão de crédito",N(E189)&gt;1),"Cartão de crédito parcelado",D189),Config!$A$12:$A$15,0)),0)/30*MAX(1,N(E189)),0))</f>
        <v>0.032</v>
      </c>
      <c r="I189" s="29">
        <f>IF(OR(D189="",F189=""),"",ROUND(F189*H189,2))</f>
        <v>12.16</v>
      </c>
      <c r="J189" s="29">
        <f>IF(I189="","",F189-I189)</f>
        <v>367.84</v>
      </c>
      <c r="K189" s="37">
        <f>IF(OR(D189="",A189=""),"",A189+IF(AND(Config!$B$17="Sim",LEFT(D189,17)="Cartão de crédito"),1,IFERROR(INDEX(Config!$C$12:$C$15,MATCH(IF(AND(D189="Cartão de crédito",N(E189)&gt;1),"Cartão de crédito parcelado",D189),Config!$A$12:$A$15,0)),0)))</f>
        <v>46296.0</v>
      </c>
      <c r="L189" s="27">
        <f>IF(A189="","",MONTH(A189))</f>
        <v>9</v>
      </c>
      <c r="M189" s="27">
        <f>IF(A189="","",YEAR(A189))</f>
        <v>2026</v>
      </c>
      <c r="N189" s="27" t="str">
        <f>IF(K189="","",IF(G189="Sim","Conferido",IF(K189&gt;Config!$B$8,"A cair","A conferir")))</f>
        <v>A cair</v>
      </c>
      <c r="O189" s="50">
        <f>IF(N189="A conferir",(Config!$B$8-K189)*1000+N(F189)/1000+ROW()/100000,0)</f>
        <v>0</v>
      </c>
    </row>
    <row r="190">
      <c r="A190" s="48" t="n">
        <v>46266</v>
      </c>
      <c r="B190" s="40" t="inlineStr">
        <is>
          <t>Gustavo Ferreira</t>
        </is>
      </c>
      <c r="C190" s="40" t="inlineStr">
        <is>
          <t>Consulta</t>
        </is>
      </c>
      <c r="D190" s="41" t="inlineStr">
        <is>
          <t>Cartão de crédito</t>
        </is>
      </c>
      <c r="E190" s="41" t="n"/>
      <c r="F190" s="49" t="n">
        <v>380</v>
      </c>
      <c r="G190" s="41" t="n"/>
      <c r="H190" s="30">
        <f>IF(D190="","",IFERROR(INDEX(Config!$B$12:$B$15,MATCH(IF(AND(D190="Cartão de crédito",N(E190)&gt;1),"Cartão de crédito parcelado",D190),Config!$A$12:$A$15,0)),0)+IF(AND(Config!$B$17="Sim",LEFT(D190,17)="Cartão de crédito"),Config!$B$18*IFERROR(INDEX(Config!$C$12:$C$15,MATCH(IF(AND(D190="Cartão de crédito",N(E190)&gt;1),"Cartão de crédito parcelado",D190),Config!$A$12:$A$15,0)),0)/30*MAX(1,N(E190)),0))</f>
        <v>0.032</v>
      </c>
      <c r="I190" s="29">
        <f>IF(OR(D190="",F190=""),"",ROUND(F190*H190,2))</f>
        <v>12.16</v>
      </c>
      <c r="J190" s="29">
        <f>IF(I190="","",F190-I190)</f>
        <v>367.84</v>
      </c>
      <c r="K190" s="37">
        <f>IF(OR(D190="",A190=""),"",A190+IF(AND(Config!$B$17="Sim",LEFT(D190,17)="Cartão de crédito"),1,IFERROR(INDEX(Config!$C$12:$C$15,MATCH(IF(AND(D190="Cartão de crédito",N(E190)&gt;1),"Cartão de crédito parcelado",D190),Config!$A$12:$A$15,0)),0)))</f>
        <v>46296.0</v>
      </c>
      <c r="L190" s="27">
        <f>IF(A190="","",MONTH(A190))</f>
        <v>9</v>
      </c>
      <c r="M190" s="27">
        <f>IF(A190="","",YEAR(A190))</f>
        <v>2026</v>
      </c>
      <c r="N190" s="27" t="str">
        <f>IF(K190="","",IF(G190="Sim","Conferido",IF(K190&gt;Config!$B$8,"A cair","A conferir")))</f>
        <v>A cair</v>
      </c>
      <c r="O190" s="50">
        <f>IF(N190="A conferir",(Config!$B$8-K190)*1000+N(F190)/1000+ROW()/100000,0)</f>
        <v>0</v>
      </c>
    </row>
    <row r="191">
      <c r="A191" s="48" t="n">
        <v>46266</v>
      </c>
      <c r="B191" s="40" t="inlineStr">
        <is>
          <t>Otávio Nascimento</t>
        </is>
      </c>
      <c r="C191" s="40" t="inlineStr">
        <is>
          <t>Consulta</t>
        </is>
      </c>
      <c r="D191" s="41" t="inlineStr">
        <is>
          <t>Cartão de crédito</t>
        </is>
      </c>
      <c r="E191" s="41" t="n">
        <v>2</v>
      </c>
      <c r="F191" s="49" t="n">
        <v>380</v>
      </c>
      <c r="G191" s="41" t="n"/>
      <c r="H191" s="30">
        <f>IF(D191="","",IFERROR(INDEX(Config!$B$12:$B$15,MATCH(IF(AND(D191="Cartão de crédito",N(E191)&gt;1),"Cartão de crédito parcelado",D191),Config!$A$12:$A$15,0)),0)+IF(AND(Config!$B$17="Sim",LEFT(D191,17)="Cartão de crédito"),Config!$B$18*IFERROR(INDEX(Config!$C$12:$C$15,MATCH(IF(AND(D191="Cartão de crédito",N(E191)&gt;1),"Cartão de crédito parcelado",D191),Config!$A$12:$A$15,0)),0)/30*MAX(1,N(E191)),0))</f>
        <v>0.039</v>
      </c>
      <c r="I191" s="29">
        <f>IF(OR(D191="",F191=""),"",ROUND(F191*H191,2))</f>
        <v>14.82</v>
      </c>
      <c r="J191" s="29">
        <f>IF(I191="","",F191-I191)</f>
        <v>365.18</v>
      </c>
      <c r="K191" s="37">
        <f>IF(OR(D191="",A191=""),"",A191+IF(AND(Config!$B$17="Sim",LEFT(D191,17)="Cartão de crédito"),1,IFERROR(INDEX(Config!$C$12:$C$15,MATCH(IF(AND(D191="Cartão de crédito",N(E191)&gt;1),"Cartão de crédito parcelado",D191),Config!$A$12:$A$15,0)),0)))</f>
        <v>46296.0</v>
      </c>
      <c r="L191" s="27">
        <f>IF(A191="","",MONTH(A191))</f>
        <v>9</v>
      </c>
      <c r="M191" s="27">
        <f>IF(A191="","",YEAR(A191))</f>
        <v>2026</v>
      </c>
      <c r="N191" s="27" t="str">
        <f>IF(K191="","",IF(G191="Sim","Conferido",IF(K191&gt;Config!$B$8,"A cair","A conferir")))</f>
        <v>A cair</v>
      </c>
      <c r="O191" s="50">
        <f>IF(N191="A conferir",(Config!$B$8-K191)*1000+N(F191)/1000+ROW()/100000,0)</f>
        <v>0</v>
      </c>
    </row>
    <row r="192">
      <c r="A192" s="48" t="n">
        <v>46266</v>
      </c>
      <c r="B192" s="40" t="inlineStr">
        <is>
          <t>Mariana Nascimento</t>
        </is>
      </c>
      <c r="C192" s="40" t="inlineStr">
        <is>
          <t>Consulta</t>
        </is>
      </c>
      <c r="D192" s="41" t="inlineStr">
        <is>
          <t>Cartão de crédito</t>
        </is>
      </c>
      <c r="E192" s="41" t="n"/>
      <c r="F192" s="49" t="n">
        <v>380</v>
      </c>
      <c r="G192" s="41" t="n"/>
      <c r="H192" s="30">
        <f>IF(D192="","",IFERROR(INDEX(Config!$B$12:$B$15,MATCH(IF(AND(D192="Cartão de crédito",N(E192)&gt;1),"Cartão de crédito parcelado",D192),Config!$A$12:$A$15,0)),0)+IF(AND(Config!$B$17="Sim",LEFT(D192,17)="Cartão de crédito"),Config!$B$18*IFERROR(INDEX(Config!$C$12:$C$15,MATCH(IF(AND(D192="Cartão de crédito",N(E192)&gt;1),"Cartão de crédito parcelado",D192),Config!$A$12:$A$15,0)),0)/30*MAX(1,N(E192)),0))</f>
        <v>0.032</v>
      </c>
      <c r="I192" s="29">
        <f>IF(OR(D192="",F192=""),"",ROUND(F192*H192,2))</f>
        <v>12.16</v>
      </c>
      <c r="J192" s="29">
        <f>IF(I192="","",F192-I192)</f>
        <v>367.84</v>
      </c>
      <c r="K192" s="37">
        <f>IF(OR(D192="",A192=""),"",A192+IF(AND(Config!$B$17="Sim",LEFT(D192,17)="Cartão de crédito"),1,IFERROR(INDEX(Config!$C$12:$C$15,MATCH(IF(AND(D192="Cartão de crédito",N(E192)&gt;1),"Cartão de crédito parcelado",D192),Config!$A$12:$A$15,0)),0)))</f>
        <v>46296.0</v>
      </c>
      <c r="L192" s="27">
        <f>IF(A192="","",MONTH(A192))</f>
        <v>9</v>
      </c>
      <c r="M192" s="27">
        <f>IF(A192="","",YEAR(A192))</f>
        <v>2026</v>
      </c>
      <c r="N192" s="27" t="str">
        <f>IF(K192="","",IF(G192="Sim","Conferido",IF(K192&gt;Config!$B$8,"A cair","A conferir")))</f>
        <v>A cair</v>
      </c>
      <c r="O192" s="50">
        <f>IF(N192="A conferir",(Config!$B$8-K192)*1000+N(F192)/1000+ROW()/100000,0)</f>
        <v>0</v>
      </c>
    </row>
    <row r="193">
      <c r="A193" s="48" t="n">
        <v>46266</v>
      </c>
      <c r="B193" s="40" t="inlineStr">
        <is>
          <t>Paulo Fernandes</t>
        </is>
      </c>
      <c r="C193" s="40" t="inlineStr">
        <is>
          <t>Avaliação endócrina</t>
        </is>
      </c>
      <c r="D193" s="41" t="inlineStr">
        <is>
          <t>Cartão de débito</t>
        </is>
      </c>
      <c r="E193" s="41" t="n"/>
      <c r="F193" s="49" t="n">
        <v>400</v>
      </c>
      <c r="G193" s="41" t="inlineStr">
        <is>
          <t>Sim</t>
        </is>
      </c>
      <c r="H193" s="30">
        <f>IF(D193="","",IFERROR(INDEX(Config!$B$12:$B$15,MATCH(IF(AND(D193="Cartão de crédito",N(E193)&gt;1),"Cartão de crédito parcelado",D193),Config!$A$12:$A$15,0)),0)+IF(AND(Config!$B$17="Sim",LEFT(D193,17)="Cartão de crédito"),Config!$B$18*IFERROR(INDEX(Config!$C$12:$C$15,MATCH(IF(AND(D193="Cartão de crédito",N(E193)&gt;1),"Cartão de crédito parcelado",D193),Config!$A$12:$A$15,0)),0)/30*MAX(1,N(E193)),0))</f>
        <v>0.015</v>
      </c>
      <c r="I193" s="29">
        <f>IF(OR(D193="",F193=""),"",ROUND(F193*H193,2))</f>
        <v>6</v>
      </c>
      <c r="J193" s="29">
        <f>IF(I193="","",F193-I193)</f>
        <v>394</v>
      </c>
      <c r="K193" s="37">
        <f>IF(OR(D193="",A193=""),"",A193+IF(AND(Config!$B$17="Sim",LEFT(D193,17)="Cartão de crédito"),1,IFERROR(INDEX(Config!$C$12:$C$15,MATCH(IF(AND(D193="Cartão de crédito",N(E193)&gt;1),"Cartão de crédito parcelado",D193),Config!$A$12:$A$15,0)),0)))</f>
        <v>46267.0</v>
      </c>
      <c r="L193" s="27">
        <f>IF(A193="","",MONTH(A193))</f>
        <v>9</v>
      </c>
      <c r="M193" s="27">
        <f>IF(A193="","",YEAR(A193))</f>
        <v>2026</v>
      </c>
      <c r="N193" s="27" t="str">
        <f>IF(K193="","",IF(G193="Sim","Conferido",IF(K193&gt;Config!$B$8,"A cair","A conferir")))</f>
        <v>Conferido</v>
      </c>
      <c r="O193" s="50">
        <f>IF(N193="A conferir",(Config!$B$8-K193)*1000+N(F193)/1000+ROW()/100000,0)</f>
        <v>0</v>
      </c>
    </row>
    <row r="194">
      <c r="A194" s="48" t="n">
        <v>46266</v>
      </c>
      <c r="B194" s="40" t="inlineStr">
        <is>
          <t>Gabriel Reis</t>
        </is>
      </c>
      <c r="C194" s="40" t="inlineStr">
        <is>
          <t>Avaliação endócrina</t>
        </is>
      </c>
      <c r="D194" s="41" t="inlineStr">
        <is>
          <t>Pix</t>
        </is>
      </c>
      <c r="E194" s="41" t="n"/>
      <c r="F194" s="49" t="n">
        <v>400</v>
      </c>
      <c r="G194" s="41" t="inlineStr">
        <is>
          <t>Sim</t>
        </is>
      </c>
      <c r="H194" s="30">
        <f>IF(D194="","",IFERROR(INDEX(Config!$B$12:$B$15,MATCH(IF(AND(D194="Cartão de crédito",N(E194)&gt;1),"Cartão de crédito parcelado",D194),Config!$A$12:$A$15,0)),0)+IF(AND(Config!$B$17="Sim",LEFT(D194,17)="Cartão de crédito"),Config!$B$18*IFERROR(INDEX(Config!$C$12:$C$15,MATCH(IF(AND(D194="Cartão de crédito",N(E194)&gt;1),"Cartão de crédito parcelado",D194),Config!$A$12:$A$15,0)),0)/30*MAX(1,N(E194)),0))</f>
        <v>0</v>
      </c>
      <c r="I194" s="29">
        <f>IF(OR(D194="",F194=""),"",ROUND(F194*H194,2))</f>
        <v>0</v>
      </c>
      <c r="J194" s="29">
        <f>IF(I194="","",F194-I194)</f>
        <v>400</v>
      </c>
      <c r="K194" s="37">
        <f>IF(OR(D194="",A194=""),"",A194+IF(AND(Config!$B$17="Sim",LEFT(D194,17)="Cartão de crédito"),1,IFERROR(INDEX(Config!$C$12:$C$15,MATCH(IF(AND(D194="Cartão de crédito",N(E194)&gt;1),"Cartão de crédito parcelado",D194),Config!$A$12:$A$15,0)),0)))</f>
        <v>46266.0</v>
      </c>
      <c r="L194" s="27">
        <f>IF(A194="","",MONTH(A194))</f>
        <v>9</v>
      </c>
      <c r="M194" s="27">
        <f>IF(A194="","",YEAR(A194))</f>
        <v>2026</v>
      </c>
      <c r="N194" s="27" t="str">
        <f>IF(K194="","",IF(G194="Sim","Conferido",IF(K194&gt;Config!$B$8,"A cair","A conferir")))</f>
        <v>Conferido</v>
      </c>
      <c r="O194" s="50">
        <f>IF(N194="A conferir",(Config!$B$8-K194)*1000+N(F194)/1000+ROW()/100000,0)</f>
        <v>0</v>
      </c>
    </row>
    <row r="195">
      <c r="A195" s="48" t="n">
        <v>46266</v>
      </c>
      <c r="B195" s="40" t="inlineStr">
        <is>
          <t>Isabela Xavier</t>
        </is>
      </c>
      <c r="C195" s="40" t="inlineStr">
        <is>
          <t>Avaliação endócrina</t>
        </is>
      </c>
      <c r="D195" s="41" t="inlineStr">
        <is>
          <t>Cartão de crédito</t>
        </is>
      </c>
      <c r="E195" s="41" t="n"/>
      <c r="F195" s="49" t="n">
        <v>400</v>
      </c>
      <c r="G195" s="41" t="n"/>
      <c r="H195" s="30">
        <f>IF(D195="","",IFERROR(INDEX(Config!$B$12:$B$15,MATCH(IF(AND(D195="Cartão de crédito",N(E195)&gt;1),"Cartão de crédito parcelado",D195),Config!$A$12:$A$15,0)),0)+IF(AND(Config!$B$17="Sim",LEFT(D195,17)="Cartão de crédito"),Config!$B$18*IFERROR(INDEX(Config!$C$12:$C$15,MATCH(IF(AND(D195="Cartão de crédito",N(E195)&gt;1),"Cartão de crédito parcelado",D195),Config!$A$12:$A$15,0)),0)/30*MAX(1,N(E195)),0))</f>
        <v>0.032</v>
      </c>
      <c r="I195" s="29">
        <f>IF(OR(D195="",F195=""),"",ROUND(F195*H195,2))</f>
        <v>12.8</v>
      </c>
      <c r="J195" s="29">
        <f>IF(I195="","",F195-I195)</f>
        <v>387.2</v>
      </c>
      <c r="K195" s="37">
        <f>IF(OR(D195="",A195=""),"",A195+IF(AND(Config!$B$17="Sim",LEFT(D195,17)="Cartão de crédito"),1,IFERROR(INDEX(Config!$C$12:$C$15,MATCH(IF(AND(D195="Cartão de crédito",N(E195)&gt;1),"Cartão de crédito parcelado",D195),Config!$A$12:$A$15,0)),0)))</f>
        <v>46296.0</v>
      </c>
      <c r="L195" s="27">
        <f>IF(A195="","",MONTH(A195))</f>
        <v>9</v>
      </c>
      <c r="M195" s="27">
        <f>IF(A195="","",YEAR(A195))</f>
        <v>2026</v>
      </c>
      <c r="N195" s="27" t="str">
        <f>IF(K195="","",IF(G195="Sim","Conferido",IF(K195&gt;Config!$B$8,"A cair","A conferir")))</f>
        <v>A cair</v>
      </c>
      <c r="O195" s="50">
        <f>IF(N195="A conferir",(Config!$B$8-K195)*1000+N(F195)/1000+ROW()/100000,0)</f>
        <v>0</v>
      </c>
    </row>
    <row r="196">
      <c r="A196" s="48" t="n">
        <v>46267</v>
      </c>
      <c r="B196" s="40" t="inlineStr">
        <is>
          <t>Helena Moreira</t>
        </is>
      </c>
      <c r="C196" s="40" t="inlineStr">
        <is>
          <t>Consulta</t>
        </is>
      </c>
      <c r="D196" s="41" t="inlineStr">
        <is>
          <t>Cartão de débito</t>
        </is>
      </c>
      <c r="E196" s="41" t="n"/>
      <c r="F196" s="49" t="n">
        <v>380</v>
      </c>
      <c r="G196" s="41" t="inlineStr">
        <is>
          <t>Sim</t>
        </is>
      </c>
      <c r="H196" s="30">
        <f>IF(D196="","",IFERROR(INDEX(Config!$B$12:$B$15,MATCH(IF(AND(D196="Cartão de crédito",N(E196)&gt;1),"Cartão de crédito parcelado",D196),Config!$A$12:$A$15,0)),0)+IF(AND(Config!$B$17="Sim",LEFT(D196,17)="Cartão de crédito"),Config!$B$18*IFERROR(INDEX(Config!$C$12:$C$15,MATCH(IF(AND(D196="Cartão de crédito",N(E196)&gt;1),"Cartão de crédito parcelado",D196),Config!$A$12:$A$15,0)),0)/30*MAX(1,N(E196)),0))</f>
        <v>0.015</v>
      </c>
      <c r="I196" s="29">
        <f>IF(OR(D196="",F196=""),"",ROUND(F196*H196,2))</f>
        <v>5.7</v>
      </c>
      <c r="J196" s="29">
        <f>IF(I196="","",F196-I196)</f>
        <v>374.3</v>
      </c>
      <c r="K196" s="37">
        <f>IF(OR(D196="",A196=""),"",A196+IF(AND(Config!$B$17="Sim",LEFT(D196,17)="Cartão de crédito"),1,IFERROR(INDEX(Config!$C$12:$C$15,MATCH(IF(AND(D196="Cartão de crédito",N(E196)&gt;1),"Cartão de crédito parcelado",D196),Config!$A$12:$A$15,0)),0)))</f>
        <v>46268.0</v>
      </c>
      <c r="L196" s="27">
        <f>IF(A196="","",MONTH(A196))</f>
        <v>9</v>
      </c>
      <c r="M196" s="27">
        <f>IF(A196="","",YEAR(A196))</f>
        <v>2026</v>
      </c>
      <c r="N196" s="27" t="str">
        <f>IF(K196="","",IF(G196="Sim","Conferido",IF(K196&gt;Config!$B$8,"A cair","A conferir")))</f>
        <v>Conferido</v>
      </c>
      <c r="O196" s="50">
        <f>IF(N196="A conferir",(Config!$B$8-K196)*1000+N(F196)/1000+ROW()/100000,0)</f>
        <v>0</v>
      </c>
    </row>
    <row r="197">
      <c r="A197" s="48" t="n">
        <v>46267</v>
      </c>
      <c r="B197" s="40" t="inlineStr">
        <is>
          <t>Rafael Dias</t>
        </is>
      </c>
      <c r="C197" s="40" t="inlineStr">
        <is>
          <t>Consulta</t>
        </is>
      </c>
      <c r="D197" s="41" t="inlineStr">
        <is>
          <t>Pix</t>
        </is>
      </c>
      <c r="E197" s="41" t="n"/>
      <c r="F197" s="49" t="n">
        <v>380</v>
      </c>
      <c r="G197" s="41" t="inlineStr">
        <is>
          <t>Sim</t>
        </is>
      </c>
      <c r="H197" s="30">
        <f>IF(D197="","",IFERROR(INDEX(Config!$B$12:$B$15,MATCH(IF(AND(D197="Cartão de crédito",N(E197)&gt;1),"Cartão de crédito parcelado",D197),Config!$A$12:$A$15,0)),0)+IF(AND(Config!$B$17="Sim",LEFT(D197,17)="Cartão de crédito"),Config!$B$18*IFERROR(INDEX(Config!$C$12:$C$15,MATCH(IF(AND(D197="Cartão de crédito",N(E197)&gt;1),"Cartão de crédito parcelado",D197),Config!$A$12:$A$15,0)),0)/30*MAX(1,N(E197)),0))</f>
        <v>0</v>
      </c>
      <c r="I197" s="29">
        <f>IF(OR(D197="",F197=""),"",ROUND(F197*H197,2))</f>
        <v>0</v>
      </c>
      <c r="J197" s="29">
        <f>IF(I197="","",F197-I197)</f>
        <v>380</v>
      </c>
      <c r="K197" s="37">
        <f>IF(OR(D197="",A197=""),"",A197+IF(AND(Config!$B$17="Sim",LEFT(D197,17)="Cartão de crédito"),1,IFERROR(INDEX(Config!$C$12:$C$15,MATCH(IF(AND(D197="Cartão de crédito",N(E197)&gt;1),"Cartão de crédito parcelado",D197),Config!$A$12:$A$15,0)),0)))</f>
        <v>46267.0</v>
      </c>
      <c r="L197" s="27">
        <f>IF(A197="","",MONTH(A197))</f>
        <v>9</v>
      </c>
      <c r="M197" s="27">
        <f>IF(A197="","",YEAR(A197))</f>
        <v>2026</v>
      </c>
      <c r="N197" s="27" t="str">
        <f>IF(K197="","",IF(G197="Sim","Conferido",IF(K197&gt;Config!$B$8,"A cair","A conferir")))</f>
        <v>Conferido</v>
      </c>
      <c r="O197" s="50">
        <f>IF(N197="A conferir",(Config!$B$8-K197)*1000+N(F197)/1000+ROW()/100000,0)</f>
        <v>0</v>
      </c>
    </row>
    <row r="198">
      <c r="A198" s="48" t="n">
        <v>46267</v>
      </c>
      <c r="B198" s="40" t="inlineStr">
        <is>
          <t>Cláudia Santos</t>
        </is>
      </c>
      <c r="C198" s="40" t="inlineStr">
        <is>
          <t>Consulta</t>
        </is>
      </c>
      <c r="D198" s="41" t="inlineStr">
        <is>
          <t>Cartão de crédito</t>
        </is>
      </c>
      <c r="E198" s="41" t="n">
        <v>2</v>
      </c>
      <c r="F198" s="49" t="n">
        <v>380</v>
      </c>
      <c r="G198" s="41" t="n"/>
      <c r="H198" s="30">
        <f>IF(D198="","",IFERROR(INDEX(Config!$B$12:$B$15,MATCH(IF(AND(D198="Cartão de crédito",N(E198)&gt;1),"Cartão de crédito parcelado",D198),Config!$A$12:$A$15,0)),0)+IF(AND(Config!$B$17="Sim",LEFT(D198,17)="Cartão de crédito"),Config!$B$18*IFERROR(INDEX(Config!$C$12:$C$15,MATCH(IF(AND(D198="Cartão de crédito",N(E198)&gt;1),"Cartão de crédito parcelado",D198),Config!$A$12:$A$15,0)),0)/30*MAX(1,N(E198)),0))</f>
        <v>0.039</v>
      </c>
      <c r="I198" s="29">
        <f>IF(OR(D198="",F198=""),"",ROUND(F198*H198,2))</f>
        <v>14.82</v>
      </c>
      <c r="J198" s="29">
        <f>IF(I198="","",F198-I198)</f>
        <v>365.18</v>
      </c>
      <c r="K198" s="37">
        <f>IF(OR(D198="",A198=""),"",A198+IF(AND(Config!$B$17="Sim",LEFT(D198,17)="Cartão de crédito"),1,IFERROR(INDEX(Config!$C$12:$C$15,MATCH(IF(AND(D198="Cartão de crédito",N(E198)&gt;1),"Cartão de crédito parcelado",D198),Config!$A$12:$A$15,0)),0)))</f>
        <v>46297.0</v>
      </c>
      <c r="L198" s="27">
        <f>IF(A198="","",MONTH(A198))</f>
        <v>9</v>
      </c>
      <c r="M198" s="27">
        <f>IF(A198="","",YEAR(A198))</f>
        <v>2026</v>
      </c>
      <c r="N198" s="27" t="str">
        <f>IF(K198="","",IF(G198="Sim","Conferido",IF(K198&gt;Config!$B$8,"A cair","A conferir")))</f>
        <v>A cair</v>
      </c>
      <c r="O198" s="50">
        <f>IF(N198="A conferir",(Config!$B$8-K198)*1000+N(F198)/1000+ROW()/100000,0)</f>
        <v>0</v>
      </c>
    </row>
    <row r="199">
      <c r="A199" s="48" t="n">
        <v>46268</v>
      </c>
      <c r="B199" s="40" t="inlineStr">
        <is>
          <t>Gisele Xavier</t>
        </is>
      </c>
      <c r="C199" s="40" t="inlineStr">
        <is>
          <t>Consulta</t>
        </is>
      </c>
      <c r="D199" s="41" t="inlineStr">
        <is>
          <t>Cartão de crédito</t>
        </is>
      </c>
      <c r="E199" s="41" t="n"/>
      <c r="F199" s="49" t="n">
        <v>380</v>
      </c>
      <c r="G199" s="41" t="n"/>
      <c r="H199" s="30">
        <f>IF(D199="","",IFERROR(INDEX(Config!$B$12:$B$15,MATCH(IF(AND(D199="Cartão de crédito",N(E199)&gt;1),"Cartão de crédito parcelado",D199),Config!$A$12:$A$15,0)),0)+IF(AND(Config!$B$17="Sim",LEFT(D199,17)="Cartão de crédito"),Config!$B$18*IFERROR(INDEX(Config!$C$12:$C$15,MATCH(IF(AND(D199="Cartão de crédito",N(E199)&gt;1),"Cartão de crédito parcelado",D199),Config!$A$12:$A$15,0)),0)/30*MAX(1,N(E199)),0))</f>
        <v>0.032</v>
      </c>
      <c r="I199" s="29">
        <f>IF(OR(D199="",F199=""),"",ROUND(F199*H199,2))</f>
        <v>12.16</v>
      </c>
      <c r="J199" s="29">
        <f>IF(I199="","",F199-I199)</f>
        <v>367.84</v>
      </c>
      <c r="K199" s="37">
        <f>IF(OR(D199="",A199=""),"",A199+IF(AND(Config!$B$17="Sim",LEFT(D199,17)="Cartão de crédito"),1,IFERROR(INDEX(Config!$C$12:$C$15,MATCH(IF(AND(D199="Cartão de crédito",N(E199)&gt;1),"Cartão de crédito parcelado",D199),Config!$A$12:$A$15,0)),0)))</f>
        <v>46298.0</v>
      </c>
      <c r="L199" s="27">
        <f>IF(A199="","",MONTH(A199))</f>
        <v>9</v>
      </c>
      <c r="M199" s="27">
        <f>IF(A199="","",YEAR(A199))</f>
        <v>2026</v>
      </c>
      <c r="N199" s="27" t="str">
        <f>IF(K199="","",IF(G199="Sim","Conferido",IF(K199&gt;Config!$B$8,"A cair","A conferir")))</f>
        <v>A cair</v>
      </c>
      <c r="O199" s="50">
        <f>IF(N199="A conferir",(Config!$B$8-K199)*1000+N(F199)/1000+ROW()/100000,0)</f>
        <v>0</v>
      </c>
    </row>
    <row r="200">
      <c r="A200" s="48" t="n">
        <v>46268</v>
      </c>
      <c r="B200" s="40" t="inlineStr">
        <is>
          <t>Marcelo Santos</t>
        </is>
      </c>
      <c r="C200" s="40" t="inlineStr">
        <is>
          <t>Consulta</t>
        </is>
      </c>
      <c r="D200" s="41" t="inlineStr">
        <is>
          <t>Cartão de débito</t>
        </is>
      </c>
      <c r="E200" s="41" t="n"/>
      <c r="F200" s="49" t="n">
        <v>380</v>
      </c>
      <c r="G200" s="41" t="inlineStr">
        <is>
          <t>Sim</t>
        </is>
      </c>
      <c r="H200" s="30">
        <f>IF(D200="","",IFERROR(INDEX(Config!$B$12:$B$15,MATCH(IF(AND(D200="Cartão de crédito",N(E200)&gt;1),"Cartão de crédito parcelado",D200),Config!$A$12:$A$15,0)),0)+IF(AND(Config!$B$17="Sim",LEFT(D200,17)="Cartão de crédito"),Config!$B$18*IFERROR(INDEX(Config!$C$12:$C$15,MATCH(IF(AND(D200="Cartão de crédito",N(E200)&gt;1),"Cartão de crédito parcelado",D200),Config!$A$12:$A$15,0)),0)/30*MAX(1,N(E200)),0))</f>
        <v>0.015</v>
      </c>
      <c r="I200" s="29">
        <f>IF(OR(D200="",F200=""),"",ROUND(F200*H200,2))</f>
        <v>5.7</v>
      </c>
      <c r="J200" s="29">
        <f>IF(I200="","",F200-I200)</f>
        <v>374.3</v>
      </c>
      <c r="K200" s="37">
        <f>IF(OR(D200="",A200=""),"",A200+IF(AND(Config!$B$17="Sim",LEFT(D200,17)="Cartão de crédito"),1,IFERROR(INDEX(Config!$C$12:$C$15,MATCH(IF(AND(D200="Cartão de crédito",N(E200)&gt;1),"Cartão de crédito parcelado",D200),Config!$A$12:$A$15,0)),0)))</f>
        <v>46269.0</v>
      </c>
      <c r="L200" s="27">
        <f>IF(A200="","",MONTH(A200))</f>
        <v>9</v>
      </c>
      <c r="M200" s="27">
        <f>IF(A200="","",YEAR(A200))</f>
        <v>2026</v>
      </c>
      <c r="N200" s="27" t="str">
        <f>IF(K200="","",IF(G200="Sim","Conferido",IF(K200&gt;Config!$B$8,"A cair","A conferir")))</f>
        <v>Conferido</v>
      </c>
      <c r="O200" s="50">
        <f>IF(N200="A conferir",(Config!$B$8-K200)*1000+N(F200)/1000+ROW()/100000,0)</f>
        <v>0</v>
      </c>
    </row>
    <row r="201">
      <c r="A201" s="48" t="n">
        <v>46268</v>
      </c>
      <c r="B201" s="40" t="inlineStr">
        <is>
          <t>Regina Duarte</t>
        </is>
      </c>
      <c r="C201" s="40" t="inlineStr">
        <is>
          <t>Consulta</t>
        </is>
      </c>
      <c r="D201" s="41" t="inlineStr">
        <is>
          <t>Pix</t>
        </is>
      </c>
      <c r="E201" s="41" t="n"/>
      <c r="F201" s="49" t="n">
        <v>380</v>
      </c>
      <c r="G201" s="41" t="inlineStr">
        <is>
          <t>Sim</t>
        </is>
      </c>
      <c r="H201" s="30">
        <f>IF(D201="","",IFERROR(INDEX(Config!$B$12:$B$15,MATCH(IF(AND(D201="Cartão de crédito",N(E201)&gt;1),"Cartão de crédito parcelado",D201),Config!$A$12:$A$15,0)),0)+IF(AND(Config!$B$17="Sim",LEFT(D201,17)="Cartão de crédito"),Config!$B$18*IFERROR(INDEX(Config!$C$12:$C$15,MATCH(IF(AND(D201="Cartão de crédito",N(E201)&gt;1),"Cartão de crédito parcelado",D201),Config!$A$12:$A$15,0)),0)/30*MAX(1,N(E201)),0))</f>
        <v>0</v>
      </c>
      <c r="I201" s="29">
        <f>IF(OR(D201="",F201=""),"",ROUND(F201*H201,2))</f>
        <v>0</v>
      </c>
      <c r="J201" s="29">
        <f>IF(I201="","",F201-I201)</f>
        <v>380</v>
      </c>
      <c r="K201" s="37">
        <f>IF(OR(D201="",A201=""),"",A201+IF(AND(Config!$B$17="Sim",LEFT(D201,17)="Cartão de crédito"),1,IFERROR(INDEX(Config!$C$12:$C$15,MATCH(IF(AND(D201="Cartão de crédito",N(E201)&gt;1),"Cartão de crédito parcelado",D201),Config!$A$12:$A$15,0)),0)))</f>
        <v>46268.0</v>
      </c>
      <c r="L201" s="27">
        <f>IF(A201="","",MONTH(A201))</f>
        <v>9</v>
      </c>
      <c r="M201" s="27">
        <f>IF(A201="","",YEAR(A201))</f>
        <v>2026</v>
      </c>
      <c r="N201" s="27" t="str">
        <f>IF(K201="","",IF(G201="Sim","Conferido",IF(K201&gt;Config!$B$8,"A cair","A conferir")))</f>
        <v>Conferido</v>
      </c>
      <c r="O201" s="50">
        <f>IF(N201="A conferir",(Config!$B$8-K201)*1000+N(F201)/1000+ROW()/100000,0)</f>
        <v>0</v>
      </c>
    </row>
    <row r="202">
      <c r="A202" s="48" t="n">
        <v>46268</v>
      </c>
      <c r="B202" s="40" t="inlineStr">
        <is>
          <t>Cláudia Melo</t>
        </is>
      </c>
      <c r="C202" s="40" t="inlineStr">
        <is>
          <t>Avaliação endócrina</t>
        </is>
      </c>
      <c r="D202" s="41" t="inlineStr">
        <is>
          <t>Pix</t>
        </is>
      </c>
      <c r="E202" s="41" t="n"/>
      <c r="F202" s="49" t="n">
        <v>400</v>
      </c>
      <c r="G202" s="41" t="inlineStr">
        <is>
          <t>Sim</t>
        </is>
      </c>
      <c r="H202" s="30">
        <f>IF(D202="","",IFERROR(INDEX(Config!$B$12:$B$15,MATCH(IF(AND(D202="Cartão de crédito",N(E202)&gt;1),"Cartão de crédito parcelado",D202),Config!$A$12:$A$15,0)),0)+IF(AND(Config!$B$17="Sim",LEFT(D202,17)="Cartão de crédito"),Config!$B$18*IFERROR(INDEX(Config!$C$12:$C$15,MATCH(IF(AND(D202="Cartão de crédito",N(E202)&gt;1),"Cartão de crédito parcelado",D202),Config!$A$12:$A$15,0)),0)/30*MAX(1,N(E202)),0))</f>
        <v>0</v>
      </c>
      <c r="I202" s="29">
        <f>IF(OR(D202="",F202=""),"",ROUND(F202*H202,2))</f>
        <v>0</v>
      </c>
      <c r="J202" s="29">
        <f>IF(I202="","",F202-I202)</f>
        <v>400</v>
      </c>
      <c r="K202" s="37">
        <f>IF(OR(D202="",A202=""),"",A202+IF(AND(Config!$B$17="Sim",LEFT(D202,17)="Cartão de crédito"),1,IFERROR(INDEX(Config!$C$12:$C$15,MATCH(IF(AND(D202="Cartão de crédito",N(E202)&gt;1),"Cartão de crédito parcelado",D202),Config!$A$12:$A$15,0)),0)))</f>
        <v>46268.0</v>
      </c>
      <c r="L202" s="27">
        <f>IF(A202="","",MONTH(A202))</f>
        <v>9</v>
      </c>
      <c r="M202" s="27">
        <f>IF(A202="","",YEAR(A202))</f>
        <v>2026</v>
      </c>
      <c r="N202" s="27" t="str">
        <f>IF(K202="","",IF(G202="Sim","Conferido",IF(K202&gt;Config!$B$8,"A cair","A conferir")))</f>
        <v>Conferido</v>
      </c>
      <c r="O202" s="50">
        <f>IF(N202="A conferir",(Config!$B$8-K202)*1000+N(F202)/1000+ROW()/100000,0)</f>
        <v>0</v>
      </c>
    </row>
    <row r="203">
      <c r="A203" s="48" t="n">
        <v>46268</v>
      </c>
      <c r="B203" s="40" t="inlineStr">
        <is>
          <t>Elaine Cardoso</t>
        </is>
      </c>
      <c r="C203" s="40" t="inlineStr">
        <is>
          <t>ECG</t>
        </is>
      </c>
      <c r="D203" s="41" t="inlineStr">
        <is>
          <t>Cartão de débito</t>
        </is>
      </c>
      <c r="E203" s="41" t="n"/>
      <c r="F203" s="49" t="n">
        <v>130</v>
      </c>
      <c r="G203" s="41" t="inlineStr">
        <is>
          <t>Sim</t>
        </is>
      </c>
      <c r="H203" s="30">
        <f>IF(D203="","",IFERROR(INDEX(Config!$B$12:$B$15,MATCH(IF(AND(D203="Cartão de crédito",N(E203)&gt;1),"Cartão de crédito parcelado",D203),Config!$A$12:$A$15,0)),0)+IF(AND(Config!$B$17="Sim",LEFT(D203,17)="Cartão de crédito"),Config!$B$18*IFERROR(INDEX(Config!$C$12:$C$15,MATCH(IF(AND(D203="Cartão de crédito",N(E203)&gt;1),"Cartão de crédito parcelado",D203),Config!$A$12:$A$15,0)),0)/30*MAX(1,N(E203)),0))</f>
        <v>0.015</v>
      </c>
      <c r="I203" s="29">
        <f>IF(OR(D203="",F203=""),"",ROUND(F203*H203,2))</f>
        <v>1.95</v>
      </c>
      <c r="J203" s="29">
        <f>IF(I203="","",F203-I203)</f>
        <v>128.05</v>
      </c>
      <c r="K203" s="37">
        <f>IF(OR(D203="",A203=""),"",A203+IF(AND(Config!$B$17="Sim",LEFT(D203,17)="Cartão de crédito"),1,IFERROR(INDEX(Config!$C$12:$C$15,MATCH(IF(AND(D203="Cartão de crédito",N(E203)&gt;1),"Cartão de crédito parcelado",D203),Config!$A$12:$A$15,0)),0)))</f>
        <v>46269.0</v>
      </c>
      <c r="L203" s="27">
        <f>IF(A203="","",MONTH(A203))</f>
        <v>9</v>
      </c>
      <c r="M203" s="27">
        <f>IF(A203="","",YEAR(A203))</f>
        <v>2026</v>
      </c>
      <c r="N203" s="27" t="str">
        <f>IF(K203="","",IF(G203="Sim","Conferido",IF(K203&gt;Config!$B$8,"A cair","A conferir")))</f>
        <v>Conferido</v>
      </c>
      <c r="O203" s="50">
        <f>IF(N203="A conferir",(Config!$B$8-K203)*1000+N(F203)/1000+ROW()/100000,0)</f>
        <v>0</v>
      </c>
    </row>
    <row r="204">
      <c r="A204" s="48" t="n">
        <v>46268</v>
      </c>
      <c r="B204" s="40" t="inlineStr">
        <is>
          <t>Rafael Pereira</t>
        </is>
      </c>
      <c r="C204" s="40" t="inlineStr">
        <is>
          <t>Avaliação endócrina</t>
        </is>
      </c>
      <c r="D204" s="41" t="inlineStr">
        <is>
          <t>Cartão de crédito</t>
        </is>
      </c>
      <c r="E204" s="41" t="n">
        <v>2</v>
      </c>
      <c r="F204" s="49" t="n">
        <v>400</v>
      </c>
      <c r="G204" s="41" t="n"/>
      <c r="H204" s="30">
        <f>IF(D204="","",IFERROR(INDEX(Config!$B$12:$B$15,MATCH(IF(AND(D204="Cartão de crédito",N(E204)&gt;1),"Cartão de crédito parcelado",D204),Config!$A$12:$A$15,0)),0)+IF(AND(Config!$B$17="Sim",LEFT(D204,17)="Cartão de crédito"),Config!$B$18*IFERROR(INDEX(Config!$C$12:$C$15,MATCH(IF(AND(D204="Cartão de crédito",N(E204)&gt;1),"Cartão de crédito parcelado",D204),Config!$A$12:$A$15,0)),0)/30*MAX(1,N(E204)),0))</f>
        <v>0.039</v>
      </c>
      <c r="I204" s="29">
        <f>IF(OR(D204="",F204=""),"",ROUND(F204*H204,2))</f>
        <v>15.6</v>
      </c>
      <c r="J204" s="29">
        <f>IF(I204="","",F204-I204)</f>
        <v>384.4</v>
      </c>
      <c r="K204" s="37">
        <f>IF(OR(D204="",A204=""),"",A204+IF(AND(Config!$B$17="Sim",LEFT(D204,17)="Cartão de crédito"),1,IFERROR(INDEX(Config!$C$12:$C$15,MATCH(IF(AND(D204="Cartão de crédito",N(E204)&gt;1),"Cartão de crédito parcelado",D204),Config!$A$12:$A$15,0)),0)))</f>
        <v>46298.0</v>
      </c>
      <c r="L204" s="27">
        <f>IF(A204="","",MONTH(A204))</f>
        <v>9</v>
      </c>
      <c r="M204" s="27">
        <f>IF(A204="","",YEAR(A204))</f>
        <v>2026</v>
      </c>
      <c r="N204" s="27" t="str">
        <f>IF(K204="","",IF(G204="Sim","Conferido",IF(K204&gt;Config!$B$8,"A cair","A conferir")))</f>
        <v>A cair</v>
      </c>
      <c r="O204" s="50">
        <f>IF(N204="A conferir",(Config!$B$8-K204)*1000+N(F204)/1000+ROW()/100000,0)</f>
        <v>0</v>
      </c>
    </row>
    <row r="205">
      <c r="A205" s="48" t="n">
        <v>46268</v>
      </c>
      <c r="B205" s="40" t="inlineStr">
        <is>
          <t>Rafael Barros</t>
        </is>
      </c>
      <c r="C205" s="40" t="inlineStr">
        <is>
          <t>Teste ergométrico</t>
        </is>
      </c>
      <c r="D205" s="41" t="inlineStr">
        <is>
          <t>Cartão de débito</t>
        </is>
      </c>
      <c r="E205" s="41" t="n"/>
      <c r="F205" s="49" t="n">
        <v>450</v>
      </c>
      <c r="G205" s="41" t="inlineStr">
        <is>
          <t>Sim</t>
        </is>
      </c>
      <c r="H205" s="30">
        <f>IF(D205="","",IFERROR(INDEX(Config!$B$12:$B$15,MATCH(IF(AND(D205="Cartão de crédito",N(E205)&gt;1),"Cartão de crédito parcelado",D205),Config!$A$12:$A$15,0)),0)+IF(AND(Config!$B$17="Sim",LEFT(D205,17)="Cartão de crédito"),Config!$B$18*IFERROR(INDEX(Config!$C$12:$C$15,MATCH(IF(AND(D205="Cartão de crédito",N(E205)&gt;1),"Cartão de crédito parcelado",D205),Config!$A$12:$A$15,0)),0)/30*MAX(1,N(E205)),0))</f>
        <v>0.015</v>
      </c>
      <c r="I205" s="29">
        <f>IF(OR(D205="",F205=""),"",ROUND(F205*H205,2))</f>
        <v>6.75</v>
      </c>
      <c r="J205" s="29">
        <f>IF(I205="","",F205-I205)</f>
        <v>443.25</v>
      </c>
      <c r="K205" s="37">
        <f>IF(OR(D205="",A205=""),"",A205+IF(AND(Config!$B$17="Sim",LEFT(D205,17)="Cartão de crédito"),1,IFERROR(INDEX(Config!$C$12:$C$15,MATCH(IF(AND(D205="Cartão de crédito",N(E205)&gt;1),"Cartão de crédito parcelado",D205),Config!$A$12:$A$15,0)),0)))</f>
        <v>46269.0</v>
      </c>
      <c r="L205" s="27">
        <f>IF(A205="","",MONTH(A205))</f>
        <v>9</v>
      </c>
      <c r="M205" s="27">
        <f>IF(A205="","",YEAR(A205))</f>
        <v>2026</v>
      </c>
      <c r="N205" s="27" t="str">
        <f>IF(K205="","",IF(G205="Sim","Conferido",IF(K205&gt;Config!$B$8,"A cair","A conferir")))</f>
        <v>Conferido</v>
      </c>
      <c r="O205" s="50">
        <f>IF(N205="A conferir",(Config!$B$8-K205)*1000+N(F205)/1000+ROW()/100000,0)</f>
        <v>0</v>
      </c>
    </row>
    <row r="206">
      <c r="A206" s="48" t="n">
        <v>46268</v>
      </c>
      <c r="B206" s="40" t="inlineStr">
        <is>
          <t>Tatiana Macedo</t>
        </is>
      </c>
      <c r="C206" s="40" t="inlineStr">
        <is>
          <t>Avaliação endócrina</t>
        </is>
      </c>
      <c r="D206" s="41" t="inlineStr">
        <is>
          <t>Pix</t>
        </is>
      </c>
      <c r="E206" s="41" t="n"/>
      <c r="F206" s="49" t="n">
        <v>400</v>
      </c>
      <c r="G206" s="41" t="inlineStr">
        <is>
          <t>Sim</t>
        </is>
      </c>
      <c r="H206" s="30">
        <f>IF(D206="","",IFERROR(INDEX(Config!$B$12:$B$15,MATCH(IF(AND(D206="Cartão de crédito",N(E206)&gt;1),"Cartão de crédito parcelado",D206),Config!$A$12:$A$15,0)),0)+IF(AND(Config!$B$17="Sim",LEFT(D206,17)="Cartão de crédito"),Config!$B$18*IFERROR(INDEX(Config!$C$12:$C$15,MATCH(IF(AND(D206="Cartão de crédito",N(E206)&gt;1),"Cartão de crédito parcelado",D206),Config!$A$12:$A$15,0)),0)/30*MAX(1,N(E206)),0))</f>
        <v>0</v>
      </c>
      <c r="I206" s="29">
        <f>IF(OR(D206="",F206=""),"",ROUND(F206*H206,2))</f>
        <v>0</v>
      </c>
      <c r="J206" s="29">
        <f>IF(I206="","",F206-I206)</f>
        <v>400</v>
      </c>
      <c r="K206" s="37">
        <f>IF(OR(D206="",A206=""),"",A206+IF(AND(Config!$B$17="Sim",LEFT(D206,17)="Cartão de crédito"),1,IFERROR(INDEX(Config!$C$12:$C$15,MATCH(IF(AND(D206="Cartão de crédito",N(E206)&gt;1),"Cartão de crédito parcelado",D206),Config!$A$12:$A$15,0)),0)))</f>
        <v>46268.0</v>
      </c>
      <c r="L206" s="27">
        <f>IF(A206="","",MONTH(A206))</f>
        <v>9</v>
      </c>
      <c r="M206" s="27">
        <f>IF(A206="","",YEAR(A206))</f>
        <v>2026</v>
      </c>
      <c r="N206" s="27" t="str">
        <f>IF(K206="","",IF(G206="Sim","Conferido",IF(K206&gt;Config!$B$8,"A cair","A conferir")))</f>
        <v>Conferido</v>
      </c>
      <c r="O206" s="50">
        <f>IF(N206="A conferir",(Config!$B$8-K206)*1000+N(F206)/1000+ROW()/100000,0)</f>
        <v>0</v>
      </c>
    </row>
    <row r="207">
      <c r="A207" s="48" t="n">
        <v>46268</v>
      </c>
      <c r="B207" s="40" t="inlineStr">
        <is>
          <t>Mônica Almeida</t>
        </is>
      </c>
      <c r="C207" s="40" t="inlineStr">
        <is>
          <t>Avaliação endócrina</t>
        </is>
      </c>
      <c r="D207" s="41" t="inlineStr">
        <is>
          <t>Pix</t>
        </is>
      </c>
      <c r="E207" s="41" t="n"/>
      <c r="F207" s="49" t="n">
        <v>400</v>
      </c>
      <c r="G207" s="41" t="inlineStr">
        <is>
          <t>Sim</t>
        </is>
      </c>
      <c r="H207" s="30">
        <f>IF(D207="","",IFERROR(INDEX(Config!$B$12:$B$15,MATCH(IF(AND(D207="Cartão de crédito",N(E207)&gt;1),"Cartão de crédito parcelado",D207),Config!$A$12:$A$15,0)),0)+IF(AND(Config!$B$17="Sim",LEFT(D207,17)="Cartão de crédito"),Config!$B$18*IFERROR(INDEX(Config!$C$12:$C$15,MATCH(IF(AND(D207="Cartão de crédito",N(E207)&gt;1),"Cartão de crédito parcelado",D207),Config!$A$12:$A$15,0)),0)/30*MAX(1,N(E207)),0))</f>
        <v>0</v>
      </c>
      <c r="I207" s="29">
        <f>IF(OR(D207="",F207=""),"",ROUND(F207*H207,2))</f>
        <v>0</v>
      </c>
      <c r="J207" s="29">
        <f>IF(I207="","",F207-I207)</f>
        <v>400</v>
      </c>
      <c r="K207" s="37">
        <f>IF(OR(D207="",A207=""),"",A207+IF(AND(Config!$B$17="Sim",LEFT(D207,17)="Cartão de crédito"),1,IFERROR(INDEX(Config!$C$12:$C$15,MATCH(IF(AND(D207="Cartão de crédito",N(E207)&gt;1),"Cartão de crédito parcelado",D207),Config!$A$12:$A$15,0)),0)))</f>
        <v>46268.0</v>
      </c>
      <c r="L207" s="27">
        <f>IF(A207="","",MONTH(A207))</f>
        <v>9</v>
      </c>
      <c r="M207" s="27">
        <f>IF(A207="","",YEAR(A207))</f>
        <v>2026</v>
      </c>
      <c r="N207" s="27" t="str">
        <f>IF(K207="","",IF(G207="Sim","Conferido",IF(K207&gt;Config!$B$8,"A cair","A conferir")))</f>
        <v>Conferido</v>
      </c>
      <c r="O207" s="50">
        <f>IF(N207="A conferir",(Config!$B$8-K207)*1000+N(F207)/1000+ROW()/100000,0)</f>
        <v>0</v>
      </c>
    </row>
    <row r="208">
      <c r="A208" s="48" t="n">
        <v>46273</v>
      </c>
      <c r="B208" s="40" t="inlineStr">
        <is>
          <t>Otávio Cardoso</t>
        </is>
      </c>
      <c r="C208" s="40" t="inlineStr">
        <is>
          <t>Consulta</t>
        </is>
      </c>
      <c r="D208" s="41" t="inlineStr">
        <is>
          <t>Cartão de crédito</t>
        </is>
      </c>
      <c r="E208" s="41" t="n">
        <v>2</v>
      </c>
      <c r="F208" s="49" t="n">
        <v>380</v>
      </c>
      <c r="G208" s="41" t="n"/>
      <c r="H208" s="30">
        <f>IF(D208="","",IFERROR(INDEX(Config!$B$12:$B$15,MATCH(IF(AND(D208="Cartão de crédito",N(E208)&gt;1),"Cartão de crédito parcelado",D208),Config!$A$12:$A$15,0)),0)+IF(AND(Config!$B$17="Sim",LEFT(D208,17)="Cartão de crédito"),Config!$B$18*IFERROR(INDEX(Config!$C$12:$C$15,MATCH(IF(AND(D208="Cartão de crédito",N(E208)&gt;1),"Cartão de crédito parcelado",D208),Config!$A$12:$A$15,0)),0)/30*MAX(1,N(E208)),0))</f>
        <v>0.039</v>
      </c>
      <c r="I208" s="29">
        <f>IF(OR(D208="",F208=""),"",ROUND(F208*H208,2))</f>
        <v>14.82</v>
      </c>
      <c r="J208" s="29">
        <f>IF(I208="","",F208-I208)</f>
        <v>365.18</v>
      </c>
      <c r="K208" s="37">
        <f>IF(OR(D208="",A208=""),"",A208+IF(AND(Config!$B$17="Sim",LEFT(D208,17)="Cartão de crédito"),1,IFERROR(INDEX(Config!$C$12:$C$15,MATCH(IF(AND(D208="Cartão de crédito",N(E208)&gt;1),"Cartão de crédito parcelado",D208),Config!$A$12:$A$15,0)),0)))</f>
        <v>46303.0</v>
      </c>
      <c r="L208" s="27">
        <f>IF(A208="","",MONTH(A208))</f>
        <v>9</v>
      </c>
      <c r="M208" s="27">
        <f>IF(A208="","",YEAR(A208))</f>
        <v>2026</v>
      </c>
      <c r="N208" s="27" t="str">
        <f>IF(K208="","",IF(G208="Sim","Conferido",IF(K208&gt;Config!$B$8,"A cair","A conferir")))</f>
        <v>A cair</v>
      </c>
      <c r="O208" s="50">
        <f>IF(N208="A conferir",(Config!$B$8-K208)*1000+N(F208)/1000+ROW()/100000,0)</f>
        <v>0</v>
      </c>
    </row>
    <row r="209">
      <c r="A209" s="48" t="n">
        <v>46273</v>
      </c>
      <c r="B209" s="40" t="inlineStr">
        <is>
          <t>Otávio Nascimento</t>
        </is>
      </c>
      <c r="C209" s="40" t="inlineStr">
        <is>
          <t>Consulta</t>
        </is>
      </c>
      <c r="D209" s="41" t="inlineStr">
        <is>
          <t>Cartão de crédito</t>
        </is>
      </c>
      <c r="E209" s="41" t="n">
        <v>2</v>
      </c>
      <c r="F209" s="49" t="n">
        <v>380</v>
      </c>
      <c r="G209" s="41" t="n"/>
      <c r="H209" s="30">
        <f>IF(D209="","",IFERROR(INDEX(Config!$B$12:$B$15,MATCH(IF(AND(D209="Cartão de crédito",N(E209)&gt;1),"Cartão de crédito parcelado",D209),Config!$A$12:$A$15,0)),0)+IF(AND(Config!$B$17="Sim",LEFT(D209,17)="Cartão de crédito"),Config!$B$18*IFERROR(INDEX(Config!$C$12:$C$15,MATCH(IF(AND(D209="Cartão de crédito",N(E209)&gt;1),"Cartão de crédito parcelado",D209),Config!$A$12:$A$15,0)),0)/30*MAX(1,N(E209)),0))</f>
        <v>0.039</v>
      </c>
      <c r="I209" s="29">
        <f>IF(OR(D209="",F209=""),"",ROUND(F209*H209,2))</f>
        <v>14.82</v>
      </c>
      <c r="J209" s="29">
        <f>IF(I209="","",F209-I209)</f>
        <v>365.18</v>
      </c>
      <c r="K209" s="37">
        <f>IF(OR(D209="",A209=""),"",A209+IF(AND(Config!$B$17="Sim",LEFT(D209,17)="Cartão de crédito"),1,IFERROR(INDEX(Config!$C$12:$C$15,MATCH(IF(AND(D209="Cartão de crédito",N(E209)&gt;1),"Cartão de crédito parcelado",D209),Config!$A$12:$A$15,0)),0)))</f>
        <v>46303.0</v>
      </c>
      <c r="L209" s="27">
        <f>IF(A209="","",MONTH(A209))</f>
        <v>9</v>
      </c>
      <c r="M209" s="27">
        <f>IF(A209="","",YEAR(A209))</f>
        <v>2026</v>
      </c>
      <c r="N209" s="27" t="str">
        <f>IF(K209="","",IF(G209="Sim","Conferido",IF(K209&gt;Config!$B$8,"A cair","A conferir")))</f>
        <v>A cair</v>
      </c>
      <c r="O209" s="50">
        <f>IF(N209="A conferir",(Config!$B$8-K209)*1000+N(F209)/1000+ROW()/100000,0)</f>
        <v>0</v>
      </c>
    </row>
    <row r="210">
      <c r="A210" s="48" t="n">
        <v>46273</v>
      </c>
      <c r="B210" s="40" t="inlineStr">
        <is>
          <t>Mariana Nascimento</t>
        </is>
      </c>
      <c r="C210" s="40" t="inlineStr">
        <is>
          <t>Consulta</t>
        </is>
      </c>
      <c r="D210" s="41" t="inlineStr">
        <is>
          <t>Cartão de crédito</t>
        </is>
      </c>
      <c r="E210" s="41" t="n"/>
      <c r="F210" s="49" t="n">
        <v>380</v>
      </c>
      <c r="G210" s="41" t="n"/>
      <c r="H210" s="30">
        <f>IF(D210="","",IFERROR(INDEX(Config!$B$12:$B$15,MATCH(IF(AND(D210="Cartão de crédito",N(E210)&gt;1),"Cartão de crédito parcelado",D210),Config!$A$12:$A$15,0)),0)+IF(AND(Config!$B$17="Sim",LEFT(D210,17)="Cartão de crédito"),Config!$B$18*IFERROR(INDEX(Config!$C$12:$C$15,MATCH(IF(AND(D210="Cartão de crédito",N(E210)&gt;1),"Cartão de crédito parcelado",D210),Config!$A$12:$A$15,0)),0)/30*MAX(1,N(E210)),0))</f>
        <v>0.032</v>
      </c>
      <c r="I210" s="29">
        <f>IF(OR(D210="",F210=""),"",ROUND(F210*H210,2))</f>
        <v>12.16</v>
      </c>
      <c r="J210" s="29">
        <f>IF(I210="","",F210-I210)</f>
        <v>367.84</v>
      </c>
      <c r="K210" s="37">
        <f>IF(OR(D210="",A210=""),"",A210+IF(AND(Config!$B$17="Sim",LEFT(D210,17)="Cartão de crédito"),1,IFERROR(INDEX(Config!$C$12:$C$15,MATCH(IF(AND(D210="Cartão de crédito",N(E210)&gt;1),"Cartão de crédito parcelado",D210),Config!$A$12:$A$15,0)),0)))</f>
        <v>46303.0</v>
      </c>
      <c r="L210" s="27">
        <f>IF(A210="","",MONTH(A210))</f>
        <v>9</v>
      </c>
      <c r="M210" s="27">
        <f>IF(A210="","",YEAR(A210))</f>
        <v>2026</v>
      </c>
      <c r="N210" s="27" t="str">
        <f>IF(K210="","",IF(G210="Sim","Conferido",IF(K210&gt;Config!$B$8,"A cair","A conferir")))</f>
        <v>A cair</v>
      </c>
      <c r="O210" s="50">
        <f>IF(N210="A conferir",(Config!$B$8-K210)*1000+N(F210)/1000+ROW()/100000,0)</f>
        <v>0</v>
      </c>
    </row>
    <row r="211">
      <c r="A211" s="48" t="n">
        <v>46273</v>
      </c>
      <c r="B211" s="40" t="inlineStr">
        <is>
          <t>Beatriz Gomes</t>
        </is>
      </c>
      <c r="C211" s="40" t="inlineStr">
        <is>
          <t>Avaliação endócrina</t>
        </is>
      </c>
      <c r="D211" s="41" t="inlineStr">
        <is>
          <t>Cartão de crédito</t>
        </is>
      </c>
      <c r="E211" s="41" t="n"/>
      <c r="F211" s="49" t="n">
        <v>400</v>
      </c>
      <c r="G211" s="41" t="n"/>
      <c r="H211" s="30">
        <f>IF(D211="","",IFERROR(INDEX(Config!$B$12:$B$15,MATCH(IF(AND(D211="Cartão de crédito",N(E211)&gt;1),"Cartão de crédito parcelado",D211),Config!$A$12:$A$15,0)),0)+IF(AND(Config!$B$17="Sim",LEFT(D211,17)="Cartão de crédito"),Config!$B$18*IFERROR(INDEX(Config!$C$12:$C$15,MATCH(IF(AND(D211="Cartão de crédito",N(E211)&gt;1),"Cartão de crédito parcelado",D211),Config!$A$12:$A$15,0)),0)/30*MAX(1,N(E211)),0))</f>
        <v>0.032</v>
      </c>
      <c r="I211" s="29">
        <f>IF(OR(D211="",F211=""),"",ROUND(F211*H211,2))</f>
        <v>12.8</v>
      </c>
      <c r="J211" s="29">
        <f>IF(I211="","",F211-I211)</f>
        <v>387.2</v>
      </c>
      <c r="K211" s="37">
        <f>IF(OR(D211="",A211=""),"",A211+IF(AND(Config!$B$17="Sim",LEFT(D211,17)="Cartão de crédito"),1,IFERROR(INDEX(Config!$C$12:$C$15,MATCH(IF(AND(D211="Cartão de crédito",N(E211)&gt;1),"Cartão de crédito parcelado",D211),Config!$A$12:$A$15,0)),0)))</f>
        <v>46303.0</v>
      </c>
      <c r="L211" s="27">
        <f>IF(A211="","",MONTH(A211))</f>
        <v>9</v>
      </c>
      <c r="M211" s="27">
        <f>IF(A211="","",YEAR(A211))</f>
        <v>2026</v>
      </c>
      <c r="N211" s="27" t="str">
        <f>IF(K211="","",IF(G211="Sim","Conferido",IF(K211&gt;Config!$B$8,"A cair","A conferir")))</f>
        <v>A cair</v>
      </c>
      <c r="O211" s="50">
        <f>IF(N211="A conferir",(Config!$B$8-K211)*1000+N(F211)/1000+ROW()/100000,0)</f>
        <v>0</v>
      </c>
    </row>
    <row r="212">
      <c r="A212" s="48" t="n">
        <v>46273</v>
      </c>
      <c r="B212" s="40" t="inlineStr">
        <is>
          <t>Gisele Xavier</t>
        </is>
      </c>
      <c r="C212" s="40" t="inlineStr">
        <is>
          <t>MAPA</t>
        </is>
      </c>
      <c r="D212" s="41" t="inlineStr">
        <is>
          <t>Pix</t>
        </is>
      </c>
      <c r="E212" s="41" t="n"/>
      <c r="F212" s="49" t="n">
        <v>300</v>
      </c>
      <c r="G212" s="41" t="inlineStr">
        <is>
          <t>Sim</t>
        </is>
      </c>
      <c r="H212" s="30">
        <f>IF(D212="","",IFERROR(INDEX(Config!$B$12:$B$15,MATCH(IF(AND(D212="Cartão de crédito",N(E212)&gt;1),"Cartão de crédito parcelado",D212),Config!$A$12:$A$15,0)),0)+IF(AND(Config!$B$17="Sim",LEFT(D212,17)="Cartão de crédito"),Config!$B$18*IFERROR(INDEX(Config!$C$12:$C$15,MATCH(IF(AND(D212="Cartão de crédito",N(E212)&gt;1),"Cartão de crédito parcelado",D212),Config!$A$12:$A$15,0)),0)/30*MAX(1,N(E212)),0))</f>
        <v>0</v>
      </c>
      <c r="I212" s="29">
        <f>IF(OR(D212="",F212=""),"",ROUND(F212*H212,2))</f>
        <v>0</v>
      </c>
      <c r="J212" s="29">
        <f>IF(I212="","",F212-I212)</f>
        <v>300</v>
      </c>
      <c r="K212" s="37">
        <f>IF(OR(D212="",A212=""),"",A212+IF(AND(Config!$B$17="Sim",LEFT(D212,17)="Cartão de crédito"),1,IFERROR(INDEX(Config!$C$12:$C$15,MATCH(IF(AND(D212="Cartão de crédito",N(E212)&gt;1),"Cartão de crédito parcelado",D212),Config!$A$12:$A$15,0)),0)))</f>
        <v>46273.0</v>
      </c>
      <c r="L212" s="27">
        <f>IF(A212="","",MONTH(A212))</f>
        <v>9</v>
      </c>
      <c r="M212" s="27">
        <f>IF(A212="","",YEAR(A212))</f>
        <v>2026</v>
      </c>
      <c r="N212" s="27" t="str">
        <f>IF(K212="","",IF(G212="Sim","Conferido",IF(K212&gt;Config!$B$8,"A cair","A conferir")))</f>
        <v>Conferido</v>
      </c>
      <c r="O212" s="50">
        <f>IF(N212="A conferir",(Config!$B$8-K212)*1000+N(F212)/1000+ROW()/100000,0)</f>
        <v>0</v>
      </c>
    </row>
    <row r="213">
      <c r="A213" s="48" t="n">
        <v>46273</v>
      </c>
      <c r="B213" s="40" t="inlineStr">
        <is>
          <t>Gabriel Reis</t>
        </is>
      </c>
      <c r="C213" s="40" t="inlineStr">
        <is>
          <t>Avaliação endócrina</t>
        </is>
      </c>
      <c r="D213" s="41" t="inlineStr">
        <is>
          <t>Pix</t>
        </is>
      </c>
      <c r="E213" s="41" t="n"/>
      <c r="F213" s="49" t="n">
        <v>400</v>
      </c>
      <c r="G213" s="41" t="inlineStr">
        <is>
          <t>Sim</t>
        </is>
      </c>
      <c r="H213" s="30">
        <f>IF(D213="","",IFERROR(INDEX(Config!$B$12:$B$15,MATCH(IF(AND(D213="Cartão de crédito",N(E213)&gt;1),"Cartão de crédito parcelado",D213),Config!$A$12:$A$15,0)),0)+IF(AND(Config!$B$17="Sim",LEFT(D213,17)="Cartão de crédito"),Config!$B$18*IFERROR(INDEX(Config!$C$12:$C$15,MATCH(IF(AND(D213="Cartão de crédito",N(E213)&gt;1),"Cartão de crédito parcelado",D213),Config!$A$12:$A$15,0)),0)/30*MAX(1,N(E213)),0))</f>
        <v>0</v>
      </c>
      <c r="I213" s="29">
        <f>IF(OR(D213="",F213=""),"",ROUND(F213*H213,2))</f>
        <v>0</v>
      </c>
      <c r="J213" s="29">
        <f>IF(I213="","",F213-I213)</f>
        <v>400</v>
      </c>
      <c r="K213" s="37">
        <f>IF(OR(D213="",A213=""),"",A213+IF(AND(Config!$B$17="Sim",LEFT(D213,17)="Cartão de crédito"),1,IFERROR(INDEX(Config!$C$12:$C$15,MATCH(IF(AND(D213="Cartão de crédito",N(E213)&gt;1),"Cartão de crédito parcelado",D213),Config!$A$12:$A$15,0)),0)))</f>
        <v>46273.0</v>
      </c>
      <c r="L213" s="27">
        <f>IF(A213="","",MONTH(A213))</f>
        <v>9</v>
      </c>
      <c r="M213" s="27">
        <f>IF(A213="","",YEAR(A213))</f>
        <v>2026</v>
      </c>
      <c r="N213" s="27" t="str">
        <f>IF(K213="","",IF(G213="Sim","Conferido",IF(K213&gt;Config!$B$8,"A cair","A conferir")))</f>
        <v>Conferido</v>
      </c>
      <c r="O213" s="50">
        <f>IF(N213="A conferir",(Config!$B$8-K213)*1000+N(F213)/1000+ROW()/100000,0)</f>
        <v>0</v>
      </c>
    </row>
    <row r="214">
      <c r="A214" s="48" t="n">
        <v>46273</v>
      </c>
      <c r="B214" s="40" t="inlineStr">
        <is>
          <t>Fábio Gomes</t>
        </is>
      </c>
      <c r="C214" s="40" t="inlineStr">
        <is>
          <t>Avaliação endócrina</t>
        </is>
      </c>
      <c r="D214" s="41" t="inlineStr">
        <is>
          <t>Cartão de crédito</t>
        </is>
      </c>
      <c r="E214" s="41" t="n">
        <v>2</v>
      </c>
      <c r="F214" s="49" t="n">
        <v>400</v>
      </c>
      <c r="G214" s="41" t="n"/>
      <c r="H214" s="30">
        <f>IF(D214="","",IFERROR(INDEX(Config!$B$12:$B$15,MATCH(IF(AND(D214="Cartão de crédito",N(E214)&gt;1),"Cartão de crédito parcelado",D214),Config!$A$12:$A$15,0)),0)+IF(AND(Config!$B$17="Sim",LEFT(D214,17)="Cartão de crédito"),Config!$B$18*IFERROR(INDEX(Config!$C$12:$C$15,MATCH(IF(AND(D214="Cartão de crédito",N(E214)&gt;1),"Cartão de crédito parcelado",D214),Config!$A$12:$A$15,0)),0)/30*MAX(1,N(E214)),0))</f>
        <v>0.039</v>
      </c>
      <c r="I214" s="29">
        <f>IF(OR(D214="",F214=""),"",ROUND(F214*H214,2))</f>
        <v>15.6</v>
      </c>
      <c r="J214" s="29">
        <f>IF(I214="","",F214-I214)</f>
        <v>384.4</v>
      </c>
      <c r="K214" s="37">
        <f>IF(OR(D214="",A214=""),"",A214+IF(AND(Config!$B$17="Sim",LEFT(D214,17)="Cartão de crédito"),1,IFERROR(INDEX(Config!$C$12:$C$15,MATCH(IF(AND(D214="Cartão de crédito",N(E214)&gt;1),"Cartão de crédito parcelado",D214),Config!$A$12:$A$15,0)),0)))</f>
        <v>46303.0</v>
      </c>
      <c r="L214" s="27">
        <f>IF(A214="","",MONTH(A214))</f>
        <v>9</v>
      </c>
      <c r="M214" s="27">
        <f>IF(A214="","",YEAR(A214))</f>
        <v>2026</v>
      </c>
      <c r="N214" s="27" t="str">
        <f>IF(K214="","",IF(G214="Sim","Conferido",IF(K214&gt;Config!$B$8,"A cair","A conferir")))</f>
        <v>A cair</v>
      </c>
      <c r="O214" s="50">
        <f>IF(N214="A conferir",(Config!$B$8-K214)*1000+N(F214)/1000+ROW()/100000,0)</f>
        <v>0</v>
      </c>
    </row>
    <row r="215">
      <c r="A215" s="48" t="n">
        <v>46274</v>
      </c>
      <c r="B215" s="40" t="inlineStr">
        <is>
          <t>Gisele Ribeiro</t>
        </is>
      </c>
      <c r="C215" s="40" t="inlineStr">
        <is>
          <t>Consulta</t>
        </is>
      </c>
      <c r="D215" s="41" t="inlineStr">
        <is>
          <t>Cartão de crédito</t>
        </is>
      </c>
      <c r="E215" s="41" t="n">
        <v>2</v>
      </c>
      <c r="F215" s="49" t="n">
        <v>380</v>
      </c>
      <c r="G215" s="41" t="n"/>
      <c r="H215" s="30">
        <f>IF(D215="","",IFERROR(INDEX(Config!$B$12:$B$15,MATCH(IF(AND(D215="Cartão de crédito",N(E215)&gt;1),"Cartão de crédito parcelado",D215),Config!$A$12:$A$15,0)),0)+IF(AND(Config!$B$17="Sim",LEFT(D215,17)="Cartão de crédito"),Config!$B$18*IFERROR(INDEX(Config!$C$12:$C$15,MATCH(IF(AND(D215="Cartão de crédito",N(E215)&gt;1),"Cartão de crédito parcelado",D215),Config!$A$12:$A$15,0)),0)/30*MAX(1,N(E215)),0))</f>
        <v>0.039</v>
      </c>
      <c r="I215" s="29">
        <f>IF(OR(D215="",F215=""),"",ROUND(F215*H215,2))</f>
        <v>14.82</v>
      </c>
      <c r="J215" s="29">
        <f>IF(I215="","",F215-I215)</f>
        <v>365.18</v>
      </c>
      <c r="K215" s="37">
        <f>IF(OR(D215="",A215=""),"",A215+IF(AND(Config!$B$17="Sim",LEFT(D215,17)="Cartão de crédito"),1,IFERROR(INDEX(Config!$C$12:$C$15,MATCH(IF(AND(D215="Cartão de crédito",N(E215)&gt;1),"Cartão de crédito parcelado",D215),Config!$A$12:$A$15,0)),0)))</f>
        <v>46304.0</v>
      </c>
      <c r="L215" s="27">
        <f>IF(A215="","",MONTH(A215))</f>
        <v>9</v>
      </c>
      <c r="M215" s="27">
        <f>IF(A215="","",YEAR(A215))</f>
        <v>2026</v>
      </c>
      <c r="N215" s="27" t="str">
        <f>IF(K215="","",IF(G215="Sim","Conferido",IF(K215&gt;Config!$B$8,"A cair","A conferir")))</f>
        <v>A cair</v>
      </c>
      <c r="O215" s="50">
        <f>IF(N215="A conferir",(Config!$B$8-K215)*1000+N(F215)/1000+ROW()/100000,0)</f>
        <v>0</v>
      </c>
    </row>
    <row r="216">
      <c r="A216" s="48" t="n">
        <v>46274</v>
      </c>
      <c r="B216" s="40" t="inlineStr">
        <is>
          <t>Gustavo Ferreira</t>
        </is>
      </c>
      <c r="C216" s="40" t="inlineStr">
        <is>
          <t>Consulta</t>
        </is>
      </c>
      <c r="D216" s="41" t="inlineStr">
        <is>
          <t>Pix</t>
        </is>
      </c>
      <c r="E216" s="41" t="n"/>
      <c r="F216" s="49" t="n">
        <v>380</v>
      </c>
      <c r="G216" s="41" t="inlineStr">
        <is>
          <t>Sim</t>
        </is>
      </c>
      <c r="H216" s="30">
        <f>IF(D216="","",IFERROR(INDEX(Config!$B$12:$B$15,MATCH(IF(AND(D216="Cartão de crédito",N(E216)&gt;1),"Cartão de crédito parcelado",D216),Config!$A$12:$A$15,0)),0)+IF(AND(Config!$B$17="Sim",LEFT(D216,17)="Cartão de crédito"),Config!$B$18*IFERROR(INDEX(Config!$C$12:$C$15,MATCH(IF(AND(D216="Cartão de crédito",N(E216)&gt;1),"Cartão de crédito parcelado",D216),Config!$A$12:$A$15,0)),0)/30*MAX(1,N(E216)),0))</f>
        <v>0</v>
      </c>
      <c r="I216" s="29">
        <f>IF(OR(D216="",F216=""),"",ROUND(F216*H216,2))</f>
        <v>0</v>
      </c>
      <c r="J216" s="29">
        <f>IF(I216="","",F216-I216)</f>
        <v>380</v>
      </c>
      <c r="K216" s="37">
        <f>IF(OR(D216="",A216=""),"",A216+IF(AND(Config!$B$17="Sim",LEFT(D216,17)="Cartão de crédito"),1,IFERROR(INDEX(Config!$C$12:$C$15,MATCH(IF(AND(D216="Cartão de crédito",N(E216)&gt;1),"Cartão de crédito parcelado",D216),Config!$A$12:$A$15,0)),0)))</f>
        <v>46274.0</v>
      </c>
      <c r="L216" s="27">
        <f>IF(A216="","",MONTH(A216))</f>
        <v>9</v>
      </c>
      <c r="M216" s="27">
        <f>IF(A216="","",YEAR(A216))</f>
        <v>2026</v>
      </c>
      <c r="N216" s="27" t="str">
        <f>IF(K216="","",IF(G216="Sim","Conferido",IF(K216&gt;Config!$B$8,"A cair","A conferir")))</f>
        <v>Conferido</v>
      </c>
      <c r="O216" s="50">
        <f>IF(N216="A conferir",(Config!$B$8-K216)*1000+N(F216)/1000+ROW()/100000,0)</f>
        <v>0</v>
      </c>
    </row>
    <row r="217">
      <c r="A217" s="48" t="n">
        <v>46274</v>
      </c>
      <c r="B217" s="40" t="inlineStr">
        <is>
          <t>Cláudia Santos</t>
        </is>
      </c>
      <c r="C217" s="40" t="inlineStr">
        <is>
          <t>Consulta</t>
        </is>
      </c>
      <c r="D217" s="41" t="inlineStr">
        <is>
          <t>Cartão de débito</t>
        </is>
      </c>
      <c r="E217" s="41" t="n"/>
      <c r="F217" s="49" t="n">
        <v>380</v>
      </c>
      <c r="G217" s="41" t="n"/>
      <c r="H217" s="30">
        <f>IF(D217="","",IFERROR(INDEX(Config!$B$12:$B$15,MATCH(IF(AND(D217="Cartão de crédito",N(E217)&gt;1),"Cartão de crédito parcelado",D217),Config!$A$12:$A$15,0)),0)+IF(AND(Config!$B$17="Sim",LEFT(D217,17)="Cartão de crédito"),Config!$B$18*IFERROR(INDEX(Config!$C$12:$C$15,MATCH(IF(AND(D217="Cartão de crédito",N(E217)&gt;1),"Cartão de crédito parcelado",D217),Config!$A$12:$A$15,0)),0)/30*MAX(1,N(E217)),0))</f>
        <v>0.015</v>
      </c>
      <c r="I217" s="29">
        <f>IF(OR(D217="",F217=""),"",ROUND(F217*H217,2))</f>
        <v>5.7</v>
      </c>
      <c r="J217" s="29">
        <f>IF(I217="","",F217-I217)</f>
        <v>374.3</v>
      </c>
      <c r="K217" s="37">
        <f>IF(OR(D217="",A217=""),"",A217+IF(AND(Config!$B$17="Sim",LEFT(D217,17)="Cartão de crédito"),1,IFERROR(INDEX(Config!$C$12:$C$15,MATCH(IF(AND(D217="Cartão de crédito",N(E217)&gt;1),"Cartão de crédito parcelado",D217),Config!$A$12:$A$15,0)),0)))</f>
        <v>46275.0</v>
      </c>
      <c r="L217" s="27">
        <f>IF(A217="","",MONTH(A217))</f>
        <v>9</v>
      </c>
      <c r="M217" s="27">
        <f>IF(A217="","",YEAR(A217))</f>
        <v>2026</v>
      </c>
      <c r="N217" s="27" t="str">
        <f>IF(K217="","",IF(G217="Sim","Conferido",IF(K217&gt;Config!$B$8,"A cair","A conferir")))</f>
        <v>A conferir</v>
      </c>
      <c r="O217" s="50">
        <f>IF(N217="A conferir",(Config!$B$8-K217)*1000+N(F217)/1000+ROW()/100000,0)</f>
        <v>4000.38217</v>
      </c>
    </row>
    <row r="218">
      <c r="A218" s="48" t="n">
        <v>46275</v>
      </c>
      <c r="B218" s="40" t="inlineStr">
        <is>
          <t>Helena Moreira</t>
        </is>
      </c>
      <c r="C218" s="40" t="inlineStr">
        <is>
          <t>Consulta</t>
        </is>
      </c>
      <c r="D218" s="41" t="inlineStr">
        <is>
          <t>Cartão de crédito</t>
        </is>
      </c>
      <c r="E218" s="41" t="n"/>
      <c r="F218" s="49" t="n">
        <v>380</v>
      </c>
      <c r="G218" s="41" t="n"/>
      <c r="H218" s="30">
        <f>IF(D218="","",IFERROR(INDEX(Config!$B$12:$B$15,MATCH(IF(AND(D218="Cartão de crédito",N(E218)&gt;1),"Cartão de crédito parcelado",D218),Config!$A$12:$A$15,0)),0)+IF(AND(Config!$B$17="Sim",LEFT(D218,17)="Cartão de crédito"),Config!$B$18*IFERROR(INDEX(Config!$C$12:$C$15,MATCH(IF(AND(D218="Cartão de crédito",N(E218)&gt;1),"Cartão de crédito parcelado",D218),Config!$A$12:$A$15,0)),0)/30*MAX(1,N(E218)),0))</f>
        <v>0.032</v>
      </c>
      <c r="I218" s="29">
        <f>IF(OR(D218="",F218=""),"",ROUND(F218*H218,2))</f>
        <v>12.16</v>
      </c>
      <c r="J218" s="29">
        <f>IF(I218="","",F218-I218)</f>
        <v>367.84</v>
      </c>
      <c r="K218" s="37">
        <f>IF(OR(D218="",A218=""),"",A218+IF(AND(Config!$B$17="Sim",LEFT(D218,17)="Cartão de crédito"),1,IFERROR(INDEX(Config!$C$12:$C$15,MATCH(IF(AND(D218="Cartão de crédito",N(E218)&gt;1),"Cartão de crédito parcelado",D218),Config!$A$12:$A$15,0)),0)))</f>
        <v>46305.0</v>
      </c>
      <c r="L218" s="27">
        <f>IF(A218="","",MONTH(A218))</f>
        <v>9</v>
      </c>
      <c r="M218" s="27">
        <f>IF(A218="","",YEAR(A218))</f>
        <v>2026</v>
      </c>
      <c r="N218" s="27" t="str">
        <f>IF(K218="","",IF(G218="Sim","Conferido",IF(K218&gt;Config!$B$8,"A cair","A conferir")))</f>
        <v>A cair</v>
      </c>
      <c r="O218" s="50">
        <f>IF(N218="A conferir",(Config!$B$8-K218)*1000+N(F218)/1000+ROW()/100000,0)</f>
        <v>0</v>
      </c>
    </row>
    <row r="219">
      <c r="A219" s="48" t="n">
        <v>46275</v>
      </c>
      <c r="B219" s="40" t="inlineStr">
        <is>
          <t>Regina Macedo</t>
        </is>
      </c>
      <c r="C219" s="40" t="inlineStr">
        <is>
          <t>Consulta</t>
        </is>
      </c>
      <c r="D219" s="41" t="inlineStr">
        <is>
          <t>Pix</t>
        </is>
      </c>
      <c r="E219" s="41" t="n"/>
      <c r="F219" s="49" t="n">
        <v>380</v>
      </c>
      <c r="G219" s="41" t="n"/>
      <c r="H219" s="30">
        <f>IF(D219="","",IFERROR(INDEX(Config!$B$12:$B$15,MATCH(IF(AND(D219="Cartão de crédito",N(E219)&gt;1),"Cartão de crédito parcelado",D219),Config!$A$12:$A$15,0)),0)+IF(AND(Config!$B$17="Sim",LEFT(D219,17)="Cartão de crédito"),Config!$B$18*IFERROR(INDEX(Config!$C$12:$C$15,MATCH(IF(AND(D219="Cartão de crédito",N(E219)&gt;1),"Cartão de crédito parcelado",D219),Config!$A$12:$A$15,0)),0)/30*MAX(1,N(E219)),0))</f>
        <v>0</v>
      </c>
      <c r="I219" s="29">
        <f>IF(OR(D219="",F219=""),"",ROUND(F219*H219,2))</f>
        <v>0</v>
      </c>
      <c r="J219" s="29">
        <f>IF(I219="","",F219-I219)</f>
        <v>380</v>
      </c>
      <c r="K219" s="37">
        <f>IF(OR(D219="",A219=""),"",A219+IF(AND(Config!$B$17="Sim",LEFT(D219,17)="Cartão de crédito"),1,IFERROR(INDEX(Config!$C$12:$C$15,MATCH(IF(AND(D219="Cartão de crédito",N(E219)&gt;1),"Cartão de crédito parcelado",D219),Config!$A$12:$A$15,0)),0)))</f>
        <v>46275.0</v>
      </c>
      <c r="L219" s="27">
        <f>IF(A219="","",MONTH(A219))</f>
        <v>9</v>
      </c>
      <c r="M219" s="27">
        <f>IF(A219="","",YEAR(A219))</f>
        <v>2026</v>
      </c>
      <c r="N219" s="27" t="str">
        <f>IF(K219="","",IF(G219="Sim","Conferido",IF(K219&gt;Config!$B$8,"A cair","A conferir")))</f>
        <v>A conferir</v>
      </c>
      <c r="O219" s="50">
        <f>IF(N219="A conferir",(Config!$B$8-K219)*1000+N(F219)/1000+ROW()/100000,0)</f>
        <v>4000.38219</v>
      </c>
    </row>
    <row r="220">
      <c r="A220" s="48" t="n">
        <v>46275</v>
      </c>
      <c r="B220" s="40" t="inlineStr">
        <is>
          <t>Rafael Dias</t>
        </is>
      </c>
      <c r="C220" s="40" t="inlineStr">
        <is>
          <t>Consulta</t>
        </is>
      </c>
      <c r="D220" s="41" t="inlineStr">
        <is>
          <t>Cartão de débito</t>
        </is>
      </c>
      <c r="E220" s="41" t="n"/>
      <c r="F220" s="49" t="n">
        <v>380</v>
      </c>
      <c r="G220" s="41" t="n"/>
      <c r="H220" s="30">
        <f>IF(D220="","",IFERROR(INDEX(Config!$B$12:$B$15,MATCH(IF(AND(D220="Cartão de crédito",N(E220)&gt;1),"Cartão de crédito parcelado",D220),Config!$A$12:$A$15,0)),0)+IF(AND(Config!$B$17="Sim",LEFT(D220,17)="Cartão de crédito"),Config!$B$18*IFERROR(INDEX(Config!$C$12:$C$15,MATCH(IF(AND(D220="Cartão de crédito",N(E220)&gt;1),"Cartão de crédito parcelado",D220),Config!$A$12:$A$15,0)),0)/30*MAX(1,N(E220)),0))</f>
        <v>0.015</v>
      </c>
      <c r="I220" s="29">
        <f>IF(OR(D220="",F220=""),"",ROUND(F220*H220,2))</f>
        <v>5.7</v>
      </c>
      <c r="J220" s="29">
        <f>IF(I220="","",F220-I220)</f>
        <v>374.3</v>
      </c>
      <c r="K220" s="37">
        <f>IF(OR(D220="",A220=""),"",A220+IF(AND(Config!$B$17="Sim",LEFT(D220,17)="Cartão de crédito"),1,IFERROR(INDEX(Config!$C$12:$C$15,MATCH(IF(AND(D220="Cartão de crédito",N(E220)&gt;1),"Cartão de crédito parcelado",D220),Config!$A$12:$A$15,0)),0)))</f>
        <v>46276.0</v>
      </c>
      <c r="L220" s="27">
        <f>IF(A220="","",MONTH(A220))</f>
        <v>9</v>
      </c>
      <c r="M220" s="27">
        <f>IF(A220="","",YEAR(A220))</f>
        <v>2026</v>
      </c>
      <c r="N220" s="27" t="str">
        <f>IF(K220="","",IF(G220="Sim","Conferido",IF(K220&gt;Config!$B$8,"A cair","A conferir")))</f>
        <v>A conferir</v>
      </c>
      <c r="O220" s="50">
        <f>IF(N220="A conferir",(Config!$B$8-K220)*1000+N(F220)/1000+ROW()/100000,0)</f>
        <v>3000.3822</v>
      </c>
    </row>
    <row r="221">
      <c r="A221" s="48" t="n">
        <v>46275</v>
      </c>
      <c r="B221" s="40" t="inlineStr">
        <is>
          <t>Mônica Almeida</t>
        </is>
      </c>
      <c r="C221" s="40" t="inlineStr">
        <is>
          <t>Avaliação endócrina</t>
        </is>
      </c>
      <c r="D221" s="41" t="inlineStr">
        <is>
          <t>Pix</t>
        </is>
      </c>
      <c r="E221" s="41" t="n"/>
      <c r="F221" s="49" t="n">
        <v>400</v>
      </c>
      <c r="G221" s="41" t="n"/>
      <c r="H221" s="30">
        <f>IF(D221="","",IFERROR(INDEX(Config!$B$12:$B$15,MATCH(IF(AND(D221="Cartão de crédito",N(E221)&gt;1),"Cartão de crédito parcelado",D221),Config!$A$12:$A$15,0)),0)+IF(AND(Config!$B$17="Sim",LEFT(D221,17)="Cartão de crédito"),Config!$B$18*IFERROR(INDEX(Config!$C$12:$C$15,MATCH(IF(AND(D221="Cartão de crédito",N(E221)&gt;1),"Cartão de crédito parcelado",D221),Config!$A$12:$A$15,0)),0)/30*MAX(1,N(E221)),0))</f>
        <v>0</v>
      </c>
      <c r="I221" s="29">
        <f>IF(OR(D221="",F221=""),"",ROUND(F221*H221,2))</f>
        <v>0</v>
      </c>
      <c r="J221" s="29">
        <f>IF(I221="","",F221-I221)</f>
        <v>400</v>
      </c>
      <c r="K221" s="37">
        <f>IF(OR(D221="",A221=""),"",A221+IF(AND(Config!$B$17="Sim",LEFT(D221,17)="Cartão de crédito"),1,IFERROR(INDEX(Config!$C$12:$C$15,MATCH(IF(AND(D221="Cartão de crédito",N(E221)&gt;1),"Cartão de crédito parcelado",D221),Config!$A$12:$A$15,0)),0)))</f>
        <v>46275.0</v>
      </c>
      <c r="L221" s="27">
        <f>IF(A221="","",MONTH(A221))</f>
        <v>9</v>
      </c>
      <c r="M221" s="27">
        <f>IF(A221="","",YEAR(A221))</f>
        <v>2026</v>
      </c>
      <c r="N221" s="27" t="str">
        <f>IF(K221="","",IF(G221="Sim","Conferido",IF(K221&gt;Config!$B$8,"A cair","A conferir")))</f>
        <v>A conferir</v>
      </c>
      <c r="O221" s="50">
        <f>IF(N221="A conferir",(Config!$B$8-K221)*1000+N(F221)/1000+ROW()/100000,0)</f>
        <v>4000.40221</v>
      </c>
    </row>
    <row r="222">
      <c r="A222" s="48" t="n">
        <v>46275</v>
      </c>
      <c r="B222" s="40" t="inlineStr">
        <is>
          <t>Cláudia Melo</t>
        </is>
      </c>
      <c r="C222" s="40" t="inlineStr">
        <is>
          <t>Avaliação endócrina</t>
        </is>
      </c>
      <c r="D222" s="41" t="inlineStr">
        <is>
          <t>Cartão de crédito</t>
        </is>
      </c>
      <c r="E222" s="41" t="n"/>
      <c r="F222" s="49" t="n">
        <v>400</v>
      </c>
      <c r="G222" s="41" t="n"/>
      <c r="H222" s="30">
        <f>IF(D222="","",IFERROR(INDEX(Config!$B$12:$B$15,MATCH(IF(AND(D222="Cartão de crédito",N(E222)&gt;1),"Cartão de crédito parcelado",D222),Config!$A$12:$A$15,0)),0)+IF(AND(Config!$B$17="Sim",LEFT(D222,17)="Cartão de crédito"),Config!$B$18*IFERROR(INDEX(Config!$C$12:$C$15,MATCH(IF(AND(D222="Cartão de crédito",N(E222)&gt;1),"Cartão de crédito parcelado",D222),Config!$A$12:$A$15,0)),0)/30*MAX(1,N(E222)),0))</f>
        <v>0.032</v>
      </c>
      <c r="I222" s="29">
        <f>IF(OR(D222="",F222=""),"",ROUND(F222*H222,2))</f>
        <v>12.8</v>
      </c>
      <c r="J222" s="29">
        <f>IF(I222="","",F222-I222)</f>
        <v>387.2</v>
      </c>
      <c r="K222" s="37">
        <f>IF(OR(D222="",A222=""),"",A222+IF(AND(Config!$B$17="Sim",LEFT(D222,17)="Cartão de crédito"),1,IFERROR(INDEX(Config!$C$12:$C$15,MATCH(IF(AND(D222="Cartão de crédito",N(E222)&gt;1),"Cartão de crédito parcelado",D222),Config!$A$12:$A$15,0)),0)))</f>
        <v>46305.0</v>
      </c>
      <c r="L222" s="27">
        <f>IF(A222="","",MONTH(A222))</f>
        <v>9</v>
      </c>
      <c r="M222" s="27">
        <f>IF(A222="","",YEAR(A222))</f>
        <v>2026</v>
      </c>
      <c r="N222" s="27" t="str">
        <f>IF(K222="","",IF(G222="Sim","Conferido",IF(K222&gt;Config!$B$8,"A cair","A conferir")))</f>
        <v>A cair</v>
      </c>
      <c r="O222" s="50">
        <f>IF(N222="A conferir",(Config!$B$8-K222)*1000+N(F222)/1000+ROW()/100000,0)</f>
        <v>0</v>
      </c>
    </row>
    <row r="223">
      <c r="A223" s="48" t="n">
        <v>46275</v>
      </c>
      <c r="B223" s="40" t="inlineStr">
        <is>
          <t>Eduardo Lima</t>
        </is>
      </c>
      <c r="C223" s="40" t="inlineStr">
        <is>
          <t>MAPA</t>
        </is>
      </c>
      <c r="D223" s="41" t="inlineStr">
        <is>
          <t>Cartão de débito</t>
        </is>
      </c>
      <c r="E223" s="41" t="n"/>
      <c r="F223" s="49" t="n">
        <v>300</v>
      </c>
      <c r="G223" s="41" t="n"/>
      <c r="H223" s="30">
        <f>IF(D223="","",IFERROR(INDEX(Config!$B$12:$B$15,MATCH(IF(AND(D223="Cartão de crédito",N(E223)&gt;1),"Cartão de crédito parcelado",D223),Config!$A$12:$A$15,0)),0)+IF(AND(Config!$B$17="Sim",LEFT(D223,17)="Cartão de crédito"),Config!$B$18*IFERROR(INDEX(Config!$C$12:$C$15,MATCH(IF(AND(D223="Cartão de crédito",N(E223)&gt;1),"Cartão de crédito parcelado",D223),Config!$A$12:$A$15,0)),0)/30*MAX(1,N(E223)),0))</f>
        <v>0.015</v>
      </c>
      <c r="I223" s="29">
        <f>IF(OR(D223="",F223=""),"",ROUND(F223*H223,2))</f>
        <v>4.5</v>
      </c>
      <c r="J223" s="29">
        <f>IF(I223="","",F223-I223)</f>
        <v>295.5</v>
      </c>
      <c r="K223" s="37">
        <f>IF(OR(D223="",A223=""),"",A223+IF(AND(Config!$B$17="Sim",LEFT(D223,17)="Cartão de crédito"),1,IFERROR(INDEX(Config!$C$12:$C$15,MATCH(IF(AND(D223="Cartão de crédito",N(E223)&gt;1),"Cartão de crédito parcelado",D223),Config!$A$12:$A$15,0)),0)))</f>
        <v>46276.0</v>
      </c>
      <c r="L223" s="27">
        <f>IF(A223="","",MONTH(A223))</f>
        <v>9</v>
      </c>
      <c r="M223" s="27">
        <f>IF(A223="","",YEAR(A223))</f>
        <v>2026</v>
      </c>
      <c r="N223" s="27" t="str">
        <f>IF(K223="","",IF(G223="Sim","Conferido",IF(K223&gt;Config!$B$8,"A cair","A conferir")))</f>
        <v>A conferir</v>
      </c>
      <c r="O223" s="50">
        <f>IF(N223="A conferir",(Config!$B$8-K223)*1000+N(F223)/1000+ROW()/100000,0)</f>
        <v>3000.30223</v>
      </c>
    </row>
    <row r="224">
      <c r="A224" s="48" t="n">
        <v>46276</v>
      </c>
      <c r="B224" s="40" t="inlineStr">
        <is>
          <t>Regina Duarte</t>
        </is>
      </c>
      <c r="C224" s="40" t="inlineStr">
        <is>
          <t>ECG</t>
        </is>
      </c>
      <c r="D224" s="41" t="inlineStr">
        <is>
          <t>Cartão de crédito</t>
        </is>
      </c>
      <c r="E224" s="41" t="n"/>
      <c r="F224" s="49" t="n">
        <v>130</v>
      </c>
      <c r="G224" s="41" t="n"/>
      <c r="H224" s="30">
        <f>IF(D224="","",IFERROR(INDEX(Config!$B$12:$B$15,MATCH(IF(AND(D224="Cartão de crédito",N(E224)&gt;1),"Cartão de crédito parcelado",D224),Config!$A$12:$A$15,0)),0)+IF(AND(Config!$B$17="Sim",LEFT(D224,17)="Cartão de crédito"),Config!$B$18*IFERROR(INDEX(Config!$C$12:$C$15,MATCH(IF(AND(D224="Cartão de crédito",N(E224)&gt;1),"Cartão de crédito parcelado",D224),Config!$A$12:$A$15,0)),0)/30*MAX(1,N(E224)),0))</f>
        <v>0.032</v>
      </c>
      <c r="I224" s="29">
        <f>IF(OR(D224="",F224=""),"",ROUND(F224*H224,2))</f>
        <v>4.16</v>
      </c>
      <c r="J224" s="29">
        <f>IF(I224="","",F224-I224)</f>
        <v>125.84</v>
      </c>
      <c r="K224" s="37">
        <f>IF(OR(D224="",A224=""),"",A224+IF(AND(Config!$B$17="Sim",LEFT(D224,17)="Cartão de crédito"),1,IFERROR(INDEX(Config!$C$12:$C$15,MATCH(IF(AND(D224="Cartão de crédito",N(E224)&gt;1),"Cartão de crédito parcelado",D224),Config!$A$12:$A$15,0)),0)))</f>
        <v>46306.0</v>
      </c>
      <c r="L224" s="27">
        <f>IF(A224="","",MONTH(A224))</f>
        <v>9</v>
      </c>
      <c r="M224" s="27">
        <f>IF(A224="","",YEAR(A224))</f>
        <v>2026</v>
      </c>
      <c r="N224" s="27" t="str">
        <f>IF(K224="","",IF(G224="Sim","Conferido",IF(K224&gt;Config!$B$8,"A cair","A conferir")))</f>
        <v>A cair</v>
      </c>
      <c r="O224" s="50">
        <f>IF(N224="A conferir",(Config!$B$8-K224)*1000+N(F224)/1000+ROW()/100000,0)</f>
        <v>0</v>
      </c>
    </row>
    <row r="225">
      <c r="A225" s="48" t="n"/>
      <c r="B225" s="40" t="n"/>
      <c r="C225" s="40" t="n"/>
      <c r="D225" s="41" t="n"/>
      <c r="E225" s="41" t="n"/>
      <c r="F225" s="49" t="n"/>
      <c r="G225" s="41" t="n"/>
      <c r="H225" s="30">
        <f>IF(D225="","",IFERROR(INDEX(Config!$B$12:$B$15,MATCH(IF(AND(D225="Cartão de crédito",N(E225)&gt;1),"Cartão de crédito parcelado",D225),Config!$A$12:$A$15,0)),0)+IF(AND(Config!$B$17="Sim",LEFT(D225,17)="Cartão de crédito"),Config!$B$18*IFERROR(INDEX(Config!$C$12:$C$15,MATCH(IF(AND(D225="Cartão de crédito",N(E225)&gt;1),"Cartão de crédito parcelado",D225),Config!$A$12:$A$15,0)),0)/30*MAX(1,N(E225)),0))</f>
        <v/>
      </c>
      <c r="I225" s="29">
        <f>IF(OR(D225="",F225=""),"",ROUND(F225*H225,2))</f>
        <v/>
      </c>
      <c r="J225" s="29">
        <f>IF(I225="","",F225-I225)</f>
        <v/>
      </c>
      <c r="K225" s="37">
        <f>IF(OR(D225="",A225=""),"",A225+IF(AND(Config!$B$17="Sim",LEFT(D225,17)="Cartão de crédito"),1,IFERROR(INDEX(Config!$C$12:$C$15,MATCH(IF(AND(D225="Cartão de crédito",N(E225)&gt;1),"Cartão de crédito parcelado",D225),Config!$A$12:$A$15,0)),0)))</f>
        <v/>
      </c>
      <c r="L225" s="27">
        <f>IF(A225="","",MONTH(A225))</f>
        <v/>
      </c>
      <c r="M225" s="27">
        <f>IF(A225="","",YEAR(A225))</f>
        <v/>
      </c>
      <c r="N225" s="27">
        <f>IF(K225="","",IF(G225="Sim","Conferido",IF(K225&gt;Config!$B$8,"A cair","A conferir")))</f>
        <v/>
      </c>
      <c r="O225" s="50">
        <f>IF(N225="A conferir",(Config!$B$8-K225)*1000+N(F225)/1000+ROW()/100000,0)</f>
        <v>0</v>
      </c>
    </row>
    <row r="226">
      <c r="A226" s="48" t="n"/>
      <c r="B226" s="40" t="n"/>
      <c r="C226" s="40" t="n"/>
      <c r="D226" s="41" t="n"/>
      <c r="E226" s="41" t="n"/>
      <c r="F226" s="49" t="n"/>
      <c r="G226" s="41" t="n"/>
      <c r="H226" s="30">
        <f>IF(D226="","",IFERROR(INDEX(Config!$B$12:$B$15,MATCH(IF(AND(D226="Cartão de crédito",N(E226)&gt;1),"Cartão de crédito parcelado",D226),Config!$A$12:$A$15,0)),0)+IF(AND(Config!$B$17="Sim",LEFT(D226,17)="Cartão de crédito"),Config!$B$18*IFERROR(INDEX(Config!$C$12:$C$15,MATCH(IF(AND(D226="Cartão de crédito",N(E226)&gt;1),"Cartão de crédito parcelado",D226),Config!$A$12:$A$15,0)),0)/30*MAX(1,N(E226)),0))</f>
        <v/>
      </c>
      <c r="I226" s="29">
        <f>IF(OR(D226="",F226=""),"",ROUND(F226*H226,2))</f>
        <v/>
      </c>
      <c r="J226" s="29">
        <f>IF(I226="","",F226-I226)</f>
        <v/>
      </c>
      <c r="K226" s="37">
        <f>IF(OR(D226="",A226=""),"",A226+IF(AND(Config!$B$17="Sim",LEFT(D226,17)="Cartão de crédito"),1,IFERROR(INDEX(Config!$C$12:$C$15,MATCH(IF(AND(D226="Cartão de crédito",N(E226)&gt;1),"Cartão de crédito parcelado",D226),Config!$A$12:$A$15,0)),0)))</f>
        <v/>
      </c>
      <c r="L226" s="27">
        <f>IF(A226="","",MONTH(A226))</f>
        <v/>
      </c>
      <c r="M226" s="27">
        <f>IF(A226="","",YEAR(A226))</f>
        <v/>
      </c>
      <c r="N226" s="27">
        <f>IF(K226="","",IF(G226="Sim","Conferido",IF(K226&gt;Config!$B$8,"A cair","A conferir")))</f>
        <v/>
      </c>
      <c r="O226" s="50">
        <f>IF(N226="A conferir",(Config!$B$8-K226)*1000+N(F226)/1000+ROW()/100000,0)</f>
        <v>0</v>
      </c>
    </row>
    <row r="227">
      <c r="A227" s="48" t="n"/>
      <c r="B227" s="40" t="n"/>
      <c r="C227" s="40" t="n"/>
      <c r="D227" s="41" t="n"/>
      <c r="E227" s="41" t="n"/>
      <c r="F227" s="49" t="n"/>
      <c r="G227" s="41" t="n"/>
      <c r="H227" s="30">
        <f>IF(D227="","",IFERROR(INDEX(Config!$B$12:$B$15,MATCH(IF(AND(D227="Cartão de crédito",N(E227)&gt;1),"Cartão de crédito parcelado",D227),Config!$A$12:$A$15,0)),0)+IF(AND(Config!$B$17="Sim",LEFT(D227,17)="Cartão de crédito"),Config!$B$18*IFERROR(INDEX(Config!$C$12:$C$15,MATCH(IF(AND(D227="Cartão de crédito",N(E227)&gt;1),"Cartão de crédito parcelado",D227),Config!$A$12:$A$15,0)),0)/30*MAX(1,N(E227)),0))</f>
        <v/>
      </c>
      <c r="I227" s="29">
        <f>IF(OR(D227="",F227=""),"",ROUND(F227*H227,2))</f>
        <v/>
      </c>
      <c r="J227" s="29">
        <f>IF(I227="","",F227-I227)</f>
        <v/>
      </c>
      <c r="K227" s="37">
        <f>IF(OR(D227="",A227=""),"",A227+IF(AND(Config!$B$17="Sim",LEFT(D227,17)="Cartão de crédito"),1,IFERROR(INDEX(Config!$C$12:$C$15,MATCH(IF(AND(D227="Cartão de crédito",N(E227)&gt;1),"Cartão de crédito parcelado",D227),Config!$A$12:$A$15,0)),0)))</f>
        <v/>
      </c>
      <c r="L227" s="27">
        <f>IF(A227="","",MONTH(A227))</f>
        <v/>
      </c>
      <c r="M227" s="27">
        <f>IF(A227="","",YEAR(A227))</f>
        <v/>
      </c>
      <c r="N227" s="27">
        <f>IF(K227="","",IF(G227="Sim","Conferido",IF(K227&gt;Config!$B$8,"A cair","A conferir")))</f>
        <v/>
      </c>
      <c r="O227" s="50">
        <f>IF(N227="A conferir",(Config!$B$8-K227)*1000+N(F227)/1000+ROW()/100000,0)</f>
        <v>0</v>
      </c>
    </row>
    <row r="228">
      <c r="A228" s="48" t="n"/>
      <c r="B228" s="40" t="n"/>
      <c r="C228" s="40" t="n"/>
      <c r="D228" s="41" t="n"/>
      <c r="E228" s="41" t="n"/>
      <c r="F228" s="49" t="n"/>
      <c r="G228" s="41" t="n"/>
      <c r="H228" s="30">
        <f>IF(D228="","",IFERROR(INDEX(Config!$B$12:$B$15,MATCH(IF(AND(D228="Cartão de crédito",N(E228)&gt;1),"Cartão de crédito parcelado",D228),Config!$A$12:$A$15,0)),0)+IF(AND(Config!$B$17="Sim",LEFT(D228,17)="Cartão de crédito"),Config!$B$18*IFERROR(INDEX(Config!$C$12:$C$15,MATCH(IF(AND(D228="Cartão de crédito",N(E228)&gt;1),"Cartão de crédito parcelado",D228),Config!$A$12:$A$15,0)),0)/30*MAX(1,N(E228)),0))</f>
        <v/>
      </c>
      <c r="I228" s="29">
        <f>IF(OR(D228="",F228=""),"",ROUND(F228*H228,2))</f>
        <v/>
      </c>
      <c r="J228" s="29">
        <f>IF(I228="","",F228-I228)</f>
        <v/>
      </c>
      <c r="K228" s="37">
        <f>IF(OR(D228="",A228=""),"",A228+IF(AND(Config!$B$17="Sim",LEFT(D228,17)="Cartão de crédito"),1,IFERROR(INDEX(Config!$C$12:$C$15,MATCH(IF(AND(D228="Cartão de crédito",N(E228)&gt;1),"Cartão de crédito parcelado",D228),Config!$A$12:$A$15,0)),0)))</f>
        <v/>
      </c>
      <c r="L228" s="27">
        <f>IF(A228="","",MONTH(A228))</f>
        <v/>
      </c>
      <c r="M228" s="27">
        <f>IF(A228="","",YEAR(A228))</f>
        <v/>
      </c>
      <c r="N228" s="27">
        <f>IF(K228="","",IF(G228="Sim","Conferido",IF(K228&gt;Config!$B$8,"A cair","A conferir")))</f>
        <v/>
      </c>
      <c r="O228" s="50">
        <f>IF(N228="A conferir",(Config!$B$8-K228)*1000+N(F228)/1000+ROW()/100000,0)</f>
        <v>0</v>
      </c>
    </row>
    <row r="229">
      <c r="A229" s="48" t="n"/>
      <c r="B229" s="40" t="n"/>
      <c r="C229" s="40" t="n"/>
      <c r="D229" s="41" t="n"/>
      <c r="E229" s="41" t="n"/>
      <c r="F229" s="49" t="n"/>
      <c r="G229" s="41" t="n"/>
      <c r="H229" s="30">
        <f>IF(D229="","",IFERROR(INDEX(Config!$B$12:$B$15,MATCH(IF(AND(D229="Cartão de crédito",N(E229)&gt;1),"Cartão de crédito parcelado",D229),Config!$A$12:$A$15,0)),0)+IF(AND(Config!$B$17="Sim",LEFT(D229,17)="Cartão de crédito"),Config!$B$18*IFERROR(INDEX(Config!$C$12:$C$15,MATCH(IF(AND(D229="Cartão de crédito",N(E229)&gt;1),"Cartão de crédito parcelado",D229),Config!$A$12:$A$15,0)),0)/30*MAX(1,N(E229)),0))</f>
        <v/>
      </c>
      <c r="I229" s="29">
        <f>IF(OR(D229="",F229=""),"",ROUND(F229*H229,2))</f>
        <v/>
      </c>
      <c r="J229" s="29">
        <f>IF(I229="","",F229-I229)</f>
        <v/>
      </c>
      <c r="K229" s="37">
        <f>IF(OR(D229="",A229=""),"",A229+IF(AND(Config!$B$17="Sim",LEFT(D229,17)="Cartão de crédito"),1,IFERROR(INDEX(Config!$C$12:$C$15,MATCH(IF(AND(D229="Cartão de crédito",N(E229)&gt;1),"Cartão de crédito parcelado",D229),Config!$A$12:$A$15,0)),0)))</f>
        <v/>
      </c>
      <c r="L229" s="27">
        <f>IF(A229="","",MONTH(A229))</f>
        <v/>
      </c>
      <c r="M229" s="27">
        <f>IF(A229="","",YEAR(A229))</f>
        <v/>
      </c>
      <c r="N229" s="27">
        <f>IF(K229="","",IF(G229="Sim","Conferido",IF(K229&gt;Config!$B$8,"A cair","A conferir")))</f>
        <v/>
      </c>
      <c r="O229" s="50">
        <f>IF(N229="A conferir",(Config!$B$8-K229)*1000+N(F229)/1000+ROW()/100000,0)</f>
        <v>0</v>
      </c>
    </row>
    <row r="230">
      <c r="A230" s="48" t="n"/>
      <c r="B230" s="40" t="n"/>
      <c r="C230" s="40" t="n"/>
      <c r="D230" s="41" t="n"/>
      <c r="E230" s="41" t="n"/>
      <c r="F230" s="49" t="n"/>
      <c r="G230" s="41" t="n"/>
      <c r="H230" s="30">
        <f>IF(D230="","",IFERROR(INDEX(Config!$B$12:$B$15,MATCH(IF(AND(D230="Cartão de crédito",N(E230)&gt;1),"Cartão de crédito parcelado",D230),Config!$A$12:$A$15,0)),0)+IF(AND(Config!$B$17="Sim",LEFT(D230,17)="Cartão de crédito"),Config!$B$18*IFERROR(INDEX(Config!$C$12:$C$15,MATCH(IF(AND(D230="Cartão de crédito",N(E230)&gt;1),"Cartão de crédito parcelado",D230),Config!$A$12:$A$15,0)),0)/30*MAX(1,N(E230)),0))</f>
        <v/>
      </c>
      <c r="I230" s="29">
        <f>IF(OR(D230="",F230=""),"",ROUND(F230*H230,2))</f>
        <v/>
      </c>
      <c r="J230" s="29">
        <f>IF(I230="","",F230-I230)</f>
        <v/>
      </c>
      <c r="K230" s="37">
        <f>IF(OR(D230="",A230=""),"",A230+IF(AND(Config!$B$17="Sim",LEFT(D230,17)="Cartão de crédito"),1,IFERROR(INDEX(Config!$C$12:$C$15,MATCH(IF(AND(D230="Cartão de crédito",N(E230)&gt;1),"Cartão de crédito parcelado",D230),Config!$A$12:$A$15,0)),0)))</f>
        <v/>
      </c>
      <c r="L230" s="27">
        <f>IF(A230="","",MONTH(A230))</f>
        <v/>
      </c>
      <c r="M230" s="27">
        <f>IF(A230="","",YEAR(A230))</f>
        <v/>
      </c>
      <c r="N230" s="27">
        <f>IF(K230="","",IF(G230="Sim","Conferido",IF(K230&gt;Config!$B$8,"A cair","A conferir")))</f>
        <v/>
      </c>
      <c r="O230" s="50">
        <f>IF(N230="A conferir",(Config!$B$8-K230)*1000+N(F230)/1000+ROW()/100000,0)</f>
        <v>0</v>
      </c>
    </row>
    <row r="231">
      <c r="A231" s="48" t="n"/>
      <c r="B231" s="40" t="n"/>
      <c r="C231" s="40" t="n"/>
      <c r="D231" s="41" t="n"/>
      <c r="E231" s="41" t="n"/>
      <c r="F231" s="49" t="n"/>
      <c r="G231" s="41" t="n"/>
      <c r="H231" s="30">
        <f>IF(D231="","",IFERROR(INDEX(Config!$B$12:$B$15,MATCH(IF(AND(D231="Cartão de crédito",N(E231)&gt;1),"Cartão de crédito parcelado",D231),Config!$A$12:$A$15,0)),0)+IF(AND(Config!$B$17="Sim",LEFT(D231,17)="Cartão de crédito"),Config!$B$18*IFERROR(INDEX(Config!$C$12:$C$15,MATCH(IF(AND(D231="Cartão de crédito",N(E231)&gt;1),"Cartão de crédito parcelado",D231),Config!$A$12:$A$15,0)),0)/30*MAX(1,N(E231)),0))</f>
        <v/>
      </c>
      <c r="I231" s="29">
        <f>IF(OR(D231="",F231=""),"",ROUND(F231*H231,2))</f>
        <v/>
      </c>
      <c r="J231" s="29">
        <f>IF(I231="","",F231-I231)</f>
        <v/>
      </c>
      <c r="K231" s="37">
        <f>IF(OR(D231="",A231=""),"",A231+IF(AND(Config!$B$17="Sim",LEFT(D231,17)="Cartão de crédito"),1,IFERROR(INDEX(Config!$C$12:$C$15,MATCH(IF(AND(D231="Cartão de crédito",N(E231)&gt;1),"Cartão de crédito parcelado",D231),Config!$A$12:$A$15,0)),0)))</f>
        <v/>
      </c>
      <c r="L231" s="27">
        <f>IF(A231="","",MONTH(A231))</f>
        <v/>
      </c>
      <c r="M231" s="27">
        <f>IF(A231="","",YEAR(A231))</f>
        <v/>
      </c>
      <c r="N231" s="27">
        <f>IF(K231="","",IF(G231="Sim","Conferido",IF(K231&gt;Config!$B$8,"A cair","A conferir")))</f>
        <v/>
      </c>
      <c r="O231" s="50">
        <f>IF(N231="A conferir",(Config!$B$8-K231)*1000+N(F231)/1000+ROW()/100000,0)</f>
        <v>0</v>
      </c>
    </row>
    <row r="232">
      <c r="A232" s="48" t="n"/>
      <c r="B232" s="40" t="n"/>
      <c r="C232" s="40" t="n"/>
      <c r="D232" s="41" t="n"/>
      <c r="E232" s="41" t="n"/>
      <c r="F232" s="49" t="n"/>
      <c r="G232" s="41" t="n"/>
      <c r="H232" s="30">
        <f>IF(D232="","",IFERROR(INDEX(Config!$B$12:$B$15,MATCH(IF(AND(D232="Cartão de crédito",N(E232)&gt;1),"Cartão de crédito parcelado",D232),Config!$A$12:$A$15,0)),0)+IF(AND(Config!$B$17="Sim",LEFT(D232,17)="Cartão de crédito"),Config!$B$18*IFERROR(INDEX(Config!$C$12:$C$15,MATCH(IF(AND(D232="Cartão de crédito",N(E232)&gt;1),"Cartão de crédito parcelado",D232),Config!$A$12:$A$15,0)),0)/30*MAX(1,N(E232)),0))</f>
        <v/>
      </c>
      <c r="I232" s="29">
        <f>IF(OR(D232="",F232=""),"",ROUND(F232*H232,2))</f>
        <v/>
      </c>
      <c r="J232" s="29">
        <f>IF(I232="","",F232-I232)</f>
        <v/>
      </c>
      <c r="K232" s="37">
        <f>IF(OR(D232="",A232=""),"",A232+IF(AND(Config!$B$17="Sim",LEFT(D232,17)="Cartão de crédito"),1,IFERROR(INDEX(Config!$C$12:$C$15,MATCH(IF(AND(D232="Cartão de crédito",N(E232)&gt;1),"Cartão de crédito parcelado",D232),Config!$A$12:$A$15,0)),0)))</f>
        <v/>
      </c>
      <c r="L232" s="27">
        <f>IF(A232="","",MONTH(A232))</f>
        <v/>
      </c>
      <c r="M232" s="27">
        <f>IF(A232="","",YEAR(A232))</f>
        <v/>
      </c>
      <c r="N232" s="27">
        <f>IF(K232="","",IF(G232="Sim","Conferido",IF(K232&gt;Config!$B$8,"A cair","A conferir")))</f>
        <v/>
      </c>
      <c r="O232" s="50">
        <f>IF(N232="A conferir",(Config!$B$8-K232)*1000+N(F232)/1000+ROW()/100000,0)</f>
        <v>0</v>
      </c>
    </row>
    <row r="233">
      <c r="A233" s="48" t="n"/>
      <c r="B233" s="40" t="n"/>
      <c r="C233" s="40" t="n"/>
      <c r="D233" s="41" t="n"/>
      <c r="E233" s="41" t="n"/>
      <c r="F233" s="49" t="n"/>
      <c r="G233" s="41" t="n"/>
      <c r="H233" s="30">
        <f>IF(D233="","",IFERROR(INDEX(Config!$B$12:$B$15,MATCH(IF(AND(D233="Cartão de crédito",N(E233)&gt;1),"Cartão de crédito parcelado",D233),Config!$A$12:$A$15,0)),0)+IF(AND(Config!$B$17="Sim",LEFT(D233,17)="Cartão de crédito"),Config!$B$18*IFERROR(INDEX(Config!$C$12:$C$15,MATCH(IF(AND(D233="Cartão de crédito",N(E233)&gt;1),"Cartão de crédito parcelado",D233),Config!$A$12:$A$15,0)),0)/30*MAX(1,N(E233)),0))</f>
        <v/>
      </c>
      <c r="I233" s="29">
        <f>IF(OR(D233="",F233=""),"",ROUND(F233*H233,2))</f>
        <v/>
      </c>
      <c r="J233" s="29">
        <f>IF(I233="","",F233-I233)</f>
        <v/>
      </c>
      <c r="K233" s="37">
        <f>IF(OR(D233="",A233=""),"",A233+IF(AND(Config!$B$17="Sim",LEFT(D233,17)="Cartão de crédito"),1,IFERROR(INDEX(Config!$C$12:$C$15,MATCH(IF(AND(D233="Cartão de crédito",N(E233)&gt;1),"Cartão de crédito parcelado",D233),Config!$A$12:$A$15,0)),0)))</f>
        <v/>
      </c>
      <c r="L233" s="27">
        <f>IF(A233="","",MONTH(A233))</f>
        <v/>
      </c>
      <c r="M233" s="27">
        <f>IF(A233="","",YEAR(A233))</f>
        <v/>
      </c>
      <c r="N233" s="27">
        <f>IF(K233="","",IF(G233="Sim","Conferido",IF(K233&gt;Config!$B$8,"A cair","A conferir")))</f>
        <v/>
      </c>
      <c r="O233" s="50">
        <f>IF(N233="A conferir",(Config!$B$8-K233)*1000+N(F233)/1000+ROW()/100000,0)</f>
        <v>0</v>
      </c>
    </row>
    <row r="234">
      <c r="A234" s="48" t="n"/>
      <c r="B234" s="40" t="n"/>
      <c r="C234" s="40" t="n"/>
      <c r="D234" s="41" t="n"/>
      <c r="E234" s="41" t="n"/>
      <c r="F234" s="49" t="n"/>
      <c r="G234" s="41" t="n"/>
      <c r="H234" s="30">
        <f>IF(D234="","",IFERROR(INDEX(Config!$B$12:$B$15,MATCH(IF(AND(D234="Cartão de crédito",N(E234)&gt;1),"Cartão de crédito parcelado",D234),Config!$A$12:$A$15,0)),0)+IF(AND(Config!$B$17="Sim",LEFT(D234,17)="Cartão de crédito"),Config!$B$18*IFERROR(INDEX(Config!$C$12:$C$15,MATCH(IF(AND(D234="Cartão de crédito",N(E234)&gt;1),"Cartão de crédito parcelado",D234),Config!$A$12:$A$15,0)),0)/30*MAX(1,N(E234)),0))</f>
        <v/>
      </c>
      <c r="I234" s="29">
        <f>IF(OR(D234="",F234=""),"",ROUND(F234*H234,2))</f>
        <v/>
      </c>
      <c r="J234" s="29">
        <f>IF(I234="","",F234-I234)</f>
        <v/>
      </c>
      <c r="K234" s="37">
        <f>IF(OR(D234="",A234=""),"",A234+IF(AND(Config!$B$17="Sim",LEFT(D234,17)="Cartão de crédito"),1,IFERROR(INDEX(Config!$C$12:$C$15,MATCH(IF(AND(D234="Cartão de crédito",N(E234)&gt;1),"Cartão de crédito parcelado",D234),Config!$A$12:$A$15,0)),0)))</f>
        <v/>
      </c>
      <c r="L234" s="27">
        <f>IF(A234="","",MONTH(A234))</f>
        <v/>
      </c>
      <c r="M234" s="27">
        <f>IF(A234="","",YEAR(A234))</f>
        <v/>
      </c>
      <c r="N234" s="27">
        <f>IF(K234="","",IF(G234="Sim","Conferido",IF(K234&gt;Config!$B$8,"A cair","A conferir")))</f>
        <v/>
      </c>
      <c r="O234" s="50">
        <f>IF(N234="A conferir",(Config!$B$8-K234)*1000+N(F234)/1000+ROW()/100000,0)</f>
        <v>0</v>
      </c>
    </row>
    <row r="235">
      <c r="A235" s="48" t="n"/>
      <c r="B235" s="40" t="n"/>
      <c r="C235" s="40" t="n"/>
      <c r="D235" s="41" t="n"/>
      <c r="E235" s="41" t="n"/>
      <c r="F235" s="49" t="n"/>
      <c r="G235" s="41" t="n"/>
      <c r="H235" s="30">
        <f>IF(D235="","",IFERROR(INDEX(Config!$B$12:$B$15,MATCH(IF(AND(D235="Cartão de crédito",N(E235)&gt;1),"Cartão de crédito parcelado",D235),Config!$A$12:$A$15,0)),0)+IF(AND(Config!$B$17="Sim",LEFT(D235,17)="Cartão de crédito"),Config!$B$18*IFERROR(INDEX(Config!$C$12:$C$15,MATCH(IF(AND(D235="Cartão de crédito",N(E235)&gt;1),"Cartão de crédito parcelado",D235),Config!$A$12:$A$15,0)),0)/30*MAX(1,N(E235)),0))</f>
        <v/>
      </c>
      <c r="I235" s="29">
        <f>IF(OR(D235="",F235=""),"",ROUND(F235*H235,2))</f>
        <v/>
      </c>
      <c r="J235" s="29">
        <f>IF(I235="","",F235-I235)</f>
        <v/>
      </c>
      <c r="K235" s="37">
        <f>IF(OR(D235="",A235=""),"",A235+IF(AND(Config!$B$17="Sim",LEFT(D235,17)="Cartão de crédito"),1,IFERROR(INDEX(Config!$C$12:$C$15,MATCH(IF(AND(D235="Cartão de crédito",N(E235)&gt;1),"Cartão de crédito parcelado",D235),Config!$A$12:$A$15,0)),0)))</f>
        <v/>
      </c>
      <c r="L235" s="27">
        <f>IF(A235="","",MONTH(A235))</f>
        <v/>
      </c>
      <c r="M235" s="27">
        <f>IF(A235="","",YEAR(A235))</f>
        <v/>
      </c>
      <c r="N235" s="27">
        <f>IF(K235="","",IF(G235="Sim","Conferido",IF(K235&gt;Config!$B$8,"A cair","A conferir")))</f>
        <v/>
      </c>
      <c r="O235" s="50">
        <f>IF(N235="A conferir",(Config!$B$8-K235)*1000+N(F235)/1000+ROW()/100000,0)</f>
        <v>0</v>
      </c>
    </row>
    <row r="236">
      <c r="A236" s="48" t="n"/>
      <c r="B236" s="40" t="n"/>
      <c r="C236" s="40" t="n"/>
      <c r="D236" s="41" t="n"/>
      <c r="E236" s="41" t="n"/>
      <c r="F236" s="49" t="n"/>
      <c r="G236" s="41" t="n"/>
      <c r="H236" s="30">
        <f>IF(D236="","",IFERROR(INDEX(Config!$B$12:$B$15,MATCH(IF(AND(D236="Cartão de crédito",N(E236)&gt;1),"Cartão de crédito parcelado",D236),Config!$A$12:$A$15,0)),0)+IF(AND(Config!$B$17="Sim",LEFT(D236,17)="Cartão de crédito"),Config!$B$18*IFERROR(INDEX(Config!$C$12:$C$15,MATCH(IF(AND(D236="Cartão de crédito",N(E236)&gt;1),"Cartão de crédito parcelado",D236),Config!$A$12:$A$15,0)),0)/30*MAX(1,N(E236)),0))</f>
        <v/>
      </c>
      <c r="I236" s="29">
        <f>IF(OR(D236="",F236=""),"",ROUND(F236*H236,2))</f>
        <v/>
      </c>
      <c r="J236" s="29">
        <f>IF(I236="","",F236-I236)</f>
        <v/>
      </c>
      <c r="K236" s="37">
        <f>IF(OR(D236="",A236=""),"",A236+IF(AND(Config!$B$17="Sim",LEFT(D236,17)="Cartão de crédito"),1,IFERROR(INDEX(Config!$C$12:$C$15,MATCH(IF(AND(D236="Cartão de crédito",N(E236)&gt;1),"Cartão de crédito parcelado",D236),Config!$A$12:$A$15,0)),0)))</f>
        <v/>
      </c>
      <c r="L236" s="27">
        <f>IF(A236="","",MONTH(A236))</f>
        <v/>
      </c>
      <c r="M236" s="27">
        <f>IF(A236="","",YEAR(A236))</f>
        <v/>
      </c>
      <c r="N236" s="27">
        <f>IF(K236="","",IF(G236="Sim","Conferido",IF(K236&gt;Config!$B$8,"A cair","A conferir")))</f>
        <v/>
      </c>
      <c r="O236" s="50">
        <f>IF(N236="A conferir",(Config!$B$8-K236)*1000+N(F236)/1000+ROW()/100000,0)</f>
        <v>0</v>
      </c>
    </row>
    <row r="237">
      <c r="A237" s="48" t="n"/>
      <c r="B237" s="40" t="n"/>
      <c r="C237" s="40" t="n"/>
      <c r="D237" s="41" t="n"/>
      <c r="E237" s="41" t="n"/>
      <c r="F237" s="49" t="n"/>
      <c r="G237" s="41" t="n"/>
      <c r="H237" s="30">
        <f>IF(D237="","",IFERROR(INDEX(Config!$B$12:$B$15,MATCH(IF(AND(D237="Cartão de crédito",N(E237)&gt;1),"Cartão de crédito parcelado",D237),Config!$A$12:$A$15,0)),0)+IF(AND(Config!$B$17="Sim",LEFT(D237,17)="Cartão de crédito"),Config!$B$18*IFERROR(INDEX(Config!$C$12:$C$15,MATCH(IF(AND(D237="Cartão de crédito",N(E237)&gt;1),"Cartão de crédito parcelado",D237),Config!$A$12:$A$15,0)),0)/30*MAX(1,N(E237)),0))</f>
        <v/>
      </c>
      <c r="I237" s="29">
        <f>IF(OR(D237="",F237=""),"",ROUND(F237*H237,2))</f>
        <v/>
      </c>
      <c r="J237" s="29">
        <f>IF(I237="","",F237-I237)</f>
        <v/>
      </c>
      <c r="K237" s="37">
        <f>IF(OR(D237="",A237=""),"",A237+IF(AND(Config!$B$17="Sim",LEFT(D237,17)="Cartão de crédito"),1,IFERROR(INDEX(Config!$C$12:$C$15,MATCH(IF(AND(D237="Cartão de crédito",N(E237)&gt;1),"Cartão de crédito parcelado",D237),Config!$A$12:$A$15,0)),0)))</f>
        <v/>
      </c>
      <c r="L237" s="27">
        <f>IF(A237="","",MONTH(A237))</f>
        <v/>
      </c>
      <c r="M237" s="27">
        <f>IF(A237="","",YEAR(A237))</f>
        <v/>
      </c>
      <c r="N237" s="27">
        <f>IF(K237="","",IF(G237="Sim","Conferido",IF(K237&gt;Config!$B$8,"A cair","A conferir")))</f>
        <v/>
      </c>
      <c r="O237" s="50">
        <f>IF(N237="A conferir",(Config!$B$8-K237)*1000+N(F237)/1000+ROW()/100000,0)</f>
        <v>0</v>
      </c>
    </row>
    <row r="238">
      <c r="A238" s="48" t="n"/>
      <c r="B238" s="40" t="n"/>
      <c r="C238" s="40" t="n"/>
      <c r="D238" s="41" t="n"/>
      <c r="E238" s="41" t="n"/>
      <c r="F238" s="49" t="n"/>
      <c r="G238" s="41" t="n"/>
      <c r="H238" s="30">
        <f>IF(D238="","",IFERROR(INDEX(Config!$B$12:$B$15,MATCH(IF(AND(D238="Cartão de crédito",N(E238)&gt;1),"Cartão de crédito parcelado",D238),Config!$A$12:$A$15,0)),0)+IF(AND(Config!$B$17="Sim",LEFT(D238,17)="Cartão de crédito"),Config!$B$18*IFERROR(INDEX(Config!$C$12:$C$15,MATCH(IF(AND(D238="Cartão de crédito",N(E238)&gt;1),"Cartão de crédito parcelado",D238),Config!$A$12:$A$15,0)),0)/30*MAX(1,N(E238)),0))</f>
        <v/>
      </c>
      <c r="I238" s="29">
        <f>IF(OR(D238="",F238=""),"",ROUND(F238*H238,2))</f>
        <v/>
      </c>
      <c r="J238" s="29">
        <f>IF(I238="","",F238-I238)</f>
        <v/>
      </c>
      <c r="K238" s="37">
        <f>IF(OR(D238="",A238=""),"",A238+IF(AND(Config!$B$17="Sim",LEFT(D238,17)="Cartão de crédito"),1,IFERROR(INDEX(Config!$C$12:$C$15,MATCH(IF(AND(D238="Cartão de crédito",N(E238)&gt;1),"Cartão de crédito parcelado",D238),Config!$A$12:$A$15,0)),0)))</f>
        <v/>
      </c>
      <c r="L238" s="27">
        <f>IF(A238="","",MONTH(A238))</f>
        <v/>
      </c>
      <c r="M238" s="27">
        <f>IF(A238="","",YEAR(A238))</f>
        <v/>
      </c>
      <c r="N238" s="27">
        <f>IF(K238="","",IF(G238="Sim","Conferido",IF(K238&gt;Config!$B$8,"A cair","A conferir")))</f>
        <v/>
      </c>
      <c r="O238" s="50">
        <f>IF(N238="A conferir",(Config!$B$8-K238)*1000+N(F238)/1000+ROW()/100000,0)</f>
        <v>0</v>
      </c>
    </row>
    <row r="239">
      <c r="A239" s="48" t="n"/>
      <c r="B239" s="40" t="n"/>
      <c r="C239" s="40" t="n"/>
      <c r="D239" s="41" t="n"/>
      <c r="E239" s="41" t="n"/>
      <c r="F239" s="49" t="n"/>
      <c r="G239" s="41" t="n"/>
      <c r="H239" s="30">
        <f>IF(D239="","",IFERROR(INDEX(Config!$B$12:$B$15,MATCH(IF(AND(D239="Cartão de crédito",N(E239)&gt;1),"Cartão de crédito parcelado",D239),Config!$A$12:$A$15,0)),0)+IF(AND(Config!$B$17="Sim",LEFT(D239,17)="Cartão de crédito"),Config!$B$18*IFERROR(INDEX(Config!$C$12:$C$15,MATCH(IF(AND(D239="Cartão de crédito",N(E239)&gt;1),"Cartão de crédito parcelado",D239),Config!$A$12:$A$15,0)),0)/30*MAX(1,N(E239)),0))</f>
        <v/>
      </c>
      <c r="I239" s="29">
        <f>IF(OR(D239="",F239=""),"",ROUND(F239*H239,2))</f>
        <v/>
      </c>
      <c r="J239" s="29">
        <f>IF(I239="","",F239-I239)</f>
        <v/>
      </c>
      <c r="K239" s="37">
        <f>IF(OR(D239="",A239=""),"",A239+IF(AND(Config!$B$17="Sim",LEFT(D239,17)="Cartão de crédito"),1,IFERROR(INDEX(Config!$C$12:$C$15,MATCH(IF(AND(D239="Cartão de crédito",N(E239)&gt;1),"Cartão de crédito parcelado",D239),Config!$A$12:$A$15,0)),0)))</f>
        <v/>
      </c>
      <c r="L239" s="27">
        <f>IF(A239="","",MONTH(A239))</f>
        <v/>
      </c>
      <c r="M239" s="27">
        <f>IF(A239="","",YEAR(A239))</f>
        <v/>
      </c>
      <c r="N239" s="27">
        <f>IF(K239="","",IF(G239="Sim","Conferido",IF(K239&gt;Config!$B$8,"A cair","A conferir")))</f>
        <v/>
      </c>
      <c r="O239" s="50">
        <f>IF(N239="A conferir",(Config!$B$8-K239)*1000+N(F239)/1000+ROW()/100000,0)</f>
        <v>0</v>
      </c>
    </row>
    <row r="240">
      <c r="A240" s="48" t="n"/>
      <c r="B240" s="40" t="n"/>
      <c r="C240" s="40" t="n"/>
      <c r="D240" s="41" t="n"/>
      <c r="E240" s="41" t="n"/>
      <c r="F240" s="49" t="n"/>
      <c r="G240" s="41" t="n"/>
      <c r="H240" s="30">
        <f>IF(D240="","",IFERROR(INDEX(Config!$B$12:$B$15,MATCH(IF(AND(D240="Cartão de crédito",N(E240)&gt;1),"Cartão de crédito parcelado",D240),Config!$A$12:$A$15,0)),0)+IF(AND(Config!$B$17="Sim",LEFT(D240,17)="Cartão de crédito"),Config!$B$18*IFERROR(INDEX(Config!$C$12:$C$15,MATCH(IF(AND(D240="Cartão de crédito",N(E240)&gt;1),"Cartão de crédito parcelado",D240),Config!$A$12:$A$15,0)),0)/30*MAX(1,N(E240)),0))</f>
        <v/>
      </c>
      <c r="I240" s="29">
        <f>IF(OR(D240="",F240=""),"",ROUND(F240*H240,2))</f>
        <v/>
      </c>
      <c r="J240" s="29">
        <f>IF(I240="","",F240-I240)</f>
        <v/>
      </c>
      <c r="K240" s="37">
        <f>IF(OR(D240="",A240=""),"",A240+IF(AND(Config!$B$17="Sim",LEFT(D240,17)="Cartão de crédito"),1,IFERROR(INDEX(Config!$C$12:$C$15,MATCH(IF(AND(D240="Cartão de crédito",N(E240)&gt;1),"Cartão de crédito parcelado",D240),Config!$A$12:$A$15,0)),0)))</f>
        <v/>
      </c>
      <c r="L240" s="27">
        <f>IF(A240="","",MONTH(A240))</f>
        <v/>
      </c>
      <c r="M240" s="27">
        <f>IF(A240="","",YEAR(A240))</f>
        <v/>
      </c>
      <c r="N240" s="27">
        <f>IF(K240="","",IF(G240="Sim","Conferido",IF(K240&gt;Config!$B$8,"A cair","A conferir")))</f>
        <v/>
      </c>
      <c r="O240" s="50">
        <f>IF(N240="A conferir",(Config!$B$8-K240)*1000+N(F240)/1000+ROW()/100000,0)</f>
        <v>0</v>
      </c>
    </row>
    <row r="241">
      <c r="A241" s="48" t="n"/>
      <c r="B241" s="40" t="n"/>
      <c r="C241" s="40" t="n"/>
      <c r="D241" s="41" t="n"/>
      <c r="E241" s="41" t="n"/>
      <c r="F241" s="49" t="n"/>
      <c r="G241" s="41" t="n"/>
      <c r="H241" s="30">
        <f>IF(D241="","",IFERROR(INDEX(Config!$B$12:$B$15,MATCH(IF(AND(D241="Cartão de crédito",N(E241)&gt;1),"Cartão de crédito parcelado",D241),Config!$A$12:$A$15,0)),0)+IF(AND(Config!$B$17="Sim",LEFT(D241,17)="Cartão de crédito"),Config!$B$18*IFERROR(INDEX(Config!$C$12:$C$15,MATCH(IF(AND(D241="Cartão de crédito",N(E241)&gt;1),"Cartão de crédito parcelado",D241),Config!$A$12:$A$15,0)),0)/30*MAX(1,N(E241)),0))</f>
        <v/>
      </c>
      <c r="I241" s="29">
        <f>IF(OR(D241="",F241=""),"",ROUND(F241*H241,2))</f>
        <v/>
      </c>
      <c r="J241" s="29">
        <f>IF(I241="","",F241-I241)</f>
        <v/>
      </c>
      <c r="K241" s="37">
        <f>IF(OR(D241="",A241=""),"",A241+IF(AND(Config!$B$17="Sim",LEFT(D241,17)="Cartão de crédito"),1,IFERROR(INDEX(Config!$C$12:$C$15,MATCH(IF(AND(D241="Cartão de crédito",N(E241)&gt;1),"Cartão de crédito parcelado",D241),Config!$A$12:$A$15,0)),0)))</f>
        <v/>
      </c>
      <c r="L241" s="27">
        <f>IF(A241="","",MONTH(A241))</f>
        <v/>
      </c>
      <c r="M241" s="27">
        <f>IF(A241="","",YEAR(A241))</f>
        <v/>
      </c>
      <c r="N241" s="27">
        <f>IF(K241="","",IF(G241="Sim","Conferido",IF(K241&gt;Config!$B$8,"A cair","A conferir")))</f>
        <v/>
      </c>
      <c r="O241" s="50">
        <f>IF(N241="A conferir",(Config!$B$8-K241)*1000+N(F241)/1000+ROW()/100000,0)</f>
        <v>0</v>
      </c>
    </row>
    <row r="242">
      <c r="A242" s="48" t="n"/>
      <c r="B242" s="40" t="n"/>
      <c r="C242" s="40" t="n"/>
      <c r="D242" s="41" t="n"/>
      <c r="E242" s="41" t="n"/>
      <c r="F242" s="49" t="n"/>
      <c r="G242" s="41" t="n"/>
      <c r="H242" s="30">
        <f>IF(D242="","",IFERROR(INDEX(Config!$B$12:$B$15,MATCH(IF(AND(D242="Cartão de crédito",N(E242)&gt;1),"Cartão de crédito parcelado",D242),Config!$A$12:$A$15,0)),0)+IF(AND(Config!$B$17="Sim",LEFT(D242,17)="Cartão de crédito"),Config!$B$18*IFERROR(INDEX(Config!$C$12:$C$15,MATCH(IF(AND(D242="Cartão de crédito",N(E242)&gt;1),"Cartão de crédito parcelado",D242),Config!$A$12:$A$15,0)),0)/30*MAX(1,N(E242)),0))</f>
        <v/>
      </c>
      <c r="I242" s="29">
        <f>IF(OR(D242="",F242=""),"",ROUND(F242*H242,2))</f>
        <v/>
      </c>
      <c r="J242" s="29">
        <f>IF(I242="","",F242-I242)</f>
        <v/>
      </c>
      <c r="K242" s="37">
        <f>IF(OR(D242="",A242=""),"",A242+IF(AND(Config!$B$17="Sim",LEFT(D242,17)="Cartão de crédito"),1,IFERROR(INDEX(Config!$C$12:$C$15,MATCH(IF(AND(D242="Cartão de crédito",N(E242)&gt;1),"Cartão de crédito parcelado",D242),Config!$A$12:$A$15,0)),0)))</f>
        <v/>
      </c>
      <c r="L242" s="27">
        <f>IF(A242="","",MONTH(A242))</f>
        <v/>
      </c>
      <c r="M242" s="27">
        <f>IF(A242="","",YEAR(A242))</f>
        <v/>
      </c>
      <c r="N242" s="27">
        <f>IF(K242="","",IF(G242="Sim","Conferido",IF(K242&gt;Config!$B$8,"A cair","A conferir")))</f>
        <v/>
      </c>
      <c r="O242" s="50">
        <f>IF(N242="A conferir",(Config!$B$8-K242)*1000+N(F242)/1000+ROW()/100000,0)</f>
        <v>0</v>
      </c>
    </row>
    <row r="243">
      <c r="A243" s="48" t="n"/>
      <c r="B243" s="40" t="n"/>
      <c r="C243" s="40" t="n"/>
      <c r="D243" s="41" t="n"/>
      <c r="E243" s="41" t="n"/>
      <c r="F243" s="49" t="n"/>
      <c r="G243" s="41" t="n"/>
      <c r="H243" s="30">
        <f>IF(D243="","",IFERROR(INDEX(Config!$B$12:$B$15,MATCH(IF(AND(D243="Cartão de crédito",N(E243)&gt;1),"Cartão de crédito parcelado",D243),Config!$A$12:$A$15,0)),0)+IF(AND(Config!$B$17="Sim",LEFT(D243,17)="Cartão de crédito"),Config!$B$18*IFERROR(INDEX(Config!$C$12:$C$15,MATCH(IF(AND(D243="Cartão de crédito",N(E243)&gt;1),"Cartão de crédito parcelado",D243),Config!$A$12:$A$15,0)),0)/30*MAX(1,N(E243)),0))</f>
        <v/>
      </c>
      <c r="I243" s="29">
        <f>IF(OR(D243="",F243=""),"",ROUND(F243*H243,2))</f>
        <v/>
      </c>
      <c r="J243" s="29">
        <f>IF(I243="","",F243-I243)</f>
        <v/>
      </c>
      <c r="K243" s="37">
        <f>IF(OR(D243="",A243=""),"",A243+IF(AND(Config!$B$17="Sim",LEFT(D243,17)="Cartão de crédito"),1,IFERROR(INDEX(Config!$C$12:$C$15,MATCH(IF(AND(D243="Cartão de crédito",N(E243)&gt;1),"Cartão de crédito parcelado",D243),Config!$A$12:$A$15,0)),0)))</f>
        <v/>
      </c>
      <c r="L243" s="27">
        <f>IF(A243="","",MONTH(A243))</f>
        <v/>
      </c>
      <c r="M243" s="27">
        <f>IF(A243="","",YEAR(A243))</f>
        <v/>
      </c>
      <c r="N243" s="27">
        <f>IF(K243="","",IF(G243="Sim","Conferido",IF(K243&gt;Config!$B$8,"A cair","A conferir")))</f>
        <v/>
      </c>
      <c r="O243" s="50">
        <f>IF(N243="A conferir",(Config!$B$8-K243)*1000+N(F243)/1000+ROW()/100000,0)</f>
        <v>0</v>
      </c>
    </row>
    <row r="244">
      <c r="A244" s="48" t="n"/>
      <c r="B244" s="40" t="n"/>
      <c r="C244" s="40" t="n"/>
      <c r="D244" s="41" t="n"/>
      <c r="E244" s="41" t="n"/>
      <c r="F244" s="49" t="n"/>
      <c r="G244" s="41" t="n"/>
      <c r="H244" s="30">
        <f>IF(D244="","",IFERROR(INDEX(Config!$B$12:$B$15,MATCH(IF(AND(D244="Cartão de crédito",N(E244)&gt;1),"Cartão de crédito parcelado",D244),Config!$A$12:$A$15,0)),0)+IF(AND(Config!$B$17="Sim",LEFT(D244,17)="Cartão de crédito"),Config!$B$18*IFERROR(INDEX(Config!$C$12:$C$15,MATCH(IF(AND(D244="Cartão de crédito",N(E244)&gt;1),"Cartão de crédito parcelado",D244),Config!$A$12:$A$15,0)),0)/30*MAX(1,N(E244)),0))</f>
        <v/>
      </c>
      <c r="I244" s="29">
        <f>IF(OR(D244="",F244=""),"",ROUND(F244*H244,2))</f>
        <v/>
      </c>
      <c r="J244" s="29">
        <f>IF(I244="","",F244-I244)</f>
        <v/>
      </c>
      <c r="K244" s="37">
        <f>IF(OR(D244="",A244=""),"",A244+IF(AND(Config!$B$17="Sim",LEFT(D244,17)="Cartão de crédito"),1,IFERROR(INDEX(Config!$C$12:$C$15,MATCH(IF(AND(D244="Cartão de crédito",N(E244)&gt;1),"Cartão de crédito parcelado",D244),Config!$A$12:$A$15,0)),0)))</f>
        <v/>
      </c>
      <c r="L244" s="27">
        <f>IF(A244="","",MONTH(A244))</f>
        <v/>
      </c>
      <c r="M244" s="27">
        <f>IF(A244="","",YEAR(A244))</f>
        <v/>
      </c>
      <c r="N244" s="27">
        <f>IF(K244="","",IF(G244="Sim","Conferido",IF(K244&gt;Config!$B$8,"A cair","A conferir")))</f>
        <v/>
      </c>
      <c r="O244" s="50">
        <f>IF(N244="A conferir",(Config!$B$8-K244)*1000+N(F244)/1000+ROW()/100000,0)</f>
        <v>0</v>
      </c>
    </row>
    <row r="245">
      <c r="A245" s="48" t="n"/>
      <c r="B245" s="40" t="n"/>
      <c r="C245" s="40" t="n"/>
      <c r="D245" s="41" t="n"/>
      <c r="E245" s="41" t="n"/>
      <c r="F245" s="49" t="n"/>
      <c r="G245" s="41" t="n"/>
      <c r="H245" s="30">
        <f>IF(D245="","",IFERROR(INDEX(Config!$B$12:$B$15,MATCH(IF(AND(D245="Cartão de crédito",N(E245)&gt;1),"Cartão de crédito parcelado",D245),Config!$A$12:$A$15,0)),0)+IF(AND(Config!$B$17="Sim",LEFT(D245,17)="Cartão de crédito"),Config!$B$18*IFERROR(INDEX(Config!$C$12:$C$15,MATCH(IF(AND(D245="Cartão de crédito",N(E245)&gt;1),"Cartão de crédito parcelado",D245),Config!$A$12:$A$15,0)),0)/30*MAX(1,N(E245)),0))</f>
        <v/>
      </c>
      <c r="I245" s="29">
        <f>IF(OR(D245="",F245=""),"",ROUND(F245*H245,2))</f>
        <v/>
      </c>
      <c r="J245" s="29">
        <f>IF(I245="","",F245-I245)</f>
        <v/>
      </c>
      <c r="K245" s="37">
        <f>IF(OR(D245="",A245=""),"",A245+IF(AND(Config!$B$17="Sim",LEFT(D245,17)="Cartão de crédito"),1,IFERROR(INDEX(Config!$C$12:$C$15,MATCH(IF(AND(D245="Cartão de crédito",N(E245)&gt;1),"Cartão de crédito parcelado",D245),Config!$A$12:$A$15,0)),0)))</f>
        <v/>
      </c>
      <c r="L245" s="27">
        <f>IF(A245="","",MONTH(A245))</f>
        <v/>
      </c>
      <c r="M245" s="27">
        <f>IF(A245="","",YEAR(A245))</f>
        <v/>
      </c>
      <c r="N245" s="27">
        <f>IF(K245="","",IF(G245="Sim","Conferido",IF(K245&gt;Config!$B$8,"A cair","A conferir")))</f>
        <v/>
      </c>
      <c r="O245" s="50">
        <f>IF(N245="A conferir",(Config!$B$8-K245)*1000+N(F245)/1000+ROW()/100000,0)</f>
        <v>0</v>
      </c>
    </row>
    <row r="246">
      <c r="A246" s="48" t="n"/>
      <c r="B246" s="40" t="n"/>
      <c r="C246" s="40" t="n"/>
      <c r="D246" s="41" t="n"/>
      <c r="E246" s="41" t="n"/>
      <c r="F246" s="49" t="n"/>
      <c r="G246" s="41" t="n"/>
      <c r="H246" s="30">
        <f>IF(D246="","",IFERROR(INDEX(Config!$B$12:$B$15,MATCH(IF(AND(D246="Cartão de crédito",N(E246)&gt;1),"Cartão de crédito parcelado",D246),Config!$A$12:$A$15,0)),0)+IF(AND(Config!$B$17="Sim",LEFT(D246,17)="Cartão de crédito"),Config!$B$18*IFERROR(INDEX(Config!$C$12:$C$15,MATCH(IF(AND(D246="Cartão de crédito",N(E246)&gt;1),"Cartão de crédito parcelado",D246),Config!$A$12:$A$15,0)),0)/30*MAX(1,N(E246)),0))</f>
        <v/>
      </c>
      <c r="I246" s="29">
        <f>IF(OR(D246="",F246=""),"",ROUND(F246*H246,2))</f>
        <v/>
      </c>
      <c r="J246" s="29">
        <f>IF(I246="","",F246-I246)</f>
        <v/>
      </c>
      <c r="K246" s="37">
        <f>IF(OR(D246="",A246=""),"",A246+IF(AND(Config!$B$17="Sim",LEFT(D246,17)="Cartão de crédito"),1,IFERROR(INDEX(Config!$C$12:$C$15,MATCH(IF(AND(D246="Cartão de crédito",N(E246)&gt;1),"Cartão de crédito parcelado",D246),Config!$A$12:$A$15,0)),0)))</f>
        <v/>
      </c>
      <c r="L246" s="27">
        <f>IF(A246="","",MONTH(A246))</f>
        <v/>
      </c>
      <c r="M246" s="27">
        <f>IF(A246="","",YEAR(A246))</f>
        <v/>
      </c>
      <c r="N246" s="27">
        <f>IF(K246="","",IF(G246="Sim","Conferido",IF(K246&gt;Config!$B$8,"A cair","A conferir")))</f>
        <v/>
      </c>
      <c r="O246" s="50">
        <f>IF(N246="A conferir",(Config!$B$8-K246)*1000+N(F246)/1000+ROW()/100000,0)</f>
        <v>0</v>
      </c>
    </row>
    <row r="247">
      <c r="A247" s="48" t="n"/>
      <c r="B247" s="40" t="n"/>
      <c r="C247" s="40" t="n"/>
      <c r="D247" s="41" t="n"/>
      <c r="E247" s="41" t="n"/>
      <c r="F247" s="49" t="n"/>
      <c r="G247" s="41" t="n"/>
      <c r="H247" s="30">
        <f>IF(D247="","",IFERROR(INDEX(Config!$B$12:$B$15,MATCH(IF(AND(D247="Cartão de crédito",N(E247)&gt;1),"Cartão de crédito parcelado",D247),Config!$A$12:$A$15,0)),0)+IF(AND(Config!$B$17="Sim",LEFT(D247,17)="Cartão de crédito"),Config!$B$18*IFERROR(INDEX(Config!$C$12:$C$15,MATCH(IF(AND(D247="Cartão de crédito",N(E247)&gt;1),"Cartão de crédito parcelado",D247),Config!$A$12:$A$15,0)),0)/30*MAX(1,N(E247)),0))</f>
        <v/>
      </c>
      <c r="I247" s="29">
        <f>IF(OR(D247="",F247=""),"",ROUND(F247*H247,2))</f>
        <v/>
      </c>
      <c r="J247" s="29">
        <f>IF(I247="","",F247-I247)</f>
        <v/>
      </c>
      <c r="K247" s="37">
        <f>IF(OR(D247="",A247=""),"",A247+IF(AND(Config!$B$17="Sim",LEFT(D247,17)="Cartão de crédito"),1,IFERROR(INDEX(Config!$C$12:$C$15,MATCH(IF(AND(D247="Cartão de crédito",N(E247)&gt;1),"Cartão de crédito parcelado",D247),Config!$A$12:$A$15,0)),0)))</f>
        <v/>
      </c>
      <c r="L247" s="27">
        <f>IF(A247="","",MONTH(A247))</f>
        <v/>
      </c>
      <c r="M247" s="27">
        <f>IF(A247="","",YEAR(A247))</f>
        <v/>
      </c>
      <c r="N247" s="27">
        <f>IF(K247="","",IF(G247="Sim","Conferido",IF(K247&gt;Config!$B$8,"A cair","A conferir")))</f>
        <v/>
      </c>
      <c r="O247" s="50">
        <f>IF(N247="A conferir",(Config!$B$8-K247)*1000+N(F247)/1000+ROW()/100000,0)</f>
        <v>0</v>
      </c>
    </row>
    <row r="248">
      <c r="A248" s="48" t="n"/>
      <c r="B248" s="40" t="n"/>
      <c r="C248" s="40" t="n"/>
      <c r="D248" s="41" t="n"/>
      <c r="E248" s="41" t="n"/>
      <c r="F248" s="49" t="n"/>
      <c r="G248" s="41" t="n"/>
      <c r="H248" s="30">
        <f>IF(D248="","",IFERROR(INDEX(Config!$B$12:$B$15,MATCH(IF(AND(D248="Cartão de crédito",N(E248)&gt;1),"Cartão de crédito parcelado",D248),Config!$A$12:$A$15,0)),0)+IF(AND(Config!$B$17="Sim",LEFT(D248,17)="Cartão de crédito"),Config!$B$18*IFERROR(INDEX(Config!$C$12:$C$15,MATCH(IF(AND(D248="Cartão de crédito",N(E248)&gt;1),"Cartão de crédito parcelado",D248),Config!$A$12:$A$15,0)),0)/30*MAX(1,N(E248)),0))</f>
        <v/>
      </c>
      <c r="I248" s="29">
        <f>IF(OR(D248="",F248=""),"",ROUND(F248*H248,2))</f>
        <v/>
      </c>
      <c r="J248" s="29">
        <f>IF(I248="","",F248-I248)</f>
        <v/>
      </c>
      <c r="K248" s="37">
        <f>IF(OR(D248="",A248=""),"",A248+IF(AND(Config!$B$17="Sim",LEFT(D248,17)="Cartão de crédito"),1,IFERROR(INDEX(Config!$C$12:$C$15,MATCH(IF(AND(D248="Cartão de crédito",N(E248)&gt;1),"Cartão de crédito parcelado",D248),Config!$A$12:$A$15,0)),0)))</f>
        <v/>
      </c>
      <c r="L248" s="27">
        <f>IF(A248="","",MONTH(A248))</f>
        <v/>
      </c>
      <c r="M248" s="27">
        <f>IF(A248="","",YEAR(A248))</f>
        <v/>
      </c>
      <c r="N248" s="27">
        <f>IF(K248="","",IF(G248="Sim","Conferido",IF(K248&gt;Config!$B$8,"A cair","A conferir")))</f>
        <v/>
      </c>
      <c r="O248" s="50">
        <f>IF(N248="A conferir",(Config!$B$8-K248)*1000+N(F248)/1000+ROW()/100000,0)</f>
        <v>0</v>
      </c>
    </row>
    <row r="249">
      <c r="A249" s="48" t="n"/>
      <c r="B249" s="40" t="n"/>
      <c r="C249" s="40" t="n"/>
      <c r="D249" s="41" t="n"/>
      <c r="E249" s="41" t="n"/>
      <c r="F249" s="49" t="n"/>
      <c r="G249" s="41" t="n"/>
      <c r="H249" s="30">
        <f>IF(D249="","",IFERROR(INDEX(Config!$B$12:$B$15,MATCH(IF(AND(D249="Cartão de crédito",N(E249)&gt;1),"Cartão de crédito parcelado",D249),Config!$A$12:$A$15,0)),0)+IF(AND(Config!$B$17="Sim",LEFT(D249,17)="Cartão de crédito"),Config!$B$18*IFERROR(INDEX(Config!$C$12:$C$15,MATCH(IF(AND(D249="Cartão de crédito",N(E249)&gt;1),"Cartão de crédito parcelado",D249),Config!$A$12:$A$15,0)),0)/30*MAX(1,N(E249)),0))</f>
        <v/>
      </c>
      <c r="I249" s="29">
        <f>IF(OR(D249="",F249=""),"",ROUND(F249*H249,2))</f>
        <v/>
      </c>
      <c r="J249" s="29">
        <f>IF(I249="","",F249-I249)</f>
        <v/>
      </c>
      <c r="K249" s="37">
        <f>IF(OR(D249="",A249=""),"",A249+IF(AND(Config!$B$17="Sim",LEFT(D249,17)="Cartão de crédito"),1,IFERROR(INDEX(Config!$C$12:$C$15,MATCH(IF(AND(D249="Cartão de crédito",N(E249)&gt;1),"Cartão de crédito parcelado",D249),Config!$A$12:$A$15,0)),0)))</f>
        <v/>
      </c>
      <c r="L249" s="27">
        <f>IF(A249="","",MONTH(A249))</f>
        <v/>
      </c>
      <c r="M249" s="27">
        <f>IF(A249="","",YEAR(A249))</f>
        <v/>
      </c>
      <c r="N249" s="27">
        <f>IF(K249="","",IF(G249="Sim","Conferido",IF(K249&gt;Config!$B$8,"A cair","A conferir")))</f>
        <v/>
      </c>
      <c r="O249" s="50">
        <f>IF(N249="A conferir",(Config!$B$8-K249)*1000+N(F249)/1000+ROW()/100000,0)</f>
        <v>0</v>
      </c>
    </row>
    <row r="250">
      <c r="A250" s="48" t="n"/>
      <c r="B250" s="40" t="n"/>
      <c r="C250" s="40" t="n"/>
      <c r="D250" s="41" t="n"/>
      <c r="E250" s="41" t="n"/>
      <c r="F250" s="49" t="n"/>
      <c r="G250" s="41" t="n"/>
      <c r="H250" s="30">
        <f>IF(D250="","",IFERROR(INDEX(Config!$B$12:$B$15,MATCH(IF(AND(D250="Cartão de crédito",N(E250)&gt;1),"Cartão de crédito parcelado",D250),Config!$A$12:$A$15,0)),0)+IF(AND(Config!$B$17="Sim",LEFT(D250,17)="Cartão de crédito"),Config!$B$18*IFERROR(INDEX(Config!$C$12:$C$15,MATCH(IF(AND(D250="Cartão de crédito",N(E250)&gt;1),"Cartão de crédito parcelado",D250),Config!$A$12:$A$15,0)),0)/30*MAX(1,N(E250)),0))</f>
        <v/>
      </c>
      <c r="I250" s="29">
        <f>IF(OR(D250="",F250=""),"",ROUND(F250*H250,2))</f>
        <v/>
      </c>
      <c r="J250" s="29">
        <f>IF(I250="","",F250-I250)</f>
        <v/>
      </c>
      <c r="K250" s="37">
        <f>IF(OR(D250="",A250=""),"",A250+IF(AND(Config!$B$17="Sim",LEFT(D250,17)="Cartão de crédito"),1,IFERROR(INDEX(Config!$C$12:$C$15,MATCH(IF(AND(D250="Cartão de crédito",N(E250)&gt;1),"Cartão de crédito parcelado",D250),Config!$A$12:$A$15,0)),0)))</f>
        <v/>
      </c>
      <c r="L250" s="27">
        <f>IF(A250="","",MONTH(A250))</f>
        <v/>
      </c>
      <c r="M250" s="27">
        <f>IF(A250="","",YEAR(A250))</f>
        <v/>
      </c>
      <c r="N250" s="27">
        <f>IF(K250="","",IF(G250="Sim","Conferido",IF(K250&gt;Config!$B$8,"A cair","A conferir")))</f>
        <v/>
      </c>
      <c r="O250" s="50">
        <f>IF(N250="A conferir",(Config!$B$8-K250)*1000+N(F250)/1000+ROW()/100000,0)</f>
        <v>0</v>
      </c>
    </row>
    <row r="251">
      <c r="A251" s="48" t="n"/>
      <c r="B251" s="40" t="n"/>
      <c r="C251" s="40" t="n"/>
      <c r="D251" s="41" t="n"/>
      <c r="E251" s="41" t="n"/>
      <c r="F251" s="49" t="n"/>
      <c r="G251" s="41" t="n"/>
      <c r="H251" s="30">
        <f>IF(D251="","",IFERROR(INDEX(Config!$B$12:$B$15,MATCH(IF(AND(D251="Cartão de crédito",N(E251)&gt;1),"Cartão de crédito parcelado",D251),Config!$A$12:$A$15,0)),0)+IF(AND(Config!$B$17="Sim",LEFT(D251,17)="Cartão de crédito"),Config!$B$18*IFERROR(INDEX(Config!$C$12:$C$15,MATCH(IF(AND(D251="Cartão de crédito",N(E251)&gt;1),"Cartão de crédito parcelado",D251),Config!$A$12:$A$15,0)),0)/30*MAX(1,N(E251)),0))</f>
        <v/>
      </c>
      <c r="I251" s="29">
        <f>IF(OR(D251="",F251=""),"",ROUND(F251*H251,2))</f>
        <v/>
      </c>
      <c r="J251" s="29">
        <f>IF(I251="","",F251-I251)</f>
        <v/>
      </c>
      <c r="K251" s="37">
        <f>IF(OR(D251="",A251=""),"",A251+IF(AND(Config!$B$17="Sim",LEFT(D251,17)="Cartão de crédito"),1,IFERROR(INDEX(Config!$C$12:$C$15,MATCH(IF(AND(D251="Cartão de crédito",N(E251)&gt;1),"Cartão de crédito parcelado",D251),Config!$A$12:$A$15,0)),0)))</f>
        <v/>
      </c>
      <c r="L251" s="27">
        <f>IF(A251="","",MONTH(A251))</f>
        <v/>
      </c>
      <c r="M251" s="27">
        <f>IF(A251="","",YEAR(A251))</f>
        <v/>
      </c>
      <c r="N251" s="27">
        <f>IF(K251="","",IF(G251="Sim","Conferido",IF(K251&gt;Config!$B$8,"A cair","A conferir")))</f>
        <v/>
      </c>
      <c r="O251" s="50">
        <f>IF(N251="A conferir",(Config!$B$8-K251)*1000+N(F251)/1000+ROW()/100000,0)</f>
        <v>0</v>
      </c>
    </row>
    <row r="252">
      <c r="A252" s="48" t="n"/>
      <c r="B252" s="40" t="n"/>
      <c r="C252" s="40" t="n"/>
      <c r="D252" s="41" t="n"/>
      <c r="E252" s="41" t="n"/>
      <c r="F252" s="49" t="n"/>
      <c r="G252" s="41" t="n"/>
      <c r="H252" s="30">
        <f>IF(D252="","",IFERROR(INDEX(Config!$B$12:$B$15,MATCH(IF(AND(D252="Cartão de crédito",N(E252)&gt;1),"Cartão de crédito parcelado",D252),Config!$A$12:$A$15,0)),0)+IF(AND(Config!$B$17="Sim",LEFT(D252,17)="Cartão de crédito"),Config!$B$18*IFERROR(INDEX(Config!$C$12:$C$15,MATCH(IF(AND(D252="Cartão de crédito",N(E252)&gt;1),"Cartão de crédito parcelado",D252),Config!$A$12:$A$15,0)),0)/30*MAX(1,N(E252)),0))</f>
        <v/>
      </c>
      <c r="I252" s="29">
        <f>IF(OR(D252="",F252=""),"",ROUND(F252*H252,2))</f>
        <v/>
      </c>
      <c r="J252" s="29">
        <f>IF(I252="","",F252-I252)</f>
        <v/>
      </c>
      <c r="K252" s="37">
        <f>IF(OR(D252="",A252=""),"",A252+IF(AND(Config!$B$17="Sim",LEFT(D252,17)="Cartão de crédito"),1,IFERROR(INDEX(Config!$C$12:$C$15,MATCH(IF(AND(D252="Cartão de crédito",N(E252)&gt;1),"Cartão de crédito parcelado",D252),Config!$A$12:$A$15,0)),0)))</f>
        <v/>
      </c>
      <c r="L252" s="27">
        <f>IF(A252="","",MONTH(A252))</f>
        <v/>
      </c>
      <c r="M252" s="27">
        <f>IF(A252="","",YEAR(A252))</f>
        <v/>
      </c>
      <c r="N252" s="27">
        <f>IF(K252="","",IF(G252="Sim","Conferido",IF(K252&gt;Config!$B$8,"A cair","A conferir")))</f>
        <v/>
      </c>
      <c r="O252" s="50">
        <f>IF(N252="A conferir",(Config!$B$8-K252)*1000+N(F252)/1000+ROW()/100000,0)</f>
        <v>0</v>
      </c>
    </row>
    <row r="253">
      <c r="A253" s="48" t="n"/>
      <c r="B253" s="40" t="n"/>
      <c r="C253" s="40" t="n"/>
      <c r="D253" s="41" t="n"/>
      <c r="E253" s="41" t="n"/>
      <c r="F253" s="49" t="n"/>
      <c r="G253" s="41" t="n"/>
      <c r="H253" s="30">
        <f>IF(D253="","",IFERROR(INDEX(Config!$B$12:$B$15,MATCH(IF(AND(D253="Cartão de crédito",N(E253)&gt;1),"Cartão de crédito parcelado",D253),Config!$A$12:$A$15,0)),0)+IF(AND(Config!$B$17="Sim",LEFT(D253,17)="Cartão de crédito"),Config!$B$18*IFERROR(INDEX(Config!$C$12:$C$15,MATCH(IF(AND(D253="Cartão de crédito",N(E253)&gt;1),"Cartão de crédito parcelado",D253),Config!$A$12:$A$15,0)),0)/30*MAX(1,N(E253)),0))</f>
        <v/>
      </c>
      <c r="I253" s="29">
        <f>IF(OR(D253="",F253=""),"",ROUND(F253*H253,2))</f>
        <v/>
      </c>
      <c r="J253" s="29">
        <f>IF(I253="","",F253-I253)</f>
        <v/>
      </c>
      <c r="K253" s="37">
        <f>IF(OR(D253="",A253=""),"",A253+IF(AND(Config!$B$17="Sim",LEFT(D253,17)="Cartão de crédito"),1,IFERROR(INDEX(Config!$C$12:$C$15,MATCH(IF(AND(D253="Cartão de crédito",N(E253)&gt;1),"Cartão de crédito parcelado",D253),Config!$A$12:$A$15,0)),0)))</f>
        <v/>
      </c>
      <c r="L253" s="27">
        <f>IF(A253="","",MONTH(A253))</f>
        <v/>
      </c>
      <c r="M253" s="27">
        <f>IF(A253="","",YEAR(A253))</f>
        <v/>
      </c>
      <c r="N253" s="27">
        <f>IF(K253="","",IF(G253="Sim","Conferido",IF(K253&gt;Config!$B$8,"A cair","A conferir")))</f>
        <v/>
      </c>
      <c r="O253" s="50">
        <f>IF(N253="A conferir",(Config!$B$8-K253)*1000+N(F253)/1000+ROW()/100000,0)</f>
        <v>0</v>
      </c>
    </row>
    <row r="254">
      <c r="A254" s="48" t="n"/>
      <c r="B254" s="40" t="n"/>
      <c r="C254" s="40" t="n"/>
      <c r="D254" s="41" t="n"/>
      <c r="E254" s="41" t="n"/>
      <c r="F254" s="49" t="n"/>
      <c r="G254" s="41" t="n"/>
      <c r="H254" s="30">
        <f>IF(D254="","",IFERROR(INDEX(Config!$B$12:$B$15,MATCH(IF(AND(D254="Cartão de crédito",N(E254)&gt;1),"Cartão de crédito parcelado",D254),Config!$A$12:$A$15,0)),0)+IF(AND(Config!$B$17="Sim",LEFT(D254,17)="Cartão de crédito"),Config!$B$18*IFERROR(INDEX(Config!$C$12:$C$15,MATCH(IF(AND(D254="Cartão de crédito",N(E254)&gt;1),"Cartão de crédito parcelado",D254),Config!$A$12:$A$15,0)),0)/30*MAX(1,N(E254)),0))</f>
        <v/>
      </c>
      <c r="I254" s="29">
        <f>IF(OR(D254="",F254=""),"",ROUND(F254*H254,2))</f>
        <v/>
      </c>
      <c r="J254" s="29">
        <f>IF(I254="","",F254-I254)</f>
        <v/>
      </c>
      <c r="K254" s="37">
        <f>IF(OR(D254="",A254=""),"",A254+IF(AND(Config!$B$17="Sim",LEFT(D254,17)="Cartão de crédito"),1,IFERROR(INDEX(Config!$C$12:$C$15,MATCH(IF(AND(D254="Cartão de crédito",N(E254)&gt;1),"Cartão de crédito parcelado",D254),Config!$A$12:$A$15,0)),0)))</f>
        <v/>
      </c>
      <c r="L254" s="27">
        <f>IF(A254="","",MONTH(A254))</f>
        <v/>
      </c>
      <c r="M254" s="27">
        <f>IF(A254="","",YEAR(A254))</f>
        <v/>
      </c>
      <c r="N254" s="27">
        <f>IF(K254="","",IF(G254="Sim","Conferido",IF(K254&gt;Config!$B$8,"A cair","A conferir")))</f>
        <v/>
      </c>
      <c r="O254" s="50">
        <f>IF(N254="A conferir",(Config!$B$8-K254)*1000+N(F254)/1000+ROW()/100000,0)</f>
        <v>0</v>
      </c>
    </row>
    <row r="255">
      <c r="A255" s="48" t="n"/>
      <c r="B255" s="40" t="n"/>
      <c r="C255" s="40" t="n"/>
      <c r="D255" s="41" t="n"/>
      <c r="E255" s="41" t="n"/>
      <c r="F255" s="49" t="n"/>
      <c r="G255" s="41" t="n"/>
      <c r="H255" s="30">
        <f>IF(D255="","",IFERROR(INDEX(Config!$B$12:$B$15,MATCH(IF(AND(D255="Cartão de crédito",N(E255)&gt;1),"Cartão de crédito parcelado",D255),Config!$A$12:$A$15,0)),0)+IF(AND(Config!$B$17="Sim",LEFT(D255,17)="Cartão de crédito"),Config!$B$18*IFERROR(INDEX(Config!$C$12:$C$15,MATCH(IF(AND(D255="Cartão de crédito",N(E255)&gt;1),"Cartão de crédito parcelado",D255),Config!$A$12:$A$15,0)),0)/30*MAX(1,N(E255)),0))</f>
        <v/>
      </c>
      <c r="I255" s="29">
        <f>IF(OR(D255="",F255=""),"",ROUND(F255*H255,2))</f>
        <v/>
      </c>
      <c r="J255" s="29">
        <f>IF(I255="","",F255-I255)</f>
        <v/>
      </c>
      <c r="K255" s="37">
        <f>IF(OR(D255="",A255=""),"",A255+IF(AND(Config!$B$17="Sim",LEFT(D255,17)="Cartão de crédito"),1,IFERROR(INDEX(Config!$C$12:$C$15,MATCH(IF(AND(D255="Cartão de crédito",N(E255)&gt;1),"Cartão de crédito parcelado",D255),Config!$A$12:$A$15,0)),0)))</f>
        <v/>
      </c>
      <c r="L255" s="27">
        <f>IF(A255="","",MONTH(A255))</f>
        <v/>
      </c>
      <c r="M255" s="27">
        <f>IF(A255="","",YEAR(A255))</f>
        <v/>
      </c>
      <c r="N255" s="27">
        <f>IF(K255="","",IF(G255="Sim","Conferido",IF(K255&gt;Config!$B$8,"A cair","A conferir")))</f>
        <v/>
      </c>
      <c r="O255" s="50">
        <f>IF(N255="A conferir",(Config!$B$8-K255)*1000+N(F255)/1000+ROW()/100000,0)</f>
        <v>0</v>
      </c>
    </row>
    <row r="256">
      <c r="A256" s="48" t="n"/>
      <c r="B256" s="40" t="n"/>
      <c r="C256" s="40" t="n"/>
      <c r="D256" s="41" t="n"/>
      <c r="E256" s="41" t="n"/>
      <c r="F256" s="49" t="n"/>
      <c r="G256" s="41" t="n"/>
      <c r="H256" s="30">
        <f>IF(D256="","",IFERROR(INDEX(Config!$B$12:$B$15,MATCH(IF(AND(D256="Cartão de crédito",N(E256)&gt;1),"Cartão de crédito parcelado",D256),Config!$A$12:$A$15,0)),0)+IF(AND(Config!$B$17="Sim",LEFT(D256,17)="Cartão de crédito"),Config!$B$18*IFERROR(INDEX(Config!$C$12:$C$15,MATCH(IF(AND(D256="Cartão de crédito",N(E256)&gt;1),"Cartão de crédito parcelado",D256),Config!$A$12:$A$15,0)),0)/30*MAX(1,N(E256)),0))</f>
        <v/>
      </c>
      <c r="I256" s="29">
        <f>IF(OR(D256="",F256=""),"",ROUND(F256*H256,2))</f>
        <v/>
      </c>
      <c r="J256" s="29">
        <f>IF(I256="","",F256-I256)</f>
        <v/>
      </c>
      <c r="K256" s="37">
        <f>IF(OR(D256="",A256=""),"",A256+IF(AND(Config!$B$17="Sim",LEFT(D256,17)="Cartão de crédito"),1,IFERROR(INDEX(Config!$C$12:$C$15,MATCH(IF(AND(D256="Cartão de crédito",N(E256)&gt;1),"Cartão de crédito parcelado",D256),Config!$A$12:$A$15,0)),0)))</f>
        <v/>
      </c>
      <c r="L256" s="27">
        <f>IF(A256="","",MONTH(A256))</f>
        <v/>
      </c>
      <c r="M256" s="27">
        <f>IF(A256="","",YEAR(A256))</f>
        <v/>
      </c>
      <c r="N256" s="27">
        <f>IF(K256="","",IF(G256="Sim","Conferido",IF(K256&gt;Config!$B$8,"A cair","A conferir")))</f>
        <v/>
      </c>
      <c r="O256" s="50">
        <f>IF(N256="A conferir",(Config!$B$8-K256)*1000+N(F256)/1000+ROW()/100000,0)</f>
        <v>0</v>
      </c>
    </row>
    <row r="257">
      <c r="A257" s="48" t="n"/>
      <c r="B257" s="40" t="n"/>
      <c r="C257" s="40" t="n"/>
      <c r="D257" s="41" t="n"/>
      <c r="E257" s="41" t="n"/>
      <c r="F257" s="49" t="n"/>
      <c r="G257" s="41" t="n"/>
      <c r="H257" s="30">
        <f>IF(D257="","",IFERROR(INDEX(Config!$B$12:$B$15,MATCH(IF(AND(D257="Cartão de crédito",N(E257)&gt;1),"Cartão de crédito parcelado",D257),Config!$A$12:$A$15,0)),0)+IF(AND(Config!$B$17="Sim",LEFT(D257,17)="Cartão de crédito"),Config!$B$18*IFERROR(INDEX(Config!$C$12:$C$15,MATCH(IF(AND(D257="Cartão de crédito",N(E257)&gt;1),"Cartão de crédito parcelado",D257),Config!$A$12:$A$15,0)),0)/30*MAX(1,N(E257)),0))</f>
        <v/>
      </c>
      <c r="I257" s="29">
        <f>IF(OR(D257="",F257=""),"",ROUND(F257*H257,2))</f>
        <v/>
      </c>
      <c r="J257" s="29">
        <f>IF(I257="","",F257-I257)</f>
        <v/>
      </c>
      <c r="K257" s="37">
        <f>IF(OR(D257="",A257=""),"",A257+IF(AND(Config!$B$17="Sim",LEFT(D257,17)="Cartão de crédito"),1,IFERROR(INDEX(Config!$C$12:$C$15,MATCH(IF(AND(D257="Cartão de crédito",N(E257)&gt;1),"Cartão de crédito parcelado",D257),Config!$A$12:$A$15,0)),0)))</f>
        <v/>
      </c>
      <c r="L257" s="27">
        <f>IF(A257="","",MONTH(A257))</f>
        <v/>
      </c>
      <c r="M257" s="27">
        <f>IF(A257="","",YEAR(A257))</f>
        <v/>
      </c>
      <c r="N257" s="27">
        <f>IF(K257="","",IF(G257="Sim","Conferido",IF(K257&gt;Config!$B$8,"A cair","A conferir")))</f>
        <v/>
      </c>
      <c r="O257" s="50">
        <f>IF(N257="A conferir",(Config!$B$8-K257)*1000+N(F257)/1000+ROW()/100000,0)</f>
        <v>0</v>
      </c>
    </row>
    <row r="258">
      <c r="A258" s="48" t="n"/>
      <c r="B258" s="40" t="n"/>
      <c r="C258" s="40" t="n"/>
      <c r="D258" s="41" t="n"/>
      <c r="E258" s="41" t="n"/>
      <c r="F258" s="49" t="n"/>
      <c r="G258" s="41" t="n"/>
      <c r="H258" s="30">
        <f>IF(D258="","",IFERROR(INDEX(Config!$B$12:$B$15,MATCH(IF(AND(D258="Cartão de crédito",N(E258)&gt;1),"Cartão de crédito parcelado",D258),Config!$A$12:$A$15,0)),0)+IF(AND(Config!$B$17="Sim",LEFT(D258,17)="Cartão de crédito"),Config!$B$18*IFERROR(INDEX(Config!$C$12:$C$15,MATCH(IF(AND(D258="Cartão de crédito",N(E258)&gt;1),"Cartão de crédito parcelado",D258),Config!$A$12:$A$15,0)),0)/30*MAX(1,N(E258)),0))</f>
        <v/>
      </c>
      <c r="I258" s="29">
        <f>IF(OR(D258="",F258=""),"",ROUND(F258*H258,2))</f>
        <v/>
      </c>
      <c r="J258" s="29">
        <f>IF(I258="","",F258-I258)</f>
        <v/>
      </c>
      <c r="K258" s="37">
        <f>IF(OR(D258="",A258=""),"",A258+IF(AND(Config!$B$17="Sim",LEFT(D258,17)="Cartão de crédito"),1,IFERROR(INDEX(Config!$C$12:$C$15,MATCH(IF(AND(D258="Cartão de crédito",N(E258)&gt;1),"Cartão de crédito parcelado",D258),Config!$A$12:$A$15,0)),0)))</f>
        <v/>
      </c>
      <c r="L258" s="27">
        <f>IF(A258="","",MONTH(A258))</f>
        <v/>
      </c>
      <c r="M258" s="27">
        <f>IF(A258="","",YEAR(A258))</f>
        <v/>
      </c>
      <c r="N258" s="27">
        <f>IF(K258="","",IF(G258="Sim","Conferido",IF(K258&gt;Config!$B$8,"A cair","A conferir")))</f>
        <v/>
      </c>
      <c r="O258" s="50">
        <f>IF(N258="A conferir",(Config!$B$8-K258)*1000+N(F258)/1000+ROW()/100000,0)</f>
        <v>0</v>
      </c>
    </row>
    <row r="259">
      <c r="A259" s="48" t="n"/>
      <c r="B259" s="40" t="n"/>
      <c r="C259" s="40" t="n"/>
      <c r="D259" s="41" t="n"/>
      <c r="E259" s="41" t="n"/>
      <c r="F259" s="49" t="n"/>
      <c r="G259" s="41" t="n"/>
      <c r="H259" s="30">
        <f>IF(D259="","",IFERROR(INDEX(Config!$B$12:$B$15,MATCH(IF(AND(D259="Cartão de crédito",N(E259)&gt;1),"Cartão de crédito parcelado",D259),Config!$A$12:$A$15,0)),0)+IF(AND(Config!$B$17="Sim",LEFT(D259,17)="Cartão de crédito"),Config!$B$18*IFERROR(INDEX(Config!$C$12:$C$15,MATCH(IF(AND(D259="Cartão de crédito",N(E259)&gt;1),"Cartão de crédito parcelado",D259),Config!$A$12:$A$15,0)),0)/30*MAX(1,N(E259)),0))</f>
        <v/>
      </c>
      <c r="I259" s="29">
        <f>IF(OR(D259="",F259=""),"",ROUND(F259*H259,2))</f>
        <v/>
      </c>
      <c r="J259" s="29">
        <f>IF(I259="","",F259-I259)</f>
        <v/>
      </c>
      <c r="K259" s="37">
        <f>IF(OR(D259="",A259=""),"",A259+IF(AND(Config!$B$17="Sim",LEFT(D259,17)="Cartão de crédito"),1,IFERROR(INDEX(Config!$C$12:$C$15,MATCH(IF(AND(D259="Cartão de crédito",N(E259)&gt;1),"Cartão de crédito parcelado",D259),Config!$A$12:$A$15,0)),0)))</f>
        <v/>
      </c>
      <c r="L259" s="27">
        <f>IF(A259="","",MONTH(A259))</f>
        <v/>
      </c>
      <c r="M259" s="27">
        <f>IF(A259="","",YEAR(A259))</f>
        <v/>
      </c>
      <c r="N259" s="27">
        <f>IF(K259="","",IF(G259="Sim","Conferido",IF(K259&gt;Config!$B$8,"A cair","A conferir")))</f>
        <v/>
      </c>
      <c r="O259" s="50">
        <f>IF(N259="A conferir",(Config!$B$8-K259)*1000+N(F259)/1000+ROW()/100000,0)</f>
        <v>0</v>
      </c>
    </row>
    <row r="260">
      <c r="A260" s="48" t="n"/>
      <c r="B260" s="40" t="n"/>
      <c r="C260" s="40" t="n"/>
      <c r="D260" s="41" t="n"/>
      <c r="E260" s="41" t="n"/>
      <c r="F260" s="49" t="n"/>
      <c r="G260" s="41" t="n"/>
      <c r="H260" s="30">
        <f>IF(D260="","",IFERROR(INDEX(Config!$B$12:$B$15,MATCH(IF(AND(D260="Cartão de crédito",N(E260)&gt;1),"Cartão de crédito parcelado",D260),Config!$A$12:$A$15,0)),0)+IF(AND(Config!$B$17="Sim",LEFT(D260,17)="Cartão de crédito"),Config!$B$18*IFERROR(INDEX(Config!$C$12:$C$15,MATCH(IF(AND(D260="Cartão de crédito",N(E260)&gt;1),"Cartão de crédito parcelado",D260),Config!$A$12:$A$15,0)),0)/30*MAX(1,N(E260)),0))</f>
        <v/>
      </c>
      <c r="I260" s="29">
        <f>IF(OR(D260="",F260=""),"",ROUND(F260*H260,2))</f>
        <v/>
      </c>
      <c r="J260" s="29">
        <f>IF(I260="","",F260-I260)</f>
        <v/>
      </c>
      <c r="K260" s="37">
        <f>IF(OR(D260="",A260=""),"",A260+IF(AND(Config!$B$17="Sim",LEFT(D260,17)="Cartão de crédito"),1,IFERROR(INDEX(Config!$C$12:$C$15,MATCH(IF(AND(D260="Cartão de crédito",N(E260)&gt;1),"Cartão de crédito parcelado",D260),Config!$A$12:$A$15,0)),0)))</f>
        <v/>
      </c>
      <c r="L260" s="27">
        <f>IF(A260="","",MONTH(A260))</f>
        <v/>
      </c>
      <c r="M260" s="27">
        <f>IF(A260="","",YEAR(A260))</f>
        <v/>
      </c>
      <c r="N260" s="27">
        <f>IF(K260="","",IF(G260="Sim","Conferido",IF(K260&gt;Config!$B$8,"A cair","A conferir")))</f>
        <v/>
      </c>
      <c r="O260" s="50">
        <f>IF(N260="A conferir",(Config!$B$8-K260)*1000+N(F260)/1000+ROW()/100000,0)</f>
        <v>0</v>
      </c>
    </row>
    <row r="261">
      <c r="A261" s="48" t="n"/>
      <c r="B261" s="40" t="n"/>
      <c r="C261" s="40" t="n"/>
      <c r="D261" s="41" t="n"/>
      <c r="E261" s="41" t="n"/>
      <c r="F261" s="49" t="n"/>
      <c r="G261" s="41" t="n"/>
      <c r="H261" s="30">
        <f>IF(D261="","",IFERROR(INDEX(Config!$B$12:$B$15,MATCH(IF(AND(D261="Cartão de crédito",N(E261)&gt;1),"Cartão de crédito parcelado",D261),Config!$A$12:$A$15,0)),0)+IF(AND(Config!$B$17="Sim",LEFT(D261,17)="Cartão de crédito"),Config!$B$18*IFERROR(INDEX(Config!$C$12:$C$15,MATCH(IF(AND(D261="Cartão de crédito",N(E261)&gt;1),"Cartão de crédito parcelado",D261),Config!$A$12:$A$15,0)),0)/30*MAX(1,N(E261)),0))</f>
        <v/>
      </c>
      <c r="I261" s="29">
        <f>IF(OR(D261="",F261=""),"",ROUND(F261*H261,2))</f>
        <v/>
      </c>
      <c r="J261" s="29">
        <f>IF(I261="","",F261-I261)</f>
        <v/>
      </c>
      <c r="K261" s="37">
        <f>IF(OR(D261="",A261=""),"",A261+IF(AND(Config!$B$17="Sim",LEFT(D261,17)="Cartão de crédito"),1,IFERROR(INDEX(Config!$C$12:$C$15,MATCH(IF(AND(D261="Cartão de crédito",N(E261)&gt;1),"Cartão de crédito parcelado",D261),Config!$A$12:$A$15,0)),0)))</f>
        <v/>
      </c>
      <c r="L261" s="27">
        <f>IF(A261="","",MONTH(A261))</f>
        <v/>
      </c>
      <c r="M261" s="27">
        <f>IF(A261="","",YEAR(A261))</f>
        <v/>
      </c>
      <c r="N261" s="27">
        <f>IF(K261="","",IF(G261="Sim","Conferido",IF(K261&gt;Config!$B$8,"A cair","A conferir")))</f>
        <v/>
      </c>
      <c r="O261" s="50">
        <f>IF(N261="A conferir",(Config!$B$8-K261)*1000+N(F261)/1000+ROW()/100000,0)</f>
        <v>0</v>
      </c>
    </row>
    <row r="262">
      <c r="A262" s="48" t="n"/>
      <c r="B262" s="40" t="n"/>
      <c r="C262" s="40" t="n"/>
      <c r="D262" s="41" t="n"/>
      <c r="E262" s="41" t="n"/>
      <c r="F262" s="49" t="n"/>
      <c r="G262" s="41" t="n"/>
      <c r="H262" s="30">
        <f>IF(D262="","",IFERROR(INDEX(Config!$B$12:$B$15,MATCH(IF(AND(D262="Cartão de crédito",N(E262)&gt;1),"Cartão de crédito parcelado",D262),Config!$A$12:$A$15,0)),0)+IF(AND(Config!$B$17="Sim",LEFT(D262,17)="Cartão de crédito"),Config!$B$18*IFERROR(INDEX(Config!$C$12:$C$15,MATCH(IF(AND(D262="Cartão de crédito",N(E262)&gt;1),"Cartão de crédito parcelado",D262),Config!$A$12:$A$15,0)),0)/30*MAX(1,N(E262)),0))</f>
        <v/>
      </c>
      <c r="I262" s="29">
        <f>IF(OR(D262="",F262=""),"",ROUND(F262*H262,2))</f>
        <v/>
      </c>
      <c r="J262" s="29">
        <f>IF(I262="","",F262-I262)</f>
        <v/>
      </c>
      <c r="K262" s="37">
        <f>IF(OR(D262="",A262=""),"",A262+IF(AND(Config!$B$17="Sim",LEFT(D262,17)="Cartão de crédito"),1,IFERROR(INDEX(Config!$C$12:$C$15,MATCH(IF(AND(D262="Cartão de crédito",N(E262)&gt;1),"Cartão de crédito parcelado",D262),Config!$A$12:$A$15,0)),0)))</f>
        <v/>
      </c>
      <c r="L262" s="27">
        <f>IF(A262="","",MONTH(A262))</f>
        <v/>
      </c>
      <c r="M262" s="27">
        <f>IF(A262="","",YEAR(A262))</f>
        <v/>
      </c>
      <c r="N262" s="27">
        <f>IF(K262="","",IF(G262="Sim","Conferido",IF(K262&gt;Config!$B$8,"A cair","A conferir")))</f>
        <v/>
      </c>
      <c r="O262" s="50">
        <f>IF(N262="A conferir",(Config!$B$8-K262)*1000+N(F262)/1000+ROW()/100000,0)</f>
        <v>0</v>
      </c>
    </row>
    <row r="263">
      <c r="A263" s="48" t="n"/>
      <c r="B263" s="40" t="n"/>
      <c r="C263" s="40" t="n"/>
      <c r="D263" s="41" t="n"/>
      <c r="E263" s="41" t="n"/>
      <c r="F263" s="49" t="n"/>
      <c r="G263" s="41" t="n"/>
      <c r="H263" s="30">
        <f>IF(D263="","",IFERROR(INDEX(Config!$B$12:$B$15,MATCH(IF(AND(D263="Cartão de crédito",N(E263)&gt;1),"Cartão de crédito parcelado",D263),Config!$A$12:$A$15,0)),0)+IF(AND(Config!$B$17="Sim",LEFT(D263,17)="Cartão de crédito"),Config!$B$18*IFERROR(INDEX(Config!$C$12:$C$15,MATCH(IF(AND(D263="Cartão de crédito",N(E263)&gt;1),"Cartão de crédito parcelado",D263),Config!$A$12:$A$15,0)),0)/30*MAX(1,N(E263)),0))</f>
        <v/>
      </c>
      <c r="I263" s="29">
        <f>IF(OR(D263="",F263=""),"",ROUND(F263*H263,2))</f>
        <v/>
      </c>
      <c r="J263" s="29">
        <f>IF(I263="","",F263-I263)</f>
        <v/>
      </c>
      <c r="K263" s="37">
        <f>IF(OR(D263="",A263=""),"",A263+IF(AND(Config!$B$17="Sim",LEFT(D263,17)="Cartão de crédito"),1,IFERROR(INDEX(Config!$C$12:$C$15,MATCH(IF(AND(D263="Cartão de crédito",N(E263)&gt;1),"Cartão de crédito parcelado",D263),Config!$A$12:$A$15,0)),0)))</f>
        <v/>
      </c>
      <c r="L263" s="27">
        <f>IF(A263="","",MONTH(A263))</f>
        <v/>
      </c>
      <c r="M263" s="27">
        <f>IF(A263="","",YEAR(A263))</f>
        <v/>
      </c>
      <c r="N263" s="27">
        <f>IF(K263="","",IF(G263="Sim","Conferido",IF(K263&gt;Config!$B$8,"A cair","A conferir")))</f>
        <v/>
      </c>
      <c r="O263" s="50">
        <f>IF(N263="A conferir",(Config!$B$8-K263)*1000+N(F263)/1000+ROW()/100000,0)</f>
        <v>0</v>
      </c>
    </row>
    <row r="264">
      <c r="A264" s="48" t="n"/>
      <c r="B264" s="40" t="n"/>
      <c r="C264" s="40" t="n"/>
      <c r="D264" s="41" t="n"/>
      <c r="E264" s="41" t="n"/>
      <c r="F264" s="49" t="n"/>
      <c r="G264" s="41" t="n"/>
      <c r="H264" s="30">
        <f>IF(D264="","",IFERROR(INDEX(Config!$B$12:$B$15,MATCH(IF(AND(D264="Cartão de crédito",N(E264)&gt;1),"Cartão de crédito parcelado",D264),Config!$A$12:$A$15,0)),0)+IF(AND(Config!$B$17="Sim",LEFT(D264,17)="Cartão de crédito"),Config!$B$18*IFERROR(INDEX(Config!$C$12:$C$15,MATCH(IF(AND(D264="Cartão de crédito",N(E264)&gt;1),"Cartão de crédito parcelado",D264),Config!$A$12:$A$15,0)),0)/30*MAX(1,N(E264)),0))</f>
        <v/>
      </c>
      <c r="I264" s="29">
        <f>IF(OR(D264="",F264=""),"",ROUND(F264*H264,2))</f>
        <v/>
      </c>
      <c r="J264" s="29">
        <f>IF(I264="","",F264-I264)</f>
        <v/>
      </c>
      <c r="K264" s="37">
        <f>IF(OR(D264="",A264=""),"",A264+IF(AND(Config!$B$17="Sim",LEFT(D264,17)="Cartão de crédito"),1,IFERROR(INDEX(Config!$C$12:$C$15,MATCH(IF(AND(D264="Cartão de crédito",N(E264)&gt;1),"Cartão de crédito parcelado",D264),Config!$A$12:$A$15,0)),0)))</f>
        <v/>
      </c>
      <c r="L264" s="27">
        <f>IF(A264="","",MONTH(A264))</f>
        <v/>
      </c>
      <c r="M264" s="27">
        <f>IF(A264="","",YEAR(A264))</f>
        <v/>
      </c>
      <c r="N264" s="27">
        <f>IF(K264="","",IF(G264="Sim","Conferido",IF(K264&gt;Config!$B$8,"A cair","A conferir")))</f>
        <v/>
      </c>
      <c r="O264" s="50">
        <f>IF(N264="A conferir",(Config!$B$8-K264)*1000+N(F264)/1000+ROW()/100000,0)</f>
        <v>0</v>
      </c>
    </row>
    <row r="265">
      <c r="A265" s="48" t="n"/>
      <c r="B265" s="40" t="n"/>
      <c r="C265" s="40" t="n"/>
      <c r="D265" s="41" t="n"/>
      <c r="E265" s="41" t="n"/>
      <c r="F265" s="49" t="n"/>
      <c r="G265" s="41" t="n"/>
      <c r="H265" s="30">
        <f>IF(D265="","",IFERROR(INDEX(Config!$B$12:$B$15,MATCH(IF(AND(D265="Cartão de crédito",N(E265)&gt;1),"Cartão de crédito parcelado",D265),Config!$A$12:$A$15,0)),0)+IF(AND(Config!$B$17="Sim",LEFT(D265,17)="Cartão de crédito"),Config!$B$18*IFERROR(INDEX(Config!$C$12:$C$15,MATCH(IF(AND(D265="Cartão de crédito",N(E265)&gt;1),"Cartão de crédito parcelado",D265),Config!$A$12:$A$15,0)),0)/30*MAX(1,N(E265)),0))</f>
        <v/>
      </c>
      <c r="I265" s="29">
        <f>IF(OR(D265="",F265=""),"",ROUND(F265*H265,2))</f>
        <v/>
      </c>
      <c r="J265" s="29">
        <f>IF(I265="","",F265-I265)</f>
        <v/>
      </c>
      <c r="K265" s="37">
        <f>IF(OR(D265="",A265=""),"",A265+IF(AND(Config!$B$17="Sim",LEFT(D265,17)="Cartão de crédito"),1,IFERROR(INDEX(Config!$C$12:$C$15,MATCH(IF(AND(D265="Cartão de crédito",N(E265)&gt;1),"Cartão de crédito parcelado",D265),Config!$A$12:$A$15,0)),0)))</f>
        <v/>
      </c>
      <c r="L265" s="27">
        <f>IF(A265="","",MONTH(A265))</f>
        <v/>
      </c>
      <c r="M265" s="27">
        <f>IF(A265="","",YEAR(A265))</f>
        <v/>
      </c>
      <c r="N265" s="27">
        <f>IF(K265="","",IF(G265="Sim","Conferido",IF(K265&gt;Config!$B$8,"A cair","A conferir")))</f>
        <v/>
      </c>
      <c r="O265" s="50">
        <f>IF(N265="A conferir",(Config!$B$8-K265)*1000+N(F265)/1000+ROW()/100000,0)</f>
        <v>0</v>
      </c>
    </row>
    <row r="266">
      <c r="A266" s="48" t="n"/>
      <c r="B266" s="40" t="n"/>
      <c r="C266" s="40" t="n"/>
      <c r="D266" s="41" t="n"/>
      <c r="E266" s="41" t="n"/>
      <c r="F266" s="49" t="n"/>
      <c r="G266" s="41" t="n"/>
      <c r="H266" s="30">
        <f>IF(D266="","",IFERROR(INDEX(Config!$B$12:$B$15,MATCH(IF(AND(D266="Cartão de crédito",N(E266)&gt;1),"Cartão de crédito parcelado",D266),Config!$A$12:$A$15,0)),0)+IF(AND(Config!$B$17="Sim",LEFT(D266,17)="Cartão de crédito"),Config!$B$18*IFERROR(INDEX(Config!$C$12:$C$15,MATCH(IF(AND(D266="Cartão de crédito",N(E266)&gt;1),"Cartão de crédito parcelado",D266),Config!$A$12:$A$15,0)),0)/30*MAX(1,N(E266)),0))</f>
        <v/>
      </c>
      <c r="I266" s="29">
        <f>IF(OR(D266="",F266=""),"",ROUND(F266*H266,2))</f>
        <v/>
      </c>
      <c r="J266" s="29">
        <f>IF(I266="","",F266-I266)</f>
        <v/>
      </c>
      <c r="K266" s="37">
        <f>IF(OR(D266="",A266=""),"",A266+IF(AND(Config!$B$17="Sim",LEFT(D266,17)="Cartão de crédito"),1,IFERROR(INDEX(Config!$C$12:$C$15,MATCH(IF(AND(D266="Cartão de crédito",N(E266)&gt;1),"Cartão de crédito parcelado",D266),Config!$A$12:$A$15,0)),0)))</f>
        <v/>
      </c>
      <c r="L266" s="27">
        <f>IF(A266="","",MONTH(A266))</f>
        <v/>
      </c>
      <c r="M266" s="27">
        <f>IF(A266="","",YEAR(A266))</f>
        <v/>
      </c>
      <c r="N266" s="27">
        <f>IF(K266="","",IF(G266="Sim","Conferido",IF(K266&gt;Config!$B$8,"A cair","A conferir")))</f>
        <v/>
      </c>
      <c r="O266" s="50">
        <f>IF(N266="A conferir",(Config!$B$8-K266)*1000+N(F266)/1000+ROW()/100000,0)</f>
        <v>0</v>
      </c>
    </row>
    <row r="267">
      <c r="A267" s="48" t="n"/>
      <c r="B267" s="40" t="n"/>
      <c r="C267" s="40" t="n"/>
      <c r="D267" s="41" t="n"/>
      <c r="E267" s="41" t="n"/>
      <c r="F267" s="49" t="n"/>
      <c r="G267" s="41" t="n"/>
      <c r="H267" s="30">
        <f>IF(D267="","",IFERROR(INDEX(Config!$B$12:$B$15,MATCH(IF(AND(D267="Cartão de crédito",N(E267)&gt;1),"Cartão de crédito parcelado",D267),Config!$A$12:$A$15,0)),0)+IF(AND(Config!$B$17="Sim",LEFT(D267,17)="Cartão de crédito"),Config!$B$18*IFERROR(INDEX(Config!$C$12:$C$15,MATCH(IF(AND(D267="Cartão de crédito",N(E267)&gt;1),"Cartão de crédito parcelado",D267),Config!$A$12:$A$15,0)),0)/30*MAX(1,N(E267)),0))</f>
        <v/>
      </c>
      <c r="I267" s="29">
        <f>IF(OR(D267="",F267=""),"",ROUND(F267*H267,2))</f>
        <v/>
      </c>
      <c r="J267" s="29">
        <f>IF(I267="","",F267-I267)</f>
        <v/>
      </c>
      <c r="K267" s="37">
        <f>IF(OR(D267="",A267=""),"",A267+IF(AND(Config!$B$17="Sim",LEFT(D267,17)="Cartão de crédito"),1,IFERROR(INDEX(Config!$C$12:$C$15,MATCH(IF(AND(D267="Cartão de crédito",N(E267)&gt;1),"Cartão de crédito parcelado",D267),Config!$A$12:$A$15,0)),0)))</f>
        <v/>
      </c>
      <c r="L267" s="27">
        <f>IF(A267="","",MONTH(A267))</f>
        <v/>
      </c>
      <c r="M267" s="27">
        <f>IF(A267="","",YEAR(A267))</f>
        <v/>
      </c>
      <c r="N267" s="27">
        <f>IF(K267="","",IF(G267="Sim","Conferido",IF(K267&gt;Config!$B$8,"A cair","A conferir")))</f>
        <v/>
      </c>
      <c r="O267" s="50">
        <f>IF(N267="A conferir",(Config!$B$8-K267)*1000+N(F267)/1000+ROW()/100000,0)</f>
        <v>0</v>
      </c>
    </row>
    <row r="268">
      <c r="A268" s="48" t="n"/>
      <c r="B268" s="40" t="n"/>
      <c r="C268" s="40" t="n"/>
      <c r="D268" s="41" t="n"/>
      <c r="E268" s="41" t="n"/>
      <c r="F268" s="49" t="n"/>
      <c r="G268" s="41" t="n"/>
      <c r="H268" s="30">
        <f>IF(D268="","",IFERROR(INDEX(Config!$B$12:$B$15,MATCH(IF(AND(D268="Cartão de crédito",N(E268)&gt;1),"Cartão de crédito parcelado",D268),Config!$A$12:$A$15,0)),0)+IF(AND(Config!$B$17="Sim",LEFT(D268,17)="Cartão de crédito"),Config!$B$18*IFERROR(INDEX(Config!$C$12:$C$15,MATCH(IF(AND(D268="Cartão de crédito",N(E268)&gt;1),"Cartão de crédito parcelado",D268),Config!$A$12:$A$15,0)),0)/30*MAX(1,N(E268)),0))</f>
        <v/>
      </c>
      <c r="I268" s="29">
        <f>IF(OR(D268="",F268=""),"",ROUND(F268*H268,2))</f>
        <v/>
      </c>
      <c r="J268" s="29">
        <f>IF(I268="","",F268-I268)</f>
        <v/>
      </c>
      <c r="K268" s="37">
        <f>IF(OR(D268="",A268=""),"",A268+IF(AND(Config!$B$17="Sim",LEFT(D268,17)="Cartão de crédito"),1,IFERROR(INDEX(Config!$C$12:$C$15,MATCH(IF(AND(D268="Cartão de crédito",N(E268)&gt;1),"Cartão de crédito parcelado",D268),Config!$A$12:$A$15,0)),0)))</f>
        <v/>
      </c>
      <c r="L268" s="27">
        <f>IF(A268="","",MONTH(A268))</f>
        <v/>
      </c>
      <c r="M268" s="27">
        <f>IF(A268="","",YEAR(A268))</f>
        <v/>
      </c>
      <c r="N268" s="27">
        <f>IF(K268="","",IF(G268="Sim","Conferido",IF(K268&gt;Config!$B$8,"A cair","A conferir")))</f>
        <v/>
      </c>
      <c r="O268" s="50">
        <f>IF(N268="A conferir",(Config!$B$8-K268)*1000+N(F268)/1000+ROW()/100000,0)</f>
        <v>0</v>
      </c>
    </row>
    <row r="269">
      <c r="A269" s="48" t="n"/>
      <c r="B269" s="40" t="n"/>
      <c r="C269" s="40" t="n"/>
      <c r="D269" s="41" t="n"/>
      <c r="E269" s="41" t="n"/>
      <c r="F269" s="49" t="n"/>
      <c r="G269" s="41" t="n"/>
      <c r="H269" s="30">
        <f>IF(D269="","",IFERROR(INDEX(Config!$B$12:$B$15,MATCH(IF(AND(D269="Cartão de crédito",N(E269)&gt;1),"Cartão de crédito parcelado",D269),Config!$A$12:$A$15,0)),0)+IF(AND(Config!$B$17="Sim",LEFT(D269,17)="Cartão de crédito"),Config!$B$18*IFERROR(INDEX(Config!$C$12:$C$15,MATCH(IF(AND(D269="Cartão de crédito",N(E269)&gt;1),"Cartão de crédito parcelado",D269),Config!$A$12:$A$15,0)),0)/30*MAX(1,N(E269)),0))</f>
        <v/>
      </c>
      <c r="I269" s="29">
        <f>IF(OR(D269="",F269=""),"",ROUND(F269*H269,2))</f>
        <v/>
      </c>
      <c r="J269" s="29">
        <f>IF(I269="","",F269-I269)</f>
        <v/>
      </c>
      <c r="K269" s="37">
        <f>IF(OR(D269="",A269=""),"",A269+IF(AND(Config!$B$17="Sim",LEFT(D269,17)="Cartão de crédito"),1,IFERROR(INDEX(Config!$C$12:$C$15,MATCH(IF(AND(D269="Cartão de crédito",N(E269)&gt;1),"Cartão de crédito parcelado",D269),Config!$A$12:$A$15,0)),0)))</f>
        <v/>
      </c>
      <c r="L269" s="27">
        <f>IF(A269="","",MONTH(A269))</f>
        <v/>
      </c>
      <c r="M269" s="27">
        <f>IF(A269="","",YEAR(A269))</f>
        <v/>
      </c>
      <c r="N269" s="27">
        <f>IF(K269="","",IF(G269="Sim","Conferido",IF(K269&gt;Config!$B$8,"A cair","A conferir")))</f>
        <v/>
      </c>
      <c r="O269" s="50">
        <f>IF(N269="A conferir",(Config!$B$8-K269)*1000+N(F269)/1000+ROW()/100000,0)</f>
        <v>0</v>
      </c>
    </row>
    <row r="270">
      <c r="A270" s="48" t="n"/>
      <c r="B270" s="40" t="n"/>
      <c r="C270" s="40" t="n"/>
      <c r="D270" s="41" t="n"/>
      <c r="E270" s="41" t="n"/>
      <c r="F270" s="49" t="n"/>
      <c r="G270" s="41" t="n"/>
      <c r="H270" s="30">
        <f>IF(D270="","",IFERROR(INDEX(Config!$B$12:$B$15,MATCH(IF(AND(D270="Cartão de crédito",N(E270)&gt;1),"Cartão de crédito parcelado",D270),Config!$A$12:$A$15,0)),0)+IF(AND(Config!$B$17="Sim",LEFT(D270,17)="Cartão de crédito"),Config!$B$18*IFERROR(INDEX(Config!$C$12:$C$15,MATCH(IF(AND(D270="Cartão de crédito",N(E270)&gt;1),"Cartão de crédito parcelado",D270),Config!$A$12:$A$15,0)),0)/30*MAX(1,N(E270)),0))</f>
        <v/>
      </c>
      <c r="I270" s="29">
        <f>IF(OR(D270="",F270=""),"",ROUND(F270*H270,2))</f>
        <v/>
      </c>
      <c r="J270" s="29">
        <f>IF(I270="","",F270-I270)</f>
        <v/>
      </c>
      <c r="K270" s="37">
        <f>IF(OR(D270="",A270=""),"",A270+IF(AND(Config!$B$17="Sim",LEFT(D270,17)="Cartão de crédito"),1,IFERROR(INDEX(Config!$C$12:$C$15,MATCH(IF(AND(D270="Cartão de crédito",N(E270)&gt;1),"Cartão de crédito parcelado",D270),Config!$A$12:$A$15,0)),0)))</f>
        <v/>
      </c>
      <c r="L270" s="27">
        <f>IF(A270="","",MONTH(A270))</f>
        <v/>
      </c>
      <c r="M270" s="27">
        <f>IF(A270="","",YEAR(A270))</f>
        <v/>
      </c>
      <c r="N270" s="27">
        <f>IF(K270="","",IF(G270="Sim","Conferido",IF(K270&gt;Config!$B$8,"A cair","A conferir")))</f>
        <v/>
      </c>
      <c r="O270" s="50">
        <f>IF(N270="A conferir",(Config!$B$8-K270)*1000+N(F270)/1000+ROW()/100000,0)</f>
        <v>0</v>
      </c>
    </row>
    <row r="271">
      <c r="A271" s="48" t="n"/>
      <c r="B271" s="40" t="n"/>
      <c r="C271" s="40" t="n"/>
      <c r="D271" s="41" t="n"/>
      <c r="E271" s="41" t="n"/>
      <c r="F271" s="49" t="n"/>
      <c r="G271" s="41" t="n"/>
      <c r="H271" s="30">
        <f>IF(D271="","",IFERROR(INDEX(Config!$B$12:$B$15,MATCH(IF(AND(D271="Cartão de crédito",N(E271)&gt;1),"Cartão de crédito parcelado",D271),Config!$A$12:$A$15,0)),0)+IF(AND(Config!$B$17="Sim",LEFT(D271,17)="Cartão de crédito"),Config!$B$18*IFERROR(INDEX(Config!$C$12:$C$15,MATCH(IF(AND(D271="Cartão de crédito",N(E271)&gt;1),"Cartão de crédito parcelado",D271),Config!$A$12:$A$15,0)),0)/30*MAX(1,N(E271)),0))</f>
        <v/>
      </c>
      <c r="I271" s="29">
        <f>IF(OR(D271="",F271=""),"",ROUND(F271*H271,2))</f>
        <v/>
      </c>
      <c r="J271" s="29">
        <f>IF(I271="","",F271-I271)</f>
        <v/>
      </c>
      <c r="K271" s="37">
        <f>IF(OR(D271="",A271=""),"",A271+IF(AND(Config!$B$17="Sim",LEFT(D271,17)="Cartão de crédito"),1,IFERROR(INDEX(Config!$C$12:$C$15,MATCH(IF(AND(D271="Cartão de crédito",N(E271)&gt;1),"Cartão de crédito parcelado",D271),Config!$A$12:$A$15,0)),0)))</f>
        <v/>
      </c>
      <c r="L271" s="27">
        <f>IF(A271="","",MONTH(A271))</f>
        <v/>
      </c>
      <c r="M271" s="27">
        <f>IF(A271="","",YEAR(A271))</f>
        <v/>
      </c>
      <c r="N271" s="27">
        <f>IF(K271="","",IF(G271="Sim","Conferido",IF(K271&gt;Config!$B$8,"A cair","A conferir")))</f>
        <v/>
      </c>
      <c r="O271" s="50">
        <f>IF(N271="A conferir",(Config!$B$8-K271)*1000+N(F271)/1000+ROW()/100000,0)</f>
        <v>0</v>
      </c>
    </row>
    <row r="272">
      <c r="A272" s="48" t="n"/>
      <c r="B272" s="40" t="n"/>
      <c r="C272" s="40" t="n"/>
      <c r="D272" s="41" t="n"/>
      <c r="E272" s="41" t="n"/>
      <c r="F272" s="49" t="n"/>
      <c r="G272" s="41" t="n"/>
      <c r="H272" s="30">
        <f>IF(D272="","",IFERROR(INDEX(Config!$B$12:$B$15,MATCH(IF(AND(D272="Cartão de crédito",N(E272)&gt;1),"Cartão de crédito parcelado",D272),Config!$A$12:$A$15,0)),0)+IF(AND(Config!$B$17="Sim",LEFT(D272,17)="Cartão de crédito"),Config!$B$18*IFERROR(INDEX(Config!$C$12:$C$15,MATCH(IF(AND(D272="Cartão de crédito",N(E272)&gt;1),"Cartão de crédito parcelado",D272),Config!$A$12:$A$15,0)),0)/30*MAX(1,N(E272)),0))</f>
        <v/>
      </c>
      <c r="I272" s="29">
        <f>IF(OR(D272="",F272=""),"",ROUND(F272*H272,2))</f>
        <v/>
      </c>
      <c r="J272" s="29">
        <f>IF(I272="","",F272-I272)</f>
        <v/>
      </c>
      <c r="K272" s="37">
        <f>IF(OR(D272="",A272=""),"",A272+IF(AND(Config!$B$17="Sim",LEFT(D272,17)="Cartão de crédito"),1,IFERROR(INDEX(Config!$C$12:$C$15,MATCH(IF(AND(D272="Cartão de crédito",N(E272)&gt;1),"Cartão de crédito parcelado",D272),Config!$A$12:$A$15,0)),0)))</f>
        <v/>
      </c>
      <c r="L272" s="27">
        <f>IF(A272="","",MONTH(A272))</f>
        <v/>
      </c>
      <c r="M272" s="27">
        <f>IF(A272="","",YEAR(A272))</f>
        <v/>
      </c>
      <c r="N272" s="27">
        <f>IF(K272="","",IF(G272="Sim","Conferido",IF(K272&gt;Config!$B$8,"A cair","A conferir")))</f>
        <v/>
      </c>
      <c r="O272" s="50">
        <f>IF(N272="A conferir",(Config!$B$8-K272)*1000+N(F272)/1000+ROW()/100000,0)</f>
        <v>0</v>
      </c>
    </row>
    <row r="273">
      <c r="A273" s="48" t="n"/>
      <c r="B273" s="40" t="n"/>
      <c r="C273" s="40" t="n"/>
      <c r="D273" s="41" t="n"/>
      <c r="E273" s="41" t="n"/>
      <c r="F273" s="49" t="n"/>
      <c r="G273" s="41" t="n"/>
      <c r="H273" s="30">
        <f>IF(D273="","",IFERROR(INDEX(Config!$B$12:$B$15,MATCH(IF(AND(D273="Cartão de crédito",N(E273)&gt;1),"Cartão de crédito parcelado",D273),Config!$A$12:$A$15,0)),0)+IF(AND(Config!$B$17="Sim",LEFT(D273,17)="Cartão de crédito"),Config!$B$18*IFERROR(INDEX(Config!$C$12:$C$15,MATCH(IF(AND(D273="Cartão de crédito",N(E273)&gt;1),"Cartão de crédito parcelado",D273),Config!$A$12:$A$15,0)),0)/30*MAX(1,N(E273)),0))</f>
        <v/>
      </c>
      <c r="I273" s="29">
        <f>IF(OR(D273="",F273=""),"",ROUND(F273*H273,2))</f>
        <v/>
      </c>
      <c r="J273" s="29">
        <f>IF(I273="","",F273-I273)</f>
        <v/>
      </c>
      <c r="K273" s="37">
        <f>IF(OR(D273="",A273=""),"",A273+IF(AND(Config!$B$17="Sim",LEFT(D273,17)="Cartão de crédito"),1,IFERROR(INDEX(Config!$C$12:$C$15,MATCH(IF(AND(D273="Cartão de crédito",N(E273)&gt;1),"Cartão de crédito parcelado",D273),Config!$A$12:$A$15,0)),0)))</f>
        <v/>
      </c>
      <c r="L273" s="27">
        <f>IF(A273="","",MONTH(A273))</f>
        <v/>
      </c>
      <c r="M273" s="27">
        <f>IF(A273="","",YEAR(A273))</f>
        <v/>
      </c>
      <c r="N273" s="27">
        <f>IF(K273="","",IF(G273="Sim","Conferido",IF(K273&gt;Config!$B$8,"A cair","A conferir")))</f>
        <v/>
      </c>
      <c r="O273" s="50">
        <f>IF(N273="A conferir",(Config!$B$8-K273)*1000+N(F273)/1000+ROW()/100000,0)</f>
        <v>0</v>
      </c>
    </row>
    <row r="274">
      <c r="A274" s="48" t="n"/>
      <c r="B274" s="40" t="n"/>
      <c r="C274" s="40" t="n"/>
      <c r="D274" s="41" t="n"/>
      <c r="E274" s="41" t="n"/>
      <c r="F274" s="49" t="n"/>
      <c r="G274" s="41" t="n"/>
      <c r="H274" s="30">
        <f>IF(D274="","",IFERROR(INDEX(Config!$B$12:$B$15,MATCH(IF(AND(D274="Cartão de crédito",N(E274)&gt;1),"Cartão de crédito parcelado",D274),Config!$A$12:$A$15,0)),0)+IF(AND(Config!$B$17="Sim",LEFT(D274,17)="Cartão de crédito"),Config!$B$18*IFERROR(INDEX(Config!$C$12:$C$15,MATCH(IF(AND(D274="Cartão de crédito",N(E274)&gt;1),"Cartão de crédito parcelado",D274),Config!$A$12:$A$15,0)),0)/30*MAX(1,N(E274)),0))</f>
        <v/>
      </c>
      <c r="I274" s="29">
        <f>IF(OR(D274="",F274=""),"",ROUND(F274*H274,2))</f>
        <v/>
      </c>
      <c r="J274" s="29">
        <f>IF(I274="","",F274-I274)</f>
        <v/>
      </c>
      <c r="K274" s="37">
        <f>IF(OR(D274="",A274=""),"",A274+IF(AND(Config!$B$17="Sim",LEFT(D274,17)="Cartão de crédito"),1,IFERROR(INDEX(Config!$C$12:$C$15,MATCH(IF(AND(D274="Cartão de crédito",N(E274)&gt;1),"Cartão de crédito parcelado",D274),Config!$A$12:$A$15,0)),0)))</f>
        <v/>
      </c>
      <c r="L274" s="27">
        <f>IF(A274="","",MONTH(A274))</f>
        <v/>
      </c>
      <c r="M274" s="27">
        <f>IF(A274="","",YEAR(A274))</f>
        <v/>
      </c>
      <c r="N274" s="27">
        <f>IF(K274="","",IF(G274="Sim","Conferido",IF(K274&gt;Config!$B$8,"A cair","A conferir")))</f>
        <v/>
      </c>
      <c r="O274" s="50">
        <f>IF(N274="A conferir",(Config!$B$8-K274)*1000+N(F274)/1000+ROW()/100000,0)</f>
        <v>0</v>
      </c>
    </row>
    <row r="275">
      <c r="A275" s="48" t="n"/>
      <c r="B275" s="40" t="n"/>
      <c r="C275" s="40" t="n"/>
      <c r="D275" s="41" t="n"/>
      <c r="E275" s="41" t="n"/>
      <c r="F275" s="49" t="n"/>
      <c r="G275" s="41" t="n"/>
      <c r="H275" s="30">
        <f>IF(D275="","",IFERROR(INDEX(Config!$B$12:$B$15,MATCH(IF(AND(D275="Cartão de crédito",N(E275)&gt;1),"Cartão de crédito parcelado",D275),Config!$A$12:$A$15,0)),0)+IF(AND(Config!$B$17="Sim",LEFT(D275,17)="Cartão de crédito"),Config!$B$18*IFERROR(INDEX(Config!$C$12:$C$15,MATCH(IF(AND(D275="Cartão de crédito",N(E275)&gt;1),"Cartão de crédito parcelado",D275),Config!$A$12:$A$15,0)),0)/30*MAX(1,N(E275)),0))</f>
        <v/>
      </c>
      <c r="I275" s="29">
        <f>IF(OR(D275="",F275=""),"",ROUND(F275*H275,2))</f>
        <v/>
      </c>
      <c r="J275" s="29">
        <f>IF(I275="","",F275-I275)</f>
        <v/>
      </c>
      <c r="K275" s="37">
        <f>IF(OR(D275="",A275=""),"",A275+IF(AND(Config!$B$17="Sim",LEFT(D275,17)="Cartão de crédito"),1,IFERROR(INDEX(Config!$C$12:$C$15,MATCH(IF(AND(D275="Cartão de crédito",N(E275)&gt;1),"Cartão de crédito parcelado",D275),Config!$A$12:$A$15,0)),0)))</f>
        <v/>
      </c>
      <c r="L275" s="27">
        <f>IF(A275="","",MONTH(A275))</f>
        <v/>
      </c>
      <c r="M275" s="27">
        <f>IF(A275="","",YEAR(A275))</f>
        <v/>
      </c>
      <c r="N275" s="27">
        <f>IF(K275="","",IF(G275="Sim","Conferido",IF(K275&gt;Config!$B$8,"A cair","A conferir")))</f>
        <v/>
      </c>
      <c r="O275" s="50">
        <f>IF(N275="A conferir",(Config!$B$8-K275)*1000+N(F275)/1000+ROW()/100000,0)</f>
        <v>0</v>
      </c>
    </row>
    <row r="276">
      <c r="A276" s="48" t="n"/>
      <c r="B276" s="40" t="n"/>
      <c r="C276" s="40" t="n"/>
      <c r="D276" s="41" t="n"/>
      <c r="E276" s="41" t="n"/>
      <c r="F276" s="49" t="n"/>
      <c r="G276" s="41" t="n"/>
      <c r="H276" s="30">
        <f>IF(D276="","",IFERROR(INDEX(Config!$B$12:$B$15,MATCH(IF(AND(D276="Cartão de crédito",N(E276)&gt;1),"Cartão de crédito parcelado",D276),Config!$A$12:$A$15,0)),0)+IF(AND(Config!$B$17="Sim",LEFT(D276,17)="Cartão de crédito"),Config!$B$18*IFERROR(INDEX(Config!$C$12:$C$15,MATCH(IF(AND(D276="Cartão de crédito",N(E276)&gt;1),"Cartão de crédito parcelado",D276),Config!$A$12:$A$15,0)),0)/30*MAX(1,N(E276)),0))</f>
        <v/>
      </c>
      <c r="I276" s="29">
        <f>IF(OR(D276="",F276=""),"",ROUND(F276*H276,2))</f>
        <v/>
      </c>
      <c r="J276" s="29">
        <f>IF(I276="","",F276-I276)</f>
        <v/>
      </c>
      <c r="K276" s="37">
        <f>IF(OR(D276="",A276=""),"",A276+IF(AND(Config!$B$17="Sim",LEFT(D276,17)="Cartão de crédito"),1,IFERROR(INDEX(Config!$C$12:$C$15,MATCH(IF(AND(D276="Cartão de crédito",N(E276)&gt;1),"Cartão de crédito parcelado",D276),Config!$A$12:$A$15,0)),0)))</f>
        <v/>
      </c>
      <c r="L276" s="27">
        <f>IF(A276="","",MONTH(A276))</f>
        <v/>
      </c>
      <c r="M276" s="27">
        <f>IF(A276="","",YEAR(A276))</f>
        <v/>
      </c>
      <c r="N276" s="27">
        <f>IF(K276="","",IF(G276="Sim","Conferido",IF(K276&gt;Config!$B$8,"A cair","A conferir")))</f>
        <v/>
      </c>
      <c r="O276" s="50">
        <f>IF(N276="A conferir",(Config!$B$8-K276)*1000+N(F276)/1000+ROW()/100000,0)</f>
        <v>0</v>
      </c>
    </row>
    <row r="277">
      <c r="A277" s="48" t="n"/>
      <c r="B277" s="40" t="n"/>
      <c r="C277" s="40" t="n"/>
      <c r="D277" s="41" t="n"/>
      <c r="E277" s="41" t="n"/>
      <c r="F277" s="49" t="n"/>
      <c r="G277" s="41" t="n"/>
      <c r="H277" s="30">
        <f>IF(D277="","",IFERROR(INDEX(Config!$B$12:$B$15,MATCH(IF(AND(D277="Cartão de crédito",N(E277)&gt;1),"Cartão de crédito parcelado",D277),Config!$A$12:$A$15,0)),0)+IF(AND(Config!$B$17="Sim",LEFT(D277,17)="Cartão de crédito"),Config!$B$18*IFERROR(INDEX(Config!$C$12:$C$15,MATCH(IF(AND(D277="Cartão de crédito",N(E277)&gt;1),"Cartão de crédito parcelado",D277),Config!$A$12:$A$15,0)),0)/30*MAX(1,N(E277)),0))</f>
        <v/>
      </c>
      <c r="I277" s="29">
        <f>IF(OR(D277="",F277=""),"",ROUND(F277*H277,2))</f>
        <v/>
      </c>
      <c r="J277" s="29">
        <f>IF(I277="","",F277-I277)</f>
        <v/>
      </c>
      <c r="K277" s="37">
        <f>IF(OR(D277="",A277=""),"",A277+IF(AND(Config!$B$17="Sim",LEFT(D277,17)="Cartão de crédito"),1,IFERROR(INDEX(Config!$C$12:$C$15,MATCH(IF(AND(D277="Cartão de crédito",N(E277)&gt;1),"Cartão de crédito parcelado",D277),Config!$A$12:$A$15,0)),0)))</f>
        <v/>
      </c>
      <c r="L277" s="27">
        <f>IF(A277="","",MONTH(A277))</f>
        <v/>
      </c>
      <c r="M277" s="27">
        <f>IF(A277="","",YEAR(A277))</f>
        <v/>
      </c>
      <c r="N277" s="27">
        <f>IF(K277="","",IF(G277="Sim","Conferido",IF(K277&gt;Config!$B$8,"A cair","A conferir")))</f>
        <v/>
      </c>
      <c r="O277" s="50">
        <f>IF(N277="A conferir",(Config!$B$8-K277)*1000+N(F277)/1000+ROW()/100000,0)</f>
        <v>0</v>
      </c>
    </row>
    <row r="278">
      <c r="A278" s="48" t="n"/>
      <c r="B278" s="40" t="n"/>
      <c r="C278" s="40" t="n"/>
      <c r="D278" s="41" t="n"/>
      <c r="E278" s="41" t="n"/>
      <c r="F278" s="49" t="n"/>
      <c r="G278" s="41" t="n"/>
      <c r="H278" s="30">
        <f>IF(D278="","",IFERROR(INDEX(Config!$B$12:$B$15,MATCH(IF(AND(D278="Cartão de crédito",N(E278)&gt;1),"Cartão de crédito parcelado",D278),Config!$A$12:$A$15,0)),0)+IF(AND(Config!$B$17="Sim",LEFT(D278,17)="Cartão de crédito"),Config!$B$18*IFERROR(INDEX(Config!$C$12:$C$15,MATCH(IF(AND(D278="Cartão de crédito",N(E278)&gt;1),"Cartão de crédito parcelado",D278),Config!$A$12:$A$15,0)),0)/30*MAX(1,N(E278)),0))</f>
        <v/>
      </c>
      <c r="I278" s="29">
        <f>IF(OR(D278="",F278=""),"",ROUND(F278*H278,2))</f>
        <v/>
      </c>
      <c r="J278" s="29">
        <f>IF(I278="","",F278-I278)</f>
        <v/>
      </c>
      <c r="K278" s="37">
        <f>IF(OR(D278="",A278=""),"",A278+IF(AND(Config!$B$17="Sim",LEFT(D278,17)="Cartão de crédito"),1,IFERROR(INDEX(Config!$C$12:$C$15,MATCH(IF(AND(D278="Cartão de crédito",N(E278)&gt;1),"Cartão de crédito parcelado",D278),Config!$A$12:$A$15,0)),0)))</f>
        <v/>
      </c>
      <c r="L278" s="27">
        <f>IF(A278="","",MONTH(A278))</f>
        <v/>
      </c>
      <c r="M278" s="27">
        <f>IF(A278="","",YEAR(A278))</f>
        <v/>
      </c>
      <c r="N278" s="27">
        <f>IF(K278="","",IF(G278="Sim","Conferido",IF(K278&gt;Config!$B$8,"A cair","A conferir")))</f>
        <v/>
      </c>
      <c r="O278" s="50">
        <f>IF(N278="A conferir",(Config!$B$8-K278)*1000+N(F278)/1000+ROW()/100000,0)</f>
        <v>0</v>
      </c>
    </row>
    <row r="279">
      <c r="A279" s="48" t="n"/>
      <c r="B279" s="40" t="n"/>
      <c r="C279" s="40" t="n"/>
      <c r="D279" s="41" t="n"/>
      <c r="E279" s="41" t="n"/>
      <c r="F279" s="49" t="n"/>
      <c r="G279" s="41" t="n"/>
      <c r="H279" s="30">
        <f>IF(D279="","",IFERROR(INDEX(Config!$B$12:$B$15,MATCH(IF(AND(D279="Cartão de crédito",N(E279)&gt;1),"Cartão de crédito parcelado",D279),Config!$A$12:$A$15,0)),0)+IF(AND(Config!$B$17="Sim",LEFT(D279,17)="Cartão de crédito"),Config!$B$18*IFERROR(INDEX(Config!$C$12:$C$15,MATCH(IF(AND(D279="Cartão de crédito",N(E279)&gt;1),"Cartão de crédito parcelado",D279),Config!$A$12:$A$15,0)),0)/30*MAX(1,N(E279)),0))</f>
        <v/>
      </c>
      <c r="I279" s="29">
        <f>IF(OR(D279="",F279=""),"",ROUND(F279*H279,2))</f>
        <v/>
      </c>
      <c r="J279" s="29">
        <f>IF(I279="","",F279-I279)</f>
        <v/>
      </c>
      <c r="K279" s="37">
        <f>IF(OR(D279="",A279=""),"",A279+IF(AND(Config!$B$17="Sim",LEFT(D279,17)="Cartão de crédito"),1,IFERROR(INDEX(Config!$C$12:$C$15,MATCH(IF(AND(D279="Cartão de crédito",N(E279)&gt;1),"Cartão de crédito parcelado",D279),Config!$A$12:$A$15,0)),0)))</f>
        <v/>
      </c>
      <c r="L279" s="27">
        <f>IF(A279="","",MONTH(A279))</f>
        <v/>
      </c>
      <c r="M279" s="27">
        <f>IF(A279="","",YEAR(A279))</f>
        <v/>
      </c>
      <c r="N279" s="27">
        <f>IF(K279="","",IF(G279="Sim","Conferido",IF(K279&gt;Config!$B$8,"A cair","A conferir")))</f>
        <v/>
      </c>
      <c r="O279" s="50">
        <f>IF(N279="A conferir",(Config!$B$8-K279)*1000+N(F279)/1000+ROW()/100000,0)</f>
        <v>0</v>
      </c>
    </row>
    <row r="280">
      <c r="A280" s="48" t="n"/>
      <c r="B280" s="40" t="n"/>
      <c r="C280" s="40" t="n"/>
      <c r="D280" s="41" t="n"/>
      <c r="E280" s="41" t="n"/>
      <c r="F280" s="49" t="n"/>
      <c r="G280" s="41" t="n"/>
      <c r="H280" s="30">
        <f>IF(D280="","",IFERROR(INDEX(Config!$B$12:$B$15,MATCH(IF(AND(D280="Cartão de crédito",N(E280)&gt;1),"Cartão de crédito parcelado",D280),Config!$A$12:$A$15,0)),0)+IF(AND(Config!$B$17="Sim",LEFT(D280,17)="Cartão de crédito"),Config!$B$18*IFERROR(INDEX(Config!$C$12:$C$15,MATCH(IF(AND(D280="Cartão de crédito",N(E280)&gt;1),"Cartão de crédito parcelado",D280),Config!$A$12:$A$15,0)),0)/30*MAX(1,N(E280)),0))</f>
        <v/>
      </c>
      <c r="I280" s="29">
        <f>IF(OR(D280="",F280=""),"",ROUND(F280*H280,2))</f>
        <v/>
      </c>
      <c r="J280" s="29">
        <f>IF(I280="","",F280-I280)</f>
        <v/>
      </c>
      <c r="K280" s="37">
        <f>IF(OR(D280="",A280=""),"",A280+IF(AND(Config!$B$17="Sim",LEFT(D280,17)="Cartão de crédito"),1,IFERROR(INDEX(Config!$C$12:$C$15,MATCH(IF(AND(D280="Cartão de crédito",N(E280)&gt;1),"Cartão de crédito parcelado",D280),Config!$A$12:$A$15,0)),0)))</f>
        <v/>
      </c>
      <c r="L280" s="27">
        <f>IF(A280="","",MONTH(A280))</f>
        <v/>
      </c>
      <c r="M280" s="27">
        <f>IF(A280="","",YEAR(A280))</f>
        <v/>
      </c>
      <c r="N280" s="27">
        <f>IF(K280="","",IF(G280="Sim","Conferido",IF(K280&gt;Config!$B$8,"A cair","A conferir")))</f>
        <v/>
      </c>
      <c r="O280" s="50">
        <f>IF(N280="A conferir",(Config!$B$8-K280)*1000+N(F280)/1000+ROW()/100000,0)</f>
        <v>0</v>
      </c>
    </row>
    <row r="281">
      <c r="A281" s="48" t="n"/>
      <c r="B281" s="40" t="n"/>
      <c r="C281" s="40" t="n"/>
      <c r="D281" s="41" t="n"/>
      <c r="E281" s="41" t="n"/>
      <c r="F281" s="49" t="n"/>
      <c r="G281" s="41" t="n"/>
      <c r="H281" s="30">
        <f>IF(D281="","",IFERROR(INDEX(Config!$B$12:$B$15,MATCH(IF(AND(D281="Cartão de crédito",N(E281)&gt;1),"Cartão de crédito parcelado",D281),Config!$A$12:$A$15,0)),0)+IF(AND(Config!$B$17="Sim",LEFT(D281,17)="Cartão de crédito"),Config!$B$18*IFERROR(INDEX(Config!$C$12:$C$15,MATCH(IF(AND(D281="Cartão de crédito",N(E281)&gt;1),"Cartão de crédito parcelado",D281),Config!$A$12:$A$15,0)),0)/30*MAX(1,N(E281)),0))</f>
        <v/>
      </c>
      <c r="I281" s="29">
        <f>IF(OR(D281="",F281=""),"",ROUND(F281*H281,2))</f>
        <v/>
      </c>
      <c r="J281" s="29">
        <f>IF(I281="","",F281-I281)</f>
        <v/>
      </c>
      <c r="K281" s="37">
        <f>IF(OR(D281="",A281=""),"",A281+IF(AND(Config!$B$17="Sim",LEFT(D281,17)="Cartão de crédito"),1,IFERROR(INDEX(Config!$C$12:$C$15,MATCH(IF(AND(D281="Cartão de crédito",N(E281)&gt;1),"Cartão de crédito parcelado",D281),Config!$A$12:$A$15,0)),0)))</f>
        <v/>
      </c>
      <c r="L281" s="27">
        <f>IF(A281="","",MONTH(A281))</f>
        <v/>
      </c>
      <c r="M281" s="27">
        <f>IF(A281="","",YEAR(A281))</f>
        <v/>
      </c>
      <c r="N281" s="27">
        <f>IF(K281="","",IF(G281="Sim","Conferido",IF(K281&gt;Config!$B$8,"A cair","A conferir")))</f>
        <v/>
      </c>
      <c r="O281" s="50">
        <f>IF(N281="A conferir",(Config!$B$8-K281)*1000+N(F281)/1000+ROW()/100000,0)</f>
        <v>0</v>
      </c>
    </row>
    <row r="282">
      <c r="A282" s="48" t="n"/>
      <c r="B282" s="40" t="n"/>
      <c r="C282" s="40" t="n"/>
      <c r="D282" s="41" t="n"/>
      <c r="E282" s="41" t="n"/>
      <c r="F282" s="49" t="n"/>
      <c r="G282" s="41" t="n"/>
      <c r="H282" s="30">
        <f>IF(D282="","",IFERROR(INDEX(Config!$B$12:$B$15,MATCH(IF(AND(D282="Cartão de crédito",N(E282)&gt;1),"Cartão de crédito parcelado",D282),Config!$A$12:$A$15,0)),0)+IF(AND(Config!$B$17="Sim",LEFT(D282,17)="Cartão de crédito"),Config!$B$18*IFERROR(INDEX(Config!$C$12:$C$15,MATCH(IF(AND(D282="Cartão de crédito",N(E282)&gt;1),"Cartão de crédito parcelado",D282),Config!$A$12:$A$15,0)),0)/30*MAX(1,N(E282)),0))</f>
        <v/>
      </c>
      <c r="I282" s="29">
        <f>IF(OR(D282="",F282=""),"",ROUND(F282*H282,2))</f>
        <v/>
      </c>
      <c r="J282" s="29">
        <f>IF(I282="","",F282-I282)</f>
        <v/>
      </c>
      <c r="K282" s="37">
        <f>IF(OR(D282="",A282=""),"",A282+IF(AND(Config!$B$17="Sim",LEFT(D282,17)="Cartão de crédito"),1,IFERROR(INDEX(Config!$C$12:$C$15,MATCH(IF(AND(D282="Cartão de crédito",N(E282)&gt;1),"Cartão de crédito parcelado",D282),Config!$A$12:$A$15,0)),0)))</f>
        <v/>
      </c>
      <c r="L282" s="27">
        <f>IF(A282="","",MONTH(A282))</f>
        <v/>
      </c>
      <c r="M282" s="27">
        <f>IF(A282="","",YEAR(A282))</f>
        <v/>
      </c>
      <c r="N282" s="27">
        <f>IF(K282="","",IF(G282="Sim","Conferido",IF(K282&gt;Config!$B$8,"A cair","A conferir")))</f>
        <v/>
      </c>
      <c r="O282" s="50">
        <f>IF(N282="A conferir",(Config!$B$8-K282)*1000+N(F282)/1000+ROW()/100000,0)</f>
        <v>0</v>
      </c>
    </row>
    <row r="283">
      <c r="A283" s="48" t="n"/>
      <c r="B283" s="40" t="n"/>
      <c r="C283" s="40" t="n"/>
      <c r="D283" s="41" t="n"/>
      <c r="E283" s="41" t="n"/>
      <c r="F283" s="49" t="n"/>
      <c r="G283" s="41" t="n"/>
      <c r="H283" s="30">
        <f>IF(D283="","",IFERROR(INDEX(Config!$B$12:$B$15,MATCH(IF(AND(D283="Cartão de crédito",N(E283)&gt;1),"Cartão de crédito parcelado",D283),Config!$A$12:$A$15,0)),0)+IF(AND(Config!$B$17="Sim",LEFT(D283,17)="Cartão de crédito"),Config!$B$18*IFERROR(INDEX(Config!$C$12:$C$15,MATCH(IF(AND(D283="Cartão de crédito",N(E283)&gt;1),"Cartão de crédito parcelado",D283),Config!$A$12:$A$15,0)),0)/30*MAX(1,N(E283)),0))</f>
        <v/>
      </c>
      <c r="I283" s="29">
        <f>IF(OR(D283="",F283=""),"",ROUND(F283*H283,2))</f>
        <v/>
      </c>
      <c r="J283" s="29">
        <f>IF(I283="","",F283-I283)</f>
        <v/>
      </c>
      <c r="K283" s="37">
        <f>IF(OR(D283="",A283=""),"",A283+IF(AND(Config!$B$17="Sim",LEFT(D283,17)="Cartão de crédito"),1,IFERROR(INDEX(Config!$C$12:$C$15,MATCH(IF(AND(D283="Cartão de crédito",N(E283)&gt;1),"Cartão de crédito parcelado",D283),Config!$A$12:$A$15,0)),0)))</f>
        <v/>
      </c>
      <c r="L283" s="27">
        <f>IF(A283="","",MONTH(A283))</f>
        <v/>
      </c>
      <c r="M283" s="27">
        <f>IF(A283="","",YEAR(A283))</f>
        <v/>
      </c>
      <c r="N283" s="27">
        <f>IF(K283="","",IF(G283="Sim","Conferido",IF(K283&gt;Config!$B$8,"A cair","A conferir")))</f>
        <v/>
      </c>
      <c r="O283" s="50">
        <f>IF(N283="A conferir",(Config!$B$8-K283)*1000+N(F283)/1000+ROW()/100000,0)</f>
        <v>0</v>
      </c>
    </row>
    <row r="284">
      <c r="A284" s="48" t="n"/>
      <c r="B284" s="40" t="n"/>
      <c r="C284" s="40" t="n"/>
      <c r="D284" s="41" t="n"/>
      <c r="E284" s="41" t="n"/>
      <c r="F284" s="49" t="n"/>
      <c r="G284" s="41" t="n"/>
      <c r="H284" s="30">
        <f>IF(D284="","",IFERROR(INDEX(Config!$B$12:$B$15,MATCH(IF(AND(D284="Cartão de crédito",N(E284)&gt;1),"Cartão de crédito parcelado",D284),Config!$A$12:$A$15,0)),0)+IF(AND(Config!$B$17="Sim",LEFT(D284,17)="Cartão de crédito"),Config!$B$18*IFERROR(INDEX(Config!$C$12:$C$15,MATCH(IF(AND(D284="Cartão de crédito",N(E284)&gt;1),"Cartão de crédito parcelado",D284),Config!$A$12:$A$15,0)),0)/30*MAX(1,N(E284)),0))</f>
        <v/>
      </c>
      <c r="I284" s="29">
        <f>IF(OR(D284="",F284=""),"",ROUND(F284*H284,2))</f>
        <v/>
      </c>
      <c r="J284" s="29">
        <f>IF(I284="","",F284-I284)</f>
        <v/>
      </c>
      <c r="K284" s="37">
        <f>IF(OR(D284="",A284=""),"",A284+IF(AND(Config!$B$17="Sim",LEFT(D284,17)="Cartão de crédito"),1,IFERROR(INDEX(Config!$C$12:$C$15,MATCH(IF(AND(D284="Cartão de crédito",N(E284)&gt;1),"Cartão de crédito parcelado",D284),Config!$A$12:$A$15,0)),0)))</f>
        <v/>
      </c>
      <c r="L284" s="27">
        <f>IF(A284="","",MONTH(A284))</f>
        <v/>
      </c>
      <c r="M284" s="27">
        <f>IF(A284="","",YEAR(A284))</f>
        <v/>
      </c>
      <c r="N284" s="27">
        <f>IF(K284="","",IF(G284="Sim","Conferido",IF(K284&gt;Config!$B$8,"A cair","A conferir")))</f>
        <v/>
      </c>
      <c r="O284" s="50">
        <f>IF(N284="A conferir",(Config!$B$8-K284)*1000+N(F284)/1000+ROW()/100000,0)</f>
        <v>0</v>
      </c>
    </row>
    <row r="285">
      <c r="A285" s="48" t="n"/>
      <c r="B285" s="40" t="n"/>
      <c r="C285" s="40" t="n"/>
      <c r="D285" s="41" t="n"/>
      <c r="E285" s="41" t="n"/>
      <c r="F285" s="49" t="n"/>
      <c r="G285" s="41" t="n"/>
      <c r="H285" s="30">
        <f>IF(D285="","",IFERROR(INDEX(Config!$B$12:$B$15,MATCH(IF(AND(D285="Cartão de crédito",N(E285)&gt;1),"Cartão de crédito parcelado",D285),Config!$A$12:$A$15,0)),0)+IF(AND(Config!$B$17="Sim",LEFT(D285,17)="Cartão de crédito"),Config!$B$18*IFERROR(INDEX(Config!$C$12:$C$15,MATCH(IF(AND(D285="Cartão de crédito",N(E285)&gt;1),"Cartão de crédito parcelado",D285),Config!$A$12:$A$15,0)),0)/30*MAX(1,N(E285)),0))</f>
        <v/>
      </c>
      <c r="I285" s="29">
        <f>IF(OR(D285="",F285=""),"",ROUND(F285*H285,2))</f>
        <v/>
      </c>
      <c r="J285" s="29">
        <f>IF(I285="","",F285-I285)</f>
        <v/>
      </c>
      <c r="K285" s="37">
        <f>IF(OR(D285="",A285=""),"",A285+IF(AND(Config!$B$17="Sim",LEFT(D285,17)="Cartão de crédito"),1,IFERROR(INDEX(Config!$C$12:$C$15,MATCH(IF(AND(D285="Cartão de crédito",N(E285)&gt;1),"Cartão de crédito parcelado",D285),Config!$A$12:$A$15,0)),0)))</f>
        <v/>
      </c>
      <c r="L285" s="27">
        <f>IF(A285="","",MONTH(A285))</f>
        <v/>
      </c>
      <c r="M285" s="27">
        <f>IF(A285="","",YEAR(A285))</f>
        <v/>
      </c>
      <c r="N285" s="27">
        <f>IF(K285="","",IF(G285="Sim","Conferido",IF(K285&gt;Config!$B$8,"A cair","A conferir")))</f>
        <v/>
      </c>
      <c r="O285" s="50">
        <f>IF(N285="A conferir",(Config!$B$8-K285)*1000+N(F285)/1000+ROW()/100000,0)</f>
        <v>0</v>
      </c>
    </row>
    <row r="286">
      <c r="A286" s="48" t="n"/>
      <c r="B286" s="40" t="n"/>
      <c r="C286" s="40" t="n"/>
      <c r="D286" s="41" t="n"/>
      <c r="E286" s="41" t="n"/>
      <c r="F286" s="49" t="n"/>
      <c r="G286" s="41" t="n"/>
      <c r="H286" s="30">
        <f>IF(D286="","",IFERROR(INDEX(Config!$B$12:$B$15,MATCH(IF(AND(D286="Cartão de crédito",N(E286)&gt;1),"Cartão de crédito parcelado",D286),Config!$A$12:$A$15,0)),0)+IF(AND(Config!$B$17="Sim",LEFT(D286,17)="Cartão de crédito"),Config!$B$18*IFERROR(INDEX(Config!$C$12:$C$15,MATCH(IF(AND(D286="Cartão de crédito",N(E286)&gt;1),"Cartão de crédito parcelado",D286),Config!$A$12:$A$15,0)),0)/30*MAX(1,N(E286)),0))</f>
        <v/>
      </c>
      <c r="I286" s="29">
        <f>IF(OR(D286="",F286=""),"",ROUND(F286*H286,2))</f>
        <v/>
      </c>
      <c r="J286" s="29">
        <f>IF(I286="","",F286-I286)</f>
        <v/>
      </c>
      <c r="K286" s="37">
        <f>IF(OR(D286="",A286=""),"",A286+IF(AND(Config!$B$17="Sim",LEFT(D286,17)="Cartão de crédito"),1,IFERROR(INDEX(Config!$C$12:$C$15,MATCH(IF(AND(D286="Cartão de crédito",N(E286)&gt;1),"Cartão de crédito parcelado",D286),Config!$A$12:$A$15,0)),0)))</f>
        <v/>
      </c>
      <c r="L286" s="27">
        <f>IF(A286="","",MONTH(A286))</f>
        <v/>
      </c>
      <c r="M286" s="27">
        <f>IF(A286="","",YEAR(A286))</f>
        <v/>
      </c>
      <c r="N286" s="27">
        <f>IF(K286="","",IF(G286="Sim","Conferido",IF(K286&gt;Config!$B$8,"A cair","A conferir")))</f>
        <v/>
      </c>
      <c r="O286" s="50">
        <f>IF(N286="A conferir",(Config!$B$8-K286)*1000+N(F286)/1000+ROW()/100000,0)</f>
        <v>0</v>
      </c>
    </row>
    <row r="287">
      <c r="A287" s="48" t="n"/>
      <c r="B287" s="40" t="n"/>
      <c r="C287" s="40" t="n"/>
      <c r="D287" s="41" t="n"/>
      <c r="E287" s="41" t="n"/>
      <c r="F287" s="49" t="n"/>
      <c r="G287" s="41" t="n"/>
      <c r="H287" s="30">
        <f>IF(D287="","",IFERROR(INDEX(Config!$B$12:$B$15,MATCH(IF(AND(D287="Cartão de crédito",N(E287)&gt;1),"Cartão de crédito parcelado",D287),Config!$A$12:$A$15,0)),0)+IF(AND(Config!$B$17="Sim",LEFT(D287,17)="Cartão de crédito"),Config!$B$18*IFERROR(INDEX(Config!$C$12:$C$15,MATCH(IF(AND(D287="Cartão de crédito",N(E287)&gt;1),"Cartão de crédito parcelado",D287),Config!$A$12:$A$15,0)),0)/30*MAX(1,N(E287)),0))</f>
        <v/>
      </c>
      <c r="I287" s="29">
        <f>IF(OR(D287="",F287=""),"",ROUND(F287*H287,2))</f>
        <v/>
      </c>
      <c r="J287" s="29">
        <f>IF(I287="","",F287-I287)</f>
        <v/>
      </c>
      <c r="K287" s="37">
        <f>IF(OR(D287="",A287=""),"",A287+IF(AND(Config!$B$17="Sim",LEFT(D287,17)="Cartão de crédito"),1,IFERROR(INDEX(Config!$C$12:$C$15,MATCH(IF(AND(D287="Cartão de crédito",N(E287)&gt;1),"Cartão de crédito parcelado",D287),Config!$A$12:$A$15,0)),0)))</f>
        <v/>
      </c>
      <c r="L287" s="27">
        <f>IF(A287="","",MONTH(A287))</f>
        <v/>
      </c>
      <c r="M287" s="27">
        <f>IF(A287="","",YEAR(A287))</f>
        <v/>
      </c>
      <c r="N287" s="27">
        <f>IF(K287="","",IF(G287="Sim","Conferido",IF(K287&gt;Config!$B$8,"A cair","A conferir")))</f>
        <v/>
      </c>
      <c r="O287" s="50">
        <f>IF(N287="A conferir",(Config!$B$8-K287)*1000+N(F287)/1000+ROW()/100000,0)</f>
        <v>0</v>
      </c>
    </row>
    <row r="288">
      <c r="A288" s="48" t="n"/>
      <c r="B288" s="40" t="n"/>
      <c r="C288" s="40" t="n"/>
      <c r="D288" s="41" t="n"/>
      <c r="E288" s="41" t="n"/>
      <c r="F288" s="49" t="n"/>
      <c r="G288" s="41" t="n"/>
      <c r="H288" s="30">
        <f>IF(D288="","",IFERROR(INDEX(Config!$B$12:$B$15,MATCH(IF(AND(D288="Cartão de crédito",N(E288)&gt;1),"Cartão de crédito parcelado",D288),Config!$A$12:$A$15,0)),0)+IF(AND(Config!$B$17="Sim",LEFT(D288,17)="Cartão de crédito"),Config!$B$18*IFERROR(INDEX(Config!$C$12:$C$15,MATCH(IF(AND(D288="Cartão de crédito",N(E288)&gt;1),"Cartão de crédito parcelado",D288),Config!$A$12:$A$15,0)),0)/30*MAX(1,N(E288)),0))</f>
        <v/>
      </c>
      <c r="I288" s="29">
        <f>IF(OR(D288="",F288=""),"",ROUND(F288*H288,2))</f>
        <v/>
      </c>
      <c r="J288" s="29">
        <f>IF(I288="","",F288-I288)</f>
        <v/>
      </c>
      <c r="K288" s="37">
        <f>IF(OR(D288="",A288=""),"",A288+IF(AND(Config!$B$17="Sim",LEFT(D288,17)="Cartão de crédito"),1,IFERROR(INDEX(Config!$C$12:$C$15,MATCH(IF(AND(D288="Cartão de crédito",N(E288)&gt;1),"Cartão de crédito parcelado",D288),Config!$A$12:$A$15,0)),0)))</f>
        <v/>
      </c>
      <c r="L288" s="27">
        <f>IF(A288="","",MONTH(A288))</f>
        <v/>
      </c>
      <c r="M288" s="27">
        <f>IF(A288="","",YEAR(A288))</f>
        <v/>
      </c>
      <c r="N288" s="27">
        <f>IF(K288="","",IF(G288="Sim","Conferido",IF(K288&gt;Config!$B$8,"A cair","A conferir")))</f>
        <v/>
      </c>
      <c r="O288" s="50">
        <f>IF(N288="A conferir",(Config!$B$8-K288)*1000+N(F288)/1000+ROW()/100000,0)</f>
        <v>0</v>
      </c>
    </row>
    <row r="289">
      <c r="A289" s="48" t="n"/>
      <c r="B289" s="40" t="n"/>
      <c r="C289" s="40" t="n"/>
      <c r="D289" s="41" t="n"/>
      <c r="E289" s="41" t="n"/>
      <c r="F289" s="49" t="n"/>
      <c r="G289" s="41" t="n"/>
      <c r="H289" s="30">
        <f>IF(D289="","",IFERROR(INDEX(Config!$B$12:$B$15,MATCH(IF(AND(D289="Cartão de crédito",N(E289)&gt;1),"Cartão de crédito parcelado",D289),Config!$A$12:$A$15,0)),0)+IF(AND(Config!$B$17="Sim",LEFT(D289,17)="Cartão de crédito"),Config!$B$18*IFERROR(INDEX(Config!$C$12:$C$15,MATCH(IF(AND(D289="Cartão de crédito",N(E289)&gt;1),"Cartão de crédito parcelado",D289),Config!$A$12:$A$15,0)),0)/30*MAX(1,N(E289)),0))</f>
        <v/>
      </c>
      <c r="I289" s="29">
        <f>IF(OR(D289="",F289=""),"",ROUND(F289*H289,2))</f>
        <v/>
      </c>
      <c r="J289" s="29">
        <f>IF(I289="","",F289-I289)</f>
        <v/>
      </c>
      <c r="K289" s="37">
        <f>IF(OR(D289="",A289=""),"",A289+IF(AND(Config!$B$17="Sim",LEFT(D289,17)="Cartão de crédito"),1,IFERROR(INDEX(Config!$C$12:$C$15,MATCH(IF(AND(D289="Cartão de crédito",N(E289)&gt;1),"Cartão de crédito parcelado",D289),Config!$A$12:$A$15,0)),0)))</f>
        <v/>
      </c>
      <c r="L289" s="27">
        <f>IF(A289="","",MONTH(A289))</f>
        <v/>
      </c>
      <c r="M289" s="27">
        <f>IF(A289="","",YEAR(A289))</f>
        <v/>
      </c>
      <c r="N289" s="27">
        <f>IF(K289="","",IF(G289="Sim","Conferido",IF(K289&gt;Config!$B$8,"A cair","A conferir")))</f>
        <v/>
      </c>
      <c r="O289" s="50">
        <f>IF(N289="A conferir",(Config!$B$8-K289)*1000+N(F289)/1000+ROW()/100000,0)</f>
        <v>0</v>
      </c>
    </row>
    <row r="290">
      <c r="A290" s="48" t="n"/>
      <c r="B290" s="40" t="n"/>
      <c r="C290" s="40" t="n"/>
      <c r="D290" s="41" t="n"/>
      <c r="E290" s="41" t="n"/>
      <c r="F290" s="49" t="n"/>
      <c r="G290" s="41" t="n"/>
      <c r="H290" s="30">
        <f>IF(D290="","",IFERROR(INDEX(Config!$B$12:$B$15,MATCH(IF(AND(D290="Cartão de crédito",N(E290)&gt;1),"Cartão de crédito parcelado",D290),Config!$A$12:$A$15,0)),0)+IF(AND(Config!$B$17="Sim",LEFT(D290,17)="Cartão de crédito"),Config!$B$18*IFERROR(INDEX(Config!$C$12:$C$15,MATCH(IF(AND(D290="Cartão de crédito",N(E290)&gt;1),"Cartão de crédito parcelado",D290),Config!$A$12:$A$15,0)),0)/30*MAX(1,N(E290)),0))</f>
        <v/>
      </c>
      <c r="I290" s="29">
        <f>IF(OR(D290="",F290=""),"",ROUND(F290*H290,2))</f>
        <v/>
      </c>
      <c r="J290" s="29">
        <f>IF(I290="","",F290-I290)</f>
        <v/>
      </c>
      <c r="K290" s="37">
        <f>IF(OR(D290="",A290=""),"",A290+IF(AND(Config!$B$17="Sim",LEFT(D290,17)="Cartão de crédito"),1,IFERROR(INDEX(Config!$C$12:$C$15,MATCH(IF(AND(D290="Cartão de crédito",N(E290)&gt;1),"Cartão de crédito parcelado",D290),Config!$A$12:$A$15,0)),0)))</f>
        <v/>
      </c>
      <c r="L290" s="27">
        <f>IF(A290="","",MONTH(A290))</f>
        <v/>
      </c>
      <c r="M290" s="27">
        <f>IF(A290="","",YEAR(A290))</f>
        <v/>
      </c>
      <c r="N290" s="27">
        <f>IF(K290="","",IF(G290="Sim","Conferido",IF(K290&gt;Config!$B$8,"A cair","A conferir")))</f>
        <v/>
      </c>
      <c r="O290" s="50">
        <f>IF(N290="A conferir",(Config!$B$8-K290)*1000+N(F290)/1000+ROW()/100000,0)</f>
        <v>0</v>
      </c>
    </row>
    <row r="291">
      <c r="A291" s="48" t="n"/>
      <c r="B291" s="40" t="n"/>
      <c r="C291" s="40" t="n"/>
      <c r="D291" s="41" t="n"/>
      <c r="E291" s="41" t="n"/>
      <c r="F291" s="49" t="n"/>
      <c r="G291" s="41" t="n"/>
      <c r="H291" s="30">
        <f>IF(D291="","",IFERROR(INDEX(Config!$B$12:$B$15,MATCH(IF(AND(D291="Cartão de crédito",N(E291)&gt;1),"Cartão de crédito parcelado",D291),Config!$A$12:$A$15,0)),0)+IF(AND(Config!$B$17="Sim",LEFT(D291,17)="Cartão de crédito"),Config!$B$18*IFERROR(INDEX(Config!$C$12:$C$15,MATCH(IF(AND(D291="Cartão de crédito",N(E291)&gt;1),"Cartão de crédito parcelado",D291),Config!$A$12:$A$15,0)),0)/30*MAX(1,N(E291)),0))</f>
        <v/>
      </c>
      <c r="I291" s="29">
        <f>IF(OR(D291="",F291=""),"",ROUND(F291*H291,2))</f>
        <v/>
      </c>
      <c r="J291" s="29">
        <f>IF(I291="","",F291-I291)</f>
        <v/>
      </c>
      <c r="K291" s="37">
        <f>IF(OR(D291="",A291=""),"",A291+IF(AND(Config!$B$17="Sim",LEFT(D291,17)="Cartão de crédito"),1,IFERROR(INDEX(Config!$C$12:$C$15,MATCH(IF(AND(D291="Cartão de crédito",N(E291)&gt;1),"Cartão de crédito parcelado",D291),Config!$A$12:$A$15,0)),0)))</f>
        <v/>
      </c>
      <c r="L291" s="27">
        <f>IF(A291="","",MONTH(A291))</f>
        <v/>
      </c>
      <c r="M291" s="27">
        <f>IF(A291="","",YEAR(A291))</f>
        <v/>
      </c>
      <c r="N291" s="27">
        <f>IF(K291="","",IF(G291="Sim","Conferido",IF(K291&gt;Config!$B$8,"A cair","A conferir")))</f>
        <v/>
      </c>
      <c r="O291" s="50">
        <f>IF(N291="A conferir",(Config!$B$8-K291)*1000+N(F291)/1000+ROW()/100000,0)</f>
        <v>0</v>
      </c>
    </row>
    <row r="292">
      <c r="A292" s="48" t="n"/>
      <c r="B292" s="40" t="n"/>
      <c r="C292" s="40" t="n"/>
      <c r="D292" s="41" t="n"/>
      <c r="E292" s="41" t="n"/>
      <c r="F292" s="49" t="n"/>
      <c r="G292" s="41" t="n"/>
      <c r="H292" s="30">
        <f>IF(D292="","",IFERROR(INDEX(Config!$B$12:$B$15,MATCH(IF(AND(D292="Cartão de crédito",N(E292)&gt;1),"Cartão de crédito parcelado",D292),Config!$A$12:$A$15,0)),0)+IF(AND(Config!$B$17="Sim",LEFT(D292,17)="Cartão de crédito"),Config!$B$18*IFERROR(INDEX(Config!$C$12:$C$15,MATCH(IF(AND(D292="Cartão de crédito",N(E292)&gt;1),"Cartão de crédito parcelado",D292),Config!$A$12:$A$15,0)),0)/30*MAX(1,N(E292)),0))</f>
        <v/>
      </c>
      <c r="I292" s="29">
        <f>IF(OR(D292="",F292=""),"",ROUND(F292*H292,2))</f>
        <v/>
      </c>
      <c r="J292" s="29">
        <f>IF(I292="","",F292-I292)</f>
        <v/>
      </c>
      <c r="K292" s="37">
        <f>IF(OR(D292="",A292=""),"",A292+IF(AND(Config!$B$17="Sim",LEFT(D292,17)="Cartão de crédito"),1,IFERROR(INDEX(Config!$C$12:$C$15,MATCH(IF(AND(D292="Cartão de crédito",N(E292)&gt;1),"Cartão de crédito parcelado",D292),Config!$A$12:$A$15,0)),0)))</f>
        <v/>
      </c>
      <c r="L292" s="27">
        <f>IF(A292="","",MONTH(A292))</f>
        <v/>
      </c>
      <c r="M292" s="27">
        <f>IF(A292="","",YEAR(A292))</f>
        <v/>
      </c>
      <c r="N292" s="27">
        <f>IF(K292="","",IF(G292="Sim","Conferido",IF(K292&gt;Config!$B$8,"A cair","A conferir")))</f>
        <v/>
      </c>
      <c r="O292" s="50">
        <f>IF(N292="A conferir",(Config!$B$8-K292)*1000+N(F292)/1000+ROW()/100000,0)</f>
        <v>0</v>
      </c>
    </row>
    <row r="293">
      <c r="A293" s="48" t="n"/>
      <c r="B293" s="40" t="n"/>
      <c r="C293" s="40" t="n"/>
      <c r="D293" s="41" t="n"/>
      <c r="E293" s="41" t="n"/>
      <c r="F293" s="49" t="n"/>
      <c r="G293" s="41" t="n"/>
      <c r="H293" s="30">
        <f>IF(D293="","",IFERROR(INDEX(Config!$B$12:$B$15,MATCH(IF(AND(D293="Cartão de crédito",N(E293)&gt;1),"Cartão de crédito parcelado",D293),Config!$A$12:$A$15,0)),0)+IF(AND(Config!$B$17="Sim",LEFT(D293,17)="Cartão de crédito"),Config!$B$18*IFERROR(INDEX(Config!$C$12:$C$15,MATCH(IF(AND(D293="Cartão de crédito",N(E293)&gt;1),"Cartão de crédito parcelado",D293),Config!$A$12:$A$15,0)),0)/30*MAX(1,N(E293)),0))</f>
        <v/>
      </c>
      <c r="I293" s="29">
        <f>IF(OR(D293="",F293=""),"",ROUND(F293*H293,2))</f>
        <v/>
      </c>
      <c r="J293" s="29">
        <f>IF(I293="","",F293-I293)</f>
        <v/>
      </c>
      <c r="K293" s="37">
        <f>IF(OR(D293="",A293=""),"",A293+IF(AND(Config!$B$17="Sim",LEFT(D293,17)="Cartão de crédito"),1,IFERROR(INDEX(Config!$C$12:$C$15,MATCH(IF(AND(D293="Cartão de crédito",N(E293)&gt;1),"Cartão de crédito parcelado",D293),Config!$A$12:$A$15,0)),0)))</f>
        <v/>
      </c>
      <c r="L293" s="27">
        <f>IF(A293="","",MONTH(A293))</f>
        <v/>
      </c>
      <c r="M293" s="27">
        <f>IF(A293="","",YEAR(A293))</f>
        <v/>
      </c>
      <c r="N293" s="27">
        <f>IF(K293="","",IF(G293="Sim","Conferido",IF(K293&gt;Config!$B$8,"A cair","A conferir")))</f>
        <v/>
      </c>
      <c r="O293" s="50">
        <f>IF(N293="A conferir",(Config!$B$8-K293)*1000+N(F293)/1000+ROW()/100000,0)</f>
        <v>0</v>
      </c>
    </row>
    <row r="294">
      <c r="A294" s="48" t="n"/>
      <c r="B294" s="40" t="n"/>
      <c r="C294" s="40" t="n"/>
      <c r="D294" s="41" t="n"/>
      <c r="E294" s="41" t="n"/>
      <c r="F294" s="49" t="n"/>
      <c r="G294" s="41" t="n"/>
      <c r="H294" s="30">
        <f>IF(D294="","",IFERROR(INDEX(Config!$B$12:$B$15,MATCH(IF(AND(D294="Cartão de crédito",N(E294)&gt;1),"Cartão de crédito parcelado",D294),Config!$A$12:$A$15,0)),0)+IF(AND(Config!$B$17="Sim",LEFT(D294,17)="Cartão de crédito"),Config!$B$18*IFERROR(INDEX(Config!$C$12:$C$15,MATCH(IF(AND(D294="Cartão de crédito",N(E294)&gt;1),"Cartão de crédito parcelado",D294),Config!$A$12:$A$15,0)),0)/30*MAX(1,N(E294)),0))</f>
        <v/>
      </c>
      <c r="I294" s="29">
        <f>IF(OR(D294="",F294=""),"",ROUND(F294*H294,2))</f>
        <v/>
      </c>
      <c r="J294" s="29">
        <f>IF(I294="","",F294-I294)</f>
        <v/>
      </c>
      <c r="K294" s="37">
        <f>IF(OR(D294="",A294=""),"",A294+IF(AND(Config!$B$17="Sim",LEFT(D294,17)="Cartão de crédito"),1,IFERROR(INDEX(Config!$C$12:$C$15,MATCH(IF(AND(D294="Cartão de crédito",N(E294)&gt;1),"Cartão de crédito parcelado",D294),Config!$A$12:$A$15,0)),0)))</f>
        <v/>
      </c>
      <c r="L294" s="27">
        <f>IF(A294="","",MONTH(A294))</f>
        <v/>
      </c>
      <c r="M294" s="27">
        <f>IF(A294="","",YEAR(A294))</f>
        <v/>
      </c>
      <c r="N294" s="27">
        <f>IF(K294="","",IF(G294="Sim","Conferido",IF(K294&gt;Config!$B$8,"A cair","A conferir")))</f>
        <v/>
      </c>
      <c r="O294" s="50">
        <f>IF(N294="A conferir",(Config!$B$8-K294)*1000+N(F294)/1000+ROW()/100000,0)</f>
        <v>0</v>
      </c>
    </row>
    <row r="295">
      <c r="A295" s="48" t="n"/>
      <c r="B295" s="40" t="n"/>
      <c r="C295" s="40" t="n"/>
      <c r="D295" s="41" t="n"/>
      <c r="E295" s="41" t="n"/>
      <c r="F295" s="49" t="n"/>
      <c r="G295" s="41" t="n"/>
      <c r="H295" s="30">
        <f>IF(D295="","",IFERROR(INDEX(Config!$B$12:$B$15,MATCH(IF(AND(D295="Cartão de crédito",N(E295)&gt;1),"Cartão de crédito parcelado",D295),Config!$A$12:$A$15,0)),0)+IF(AND(Config!$B$17="Sim",LEFT(D295,17)="Cartão de crédito"),Config!$B$18*IFERROR(INDEX(Config!$C$12:$C$15,MATCH(IF(AND(D295="Cartão de crédito",N(E295)&gt;1),"Cartão de crédito parcelado",D295),Config!$A$12:$A$15,0)),0)/30*MAX(1,N(E295)),0))</f>
        <v/>
      </c>
      <c r="I295" s="29">
        <f>IF(OR(D295="",F295=""),"",ROUND(F295*H295,2))</f>
        <v/>
      </c>
      <c r="J295" s="29">
        <f>IF(I295="","",F295-I295)</f>
        <v/>
      </c>
      <c r="K295" s="37">
        <f>IF(OR(D295="",A295=""),"",A295+IF(AND(Config!$B$17="Sim",LEFT(D295,17)="Cartão de crédito"),1,IFERROR(INDEX(Config!$C$12:$C$15,MATCH(IF(AND(D295="Cartão de crédito",N(E295)&gt;1),"Cartão de crédito parcelado",D295),Config!$A$12:$A$15,0)),0)))</f>
        <v/>
      </c>
      <c r="L295" s="27">
        <f>IF(A295="","",MONTH(A295))</f>
        <v/>
      </c>
      <c r="M295" s="27">
        <f>IF(A295="","",YEAR(A295))</f>
        <v/>
      </c>
      <c r="N295" s="27">
        <f>IF(K295="","",IF(G295="Sim","Conferido",IF(K295&gt;Config!$B$8,"A cair","A conferir")))</f>
        <v/>
      </c>
      <c r="O295" s="50">
        <f>IF(N295="A conferir",(Config!$B$8-K295)*1000+N(F295)/1000+ROW()/100000,0)</f>
        <v>0</v>
      </c>
    </row>
    <row r="296">
      <c r="A296" s="48" t="n"/>
      <c r="B296" s="40" t="n"/>
      <c r="C296" s="40" t="n"/>
      <c r="D296" s="41" t="n"/>
      <c r="E296" s="41" t="n"/>
      <c r="F296" s="49" t="n"/>
      <c r="G296" s="41" t="n"/>
      <c r="H296" s="30">
        <f>IF(D296="","",IFERROR(INDEX(Config!$B$12:$B$15,MATCH(IF(AND(D296="Cartão de crédito",N(E296)&gt;1),"Cartão de crédito parcelado",D296),Config!$A$12:$A$15,0)),0)+IF(AND(Config!$B$17="Sim",LEFT(D296,17)="Cartão de crédito"),Config!$B$18*IFERROR(INDEX(Config!$C$12:$C$15,MATCH(IF(AND(D296="Cartão de crédito",N(E296)&gt;1),"Cartão de crédito parcelado",D296),Config!$A$12:$A$15,0)),0)/30*MAX(1,N(E296)),0))</f>
        <v/>
      </c>
      <c r="I296" s="29">
        <f>IF(OR(D296="",F296=""),"",ROUND(F296*H296,2))</f>
        <v/>
      </c>
      <c r="J296" s="29">
        <f>IF(I296="","",F296-I296)</f>
        <v/>
      </c>
      <c r="K296" s="37">
        <f>IF(OR(D296="",A296=""),"",A296+IF(AND(Config!$B$17="Sim",LEFT(D296,17)="Cartão de crédito"),1,IFERROR(INDEX(Config!$C$12:$C$15,MATCH(IF(AND(D296="Cartão de crédito",N(E296)&gt;1),"Cartão de crédito parcelado",D296),Config!$A$12:$A$15,0)),0)))</f>
        <v/>
      </c>
      <c r="L296" s="27">
        <f>IF(A296="","",MONTH(A296))</f>
        <v/>
      </c>
      <c r="M296" s="27">
        <f>IF(A296="","",YEAR(A296))</f>
        <v/>
      </c>
      <c r="N296" s="27">
        <f>IF(K296="","",IF(G296="Sim","Conferido",IF(K296&gt;Config!$B$8,"A cair","A conferir")))</f>
        <v/>
      </c>
      <c r="O296" s="50">
        <f>IF(N296="A conferir",(Config!$B$8-K296)*1000+N(F296)/1000+ROW()/100000,0)</f>
        <v>0</v>
      </c>
    </row>
    <row r="297">
      <c r="A297" s="48" t="n"/>
      <c r="B297" s="40" t="n"/>
      <c r="C297" s="40" t="n"/>
      <c r="D297" s="41" t="n"/>
      <c r="E297" s="41" t="n"/>
      <c r="F297" s="49" t="n"/>
      <c r="G297" s="41" t="n"/>
      <c r="H297" s="30">
        <f>IF(D297="","",IFERROR(INDEX(Config!$B$12:$B$15,MATCH(IF(AND(D297="Cartão de crédito",N(E297)&gt;1),"Cartão de crédito parcelado",D297),Config!$A$12:$A$15,0)),0)+IF(AND(Config!$B$17="Sim",LEFT(D297,17)="Cartão de crédito"),Config!$B$18*IFERROR(INDEX(Config!$C$12:$C$15,MATCH(IF(AND(D297="Cartão de crédito",N(E297)&gt;1),"Cartão de crédito parcelado",D297),Config!$A$12:$A$15,0)),0)/30*MAX(1,N(E297)),0))</f>
        <v/>
      </c>
      <c r="I297" s="29">
        <f>IF(OR(D297="",F297=""),"",ROUND(F297*H297,2))</f>
        <v/>
      </c>
      <c r="J297" s="29">
        <f>IF(I297="","",F297-I297)</f>
        <v/>
      </c>
      <c r="K297" s="37">
        <f>IF(OR(D297="",A297=""),"",A297+IF(AND(Config!$B$17="Sim",LEFT(D297,17)="Cartão de crédito"),1,IFERROR(INDEX(Config!$C$12:$C$15,MATCH(IF(AND(D297="Cartão de crédito",N(E297)&gt;1),"Cartão de crédito parcelado",D297),Config!$A$12:$A$15,0)),0)))</f>
        <v/>
      </c>
      <c r="L297" s="27">
        <f>IF(A297="","",MONTH(A297))</f>
        <v/>
      </c>
      <c r="M297" s="27">
        <f>IF(A297="","",YEAR(A297))</f>
        <v/>
      </c>
      <c r="N297" s="27">
        <f>IF(K297="","",IF(G297="Sim","Conferido",IF(K297&gt;Config!$B$8,"A cair","A conferir")))</f>
        <v/>
      </c>
      <c r="O297" s="50">
        <f>IF(N297="A conferir",(Config!$B$8-K297)*1000+N(F297)/1000+ROW()/100000,0)</f>
        <v>0</v>
      </c>
    </row>
    <row r="298">
      <c r="A298" s="48" t="n"/>
      <c r="B298" s="40" t="n"/>
      <c r="C298" s="40" t="n"/>
      <c r="D298" s="41" t="n"/>
      <c r="E298" s="41" t="n"/>
      <c r="F298" s="49" t="n"/>
      <c r="G298" s="41" t="n"/>
      <c r="H298" s="30">
        <f>IF(D298="","",IFERROR(INDEX(Config!$B$12:$B$15,MATCH(IF(AND(D298="Cartão de crédito",N(E298)&gt;1),"Cartão de crédito parcelado",D298),Config!$A$12:$A$15,0)),0)+IF(AND(Config!$B$17="Sim",LEFT(D298,17)="Cartão de crédito"),Config!$B$18*IFERROR(INDEX(Config!$C$12:$C$15,MATCH(IF(AND(D298="Cartão de crédito",N(E298)&gt;1),"Cartão de crédito parcelado",D298),Config!$A$12:$A$15,0)),0)/30*MAX(1,N(E298)),0))</f>
        <v/>
      </c>
      <c r="I298" s="29">
        <f>IF(OR(D298="",F298=""),"",ROUND(F298*H298,2))</f>
        <v/>
      </c>
      <c r="J298" s="29">
        <f>IF(I298="","",F298-I298)</f>
        <v/>
      </c>
      <c r="K298" s="37">
        <f>IF(OR(D298="",A298=""),"",A298+IF(AND(Config!$B$17="Sim",LEFT(D298,17)="Cartão de crédito"),1,IFERROR(INDEX(Config!$C$12:$C$15,MATCH(IF(AND(D298="Cartão de crédito",N(E298)&gt;1),"Cartão de crédito parcelado",D298),Config!$A$12:$A$15,0)),0)))</f>
        <v/>
      </c>
      <c r="L298" s="27">
        <f>IF(A298="","",MONTH(A298))</f>
        <v/>
      </c>
      <c r="M298" s="27">
        <f>IF(A298="","",YEAR(A298))</f>
        <v/>
      </c>
      <c r="N298" s="27">
        <f>IF(K298="","",IF(G298="Sim","Conferido",IF(K298&gt;Config!$B$8,"A cair","A conferir")))</f>
        <v/>
      </c>
      <c r="O298" s="50">
        <f>IF(N298="A conferir",(Config!$B$8-K298)*1000+N(F298)/1000+ROW()/100000,0)</f>
        <v>0</v>
      </c>
    </row>
    <row r="299">
      <c r="A299" s="48" t="n"/>
      <c r="B299" s="40" t="n"/>
      <c r="C299" s="40" t="n"/>
      <c r="D299" s="41" t="n"/>
      <c r="E299" s="41" t="n"/>
      <c r="F299" s="49" t="n"/>
      <c r="G299" s="41" t="n"/>
      <c r="H299" s="30">
        <f>IF(D299="","",IFERROR(INDEX(Config!$B$12:$B$15,MATCH(IF(AND(D299="Cartão de crédito",N(E299)&gt;1),"Cartão de crédito parcelado",D299),Config!$A$12:$A$15,0)),0)+IF(AND(Config!$B$17="Sim",LEFT(D299,17)="Cartão de crédito"),Config!$B$18*IFERROR(INDEX(Config!$C$12:$C$15,MATCH(IF(AND(D299="Cartão de crédito",N(E299)&gt;1),"Cartão de crédito parcelado",D299),Config!$A$12:$A$15,0)),0)/30*MAX(1,N(E299)),0))</f>
        <v/>
      </c>
      <c r="I299" s="29">
        <f>IF(OR(D299="",F299=""),"",ROUND(F299*H299,2))</f>
        <v/>
      </c>
      <c r="J299" s="29">
        <f>IF(I299="","",F299-I299)</f>
        <v/>
      </c>
      <c r="K299" s="37">
        <f>IF(OR(D299="",A299=""),"",A299+IF(AND(Config!$B$17="Sim",LEFT(D299,17)="Cartão de crédito"),1,IFERROR(INDEX(Config!$C$12:$C$15,MATCH(IF(AND(D299="Cartão de crédito",N(E299)&gt;1),"Cartão de crédito parcelado",D299),Config!$A$12:$A$15,0)),0)))</f>
        <v/>
      </c>
      <c r="L299" s="27">
        <f>IF(A299="","",MONTH(A299))</f>
        <v/>
      </c>
      <c r="M299" s="27">
        <f>IF(A299="","",YEAR(A299))</f>
        <v/>
      </c>
      <c r="N299" s="27">
        <f>IF(K299="","",IF(G299="Sim","Conferido",IF(K299&gt;Config!$B$8,"A cair","A conferir")))</f>
        <v/>
      </c>
      <c r="O299" s="50">
        <f>IF(N299="A conferir",(Config!$B$8-K299)*1000+N(F299)/1000+ROW()/100000,0)</f>
        <v>0</v>
      </c>
    </row>
    <row r="300">
      <c r="A300" s="48" t="n"/>
      <c r="B300" s="40" t="n"/>
      <c r="C300" s="40" t="n"/>
      <c r="D300" s="41" t="n"/>
      <c r="E300" s="41" t="n"/>
      <c r="F300" s="49" t="n"/>
      <c r="G300" s="41" t="n"/>
      <c r="H300" s="30">
        <f>IF(D300="","",IFERROR(INDEX(Config!$B$12:$B$15,MATCH(IF(AND(D300="Cartão de crédito",N(E300)&gt;1),"Cartão de crédito parcelado",D300),Config!$A$12:$A$15,0)),0)+IF(AND(Config!$B$17="Sim",LEFT(D300,17)="Cartão de crédito"),Config!$B$18*IFERROR(INDEX(Config!$C$12:$C$15,MATCH(IF(AND(D300="Cartão de crédito",N(E300)&gt;1),"Cartão de crédito parcelado",D300),Config!$A$12:$A$15,0)),0)/30*MAX(1,N(E300)),0))</f>
        <v/>
      </c>
      <c r="I300" s="29">
        <f>IF(OR(D300="",F300=""),"",ROUND(F300*H300,2))</f>
        <v/>
      </c>
      <c r="J300" s="29">
        <f>IF(I300="","",F300-I300)</f>
        <v/>
      </c>
      <c r="K300" s="37">
        <f>IF(OR(D300="",A300=""),"",A300+IF(AND(Config!$B$17="Sim",LEFT(D300,17)="Cartão de crédito"),1,IFERROR(INDEX(Config!$C$12:$C$15,MATCH(IF(AND(D300="Cartão de crédito",N(E300)&gt;1),"Cartão de crédito parcelado",D300),Config!$A$12:$A$15,0)),0)))</f>
        <v/>
      </c>
      <c r="L300" s="27">
        <f>IF(A300="","",MONTH(A300))</f>
        <v/>
      </c>
      <c r="M300" s="27">
        <f>IF(A300="","",YEAR(A300))</f>
        <v/>
      </c>
      <c r="N300" s="27">
        <f>IF(K300="","",IF(G300="Sim","Conferido",IF(K300&gt;Config!$B$8,"A cair","A conferir")))</f>
        <v/>
      </c>
      <c r="O300" s="50">
        <f>IF(N300="A conferir",(Config!$B$8-K300)*1000+N(F300)/1000+ROW()/100000,0)</f>
        <v>0</v>
      </c>
    </row>
    <row r="301">
      <c r="A301" s="48" t="n"/>
      <c r="B301" s="40" t="n"/>
      <c r="C301" s="40" t="n"/>
      <c r="D301" s="41" t="n"/>
      <c r="E301" s="41" t="n"/>
      <c r="F301" s="49" t="n"/>
      <c r="G301" s="41" t="n"/>
      <c r="H301" s="30">
        <f>IF(D301="","",IFERROR(INDEX(Config!$B$12:$B$15,MATCH(IF(AND(D301="Cartão de crédito",N(E301)&gt;1),"Cartão de crédito parcelado",D301),Config!$A$12:$A$15,0)),0)+IF(AND(Config!$B$17="Sim",LEFT(D301,17)="Cartão de crédito"),Config!$B$18*IFERROR(INDEX(Config!$C$12:$C$15,MATCH(IF(AND(D301="Cartão de crédito",N(E301)&gt;1),"Cartão de crédito parcelado",D301),Config!$A$12:$A$15,0)),0)/30*MAX(1,N(E301)),0))</f>
        <v/>
      </c>
      <c r="I301" s="29">
        <f>IF(OR(D301="",F301=""),"",ROUND(F301*H301,2))</f>
        <v/>
      </c>
      <c r="J301" s="29">
        <f>IF(I301="","",F301-I301)</f>
        <v/>
      </c>
      <c r="K301" s="37">
        <f>IF(OR(D301="",A301=""),"",A301+IF(AND(Config!$B$17="Sim",LEFT(D301,17)="Cartão de crédito"),1,IFERROR(INDEX(Config!$C$12:$C$15,MATCH(IF(AND(D301="Cartão de crédito",N(E301)&gt;1),"Cartão de crédito parcelado",D301),Config!$A$12:$A$15,0)),0)))</f>
        <v/>
      </c>
      <c r="L301" s="27">
        <f>IF(A301="","",MONTH(A301))</f>
        <v/>
      </c>
      <c r="M301" s="27">
        <f>IF(A301="","",YEAR(A301))</f>
        <v/>
      </c>
      <c r="N301" s="27">
        <f>IF(K301="","",IF(G301="Sim","Conferido",IF(K301&gt;Config!$B$8,"A cair","A conferir")))</f>
        <v/>
      </c>
      <c r="O301" s="50">
        <f>IF(N301="A conferir",(Config!$B$8-K301)*1000+N(F301)/1000+ROW()/100000,0)</f>
        <v>0</v>
      </c>
    </row>
    <row r="302">
      <c r="A302" s="48" t="n"/>
      <c r="B302" s="40" t="n"/>
      <c r="C302" s="40" t="n"/>
      <c r="D302" s="41" t="n"/>
      <c r="E302" s="41" t="n"/>
      <c r="F302" s="49" t="n"/>
      <c r="G302" s="41" t="n"/>
      <c r="H302" s="30">
        <f>IF(D302="","",IFERROR(INDEX(Config!$B$12:$B$15,MATCH(IF(AND(D302="Cartão de crédito",N(E302)&gt;1),"Cartão de crédito parcelado",D302),Config!$A$12:$A$15,0)),0)+IF(AND(Config!$B$17="Sim",LEFT(D302,17)="Cartão de crédito"),Config!$B$18*IFERROR(INDEX(Config!$C$12:$C$15,MATCH(IF(AND(D302="Cartão de crédito",N(E302)&gt;1),"Cartão de crédito parcelado",D302),Config!$A$12:$A$15,0)),0)/30*MAX(1,N(E302)),0))</f>
        <v/>
      </c>
      <c r="I302" s="29">
        <f>IF(OR(D302="",F302=""),"",ROUND(F302*H302,2))</f>
        <v/>
      </c>
      <c r="J302" s="29">
        <f>IF(I302="","",F302-I302)</f>
        <v/>
      </c>
      <c r="K302" s="37">
        <f>IF(OR(D302="",A302=""),"",A302+IF(AND(Config!$B$17="Sim",LEFT(D302,17)="Cartão de crédito"),1,IFERROR(INDEX(Config!$C$12:$C$15,MATCH(IF(AND(D302="Cartão de crédito",N(E302)&gt;1),"Cartão de crédito parcelado",D302),Config!$A$12:$A$15,0)),0)))</f>
        <v/>
      </c>
      <c r="L302" s="27">
        <f>IF(A302="","",MONTH(A302))</f>
        <v/>
      </c>
      <c r="M302" s="27">
        <f>IF(A302="","",YEAR(A302))</f>
        <v/>
      </c>
      <c r="N302" s="27">
        <f>IF(K302="","",IF(G302="Sim","Conferido",IF(K302&gt;Config!$B$8,"A cair","A conferir")))</f>
        <v/>
      </c>
      <c r="O302" s="50">
        <f>IF(N302="A conferir",(Config!$B$8-K302)*1000+N(F302)/1000+ROW()/100000,0)</f>
        <v>0</v>
      </c>
    </row>
    <row r="303">
      <c r="A303" s="48" t="n"/>
      <c r="B303" s="40" t="n"/>
      <c r="C303" s="40" t="n"/>
      <c r="D303" s="41" t="n"/>
      <c r="E303" s="41" t="n"/>
      <c r="F303" s="49" t="n"/>
      <c r="G303" s="41" t="n"/>
      <c r="H303" s="30">
        <f>IF(D303="","",IFERROR(INDEX(Config!$B$12:$B$15,MATCH(IF(AND(D303="Cartão de crédito",N(E303)&gt;1),"Cartão de crédito parcelado",D303),Config!$A$12:$A$15,0)),0)+IF(AND(Config!$B$17="Sim",LEFT(D303,17)="Cartão de crédito"),Config!$B$18*IFERROR(INDEX(Config!$C$12:$C$15,MATCH(IF(AND(D303="Cartão de crédito",N(E303)&gt;1),"Cartão de crédito parcelado",D303),Config!$A$12:$A$15,0)),0)/30*MAX(1,N(E303)),0))</f>
        <v/>
      </c>
      <c r="I303" s="29">
        <f>IF(OR(D303="",F303=""),"",ROUND(F303*H303,2))</f>
        <v/>
      </c>
      <c r="J303" s="29">
        <f>IF(I303="","",F303-I303)</f>
        <v/>
      </c>
      <c r="K303" s="37">
        <f>IF(OR(D303="",A303=""),"",A303+IF(AND(Config!$B$17="Sim",LEFT(D303,17)="Cartão de crédito"),1,IFERROR(INDEX(Config!$C$12:$C$15,MATCH(IF(AND(D303="Cartão de crédito",N(E303)&gt;1),"Cartão de crédito parcelado",D303),Config!$A$12:$A$15,0)),0)))</f>
        <v/>
      </c>
      <c r="L303" s="27">
        <f>IF(A303="","",MONTH(A303))</f>
        <v/>
      </c>
      <c r="M303" s="27">
        <f>IF(A303="","",YEAR(A303))</f>
        <v/>
      </c>
      <c r="N303" s="27">
        <f>IF(K303="","",IF(G303="Sim","Conferido",IF(K303&gt;Config!$B$8,"A cair","A conferir")))</f>
        <v/>
      </c>
      <c r="O303" s="50">
        <f>IF(N303="A conferir",(Config!$B$8-K303)*1000+N(F303)/1000+ROW()/100000,0)</f>
        <v>0</v>
      </c>
    </row>
    <row r="304">
      <c r="A304" s="48" t="n"/>
      <c r="B304" s="40" t="n"/>
      <c r="C304" s="40" t="n"/>
      <c r="D304" s="41" t="n"/>
      <c r="E304" s="41" t="n"/>
      <c r="F304" s="49" t="n"/>
      <c r="G304" s="41" t="n"/>
      <c r="H304" s="30">
        <f>IF(D304="","",IFERROR(INDEX(Config!$B$12:$B$15,MATCH(IF(AND(D304="Cartão de crédito",N(E304)&gt;1),"Cartão de crédito parcelado",D304),Config!$A$12:$A$15,0)),0)+IF(AND(Config!$B$17="Sim",LEFT(D304,17)="Cartão de crédito"),Config!$B$18*IFERROR(INDEX(Config!$C$12:$C$15,MATCH(IF(AND(D304="Cartão de crédito",N(E304)&gt;1),"Cartão de crédito parcelado",D304),Config!$A$12:$A$15,0)),0)/30*MAX(1,N(E304)),0))</f>
        <v/>
      </c>
      <c r="I304" s="29">
        <f>IF(OR(D304="",F304=""),"",ROUND(F304*H304,2))</f>
        <v/>
      </c>
      <c r="J304" s="29">
        <f>IF(I304="","",F304-I304)</f>
        <v/>
      </c>
      <c r="K304" s="37">
        <f>IF(OR(D304="",A304=""),"",A304+IF(AND(Config!$B$17="Sim",LEFT(D304,17)="Cartão de crédito"),1,IFERROR(INDEX(Config!$C$12:$C$15,MATCH(IF(AND(D304="Cartão de crédito",N(E304)&gt;1),"Cartão de crédito parcelado",D304),Config!$A$12:$A$15,0)),0)))</f>
        <v/>
      </c>
      <c r="L304" s="27">
        <f>IF(A304="","",MONTH(A304))</f>
        <v/>
      </c>
      <c r="M304" s="27">
        <f>IF(A304="","",YEAR(A304))</f>
        <v/>
      </c>
      <c r="N304" s="27">
        <f>IF(K304="","",IF(G304="Sim","Conferido",IF(K304&gt;Config!$B$8,"A cair","A conferir")))</f>
        <v/>
      </c>
      <c r="O304" s="50">
        <f>IF(N304="A conferir",(Config!$B$8-K304)*1000+N(F304)/1000+ROW()/100000,0)</f>
        <v>0</v>
      </c>
    </row>
    <row r="305">
      <c r="A305" s="48" t="n"/>
      <c r="B305" s="40" t="n"/>
      <c r="C305" s="40" t="n"/>
      <c r="D305" s="41" t="n"/>
      <c r="E305" s="41" t="n"/>
      <c r="F305" s="49" t="n"/>
      <c r="G305" s="41" t="n"/>
      <c r="H305" s="30">
        <f>IF(D305="","",IFERROR(INDEX(Config!$B$12:$B$15,MATCH(IF(AND(D305="Cartão de crédito",N(E305)&gt;1),"Cartão de crédito parcelado",D305),Config!$A$12:$A$15,0)),0)+IF(AND(Config!$B$17="Sim",LEFT(D305,17)="Cartão de crédito"),Config!$B$18*IFERROR(INDEX(Config!$C$12:$C$15,MATCH(IF(AND(D305="Cartão de crédito",N(E305)&gt;1),"Cartão de crédito parcelado",D305),Config!$A$12:$A$15,0)),0)/30*MAX(1,N(E305)),0))</f>
        <v/>
      </c>
      <c r="I305" s="29">
        <f>IF(OR(D305="",F305=""),"",ROUND(F305*H305,2))</f>
        <v/>
      </c>
      <c r="J305" s="29">
        <f>IF(I305="","",F305-I305)</f>
        <v/>
      </c>
      <c r="K305" s="37">
        <f>IF(OR(D305="",A305=""),"",A305+IF(AND(Config!$B$17="Sim",LEFT(D305,17)="Cartão de crédito"),1,IFERROR(INDEX(Config!$C$12:$C$15,MATCH(IF(AND(D305="Cartão de crédito",N(E305)&gt;1),"Cartão de crédito parcelado",D305),Config!$A$12:$A$15,0)),0)))</f>
        <v/>
      </c>
      <c r="L305" s="27">
        <f>IF(A305="","",MONTH(A305))</f>
        <v/>
      </c>
      <c r="M305" s="27">
        <f>IF(A305="","",YEAR(A305))</f>
        <v/>
      </c>
      <c r="N305" s="27">
        <f>IF(K305="","",IF(G305="Sim","Conferido",IF(K305&gt;Config!$B$8,"A cair","A conferir")))</f>
        <v/>
      </c>
      <c r="O305" s="50">
        <f>IF(N305="A conferir",(Config!$B$8-K305)*1000+N(F305)/1000+ROW()/100000,0)</f>
        <v>0</v>
      </c>
    </row>
    <row r="306">
      <c r="A306" s="48" t="n"/>
      <c r="B306" s="40" t="n"/>
      <c r="C306" s="40" t="n"/>
      <c r="D306" s="41" t="n"/>
      <c r="E306" s="41" t="n"/>
      <c r="F306" s="49" t="n"/>
      <c r="G306" s="41" t="n"/>
      <c r="H306" s="30">
        <f>IF(D306="","",IFERROR(INDEX(Config!$B$12:$B$15,MATCH(IF(AND(D306="Cartão de crédito",N(E306)&gt;1),"Cartão de crédito parcelado",D306),Config!$A$12:$A$15,0)),0)+IF(AND(Config!$B$17="Sim",LEFT(D306,17)="Cartão de crédito"),Config!$B$18*IFERROR(INDEX(Config!$C$12:$C$15,MATCH(IF(AND(D306="Cartão de crédito",N(E306)&gt;1),"Cartão de crédito parcelado",D306),Config!$A$12:$A$15,0)),0)/30*MAX(1,N(E306)),0))</f>
        <v/>
      </c>
      <c r="I306" s="29">
        <f>IF(OR(D306="",F306=""),"",ROUND(F306*H306,2))</f>
        <v/>
      </c>
      <c r="J306" s="29">
        <f>IF(I306="","",F306-I306)</f>
        <v/>
      </c>
      <c r="K306" s="37">
        <f>IF(OR(D306="",A306=""),"",A306+IF(AND(Config!$B$17="Sim",LEFT(D306,17)="Cartão de crédito"),1,IFERROR(INDEX(Config!$C$12:$C$15,MATCH(IF(AND(D306="Cartão de crédito",N(E306)&gt;1),"Cartão de crédito parcelado",D306),Config!$A$12:$A$15,0)),0)))</f>
        <v/>
      </c>
      <c r="L306" s="27">
        <f>IF(A306="","",MONTH(A306))</f>
        <v/>
      </c>
      <c r="M306" s="27">
        <f>IF(A306="","",YEAR(A306))</f>
        <v/>
      </c>
      <c r="N306" s="27">
        <f>IF(K306="","",IF(G306="Sim","Conferido",IF(K306&gt;Config!$B$8,"A cair","A conferir")))</f>
        <v/>
      </c>
      <c r="O306" s="50">
        <f>IF(N306="A conferir",(Config!$B$8-K306)*1000+N(F306)/1000+ROW()/100000,0)</f>
        <v>0</v>
      </c>
    </row>
    <row r="307">
      <c r="A307" s="48" t="n"/>
      <c r="B307" s="40" t="n"/>
      <c r="C307" s="40" t="n"/>
      <c r="D307" s="41" t="n"/>
      <c r="E307" s="41" t="n"/>
      <c r="F307" s="49" t="n"/>
      <c r="G307" s="41" t="n"/>
      <c r="H307" s="30">
        <f>IF(D307="","",IFERROR(INDEX(Config!$B$12:$B$15,MATCH(IF(AND(D307="Cartão de crédito",N(E307)&gt;1),"Cartão de crédito parcelado",D307),Config!$A$12:$A$15,0)),0)+IF(AND(Config!$B$17="Sim",LEFT(D307,17)="Cartão de crédito"),Config!$B$18*IFERROR(INDEX(Config!$C$12:$C$15,MATCH(IF(AND(D307="Cartão de crédito",N(E307)&gt;1),"Cartão de crédito parcelado",D307),Config!$A$12:$A$15,0)),0)/30*MAX(1,N(E307)),0))</f>
        <v/>
      </c>
      <c r="I307" s="29">
        <f>IF(OR(D307="",F307=""),"",ROUND(F307*H307,2))</f>
        <v/>
      </c>
      <c r="J307" s="29">
        <f>IF(I307="","",F307-I307)</f>
        <v/>
      </c>
      <c r="K307" s="37">
        <f>IF(OR(D307="",A307=""),"",A307+IF(AND(Config!$B$17="Sim",LEFT(D307,17)="Cartão de crédito"),1,IFERROR(INDEX(Config!$C$12:$C$15,MATCH(IF(AND(D307="Cartão de crédito",N(E307)&gt;1),"Cartão de crédito parcelado",D307),Config!$A$12:$A$15,0)),0)))</f>
        <v/>
      </c>
      <c r="L307" s="27">
        <f>IF(A307="","",MONTH(A307))</f>
        <v/>
      </c>
      <c r="M307" s="27">
        <f>IF(A307="","",YEAR(A307))</f>
        <v/>
      </c>
      <c r="N307" s="27">
        <f>IF(K307="","",IF(G307="Sim","Conferido",IF(K307&gt;Config!$B$8,"A cair","A conferir")))</f>
        <v/>
      </c>
      <c r="O307" s="50">
        <f>IF(N307="A conferir",(Config!$B$8-K307)*1000+N(F307)/1000+ROW()/100000,0)</f>
        <v>0</v>
      </c>
    </row>
    <row r="308">
      <c r="A308" s="48" t="n"/>
      <c r="B308" s="40" t="n"/>
      <c r="C308" s="40" t="n"/>
      <c r="D308" s="41" t="n"/>
      <c r="E308" s="41" t="n"/>
      <c r="F308" s="49" t="n"/>
      <c r="G308" s="41" t="n"/>
      <c r="H308" s="30">
        <f>IF(D308="","",IFERROR(INDEX(Config!$B$12:$B$15,MATCH(IF(AND(D308="Cartão de crédito",N(E308)&gt;1),"Cartão de crédito parcelado",D308),Config!$A$12:$A$15,0)),0)+IF(AND(Config!$B$17="Sim",LEFT(D308,17)="Cartão de crédito"),Config!$B$18*IFERROR(INDEX(Config!$C$12:$C$15,MATCH(IF(AND(D308="Cartão de crédito",N(E308)&gt;1),"Cartão de crédito parcelado",D308),Config!$A$12:$A$15,0)),0)/30*MAX(1,N(E308)),0))</f>
        <v/>
      </c>
      <c r="I308" s="29">
        <f>IF(OR(D308="",F308=""),"",ROUND(F308*H308,2))</f>
        <v/>
      </c>
      <c r="J308" s="29">
        <f>IF(I308="","",F308-I308)</f>
        <v/>
      </c>
      <c r="K308" s="37">
        <f>IF(OR(D308="",A308=""),"",A308+IF(AND(Config!$B$17="Sim",LEFT(D308,17)="Cartão de crédito"),1,IFERROR(INDEX(Config!$C$12:$C$15,MATCH(IF(AND(D308="Cartão de crédito",N(E308)&gt;1),"Cartão de crédito parcelado",D308),Config!$A$12:$A$15,0)),0)))</f>
        <v/>
      </c>
      <c r="L308" s="27">
        <f>IF(A308="","",MONTH(A308))</f>
        <v/>
      </c>
      <c r="M308" s="27">
        <f>IF(A308="","",YEAR(A308))</f>
        <v/>
      </c>
      <c r="N308" s="27">
        <f>IF(K308="","",IF(G308="Sim","Conferido",IF(K308&gt;Config!$B$8,"A cair","A conferir")))</f>
        <v/>
      </c>
      <c r="O308" s="50">
        <f>IF(N308="A conferir",(Config!$B$8-K308)*1000+N(F308)/1000+ROW()/100000,0)</f>
        <v>0</v>
      </c>
    </row>
    <row r="309">
      <c r="A309" s="48" t="n"/>
      <c r="B309" s="40" t="n"/>
      <c r="C309" s="40" t="n"/>
      <c r="D309" s="41" t="n"/>
      <c r="E309" s="41" t="n"/>
      <c r="F309" s="49" t="n"/>
      <c r="G309" s="41" t="n"/>
      <c r="H309" s="30">
        <f>IF(D309="","",IFERROR(INDEX(Config!$B$12:$B$15,MATCH(IF(AND(D309="Cartão de crédito",N(E309)&gt;1),"Cartão de crédito parcelado",D309),Config!$A$12:$A$15,0)),0)+IF(AND(Config!$B$17="Sim",LEFT(D309,17)="Cartão de crédito"),Config!$B$18*IFERROR(INDEX(Config!$C$12:$C$15,MATCH(IF(AND(D309="Cartão de crédito",N(E309)&gt;1),"Cartão de crédito parcelado",D309),Config!$A$12:$A$15,0)),0)/30*MAX(1,N(E309)),0))</f>
        <v/>
      </c>
      <c r="I309" s="29">
        <f>IF(OR(D309="",F309=""),"",ROUND(F309*H309,2))</f>
        <v/>
      </c>
      <c r="J309" s="29">
        <f>IF(I309="","",F309-I309)</f>
        <v/>
      </c>
      <c r="K309" s="37">
        <f>IF(OR(D309="",A309=""),"",A309+IF(AND(Config!$B$17="Sim",LEFT(D309,17)="Cartão de crédito"),1,IFERROR(INDEX(Config!$C$12:$C$15,MATCH(IF(AND(D309="Cartão de crédito",N(E309)&gt;1),"Cartão de crédito parcelado",D309),Config!$A$12:$A$15,0)),0)))</f>
        <v/>
      </c>
      <c r="L309" s="27">
        <f>IF(A309="","",MONTH(A309))</f>
        <v/>
      </c>
      <c r="M309" s="27">
        <f>IF(A309="","",YEAR(A309))</f>
        <v/>
      </c>
      <c r="N309" s="27">
        <f>IF(K309="","",IF(G309="Sim","Conferido",IF(K309&gt;Config!$B$8,"A cair","A conferir")))</f>
        <v/>
      </c>
      <c r="O309" s="50">
        <f>IF(N309="A conferir",(Config!$B$8-K309)*1000+N(F309)/1000+ROW()/100000,0)</f>
        <v>0</v>
      </c>
    </row>
    <row r="310">
      <c r="A310" s="48" t="n"/>
      <c r="B310" s="40" t="n"/>
      <c r="C310" s="40" t="n"/>
      <c r="D310" s="41" t="n"/>
      <c r="E310" s="41" t="n"/>
      <c r="F310" s="49" t="n"/>
      <c r="G310" s="41" t="n"/>
      <c r="H310" s="30">
        <f>IF(D310="","",IFERROR(INDEX(Config!$B$12:$B$15,MATCH(IF(AND(D310="Cartão de crédito",N(E310)&gt;1),"Cartão de crédito parcelado",D310),Config!$A$12:$A$15,0)),0)+IF(AND(Config!$B$17="Sim",LEFT(D310,17)="Cartão de crédito"),Config!$B$18*IFERROR(INDEX(Config!$C$12:$C$15,MATCH(IF(AND(D310="Cartão de crédito",N(E310)&gt;1),"Cartão de crédito parcelado",D310),Config!$A$12:$A$15,0)),0)/30*MAX(1,N(E310)),0))</f>
        <v/>
      </c>
      <c r="I310" s="29">
        <f>IF(OR(D310="",F310=""),"",ROUND(F310*H310,2))</f>
        <v/>
      </c>
      <c r="J310" s="29">
        <f>IF(I310="","",F310-I310)</f>
        <v/>
      </c>
      <c r="K310" s="37">
        <f>IF(OR(D310="",A310=""),"",A310+IF(AND(Config!$B$17="Sim",LEFT(D310,17)="Cartão de crédito"),1,IFERROR(INDEX(Config!$C$12:$C$15,MATCH(IF(AND(D310="Cartão de crédito",N(E310)&gt;1),"Cartão de crédito parcelado",D310),Config!$A$12:$A$15,0)),0)))</f>
        <v/>
      </c>
      <c r="L310" s="27">
        <f>IF(A310="","",MONTH(A310))</f>
        <v/>
      </c>
      <c r="M310" s="27">
        <f>IF(A310="","",YEAR(A310))</f>
        <v/>
      </c>
      <c r="N310" s="27">
        <f>IF(K310="","",IF(G310="Sim","Conferido",IF(K310&gt;Config!$B$8,"A cair","A conferir")))</f>
        <v/>
      </c>
      <c r="O310" s="50">
        <f>IF(N310="A conferir",(Config!$B$8-K310)*1000+N(F310)/1000+ROW()/100000,0)</f>
        <v>0</v>
      </c>
    </row>
    <row r="311">
      <c r="A311" s="48" t="n"/>
      <c r="B311" s="40" t="n"/>
      <c r="C311" s="40" t="n"/>
      <c r="D311" s="41" t="n"/>
      <c r="E311" s="41" t="n"/>
      <c r="F311" s="49" t="n"/>
      <c r="G311" s="41" t="n"/>
      <c r="H311" s="30">
        <f>IF(D311="","",IFERROR(INDEX(Config!$B$12:$B$15,MATCH(IF(AND(D311="Cartão de crédito",N(E311)&gt;1),"Cartão de crédito parcelado",D311),Config!$A$12:$A$15,0)),0)+IF(AND(Config!$B$17="Sim",LEFT(D311,17)="Cartão de crédito"),Config!$B$18*IFERROR(INDEX(Config!$C$12:$C$15,MATCH(IF(AND(D311="Cartão de crédito",N(E311)&gt;1),"Cartão de crédito parcelado",D311),Config!$A$12:$A$15,0)),0)/30*MAX(1,N(E311)),0))</f>
        <v/>
      </c>
      <c r="I311" s="29">
        <f>IF(OR(D311="",F311=""),"",ROUND(F311*H311,2))</f>
        <v/>
      </c>
      <c r="J311" s="29">
        <f>IF(I311="","",F311-I311)</f>
        <v/>
      </c>
      <c r="K311" s="37">
        <f>IF(OR(D311="",A311=""),"",A311+IF(AND(Config!$B$17="Sim",LEFT(D311,17)="Cartão de crédito"),1,IFERROR(INDEX(Config!$C$12:$C$15,MATCH(IF(AND(D311="Cartão de crédito",N(E311)&gt;1),"Cartão de crédito parcelado",D311),Config!$A$12:$A$15,0)),0)))</f>
        <v/>
      </c>
      <c r="L311" s="27">
        <f>IF(A311="","",MONTH(A311))</f>
        <v/>
      </c>
      <c r="M311" s="27">
        <f>IF(A311="","",YEAR(A311))</f>
        <v/>
      </c>
      <c r="N311" s="27">
        <f>IF(K311="","",IF(G311="Sim","Conferido",IF(K311&gt;Config!$B$8,"A cair","A conferir")))</f>
        <v/>
      </c>
      <c r="O311" s="50">
        <f>IF(N311="A conferir",(Config!$B$8-K311)*1000+N(F311)/1000+ROW()/100000,0)</f>
        <v>0</v>
      </c>
    </row>
    <row r="312">
      <c r="A312" s="48" t="n"/>
      <c r="B312" s="40" t="n"/>
      <c r="C312" s="40" t="n"/>
      <c r="D312" s="41" t="n"/>
      <c r="E312" s="41" t="n"/>
      <c r="F312" s="49" t="n"/>
      <c r="G312" s="41" t="n"/>
      <c r="H312" s="30">
        <f>IF(D312="","",IFERROR(INDEX(Config!$B$12:$B$15,MATCH(IF(AND(D312="Cartão de crédito",N(E312)&gt;1),"Cartão de crédito parcelado",D312),Config!$A$12:$A$15,0)),0)+IF(AND(Config!$B$17="Sim",LEFT(D312,17)="Cartão de crédito"),Config!$B$18*IFERROR(INDEX(Config!$C$12:$C$15,MATCH(IF(AND(D312="Cartão de crédito",N(E312)&gt;1),"Cartão de crédito parcelado",D312),Config!$A$12:$A$15,0)),0)/30*MAX(1,N(E312)),0))</f>
        <v/>
      </c>
      <c r="I312" s="29">
        <f>IF(OR(D312="",F312=""),"",ROUND(F312*H312,2))</f>
        <v/>
      </c>
      <c r="J312" s="29">
        <f>IF(I312="","",F312-I312)</f>
        <v/>
      </c>
      <c r="K312" s="37">
        <f>IF(OR(D312="",A312=""),"",A312+IF(AND(Config!$B$17="Sim",LEFT(D312,17)="Cartão de crédito"),1,IFERROR(INDEX(Config!$C$12:$C$15,MATCH(IF(AND(D312="Cartão de crédito",N(E312)&gt;1),"Cartão de crédito parcelado",D312),Config!$A$12:$A$15,0)),0)))</f>
        <v/>
      </c>
      <c r="L312" s="27">
        <f>IF(A312="","",MONTH(A312))</f>
        <v/>
      </c>
      <c r="M312" s="27">
        <f>IF(A312="","",YEAR(A312))</f>
        <v/>
      </c>
      <c r="N312" s="27">
        <f>IF(K312="","",IF(G312="Sim","Conferido",IF(K312&gt;Config!$B$8,"A cair","A conferir")))</f>
        <v/>
      </c>
      <c r="O312" s="50">
        <f>IF(N312="A conferir",(Config!$B$8-K312)*1000+N(F312)/1000+ROW()/100000,0)</f>
        <v>0</v>
      </c>
    </row>
    <row r="313">
      <c r="A313" s="48" t="n"/>
      <c r="B313" s="40" t="n"/>
      <c r="C313" s="40" t="n"/>
      <c r="D313" s="41" t="n"/>
      <c r="E313" s="41" t="n"/>
      <c r="F313" s="49" t="n"/>
      <c r="G313" s="41" t="n"/>
      <c r="H313" s="30">
        <f>IF(D313="","",IFERROR(INDEX(Config!$B$12:$B$15,MATCH(IF(AND(D313="Cartão de crédito",N(E313)&gt;1),"Cartão de crédito parcelado",D313),Config!$A$12:$A$15,0)),0)+IF(AND(Config!$B$17="Sim",LEFT(D313,17)="Cartão de crédito"),Config!$B$18*IFERROR(INDEX(Config!$C$12:$C$15,MATCH(IF(AND(D313="Cartão de crédito",N(E313)&gt;1),"Cartão de crédito parcelado",D313),Config!$A$12:$A$15,0)),0)/30*MAX(1,N(E313)),0))</f>
        <v/>
      </c>
      <c r="I313" s="29">
        <f>IF(OR(D313="",F313=""),"",ROUND(F313*H313,2))</f>
        <v/>
      </c>
      <c r="J313" s="29">
        <f>IF(I313="","",F313-I313)</f>
        <v/>
      </c>
      <c r="K313" s="37">
        <f>IF(OR(D313="",A313=""),"",A313+IF(AND(Config!$B$17="Sim",LEFT(D313,17)="Cartão de crédito"),1,IFERROR(INDEX(Config!$C$12:$C$15,MATCH(IF(AND(D313="Cartão de crédito",N(E313)&gt;1),"Cartão de crédito parcelado",D313),Config!$A$12:$A$15,0)),0)))</f>
        <v/>
      </c>
      <c r="L313" s="27">
        <f>IF(A313="","",MONTH(A313))</f>
        <v/>
      </c>
      <c r="M313" s="27">
        <f>IF(A313="","",YEAR(A313))</f>
        <v/>
      </c>
      <c r="N313" s="27">
        <f>IF(K313="","",IF(G313="Sim","Conferido",IF(K313&gt;Config!$B$8,"A cair","A conferir")))</f>
        <v/>
      </c>
      <c r="O313" s="50">
        <f>IF(N313="A conferir",(Config!$B$8-K313)*1000+N(F313)/1000+ROW()/100000,0)</f>
        <v>0</v>
      </c>
    </row>
    <row r="314">
      <c r="A314" s="48" t="n"/>
      <c r="B314" s="40" t="n"/>
      <c r="C314" s="40" t="n"/>
      <c r="D314" s="41" t="n"/>
      <c r="E314" s="41" t="n"/>
      <c r="F314" s="49" t="n"/>
      <c r="G314" s="41" t="n"/>
      <c r="H314" s="30">
        <f>IF(D314="","",IFERROR(INDEX(Config!$B$12:$B$15,MATCH(IF(AND(D314="Cartão de crédito",N(E314)&gt;1),"Cartão de crédito parcelado",D314),Config!$A$12:$A$15,0)),0)+IF(AND(Config!$B$17="Sim",LEFT(D314,17)="Cartão de crédito"),Config!$B$18*IFERROR(INDEX(Config!$C$12:$C$15,MATCH(IF(AND(D314="Cartão de crédito",N(E314)&gt;1),"Cartão de crédito parcelado",D314),Config!$A$12:$A$15,0)),0)/30*MAX(1,N(E314)),0))</f>
        <v/>
      </c>
      <c r="I314" s="29">
        <f>IF(OR(D314="",F314=""),"",ROUND(F314*H314,2))</f>
        <v/>
      </c>
      <c r="J314" s="29">
        <f>IF(I314="","",F314-I314)</f>
        <v/>
      </c>
      <c r="K314" s="37">
        <f>IF(OR(D314="",A314=""),"",A314+IF(AND(Config!$B$17="Sim",LEFT(D314,17)="Cartão de crédito"),1,IFERROR(INDEX(Config!$C$12:$C$15,MATCH(IF(AND(D314="Cartão de crédito",N(E314)&gt;1),"Cartão de crédito parcelado",D314),Config!$A$12:$A$15,0)),0)))</f>
        <v/>
      </c>
      <c r="L314" s="27">
        <f>IF(A314="","",MONTH(A314))</f>
        <v/>
      </c>
      <c r="M314" s="27">
        <f>IF(A314="","",YEAR(A314))</f>
        <v/>
      </c>
      <c r="N314" s="27">
        <f>IF(K314="","",IF(G314="Sim","Conferido",IF(K314&gt;Config!$B$8,"A cair","A conferir")))</f>
        <v/>
      </c>
      <c r="O314" s="50">
        <f>IF(N314="A conferir",(Config!$B$8-K314)*1000+N(F314)/1000+ROW()/100000,0)</f>
        <v>0</v>
      </c>
    </row>
    <row r="315">
      <c r="A315" s="48" t="n"/>
      <c r="B315" s="40" t="n"/>
      <c r="C315" s="40" t="n"/>
      <c r="D315" s="41" t="n"/>
      <c r="E315" s="41" t="n"/>
      <c r="F315" s="49" t="n"/>
      <c r="G315" s="41" t="n"/>
      <c r="H315" s="30">
        <f>IF(D315="","",IFERROR(INDEX(Config!$B$12:$B$15,MATCH(IF(AND(D315="Cartão de crédito",N(E315)&gt;1),"Cartão de crédito parcelado",D315),Config!$A$12:$A$15,0)),0)+IF(AND(Config!$B$17="Sim",LEFT(D315,17)="Cartão de crédito"),Config!$B$18*IFERROR(INDEX(Config!$C$12:$C$15,MATCH(IF(AND(D315="Cartão de crédito",N(E315)&gt;1),"Cartão de crédito parcelado",D315),Config!$A$12:$A$15,0)),0)/30*MAX(1,N(E315)),0))</f>
        <v/>
      </c>
      <c r="I315" s="29">
        <f>IF(OR(D315="",F315=""),"",ROUND(F315*H315,2))</f>
        <v/>
      </c>
      <c r="J315" s="29">
        <f>IF(I315="","",F315-I315)</f>
        <v/>
      </c>
      <c r="K315" s="37">
        <f>IF(OR(D315="",A315=""),"",A315+IF(AND(Config!$B$17="Sim",LEFT(D315,17)="Cartão de crédito"),1,IFERROR(INDEX(Config!$C$12:$C$15,MATCH(IF(AND(D315="Cartão de crédito",N(E315)&gt;1),"Cartão de crédito parcelado",D315),Config!$A$12:$A$15,0)),0)))</f>
        <v/>
      </c>
      <c r="L315" s="27">
        <f>IF(A315="","",MONTH(A315))</f>
        <v/>
      </c>
      <c r="M315" s="27">
        <f>IF(A315="","",YEAR(A315))</f>
        <v/>
      </c>
      <c r="N315" s="27">
        <f>IF(K315="","",IF(G315="Sim","Conferido",IF(K315&gt;Config!$B$8,"A cair","A conferir")))</f>
        <v/>
      </c>
      <c r="O315" s="50">
        <f>IF(N315="A conferir",(Config!$B$8-K315)*1000+N(F315)/1000+ROW()/100000,0)</f>
        <v>0</v>
      </c>
    </row>
    <row r="316">
      <c r="A316" s="48" t="n"/>
      <c r="B316" s="40" t="n"/>
      <c r="C316" s="40" t="n"/>
      <c r="D316" s="41" t="n"/>
      <c r="E316" s="41" t="n"/>
      <c r="F316" s="49" t="n"/>
      <c r="G316" s="41" t="n"/>
      <c r="H316" s="30">
        <f>IF(D316="","",IFERROR(INDEX(Config!$B$12:$B$15,MATCH(IF(AND(D316="Cartão de crédito",N(E316)&gt;1),"Cartão de crédito parcelado",D316),Config!$A$12:$A$15,0)),0)+IF(AND(Config!$B$17="Sim",LEFT(D316,17)="Cartão de crédito"),Config!$B$18*IFERROR(INDEX(Config!$C$12:$C$15,MATCH(IF(AND(D316="Cartão de crédito",N(E316)&gt;1),"Cartão de crédito parcelado",D316),Config!$A$12:$A$15,0)),0)/30*MAX(1,N(E316)),0))</f>
        <v/>
      </c>
      <c r="I316" s="29">
        <f>IF(OR(D316="",F316=""),"",ROUND(F316*H316,2))</f>
        <v/>
      </c>
      <c r="J316" s="29">
        <f>IF(I316="","",F316-I316)</f>
        <v/>
      </c>
      <c r="K316" s="37">
        <f>IF(OR(D316="",A316=""),"",A316+IF(AND(Config!$B$17="Sim",LEFT(D316,17)="Cartão de crédito"),1,IFERROR(INDEX(Config!$C$12:$C$15,MATCH(IF(AND(D316="Cartão de crédito",N(E316)&gt;1),"Cartão de crédito parcelado",D316),Config!$A$12:$A$15,0)),0)))</f>
        <v/>
      </c>
      <c r="L316" s="27">
        <f>IF(A316="","",MONTH(A316))</f>
        <v/>
      </c>
      <c r="M316" s="27">
        <f>IF(A316="","",YEAR(A316))</f>
        <v/>
      </c>
      <c r="N316" s="27">
        <f>IF(K316="","",IF(G316="Sim","Conferido",IF(K316&gt;Config!$B$8,"A cair","A conferir")))</f>
        <v/>
      </c>
      <c r="O316" s="50">
        <f>IF(N316="A conferir",(Config!$B$8-K316)*1000+N(F316)/1000+ROW()/100000,0)</f>
        <v>0</v>
      </c>
    </row>
    <row r="317">
      <c r="A317" s="48" t="n"/>
      <c r="B317" s="40" t="n"/>
      <c r="C317" s="40" t="n"/>
      <c r="D317" s="41" t="n"/>
      <c r="E317" s="41" t="n"/>
      <c r="F317" s="49" t="n"/>
      <c r="G317" s="41" t="n"/>
      <c r="H317" s="30">
        <f>IF(D317="","",IFERROR(INDEX(Config!$B$12:$B$15,MATCH(IF(AND(D317="Cartão de crédito",N(E317)&gt;1),"Cartão de crédito parcelado",D317),Config!$A$12:$A$15,0)),0)+IF(AND(Config!$B$17="Sim",LEFT(D317,17)="Cartão de crédito"),Config!$B$18*IFERROR(INDEX(Config!$C$12:$C$15,MATCH(IF(AND(D317="Cartão de crédito",N(E317)&gt;1),"Cartão de crédito parcelado",D317),Config!$A$12:$A$15,0)),0)/30*MAX(1,N(E317)),0))</f>
        <v/>
      </c>
      <c r="I317" s="29">
        <f>IF(OR(D317="",F317=""),"",ROUND(F317*H317,2))</f>
        <v/>
      </c>
      <c r="J317" s="29">
        <f>IF(I317="","",F317-I317)</f>
        <v/>
      </c>
      <c r="K317" s="37">
        <f>IF(OR(D317="",A317=""),"",A317+IF(AND(Config!$B$17="Sim",LEFT(D317,17)="Cartão de crédito"),1,IFERROR(INDEX(Config!$C$12:$C$15,MATCH(IF(AND(D317="Cartão de crédito",N(E317)&gt;1),"Cartão de crédito parcelado",D317),Config!$A$12:$A$15,0)),0)))</f>
        <v/>
      </c>
      <c r="L317" s="27">
        <f>IF(A317="","",MONTH(A317))</f>
        <v/>
      </c>
      <c r="M317" s="27">
        <f>IF(A317="","",YEAR(A317))</f>
        <v/>
      </c>
      <c r="N317" s="27">
        <f>IF(K317="","",IF(G317="Sim","Conferido",IF(K317&gt;Config!$B$8,"A cair","A conferir")))</f>
        <v/>
      </c>
      <c r="O317" s="50">
        <f>IF(N317="A conferir",(Config!$B$8-K317)*1000+N(F317)/1000+ROW()/100000,0)</f>
        <v>0</v>
      </c>
    </row>
    <row r="318">
      <c r="A318" s="48" t="n"/>
      <c r="B318" s="40" t="n"/>
      <c r="C318" s="40" t="n"/>
      <c r="D318" s="41" t="n"/>
      <c r="E318" s="41" t="n"/>
      <c r="F318" s="49" t="n"/>
      <c r="G318" s="41" t="n"/>
      <c r="H318" s="30">
        <f>IF(D318="","",IFERROR(INDEX(Config!$B$12:$B$15,MATCH(IF(AND(D318="Cartão de crédito",N(E318)&gt;1),"Cartão de crédito parcelado",D318),Config!$A$12:$A$15,0)),0)+IF(AND(Config!$B$17="Sim",LEFT(D318,17)="Cartão de crédito"),Config!$B$18*IFERROR(INDEX(Config!$C$12:$C$15,MATCH(IF(AND(D318="Cartão de crédito",N(E318)&gt;1),"Cartão de crédito parcelado",D318),Config!$A$12:$A$15,0)),0)/30*MAX(1,N(E318)),0))</f>
        <v/>
      </c>
      <c r="I318" s="29">
        <f>IF(OR(D318="",F318=""),"",ROUND(F318*H318,2))</f>
        <v/>
      </c>
      <c r="J318" s="29">
        <f>IF(I318="","",F318-I318)</f>
        <v/>
      </c>
      <c r="K318" s="37">
        <f>IF(OR(D318="",A318=""),"",A318+IF(AND(Config!$B$17="Sim",LEFT(D318,17)="Cartão de crédito"),1,IFERROR(INDEX(Config!$C$12:$C$15,MATCH(IF(AND(D318="Cartão de crédito",N(E318)&gt;1),"Cartão de crédito parcelado",D318),Config!$A$12:$A$15,0)),0)))</f>
        <v/>
      </c>
      <c r="L318" s="27">
        <f>IF(A318="","",MONTH(A318))</f>
        <v/>
      </c>
      <c r="M318" s="27">
        <f>IF(A318="","",YEAR(A318))</f>
        <v/>
      </c>
      <c r="N318" s="27">
        <f>IF(K318="","",IF(G318="Sim","Conferido",IF(K318&gt;Config!$B$8,"A cair","A conferir")))</f>
        <v/>
      </c>
      <c r="O318" s="50">
        <f>IF(N318="A conferir",(Config!$B$8-K318)*1000+N(F318)/1000+ROW()/100000,0)</f>
        <v>0</v>
      </c>
    </row>
    <row r="319">
      <c r="A319" s="48" t="n"/>
      <c r="B319" s="40" t="n"/>
      <c r="C319" s="40" t="n"/>
      <c r="D319" s="41" t="n"/>
      <c r="E319" s="41" t="n"/>
      <c r="F319" s="49" t="n"/>
      <c r="G319" s="41" t="n"/>
      <c r="H319" s="30">
        <f>IF(D319="","",IFERROR(INDEX(Config!$B$12:$B$15,MATCH(IF(AND(D319="Cartão de crédito",N(E319)&gt;1),"Cartão de crédito parcelado",D319),Config!$A$12:$A$15,0)),0)+IF(AND(Config!$B$17="Sim",LEFT(D319,17)="Cartão de crédito"),Config!$B$18*IFERROR(INDEX(Config!$C$12:$C$15,MATCH(IF(AND(D319="Cartão de crédito",N(E319)&gt;1),"Cartão de crédito parcelado",D319),Config!$A$12:$A$15,0)),0)/30*MAX(1,N(E319)),0))</f>
        <v/>
      </c>
      <c r="I319" s="29">
        <f>IF(OR(D319="",F319=""),"",ROUND(F319*H319,2))</f>
        <v/>
      </c>
      <c r="J319" s="29">
        <f>IF(I319="","",F319-I319)</f>
        <v/>
      </c>
      <c r="K319" s="37">
        <f>IF(OR(D319="",A319=""),"",A319+IF(AND(Config!$B$17="Sim",LEFT(D319,17)="Cartão de crédito"),1,IFERROR(INDEX(Config!$C$12:$C$15,MATCH(IF(AND(D319="Cartão de crédito",N(E319)&gt;1),"Cartão de crédito parcelado",D319),Config!$A$12:$A$15,0)),0)))</f>
        <v/>
      </c>
      <c r="L319" s="27">
        <f>IF(A319="","",MONTH(A319))</f>
        <v/>
      </c>
      <c r="M319" s="27">
        <f>IF(A319="","",YEAR(A319))</f>
        <v/>
      </c>
      <c r="N319" s="27">
        <f>IF(K319="","",IF(G319="Sim","Conferido",IF(K319&gt;Config!$B$8,"A cair","A conferir")))</f>
        <v/>
      </c>
      <c r="O319" s="50">
        <f>IF(N319="A conferir",(Config!$B$8-K319)*1000+N(F319)/1000+ROW()/100000,0)</f>
        <v>0</v>
      </c>
    </row>
    <row r="320">
      <c r="A320" s="48" t="n"/>
      <c r="B320" s="40" t="n"/>
      <c r="C320" s="40" t="n"/>
      <c r="D320" s="41" t="n"/>
      <c r="E320" s="41" t="n"/>
      <c r="F320" s="49" t="n"/>
      <c r="G320" s="41" t="n"/>
      <c r="H320" s="30">
        <f>IF(D320="","",IFERROR(INDEX(Config!$B$12:$B$15,MATCH(IF(AND(D320="Cartão de crédito",N(E320)&gt;1),"Cartão de crédito parcelado",D320),Config!$A$12:$A$15,0)),0)+IF(AND(Config!$B$17="Sim",LEFT(D320,17)="Cartão de crédito"),Config!$B$18*IFERROR(INDEX(Config!$C$12:$C$15,MATCH(IF(AND(D320="Cartão de crédito",N(E320)&gt;1),"Cartão de crédito parcelado",D320),Config!$A$12:$A$15,0)),0)/30*MAX(1,N(E320)),0))</f>
        <v/>
      </c>
      <c r="I320" s="29">
        <f>IF(OR(D320="",F320=""),"",ROUND(F320*H320,2))</f>
        <v/>
      </c>
      <c r="J320" s="29">
        <f>IF(I320="","",F320-I320)</f>
        <v/>
      </c>
      <c r="K320" s="37">
        <f>IF(OR(D320="",A320=""),"",A320+IF(AND(Config!$B$17="Sim",LEFT(D320,17)="Cartão de crédito"),1,IFERROR(INDEX(Config!$C$12:$C$15,MATCH(IF(AND(D320="Cartão de crédito",N(E320)&gt;1),"Cartão de crédito parcelado",D320),Config!$A$12:$A$15,0)),0)))</f>
        <v/>
      </c>
      <c r="L320" s="27">
        <f>IF(A320="","",MONTH(A320))</f>
        <v/>
      </c>
      <c r="M320" s="27">
        <f>IF(A320="","",YEAR(A320))</f>
        <v/>
      </c>
      <c r="N320" s="27">
        <f>IF(K320="","",IF(G320="Sim","Conferido",IF(K320&gt;Config!$B$8,"A cair","A conferir")))</f>
        <v/>
      </c>
      <c r="O320" s="50">
        <f>IF(N320="A conferir",(Config!$B$8-K320)*1000+N(F320)/1000+ROW()/100000,0)</f>
        <v>0</v>
      </c>
    </row>
    <row r="321">
      <c r="A321" s="48" t="n"/>
      <c r="B321" s="40" t="n"/>
      <c r="C321" s="40" t="n"/>
      <c r="D321" s="41" t="n"/>
      <c r="E321" s="41" t="n"/>
      <c r="F321" s="49" t="n"/>
      <c r="G321" s="41" t="n"/>
      <c r="H321" s="30">
        <f>IF(D321="","",IFERROR(INDEX(Config!$B$12:$B$15,MATCH(IF(AND(D321="Cartão de crédito",N(E321)&gt;1),"Cartão de crédito parcelado",D321),Config!$A$12:$A$15,0)),0)+IF(AND(Config!$B$17="Sim",LEFT(D321,17)="Cartão de crédito"),Config!$B$18*IFERROR(INDEX(Config!$C$12:$C$15,MATCH(IF(AND(D321="Cartão de crédito",N(E321)&gt;1),"Cartão de crédito parcelado",D321),Config!$A$12:$A$15,0)),0)/30*MAX(1,N(E321)),0))</f>
        <v/>
      </c>
      <c r="I321" s="29">
        <f>IF(OR(D321="",F321=""),"",ROUND(F321*H321,2))</f>
        <v/>
      </c>
      <c r="J321" s="29">
        <f>IF(I321="","",F321-I321)</f>
        <v/>
      </c>
      <c r="K321" s="37">
        <f>IF(OR(D321="",A321=""),"",A321+IF(AND(Config!$B$17="Sim",LEFT(D321,17)="Cartão de crédito"),1,IFERROR(INDEX(Config!$C$12:$C$15,MATCH(IF(AND(D321="Cartão de crédito",N(E321)&gt;1),"Cartão de crédito parcelado",D321),Config!$A$12:$A$15,0)),0)))</f>
        <v/>
      </c>
      <c r="L321" s="27">
        <f>IF(A321="","",MONTH(A321))</f>
        <v/>
      </c>
      <c r="M321" s="27">
        <f>IF(A321="","",YEAR(A321))</f>
        <v/>
      </c>
      <c r="N321" s="27">
        <f>IF(K321="","",IF(G321="Sim","Conferido",IF(K321&gt;Config!$B$8,"A cair","A conferir")))</f>
        <v/>
      </c>
      <c r="O321" s="50">
        <f>IF(N321="A conferir",(Config!$B$8-K321)*1000+N(F321)/1000+ROW()/100000,0)</f>
        <v>0</v>
      </c>
    </row>
    <row r="322">
      <c r="A322" s="48" t="n"/>
      <c r="B322" s="40" t="n"/>
      <c r="C322" s="40" t="n"/>
      <c r="D322" s="41" t="n"/>
      <c r="E322" s="41" t="n"/>
      <c r="F322" s="49" t="n"/>
      <c r="G322" s="41" t="n"/>
      <c r="H322" s="30">
        <f>IF(D322="","",IFERROR(INDEX(Config!$B$12:$B$15,MATCH(IF(AND(D322="Cartão de crédito",N(E322)&gt;1),"Cartão de crédito parcelado",D322),Config!$A$12:$A$15,0)),0)+IF(AND(Config!$B$17="Sim",LEFT(D322,17)="Cartão de crédito"),Config!$B$18*IFERROR(INDEX(Config!$C$12:$C$15,MATCH(IF(AND(D322="Cartão de crédito",N(E322)&gt;1),"Cartão de crédito parcelado",D322),Config!$A$12:$A$15,0)),0)/30*MAX(1,N(E322)),0))</f>
        <v/>
      </c>
      <c r="I322" s="29">
        <f>IF(OR(D322="",F322=""),"",ROUND(F322*H322,2))</f>
        <v/>
      </c>
      <c r="J322" s="29">
        <f>IF(I322="","",F322-I322)</f>
        <v/>
      </c>
      <c r="K322" s="37">
        <f>IF(OR(D322="",A322=""),"",A322+IF(AND(Config!$B$17="Sim",LEFT(D322,17)="Cartão de crédito"),1,IFERROR(INDEX(Config!$C$12:$C$15,MATCH(IF(AND(D322="Cartão de crédito",N(E322)&gt;1),"Cartão de crédito parcelado",D322),Config!$A$12:$A$15,0)),0)))</f>
        <v/>
      </c>
      <c r="L322" s="27">
        <f>IF(A322="","",MONTH(A322))</f>
        <v/>
      </c>
      <c r="M322" s="27">
        <f>IF(A322="","",YEAR(A322))</f>
        <v/>
      </c>
      <c r="N322" s="27">
        <f>IF(K322="","",IF(G322="Sim","Conferido",IF(K322&gt;Config!$B$8,"A cair","A conferir")))</f>
        <v/>
      </c>
      <c r="O322" s="50">
        <f>IF(N322="A conferir",(Config!$B$8-K322)*1000+N(F322)/1000+ROW()/100000,0)</f>
        <v>0</v>
      </c>
    </row>
    <row r="323">
      <c r="A323" s="48" t="n"/>
      <c r="B323" s="40" t="n"/>
      <c r="C323" s="40" t="n"/>
      <c r="D323" s="41" t="n"/>
      <c r="E323" s="41" t="n"/>
      <c r="F323" s="49" t="n"/>
      <c r="G323" s="41" t="n"/>
      <c r="H323" s="30">
        <f>IF(D323="","",IFERROR(INDEX(Config!$B$12:$B$15,MATCH(IF(AND(D323="Cartão de crédito",N(E323)&gt;1),"Cartão de crédito parcelado",D323),Config!$A$12:$A$15,0)),0)+IF(AND(Config!$B$17="Sim",LEFT(D323,17)="Cartão de crédito"),Config!$B$18*IFERROR(INDEX(Config!$C$12:$C$15,MATCH(IF(AND(D323="Cartão de crédito",N(E323)&gt;1),"Cartão de crédito parcelado",D323),Config!$A$12:$A$15,0)),0)/30*MAX(1,N(E323)),0))</f>
        <v/>
      </c>
      <c r="I323" s="29">
        <f>IF(OR(D323="",F323=""),"",ROUND(F323*H323,2))</f>
        <v/>
      </c>
      <c r="J323" s="29">
        <f>IF(I323="","",F323-I323)</f>
        <v/>
      </c>
      <c r="K323" s="37">
        <f>IF(OR(D323="",A323=""),"",A323+IF(AND(Config!$B$17="Sim",LEFT(D323,17)="Cartão de crédito"),1,IFERROR(INDEX(Config!$C$12:$C$15,MATCH(IF(AND(D323="Cartão de crédito",N(E323)&gt;1),"Cartão de crédito parcelado",D323),Config!$A$12:$A$15,0)),0)))</f>
        <v/>
      </c>
      <c r="L323" s="27">
        <f>IF(A323="","",MONTH(A323))</f>
        <v/>
      </c>
      <c r="M323" s="27">
        <f>IF(A323="","",YEAR(A323))</f>
        <v/>
      </c>
      <c r="N323" s="27">
        <f>IF(K323="","",IF(G323="Sim","Conferido",IF(K323&gt;Config!$B$8,"A cair","A conferir")))</f>
        <v/>
      </c>
      <c r="O323" s="50">
        <f>IF(N323="A conferir",(Config!$B$8-K323)*1000+N(F323)/1000+ROW()/100000,0)</f>
        <v>0</v>
      </c>
    </row>
    <row r="324">
      <c r="A324" s="48" t="n"/>
      <c r="B324" s="40" t="n"/>
      <c r="C324" s="40" t="n"/>
      <c r="D324" s="41" t="n"/>
      <c r="E324" s="41" t="n"/>
      <c r="F324" s="49" t="n"/>
      <c r="G324" s="41" t="n"/>
      <c r="H324" s="30">
        <f>IF(D324="","",IFERROR(INDEX(Config!$B$12:$B$15,MATCH(IF(AND(D324="Cartão de crédito",N(E324)&gt;1),"Cartão de crédito parcelado",D324),Config!$A$12:$A$15,0)),0)+IF(AND(Config!$B$17="Sim",LEFT(D324,17)="Cartão de crédito"),Config!$B$18*IFERROR(INDEX(Config!$C$12:$C$15,MATCH(IF(AND(D324="Cartão de crédito",N(E324)&gt;1),"Cartão de crédito parcelado",D324),Config!$A$12:$A$15,0)),0)/30*MAX(1,N(E324)),0))</f>
        <v/>
      </c>
      <c r="I324" s="29">
        <f>IF(OR(D324="",F324=""),"",ROUND(F324*H324,2))</f>
        <v/>
      </c>
      <c r="J324" s="29">
        <f>IF(I324="","",F324-I324)</f>
        <v/>
      </c>
      <c r="K324" s="37">
        <f>IF(OR(D324="",A324=""),"",A324+IF(AND(Config!$B$17="Sim",LEFT(D324,17)="Cartão de crédito"),1,IFERROR(INDEX(Config!$C$12:$C$15,MATCH(IF(AND(D324="Cartão de crédito",N(E324)&gt;1),"Cartão de crédito parcelado",D324),Config!$A$12:$A$15,0)),0)))</f>
        <v/>
      </c>
      <c r="L324" s="27">
        <f>IF(A324="","",MONTH(A324))</f>
        <v/>
      </c>
      <c r="M324" s="27">
        <f>IF(A324="","",YEAR(A324))</f>
        <v/>
      </c>
      <c r="N324" s="27">
        <f>IF(K324="","",IF(G324="Sim","Conferido",IF(K324&gt;Config!$B$8,"A cair","A conferir")))</f>
        <v/>
      </c>
      <c r="O324" s="50">
        <f>IF(N324="A conferir",(Config!$B$8-K324)*1000+N(F324)/1000+ROW()/100000,0)</f>
        <v>0</v>
      </c>
    </row>
    <row r="325">
      <c r="A325" s="48" t="n"/>
      <c r="B325" s="40" t="n"/>
      <c r="C325" s="40" t="n"/>
      <c r="D325" s="41" t="n"/>
      <c r="E325" s="41" t="n"/>
      <c r="F325" s="49" t="n"/>
      <c r="G325" s="41" t="n"/>
      <c r="H325" s="30">
        <f>IF(D325="","",IFERROR(INDEX(Config!$B$12:$B$15,MATCH(IF(AND(D325="Cartão de crédito",N(E325)&gt;1),"Cartão de crédito parcelado",D325),Config!$A$12:$A$15,0)),0)+IF(AND(Config!$B$17="Sim",LEFT(D325,17)="Cartão de crédito"),Config!$B$18*IFERROR(INDEX(Config!$C$12:$C$15,MATCH(IF(AND(D325="Cartão de crédito",N(E325)&gt;1),"Cartão de crédito parcelado",D325),Config!$A$12:$A$15,0)),0)/30*MAX(1,N(E325)),0))</f>
        <v/>
      </c>
      <c r="I325" s="29">
        <f>IF(OR(D325="",F325=""),"",ROUND(F325*H325,2))</f>
        <v/>
      </c>
      <c r="J325" s="29">
        <f>IF(I325="","",F325-I325)</f>
        <v/>
      </c>
      <c r="K325" s="37">
        <f>IF(OR(D325="",A325=""),"",A325+IF(AND(Config!$B$17="Sim",LEFT(D325,17)="Cartão de crédito"),1,IFERROR(INDEX(Config!$C$12:$C$15,MATCH(IF(AND(D325="Cartão de crédito",N(E325)&gt;1),"Cartão de crédito parcelado",D325),Config!$A$12:$A$15,0)),0)))</f>
        <v/>
      </c>
      <c r="L325" s="27">
        <f>IF(A325="","",MONTH(A325))</f>
        <v/>
      </c>
      <c r="M325" s="27">
        <f>IF(A325="","",YEAR(A325))</f>
        <v/>
      </c>
      <c r="N325" s="27">
        <f>IF(K325="","",IF(G325="Sim","Conferido",IF(K325&gt;Config!$B$8,"A cair","A conferir")))</f>
        <v/>
      </c>
      <c r="O325" s="50">
        <f>IF(N325="A conferir",(Config!$B$8-K325)*1000+N(F325)/1000+ROW()/100000,0)</f>
        <v>0</v>
      </c>
    </row>
    <row r="326">
      <c r="A326" s="48" t="n"/>
      <c r="B326" s="40" t="n"/>
      <c r="C326" s="40" t="n"/>
      <c r="D326" s="41" t="n"/>
      <c r="E326" s="41" t="n"/>
      <c r="F326" s="49" t="n"/>
      <c r="G326" s="41" t="n"/>
      <c r="H326" s="30">
        <f>IF(D326="","",IFERROR(INDEX(Config!$B$12:$B$15,MATCH(IF(AND(D326="Cartão de crédito",N(E326)&gt;1),"Cartão de crédito parcelado",D326),Config!$A$12:$A$15,0)),0)+IF(AND(Config!$B$17="Sim",LEFT(D326,17)="Cartão de crédito"),Config!$B$18*IFERROR(INDEX(Config!$C$12:$C$15,MATCH(IF(AND(D326="Cartão de crédito",N(E326)&gt;1),"Cartão de crédito parcelado",D326),Config!$A$12:$A$15,0)),0)/30*MAX(1,N(E326)),0))</f>
        <v/>
      </c>
      <c r="I326" s="29">
        <f>IF(OR(D326="",F326=""),"",ROUND(F326*H326,2))</f>
        <v/>
      </c>
      <c r="J326" s="29">
        <f>IF(I326="","",F326-I326)</f>
        <v/>
      </c>
      <c r="K326" s="37">
        <f>IF(OR(D326="",A326=""),"",A326+IF(AND(Config!$B$17="Sim",LEFT(D326,17)="Cartão de crédito"),1,IFERROR(INDEX(Config!$C$12:$C$15,MATCH(IF(AND(D326="Cartão de crédito",N(E326)&gt;1),"Cartão de crédito parcelado",D326),Config!$A$12:$A$15,0)),0)))</f>
        <v/>
      </c>
      <c r="L326" s="27">
        <f>IF(A326="","",MONTH(A326))</f>
        <v/>
      </c>
      <c r="M326" s="27">
        <f>IF(A326="","",YEAR(A326))</f>
        <v/>
      </c>
      <c r="N326" s="27">
        <f>IF(K326="","",IF(G326="Sim","Conferido",IF(K326&gt;Config!$B$8,"A cair","A conferir")))</f>
        <v/>
      </c>
      <c r="O326" s="50">
        <f>IF(N326="A conferir",(Config!$B$8-K326)*1000+N(F326)/1000+ROW()/100000,0)</f>
        <v>0</v>
      </c>
    </row>
    <row r="327">
      <c r="A327" s="48" t="n"/>
      <c r="B327" s="40" t="n"/>
      <c r="C327" s="40" t="n"/>
      <c r="D327" s="41" t="n"/>
      <c r="E327" s="41" t="n"/>
      <c r="F327" s="49" t="n"/>
      <c r="G327" s="41" t="n"/>
      <c r="H327" s="30">
        <f>IF(D327="","",IFERROR(INDEX(Config!$B$12:$B$15,MATCH(IF(AND(D327="Cartão de crédito",N(E327)&gt;1),"Cartão de crédito parcelado",D327),Config!$A$12:$A$15,0)),0)+IF(AND(Config!$B$17="Sim",LEFT(D327,17)="Cartão de crédito"),Config!$B$18*IFERROR(INDEX(Config!$C$12:$C$15,MATCH(IF(AND(D327="Cartão de crédito",N(E327)&gt;1),"Cartão de crédito parcelado",D327),Config!$A$12:$A$15,0)),0)/30*MAX(1,N(E327)),0))</f>
        <v/>
      </c>
      <c r="I327" s="29">
        <f>IF(OR(D327="",F327=""),"",ROUND(F327*H327,2))</f>
        <v/>
      </c>
      <c r="J327" s="29">
        <f>IF(I327="","",F327-I327)</f>
        <v/>
      </c>
      <c r="K327" s="37">
        <f>IF(OR(D327="",A327=""),"",A327+IF(AND(Config!$B$17="Sim",LEFT(D327,17)="Cartão de crédito"),1,IFERROR(INDEX(Config!$C$12:$C$15,MATCH(IF(AND(D327="Cartão de crédito",N(E327)&gt;1),"Cartão de crédito parcelado",D327),Config!$A$12:$A$15,0)),0)))</f>
        <v/>
      </c>
      <c r="L327" s="27">
        <f>IF(A327="","",MONTH(A327))</f>
        <v/>
      </c>
      <c r="M327" s="27">
        <f>IF(A327="","",YEAR(A327))</f>
        <v/>
      </c>
      <c r="N327" s="27">
        <f>IF(K327="","",IF(G327="Sim","Conferido",IF(K327&gt;Config!$B$8,"A cair","A conferir")))</f>
        <v/>
      </c>
      <c r="O327" s="50">
        <f>IF(N327="A conferir",(Config!$B$8-K327)*1000+N(F327)/1000+ROW()/100000,0)</f>
        <v>0</v>
      </c>
    </row>
    <row r="328">
      <c r="A328" s="48" t="n"/>
      <c r="B328" s="40" t="n"/>
      <c r="C328" s="40" t="n"/>
      <c r="D328" s="41" t="n"/>
      <c r="E328" s="41" t="n"/>
      <c r="F328" s="49" t="n"/>
      <c r="G328" s="41" t="n"/>
      <c r="H328" s="30">
        <f>IF(D328="","",IFERROR(INDEX(Config!$B$12:$B$15,MATCH(IF(AND(D328="Cartão de crédito",N(E328)&gt;1),"Cartão de crédito parcelado",D328),Config!$A$12:$A$15,0)),0)+IF(AND(Config!$B$17="Sim",LEFT(D328,17)="Cartão de crédito"),Config!$B$18*IFERROR(INDEX(Config!$C$12:$C$15,MATCH(IF(AND(D328="Cartão de crédito",N(E328)&gt;1),"Cartão de crédito parcelado",D328),Config!$A$12:$A$15,0)),0)/30*MAX(1,N(E328)),0))</f>
        <v/>
      </c>
      <c r="I328" s="29">
        <f>IF(OR(D328="",F328=""),"",ROUND(F328*H328,2))</f>
        <v/>
      </c>
      <c r="J328" s="29">
        <f>IF(I328="","",F328-I328)</f>
        <v/>
      </c>
      <c r="K328" s="37">
        <f>IF(OR(D328="",A328=""),"",A328+IF(AND(Config!$B$17="Sim",LEFT(D328,17)="Cartão de crédito"),1,IFERROR(INDEX(Config!$C$12:$C$15,MATCH(IF(AND(D328="Cartão de crédito",N(E328)&gt;1),"Cartão de crédito parcelado",D328),Config!$A$12:$A$15,0)),0)))</f>
        <v/>
      </c>
      <c r="L328" s="27">
        <f>IF(A328="","",MONTH(A328))</f>
        <v/>
      </c>
      <c r="M328" s="27">
        <f>IF(A328="","",YEAR(A328))</f>
        <v/>
      </c>
      <c r="N328" s="27">
        <f>IF(K328="","",IF(G328="Sim","Conferido",IF(K328&gt;Config!$B$8,"A cair","A conferir")))</f>
        <v/>
      </c>
      <c r="O328" s="50">
        <f>IF(N328="A conferir",(Config!$B$8-K328)*1000+N(F328)/1000+ROW()/100000,0)</f>
        <v>0</v>
      </c>
    </row>
    <row r="329">
      <c r="A329" s="48" t="n"/>
      <c r="B329" s="40" t="n"/>
      <c r="C329" s="40" t="n"/>
      <c r="D329" s="41" t="n"/>
      <c r="E329" s="41" t="n"/>
      <c r="F329" s="49" t="n"/>
      <c r="G329" s="41" t="n"/>
      <c r="H329" s="30">
        <f>IF(D329="","",IFERROR(INDEX(Config!$B$12:$B$15,MATCH(IF(AND(D329="Cartão de crédito",N(E329)&gt;1),"Cartão de crédito parcelado",D329),Config!$A$12:$A$15,0)),0)+IF(AND(Config!$B$17="Sim",LEFT(D329,17)="Cartão de crédito"),Config!$B$18*IFERROR(INDEX(Config!$C$12:$C$15,MATCH(IF(AND(D329="Cartão de crédito",N(E329)&gt;1),"Cartão de crédito parcelado",D329),Config!$A$12:$A$15,0)),0)/30*MAX(1,N(E329)),0))</f>
        <v/>
      </c>
      <c r="I329" s="29">
        <f>IF(OR(D329="",F329=""),"",ROUND(F329*H329,2))</f>
        <v/>
      </c>
      <c r="J329" s="29">
        <f>IF(I329="","",F329-I329)</f>
        <v/>
      </c>
      <c r="K329" s="37">
        <f>IF(OR(D329="",A329=""),"",A329+IF(AND(Config!$B$17="Sim",LEFT(D329,17)="Cartão de crédito"),1,IFERROR(INDEX(Config!$C$12:$C$15,MATCH(IF(AND(D329="Cartão de crédito",N(E329)&gt;1),"Cartão de crédito parcelado",D329),Config!$A$12:$A$15,0)),0)))</f>
        <v/>
      </c>
      <c r="L329" s="27">
        <f>IF(A329="","",MONTH(A329))</f>
        <v/>
      </c>
      <c r="M329" s="27">
        <f>IF(A329="","",YEAR(A329))</f>
        <v/>
      </c>
      <c r="N329" s="27">
        <f>IF(K329="","",IF(G329="Sim","Conferido",IF(K329&gt;Config!$B$8,"A cair","A conferir")))</f>
        <v/>
      </c>
      <c r="O329" s="50">
        <f>IF(N329="A conferir",(Config!$B$8-K329)*1000+N(F329)/1000+ROW()/100000,0)</f>
        <v>0</v>
      </c>
    </row>
    <row r="330">
      <c r="A330" s="48" t="n"/>
      <c r="B330" s="40" t="n"/>
      <c r="C330" s="40" t="n"/>
      <c r="D330" s="41" t="n"/>
      <c r="E330" s="41" t="n"/>
      <c r="F330" s="49" t="n"/>
      <c r="G330" s="41" t="n"/>
      <c r="H330" s="30">
        <f>IF(D330="","",IFERROR(INDEX(Config!$B$12:$B$15,MATCH(IF(AND(D330="Cartão de crédito",N(E330)&gt;1),"Cartão de crédito parcelado",D330),Config!$A$12:$A$15,0)),0)+IF(AND(Config!$B$17="Sim",LEFT(D330,17)="Cartão de crédito"),Config!$B$18*IFERROR(INDEX(Config!$C$12:$C$15,MATCH(IF(AND(D330="Cartão de crédito",N(E330)&gt;1),"Cartão de crédito parcelado",D330),Config!$A$12:$A$15,0)),0)/30*MAX(1,N(E330)),0))</f>
        <v/>
      </c>
      <c r="I330" s="29">
        <f>IF(OR(D330="",F330=""),"",ROUND(F330*H330,2))</f>
        <v/>
      </c>
      <c r="J330" s="29">
        <f>IF(I330="","",F330-I330)</f>
        <v/>
      </c>
      <c r="K330" s="37">
        <f>IF(OR(D330="",A330=""),"",A330+IF(AND(Config!$B$17="Sim",LEFT(D330,17)="Cartão de crédito"),1,IFERROR(INDEX(Config!$C$12:$C$15,MATCH(IF(AND(D330="Cartão de crédito",N(E330)&gt;1),"Cartão de crédito parcelado",D330),Config!$A$12:$A$15,0)),0)))</f>
        <v/>
      </c>
      <c r="L330" s="27">
        <f>IF(A330="","",MONTH(A330))</f>
        <v/>
      </c>
      <c r="M330" s="27">
        <f>IF(A330="","",YEAR(A330))</f>
        <v/>
      </c>
      <c r="N330" s="27">
        <f>IF(K330="","",IF(G330="Sim","Conferido",IF(K330&gt;Config!$B$8,"A cair","A conferir")))</f>
        <v/>
      </c>
      <c r="O330" s="50">
        <f>IF(N330="A conferir",(Config!$B$8-K330)*1000+N(F330)/1000+ROW()/100000,0)</f>
        <v>0</v>
      </c>
    </row>
    <row r="331">
      <c r="A331" s="48" t="n"/>
      <c r="B331" s="40" t="n"/>
      <c r="C331" s="40" t="n"/>
      <c r="D331" s="41" t="n"/>
      <c r="E331" s="41" t="n"/>
      <c r="F331" s="49" t="n"/>
      <c r="G331" s="41" t="n"/>
      <c r="H331" s="30">
        <f>IF(D331="","",IFERROR(INDEX(Config!$B$12:$B$15,MATCH(IF(AND(D331="Cartão de crédito",N(E331)&gt;1),"Cartão de crédito parcelado",D331),Config!$A$12:$A$15,0)),0)+IF(AND(Config!$B$17="Sim",LEFT(D331,17)="Cartão de crédito"),Config!$B$18*IFERROR(INDEX(Config!$C$12:$C$15,MATCH(IF(AND(D331="Cartão de crédito",N(E331)&gt;1),"Cartão de crédito parcelado",D331),Config!$A$12:$A$15,0)),0)/30*MAX(1,N(E331)),0))</f>
        <v/>
      </c>
      <c r="I331" s="29">
        <f>IF(OR(D331="",F331=""),"",ROUND(F331*H331,2))</f>
        <v/>
      </c>
      <c r="J331" s="29">
        <f>IF(I331="","",F331-I331)</f>
        <v/>
      </c>
      <c r="K331" s="37">
        <f>IF(OR(D331="",A331=""),"",A331+IF(AND(Config!$B$17="Sim",LEFT(D331,17)="Cartão de crédito"),1,IFERROR(INDEX(Config!$C$12:$C$15,MATCH(IF(AND(D331="Cartão de crédito",N(E331)&gt;1),"Cartão de crédito parcelado",D331),Config!$A$12:$A$15,0)),0)))</f>
        <v/>
      </c>
      <c r="L331" s="27">
        <f>IF(A331="","",MONTH(A331))</f>
        <v/>
      </c>
      <c r="M331" s="27">
        <f>IF(A331="","",YEAR(A331))</f>
        <v/>
      </c>
      <c r="N331" s="27">
        <f>IF(K331="","",IF(G331="Sim","Conferido",IF(K331&gt;Config!$B$8,"A cair","A conferir")))</f>
        <v/>
      </c>
      <c r="O331" s="50">
        <f>IF(N331="A conferir",(Config!$B$8-K331)*1000+N(F331)/1000+ROW()/100000,0)</f>
        <v>0</v>
      </c>
    </row>
    <row r="332">
      <c r="A332" s="48" t="n"/>
      <c r="B332" s="40" t="n"/>
      <c r="C332" s="40" t="n"/>
      <c r="D332" s="41" t="n"/>
      <c r="E332" s="41" t="n"/>
      <c r="F332" s="49" t="n"/>
      <c r="G332" s="41" t="n"/>
      <c r="H332" s="30">
        <f>IF(D332="","",IFERROR(INDEX(Config!$B$12:$B$15,MATCH(IF(AND(D332="Cartão de crédito",N(E332)&gt;1),"Cartão de crédito parcelado",D332),Config!$A$12:$A$15,0)),0)+IF(AND(Config!$B$17="Sim",LEFT(D332,17)="Cartão de crédito"),Config!$B$18*IFERROR(INDEX(Config!$C$12:$C$15,MATCH(IF(AND(D332="Cartão de crédito",N(E332)&gt;1),"Cartão de crédito parcelado",D332),Config!$A$12:$A$15,0)),0)/30*MAX(1,N(E332)),0))</f>
        <v/>
      </c>
      <c r="I332" s="29">
        <f>IF(OR(D332="",F332=""),"",ROUND(F332*H332,2))</f>
        <v/>
      </c>
      <c r="J332" s="29">
        <f>IF(I332="","",F332-I332)</f>
        <v/>
      </c>
      <c r="K332" s="37">
        <f>IF(OR(D332="",A332=""),"",A332+IF(AND(Config!$B$17="Sim",LEFT(D332,17)="Cartão de crédito"),1,IFERROR(INDEX(Config!$C$12:$C$15,MATCH(IF(AND(D332="Cartão de crédito",N(E332)&gt;1),"Cartão de crédito parcelado",D332),Config!$A$12:$A$15,0)),0)))</f>
        <v/>
      </c>
      <c r="L332" s="27">
        <f>IF(A332="","",MONTH(A332))</f>
        <v/>
      </c>
      <c r="M332" s="27">
        <f>IF(A332="","",YEAR(A332))</f>
        <v/>
      </c>
      <c r="N332" s="27">
        <f>IF(K332="","",IF(G332="Sim","Conferido",IF(K332&gt;Config!$B$8,"A cair","A conferir")))</f>
        <v/>
      </c>
      <c r="O332" s="50">
        <f>IF(N332="A conferir",(Config!$B$8-K332)*1000+N(F332)/1000+ROW()/100000,0)</f>
        <v>0</v>
      </c>
    </row>
    <row r="333">
      <c r="A333" s="48" t="n"/>
      <c r="B333" s="40" t="n"/>
      <c r="C333" s="40" t="n"/>
      <c r="D333" s="41" t="n"/>
      <c r="E333" s="41" t="n"/>
      <c r="F333" s="49" t="n"/>
      <c r="G333" s="41" t="n"/>
      <c r="H333" s="30">
        <f>IF(D333="","",IFERROR(INDEX(Config!$B$12:$B$15,MATCH(IF(AND(D333="Cartão de crédito",N(E333)&gt;1),"Cartão de crédito parcelado",D333),Config!$A$12:$A$15,0)),0)+IF(AND(Config!$B$17="Sim",LEFT(D333,17)="Cartão de crédito"),Config!$B$18*IFERROR(INDEX(Config!$C$12:$C$15,MATCH(IF(AND(D333="Cartão de crédito",N(E333)&gt;1),"Cartão de crédito parcelado",D333),Config!$A$12:$A$15,0)),0)/30*MAX(1,N(E333)),0))</f>
        <v/>
      </c>
      <c r="I333" s="29">
        <f>IF(OR(D333="",F333=""),"",ROUND(F333*H333,2))</f>
        <v/>
      </c>
      <c r="J333" s="29">
        <f>IF(I333="","",F333-I333)</f>
        <v/>
      </c>
      <c r="K333" s="37">
        <f>IF(OR(D333="",A333=""),"",A333+IF(AND(Config!$B$17="Sim",LEFT(D333,17)="Cartão de crédito"),1,IFERROR(INDEX(Config!$C$12:$C$15,MATCH(IF(AND(D333="Cartão de crédito",N(E333)&gt;1),"Cartão de crédito parcelado",D333),Config!$A$12:$A$15,0)),0)))</f>
        <v/>
      </c>
      <c r="L333" s="27">
        <f>IF(A333="","",MONTH(A333))</f>
        <v/>
      </c>
      <c r="M333" s="27">
        <f>IF(A333="","",YEAR(A333))</f>
        <v/>
      </c>
      <c r="N333" s="27">
        <f>IF(K333="","",IF(G333="Sim","Conferido",IF(K333&gt;Config!$B$8,"A cair","A conferir")))</f>
        <v/>
      </c>
      <c r="O333" s="50">
        <f>IF(N333="A conferir",(Config!$B$8-K333)*1000+N(F333)/1000+ROW()/100000,0)</f>
        <v>0</v>
      </c>
    </row>
    <row r="334">
      <c r="A334" s="48" t="n"/>
      <c r="B334" s="40" t="n"/>
      <c r="C334" s="40" t="n"/>
      <c r="D334" s="41" t="n"/>
      <c r="E334" s="41" t="n"/>
      <c r="F334" s="49" t="n"/>
      <c r="G334" s="41" t="n"/>
      <c r="H334" s="30">
        <f>IF(D334="","",IFERROR(INDEX(Config!$B$12:$B$15,MATCH(IF(AND(D334="Cartão de crédito",N(E334)&gt;1),"Cartão de crédito parcelado",D334),Config!$A$12:$A$15,0)),0)+IF(AND(Config!$B$17="Sim",LEFT(D334,17)="Cartão de crédito"),Config!$B$18*IFERROR(INDEX(Config!$C$12:$C$15,MATCH(IF(AND(D334="Cartão de crédito",N(E334)&gt;1),"Cartão de crédito parcelado",D334),Config!$A$12:$A$15,0)),0)/30*MAX(1,N(E334)),0))</f>
        <v/>
      </c>
      <c r="I334" s="29">
        <f>IF(OR(D334="",F334=""),"",ROUND(F334*H334,2))</f>
        <v/>
      </c>
      <c r="J334" s="29">
        <f>IF(I334="","",F334-I334)</f>
        <v/>
      </c>
      <c r="K334" s="37">
        <f>IF(OR(D334="",A334=""),"",A334+IF(AND(Config!$B$17="Sim",LEFT(D334,17)="Cartão de crédito"),1,IFERROR(INDEX(Config!$C$12:$C$15,MATCH(IF(AND(D334="Cartão de crédito",N(E334)&gt;1),"Cartão de crédito parcelado",D334),Config!$A$12:$A$15,0)),0)))</f>
        <v/>
      </c>
      <c r="L334" s="27">
        <f>IF(A334="","",MONTH(A334))</f>
        <v/>
      </c>
      <c r="M334" s="27">
        <f>IF(A334="","",YEAR(A334))</f>
        <v/>
      </c>
      <c r="N334" s="27">
        <f>IF(K334="","",IF(G334="Sim","Conferido",IF(K334&gt;Config!$B$8,"A cair","A conferir")))</f>
        <v/>
      </c>
      <c r="O334" s="50">
        <f>IF(N334="A conferir",(Config!$B$8-K334)*1000+N(F334)/1000+ROW()/100000,0)</f>
        <v>0</v>
      </c>
    </row>
    <row r="335">
      <c r="A335" s="48" t="n"/>
      <c r="B335" s="40" t="n"/>
      <c r="C335" s="40" t="n"/>
      <c r="D335" s="41" t="n"/>
      <c r="E335" s="41" t="n"/>
      <c r="F335" s="49" t="n"/>
      <c r="G335" s="41" t="n"/>
      <c r="H335" s="30">
        <f>IF(D335="","",IFERROR(INDEX(Config!$B$12:$B$15,MATCH(IF(AND(D335="Cartão de crédito",N(E335)&gt;1),"Cartão de crédito parcelado",D335),Config!$A$12:$A$15,0)),0)+IF(AND(Config!$B$17="Sim",LEFT(D335,17)="Cartão de crédito"),Config!$B$18*IFERROR(INDEX(Config!$C$12:$C$15,MATCH(IF(AND(D335="Cartão de crédito",N(E335)&gt;1),"Cartão de crédito parcelado",D335),Config!$A$12:$A$15,0)),0)/30*MAX(1,N(E335)),0))</f>
        <v/>
      </c>
      <c r="I335" s="29">
        <f>IF(OR(D335="",F335=""),"",ROUND(F335*H335,2))</f>
        <v/>
      </c>
      <c r="J335" s="29">
        <f>IF(I335="","",F335-I335)</f>
        <v/>
      </c>
      <c r="K335" s="37">
        <f>IF(OR(D335="",A335=""),"",A335+IF(AND(Config!$B$17="Sim",LEFT(D335,17)="Cartão de crédito"),1,IFERROR(INDEX(Config!$C$12:$C$15,MATCH(IF(AND(D335="Cartão de crédito",N(E335)&gt;1),"Cartão de crédito parcelado",D335),Config!$A$12:$A$15,0)),0)))</f>
        <v/>
      </c>
      <c r="L335" s="27">
        <f>IF(A335="","",MONTH(A335))</f>
        <v/>
      </c>
      <c r="M335" s="27">
        <f>IF(A335="","",YEAR(A335))</f>
        <v/>
      </c>
      <c r="N335" s="27">
        <f>IF(K335="","",IF(G335="Sim","Conferido",IF(K335&gt;Config!$B$8,"A cair","A conferir")))</f>
        <v/>
      </c>
      <c r="O335" s="50">
        <f>IF(N335="A conferir",(Config!$B$8-K335)*1000+N(F335)/1000+ROW()/100000,0)</f>
        <v>0</v>
      </c>
    </row>
    <row r="336">
      <c r="A336" s="48" t="n"/>
      <c r="B336" s="40" t="n"/>
      <c r="C336" s="40" t="n"/>
      <c r="D336" s="41" t="n"/>
      <c r="E336" s="41" t="n"/>
      <c r="F336" s="49" t="n"/>
      <c r="G336" s="41" t="n"/>
      <c r="H336" s="30">
        <f>IF(D336="","",IFERROR(INDEX(Config!$B$12:$B$15,MATCH(IF(AND(D336="Cartão de crédito",N(E336)&gt;1),"Cartão de crédito parcelado",D336),Config!$A$12:$A$15,0)),0)+IF(AND(Config!$B$17="Sim",LEFT(D336,17)="Cartão de crédito"),Config!$B$18*IFERROR(INDEX(Config!$C$12:$C$15,MATCH(IF(AND(D336="Cartão de crédito",N(E336)&gt;1),"Cartão de crédito parcelado",D336),Config!$A$12:$A$15,0)),0)/30*MAX(1,N(E336)),0))</f>
        <v/>
      </c>
      <c r="I336" s="29">
        <f>IF(OR(D336="",F336=""),"",ROUND(F336*H336,2))</f>
        <v/>
      </c>
      <c r="J336" s="29">
        <f>IF(I336="","",F336-I336)</f>
        <v/>
      </c>
      <c r="K336" s="37">
        <f>IF(OR(D336="",A336=""),"",A336+IF(AND(Config!$B$17="Sim",LEFT(D336,17)="Cartão de crédito"),1,IFERROR(INDEX(Config!$C$12:$C$15,MATCH(IF(AND(D336="Cartão de crédito",N(E336)&gt;1),"Cartão de crédito parcelado",D336),Config!$A$12:$A$15,0)),0)))</f>
        <v/>
      </c>
      <c r="L336" s="27">
        <f>IF(A336="","",MONTH(A336))</f>
        <v/>
      </c>
      <c r="M336" s="27">
        <f>IF(A336="","",YEAR(A336))</f>
        <v/>
      </c>
      <c r="N336" s="27">
        <f>IF(K336="","",IF(G336="Sim","Conferido",IF(K336&gt;Config!$B$8,"A cair","A conferir")))</f>
        <v/>
      </c>
      <c r="O336" s="50">
        <f>IF(N336="A conferir",(Config!$B$8-K336)*1000+N(F336)/1000+ROW()/100000,0)</f>
        <v>0</v>
      </c>
    </row>
    <row r="337">
      <c r="A337" s="48" t="n"/>
      <c r="B337" s="40" t="n"/>
      <c r="C337" s="40" t="n"/>
      <c r="D337" s="41" t="n"/>
      <c r="E337" s="41" t="n"/>
      <c r="F337" s="49" t="n"/>
      <c r="G337" s="41" t="n"/>
      <c r="H337" s="30">
        <f>IF(D337="","",IFERROR(INDEX(Config!$B$12:$B$15,MATCH(IF(AND(D337="Cartão de crédito",N(E337)&gt;1),"Cartão de crédito parcelado",D337),Config!$A$12:$A$15,0)),0)+IF(AND(Config!$B$17="Sim",LEFT(D337,17)="Cartão de crédito"),Config!$B$18*IFERROR(INDEX(Config!$C$12:$C$15,MATCH(IF(AND(D337="Cartão de crédito",N(E337)&gt;1),"Cartão de crédito parcelado",D337),Config!$A$12:$A$15,0)),0)/30*MAX(1,N(E337)),0))</f>
        <v/>
      </c>
      <c r="I337" s="29">
        <f>IF(OR(D337="",F337=""),"",ROUND(F337*H337,2))</f>
        <v/>
      </c>
      <c r="J337" s="29">
        <f>IF(I337="","",F337-I337)</f>
        <v/>
      </c>
      <c r="K337" s="37">
        <f>IF(OR(D337="",A337=""),"",A337+IF(AND(Config!$B$17="Sim",LEFT(D337,17)="Cartão de crédito"),1,IFERROR(INDEX(Config!$C$12:$C$15,MATCH(IF(AND(D337="Cartão de crédito",N(E337)&gt;1),"Cartão de crédito parcelado",D337),Config!$A$12:$A$15,0)),0)))</f>
        <v/>
      </c>
      <c r="L337" s="27">
        <f>IF(A337="","",MONTH(A337))</f>
        <v/>
      </c>
      <c r="M337" s="27">
        <f>IF(A337="","",YEAR(A337))</f>
        <v/>
      </c>
      <c r="N337" s="27">
        <f>IF(K337="","",IF(G337="Sim","Conferido",IF(K337&gt;Config!$B$8,"A cair","A conferir")))</f>
        <v/>
      </c>
      <c r="O337" s="50">
        <f>IF(N337="A conferir",(Config!$B$8-K337)*1000+N(F337)/1000+ROW()/100000,0)</f>
        <v>0</v>
      </c>
    </row>
    <row r="338">
      <c r="A338" s="48" t="n"/>
      <c r="B338" s="40" t="n"/>
      <c r="C338" s="40" t="n"/>
      <c r="D338" s="41" t="n"/>
      <c r="E338" s="41" t="n"/>
      <c r="F338" s="49" t="n"/>
      <c r="G338" s="41" t="n"/>
      <c r="H338" s="30">
        <f>IF(D338="","",IFERROR(INDEX(Config!$B$12:$B$15,MATCH(IF(AND(D338="Cartão de crédito",N(E338)&gt;1),"Cartão de crédito parcelado",D338),Config!$A$12:$A$15,0)),0)+IF(AND(Config!$B$17="Sim",LEFT(D338,17)="Cartão de crédito"),Config!$B$18*IFERROR(INDEX(Config!$C$12:$C$15,MATCH(IF(AND(D338="Cartão de crédito",N(E338)&gt;1),"Cartão de crédito parcelado",D338),Config!$A$12:$A$15,0)),0)/30*MAX(1,N(E338)),0))</f>
        <v/>
      </c>
      <c r="I338" s="29">
        <f>IF(OR(D338="",F338=""),"",ROUND(F338*H338,2))</f>
        <v/>
      </c>
      <c r="J338" s="29">
        <f>IF(I338="","",F338-I338)</f>
        <v/>
      </c>
      <c r="K338" s="37">
        <f>IF(OR(D338="",A338=""),"",A338+IF(AND(Config!$B$17="Sim",LEFT(D338,17)="Cartão de crédito"),1,IFERROR(INDEX(Config!$C$12:$C$15,MATCH(IF(AND(D338="Cartão de crédito",N(E338)&gt;1),"Cartão de crédito parcelado",D338),Config!$A$12:$A$15,0)),0)))</f>
        <v/>
      </c>
      <c r="L338" s="27">
        <f>IF(A338="","",MONTH(A338))</f>
        <v/>
      </c>
      <c r="M338" s="27">
        <f>IF(A338="","",YEAR(A338))</f>
        <v/>
      </c>
      <c r="N338" s="27">
        <f>IF(K338="","",IF(G338="Sim","Conferido",IF(K338&gt;Config!$B$8,"A cair","A conferir")))</f>
        <v/>
      </c>
      <c r="O338" s="50">
        <f>IF(N338="A conferir",(Config!$B$8-K338)*1000+N(F338)/1000+ROW()/100000,0)</f>
        <v>0</v>
      </c>
    </row>
    <row r="339">
      <c r="A339" s="48" t="n"/>
      <c r="B339" s="40" t="n"/>
      <c r="C339" s="40" t="n"/>
      <c r="D339" s="41" t="n"/>
      <c r="E339" s="41" t="n"/>
      <c r="F339" s="49" t="n"/>
      <c r="G339" s="41" t="n"/>
      <c r="H339" s="30">
        <f>IF(D339="","",IFERROR(INDEX(Config!$B$12:$B$15,MATCH(IF(AND(D339="Cartão de crédito",N(E339)&gt;1),"Cartão de crédito parcelado",D339),Config!$A$12:$A$15,0)),0)+IF(AND(Config!$B$17="Sim",LEFT(D339,17)="Cartão de crédito"),Config!$B$18*IFERROR(INDEX(Config!$C$12:$C$15,MATCH(IF(AND(D339="Cartão de crédito",N(E339)&gt;1),"Cartão de crédito parcelado",D339),Config!$A$12:$A$15,0)),0)/30*MAX(1,N(E339)),0))</f>
        <v/>
      </c>
      <c r="I339" s="29">
        <f>IF(OR(D339="",F339=""),"",ROUND(F339*H339,2))</f>
        <v/>
      </c>
      <c r="J339" s="29">
        <f>IF(I339="","",F339-I339)</f>
        <v/>
      </c>
      <c r="K339" s="37">
        <f>IF(OR(D339="",A339=""),"",A339+IF(AND(Config!$B$17="Sim",LEFT(D339,17)="Cartão de crédito"),1,IFERROR(INDEX(Config!$C$12:$C$15,MATCH(IF(AND(D339="Cartão de crédito",N(E339)&gt;1),"Cartão de crédito parcelado",D339),Config!$A$12:$A$15,0)),0)))</f>
        <v/>
      </c>
      <c r="L339" s="27">
        <f>IF(A339="","",MONTH(A339))</f>
        <v/>
      </c>
      <c r="M339" s="27">
        <f>IF(A339="","",YEAR(A339))</f>
        <v/>
      </c>
      <c r="N339" s="27">
        <f>IF(K339="","",IF(G339="Sim","Conferido",IF(K339&gt;Config!$B$8,"A cair","A conferir")))</f>
        <v/>
      </c>
      <c r="O339" s="50">
        <f>IF(N339="A conferir",(Config!$B$8-K339)*1000+N(F339)/1000+ROW()/100000,0)</f>
        <v>0</v>
      </c>
    </row>
    <row r="340">
      <c r="A340" s="48" t="n"/>
      <c r="B340" s="40" t="n"/>
      <c r="C340" s="40" t="n"/>
      <c r="D340" s="41" t="n"/>
      <c r="E340" s="41" t="n"/>
      <c r="F340" s="49" t="n"/>
      <c r="G340" s="41" t="n"/>
      <c r="H340" s="30">
        <f>IF(D340="","",IFERROR(INDEX(Config!$B$12:$B$15,MATCH(IF(AND(D340="Cartão de crédito",N(E340)&gt;1),"Cartão de crédito parcelado",D340),Config!$A$12:$A$15,0)),0)+IF(AND(Config!$B$17="Sim",LEFT(D340,17)="Cartão de crédito"),Config!$B$18*IFERROR(INDEX(Config!$C$12:$C$15,MATCH(IF(AND(D340="Cartão de crédito",N(E340)&gt;1),"Cartão de crédito parcelado",D340),Config!$A$12:$A$15,0)),0)/30*MAX(1,N(E340)),0))</f>
        <v/>
      </c>
      <c r="I340" s="29">
        <f>IF(OR(D340="",F340=""),"",ROUND(F340*H340,2))</f>
        <v/>
      </c>
      <c r="J340" s="29">
        <f>IF(I340="","",F340-I340)</f>
        <v/>
      </c>
      <c r="K340" s="37">
        <f>IF(OR(D340="",A340=""),"",A340+IF(AND(Config!$B$17="Sim",LEFT(D340,17)="Cartão de crédito"),1,IFERROR(INDEX(Config!$C$12:$C$15,MATCH(IF(AND(D340="Cartão de crédito",N(E340)&gt;1),"Cartão de crédito parcelado",D340),Config!$A$12:$A$15,0)),0)))</f>
        <v/>
      </c>
      <c r="L340" s="27">
        <f>IF(A340="","",MONTH(A340))</f>
        <v/>
      </c>
      <c r="M340" s="27">
        <f>IF(A340="","",YEAR(A340))</f>
        <v/>
      </c>
      <c r="N340" s="27">
        <f>IF(K340="","",IF(G340="Sim","Conferido",IF(K340&gt;Config!$B$8,"A cair","A conferir")))</f>
        <v/>
      </c>
      <c r="O340" s="50">
        <f>IF(N340="A conferir",(Config!$B$8-K340)*1000+N(F340)/1000+ROW()/100000,0)</f>
        <v>0</v>
      </c>
    </row>
    <row r="341">
      <c r="A341" s="48" t="n"/>
      <c r="B341" s="40" t="n"/>
      <c r="C341" s="40" t="n"/>
      <c r="D341" s="41" t="n"/>
      <c r="E341" s="41" t="n"/>
      <c r="F341" s="49" t="n"/>
      <c r="G341" s="41" t="n"/>
      <c r="H341" s="30">
        <f>IF(D341="","",IFERROR(INDEX(Config!$B$12:$B$15,MATCH(IF(AND(D341="Cartão de crédito",N(E341)&gt;1),"Cartão de crédito parcelado",D341),Config!$A$12:$A$15,0)),0)+IF(AND(Config!$B$17="Sim",LEFT(D341,17)="Cartão de crédito"),Config!$B$18*IFERROR(INDEX(Config!$C$12:$C$15,MATCH(IF(AND(D341="Cartão de crédito",N(E341)&gt;1),"Cartão de crédito parcelado",D341),Config!$A$12:$A$15,0)),0)/30*MAX(1,N(E341)),0))</f>
        <v/>
      </c>
      <c r="I341" s="29">
        <f>IF(OR(D341="",F341=""),"",ROUND(F341*H341,2))</f>
        <v/>
      </c>
      <c r="J341" s="29">
        <f>IF(I341="","",F341-I341)</f>
        <v/>
      </c>
      <c r="K341" s="37">
        <f>IF(OR(D341="",A341=""),"",A341+IF(AND(Config!$B$17="Sim",LEFT(D341,17)="Cartão de crédito"),1,IFERROR(INDEX(Config!$C$12:$C$15,MATCH(IF(AND(D341="Cartão de crédito",N(E341)&gt;1),"Cartão de crédito parcelado",D341),Config!$A$12:$A$15,0)),0)))</f>
        <v/>
      </c>
      <c r="L341" s="27">
        <f>IF(A341="","",MONTH(A341))</f>
        <v/>
      </c>
      <c r="M341" s="27">
        <f>IF(A341="","",YEAR(A341))</f>
        <v/>
      </c>
      <c r="N341" s="27">
        <f>IF(K341="","",IF(G341="Sim","Conferido",IF(K341&gt;Config!$B$8,"A cair","A conferir")))</f>
        <v/>
      </c>
      <c r="O341" s="50">
        <f>IF(N341="A conferir",(Config!$B$8-K341)*1000+N(F341)/1000+ROW()/100000,0)</f>
        <v>0</v>
      </c>
    </row>
    <row r="342">
      <c r="A342" s="48" t="n"/>
      <c r="B342" s="40" t="n"/>
      <c r="C342" s="40" t="n"/>
      <c r="D342" s="41" t="n"/>
      <c r="E342" s="41" t="n"/>
      <c r="F342" s="49" t="n"/>
      <c r="G342" s="41" t="n"/>
      <c r="H342" s="30">
        <f>IF(D342="","",IFERROR(INDEX(Config!$B$12:$B$15,MATCH(IF(AND(D342="Cartão de crédito",N(E342)&gt;1),"Cartão de crédito parcelado",D342),Config!$A$12:$A$15,0)),0)+IF(AND(Config!$B$17="Sim",LEFT(D342,17)="Cartão de crédito"),Config!$B$18*IFERROR(INDEX(Config!$C$12:$C$15,MATCH(IF(AND(D342="Cartão de crédito",N(E342)&gt;1),"Cartão de crédito parcelado",D342),Config!$A$12:$A$15,0)),0)/30*MAX(1,N(E342)),0))</f>
        <v/>
      </c>
      <c r="I342" s="29">
        <f>IF(OR(D342="",F342=""),"",ROUND(F342*H342,2))</f>
        <v/>
      </c>
      <c r="J342" s="29">
        <f>IF(I342="","",F342-I342)</f>
        <v/>
      </c>
      <c r="K342" s="37">
        <f>IF(OR(D342="",A342=""),"",A342+IF(AND(Config!$B$17="Sim",LEFT(D342,17)="Cartão de crédito"),1,IFERROR(INDEX(Config!$C$12:$C$15,MATCH(IF(AND(D342="Cartão de crédito",N(E342)&gt;1),"Cartão de crédito parcelado",D342),Config!$A$12:$A$15,0)),0)))</f>
        <v/>
      </c>
      <c r="L342" s="27">
        <f>IF(A342="","",MONTH(A342))</f>
        <v/>
      </c>
      <c r="M342" s="27">
        <f>IF(A342="","",YEAR(A342))</f>
        <v/>
      </c>
      <c r="N342" s="27">
        <f>IF(K342="","",IF(G342="Sim","Conferido",IF(K342&gt;Config!$B$8,"A cair","A conferir")))</f>
        <v/>
      </c>
      <c r="O342" s="50">
        <f>IF(N342="A conferir",(Config!$B$8-K342)*1000+N(F342)/1000+ROW()/100000,0)</f>
        <v>0</v>
      </c>
    </row>
    <row r="343">
      <c r="A343" s="48" t="n"/>
      <c r="B343" s="40" t="n"/>
      <c r="C343" s="40" t="n"/>
      <c r="D343" s="41" t="n"/>
      <c r="E343" s="41" t="n"/>
      <c r="F343" s="49" t="n"/>
      <c r="G343" s="41" t="n"/>
      <c r="H343" s="30">
        <f>IF(D343="","",IFERROR(INDEX(Config!$B$12:$B$15,MATCH(IF(AND(D343="Cartão de crédito",N(E343)&gt;1),"Cartão de crédito parcelado",D343),Config!$A$12:$A$15,0)),0)+IF(AND(Config!$B$17="Sim",LEFT(D343,17)="Cartão de crédito"),Config!$B$18*IFERROR(INDEX(Config!$C$12:$C$15,MATCH(IF(AND(D343="Cartão de crédito",N(E343)&gt;1),"Cartão de crédito parcelado",D343),Config!$A$12:$A$15,0)),0)/30*MAX(1,N(E343)),0))</f>
        <v/>
      </c>
      <c r="I343" s="29">
        <f>IF(OR(D343="",F343=""),"",ROUND(F343*H343,2))</f>
        <v/>
      </c>
      <c r="J343" s="29">
        <f>IF(I343="","",F343-I343)</f>
        <v/>
      </c>
      <c r="K343" s="37">
        <f>IF(OR(D343="",A343=""),"",A343+IF(AND(Config!$B$17="Sim",LEFT(D343,17)="Cartão de crédito"),1,IFERROR(INDEX(Config!$C$12:$C$15,MATCH(IF(AND(D343="Cartão de crédito",N(E343)&gt;1),"Cartão de crédito parcelado",D343),Config!$A$12:$A$15,0)),0)))</f>
        <v/>
      </c>
      <c r="L343" s="27">
        <f>IF(A343="","",MONTH(A343))</f>
        <v/>
      </c>
      <c r="M343" s="27">
        <f>IF(A343="","",YEAR(A343))</f>
        <v/>
      </c>
      <c r="N343" s="27">
        <f>IF(K343="","",IF(G343="Sim","Conferido",IF(K343&gt;Config!$B$8,"A cair","A conferir")))</f>
        <v/>
      </c>
      <c r="O343" s="50">
        <f>IF(N343="A conferir",(Config!$B$8-K343)*1000+N(F343)/1000+ROW()/100000,0)</f>
        <v>0</v>
      </c>
    </row>
    <row r="344">
      <c r="A344" s="48" t="n"/>
      <c r="B344" s="40" t="n"/>
      <c r="C344" s="40" t="n"/>
      <c r="D344" s="41" t="n"/>
      <c r="E344" s="41" t="n"/>
      <c r="F344" s="49" t="n"/>
      <c r="G344" s="41" t="n"/>
      <c r="H344" s="30">
        <f>IF(D344="","",IFERROR(INDEX(Config!$B$12:$B$15,MATCH(IF(AND(D344="Cartão de crédito",N(E344)&gt;1),"Cartão de crédito parcelado",D344),Config!$A$12:$A$15,0)),0)+IF(AND(Config!$B$17="Sim",LEFT(D344,17)="Cartão de crédito"),Config!$B$18*IFERROR(INDEX(Config!$C$12:$C$15,MATCH(IF(AND(D344="Cartão de crédito",N(E344)&gt;1),"Cartão de crédito parcelado",D344),Config!$A$12:$A$15,0)),0)/30*MAX(1,N(E344)),0))</f>
        <v/>
      </c>
      <c r="I344" s="29">
        <f>IF(OR(D344="",F344=""),"",ROUND(F344*H344,2))</f>
        <v/>
      </c>
      <c r="J344" s="29">
        <f>IF(I344="","",F344-I344)</f>
        <v/>
      </c>
      <c r="K344" s="37">
        <f>IF(OR(D344="",A344=""),"",A344+IF(AND(Config!$B$17="Sim",LEFT(D344,17)="Cartão de crédito"),1,IFERROR(INDEX(Config!$C$12:$C$15,MATCH(IF(AND(D344="Cartão de crédito",N(E344)&gt;1),"Cartão de crédito parcelado",D344),Config!$A$12:$A$15,0)),0)))</f>
        <v/>
      </c>
      <c r="L344" s="27">
        <f>IF(A344="","",MONTH(A344))</f>
        <v/>
      </c>
      <c r="M344" s="27">
        <f>IF(A344="","",YEAR(A344))</f>
        <v/>
      </c>
      <c r="N344" s="27">
        <f>IF(K344="","",IF(G344="Sim","Conferido",IF(K344&gt;Config!$B$8,"A cair","A conferir")))</f>
        <v/>
      </c>
      <c r="O344" s="50">
        <f>IF(N344="A conferir",(Config!$B$8-K344)*1000+N(F344)/1000+ROW()/100000,0)</f>
        <v>0</v>
      </c>
    </row>
    <row r="345">
      <c r="A345" s="48" t="n"/>
      <c r="B345" s="40" t="n"/>
      <c r="C345" s="40" t="n"/>
      <c r="D345" s="41" t="n"/>
      <c r="E345" s="41" t="n"/>
      <c r="F345" s="49" t="n"/>
      <c r="G345" s="41" t="n"/>
      <c r="H345" s="30">
        <f>IF(D345="","",IFERROR(INDEX(Config!$B$12:$B$15,MATCH(IF(AND(D345="Cartão de crédito",N(E345)&gt;1),"Cartão de crédito parcelado",D345),Config!$A$12:$A$15,0)),0)+IF(AND(Config!$B$17="Sim",LEFT(D345,17)="Cartão de crédito"),Config!$B$18*IFERROR(INDEX(Config!$C$12:$C$15,MATCH(IF(AND(D345="Cartão de crédito",N(E345)&gt;1),"Cartão de crédito parcelado",D345),Config!$A$12:$A$15,0)),0)/30*MAX(1,N(E345)),0))</f>
        <v/>
      </c>
      <c r="I345" s="29">
        <f>IF(OR(D345="",F345=""),"",ROUND(F345*H345,2))</f>
        <v/>
      </c>
      <c r="J345" s="29">
        <f>IF(I345="","",F345-I345)</f>
        <v/>
      </c>
      <c r="K345" s="37">
        <f>IF(OR(D345="",A345=""),"",A345+IF(AND(Config!$B$17="Sim",LEFT(D345,17)="Cartão de crédito"),1,IFERROR(INDEX(Config!$C$12:$C$15,MATCH(IF(AND(D345="Cartão de crédito",N(E345)&gt;1),"Cartão de crédito parcelado",D345),Config!$A$12:$A$15,0)),0)))</f>
        <v/>
      </c>
      <c r="L345" s="27">
        <f>IF(A345="","",MONTH(A345))</f>
        <v/>
      </c>
      <c r="M345" s="27">
        <f>IF(A345="","",YEAR(A345))</f>
        <v/>
      </c>
      <c r="N345" s="27">
        <f>IF(K345="","",IF(G345="Sim","Conferido",IF(K345&gt;Config!$B$8,"A cair","A conferir")))</f>
        <v/>
      </c>
      <c r="O345" s="50">
        <f>IF(N345="A conferir",(Config!$B$8-K345)*1000+N(F345)/1000+ROW()/100000,0)</f>
        <v>0</v>
      </c>
    </row>
    <row r="346">
      <c r="A346" s="48" t="n"/>
      <c r="B346" s="40" t="n"/>
      <c r="C346" s="40" t="n"/>
      <c r="D346" s="41" t="n"/>
      <c r="E346" s="41" t="n"/>
      <c r="F346" s="49" t="n"/>
      <c r="G346" s="41" t="n"/>
      <c r="H346" s="30">
        <f>IF(D346="","",IFERROR(INDEX(Config!$B$12:$B$15,MATCH(IF(AND(D346="Cartão de crédito",N(E346)&gt;1),"Cartão de crédito parcelado",D346),Config!$A$12:$A$15,0)),0)+IF(AND(Config!$B$17="Sim",LEFT(D346,17)="Cartão de crédito"),Config!$B$18*IFERROR(INDEX(Config!$C$12:$C$15,MATCH(IF(AND(D346="Cartão de crédito",N(E346)&gt;1),"Cartão de crédito parcelado",D346),Config!$A$12:$A$15,0)),0)/30*MAX(1,N(E346)),0))</f>
        <v/>
      </c>
      <c r="I346" s="29">
        <f>IF(OR(D346="",F346=""),"",ROUND(F346*H346,2))</f>
        <v/>
      </c>
      <c r="J346" s="29">
        <f>IF(I346="","",F346-I346)</f>
        <v/>
      </c>
      <c r="K346" s="37">
        <f>IF(OR(D346="",A346=""),"",A346+IF(AND(Config!$B$17="Sim",LEFT(D346,17)="Cartão de crédito"),1,IFERROR(INDEX(Config!$C$12:$C$15,MATCH(IF(AND(D346="Cartão de crédito",N(E346)&gt;1),"Cartão de crédito parcelado",D346),Config!$A$12:$A$15,0)),0)))</f>
        <v/>
      </c>
      <c r="L346" s="27">
        <f>IF(A346="","",MONTH(A346))</f>
        <v/>
      </c>
      <c r="M346" s="27">
        <f>IF(A346="","",YEAR(A346))</f>
        <v/>
      </c>
      <c r="N346" s="27">
        <f>IF(K346="","",IF(G346="Sim","Conferido",IF(K346&gt;Config!$B$8,"A cair","A conferir")))</f>
        <v/>
      </c>
      <c r="O346" s="50">
        <f>IF(N346="A conferir",(Config!$B$8-K346)*1000+N(F346)/1000+ROW()/100000,0)</f>
        <v>0</v>
      </c>
    </row>
    <row r="347">
      <c r="A347" s="48" t="n"/>
      <c r="B347" s="40" t="n"/>
      <c r="C347" s="40" t="n"/>
      <c r="D347" s="41" t="n"/>
      <c r="E347" s="41" t="n"/>
      <c r="F347" s="49" t="n"/>
      <c r="G347" s="41" t="n"/>
      <c r="H347" s="30">
        <f>IF(D347="","",IFERROR(INDEX(Config!$B$12:$B$15,MATCH(IF(AND(D347="Cartão de crédito",N(E347)&gt;1),"Cartão de crédito parcelado",D347),Config!$A$12:$A$15,0)),0)+IF(AND(Config!$B$17="Sim",LEFT(D347,17)="Cartão de crédito"),Config!$B$18*IFERROR(INDEX(Config!$C$12:$C$15,MATCH(IF(AND(D347="Cartão de crédito",N(E347)&gt;1),"Cartão de crédito parcelado",D347),Config!$A$12:$A$15,0)),0)/30*MAX(1,N(E347)),0))</f>
        <v/>
      </c>
      <c r="I347" s="29">
        <f>IF(OR(D347="",F347=""),"",ROUND(F347*H347,2))</f>
        <v/>
      </c>
      <c r="J347" s="29">
        <f>IF(I347="","",F347-I347)</f>
        <v/>
      </c>
      <c r="K347" s="37">
        <f>IF(OR(D347="",A347=""),"",A347+IF(AND(Config!$B$17="Sim",LEFT(D347,17)="Cartão de crédito"),1,IFERROR(INDEX(Config!$C$12:$C$15,MATCH(IF(AND(D347="Cartão de crédito",N(E347)&gt;1),"Cartão de crédito parcelado",D347),Config!$A$12:$A$15,0)),0)))</f>
        <v/>
      </c>
      <c r="L347" s="27">
        <f>IF(A347="","",MONTH(A347))</f>
        <v/>
      </c>
      <c r="M347" s="27">
        <f>IF(A347="","",YEAR(A347))</f>
        <v/>
      </c>
      <c r="N347" s="27">
        <f>IF(K347="","",IF(G347="Sim","Conferido",IF(K347&gt;Config!$B$8,"A cair","A conferir")))</f>
        <v/>
      </c>
      <c r="O347" s="50">
        <f>IF(N347="A conferir",(Config!$B$8-K347)*1000+N(F347)/1000+ROW()/100000,0)</f>
        <v>0</v>
      </c>
    </row>
    <row r="348">
      <c r="A348" s="48" t="n"/>
      <c r="B348" s="40" t="n"/>
      <c r="C348" s="40" t="n"/>
      <c r="D348" s="41" t="n"/>
      <c r="E348" s="41" t="n"/>
      <c r="F348" s="49" t="n"/>
      <c r="G348" s="41" t="n"/>
      <c r="H348" s="30">
        <f>IF(D348="","",IFERROR(INDEX(Config!$B$12:$B$15,MATCH(IF(AND(D348="Cartão de crédito",N(E348)&gt;1),"Cartão de crédito parcelado",D348),Config!$A$12:$A$15,0)),0)+IF(AND(Config!$B$17="Sim",LEFT(D348,17)="Cartão de crédito"),Config!$B$18*IFERROR(INDEX(Config!$C$12:$C$15,MATCH(IF(AND(D348="Cartão de crédito",N(E348)&gt;1),"Cartão de crédito parcelado",D348),Config!$A$12:$A$15,0)),0)/30*MAX(1,N(E348)),0))</f>
        <v/>
      </c>
      <c r="I348" s="29">
        <f>IF(OR(D348="",F348=""),"",ROUND(F348*H348,2))</f>
        <v/>
      </c>
      <c r="J348" s="29">
        <f>IF(I348="","",F348-I348)</f>
        <v/>
      </c>
      <c r="K348" s="37">
        <f>IF(OR(D348="",A348=""),"",A348+IF(AND(Config!$B$17="Sim",LEFT(D348,17)="Cartão de crédito"),1,IFERROR(INDEX(Config!$C$12:$C$15,MATCH(IF(AND(D348="Cartão de crédito",N(E348)&gt;1),"Cartão de crédito parcelado",D348),Config!$A$12:$A$15,0)),0)))</f>
        <v/>
      </c>
      <c r="L348" s="27">
        <f>IF(A348="","",MONTH(A348))</f>
        <v/>
      </c>
      <c r="M348" s="27">
        <f>IF(A348="","",YEAR(A348))</f>
        <v/>
      </c>
      <c r="N348" s="27">
        <f>IF(K348="","",IF(G348="Sim","Conferido",IF(K348&gt;Config!$B$8,"A cair","A conferir")))</f>
        <v/>
      </c>
      <c r="O348" s="50">
        <f>IF(N348="A conferir",(Config!$B$8-K348)*1000+N(F348)/1000+ROW()/100000,0)</f>
        <v>0</v>
      </c>
    </row>
    <row r="349">
      <c r="A349" s="48" t="n"/>
      <c r="B349" s="40" t="n"/>
      <c r="C349" s="40" t="n"/>
      <c r="D349" s="41" t="n"/>
      <c r="E349" s="41" t="n"/>
      <c r="F349" s="49" t="n"/>
      <c r="G349" s="41" t="n"/>
      <c r="H349" s="30">
        <f>IF(D349="","",IFERROR(INDEX(Config!$B$12:$B$15,MATCH(IF(AND(D349="Cartão de crédito",N(E349)&gt;1),"Cartão de crédito parcelado",D349),Config!$A$12:$A$15,0)),0)+IF(AND(Config!$B$17="Sim",LEFT(D349,17)="Cartão de crédito"),Config!$B$18*IFERROR(INDEX(Config!$C$12:$C$15,MATCH(IF(AND(D349="Cartão de crédito",N(E349)&gt;1),"Cartão de crédito parcelado",D349),Config!$A$12:$A$15,0)),0)/30*MAX(1,N(E349)),0))</f>
        <v/>
      </c>
      <c r="I349" s="29">
        <f>IF(OR(D349="",F349=""),"",ROUND(F349*H349,2))</f>
        <v/>
      </c>
      <c r="J349" s="29">
        <f>IF(I349="","",F349-I349)</f>
        <v/>
      </c>
      <c r="K349" s="37">
        <f>IF(OR(D349="",A349=""),"",A349+IF(AND(Config!$B$17="Sim",LEFT(D349,17)="Cartão de crédito"),1,IFERROR(INDEX(Config!$C$12:$C$15,MATCH(IF(AND(D349="Cartão de crédito",N(E349)&gt;1),"Cartão de crédito parcelado",D349),Config!$A$12:$A$15,0)),0)))</f>
        <v/>
      </c>
      <c r="L349" s="27">
        <f>IF(A349="","",MONTH(A349))</f>
        <v/>
      </c>
      <c r="M349" s="27">
        <f>IF(A349="","",YEAR(A349))</f>
        <v/>
      </c>
      <c r="N349" s="27">
        <f>IF(K349="","",IF(G349="Sim","Conferido",IF(K349&gt;Config!$B$8,"A cair","A conferir")))</f>
        <v/>
      </c>
      <c r="O349" s="50">
        <f>IF(N349="A conferir",(Config!$B$8-K349)*1000+N(F349)/1000+ROW()/100000,0)</f>
        <v>0</v>
      </c>
    </row>
    <row r="350">
      <c r="A350" s="48" t="n"/>
      <c r="B350" s="40" t="n"/>
      <c r="C350" s="40" t="n"/>
      <c r="D350" s="41" t="n"/>
      <c r="E350" s="41" t="n"/>
      <c r="F350" s="49" t="n"/>
      <c r="G350" s="41" t="n"/>
      <c r="H350" s="30">
        <f>IF(D350="","",IFERROR(INDEX(Config!$B$12:$B$15,MATCH(IF(AND(D350="Cartão de crédito",N(E350)&gt;1),"Cartão de crédito parcelado",D350),Config!$A$12:$A$15,0)),0)+IF(AND(Config!$B$17="Sim",LEFT(D350,17)="Cartão de crédito"),Config!$B$18*IFERROR(INDEX(Config!$C$12:$C$15,MATCH(IF(AND(D350="Cartão de crédito",N(E350)&gt;1),"Cartão de crédito parcelado",D350),Config!$A$12:$A$15,0)),0)/30*MAX(1,N(E350)),0))</f>
        <v/>
      </c>
      <c r="I350" s="29">
        <f>IF(OR(D350="",F350=""),"",ROUND(F350*H350,2))</f>
        <v/>
      </c>
      <c r="J350" s="29">
        <f>IF(I350="","",F350-I350)</f>
        <v/>
      </c>
      <c r="K350" s="37">
        <f>IF(OR(D350="",A350=""),"",A350+IF(AND(Config!$B$17="Sim",LEFT(D350,17)="Cartão de crédito"),1,IFERROR(INDEX(Config!$C$12:$C$15,MATCH(IF(AND(D350="Cartão de crédito",N(E350)&gt;1),"Cartão de crédito parcelado",D350),Config!$A$12:$A$15,0)),0)))</f>
        <v/>
      </c>
      <c r="L350" s="27">
        <f>IF(A350="","",MONTH(A350))</f>
        <v/>
      </c>
      <c r="M350" s="27">
        <f>IF(A350="","",YEAR(A350))</f>
        <v/>
      </c>
      <c r="N350" s="27">
        <f>IF(K350="","",IF(G350="Sim","Conferido",IF(K350&gt;Config!$B$8,"A cair","A conferir")))</f>
        <v/>
      </c>
      <c r="O350" s="50">
        <f>IF(N350="A conferir",(Config!$B$8-K350)*1000+N(F350)/1000+ROW()/100000,0)</f>
        <v>0</v>
      </c>
    </row>
    <row r="351">
      <c r="A351" s="48" t="n"/>
      <c r="B351" s="40" t="n"/>
      <c r="C351" s="40" t="n"/>
      <c r="D351" s="41" t="n"/>
      <c r="E351" s="41" t="n"/>
      <c r="F351" s="49" t="n"/>
      <c r="G351" s="41" t="n"/>
      <c r="H351" s="30">
        <f>IF(D351="","",IFERROR(INDEX(Config!$B$12:$B$15,MATCH(IF(AND(D351="Cartão de crédito",N(E351)&gt;1),"Cartão de crédito parcelado",D351),Config!$A$12:$A$15,0)),0)+IF(AND(Config!$B$17="Sim",LEFT(D351,17)="Cartão de crédito"),Config!$B$18*IFERROR(INDEX(Config!$C$12:$C$15,MATCH(IF(AND(D351="Cartão de crédito",N(E351)&gt;1),"Cartão de crédito parcelado",D351),Config!$A$12:$A$15,0)),0)/30*MAX(1,N(E351)),0))</f>
        <v/>
      </c>
      <c r="I351" s="29">
        <f>IF(OR(D351="",F351=""),"",ROUND(F351*H351,2))</f>
        <v/>
      </c>
      <c r="J351" s="29">
        <f>IF(I351="","",F351-I351)</f>
        <v/>
      </c>
      <c r="K351" s="37">
        <f>IF(OR(D351="",A351=""),"",A351+IF(AND(Config!$B$17="Sim",LEFT(D351,17)="Cartão de crédito"),1,IFERROR(INDEX(Config!$C$12:$C$15,MATCH(IF(AND(D351="Cartão de crédito",N(E351)&gt;1),"Cartão de crédito parcelado",D351),Config!$A$12:$A$15,0)),0)))</f>
        <v/>
      </c>
      <c r="L351" s="27">
        <f>IF(A351="","",MONTH(A351))</f>
        <v/>
      </c>
      <c r="M351" s="27">
        <f>IF(A351="","",YEAR(A351))</f>
        <v/>
      </c>
      <c r="N351" s="27">
        <f>IF(K351="","",IF(G351="Sim","Conferido",IF(K351&gt;Config!$B$8,"A cair","A conferir")))</f>
        <v/>
      </c>
      <c r="O351" s="50">
        <f>IF(N351="A conferir",(Config!$B$8-K351)*1000+N(F351)/1000+ROW()/100000,0)</f>
        <v>0</v>
      </c>
    </row>
    <row r="352">
      <c r="A352" s="48" t="n"/>
      <c r="B352" s="40" t="n"/>
      <c r="C352" s="40" t="n"/>
      <c r="D352" s="41" t="n"/>
      <c r="E352" s="41" t="n"/>
      <c r="F352" s="49" t="n"/>
      <c r="G352" s="41" t="n"/>
      <c r="H352" s="30">
        <f>IF(D352="","",IFERROR(INDEX(Config!$B$12:$B$15,MATCH(IF(AND(D352="Cartão de crédito",N(E352)&gt;1),"Cartão de crédito parcelado",D352),Config!$A$12:$A$15,0)),0)+IF(AND(Config!$B$17="Sim",LEFT(D352,17)="Cartão de crédito"),Config!$B$18*IFERROR(INDEX(Config!$C$12:$C$15,MATCH(IF(AND(D352="Cartão de crédito",N(E352)&gt;1),"Cartão de crédito parcelado",D352),Config!$A$12:$A$15,0)),0)/30*MAX(1,N(E352)),0))</f>
        <v/>
      </c>
      <c r="I352" s="29">
        <f>IF(OR(D352="",F352=""),"",ROUND(F352*H352,2))</f>
        <v/>
      </c>
      <c r="J352" s="29">
        <f>IF(I352="","",F352-I352)</f>
        <v/>
      </c>
      <c r="K352" s="37">
        <f>IF(OR(D352="",A352=""),"",A352+IF(AND(Config!$B$17="Sim",LEFT(D352,17)="Cartão de crédito"),1,IFERROR(INDEX(Config!$C$12:$C$15,MATCH(IF(AND(D352="Cartão de crédito",N(E352)&gt;1),"Cartão de crédito parcelado",D352),Config!$A$12:$A$15,0)),0)))</f>
        <v/>
      </c>
      <c r="L352" s="27">
        <f>IF(A352="","",MONTH(A352))</f>
        <v/>
      </c>
      <c r="M352" s="27">
        <f>IF(A352="","",YEAR(A352))</f>
        <v/>
      </c>
      <c r="N352" s="27">
        <f>IF(K352="","",IF(G352="Sim","Conferido",IF(K352&gt;Config!$B$8,"A cair","A conferir")))</f>
        <v/>
      </c>
      <c r="O352" s="50">
        <f>IF(N352="A conferir",(Config!$B$8-K352)*1000+N(F352)/1000+ROW()/100000,0)</f>
        <v>0</v>
      </c>
    </row>
    <row r="353">
      <c r="A353" s="48" t="n"/>
      <c r="B353" s="40" t="n"/>
      <c r="C353" s="40" t="n"/>
      <c r="D353" s="41" t="n"/>
      <c r="E353" s="41" t="n"/>
      <c r="F353" s="49" t="n"/>
      <c r="G353" s="41" t="n"/>
      <c r="H353" s="30">
        <f>IF(D353="","",IFERROR(INDEX(Config!$B$12:$B$15,MATCH(IF(AND(D353="Cartão de crédito",N(E353)&gt;1),"Cartão de crédito parcelado",D353),Config!$A$12:$A$15,0)),0)+IF(AND(Config!$B$17="Sim",LEFT(D353,17)="Cartão de crédito"),Config!$B$18*IFERROR(INDEX(Config!$C$12:$C$15,MATCH(IF(AND(D353="Cartão de crédito",N(E353)&gt;1),"Cartão de crédito parcelado",D353),Config!$A$12:$A$15,0)),0)/30*MAX(1,N(E353)),0))</f>
        <v/>
      </c>
      <c r="I353" s="29">
        <f>IF(OR(D353="",F353=""),"",ROUND(F353*H353,2))</f>
        <v/>
      </c>
      <c r="J353" s="29">
        <f>IF(I353="","",F353-I353)</f>
        <v/>
      </c>
      <c r="K353" s="37">
        <f>IF(OR(D353="",A353=""),"",A353+IF(AND(Config!$B$17="Sim",LEFT(D353,17)="Cartão de crédito"),1,IFERROR(INDEX(Config!$C$12:$C$15,MATCH(IF(AND(D353="Cartão de crédito",N(E353)&gt;1),"Cartão de crédito parcelado",D353),Config!$A$12:$A$15,0)),0)))</f>
        <v/>
      </c>
      <c r="L353" s="27">
        <f>IF(A353="","",MONTH(A353))</f>
        <v/>
      </c>
      <c r="M353" s="27">
        <f>IF(A353="","",YEAR(A353))</f>
        <v/>
      </c>
      <c r="N353" s="27">
        <f>IF(K353="","",IF(G353="Sim","Conferido",IF(K353&gt;Config!$B$8,"A cair","A conferir")))</f>
        <v/>
      </c>
      <c r="O353" s="50">
        <f>IF(N353="A conferir",(Config!$B$8-K353)*1000+N(F353)/1000+ROW()/100000,0)</f>
        <v>0</v>
      </c>
    </row>
    <row r="354">
      <c r="A354" s="48" t="n"/>
      <c r="B354" s="40" t="n"/>
      <c r="C354" s="40" t="n"/>
      <c r="D354" s="41" t="n"/>
      <c r="E354" s="41" t="n"/>
      <c r="F354" s="49" t="n"/>
      <c r="G354" s="41" t="n"/>
      <c r="H354" s="30">
        <f>IF(D354="","",IFERROR(INDEX(Config!$B$12:$B$15,MATCH(IF(AND(D354="Cartão de crédito",N(E354)&gt;1),"Cartão de crédito parcelado",D354),Config!$A$12:$A$15,0)),0)+IF(AND(Config!$B$17="Sim",LEFT(D354,17)="Cartão de crédito"),Config!$B$18*IFERROR(INDEX(Config!$C$12:$C$15,MATCH(IF(AND(D354="Cartão de crédito",N(E354)&gt;1),"Cartão de crédito parcelado",D354),Config!$A$12:$A$15,0)),0)/30*MAX(1,N(E354)),0))</f>
        <v/>
      </c>
      <c r="I354" s="29">
        <f>IF(OR(D354="",F354=""),"",ROUND(F354*H354,2))</f>
        <v/>
      </c>
      <c r="J354" s="29">
        <f>IF(I354="","",F354-I354)</f>
        <v/>
      </c>
      <c r="K354" s="37">
        <f>IF(OR(D354="",A354=""),"",A354+IF(AND(Config!$B$17="Sim",LEFT(D354,17)="Cartão de crédito"),1,IFERROR(INDEX(Config!$C$12:$C$15,MATCH(IF(AND(D354="Cartão de crédito",N(E354)&gt;1),"Cartão de crédito parcelado",D354),Config!$A$12:$A$15,0)),0)))</f>
        <v/>
      </c>
      <c r="L354" s="27">
        <f>IF(A354="","",MONTH(A354))</f>
        <v/>
      </c>
      <c r="M354" s="27">
        <f>IF(A354="","",YEAR(A354))</f>
        <v/>
      </c>
      <c r="N354" s="27">
        <f>IF(K354="","",IF(G354="Sim","Conferido",IF(K354&gt;Config!$B$8,"A cair","A conferir")))</f>
        <v/>
      </c>
      <c r="O354" s="50">
        <f>IF(N354="A conferir",(Config!$B$8-K354)*1000+N(F354)/1000+ROW()/100000,0)</f>
        <v>0</v>
      </c>
    </row>
    <row r="355">
      <c r="A355" s="48" t="n"/>
      <c r="B355" s="40" t="n"/>
      <c r="C355" s="40" t="n"/>
      <c r="D355" s="41" t="n"/>
      <c r="E355" s="41" t="n"/>
      <c r="F355" s="49" t="n"/>
      <c r="G355" s="41" t="n"/>
      <c r="H355" s="30">
        <f>IF(D355="","",IFERROR(INDEX(Config!$B$12:$B$15,MATCH(IF(AND(D355="Cartão de crédito",N(E355)&gt;1),"Cartão de crédito parcelado",D355),Config!$A$12:$A$15,0)),0)+IF(AND(Config!$B$17="Sim",LEFT(D355,17)="Cartão de crédito"),Config!$B$18*IFERROR(INDEX(Config!$C$12:$C$15,MATCH(IF(AND(D355="Cartão de crédito",N(E355)&gt;1),"Cartão de crédito parcelado",D355),Config!$A$12:$A$15,0)),0)/30*MAX(1,N(E355)),0))</f>
        <v/>
      </c>
      <c r="I355" s="29">
        <f>IF(OR(D355="",F355=""),"",ROUND(F355*H355,2))</f>
        <v/>
      </c>
      <c r="J355" s="29">
        <f>IF(I355="","",F355-I355)</f>
        <v/>
      </c>
      <c r="K355" s="37">
        <f>IF(OR(D355="",A355=""),"",A355+IF(AND(Config!$B$17="Sim",LEFT(D355,17)="Cartão de crédito"),1,IFERROR(INDEX(Config!$C$12:$C$15,MATCH(IF(AND(D355="Cartão de crédito",N(E355)&gt;1),"Cartão de crédito parcelado",D355),Config!$A$12:$A$15,0)),0)))</f>
        <v/>
      </c>
      <c r="L355" s="27">
        <f>IF(A355="","",MONTH(A355))</f>
        <v/>
      </c>
      <c r="M355" s="27">
        <f>IF(A355="","",YEAR(A355))</f>
        <v/>
      </c>
      <c r="N355" s="27">
        <f>IF(K355="","",IF(G355="Sim","Conferido",IF(K355&gt;Config!$B$8,"A cair","A conferir")))</f>
        <v/>
      </c>
      <c r="O355" s="50">
        <f>IF(N355="A conferir",(Config!$B$8-K355)*1000+N(F355)/1000+ROW()/100000,0)</f>
        <v>0</v>
      </c>
    </row>
    <row r="356">
      <c r="A356" s="48" t="n"/>
      <c r="B356" s="40" t="n"/>
      <c r="C356" s="40" t="n"/>
      <c r="D356" s="41" t="n"/>
      <c r="E356" s="41" t="n"/>
      <c r="F356" s="49" t="n"/>
      <c r="G356" s="41" t="n"/>
      <c r="H356" s="30">
        <f>IF(D356="","",IFERROR(INDEX(Config!$B$12:$B$15,MATCH(IF(AND(D356="Cartão de crédito",N(E356)&gt;1),"Cartão de crédito parcelado",D356),Config!$A$12:$A$15,0)),0)+IF(AND(Config!$B$17="Sim",LEFT(D356,17)="Cartão de crédito"),Config!$B$18*IFERROR(INDEX(Config!$C$12:$C$15,MATCH(IF(AND(D356="Cartão de crédito",N(E356)&gt;1),"Cartão de crédito parcelado",D356),Config!$A$12:$A$15,0)),0)/30*MAX(1,N(E356)),0))</f>
        <v/>
      </c>
      <c r="I356" s="29">
        <f>IF(OR(D356="",F356=""),"",ROUND(F356*H356,2))</f>
        <v/>
      </c>
      <c r="J356" s="29">
        <f>IF(I356="","",F356-I356)</f>
        <v/>
      </c>
      <c r="K356" s="37">
        <f>IF(OR(D356="",A356=""),"",A356+IF(AND(Config!$B$17="Sim",LEFT(D356,17)="Cartão de crédito"),1,IFERROR(INDEX(Config!$C$12:$C$15,MATCH(IF(AND(D356="Cartão de crédito",N(E356)&gt;1),"Cartão de crédito parcelado",D356),Config!$A$12:$A$15,0)),0)))</f>
        <v/>
      </c>
      <c r="L356" s="27">
        <f>IF(A356="","",MONTH(A356))</f>
        <v/>
      </c>
      <c r="M356" s="27">
        <f>IF(A356="","",YEAR(A356))</f>
        <v/>
      </c>
      <c r="N356" s="27">
        <f>IF(K356="","",IF(G356="Sim","Conferido",IF(K356&gt;Config!$B$8,"A cair","A conferir")))</f>
        <v/>
      </c>
      <c r="O356" s="50">
        <f>IF(N356="A conferir",(Config!$B$8-K356)*1000+N(F356)/1000+ROW()/100000,0)</f>
        <v>0</v>
      </c>
    </row>
    <row r="357">
      <c r="A357" s="48" t="n"/>
      <c r="B357" s="40" t="n"/>
      <c r="C357" s="40" t="n"/>
      <c r="D357" s="41" t="n"/>
      <c r="E357" s="41" t="n"/>
      <c r="F357" s="49" t="n"/>
      <c r="G357" s="41" t="n"/>
      <c r="H357" s="30">
        <f>IF(D357="","",IFERROR(INDEX(Config!$B$12:$B$15,MATCH(IF(AND(D357="Cartão de crédito",N(E357)&gt;1),"Cartão de crédito parcelado",D357),Config!$A$12:$A$15,0)),0)+IF(AND(Config!$B$17="Sim",LEFT(D357,17)="Cartão de crédito"),Config!$B$18*IFERROR(INDEX(Config!$C$12:$C$15,MATCH(IF(AND(D357="Cartão de crédito",N(E357)&gt;1),"Cartão de crédito parcelado",D357),Config!$A$12:$A$15,0)),0)/30*MAX(1,N(E357)),0))</f>
        <v/>
      </c>
      <c r="I357" s="29">
        <f>IF(OR(D357="",F357=""),"",ROUND(F357*H357,2))</f>
        <v/>
      </c>
      <c r="J357" s="29">
        <f>IF(I357="","",F357-I357)</f>
        <v/>
      </c>
      <c r="K357" s="37">
        <f>IF(OR(D357="",A357=""),"",A357+IF(AND(Config!$B$17="Sim",LEFT(D357,17)="Cartão de crédito"),1,IFERROR(INDEX(Config!$C$12:$C$15,MATCH(IF(AND(D357="Cartão de crédito",N(E357)&gt;1),"Cartão de crédito parcelado",D357),Config!$A$12:$A$15,0)),0)))</f>
        <v/>
      </c>
      <c r="L357" s="27">
        <f>IF(A357="","",MONTH(A357))</f>
        <v/>
      </c>
      <c r="M357" s="27">
        <f>IF(A357="","",YEAR(A357))</f>
        <v/>
      </c>
      <c r="N357" s="27">
        <f>IF(K357="","",IF(G357="Sim","Conferido",IF(K357&gt;Config!$B$8,"A cair","A conferir")))</f>
        <v/>
      </c>
      <c r="O357" s="50">
        <f>IF(N357="A conferir",(Config!$B$8-K357)*1000+N(F357)/1000+ROW()/100000,0)</f>
        <v>0</v>
      </c>
    </row>
    <row r="358">
      <c r="A358" s="48" t="n"/>
      <c r="B358" s="40" t="n"/>
      <c r="C358" s="40" t="n"/>
      <c r="D358" s="41" t="n"/>
      <c r="E358" s="41" t="n"/>
      <c r="F358" s="49" t="n"/>
      <c r="G358" s="41" t="n"/>
      <c r="H358" s="30">
        <f>IF(D358="","",IFERROR(INDEX(Config!$B$12:$B$15,MATCH(IF(AND(D358="Cartão de crédito",N(E358)&gt;1),"Cartão de crédito parcelado",D358),Config!$A$12:$A$15,0)),0)+IF(AND(Config!$B$17="Sim",LEFT(D358,17)="Cartão de crédito"),Config!$B$18*IFERROR(INDEX(Config!$C$12:$C$15,MATCH(IF(AND(D358="Cartão de crédito",N(E358)&gt;1),"Cartão de crédito parcelado",D358),Config!$A$12:$A$15,0)),0)/30*MAX(1,N(E358)),0))</f>
        <v/>
      </c>
      <c r="I358" s="29">
        <f>IF(OR(D358="",F358=""),"",ROUND(F358*H358,2))</f>
        <v/>
      </c>
      <c r="J358" s="29">
        <f>IF(I358="","",F358-I358)</f>
        <v/>
      </c>
      <c r="K358" s="37">
        <f>IF(OR(D358="",A358=""),"",A358+IF(AND(Config!$B$17="Sim",LEFT(D358,17)="Cartão de crédito"),1,IFERROR(INDEX(Config!$C$12:$C$15,MATCH(IF(AND(D358="Cartão de crédito",N(E358)&gt;1),"Cartão de crédito parcelado",D358),Config!$A$12:$A$15,0)),0)))</f>
        <v/>
      </c>
      <c r="L358" s="27">
        <f>IF(A358="","",MONTH(A358))</f>
        <v/>
      </c>
      <c r="M358" s="27">
        <f>IF(A358="","",YEAR(A358))</f>
        <v/>
      </c>
      <c r="N358" s="27">
        <f>IF(K358="","",IF(G358="Sim","Conferido",IF(K358&gt;Config!$B$8,"A cair","A conferir")))</f>
        <v/>
      </c>
      <c r="O358" s="50">
        <f>IF(N358="A conferir",(Config!$B$8-K358)*1000+N(F358)/1000+ROW()/100000,0)</f>
        <v>0</v>
      </c>
    </row>
    <row r="359">
      <c r="A359" s="48" t="n"/>
      <c r="B359" s="40" t="n"/>
      <c r="C359" s="40" t="n"/>
      <c r="D359" s="41" t="n"/>
      <c r="E359" s="41" t="n"/>
      <c r="F359" s="49" t="n"/>
      <c r="G359" s="41" t="n"/>
      <c r="H359" s="30">
        <f>IF(D359="","",IFERROR(INDEX(Config!$B$12:$B$15,MATCH(IF(AND(D359="Cartão de crédito",N(E359)&gt;1),"Cartão de crédito parcelado",D359),Config!$A$12:$A$15,0)),0)+IF(AND(Config!$B$17="Sim",LEFT(D359,17)="Cartão de crédito"),Config!$B$18*IFERROR(INDEX(Config!$C$12:$C$15,MATCH(IF(AND(D359="Cartão de crédito",N(E359)&gt;1),"Cartão de crédito parcelado",D359),Config!$A$12:$A$15,0)),0)/30*MAX(1,N(E359)),0))</f>
        <v/>
      </c>
      <c r="I359" s="29">
        <f>IF(OR(D359="",F359=""),"",ROUND(F359*H359,2))</f>
        <v/>
      </c>
      <c r="J359" s="29">
        <f>IF(I359="","",F359-I359)</f>
        <v/>
      </c>
      <c r="K359" s="37">
        <f>IF(OR(D359="",A359=""),"",A359+IF(AND(Config!$B$17="Sim",LEFT(D359,17)="Cartão de crédito"),1,IFERROR(INDEX(Config!$C$12:$C$15,MATCH(IF(AND(D359="Cartão de crédito",N(E359)&gt;1),"Cartão de crédito parcelado",D359),Config!$A$12:$A$15,0)),0)))</f>
        <v/>
      </c>
      <c r="L359" s="27">
        <f>IF(A359="","",MONTH(A359))</f>
        <v/>
      </c>
      <c r="M359" s="27">
        <f>IF(A359="","",YEAR(A359))</f>
        <v/>
      </c>
      <c r="N359" s="27">
        <f>IF(K359="","",IF(G359="Sim","Conferido",IF(K359&gt;Config!$B$8,"A cair","A conferir")))</f>
        <v/>
      </c>
      <c r="O359" s="50">
        <f>IF(N359="A conferir",(Config!$B$8-K359)*1000+N(F359)/1000+ROW()/100000,0)</f>
        <v>0</v>
      </c>
    </row>
    <row r="360">
      <c r="A360" s="48" t="n"/>
      <c r="B360" s="40" t="n"/>
      <c r="C360" s="40" t="n"/>
      <c r="D360" s="41" t="n"/>
      <c r="E360" s="41" t="n"/>
      <c r="F360" s="49" t="n"/>
      <c r="G360" s="41" t="n"/>
      <c r="H360" s="30">
        <f>IF(D360="","",IFERROR(INDEX(Config!$B$12:$B$15,MATCH(IF(AND(D360="Cartão de crédito",N(E360)&gt;1),"Cartão de crédito parcelado",D360),Config!$A$12:$A$15,0)),0)+IF(AND(Config!$B$17="Sim",LEFT(D360,17)="Cartão de crédito"),Config!$B$18*IFERROR(INDEX(Config!$C$12:$C$15,MATCH(IF(AND(D360="Cartão de crédito",N(E360)&gt;1),"Cartão de crédito parcelado",D360),Config!$A$12:$A$15,0)),0)/30*MAX(1,N(E360)),0))</f>
        <v/>
      </c>
      <c r="I360" s="29">
        <f>IF(OR(D360="",F360=""),"",ROUND(F360*H360,2))</f>
        <v/>
      </c>
      <c r="J360" s="29">
        <f>IF(I360="","",F360-I360)</f>
        <v/>
      </c>
      <c r="K360" s="37">
        <f>IF(OR(D360="",A360=""),"",A360+IF(AND(Config!$B$17="Sim",LEFT(D360,17)="Cartão de crédito"),1,IFERROR(INDEX(Config!$C$12:$C$15,MATCH(IF(AND(D360="Cartão de crédito",N(E360)&gt;1),"Cartão de crédito parcelado",D360),Config!$A$12:$A$15,0)),0)))</f>
        <v/>
      </c>
      <c r="L360" s="27">
        <f>IF(A360="","",MONTH(A360))</f>
        <v/>
      </c>
      <c r="M360" s="27">
        <f>IF(A360="","",YEAR(A360))</f>
        <v/>
      </c>
      <c r="N360" s="27">
        <f>IF(K360="","",IF(G360="Sim","Conferido",IF(K360&gt;Config!$B$8,"A cair","A conferir")))</f>
        <v/>
      </c>
      <c r="O360" s="50">
        <f>IF(N360="A conferir",(Config!$B$8-K360)*1000+N(F360)/1000+ROW()/100000,0)</f>
        <v>0</v>
      </c>
    </row>
    <row r="361">
      <c r="A361" s="48" t="n"/>
      <c r="B361" s="40" t="n"/>
      <c r="C361" s="40" t="n"/>
      <c r="D361" s="41" t="n"/>
      <c r="E361" s="41" t="n"/>
      <c r="F361" s="49" t="n"/>
      <c r="G361" s="41" t="n"/>
      <c r="H361" s="30">
        <f>IF(D361="","",IFERROR(INDEX(Config!$B$12:$B$15,MATCH(IF(AND(D361="Cartão de crédito",N(E361)&gt;1),"Cartão de crédito parcelado",D361),Config!$A$12:$A$15,0)),0)+IF(AND(Config!$B$17="Sim",LEFT(D361,17)="Cartão de crédito"),Config!$B$18*IFERROR(INDEX(Config!$C$12:$C$15,MATCH(IF(AND(D361="Cartão de crédito",N(E361)&gt;1),"Cartão de crédito parcelado",D361),Config!$A$12:$A$15,0)),0)/30*MAX(1,N(E361)),0))</f>
        <v/>
      </c>
      <c r="I361" s="29">
        <f>IF(OR(D361="",F361=""),"",ROUND(F361*H361,2))</f>
        <v/>
      </c>
      <c r="J361" s="29">
        <f>IF(I361="","",F361-I361)</f>
        <v/>
      </c>
      <c r="K361" s="37">
        <f>IF(OR(D361="",A361=""),"",A361+IF(AND(Config!$B$17="Sim",LEFT(D361,17)="Cartão de crédito"),1,IFERROR(INDEX(Config!$C$12:$C$15,MATCH(IF(AND(D361="Cartão de crédito",N(E361)&gt;1),"Cartão de crédito parcelado",D361),Config!$A$12:$A$15,0)),0)))</f>
        <v/>
      </c>
      <c r="L361" s="27">
        <f>IF(A361="","",MONTH(A361))</f>
        <v/>
      </c>
      <c r="M361" s="27">
        <f>IF(A361="","",YEAR(A361))</f>
        <v/>
      </c>
      <c r="N361" s="27">
        <f>IF(K361="","",IF(G361="Sim","Conferido",IF(K361&gt;Config!$B$8,"A cair","A conferir")))</f>
        <v/>
      </c>
      <c r="O361" s="50">
        <f>IF(N361="A conferir",(Config!$B$8-K361)*1000+N(F361)/1000+ROW()/100000,0)</f>
        <v>0</v>
      </c>
    </row>
    <row r="362">
      <c r="A362" s="48" t="n"/>
      <c r="B362" s="40" t="n"/>
      <c r="C362" s="40" t="n"/>
      <c r="D362" s="41" t="n"/>
      <c r="E362" s="41" t="n"/>
      <c r="F362" s="49" t="n"/>
      <c r="G362" s="41" t="n"/>
      <c r="H362" s="30">
        <f>IF(D362="","",IFERROR(INDEX(Config!$B$12:$B$15,MATCH(IF(AND(D362="Cartão de crédito",N(E362)&gt;1),"Cartão de crédito parcelado",D362),Config!$A$12:$A$15,0)),0)+IF(AND(Config!$B$17="Sim",LEFT(D362,17)="Cartão de crédito"),Config!$B$18*IFERROR(INDEX(Config!$C$12:$C$15,MATCH(IF(AND(D362="Cartão de crédito",N(E362)&gt;1),"Cartão de crédito parcelado",D362),Config!$A$12:$A$15,0)),0)/30*MAX(1,N(E362)),0))</f>
        <v/>
      </c>
      <c r="I362" s="29">
        <f>IF(OR(D362="",F362=""),"",ROUND(F362*H362,2))</f>
        <v/>
      </c>
      <c r="J362" s="29">
        <f>IF(I362="","",F362-I362)</f>
        <v/>
      </c>
      <c r="K362" s="37">
        <f>IF(OR(D362="",A362=""),"",A362+IF(AND(Config!$B$17="Sim",LEFT(D362,17)="Cartão de crédito"),1,IFERROR(INDEX(Config!$C$12:$C$15,MATCH(IF(AND(D362="Cartão de crédito",N(E362)&gt;1),"Cartão de crédito parcelado",D362),Config!$A$12:$A$15,0)),0)))</f>
        <v/>
      </c>
      <c r="L362" s="27">
        <f>IF(A362="","",MONTH(A362))</f>
        <v/>
      </c>
      <c r="M362" s="27">
        <f>IF(A362="","",YEAR(A362))</f>
        <v/>
      </c>
      <c r="N362" s="27">
        <f>IF(K362="","",IF(G362="Sim","Conferido",IF(K362&gt;Config!$B$8,"A cair","A conferir")))</f>
        <v/>
      </c>
      <c r="O362" s="50">
        <f>IF(N362="A conferir",(Config!$B$8-K362)*1000+N(F362)/1000+ROW()/100000,0)</f>
        <v>0</v>
      </c>
    </row>
    <row r="363">
      <c r="A363" s="48" t="n"/>
      <c r="B363" s="40" t="n"/>
      <c r="C363" s="40" t="n"/>
      <c r="D363" s="41" t="n"/>
      <c r="E363" s="41" t="n"/>
      <c r="F363" s="49" t="n"/>
      <c r="G363" s="41" t="n"/>
      <c r="H363" s="30">
        <f>IF(D363="","",IFERROR(INDEX(Config!$B$12:$B$15,MATCH(IF(AND(D363="Cartão de crédito",N(E363)&gt;1),"Cartão de crédito parcelado",D363),Config!$A$12:$A$15,0)),0)+IF(AND(Config!$B$17="Sim",LEFT(D363,17)="Cartão de crédito"),Config!$B$18*IFERROR(INDEX(Config!$C$12:$C$15,MATCH(IF(AND(D363="Cartão de crédito",N(E363)&gt;1),"Cartão de crédito parcelado",D363),Config!$A$12:$A$15,0)),0)/30*MAX(1,N(E363)),0))</f>
        <v/>
      </c>
      <c r="I363" s="29">
        <f>IF(OR(D363="",F363=""),"",ROUND(F363*H363,2))</f>
        <v/>
      </c>
      <c r="J363" s="29">
        <f>IF(I363="","",F363-I363)</f>
        <v/>
      </c>
      <c r="K363" s="37">
        <f>IF(OR(D363="",A363=""),"",A363+IF(AND(Config!$B$17="Sim",LEFT(D363,17)="Cartão de crédito"),1,IFERROR(INDEX(Config!$C$12:$C$15,MATCH(IF(AND(D363="Cartão de crédito",N(E363)&gt;1),"Cartão de crédito parcelado",D363),Config!$A$12:$A$15,0)),0)))</f>
        <v/>
      </c>
      <c r="L363" s="27">
        <f>IF(A363="","",MONTH(A363))</f>
        <v/>
      </c>
      <c r="M363" s="27">
        <f>IF(A363="","",YEAR(A363))</f>
        <v/>
      </c>
      <c r="N363" s="27">
        <f>IF(K363="","",IF(G363="Sim","Conferido",IF(K363&gt;Config!$B$8,"A cair","A conferir")))</f>
        <v/>
      </c>
      <c r="O363" s="50">
        <f>IF(N363="A conferir",(Config!$B$8-K363)*1000+N(F363)/1000+ROW()/100000,0)</f>
        <v>0</v>
      </c>
    </row>
    <row r="364">
      <c r="A364" s="48" t="n"/>
      <c r="B364" s="40" t="n"/>
      <c r="C364" s="40" t="n"/>
      <c r="D364" s="41" t="n"/>
      <c r="E364" s="41" t="n"/>
      <c r="F364" s="49" t="n"/>
      <c r="G364" s="41" t="n"/>
      <c r="H364" s="30">
        <f>IF(D364="","",IFERROR(INDEX(Config!$B$12:$B$15,MATCH(IF(AND(D364="Cartão de crédito",N(E364)&gt;1),"Cartão de crédito parcelado",D364),Config!$A$12:$A$15,0)),0)+IF(AND(Config!$B$17="Sim",LEFT(D364,17)="Cartão de crédito"),Config!$B$18*IFERROR(INDEX(Config!$C$12:$C$15,MATCH(IF(AND(D364="Cartão de crédito",N(E364)&gt;1),"Cartão de crédito parcelado",D364),Config!$A$12:$A$15,0)),0)/30*MAX(1,N(E364)),0))</f>
        <v/>
      </c>
      <c r="I364" s="29">
        <f>IF(OR(D364="",F364=""),"",ROUND(F364*H364,2))</f>
        <v/>
      </c>
      <c r="J364" s="29">
        <f>IF(I364="","",F364-I364)</f>
        <v/>
      </c>
      <c r="K364" s="37">
        <f>IF(OR(D364="",A364=""),"",A364+IF(AND(Config!$B$17="Sim",LEFT(D364,17)="Cartão de crédito"),1,IFERROR(INDEX(Config!$C$12:$C$15,MATCH(IF(AND(D364="Cartão de crédito",N(E364)&gt;1),"Cartão de crédito parcelado",D364),Config!$A$12:$A$15,0)),0)))</f>
        <v/>
      </c>
      <c r="L364" s="27">
        <f>IF(A364="","",MONTH(A364))</f>
        <v/>
      </c>
      <c r="M364" s="27">
        <f>IF(A364="","",YEAR(A364))</f>
        <v/>
      </c>
      <c r="N364" s="27">
        <f>IF(K364="","",IF(G364="Sim","Conferido",IF(K364&gt;Config!$B$8,"A cair","A conferir")))</f>
        <v/>
      </c>
      <c r="O364" s="50">
        <f>IF(N364="A conferir",(Config!$B$8-K364)*1000+N(F364)/1000+ROW()/100000,0)</f>
        <v>0</v>
      </c>
    </row>
    <row r="365">
      <c r="A365" s="48" t="n"/>
      <c r="B365" s="40" t="n"/>
      <c r="C365" s="40" t="n"/>
      <c r="D365" s="41" t="n"/>
      <c r="E365" s="41" t="n"/>
      <c r="F365" s="49" t="n"/>
      <c r="G365" s="41" t="n"/>
      <c r="H365" s="30">
        <f>IF(D365="","",IFERROR(INDEX(Config!$B$12:$B$15,MATCH(IF(AND(D365="Cartão de crédito",N(E365)&gt;1),"Cartão de crédito parcelado",D365),Config!$A$12:$A$15,0)),0)+IF(AND(Config!$B$17="Sim",LEFT(D365,17)="Cartão de crédito"),Config!$B$18*IFERROR(INDEX(Config!$C$12:$C$15,MATCH(IF(AND(D365="Cartão de crédito",N(E365)&gt;1),"Cartão de crédito parcelado",D365),Config!$A$12:$A$15,0)),0)/30*MAX(1,N(E365)),0))</f>
        <v/>
      </c>
      <c r="I365" s="29">
        <f>IF(OR(D365="",F365=""),"",ROUND(F365*H365,2))</f>
        <v/>
      </c>
      <c r="J365" s="29">
        <f>IF(I365="","",F365-I365)</f>
        <v/>
      </c>
      <c r="K365" s="37">
        <f>IF(OR(D365="",A365=""),"",A365+IF(AND(Config!$B$17="Sim",LEFT(D365,17)="Cartão de crédito"),1,IFERROR(INDEX(Config!$C$12:$C$15,MATCH(IF(AND(D365="Cartão de crédito",N(E365)&gt;1),"Cartão de crédito parcelado",D365),Config!$A$12:$A$15,0)),0)))</f>
        <v/>
      </c>
      <c r="L365" s="27">
        <f>IF(A365="","",MONTH(A365))</f>
        <v/>
      </c>
      <c r="M365" s="27">
        <f>IF(A365="","",YEAR(A365))</f>
        <v/>
      </c>
      <c r="N365" s="27">
        <f>IF(K365="","",IF(G365="Sim","Conferido",IF(K365&gt;Config!$B$8,"A cair","A conferir")))</f>
        <v/>
      </c>
      <c r="O365" s="50">
        <f>IF(N365="A conferir",(Config!$B$8-K365)*1000+N(F365)/1000+ROW()/100000,0)</f>
        <v>0</v>
      </c>
    </row>
    <row r="366">
      <c r="A366" s="48" t="n"/>
      <c r="B366" s="40" t="n"/>
      <c r="C366" s="40" t="n"/>
      <c r="D366" s="41" t="n"/>
      <c r="E366" s="41" t="n"/>
      <c r="F366" s="49" t="n"/>
      <c r="G366" s="41" t="n"/>
      <c r="H366" s="30">
        <f>IF(D366="","",IFERROR(INDEX(Config!$B$12:$B$15,MATCH(IF(AND(D366="Cartão de crédito",N(E366)&gt;1),"Cartão de crédito parcelado",D366),Config!$A$12:$A$15,0)),0)+IF(AND(Config!$B$17="Sim",LEFT(D366,17)="Cartão de crédito"),Config!$B$18*IFERROR(INDEX(Config!$C$12:$C$15,MATCH(IF(AND(D366="Cartão de crédito",N(E366)&gt;1),"Cartão de crédito parcelado",D366),Config!$A$12:$A$15,0)),0)/30*MAX(1,N(E366)),0))</f>
        <v/>
      </c>
      <c r="I366" s="29">
        <f>IF(OR(D366="",F366=""),"",ROUND(F366*H366,2))</f>
        <v/>
      </c>
      <c r="J366" s="29">
        <f>IF(I366="","",F366-I366)</f>
        <v/>
      </c>
      <c r="K366" s="37">
        <f>IF(OR(D366="",A366=""),"",A366+IF(AND(Config!$B$17="Sim",LEFT(D366,17)="Cartão de crédito"),1,IFERROR(INDEX(Config!$C$12:$C$15,MATCH(IF(AND(D366="Cartão de crédito",N(E366)&gt;1),"Cartão de crédito parcelado",D366),Config!$A$12:$A$15,0)),0)))</f>
        <v/>
      </c>
      <c r="L366" s="27">
        <f>IF(A366="","",MONTH(A366))</f>
        <v/>
      </c>
      <c r="M366" s="27">
        <f>IF(A366="","",YEAR(A366))</f>
        <v/>
      </c>
      <c r="N366" s="27">
        <f>IF(K366="","",IF(G366="Sim","Conferido",IF(K366&gt;Config!$B$8,"A cair","A conferir")))</f>
        <v/>
      </c>
      <c r="O366" s="50">
        <f>IF(N366="A conferir",(Config!$B$8-K366)*1000+N(F366)/1000+ROW()/100000,0)</f>
        <v>0</v>
      </c>
    </row>
    <row r="367">
      <c r="A367" s="48" t="n"/>
      <c r="B367" s="40" t="n"/>
      <c r="C367" s="40" t="n"/>
      <c r="D367" s="41" t="n"/>
      <c r="E367" s="41" t="n"/>
      <c r="F367" s="49" t="n"/>
      <c r="G367" s="41" t="n"/>
      <c r="H367" s="30">
        <f>IF(D367="","",IFERROR(INDEX(Config!$B$12:$B$15,MATCH(IF(AND(D367="Cartão de crédito",N(E367)&gt;1),"Cartão de crédito parcelado",D367),Config!$A$12:$A$15,0)),0)+IF(AND(Config!$B$17="Sim",LEFT(D367,17)="Cartão de crédito"),Config!$B$18*IFERROR(INDEX(Config!$C$12:$C$15,MATCH(IF(AND(D367="Cartão de crédito",N(E367)&gt;1),"Cartão de crédito parcelado",D367),Config!$A$12:$A$15,0)),0)/30*MAX(1,N(E367)),0))</f>
        <v/>
      </c>
      <c r="I367" s="29">
        <f>IF(OR(D367="",F367=""),"",ROUND(F367*H367,2))</f>
        <v/>
      </c>
      <c r="J367" s="29">
        <f>IF(I367="","",F367-I367)</f>
        <v/>
      </c>
      <c r="K367" s="37">
        <f>IF(OR(D367="",A367=""),"",A367+IF(AND(Config!$B$17="Sim",LEFT(D367,17)="Cartão de crédito"),1,IFERROR(INDEX(Config!$C$12:$C$15,MATCH(IF(AND(D367="Cartão de crédito",N(E367)&gt;1),"Cartão de crédito parcelado",D367),Config!$A$12:$A$15,0)),0)))</f>
        <v/>
      </c>
      <c r="L367" s="27">
        <f>IF(A367="","",MONTH(A367))</f>
        <v/>
      </c>
      <c r="M367" s="27">
        <f>IF(A367="","",YEAR(A367))</f>
        <v/>
      </c>
      <c r="N367" s="27">
        <f>IF(K367="","",IF(G367="Sim","Conferido",IF(K367&gt;Config!$B$8,"A cair","A conferir")))</f>
        <v/>
      </c>
      <c r="O367" s="50">
        <f>IF(N367="A conferir",(Config!$B$8-K367)*1000+N(F367)/1000+ROW()/100000,0)</f>
        <v>0</v>
      </c>
    </row>
    <row r="368">
      <c r="A368" s="48" t="n"/>
      <c r="B368" s="40" t="n"/>
      <c r="C368" s="40" t="n"/>
      <c r="D368" s="41" t="n"/>
      <c r="E368" s="41" t="n"/>
      <c r="F368" s="49" t="n"/>
      <c r="G368" s="41" t="n"/>
      <c r="H368" s="30">
        <f>IF(D368="","",IFERROR(INDEX(Config!$B$12:$B$15,MATCH(IF(AND(D368="Cartão de crédito",N(E368)&gt;1),"Cartão de crédito parcelado",D368),Config!$A$12:$A$15,0)),0)+IF(AND(Config!$B$17="Sim",LEFT(D368,17)="Cartão de crédito"),Config!$B$18*IFERROR(INDEX(Config!$C$12:$C$15,MATCH(IF(AND(D368="Cartão de crédito",N(E368)&gt;1),"Cartão de crédito parcelado",D368),Config!$A$12:$A$15,0)),0)/30*MAX(1,N(E368)),0))</f>
        <v/>
      </c>
      <c r="I368" s="29">
        <f>IF(OR(D368="",F368=""),"",ROUND(F368*H368,2))</f>
        <v/>
      </c>
      <c r="J368" s="29">
        <f>IF(I368="","",F368-I368)</f>
        <v/>
      </c>
      <c r="K368" s="37">
        <f>IF(OR(D368="",A368=""),"",A368+IF(AND(Config!$B$17="Sim",LEFT(D368,17)="Cartão de crédito"),1,IFERROR(INDEX(Config!$C$12:$C$15,MATCH(IF(AND(D368="Cartão de crédito",N(E368)&gt;1),"Cartão de crédito parcelado",D368),Config!$A$12:$A$15,0)),0)))</f>
        <v/>
      </c>
      <c r="L368" s="27">
        <f>IF(A368="","",MONTH(A368))</f>
        <v/>
      </c>
      <c r="M368" s="27">
        <f>IF(A368="","",YEAR(A368))</f>
        <v/>
      </c>
      <c r="N368" s="27">
        <f>IF(K368="","",IF(G368="Sim","Conferido",IF(K368&gt;Config!$B$8,"A cair","A conferir")))</f>
        <v/>
      </c>
      <c r="O368" s="50">
        <f>IF(N368="A conferir",(Config!$B$8-K368)*1000+N(F368)/1000+ROW()/100000,0)</f>
        <v>0</v>
      </c>
    </row>
    <row r="369">
      <c r="A369" s="48" t="n"/>
      <c r="B369" s="40" t="n"/>
      <c r="C369" s="40" t="n"/>
      <c r="D369" s="41" t="n"/>
      <c r="E369" s="41" t="n"/>
      <c r="F369" s="49" t="n"/>
      <c r="G369" s="41" t="n"/>
      <c r="H369" s="30">
        <f>IF(D369="","",IFERROR(INDEX(Config!$B$12:$B$15,MATCH(IF(AND(D369="Cartão de crédito",N(E369)&gt;1),"Cartão de crédito parcelado",D369),Config!$A$12:$A$15,0)),0)+IF(AND(Config!$B$17="Sim",LEFT(D369,17)="Cartão de crédito"),Config!$B$18*IFERROR(INDEX(Config!$C$12:$C$15,MATCH(IF(AND(D369="Cartão de crédito",N(E369)&gt;1),"Cartão de crédito parcelado",D369),Config!$A$12:$A$15,0)),0)/30*MAX(1,N(E369)),0))</f>
        <v/>
      </c>
      <c r="I369" s="29">
        <f>IF(OR(D369="",F369=""),"",ROUND(F369*H369,2))</f>
        <v/>
      </c>
      <c r="J369" s="29">
        <f>IF(I369="","",F369-I369)</f>
        <v/>
      </c>
      <c r="K369" s="37">
        <f>IF(OR(D369="",A369=""),"",A369+IF(AND(Config!$B$17="Sim",LEFT(D369,17)="Cartão de crédito"),1,IFERROR(INDEX(Config!$C$12:$C$15,MATCH(IF(AND(D369="Cartão de crédito",N(E369)&gt;1),"Cartão de crédito parcelado",D369),Config!$A$12:$A$15,0)),0)))</f>
        <v/>
      </c>
      <c r="L369" s="27">
        <f>IF(A369="","",MONTH(A369))</f>
        <v/>
      </c>
      <c r="M369" s="27">
        <f>IF(A369="","",YEAR(A369))</f>
        <v/>
      </c>
      <c r="N369" s="27">
        <f>IF(K369="","",IF(G369="Sim","Conferido",IF(K369&gt;Config!$B$8,"A cair","A conferir")))</f>
        <v/>
      </c>
      <c r="O369" s="50">
        <f>IF(N369="A conferir",(Config!$B$8-K369)*1000+N(F369)/1000+ROW()/100000,0)</f>
        <v>0</v>
      </c>
    </row>
    <row r="370">
      <c r="A370" s="48" t="n"/>
      <c r="B370" s="40" t="n"/>
      <c r="C370" s="40" t="n"/>
      <c r="D370" s="41" t="n"/>
      <c r="E370" s="41" t="n"/>
      <c r="F370" s="49" t="n"/>
      <c r="G370" s="41" t="n"/>
      <c r="H370" s="30">
        <f>IF(D370="","",IFERROR(INDEX(Config!$B$12:$B$15,MATCH(IF(AND(D370="Cartão de crédito",N(E370)&gt;1),"Cartão de crédito parcelado",D370),Config!$A$12:$A$15,0)),0)+IF(AND(Config!$B$17="Sim",LEFT(D370,17)="Cartão de crédito"),Config!$B$18*IFERROR(INDEX(Config!$C$12:$C$15,MATCH(IF(AND(D370="Cartão de crédito",N(E370)&gt;1),"Cartão de crédito parcelado",D370),Config!$A$12:$A$15,0)),0)/30*MAX(1,N(E370)),0))</f>
        <v/>
      </c>
      <c r="I370" s="29">
        <f>IF(OR(D370="",F370=""),"",ROUND(F370*H370,2))</f>
        <v/>
      </c>
      <c r="J370" s="29">
        <f>IF(I370="","",F370-I370)</f>
        <v/>
      </c>
      <c r="K370" s="37">
        <f>IF(OR(D370="",A370=""),"",A370+IF(AND(Config!$B$17="Sim",LEFT(D370,17)="Cartão de crédito"),1,IFERROR(INDEX(Config!$C$12:$C$15,MATCH(IF(AND(D370="Cartão de crédito",N(E370)&gt;1),"Cartão de crédito parcelado",D370),Config!$A$12:$A$15,0)),0)))</f>
        <v/>
      </c>
      <c r="L370" s="27">
        <f>IF(A370="","",MONTH(A370))</f>
        <v/>
      </c>
      <c r="M370" s="27">
        <f>IF(A370="","",YEAR(A370))</f>
        <v/>
      </c>
      <c r="N370" s="27">
        <f>IF(K370="","",IF(G370="Sim","Conferido",IF(K370&gt;Config!$B$8,"A cair","A conferir")))</f>
        <v/>
      </c>
      <c r="O370" s="50">
        <f>IF(N370="A conferir",(Config!$B$8-K370)*1000+N(F370)/1000+ROW()/100000,0)</f>
        <v>0</v>
      </c>
    </row>
    <row r="371">
      <c r="A371" s="48" t="n"/>
      <c r="B371" s="40" t="n"/>
      <c r="C371" s="40" t="n"/>
      <c r="D371" s="41" t="n"/>
      <c r="E371" s="41" t="n"/>
      <c r="F371" s="49" t="n"/>
      <c r="G371" s="41" t="n"/>
      <c r="H371" s="30">
        <f>IF(D371="","",IFERROR(INDEX(Config!$B$12:$B$15,MATCH(IF(AND(D371="Cartão de crédito",N(E371)&gt;1),"Cartão de crédito parcelado",D371),Config!$A$12:$A$15,0)),0)+IF(AND(Config!$B$17="Sim",LEFT(D371,17)="Cartão de crédito"),Config!$B$18*IFERROR(INDEX(Config!$C$12:$C$15,MATCH(IF(AND(D371="Cartão de crédito",N(E371)&gt;1),"Cartão de crédito parcelado",D371),Config!$A$12:$A$15,0)),0)/30*MAX(1,N(E371)),0))</f>
        <v/>
      </c>
      <c r="I371" s="29">
        <f>IF(OR(D371="",F371=""),"",ROUND(F371*H371,2))</f>
        <v/>
      </c>
      <c r="J371" s="29">
        <f>IF(I371="","",F371-I371)</f>
        <v/>
      </c>
      <c r="K371" s="37">
        <f>IF(OR(D371="",A371=""),"",A371+IF(AND(Config!$B$17="Sim",LEFT(D371,17)="Cartão de crédito"),1,IFERROR(INDEX(Config!$C$12:$C$15,MATCH(IF(AND(D371="Cartão de crédito",N(E371)&gt;1),"Cartão de crédito parcelado",D371),Config!$A$12:$A$15,0)),0)))</f>
        <v/>
      </c>
      <c r="L371" s="27">
        <f>IF(A371="","",MONTH(A371))</f>
        <v/>
      </c>
      <c r="M371" s="27">
        <f>IF(A371="","",YEAR(A371))</f>
        <v/>
      </c>
      <c r="N371" s="27">
        <f>IF(K371="","",IF(G371="Sim","Conferido",IF(K371&gt;Config!$B$8,"A cair","A conferir")))</f>
        <v/>
      </c>
      <c r="O371" s="50">
        <f>IF(N371="A conferir",(Config!$B$8-K371)*1000+N(F371)/1000+ROW()/100000,0)</f>
        <v>0</v>
      </c>
    </row>
    <row r="372">
      <c r="A372" s="48" t="n"/>
      <c r="B372" s="40" t="n"/>
      <c r="C372" s="40" t="n"/>
      <c r="D372" s="41" t="n"/>
      <c r="E372" s="41" t="n"/>
      <c r="F372" s="49" t="n"/>
      <c r="G372" s="41" t="n"/>
      <c r="H372" s="30">
        <f>IF(D372="","",IFERROR(INDEX(Config!$B$12:$B$15,MATCH(IF(AND(D372="Cartão de crédito",N(E372)&gt;1),"Cartão de crédito parcelado",D372),Config!$A$12:$A$15,0)),0)+IF(AND(Config!$B$17="Sim",LEFT(D372,17)="Cartão de crédito"),Config!$B$18*IFERROR(INDEX(Config!$C$12:$C$15,MATCH(IF(AND(D372="Cartão de crédito",N(E372)&gt;1),"Cartão de crédito parcelado",D372),Config!$A$12:$A$15,0)),0)/30*MAX(1,N(E372)),0))</f>
        <v/>
      </c>
      <c r="I372" s="29">
        <f>IF(OR(D372="",F372=""),"",ROUND(F372*H372,2))</f>
        <v/>
      </c>
      <c r="J372" s="29">
        <f>IF(I372="","",F372-I372)</f>
        <v/>
      </c>
      <c r="K372" s="37">
        <f>IF(OR(D372="",A372=""),"",A372+IF(AND(Config!$B$17="Sim",LEFT(D372,17)="Cartão de crédito"),1,IFERROR(INDEX(Config!$C$12:$C$15,MATCH(IF(AND(D372="Cartão de crédito",N(E372)&gt;1),"Cartão de crédito parcelado",D372),Config!$A$12:$A$15,0)),0)))</f>
        <v/>
      </c>
      <c r="L372" s="27">
        <f>IF(A372="","",MONTH(A372))</f>
        <v/>
      </c>
      <c r="M372" s="27">
        <f>IF(A372="","",YEAR(A372))</f>
        <v/>
      </c>
      <c r="N372" s="27">
        <f>IF(K372="","",IF(G372="Sim","Conferido",IF(K372&gt;Config!$B$8,"A cair","A conferir")))</f>
        <v/>
      </c>
      <c r="O372" s="50">
        <f>IF(N372="A conferir",(Config!$B$8-K372)*1000+N(F372)/1000+ROW()/100000,0)</f>
        <v>0</v>
      </c>
    </row>
    <row r="373">
      <c r="A373" s="48" t="n"/>
      <c r="B373" s="40" t="n"/>
      <c r="C373" s="40" t="n"/>
      <c r="D373" s="41" t="n"/>
      <c r="E373" s="41" t="n"/>
      <c r="F373" s="49" t="n"/>
      <c r="G373" s="41" t="n"/>
      <c r="H373" s="30">
        <f>IF(D373="","",IFERROR(INDEX(Config!$B$12:$B$15,MATCH(IF(AND(D373="Cartão de crédito",N(E373)&gt;1),"Cartão de crédito parcelado",D373),Config!$A$12:$A$15,0)),0)+IF(AND(Config!$B$17="Sim",LEFT(D373,17)="Cartão de crédito"),Config!$B$18*IFERROR(INDEX(Config!$C$12:$C$15,MATCH(IF(AND(D373="Cartão de crédito",N(E373)&gt;1),"Cartão de crédito parcelado",D373),Config!$A$12:$A$15,0)),0)/30*MAX(1,N(E373)),0))</f>
        <v/>
      </c>
      <c r="I373" s="29">
        <f>IF(OR(D373="",F373=""),"",ROUND(F373*H373,2))</f>
        <v/>
      </c>
      <c r="J373" s="29">
        <f>IF(I373="","",F373-I373)</f>
        <v/>
      </c>
      <c r="K373" s="37">
        <f>IF(OR(D373="",A373=""),"",A373+IF(AND(Config!$B$17="Sim",LEFT(D373,17)="Cartão de crédito"),1,IFERROR(INDEX(Config!$C$12:$C$15,MATCH(IF(AND(D373="Cartão de crédito",N(E373)&gt;1),"Cartão de crédito parcelado",D373),Config!$A$12:$A$15,0)),0)))</f>
        <v/>
      </c>
      <c r="L373" s="27">
        <f>IF(A373="","",MONTH(A373))</f>
        <v/>
      </c>
      <c r="M373" s="27">
        <f>IF(A373="","",YEAR(A373))</f>
        <v/>
      </c>
      <c r="N373" s="27">
        <f>IF(K373="","",IF(G373="Sim","Conferido",IF(K373&gt;Config!$B$8,"A cair","A conferir")))</f>
        <v/>
      </c>
      <c r="O373" s="50">
        <f>IF(N373="A conferir",(Config!$B$8-K373)*1000+N(F373)/1000+ROW()/100000,0)</f>
        <v>0</v>
      </c>
    </row>
    <row r="374">
      <c r="A374" s="48" t="n"/>
      <c r="B374" s="40" t="n"/>
      <c r="C374" s="40" t="n"/>
      <c r="D374" s="41" t="n"/>
      <c r="E374" s="41" t="n"/>
      <c r="F374" s="49" t="n"/>
      <c r="G374" s="41" t="n"/>
      <c r="H374" s="30">
        <f>IF(D374="","",IFERROR(INDEX(Config!$B$12:$B$15,MATCH(IF(AND(D374="Cartão de crédito",N(E374)&gt;1),"Cartão de crédito parcelado",D374),Config!$A$12:$A$15,0)),0)+IF(AND(Config!$B$17="Sim",LEFT(D374,17)="Cartão de crédito"),Config!$B$18*IFERROR(INDEX(Config!$C$12:$C$15,MATCH(IF(AND(D374="Cartão de crédito",N(E374)&gt;1),"Cartão de crédito parcelado",D374),Config!$A$12:$A$15,0)),0)/30*MAX(1,N(E374)),0))</f>
        <v/>
      </c>
      <c r="I374" s="29">
        <f>IF(OR(D374="",F374=""),"",ROUND(F374*H374,2))</f>
        <v/>
      </c>
      <c r="J374" s="29">
        <f>IF(I374="","",F374-I374)</f>
        <v/>
      </c>
      <c r="K374" s="37">
        <f>IF(OR(D374="",A374=""),"",A374+IF(AND(Config!$B$17="Sim",LEFT(D374,17)="Cartão de crédito"),1,IFERROR(INDEX(Config!$C$12:$C$15,MATCH(IF(AND(D374="Cartão de crédito",N(E374)&gt;1),"Cartão de crédito parcelado",D374),Config!$A$12:$A$15,0)),0)))</f>
        <v/>
      </c>
      <c r="L374" s="27">
        <f>IF(A374="","",MONTH(A374))</f>
        <v/>
      </c>
      <c r="M374" s="27">
        <f>IF(A374="","",YEAR(A374))</f>
        <v/>
      </c>
      <c r="N374" s="27">
        <f>IF(K374="","",IF(G374="Sim","Conferido",IF(K374&gt;Config!$B$8,"A cair","A conferir")))</f>
        <v/>
      </c>
      <c r="O374" s="50">
        <f>IF(N374="A conferir",(Config!$B$8-K374)*1000+N(F374)/1000+ROW()/100000,0)</f>
        <v>0</v>
      </c>
    </row>
    <row r="375">
      <c r="A375" s="48" t="n"/>
      <c r="B375" s="40" t="n"/>
      <c r="C375" s="40" t="n"/>
      <c r="D375" s="41" t="n"/>
      <c r="E375" s="41" t="n"/>
      <c r="F375" s="49" t="n"/>
      <c r="G375" s="41" t="n"/>
      <c r="H375" s="30">
        <f>IF(D375="","",IFERROR(INDEX(Config!$B$12:$B$15,MATCH(IF(AND(D375="Cartão de crédito",N(E375)&gt;1),"Cartão de crédito parcelado",D375),Config!$A$12:$A$15,0)),0)+IF(AND(Config!$B$17="Sim",LEFT(D375,17)="Cartão de crédito"),Config!$B$18*IFERROR(INDEX(Config!$C$12:$C$15,MATCH(IF(AND(D375="Cartão de crédito",N(E375)&gt;1),"Cartão de crédito parcelado",D375),Config!$A$12:$A$15,0)),0)/30*MAX(1,N(E375)),0))</f>
        <v/>
      </c>
      <c r="I375" s="29">
        <f>IF(OR(D375="",F375=""),"",ROUND(F375*H375,2))</f>
        <v/>
      </c>
      <c r="J375" s="29">
        <f>IF(I375="","",F375-I375)</f>
        <v/>
      </c>
      <c r="K375" s="37">
        <f>IF(OR(D375="",A375=""),"",A375+IF(AND(Config!$B$17="Sim",LEFT(D375,17)="Cartão de crédito"),1,IFERROR(INDEX(Config!$C$12:$C$15,MATCH(IF(AND(D375="Cartão de crédito",N(E375)&gt;1),"Cartão de crédito parcelado",D375),Config!$A$12:$A$15,0)),0)))</f>
        <v/>
      </c>
      <c r="L375" s="27">
        <f>IF(A375="","",MONTH(A375))</f>
        <v/>
      </c>
      <c r="M375" s="27">
        <f>IF(A375="","",YEAR(A375))</f>
        <v/>
      </c>
      <c r="N375" s="27">
        <f>IF(K375="","",IF(G375="Sim","Conferido",IF(K375&gt;Config!$B$8,"A cair","A conferir")))</f>
        <v/>
      </c>
      <c r="O375" s="50">
        <f>IF(N375="A conferir",(Config!$B$8-K375)*1000+N(F375)/1000+ROW()/100000,0)</f>
        <v>0</v>
      </c>
    </row>
    <row r="376">
      <c r="A376" s="48" t="n"/>
      <c r="B376" s="40" t="n"/>
      <c r="C376" s="40" t="n"/>
      <c r="D376" s="41" t="n"/>
      <c r="E376" s="41" t="n"/>
      <c r="F376" s="49" t="n"/>
      <c r="G376" s="41" t="n"/>
      <c r="H376" s="30">
        <f>IF(D376="","",IFERROR(INDEX(Config!$B$12:$B$15,MATCH(IF(AND(D376="Cartão de crédito",N(E376)&gt;1),"Cartão de crédito parcelado",D376),Config!$A$12:$A$15,0)),0)+IF(AND(Config!$B$17="Sim",LEFT(D376,17)="Cartão de crédito"),Config!$B$18*IFERROR(INDEX(Config!$C$12:$C$15,MATCH(IF(AND(D376="Cartão de crédito",N(E376)&gt;1),"Cartão de crédito parcelado",D376),Config!$A$12:$A$15,0)),0)/30*MAX(1,N(E376)),0))</f>
        <v/>
      </c>
      <c r="I376" s="29">
        <f>IF(OR(D376="",F376=""),"",ROUND(F376*H376,2))</f>
        <v/>
      </c>
      <c r="J376" s="29">
        <f>IF(I376="","",F376-I376)</f>
        <v/>
      </c>
      <c r="K376" s="37">
        <f>IF(OR(D376="",A376=""),"",A376+IF(AND(Config!$B$17="Sim",LEFT(D376,17)="Cartão de crédito"),1,IFERROR(INDEX(Config!$C$12:$C$15,MATCH(IF(AND(D376="Cartão de crédito",N(E376)&gt;1),"Cartão de crédito parcelado",D376),Config!$A$12:$A$15,0)),0)))</f>
        <v/>
      </c>
      <c r="L376" s="27">
        <f>IF(A376="","",MONTH(A376))</f>
        <v/>
      </c>
      <c r="M376" s="27">
        <f>IF(A376="","",YEAR(A376))</f>
        <v/>
      </c>
      <c r="N376" s="27">
        <f>IF(K376="","",IF(G376="Sim","Conferido",IF(K376&gt;Config!$B$8,"A cair","A conferir")))</f>
        <v/>
      </c>
      <c r="O376" s="50">
        <f>IF(N376="A conferir",(Config!$B$8-K376)*1000+N(F376)/1000+ROW()/100000,0)</f>
        <v>0</v>
      </c>
    </row>
    <row r="377">
      <c r="A377" s="48" t="n"/>
      <c r="B377" s="40" t="n"/>
      <c r="C377" s="40" t="n"/>
      <c r="D377" s="41" t="n"/>
      <c r="E377" s="41" t="n"/>
      <c r="F377" s="49" t="n"/>
      <c r="G377" s="41" t="n"/>
      <c r="H377" s="30">
        <f>IF(D377="","",IFERROR(INDEX(Config!$B$12:$B$15,MATCH(IF(AND(D377="Cartão de crédito",N(E377)&gt;1),"Cartão de crédito parcelado",D377),Config!$A$12:$A$15,0)),0)+IF(AND(Config!$B$17="Sim",LEFT(D377,17)="Cartão de crédito"),Config!$B$18*IFERROR(INDEX(Config!$C$12:$C$15,MATCH(IF(AND(D377="Cartão de crédito",N(E377)&gt;1),"Cartão de crédito parcelado",D377),Config!$A$12:$A$15,0)),0)/30*MAX(1,N(E377)),0))</f>
        <v/>
      </c>
      <c r="I377" s="29">
        <f>IF(OR(D377="",F377=""),"",ROUND(F377*H377,2))</f>
        <v/>
      </c>
      <c r="J377" s="29">
        <f>IF(I377="","",F377-I377)</f>
        <v/>
      </c>
      <c r="K377" s="37">
        <f>IF(OR(D377="",A377=""),"",A377+IF(AND(Config!$B$17="Sim",LEFT(D377,17)="Cartão de crédito"),1,IFERROR(INDEX(Config!$C$12:$C$15,MATCH(IF(AND(D377="Cartão de crédito",N(E377)&gt;1),"Cartão de crédito parcelado",D377),Config!$A$12:$A$15,0)),0)))</f>
        <v/>
      </c>
      <c r="L377" s="27">
        <f>IF(A377="","",MONTH(A377))</f>
        <v/>
      </c>
      <c r="M377" s="27">
        <f>IF(A377="","",YEAR(A377))</f>
        <v/>
      </c>
      <c r="N377" s="27">
        <f>IF(K377="","",IF(G377="Sim","Conferido",IF(K377&gt;Config!$B$8,"A cair","A conferir")))</f>
        <v/>
      </c>
      <c r="O377" s="50">
        <f>IF(N377="A conferir",(Config!$B$8-K377)*1000+N(F377)/1000+ROW()/100000,0)</f>
        <v>0</v>
      </c>
    </row>
    <row r="378">
      <c r="A378" s="48" t="n"/>
      <c r="B378" s="40" t="n"/>
      <c r="C378" s="40" t="n"/>
      <c r="D378" s="41" t="n"/>
      <c r="E378" s="41" t="n"/>
      <c r="F378" s="49" t="n"/>
      <c r="G378" s="41" t="n"/>
      <c r="H378" s="30">
        <f>IF(D378="","",IFERROR(INDEX(Config!$B$12:$B$15,MATCH(IF(AND(D378="Cartão de crédito",N(E378)&gt;1),"Cartão de crédito parcelado",D378),Config!$A$12:$A$15,0)),0)+IF(AND(Config!$B$17="Sim",LEFT(D378,17)="Cartão de crédito"),Config!$B$18*IFERROR(INDEX(Config!$C$12:$C$15,MATCH(IF(AND(D378="Cartão de crédito",N(E378)&gt;1),"Cartão de crédito parcelado",D378),Config!$A$12:$A$15,0)),0)/30*MAX(1,N(E378)),0))</f>
        <v/>
      </c>
      <c r="I378" s="29">
        <f>IF(OR(D378="",F378=""),"",ROUND(F378*H378,2))</f>
        <v/>
      </c>
      <c r="J378" s="29">
        <f>IF(I378="","",F378-I378)</f>
        <v/>
      </c>
      <c r="K378" s="37">
        <f>IF(OR(D378="",A378=""),"",A378+IF(AND(Config!$B$17="Sim",LEFT(D378,17)="Cartão de crédito"),1,IFERROR(INDEX(Config!$C$12:$C$15,MATCH(IF(AND(D378="Cartão de crédito",N(E378)&gt;1),"Cartão de crédito parcelado",D378),Config!$A$12:$A$15,0)),0)))</f>
        <v/>
      </c>
      <c r="L378" s="27">
        <f>IF(A378="","",MONTH(A378))</f>
        <v/>
      </c>
      <c r="M378" s="27">
        <f>IF(A378="","",YEAR(A378))</f>
        <v/>
      </c>
      <c r="N378" s="27">
        <f>IF(K378="","",IF(G378="Sim","Conferido",IF(K378&gt;Config!$B$8,"A cair","A conferir")))</f>
        <v/>
      </c>
      <c r="O378" s="50">
        <f>IF(N378="A conferir",(Config!$B$8-K378)*1000+N(F378)/1000+ROW()/100000,0)</f>
        <v>0</v>
      </c>
    </row>
    <row r="379">
      <c r="A379" s="48" t="n"/>
      <c r="B379" s="40" t="n"/>
      <c r="C379" s="40" t="n"/>
      <c r="D379" s="41" t="n"/>
      <c r="E379" s="41" t="n"/>
      <c r="F379" s="49" t="n"/>
      <c r="G379" s="41" t="n"/>
      <c r="H379" s="30">
        <f>IF(D379="","",IFERROR(INDEX(Config!$B$12:$B$15,MATCH(IF(AND(D379="Cartão de crédito",N(E379)&gt;1),"Cartão de crédito parcelado",D379),Config!$A$12:$A$15,0)),0)+IF(AND(Config!$B$17="Sim",LEFT(D379,17)="Cartão de crédito"),Config!$B$18*IFERROR(INDEX(Config!$C$12:$C$15,MATCH(IF(AND(D379="Cartão de crédito",N(E379)&gt;1),"Cartão de crédito parcelado",D379),Config!$A$12:$A$15,0)),0)/30*MAX(1,N(E379)),0))</f>
        <v/>
      </c>
      <c r="I379" s="29">
        <f>IF(OR(D379="",F379=""),"",ROUND(F379*H379,2))</f>
        <v/>
      </c>
      <c r="J379" s="29">
        <f>IF(I379="","",F379-I379)</f>
        <v/>
      </c>
      <c r="K379" s="37">
        <f>IF(OR(D379="",A379=""),"",A379+IF(AND(Config!$B$17="Sim",LEFT(D379,17)="Cartão de crédito"),1,IFERROR(INDEX(Config!$C$12:$C$15,MATCH(IF(AND(D379="Cartão de crédito",N(E379)&gt;1),"Cartão de crédito parcelado",D379),Config!$A$12:$A$15,0)),0)))</f>
        <v/>
      </c>
      <c r="L379" s="27">
        <f>IF(A379="","",MONTH(A379))</f>
        <v/>
      </c>
      <c r="M379" s="27">
        <f>IF(A379="","",YEAR(A379))</f>
        <v/>
      </c>
      <c r="N379" s="27">
        <f>IF(K379="","",IF(G379="Sim","Conferido",IF(K379&gt;Config!$B$8,"A cair","A conferir")))</f>
        <v/>
      </c>
      <c r="O379" s="50">
        <f>IF(N379="A conferir",(Config!$B$8-K379)*1000+N(F379)/1000+ROW()/100000,0)</f>
        <v>0</v>
      </c>
    </row>
    <row r="380">
      <c r="A380" s="48" t="n"/>
      <c r="B380" s="40" t="n"/>
      <c r="C380" s="40" t="n"/>
      <c r="D380" s="41" t="n"/>
      <c r="E380" s="41" t="n"/>
      <c r="F380" s="49" t="n"/>
      <c r="G380" s="41" t="n"/>
      <c r="H380" s="30">
        <f>IF(D380="","",IFERROR(INDEX(Config!$B$12:$B$15,MATCH(IF(AND(D380="Cartão de crédito",N(E380)&gt;1),"Cartão de crédito parcelado",D380),Config!$A$12:$A$15,0)),0)+IF(AND(Config!$B$17="Sim",LEFT(D380,17)="Cartão de crédito"),Config!$B$18*IFERROR(INDEX(Config!$C$12:$C$15,MATCH(IF(AND(D380="Cartão de crédito",N(E380)&gt;1),"Cartão de crédito parcelado",D380),Config!$A$12:$A$15,0)),0)/30*MAX(1,N(E380)),0))</f>
        <v/>
      </c>
      <c r="I380" s="29">
        <f>IF(OR(D380="",F380=""),"",ROUND(F380*H380,2))</f>
        <v/>
      </c>
      <c r="J380" s="29">
        <f>IF(I380="","",F380-I380)</f>
        <v/>
      </c>
      <c r="K380" s="37">
        <f>IF(OR(D380="",A380=""),"",A380+IF(AND(Config!$B$17="Sim",LEFT(D380,17)="Cartão de crédito"),1,IFERROR(INDEX(Config!$C$12:$C$15,MATCH(IF(AND(D380="Cartão de crédito",N(E380)&gt;1),"Cartão de crédito parcelado",D380),Config!$A$12:$A$15,0)),0)))</f>
        <v/>
      </c>
      <c r="L380" s="27">
        <f>IF(A380="","",MONTH(A380))</f>
        <v/>
      </c>
      <c r="M380" s="27">
        <f>IF(A380="","",YEAR(A380))</f>
        <v/>
      </c>
      <c r="N380" s="27">
        <f>IF(K380="","",IF(G380="Sim","Conferido",IF(K380&gt;Config!$B$8,"A cair","A conferir")))</f>
        <v/>
      </c>
      <c r="O380" s="50">
        <f>IF(N380="A conferir",(Config!$B$8-K380)*1000+N(F380)/1000+ROW()/100000,0)</f>
        <v>0</v>
      </c>
    </row>
    <row r="381">
      <c r="A381" s="48" t="n"/>
      <c r="B381" s="40" t="n"/>
      <c r="C381" s="40" t="n"/>
      <c r="D381" s="41" t="n"/>
      <c r="E381" s="41" t="n"/>
      <c r="F381" s="49" t="n"/>
      <c r="G381" s="41" t="n"/>
      <c r="H381" s="30">
        <f>IF(D381="","",IFERROR(INDEX(Config!$B$12:$B$15,MATCH(IF(AND(D381="Cartão de crédito",N(E381)&gt;1),"Cartão de crédito parcelado",D381),Config!$A$12:$A$15,0)),0)+IF(AND(Config!$B$17="Sim",LEFT(D381,17)="Cartão de crédito"),Config!$B$18*IFERROR(INDEX(Config!$C$12:$C$15,MATCH(IF(AND(D381="Cartão de crédito",N(E381)&gt;1),"Cartão de crédito parcelado",D381),Config!$A$12:$A$15,0)),0)/30*MAX(1,N(E381)),0))</f>
        <v/>
      </c>
      <c r="I381" s="29">
        <f>IF(OR(D381="",F381=""),"",ROUND(F381*H381,2))</f>
        <v/>
      </c>
      <c r="J381" s="29">
        <f>IF(I381="","",F381-I381)</f>
        <v/>
      </c>
      <c r="K381" s="37">
        <f>IF(OR(D381="",A381=""),"",A381+IF(AND(Config!$B$17="Sim",LEFT(D381,17)="Cartão de crédito"),1,IFERROR(INDEX(Config!$C$12:$C$15,MATCH(IF(AND(D381="Cartão de crédito",N(E381)&gt;1),"Cartão de crédito parcelado",D381),Config!$A$12:$A$15,0)),0)))</f>
        <v/>
      </c>
      <c r="L381" s="27">
        <f>IF(A381="","",MONTH(A381))</f>
        <v/>
      </c>
      <c r="M381" s="27">
        <f>IF(A381="","",YEAR(A381))</f>
        <v/>
      </c>
      <c r="N381" s="27">
        <f>IF(K381="","",IF(G381="Sim","Conferido",IF(K381&gt;Config!$B$8,"A cair","A conferir")))</f>
        <v/>
      </c>
      <c r="O381" s="50">
        <f>IF(N381="A conferir",(Config!$B$8-K381)*1000+N(F381)/1000+ROW()/100000,0)</f>
        <v>0</v>
      </c>
    </row>
    <row r="382">
      <c r="A382" s="48" t="n"/>
      <c r="B382" s="40" t="n"/>
      <c r="C382" s="40" t="n"/>
      <c r="D382" s="41" t="n"/>
      <c r="E382" s="41" t="n"/>
      <c r="F382" s="49" t="n"/>
      <c r="G382" s="41" t="n"/>
      <c r="H382" s="30">
        <f>IF(D382="","",IFERROR(INDEX(Config!$B$12:$B$15,MATCH(IF(AND(D382="Cartão de crédito",N(E382)&gt;1),"Cartão de crédito parcelado",D382),Config!$A$12:$A$15,0)),0)+IF(AND(Config!$B$17="Sim",LEFT(D382,17)="Cartão de crédito"),Config!$B$18*IFERROR(INDEX(Config!$C$12:$C$15,MATCH(IF(AND(D382="Cartão de crédito",N(E382)&gt;1),"Cartão de crédito parcelado",D382),Config!$A$12:$A$15,0)),0)/30*MAX(1,N(E382)),0))</f>
        <v/>
      </c>
      <c r="I382" s="29">
        <f>IF(OR(D382="",F382=""),"",ROUND(F382*H382,2))</f>
        <v/>
      </c>
      <c r="J382" s="29">
        <f>IF(I382="","",F382-I382)</f>
        <v/>
      </c>
      <c r="K382" s="37">
        <f>IF(OR(D382="",A382=""),"",A382+IF(AND(Config!$B$17="Sim",LEFT(D382,17)="Cartão de crédito"),1,IFERROR(INDEX(Config!$C$12:$C$15,MATCH(IF(AND(D382="Cartão de crédito",N(E382)&gt;1),"Cartão de crédito parcelado",D382),Config!$A$12:$A$15,0)),0)))</f>
        <v/>
      </c>
      <c r="L382" s="27">
        <f>IF(A382="","",MONTH(A382))</f>
        <v/>
      </c>
      <c r="M382" s="27">
        <f>IF(A382="","",YEAR(A382))</f>
        <v/>
      </c>
      <c r="N382" s="27">
        <f>IF(K382="","",IF(G382="Sim","Conferido",IF(K382&gt;Config!$B$8,"A cair","A conferir")))</f>
        <v/>
      </c>
      <c r="O382" s="50">
        <f>IF(N382="A conferir",(Config!$B$8-K382)*1000+N(F382)/1000+ROW()/100000,0)</f>
        <v>0</v>
      </c>
    </row>
    <row r="383">
      <c r="A383" s="48" t="n"/>
      <c r="B383" s="40" t="n"/>
      <c r="C383" s="40" t="n"/>
      <c r="D383" s="41" t="n"/>
      <c r="E383" s="41" t="n"/>
      <c r="F383" s="49" t="n"/>
      <c r="G383" s="41" t="n"/>
      <c r="H383" s="30">
        <f>IF(D383="","",IFERROR(INDEX(Config!$B$12:$B$15,MATCH(IF(AND(D383="Cartão de crédito",N(E383)&gt;1),"Cartão de crédito parcelado",D383),Config!$A$12:$A$15,0)),0)+IF(AND(Config!$B$17="Sim",LEFT(D383,17)="Cartão de crédito"),Config!$B$18*IFERROR(INDEX(Config!$C$12:$C$15,MATCH(IF(AND(D383="Cartão de crédito",N(E383)&gt;1),"Cartão de crédito parcelado",D383),Config!$A$12:$A$15,0)),0)/30*MAX(1,N(E383)),0))</f>
        <v/>
      </c>
      <c r="I383" s="29">
        <f>IF(OR(D383="",F383=""),"",ROUND(F383*H383,2))</f>
        <v/>
      </c>
      <c r="J383" s="29">
        <f>IF(I383="","",F383-I383)</f>
        <v/>
      </c>
      <c r="K383" s="37">
        <f>IF(OR(D383="",A383=""),"",A383+IF(AND(Config!$B$17="Sim",LEFT(D383,17)="Cartão de crédito"),1,IFERROR(INDEX(Config!$C$12:$C$15,MATCH(IF(AND(D383="Cartão de crédito",N(E383)&gt;1),"Cartão de crédito parcelado",D383),Config!$A$12:$A$15,0)),0)))</f>
        <v/>
      </c>
      <c r="L383" s="27">
        <f>IF(A383="","",MONTH(A383))</f>
        <v/>
      </c>
      <c r="M383" s="27">
        <f>IF(A383="","",YEAR(A383))</f>
        <v/>
      </c>
      <c r="N383" s="27">
        <f>IF(K383="","",IF(G383="Sim","Conferido",IF(K383&gt;Config!$B$8,"A cair","A conferir")))</f>
        <v/>
      </c>
      <c r="O383" s="50">
        <f>IF(N383="A conferir",(Config!$B$8-K383)*1000+N(F383)/1000+ROW()/100000,0)</f>
        <v>0</v>
      </c>
    </row>
    <row r="384">
      <c r="A384" s="48" t="n"/>
      <c r="B384" s="40" t="n"/>
      <c r="C384" s="40" t="n"/>
      <c r="D384" s="41" t="n"/>
      <c r="E384" s="41" t="n"/>
      <c r="F384" s="49" t="n"/>
      <c r="G384" s="41" t="n"/>
      <c r="H384" s="30">
        <f>IF(D384="","",IFERROR(INDEX(Config!$B$12:$B$15,MATCH(IF(AND(D384="Cartão de crédito",N(E384)&gt;1),"Cartão de crédito parcelado",D384),Config!$A$12:$A$15,0)),0)+IF(AND(Config!$B$17="Sim",LEFT(D384,17)="Cartão de crédito"),Config!$B$18*IFERROR(INDEX(Config!$C$12:$C$15,MATCH(IF(AND(D384="Cartão de crédito",N(E384)&gt;1),"Cartão de crédito parcelado",D384),Config!$A$12:$A$15,0)),0)/30*MAX(1,N(E384)),0))</f>
        <v/>
      </c>
      <c r="I384" s="29">
        <f>IF(OR(D384="",F384=""),"",ROUND(F384*H384,2))</f>
        <v/>
      </c>
      <c r="J384" s="29">
        <f>IF(I384="","",F384-I384)</f>
        <v/>
      </c>
      <c r="K384" s="37">
        <f>IF(OR(D384="",A384=""),"",A384+IF(AND(Config!$B$17="Sim",LEFT(D384,17)="Cartão de crédito"),1,IFERROR(INDEX(Config!$C$12:$C$15,MATCH(IF(AND(D384="Cartão de crédito",N(E384)&gt;1),"Cartão de crédito parcelado",D384),Config!$A$12:$A$15,0)),0)))</f>
        <v/>
      </c>
      <c r="L384" s="27">
        <f>IF(A384="","",MONTH(A384))</f>
        <v/>
      </c>
      <c r="M384" s="27">
        <f>IF(A384="","",YEAR(A384))</f>
        <v/>
      </c>
      <c r="N384" s="27">
        <f>IF(K384="","",IF(G384="Sim","Conferido",IF(K384&gt;Config!$B$8,"A cair","A conferir")))</f>
        <v/>
      </c>
      <c r="O384" s="50">
        <f>IF(N384="A conferir",(Config!$B$8-K384)*1000+N(F384)/1000+ROW()/100000,0)</f>
        <v>0</v>
      </c>
    </row>
    <row r="385">
      <c r="A385" s="48" t="n"/>
      <c r="B385" s="40" t="n"/>
      <c r="C385" s="40" t="n"/>
      <c r="D385" s="41" t="n"/>
      <c r="E385" s="41" t="n"/>
      <c r="F385" s="49" t="n"/>
      <c r="G385" s="41" t="n"/>
      <c r="H385" s="30">
        <f>IF(D385="","",IFERROR(INDEX(Config!$B$12:$B$15,MATCH(IF(AND(D385="Cartão de crédito",N(E385)&gt;1),"Cartão de crédito parcelado",D385),Config!$A$12:$A$15,0)),0)+IF(AND(Config!$B$17="Sim",LEFT(D385,17)="Cartão de crédito"),Config!$B$18*IFERROR(INDEX(Config!$C$12:$C$15,MATCH(IF(AND(D385="Cartão de crédito",N(E385)&gt;1),"Cartão de crédito parcelado",D385),Config!$A$12:$A$15,0)),0)/30*MAX(1,N(E385)),0))</f>
        <v/>
      </c>
      <c r="I385" s="29">
        <f>IF(OR(D385="",F385=""),"",ROUND(F385*H385,2))</f>
        <v/>
      </c>
      <c r="J385" s="29">
        <f>IF(I385="","",F385-I385)</f>
        <v/>
      </c>
      <c r="K385" s="37">
        <f>IF(OR(D385="",A385=""),"",A385+IF(AND(Config!$B$17="Sim",LEFT(D385,17)="Cartão de crédito"),1,IFERROR(INDEX(Config!$C$12:$C$15,MATCH(IF(AND(D385="Cartão de crédito",N(E385)&gt;1),"Cartão de crédito parcelado",D385),Config!$A$12:$A$15,0)),0)))</f>
        <v/>
      </c>
      <c r="L385" s="27">
        <f>IF(A385="","",MONTH(A385))</f>
        <v/>
      </c>
      <c r="M385" s="27">
        <f>IF(A385="","",YEAR(A385))</f>
        <v/>
      </c>
      <c r="N385" s="27">
        <f>IF(K385="","",IF(G385="Sim","Conferido",IF(K385&gt;Config!$B$8,"A cair","A conferir")))</f>
        <v/>
      </c>
      <c r="O385" s="50">
        <f>IF(N385="A conferir",(Config!$B$8-K385)*1000+N(F385)/1000+ROW()/100000,0)</f>
        <v>0</v>
      </c>
    </row>
    <row r="386">
      <c r="A386" s="48" t="n"/>
      <c r="B386" s="40" t="n"/>
      <c r="C386" s="40" t="n"/>
      <c r="D386" s="41" t="n"/>
      <c r="E386" s="41" t="n"/>
      <c r="F386" s="49" t="n"/>
      <c r="G386" s="41" t="n"/>
      <c r="H386" s="30">
        <f>IF(D386="","",IFERROR(INDEX(Config!$B$12:$B$15,MATCH(IF(AND(D386="Cartão de crédito",N(E386)&gt;1),"Cartão de crédito parcelado",D386),Config!$A$12:$A$15,0)),0)+IF(AND(Config!$B$17="Sim",LEFT(D386,17)="Cartão de crédito"),Config!$B$18*IFERROR(INDEX(Config!$C$12:$C$15,MATCH(IF(AND(D386="Cartão de crédito",N(E386)&gt;1),"Cartão de crédito parcelado",D386),Config!$A$12:$A$15,0)),0)/30*MAX(1,N(E386)),0))</f>
        <v/>
      </c>
      <c r="I386" s="29">
        <f>IF(OR(D386="",F386=""),"",ROUND(F386*H386,2))</f>
        <v/>
      </c>
      <c r="J386" s="29">
        <f>IF(I386="","",F386-I386)</f>
        <v/>
      </c>
      <c r="K386" s="37">
        <f>IF(OR(D386="",A386=""),"",A386+IF(AND(Config!$B$17="Sim",LEFT(D386,17)="Cartão de crédito"),1,IFERROR(INDEX(Config!$C$12:$C$15,MATCH(IF(AND(D386="Cartão de crédito",N(E386)&gt;1),"Cartão de crédito parcelado",D386),Config!$A$12:$A$15,0)),0)))</f>
        <v/>
      </c>
      <c r="L386" s="27">
        <f>IF(A386="","",MONTH(A386))</f>
        <v/>
      </c>
      <c r="M386" s="27">
        <f>IF(A386="","",YEAR(A386))</f>
        <v/>
      </c>
      <c r="N386" s="27">
        <f>IF(K386="","",IF(G386="Sim","Conferido",IF(K386&gt;Config!$B$8,"A cair","A conferir")))</f>
        <v/>
      </c>
      <c r="O386" s="50">
        <f>IF(N386="A conferir",(Config!$B$8-K386)*1000+N(F386)/1000+ROW()/100000,0)</f>
        <v>0</v>
      </c>
    </row>
    <row r="387">
      <c r="A387" s="48" t="n"/>
      <c r="B387" s="40" t="n"/>
      <c r="C387" s="40" t="n"/>
      <c r="D387" s="41" t="n"/>
      <c r="E387" s="41" t="n"/>
      <c r="F387" s="49" t="n"/>
      <c r="G387" s="41" t="n"/>
      <c r="H387" s="30">
        <f>IF(D387="","",IFERROR(INDEX(Config!$B$12:$B$15,MATCH(IF(AND(D387="Cartão de crédito",N(E387)&gt;1),"Cartão de crédito parcelado",D387),Config!$A$12:$A$15,0)),0)+IF(AND(Config!$B$17="Sim",LEFT(D387,17)="Cartão de crédito"),Config!$B$18*IFERROR(INDEX(Config!$C$12:$C$15,MATCH(IF(AND(D387="Cartão de crédito",N(E387)&gt;1),"Cartão de crédito parcelado",D387),Config!$A$12:$A$15,0)),0)/30*MAX(1,N(E387)),0))</f>
        <v/>
      </c>
      <c r="I387" s="29">
        <f>IF(OR(D387="",F387=""),"",ROUND(F387*H387,2))</f>
        <v/>
      </c>
      <c r="J387" s="29">
        <f>IF(I387="","",F387-I387)</f>
        <v/>
      </c>
      <c r="K387" s="37">
        <f>IF(OR(D387="",A387=""),"",A387+IF(AND(Config!$B$17="Sim",LEFT(D387,17)="Cartão de crédito"),1,IFERROR(INDEX(Config!$C$12:$C$15,MATCH(IF(AND(D387="Cartão de crédito",N(E387)&gt;1),"Cartão de crédito parcelado",D387),Config!$A$12:$A$15,0)),0)))</f>
        <v/>
      </c>
      <c r="L387" s="27">
        <f>IF(A387="","",MONTH(A387))</f>
        <v/>
      </c>
      <c r="M387" s="27">
        <f>IF(A387="","",YEAR(A387))</f>
        <v/>
      </c>
      <c r="N387" s="27">
        <f>IF(K387="","",IF(G387="Sim","Conferido",IF(K387&gt;Config!$B$8,"A cair","A conferir")))</f>
        <v/>
      </c>
      <c r="O387" s="50">
        <f>IF(N387="A conferir",(Config!$B$8-K387)*1000+N(F387)/1000+ROW()/100000,0)</f>
        <v>0</v>
      </c>
    </row>
    <row r="388">
      <c r="A388" s="48" t="n"/>
      <c r="B388" s="40" t="n"/>
      <c r="C388" s="40" t="n"/>
      <c r="D388" s="41" t="n"/>
      <c r="E388" s="41" t="n"/>
      <c r="F388" s="49" t="n"/>
      <c r="G388" s="41" t="n"/>
      <c r="H388" s="30">
        <f>IF(D388="","",IFERROR(INDEX(Config!$B$12:$B$15,MATCH(IF(AND(D388="Cartão de crédito",N(E388)&gt;1),"Cartão de crédito parcelado",D388),Config!$A$12:$A$15,0)),0)+IF(AND(Config!$B$17="Sim",LEFT(D388,17)="Cartão de crédito"),Config!$B$18*IFERROR(INDEX(Config!$C$12:$C$15,MATCH(IF(AND(D388="Cartão de crédito",N(E388)&gt;1),"Cartão de crédito parcelado",D388),Config!$A$12:$A$15,0)),0)/30*MAX(1,N(E388)),0))</f>
        <v/>
      </c>
      <c r="I388" s="29">
        <f>IF(OR(D388="",F388=""),"",ROUND(F388*H388,2))</f>
        <v/>
      </c>
      <c r="J388" s="29">
        <f>IF(I388="","",F388-I388)</f>
        <v/>
      </c>
      <c r="K388" s="37">
        <f>IF(OR(D388="",A388=""),"",A388+IF(AND(Config!$B$17="Sim",LEFT(D388,17)="Cartão de crédito"),1,IFERROR(INDEX(Config!$C$12:$C$15,MATCH(IF(AND(D388="Cartão de crédito",N(E388)&gt;1),"Cartão de crédito parcelado",D388),Config!$A$12:$A$15,0)),0)))</f>
        <v/>
      </c>
      <c r="L388" s="27">
        <f>IF(A388="","",MONTH(A388))</f>
        <v/>
      </c>
      <c r="M388" s="27">
        <f>IF(A388="","",YEAR(A388))</f>
        <v/>
      </c>
      <c r="N388" s="27">
        <f>IF(K388="","",IF(G388="Sim","Conferido",IF(K388&gt;Config!$B$8,"A cair","A conferir")))</f>
        <v/>
      </c>
      <c r="O388" s="50">
        <f>IF(N388="A conferir",(Config!$B$8-K388)*1000+N(F388)/1000+ROW()/100000,0)</f>
        <v>0</v>
      </c>
    </row>
    <row r="389">
      <c r="A389" s="48" t="n"/>
      <c r="B389" s="40" t="n"/>
      <c r="C389" s="40" t="n"/>
      <c r="D389" s="41" t="n"/>
      <c r="E389" s="41" t="n"/>
      <c r="F389" s="49" t="n"/>
      <c r="G389" s="41" t="n"/>
      <c r="H389" s="30">
        <f>IF(D389="","",IFERROR(INDEX(Config!$B$12:$B$15,MATCH(IF(AND(D389="Cartão de crédito",N(E389)&gt;1),"Cartão de crédito parcelado",D389),Config!$A$12:$A$15,0)),0)+IF(AND(Config!$B$17="Sim",LEFT(D389,17)="Cartão de crédito"),Config!$B$18*IFERROR(INDEX(Config!$C$12:$C$15,MATCH(IF(AND(D389="Cartão de crédito",N(E389)&gt;1),"Cartão de crédito parcelado",D389),Config!$A$12:$A$15,0)),0)/30*MAX(1,N(E389)),0))</f>
        <v/>
      </c>
      <c r="I389" s="29">
        <f>IF(OR(D389="",F389=""),"",ROUND(F389*H389,2))</f>
        <v/>
      </c>
      <c r="J389" s="29">
        <f>IF(I389="","",F389-I389)</f>
        <v/>
      </c>
      <c r="K389" s="37">
        <f>IF(OR(D389="",A389=""),"",A389+IF(AND(Config!$B$17="Sim",LEFT(D389,17)="Cartão de crédito"),1,IFERROR(INDEX(Config!$C$12:$C$15,MATCH(IF(AND(D389="Cartão de crédito",N(E389)&gt;1),"Cartão de crédito parcelado",D389),Config!$A$12:$A$15,0)),0)))</f>
        <v/>
      </c>
      <c r="L389" s="27">
        <f>IF(A389="","",MONTH(A389))</f>
        <v/>
      </c>
      <c r="M389" s="27">
        <f>IF(A389="","",YEAR(A389))</f>
        <v/>
      </c>
      <c r="N389" s="27">
        <f>IF(K389="","",IF(G389="Sim","Conferido",IF(K389&gt;Config!$B$8,"A cair","A conferir")))</f>
        <v/>
      </c>
      <c r="O389" s="50">
        <f>IF(N389="A conferir",(Config!$B$8-K389)*1000+N(F389)/1000+ROW()/100000,0)</f>
        <v>0</v>
      </c>
    </row>
    <row r="390">
      <c r="A390" s="48" t="n"/>
      <c r="B390" s="40" t="n"/>
      <c r="C390" s="40" t="n"/>
      <c r="D390" s="41" t="n"/>
      <c r="E390" s="41" t="n"/>
      <c r="F390" s="49" t="n"/>
      <c r="G390" s="41" t="n"/>
      <c r="H390" s="30">
        <f>IF(D390="","",IFERROR(INDEX(Config!$B$12:$B$15,MATCH(IF(AND(D390="Cartão de crédito",N(E390)&gt;1),"Cartão de crédito parcelado",D390),Config!$A$12:$A$15,0)),0)+IF(AND(Config!$B$17="Sim",LEFT(D390,17)="Cartão de crédito"),Config!$B$18*IFERROR(INDEX(Config!$C$12:$C$15,MATCH(IF(AND(D390="Cartão de crédito",N(E390)&gt;1),"Cartão de crédito parcelado",D390),Config!$A$12:$A$15,0)),0)/30*MAX(1,N(E390)),0))</f>
        <v/>
      </c>
      <c r="I390" s="29">
        <f>IF(OR(D390="",F390=""),"",ROUND(F390*H390,2))</f>
        <v/>
      </c>
      <c r="J390" s="29">
        <f>IF(I390="","",F390-I390)</f>
        <v/>
      </c>
      <c r="K390" s="37">
        <f>IF(OR(D390="",A390=""),"",A390+IF(AND(Config!$B$17="Sim",LEFT(D390,17)="Cartão de crédito"),1,IFERROR(INDEX(Config!$C$12:$C$15,MATCH(IF(AND(D390="Cartão de crédito",N(E390)&gt;1),"Cartão de crédito parcelado",D390),Config!$A$12:$A$15,0)),0)))</f>
        <v/>
      </c>
      <c r="L390" s="27">
        <f>IF(A390="","",MONTH(A390))</f>
        <v/>
      </c>
      <c r="M390" s="27">
        <f>IF(A390="","",YEAR(A390))</f>
        <v/>
      </c>
      <c r="N390" s="27">
        <f>IF(K390="","",IF(G390="Sim","Conferido",IF(K390&gt;Config!$B$8,"A cair","A conferir")))</f>
        <v/>
      </c>
      <c r="O390" s="50">
        <f>IF(N390="A conferir",(Config!$B$8-K390)*1000+N(F390)/1000+ROW()/100000,0)</f>
        <v>0</v>
      </c>
    </row>
    <row r="391">
      <c r="A391" s="48" t="n"/>
      <c r="B391" s="40" t="n"/>
      <c r="C391" s="40" t="n"/>
      <c r="D391" s="41" t="n"/>
      <c r="E391" s="41" t="n"/>
      <c r="F391" s="49" t="n"/>
      <c r="G391" s="41" t="n"/>
      <c r="H391" s="30">
        <f>IF(D391="","",IFERROR(INDEX(Config!$B$12:$B$15,MATCH(IF(AND(D391="Cartão de crédito",N(E391)&gt;1),"Cartão de crédito parcelado",D391),Config!$A$12:$A$15,0)),0)+IF(AND(Config!$B$17="Sim",LEFT(D391,17)="Cartão de crédito"),Config!$B$18*IFERROR(INDEX(Config!$C$12:$C$15,MATCH(IF(AND(D391="Cartão de crédito",N(E391)&gt;1),"Cartão de crédito parcelado",D391),Config!$A$12:$A$15,0)),0)/30*MAX(1,N(E391)),0))</f>
        <v/>
      </c>
      <c r="I391" s="29">
        <f>IF(OR(D391="",F391=""),"",ROUND(F391*H391,2))</f>
        <v/>
      </c>
      <c r="J391" s="29">
        <f>IF(I391="","",F391-I391)</f>
        <v/>
      </c>
      <c r="K391" s="37">
        <f>IF(OR(D391="",A391=""),"",A391+IF(AND(Config!$B$17="Sim",LEFT(D391,17)="Cartão de crédito"),1,IFERROR(INDEX(Config!$C$12:$C$15,MATCH(IF(AND(D391="Cartão de crédito",N(E391)&gt;1),"Cartão de crédito parcelado",D391),Config!$A$12:$A$15,0)),0)))</f>
        <v/>
      </c>
      <c r="L391" s="27">
        <f>IF(A391="","",MONTH(A391))</f>
        <v/>
      </c>
      <c r="M391" s="27">
        <f>IF(A391="","",YEAR(A391))</f>
        <v/>
      </c>
      <c r="N391" s="27">
        <f>IF(K391="","",IF(G391="Sim","Conferido",IF(K391&gt;Config!$B$8,"A cair","A conferir")))</f>
        <v/>
      </c>
      <c r="O391" s="50">
        <f>IF(N391="A conferir",(Config!$B$8-K391)*1000+N(F391)/1000+ROW()/100000,0)</f>
        <v>0</v>
      </c>
    </row>
    <row r="392">
      <c r="A392" s="48" t="n"/>
      <c r="B392" s="40" t="n"/>
      <c r="C392" s="40" t="n"/>
      <c r="D392" s="41" t="n"/>
      <c r="E392" s="41" t="n"/>
      <c r="F392" s="49" t="n"/>
      <c r="G392" s="41" t="n"/>
      <c r="H392" s="30">
        <f>IF(D392="","",IFERROR(INDEX(Config!$B$12:$B$15,MATCH(IF(AND(D392="Cartão de crédito",N(E392)&gt;1),"Cartão de crédito parcelado",D392),Config!$A$12:$A$15,0)),0)+IF(AND(Config!$B$17="Sim",LEFT(D392,17)="Cartão de crédito"),Config!$B$18*IFERROR(INDEX(Config!$C$12:$C$15,MATCH(IF(AND(D392="Cartão de crédito",N(E392)&gt;1),"Cartão de crédito parcelado",D392),Config!$A$12:$A$15,0)),0)/30*MAX(1,N(E392)),0))</f>
        <v/>
      </c>
      <c r="I392" s="29">
        <f>IF(OR(D392="",F392=""),"",ROUND(F392*H392,2))</f>
        <v/>
      </c>
      <c r="J392" s="29">
        <f>IF(I392="","",F392-I392)</f>
        <v/>
      </c>
      <c r="K392" s="37">
        <f>IF(OR(D392="",A392=""),"",A392+IF(AND(Config!$B$17="Sim",LEFT(D392,17)="Cartão de crédito"),1,IFERROR(INDEX(Config!$C$12:$C$15,MATCH(IF(AND(D392="Cartão de crédito",N(E392)&gt;1),"Cartão de crédito parcelado",D392),Config!$A$12:$A$15,0)),0)))</f>
        <v/>
      </c>
      <c r="L392" s="27">
        <f>IF(A392="","",MONTH(A392))</f>
        <v/>
      </c>
      <c r="M392" s="27">
        <f>IF(A392="","",YEAR(A392))</f>
        <v/>
      </c>
      <c r="N392" s="27">
        <f>IF(K392="","",IF(G392="Sim","Conferido",IF(K392&gt;Config!$B$8,"A cair","A conferir")))</f>
        <v/>
      </c>
      <c r="O392" s="50">
        <f>IF(N392="A conferir",(Config!$B$8-K392)*1000+N(F392)/1000+ROW()/100000,0)</f>
        <v>0</v>
      </c>
    </row>
    <row r="393">
      <c r="A393" s="48" t="n"/>
      <c r="B393" s="40" t="n"/>
      <c r="C393" s="40" t="n"/>
      <c r="D393" s="41" t="n"/>
      <c r="E393" s="41" t="n"/>
      <c r="F393" s="49" t="n"/>
      <c r="G393" s="41" t="n"/>
      <c r="H393" s="30">
        <f>IF(D393="","",IFERROR(INDEX(Config!$B$12:$B$15,MATCH(IF(AND(D393="Cartão de crédito",N(E393)&gt;1),"Cartão de crédito parcelado",D393),Config!$A$12:$A$15,0)),0)+IF(AND(Config!$B$17="Sim",LEFT(D393,17)="Cartão de crédito"),Config!$B$18*IFERROR(INDEX(Config!$C$12:$C$15,MATCH(IF(AND(D393="Cartão de crédito",N(E393)&gt;1),"Cartão de crédito parcelado",D393),Config!$A$12:$A$15,0)),0)/30*MAX(1,N(E393)),0))</f>
        <v/>
      </c>
      <c r="I393" s="29">
        <f>IF(OR(D393="",F393=""),"",ROUND(F393*H393,2))</f>
        <v/>
      </c>
      <c r="J393" s="29">
        <f>IF(I393="","",F393-I393)</f>
        <v/>
      </c>
      <c r="K393" s="37">
        <f>IF(OR(D393="",A393=""),"",A393+IF(AND(Config!$B$17="Sim",LEFT(D393,17)="Cartão de crédito"),1,IFERROR(INDEX(Config!$C$12:$C$15,MATCH(IF(AND(D393="Cartão de crédito",N(E393)&gt;1),"Cartão de crédito parcelado",D393),Config!$A$12:$A$15,0)),0)))</f>
        <v/>
      </c>
      <c r="L393" s="27">
        <f>IF(A393="","",MONTH(A393))</f>
        <v/>
      </c>
      <c r="M393" s="27">
        <f>IF(A393="","",YEAR(A393))</f>
        <v/>
      </c>
      <c r="N393" s="27">
        <f>IF(K393="","",IF(G393="Sim","Conferido",IF(K393&gt;Config!$B$8,"A cair","A conferir")))</f>
        <v/>
      </c>
      <c r="O393" s="50">
        <f>IF(N393="A conferir",(Config!$B$8-K393)*1000+N(F393)/1000+ROW()/100000,0)</f>
        <v>0</v>
      </c>
    </row>
    <row r="394">
      <c r="A394" s="48" t="n"/>
      <c r="B394" s="40" t="n"/>
      <c r="C394" s="40" t="n"/>
      <c r="D394" s="41" t="n"/>
      <c r="E394" s="41" t="n"/>
      <c r="F394" s="49" t="n"/>
      <c r="G394" s="41" t="n"/>
      <c r="H394" s="30">
        <f>IF(D394="","",IFERROR(INDEX(Config!$B$12:$B$15,MATCH(IF(AND(D394="Cartão de crédito",N(E394)&gt;1),"Cartão de crédito parcelado",D394),Config!$A$12:$A$15,0)),0)+IF(AND(Config!$B$17="Sim",LEFT(D394,17)="Cartão de crédito"),Config!$B$18*IFERROR(INDEX(Config!$C$12:$C$15,MATCH(IF(AND(D394="Cartão de crédito",N(E394)&gt;1),"Cartão de crédito parcelado",D394),Config!$A$12:$A$15,0)),0)/30*MAX(1,N(E394)),0))</f>
        <v/>
      </c>
      <c r="I394" s="29">
        <f>IF(OR(D394="",F394=""),"",ROUND(F394*H394,2))</f>
        <v/>
      </c>
      <c r="J394" s="29">
        <f>IF(I394="","",F394-I394)</f>
        <v/>
      </c>
      <c r="K394" s="37">
        <f>IF(OR(D394="",A394=""),"",A394+IF(AND(Config!$B$17="Sim",LEFT(D394,17)="Cartão de crédito"),1,IFERROR(INDEX(Config!$C$12:$C$15,MATCH(IF(AND(D394="Cartão de crédito",N(E394)&gt;1),"Cartão de crédito parcelado",D394),Config!$A$12:$A$15,0)),0)))</f>
        <v/>
      </c>
      <c r="L394" s="27">
        <f>IF(A394="","",MONTH(A394))</f>
        <v/>
      </c>
      <c r="M394" s="27">
        <f>IF(A394="","",YEAR(A394))</f>
        <v/>
      </c>
      <c r="N394" s="27">
        <f>IF(K394="","",IF(G394="Sim","Conferido",IF(K394&gt;Config!$B$8,"A cair","A conferir")))</f>
        <v/>
      </c>
      <c r="O394" s="50">
        <f>IF(N394="A conferir",(Config!$B$8-K394)*1000+N(F394)/1000+ROW()/100000,0)</f>
        <v>0</v>
      </c>
    </row>
    <row r="395">
      <c r="A395" s="48" t="n"/>
      <c r="B395" s="40" t="n"/>
      <c r="C395" s="40" t="n"/>
      <c r="D395" s="41" t="n"/>
      <c r="E395" s="41" t="n"/>
      <c r="F395" s="49" t="n"/>
      <c r="G395" s="41" t="n"/>
      <c r="H395" s="30">
        <f>IF(D395="","",IFERROR(INDEX(Config!$B$12:$B$15,MATCH(IF(AND(D395="Cartão de crédito",N(E395)&gt;1),"Cartão de crédito parcelado",D395),Config!$A$12:$A$15,0)),0)+IF(AND(Config!$B$17="Sim",LEFT(D395,17)="Cartão de crédito"),Config!$B$18*IFERROR(INDEX(Config!$C$12:$C$15,MATCH(IF(AND(D395="Cartão de crédito",N(E395)&gt;1),"Cartão de crédito parcelado",D395),Config!$A$12:$A$15,0)),0)/30*MAX(1,N(E395)),0))</f>
        <v/>
      </c>
      <c r="I395" s="29">
        <f>IF(OR(D395="",F395=""),"",ROUND(F395*H395,2))</f>
        <v/>
      </c>
      <c r="J395" s="29">
        <f>IF(I395="","",F395-I395)</f>
        <v/>
      </c>
      <c r="K395" s="37">
        <f>IF(OR(D395="",A395=""),"",A395+IF(AND(Config!$B$17="Sim",LEFT(D395,17)="Cartão de crédito"),1,IFERROR(INDEX(Config!$C$12:$C$15,MATCH(IF(AND(D395="Cartão de crédito",N(E395)&gt;1),"Cartão de crédito parcelado",D395),Config!$A$12:$A$15,0)),0)))</f>
        <v/>
      </c>
      <c r="L395" s="27">
        <f>IF(A395="","",MONTH(A395))</f>
        <v/>
      </c>
      <c r="M395" s="27">
        <f>IF(A395="","",YEAR(A395))</f>
        <v/>
      </c>
      <c r="N395" s="27">
        <f>IF(K395="","",IF(G395="Sim","Conferido",IF(K395&gt;Config!$B$8,"A cair","A conferir")))</f>
        <v/>
      </c>
      <c r="O395" s="50">
        <f>IF(N395="A conferir",(Config!$B$8-K395)*1000+N(F395)/1000+ROW()/100000,0)</f>
        <v>0</v>
      </c>
    </row>
    <row r="396">
      <c r="A396" s="48" t="n"/>
      <c r="B396" s="40" t="n"/>
      <c r="C396" s="40" t="n"/>
      <c r="D396" s="41" t="n"/>
      <c r="E396" s="41" t="n"/>
      <c r="F396" s="49" t="n"/>
      <c r="G396" s="41" t="n"/>
      <c r="H396" s="30">
        <f>IF(D396="","",IFERROR(INDEX(Config!$B$12:$B$15,MATCH(IF(AND(D396="Cartão de crédito",N(E396)&gt;1),"Cartão de crédito parcelado",D396),Config!$A$12:$A$15,0)),0)+IF(AND(Config!$B$17="Sim",LEFT(D396,17)="Cartão de crédito"),Config!$B$18*IFERROR(INDEX(Config!$C$12:$C$15,MATCH(IF(AND(D396="Cartão de crédito",N(E396)&gt;1),"Cartão de crédito parcelado",D396),Config!$A$12:$A$15,0)),0)/30*MAX(1,N(E396)),0))</f>
        <v/>
      </c>
      <c r="I396" s="29">
        <f>IF(OR(D396="",F396=""),"",ROUND(F396*H396,2))</f>
        <v/>
      </c>
      <c r="J396" s="29">
        <f>IF(I396="","",F396-I396)</f>
        <v/>
      </c>
      <c r="K396" s="37">
        <f>IF(OR(D396="",A396=""),"",A396+IF(AND(Config!$B$17="Sim",LEFT(D396,17)="Cartão de crédito"),1,IFERROR(INDEX(Config!$C$12:$C$15,MATCH(IF(AND(D396="Cartão de crédito",N(E396)&gt;1),"Cartão de crédito parcelado",D396),Config!$A$12:$A$15,0)),0)))</f>
        <v/>
      </c>
      <c r="L396" s="27">
        <f>IF(A396="","",MONTH(A396))</f>
        <v/>
      </c>
      <c r="M396" s="27">
        <f>IF(A396="","",YEAR(A396))</f>
        <v/>
      </c>
      <c r="N396" s="27">
        <f>IF(K396="","",IF(G396="Sim","Conferido",IF(K396&gt;Config!$B$8,"A cair","A conferir")))</f>
        <v/>
      </c>
      <c r="O396" s="50">
        <f>IF(N396="A conferir",(Config!$B$8-K396)*1000+N(F396)/1000+ROW()/100000,0)</f>
        <v>0</v>
      </c>
    </row>
    <row r="397">
      <c r="A397" s="48" t="n"/>
      <c r="B397" s="40" t="n"/>
      <c r="C397" s="40" t="n"/>
      <c r="D397" s="41" t="n"/>
      <c r="E397" s="41" t="n"/>
      <c r="F397" s="49" t="n"/>
      <c r="G397" s="41" t="n"/>
      <c r="H397" s="30">
        <f>IF(D397="","",IFERROR(INDEX(Config!$B$12:$B$15,MATCH(IF(AND(D397="Cartão de crédito",N(E397)&gt;1),"Cartão de crédito parcelado",D397),Config!$A$12:$A$15,0)),0)+IF(AND(Config!$B$17="Sim",LEFT(D397,17)="Cartão de crédito"),Config!$B$18*IFERROR(INDEX(Config!$C$12:$C$15,MATCH(IF(AND(D397="Cartão de crédito",N(E397)&gt;1),"Cartão de crédito parcelado",D397),Config!$A$12:$A$15,0)),0)/30*MAX(1,N(E397)),0))</f>
        <v/>
      </c>
      <c r="I397" s="29">
        <f>IF(OR(D397="",F397=""),"",ROUND(F397*H397,2))</f>
        <v/>
      </c>
      <c r="J397" s="29">
        <f>IF(I397="","",F397-I397)</f>
        <v/>
      </c>
      <c r="K397" s="37">
        <f>IF(OR(D397="",A397=""),"",A397+IF(AND(Config!$B$17="Sim",LEFT(D397,17)="Cartão de crédito"),1,IFERROR(INDEX(Config!$C$12:$C$15,MATCH(IF(AND(D397="Cartão de crédito",N(E397)&gt;1),"Cartão de crédito parcelado",D397),Config!$A$12:$A$15,0)),0)))</f>
        <v/>
      </c>
      <c r="L397" s="27">
        <f>IF(A397="","",MONTH(A397))</f>
        <v/>
      </c>
      <c r="M397" s="27">
        <f>IF(A397="","",YEAR(A397))</f>
        <v/>
      </c>
      <c r="N397" s="27">
        <f>IF(K397="","",IF(G397="Sim","Conferido",IF(K397&gt;Config!$B$8,"A cair","A conferir")))</f>
        <v/>
      </c>
      <c r="O397" s="50">
        <f>IF(N397="A conferir",(Config!$B$8-K397)*1000+N(F397)/1000+ROW()/100000,0)</f>
        <v>0</v>
      </c>
    </row>
    <row r="398">
      <c r="A398" s="48" t="n"/>
      <c r="B398" s="40" t="n"/>
      <c r="C398" s="40" t="n"/>
      <c r="D398" s="41" t="n"/>
      <c r="E398" s="41" t="n"/>
      <c r="F398" s="49" t="n"/>
      <c r="G398" s="41" t="n"/>
      <c r="H398" s="30">
        <f>IF(D398="","",IFERROR(INDEX(Config!$B$12:$B$15,MATCH(IF(AND(D398="Cartão de crédito",N(E398)&gt;1),"Cartão de crédito parcelado",D398),Config!$A$12:$A$15,0)),0)+IF(AND(Config!$B$17="Sim",LEFT(D398,17)="Cartão de crédito"),Config!$B$18*IFERROR(INDEX(Config!$C$12:$C$15,MATCH(IF(AND(D398="Cartão de crédito",N(E398)&gt;1),"Cartão de crédito parcelado",D398),Config!$A$12:$A$15,0)),0)/30*MAX(1,N(E398)),0))</f>
        <v/>
      </c>
      <c r="I398" s="29">
        <f>IF(OR(D398="",F398=""),"",ROUND(F398*H398,2))</f>
        <v/>
      </c>
      <c r="J398" s="29">
        <f>IF(I398="","",F398-I398)</f>
        <v/>
      </c>
      <c r="K398" s="37">
        <f>IF(OR(D398="",A398=""),"",A398+IF(AND(Config!$B$17="Sim",LEFT(D398,17)="Cartão de crédito"),1,IFERROR(INDEX(Config!$C$12:$C$15,MATCH(IF(AND(D398="Cartão de crédito",N(E398)&gt;1),"Cartão de crédito parcelado",D398),Config!$A$12:$A$15,0)),0)))</f>
        <v/>
      </c>
      <c r="L398" s="27">
        <f>IF(A398="","",MONTH(A398))</f>
        <v/>
      </c>
      <c r="M398" s="27">
        <f>IF(A398="","",YEAR(A398))</f>
        <v/>
      </c>
      <c r="N398" s="27">
        <f>IF(K398="","",IF(G398="Sim","Conferido",IF(K398&gt;Config!$B$8,"A cair","A conferir")))</f>
        <v/>
      </c>
      <c r="O398" s="50">
        <f>IF(N398="A conferir",(Config!$B$8-K398)*1000+N(F398)/1000+ROW()/100000,0)</f>
        <v>0</v>
      </c>
    </row>
    <row r="399">
      <c r="A399" s="48" t="n"/>
      <c r="B399" s="40" t="n"/>
      <c r="C399" s="40" t="n"/>
      <c r="D399" s="41" t="n"/>
      <c r="E399" s="41" t="n"/>
      <c r="F399" s="49" t="n"/>
      <c r="G399" s="41" t="n"/>
      <c r="H399" s="30">
        <f>IF(D399="","",IFERROR(INDEX(Config!$B$12:$B$15,MATCH(IF(AND(D399="Cartão de crédito",N(E399)&gt;1),"Cartão de crédito parcelado",D399),Config!$A$12:$A$15,0)),0)+IF(AND(Config!$B$17="Sim",LEFT(D399,17)="Cartão de crédito"),Config!$B$18*IFERROR(INDEX(Config!$C$12:$C$15,MATCH(IF(AND(D399="Cartão de crédito",N(E399)&gt;1),"Cartão de crédito parcelado",D399),Config!$A$12:$A$15,0)),0)/30*MAX(1,N(E399)),0))</f>
        <v/>
      </c>
      <c r="I399" s="29">
        <f>IF(OR(D399="",F399=""),"",ROUND(F399*H399,2))</f>
        <v/>
      </c>
      <c r="J399" s="29">
        <f>IF(I399="","",F399-I399)</f>
        <v/>
      </c>
      <c r="K399" s="37">
        <f>IF(OR(D399="",A399=""),"",A399+IF(AND(Config!$B$17="Sim",LEFT(D399,17)="Cartão de crédito"),1,IFERROR(INDEX(Config!$C$12:$C$15,MATCH(IF(AND(D399="Cartão de crédito",N(E399)&gt;1),"Cartão de crédito parcelado",D399),Config!$A$12:$A$15,0)),0)))</f>
        <v/>
      </c>
      <c r="L399" s="27">
        <f>IF(A399="","",MONTH(A399))</f>
        <v/>
      </c>
      <c r="M399" s="27">
        <f>IF(A399="","",YEAR(A399))</f>
        <v/>
      </c>
      <c r="N399" s="27">
        <f>IF(K399="","",IF(G399="Sim","Conferido",IF(K399&gt;Config!$B$8,"A cair","A conferir")))</f>
        <v/>
      </c>
      <c r="O399" s="50">
        <f>IF(N399="A conferir",(Config!$B$8-K399)*1000+N(F399)/1000+ROW()/100000,0)</f>
        <v>0</v>
      </c>
    </row>
    <row r="400">
      <c r="A400" s="48" t="n"/>
      <c r="B400" s="40" t="n"/>
      <c r="C400" s="40" t="n"/>
      <c r="D400" s="41" t="n"/>
      <c r="E400" s="41" t="n"/>
      <c r="F400" s="49" t="n"/>
      <c r="G400" s="41" t="n"/>
      <c r="H400" s="30">
        <f>IF(D400="","",IFERROR(INDEX(Config!$B$12:$B$15,MATCH(IF(AND(D400="Cartão de crédito",N(E400)&gt;1),"Cartão de crédito parcelado",D400),Config!$A$12:$A$15,0)),0)+IF(AND(Config!$B$17="Sim",LEFT(D400,17)="Cartão de crédito"),Config!$B$18*IFERROR(INDEX(Config!$C$12:$C$15,MATCH(IF(AND(D400="Cartão de crédito",N(E400)&gt;1),"Cartão de crédito parcelado",D400),Config!$A$12:$A$15,0)),0)/30*MAX(1,N(E400)),0))</f>
        <v/>
      </c>
      <c r="I400" s="29">
        <f>IF(OR(D400="",F400=""),"",ROUND(F400*H400,2))</f>
        <v/>
      </c>
      <c r="J400" s="29">
        <f>IF(I400="","",F400-I400)</f>
        <v/>
      </c>
      <c r="K400" s="37">
        <f>IF(OR(D400="",A400=""),"",A400+IF(AND(Config!$B$17="Sim",LEFT(D400,17)="Cartão de crédito"),1,IFERROR(INDEX(Config!$C$12:$C$15,MATCH(IF(AND(D400="Cartão de crédito",N(E400)&gt;1),"Cartão de crédito parcelado",D400),Config!$A$12:$A$15,0)),0)))</f>
        <v/>
      </c>
      <c r="L400" s="27">
        <f>IF(A400="","",MONTH(A400))</f>
        <v/>
      </c>
      <c r="M400" s="27">
        <f>IF(A400="","",YEAR(A400))</f>
        <v/>
      </c>
      <c r="N400" s="27">
        <f>IF(K400="","",IF(G400="Sim","Conferido",IF(K400&gt;Config!$B$8,"A cair","A conferir")))</f>
        <v/>
      </c>
      <c r="O400" s="50">
        <f>IF(N400="A conferir",(Config!$B$8-K400)*1000+N(F400)/1000+ROW()/100000,0)</f>
        <v>0</v>
      </c>
    </row>
    <row r="401">
      <c r="A401" s="48" t="n"/>
      <c r="B401" s="40" t="n"/>
      <c r="C401" s="40" t="n"/>
      <c r="D401" s="41" t="n"/>
      <c r="E401" s="41" t="n"/>
      <c r="F401" s="49" t="n"/>
      <c r="G401" s="41" t="n"/>
      <c r="H401" s="30">
        <f>IF(D401="","",IFERROR(INDEX(Config!$B$12:$B$15,MATCH(IF(AND(D401="Cartão de crédito",N(E401)&gt;1),"Cartão de crédito parcelado",D401),Config!$A$12:$A$15,0)),0)+IF(AND(Config!$B$17="Sim",LEFT(D401,17)="Cartão de crédito"),Config!$B$18*IFERROR(INDEX(Config!$C$12:$C$15,MATCH(IF(AND(D401="Cartão de crédito",N(E401)&gt;1),"Cartão de crédito parcelado",D401),Config!$A$12:$A$15,0)),0)/30*MAX(1,N(E401)),0))</f>
        <v/>
      </c>
      <c r="I401" s="29">
        <f>IF(OR(D401="",F401=""),"",ROUND(F401*H401,2))</f>
        <v/>
      </c>
      <c r="J401" s="29">
        <f>IF(I401="","",F401-I401)</f>
        <v/>
      </c>
      <c r="K401" s="37">
        <f>IF(OR(D401="",A401=""),"",A401+IF(AND(Config!$B$17="Sim",LEFT(D401,17)="Cartão de crédito"),1,IFERROR(INDEX(Config!$C$12:$C$15,MATCH(IF(AND(D401="Cartão de crédito",N(E401)&gt;1),"Cartão de crédito parcelado",D401),Config!$A$12:$A$15,0)),0)))</f>
        <v/>
      </c>
      <c r="L401" s="27">
        <f>IF(A401="","",MONTH(A401))</f>
        <v/>
      </c>
      <c r="M401" s="27">
        <f>IF(A401="","",YEAR(A401))</f>
        <v/>
      </c>
      <c r="N401" s="27">
        <f>IF(K401="","",IF(G401="Sim","Conferido",IF(K401&gt;Config!$B$8,"A cair","A conferir")))</f>
        <v/>
      </c>
      <c r="O401" s="50">
        <f>IF(N401="A conferir",(Config!$B$8-K401)*1000+N(F401)/1000+ROW()/100000,0)</f>
        <v>0</v>
      </c>
    </row>
    <row r="402">
      <c r="A402" s="48" t="n"/>
      <c r="B402" s="40" t="n"/>
      <c r="C402" s="40" t="n"/>
      <c r="D402" s="41" t="n"/>
      <c r="E402" s="41" t="n"/>
      <c r="F402" s="49" t="n"/>
      <c r="G402" s="41" t="n"/>
      <c r="H402" s="30">
        <f>IF(D402="","",IFERROR(INDEX(Config!$B$12:$B$15,MATCH(IF(AND(D402="Cartão de crédito",N(E402)&gt;1),"Cartão de crédito parcelado",D402),Config!$A$12:$A$15,0)),0)+IF(AND(Config!$B$17="Sim",LEFT(D402,17)="Cartão de crédito"),Config!$B$18*IFERROR(INDEX(Config!$C$12:$C$15,MATCH(IF(AND(D402="Cartão de crédito",N(E402)&gt;1),"Cartão de crédito parcelado",D402),Config!$A$12:$A$15,0)),0)/30*MAX(1,N(E402)),0))</f>
        <v/>
      </c>
      <c r="I402" s="29">
        <f>IF(OR(D402="",F402=""),"",ROUND(F402*H402,2))</f>
        <v/>
      </c>
      <c r="J402" s="29">
        <f>IF(I402="","",F402-I402)</f>
        <v/>
      </c>
      <c r="K402" s="37">
        <f>IF(OR(D402="",A402=""),"",A402+IF(AND(Config!$B$17="Sim",LEFT(D402,17)="Cartão de crédito"),1,IFERROR(INDEX(Config!$C$12:$C$15,MATCH(IF(AND(D402="Cartão de crédito",N(E402)&gt;1),"Cartão de crédito parcelado",D402),Config!$A$12:$A$15,0)),0)))</f>
        <v/>
      </c>
      <c r="L402" s="27">
        <f>IF(A402="","",MONTH(A402))</f>
        <v/>
      </c>
      <c r="M402" s="27">
        <f>IF(A402="","",YEAR(A402))</f>
        <v/>
      </c>
      <c r="N402" s="27">
        <f>IF(K402="","",IF(G402="Sim","Conferido",IF(K402&gt;Config!$B$8,"A cair","A conferir")))</f>
        <v/>
      </c>
      <c r="O402" s="50">
        <f>IF(N402="A conferir",(Config!$B$8-K402)*1000+N(F402)/1000+ROW()/100000,0)</f>
        <v>0</v>
      </c>
    </row>
    <row r="403">
      <c r="A403" s="48" t="n"/>
      <c r="B403" s="40" t="n"/>
      <c r="C403" s="40" t="n"/>
      <c r="D403" s="41" t="n"/>
      <c r="E403" s="41" t="n"/>
      <c r="F403" s="49" t="n"/>
      <c r="G403" s="41" t="n"/>
      <c r="H403" s="30">
        <f>IF(D403="","",IFERROR(INDEX(Config!$B$12:$B$15,MATCH(IF(AND(D403="Cartão de crédito",N(E403)&gt;1),"Cartão de crédito parcelado",D403),Config!$A$12:$A$15,0)),0)+IF(AND(Config!$B$17="Sim",LEFT(D403,17)="Cartão de crédito"),Config!$B$18*IFERROR(INDEX(Config!$C$12:$C$15,MATCH(IF(AND(D403="Cartão de crédito",N(E403)&gt;1),"Cartão de crédito parcelado",D403),Config!$A$12:$A$15,0)),0)/30*MAX(1,N(E403)),0))</f>
        <v/>
      </c>
      <c r="I403" s="29">
        <f>IF(OR(D403="",F403=""),"",ROUND(F403*H403,2))</f>
        <v/>
      </c>
      <c r="J403" s="29">
        <f>IF(I403="","",F403-I403)</f>
        <v/>
      </c>
      <c r="K403" s="37">
        <f>IF(OR(D403="",A403=""),"",A403+IF(AND(Config!$B$17="Sim",LEFT(D403,17)="Cartão de crédito"),1,IFERROR(INDEX(Config!$C$12:$C$15,MATCH(IF(AND(D403="Cartão de crédito",N(E403)&gt;1),"Cartão de crédito parcelado",D403),Config!$A$12:$A$15,0)),0)))</f>
        <v/>
      </c>
      <c r="L403" s="27">
        <f>IF(A403="","",MONTH(A403))</f>
        <v/>
      </c>
      <c r="M403" s="27">
        <f>IF(A403="","",YEAR(A403))</f>
        <v/>
      </c>
      <c r="N403" s="27">
        <f>IF(K403="","",IF(G403="Sim","Conferido",IF(K403&gt;Config!$B$8,"A cair","A conferir")))</f>
        <v/>
      </c>
      <c r="O403" s="50">
        <f>IF(N403="A conferir",(Config!$B$8-K403)*1000+N(F403)/1000+ROW()/100000,0)</f>
        <v>0</v>
      </c>
    </row>
    <row r="404">
      <c r="A404" s="48" t="n"/>
      <c r="B404" s="40" t="n"/>
      <c r="C404" s="40" t="n"/>
      <c r="D404" s="41" t="n"/>
      <c r="E404" s="41" t="n"/>
      <c r="F404" s="49" t="n"/>
      <c r="G404" s="41" t="n"/>
      <c r="H404" s="30">
        <f>IF(D404="","",IFERROR(INDEX(Config!$B$12:$B$15,MATCH(IF(AND(D404="Cartão de crédito",N(E404)&gt;1),"Cartão de crédito parcelado",D404),Config!$A$12:$A$15,0)),0)+IF(AND(Config!$B$17="Sim",LEFT(D404,17)="Cartão de crédito"),Config!$B$18*IFERROR(INDEX(Config!$C$12:$C$15,MATCH(IF(AND(D404="Cartão de crédito",N(E404)&gt;1),"Cartão de crédito parcelado",D404),Config!$A$12:$A$15,0)),0)/30*MAX(1,N(E404)),0))</f>
        <v/>
      </c>
      <c r="I404" s="29">
        <f>IF(OR(D404="",F404=""),"",ROUND(F404*H404,2))</f>
        <v/>
      </c>
      <c r="J404" s="29">
        <f>IF(I404="","",F404-I404)</f>
        <v/>
      </c>
      <c r="K404" s="37">
        <f>IF(OR(D404="",A404=""),"",A404+IF(AND(Config!$B$17="Sim",LEFT(D404,17)="Cartão de crédito"),1,IFERROR(INDEX(Config!$C$12:$C$15,MATCH(IF(AND(D404="Cartão de crédito",N(E404)&gt;1),"Cartão de crédito parcelado",D404),Config!$A$12:$A$15,0)),0)))</f>
        <v/>
      </c>
      <c r="L404" s="27">
        <f>IF(A404="","",MONTH(A404))</f>
        <v/>
      </c>
      <c r="M404" s="27">
        <f>IF(A404="","",YEAR(A404))</f>
        <v/>
      </c>
      <c r="N404" s="27">
        <f>IF(K404="","",IF(G404="Sim","Conferido",IF(K404&gt;Config!$B$8,"A cair","A conferir")))</f>
        <v/>
      </c>
      <c r="O404" s="50">
        <f>IF(N404="A conferir",(Config!$B$8-K404)*1000+N(F404)/1000+ROW()/100000,0)</f>
        <v>0</v>
      </c>
    </row>
    <row r="405">
      <c r="A405" s="48" t="n"/>
      <c r="B405" s="40" t="n"/>
      <c r="C405" s="40" t="n"/>
      <c r="D405" s="41" t="n"/>
      <c r="E405" s="41" t="n"/>
      <c r="F405" s="49" t="n"/>
      <c r="G405" s="41" t="n"/>
      <c r="H405" s="30">
        <f>IF(D405="","",IFERROR(INDEX(Config!$B$12:$B$15,MATCH(IF(AND(D405="Cartão de crédito",N(E405)&gt;1),"Cartão de crédito parcelado",D405),Config!$A$12:$A$15,0)),0)+IF(AND(Config!$B$17="Sim",LEFT(D405,17)="Cartão de crédito"),Config!$B$18*IFERROR(INDEX(Config!$C$12:$C$15,MATCH(IF(AND(D405="Cartão de crédito",N(E405)&gt;1),"Cartão de crédito parcelado",D405),Config!$A$12:$A$15,0)),0)/30*MAX(1,N(E405)),0))</f>
        <v/>
      </c>
      <c r="I405" s="29">
        <f>IF(OR(D405="",F405=""),"",ROUND(F405*H405,2))</f>
        <v/>
      </c>
      <c r="J405" s="29">
        <f>IF(I405="","",F405-I405)</f>
        <v/>
      </c>
      <c r="K405" s="37">
        <f>IF(OR(D405="",A405=""),"",A405+IF(AND(Config!$B$17="Sim",LEFT(D405,17)="Cartão de crédito"),1,IFERROR(INDEX(Config!$C$12:$C$15,MATCH(IF(AND(D405="Cartão de crédito",N(E405)&gt;1),"Cartão de crédito parcelado",D405),Config!$A$12:$A$15,0)),0)))</f>
        <v/>
      </c>
      <c r="L405" s="27">
        <f>IF(A405="","",MONTH(A405))</f>
        <v/>
      </c>
      <c r="M405" s="27">
        <f>IF(A405="","",YEAR(A405))</f>
        <v/>
      </c>
      <c r="N405" s="27">
        <f>IF(K405="","",IF(G405="Sim","Conferido",IF(K405&gt;Config!$B$8,"A cair","A conferir")))</f>
        <v/>
      </c>
      <c r="O405" s="50">
        <f>IF(N405="A conferir",(Config!$B$8-K405)*1000+N(F405)/1000+ROW()/100000,0)</f>
        <v>0</v>
      </c>
    </row>
    <row r="406">
      <c r="A406" s="48" t="n"/>
      <c r="B406" s="40" t="n"/>
      <c r="C406" s="40" t="n"/>
      <c r="D406" s="41" t="n"/>
      <c r="E406" s="41" t="n"/>
      <c r="F406" s="49" t="n"/>
      <c r="G406" s="41" t="n"/>
      <c r="H406" s="30">
        <f>IF(D406="","",IFERROR(INDEX(Config!$B$12:$B$15,MATCH(IF(AND(D406="Cartão de crédito",N(E406)&gt;1),"Cartão de crédito parcelado",D406),Config!$A$12:$A$15,0)),0)+IF(AND(Config!$B$17="Sim",LEFT(D406,17)="Cartão de crédito"),Config!$B$18*IFERROR(INDEX(Config!$C$12:$C$15,MATCH(IF(AND(D406="Cartão de crédito",N(E406)&gt;1),"Cartão de crédito parcelado",D406),Config!$A$12:$A$15,0)),0)/30*MAX(1,N(E406)),0))</f>
        <v/>
      </c>
      <c r="I406" s="29">
        <f>IF(OR(D406="",F406=""),"",ROUND(F406*H406,2))</f>
        <v/>
      </c>
      <c r="J406" s="29">
        <f>IF(I406="","",F406-I406)</f>
        <v/>
      </c>
      <c r="K406" s="37">
        <f>IF(OR(D406="",A406=""),"",A406+IF(AND(Config!$B$17="Sim",LEFT(D406,17)="Cartão de crédito"),1,IFERROR(INDEX(Config!$C$12:$C$15,MATCH(IF(AND(D406="Cartão de crédito",N(E406)&gt;1),"Cartão de crédito parcelado",D406),Config!$A$12:$A$15,0)),0)))</f>
        <v/>
      </c>
      <c r="L406" s="27">
        <f>IF(A406="","",MONTH(A406))</f>
        <v/>
      </c>
      <c r="M406" s="27">
        <f>IF(A406="","",YEAR(A406))</f>
        <v/>
      </c>
      <c r="N406" s="27">
        <f>IF(K406="","",IF(G406="Sim","Conferido",IF(K406&gt;Config!$B$8,"A cair","A conferir")))</f>
        <v/>
      </c>
      <c r="O406" s="50">
        <f>IF(N406="A conferir",(Config!$B$8-K406)*1000+N(F406)/1000+ROW()/100000,0)</f>
        <v>0</v>
      </c>
    </row>
    <row r="407">
      <c r="A407" s="48" t="n"/>
      <c r="B407" s="40" t="n"/>
      <c r="C407" s="40" t="n"/>
      <c r="D407" s="41" t="n"/>
      <c r="E407" s="41" t="n"/>
      <c r="F407" s="49" t="n"/>
      <c r="G407" s="41" t="n"/>
      <c r="H407" s="30">
        <f>IF(D407="","",IFERROR(INDEX(Config!$B$12:$B$15,MATCH(IF(AND(D407="Cartão de crédito",N(E407)&gt;1),"Cartão de crédito parcelado",D407),Config!$A$12:$A$15,0)),0)+IF(AND(Config!$B$17="Sim",LEFT(D407,17)="Cartão de crédito"),Config!$B$18*IFERROR(INDEX(Config!$C$12:$C$15,MATCH(IF(AND(D407="Cartão de crédito",N(E407)&gt;1),"Cartão de crédito parcelado",D407),Config!$A$12:$A$15,0)),0)/30*MAX(1,N(E407)),0))</f>
        <v/>
      </c>
      <c r="I407" s="29">
        <f>IF(OR(D407="",F407=""),"",ROUND(F407*H407,2))</f>
        <v/>
      </c>
      <c r="J407" s="29">
        <f>IF(I407="","",F407-I407)</f>
        <v/>
      </c>
      <c r="K407" s="37">
        <f>IF(OR(D407="",A407=""),"",A407+IF(AND(Config!$B$17="Sim",LEFT(D407,17)="Cartão de crédito"),1,IFERROR(INDEX(Config!$C$12:$C$15,MATCH(IF(AND(D407="Cartão de crédito",N(E407)&gt;1),"Cartão de crédito parcelado",D407),Config!$A$12:$A$15,0)),0)))</f>
        <v/>
      </c>
      <c r="L407" s="27">
        <f>IF(A407="","",MONTH(A407))</f>
        <v/>
      </c>
      <c r="M407" s="27">
        <f>IF(A407="","",YEAR(A407))</f>
        <v/>
      </c>
      <c r="N407" s="27">
        <f>IF(K407="","",IF(G407="Sim","Conferido",IF(K407&gt;Config!$B$8,"A cair","A conferir")))</f>
        <v/>
      </c>
      <c r="O407" s="50">
        <f>IF(N407="A conferir",(Config!$B$8-K407)*1000+N(F407)/1000+ROW()/100000,0)</f>
        <v>0</v>
      </c>
    </row>
    <row r="408">
      <c r="A408" s="48" t="n"/>
      <c r="B408" s="40" t="n"/>
      <c r="C408" s="40" t="n"/>
      <c r="D408" s="41" t="n"/>
      <c r="E408" s="41" t="n"/>
      <c r="F408" s="49" t="n"/>
      <c r="G408" s="41" t="n"/>
      <c r="H408" s="30">
        <f>IF(D408="","",IFERROR(INDEX(Config!$B$12:$B$15,MATCH(IF(AND(D408="Cartão de crédito",N(E408)&gt;1),"Cartão de crédito parcelado",D408),Config!$A$12:$A$15,0)),0)+IF(AND(Config!$B$17="Sim",LEFT(D408,17)="Cartão de crédito"),Config!$B$18*IFERROR(INDEX(Config!$C$12:$C$15,MATCH(IF(AND(D408="Cartão de crédito",N(E408)&gt;1),"Cartão de crédito parcelado",D408),Config!$A$12:$A$15,0)),0)/30*MAX(1,N(E408)),0))</f>
        <v/>
      </c>
      <c r="I408" s="29">
        <f>IF(OR(D408="",F408=""),"",ROUND(F408*H408,2))</f>
        <v/>
      </c>
      <c r="J408" s="29">
        <f>IF(I408="","",F408-I408)</f>
        <v/>
      </c>
      <c r="K408" s="37">
        <f>IF(OR(D408="",A408=""),"",A408+IF(AND(Config!$B$17="Sim",LEFT(D408,17)="Cartão de crédito"),1,IFERROR(INDEX(Config!$C$12:$C$15,MATCH(IF(AND(D408="Cartão de crédito",N(E408)&gt;1),"Cartão de crédito parcelado",D408),Config!$A$12:$A$15,0)),0)))</f>
        <v/>
      </c>
      <c r="L408" s="27">
        <f>IF(A408="","",MONTH(A408))</f>
        <v/>
      </c>
      <c r="M408" s="27">
        <f>IF(A408="","",YEAR(A408))</f>
        <v/>
      </c>
      <c r="N408" s="27">
        <f>IF(K408="","",IF(G408="Sim","Conferido",IF(K408&gt;Config!$B$8,"A cair","A conferir")))</f>
        <v/>
      </c>
      <c r="O408" s="50">
        <f>IF(N408="A conferir",(Config!$B$8-K408)*1000+N(F408)/1000+ROW()/100000,0)</f>
        <v>0</v>
      </c>
    </row>
    <row r="409">
      <c r="A409" s="48" t="n"/>
      <c r="B409" s="40" t="n"/>
      <c r="C409" s="40" t="n"/>
      <c r="D409" s="41" t="n"/>
      <c r="E409" s="41" t="n"/>
      <c r="F409" s="49" t="n"/>
      <c r="G409" s="41" t="n"/>
      <c r="H409" s="30">
        <f>IF(D409="","",IFERROR(INDEX(Config!$B$12:$B$15,MATCH(IF(AND(D409="Cartão de crédito",N(E409)&gt;1),"Cartão de crédito parcelado",D409),Config!$A$12:$A$15,0)),0)+IF(AND(Config!$B$17="Sim",LEFT(D409,17)="Cartão de crédito"),Config!$B$18*IFERROR(INDEX(Config!$C$12:$C$15,MATCH(IF(AND(D409="Cartão de crédito",N(E409)&gt;1),"Cartão de crédito parcelado",D409),Config!$A$12:$A$15,0)),0)/30*MAX(1,N(E409)),0))</f>
        <v/>
      </c>
      <c r="I409" s="29">
        <f>IF(OR(D409="",F409=""),"",ROUND(F409*H409,2))</f>
        <v/>
      </c>
      <c r="J409" s="29">
        <f>IF(I409="","",F409-I409)</f>
        <v/>
      </c>
      <c r="K409" s="37">
        <f>IF(OR(D409="",A409=""),"",A409+IF(AND(Config!$B$17="Sim",LEFT(D409,17)="Cartão de crédito"),1,IFERROR(INDEX(Config!$C$12:$C$15,MATCH(IF(AND(D409="Cartão de crédito",N(E409)&gt;1),"Cartão de crédito parcelado",D409),Config!$A$12:$A$15,0)),0)))</f>
        <v/>
      </c>
      <c r="L409" s="27">
        <f>IF(A409="","",MONTH(A409))</f>
        <v/>
      </c>
      <c r="M409" s="27">
        <f>IF(A409="","",YEAR(A409))</f>
        <v/>
      </c>
      <c r="N409" s="27">
        <f>IF(K409="","",IF(G409="Sim","Conferido",IF(K409&gt;Config!$B$8,"A cair","A conferir")))</f>
        <v/>
      </c>
      <c r="O409" s="50">
        <f>IF(N409="A conferir",(Config!$B$8-K409)*1000+N(F409)/1000+ROW()/100000,0)</f>
        <v>0</v>
      </c>
    </row>
    <row r="410">
      <c r="A410" s="48" t="n"/>
      <c r="B410" s="40" t="n"/>
      <c r="C410" s="40" t="n"/>
      <c r="D410" s="41" t="n"/>
      <c r="E410" s="41" t="n"/>
      <c r="F410" s="49" t="n"/>
      <c r="G410" s="41" t="n"/>
      <c r="H410" s="30">
        <f>IF(D410="","",IFERROR(INDEX(Config!$B$12:$B$15,MATCH(IF(AND(D410="Cartão de crédito",N(E410)&gt;1),"Cartão de crédito parcelado",D410),Config!$A$12:$A$15,0)),0)+IF(AND(Config!$B$17="Sim",LEFT(D410,17)="Cartão de crédito"),Config!$B$18*IFERROR(INDEX(Config!$C$12:$C$15,MATCH(IF(AND(D410="Cartão de crédito",N(E410)&gt;1),"Cartão de crédito parcelado",D410),Config!$A$12:$A$15,0)),0)/30*MAX(1,N(E410)),0))</f>
        <v/>
      </c>
      <c r="I410" s="29">
        <f>IF(OR(D410="",F410=""),"",ROUND(F410*H410,2))</f>
        <v/>
      </c>
      <c r="J410" s="29">
        <f>IF(I410="","",F410-I410)</f>
        <v/>
      </c>
      <c r="K410" s="37">
        <f>IF(OR(D410="",A410=""),"",A410+IF(AND(Config!$B$17="Sim",LEFT(D410,17)="Cartão de crédito"),1,IFERROR(INDEX(Config!$C$12:$C$15,MATCH(IF(AND(D410="Cartão de crédito",N(E410)&gt;1),"Cartão de crédito parcelado",D410),Config!$A$12:$A$15,0)),0)))</f>
        <v/>
      </c>
      <c r="L410" s="27">
        <f>IF(A410="","",MONTH(A410))</f>
        <v/>
      </c>
      <c r="M410" s="27">
        <f>IF(A410="","",YEAR(A410))</f>
        <v/>
      </c>
      <c r="N410" s="27">
        <f>IF(K410="","",IF(G410="Sim","Conferido",IF(K410&gt;Config!$B$8,"A cair","A conferir")))</f>
        <v/>
      </c>
      <c r="O410" s="50">
        <f>IF(N410="A conferir",(Config!$B$8-K410)*1000+N(F410)/1000+ROW()/100000,0)</f>
        <v>0</v>
      </c>
    </row>
    <row r="411">
      <c r="A411" s="48" t="n"/>
      <c r="B411" s="40" t="n"/>
      <c r="C411" s="40" t="n"/>
      <c r="D411" s="41" t="n"/>
      <c r="E411" s="41" t="n"/>
      <c r="F411" s="49" t="n"/>
      <c r="G411" s="41" t="n"/>
      <c r="H411" s="30">
        <f>IF(D411="","",IFERROR(INDEX(Config!$B$12:$B$15,MATCH(IF(AND(D411="Cartão de crédito",N(E411)&gt;1),"Cartão de crédito parcelado",D411),Config!$A$12:$A$15,0)),0)+IF(AND(Config!$B$17="Sim",LEFT(D411,17)="Cartão de crédito"),Config!$B$18*IFERROR(INDEX(Config!$C$12:$C$15,MATCH(IF(AND(D411="Cartão de crédito",N(E411)&gt;1),"Cartão de crédito parcelado",D411),Config!$A$12:$A$15,0)),0)/30*MAX(1,N(E411)),0))</f>
        <v/>
      </c>
      <c r="I411" s="29">
        <f>IF(OR(D411="",F411=""),"",ROUND(F411*H411,2))</f>
        <v/>
      </c>
      <c r="J411" s="29">
        <f>IF(I411="","",F411-I411)</f>
        <v/>
      </c>
      <c r="K411" s="37">
        <f>IF(OR(D411="",A411=""),"",A411+IF(AND(Config!$B$17="Sim",LEFT(D411,17)="Cartão de crédito"),1,IFERROR(INDEX(Config!$C$12:$C$15,MATCH(IF(AND(D411="Cartão de crédito",N(E411)&gt;1),"Cartão de crédito parcelado",D411),Config!$A$12:$A$15,0)),0)))</f>
        <v/>
      </c>
      <c r="L411" s="27">
        <f>IF(A411="","",MONTH(A411))</f>
        <v/>
      </c>
      <c r="M411" s="27">
        <f>IF(A411="","",YEAR(A411))</f>
        <v/>
      </c>
      <c r="N411" s="27">
        <f>IF(K411="","",IF(G411="Sim","Conferido",IF(K411&gt;Config!$B$8,"A cair","A conferir")))</f>
        <v/>
      </c>
      <c r="O411" s="50">
        <f>IF(N411="A conferir",(Config!$B$8-K411)*1000+N(F411)/1000+ROW()/100000,0)</f>
        <v>0</v>
      </c>
    </row>
    <row r="412">
      <c r="A412" s="48" t="n"/>
      <c r="B412" s="40" t="n"/>
      <c r="C412" s="40" t="n"/>
      <c r="D412" s="41" t="n"/>
      <c r="E412" s="41" t="n"/>
      <c r="F412" s="49" t="n"/>
      <c r="G412" s="41" t="n"/>
      <c r="H412" s="30">
        <f>IF(D412="","",IFERROR(INDEX(Config!$B$12:$B$15,MATCH(IF(AND(D412="Cartão de crédito",N(E412)&gt;1),"Cartão de crédito parcelado",D412),Config!$A$12:$A$15,0)),0)+IF(AND(Config!$B$17="Sim",LEFT(D412,17)="Cartão de crédito"),Config!$B$18*IFERROR(INDEX(Config!$C$12:$C$15,MATCH(IF(AND(D412="Cartão de crédito",N(E412)&gt;1),"Cartão de crédito parcelado",D412),Config!$A$12:$A$15,0)),0)/30*MAX(1,N(E412)),0))</f>
        <v/>
      </c>
      <c r="I412" s="29">
        <f>IF(OR(D412="",F412=""),"",ROUND(F412*H412,2))</f>
        <v/>
      </c>
      <c r="J412" s="29">
        <f>IF(I412="","",F412-I412)</f>
        <v/>
      </c>
      <c r="K412" s="37">
        <f>IF(OR(D412="",A412=""),"",A412+IF(AND(Config!$B$17="Sim",LEFT(D412,17)="Cartão de crédito"),1,IFERROR(INDEX(Config!$C$12:$C$15,MATCH(IF(AND(D412="Cartão de crédito",N(E412)&gt;1),"Cartão de crédito parcelado",D412),Config!$A$12:$A$15,0)),0)))</f>
        <v/>
      </c>
      <c r="L412" s="27">
        <f>IF(A412="","",MONTH(A412))</f>
        <v/>
      </c>
      <c r="M412" s="27">
        <f>IF(A412="","",YEAR(A412))</f>
        <v/>
      </c>
      <c r="N412" s="27">
        <f>IF(K412="","",IF(G412="Sim","Conferido",IF(K412&gt;Config!$B$8,"A cair","A conferir")))</f>
        <v/>
      </c>
      <c r="O412" s="50">
        <f>IF(N412="A conferir",(Config!$B$8-K412)*1000+N(F412)/1000+ROW()/100000,0)</f>
        <v>0</v>
      </c>
    </row>
    <row r="413">
      <c r="A413" s="48" t="n"/>
      <c r="B413" s="40" t="n"/>
      <c r="C413" s="40" t="n"/>
      <c r="D413" s="41" t="n"/>
      <c r="E413" s="41" t="n"/>
      <c r="F413" s="49" t="n"/>
      <c r="G413" s="41" t="n"/>
      <c r="H413" s="30">
        <f>IF(D413="","",IFERROR(INDEX(Config!$B$12:$B$15,MATCH(IF(AND(D413="Cartão de crédito",N(E413)&gt;1),"Cartão de crédito parcelado",D413),Config!$A$12:$A$15,0)),0)+IF(AND(Config!$B$17="Sim",LEFT(D413,17)="Cartão de crédito"),Config!$B$18*IFERROR(INDEX(Config!$C$12:$C$15,MATCH(IF(AND(D413="Cartão de crédito",N(E413)&gt;1),"Cartão de crédito parcelado",D413),Config!$A$12:$A$15,0)),0)/30*MAX(1,N(E413)),0))</f>
        <v/>
      </c>
      <c r="I413" s="29">
        <f>IF(OR(D413="",F413=""),"",ROUND(F413*H413,2))</f>
        <v/>
      </c>
      <c r="J413" s="29">
        <f>IF(I413="","",F413-I413)</f>
        <v/>
      </c>
      <c r="K413" s="37">
        <f>IF(OR(D413="",A413=""),"",A413+IF(AND(Config!$B$17="Sim",LEFT(D413,17)="Cartão de crédito"),1,IFERROR(INDEX(Config!$C$12:$C$15,MATCH(IF(AND(D413="Cartão de crédito",N(E413)&gt;1),"Cartão de crédito parcelado",D413),Config!$A$12:$A$15,0)),0)))</f>
        <v/>
      </c>
      <c r="L413" s="27">
        <f>IF(A413="","",MONTH(A413))</f>
        <v/>
      </c>
      <c r="M413" s="27">
        <f>IF(A413="","",YEAR(A413))</f>
        <v/>
      </c>
      <c r="N413" s="27">
        <f>IF(K413="","",IF(G413="Sim","Conferido",IF(K413&gt;Config!$B$8,"A cair","A conferir")))</f>
        <v/>
      </c>
      <c r="O413" s="50">
        <f>IF(N413="A conferir",(Config!$B$8-K413)*1000+N(F413)/1000+ROW()/100000,0)</f>
        <v>0</v>
      </c>
    </row>
    <row r="414">
      <c r="A414" s="48" t="n"/>
      <c r="B414" s="40" t="n"/>
      <c r="C414" s="40" t="n"/>
      <c r="D414" s="41" t="n"/>
      <c r="E414" s="41" t="n"/>
      <c r="F414" s="49" t="n"/>
      <c r="G414" s="41" t="n"/>
      <c r="H414" s="30">
        <f>IF(D414="","",IFERROR(INDEX(Config!$B$12:$B$15,MATCH(IF(AND(D414="Cartão de crédito",N(E414)&gt;1),"Cartão de crédito parcelado",D414),Config!$A$12:$A$15,0)),0)+IF(AND(Config!$B$17="Sim",LEFT(D414,17)="Cartão de crédito"),Config!$B$18*IFERROR(INDEX(Config!$C$12:$C$15,MATCH(IF(AND(D414="Cartão de crédito",N(E414)&gt;1),"Cartão de crédito parcelado",D414),Config!$A$12:$A$15,0)),0)/30*MAX(1,N(E414)),0))</f>
        <v/>
      </c>
      <c r="I414" s="29">
        <f>IF(OR(D414="",F414=""),"",ROUND(F414*H414,2))</f>
        <v/>
      </c>
      <c r="J414" s="29">
        <f>IF(I414="","",F414-I414)</f>
        <v/>
      </c>
      <c r="K414" s="37">
        <f>IF(OR(D414="",A414=""),"",A414+IF(AND(Config!$B$17="Sim",LEFT(D414,17)="Cartão de crédito"),1,IFERROR(INDEX(Config!$C$12:$C$15,MATCH(IF(AND(D414="Cartão de crédito",N(E414)&gt;1),"Cartão de crédito parcelado",D414),Config!$A$12:$A$15,0)),0)))</f>
        <v/>
      </c>
      <c r="L414" s="27">
        <f>IF(A414="","",MONTH(A414))</f>
        <v/>
      </c>
      <c r="M414" s="27">
        <f>IF(A414="","",YEAR(A414))</f>
        <v/>
      </c>
      <c r="N414" s="27">
        <f>IF(K414="","",IF(G414="Sim","Conferido",IF(K414&gt;Config!$B$8,"A cair","A conferir")))</f>
        <v/>
      </c>
      <c r="O414" s="50">
        <f>IF(N414="A conferir",(Config!$B$8-K414)*1000+N(F414)/1000+ROW()/100000,0)</f>
        <v>0</v>
      </c>
    </row>
    <row r="415">
      <c r="A415" s="48" t="n"/>
      <c r="B415" s="40" t="n"/>
      <c r="C415" s="40" t="n"/>
      <c r="D415" s="41" t="n"/>
      <c r="E415" s="41" t="n"/>
      <c r="F415" s="49" t="n"/>
      <c r="G415" s="41" t="n"/>
      <c r="H415" s="30">
        <f>IF(D415="","",IFERROR(INDEX(Config!$B$12:$B$15,MATCH(IF(AND(D415="Cartão de crédito",N(E415)&gt;1),"Cartão de crédito parcelado",D415),Config!$A$12:$A$15,0)),0)+IF(AND(Config!$B$17="Sim",LEFT(D415,17)="Cartão de crédito"),Config!$B$18*IFERROR(INDEX(Config!$C$12:$C$15,MATCH(IF(AND(D415="Cartão de crédito",N(E415)&gt;1),"Cartão de crédito parcelado",D415),Config!$A$12:$A$15,0)),0)/30*MAX(1,N(E415)),0))</f>
        <v/>
      </c>
      <c r="I415" s="29">
        <f>IF(OR(D415="",F415=""),"",ROUND(F415*H415,2))</f>
        <v/>
      </c>
      <c r="J415" s="29">
        <f>IF(I415="","",F415-I415)</f>
        <v/>
      </c>
      <c r="K415" s="37">
        <f>IF(OR(D415="",A415=""),"",A415+IF(AND(Config!$B$17="Sim",LEFT(D415,17)="Cartão de crédito"),1,IFERROR(INDEX(Config!$C$12:$C$15,MATCH(IF(AND(D415="Cartão de crédito",N(E415)&gt;1),"Cartão de crédito parcelado",D415),Config!$A$12:$A$15,0)),0)))</f>
        <v/>
      </c>
      <c r="L415" s="27">
        <f>IF(A415="","",MONTH(A415))</f>
        <v/>
      </c>
      <c r="M415" s="27">
        <f>IF(A415="","",YEAR(A415))</f>
        <v/>
      </c>
      <c r="N415" s="27">
        <f>IF(K415="","",IF(G415="Sim","Conferido",IF(K415&gt;Config!$B$8,"A cair","A conferir")))</f>
        <v/>
      </c>
      <c r="O415" s="50">
        <f>IF(N415="A conferir",(Config!$B$8-K415)*1000+N(F415)/1000+ROW()/100000,0)</f>
        <v>0</v>
      </c>
    </row>
    <row r="416">
      <c r="A416" s="48" t="n"/>
      <c r="B416" s="40" t="n"/>
      <c r="C416" s="40" t="n"/>
      <c r="D416" s="41" t="n"/>
      <c r="E416" s="41" t="n"/>
      <c r="F416" s="49" t="n"/>
      <c r="G416" s="41" t="n"/>
      <c r="H416" s="30">
        <f>IF(D416="","",IFERROR(INDEX(Config!$B$12:$B$15,MATCH(IF(AND(D416="Cartão de crédito",N(E416)&gt;1),"Cartão de crédito parcelado",D416),Config!$A$12:$A$15,0)),0)+IF(AND(Config!$B$17="Sim",LEFT(D416,17)="Cartão de crédito"),Config!$B$18*IFERROR(INDEX(Config!$C$12:$C$15,MATCH(IF(AND(D416="Cartão de crédito",N(E416)&gt;1),"Cartão de crédito parcelado",D416),Config!$A$12:$A$15,0)),0)/30*MAX(1,N(E416)),0))</f>
        <v/>
      </c>
      <c r="I416" s="29">
        <f>IF(OR(D416="",F416=""),"",ROUND(F416*H416,2))</f>
        <v/>
      </c>
      <c r="J416" s="29">
        <f>IF(I416="","",F416-I416)</f>
        <v/>
      </c>
      <c r="K416" s="37">
        <f>IF(OR(D416="",A416=""),"",A416+IF(AND(Config!$B$17="Sim",LEFT(D416,17)="Cartão de crédito"),1,IFERROR(INDEX(Config!$C$12:$C$15,MATCH(IF(AND(D416="Cartão de crédito",N(E416)&gt;1),"Cartão de crédito parcelado",D416),Config!$A$12:$A$15,0)),0)))</f>
        <v/>
      </c>
      <c r="L416" s="27">
        <f>IF(A416="","",MONTH(A416))</f>
        <v/>
      </c>
      <c r="M416" s="27">
        <f>IF(A416="","",YEAR(A416))</f>
        <v/>
      </c>
      <c r="N416" s="27">
        <f>IF(K416="","",IF(G416="Sim","Conferido",IF(K416&gt;Config!$B$8,"A cair","A conferir")))</f>
        <v/>
      </c>
      <c r="O416" s="50">
        <f>IF(N416="A conferir",(Config!$B$8-K416)*1000+N(F416)/1000+ROW()/100000,0)</f>
        <v>0</v>
      </c>
    </row>
    <row r="417">
      <c r="A417" s="48" t="n"/>
      <c r="B417" s="40" t="n"/>
      <c r="C417" s="40" t="n"/>
      <c r="D417" s="41" t="n"/>
      <c r="E417" s="41" t="n"/>
      <c r="F417" s="49" t="n"/>
      <c r="G417" s="41" t="n"/>
      <c r="H417" s="30">
        <f>IF(D417="","",IFERROR(INDEX(Config!$B$12:$B$15,MATCH(IF(AND(D417="Cartão de crédito",N(E417)&gt;1),"Cartão de crédito parcelado",D417),Config!$A$12:$A$15,0)),0)+IF(AND(Config!$B$17="Sim",LEFT(D417,17)="Cartão de crédito"),Config!$B$18*IFERROR(INDEX(Config!$C$12:$C$15,MATCH(IF(AND(D417="Cartão de crédito",N(E417)&gt;1),"Cartão de crédito parcelado",D417),Config!$A$12:$A$15,0)),0)/30*MAX(1,N(E417)),0))</f>
        <v/>
      </c>
      <c r="I417" s="29">
        <f>IF(OR(D417="",F417=""),"",ROUND(F417*H417,2))</f>
        <v/>
      </c>
      <c r="J417" s="29">
        <f>IF(I417="","",F417-I417)</f>
        <v/>
      </c>
      <c r="K417" s="37">
        <f>IF(OR(D417="",A417=""),"",A417+IF(AND(Config!$B$17="Sim",LEFT(D417,17)="Cartão de crédito"),1,IFERROR(INDEX(Config!$C$12:$C$15,MATCH(IF(AND(D417="Cartão de crédito",N(E417)&gt;1),"Cartão de crédito parcelado",D417),Config!$A$12:$A$15,0)),0)))</f>
        <v/>
      </c>
      <c r="L417" s="27">
        <f>IF(A417="","",MONTH(A417))</f>
        <v/>
      </c>
      <c r="M417" s="27">
        <f>IF(A417="","",YEAR(A417))</f>
        <v/>
      </c>
      <c r="N417" s="27">
        <f>IF(K417="","",IF(G417="Sim","Conferido",IF(K417&gt;Config!$B$8,"A cair","A conferir")))</f>
        <v/>
      </c>
      <c r="O417" s="50">
        <f>IF(N417="A conferir",(Config!$B$8-K417)*1000+N(F417)/1000+ROW()/100000,0)</f>
        <v>0</v>
      </c>
    </row>
    <row r="418">
      <c r="A418" s="48" t="n"/>
      <c r="B418" s="40" t="n"/>
      <c r="C418" s="40" t="n"/>
      <c r="D418" s="41" t="n"/>
      <c r="E418" s="41" t="n"/>
      <c r="F418" s="49" t="n"/>
      <c r="G418" s="41" t="n"/>
      <c r="H418" s="30">
        <f>IF(D418="","",IFERROR(INDEX(Config!$B$12:$B$15,MATCH(IF(AND(D418="Cartão de crédito",N(E418)&gt;1),"Cartão de crédito parcelado",D418),Config!$A$12:$A$15,0)),0)+IF(AND(Config!$B$17="Sim",LEFT(D418,17)="Cartão de crédito"),Config!$B$18*IFERROR(INDEX(Config!$C$12:$C$15,MATCH(IF(AND(D418="Cartão de crédito",N(E418)&gt;1),"Cartão de crédito parcelado",D418),Config!$A$12:$A$15,0)),0)/30*MAX(1,N(E418)),0))</f>
        <v/>
      </c>
      <c r="I418" s="29">
        <f>IF(OR(D418="",F418=""),"",ROUND(F418*H418,2))</f>
        <v/>
      </c>
      <c r="J418" s="29">
        <f>IF(I418="","",F418-I418)</f>
        <v/>
      </c>
      <c r="K418" s="37">
        <f>IF(OR(D418="",A418=""),"",A418+IF(AND(Config!$B$17="Sim",LEFT(D418,17)="Cartão de crédito"),1,IFERROR(INDEX(Config!$C$12:$C$15,MATCH(IF(AND(D418="Cartão de crédito",N(E418)&gt;1),"Cartão de crédito parcelado",D418),Config!$A$12:$A$15,0)),0)))</f>
        <v/>
      </c>
      <c r="L418" s="27">
        <f>IF(A418="","",MONTH(A418))</f>
        <v/>
      </c>
      <c r="M418" s="27">
        <f>IF(A418="","",YEAR(A418))</f>
        <v/>
      </c>
      <c r="N418" s="27">
        <f>IF(K418="","",IF(G418="Sim","Conferido",IF(K418&gt;Config!$B$8,"A cair","A conferir")))</f>
        <v/>
      </c>
      <c r="O418" s="50">
        <f>IF(N418="A conferir",(Config!$B$8-K418)*1000+N(F418)/1000+ROW()/100000,0)</f>
        <v>0</v>
      </c>
    </row>
    <row r="419">
      <c r="A419" s="48" t="n"/>
      <c r="B419" s="40" t="n"/>
      <c r="C419" s="40" t="n"/>
      <c r="D419" s="41" t="n"/>
      <c r="E419" s="41" t="n"/>
      <c r="F419" s="49" t="n"/>
      <c r="G419" s="41" t="n"/>
      <c r="H419" s="30">
        <f>IF(D419="","",IFERROR(INDEX(Config!$B$12:$B$15,MATCH(IF(AND(D419="Cartão de crédito",N(E419)&gt;1),"Cartão de crédito parcelado",D419),Config!$A$12:$A$15,0)),0)+IF(AND(Config!$B$17="Sim",LEFT(D419,17)="Cartão de crédito"),Config!$B$18*IFERROR(INDEX(Config!$C$12:$C$15,MATCH(IF(AND(D419="Cartão de crédito",N(E419)&gt;1),"Cartão de crédito parcelado",D419),Config!$A$12:$A$15,0)),0)/30*MAX(1,N(E419)),0))</f>
        <v/>
      </c>
      <c r="I419" s="29">
        <f>IF(OR(D419="",F419=""),"",ROUND(F419*H419,2))</f>
        <v/>
      </c>
      <c r="J419" s="29">
        <f>IF(I419="","",F419-I419)</f>
        <v/>
      </c>
      <c r="K419" s="37">
        <f>IF(OR(D419="",A419=""),"",A419+IF(AND(Config!$B$17="Sim",LEFT(D419,17)="Cartão de crédito"),1,IFERROR(INDEX(Config!$C$12:$C$15,MATCH(IF(AND(D419="Cartão de crédito",N(E419)&gt;1),"Cartão de crédito parcelado",D419),Config!$A$12:$A$15,0)),0)))</f>
        <v/>
      </c>
      <c r="L419" s="27">
        <f>IF(A419="","",MONTH(A419))</f>
        <v/>
      </c>
      <c r="M419" s="27">
        <f>IF(A419="","",YEAR(A419))</f>
        <v/>
      </c>
      <c r="N419" s="27">
        <f>IF(K419="","",IF(G419="Sim","Conferido",IF(K419&gt;Config!$B$8,"A cair","A conferir")))</f>
        <v/>
      </c>
      <c r="O419" s="50">
        <f>IF(N419="A conferir",(Config!$B$8-K419)*1000+N(F419)/1000+ROW()/100000,0)</f>
        <v>0</v>
      </c>
    </row>
    <row r="420">
      <c r="A420" s="48" t="n"/>
      <c r="B420" s="40" t="n"/>
      <c r="C420" s="40" t="n"/>
      <c r="D420" s="41" t="n"/>
      <c r="E420" s="41" t="n"/>
      <c r="F420" s="49" t="n"/>
      <c r="G420" s="41" t="n"/>
      <c r="H420" s="30">
        <f>IF(D420="","",IFERROR(INDEX(Config!$B$12:$B$15,MATCH(IF(AND(D420="Cartão de crédito",N(E420)&gt;1),"Cartão de crédito parcelado",D420),Config!$A$12:$A$15,0)),0)+IF(AND(Config!$B$17="Sim",LEFT(D420,17)="Cartão de crédito"),Config!$B$18*IFERROR(INDEX(Config!$C$12:$C$15,MATCH(IF(AND(D420="Cartão de crédito",N(E420)&gt;1),"Cartão de crédito parcelado",D420),Config!$A$12:$A$15,0)),0)/30*MAX(1,N(E420)),0))</f>
        <v/>
      </c>
      <c r="I420" s="29">
        <f>IF(OR(D420="",F420=""),"",ROUND(F420*H420,2))</f>
        <v/>
      </c>
      <c r="J420" s="29">
        <f>IF(I420="","",F420-I420)</f>
        <v/>
      </c>
      <c r="K420" s="37">
        <f>IF(OR(D420="",A420=""),"",A420+IF(AND(Config!$B$17="Sim",LEFT(D420,17)="Cartão de crédito"),1,IFERROR(INDEX(Config!$C$12:$C$15,MATCH(IF(AND(D420="Cartão de crédito",N(E420)&gt;1),"Cartão de crédito parcelado",D420),Config!$A$12:$A$15,0)),0)))</f>
        <v/>
      </c>
      <c r="L420" s="27">
        <f>IF(A420="","",MONTH(A420))</f>
        <v/>
      </c>
      <c r="M420" s="27">
        <f>IF(A420="","",YEAR(A420))</f>
        <v/>
      </c>
      <c r="N420" s="27">
        <f>IF(K420="","",IF(G420="Sim","Conferido",IF(K420&gt;Config!$B$8,"A cair","A conferir")))</f>
        <v/>
      </c>
      <c r="O420" s="50">
        <f>IF(N420="A conferir",(Config!$B$8-K420)*1000+N(F420)/1000+ROW()/100000,0)</f>
        <v>0</v>
      </c>
    </row>
    <row r="421">
      <c r="A421" s="48" t="n"/>
      <c r="B421" s="40" t="n"/>
      <c r="C421" s="40" t="n"/>
      <c r="D421" s="41" t="n"/>
      <c r="E421" s="41" t="n"/>
      <c r="F421" s="49" t="n"/>
      <c r="G421" s="41" t="n"/>
      <c r="H421" s="30">
        <f>IF(D421="","",IFERROR(INDEX(Config!$B$12:$B$15,MATCH(IF(AND(D421="Cartão de crédito",N(E421)&gt;1),"Cartão de crédito parcelado",D421),Config!$A$12:$A$15,0)),0)+IF(AND(Config!$B$17="Sim",LEFT(D421,17)="Cartão de crédito"),Config!$B$18*IFERROR(INDEX(Config!$C$12:$C$15,MATCH(IF(AND(D421="Cartão de crédito",N(E421)&gt;1),"Cartão de crédito parcelado",D421),Config!$A$12:$A$15,0)),0)/30*MAX(1,N(E421)),0))</f>
        <v/>
      </c>
      <c r="I421" s="29">
        <f>IF(OR(D421="",F421=""),"",ROUND(F421*H421,2))</f>
        <v/>
      </c>
      <c r="J421" s="29">
        <f>IF(I421="","",F421-I421)</f>
        <v/>
      </c>
      <c r="K421" s="37">
        <f>IF(OR(D421="",A421=""),"",A421+IF(AND(Config!$B$17="Sim",LEFT(D421,17)="Cartão de crédito"),1,IFERROR(INDEX(Config!$C$12:$C$15,MATCH(IF(AND(D421="Cartão de crédito",N(E421)&gt;1),"Cartão de crédito parcelado",D421),Config!$A$12:$A$15,0)),0)))</f>
        <v/>
      </c>
      <c r="L421" s="27">
        <f>IF(A421="","",MONTH(A421))</f>
        <v/>
      </c>
      <c r="M421" s="27">
        <f>IF(A421="","",YEAR(A421))</f>
        <v/>
      </c>
      <c r="N421" s="27">
        <f>IF(K421="","",IF(G421="Sim","Conferido",IF(K421&gt;Config!$B$8,"A cair","A conferir")))</f>
        <v/>
      </c>
      <c r="O421" s="50">
        <f>IF(N421="A conferir",(Config!$B$8-K421)*1000+N(F421)/1000+ROW()/100000,0)</f>
        <v>0</v>
      </c>
    </row>
    <row r="422">
      <c r="A422" s="48" t="n"/>
      <c r="B422" s="40" t="n"/>
      <c r="C422" s="40" t="n"/>
      <c r="D422" s="41" t="n"/>
      <c r="E422" s="41" t="n"/>
      <c r="F422" s="49" t="n"/>
      <c r="G422" s="41" t="n"/>
      <c r="H422" s="30">
        <f>IF(D422="","",IFERROR(INDEX(Config!$B$12:$B$15,MATCH(IF(AND(D422="Cartão de crédito",N(E422)&gt;1),"Cartão de crédito parcelado",D422),Config!$A$12:$A$15,0)),0)+IF(AND(Config!$B$17="Sim",LEFT(D422,17)="Cartão de crédito"),Config!$B$18*IFERROR(INDEX(Config!$C$12:$C$15,MATCH(IF(AND(D422="Cartão de crédito",N(E422)&gt;1),"Cartão de crédito parcelado",D422),Config!$A$12:$A$15,0)),0)/30*MAX(1,N(E422)),0))</f>
        <v/>
      </c>
      <c r="I422" s="29">
        <f>IF(OR(D422="",F422=""),"",ROUND(F422*H422,2))</f>
        <v/>
      </c>
      <c r="J422" s="29">
        <f>IF(I422="","",F422-I422)</f>
        <v/>
      </c>
      <c r="K422" s="37">
        <f>IF(OR(D422="",A422=""),"",A422+IF(AND(Config!$B$17="Sim",LEFT(D422,17)="Cartão de crédito"),1,IFERROR(INDEX(Config!$C$12:$C$15,MATCH(IF(AND(D422="Cartão de crédito",N(E422)&gt;1),"Cartão de crédito parcelado",D422),Config!$A$12:$A$15,0)),0)))</f>
        <v/>
      </c>
      <c r="L422" s="27">
        <f>IF(A422="","",MONTH(A422))</f>
        <v/>
      </c>
      <c r="M422" s="27">
        <f>IF(A422="","",YEAR(A422))</f>
        <v/>
      </c>
      <c r="N422" s="27">
        <f>IF(K422="","",IF(G422="Sim","Conferido",IF(K422&gt;Config!$B$8,"A cair","A conferir")))</f>
        <v/>
      </c>
      <c r="O422" s="50">
        <f>IF(N422="A conferir",(Config!$B$8-K422)*1000+N(F422)/1000+ROW()/100000,0)</f>
        <v>0</v>
      </c>
    </row>
    <row r="423">
      <c r="A423" s="48" t="n"/>
      <c r="B423" s="40" t="n"/>
      <c r="C423" s="40" t="n"/>
      <c r="D423" s="41" t="n"/>
      <c r="E423" s="41" t="n"/>
      <c r="F423" s="49" t="n"/>
      <c r="G423" s="41" t="n"/>
      <c r="H423" s="30">
        <f>IF(D423="","",IFERROR(INDEX(Config!$B$12:$B$15,MATCH(IF(AND(D423="Cartão de crédito",N(E423)&gt;1),"Cartão de crédito parcelado",D423),Config!$A$12:$A$15,0)),0)+IF(AND(Config!$B$17="Sim",LEFT(D423,17)="Cartão de crédito"),Config!$B$18*IFERROR(INDEX(Config!$C$12:$C$15,MATCH(IF(AND(D423="Cartão de crédito",N(E423)&gt;1),"Cartão de crédito parcelado",D423),Config!$A$12:$A$15,0)),0)/30*MAX(1,N(E423)),0))</f>
        <v/>
      </c>
      <c r="I423" s="29">
        <f>IF(OR(D423="",F423=""),"",ROUND(F423*H423,2))</f>
        <v/>
      </c>
      <c r="J423" s="29">
        <f>IF(I423="","",F423-I423)</f>
        <v/>
      </c>
      <c r="K423" s="37">
        <f>IF(OR(D423="",A423=""),"",A423+IF(AND(Config!$B$17="Sim",LEFT(D423,17)="Cartão de crédito"),1,IFERROR(INDEX(Config!$C$12:$C$15,MATCH(IF(AND(D423="Cartão de crédito",N(E423)&gt;1),"Cartão de crédito parcelado",D423),Config!$A$12:$A$15,0)),0)))</f>
        <v/>
      </c>
      <c r="L423" s="27">
        <f>IF(A423="","",MONTH(A423))</f>
        <v/>
      </c>
      <c r="M423" s="27">
        <f>IF(A423="","",YEAR(A423))</f>
        <v/>
      </c>
      <c r="N423" s="27">
        <f>IF(K423="","",IF(G423="Sim","Conferido",IF(K423&gt;Config!$B$8,"A cair","A conferir")))</f>
        <v/>
      </c>
      <c r="O423" s="50">
        <f>IF(N423="A conferir",(Config!$B$8-K423)*1000+N(F423)/1000+ROW()/100000,0)</f>
        <v>0</v>
      </c>
    </row>
    <row r="424">
      <c r="A424" s="48" t="n"/>
      <c r="B424" s="40" t="n"/>
      <c r="C424" s="40" t="n"/>
      <c r="D424" s="41" t="n"/>
      <c r="E424" s="41" t="n"/>
      <c r="F424" s="49" t="n"/>
      <c r="G424" s="41" t="n"/>
      <c r="H424" s="30">
        <f>IF(D424="","",IFERROR(INDEX(Config!$B$12:$B$15,MATCH(IF(AND(D424="Cartão de crédito",N(E424)&gt;1),"Cartão de crédito parcelado",D424),Config!$A$12:$A$15,0)),0)+IF(AND(Config!$B$17="Sim",LEFT(D424,17)="Cartão de crédito"),Config!$B$18*IFERROR(INDEX(Config!$C$12:$C$15,MATCH(IF(AND(D424="Cartão de crédito",N(E424)&gt;1),"Cartão de crédito parcelado",D424),Config!$A$12:$A$15,0)),0)/30*MAX(1,N(E424)),0))</f>
        <v/>
      </c>
      <c r="I424" s="29">
        <f>IF(OR(D424="",F424=""),"",ROUND(F424*H424,2))</f>
        <v/>
      </c>
      <c r="J424" s="29">
        <f>IF(I424="","",F424-I424)</f>
        <v/>
      </c>
      <c r="K424" s="37">
        <f>IF(OR(D424="",A424=""),"",A424+IF(AND(Config!$B$17="Sim",LEFT(D424,17)="Cartão de crédito"),1,IFERROR(INDEX(Config!$C$12:$C$15,MATCH(IF(AND(D424="Cartão de crédito",N(E424)&gt;1),"Cartão de crédito parcelado",D424),Config!$A$12:$A$15,0)),0)))</f>
        <v/>
      </c>
      <c r="L424" s="27">
        <f>IF(A424="","",MONTH(A424))</f>
        <v/>
      </c>
      <c r="M424" s="27">
        <f>IF(A424="","",YEAR(A424))</f>
        <v/>
      </c>
      <c r="N424" s="27">
        <f>IF(K424="","",IF(G424="Sim","Conferido",IF(K424&gt;Config!$B$8,"A cair","A conferir")))</f>
        <v/>
      </c>
      <c r="O424" s="50">
        <f>IF(N424="A conferir",(Config!$B$8-K424)*1000+N(F424)/1000+ROW()/100000,0)</f>
        <v>0</v>
      </c>
    </row>
    <row r="425">
      <c r="A425" s="48" t="n"/>
      <c r="B425" s="40" t="n"/>
      <c r="C425" s="40" t="n"/>
      <c r="D425" s="41" t="n"/>
      <c r="E425" s="41" t="n"/>
      <c r="F425" s="49" t="n"/>
      <c r="G425" s="41" t="n"/>
      <c r="H425" s="30">
        <f>IF(D425="","",IFERROR(INDEX(Config!$B$12:$B$15,MATCH(IF(AND(D425="Cartão de crédito",N(E425)&gt;1),"Cartão de crédito parcelado",D425),Config!$A$12:$A$15,0)),0)+IF(AND(Config!$B$17="Sim",LEFT(D425,17)="Cartão de crédito"),Config!$B$18*IFERROR(INDEX(Config!$C$12:$C$15,MATCH(IF(AND(D425="Cartão de crédito",N(E425)&gt;1),"Cartão de crédito parcelado",D425),Config!$A$12:$A$15,0)),0)/30*MAX(1,N(E425)),0))</f>
        <v/>
      </c>
      <c r="I425" s="29">
        <f>IF(OR(D425="",F425=""),"",ROUND(F425*H425,2))</f>
        <v/>
      </c>
      <c r="J425" s="29">
        <f>IF(I425="","",F425-I425)</f>
        <v/>
      </c>
      <c r="K425" s="37">
        <f>IF(OR(D425="",A425=""),"",A425+IF(AND(Config!$B$17="Sim",LEFT(D425,17)="Cartão de crédito"),1,IFERROR(INDEX(Config!$C$12:$C$15,MATCH(IF(AND(D425="Cartão de crédito",N(E425)&gt;1),"Cartão de crédito parcelado",D425),Config!$A$12:$A$15,0)),0)))</f>
        <v/>
      </c>
      <c r="L425" s="27">
        <f>IF(A425="","",MONTH(A425))</f>
        <v/>
      </c>
      <c r="M425" s="27">
        <f>IF(A425="","",YEAR(A425))</f>
        <v/>
      </c>
      <c r="N425" s="27">
        <f>IF(K425="","",IF(G425="Sim","Conferido",IF(K425&gt;Config!$B$8,"A cair","A conferir")))</f>
        <v/>
      </c>
      <c r="O425" s="50">
        <f>IF(N425="A conferir",(Config!$B$8-K425)*1000+N(F425)/1000+ROW()/100000,0)</f>
        <v>0</v>
      </c>
    </row>
    <row r="426">
      <c r="A426" s="48" t="n"/>
      <c r="B426" s="40" t="n"/>
      <c r="C426" s="40" t="n"/>
      <c r="D426" s="41" t="n"/>
      <c r="E426" s="41" t="n"/>
      <c r="F426" s="49" t="n"/>
      <c r="G426" s="41" t="n"/>
      <c r="H426" s="30">
        <f>IF(D426="","",IFERROR(INDEX(Config!$B$12:$B$15,MATCH(IF(AND(D426="Cartão de crédito",N(E426)&gt;1),"Cartão de crédito parcelado",D426),Config!$A$12:$A$15,0)),0)+IF(AND(Config!$B$17="Sim",LEFT(D426,17)="Cartão de crédito"),Config!$B$18*IFERROR(INDEX(Config!$C$12:$C$15,MATCH(IF(AND(D426="Cartão de crédito",N(E426)&gt;1),"Cartão de crédito parcelado",D426),Config!$A$12:$A$15,0)),0)/30*MAX(1,N(E426)),0))</f>
        <v/>
      </c>
      <c r="I426" s="29">
        <f>IF(OR(D426="",F426=""),"",ROUND(F426*H426,2))</f>
        <v/>
      </c>
      <c r="J426" s="29">
        <f>IF(I426="","",F426-I426)</f>
        <v/>
      </c>
      <c r="K426" s="37">
        <f>IF(OR(D426="",A426=""),"",A426+IF(AND(Config!$B$17="Sim",LEFT(D426,17)="Cartão de crédito"),1,IFERROR(INDEX(Config!$C$12:$C$15,MATCH(IF(AND(D426="Cartão de crédito",N(E426)&gt;1),"Cartão de crédito parcelado",D426),Config!$A$12:$A$15,0)),0)))</f>
        <v/>
      </c>
      <c r="L426" s="27">
        <f>IF(A426="","",MONTH(A426))</f>
        <v/>
      </c>
      <c r="M426" s="27">
        <f>IF(A426="","",YEAR(A426))</f>
        <v/>
      </c>
      <c r="N426" s="27">
        <f>IF(K426="","",IF(G426="Sim","Conferido",IF(K426&gt;Config!$B$8,"A cair","A conferir")))</f>
        <v/>
      </c>
      <c r="O426" s="50">
        <f>IF(N426="A conferir",(Config!$B$8-K426)*1000+N(F426)/1000+ROW()/100000,0)</f>
        <v>0</v>
      </c>
    </row>
    <row r="427">
      <c r="A427" s="48" t="n"/>
      <c r="B427" s="40" t="n"/>
      <c r="C427" s="40" t="n"/>
      <c r="D427" s="41" t="n"/>
      <c r="E427" s="41" t="n"/>
      <c r="F427" s="49" t="n"/>
      <c r="G427" s="41" t="n"/>
      <c r="H427" s="30">
        <f>IF(D427="","",IFERROR(INDEX(Config!$B$12:$B$15,MATCH(IF(AND(D427="Cartão de crédito",N(E427)&gt;1),"Cartão de crédito parcelado",D427),Config!$A$12:$A$15,0)),0)+IF(AND(Config!$B$17="Sim",LEFT(D427,17)="Cartão de crédito"),Config!$B$18*IFERROR(INDEX(Config!$C$12:$C$15,MATCH(IF(AND(D427="Cartão de crédito",N(E427)&gt;1),"Cartão de crédito parcelado",D427),Config!$A$12:$A$15,0)),0)/30*MAX(1,N(E427)),0))</f>
        <v/>
      </c>
      <c r="I427" s="29">
        <f>IF(OR(D427="",F427=""),"",ROUND(F427*H427,2))</f>
        <v/>
      </c>
      <c r="J427" s="29">
        <f>IF(I427="","",F427-I427)</f>
        <v/>
      </c>
      <c r="K427" s="37">
        <f>IF(OR(D427="",A427=""),"",A427+IF(AND(Config!$B$17="Sim",LEFT(D427,17)="Cartão de crédito"),1,IFERROR(INDEX(Config!$C$12:$C$15,MATCH(IF(AND(D427="Cartão de crédito",N(E427)&gt;1),"Cartão de crédito parcelado",D427),Config!$A$12:$A$15,0)),0)))</f>
        <v/>
      </c>
      <c r="L427" s="27">
        <f>IF(A427="","",MONTH(A427))</f>
        <v/>
      </c>
      <c r="M427" s="27">
        <f>IF(A427="","",YEAR(A427))</f>
        <v/>
      </c>
      <c r="N427" s="27">
        <f>IF(K427="","",IF(G427="Sim","Conferido",IF(K427&gt;Config!$B$8,"A cair","A conferir")))</f>
        <v/>
      </c>
      <c r="O427" s="50">
        <f>IF(N427="A conferir",(Config!$B$8-K427)*1000+N(F427)/1000+ROW()/100000,0)</f>
        <v>0</v>
      </c>
    </row>
    <row r="428">
      <c r="A428" s="48" t="n"/>
      <c r="B428" s="40" t="n"/>
      <c r="C428" s="40" t="n"/>
      <c r="D428" s="41" t="n"/>
      <c r="E428" s="41" t="n"/>
      <c r="F428" s="49" t="n"/>
      <c r="G428" s="41" t="n"/>
      <c r="H428" s="30">
        <f>IF(D428="","",IFERROR(INDEX(Config!$B$12:$B$15,MATCH(IF(AND(D428="Cartão de crédito",N(E428)&gt;1),"Cartão de crédito parcelado",D428),Config!$A$12:$A$15,0)),0)+IF(AND(Config!$B$17="Sim",LEFT(D428,17)="Cartão de crédito"),Config!$B$18*IFERROR(INDEX(Config!$C$12:$C$15,MATCH(IF(AND(D428="Cartão de crédito",N(E428)&gt;1),"Cartão de crédito parcelado",D428),Config!$A$12:$A$15,0)),0)/30*MAX(1,N(E428)),0))</f>
        <v/>
      </c>
      <c r="I428" s="29">
        <f>IF(OR(D428="",F428=""),"",ROUND(F428*H428,2))</f>
        <v/>
      </c>
      <c r="J428" s="29">
        <f>IF(I428="","",F428-I428)</f>
        <v/>
      </c>
      <c r="K428" s="37">
        <f>IF(OR(D428="",A428=""),"",A428+IF(AND(Config!$B$17="Sim",LEFT(D428,17)="Cartão de crédito"),1,IFERROR(INDEX(Config!$C$12:$C$15,MATCH(IF(AND(D428="Cartão de crédito",N(E428)&gt;1),"Cartão de crédito parcelado",D428),Config!$A$12:$A$15,0)),0)))</f>
        <v/>
      </c>
      <c r="L428" s="27">
        <f>IF(A428="","",MONTH(A428))</f>
        <v/>
      </c>
      <c r="M428" s="27">
        <f>IF(A428="","",YEAR(A428))</f>
        <v/>
      </c>
      <c r="N428" s="27">
        <f>IF(K428="","",IF(G428="Sim","Conferido",IF(K428&gt;Config!$B$8,"A cair","A conferir")))</f>
        <v/>
      </c>
      <c r="O428" s="50">
        <f>IF(N428="A conferir",(Config!$B$8-K428)*1000+N(F428)/1000+ROW()/100000,0)</f>
        <v>0</v>
      </c>
    </row>
    <row r="429">
      <c r="A429" s="48" t="n"/>
      <c r="B429" s="40" t="n"/>
      <c r="C429" s="40" t="n"/>
      <c r="D429" s="41" t="n"/>
      <c r="E429" s="41" t="n"/>
      <c r="F429" s="49" t="n"/>
      <c r="G429" s="41" t="n"/>
      <c r="H429" s="30">
        <f>IF(D429="","",IFERROR(INDEX(Config!$B$12:$B$15,MATCH(IF(AND(D429="Cartão de crédito",N(E429)&gt;1),"Cartão de crédito parcelado",D429),Config!$A$12:$A$15,0)),0)+IF(AND(Config!$B$17="Sim",LEFT(D429,17)="Cartão de crédito"),Config!$B$18*IFERROR(INDEX(Config!$C$12:$C$15,MATCH(IF(AND(D429="Cartão de crédito",N(E429)&gt;1),"Cartão de crédito parcelado",D429),Config!$A$12:$A$15,0)),0)/30*MAX(1,N(E429)),0))</f>
        <v/>
      </c>
      <c r="I429" s="29">
        <f>IF(OR(D429="",F429=""),"",ROUND(F429*H429,2))</f>
        <v/>
      </c>
      <c r="J429" s="29">
        <f>IF(I429="","",F429-I429)</f>
        <v/>
      </c>
      <c r="K429" s="37">
        <f>IF(OR(D429="",A429=""),"",A429+IF(AND(Config!$B$17="Sim",LEFT(D429,17)="Cartão de crédito"),1,IFERROR(INDEX(Config!$C$12:$C$15,MATCH(IF(AND(D429="Cartão de crédito",N(E429)&gt;1),"Cartão de crédito parcelado",D429),Config!$A$12:$A$15,0)),0)))</f>
        <v/>
      </c>
      <c r="L429" s="27">
        <f>IF(A429="","",MONTH(A429))</f>
        <v/>
      </c>
      <c r="M429" s="27">
        <f>IF(A429="","",YEAR(A429))</f>
        <v/>
      </c>
      <c r="N429" s="27">
        <f>IF(K429="","",IF(G429="Sim","Conferido",IF(K429&gt;Config!$B$8,"A cair","A conferir")))</f>
        <v/>
      </c>
      <c r="O429" s="50">
        <f>IF(N429="A conferir",(Config!$B$8-K429)*1000+N(F429)/1000+ROW()/100000,0)</f>
        <v>0</v>
      </c>
    </row>
    <row r="430">
      <c r="A430" s="48" t="n"/>
      <c r="B430" s="40" t="n"/>
      <c r="C430" s="40" t="n"/>
      <c r="D430" s="41" t="n"/>
      <c r="E430" s="41" t="n"/>
      <c r="F430" s="49" t="n"/>
      <c r="G430" s="41" t="n"/>
      <c r="H430" s="30">
        <f>IF(D430="","",IFERROR(INDEX(Config!$B$12:$B$15,MATCH(IF(AND(D430="Cartão de crédito",N(E430)&gt;1),"Cartão de crédito parcelado",D430),Config!$A$12:$A$15,0)),0)+IF(AND(Config!$B$17="Sim",LEFT(D430,17)="Cartão de crédito"),Config!$B$18*IFERROR(INDEX(Config!$C$12:$C$15,MATCH(IF(AND(D430="Cartão de crédito",N(E430)&gt;1),"Cartão de crédito parcelado",D430),Config!$A$12:$A$15,0)),0)/30*MAX(1,N(E430)),0))</f>
        <v/>
      </c>
      <c r="I430" s="29">
        <f>IF(OR(D430="",F430=""),"",ROUND(F430*H430,2))</f>
        <v/>
      </c>
      <c r="J430" s="29">
        <f>IF(I430="","",F430-I430)</f>
        <v/>
      </c>
      <c r="K430" s="37">
        <f>IF(OR(D430="",A430=""),"",A430+IF(AND(Config!$B$17="Sim",LEFT(D430,17)="Cartão de crédito"),1,IFERROR(INDEX(Config!$C$12:$C$15,MATCH(IF(AND(D430="Cartão de crédito",N(E430)&gt;1),"Cartão de crédito parcelado",D430),Config!$A$12:$A$15,0)),0)))</f>
        <v/>
      </c>
      <c r="L430" s="27">
        <f>IF(A430="","",MONTH(A430))</f>
        <v/>
      </c>
      <c r="M430" s="27">
        <f>IF(A430="","",YEAR(A430))</f>
        <v/>
      </c>
      <c r="N430" s="27">
        <f>IF(K430="","",IF(G430="Sim","Conferido",IF(K430&gt;Config!$B$8,"A cair","A conferir")))</f>
        <v/>
      </c>
      <c r="O430" s="50">
        <f>IF(N430="A conferir",(Config!$B$8-K430)*1000+N(F430)/1000+ROW()/100000,0)</f>
        <v>0</v>
      </c>
    </row>
    <row r="431">
      <c r="A431" s="48" t="n"/>
      <c r="B431" s="40" t="n"/>
      <c r="C431" s="40" t="n"/>
      <c r="D431" s="41" t="n"/>
      <c r="E431" s="41" t="n"/>
      <c r="F431" s="49" t="n"/>
      <c r="G431" s="41" t="n"/>
      <c r="H431" s="30">
        <f>IF(D431="","",IFERROR(INDEX(Config!$B$12:$B$15,MATCH(IF(AND(D431="Cartão de crédito",N(E431)&gt;1),"Cartão de crédito parcelado",D431),Config!$A$12:$A$15,0)),0)+IF(AND(Config!$B$17="Sim",LEFT(D431,17)="Cartão de crédito"),Config!$B$18*IFERROR(INDEX(Config!$C$12:$C$15,MATCH(IF(AND(D431="Cartão de crédito",N(E431)&gt;1),"Cartão de crédito parcelado",D431),Config!$A$12:$A$15,0)),0)/30*MAX(1,N(E431)),0))</f>
        <v/>
      </c>
      <c r="I431" s="29">
        <f>IF(OR(D431="",F431=""),"",ROUND(F431*H431,2))</f>
        <v/>
      </c>
      <c r="J431" s="29">
        <f>IF(I431="","",F431-I431)</f>
        <v/>
      </c>
      <c r="K431" s="37">
        <f>IF(OR(D431="",A431=""),"",A431+IF(AND(Config!$B$17="Sim",LEFT(D431,17)="Cartão de crédito"),1,IFERROR(INDEX(Config!$C$12:$C$15,MATCH(IF(AND(D431="Cartão de crédito",N(E431)&gt;1),"Cartão de crédito parcelado",D431),Config!$A$12:$A$15,0)),0)))</f>
        <v/>
      </c>
      <c r="L431" s="27">
        <f>IF(A431="","",MONTH(A431))</f>
        <v/>
      </c>
      <c r="M431" s="27">
        <f>IF(A431="","",YEAR(A431))</f>
        <v/>
      </c>
      <c r="N431" s="27">
        <f>IF(K431="","",IF(G431="Sim","Conferido",IF(K431&gt;Config!$B$8,"A cair","A conferir")))</f>
        <v/>
      </c>
      <c r="O431" s="50">
        <f>IF(N431="A conferir",(Config!$B$8-K431)*1000+N(F431)/1000+ROW()/100000,0)</f>
        <v>0</v>
      </c>
    </row>
    <row r="432">
      <c r="A432" s="48" t="n"/>
      <c r="B432" s="40" t="n"/>
      <c r="C432" s="40" t="n"/>
      <c r="D432" s="41" t="n"/>
      <c r="E432" s="41" t="n"/>
      <c r="F432" s="49" t="n"/>
      <c r="G432" s="41" t="n"/>
      <c r="H432" s="30">
        <f>IF(D432="","",IFERROR(INDEX(Config!$B$12:$B$15,MATCH(IF(AND(D432="Cartão de crédito",N(E432)&gt;1),"Cartão de crédito parcelado",D432),Config!$A$12:$A$15,0)),0)+IF(AND(Config!$B$17="Sim",LEFT(D432,17)="Cartão de crédito"),Config!$B$18*IFERROR(INDEX(Config!$C$12:$C$15,MATCH(IF(AND(D432="Cartão de crédito",N(E432)&gt;1),"Cartão de crédito parcelado",D432),Config!$A$12:$A$15,0)),0)/30*MAX(1,N(E432)),0))</f>
        <v/>
      </c>
      <c r="I432" s="29">
        <f>IF(OR(D432="",F432=""),"",ROUND(F432*H432,2))</f>
        <v/>
      </c>
      <c r="J432" s="29">
        <f>IF(I432="","",F432-I432)</f>
        <v/>
      </c>
      <c r="K432" s="37">
        <f>IF(OR(D432="",A432=""),"",A432+IF(AND(Config!$B$17="Sim",LEFT(D432,17)="Cartão de crédito"),1,IFERROR(INDEX(Config!$C$12:$C$15,MATCH(IF(AND(D432="Cartão de crédito",N(E432)&gt;1),"Cartão de crédito parcelado",D432),Config!$A$12:$A$15,0)),0)))</f>
        <v/>
      </c>
      <c r="L432" s="27">
        <f>IF(A432="","",MONTH(A432))</f>
        <v/>
      </c>
      <c r="M432" s="27">
        <f>IF(A432="","",YEAR(A432))</f>
        <v/>
      </c>
      <c r="N432" s="27">
        <f>IF(K432="","",IF(G432="Sim","Conferido",IF(K432&gt;Config!$B$8,"A cair","A conferir")))</f>
        <v/>
      </c>
      <c r="O432" s="50">
        <f>IF(N432="A conferir",(Config!$B$8-K432)*1000+N(F432)/1000+ROW()/100000,0)</f>
        <v>0</v>
      </c>
    </row>
    <row r="433">
      <c r="A433" s="48" t="n"/>
      <c r="B433" s="40" t="n"/>
      <c r="C433" s="40" t="n"/>
      <c r="D433" s="41" t="n"/>
      <c r="E433" s="41" t="n"/>
      <c r="F433" s="49" t="n"/>
      <c r="G433" s="41" t="n"/>
      <c r="H433" s="30">
        <f>IF(D433="","",IFERROR(INDEX(Config!$B$12:$B$15,MATCH(IF(AND(D433="Cartão de crédito",N(E433)&gt;1),"Cartão de crédito parcelado",D433),Config!$A$12:$A$15,0)),0)+IF(AND(Config!$B$17="Sim",LEFT(D433,17)="Cartão de crédito"),Config!$B$18*IFERROR(INDEX(Config!$C$12:$C$15,MATCH(IF(AND(D433="Cartão de crédito",N(E433)&gt;1),"Cartão de crédito parcelado",D433),Config!$A$12:$A$15,0)),0)/30*MAX(1,N(E433)),0))</f>
        <v/>
      </c>
      <c r="I433" s="29">
        <f>IF(OR(D433="",F433=""),"",ROUND(F433*H433,2))</f>
        <v/>
      </c>
      <c r="J433" s="29">
        <f>IF(I433="","",F433-I433)</f>
        <v/>
      </c>
      <c r="K433" s="37">
        <f>IF(OR(D433="",A433=""),"",A433+IF(AND(Config!$B$17="Sim",LEFT(D433,17)="Cartão de crédito"),1,IFERROR(INDEX(Config!$C$12:$C$15,MATCH(IF(AND(D433="Cartão de crédito",N(E433)&gt;1),"Cartão de crédito parcelado",D433),Config!$A$12:$A$15,0)),0)))</f>
        <v/>
      </c>
      <c r="L433" s="27">
        <f>IF(A433="","",MONTH(A433))</f>
        <v/>
      </c>
      <c r="M433" s="27">
        <f>IF(A433="","",YEAR(A433))</f>
        <v/>
      </c>
      <c r="N433" s="27">
        <f>IF(K433="","",IF(G433="Sim","Conferido",IF(K433&gt;Config!$B$8,"A cair","A conferir")))</f>
        <v/>
      </c>
      <c r="O433" s="50">
        <f>IF(N433="A conferir",(Config!$B$8-K433)*1000+N(F433)/1000+ROW()/100000,0)</f>
        <v>0</v>
      </c>
    </row>
    <row r="434">
      <c r="A434" s="48" t="n"/>
      <c r="B434" s="40" t="n"/>
      <c r="C434" s="40" t="n"/>
      <c r="D434" s="41" t="n"/>
      <c r="E434" s="41" t="n"/>
      <c r="F434" s="49" t="n"/>
      <c r="G434" s="41" t="n"/>
      <c r="H434" s="30">
        <f>IF(D434="","",IFERROR(INDEX(Config!$B$12:$B$15,MATCH(IF(AND(D434="Cartão de crédito",N(E434)&gt;1),"Cartão de crédito parcelado",D434),Config!$A$12:$A$15,0)),0)+IF(AND(Config!$B$17="Sim",LEFT(D434,17)="Cartão de crédito"),Config!$B$18*IFERROR(INDEX(Config!$C$12:$C$15,MATCH(IF(AND(D434="Cartão de crédito",N(E434)&gt;1),"Cartão de crédito parcelado",D434),Config!$A$12:$A$15,0)),0)/30*MAX(1,N(E434)),0))</f>
        <v/>
      </c>
      <c r="I434" s="29">
        <f>IF(OR(D434="",F434=""),"",ROUND(F434*H434,2))</f>
        <v/>
      </c>
      <c r="J434" s="29">
        <f>IF(I434="","",F434-I434)</f>
        <v/>
      </c>
      <c r="K434" s="37">
        <f>IF(OR(D434="",A434=""),"",A434+IF(AND(Config!$B$17="Sim",LEFT(D434,17)="Cartão de crédito"),1,IFERROR(INDEX(Config!$C$12:$C$15,MATCH(IF(AND(D434="Cartão de crédito",N(E434)&gt;1),"Cartão de crédito parcelado",D434),Config!$A$12:$A$15,0)),0)))</f>
        <v/>
      </c>
      <c r="L434" s="27">
        <f>IF(A434="","",MONTH(A434))</f>
        <v/>
      </c>
      <c r="M434" s="27">
        <f>IF(A434="","",YEAR(A434))</f>
        <v/>
      </c>
      <c r="N434" s="27">
        <f>IF(K434="","",IF(G434="Sim","Conferido",IF(K434&gt;Config!$B$8,"A cair","A conferir")))</f>
        <v/>
      </c>
      <c r="O434" s="50">
        <f>IF(N434="A conferir",(Config!$B$8-K434)*1000+N(F434)/1000+ROW()/100000,0)</f>
        <v>0</v>
      </c>
    </row>
    <row r="435">
      <c r="A435" s="48" t="n"/>
      <c r="B435" s="40" t="n"/>
      <c r="C435" s="40" t="n"/>
      <c r="D435" s="41" t="n"/>
      <c r="E435" s="41" t="n"/>
      <c r="F435" s="49" t="n"/>
      <c r="G435" s="41" t="n"/>
      <c r="H435" s="30">
        <f>IF(D435="","",IFERROR(INDEX(Config!$B$12:$B$15,MATCH(IF(AND(D435="Cartão de crédito",N(E435)&gt;1),"Cartão de crédito parcelado",D435),Config!$A$12:$A$15,0)),0)+IF(AND(Config!$B$17="Sim",LEFT(D435,17)="Cartão de crédito"),Config!$B$18*IFERROR(INDEX(Config!$C$12:$C$15,MATCH(IF(AND(D435="Cartão de crédito",N(E435)&gt;1),"Cartão de crédito parcelado",D435),Config!$A$12:$A$15,0)),0)/30*MAX(1,N(E435)),0))</f>
        <v/>
      </c>
      <c r="I435" s="29">
        <f>IF(OR(D435="",F435=""),"",ROUND(F435*H435,2))</f>
        <v/>
      </c>
      <c r="J435" s="29">
        <f>IF(I435="","",F435-I435)</f>
        <v/>
      </c>
      <c r="K435" s="37">
        <f>IF(OR(D435="",A435=""),"",A435+IF(AND(Config!$B$17="Sim",LEFT(D435,17)="Cartão de crédito"),1,IFERROR(INDEX(Config!$C$12:$C$15,MATCH(IF(AND(D435="Cartão de crédito",N(E435)&gt;1),"Cartão de crédito parcelado",D435),Config!$A$12:$A$15,0)),0)))</f>
        <v/>
      </c>
      <c r="L435" s="27">
        <f>IF(A435="","",MONTH(A435))</f>
        <v/>
      </c>
      <c r="M435" s="27">
        <f>IF(A435="","",YEAR(A435))</f>
        <v/>
      </c>
      <c r="N435" s="27">
        <f>IF(K435="","",IF(G435="Sim","Conferido",IF(K435&gt;Config!$B$8,"A cair","A conferir")))</f>
        <v/>
      </c>
      <c r="O435" s="50">
        <f>IF(N435="A conferir",(Config!$B$8-K435)*1000+N(F435)/1000+ROW()/100000,0)</f>
        <v>0</v>
      </c>
    </row>
    <row r="436">
      <c r="A436" s="48" t="n"/>
      <c r="B436" s="40" t="n"/>
      <c r="C436" s="40" t="n"/>
      <c r="D436" s="41" t="n"/>
      <c r="E436" s="41" t="n"/>
      <c r="F436" s="49" t="n"/>
      <c r="G436" s="41" t="n"/>
      <c r="H436" s="30">
        <f>IF(D436="","",IFERROR(INDEX(Config!$B$12:$B$15,MATCH(IF(AND(D436="Cartão de crédito",N(E436)&gt;1),"Cartão de crédito parcelado",D436),Config!$A$12:$A$15,0)),0)+IF(AND(Config!$B$17="Sim",LEFT(D436,17)="Cartão de crédito"),Config!$B$18*IFERROR(INDEX(Config!$C$12:$C$15,MATCH(IF(AND(D436="Cartão de crédito",N(E436)&gt;1),"Cartão de crédito parcelado",D436),Config!$A$12:$A$15,0)),0)/30*MAX(1,N(E436)),0))</f>
        <v/>
      </c>
      <c r="I436" s="29">
        <f>IF(OR(D436="",F436=""),"",ROUND(F436*H436,2))</f>
        <v/>
      </c>
      <c r="J436" s="29">
        <f>IF(I436="","",F436-I436)</f>
        <v/>
      </c>
      <c r="K436" s="37">
        <f>IF(OR(D436="",A436=""),"",A436+IF(AND(Config!$B$17="Sim",LEFT(D436,17)="Cartão de crédito"),1,IFERROR(INDEX(Config!$C$12:$C$15,MATCH(IF(AND(D436="Cartão de crédito",N(E436)&gt;1),"Cartão de crédito parcelado",D436),Config!$A$12:$A$15,0)),0)))</f>
        <v/>
      </c>
      <c r="L436" s="27">
        <f>IF(A436="","",MONTH(A436))</f>
        <v/>
      </c>
      <c r="M436" s="27">
        <f>IF(A436="","",YEAR(A436))</f>
        <v/>
      </c>
      <c r="N436" s="27">
        <f>IF(K436="","",IF(G436="Sim","Conferido",IF(K436&gt;Config!$B$8,"A cair","A conferir")))</f>
        <v/>
      </c>
      <c r="O436" s="50">
        <f>IF(N436="A conferir",(Config!$B$8-K436)*1000+N(F436)/1000+ROW()/100000,0)</f>
        <v>0</v>
      </c>
    </row>
    <row r="437">
      <c r="A437" s="48" t="n"/>
      <c r="B437" s="40" t="n"/>
      <c r="C437" s="40" t="n"/>
      <c r="D437" s="41" t="n"/>
      <c r="E437" s="41" t="n"/>
      <c r="F437" s="49" t="n"/>
      <c r="G437" s="41" t="n"/>
      <c r="H437" s="30">
        <f>IF(D437="","",IFERROR(INDEX(Config!$B$12:$B$15,MATCH(IF(AND(D437="Cartão de crédito",N(E437)&gt;1),"Cartão de crédito parcelado",D437),Config!$A$12:$A$15,0)),0)+IF(AND(Config!$B$17="Sim",LEFT(D437,17)="Cartão de crédito"),Config!$B$18*IFERROR(INDEX(Config!$C$12:$C$15,MATCH(IF(AND(D437="Cartão de crédito",N(E437)&gt;1),"Cartão de crédito parcelado",D437),Config!$A$12:$A$15,0)),0)/30*MAX(1,N(E437)),0))</f>
        <v/>
      </c>
      <c r="I437" s="29">
        <f>IF(OR(D437="",F437=""),"",ROUND(F437*H437,2))</f>
        <v/>
      </c>
      <c r="J437" s="29">
        <f>IF(I437="","",F437-I437)</f>
        <v/>
      </c>
      <c r="K437" s="37">
        <f>IF(OR(D437="",A437=""),"",A437+IF(AND(Config!$B$17="Sim",LEFT(D437,17)="Cartão de crédito"),1,IFERROR(INDEX(Config!$C$12:$C$15,MATCH(IF(AND(D437="Cartão de crédito",N(E437)&gt;1),"Cartão de crédito parcelado",D437),Config!$A$12:$A$15,0)),0)))</f>
        <v/>
      </c>
      <c r="L437" s="27">
        <f>IF(A437="","",MONTH(A437))</f>
        <v/>
      </c>
      <c r="M437" s="27">
        <f>IF(A437="","",YEAR(A437))</f>
        <v/>
      </c>
      <c r="N437" s="27">
        <f>IF(K437="","",IF(G437="Sim","Conferido",IF(K437&gt;Config!$B$8,"A cair","A conferir")))</f>
        <v/>
      </c>
      <c r="O437" s="50">
        <f>IF(N437="A conferir",(Config!$B$8-K437)*1000+N(F437)/1000+ROW()/100000,0)</f>
        <v>0</v>
      </c>
    </row>
    <row r="438">
      <c r="A438" s="48" t="n"/>
      <c r="B438" s="40" t="n"/>
      <c r="C438" s="40" t="n"/>
      <c r="D438" s="41" t="n"/>
      <c r="E438" s="41" t="n"/>
      <c r="F438" s="49" t="n"/>
      <c r="G438" s="41" t="n"/>
      <c r="H438" s="30">
        <f>IF(D438="","",IFERROR(INDEX(Config!$B$12:$B$15,MATCH(IF(AND(D438="Cartão de crédito",N(E438)&gt;1),"Cartão de crédito parcelado",D438),Config!$A$12:$A$15,0)),0)+IF(AND(Config!$B$17="Sim",LEFT(D438,17)="Cartão de crédito"),Config!$B$18*IFERROR(INDEX(Config!$C$12:$C$15,MATCH(IF(AND(D438="Cartão de crédito",N(E438)&gt;1),"Cartão de crédito parcelado",D438),Config!$A$12:$A$15,0)),0)/30*MAX(1,N(E438)),0))</f>
        <v/>
      </c>
      <c r="I438" s="29">
        <f>IF(OR(D438="",F438=""),"",ROUND(F438*H438,2))</f>
        <v/>
      </c>
      <c r="J438" s="29">
        <f>IF(I438="","",F438-I438)</f>
        <v/>
      </c>
      <c r="K438" s="37">
        <f>IF(OR(D438="",A438=""),"",A438+IF(AND(Config!$B$17="Sim",LEFT(D438,17)="Cartão de crédito"),1,IFERROR(INDEX(Config!$C$12:$C$15,MATCH(IF(AND(D438="Cartão de crédito",N(E438)&gt;1),"Cartão de crédito parcelado",D438),Config!$A$12:$A$15,0)),0)))</f>
        <v/>
      </c>
      <c r="L438" s="27">
        <f>IF(A438="","",MONTH(A438))</f>
        <v/>
      </c>
      <c r="M438" s="27">
        <f>IF(A438="","",YEAR(A438))</f>
        <v/>
      </c>
      <c r="N438" s="27">
        <f>IF(K438="","",IF(G438="Sim","Conferido",IF(K438&gt;Config!$B$8,"A cair","A conferir")))</f>
        <v/>
      </c>
      <c r="O438" s="50">
        <f>IF(N438="A conferir",(Config!$B$8-K438)*1000+N(F438)/1000+ROW()/100000,0)</f>
        <v>0</v>
      </c>
    </row>
    <row r="439">
      <c r="A439" s="48" t="n"/>
      <c r="B439" s="40" t="n"/>
      <c r="C439" s="40" t="n"/>
      <c r="D439" s="41" t="n"/>
      <c r="E439" s="41" t="n"/>
      <c r="F439" s="49" t="n"/>
      <c r="G439" s="41" t="n"/>
      <c r="H439" s="30">
        <f>IF(D439="","",IFERROR(INDEX(Config!$B$12:$B$15,MATCH(IF(AND(D439="Cartão de crédito",N(E439)&gt;1),"Cartão de crédito parcelado",D439),Config!$A$12:$A$15,0)),0)+IF(AND(Config!$B$17="Sim",LEFT(D439,17)="Cartão de crédito"),Config!$B$18*IFERROR(INDEX(Config!$C$12:$C$15,MATCH(IF(AND(D439="Cartão de crédito",N(E439)&gt;1),"Cartão de crédito parcelado",D439),Config!$A$12:$A$15,0)),0)/30*MAX(1,N(E439)),0))</f>
        <v/>
      </c>
      <c r="I439" s="29">
        <f>IF(OR(D439="",F439=""),"",ROUND(F439*H439,2))</f>
        <v/>
      </c>
      <c r="J439" s="29">
        <f>IF(I439="","",F439-I439)</f>
        <v/>
      </c>
      <c r="K439" s="37">
        <f>IF(OR(D439="",A439=""),"",A439+IF(AND(Config!$B$17="Sim",LEFT(D439,17)="Cartão de crédito"),1,IFERROR(INDEX(Config!$C$12:$C$15,MATCH(IF(AND(D439="Cartão de crédito",N(E439)&gt;1),"Cartão de crédito parcelado",D439),Config!$A$12:$A$15,0)),0)))</f>
        <v/>
      </c>
      <c r="L439" s="27">
        <f>IF(A439="","",MONTH(A439))</f>
        <v/>
      </c>
      <c r="M439" s="27">
        <f>IF(A439="","",YEAR(A439))</f>
        <v/>
      </c>
      <c r="N439" s="27">
        <f>IF(K439="","",IF(G439="Sim","Conferido",IF(K439&gt;Config!$B$8,"A cair","A conferir")))</f>
        <v/>
      </c>
      <c r="O439" s="50">
        <f>IF(N439="A conferir",(Config!$B$8-K439)*1000+N(F439)/1000+ROW()/100000,0)</f>
        <v>0</v>
      </c>
    </row>
    <row r="440">
      <c r="A440" s="48" t="n"/>
      <c r="B440" s="40" t="n"/>
      <c r="C440" s="40" t="n"/>
      <c r="D440" s="41" t="n"/>
      <c r="E440" s="41" t="n"/>
      <c r="F440" s="49" t="n"/>
      <c r="G440" s="41" t="n"/>
      <c r="H440" s="30">
        <f>IF(D440="","",IFERROR(INDEX(Config!$B$12:$B$15,MATCH(IF(AND(D440="Cartão de crédito",N(E440)&gt;1),"Cartão de crédito parcelado",D440),Config!$A$12:$A$15,0)),0)+IF(AND(Config!$B$17="Sim",LEFT(D440,17)="Cartão de crédito"),Config!$B$18*IFERROR(INDEX(Config!$C$12:$C$15,MATCH(IF(AND(D440="Cartão de crédito",N(E440)&gt;1),"Cartão de crédito parcelado",D440),Config!$A$12:$A$15,0)),0)/30*MAX(1,N(E440)),0))</f>
        <v/>
      </c>
      <c r="I440" s="29">
        <f>IF(OR(D440="",F440=""),"",ROUND(F440*H440,2))</f>
        <v/>
      </c>
      <c r="J440" s="29">
        <f>IF(I440="","",F440-I440)</f>
        <v/>
      </c>
      <c r="K440" s="37">
        <f>IF(OR(D440="",A440=""),"",A440+IF(AND(Config!$B$17="Sim",LEFT(D440,17)="Cartão de crédito"),1,IFERROR(INDEX(Config!$C$12:$C$15,MATCH(IF(AND(D440="Cartão de crédito",N(E440)&gt;1),"Cartão de crédito parcelado",D440),Config!$A$12:$A$15,0)),0)))</f>
        <v/>
      </c>
      <c r="L440" s="27">
        <f>IF(A440="","",MONTH(A440))</f>
        <v/>
      </c>
      <c r="M440" s="27">
        <f>IF(A440="","",YEAR(A440))</f>
        <v/>
      </c>
      <c r="N440" s="27">
        <f>IF(K440="","",IF(G440="Sim","Conferido",IF(K440&gt;Config!$B$8,"A cair","A conferir")))</f>
        <v/>
      </c>
      <c r="O440" s="50">
        <f>IF(N440="A conferir",(Config!$B$8-K440)*1000+N(F440)/1000+ROW()/100000,0)</f>
        <v>0</v>
      </c>
    </row>
    <row r="441">
      <c r="A441" s="48" t="n"/>
      <c r="B441" s="40" t="n"/>
      <c r="C441" s="40" t="n"/>
      <c r="D441" s="41" t="n"/>
      <c r="E441" s="41" t="n"/>
      <c r="F441" s="49" t="n"/>
      <c r="G441" s="41" t="n"/>
      <c r="H441" s="30">
        <f>IF(D441="","",IFERROR(INDEX(Config!$B$12:$B$15,MATCH(IF(AND(D441="Cartão de crédito",N(E441)&gt;1),"Cartão de crédito parcelado",D441),Config!$A$12:$A$15,0)),0)+IF(AND(Config!$B$17="Sim",LEFT(D441,17)="Cartão de crédito"),Config!$B$18*IFERROR(INDEX(Config!$C$12:$C$15,MATCH(IF(AND(D441="Cartão de crédito",N(E441)&gt;1),"Cartão de crédito parcelado",D441),Config!$A$12:$A$15,0)),0)/30*MAX(1,N(E441)),0))</f>
        <v/>
      </c>
      <c r="I441" s="29">
        <f>IF(OR(D441="",F441=""),"",ROUND(F441*H441,2))</f>
        <v/>
      </c>
      <c r="J441" s="29">
        <f>IF(I441="","",F441-I441)</f>
        <v/>
      </c>
      <c r="K441" s="37">
        <f>IF(OR(D441="",A441=""),"",A441+IF(AND(Config!$B$17="Sim",LEFT(D441,17)="Cartão de crédito"),1,IFERROR(INDEX(Config!$C$12:$C$15,MATCH(IF(AND(D441="Cartão de crédito",N(E441)&gt;1),"Cartão de crédito parcelado",D441),Config!$A$12:$A$15,0)),0)))</f>
        <v/>
      </c>
      <c r="L441" s="27">
        <f>IF(A441="","",MONTH(A441))</f>
        <v/>
      </c>
      <c r="M441" s="27">
        <f>IF(A441="","",YEAR(A441))</f>
        <v/>
      </c>
      <c r="N441" s="27">
        <f>IF(K441="","",IF(G441="Sim","Conferido",IF(K441&gt;Config!$B$8,"A cair","A conferir")))</f>
        <v/>
      </c>
      <c r="O441" s="50">
        <f>IF(N441="A conferir",(Config!$B$8-K441)*1000+N(F441)/1000+ROW()/100000,0)</f>
        <v>0</v>
      </c>
    </row>
    <row r="442">
      <c r="A442" s="48" t="n"/>
      <c r="B442" s="40" t="n"/>
      <c r="C442" s="40" t="n"/>
      <c r="D442" s="41" t="n"/>
      <c r="E442" s="41" t="n"/>
      <c r="F442" s="49" t="n"/>
      <c r="G442" s="41" t="n"/>
      <c r="H442" s="30">
        <f>IF(D442="","",IFERROR(INDEX(Config!$B$12:$B$15,MATCH(IF(AND(D442="Cartão de crédito",N(E442)&gt;1),"Cartão de crédito parcelado",D442),Config!$A$12:$A$15,0)),0)+IF(AND(Config!$B$17="Sim",LEFT(D442,17)="Cartão de crédito"),Config!$B$18*IFERROR(INDEX(Config!$C$12:$C$15,MATCH(IF(AND(D442="Cartão de crédito",N(E442)&gt;1),"Cartão de crédito parcelado",D442),Config!$A$12:$A$15,0)),0)/30*MAX(1,N(E442)),0))</f>
        <v/>
      </c>
      <c r="I442" s="29">
        <f>IF(OR(D442="",F442=""),"",ROUND(F442*H442,2))</f>
        <v/>
      </c>
      <c r="J442" s="29">
        <f>IF(I442="","",F442-I442)</f>
        <v/>
      </c>
      <c r="K442" s="37">
        <f>IF(OR(D442="",A442=""),"",A442+IF(AND(Config!$B$17="Sim",LEFT(D442,17)="Cartão de crédito"),1,IFERROR(INDEX(Config!$C$12:$C$15,MATCH(IF(AND(D442="Cartão de crédito",N(E442)&gt;1),"Cartão de crédito parcelado",D442),Config!$A$12:$A$15,0)),0)))</f>
        <v/>
      </c>
      <c r="L442" s="27">
        <f>IF(A442="","",MONTH(A442))</f>
        <v/>
      </c>
      <c r="M442" s="27">
        <f>IF(A442="","",YEAR(A442))</f>
        <v/>
      </c>
      <c r="N442" s="27">
        <f>IF(K442="","",IF(G442="Sim","Conferido",IF(K442&gt;Config!$B$8,"A cair","A conferir")))</f>
        <v/>
      </c>
      <c r="O442" s="50">
        <f>IF(N442="A conferir",(Config!$B$8-K442)*1000+N(F442)/1000+ROW()/100000,0)</f>
        <v>0</v>
      </c>
    </row>
    <row r="443">
      <c r="A443" s="48" t="n"/>
      <c r="B443" s="40" t="n"/>
      <c r="C443" s="40" t="n"/>
      <c r="D443" s="41" t="n"/>
      <c r="E443" s="41" t="n"/>
      <c r="F443" s="49" t="n"/>
      <c r="G443" s="41" t="n"/>
      <c r="H443" s="30">
        <f>IF(D443="","",IFERROR(INDEX(Config!$B$12:$B$15,MATCH(IF(AND(D443="Cartão de crédito",N(E443)&gt;1),"Cartão de crédito parcelado",D443),Config!$A$12:$A$15,0)),0)+IF(AND(Config!$B$17="Sim",LEFT(D443,17)="Cartão de crédito"),Config!$B$18*IFERROR(INDEX(Config!$C$12:$C$15,MATCH(IF(AND(D443="Cartão de crédito",N(E443)&gt;1),"Cartão de crédito parcelado",D443),Config!$A$12:$A$15,0)),0)/30*MAX(1,N(E443)),0))</f>
        <v/>
      </c>
      <c r="I443" s="29">
        <f>IF(OR(D443="",F443=""),"",ROUND(F443*H443,2))</f>
        <v/>
      </c>
      <c r="J443" s="29">
        <f>IF(I443="","",F443-I443)</f>
        <v/>
      </c>
      <c r="K443" s="37">
        <f>IF(OR(D443="",A443=""),"",A443+IF(AND(Config!$B$17="Sim",LEFT(D443,17)="Cartão de crédito"),1,IFERROR(INDEX(Config!$C$12:$C$15,MATCH(IF(AND(D443="Cartão de crédito",N(E443)&gt;1),"Cartão de crédito parcelado",D443),Config!$A$12:$A$15,0)),0)))</f>
        <v/>
      </c>
      <c r="L443" s="27">
        <f>IF(A443="","",MONTH(A443))</f>
        <v/>
      </c>
      <c r="M443" s="27">
        <f>IF(A443="","",YEAR(A443))</f>
        <v/>
      </c>
      <c r="N443" s="27">
        <f>IF(K443="","",IF(G443="Sim","Conferido",IF(K443&gt;Config!$B$8,"A cair","A conferir")))</f>
        <v/>
      </c>
      <c r="O443" s="50">
        <f>IF(N443="A conferir",(Config!$B$8-K443)*1000+N(F443)/1000+ROW()/100000,0)</f>
        <v>0</v>
      </c>
    </row>
    <row r="444">
      <c r="A444" s="48" t="n"/>
      <c r="B444" s="40" t="n"/>
      <c r="C444" s="40" t="n"/>
      <c r="D444" s="41" t="n"/>
      <c r="E444" s="41" t="n"/>
      <c r="F444" s="49" t="n"/>
      <c r="G444" s="41" t="n"/>
      <c r="H444" s="30">
        <f>IF(D444="","",IFERROR(INDEX(Config!$B$12:$B$15,MATCH(IF(AND(D444="Cartão de crédito",N(E444)&gt;1),"Cartão de crédito parcelado",D444),Config!$A$12:$A$15,0)),0)+IF(AND(Config!$B$17="Sim",LEFT(D444,17)="Cartão de crédito"),Config!$B$18*IFERROR(INDEX(Config!$C$12:$C$15,MATCH(IF(AND(D444="Cartão de crédito",N(E444)&gt;1),"Cartão de crédito parcelado",D444),Config!$A$12:$A$15,0)),0)/30*MAX(1,N(E444)),0))</f>
        <v/>
      </c>
      <c r="I444" s="29">
        <f>IF(OR(D444="",F444=""),"",ROUND(F444*H444,2))</f>
        <v/>
      </c>
      <c r="J444" s="29">
        <f>IF(I444="","",F444-I444)</f>
        <v/>
      </c>
      <c r="K444" s="37">
        <f>IF(OR(D444="",A444=""),"",A444+IF(AND(Config!$B$17="Sim",LEFT(D444,17)="Cartão de crédito"),1,IFERROR(INDEX(Config!$C$12:$C$15,MATCH(IF(AND(D444="Cartão de crédito",N(E444)&gt;1),"Cartão de crédito parcelado",D444),Config!$A$12:$A$15,0)),0)))</f>
        <v/>
      </c>
      <c r="L444" s="27">
        <f>IF(A444="","",MONTH(A444))</f>
        <v/>
      </c>
      <c r="M444" s="27">
        <f>IF(A444="","",YEAR(A444))</f>
        <v/>
      </c>
      <c r="N444" s="27">
        <f>IF(K444="","",IF(G444="Sim","Conferido",IF(K444&gt;Config!$B$8,"A cair","A conferir")))</f>
        <v/>
      </c>
      <c r="O444" s="50">
        <f>IF(N444="A conferir",(Config!$B$8-K444)*1000+N(F444)/1000+ROW()/100000,0)</f>
        <v>0</v>
      </c>
    </row>
    <row r="445">
      <c r="A445" s="48" t="n"/>
      <c r="B445" s="40" t="n"/>
      <c r="C445" s="40" t="n"/>
      <c r="D445" s="41" t="n"/>
      <c r="E445" s="41" t="n"/>
      <c r="F445" s="49" t="n"/>
      <c r="G445" s="41" t="n"/>
      <c r="H445" s="30">
        <f>IF(D445="","",IFERROR(INDEX(Config!$B$12:$B$15,MATCH(IF(AND(D445="Cartão de crédito",N(E445)&gt;1),"Cartão de crédito parcelado",D445),Config!$A$12:$A$15,0)),0)+IF(AND(Config!$B$17="Sim",LEFT(D445,17)="Cartão de crédito"),Config!$B$18*IFERROR(INDEX(Config!$C$12:$C$15,MATCH(IF(AND(D445="Cartão de crédito",N(E445)&gt;1),"Cartão de crédito parcelado",D445),Config!$A$12:$A$15,0)),0)/30*MAX(1,N(E445)),0))</f>
        <v/>
      </c>
      <c r="I445" s="29">
        <f>IF(OR(D445="",F445=""),"",ROUND(F445*H445,2))</f>
        <v/>
      </c>
      <c r="J445" s="29">
        <f>IF(I445="","",F445-I445)</f>
        <v/>
      </c>
      <c r="K445" s="37">
        <f>IF(OR(D445="",A445=""),"",A445+IF(AND(Config!$B$17="Sim",LEFT(D445,17)="Cartão de crédito"),1,IFERROR(INDEX(Config!$C$12:$C$15,MATCH(IF(AND(D445="Cartão de crédito",N(E445)&gt;1),"Cartão de crédito parcelado",D445),Config!$A$12:$A$15,0)),0)))</f>
        <v/>
      </c>
      <c r="L445" s="27">
        <f>IF(A445="","",MONTH(A445))</f>
        <v/>
      </c>
      <c r="M445" s="27">
        <f>IF(A445="","",YEAR(A445))</f>
        <v/>
      </c>
      <c r="N445" s="27">
        <f>IF(K445="","",IF(G445="Sim","Conferido",IF(K445&gt;Config!$B$8,"A cair","A conferir")))</f>
        <v/>
      </c>
      <c r="O445" s="50">
        <f>IF(N445="A conferir",(Config!$B$8-K445)*1000+N(F445)/1000+ROW()/100000,0)</f>
        <v>0</v>
      </c>
    </row>
    <row r="446">
      <c r="A446" s="48" t="n"/>
      <c r="B446" s="40" t="n"/>
      <c r="C446" s="40" t="n"/>
      <c r="D446" s="41" t="n"/>
      <c r="E446" s="41" t="n"/>
      <c r="F446" s="49" t="n"/>
      <c r="G446" s="41" t="n"/>
      <c r="H446" s="30">
        <f>IF(D446="","",IFERROR(INDEX(Config!$B$12:$B$15,MATCH(IF(AND(D446="Cartão de crédito",N(E446)&gt;1),"Cartão de crédito parcelado",D446),Config!$A$12:$A$15,0)),0)+IF(AND(Config!$B$17="Sim",LEFT(D446,17)="Cartão de crédito"),Config!$B$18*IFERROR(INDEX(Config!$C$12:$C$15,MATCH(IF(AND(D446="Cartão de crédito",N(E446)&gt;1),"Cartão de crédito parcelado",D446),Config!$A$12:$A$15,0)),0)/30*MAX(1,N(E446)),0))</f>
        <v/>
      </c>
      <c r="I446" s="29">
        <f>IF(OR(D446="",F446=""),"",ROUND(F446*H446,2))</f>
        <v/>
      </c>
      <c r="J446" s="29">
        <f>IF(I446="","",F446-I446)</f>
        <v/>
      </c>
      <c r="K446" s="37">
        <f>IF(OR(D446="",A446=""),"",A446+IF(AND(Config!$B$17="Sim",LEFT(D446,17)="Cartão de crédito"),1,IFERROR(INDEX(Config!$C$12:$C$15,MATCH(IF(AND(D446="Cartão de crédito",N(E446)&gt;1),"Cartão de crédito parcelado",D446),Config!$A$12:$A$15,0)),0)))</f>
        <v/>
      </c>
      <c r="L446" s="27">
        <f>IF(A446="","",MONTH(A446))</f>
        <v/>
      </c>
      <c r="M446" s="27">
        <f>IF(A446="","",YEAR(A446))</f>
        <v/>
      </c>
      <c r="N446" s="27">
        <f>IF(K446="","",IF(G446="Sim","Conferido",IF(K446&gt;Config!$B$8,"A cair","A conferir")))</f>
        <v/>
      </c>
      <c r="O446" s="50">
        <f>IF(N446="A conferir",(Config!$B$8-K446)*1000+N(F446)/1000+ROW()/100000,0)</f>
        <v>0</v>
      </c>
    </row>
    <row r="447">
      <c r="A447" s="48" t="n"/>
      <c r="B447" s="40" t="n"/>
      <c r="C447" s="40" t="n"/>
      <c r="D447" s="41" t="n"/>
      <c r="E447" s="41" t="n"/>
      <c r="F447" s="49" t="n"/>
      <c r="G447" s="41" t="n"/>
      <c r="H447" s="30">
        <f>IF(D447="","",IFERROR(INDEX(Config!$B$12:$B$15,MATCH(IF(AND(D447="Cartão de crédito",N(E447)&gt;1),"Cartão de crédito parcelado",D447),Config!$A$12:$A$15,0)),0)+IF(AND(Config!$B$17="Sim",LEFT(D447,17)="Cartão de crédito"),Config!$B$18*IFERROR(INDEX(Config!$C$12:$C$15,MATCH(IF(AND(D447="Cartão de crédito",N(E447)&gt;1),"Cartão de crédito parcelado",D447),Config!$A$12:$A$15,0)),0)/30*MAX(1,N(E447)),0))</f>
        <v/>
      </c>
      <c r="I447" s="29">
        <f>IF(OR(D447="",F447=""),"",ROUND(F447*H447,2))</f>
        <v/>
      </c>
      <c r="J447" s="29">
        <f>IF(I447="","",F447-I447)</f>
        <v/>
      </c>
      <c r="K447" s="37">
        <f>IF(OR(D447="",A447=""),"",A447+IF(AND(Config!$B$17="Sim",LEFT(D447,17)="Cartão de crédito"),1,IFERROR(INDEX(Config!$C$12:$C$15,MATCH(IF(AND(D447="Cartão de crédito",N(E447)&gt;1),"Cartão de crédito parcelado",D447),Config!$A$12:$A$15,0)),0)))</f>
        <v/>
      </c>
      <c r="L447" s="27">
        <f>IF(A447="","",MONTH(A447))</f>
        <v/>
      </c>
      <c r="M447" s="27">
        <f>IF(A447="","",YEAR(A447))</f>
        <v/>
      </c>
      <c r="N447" s="27">
        <f>IF(K447="","",IF(G447="Sim","Conferido",IF(K447&gt;Config!$B$8,"A cair","A conferir")))</f>
        <v/>
      </c>
      <c r="O447" s="50">
        <f>IF(N447="A conferir",(Config!$B$8-K447)*1000+N(F447)/1000+ROW()/100000,0)</f>
        <v>0</v>
      </c>
    </row>
    <row r="448">
      <c r="A448" s="48" t="n"/>
      <c r="B448" s="40" t="n"/>
      <c r="C448" s="40" t="n"/>
      <c r="D448" s="41" t="n"/>
      <c r="E448" s="41" t="n"/>
      <c r="F448" s="49" t="n"/>
      <c r="G448" s="41" t="n"/>
      <c r="H448" s="30">
        <f>IF(D448="","",IFERROR(INDEX(Config!$B$12:$B$15,MATCH(IF(AND(D448="Cartão de crédito",N(E448)&gt;1),"Cartão de crédito parcelado",D448),Config!$A$12:$A$15,0)),0)+IF(AND(Config!$B$17="Sim",LEFT(D448,17)="Cartão de crédito"),Config!$B$18*IFERROR(INDEX(Config!$C$12:$C$15,MATCH(IF(AND(D448="Cartão de crédito",N(E448)&gt;1),"Cartão de crédito parcelado",D448),Config!$A$12:$A$15,0)),0)/30*MAX(1,N(E448)),0))</f>
        <v/>
      </c>
      <c r="I448" s="29">
        <f>IF(OR(D448="",F448=""),"",ROUND(F448*H448,2))</f>
        <v/>
      </c>
      <c r="J448" s="29">
        <f>IF(I448="","",F448-I448)</f>
        <v/>
      </c>
      <c r="K448" s="37">
        <f>IF(OR(D448="",A448=""),"",A448+IF(AND(Config!$B$17="Sim",LEFT(D448,17)="Cartão de crédito"),1,IFERROR(INDEX(Config!$C$12:$C$15,MATCH(IF(AND(D448="Cartão de crédito",N(E448)&gt;1),"Cartão de crédito parcelado",D448),Config!$A$12:$A$15,0)),0)))</f>
        <v/>
      </c>
      <c r="L448" s="27">
        <f>IF(A448="","",MONTH(A448))</f>
        <v/>
      </c>
      <c r="M448" s="27">
        <f>IF(A448="","",YEAR(A448))</f>
        <v/>
      </c>
      <c r="N448" s="27">
        <f>IF(K448="","",IF(G448="Sim","Conferido",IF(K448&gt;Config!$B$8,"A cair","A conferir")))</f>
        <v/>
      </c>
      <c r="O448" s="50">
        <f>IF(N448="A conferir",(Config!$B$8-K448)*1000+N(F448)/1000+ROW()/100000,0)</f>
        <v>0</v>
      </c>
    </row>
    <row r="449">
      <c r="A449" s="48" t="n"/>
      <c r="B449" s="40" t="n"/>
      <c r="C449" s="40" t="n"/>
      <c r="D449" s="41" t="n"/>
      <c r="E449" s="41" t="n"/>
      <c r="F449" s="49" t="n"/>
      <c r="G449" s="41" t="n"/>
      <c r="H449" s="30">
        <f>IF(D449="","",IFERROR(INDEX(Config!$B$12:$B$15,MATCH(IF(AND(D449="Cartão de crédito",N(E449)&gt;1),"Cartão de crédito parcelado",D449),Config!$A$12:$A$15,0)),0)+IF(AND(Config!$B$17="Sim",LEFT(D449,17)="Cartão de crédito"),Config!$B$18*IFERROR(INDEX(Config!$C$12:$C$15,MATCH(IF(AND(D449="Cartão de crédito",N(E449)&gt;1),"Cartão de crédito parcelado",D449),Config!$A$12:$A$15,0)),0)/30*MAX(1,N(E449)),0))</f>
        <v/>
      </c>
      <c r="I449" s="29">
        <f>IF(OR(D449="",F449=""),"",ROUND(F449*H449,2))</f>
        <v/>
      </c>
      <c r="J449" s="29">
        <f>IF(I449="","",F449-I449)</f>
        <v/>
      </c>
      <c r="K449" s="37">
        <f>IF(OR(D449="",A449=""),"",A449+IF(AND(Config!$B$17="Sim",LEFT(D449,17)="Cartão de crédito"),1,IFERROR(INDEX(Config!$C$12:$C$15,MATCH(IF(AND(D449="Cartão de crédito",N(E449)&gt;1),"Cartão de crédito parcelado",D449),Config!$A$12:$A$15,0)),0)))</f>
        <v/>
      </c>
      <c r="L449" s="27">
        <f>IF(A449="","",MONTH(A449))</f>
        <v/>
      </c>
      <c r="M449" s="27">
        <f>IF(A449="","",YEAR(A449))</f>
        <v/>
      </c>
      <c r="N449" s="27">
        <f>IF(K449="","",IF(G449="Sim","Conferido",IF(K449&gt;Config!$B$8,"A cair","A conferir")))</f>
        <v/>
      </c>
      <c r="O449" s="50">
        <f>IF(N449="A conferir",(Config!$B$8-K449)*1000+N(F449)/1000+ROW()/100000,0)</f>
        <v>0</v>
      </c>
    </row>
    <row r="450">
      <c r="A450" s="48" t="n"/>
      <c r="B450" s="40" t="n"/>
      <c r="C450" s="40" t="n"/>
      <c r="D450" s="41" t="n"/>
      <c r="E450" s="41" t="n"/>
      <c r="F450" s="49" t="n"/>
      <c r="G450" s="41" t="n"/>
      <c r="H450" s="30">
        <f>IF(D450="","",IFERROR(INDEX(Config!$B$12:$B$15,MATCH(IF(AND(D450="Cartão de crédito",N(E450)&gt;1),"Cartão de crédito parcelado",D450),Config!$A$12:$A$15,0)),0)+IF(AND(Config!$B$17="Sim",LEFT(D450,17)="Cartão de crédito"),Config!$B$18*IFERROR(INDEX(Config!$C$12:$C$15,MATCH(IF(AND(D450="Cartão de crédito",N(E450)&gt;1),"Cartão de crédito parcelado",D450),Config!$A$12:$A$15,0)),0)/30*MAX(1,N(E450)),0))</f>
        <v/>
      </c>
      <c r="I450" s="29">
        <f>IF(OR(D450="",F450=""),"",ROUND(F450*H450,2))</f>
        <v/>
      </c>
      <c r="J450" s="29">
        <f>IF(I450="","",F450-I450)</f>
        <v/>
      </c>
      <c r="K450" s="37">
        <f>IF(OR(D450="",A450=""),"",A450+IF(AND(Config!$B$17="Sim",LEFT(D450,17)="Cartão de crédito"),1,IFERROR(INDEX(Config!$C$12:$C$15,MATCH(IF(AND(D450="Cartão de crédito",N(E450)&gt;1),"Cartão de crédito parcelado",D450),Config!$A$12:$A$15,0)),0)))</f>
        <v/>
      </c>
      <c r="L450" s="27">
        <f>IF(A450="","",MONTH(A450))</f>
        <v/>
      </c>
      <c r="M450" s="27">
        <f>IF(A450="","",YEAR(A450))</f>
        <v/>
      </c>
      <c r="N450" s="27">
        <f>IF(K450="","",IF(G450="Sim","Conferido",IF(K450&gt;Config!$B$8,"A cair","A conferir")))</f>
        <v/>
      </c>
      <c r="O450" s="50">
        <f>IF(N450="A conferir",(Config!$B$8-K450)*1000+N(F450)/1000+ROW()/100000,0)</f>
        <v>0</v>
      </c>
    </row>
    <row r="451">
      <c r="A451" s="48" t="n"/>
      <c r="B451" s="40" t="n"/>
      <c r="C451" s="40" t="n"/>
      <c r="D451" s="41" t="n"/>
      <c r="E451" s="41" t="n"/>
      <c r="F451" s="49" t="n"/>
      <c r="G451" s="41" t="n"/>
      <c r="H451" s="30">
        <f>IF(D451="","",IFERROR(INDEX(Config!$B$12:$B$15,MATCH(IF(AND(D451="Cartão de crédito",N(E451)&gt;1),"Cartão de crédito parcelado",D451),Config!$A$12:$A$15,0)),0)+IF(AND(Config!$B$17="Sim",LEFT(D451,17)="Cartão de crédito"),Config!$B$18*IFERROR(INDEX(Config!$C$12:$C$15,MATCH(IF(AND(D451="Cartão de crédito",N(E451)&gt;1),"Cartão de crédito parcelado",D451),Config!$A$12:$A$15,0)),0)/30*MAX(1,N(E451)),0))</f>
        <v/>
      </c>
      <c r="I451" s="29">
        <f>IF(OR(D451="",F451=""),"",ROUND(F451*H451,2))</f>
        <v/>
      </c>
      <c r="J451" s="29">
        <f>IF(I451="","",F451-I451)</f>
        <v/>
      </c>
      <c r="K451" s="37">
        <f>IF(OR(D451="",A451=""),"",A451+IF(AND(Config!$B$17="Sim",LEFT(D451,17)="Cartão de crédito"),1,IFERROR(INDEX(Config!$C$12:$C$15,MATCH(IF(AND(D451="Cartão de crédito",N(E451)&gt;1),"Cartão de crédito parcelado",D451),Config!$A$12:$A$15,0)),0)))</f>
        <v/>
      </c>
      <c r="L451" s="27">
        <f>IF(A451="","",MONTH(A451))</f>
        <v/>
      </c>
      <c r="M451" s="27">
        <f>IF(A451="","",YEAR(A451))</f>
        <v/>
      </c>
      <c r="N451" s="27">
        <f>IF(K451="","",IF(G451="Sim","Conferido",IF(K451&gt;Config!$B$8,"A cair","A conferir")))</f>
        <v/>
      </c>
      <c r="O451" s="50">
        <f>IF(N451="A conferir",(Config!$B$8-K451)*1000+N(F451)/1000+ROW()/100000,0)</f>
        <v>0</v>
      </c>
    </row>
    <row r="452">
      <c r="A452" s="48" t="n"/>
      <c r="B452" s="40" t="n"/>
      <c r="C452" s="40" t="n"/>
      <c r="D452" s="41" t="n"/>
      <c r="E452" s="41" t="n"/>
      <c r="F452" s="49" t="n"/>
      <c r="G452" s="41" t="n"/>
      <c r="H452" s="30">
        <f>IF(D452="","",IFERROR(INDEX(Config!$B$12:$B$15,MATCH(IF(AND(D452="Cartão de crédito",N(E452)&gt;1),"Cartão de crédito parcelado",D452),Config!$A$12:$A$15,0)),0)+IF(AND(Config!$B$17="Sim",LEFT(D452,17)="Cartão de crédito"),Config!$B$18*IFERROR(INDEX(Config!$C$12:$C$15,MATCH(IF(AND(D452="Cartão de crédito",N(E452)&gt;1),"Cartão de crédito parcelado",D452),Config!$A$12:$A$15,0)),0)/30*MAX(1,N(E452)),0))</f>
        <v/>
      </c>
      <c r="I452" s="29">
        <f>IF(OR(D452="",F452=""),"",ROUND(F452*H452,2))</f>
        <v/>
      </c>
      <c r="J452" s="29">
        <f>IF(I452="","",F452-I452)</f>
        <v/>
      </c>
      <c r="K452" s="37">
        <f>IF(OR(D452="",A452=""),"",A452+IF(AND(Config!$B$17="Sim",LEFT(D452,17)="Cartão de crédito"),1,IFERROR(INDEX(Config!$C$12:$C$15,MATCH(IF(AND(D452="Cartão de crédito",N(E452)&gt;1),"Cartão de crédito parcelado",D452),Config!$A$12:$A$15,0)),0)))</f>
        <v/>
      </c>
      <c r="L452" s="27">
        <f>IF(A452="","",MONTH(A452))</f>
        <v/>
      </c>
      <c r="M452" s="27">
        <f>IF(A452="","",YEAR(A452))</f>
        <v/>
      </c>
      <c r="N452" s="27">
        <f>IF(K452="","",IF(G452="Sim","Conferido",IF(K452&gt;Config!$B$8,"A cair","A conferir")))</f>
        <v/>
      </c>
      <c r="O452" s="50">
        <f>IF(N452="A conferir",(Config!$B$8-K452)*1000+N(F452)/1000+ROW()/100000,0)</f>
        <v>0</v>
      </c>
    </row>
    <row r="453">
      <c r="A453" s="48" t="n"/>
      <c r="B453" s="40" t="n"/>
      <c r="C453" s="40" t="n"/>
      <c r="D453" s="41" t="n"/>
      <c r="E453" s="41" t="n"/>
      <c r="F453" s="49" t="n"/>
      <c r="G453" s="41" t="n"/>
      <c r="H453" s="30">
        <f>IF(D453="","",IFERROR(INDEX(Config!$B$12:$B$15,MATCH(IF(AND(D453="Cartão de crédito",N(E453)&gt;1),"Cartão de crédito parcelado",D453),Config!$A$12:$A$15,0)),0)+IF(AND(Config!$B$17="Sim",LEFT(D453,17)="Cartão de crédito"),Config!$B$18*IFERROR(INDEX(Config!$C$12:$C$15,MATCH(IF(AND(D453="Cartão de crédito",N(E453)&gt;1),"Cartão de crédito parcelado",D453),Config!$A$12:$A$15,0)),0)/30*MAX(1,N(E453)),0))</f>
        <v/>
      </c>
      <c r="I453" s="29">
        <f>IF(OR(D453="",F453=""),"",ROUND(F453*H453,2))</f>
        <v/>
      </c>
      <c r="J453" s="29">
        <f>IF(I453="","",F453-I453)</f>
        <v/>
      </c>
      <c r="K453" s="37">
        <f>IF(OR(D453="",A453=""),"",A453+IF(AND(Config!$B$17="Sim",LEFT(D453,17)="Cartão de crédito"),1,IFERROR(INDEX(Config!$C$12:$C$15,MATCH(IF(AND(D453="Cartão de crédito",N(E453)&gt;1),"Cartão de crédito parcelado",D453),Config!$A$12:$A$15,0)),0)))</f>
        <v/>
      </c>
      <c r="L453" s="27">
        <f>IF(A453="","",MONTH(A453))</f>
        <v/>
      </c>
      <c r="M453" s="27">
        <f>IF(A453="","",YEAR(A453))</f>
        <v/>
      </c>
      <c r="N453" s="27">
        <f>IF(K453="","",IF(G453="Sim","Conferido",IF(K453&gt;Config!$B$8,"A cair","A conferir")))</f>
        <v/>
      </c>
      <c r="O453" s="50">
        <f>IF(N453="A conferir",(Config!$B$8-K453)*1000+N(F453)/1000+ROW()/100000,0)</f>
        <v>0</v>
      </c>
    </row>
    <row r="454">
      <c r="A454" s="48" t="n"/>
      <c r="B454" s="40" t="n"/>
      <c r="C454" s="40" t="n"/>
      <c r="D454" s="41" t="n"/>
      <c r="E454" s="41" t="n"/>
      <c r="F454" s="49" t="n"/>
      <c r="G454" s="41" t="n"/>
      <c r="H454" s="30">
        <f>IF(D454="","",IFERROR(INDEX(Config!$B$12:$B$15,MATCH(IF(AND(D454="Cartão de crédito",N(E454)&gt;1),"Cartão de crédito parcelado",D454),Config!$A$12:$A$15,0)),0)+IF(AND(Config!$B$17="Sim",LEFT(D454,17)="Cartão de crédito"),Config!$B$18*IFERROR(INDEX(Config!$C$12:$C$15,MATCH(IF(AND(D454="Cartão de crédito",N(E454)&gt;1),"Cartão de crédito parcelado",D454),Config!$A$12:$A$15,0)),0)/30*MAX(1,N(E454)),0))</f>
        <v/>
      </c>
      <c r="I454" s="29">
        <f>IF(OR(D454="",F454=""),"",ROUND(F454*H454,2))</f>
        <v/>
      </c>
      <c r="J454" s="29">
        <f>IF(I454="","",F454-I454)</f>
        <v/>
      </c>
      <c r="K454" s="37">
        <f>IF(OR(D454="",A454=""),"",A454+IF(AND(Config!$B$17="Sim",LEFT(D454,17)="Cartão de crédito"),1,IFERROR(INDEX(Config!$C$12:$C$15,MATCH(IF(AND(D454="Cartão de crédito",N(E454)&gt;1),"Cartão de crédito parcelado",D454),Config!$A$12:$A$15,0)),0)))</f>
        <v/>
      </c>
      <c r="L454" s="27">
        <f>IF(A454="","",MONTH(A454))</f>
        <v/>
      </c>
      <c r="M454" s="27">
        <f>IF(A454="","",YEAR(A454))</f>
        <v/>
      </c>
      <c r="N454" s="27">
        <f>IF(K454="","",IF(G454="Sim","Conferido",IF(K454&gt;Config!$B$8,"A cair","A conferir")))</f>
        <v/>
      </c>
      <c r="O454" s="50">
        <f>IF(N454="A conferir",(Config!$B$8-K454)*1000+N(F454)/1000+ROW()/100000,0)</f>
        <v>0</v>
      </c>
    </row>
    <row r="455">
      <c r="A455" s="48" t="n"/>
      <c r="B455" s="40" t="n"/>
      <c r="C455" s="40" t="n"/>
      <c r="D455" s="41" t="n"/>
      <c r="E455" s="41" t="n"/>
      <c r="F455" s="49" t="n"/>
      <c r="G455" s="41" t="n"/>
      <c r="H455" s="30">
        <f>IF(D455="","",IFERROR(INDEX(Config!$B$12:$B$15,MATCH(IF(AND(D455="Cartão de crédito",N(E455)&gt;1),"Cartão de crédito parcelado",D455),Config!$A$12:$A$15,0)),0)+IF(AND(Config!$B$17="Sim",LEFT(D455,17)="Cartão de crédito"),Config!$B$18*IFERROR(INDEX(Config!$C$12:$C$15,MATCH(IF(AND(D455="Cartão de crédito",N(E455)&gt;1),"Cartão de crédito parcelado",D455),Config!$A$12:$A$15,0)),0)/30*MAX(1,N(E455)),0))</f>
        <v/>
      </c>
      <c r="I455" s="29">
        <f>IF(OR(D455="",F455=""),"",ROUND(F455*H455,2))</f>
        <v/>
      </c>
      <c r="J455" s="29">
        <f>IF(I455="","",F455-I455)</f>
        <v/>
      </c>
      <c r="K455" s="37">
        <f>IF(OR(D455="",A455=""),"",A455+IF(AND(Config!$B$17="Sim",LEFT(D455,17)="Cartão de crédito"),1,IFERROR(INDEX(Config!$C$12:$C$15,MATCH(IF(AND(D455="Cartão de crédito",N(E455)&gt;1),"Cartão de crédito parcelado",D455),Config!$A$12:$A$15,0)),0)))</f>
        <v/>
      </c>
      <c r="L455" s="27">
        <f>IF(A455="","",MONTH(A455))</f>
        <v/>
      </c>
      <c r="M455" s="27">
        <f>IF(A455="","",YEAR(A455))</f>
        <v/>
      </c>
      <c r="N455" s="27">
        <f>IF(K455="","",IF(G455="Sim","Conferido",IF(K455&gt;Config!$B$8,"A cair","A conferir")))</f>
        <v/>
      </c>
      <c r="O455" s="50">
        <f>IF(N455="A conferir",(Config!$B$8-K455)*1000+N(F455)/1000+ROW()/100000,0)</f>
        <v>0</v>
      </c>
    </row>
    <row r="456">
      <c r="A456" s="48" t="n"/>
      <c r="B456" s="40" t="n"/>
      <c r="C456" s="40" t="n"/>
      <c r="D456" s="41" t="n"/>
      <c r="E456" s="41" t="n"/>
      <c r="F456" s="49" t="n"/>
      <c r="G456" s="41" t="n"/>
      <c r="H456" s="30">
        <f>IF(D456="","",IFERROR(INDEX(Config!$B$12:$B$15,MATCH(IF(AND(D456="Cartão de crédito",N(E456)&gt;1),"Cartão de crédito parcelado",D456),Config!$A$12:$A$15,0)),0)+IF(AND(Config!$B$17="Sim",LEFT(D456,17)="Cartão de crédito"),Config!$B$18*IFERROR(INDEX(Config!$C$12:$C$15,MATCH(IF(AND(D456="Cartão de crédito",N(E456)&gt;1),"Cartão de crédito parcelado",D456),Config!$A$12:$A$15,0)),0)/30*MAX(1,N(E456)),0))</f>
        <v/>
      </c>
      <c r="I456" s="29">
        <f>IF(OR(D456="",F456=""),"",ROUND(F456*H456,2))</f>
        <v/>
      </c>
      <c r="J456" s="29">
        <f>IF(I456="","",F456-I456)</f>
        <v/>
      </c>
      <c r="K456" s="37">
        <f>IF(OR(D456="",A456=""),"",A456+IF(AND(Config!$B$17="Sim",LEFT(D456,17)="Cartão de crédito"),1,IFERROR(INDEX(Config!$C$12:$C$15,MATCH(IF(AND(D456="Cartão de crédito",N(E456)&gt;1),"Cartão de crédito parcelado",D456),Config!$A$12:$A$15,0)),0)))</f>
        <v/>
      </c>
      <c r="L456" s="27">
        <f>IF(A456="","",MONTH(A456))</f>
        <v/>
      </c>
      <c r="M456" s="27">
        <f>IF(A456="","",YEAR(A456))</f>
        <v/>
      </c>
      <c r="N456" s="27">
        <f>IF(K456="","",IF(G456="Sim","Conferido",IF(K456&gt;Config!$B$8,"A cair","A conferir")))</f>
        <v/>
      </c>
      <c r="O456" s="50">
        <f>IF(N456="A conferir",(Config!$B$8-K456)*1000+N(F456)/1000+ROW()/100000,0)</f>
        <v>0</v>
      </c>
    </row>
    <row r="457">
      <c r="A457" s="48" t="n"/>
      <c r="B457" s="40" t="n"/>
      <c r="C457" s="40" t="n"/>
      <c r="D457" s="41" t="n"/>
      <c r="E457" s="41" t="n"/>
      <c r="F457" s="49" t="n"/>
      <c r="G457" s="41" t="n"/>
      <c r="H457" s="30">
        <f>IF(D457="","",IFERROR(INDEX(Config!$B$12:$B$15,MATCH(IF(AND(D457="Cartão de crédito",N(E457)&gt;1),"Cartão de crédito parcelado",D457),Config!$A$12:$A$15,0)),0)+IF(AND(Config!$B$17="Sim",LEFT(D457,17)="Cartão de crédito"),Config!$B$18*IFERROR(INDEX(Config!$C$12:$C$15,MATCH(IF(AND(D457="Cartão de crédito",N(E457)&gt;1),"Cartão de crédito parcelado",D457),Config!$A$12:$A$15,0)),0)/30*MAX(1,N(E457)),0))</f>
        <v/>
      </c>
      <c r="I457" s="29">
        <f>IF(OR(D457="",F457=""),"",ROUND(F457*H457,2))</f>
        <v/>
      </c>
      <c r="J457" s="29">
        <f>IF(I457="","",F457-I457)</f>
        <v/>
      </c>
      <c r="K457" s="37">
        <f>IF(OR(D457="",A457=""),"",A457+IF(AND(Config!$B$17="Sim",LEFT(D457,17)="Cartão de crédito"),1,IFERROR(INDEX(Config!$C$12:$C$15,MATCH(IF(AND(D457="Cartão de crédito",N(E457)&gt;1),"Cartão de crédito parcelado",D457),Config!$A$12:$A$15,0)),0)))</f>
        <v/>
      </c>
      <c r="L457" s="27">
        <f>IF(A457="","",MONTH(A457))</f>
        <v/>
      </c>
      <c r="M457" s="27">
        <f>IF(A457="","",YEAR(A457))</f>
        <v/>
      </c>
      <c r="N457" s="27">
        <f>IF(K457="","",IF(G457="Sim","Conferido",IF(K457&gt;Config!$B$8,"A cair","A conferir")))</f>
        <v/>
      </c>
      <c r="O457" s="50">
        <f>IF(N457="A conferir",(Config!$B$8-K457)*1000+N(F457)/1000+ROW()/100000,0)</f>
        <v>0</v>
      </c>
    </row>
    <row r="458">
      <c r="A458" s="48" t="n"/>
      <c r="B458" s="40" t="n"/>
      <c r="C458" s="40" t="n"/>
      <c r="D458" s="41" t="n"/>
      <c r="E458" s="41" t="n"/>
      <c r="F458" s="49" t="n"/>
      <c r="G458" s="41" t="n"/>
      <c r="H458" s="30">
        <f>IF(D458="","",IFERROR(INDEX(Config!$B$12:$B$15,MATCH(IF(AND(D458="Cartão de crédito",N(E458)&gt;1),"Cartão de crédito parcelado",D458),Config!$A$12:$A$15,0)),0)+IF(AND(Config!$B$17="Sim",LEFT(D458,17)="Cartão de crédito"),Config!$B$18*IFERROR(INDEX(Config!$C$12:$C$15,MATCH(IF(AND(D458="Cartão de crédito",N(E458)&gt;1),"Cartão de crédito parcelado",D458),Config!$A$12:$A$15,0)),0)/30*MAX(1,N(E458)),0))</f>
        <v/>
      </c>
      <c r="I458" s="29">
        <f>IF(OR(D458="",F458=""),"",ROUND(F458*H458,2))</f>
        <v/>
      </c>
      <c r="J458" s="29">
        <f>IF(I458="","",F458-I458)</f>
        <v/>
      </c>
      <c r="K458" s="37">
        <f>IF(OR(D458="",A458=""),"",A458+IF(AND(Config!$B$17="Sim",LEFT(D458,17)="Cartão de crédito"),1,IFERROR(INDEX(Config!$C$12:$C$15,MATCH(IF(AND(D458="Cartão de crédito",N(E458)&gt;1),"Cartão de crédito parcelado",D458),Config!$A$12:$A$15,0)),0)))</f>
        <v/>
      </c>
      <c r="L458" s="27">
        <f>IF(A458="","",MONTH(A458))</f>
        <v/>
      </c>
      <c r="M458" s="27">
        <f>IF(A458="","",YEAR(A458))</f>
        <v/>
      </c>
      <c r="N458" s="27">
        <f>IF(K458="","",IF(G458="Sim","Conferido",IF(K458&gt;Config!$B$8,"A cair","A conferir")))</f>
        <v/>
      </c>
      <c r="O458" s="50">
        <f>IF(N458="A conferir",(Config!$B$8-K458)*1000+N(F458)/1000+ROW()/100000,0)</f>
        <v>0</v>
      </c>
    </row>
    <row r="459">
      <c r="A459" s="48" t="n"/>
      <c r="B459" s="40" t="n"/>
      <c r="C459" s="40" t="n"/>
      <c r="D459" s="41" t="n"/>
      <c r="E459" s="41" t="n"/>
      <c r="F459" s="49" t="n"/>
      <c r="G459" s="41" t="n"/>
      <c r="H459" s="30">
        <f>IF(D459="","",IFERROR(INDEX(Config!$B$12:$B$15,MATCH(IF(AND(D459="Cartão de crédito",N(E459)&gt;1),"Cartão de crédito parcelado",D459),Config!$A$12:$A$15,0)),0)+IF(AND(Config!$B$17="Sim",LEFT(D459,17)="Cartão de crédito"),Config!$B$18*IFERROR(INDEX(Config!$C$12:$C$15,MATCH(IF(AND(D459="Cartão de crédito",N(E459)&gt;1),"Cartão de crédito parcelado",D459),Config!$A$12:$A$15,0)),0)/30*MAX(1,N(E459)),0))</f>
        <v/>
      </c>
      <c r="I459" s="29">
        <f>IF(OR(D459="",F459=""),"",ROUND(F459*H459,2))</f>
        <v/>
      </c>
      <c r="J459" s="29">
        <f>IF(I459="","",F459-I459)</f>
        <v/>
      </c>
      <c r="K459" s="37">
        <f>IF(OR(D459="",A459=""),"",A459+IF(AND(Config!$B$17="Sim",LEFT(D459,17)="Cartão de crédito"),1,IFERROR(INDEX(Config!$C$12:$C$15,MATCH(IF(AND(D459="Cartão de crédito",N(E459)&gt;1),"Cartão de crédito parcelado",D459),Config!$A$12:$A$15,0)),0)))</f>
        <v/>
      </c>
      <c r="L459" s="27">
        <f>IF(A459="","",MONTH(A459))</f>
        <v/>
      </c>
      <c r="M459" s="27">
        <f>IF(A459="","",YEAR(A459))</f>
        <v/>
      </c>
      <c r="N459" s="27">
        <f>IF(K459="","",IF(G459="Sim","Conferido",IF(K459&gt;Config!$B$8,"A cair","A conferir")))</f>
        <v/>
      </c>
      <c r="O459" s="50">
        <f>IF(N459="A conferir",(Config!$B$8-K459)*1000+N(F459)/1000+ROW()/100000,0)</f>
        <v>0</v>
      </c>
    </row>
    <row r="460">
      <c r="A460" s="48" t="n"/>
      <c r="B460" s="40" t="n"/>
      <c r="C460" s="40" t="n"/>
      <c r="D460" s="41" t="n"/>
      <c r="E460" s="41" t="n"/>
      <c r="F460" s="49" t="n"/>
      <c r="G460" s="41" t="n"/>
      <c r="H460" s="30">
        <f>IF(D460="","",IFERROR(INDEX(Config!$B$12:$B$15,MATCH(IF(AND(D460="Cartão de crédito",N(E460)&gt;1),"Cartão de crédito parcelado",D460),Config!$A$12:$A$15,0)),0)+IF(AND(Config!$B$17="Sim",LEFT(D460,17)="Cartão de crédito"),Config!$B$18*IFERROR(INDEX(Config!$C$12:$C$15,MATCH(IF(AND(D460="Cartão de crédito",N(E460)&gt;1),"Cartão de crédito parcelado",D460),Config!$A$12:$A$15,0)),0)/30*MAX(1,N(E460)),0))</f>
        <v/>
      </c>
      <c r="I460" s="29">
        <f>IF(OR(D460="",F460=""),"",ROUND(F460*H460,2))</f>
        <v/>
      </c>
      <c r="J460" s="29">
        <f>IF(I460="","",F460-I460)</f>
        <v/>
      </c>
      <c r="K460" s="37">
        <f>IF(OR(D460="",A460=""),"",A460+IF(AND(Config!$B$17="Sim",LEFT(D460,17)="Cartão de crédito"),1,IFERROR(INDEX(Config!$C$12:$C$15,MATCH(IF(AND(D460="Cartão de crédito",N(E460)&gt;1),"Cartão de crédito parcelado",D460),Config!$A$12:$A$15,0)),0)))</f>
        <v/>
      </c>
      <c r="L460" s="27">
        <f>IF(A460="","",MONTH(A460))</f>
        <v/>
      </c>
      <c r="M460" s="27">
        <f>IF(A460="","",YEAR(A460))</f>
        <v/>
      </c>
      <c r="N460" s="27">
        <f>IF(K460="","",IF(G460="Sim","Conferido",IF(K460&gt;Config!$B$8,"A cair","A conferir")))</f>
        <v/>
      </c>
      <c r="O460" s="50">
        <f>IF(N460="A conferir",(Config!$B$8-K460)*1000+N(F460)/1000+ROW()/100000,0)</f>
        <v>0</v>
      </c>
    </row>
    <row r="461">
      <c r="A461" s="48" t="n"/>
      <c r="B461" s="40" t="n"/>
      <c r="C461" s="40" t="n"/>
      <c r="D461" s="41" t="n"/>
      <c r="E461" s="41" t="n"/>
      <c r="F461" s="49" t="n"/>
      <c r="G461" s="41" t="n"/>
      <c r="H461" s="30">
        <f>IF(D461="","",IFERROR(INDEX(Config!$B$12:$B$15,MATCH(IF(AND(D461="Cartão de crédito",N(E461)&gt;1),"Cartão de crédito parcelado",D461),Config!$A$12:$A$15,0)),0)+IF(AND(Config!$B$17="Sim",LEFT(D461,17)="Cartão de crédito"),Config!$B$18*IFERROR(INDEX(Config!$C$12:$C$15,MATCH(IF(AND(D461="Cartão de crédito",N(E461)&gt;1),"Cartão de crédito parcelado",D461),Config!$A$12:$A$15,0)),0)/30*MAX(1,N(E461)),0))</f>
        <v/>
      </c>
      <c r="I461" s="29">
        <f>IF(OR(D461="",F461=""),"",ROUND(F461*H461,2))</f>
        <v/>
      </c>
      <c r="J461" s="29">
        <f>IF(I461="","",F461-I461)</f>
        <v/>
      </c>
      <c r="K461" s="37">
        <f>IF(OR(D461="",A461=""),"",A461+IF(AND(Config!$B$17="Sim",LEFT(D461,17)="Cartão de crédito"),1,IFERROR(INDEX(Config!$C$12:$C$15,MATCH(IF(AND(D461="Cartão de crédito",N(E461)&gt;1),"Cartão de crédito parcelado",D461),Config!$A$12:$A$15,0)),0)))</f>
        <v/>
      </c>
      <c r="L461" s="27">
        <f>IF(A461="","",MONTH(A461))</f>
        <v/>
      </c>
      <c r="M461" s="27">
        <f>IF(A461="","",YEAR(A461))</f>
        <v/>
      </c>
      <c r="N461" s="27">
        <f>IF(K461="","",IF(G461="Sim","Conferido",IF(K461&gt;Config!$B$8,"A cair","A conferir")))</f>
        <v/>
      </c>
      <c r="O461" s="50">
        <f>IF(N461="A conferir",(Config!$B$8-K461)*1000+N(F461)/1000+ROW()/100000,0)</f>
        <v>0</v>
      </c>
    </row>
    <row r="462">
      <c r="A462" s="48" t="n"/>
      <c r="B462" s="40" t="n"/>
      <c r="C462" s="40" t="n"/>
      <c r="D462" s="41" t="n"/>
      <c r="E462" s="41" t="n"/>
      <c r="F462" s="49" t="n"/>
      <c r="G462" s="41" t="n"/>
      <c r="H462" s="30">
        <f>IF(D462="","",IFERROR(INDEX(Config!$B$12:$B$15,MATCH(IF(AND(D462="Cartão de crédito",N(E462)&gt;1),"Cartão de crédito parcelado",D462),Config!$A$12:$A$15,0)),0)+IF(AND(Config!$B$17="Sim",LEFT(D462,17)="Cartão de crédito"),Config!$B$18*IFERROR(INDEX(Config!$C$12:$C$15,MATCH(IF(AND(D462="Cartão de crédito",N(E462)&gt;1),"Cartão de crédito parcelado",D462),Config!$A$12:$A$15,0)),0)/30*MAX(1,N(E462)),0))</f>
        <v/>
      </c>
      <c r="I462" s="29">
        <f>IF(OR(D462="",F462=""),"",ROUND(F462*H462,2))</f>
        <v/>
      </c>
      <c r="J462" s="29">
        <f>IF(I462="","",F462-I462)</f>
        <v/>
      </c>
      <c r="K462" s="37">
        <f>IF(OR(D462="",A462=""),"",A462+IF(AND(Config!$B$17="Sim",LEFT(D462,17)="Cartão de crédito"),1,IFERROR(INDEX(Config!$C$12:$C$15,MATCH(IF(AND(D462="Cartão de crédito",N(E462)&gt;1),"Cartão de crédito parcelado",D462),Config!$A$12:$A$15,0)),0)))</f>
        <v/>
      </c>
      <c r="L462" s="27">
        <f>IF(A462="","",MONTH(A462))</f>
        <v/>
      </c>
      <c r="M462" s="27">
        <f>IF(A462="","",YEAR(A462))</f>
        <v/>
      </c>
      <c r="N462" s="27">
        <f>IF(K462="","",IF(G462="Sim","Conferido",IF(K462&gt;Config!$B$8,"A cair","A conferir")))</f>
        <v/>
      </c>
      <c r="O462" s="50">
        <f>IF(N462="A conferir",(Config!$B$8-K462)*1000+N(F462)/1000+ROW()/100000,0)</f>
        <v>0</v>
      </c>
    </row>
    <row r="463">
      <c r="A463" s="48" t="n"/>
      <c r="B463" s="40" t="n"/>
      <c r="C463" s="40" t="n"/>
      <c r="D463" s="41" t="n"/>
      <c r="E463" s="41" t="n"/>
      <c r="F463" s="49" t="n"/>
      <c r="G463" s="41" t="n"/>
      <c r="H463" s="30">
        <f>IF(D463="","",IFERROR(INDEX(Config!$B$12:$B$15,MATCH(IF(AND(D463="Cartão de crédito",N(E463)&gt;1),"Cartão de crédito parcelado",D463),Config!$A$12:$A$15,0)),0)+IF(AND(Config!$B$17="Sim",LEFT(D463,17)="Cartão de crédito"),Config!$B$18*IFERROR(INDEX(Config!$C$12:$C$15,MATCH(IF(AND(D463="Cartão de crédito",N(E463)&gt;1),"Cartão de crédito parcelado",D463),Config!$A$12:$A$15,0)),0)/30*MAX(1,N(E463)),0))</f>
        <v/>
      </c>
      <c r="I463" s="29">
        <f>IF(OR(D463="",F463=""),"",ROUND(F463*H463,2))</f>
        <v/>
      </c>
      <c r="J463" s="29">
        <f>IF(I463="","",F463-I463)</f>
        <v/>
      </c>
      <c r="K463" s="37">
        <f>IF(OR(D463="",A463=""),"",A463+IF(AND(Config!$B$17="Sim",LEFT(D463,17)="Cartão de crédito"),1,IFERROR(INDEX(Config!$C$12:$C$15,MATCH(IF(AND(D463="Cartão de crédito",N(E463)&gt;1),"Cartão de crédito parcelado",D463),Config!$A$12:$A$15,0)),0)))</f>
        <v/>
      </c>
      <c r="L463" s="27">
        <f>IF(A463="","",MONTH(A463))</f>
        <v/>
      </c>
      <c r="M463" s="27">
        <f>IF(A463="","",YEAR(A463))</f>
        <v/>
      </c>
      <c r="N463" s="27">
        <f>IF(K463="","",IF(G463="Sim","Conferido",IF(K463&gt;Config!$B$8,"A cair","A conferir")))</f>
        <v/>
      </c>
      <c r="O463" s="50">
        <f>IF(N463="A conferir",(Config!$B$8-K463)*1000+N(F463)/1000+ROW()/100000,0)</f>
        <v>0</v>
      </c>
    </row>
    <row r="464">
      <c r="A464" s="48" t="n"/>
      <c r="B464" s="40" t="n"/>
      <c r="C464" s="40" t="n"/>
      <c r="D464" s="41" t="n"/>
      <c r="E464" s="41" t="n"/>
      <c r="F464" s="49" t="n"/>
      <c r="G464" s="41" t="n"/>
      <c r="H464" s="30">
        <f>IF(D464="","",IFERROR(INDEX(Config!$B$12:$B$15,MATCH(IF(AND(D464="Cartão de crédito",N(E464)&gt;1),"Cartão de crédito parcelado",D464),Config!$A$12:$A$15,0)),0)+IF(AND(Config!$B$17="Sim",LEFT(D464,17)="Cartão de crédito"),Config!$B$18*IFERROR(INDEX(Config!$C$12:$C$15,MATCH(IF(AND(D464="Cartão de crédito",N(E464)&gt;1),"Cartão de crédito parcelado",D464),Config!$A$12:$A$15,0)),0)/30*MAX(1,N(E464)),0))</f>
        <v/>
      </c>
      <c r="I464" s="29">
        <f>IF(OR(D464="",F464=""),"",ROUND(F464*H464,2))</f>
        <v/>
      </c>
      <c r="J464" s="29">
        <f>IF(I464="","",F464-I464)</f>
        <v/>
      </c>
      <c r="K464" s="37">
        <f>IF(OR(D464="",A464=""),"",A464+IF(AND(Config!$B$17="Sim",LEFT(D464,17)="Cartão de crédito"),1,IFERROR(INDEX(Config!$C$12:$C$15,MATCH(IF(AND(D464="Cartão de crédito",N(E464)&gt;1),"Cartão de crédito parcelado",D464),Config!$A$12:$A$15,0)),0)))</f>
        <v/>
      </c>
      <c r="L464" s="27">
        <f>IF(A464="","",MONTH(A464))</f>
        <v/>
      </c>
      <c r="M464" s="27">
        <f>IF(A464="","",YEAR(A464))</f>
        <v/>
      </c>
      <c r="N464" s="27">
        <f>IF(K464="","",IF(G464="Sim","Conferido",IF(K464&gt;Config!$B$8,"A cair","A conferir")))</f>
        <v/>
      </c>
      <c r="O464" s="50">
        <f>IF(N464="A conferir",(Config!$B$8-K464)*1000+N(F464)/1000+ROW()/100000,0)</f>
        <v>0</v>
      </c>
    </row>
    <row r="465">
      <c r="A465" s="48" t="n"/>
      <c r="B465" s="40" t="n"/>
      <c r="C465" s="40" t="n"/>
      <c r="D465" s="41" t="n"/>
      <c r="E465" s="41" t="n"/>
      <c r="F465" s="49" t="n"/>
      <c r="G465" s="41" t="n"/>
      <c r="H465" s="30">
        <f>IF(D465="","",IFERROR(INDEX(Config!$B$12:$B$15,MATCH(IF(AND(D465="Cartão de crédito",N(E465)&gt;1),"Cartão de crédito parcelado",D465),Config!$A$12:$A$15,0)),0)+IF(AND(Config!$B$17="Sim",LEFT(D465,17)="Cartão de crédito"),Config!$B$18*IFERROR(INDEX(Config!$C$12:$C$15,MATCH(IF(AND(D465="Cartão de crédito",N(E465)&gt;1),"Cartão de crédito parcelado",D465),Config!$A$12:$A$15,0)),0)/30*MAX(1,N(E465)),0))</f>
        <v/>
      </c>
      <c r="I465" s="29">
        <f>IF(OR(D465="",F465=""),"",ROUND(F465*H465,2))</f>
        <v/>
      </c>
      <c r="J465" s="29">
        <f>IF(I465="","",F465-I465)</f>
        <v/>
      </c>
      <c r="K465" s="37">
        <f>IF(OR(D465="",A465=""),"",A465+IF(AND(Config!$B$17="Sim",LEFT(D465,17)="Cartão de crédito"),1,IFERROR(INDEX(Config!$C$12:$C$15,MATCH(IF(AND(D465="Cartão de crédito",N(E465)&gt;1),"Cartão de crédito parcelado",D465),Config!$A$12:$A$15,0)),0)))</f>
        <v/>
      </c>
      <c r="L465" s="27">
        <f>IF(A465="","",MONTH(A465))</f>
        <v/>
      </c>
      <c r="M465" s="27">
        <f>IF(A465="","",YEAR(A465))</f>
        <v/>
      </c>
      <c r="N465" s="27">
        <f>IF(K465="","",IF(G465="Sim","Conferido",IF(K465&gt;Config!$B$8,"A cair","A conferir")))</f>
        <v/>
      </c>
      <c r="O465" s="50">
        <f>IF(N465="A conferir",(Config!$B$8-K465)*1000+N(F465)/1000+ROW()/100000,0)</f>
        <v>0</v>
      </c>
    </row>
    <row r="466">
      <c r="A466" s="48" t="n"/>
      <c r="B466" s="40" t="n"/>
      <c r="C466" s="40" t="n"/>
      <c r="D466" s="41" t="n"/>
      <c r="E466" s="41" t="n"/>
      <c r="F466" s="49" t="n"/>
      <c r="G466" s="41" t="n"/>
      <c r="H466" s="30">
        <f>IF(D466="","",IFERROR(INDEX(Config!$B$12:$B$15,MATCH(IF(AND(D466="Cartão de crédito",N(E466)&gt;1),"Cartão de crédito parcelado",D466),Config!$A$12:$A$15,0)),0)+IF(AND(Config!$B$17="Sim",LEFT(D466,17)="Cartão de crédito"),Config!$B$18*IFERROR(INDEX(Config!$C$12:$C$15,MATCH(IF(AND(D466="Cartão de crédito",N(E466)&gt;1),"Cartão de crédito parcelado",D466),Config!$A$12:$A$15,0)),0)/30*MAX(1,N(E466)),0))</f>
        <v/>
      </c>
      <c r="I466" s="29">
        <f>IF(OR(D466="",F466=""),"",ROUND(F466*H466,2))</f>
        <v/>
      </c>
      <c r="J466" s="29">
        <f>IF(I466="","",F466-I466)</f>
        <v/>
      </c>
      <c r="K466" s="37">
        <f>IF(OR(D466="",A466=""),"",A466+IF(AND(Config!$B$17="Sim",LEFT(D466,17)="Cartão de crédito"),1,IFERROR(INDEX(Config!$C$12:$C$15,MATCH(IF(AND(D466="Cartão de crédito",N(E466)&gt;1),"Cartão de crédito parcelado",D466),Config!$A$12:$A$15,0)),0)))</f>
        <v/>
      </c>
      <c r="L466" s="27">
        <f>IF(A466="","",MONTH(A466))</f>
        <v/>
      </c>
      <c r="M466" s="27">
        <f>IF(A466="","",YEAR(A466))</f>
        <v/>
      </c>
      <c r="N466" s="27">
        <f>IF(K466="","",IF(G466="Sim","Conferido",IF(K466&gt;Config!$B$8,"A cair","A conferir")))</f>
        <v/>
      </c>
      <c r="O466" s="50">
        <f>IF(N466="A conferir",(Config!$B$8-K466)*1000+N(F466)/1000+ROW()/100000,0)</f>
        <v>0</v>
      </c>
    </row>
    <row r="467">
      <c r="A467" s="48" t="n"/>
      <c r="B467" s="40" t="n"/>
      <c r="C467" s="40" t="n"/>
      <c r="D467" s="41" t="n"/>
      <c r="E467" s="41" t="n"/>
      <c r="F467" s="49" t="n"/>
      <c r="G467" s="41" t="n"/>
      <c r="H467" s="30">
        <f>IF(D467="","",IFERROR(INDEX(Config!$B$12:$B$15,MATCH(IF(AND(D467="Cartão de crédito",N(E467)&gt;1),"Cartão de crédito parcelado",D467),Config!$A$12:$A$15,0)),0)+IF(AND(Config!$B$17="Sim",LEFT(D467,17)="Cartão de crédito"),Config!$B$18*IFERROR(INDEX(Config!$C$12:$C$15,MATCH(IF(AND(D467="Cartão de crédito",N(E467)&gt;1),"Cartão de crédito parcelado",D467),Config!$A$12:$A$15,0)),0)/30*MAX(1,N(E467)),0))</f>
        <v/>
      </c>
      <c r="I467" s="29">
        <f>IF(OR(D467="",F467=""),"",ROUND(F467*H467,2))</f>
        <v/>
      </c>
      <c r="J467" s="29">
        <f>IF(I467="","",F467-I467)</f>
        <v/>
      </c>
      <c r="K467" s="37">
        <f>IF(OR(D467="",A467=""),"",A467+IF(AND(Config!$B$17="Sim",LEFT(D467,17)="Cartão de crédito"),1,IFERROR(INDEX(Config!$C$12:$C$15,MATCH(IF(AND(D467="Cartão de crédito",N(E467)&gt;1),"Cartão de crédito parcelado",D467),Config!$A$12:$A$15,0)),0)))</f>
        <v/>
      </c>
      <c r="L467" s="27">
        <f>IF(A467="","",MONTH(A467))</f>
        <v/>
      </c>
      <c r="M467" s="27">
        <f>IF(A467="","",YEAR(A467))</f>
        <v/>
      </c>
      <c r="N467" s="27">
        <f>IF(K467="","",IF(G467="Sim","Conferido",IF(K467&gt;Config!$B$8,"A cair","A conferir")))</f>
        <v/>
      </c>
      <c r="O467" s="50">
        <f>IF(N467="A conferir",(Config!$B$8-K467)*1000+N(F467)/1000+ROW()/100000,0)</f>
        <v>0</v>
      </c>
    </row>
    <row r="468">
      <c r="A468" s="48" t="n"/>
      <c r="B468" s="40" t="n"/>
      <c r="C468" s="40" t="n"/>
      <c r="D468" s="41" t="n"/>
      <c r="E468" s="41" t="n"/>
      <c r="F468" s="49" t="n"/>
      <c r="G468" s="41" t="n"/>
      <c r="H468" s="30">
        <f>IF(D468="","",IFERROR(INDEX(Config!$B$12:$B$15,MATCH(IF(AND(D468="Cartão de crédito",N(E468)&gt;1),"Cartão de crédito parcelado",D468),Config!$A$12:$A$15,0)),0)+IF(AND(Config!$B$17="Sim",LEFT(D468,17)="Cartão de crédito"),Config!$B$18*IFERROR(INDEX(Config!$C$12:$C$15,MATCH(IF(AND(D468="Cartão de crédito",N(E468)&gt;1),"Cartão de crédito parcelado",D468),Config!$A$12:$A$15,0)),0)/30*MAX(1,N(E468)),0))</f>
        <v/>
      </c>
      <c r="I468" s="29">
        <f>IF(OR(D468="",F468=""),"",ROUND(F468*H468,2))</f>
        <v/>
      </c>
      <c r="J468" s="29">
        <f>IF(I468="","",F468-I468)</f>
        <v/>
      </c>
      <c r="K468" s="37">
        <f>IF(OR(D468="",A468=""),"",A468+IF(AND(Config!$B$17="Sim",LEFT(D468,17)="Cartão de crédito"),1,IFERROR(INDEX(Config!$C$12:$C$15,MATCH(IF(AND(D468="Cartão de crédito",N(E468)&gt;1),"Cartão de crédito parcelado",D468),Config!$A$12:$A$15,0)),0)))</f>
        <v/>
      </c>
      <c r="L468" s="27">
        <f>IF(A468="","",MONTH(A468))</f>
        <v/>
      </c>
      <c r="M468" s="27">
        <f>IF(A468="","",YEAR(A468))</f>
        <v/>
      </c>
      <c r="N468" s="27">
        <f>IF(K468="","",IF(G468="Sim","Conferido",IF(K468&gt;Config!$B$8,"A cair","A conferir")))</f>
        <v/>
      </c>
      <c r="O468" s="50">
        <f>IF(N468="A conferir",(Config!$B$8-K468)*1000+N(F468)/1000+ROW()/100000,0)</f>
        <v>0</v>
      </c>
    </row>
    <row r="469">
      <c r="A469" s="48" t="n"/>
      <c r="B469" s="40" t="n"/>
      <c r="C469" s="40" t="n"/>
      <c r="D469" s="41" t="n"/>
      <c r="E469" s="41" t="n"/>
      <c r="F469" s="49" t="n"/>
      <c r="G469" s="41" t="n"/>
      <c r="H469" s="30">
        <f>IF(D469="","",IFERROR(INDEX(Config!$B$12:$B$15,MATCH(IF(AND(D469="Cartão de crédito",N(E469)&gt;1),"Cartão de crédito parcelado",D469),Config!$A$12:$A$15,0)),0)+IF(AND(Config!$B$17="Sim",LEFT(D469,17)="Cartão de crédito"),Config!$B$18*IFERROR(INDEX(Config!$C$12:$C$15,MATCH(IF(AND(D469="Cartão de crédito",N(E469)&gt;1),"Cartão de crédito parcelado",D469),Config!$A$12:$A$15,0)),0)/30*MAX(1,N(E469)),0))</f>
        <v/>
      </c>
      <c r="I469" s="29">
        <f>IF(OR(D469="",F469=""),"",ROUND(F469*H469,2))</f>
        <v/>
      </c>
      <c r="J469" s="29">
        <f>IF(I469="","",F469-I469)</f>
        <v/>
      </c>
      <c r="K469" s="37">
        <f>IF(OR(D469="",A469=""),"",A469+IF(AND(Config!$B$17="Sim",LEFT(D469,17)="Cartão de crédito"),1,IFERROR(INDEX(Config!$C$12:$C$15,MATCH(IF(AND(D469="Cartão de crédito",N(E469)&gt;1),"Cartão de crédito parcelado",D469),Config!$A$12:$A$15,0)),0)))</f>
        <v/>
      </c>
      <c r="L469" s="27">
        <f>IF(A469="","",MONTH(A469))</f>
        <v/>
      </c>
      <c r="M469" s="27">
        <f>IF(A469="","",YEAR(A469))</f>
        <v/>
      </c>
      <c r="N469" s="27">
        <f>IF(K469="","",IF(G469="Sim","Conferido",IF(K469&gt;Config!$B$8,"A cair","A conferir")))</f>
        <v/>
      </c>
      <c r="O469" s="50">
        <f>IF(N469="A conferir",(Config!$B$8-K469)*1000+N(F469)/1000+ROW()/100000,0)</f>
        <v>0</v>
      </c>
    </row>
    <row r="470">
      <c r="A470" s="48" t="n"/>
      <c r="B470" s="40" t="n"/>
      <c r="C470" s="40" t="n"/>
      <c r="D470" s="41" t="n"/>
      <c r="E470" s="41" t="n"/>
      <c r="F470" s="49" t="n"/>
      <c r="G470" s="41" t="n"/>
      <c r="H470" s="30">
        <f>IF(D470="","",IFERROR(INDEX(Config!$B$12:$B$15,MATCH(IF(AND(D470="Cartão de crédito",N(E470)&gt;1),"Cartão de crédito parcelado",D470),Config!$A$12:$A$15,0)),0)+IF(AND(Config!$B$17="Sim",LEFT(D470,17)="Cartão de crédito"),Config!$B$18*IFERROR(INDEX(Config!$C$12:$C$15,MATCH(IF(AND(D470="Cartão de crédito",N(E470)&gt;1),"Cartão de crédito parcelado",D470),Config!$A$12:$A$15,0)),0)/30*MAX(1,N(E470)),0))</f>
        <v/>
      </c>
      <c r="I470" s="29">
        <f>IF(OR(D470="",F470=""),"",ROUND(F470*H470,2))</f>
        <v/>
      </c>
      <c r="J470" s="29">
        <f>IF(I470="","",F470-I470)</f>
        <v/>
      </c>
      <c r="K470" s="37">
        <f>IF(OR(D470="",A470=""),"",A470+IF(AND(Config!$B$17="Sim",LEFT(D470,17)="Cartão de crédito"),1,IFERROR(INDEX(Config!$C$12:$C$15,MATCH(IF(AND(D470="Cartão de crédito",N(E470)&gt;1),"Cartão de crédito parcelado",D470),Config!$A$12:$A$15,0)),0)))</f>
        <v/>
      </c>
      <c r="L470" s="27">
        <f>IF(A470="","",MONTH(A470))</f>
        <v/>
      </c>
      <c r="M470" s="27">
        <f>IF(A470="","",YEAR(A470))</f>
        <v/>
      </c>
      <c r="N470" s="27">
        <f>IF(K470="","",IF(G470="Sim","Conferido",IF(K470&gt;Config!$B$8,"A cair","A conferir")))</f>
        <v/>
      </c>
      <c r="O470" s="50">
        <f>IF(N470="A conferir",(Config!$B$8-K470)*1000+N(F470)/1000+ROW()/100000,0)</f>
        <v>0</v>
      </c>
    </row>
    <row r="471">
      <c r="A471" s="48" t="n"/>
      <c r="B471" s="40" t="n"/>
      <c r="C471" s="40" t="n"/>
      <c r="D471" s="41" t="n"/>
      <c r="E471" s="41" t="n"/>
      <c r="F471" s="49" t="n"/>
      <c r="G471" s="41" t="n"/>
      <c r="H471" s="30">
        <f>IF(D471="","",IFERROR(INDEX(Config!$B$12:$B$15,MATCH(IF(AND(D471="Cartão de crédito",N(E471)&gt;1),"Cartão de crédito parcelado",D471),Config!$A$12:$A$15,0)),0)+IF(AND(Config!$B$17="Sim",LEFT(D471,17)="Cartão de crédito"),Config!$B$18*IFERROR(INDEX(Config!$C$12:$C$15,MATCH(IF(AND(D471="Cartão de crédito",N(E471)&gt;1),"Cartão de crédito parcelado",D471),Config!$A$12:$A$15,0)),0)/30*MAX(1,N(E471)),0))</f>
        <v/>
      </c>
      <c r="I471" s="29">
        <f>IF(OR(D471="",F471=""),"",ROUND(F471*H471,2))</f>
        <v/>
      </c>
      <c r="J471" s="29">
        <f>IF(I471="","",F471-I471)</f>
        <v/>
      </c>
      <c r="K471" s="37">
        <f>IF(OR(D471="",A471=""),"",A471+IF(AND(Config!$B$17="Sim",LEFT(D471,17)="Cartão de crédito"),1,IFERROR(INDEX(Config!$C$12:$C$15,MATCH(IF(AND(D471="Cartão de crédito",N(E471)&gt;1),"Cartão de crédito parcelado",D471),Config!$A$12:$A$15,0)),0)))</f>
        <v/>
      </c>
      <c r="L471" s="27">
        <f>IF(A471="","",MONTH(A471))</f>
        <v/>
      </c>
      <c r="M471" s="27">
        <f>IF(A471="","",YEAR(A471))</f>
        <v/>
      </c>
      <c r="N471" s="27">
        <f>IF(K471="","",IF(G471="Sim","Conferido",IF(K471&gt;Config!$B$8,"A cair","A conferir")))</f>
        <v/>
      </c>
      <c r="O471" s="50">
        <f>IF(N471="A conferir",(Config!$B$8-K471)*1000+N(F471)/1000+ROW()/100000,0)</f>
        <v>0</v>
      </c>
    </row>
    <row r="472">
      <c r="A472" s="48" t="n"/>
      <c r="B472" s="40" t="n"/>
      <c r="C472" s="40" t="n"/>
      <c r="D472" s="41" t="n"/>
      <c r="E472" s="41" t="n"/>
      <c r="F472" s="49" t="n"/>
      <c r="G472" s="41" t="n"/>
      <c r="H472" s="30">
        <f>IF(D472="","",IFERROR(INDEX(Config!$B$12:$B$15,MATCH(IF(AND(D472="Cartão de crédito",N(E472)&gt;1),"Cartão de crédito parcelado",D472),Config!$A$12:$A$15,0)),0)+IF(AND(Config!$B$17="Sim",LEFT(D472,17)="Cartão de crédito"),Config!$B$18*IFERROR(INDEX(Config!$C$12:$C$15,MATCH(IF(AND(D472="Cartão de crédito",N(E472)&gt;1),"Cartão de crédito parcelado",D472),Config!$A$12:$A$15,0)),0)/30*MAX(1,N(E472)),0))</f>
        <v/>
      </c>
      <c r="I472" s="29">
        <f>IF(OR(D472="",F472=""),"",ROUND(F472*H472,2))</f>
        <v/>
      </c>
      <c r="J472" s="29">
        <f>IF(I472="","",F472-I472)</f>
        <v/>
      </c>
      <c r="K472" s="37">
        <f>IF(OR(D472="",A472=""),"",A472+IF(AND(Config!$B$17="Sim",LEFT(D472,17)="Cartão de crédito"),1,IFERROR(INDEX(Config!$C$12:$C$15,MATCH(IF(AND(D472="Cartão de crédito",N(E472)&gt;1),"Cartão de crédito parcelado",D472),Config!$A$12:$A$15,0)),0)))</f>
        <v/>
      </c>
      <c r="L472" s="27">
        <f>IF(A472="","",MONTH(A472))</f>
        <v/>
      </c>
      <c r="M472" s="27">
        <f>IF(A472="","",YEAR(A472))</f>
        <v/>
      </c>
      <c r="N472" s="27">
        <f>IF(K472="","",IF(G472="Sim","Conferido",IF(K472&gt;Config!$B$8,"A cair","A conferir")))</f>
        <v/>
      </c>
      <c r="O472" s="50">
        <f>IF(N472="A conferir",(Config!$B$8-K472)*1000+N(F472)/1000+ROW()/100000,0)</f>
        <v>0</v>
      </c>
    </row>
    <row r="473">
      <c r="A473" s="48" t="n"/>
      <c r="B473" s="40" t="n"/>
      <c r="C473" s="40" t="n"/>
      <c r="D473" s="41" t="n"/>
      <c r="E473" s="41" t="n"/>
      <c r="F473" s="49" t="n"/>
      <c r="G473" s="41" t="n"/>
      <c r="H473" s="30">
        <f>IF(D473="","",IFERROR(INDEX(Config!$B$12:$B$15,MATCH(IF(AND(D473="Cartão de crédito",N(E473)&gt;1),"Cartão de crédito parcelado",D473),Config!$A$12:$A$15,0)),0)+IF(AND(Config!$B$17="Sim",LEFT(D473,17)="Cartão de crédito"),Config!$B$18*IFERROR(INDEX(Config!$C$12:$C$15,MATCH(IF(AND(D473="Cartão de crédito",N(E473)&gt;1),"Cartão de crédito parcelado",D473),Config!$A$12:$A$15,0)),0)/30*MAX(1,N(E473)),0))</f>
        <v/>
      </c>
      <c r="I473" s="29">
        <f>IF(OR(D473="",F473=""),"",ROUND(F473*H473,2))</f>
        <v/>
      </c>
      <c r="J473" s="29">
        <f>IF(I473="","",F473-I473)</f>
        <v/>
      </c>
      <c r="K473" s="37">
        <f>IF(OR(D473="",A473=""),"",A473+IF(AND(Config!$B$17="Sim",LEFT(D473,17)="Cartão de crédito"),1,IFERROR(INDEX(Config!$C$12:$C$15,MATCH(IF(AND(D473="Cartão de crédito",N(E473)&gt;1),"Cartão de crédito parcelado",D473),Config!$A$12:$A$15,0)),0)))</f>
        <v/>
      </c>
      <c r="L473" s="27">
        <f>IF(A473="","",MONTH(A473))</f>
        <v/>
      </c>
      <c r="M473" s="27">
        <f>IF(A473="","",YEAR(A473))</f>
        <v/>
      </c>
      <c r="N473" s="27">
        <f>IF(K473="","",IF(G473="Sim","Conferido",IF(K473&gt;Config!$B$8,"A cair","A conferir")))</f>
        <v/>
      </c>
      <c r="O473" s="50">
        <f>IF(N473="A conferir",(Config!$B$8-K473)*1000+N(F473)/1000+ROW()/100000,0)</f>
        <v>0</v>
      </c>
    </row>
    <row r="474">
      <c r="A474" s="48" t="n"/>
      <c r="B474" s="40" t="n"/>
      <c r="C474" s="40" t="n"/>
      <c r="D474" s="41" t="n"/>
      <c r="E474" s="41" t="n"/>
      <c r="F474" s="49" t="n"/>
      <c r="G474" s="41" t="n"/>
      <c r="H474" s="30">
        <f>IF(D474="","",IFERROR(INDEX(Config!$B$12:$B$15,MATCH(IF(AND(D474="Cartão de crédito",N(E474)&gt;1),"Cartão de crédito parcelado",D474),Config!$A$12:$A$15,0)),0)+IF(AND(Config!$B$17="Sim",LEFT(D474,17)="Cartão de crédito"),Config!$B$18*IFERROR(INDEX(Config!$C$12:$C$15,MATCH(IF(AND(D474="Cartão de crédito",N(E474)&gt;1),"Cartão de crédito parcelado",D474),Config!$A$12:$A$15,0)),0)/30*MAX(1,N(E474)),0))</f>
        <v/>
      </c>
      <c r="I474" s="29">
        <f>IF(OR(D474="",F474=""),"",ROUND(F474*H474,2))</f>
        <v/>
      </c>
      <c r="J474" s="29">
        <f>IF(I474="","",F474-I474)</f>
        <v/>
      </c>
      <c r="K474" s="37">
        <f>IF(OR(D474="",A474=""),"",A474+IF(AND(Config!$B$17="Sim",LEFT(D474,17)="Cartão de crédito"),1,IFERROR(INDEX(Config!$C$12:$C$15,MATCH(IF(AND(D474="Cartão de crédito",N(E474)&gt;1),"Cartão de crédito parcelado",D474),Config!$A$12:$A$15,0)),0)))</f>
        <v/>
      </c>
      <c r="L474" s="27">
        <f>IF(A474="","",MONTH(A474))</f>
        <v/>
      </c>
      <c r="M474" s="27">
        <f>IF(A474="","",YEAR(A474))</f>
        <v/>
      </c>
      <c r="N474" s="27">
        <f>IF(K474="","",IF(G474="Sim","Conferido",IF(K474&gt;Config!$B$8,"A cair","A conferir")))</f>
        <v/>
      </c>
      <c r="O474" s="50">
        <f>IF(N474="A conferir",(Config!$B$8-K474)*1000+N(F474)/1000+ROW()/100000,0)</f>
        <v>0</v>
      </c>
    </row>
    <row r="475">
      <c r="A475" s="48" t="n"/>
      <c r="B475" s="40" t="n"/>
      <c r="C475" s="40" t="n"/>
      <c r="D475" s="41" t="n"/>
      <c r="E475" s="41" t="n"/>
      <c r="F475" s="49" t="n"/>
      <c r="G475" s="41" t="n"/>
      <c r="H475" s="30">
        <f>IF(D475="","",IFERROR(INDEX(Config!$B$12:$B$15,MATCH(IF(AND(D475="Cartão de crédito",N(E475)&gt;1),"Cartão de crédito parcelado",D475),Config!$A$12:$A$15,0)),0)+IF(AND(Config!$B$17="Sim",LEFT(D475,17)="Cartão de crédito"),Config!$B$18*IFERROR(INDEX(Config!$C$12:$C$15,MATCH(IF(AND(D475="Cartão de crédito",N(E475)&gt;1),"Cartão de crédito parcelado",D475),Config!$A$12:$A$15,0)),0)/30*MAX(1,N(E475)),0))</f>
        <v/>
      </c>
      <c r="I475" s="29">
        <f>IF(OR(D475="",F475=""),"",ROUND(F475*H475,2))</f>
        <v/>
      </c>
      <c r="J475" s="29">
        <f>IF(I475="","",F475-I475)</f>
        <v/>
      </c>
      <c r="K475" s="37">
        <f>IF(OR(D475="",A475=""),"",A475+IF(AND(Config!$B$17="Sim",LEFT(D475,17)="Cartão de crédito"),1,IFERROR(INDEX(Config!$C$12:$C$15,MATCH(IF(AND(D475="Cartão de crédito",N(E475)&gt;1),"Cartão de crédito parcelado",D475),Config!$A$12:$A$15,0)),0)))</f>
        <v/>
      </c>
      <c r="L475" s="27">
        <f>IF(A475="","",MONTH(A475))</f>
        <v/>
      </c>
      <c r="M475" s="27">
        <f>IF(A475="","",YEAR(A475))</f>
        <v/>
      </c>
      <c r="N475" s="27">
        <f>IF(K475="","",IF(G475="Sim","Conferido",IF(K475&gt;Config!$B$8,"A cair","A conferir")))</f>
        <v/>
      </c>
      <c r="O475" s="50">
        <f>IF(N475="A conferir",(Config!$B$8-K475)*1000+N(F475)/1000+ROW()/100000,0)</f>
        <v>0</v>
      </c>
    </row>
    <row r="476">
      <c r="A476" s="48" t="n"/>
      <c r="B476" s="40" t="n"/>
      <c r="C476" s="40" t="n"/>
      <c r="D476" s="41" t="n"/>
      <c r="E476" s="41" t="n"/>
      <c r="F476" s="49" t="n"/>
      <c r="G476" s="41" t="n"/>
      <c r="H476" s="30">
        <f>IF(D476="","",IFERROR(INDEX(Config!$B$12:$B$15,MATCH(IF(AND(D476="Cartão de crédito",N(E476)&gt;1),"Cartão de crédito parcelado",D476),Config!$A$12:$A$15,0)),0)+IF(AND(Config!$B$17="Sim",LEFT(D476,17)="Cartão de crédito"),Config!$B$18*IFERROR(INDEX(Config!$C$12:$C$15,MATCH(IF(AND(D476="Cartão de crédito",N(E476)&gt;1),"Cartão de crédito parcelado",D476),Config!$A$12:$A$15,0)),0)/30*MAX(1,N(E476)),0))</f>
        <v/>
      </c>
      <c r="I476" s="29">
        <f>IF(OR(D476="",F476=""),"",ROUND(F476*H476,2))</f>
        <v/>
      </c>
      <c r="J476" s="29">
        <f>IF(I476="","",F476-I476)</f>
        <v/>
      </c>
      <c r="K476" s="37">
        <f>IF(OR(D476="",A476=""),"",A476+IF(AND(Config!$B$17="Sim",LEFT(D476,17)="Cartão de crédito"),1,IFERROR(INDEX(Config!$C$12:$C$15,MATCH(IF(AND(D476="Cartão de crédito",N(E476)&gt;1),"Cartão de crédito parcelado",D476),Config!$A$12:$A$15,0)),0)))</f>
        <v/>
      </c>
      <c r="L476" s="27">
        <f>IF(A476="","",MONTH(A476))</f>
        <v/>
      </c>
      <c r="M476" s="27">
        <f>IF(A476="","",YEAR(A476))</f>
        <v/>
      </c>
      <c r="N476" s="27">
        <f>IF(K476="","",IF(G476="Sim","Conferido",IF(K476&gt;Config!$B$8,"A cair","A conferir")))</f>
        <v/>
      </c>
      <c r="O476" s="50">
        <f>IF(N476="A conferir",(Config!$B$8-K476)*1000+N(F476)/1000+ROW()/100000,0)</f>
        <v>0</v>
      </c>
    </row>
    <row r="477">
      <c r="A477" s="48" t="n"/>
      <c r="B477" s="40" t="n"/>
      <c r="C477" s="40" t="n"/>
      <c r="D477" s="41" t="n"/>
      <c r="E477" s="41" t="n"/>
      <c r="F477" s="49" t="n"/>
      <c r="G477" s="41" t="n"/>
      <c r="H477" s="30">
        <f>IF(D477="","",IFERROR(INDEX(Config!$B$12:$B$15,MATCH(IF(AND(D477="Cartão de crédito",N(E477)&gt;1),"Cartão de crédito parcelado",D477),Config!$A$12:$A$15,0)),0)+IF(AND(Config!$B$17="Sim",LEFT(D477,17)="Cartão de crédito"),Config!$B$18*IFERROR(INDEX(Config!$C$12:$C$15,MATCH(IF(AND(D477="Cartão de crédito",N(E477)&gt;1),"Cartão de crédito parcelado",D477),Config!$A$12:$A$15,0)),0)/30*MAX(1,N(E477)),0))</f>
        <v/>
      </c>
      <c r="I477" s="29">
        <f>IF(OR(D477="",F477=""),"",ROUND(F477*H477,2))</f>
        <v/>
      </c>
      <c r="J477" s="29">
        <f>IF(I477="","",F477-I477)</f>
        <v/>
      </c>
      <c r="K477" s="37">
        <f>IF(OR(D477="",A477=""),"",A477+IF(AND(Config!$B$17="Sim",LEFT(D477,17)="Cartão de crédito"),1,IFERROR(INDEX(Config!$C$12:$C$15,MATCH(IF(AND(D477="Cartão de crédito",N(E477)&gt;1),"Cartão de crédito parcelado",D477),Config!$A$12:$A$15,0)),0)))</f>
        <v/>
      </c>
      <c r="L477" s="27">
        <f>IF(A477="","",MONTH(A477))</f>
        <v/>
      </c>
      <c r="M477" s="27">
        <f>IF(A477="","",YEAR(A477))</f>
        <v/>
      </c>
      <c r="N477" s="27">
        <f>IF(K477="","",IF(G477="Sim","Conferido",IF(K477&gt;Config!$B$8,"A cair","A conferir")))</f>
        <v/>
      </c>
      <c r="O477" s="50">
        <f>IF(N477="A conferir",(Config!$B$8-K477)*1000+N(F477)/1000+ROW()/100000,0)</f>
        <v>0</v>
      </c>
    </row>
    <row r="478">
      <c r="A478" s="48" t="n"/>
      <c r="B478" s="40" t="n"/>
      <c r="C478" s="40" t="n"/>
      <c r="D478" s="41" t="n"/>
      <c r="E478" s="41" t="n"/>
      <c r="F478" s="49" t="n"/>
      <c r="G478" s="41" t="n"/>
      <c r="H478" s="30">
        <f>IF(D478="","",IFERROR(INDEX(Config!$B$12:$B$15,MATCH(IF(AND(D478="Cartão de crédito",N(E478)&gt;1),"Cartão de crédito parcelado",D478),Config!$A$12:$A$15,0)),0)+IF(AND(Config!$B$17="Sim",LEFT(D478,17)="Cartão de crédito"),Config!$B$18*IFERROR(INDEX(Config!$C$12:$C$15,MATCH(IF(AND(D478="Cartão de crédito",N(E478)&gt;1),"Cartão de crédito parcelado",D478),Config!$A$12:$A$15,0)),0)/30*MAX(1,N(E478)),0))</f>
        <v/>
      </c>
      <c r="I478" s="29">
        <f>IF(OR(D478="",F478=""),"",ROUND(F478*H478,2))</f>
        <v/>
      </c>
      <c r="J478" s="29">
        <f>IF(I478="","",F478-I478)</f>
        <v/>
      </c>
      <c r="K478" s="37">
        <f>IF(OR(D478="",A478=""),"",A478+IF(AND(Config!$B$17="Sim",LEFT(D478,17)="Cartão de crédito"),1,IFERROR(INDEX(Config!$C$12:$C$15,MATCH(IF(AND(D478="Cartão de crédito",N(E478)&gt;1),"Cartão de crédito parcelado",D478),Config!$A$12:$A$15,0)),0)))</f>
        <v/>
      </c>
      <c r="L478" s="27">
        <f>IF(A478="","",MONTH(A478))</f>
        <v/>
      </c>
      <c r="M478" s="27">
        <f>IF(A478="","",YEAR(A478))</f>
        <v/>
      </c>
      <c r="N478" s="27">
        <f>IF(K478="","",IF(G478="Sim","Conferido",IF(K478&gt;Config!$B$8,"A cair","A conferir")))</f>
        <v/>
      </c>
      <c r="O478" s="50">
        <f>IF(N478="A conferir",(Config!$B$8-K478)*1000+N(F478)/1000+ROW()/100000,0)</f>
        <v>0</v>
      </c>
    </row>
    <row r="479">
      <c r="A479" s="48" t="n"/>
      <c r="B479" s="40" t="n"/>
      <c r="C479" s="40" t="n"/>
      <c r="D479" s="41" t="n"/>
      <c r="E479" s="41" t="n"/>
      <c r="F479" s="49" t="n"/>
      <c r="G479" s="41" t="n"/>
      <c r="H479" s="30">
        <f>IF(D479="","",IFERROR(INDEX(Config!$B$12:$B$15,MATCH(IF(AND(D479="Cartão de crédito",N(E479)&gt;1),"Cartão de crédito parcelado",D479),Config!$A$12:$A$15,0)),0)+IF(AND(Config!$B$17="Sim",LEFT(D479,17)="Cartão de crédito"),Config!$B$18*IFERROR(INDEX(Config!$C$12:$C$15,MATCH(IF(AND(D479="Cartão de crédito",N(E479)&gt;1),"Cartão de crédito parcelado",D479),Config!$A$12:$A$15,0)),0)/30*MAX(1,N(E479)),0))</f>
        <v/>
      </c>
      <c r="I479" s="29">
        <f>IF(OR(D479="",F479=""),"",ROUND(F479*H479,2))</f>
        <v/>
      </c>
      <c r="J479" s="29">
        <f>IF(I479="","",F479-I479)</f>
        <v/>
      </c>
      <c r="K479" s="37">
        <f>IF(OR(D479="",A479=""),"",A479+IF(AND(Config!$B$17="Sim",LEFT(D479,17)="Cartão de crédito"),1,IFERROR(INDEX(Config!$C$12:$C$15,MATCH(IF(AND(D479="Cartão de crédito",N(E479)&gt;1),"Cartão de crédito parcelado",D479),Config!$A$12:$A$15,0)),0)))</f>
        <v/>
      </c>
      <c r="L479" s="27">
        <f>IF(A479="","",MONTH(A479))</f>
        <v/>
      </c>
      <c r="M479" s="27">
        <f>IF(A479="","",YEAR(A479))</f>
        <v/>
      </c>
      <c r="N479" s="27">
        <f>IF(K479="","",IF(G479="Sim","Conferido",IF(K479&gt;Config!$B$8,"A cair","A conferir")))</f>
        <v/>
      </c>
      <c r="O479" s="50">
        <f>IF(N479="A conferir",(Config!$B$8-K479)*1000+N(F479)/1000+ROW()/100000,0)</f>
        <v>0</v>
      </c>
    </row>
    <row r="480">
      <c r="A480" s="48" t="n"/>
      <c r="B480" s="40" t="n"/>
      <c r="C480" s="40" t="n"/>
      <c r="D480" s="41" t="n"/>
      <c r="E480" s="41" t="n"/>
      <c r="F480" s="49" t="n"/>
      <c r="G480" s="41" t="n"/>
      <c r="H480" s="30">
        <f>IF(D480="","",IFERROR(INDEX(Config!$B$12:$B$15,MATCH(IF(AND(D480="Cartão de crédito",N(E480)&gt;1),"Cartão de crédito parcelado",D480),Config!$A$12:$A$15,0)),0)+IF(AND(Config!$B$17="Sim",LEFT(D480,17)="Cartão de crédito"),Config!$B$18*IFERROR(INDEX(Config!$C$12:$C$15,MATCH(IF(AND(D480="Cartão de crédito",N(E480)&gt;1),"Cartão de crédito parcelado",D480),Config!$A$12:$A$15,0)),0)/30*MAX(1,N(E480)),0))</f>
        <v/>
      </c>
      <c r="I480" s="29">
        <f>IF(OR(D480="",F480=""),"",ROUND(F480*H480,2))</f>
        <v/>
      </c>
      <c r="J480" s="29">
        <f>IF(I480="","",F480-I480)</f>
        <v/>
      </c>
      <c r="K480" s="37">
        <f>IF(OR(D480="",A480=""),"",A480+IF(AND(Config!$B$17="Sim",LEFT(D480,17)="Cartão de crédito"),1,IFERROR(INDEX(Config!$C$12:$C$15,MATCH(IF(AND(D480="Cartão de crédito",N(E480)&gt;1),"Cartão de crédito parcelado",D480),Config!$A$12:$A$15,0)),0)))</f>
        <v/>
      </c>
      <c r="L480" s="27">
        <f>IF(A480="","",MONTH(A480))</f>
        <v/>
      </c>
      <c r="M480" s="27">
        <f>IF(A480="","",YEAR(A480))</f>
        <v/>
      </c>
      <c r="N480" s="27">
        <f>IF(K480="","",IF(G480="Sim","Conferido",IF(K480&gt;Config!$B$8,"A cair","A conferir")))</f>
        <v/>
      </c>
      <c r="O480" s="50">
        <f>IF(N480="A conferir",(Config!$B$8-K480)*1000+N(F480)/1000+ROW()/100000,0)</f>
        <v>0</v>
      </c>
    </row>
    <row r="481">
      <c r="A481" s="48" t="n"/>
      <c r="B481" s="40" t="n"/>
      <c r="C481" s="40" t="n"/>
      <c r="D481" s="41" t="n"/>
      <c r="E481" s="41" t="n"/>
      <c r="F481" s="49" t="n"/>
      <c r="G481" s="41" t="n"/>
      <c r="H481" s="30">
        <f>IF(D481="","",IFERROR(INDEX(Config!$B$12:$B$15,MATCH(IF(AND(D481="Cartão de crédito",N(E481)&gt;1),"Cartão de crédito parcelado",D481),Config!$A$12:$A$15,0)),0)+IF(AND(Config!$B$17="Sim",LEFT(D481,17)="Cartão de crédito"),Config!$B$18*IFERROR(INDEX(Config!$C$12:$C$15,MATCH(IF(AND(D481="Cartão de crédito",N(E481)&gt;1),"Cartão de crédito parcelado",D481),Config!$A$12:$A$15,0)),0)/30*MAX(1,N(E481)),0))</f>
        <v/>
      </c>
      <c r="I481" s="29">
        <f>IF(OR(D481="",F481=""),"",ROUND(F481*H481,2))</f>
        <v/>
      </c>
      <c r="J481" s="29">
        <f>IF(I481="","",F481-I481)</f>
        <v/>
      </c>
      <c r="K481" s="37">
        <f>IF(OR(D481="",A481=""),"",A481+IF(AND(Config!$B$17="Sim",LEFT(D481,17)="Cartão de crédito"),1,IFERROR(INDEX(Config!$C$12:$C$15,MATCH(IF(AND(D481="Cartão de crédito",N(E481)&gt;1),"Cartão de crédito parcelado",D481),Config!$A$12:$A$15,0)),0)))</f>
        <v/>
      </c>
      <c r="L481" s="27">
        <f>IF(A481="","",MONTH(A481))</f>
        <v/>
      </c>
      <c r="M481" s="27">
        <f>IF(A481="","",YEAR(A481))</f>
        <v/>
      </c>
      <c r="N481" s="27">
        <f>IF(K481="","",IF(G481="Sim","Conferido",IF(K481&gt;Config!$B$8,"A cair","A conferir")))</f>
        <v/>
      </c>
      <c r="O481" s="50">
        <f>IF(N481="A conferir",(Config!$B$8-K481)*1000+N(F481)/1000+ROW()/100000,0)</f>
        <v>0</v>
      </c>
    </row>
    <row r="482">
      <c r="A482" s="48" t="n"/>
      <c r="B482" s="40" t="n"/>
      <c r="C482" s="40" t="n"/>
      <c r="D482" s="41" t="n"/>
      <c r="E482" s="41" t="n"/>
      <c r="F482" s="49" t="n"/>
      <c r="G482" s="41" t="n"/>
      <c r="H482" s="30">
        <f>IF(D482="","",IFERROR(INDEX(Config!$B$12:$B$15,MATCH(IF(AND(D482="Cartão de crédito",N(E482)&gt;1),"Cartão de crédito parcelado",D482),Config!$A$12:$A$15,0)),0)+IF(AND(Config!$B$17="Sim",LEFT(D482,17)="Cartão de crédito"),Config!$B$18*IFERROR(INDEX(Config!$C$12:$C$15,MATCH(IF(AND(D482="Cartão de crédito",N(E482)&gt;1),"Cartão de crédito parcelado",D482),Config!$A$12:$A$15,0)),0)/30*MAX(1,N(E482)),0))</f>
        <v/>
      </c>
      <c r="I482" s="29">
        <f>IF(OR(D482="",F482=""),"",ROUND(F482*H482,2))</f>
        <v/>
      </c>
      <c r="J482" s="29">
        <f>IF(I482="","",F482-I482)</f>
        <v/>
      </c>
      <c r="K482" s="37">
        <f>IF(OR(D482="",A482=""),"",A482+IF(AND(Config!$B$17="Sim",LEFT(D482,17)="Cartão de crédito"),1,IFERROR(INDEX(Config!$C$12:$C$15,MATCH(IF(AND(D482="Cartão de crédito",N(E482)&gt;1),"Cartão de crédito parcelado",D482),Config!$A$12:$A$15,0)),0)))</f>
        <v/>
      </c>
      <c r="L482" s="27">
        <f>IF(A482="","",MONTH(A482))</f>
        <v/>
      </c>
      <c r="M482" s="27">
        <f>IF(A482="","",YEAR(A482))</f>
        <v/>
      </c>
      <c r="N482" s="27">
        <f>IF(K482="","",IF(G482="Sim","Conferido",IF(K482&gt;Config!$B$8,"A cair","A conferir")))</f>
        <v/>
      </c>
      <c r="O482" s="50">
        <f>IF(N482="A conferir",(Config!$B$8-K482)*1000+N(F482)/1000+ROW()/100000,0)</f>
        <v>0</v>
      </c>
    </row>
    <row r="483">
      <c r="A483" s="48" t="n"/>
      <c r="B483" s="40" t="n"/>
      <c r="C483" s="40" t="n"/>
      <c r="D483" s="41" t="n"/>
      <c r="E483" s="41" t="n"/>
      <c r="F483" s="49" t="n"/>
      <c r="G483" s="41" t="n"/>
      <c r="H483" s="30">
        <f>IF(D483="","",IFERROR(INDEX(Config!$B$12:$B$15,MATCH(IF(AND(D483="Cartão de crédito",N(E483)&gt;1),"Cartão de crédito parcelado",D483),Config!$A$12:$A$15,0)),0)+IF(AND(Config!$B$17="Sim",LEFT(D483,17)="Cartão de crédito"),Config!$B$18*IFERROR(INDEX(Config!$C$12:$C$15,MATCH(IF(AND(D483="Cartão de crédito",N(E483)&gt;1),"Cartão de crédito parcelado",D483),Config!$A$12:$A$15,0)),0)/30*MAX(1,N(E483)),0))</f>
        <v/>
      </c>
      <c r="I483" s="29">
        <f>IF(OR(D483="",F483=""),"",ROUND(F483*H483,2))</f>
        <v/>
      </c>
      <c r="J483" s="29">
        <f>IF(I483="","",F483-I483)</f>
        <v/>
      </c>
      <c r="K483" s="37">
        <f>IF(OR(D483="",A483=""),"",A483+IF(AND(Config!$B$17="Sim",LEFT(D483,17)="Cartão de crédito"),1,IFERROR(INDEX(Config!$C$12:$C$15,MATCH(IF(AND(D483="Cartão de crédito",N(E483)&gt;1),"Cartão de crédito parcelado",D483),Config!$A$12:$A$15,0)),0)))</f>
        <v/>
      </c>
      <c r="L483" s="27">
        <f>IF(A483="","",MONTH(A483))</f>
        <v/>
      </c>
      <c r="M483" s="27">
        <f>IF(A483="","",YEAR(A483))</f>
        <v/>
      </c>
      <c r="N483" s="27">
        <f>IF(K483="","",IF(G483="Sim","Conferido",IF(K483&gt;Config!$B$8,"A cair","A conferir")))</f>
        <v/>
      </c>
      <c r="O483" s="50">
        <f>IF(N483="A conferir",(Config!$B$8-K483)*1000+N(F483)/1000+ROW()/100000,0)</f>
        <v>0</v>
      </c>
    </row>
    <row r="484">
      <c r="A484" s="48" t="n"/>
      <c r="B484" s="40" t="n"/>
      <c r="C484" s="40" t="n"/>
      <c r="D484" s="41" t="n"/>
      <c r="E484" s="41" t="n"/>
      <c r="F484" s="49" t="n"/>
      <c r="G484" s="41" t="n"/>
      <c r="H484" s="30">
        <f>IF(D484="","",IFERROR(INDEX(Config!$B$12:$B$15,MATCH(IF(AND(D484="Cartão de crédito",N(E484)&gt;1),"Cartão de crédito parcelado",D484),Config!$A$12:$A$15,0)),0)+IF(AND(Config!$B$17="Sim",LEFT(D484,17)="Cartão de crédito"),Config!$B$18*IFERROR(INDEX(Config!$C$12:$C$15,MATCH(IF(AND(D484="Cartão de crédito",N(E484)&gt;1),"Cartão de crédito parcelado",D484),Config!$A$12:$A$15,0)),0)/30*MAX(1,N(E484)),0))</f>
        <v/>
      </c>
      <c r="I484" s="29">
        <f>IF(OR(D484="",F484=""),"",ROUND(F484*H484,2))</f>
        <v/>
      </c>
      <c r="J484" s="29">
        <f>IF(I484="","",F484-I484)</f>
        <v/>
      </c>
      <c r="K484" s="37">
        <f>IF(OR(D484="",A484=""),"",A484+IF(AND(Config!$B$17="Sim",LEFT(D484,17)="Cartão de crédito"),1,IFERROR(INDEX(Config!$C$12:$C$15,MATCH(IF(AND(D484="Cartão de crédito",N(E484)&gt;1),"Cartão de crédito parcelado",D484),Config!$A$12:$A$15,0)),0)))</f>
        <v/>
      </c>
      <c r="L484" s="27">
        <f>IF(A484="","",MONTH(A484))</f>
        <v/>
      </c>
      <c r="M484" s="27">
        <f>IF(A484="","",YEAR(A484))</f>
        <v/>
      </c>
      <c r="N484" s="27">
        <f>IF(K484="","",IF(G484="Sim","Conferido",IF(K484&gt;Config!$B$8,"A cair","A conferir")))</f>
        <v/>
      </c>
      <c r="O484" s="50">
        <f>IF(N484="A conferir",(Config!$B$8-K484)*1000+N(F484)/1000+ROW()/100000,0)</f>
        <v>0</v>
      </c>
    </row>
    <row r="485">
      <c r="A485" s="48" t="n"/>
      <c r="B485" s="40" t="n"/>
      <c r="C485" s="40" t="n"/>
      <c r="D485" s="41" t="n"/>
      <c r="E485" s="41" t="n"/>
      <c r="F485" s="49" t="n"/>
      <c r="G485" s="41" t="n"/>
      <c r="H485" s="30">
        <f>IF(D485="","",IFERROR(INDEX(Config!$B$12:$B$15,MATCH(IF(AND(D485="Cartão de crédito",N(E485)&gt;1),"Cartão de crédito parcelado",D485),Config!$A$12:$A$15,0)),0)+IF(AND(Config!$B$17="Sim",LEFT(D485,17)="Cartão de crédito"),Config!$B$18*IFERROR(INDEX(Config!$C$12:$C$15,MATCH(IF(AND(D485="Cartão de crédito",N(E485)&gt;1),"Cartão de crédito parcelado",D485),Config!$A$12:$A$15,0)),0)/30*MAX(1,N(E485)),0))</f>
        <v/>
      </c>
      <c r="I485" s="29">
        <f>IF(OR(D485="",F485=""),"",ROUND(F485*H485,2))</f>
        <v/>
      </c>
      <c r="J485" s="29">
        <f>IF(I485="","",F485-I485)</f>
        <v/>
      </c>
      <c r="K485" s="37">
        <f>IF(OR(D485="",A485=""),"",A485+IF(AND(Config!$B$17="Sim",LEFT(D485,17)="Cartão de crédito"),1,IFERROR(INDEX(Config!$C$12:$C$15,MATCH(IF(AND(D485="Cartão de crédito",N(E485)&gt;1),"Cartão de crédito parcelado",D485),Config!$A$12:$A$15,0)),0)))</f>
        <v/>
      </c>
      <c r="L485" s="27">
        <f>IF(A485="","",MONTH(A485))</f>
        <v/>
      </c>
      <c r="M485" s="27">
        <f>IF(A485="","",YEAR(A485))</f>
        <v/>
      </c>
      <c r="N485" s="27">
        <f>IF(K485="","",IF(G485="Sim","Conferido",IF(K485&gt;Config!$B$8,"A cair","A conferir")))</f>
        <v/>
      </c>
      <c r="O485" s="50">
        <f>IF(N485="A conferir",(Config!$B$8-K485)*1000+N(F485)/1000+ROW()/100000,0)</f>
        <v>0</v>
      </c>
    </row>
    <row r="486">
      <c r="A486" s="48" t="n"/>
      <c r="B486" s="40" t="n"/>
      <c r="C486" s="40" t="n"/>
      <c r="D486" s="41" t="n"/>
      <c r="E486" s="41" t="n"/>
      <c r="F486" s="49" t="n"/>
      <c r="G486" s="41" t="n"/>
      <c r="H486" s="30">
        <f>IF(D486="","",IFERROR(INDEX(Config!$B$12:$B$15,MATCH(IF(AND(D486="Cartão de crédito",N(E486)&gt;1),"Cartão de crédito parcelado",D486),Config!$A$12:$A$15,0)),0)+IF(AND(Config!$B$17="Sim",LEFT(D486,17)="Cartão de crédito"),Config!$B$18*IFERROR(INDEX(Config!$C$12:$C$15,MATCH(IF(AND(D486="Cartão de crédito",N(E486)&gt;1),"Cartão de crédito parcelado",D486),Config!$A$12:$A$15,0)),0)/30*MAX(1,N(E486)),0))</f>
        <v/>
      </c>
      <c r="I486" s="29">
        <f>IF(OR(D486="",F486=""),"",ROUND(F486*H486,2))</f>
        <v/>
      </c>
      <c r="J486" s="29">
        <f>IF(I486="","",F486-I486)</f>
        <v/>
      </c>
      <c r="K486" s="37">
        <f>IF(OR(D486="",A486=""),"",A486+IF(AND(Config!$B$17="Sim",LEFT(D486,17)="Cartão de crédito"),1,IFERROR(INDEX(Config!$C$12:$C$15,MATCH(IF(AND(D486="Cartão de crédito",N(E486)&gt;1),"Cartão de crédito parcelado",D486),Config!$A$12:$A$15,0)),0)))</f>
        <v/>
      </c>
      <c r="L486" s="27">
        <f>IF(A486="","",MONTH(A486))</f>
        <v/>
      </c>
      <c r="M486" s="27">
        <f>IF(A486="","",YEAR(A486))</f>
        <v/>
      </c>
      <c r="N486" s="27">
        <f>IF(K486="","",IF(G486="Sim","Conferido",IF(K486&gt;Config!$B$8,"A cair","A conferir")))</f>
        <v/>
      </c>
      <c r="O486" s="50">
        <f>IF(N486="A conferir",(Config!$B$8-K486)*1000+N(F486)/1000+ROW()/100000,0)</f>
        <v>0</v>
      </c>
    </row>
    <row r="487">
      <c r="A487" s="48" t="n"/>
      <c r="B487" s="40" t="n"/>
      <c r="C487" s="40" t="n"/>
      <c r="D487" s="41" t="n"/>
      <c r="E487" s="41" t="n"/>
      <c r="F487" s="49" t="n"/>
      <c r="G487" s="41" t="n"/>
      <c r="H487" s="30">
        <f>IF(D487="","",IFERROR(INDEX(Config!$B$12:$B$15,MATCH(IF(AND(D487="Cartão de crédito",N(E487)&gt;1),"Cartão de crédito parcelado",D487),Config!$A$12:$A$15,0)),0)+IF(AND(Config!$B$17="Sim",LEFT(D487,17)="Cartão de crédito"),Config!$B$18*IFERROR(INDEX(Config!$C$12:$C$15,MATCH(IF(AND(D487="Cartão de crédito",N(E487)&gt;1),"Cartão de crédito parcelado",D487),Config!$A$12:$A$15,0)),0)/30*MAX(1,N(E487)),0))</f>
        <v/>
      </c>
      <c r="I487" s="29">
        <f>IF(OR(D487="",F487=""),"",ROUND(F487*H487,2))</f>
        <v/>
      </c>
      <c r="J487" s="29">
        <f>IF(I487="","",F487-I487)</f>
        <v/>
      </c>
      <c r="K487" s="37">
        <f>IF(OR(D487="",A487=""),"",A487+IF(AND(Config!$B$17="Sim",LEFT(D487,17)="Cartão de crédito"),1,IFERROR(INDEX(Config!$C$12:$C$15,MATCH(IF(AND(D487="Cartão de crédito",N(E487)&gt;1),"Cartão de crédito parcelado",D487),Config!$A$12:$A$15,0)),0)))</f>
        <v/>
      </c>
      <c r="L487" s="27">
        <f>IF(A487="","",MONTH(A487))</f>
        <v/>
      </c>
      <c r="M487" s="27">
        <f>IF(A487="","",YEAR(A487))</f>
        <v/>
      </c>
      <c r="N487" s="27">
        <f>IF(K487="","",IF(G487="Sim","Conferido",IF(K487&gt;Config!$B$8,"A cair","A conferir")))</f>
        <v/>
      </c>
      <c r="O487" s="50">
        <f>IF(N487="A conferir",(Config!$B$8-K487)*1000+N(F487)/1000+ROW()/100000,0)</f>
        <v>0</v>
      </c>
    </row>
    <row r="488">
      <c r="A488" s="48" t="n"/>
      <c r="B488" s="40" t="n"/>
      <c r="C488" s="40" t="n"/>
      <c r="D488" s="41" t="n"/>
      <c r="E488" s="41" t="n"/>
      <c r="F488" s="49" t="n"/>
      <c r="G488" s="41" t="n"/>
      <c r="H488" s="30">
        <f>IF(D488="","",IFERROR(INDEX(Config!$B$12:$B$15,MATCH(IF(AND(D488="Cartão de crédito",N(E488)&gt;1),"Cartão de crédito parcelado",D488),Config!$A$12:$A$15,0)),0)+IF(AND(Config!$B$17="Sim",LEFT(D488,17)="Cartão de crédito"),Config!$B$18*IFERROR(INDEX(Config!$C$12:$C$15,MATCH(IF(AND(D488="Cartão de crédito",N(E488)&gt;1),"Cartão de crédito parcelado",D488),Config!$A$12:$A$15,0)),0)/30*MAX(1,N(E488)),0))</f>
        <v/>
      </c>
      <c r="I488" s="29">
        <f>IF(OR(D488="",F488=""),"",ROUND(F488*H488,2))</f>
        <v/>
      </c>
      <c r="J488" s="29">
        <f>IF(I488="","",F488-I488)</f>
        <v/>
      </c>
      <c r="K488" s="37">
        <f>IF(OR(D488="",A488=""),"",A488+IF(AND(Config!$B$17="Sim",LEFT(D488,17)="Cartão de crédito"),1,IFERROR(INDEX(Config!$C$12:$C$15,MATCH(IF(AND(D488="Cartão de crédito",N(E488)&gt;1),"Cartão de crédito parcelado",D488),Config!$A$12:$A$15,0)),0)))</f>
        <v/>
      </c>
      <c r="L488" s="27">
        <f>IF(A488="","",MONTH(A488))</f>
        <v/>
      </c>
      <c r="M488" s="27">
        <f>IF(A488="","",YEAR(A488))</f>
        <v/>
      </c>
      <c r="N488" s="27">
        <f>IF(K488="","",IF(G488="Sim","Conferido",IF(K488&gt;Config!$B$8,"A cair","A conferir")))</f>
        <v/>
      </c>
      <c r="O488" s="50">
        <f>IF(N488="A conferir",(Config!$B$8-K488)*1000+N(F488)/1000+ROW()/100000,0)</f>
        <v>0</v>
      </c>
    </row>
    <row r="489">
      <c r="A489" s="48" t="n"/>
      <c r="B489" s="40" t="n"/>
      <c r="C489" s="40" t="n"/>
      <c r="D489" s="41" t="n"/>
      <c r="E489" s="41" t="n"/>
      <c r="F489" s="49" t="n"/>
      <c r="G489" s="41" t="n"/>
      <c r="H489" s="30">
        <f>IF(D489="","",IFERROR(INDEX(Config!$B$12:$B$15,MATCH(IF(AND(D489="Cartão de crédito",N(E489)&gt;1),"Cartão de crédito parcelado",D489),Config!$A$12:$A$15,0)),0)+IF(AND(Config!$B$17="Sim",LEFT(D489,17)="Cartão de crédito"),Config!$B$18*IFERROR(INDEX(Config!$C$12:$C$15,MATCH(IF(AND(D489="Cartão de crédito",N(E489)&gt;1),"Cartão de crédito parcelado",D489),Config!$A$12:$A$15,0)),0)/30*MAX(1,N(E489)),0))</f>
        <v/>
      </c>
      <c r="I489" s="29">
        <f>IF(OR(D489="",F489=""),"",ROUND(F489*H489,2))</f>
        <v/>
      </c>
      <c r="J489" s="29">
        <f>IF(I489="","",F489-I489)</f>
        <v/>
      </c>
      <c r="K489" s="37">
        <f>IF(OR(D489="",A489=""),"",A489+IF(AND(Config!$B$17="Sim",LEFT(D489,17)="Cartão de crédito"),1,IFERROR(INDEX(Config!$C$12:$C$15,MATCH(IF(AND(D489="Cartão de crédito",N(E489)&gt;1),"Cartão de crédito parcelado",D489),Config!$A$12:$A$15,0)),0)))</f>
        <v/>
      </c>
      <c r="L489" s="27">
        <f>IF(A489="","",MONTH(A489))</f>
        <v/>
      </c>
      <c r="M489" s="27">
        <f>IF(A489="","",YEAR(A489))</f>
        <v/>
      </c>
      <c r="N489" s="27">
        <f>IF(K489="","",IF(G489="Sim","Conferido",IF(K489&gt;Config!$B$8,"A cair","A conferir")))</f>
        <v/>
      </c>
      <c r="O489" s="50">
        <f>IF(N489="A conferir",(Config!$B$8-K489)*1000+N(F489)/1000+ROW()/100000,0)</f>
        <v>0</v>
      </c>
    </row>
    <row r="490">
      <c r="A490" s="48" t="n"/>
      <c r="B490" s="40" t="n"/>
      <c r="C490" s="40" t="n"/>
      <c r="D490" s="41" t="n"/>
      <c r="E490" s="41" t="n"/>
      <c r="F490" s="49" t="n"/>
      <c r="G490" s="41" t="n"/>
      <c r="H490" s="30">
        <f>IF(D490="","",IFERROR(INDEX(Config!$B$12:$B$15,MATCH(IF(AND(D490="Cartão de crédito",N(E490)&gt;1),"Cartão de crédito parcelado",D490),Config!$A$12:$A$15,0)),0)+IF(AND(Config!$B$17="Sim",LEFT(D490,17)="Cartão de crédito"),Config!$B$18*IFERROR(INDEX(Config!$C$12:$C$15,MATCH(IF(AND(D490="Cartão de crédito",N(E490)&gt;1),"Cartão de crédito parcelado",D490),Config!$A$12:$A$15,0)),0)/30*MAX(1,N(E490)),0))</f>
        <v/>
      </c>
      <c r="I490" s="29">
        <f>IF(OR(D490="",F490=""),"",ROUND(F490*H490,2))</f>
        <v/>
      </c>
      <c r="J490" s="29">
        <f>IF(I490="","",F490-I490)</f>
        <v/>
      </c>
      <c r="K490" s="37">
        <f>IF(OR(D490="",A490=""),"",A490+IF(AND(Config!$B$17="Sim",LEFT(D490,17)="Cartão de crédito"),1,IFERROR(INDEX(Config!$C$12:$C$15,MATCH(IF(AND(D490="Cartão de crédito",N(E490)&gt;1),"Cartão de crédito parcelado",D490),Config!$A$12:$A$15,0)),0)))</f>
        <v/>
      </c>
      <c r="L490" s="27">
        <f>IF(A490="","",MONTH(A490))</f>
        <v/>
      </c>
      <c r="M490" s="27">
        <f>IF(A490="","",YEAR(A490))</f>
        <v/>
      </c>
      <c r="N490" s="27">
        <f>IF(K490="","",IF(G490="Sim","Conferido",IF(K490&gt;Config!$B$8,"A cair","A conferir")))</f>
        <v/>
      </c>
      <c r="O490" s="50">
        <f>IF(N490="A conferir",(Config!$B$8-K490)*1000+N(F490)/1000+ROW()/100000,0)</f>
        <v>0</v>
      </c>
    </row>
    <row r="491">
      <c r="A491" s="48" t="n"/>
      <c r="B491" s="40" t="n"/>
      <c r="C491" s="40" t="n"/>
      <c r="D491" s="41" t="n"/>
      <c r="E491" s="41" t="n"/>
      <c r="F491" s="49" t="n"/>
      <c r="G491" s="41" t="n"/>
      <c r="H491" s="30">
        <f>IF(D491="","",IFERROR(INDEX(Config!$B$12:$B$15,MATCH(IF(AND(D491="Cartão de crédito",N(E491)&gt;1),"Cartão de crédito parcelado",D491),Config!$A$12:$A$15,0)),0)+IF(AND(Config!$B$17="Sim",LEFT(D491,17)="Cartão de crédito"),Config!$B$18*IFERROR(INDEX(Config!$C$12:$C$15,MATCH(IF(AND(D491="Cartão de crédito",N(E491)&gt;1),"Cartão de crédito parcelado",D491),Config!$A$12:$A$15,0)),0)/30*MAX(1,N(E491)),0))</f>
        <v/>
      </c>
      <c r="I491" s="29">
        <f>IF(OR(D491="",F491=""),"",ROUND(F491*H491,2))</f>
        <v/>
      </c>
      <c r="J491" s="29">
        <f>IF(I491="","",F491-I491)</f>
        <v/>
      </c>
      <c r="K491" s="37">
        <f>IF(OR(D491="",A491=""),"",A491+IF(AND(Config!$B$17="Sim",LEFT(D491,17)="Cartão de crédito"),1,IFERROR(INDEX(Config!$C$12:$C$15,MATCH(IF(AND(D491="Cartão de crédito",N(E491)&gt;1),"Cartão de crédito parcelado",D491),Config!$A$12:$A$15,0)),0)))</f>
        <v/>
      </c>
      <c r="L491" s="27">
        <f>IF(A491="","",MONTH(A491))</f>
        <v/>
      </c>
      <c r="M491" s="27">
        <f>IF(A491="","",YEAR(A491))</f>
        <v/>
      </c>
      <c r="N491" s="27">
        <f>IF(K491="","",IF(G491="Sim","Conferido",IF(K491&gt;Config!$B$8,"A cair","A conferir")))</f>
        <v/>
      </c>
      <c r="O491" s="50">
        <f>IF(N491="A conferir",(Config!$B$8-K491)*1000+N(F491)/1000+ROW()/100000,0)</f>
        <v>0</v>
      </c>
    </row>
    <row r="492">
      <c r="A492" s="48" t="n"/>
      <c r="B492" s="40" t="n"/>
      <c r="C492" s="40" t="n"/>
      <c r="D492" s="41" t="n"/>
      <c r="E492" s="41" t="n"/>
      <c r="F492" s="49" t="n"/>
      <c r="G492" s="41" t="n"/>
      <c r="H492" s="30">
        <f>IF(D492="","",IFERROR(INDEX(Config!$B$12:$B$15,MATCH(IF(AND(D492="Cartão de crédito",N(E492)&gt;1),"Cartão de crédito parcelado",D492),Config!$A$12:$A$15,0)),0)+IF(AND(Config!$B$17="Sim",LEFT(D492,17)="Cartão de crédito"),Config!$B$18*IFERROR(INDEX(Config!$C$12:$C$15,MATCH(IF(AND(D492="Cartão de crédito",N(E492)&gt;1),"Cartão de crédito parcelado",D492),Config!$A$12:$A$15,0)),0)/30*MAX(1,N(E492)),0))</f>
        <v/>
      </c>
      <c r="I492" s="29">
        <f>IF(OR(D492="",F492=""),"",ROUND(F492*H492,2))</f>
        <v/>
      </c>
      <c r="J492" s="29">
        <f>IF(I492="","",F492-I492)</f>
        <v/>
      </c>
      <c r="K492" s="37">
        <f>IF(OR(D492="",A492=""),"",A492+IF(AND(Config!$B$17="Sim",LEFT(D492,17)="Cartão de crédito"),1,IFERROR(INDEX(Config!$C$12:$C$15,MATCH(IF(AND(D492="Cartão de crédito",N(E492)&gt;1),"Cartão de crédito parcelado",D492),Config!$A$12:$A$15,0)),0)))</f>
        <v/>
      </c>
      <c r="L492" s="27">
        <f>IF(A492="","",MONTH(A492))</f>
        <v/>
      </c>
      <c r="M492" s="27">
        <f>IF(A492="","",YEAR(A492))</f>
        <v/>
      </c>
      <c r="N492" s="27">
        <f>IF(K492="","",IF(G492="Sim","Conferido",IF(K492&gt;Config!$B$8,"A cair","A conferir")))</f>
        <v/>
      </c>
      <c r="O492" s="50">
        <f>IF(N492="A conferir",(Config!$B$8-K492)*1000+N(F492)/1000+ROW()/100000,0)</f>
        <v>0</v>
      </c>
    </row>
    <row r="493">
      <c r="A493" s="48" t="n"/>
      <c r="B493" s="40" t="n"/>
      <c r="C493" s="40" t="n"/>
      <c r="D493" s="41" t="n"/>
      <c r="E493" s="41" t="n"/>
      <c r="F493" s="49" t="n"/>
      <c r="G493" s="41" t="n"/>
      <c r="H493" s="30">
        <f>IF(D493="","",IFERROR(INDEX(Config!$B$12:$B$15,MATCH(IF(AND(D493="Cartão de crédito",N(E493)&gt;1),"Cartão de crédito parcelado",D493),Config!$A$12:$A$15,0)),0)+IF(AND(Config!$B$17="Sim",LEFT(D493,17)="Cartão de crédito"),Config!$B$18*IFERROR(INDEX(Config!$C$12:$C$15,MATCH(IF(AND(D493="Cartão de crédito",N(E493)&gt;1),"Cartão de crédito parcelado",D493),Config!$A$12:$A$15,0)),0)/30*MAX(1,N(E493)),0))</f>
        <v/>
      </c>
      <c r="I493" s="29">
        <f>IF(OR(D493="",F493=""),"",ROUND(F493*H493,2))</f>
        <v/>
      </c>
      <c r="J493" s="29">
        <f>IF(I493="","",F493-I493)</f>
        <v/>
      </c>
      <c r="K493" s="37">
        <f>IF(OR(D493="",A493=""),"",A493+IF(AND(Config!$B$17="Sim",LEFT(D493,17)="Cartão de crédito"),1,IFERROR(INDEX(Config!$C$12:$C$15,MATCH(IF(AND(D493="Cartão de crédito",N(E493)&gt;1),"Cartão de crédito parcelado",D493),Config!$A$12:$A$15,0)),0)))</f>
        <v/>
      </c>
      <c r="L493" s="27">
        <f>IF(A493="","",MONTH(A493))</f>
        <v/>
      </c>
      <c r="M493" s="27">
        <f>IF(A493="","",YEAR(A493))</f>
        <v/>
      </c>
      <c r="N493" s="27">
        <f>IF(K493="","",IF(G493="Sim","Conferido",IF(K493&gt;Config!$B$8,"A cair","A conferir")))</f>
        <v/>
      </c>
      <c r="O493" s="50">
        <f>IF(N493="A conferir",(Config!$B$8-K493)*1000+N(F493)/1000+ROW()/100000,0)</f>
        <v>0</v>
      </c>
    </row>
    <row r="494">
      <c r="A494" s="48" t="n"/>
      <c r="B494" s="40" t="n"/>
      <c r="C494" s="40" t="n"/>
      <c r="D494" s="41" t="n"/>
      <c r="E494" s="41" t="n"/>
      <c r="F494" s="49" t="n"/>
      <c r="G494" s="41" t="n"/>
      <c r="H494" s="30">
        <f>IF(D494="","",IFERROR(INDEX(Config!$B$12:$B$15,MATCH(IF(AND(D494="Cartão de crédito",N(E494)&gt;1),"Cartão de crédito parcelado",D494),Config!$A$12:$A$15,0)),0)+IF(AND(Config!$B$17="Sim",LEFT(D494,17)="Cartão de crédito"),Config!$B$18*IFERROR(INDEX(Config!$C$12:$C$15,MATCH(IF(AND(D494="Cartão de crédito",N(E494)&gt;1),"Cartão de crédito parcelado",D494),Config!$A$12:$A$15,0)),0)/30*MAX(1,N(E494)),0))</f>
        <v/>
      </c>
      <c r="I494" s="29">
        <f>IF(OR(D494="",F494=""),"",ROUND(F494*H494,2))</f>
        <v/>
      </c>
      <c r="J494" s="29">
        <f>IF(I494="","",F494-I494)</f>
        <v/>
      </c>
      <c r="K494" s="37">
        <f>IF(OR(D494="",A494=""),"",A494+IF(AND(Config!$B$17="Sim",LEFT(D494,17)="Cartão de crédito"),1,IFERROR(INDEX(Config!$C$12:$C$15,MATCH(IF(AND(D494="Cartão de crédito",N(E494)&gt;1),"Cartão de crédito parcelado",D494),Config!$A$12:$A$15,0)),0)))</f>
        <v/>
      </c>
      <c r="L494" s="27">
        <f>IF(A494="","",MONTH(A494))</f>
        <v/>
      </c>
      <c r="M494" s="27">
        <f>IF(A494="","",YEAR(A494))</f>
        <v/>
      </c>
      <c r="N494" s="27">
        <f>IF(K494="","",IF(G494="Sim","Conferido",IF(K494&gt;Config!$B$8,"A cair","A conferir")))</f>
        <v/>
      </c>
      <c r="O494" s="50">
        <f>IF(N494="A conferir",(Config!$B$8-K494)*1000+N(F494)/1000+ROW()/100000,0)</f>
        <v>0</v>
      </c>
    </row>
    <row r="495">
      <c r="A495" s="48" t="n"/>
      <c r="B495" s="40" t="n"/>
      <c r="C495" s="40" t="n"/>
      <c r="D495" s="41" t="n"/>
      <c r="E495" s="41" t="n"/>
      <c r="F495" s="49" t="n"/>
      <c r="G495" s="41" t="n"/>
      <c r="H495" s="30">
        <f>IF(D495="","",IFERROR(INDEX(Config!$B$12:$B$15,MATCH(IF(AND(D495="Cartão de crédito",N(E495)&gt;1),"Cartão de crédito parcelado",D495),Config!$A$12:$A$15,0)),0)+IF(AND(Config!$B$17="Sim",LEFT(D495,17)="Cartão de crédito"),Config!$B$18*IFERROR(INDEX(Config!$C$12:$C$15,MATCH(IF(AND(D495="Cartão de crédito",N(E495)&gt;1),"Cartão de crédito parcelado",D495),Config!$A$12:$A$15,0)),0)/30*MAX(1,N(E495)),0))</f>
        <v/>
      </c>
      <c r="I495" s="29">
        <f>IF(OR(D495="",F495=""),"",ROUND(F495*H495,2))</f>
        <v/>
      </c>
      <c r="J495" s="29">
        <f>IF(I495="","",F495-I495)</f>
        <v/>
      </c>
      <c r="K495" s="37">
        <f>IF(OR(D495="",A495=""),"",A495+IF(AND(Config!$B$17="Sim",LEFT(D495,17)="Cartão de crédito"),1,IFERROR(INDEX(Config!$C$12:$C$15,MATCH(IF(AND(D495="Cartão de crédito",N(E495)&gt;1),"Cartão de crédito parcelado",D495),Config!$A$12:$A$15,0)),0)))</f>
        <v/>
      </c>
      <c r="L495" s="27">
        <f>IF(A495="","",MONTH(A495))</f>
        <v/>
      </c>
      <c r="M495" s="27">
        <f>IF(A495="","",YEAR(A495))</f>
        <v/>
      </c>
      <c r="N495" s="27">
        <f>IF(K495="","",IF(G495="Sim","Conferido",IF(K495&gt;Config!$B$8,"A cair","A conferir")))</f>
        <v/>
      </c>
      <c r="O495" s="50">
        <f>IF(N495="A conferir",(Config!$B$8-K495)*1000+N(F495)/1000+ROW()/100000,0)</f>
        <v>0</v>
      </c>
    </row>
    <row r="496">
      <c r="A496" s="48" t="n"/>
      <c r="B496" s="40" t="n"/>
      <c r="C496" s="40" t="n"/>
      <c r="D496" s="41" t="n"/>
      <c r="E496" s="41" t="n"/>
      <c r="F496" s="49" t="n"/>
      <c r="G496" s="41" t="n"/>
      <c r="H496" s="30">
        <f>IF(D496="","",IFERROR(INDEX(Config!$B$12:$B$15,MATCH(IF(AND(D496="Cartão de crédito",N(E496)&gt;1),"Cartão de crédito parcelado",D496),Config!$A$12:$A$15,0)),0)+IF(AND(Config!$B$17="Sim",LEFT(D496,17)="Cartão de crédito"),Config!$B$18*IFERROR(INDEX(Config!$C$12:$C$15,MATCH(IF(AND(D496="Cartão de crédito",N(E496)&gt;1),"Cartão de crédito parcelado",D496),Config!$A$12:$A$15,0)),0)/30*MAX(1,N(E496)),0))</f>
        <v/>
      </c>
      <c r="I496" s="29">
        <f>IF(OR(D496="",F496=""),"",ROUND(F496*H496,2))</f>
        <v/>
      </c>
      <c r="J496" s="29">
        <f>IF(I496="","",F496-I496)</f>
        <v/>
      </c>
      <c r="K496" s="37">
        <f>IF(OR(D496="",A496=""),"",A496+IF(AND(Config!$B$17="Sim",LEFT(D496,17)="Cartão de crédito"),1,IFERROR(INDEX(Config!$C$12:$C$15,MATCH(IF(AND(D496="Cartão de crédito",N(E496)&gt;1),"Cartão de crédito parcelado",D496),Config!$A$12:$A$15,0)),0)))</f>
        <v/>
      </c>
      <c r="L496" s="27">
        <f>IF(A496="","",MONTH(A496))</f>
        <v/>
      </c>
      <c r="M496" s="27">
        <f>IF(A496="","",YEAR(A496))</f>
        <v/>
      </c>
      <c r="N496" s="27">
        <f>IF(K496="","",IF(G496="Sim","Conferido",IF(K496&gt;Config!$B$8,"A cair","A conferir")))</f>
        <v/>
      </c>
      <c r="O496" s="50">
        <f>IF(N496="A conferir",(Config!$B$8-K496)*1000+N(F496)/1000+ROW()/100000,0)</f>
        <v>0</v>
      </c>
    </row>
    <row r="497">
      <c r="A497" s="48" t="n"/>
      <c r="B497" s="40" t="n"/>
      <c r="C497" s="40" t="n"/>
      <c r="D497" s="41" t="n"/>
      <c r="E497" s="41" t="n"/>
      <c r="F497" s="49" t="n"/>
      <c r="G497" s="41" t="n"/>
      <c r="H497" s="30">
        <f>IF(D497="","",IFERROR(INDEX(Config!$B$12:$B$15,MATCH(IF(AND(D497="Cartão de crédito",N(E497)&gt;1),"Cartão de crédito parcelado",D497),Config!$A$12:$A$15,0)),0)+IF(AND(Config!$B$17="Sim",LEFT(D497,17)="Cartão de crédito"),Config!$B$18*IFERROR(INDEX(Config!$C$12:$C$15,MATCH(IF(AND(D497="Cartão de crédito",N(E497)&gt;1),"Cartão de crédito parcelado",D497),Config!$A$12:$A$15,0)),0)/30*MAX(1,N(E497)),0))</f>
        <v/>
      </c>
      <c r="I497" s="29">
        <f>IF(OR(D497="",F497=""),"",ROUND(F497*H497,2))</f>
        <v/>
      </c>
      <c r="J497" s="29">
        <f>IF(I497="","",F497-I497)</f>
        <v/>
      </c>
      <c r="K497" s="37">
        <f>IF(OR(D497="",A497=""),"",A497+IF(AND(Config!$B$17="Sim",LEFT(D497,17)="Cartão de crédito"),1,IFERROR(INDEX(Config!$C$12:$C$15,MATCH(IF(AND(D497="Cartão de crédito",N(E497)&gt;1),"Cartão de crédito parcelado",D497),Config!$A$12:$A$15,0)),0)))</f>
        <v/>
      </c>
      <c r="L497" s="27">
        <f>IF(A497="","",MONTH(A497))</f>
        <v/>
      </c>
      <c r="M497" s="27">
        <f>IF(A497="","",YEAR(A497))</f>
        <v/>
      </c>
      <c r="N497" s="27">
        <f>IF(K497="","",IF(G497="Sim","Conferido",IF(K497&gt;Config!$B$8,"A cair","A conferir")))</f>
        <v/>
      </c>
      <c r="O497" s="50">
        <f>IF(N497="A conferir",(Config!$B$8-K497)*1000+N(F497)/1000+ROW()/100000,0)</f>
        <v>0</v>
      </c>
    </row>
    <row r="498">
      <c r="A498" s="48" t="n"/>
      <c r="B498" s="40" t="n"/>
      <c r="C498" s="40" t="n"/>
      <c r="D498" s="41" t="n"/>
      <c r="E498" s="41" t="n"/>
      <c r="F498" s="49" t="n"/>
      <c r="G498" s="41" t="n"/>
      <c r="H498" s="30">
        <f>IF(D498="","",IFERROR(INDEX(Config!$B$12:$B$15,MATCH(IF(AND(D498="Cartão de crédito",N(E498)&gt;1),"Cartão de crédito parcelado",D498),Config!$A$12:$A$15,0)),0)+IF(AND(Config!$B$17="Sim",LEFT(D498,17)="Cartão de crédito"),Config!$B$18*IFERROR(INDEX(Config!$C$12:$C$15,MATCH(IF(AND(D498="Cartão de crédito",N(E498)&gt;1),"Cartão de crédito parcelado",D498),Config!$A$12:$A$15,0)),0)/30*MAX(1,N(E498)),0))</f>
        <v/>
      </c>
      <c r="I498" s="29">
        <f>IF(OR(D498="",F498=""),"",ROUND(F498*H498,2))</f>
        <v/>
      </c>
      <c r="J498" s="29">
        <f>IF(I498="","",F498-I498)</f>
        <v/>
      </c>
      <c r="K498" s="37">
        <f>IF(OR(D498="",A498=""),"",A498+IF(AND(Config!$B$17="Sim",LEFT(D498,17)="Cartão de crédito"),1,IFERROR(INDEX(Config!$C$12:$C$15,MATCH(IF(AND(D498="Cartão de crédito",N(E498)&gt;1),"Cartão de crédito parcelado",D498),Config!$A$12:$A$15,0)),0)))</f>
        <v/>
      </c>
      <c r="L498" s="27">
        <f>IF(A498="","",MONTH(A498))</f>
        <v/>
      </c>
      <c r="M498" s="27">
        <f>IF(A498="","",YEAR(A498))</f>
        <v/>
      </c>
      <c r="N498" s="27">
        <f>IF(K498="","",IF(G498="Sim","Conferido",IF(K498&gt;Config!$B$8,"A cair","A conferir")))</f>
        <v/>
      </c>
      <c r="O498" s="50">
        <f>IF(N498="A conferir",(Config!$B$8-K498)*1000+N(F498)/1000+ROW()/100000,0)</f>
        <v>0</v>
      </c>
    </row>
    <row r="499">
      <c r="A499" s="48" t="n"/>
      <c r="B499" s="40" t="n"/>
      <c r="C499" s="40" t="n"/>
      <c r="D499" s="41" t="n"/>
      <c r="E499" s="41" t="n"/>
      <c r="F499" s="49" t="n"/>
      <c r="G499" s="41" t="n"/>
      <c r="H499" s="30">
        <f>IF(D499="","",IFERROR(INDEX(Config!$B$12:$B$15,MATCH(IF(AND(D499="Cartão de crédito",N(E499)&gt;1),"Cartão de crédito parcelado",D499),Config!$A$12:$A$15,0)),0)+IF(AND(Config!$B$17="Sim",LEFT(D499,17)="Cartão de crédito"),Config!$B$18*IFERROR(INDEX(Config!$C$12:$C$15,MATCH(IF(AND(D499="Cartão de crédito",N(E499)&gt;1),"Cartão de crédito parcelado",D499),Config!$A$12:$A$15,0)),0)/30*MAX(1,N(E499)),0))</f>
        <v/>
      </c>
      <c r="I499" s="29">
        <f>IF(OR(D499="",F499=""),"",ROUND(F499*H499,2))</f>
        <v/>
      </c>
      <c r="J499" s="29">
        <f>IF(I499="","",F499-I499)</f>
        <v/>
      </c>
      <c r="K499" s="37">
        <f>IF(OR(D499="",A499=""),"",A499+IF(AND(Config!$B$17="Sim",LEFT(D499,17)="Cartão de crédito"),1,IFERROR(INDEX(Config!$C$12:$C$15,MATCH(IF(AND(D499="Cartão de crédito",N(E499)&gt;1),"Cartão de crédito parcelado",D499),Config!$A$12:$A$15,0)),0)))</f>
        <v/>
      </c>
      <c r="L499" s="27">
        <f>IF(A499="","",MONTH(A499))</f>
        <v/>
      </c>
      <c r="M499" s="27">
        <f>IF(A499="","",YEAR(A499))</f>
        <v/>
      </c>
      <c r="N499" s="27">
        <f>IF(K499="","",IF(G499="Sim","Conferido",IF(K499&gt;Config!$B$8,"A cair","A conferir")))</f>
        <v/>
      </c>
      <c r="O499" s="50">
        <f>IF(N499="A conferir",(Config!$B$8-K499)*1000+N(F499)/1000+ROW()/100000,0)</f>
        <v>0</v>
      </c>
    </row>
    <row r="500">
      <c r="A500" s="48" t="n"/>
      <c r="B500" s="40" t="n"/>
      <c r="C500" s="40" t="n"/>
      <c r="D500" s="41" t="n"/>
      <c r="E500" s="41" t="n"/>
      <c r="F500" s="49" t="n"/>
      <c r="G500" s="41" t="n"/>
      <c r="H500" s="30">
        <f>IF(D500="","",IFERROR(INDEX(Config!$B$12:$B$15,MATCH(IF(AND(D500="Cartão de crédito",N(E500)&gt;1),"Cartão de crédito parcelado",D500),Config!$A$12:$A$15,0)),0)+IF(AND(Config!$B$17="Sim",LEFT(D500,17)="Cartão de crédito"),Config!$B$18*IFERROR(INDEX(Config!$C$12:$C$15,MATCH(IF(AND(D500="Cartão de crédito",N(E500)&gt;1),"Cartão de crédito parcelado",D500),Config!$A$12:$A$15,0)),0)/30*MAX(1,N(E500)),0))</f>
        <v/>
      </c>
      <c r="I500" s="29">
        <f>IF(OR(D500="",F500=""),"",ROUND(F500*H500,2))</f>
        <v/>
      </c>
      <c r="J500" s="29">
        <f>IF(I500="","",F500-I500)</f>
        <v/>
      </c>
      <c r="K500" s="37">
        <f>IF(OR(D500="",A500=""),"",A500+IF(AND(Config!$B$17="Sim",LEFT(D500,17)="Cartão de crédito"),1,IFERROR(INDEX(Config!$C$12:$C$15,MATCH(IF(AND(D500="Cartão de crédito",N(E500)&gt;1),"Cartão de crédito parcelado",D500),Config!$A$12:$A$15,0)),0)))</f>
        <v/>
      </c>
      <c r="L500" s="27">
        <f>IF(A500="","",MONTH(A500))</f>
        <v/>
      </c>
      <c r="M500" s="27">
        <f>IF(A500="","",YEAR(A500))</f>
        <v/>
      </c>
      <c r="N500" s="27">
        <f>IF(K500="","",IF(G500="Sim","Conferido",IF(K500&gt;Config!$B$8,"A cair","A conferir")))</f>
        <v/>
      </c>
      <c r="O500" s="50">
        <f>IF(N500="A conferir",(Config!$B$8-K500)*1000+N(F500)/1000+ROW()/100000,0)</f>
        <v>0</v>
      </c>
    </row>
    <row r="501">
      <c r="A501" s="48" t="n"/>
      <c r="B501" s="40" t="n"/>
      <c r="C501" s="40" t="n"/>
      <c r="D501" s="41" t="n"/>
      <c r="E501" s="41" t="n"/>
      <c r="F501" s="49" t="n"/>
      <c r="G501" s="41" t="n"/>
      <c r="H501" s="30">
        <f>IF(D501="","",IFERROR(INDEX(Config!$B$12:$B$15,MATCH(IF(AND(D501="Cartão de crédito",N(E501)&gt;1),"Cartão de crédito parcelado",D501),Config!$A$12:$A$15,0)),0)+IF(AND(Config!$B$17="Sim",LEFT(D501,17)="Cartão de crédito"),Config!$B$18*IFERROR(INDEX(Config!$C$12:$C$15,MATCH(IF(AND(D501="Cartão de crédito",N(E501)&gt;1),"Cartão de crédito parcelado",D501),Config!$A$12:$A$15,0)),0)/30*MAX(1,N(E501)),0))</f>
        <v/>
      </c>
      <c r="I501" s="29">
        <f>IF(OR(D501="",F501=""),"",ROUND(F501*H501,2))</f>
        <v/>
      </c>
      <c r="J501" s="29">
        <f>IF(I501="","",F501-I501)</f>
        <v/>
      </c>
      <c r="K501" s="37">
        <f>IF(OR(D501="",A501=""),"",A501+IF(AND(Config!$B$17="Sim",LEFT(D501,17)="Cartão de crédito"),1,IFERROR(INDEX(Config!$C$12:$C$15,MATCH(IF(AND(D501="Cartão de crédito",N(E501)&gt;1),"Cartão de crédito parcelado",D501),Config!$A$12:$A$15,0)),0)))</f>
        <v/>
      </c>
      <c r="L501" s="27">
        <f>IF(A501="","",MONTH(A501))</f>
        <v/>
      </c>
      <c r="M501" s="27">
        <f>IF(A501="","",YEAR(A501))</f>
        <v/>
      </c>
      <c r="N501" s="27">
        <f>IF(K501="","",IF(G501="Sim","Conferido",IF(K501&gt;Config!$B$8,"A cair","A conferir")))</f>
        <v/>
      </c>
      <c r="O501" s="50">
        <f>IF(N501="A conferir",(Config!$B$8-K501)*1000+N(F501)/1000+ROW()/100000,0)</f>
        <v>0</v>
      </c>
    </row>
    <row r="502">
      <c r="A502" s="48" t="n"/>
      <c r="B502" s="40" t="n"/>
      <c r="C502" s="40" t="n"/>
      <c r="D502" s="41" t="n"/>
      <c r="E502" s="41" t="n"/>
      <c r="F502" s="49" t="n"/>
      <c r="G502" s="41" t="n"/>
      <c r="H502" s="30">
        <f>IF(D502="","",IFERROR(INDEX(Config!$B$12:$B$15,MATCH(IF(AND(D502="Cartão de crédito",N(E502)&gt;1),"Cartão de crédito parcelado",D502),Config!$A$12:$A$15,0)),0)+IF(AND(Config!$B$17="Sim",LEFT(D502,17)="Cartão de crédito"),Config!$B$18*IFERROR(INDEX(Config!$C$12:$C$15,MATCH(IF(AND(D502="Cartão de crédito",N(E502)&gt;1),"Cartão de crédito parcelado",D502),Config!$A$12:$A$15,0)),0)/30*MAX(1,N(E502)),0))</f>
        <v/>
      </c>
      <c r="I502" s="29">
        <f>IF(OR(D502="",F502=""),"",ROUND(F502*H502,2))</f>
        <v/>
      </c>
      <c r="J502" s="29">
        <f>IF(I502="","",F502-I502)</f>
        <v/>
      </c>
      <c r="K502" s="37">
        <f>IF(OR(D502="",A502=""),"",A502+IF(AND(Config!$B$17="Sim",LEFT(D502,17)="Cartão de crédito"),1,IFERROR(INDEX(Config!$C$12:$C$15,MATCH(IF(AND(D502="Cartão de crédito",N(E502)&gt;1),"Cartão de crédito parcelado",D502),Config!$A$12:$A$15,0)),0)))</f>
        <v/>
      </c>
      <c r="L502" s="27">
        <f>IF(A502="","",MONTH(A502))</f>
        <v/>
      </c>
      <c r="M502" s="27">
        <f>IF(A502="","",YEAR(A502))</f>
        <v/>
      </c>
      <c r="N502" s="27">
        <f>IF(K502="","",IF(G502="Sim","Conferido",IF(K502&gt;Config!$B$8,"A cair","A conferir")))</f>
        <v/>
      </c>
      <c r="O502" s="50">
        <f>IF(N502="A conferir",(Config!$B$8-K502)*1000+N(F502)/1000+ROW()/100000,0)</f>
        <v>0</v>
      </c>
    </row>
    <row r="503">
      <c r="A503" s="48" t="n"/>
      <c r="B503" s="40" t="n"/>
      <c r="C503" s="40" t="n"/>
      <c r="D503" s="41" t="n"/>
      <c r="E503" s="41" t="n"/>
      <c r="F503" s="49" t="n"/>
      <c r="G503" s="41" t="n"/>
      <c r="H503" s="30">
        <f>IF(D503="","",IFERROR(INDEX(Config!$B$12:$B$15,MATCH(IF(AND(D503="Cartão de crédito",N(E503)&gt;1),"Cartão de crédito parcelado",D503),Config!$A$12:$A$15,0)),0)+IF(AND(Config!$B$17="Sim",LEFT(D503,17)="Cartão de crédito"),Config!$B$18*IFERROR(INDEX(Config!$C$12:$C$15,MATCH(IF(AND(D503="Cartão de crédito",N(E503)&gt;1),"Cartão de crédito parcelado",D503),Config!$A$12:$A$15,0)),0)/30*MAX(1,N(E503)),0))</f>
        <v/>
      </c>
      <c r="I503" s="29">
        <f>IF(OR(D503="",F503=""),"",ROUND(F503*H503,2))</f>
        <v/>
      </c>
      <c r="J503" s="29">
        <f>IF(I503="","",F503-I503)</f>
        <v/>
      </c>
      <c r="K503" s="37">
        <f>IF(OR(D503="",A503=""),"",A503+IF(AND(Config!$B$17="Sim",LEFT(D503,17)="Cartão de crédito"),1,IFERROR(INDEX(Config!$C$12:$C$15,MATCH(IF(AND(D503="Cartão de crédito",N(E503)&gt;1),"Cartão de crédito parcelado",D503),Config!$A$12:$A$15,0)),0)))</f>
        <v/>
      </c>
      <c r="L503" s="27">
        <f>IF(A503="","",MONTH(A503))</f>
        <v/>
      </c>
      <c r="M503" s="27">
        <f>IF(A503="","",YEAR(A503))</f>
        <v/>
      </c>
      <c r="N503" s="27">
        <f>IF(K503="","",IF(G503="Sim","Conferido",IF(K503&gt;Config!$B$8,"A cair","A conferir")))</f>
        <v/>
      </c>
      <c r="O503" s="50">
        <f>IF(N503="A conferir",(Config!$B$8-K503)*1000+N(F503)/1000+ROW()/100000,0)</f>
        <v>0</v>
      </c>
    </row>
    <row r="504">
      <c r="A504" s="48" t="n"/>
      <c r="B504" s="40" t="n"/>
      <c r="C504" s="40" t="n"/>
      <c r="D504" s="41" t="n"/>
      <c r="E504" s="41" t="n"/>
      <c r="F504" s="49" t="n"/>
      <c r="G504" s="41" t="n"/>
      <c r="H504" s="30">
        <f>IF(D504="","",IFERROR(INDEX(Config!$B$12:$B$15,MATCH(IF(AND(D504="Cartão de crédito",N(E504)&gt;1),"Cartão de crédito parcelado",D504),Config!$A$12:$A$15,0)),0)+IF(AND(Config!$B$17="Sim",LEFT(D504,17)="Cartão de crédito"),Config!$B$18*IFERROR(INDEX(Config!$C$12:$C$15,MATCH(IF(AND(D504="Cartão de crédito",N(E504)&gt;1),"Cartão de crédito parcelado",D504),Config!$A$12:$A$15,0)),0)/30*MAX(1,N(E504)),0))</f>
        <v/>
      </c>
      <c r="I504" s="29">
        <f>IF(OR(D504="",F504=""),"",ROUND(F504*H504,2))</f>
        <v/>
      </c>
      <c r="J504" s="29">
        <f>IF(I504="","",F504-I504)</f>
        <v/>
      </c>
      <c r="K504" s="37">
        <f>IF(OR(D504="",A504=""),"",A504+IF(AND(Config!$B$17="Sim",LEFT(D504,17)="Cartão de crédito"),1,IFERROR(INDEX(Config!$C$12:$C$15,MATCH(IF(AND(D504="Cartão de crédito",N(E504)&gt;1),"Cartão de crédito parcelado",D504),Config!$A$12:$A$15,0)),0)))</f>
        <v/>
      </c>
      <c r="L504" s="27">
        <f>IF(A504="","",MONTH(A504))</f>
        <v/>
      </c>
      <c r="M504" s="27">
        <f>IF(A504="","",YEAR(A504))</f>
        <v/>
      </c>
      <c r="N504" s="27">
        <f>IF(K504="","",IF(G504="Sim","Conferido",IF(K504&gt;Config!$B$8,"A cair","A conferir")))</f>
        <v/>
      </c>
      <c r="O504" s="50">
        <f>IF(N504="A conferir",(Config!$B$8-K504)*1000+N(F504)/1000+ROW()/100000,0)</f>
        <v>0</v>
      </c>
    </row>
    <row r="505">
      <c r="A505" s="48" t="n"/>
      <c r="B505" s="40" t="n"/>
      <c r="C505" s="40" t="n"/>
      <c r="D505" s="41" t="n"/>
      <c r="E505" s="41" t="n"/>
      <c r="F505" s="49" t="n"/>
      <c r="G505" s="41" t="n"/>
      <c r="H505" s="30">
        <f>IF(D505="","",IFERROR(INDEX(Config!$B$12:$B$15,MATCH(IF(AND(D505="Cartão de crédito",N(E505)&gt;1),"Cartão de crédito parcelado",D505),Config!$A$12:$A$15,0)),0)+IF(AND(Config!$B$17="Sim",LEFT(D505,17)="Cartão de crédito"),Config!$B$18*IFERROR(INDEX(Config!$C$12:$C$15,MATCH(IF(AND(D505="Cartão de crédito",N(E505)&gt;1),"Cartão de crédito parcelado",D505),Config!$A$12:$A$15,0)),0)/30*MAX(1,N(E505)),0))</f>
        <v/>
      </c>
      <c r="I505" s="29">
        <f>IF(OR(D505="",F505=""),"",ROUND(F505*H505,2))</f>
        <v/>
      </c>
      <c r="J505" s="29">
        <f>IF(I505="","",F505-I505)</f>
        <v/>
      </c>
      <c r="K505" s="37">
        <f>IF(OR(D505="",A505=""),"",A505+IF(AND(Config!$B$17="Sim",LEFT(D505,17)="Cartão de crédito"),1,IFERROR(INDEX(Config!$C$12:$C$15,MATCH(IF(AND(D505="Cartão de crédito",N(E505)&gt;1),"Cartão de crédito parcelado",D505),Config!$A$12:$A$15,0)),0)))</f>
        <v/>
      </c>
      <c r="L505" s="27">
        <f>IF(A505="","",MONTH(A505))</f>
        <v/>
      </c>
      <c r="M505" s="27">
        <f>IF(A505="","",YEAR(A505))</f>
        <v/>
      </c>
      <c r="N505" s="27">
        <f>IF(K505="","",IF(G505="Sim","Conferido",IF(K505&gt;Config!$B$8,"A cair","A conferir")))</f>
        <v/>
      </c>
      <c r="O505" s="50">
        <f>IF(N505="A conferir",(Config!$B$8-K505)*1000+N(F505)/1000+ROW()/100000,0)</f>
        <v>0</v>
      </c>
    </row>
    <row r="506">
      <c r="A506" s="48" t="n"/>
      <c r="B506" s="40" t="n"/>
      <c r="C506" s="40" t="n"/>
      <c r="D506" s="41" t="n"/>
      <c r="E506" s="41" t="n"/>
      <c r="F506" s="49" t="n"/>
      <c r="G506" s="41" t="n"/>
      <c r="H506" s="30">
        <f>IF(D506="","",IFERROR(INDEX(Config!$B$12:$B$15,MATCH(IF(AND(D506="Cartão de crédito",N(E506)&gt;1),"Cartão de crédito parcelado",D506),Config!$A$12:$A$15,0)),0)+IF(AND(Config!$B$17="Sim",LEFT(D506,17)="Cartão de crédito"),Config!$B$18*IFERROR(INDEX(Config!$C$12:$C$15,MATCH(IF(AND(D506="Cartão de crédito",N(E506)&gt;1),"Cartão de crédito parcelado",D506),Config!$A$12:$A$15,0)),0)/30*MAX(1,N(E506)),0))</f>
        <v/>
      </c>
      <c r="I506" s="29">
        <f>IF(OR(D506="",F506=""),"",ROUND(F506*H506,2))</f>
        <v/>
      </c>
      <c r="J506" s="29">
        <f>IF(I506="","",F506-I506)</f>
        <v/>
      </c>
      <c r="K506" s="37">
        <f>IF(OR(D506="",A506=""),"",A506+IF(AND(Config!$B$17="Sim",LEFT(D506,17)="Cartão de crédito"),1,IFERROR(INDEX(Config!$C$12:$C$15,MATCH(IF(AND(D506="Cartão de crédito",N(E506)&gt;1),"Cartão de crédito parcelado",D506),Config!$A$12:$A$15,0)),0)))</f>
        <v/>
      </c>
      <c r="L506" s="27">
        <f>IF(A506="","",MONTH(A506))</f>
        <v/>
      </c>
      <c r="M506" s="27">
        <f>IF(A506="","",YEAR(A506))</f>
        <v/>
      </c>
      <c r="N506" s="27">
        <f>IF(K506="","",IF(G506="Sim","Conferido",IF(K506&gt;Config!$B$8,"A cair","A conferir")))</f>
        <v/>
      </c>
      <c r="O506" s="50">
        <f>IF(N506="A conferir",(Config!$B$8-K506)*1000+N(F506)/1000+ROW()/100000,0)</f>
        <v>0</v>
      </c>
    </row>
    <row r="507">
      <c r="A507" s="48" t="n"/>
      <c r="B507" s="40" t="n"/>
      <c r="C507" s="40" t="n"/>
      <c r="D507" s="41" t="n"/>
      <c r="E507" s="41" t="n"/>
      <c r="F507" s="49" t="n"/>
      <c r="G507" s="41" t="n"/>
      <c r="H507" s="30">
        <f>IF(D507="","",IFERROR(INDEX(Config!$B$12:$B$15,MATCH(IF(AND(D507="Cartão de crédito",N(E507)&gt;1),"Cartão de crédito parcelado",D507),Config!$A$12:$A$15,0)),0)+IF(AND(Config!$B$17="Sim",LEFT(D507,17)="Cartão de crédito"),Config!$B$18*IFERROR(INDEX(Config!$C$12:$C$15,MATCH(IF(AND(D507="Cartão de crédito",N(E507)&gt;1),"Cartão de crédito parcelado",D507),Config!$A$12:$A$15,0)),0)/30*MAX(1,N(E507)),0))</f>
        <v/>
      </c>
      <c r="I507" s="29">
        <f>IF(OR(D507="",F507=""),"",ROUND(F507*H507,2))</f>
        <v/>
      </c>
      <c r="J507" s="29">
        <f>IF(I507="","",F507-I507)</f>
        <v/>
      </c>
      <c r="K507" s="37">
        <f>IF(OR(D507="",A507=""),"",A507+IF(AND(Config!$B$17="Sim",LEFT(D507,17)="Cartão de crédito"),1,IFERROR(INDEX(Config!$C$12:$C$15,MATCH(IF(AND(D507="Cartão de crédito",N(E507)&gt;1),"Cartão de crédito parcelado",D507),Config!$A$12:$A$15,0)),0)))</f>
        <v/>
      </c>
      <c r="L507" s="27">
        <f>IF(A507="","",MONTH(A507))</f>
        <v/>
      </c>
      <c r="M507" s="27">
        <f>IF(A507="","",YEAR(A507))</f>
        <v/>
      </c>
      <c r="N507" s="27">
        <f>IF(K507="","",IF(G507="Sim","Conferido",IF(K507&gt;Config!$B$8,"A cair","A conferir")))</f>
        <v/>
      </c>
      <c r="O507" s="50">
        <f>IF(N507="A conferir",(Config!$B$8-K507)*1000+N(F507)/1000+ROW()/100000,0)</f>
        <v>0</v>
      </c>
    </row>
    <row r="508">
      <c r="A508" s="48" t="n"/>
      <c r="B508" s="40" t="n"/>
      <c r="C508" s="40" t="n"/>
      <c r="D508" s="41" t="n"/>
      <c r="E508" s="41" t="n"/>
      <c r="F508" s="49" t="n"/>
      <c r="G508" s="41" t="n"/>
      <c r="H508" s="30">
        <f>IF(D508="","",IFERROR(INDEX(Config!$B$12:$B$15,MATCH(IF(AND(D508="Cartão de crédito",N(E508)&gt;1),"Cartão de crédito parcelado",D508),Config!$A$12:$A$15,0)),0)+IF(AND(Config!$B$17="Sim",LEFT(D508,17)="Cartão de crédito"),Config!$B$18*IFERROR(INDEX(Config!$C$12:$C$15,MATCH(IF(AND(D508="Cartão de crédito",N(E508)&gt;1),"Cartão de crédito parcelado",D508),Config!$A$12:$A$15,0)),0)/30*MAX(1,N(E508)),0))</f>
        <v/>
      </c>
      <c r="I508" s="29">
        <f>IF(OR(D508="",F508=""),"",ROUND(F508*H508,2))</f>
        <v/>
      </c>
      <c r="J508" s="29">
        <f>IF(I508="","",F508-I508)</f>
        <v/>
      </c>
      <c r="K508" s="37">
        <f>IF(OR(D508="",A508=""),"",A508+IF(AND(Config!$B$17="Sim",LEFT(D508,17)="Cartão de crédito"),1,IFERROR(INDEX(Config!$C$12:$C$15,MATCH(IF(AND(D508="Cartão de crédito",N(E508)&gt;1),"Cartão de crédito parcelado",D508),Config!$A$12:$A$15,0)),0)))</f>
        <v/>
      </c>
      <c r="L508" s="27">
        <f>IF(A508="","",MONTH(A508))</f>
        <v/>
      </c>
      <c r="M508" s="27">
        <f>IF(A508="","",YEAR(A508))</f>
        <v/>
      </c>
      <c r="N508" s="27">
        <f>IF(K508="","",IF(G508="Sim","Conferido",IF(K508&gt;Config!$B$8,"A cair","A conferir")))</f>
        <v/>
      </c>
      <c r="O508" s="50">
        <f>IF(N508="A conferir",(Config!$B$8-K508)*1000+N(F508)/1000+ROW()/100000,0)</f>
        <v>0</v>
      </c>
    </row>
    <row r="509">
      <c r="A509" s="48" t="n"/>
      <c r="B509" s="40" t="n"/>
      <c r="C509" s="40" t="n"/>
      <c r="D509" s="41" t="n"/>
      <c r="E509" s="41" t="n"/>
      <c r="F509" s="49" t="n"/>
      <c r="G509" s="41" t="n"/>
      <c r="H509" s="30">
        <f>IF(D509="","",IFERROR(INDEX(Config!$B$12:$B$15,MATCH(IF(AND(D509="Cartão de crédito",N(E509)&gt;1),"Cartão de crédito parcelado",D509),Config!$A$12:$A$15,0)),0)+IF(AND(Config!$B$17="Sim",LEFT(D509,17)="Cartão de crédito"),Config!$B$18*IFERROR(INDEX(Config!$C$12:$C$15,MATCH(IF(AND(D509="Cartão de crédito",N(E509)&gt;1),"Cartão de crédito parcelado",D509),Config!$A$12:$A$15,0)),0)/30*MAX(1,N(E509)),0))</f>
        <v/>
      </c>
      <c r="I509" s="29">
        <f>IF(OR(D509="",F509=""),"",ROUND(F509*H509,2))</f>
        <v/>
      </c>
      <c r="J509" s="29">
        <f>IF(I509="","",F509-I509)</f>
        <v/>
      </c>
      <c r="K509" s="37">
        <f>IF(OR(D509="",A509=""),"",A509+IF(AND(Config!$B$17="Sim",LEFT(D509,17)="Cartão de crédito"),1,IFERROR(INDEX(Config!$C$12:$C$15,MATCH(IF(AND(D509="Cartão de crédito",N(E509)&gt;1),"Cartão de crédito parcelado",D509),Config!$A$12:$A$15,0)),0)))</f>
        <v/>
      </c>
      <c r="L509" s="27">
        <f>IF(A509="","",MONTH(A509))</f>
        <v/>
      </c>
      <c r="M509" s="27">
        <f>IF(A509="","",YEAR(A509))</f>
        <v/>
      </c>
      <c r="N509" s="27">
        <f>IF(K509="","",IF(G509="Sim","Conferido",IF(K509&gt;Config!$B$8,"A cair","A conferir")))</f>
        <v/>
      </c>
      <c r="O509" s="50">
        <f>IF(N509="A conferir",(Config!$B$8-K509)*1000+N(F509)/1000+ROW()/100000,0)</f>
        <v>0</v>
      </c>
    </row>
    <row r="510">
      <c r="A510" s="48" t="n"/>
      <c r="B510" s="40" t="n"/>
      <c r="C510" s="40" t="n"/>
      <c r="D510" s="41" t="n"/>
      <c r="E510" s="41" t="n"/>
      <c r="F510" s="49" t="n"/>
      <c r="G510" s="41" t="n"/>
      <c r="H510" s="30">
        <f>IF(D510="","",IFERROR(INDEX(Config!$B$12:$B$15,MATCH(IF(AND(D510="Cartão de crédito",N(E510)&gt;1),"Cartão de crédito parcelado",D510),Config!$A$12:$A$15,0)),0)+IF(AND(Config!$B$17="Sim",LEFT(D510,17)="Cartão de crédito"),Config!$B$18*IFERROR(INDEX(Config!$C$12:$C$15,MATCH(IF(AND(D510="Cartão de crédito",N(E510)&gt;1),"Cartão de crédito parcelado",D510),Config!$A$12:$A$15,0)),0)/30*MAX(1,N(E510)),0))</f>
        <v/>
      </c>
      <c r="I510" s="29">
        <f>IF(OR(D510="",F510=""),"",ROUND(F510*H510,2))</f>
        <v/>
      </c>
      <c r="J510" s="29">
        <f>IF(I510="","",F510-I510)</f>
        <v/>
      </c>
      <c r="K510" s="37">
        <f>IF(OR(D510="",A510=""),"",A510+IF(AND(Config!$B$17="Sim",LEFT(D510,17)="Cartão de crédito"),1,IFERROR(INDEX(Config!$C$12:$C$15,MATCH(IF(AND(D510="Cartão de crédito",N(E510)&gt;1),"Cartão de crédito parcelado",D510),Config!$A$12:$A$15,0)),0)))</f>
        <v/>
      </c>
      <c r="L510" s="27">
        <f>IF(A510="","",MONTH(A510))</f>
        <v/>
      </c>
      <c r="M510" s="27">
        <f>IF(A510="","",YEAR(A510))</f>
        <v/>
      </c>
      <c r="N510" s="27">
        <f>IF(K510="","",IF(G510="Sim","Conferido",IF(K510&gt;Config!$B$8,"A cair","A conferir")))</f>
        <v/>
      </c>
      <c r="O510" s="50">
        <f>IF(N510="A conferir",(Config!$B$8-K510)*1000+N(F510)/1000+ROW()/100000,0)</f>
        <v>0</v>
      </c>
    </row>
    <row r="511">
      <c r="A511" s="48" t="n"/>
      <c r="B511" s="40" t="n"/>
      <c r="C511" s="40" t="n"/>
      <c r="D511" s="41" t="n"/>
      <c r="E511" s="41" t="n"/>
      <c r="F511" s="49" t="n"/>
      <c r="G511" s="41" t="n"/>
      <c r="H511" s="30">
        <f>IF(D511="","",IFERROR(INDEX(Config!$B$12:$B$15,MATCH(IF(AND(D511="Cartão de crédito",N(E511)&gt;1),"Cartão de crédito parcelado",D511),Config!$A$12:$A$15,0)),0)+IF(AND(Config!$B$17="Sim",LEFT(D511,17)="Cartão de crédito"),Config!$B$18*IFERROR(INDEX(Config!$C$12:$C$15,MATCH(IF(AND(D511="Cartão de crédito",N(E511)&gt;1),"Cartão de crédito parcelado",D511),Config!$A$12:$A$15,0)),0)/30*MAX(1,N(E511)),0))</f>
        <v/>
      </c>
      <c r="I511" s="29">
        <f>IF(OR(D511="",F511=""),"",ROUND(F511*H511,2))</f>
        <v/>
      </c>
      <c r="J511" s="29">
        <f>IF(I511="","",F511-I511)</f>
        <v/>
      </c>
      <c r="K511" s="37">
        <f>IF(OR(D511="",A511=""),"",A511+IF(AND(Config!$B$17="Sim",LEFT(D511,17)="Cartão de crédito"),1,IFERROR(INDEX(Config!$C$12:$C$15,MATCH(IF(AND(D511="Cartão de crédito",N(E511)&gt;1),"Cartão de crédito parcelado",D511),Config!$A$12:$A$15,0)),0)))</f>
        <v/>
      </c>
      <c r="L511" s="27">
        <f>IF(A511="","",MONTH(A511))</f>
        <v/>
      </c>
      <c r="M511" s="27">
        <f>IF(A511="","",YEAR(A511))</f>
        <v/>
      </c>
      <c r="N511" s="27">
        <f>IF(K511="","",IF(G511="Sim","Conferido",IF(K511&gt;Config!$B$8,"A cair","A conferir")))</f>
        <v/>
      </c>
      <c r="O511" s="50">
        <f>IF(N511="A conferir",(Config!$B$8-K511)*1000+N(F511)/1000+ROW()/100000,0)</f>
        <v>0</v>
      </c>
    </row>
    <row r="512">
      <c r="A512" s="48" t="n"/>
      <c r="B512" s="40" t="n"/>
      <c r="C512" s="40" t="n"/>
      <c r="D512" s="41" t="n"/>
      <c r="E512" s="41" t="n"/>
      <c r="F512" s="49" t="n"/>
      <c r="G512" s="41" t="n"/>
      <c r="H512" s="30">
        <f>IF(D512="","",IFERROR(INDEX(Config!$B$12:$B$15,MATCH(IF(AND(D512="Cartão de crédito",N(E512)&gt;1),"Cartão de crédito parcelado",D512),Config!$A$12:$A$15,0)),0)+IF(AND(Config!$B$17="Sim",LEFT(D512,17)="Cartão de crédito"),Config!$B$18*IFERROR(INDEX(Config!$C$12:$C$15,MATCH(IF(AND(D512="Cartão de crédito",N(E512)&gt;1),"Cartão de crédito parcelado",D512),Config!$A$12:$A$15,0)),0)/30*MAX(1,N(E512)),0))</f>
        <v/>
      </c>
      <c r="I512" s="29">
        <f>IF(OR(D512="",F512=""),"",ROUND(F512*H512,2))</f>
        <v/>
      </c>
      <c r="J512" s="29">
        <f>IF(I512="","",F512-I512)</f>
        <v/>
      </c>
      <c r="K512" s="37">
        <f>IF(OR(D512="",A512=""),"",A512+IF(AND(Config!$B$17="Sim",LEFT(D512,17)="Cartão de crédito"),1,IFERROR(INDEX(Config!$C$12:$C$15,MATCH(IF(AND(D512="Cartão de crédito",N(E512)&gt;1),"Cartão de crédito parcelado",D512),Config!$A$12:$A$15,0)),0)))</f>
        <v/>
      </c>
      <c r="L512" s="27">
        <f>IF(A512="","",MONTH(A512))</f>
        <v/>
      </c>
      <c r="M512" s="27">
        <f>IF(A512="","",YEAR(A512))</f>
        <v/>
      </c>
      <c r="N512" s="27">
        <f>IF(K512="","",IF(G512="Sim","Conferido",IF(K512&gt;Config!$B$8,"A cair","A conferir")))</f>
        <v/>
      </c>
      <c r="O512" s="50">
        <f>IF(N512="A conferir",(Config!$B$8-K512)*1000+N(F512)/1000+ROW()/100000,0)</f>
        <v>0</v>
      </c>
    </row>
    <row r="513">
      <c r="A513" s="48" t="n"/>
      <c r="B513" s="40" t="n"/>
      <c r="C513" s="40" t="n"/>
      <c r="D513" s="41" t="n"/>
      <c r="E513" s="41" t="n"/>
      <c r="F513" s="49" t="n"/>
      <c r="G513" s="41" t="n"/>
      <c r="H513" s="30">
        <f>IF(D513="","",IFERROR(INDEX(Config!$B$12:$B$15,MATCH(IF(AND(D513="Cartão de crédito",N(E513)&gt;1),"Cartão de crédito parcelado",D513),Config!$A$12:$A$15,0)),0)+IF(AND(Config!$B$17="Sim",LEFT(D513,17)="Cartão de crédito"),Config!$B$18*IFERROR(INDEX(Config!$C$12:$C$15,MATCH(IF(AND(D513="Cartão de crédito",N(E513)&gt;1),"Cartão de crédito parcelado",D513),Config!$A$12:$A$15,0)),0)/30*MAX(1,N(E513)),0))</f>
        <v/>
      </c>
      <c r="I513" s="29">
        <f>IF(OR(D513="",F513=""),"",ROUND(F513*H513,2))</f>
        <v/>
      </c>
      <c r="J513" s="29">
        <f>IF(I513="","",F513-I513)</f>
        <v/>
      </c>
      <c r="K513" s="37">
        <f>IF(OR(D513="",A513=""),"",A513+IF(AND(Config!$B$17="Sim",LEFT(D513,17)="Cartão de crédito"),1,IFERROR(INDEX(Config!$C$12:$C$15,MATCH(IF(AND(D513="Cartão de crédito",N(E513)&gt;1),"Cartão de crédito parcelado",D513),Config!$A$12:$A$15,0)),0)))</f>
        <v/>
      </c>
      <c r="L513" s="27">
        <f>IF(A513="","",MONTH(A513))</f>
        <v/>
      </c>
      <c r="M513" s="27">
        <f>IF(A513="","",YEAR(A513))</f>
        <v/>
      </c>
      <c r="N513" s="27">
        <f>IF(K513="","",IF(G513="Sim","Conferido",IF(K513&gt;Config!$B$8,"A cair","A conferir")))</f>
        <v/>
      </c>
      <c r="O513" s="50">
        <f>IF(N513="A conferir",(Config!$B$8-K513)*1000+N(F513)/1000+ROW()/100000,0)</f>
        <v>0</v>
      </c>
    </row>
    <row r="514">
      <c r="A514" s="48" t="n"/>
      <c r="B514" s="40" t="n"/>
      <c r="C514" s="40" t="n"/>
      <c r="D514" s="41" t="n"/>
      <c r="E514" s="41" t="n"/>
      <c r="F514" s="49" t="n"/>
      <c r="G514" s="41" t="n"/>
      <c r="H514" s="30">
        <f>IF(D514="","",IFERROR(INDEX(Config!$B$12:$B$15,MATCH(IF(AND(D514="Cartão de crédito",N(E514)&gt;1),"Cartão de crédito parcelado",D514),Config!$A$12:$A$15,0)),0)+IF(AND(Config!$B$17="Sim",LEFT(D514,17)="Cartão de crédito"),Config!$B$18*IFERROR(INDEX(Config!$C$12:$C$15,MATCH(IF(AND(D514="Cartão de crédito",N(E514)&gt;1),"Cartão de crédito parcelado",D514),Config!$A$12:$A$15,0)),0)/30*MAX(1,N(E514)),0))</f>
        <v/>
      </c>
      <c r="I514" s="29">
        <f>IF(OR(D514="",F514=""),"",ROUND(F514*H514,2))</f>
        <v/>
      </c>
      <c r="J514" s="29">
        <f>IF(I514="","",F514-I514)</f>
        <v/>
      </c>
      <c r="K514" s="37">
        <f>IF(OR(D514="",A514=""),"",A514+IF(AND(Config!$B$17="Sim",LEFT(D514,17)="Cartão de crédito"),1,IFERROR(INDEX(Config!$C$12:$C$15,MATCH(IF(AND(D514="Cartão de crédito",N(E514)&gt;1),"Cartão de crédito parcelado",D514),Config!$A$12:$A$15,0)),0)))</f>
        <v/>
      </c>
      <c r="L514" s="27">
        <f>IF(A514="","",MONTH(A514))</f>
        <v/>
      </c>
      <c r="M514" s="27">
        <f>IF(A514="","",YEAR(A514))</f>
        <v/>
      </c>
      <c r="N514" s="27">
        <f>IF(K514="","",IF(G514="Sim","Conferido",IF(K514&gt;Config!$B$8,"A cair","A conferir")))</f>
        <v/>
      </c>
      <c r="O514" s="50">
        <f>IF(N514="A conferir",(Config!$B$8-K514)*1000+N(F514)/1000+ROW()/100000,0)</f>
        <v>0</v>
      </c>
    </row>
    <row r="515">
      <c r="A515" s="48" t="n"/>
      <c r="B515" s="40" t="n"/>
      <c r="C515" s="40" t="n"/>
      <c r="D515" s="41" t="n"/>
      <c r="E515" s="41" t="n"/>
      <c r="F515" s="49" t="n"/>
      <c r="G515" s="41" t="n"/>
      <c r="H515" s="30">
        <f>IF(D515="","",IFERROR(INDEX(Config!$B$12:$B$15,MATCH(IF(AND(D515="Cartão de crédito",N(E515)&gt;1),"Cartão de crédito parcelado",D515),Config!$A$12:$A$15,0)),0)+IF(AND(Config!$B$17="Sim",LEFT(D515,17)="Cartão de crédito"),Config!$B$18*IFERROR(INDEX(Config!$C$12:$C$15,MATCH(IF(AND(D515="Cartão de crédito",N(E515)&gt;1),"Cartão de crédito parcelado",D515),Config!$A$12:$A$15,0)),0)/30*MAX(1,N(E515)),0))</f>
        <v/>
      </c>
      <c r="I515" s="29">
        <f>IF(OR(D515="",F515=""),"",ROUND(F515*H515,2))</f>
        <v/>
      </c>
      <c r="J515" s="29">
        <f>IF(I515="","",F515-I515)</f>
        <v/>
      </c>
      <c r="K515" s="37">
        <f>IF(OR(D515="",A515=""),"",A515+IF(AND(Config!$B$17="Sim",LEFT(D515,17)="Cartão de crédito"),1,IFERROR(INDEX(Config!$C$12:$C$15,MATCH(IF(AND(D515="Cartão de crédito",N(E515)&gt;1),"Cartão de crédito parcelado",D515),Config!$A$12:$A$15,0)),0)))</f>
        <v/>
      </c>
      <c r="L515" s="27">
        <f>IF(A515="","",MONTH(A515))</f>
        <v/>
      </c>
      <c r="M515" s="27">
        <f>IF(A515="","",YEAR(A515))</f>
        <v/>
      </c>
      <c r="N515" s="27">
        <f>IF(K515="","",IF(G515="Sim","Conferido",IF(K515&gt;Config!$B$8,"A cair","A conferir")))</f>
        <v/>
      </c>
      <c r="O515" s="50">
        <f>IF(N515="A conferir",(Config!$B$8-K515)*1000+N(F515)/1000+ROW()/100000,0)</f>
        <v>0</v>
      </c>
    </row>
    <row r="516">
      <c r="A516" s="48" t="n"/>
      <c r="B516" s="40" t="n"/>
      <c r="C516" s="40" t="n"/>
      <c r="D516" s="41" t="n"/>
      <c r="E516" s="41" t="n"/>
      <c r="F516" s="49" t="n"/>
      <c r="G516" s="41" t="n"/>
      <c r="H516" s="30">
        <f>IF(D516="","",IFERROR(INDEX(Config!$B$12:$B$15,MATCH(IF(AND(D516="Cartão de crédito",N(E516)&gt;1),"Cartão de crédito parcelado",D516),Config!$A$12:$A$15,0)),0)+IF(AND(Config!$B$17="Sim",LEFT(D516,17)="Cartão de crédito"),Config!$B$18*IFERROR(INDEX(Config!$C$12:$C$15,MATCH(IF(AND(D516="Cartão de crédito",N(E516)&gt;1),"Cartão de crédito parcelado",D516),Config!$A$12:$A$15,0)),0)/30*MAX(1,N(E516)),0))</f>
        <v/>
      </c>
      <c r="I516" s="29">
        <f>IF(OR(D516="",F516=""),"",ROUND(F516*H516,2))</f>
        <v/>
      </c>
      <c r="J516" s="29">
        <f>IF(I516="","",F516-I516)</f>
        <v/>
      </c>
      <c r="K516" s="37">
        <f>IF(OR(D516="",A516=""),"",A516+IF(AND(Config!$B$17="Sim",LEFT(D516,17)="Cartão de crédito"),1,IFERROR(INDEX(Config!$C$12:$C$15,MATCH(IF(AND(D516="Cartão de crédito",N(E516)&gt;1),"Cartão de crédito parcelado",D516),Config!$A$12:$A$15,0)),0)))</f>
        <v/>
      </c>
      <c r="L516" s="27">
        <f>IF(A516="","",MONTH(A516))</f>
        <v/>
      </c>
      <c r="M516" s="27">
        <f>IF(A516="","",YEAR(A516))</f>
        <v/>
      </c>
      <c r="N516" s="27">
        <f>IF(K516="","",IF(G516="Sim","Conferido",IF(K516&gt;Config!$B$8,"A cair","A conferir")))</f>
        <v/>
      </c>
      <c r="O516" s="50">
        <f>IF(N516="A conferir",(Config!$B$8-K516)*1000+N(F516)/1000+ROW()/100000,0)</f>
        <v>0</v>
      </c>
    </row>
    <row r="517">
      <c r="A517" s="48" t="n"/>
      <c r="B517" s="40" t="n"/>
      <c r="C517" s="40" t="n"/>
      <c r="D517" s="41" t="n"/>
      <c r="E517" s="41" t="n"/>
      <c r="F517" s="49" t="n"/>
      <c r="G517" s="41" t="n"/>
      <c r="H517" s="30">
        <f>IF(D517="","",IFERROR(INDEX(Config!$B$12:$B$15,MATCH(IF(AND(D517="Cartão de crédito",N(E517)&gt;1),"Cartão de crédito parcelado",D517),Config!$A$12:$A$15,0)),0)+IF(AND(Config!$B$17="Sim",LEFT(D517,17)="Cartão de crédito"),Config!$B$18*IFERROR(INDEX(Config!$C$12:$C$15,MATCH(IF(AND(D517="Cartão de crédito",N(E517)&gt;1),"Cartão de crédito parcelado",D517),Config!$A$12:$A$15,0)),0)/30*MAX(1,N(E517)),0))</f>
        <v/>
      </c>
      <c r="I517" s="29">
        <f>IF(OR(D517="",F517=""),"",ROUND(F517*H517,2))</f>
        <v/>
      </c>
      <c r="J517" s="29">
        <f>IF(I517="","",F517-I517)</f>
        <v/>
      </c>
      <c r="K517" s="37">
        <f>IF(OR(D517="",A517=""),"",A517+IF(AND(Config!$B$17="Sim",LEFT(D517,17)="Cartão de crédito"),1,IFERROR(INDEX(Config!$C$12:$C$15,MATCH(IF(AND(D517="Cartão de crédito",N(E517)&gt;1),"Cartão de crédito parcelado",D517),Config!$A$12:$A$15,0)),0)))</f>
        <v/>
      </c>
      <c r="L517" s="27">
        <f>IF(A517="","",MONTH(A517))</f>
        <v/>
      </c>
      <c r="M517" s="27">
        <f>IF(A517="","",YEAR(A517))</f>
        <v/>
      </c>
      <c r="N517" s="27">
        <f>IF(K517="","",IF(G517="Sim","Conferido",IF(K517&gt;Config!$B$8,"A cair","A conferir")))</f>
        <v/>
      </c>
      <c r="O517" s="50">
        <f>IF(N517="A conferir",(Config!$B$8-K517)*1000+N(F517)/1000+ROW()/100000,0)</f>
        <v>0</v>
      </c>
    </row>
    <row r="518">
      <c r="A518" s="48" t="n"/>
      <c r="B518" s="40" t="n"/>
      <c r="C518" s="40" t="n"/>
      <c r="D518" s="41" t="n"/>
      <c r="E518" s="41" t="n"/>
      <c r="F518" s="49" t="n"/>
      <c r="G518" s="41" t="n"/>
      <c r="H518" s="30">
        <f>IF(D518="","",IFERROR(INDEX(Config!$B$12:$B$15,MATCH(IF(AND(D518="Cartão de crédito",N(E518)&gt;1),"Cartão de crédito parcelado",D518),Config!$A$12:$A$15,0)),0)+IF(AND(Config!$B$17="Sim",LEFT(D518,17)="Cartão de crédito"),Config!$B$18*IFERROR(INDEX(Config!$C$12:$C$15,MATCH(IF(AND(D518="Cartão de crédito",N(E518)&gt;1),"Cartão de crédito parcelado",D518),Config!$A$12:$A$15,0)),0)/30*MAX(1,N(E518)),0))</f>
        <v/>
      </c>
      <c r="I518" s="29">
        <f>IF(OR(D518="",F518=""),"",ROUND(F518*H518,2))</f>
        <v/>
      </c>
      <c r="J518" s="29">
        <f>IF(I518="","",F518-I518)</f>
        <v/>
      </c>
      <c r="K518" s="37">
        <f>IF(OR(D518="",A518=""),"",A518+IF(AND(Config!$B$17="Sim",LEFT(D518,17)="Cartão de crédito"),1,IFERROR(INDEX(Config!$C$12:$C$15,MATCH(IF(AND(D518="Cartão de crédito",N(E518)&gt;1),"Cartão de crédito parcelado",D518),Config!$A$12:$A$15,0)),0)))</f>
        <v/>
      </c>
      <c r="L518" s="27">
        <f>IF(A518="","",MONTH(A518))</f>
        <v/>
      </c>
      <c r="M518" s="27">
        <f>IF(A518="","",YEAR(A518))</f>
        <v/>
      </c>
      <c r="N518" s="27">
        <f>IF(K518="","",IF(G518="Sim","Conferido",IF(K518&gt;Config!$B$8,"A cair","A conferir")))</f>
        <v/>
      </c>
      <c r="O518" s="50">
        <f>IF(N518="A conferir",(Config!$B$8-K518)*1000+N(F518)/1000+ROW()/100000,0)</f>
        <v>0</v>
      </c>
    </row>
    <row r="519">
      <c r="A519" s="48" t="n"/>
      <c r="B519" s="40" t="n"/>
      <c r="C519" s="40" t="n"/>
      <c r="D519" s="41" t="n"/>
      <c r="E519" s="41" t="n"/>
      <c r="F519" s="49" t="n"/>
      <c r="G519" s="41" t="n"/>
      <c r="H519" s="30">
        <f>IF(D519="","",IFERROR(INDEX(Config!$B$12:$B$15,MATCH(IF(AND(D519="Cartão de crédito",N(E519)&gt;1),"Cartão de crédito parcelado",D519),Config!$A$12:$A$15,0)),0)+IF(AND(Config!$B$17="Sim",LEFT(D519,17)="Cartão de crédito"),Config!$B$18*IFERROR(INDEX(Config!$C$12:$C$15,MATCH(IF(AND(D519="Cartão de crédito",N(E519)&gt;1),"Cartão de crédito parcelado",D519),Config!$A$12:$A$15,0)),0)/30*MAX(1,N(E519)),0))</f>
        <v/>
      </c>
      <c r="I519" s="29">
        <f>IF(OR(D519="",F519=""),"",ROUND(F519*H519,2))</f>
        <v/>
      </c>
      <c r="J519" s="29">
        <f>IF(I519="","",F519-I519)</f>
        <v/>
      </c>
      <c r="K519" s="37">
        <f>IF(OR(D519="",A519=""),"",A519+IF(AND(Config!$B$17="Sim",LEFT(D519,17)="Cartão de crédito"),1,IFERROR(INDEX(Config!$C$12:$C$15,MATCH(IF(AND(D519="Cartão de crédito",N(E519)&gt;1),"Cartão de crédito parcelado",D519),Config!$A$12:$A$15,0)),0)))</f>
        <v/>
      </c>
      <c r="L519" s="27">
        <f>IF(A519="","",MONTH(A519))</f>
        <v/>
      </c>
      <c r="M519" s="27">
        <f>IF(A519="","",YEAR(A519))</f>
        <v/>
      </c>
      <c r="N519" s="27">
        <f>IF(K519="","",IF(G519="Sim","Conferido",IF(K519&gt;Config!$B$8,"A cair","A conferir")))</f>
        <v/>
      </c>
      <c r="O519" s="50">
        <f>IF(N519="A conferir",(Config!$B$8-K519)*1000+N(F519)/1000+ROW()/100000,0)</f>
        <v>0</v>
      </c>
    </row>
    <row r="520">
      <c r="A520" s="48" t="n"/>
      <c r="B520" s="40" t="n"/>
      <c r="C520" s="40" t="n"/>
      <c r="D520" s="41" t="n"/>
      <c r="E520" s="41" t="n"/>
      <c r="F520" s="49" t="n"/>
      <c r="G520" s="41" t="n"/>
      <c r="H520" s="30">
        <f>IF(D520="","",IFERROR(INDEX(Config!$B$12:$B$15,MATCH(IF(AND(D520="Cartão de crédito",N(E520)&gt;1),"Cartão de crédito parcelado",D520),Config!$A$12:$A$15,0)),0)+IF(AND(Config!$B$17="Sim",LEFT(D520,17)="Cartão de crédito"),Config!$B$18*IFERROR(INDEX(Config!$C$12:$C$15,MATCH(IF(AND(D520="Cartão de crédito",N(E520)&gt;1),"Cartão de crédito parcelado",D520),Config!$A$12:$A$15,0)),0)/30*MAX(1,N(E520)),0))</f>
        <v/>
      </c>
      <c r="I520" s="29">
        <f>IF(OR(D520="",F520=""),"",ROUND(F520*H520,2))</f>
        <v/>
      </c>
      <c r="J520" s="29">
        <f>IF(I520="","",F520-I520)</f>
        <v/>
      </c>
      <c r="K520" s="37">
        <f>IF(OR(D520="",A520=""),"",A520+IF(AND(Config!$B$17="Sim",LEFT(D520,17)="Cartão de crédito"),1,IFERROR(INDEX(Config!$C$12:$C$15,MATCH(IF(AND(D520="Cartão de crédito",N(E520)&gt;1),"Cartão de crédito parcelado",D520),Config!$A$12:$A$15,0)),0)))</f>
        <v/>
      </c>
      <c r="L520" s="27">
        <f>IF(A520="","",MONTH(A520))</f>
        <v/>
      </c>
      <c r="M520" s="27">
        <f>IF(A520="","",YEAR(A520))</f>
        <v/>
      </c>
      <c r="N520" s="27">
        <f>IF(K520="","",IF(G520="Sim","Conferido",IF(K520&gt;Config!$B$8,"A cair","A conferir")))</f>
        <v/>
      </c>
      <c r="O520" s="50">
        <f>IF(N520="A conferir",(Config!$B$8-K520)*1000+N(F520)/1000+ROW()/100000,0)</f>
        <v>0</v>
      </c>
    </row>
    <row r="521">
      <c r="A521" s="48" t="n"/>
      <c r="B521" s="40" t="n"/>
      <c r="C521" s="40" t="n"/>
      <c r="D521" s="41" t="n"/>
      <c r="E521" s="41" t="n"/>
      <c r="F521" s="49" t="n"/>
      <c r="G521" s="41" t="n"/>
      <c r="H521" s="30">
        <f>IF(D521="","",IFERROR(INDEX(Config!$B$12:$B$15,MATCH(IF(AND(D521="Cartão de crédito",N(E521)&gt;1),"Cartão de crédito parcelado",D521),Config!$A$12:$A$15,0)),0)+IF(AND(Config!$B$17="Sim",LEFT(D521,17)="Cartão de crédito"),Config!$B$18*IFERROR(INDEX(Config!$C$12:$C$15,MATCH(IF(AND(D521="Cartão de crédito",N(E521)&gt;1),"Cartão de crédito parcelado",D521),Config!$A$12:$A$15,0)),0)/30*MAX(1,N(E521)),0))</f>
        <v/>
      </c>
      <c r="I521" s="29">
        <f>IF(OR(D521="",F521=""),"",ROUND(F521*H521,2))</f>
        <v/>
      </c>
      <c r="J521" s="29">
        <f>IF(I521="","",F521-I521)</f>
        <v/>
      </c>
      <c r="K521" s="37">
        <f>IF(OR(D521="",A521=""),"",A521+IF(AND(Config!$B$17="Sim",LEFT(D521,17)="Cartão de crédito"),1,IFERROR(INDEX(Config!$C$12:$C$15,MATCH(IF(AND(D521="Cartão de crédito",N(E521)&gt;1),"Cartão de crédito parcelado",D521),Config!$A$12:$A$15,0)),0)))</f>
        <v/>
      </c>
      <c r="L521" s="27">
        <f>IF(A521="","",MONTH(A521))</f>
        <v/>
      </c>
      <c r="M521" s="27">
        <f>IF(A521="","",YEAR(A521))</f>
        <v/>
      </c>
      <c r="N521" s="27">
        <f>IF(K521="","",IF(G521="Sim","Conferido",IF(K521&gt;Config!$B$8,"A cair","A conferir")))</f>
        <v/>
      </c>
      <c r="O521" s="50">
        <f>IF(N521="A conferir",(Config!$B$8-K521)*1000+N(F521)/1000+ROW()/100000,0)</f>
        <v>0</v>
      </c>
    </row>
    <row r="522">
      <c r="A522" s="48" t="n"/>
      <c r="B522" s="40" t="n"/>
      <c r="C522" s="40" t="n"/>
      <c r="D522" s="41" t="n"/>
      <c r="E522" s="41" t="n"/>
      <c r="F522" s="49" t="n"/>
      <c r="G522" s="41" t="n"/>
      <c r="H522" s="30">
        <f>IF(D522="","",IFERROR(INDEX(Config!$B$12:$B$15,MATCH(IF(AND(D522="Cartão de crédito",N(E522)&gt;1),"Cartão de crédito parcelado",D522),Config!$A$12:$A$15,0)),0)+IF(AND(Config!$B$17="Sim",LEFT(D522,17)="Cartão de crédito"),Config!$B$18*IFERROR(INDEX(Config!$C$12:$C$15,MATCH(IF(AND(D522="Cartão de crédito",N(E522)&gt;1),"Cartão de crédito parcelado",D522),Config!$A$12:$A$15,0)),0)/30*MAX(1,N(E522)),0))</f>
        <v/>
      </c>
      <c r="I522" s="29">
        <f>IF(OR(D522="",F522=""),"",ROUND(F522*H522,2))</f>
        <v/>
      </c>
      <c r="J522" s="29">
        <f>IF(I522="","",F522-I522)</f>
        <v/>
      </c>
      <c r="K522" s="37">
        <f>IF(OR(D522="",A522=""),"",A522+IF(AND(Config!$B$17="Sim",LEFT(D522,17)="Cartão de crédito"),1,IFERROR(INDEX(Config!$C$12:$C$15,MATCH(IF(AND(D522="Cartão de crédito",N(E522)&gt;1),"Cartão de crédito parcelado",D522),Config!$A$12:$A$15,0)),0)))</f>
        <v/>
      </c>
      <c r="L522" s="27">
        <f>IF(A522="","",MONTH(A522))</f>
        <v/>
      </c>
      <c r="M522" s="27">
        <f>IF(A522="","",YEAR(A522))</f>
        <v/>
      </c>
      <c r="N522" s="27">
        <f>IF(K522="","",IF(G522="Sim","Conferido",IF(K522&gt;Config!$B$8,"A cair","A conferir")))</f>
        <v/>
      </c>
      <c r="O522" s="50">
        <f>IF(N522="A conferir",(Config!$B$8-K522)*1000+N(F522)/1000+ROW()/100000,0)</f>
        <v>0</v>
      </c>
    </row>
    <row r="523">
      <c r="A523" s="48" t="n"/>
      <c r="B523" s="40" t="n"/>
      <c r="C523" s="40" t="n"/>
      <c r="D523" s="41" t="n"/>
      <c r="E523" s="41" t="n"/>
      <c r="F523" s="49" t="n"/>
      <c r="G523" s="41" t="n"/>
      <c r="H523" s="30">
        <f>IF(D523="","",IFERROR(INDEX(Config!$B$12:$B$15,MATCH(IF(AND(D523="Cartão de crédito",N(E523)&gt;1),"Cartão de crédito parcelado",D523),Config!$A$12:$A$15,0)),0)+IF(AND(Config!$B$17="Sim",LEFT(D523,17)="Cartão de crédito"),Config!$B$18*IFERROR(INDEX(Config!$C$12:$C$15,MATCH(IF(AND(D523="Cartão de crédito",N(E523)&gt;1),"Cartão de crédito parcelado",D523),Config!$A$12:$A$15,0)),0)/30*MAX(1,N(E523)),0))</f>
        <v/>
      </c>
      <c r="I523" s="29">
        <f>IF(OR(D523="",F523=""),"",ROUND(F523*H523,2))</f>
        <v/>
      </c>
      <c r="J523" s="29">
        <f>IF(I523="","",F523-I523)</f>
        <v/>
      </c>
      <c r="K523" s="37">
        <f>IF(OR(D523="",A523=""),"",A523+IF(AND(Config!$B$17="Sim",LEFT(D523,17)="Cartão de crédito"),1,IFERROR(INDEX(Config!$C$12:$C$15,MATCH(IF(AND(D523="Cartão de crédito",N(E523)&gt;1),"Cartão de crédito parcelado",D523),Config!$A$12:$A$15,0)),0)))</f>
        <v/>
      </c>
      <c r="L523" s="27">
        <f>IF(A523="","",MONTH(A523))</f>
        <v/>
      </c>
      <c r="M523" s="27">
        <f>IF(A523="","",YEAR(A523))</f>
        <v/>
      </c>
      <c r="N523" s="27">
        <f>IF(K523="","",IF(G523="Sim","Conferido",IF(K523&gt;Config!$B$8,"A cair","A conferir")))</f>
        <v/>
      </c>
      <c r="O523" s="50">
        <f>IF(N523="A conferir",(Config!$B$8-K523)*1000+N(F523)/1000+ROW()/100000,0)</f>
        <v>0</v>
      </c>
    </row>
    <row r="524">
      <c r="A524" s="48" t="n"/>
      <c r="B524" s="40" t="n"/>
      <c r="C524" s="40" t="n"/>
      <c r="D524" s="41" t="n"/>
      <c r="E524" s="41" t="n"/>
      <c r="F524" s="49" t="n"/>
      <c r="G524" s="41" t="n"/>
      <c r="H524" s="30">
        <f>IF(D524="","",IFERROR(INDEX(Config!$B$12:$B$15,MATCH(IF(AND(D524="Cartão de crédito",N(E524)&gt;1),"Cartão de crédito parcelado",D524),Config!$A$12:$A$15,0)),0)+IF(AND(Config!$B$17="Sim",LEFT(D524,17)="Cartão de crédito"),Config!$B$18*IFERROR(INDEX(Config!$C$12:$C$15,MATCH(IF(AND(D524="Cartão de crédito",N(E524)&gt;1),"Cartão de crédito parcelado",D524),Config!$A$12:$A$15,0)),0)/30*MAX(1,N(E524)),0))</f>
        <v/>
      </c>
      <c r="I524" s="29">
        <f>IF(OR(D524="",F524=""),"",ROUND(F524*H524,2))</f>
        <v/>
      </c>
      <c r="J524" s="29">
        <f>IF(I524="","",F524-I524)</f>
        <v/>
      </c>
      <c r="K524" s="37">
        <f>IF(OR(D524="",A524=""),"",A524+IF(AND(Config!$B$17="Sim",LEFT(D524,17)="Cartão de crédito"),1,IFERROR(INDEX(Config!$C$12:$C$15,MATCH(IF(AND(D524="Cartão de crédito",N(E524)&gt;1),"Cartão de crédito parcelado",D524),Config!$A$12:$A$15,0)),0)))</f>
        <v/>
      </c>
      <c r="L524" s="27">
        <f>IF(A524="","",MONTH(A524))</f>
        <v/>
      </c>
      <c r="M524" s="27">
        <f>IF(A524="","",YEAR(A524))</f>
        <v/>
      </c>
      <c r="N524" s="27">
        <f>IF(K524="","",IF(G524="Sim","Conferido",IF(K524&gt;Config!$B$8,"A cair","A conferir")))</f>
        <v/>
      </c>
      <c r="O524" s="50">
        <f>IF(N524="A conferir",(Config!$B$8-K524)*1000+N(F524)/1000+ROW()/100000,0)</f>
        <v>0</v>
      </c>
    </row>
    <row r="525">
      <c r="A525" s="48" t="n"/>
      <c r="B525" s="40" t="n"/>
      <c r="C525" s="40" t="n"/>
      <c r="D525" s="41" t="n"/>
      <c r="E525" s="41" t="n"/>
      <c r="F525" s="49" t="n"/>
      <c r="G525" s="41" t="n"/>
      <c r="H525" s="30">
        <f>IF(D525="","",IFERROR(INDEX(Config!$B$12:$B$15,MATCH(IF(AND(D525="Cartão de crédito",N(E525)&gt;1),"Cartão de crédito parcelado",D525),Config!$A$12:$A$15,0)),0)+IF(AND(Config!$B$17="Sim",LEFT(D525,17)="Cartão de crédito"),Config!$B$18*IFERROR(INDEX(Config!$C$12:$C$15,MATCH(IF(AND(D525="Cartão de crédito",N(E525)&gt;1),"Cartão de crédito parcelado",D525),Config!$A$12:$A$15,0)),0)/30*MAX(1,N(E525)),0))</f>
        <v/>
      </c>
      <c r="I525" s="29">
        <f>IF(OR(D525="",F525=""),"",ROUND(F525*H525,2))</f>
        <v/>
      </c>
      <c r="J525" s="29">
        <f>IF(I525="","",F525-I525)</f>
        <v/>
      </c>
      <c r="K525" s="37">
        <f>IF(OR(D525="",A525=""),"",A525+IF(AND(Config!$B$17="Sim",LEFT(D525,17)="Cartão de crédito"),1,IFERROR(INDEX(Config!$C$12:$C$15,MATCH(IF(AND(D525="Cartão de crédito",N(E525)&gt;1),"Cartão de crédito parcelado",D525),Config!$A$12:$A$15,0)),0)))</f>
        <v/>
      </c>
      <c r="L525" s="27">
        <f>IF(A525="","",MONTH(A525))</f>
        <v/>
      </c>
      <c r="M525" s="27">
        <f>IF(A525="","",YEAR(A525))</f>
        <v/>
      </c>
      <c r="N525" s="27">
        <f>IF(K525="","",IF(G525="Sim","Conferido",IF(K525&gt;Config!$B$8,"A cair","A conferir")))</f>
        <v/>
      </c>
      <c r="O525" s="50">
        <f>IF(N525="A conferir",(Config!$B$8-K525)*1000+N(F525)/1000+ROW()/100000,0)</f>
        <v>0</v>
      </c>
    </row>
    <row r="526">
      <c r="A526" s="48" t="n"/>
      <c r="B526" s="40" t="n"/>
      <c r="C526" s="40" t="n"/>
      <c r="D526" s="41" t="n"/>
      <c r="E526" s="41" t="n"/>
      <c r="F526" s="49" t="n"/>
      <c r="G526" s="41" t="n"/>
      <c r="H526" s="30">
        <f>IF(D526="","",IFERROR(INDEX(Config!$B$12:$B$15,MATCH(IF(AND(D526="Cartão de crédito",N(E526)&gt;1),"Cartão de crédito parcelado",D526),Config!$A$12:$A$15,0)),0)+IF(AND(Config!$B$17="Sim",LEFT(D526,17)="Cartão de crédito"),Config!$B$18*IFERROR(INDEX(Config!$C$12:$C$15,MATCH(IF(AND(D526="Cartão de crédito",N(E526)&gt;1),"Cartão de crédito parcelado",D526),Config!$A$12:$A$15,0)),0)/30*MAX(1,N(E526)),0))</f>
        <v/>
      </c>
      <c r="I526" s="29">
        <f>IF(OR(D526="",F526=""),"",ROUND(F526*H526,2))</f>
        <v/>
      </c>
      <c r="J526" s="29">
        <f>IF(I526="","",F526-I526)</f>
        <v/>
      </c>
      <c r="K526" s="37">
        <f>IF(OR(D526="",A526=""),"",A526+IF(AND(Config!$B$17="Sim",LEFT(D526,17)="Cartão de crédito"),1,IFERROR(INDEX(Config!$C$12:$C$15,MATCH(IF(AND(D526="Cartão de crédito",N(E526)&gt;1),"Cartão de crédito parcelado",D526),Config!$A$12:$A$15,0)),0)))</f>
        <v/>
      </c>
      <c r="L526" s="27">
        <f>IF(A526="","",MONTH(A526))</f>
        <v/>
      </c>
      <c r="M526" s="27">
        <f>IF(A526="","",YEAR(A526))</f>
        <v/>
      </c>
      <c r="N526" s="27">
        <f>IF(K526="","",IF(G526="Sim","Conferido",IF(K526&gt;Config!$B$8,"A cair","A conferir")))</f>
        <v/>
      </c>
      <c r="O526" s="50">
        <f>IF(N526="A conferir",(Config!$B$8-K526)*1000+N(F526)/1000+ROW()/100000,0)</f>
        <v>0</v>
      </c>
    </row>
    <row r="527">
      <c r="A527" s="48" t="n"/>
      <c r="B527" s="40" t="n"/>
      <c r="C527" s="40" t="n"/>
      <c r="D527" s="41" t="n"/>
      <c r="E527" s="41" t="n"/>
      <c r="F527" s="49" t="n"/>
      <c r="G527" s="41" t="n"/>
      <c r="H527" s="30">
        <f>IF(D527="","",IFERROR(INDEX(Config!$B$12:$B$15,MATCH(IF(AND(D527="Cartão de crédito",N(E527)&gt;1),"Cartão de crédito parcelado",D527),Config!$A$12:$A$15,0)),0)+IF(AND(Config!$B$17="Sim",LEFT(D527,17)="Cartão de crédito"),Config!$B$18*IFERROR(INDEX(Config!$C$12:$C$15,MATCH(IF(AND(D527="Cartão de crédito",N(E527)&gt;1),"Cartão de crédito parcelado",D527),Config!$A$12:$A$15,0)),0)/30*MAX(1,N(E527)),0))</f>
        <v/>
      </c>
      <c r="I527" s="29">
        <f>IF(OR(D527="",F527=""),"",ROUND(F527*H527,2))</f>
        <v/>
      </c>
      <c r="J527" s="29">
        <f>IF(I527="","",F527-I527)</f>
        <v/>
      </c>
      <c r="K527" s="37">
        <f>IF(OR(D527="",A527=""),"",A527+IF(AND(Config!$B$17="Sim",LEFT(D527,17)="Cartão de crédito"),1,IFERROR(INDEX(Config!$C$12:$C$15,MATCH(IF(AND(D527="Cartão de crédito",N(E527)&gt;1),"Cartão de crédito parcelado",D527),Config!$A$12:$A$15,0)),0)))</f>
        <v/>
      </c>
      <c r="L527" s="27">
        <f>IF(A527="","",MONTH(A527))</f>
        <v/>
      </c>
      <c r="M527" s="27">
        <f>IF(A527="","",YEAR(A527))</f>
        <v/>
      </c>
      <c r="N527" s="27">
        <f>IF(K527="","",IF(G527="Sim","Conferido",IF(K527&gt;Config!$B$8,"A cair","A conferir")))</f>
        <v/>
      </c>
      <c r="O527" s="50">
        <f>IF(N527="A conferir",(Config!$B$8-K527)*1000+N(F527)/1000+ROW()/100000,0)</f>
        <v>0</v>
      </c>
    </row>
    <row r="528">
      <c r="A528" s="48" t="n"/>
      <c r="B528" s="40" t="n"/>
      <c r="C528" s="40" t="n"/>
      <c r="D528" s="41" t="n"/>
      <c r="E528" s="41" t="n"/>
      <c r="F528" s="49" t="n"/>
      <c r="G528" s="41" t="n"/>
      <c r="H528" s="30">
        <f>IF(D528="","",IFERROR(INDEX(Config!$B$12:$B$15,MATCH(IF(AND(D528="Cartão de crédito",N(E528)&gt;1),"Cartão de crédito parcelado",D528),Config!$A$12:$A$15,0)),0)+IF(AND(Config!$B$17="Sim",LEFT(D528,17)="Cartão de crédito"),Config!$B$18*IFERROR(INDEX(Config!$C$12:$C$15,MATCH(IF(AND(D528="Cartão de crédito",N(E528)&gt;1),"Cartão de crédito parcelado",D528),Config!$A$12:$A$15,0)),0)/30*MAX(1,N(E528)),0))</f>
        <v/>
      </c>
      <c r="I528" s="29">
        <f>IF(OR(D528="",F528=""),"",ROUND(F528*H528,2))</f>
        <v/>
      </c>
      <c r="J528" s="29">
        <f>IF(I528="","",F528-I528)</f>
        <v/>
      </c>
      <c r="K528" s="37">
        <f>IF(OR(D528="",A528=""),"",A528+IF(AND(Config!$B$17="Sim",LEFT(D528,17)="Cartão de crédito"),1,IFERROR(INDEX(Config!$C$12:$C$15,MATCH(IF(AND(D528="Cartão de crédito",N(E528)&gt;1),"Cartão de crédito parcelado",D528),Config!$A$12:$A$15,0)),0)))</f>
        <v/>
      </c>
      <c r="L528" s="27">
        <f>IF(A528="","",MONTH(A528))</f>
        <v/>
      </c>
      <c r="M528" s="27">
        <f>IF(A528="","",YEAR(A528))</f>
        <v/>
      </c>
      <c r="N528" s="27">
        <f>IF(K528="","",IF(G528="Sim","Conferido",IF(K528&gt;Config!$B$8,"A cair","A conferir")))</f>
        <v/>
      </c>
      <c r="O528" s="50">
        <f>IF(N528="A conferir",(Config!$B$8-K528)*1000+N(F528)/1000+ROW()/100000,0)</f>
        <v>0</v>
      </c>
    </row>
    <row r="529">
      <c r="A529" s="48" t="n"/>
      <c r="B529" s="40" t="n"/>
      <c r="C529" s="40" t="n"/>
      <c r="D529" s="41" t="n"/>
      <c r="E529" s="41" t="n"/>
      <c r="F529" s="49" t="n"/>
      <c r="G529" s="41" t="n"/>
      <c r="H529" s="30">
        <f>IF(D529="","",IFERROR(INDEX(Config!$B$12:$B$15,MATCH(IF(AND(D529="Cartão de crédito",N(E529)&gt;1),"Cartão de crédito parcelado",D529),Config!$A$12:$A$15,0)),0)+IF(AND(Config!$B$17="Sim",LEFT(D529,17)="Cartão de crédito"),Config!$B$18*IFERROR(INDEX(Config!$C$12:$C$15,MATCH(IF(AND(D529="Cartão de crédito",N(E529)&gt;1),"Cartão de crédito parcelado",D529),Config!$A$12:$A$15,0)),0)/30*MAX(1,N(E529)),0))</f>
        <v/>
      </c>
      <c r="I529" s="29">
        <f>IF(OR(D529="",F529=""),"",ROUND(F529*H529,2))</f>
        <v/>
      </c>
      <c r="J529" s="29">
        <f>IF(I529="","",F529-I529)</f>
        <v/>
      </c>
      <c r="K529" s="37">
        <f>IF(OR(D529="",A529=""),"",A529+IF(AND(Config!$B$17="Sim",LEFT(D529,17)="Cartão de crédito"),1,IFERROR(INDEX(Config!$C$12:$C$15,MATCH(IF(AND(D529="Cartão de crédito",N(E529)&gt;1),"Cartão de crédito parcelado",D529),Config!$A$12:$A$15,0)),0)))</f>
        <v/>
      </c>
      <c r="L529" s="27">
        <f>IF(A529="","",MONTH(A529))</f>
        <v/>
      </c>
      <c r="M529" s="27">
        <f>IF(A529="","",YEAR(A529))</f>
        <v/>
      </c>
      <c r="N529" s="27">
        <f>IF(K529="","",IF(G529="Sim","Conferido",IF(K529&gt;Config!$B$8,"A cair","A conferir")))</f>
        <v/>
      </c>
      <c r="O529" s="50">
        <f>IF(N529="A conferir",(Config!$B$8-K529)*1000+N(F529)/1000+ROW()/100000,0)</f>
        <v>0</v>
      </c>
    </row>
    <row r="530">
      <c r="A530" s="48" t="n"/>
      <c r="B530" s="40" t="n"/>
      <c r="C530" s="40" t="n"/>
      <c r="D530" s="41" t="n"/>
      <c r="E530" s="41" t="n"/>
      <c r="F530" s="49" t="n"/>
      <c r="G530" s="41" t="n"/>
      <c r="H530" s="30">
        <f>IF(D530="","",IFERROR(INDEX(Config!$B$12:$B$15,MATCH(IF(AND(D530="Cartão de crédito",N(E530)&gt;1),"Cartão de crédito parcelado",D530),Config!$A$12:$A$15,0)),0)+IF(AND(Config!$B$17="Sim",LEFT(D530,17)="Cartão de crédito"),Config!$B$18*IFERROR(INDEX(Config!$C$12:$C$15,MATCH(IF(AND(D530="Cartão de crédito",N(E530)&gt;1),"Cartão de crédito parcelado",D530),Config!$A$12:$A$15,0)),0)/30*MAX(1,N(E530)),0))</f>
        <v/>
      </c>
      <c r="I530" s="29">
        <f>IF(OR(D530="",F530=""),"",ROUND(F530*H530,2))</f>
        <v/>
      </c>
      <c r="J530" s="29">
        <f>IF(I530="","",F530-I530)</f>
        <v/>
      </c>
      <c r="K530" s="37">
        <f>IF(OR(D530="",A530=""),"",A530+IF(AND(Config!$B$17="Sim",LEFT(D530,17)="Cartão de crédito"),1,IFERROR(INDEX(Config!$C$12:$C$15,MATCH(IF(AND(D530="Cartão de crédito",N(E530)&gt;1),"Cartão de crédito parcelado",D530),Config!$A$12:$A$15,0)),0)))</f>
        <v/>
      </c>
      <c r="L530" s="27">
        <f>IF(A530="","",MONTH(A530))</f>
        <v/>
      </c>
      <c r="M530" s="27">
        <f>IF(A530="","",YEAR(A530))</f>
        <v/>
      </c>
      <c r="N530" s="27">
        <f>IF(K530="","",IF(G530="Sim","Conferido",IF(K530&gt;Config!$B$8,"A cair","A conferir")))</f>
        <v/>
      </c>
      <c r="O530" s="50">
        <f>IF(N530="A conferir",(Config!$B$8-K530)*1000+N(F530)/1000+ROW()/100000,0)</f>
        <v>0</v>
      </c>
    </row>
    <row r="531">
      <c r="A531" s="48" t="n"/>
      <c r="B531" s="40" t="n"/>
      <c r="C531" s="40" t="n"/>
      <c r="D531" s="41" t="n"/>
      <c r="E531" s="41" t="n"/>
      <c r="F531" s="49" t="n"/>
      <c r="G531" s="41" t="n"/>
      <c r="H531" s="30">
        <f>IF(D531="","",IFERROR(INDEX(Config!$B$12:$B$15,MATCH(IF(AND(D531="Cartão de crédito",N(E531)&gt;1),"Cartão de crédito parcelado",D531),Config!$A$12:$A$15,0)),0)+IF(AND(Config!$B$17="Sim",LEFT(D531,17)="Cartão de crédito"),Config!$B$18*IFERROR(INDEX(Config!$C$12:$C$15,MATCH(IF(AND(D531="Cartão de crédito",N(E531)&gt;1),"Cartão de crédito parcelado",D531),Config!$A$12:$A$15,0)),0)/30*MAX(1,N(E531)),0))</f>
        <v/>
      </c>
      <c r="I531" s="29">
        <f>IF(OR(D531="",F531=""),"",ROUND(F531*H531,2))</f>
        <v/>
      </c>
      <c r="J531" s="29">
        <f>IF(I531="","",F531-I531)</f>
        <v/>
      </c>
      <c r="K531" s="37">
        <f>IF(OR(D531="",A531=""),"",A531+IF(AND(Config!$B$17="Sim",LEFT(D531,17)="Cartão de crédito"),1,IFERROR(INDEX(Config!$C$12:$C$15,MATCH(IF(AND(D531="Cartão de crédito",N(E531)&gt;1),"Cartão de crédito parcelado",D531),Config!$A$12:$A$15,0)),0)))</f>
        <v/>
      </c>
      <c r="L531" s="27">
        <f>IF(A531="","",MONTH(A531))</f>
        <v/>
      </c>
      <c r="M531" s="27">
        <f>IF(A531="","",YEAR(A531))</f>
        <v/>
      </c>
      <c r="N531" s="27">
        <f>IF(K531="","",IF(G531="Sim","Conferido",IF(K531&gt;Config!$B$8,"A cair","A conferir")))</f>
        <v/>
      </c>
      <c r="O531" s="50">
        <f>IF(N531="A conferir",(Config!$B$8-K531)*1000+N(F531)/1000+ROW()/100000,0)</f>
        <v>0</v>
      </c>
    </row>
    <row r="532">
      <c r="A532" s="48" t="n"/>
      <c r="B532" s="40" t="n"/>
      <c r="C532" s="40" t="n"/>
      <c r="D532" s="41" t="n"/>
      <c r="E532" s="41" t="n"/>
      <c r="F532" s="49" t="n"/>
      <c r="G532" s="41" t="n"/>
      <c r="H532" s="30">
        <f>IF(D532="","",IFERROR(INDEX(Config!$B$12:$B$15,MATCH(IF(AND(D532="Cartão de crédito",N(E532)&gt;1),"Cartão de crédito parcelado",D532),Config!$A$12:$A$15,0)),0)+IF(AND(Config!$B$17="Sim",LEFT(D532,17)="Cartão de crédito"),Config!$B$18*IFERROR(INDEX(Config!$C$12:$C$15,MATCH(IF(AND(D532="Cartão de crédito",N(E532)&gt;1),"Cartão de crédito parcelado",D532),Config!$A$12:$A$15,0)),0)/30*MAX(1,N(E532)),0))</f>
        <v/>
      </c>
      <c r="I532" s="29">
        <f>IF(OR(D532="",F532=""),"",ROUND(F532*H532,2))</f>
        <v/>
      </c>
      <c r="J532" s="29">
        <f>IF(I532="","",F532-I532)</f>
        <v/>
      </c>
      <c r="K532" s="37">
        <f>IF(OR(D532="",A532=""),"",A532+IF(AND(Config!$B$17="Sim",LEFT(D532,17)="Cartão de crédito"),1,IFERROR(INDEX(Config!$C$12:$C$15,MATCH(IF(AND(D532="Cartão de crédito",N(E532)&gt;1),"Cartão de crédito parcelado",D532),Config!$A$12:$A$15,0)),0)))</f>
        <v/>
      </c>
      <c r="L532" s="27">
        <f>IF(A532="","",MONTH(A532))</f>
        <v/>
      </c>
      <c r="M532" s="27">
        <f>IF(A532="","",YEAR(A532))</f>
        <v/>
      </c>
      <c r="N532" s="27">
        <f>IF(K532="","",IF(G532="Sim","Conferido",IF(K532&gt;Config!$B$8,"A cair","A conferir")))</f>
        <v/>
      </c>
      <c r="O532" s="50">
        <f>IF(N532="A conferir",(Config!$B$8-K532)*1000+N(F532)/1000+ROW()/100000,0)</f>
        <v>0</v>
      </c>
    </row>
    <row r="533">
      <c r="A533" s="48" t="n"/>
      <c r="B533" s="40" t="n"/>
      <c r="C533" s="40" t="n"/>
      <c r="D533" s="41" t="n"/>
      <c r="E533" s="41" t="n"/>
      <c r="F533" s="49" t="n"/>
      <c r="G533" s="41" t="n"/>
      <c r="H533" s="30">
        <f>IF(D533="","",IFERROR(INDEX(Config!$B$12:$B$15,MATCH(IF(AND(D533="Cartão de crédito",N(E533)&gt;1),"Cartão de crédito parcelado",D533),Config!$A$12:$A$15,0)),0)+IF(AND(Config!$B$17="Sim",LEFT(D533,17)="Cartão de crédito"),Config!$B$18*IFERROR(INDEX(Config!$C$12:$C$15,MATCH(IF(AND(D533="Cartão de crédito",N(E533)&gt;1),"Cartão de crédito parcelado",D533),Config!$A$12:$A$15,0)),0)/30*MAX(1,N(E533)),0))</f>
        <v/>
      </c>
      <c r="I533" s="29">
        <f>IF(OR(D533="",F533=""),"",ROUND(F533*H533,2))</f>
        <v/>
      </c>
      <c r="J533" s="29">
        <f>IF(I533="","",F533-I533)</f>
        <v/>
      </c>
      <c r="K533" s="37">
        <f>IF(OR(D533="",A533=""),"",A533+IF(AND(Config!$B$17="Sim",LEFT(D533,17)="Cartão de crédito"),1,IFERROR(INDEX(Config!$C$12:$C$15,MATCH(IF(AND(D533="Cartão de crédito",N(E533)&gt;1),"Cartão de crédito parcelado",D533),Config!$A$12:$A$15,0)),0)))</f>
        <v/>
      </c>
      <c r="L533" s="27">
        <f>IF(A533="","",MONTH(A533))</f>
        <v/>
      </c>
      <c r="M533" s="27">
        <f>IF(A533="","",YEAR(A533))</f>
        <v/>
      </c>
      <c r="N533" s="27">
        <f>IF(K533="","",IF(G533="Sim","Conferido",IF(K533&gt;Config!$B$8,"A cair","A conferir")))</f>
        <v/>
      </c>
      <c r="O533" s="50">
        <f>IF(N533="A conferir",(Config!$B$8-K533)*1000+N(F533)/1000+ROW()/100000,0)</f>
        <v>0</v>
      </c>
    </row>
    <row r="534">
      <c r="A534" s="48" t="n"/>
      <c r="B534" s="40" t="n"/>
      <c r="C534" s="40" t="n"/>
      <c r="D534" s="41" t="n"/>
      <c r="E534" s="41" t="n"/>
      <c r="F534" s="49" t="n"/>
      <c r="G534" s="41" t="n"/>
      <c r="H534" s="30">
        <f>IF(D534="","",IFERROR(INDEX(Config!$B$12:$B$15,MATCH(IF(AND(D534="Cartão de crédito",N(E534)&gt;1),"Cartão de crédito parcelado",D534),Config!$A$12:$A$15,0)),0)+IF(AND(Config!$B$17="Sim",LEFT(D534,17)="Cartão de crédito"),Config!$B$18*IFERROR(INDEX(Config!$C$12:$C$15,MATCH(IF(AND(D534="Cartão de crédito",N(E534)&gt;1),"Cartão de crédito parcelado",D534),Config!$A$12:$A$15,0)),0)/30*MAX(1,N(E534)),0))</f>
        <v/>
      </c>
      <c r="I534" s="29">
        <f>IF(OR(D534="",F534=""),"",ROUND(F534*H534,2))</f>
        <v/>
      </c>
      <c r="J534" s="29">
        <f>IF(I534="","",F534-I534)</f>
        <v/>
      </c>
      <c r="K534" s="37">
        <f>IF(OR(D534="",A534=""),"",A534+IF(AND(Config!$B$17="Sim",LEFT(D534,17)="Cartão de crédito"),1,IFERROR(INDEX(Config!$C$12:$C$15,MATCH(IF(AND(D534="Cartão de crédito",N(E534)&gt;1),"Cartão de crédito parcelado",D534),Config!$A$12:$A$15,0)),0)))</f>
        <v/>
      </c>
      <c r="L534" s="27">
        <f>IF(A534="","",MONTH(A534))</f>
        <v/>
      </c>
      <c r="M534" s="27">
        <f>IF(A534="","",YEAR(A534))</f>
        <v/>
      </c>
      <c r="N534" s="27">
        <f>IF(K534="","",IF(G534="Sim","Conferido",IF(K534&gt;Config!$B$8,"A cair","A conferir")))</f>
        <v/>
      </c>
      <c r="O534" s="50">
        <f>IF(N534="A conferir",(Config!$B$8-K534)*1000+N(F534)/1000+ROW()/100000,0)</f>
        <v>0</v>
      </c>
    </row>
    <row r="535">
      <c r="A535" s="48" t="n"/>
      <c r="B535" s="40" t="n"/>
      <c r="C535" s="40" t="n"/>
      <c r="D535" s="41" t="n"/>
      <c r="E535" s="41" t="n"/>
      <c r="F535" s="49" t="n"/>
      <c r="G535" s="41" t="n"/>
      <c r="H535" s="30">
        <f>IF(D535="","",IFERROR(INDEX(Config!$B$12:$B$15,MATCH(IF(AND(D535="Cartão de crédito",N(E535)&gt;1),"Cartão de crédito parcelado",D535),Config!$A$12:$A$15,0)),0)+IF(AND(Config!$B$17="Sim",LEFT(D535,17)="Cartão de crédito"),Config!$B$18*IFERROR(INDEX(Config!$C$12:$C$15,MATCH(IF(AND(D535="Cartão de crédito",N(E535)&gt;1),"Cartão de crédito parcelado",D535),Config!$A$12:$A$15,0)),0)/30*MAX(1,N(E535)),0))</f>
        <v/>
      </c>
      <c r="I535" s="29">
        <f>IF(OR(D535="",F535=""),"",ROUND(F535*H535,2))</f>
        <v/>
      </c>
      <c r="J535" s="29">
        <f>IF(I535="","",F535-I535)</f>
        <v/>
      </c>
      <c r="K535" s="37">
        <f>IF(OR(D535="",A535=""),"",A535+IF(AND(Config!$B$17="Sim",LEFT(D535,17)="Cartão de crédito"),1,IFERROR(INDEX(Config!$C$12:$C$15,MATCH(IF(AND(D535="Cartão de crédito",N(E535)&gt;1),"Cartão de crédito parcelado",D535),Config!$A$12:$A$15,0)),0)))</f>
        <v/>
      </c>
      <c r="L535" s="27">
        <f>IF(A535="","",MONTH(A535))</f>
        <v/>
      </c>
      <c r="M535" s="27">
        <f>IF(A535="","",YEAR(A535))</f>
        <v/>
      </c>
      <c r="N535" s="27">
        <f>IF(K535="","",IF(G535="Sim","Conferido",IF(K535&gt;Config!$B$8,"A cair","A conferir")))</f>
        <v/>
      </c>
      <c r="O535" s="50">
        <f>IF(N535="A conferir",(Config!$B$8-K535)*1000+N(F535)/1000+ROW()/100000,0)</f>
        <v>0</v>
      </c>
    </row>
    <row r="536">
      <c r="A536" s="48" t="n"/>
      <c r="B536" s="40" t="n"/>
      <c r="C536" s="40" t="n"/>
      <c r="D536" s="41" t="n"/>
      <c r="E536" s="41" t="n"/>
      <c r="F536" s="49" t="n"/>
      <c r="G536" s="41" t="n"/>
      <c r="H536" s="30">
        <f>IF(D536="","",IFERROR(INDEX(Config!$B$12:$B$15,MATCH(IF(AND(D536="Cartão de crédito",N(E536)&gt;1),"Cartão de crédito parcelado",D536),Config!$A$12:$A$15,0)),0)+IF(AND(Config!$B$17="Sim",LEFT(D536,17)="Cartão de crédito"),Config!$B$18*IFERROR(INDEX(Config!$C$12:$C$15,MATCH(IF(AND(D536="Cartão de crédito",N(E536)&gt;1),"Cartão de crédito parcelado",D536),Config!$A$12:$A$15,0)),0)/30*MAX(1,N(E536)),0))</f>
        <v/>
      </c>
      <c r="I536" s="29">
        <f>IF(OR(D536="",F536=""),"",ROUND(F536*H536,2))</f>
        <v/>
      </c>
      <c r="J536" s="29">
        <f>IF(I536="","",F536-I536)</f>
        <v/>
      </c>
      <c r="K536" s="37">
        <f>IF(OR(D536="",A536=""),"",A536+IF(AND(Config!$B$17="Sim",LEFT(D536,17)="Cartão de crédito"),1,IFERROR(INDEX(Config!$C$12:$C$15,MATCH(IF(AND(D536="Cartão de crédito",N(E536)&gt;1),"Cartão de crédito parcelado",D536),Config!$A$12:$A$15,0)),0)))</f>
        <v/>
      </c>
      <c r="L536" s="27">
        <f>IF(A536="","",MONTH(A536))</f>
        <v/>
      </c>
      <c r="M536" s="27">
        <f>IF(A536="","",YEAR(A536))</f>
        <v/>
      </c>
      <c r="N536" s="27">
        <f>IF(K536="","",IF(G536="Sim","Conferido",IF(K536&gt;Config!$B$8,"A cair","A conferir")))</f>
        <v/>
      </c>
      <c r="O536" s="50">
        <f>IF(N536="A conferir",(Config!$B$8-K536)*1000+N(F536)/1000+ROW()/100000,0)</f>
        <v>0</v>
      </c>
    </row>
    <row r="537">
      <c r="A537" s="48" t="n"/>
      <c r="B537" s="40" t="n"/>
      <c r="C537" s="40" t="n"/>
      <c r="D537" s="41" t="n"/>
      <c r="E537" s="41" t="n"/>
      <c r="F537" s="49" t="n"/>
      <c r="G537" s="41" t="n"/>
      <c r="H537" s="30">
        <f>IF(D537="","",IFERROR(INDEX(Config!$B$12:$B$15,MATCH(IF(AND(D537="Cartão de crédito",N(E537)&gt;1),"Cartão de crédito parcelado",D537),Config!$A$12:$A$15,0)),0)+IF(AND(Config!$B$17="Sim",LEFT(D537,17)="Cartão de crédito"),Config!$B$18*IFERROR(INDEX(Config!$C$12:$C$15,MATCH(IF(AND(D537="Cartão de crédito",N(E537)&gt;1),"Cartão de crédito parcelado",D537),Config!$A$12:$A$15,0)),0)/30*MAX(1,N(E537)),0))</f>
        <v/>
      </c>
      <c r="I537" s="29">
        <f>IF(OR(D537="",F537=""),"",ROUND(F537*H537,2))</f>
        <v/>
      </c>
      <c r="J537" s="29">
        <f>IF(I537="","",F537-I537)</f>
        <v/>
      </c>
      <c r="K537" s="37">
        <f>IF(OR(D537="",A537=""),"",A537+IF(AND(Config!$B$17="Sim",LEFT(D537,17)="Cartão de crédito"),1,IFERROR(INDEX(Config!$C$12:$C$15,MATCH(IF(AND(D537="Cartão de crédito",N(E537)&gt;1),"Cartão de crédito parcelado",D537),Config!$A$12:$A$15,0)),0)))</f>
        <v/>
      </c>
      <c r="L537" s="27">
        <f>IF(A537="","",MONTH(A537))</f>
        <v/>
      </c>
      <c r="M537" s="27">
        <f>IF(A537="","",YEAR(A537))</f>
        <v/>
      </c>
      <c r="N537" s="27">
        <f>IF(K537="","",IF(G537="Sim","Conferido",IF(K537&gt;Config!$B$8,"A cair","A conferir")))</f>
        <v/>
      </c>
      <c r="O537" s="50">
        <f>IF(N537="A conferir",(Config!$B$8-K537)*1000+N(F537)/1000+ROW()/100000,0)</f>
        <v>0</v>
      </c>
    </row>
    <row r="538">
      <c r="A538" s="48" t="n"/>
      <c r="B538" s="40" t="n"/>
      <c r="C538" s="40" t="n"/>
      <c r="D538" s="41" t="n"/>
      <c r="E538" s="41" t="n"/>
      <c r="F538" s="49" t="n"/>
      <c r="G538" s="41" t="n"/>
      <c r="H538" s="30">
        <f>IF(D538="","",IFERROR(INDEX(Config!$B$12:$B$15,MATCH(IF(AND(D538="Cartão de crédito",N(E538)&gt;1),"Cartão de crédito parcelado",D538),Config!$A$12:$A$15,0)),0)+IF(AND(Config!$B$17="Sim",LEFT(D538,17)="Cartão de crédito"),Config!$B$18*IFERROR(INDEX(Config!$C$12:$C$15,MATCH(IF(AND(D538="Cartão de crédito",N(E538)&gt;1),"Cartão de crédito parcelado",D538),Config!$A$12:$A$15,0)),0)/30*MAX(1,N(E538)),0))</f>
        <v/>
      </c>
      <c r="I538" s="29">
        <f>IF(OR(D538="",F538=""),"",ROUND(F538*H538,2))</f>
        <v/>
      </c>
      <c r="J538" s="29">
        <f>IF(I538="","",F538-I538)</f>
        <v/>
      </c>
      <c r="K538" s="37">
        <f>IF(OR(D538="",A538=""),"",A538+IF(AND(Config!$B$17="Sim",LEFT(D538,17)="Cartão de crédito"),1,IFERROR(INDEX(Config!$C$12:$C$15,MATCH(IF(AND(D538="Cartão de crédito",N(E538)&gt;1),"Cartão de crédito parcelado",D538),Config!$A$12:$A$15,0)),0)))</f>
        <v/>
      </c>
      <c r="L538" s="27">
        <f>IF(A538="","",MONTH(A538))</f>
        <v/>
      </c>
      <c r="M538" s="27">
        <f>IF(A538="","",YEAR(A538))</f>
        <v/>
      </c>
      <c r="N538" s="27">
        <f>IF(K538="","",IF(G538="Sim","Conferido",IF(K538&gt;Config!$B$8,"A cair","A conferir")))</f>
        <v/>
      </c>
      <c r="O538" s="50">
        <f>IF(N538="A conferir",(Config!$B$8-K538)*1000+N(F538)/1000+ROW()/100000,0)</f>
        <v>0</v>
      </c>
    </row>
    <row r="539">
      <c r="A539" s="48" t="n"/>
      <c r="B539" s="40" t="n"/>
      <c r="C539" s="40" t="n"/>
      <c r="D539" s="41" t="n"/>
      <c r="E539" s="41" t="n"/>
      <c r="F539" s="49" t="n"/>
      <c r="G539" s="41" t="n"/>
      <c r="H539" s="30">
        <f>IF(D539="","",IFERROR(INDEX(Config!$B$12:$B$15,MATCH(IF(AND(D539="Cartão de crédito",N(E539)&gt;1),"Cartão de crédito parcelado",D539),Config!$A$12:$A$15,0)),0)+IF(AND(Config!$B$17="Sim",LEFT(D539,17)="Cartão de crédito"),Config!$B$18*IFERROR(INDEX(Config!$C$12:$C$15,MATCH(IF(AND(D539="Cartão de crédito",N(E539)&gt;1),"Cartão de crédito parcelado",D539),Config!$A$12:$A$15,0)),0)/30*MAX(1,N(E539)),0))</f>
        <v/>
      </c>
      <c r="I539" s="29">
        <f>IF(OR(D539="",F539=""),"",ROUND(F539*H539,2))</f>
        <v/>
      </c>
      <c r="J539" s="29">
        <f>IF(I539="","",F539-I539)</f>
        <v/>
      </c>
      <c r="K539" s="37">
        <f>IF(OR(D539="",A539=""),"",A539+IF(AND(Config!$B$17="Sim",LEFT(D539,17)="Cartão de crédito"),1,IFERROR(INDEX(Config!$C$12:$C$15,MATCH(IF(AND(D539="Cartão de crédito",N(E539)&gt;1),"Cartão de crédito parcelado",D539),Config!$A$12:$A$15,0)),0)))</f>
        <v/>
      </c>
      <c r="L539" s="27">
        <f>IF(A539="","",MONTH(A539))</f>
        <v/>
      </c>
      <c r="M539" s="27">
        <f>IF(A539="","",YEAR(A539))</f>
        <v/>
      </c>
      <c r="N539" s="27">
        <f>IF(K539="","",IF(G539="Sim","Conferido",IF(K539&gt;Config!$B$8,"A cair","A conferir")))</f>
        <v/>
      </c>
      <c r="O539" s="50">
        <f>IF(N539="A conferir",(Config!$B$8-K539)*1000+N(F539)/1000+ROW()/100000,0)</f>
        <v>0</v>
      </c>
    </row>
    <row r="540">
      <c r="A540" s="48" t="n"/>
      <c r="B540" s="40" t="n"/>
      <c r="C540" s="40" t="n"/>
      <c r="D540" s="41" t="n"/>
      <c r="E540" s="41" t="n"/>
      <c r="F540" s="49" t="n"/>
      <c r="G540" s="41" t="n"/>
      <c r="H540" s="30">
        <f>IF(D540="","",IFERROR(INDEX(Config!$B$12:$B$15,MATCH(IF(AND(D540="Cartão de crédito",N(E540)&gt;1),"Cartão de crédito parcelado",D540),Config!$A$12:$A$15,0)),0)+IF(AND(Config!$B$17="Sim",LEFT(D540,17)="Cartão de crédito"),Config!$B$18*IFERROR(INDEX(Config!$C$12:$C$15,MATCH(IF(AND(D540="Cartão de crédito",N(E540)&gt;1),"Cartão de crédito parcelado",D540),Config!$A$12:$A$15,0)),0)/30*MAX(1,N(E540)),0))</f>
        <v/>
      </c>
      <c r="I540" s="29">
        <f>IF(OR(D540="",F540=""),"",ROUND(F540*H540,2))</f>
        <v/>
      </c>
      <c r="J540" s="29">
        <f>IF(I540="","",F540-I540)</f>
        <v/>
      </c>
      <c r="K540" s="37">
        <f>IF(OR(D540="",A540=""),"",A540+IF(AND(Config!$B$17="Sim",LEFT(D540,17)="Cartão de crédito"),1,IFERROR(INDEX(Config!$C$12:$C$15,MATCH(IF(AND(D540="Cartão de crédito",N(E540)&gt;1),"Cartão de crédito parcelado",D540),Config!$A$12:$A$15,0)),0)))</f>
        <v/>
      </c>
      <c r="L540" s="27">
        <f>IF(A540="","",MONTH(A540))</f>
        <v/>
      </c>
      <c r="M540" s="27">
        <f>IF(A540="","",YEAR(A540))</f>
        <v/>
      </c>
      <c r="N540" s="27">
        <f>IF(K540="","",IF(G540="Sim","Conferido",IF(K540&gt;Config!$B$8,"A cair","A conferir")))</f>
        <v/>
      </c>
      <c r="O540" s="50">
        <f>IF(N540="A conferir",(Config!$B$8-K540)*1000+N(F540)/1000+ROW()/100000,0)</f>
        <v>0</v>
      </c>
    </row>
    <row r="541">
      <c r="A541" s="48" t="n"/>
      <c r="B541" s="40" t="n"/>
      <c r="C541" s="40" t="n"/>
      <c r="D541" s="41" t="n"/>
      <c r="E541" s="41" t="n"/>
      <c r="F541" s="49" t="n"/>
      <c r="G541" s="41" t="n"/>
      <c r="H541" s="30">
        <f>IF(D541="","",IFERROR(INDEX(Config!$B$12:$B$15,MATCH(IF(AND(D541="Cartão de crédito",N(E541)&gt;1),"Cartão de crédito parcelado",D541),Config!$A$12:$A$15,0)),0)+IF(AND(Config!$B$17="Sim",LEFT(D541,17)="Cartão de crédito"),Config!$B$18*IFERROR(INDEX(Config!$C$12:$C$15,MATCH(IF(AND(D541="Cartão de crédito",N(E541)&gt;1),"Cartão de crédito parcelado",D541),Config!$A$12:$A$15,0)),0)/30*MAX(1,N(E541)),0))</f>
        <v/>
      </c>
      <c r="I541" s="29">
        <f>IF(OR(D541="",F541=""),"",ROUND(F541*H541,2))</f>
        <v/>
      </c>
      <c r="J541" s="29">
        <f>IF(I541="","",F541-I541)</f>
        <v/>
      </c>
      <c r="K541" s="37">
        <f>IF(OR(D541="",A541=""),"",A541+IF(AND(Config!$B$17="Sim",LEFT(D541,17)="Cartão de crédito"),1,IFERROR(INDEX(Config!$C$12:$C$15,MATCH(IF(AND(D541="Cartão de crédito",N(E541)&gt;1),"Cartão de crédito parcelado",D541),Config!$A$12:$A$15,0)),0)))</f>
        <v/>
      </c>
      <c r="L541" s="27">
        <f>IF(A541="","",MONTH(A541))</f>
        <v/>
      </c>
      <c r="M541" s="27">
        <f>IF(A541="","",YEAR(A541))</f>
        <v/>
      </c>
      <c r="N541" s="27">
        <f>IF(K541="","",IF(G541="Sim","Conferido",IF(K541&gt;Config!$B$8,"A cair","A conferir")))</f>
        <v/>
      </c>
      <c r="O541" s="50">
        <f>IF(N541="A conferir",(Config!$B$8-K541)*1000+N(F541)/1000+ROW()/100000,0)</f>
        <v>0</v>
      </c>
    </row>
    <row r="542">
      <c r="A542" s="48" t="n"/>
      <c r="B542" s="40" t="n"/>
      <c r="C542" s="40" t="n"/>
      <c r="D542" s="41" t="n"/>
      <c r="E542" s="41" t="n"/>
      <c r="F542" s="49" t="n"/>
      <c r="G542" s="41" t="n"/>
      <c r="H542" s="30">
        <f>IF(D542="","",IFERROR(INDEX(Config!$B$12:$B$15,MATCH(IF(AND(D542="Cartão de crédito",N(E542)&gt;1),"Cartão de crédito parcelado",D542),Config!$A$12:$A$15,0)),0)+IF(AND(Config!$B$17="Sim",LEFT(D542,17)="Cartão de crédito"),Config!$B$18*IFERROR(INDEX(Config!$C$12:$C$15,MATCH(IF(AND(D542="Cartão de crédito",N(E542)&gt;1),"Cartão de crédito parcelado",D542),Config!$A$12:$A$15,0)),0)/30*MAX(1,N(E542)),0))</f>
        <v/>
      </c>
      <c r="I542" s="29">
        <f>IF(OR(D542="",F542=""),"",ROUND(F542*H542,2))</f>
        <v/>
      </c>
      <c r="J542" s="29">
        <f>IF(I542="","",F542-I542)</f>
        <v/>
      </c>
      <c r="K542" s="37">
        <f>IF(OR(D542="",A542=""),"",A542+IF(AND(Config!$B$17="Sim",LEFT(D542,17)="Cartão de crédito"),1,IFERROR(INDEX(Config!$C$12:$C$15,MATCH(IF(AND(D542="Cartão de crédito",N(E542)&gt;1),"Cartão de crédito parcelado",D542),Config!$A$12:$A$15,0)),0)))</f>
        <v/>
      </c>
      <c r="L542" s="27">
        <f>IF(A542="","",MONTH(A542))</f>
        <v/>
      </c>
      <c r="M542" s="27">
        <f>IF(A542="","",YEAR(A542))</f>
        <v/>
      </c>
      <c r="N542" s="27">
        <f>IF(K542="","",IF(G542="Sim","Conferido",IF(K542&gt;Config!$B$8,"A cair","A conferir")))</f>
        <v/>
      </c>
      <c r="O542" s="50">
        <f>IF(N542="A conferir",(Config!$B$8-K542)*1000+N(F542)/1000+ROW()/100000,0)</f>
        <v>0</v>
      </c>
    </row>
    <row r="543">
      <c r="A543" s="48" t="n"/>
      <c r="B543" s="40" t="n"/>
      <c r="C543" s="40" t="n"/>
      <c r="D543" s="41" t="n"/>
      <c r="E543" s="41" t="n"/>
      <c r="F543" s="49" t="n"/>
      <c r="G543" s="41" t="n"/>
      <c r="H543" s="30">
        <f>IF(D543="","",IFERROR(INDEX(Config!$B$12:$B$15,MATCH(IF(AND(D543="Cartão de crédito",N(E543)&gt;1),"Cartão de crédito parcelado",D543),Config!$A$12:$A$15,0)),0)+IF(AND(Config!$B$17="Sim",LEFT(D543,17)="Cartão de crédito"),Config!$B$18*IFERROR(INDEX(Config!$C$12:$C$15,MATCH(IF(AND(D543="Cartão de crédito",N(E543)&gt;1),"Cartão de crédito parcelado",D543),Config!$A$12:$A$15,0)),0)/30*MAX(1,N(E543)),0))</f>
        <v/>
      </c>
      <c r="I543" s="29">
        <f>IF(OR(D543="",F543=""),"",ROUND(F543*H543,2))</f>
        <v/>
      </c>
      <c r="J543" s="29">
        <f>IF(I543="","",F543-I543)</f>
        <v/>
      </c>
      <c r="K543" s="37">
        <f>IF(OR(D543="",A543=""),"",A543+IF(AND(Config!$B$17="Sim",LEFT(D543,17)="Cartão de crédito"),1,IFERROR(INDEX(Config!$C$12:$C$15,MATCH(IF(AND(D543="Cartão de crédito",N(E543)&gt;1),"Cartão de crédito parcelado",D543),Config!$A$12:$A$15,0)),0)))</f>
        <v/>
      </c>
      <c r="L543" s="27">
        <f>IF(A543="","",MONTH(A543))</f>
        <v/>
      </c>
      <c r="M543" s="27">
        <f>IF(A543="","",YEAR(A543))</f>
        <v/>
      </c>
      <c r="N543" s="27">
        <f>IF(K543="","",IF(G543="Sim","Conferido",IF(K543&gt;Config!$B$8,"A cair","A conferir")))</f>
        <v/>
      </c>
      <c r="O543" s="50">
        <f>IF(N543="A conferir",(Config!$B$8-K543)*1000+N(F543)/1000+ROW()/100000,0)</f>
        <v>0</v>
      </c>
    </row>
    <row r="544">
      <c r="A544" s="48" t="n"/>
      <c r="B544" s="40" t="n"/>
      <c r="C544" s="40" t="n"/>
      <c r="D544" s="41" t="n"/>
      <c r="E544" s="41" t="n"/>
      <c r="F544" s="49" t="n"/>
      <c r="G544" s="41" t="n"/>
      <c r="H544" s="30">
        <f>IF(D544="","",IFERROR(INDEX(Config!$B$12:$B$15,MATCH(IF(AND(D544="Cartão de crédito",N(E544)&gt;1),"Cartão de crédito parcelado",D544),Config!$A$12:$A$15,0)),0)+IF(AND(Config!$B$17="Sim",LEFT(D544,17)="Cartão de crédito"),Config!$B$18*IFERROR(INDEX(Config!$C$12:$C$15,MATCH(IF(AND(D544="Cartão de crédito",N(E544)&gt;1),"Cartão de crédito parcelado",D544),Config!$A$12:$A$15,0)),0)/30*MAX(1,N(E544)),0))</f>
        <v/>
      </c>
      <c r="I544" s="29">
        <f>IF(OR(D544="",F544=""),"",ROUND(F544*H544,2))</f>
        <v/>
      </c>
      <c r="J544" s="29">
        <f>IF(I544="","",F544-I544)</f>
        <v/>
      </c>
      <c r="K544" s="37">
        <f>IF(OR(D544="",A544=""),"",A544+IF(AND(Config!$B$17="Sim",LEFT(D544,17)="Cartão de crédito"),1,IFERROR(INDEX(Config!$C$12:$C$15,MATCH(IF(AND(D544="Cartão de crédito",N(E544)&gt;1),"Cartão de crédito parcelado",D544),Config!$A$12:$A$15,0)),0)))</f>
        <v/>
      </c>
      <c r="L544" s="27">
        <f>IF(A544="","",MONTH(A544))</f>
        <v/>
      </c>
      <c r="M544" s="27">
        <f>IF(A544="","",YEAR(A544))</f>
        <v/>
      </c>
      <c r="N544" s="27">
        <f>IF(K544="","",IF(G544="Sim","Conferido",IF(K544&gt;Config!$B$8,"A cair","A conferir")))</f>
        <v/>
      </c>
      <c r="O544" s="50">
        <f>IF(N544="A conferir",(Config!$B$8-K544)*1000+N(F544)/1000+ROW()/100000,0)</f>
        <v>0</v>
      </c>
    </row>
    <row r="545">
      <c r="A545" s="48" t="n"/>
      <c r="B545" s="40" t="n"/>
      <c r="C545" s="40" t="n"/>
      <c r="D545" s="41" t="n"/>
      <c r="E545" s="41" t="n"/>
      <c r="F545" s="49" t="n"/>
      <c r="G545" s="41" t="n"/>
      <c r="H545" s="30">
        <f>IF(D545="","",IFERROR(INDEX(Config!$B$12:$B$15,MATCH(IF(AND(D545="Cartão de crédito",N(E545)&gt;1),"Cartão de crédito parcelado",D545),Config!$A$12:$A$15,0)),0)+IF(AND(Config!$B$17="Sim",LEFT(D545,17)="Cartão de crédito"),Config!$B$18*IFERROR(INDEX(Config!$C$12:$C$15,MATCH(IF(AND(D545="Cartão de crédito",N(E545)&gt;1),"Cartão de crédito parcelado",D545),Config!$A$12:$A$15,0)),0)/30*MAX(1,N(E545)),0))</f>
        <v/>
      </c>
      <c r="I545" s="29">
        <f>IF(OR(D545="",F545=""),"",ROUND(F545*H545,2))</f>
        <v/>
      </c>
      <c r="J545" s="29">
        <f>IF(I545="","",F545-I545)</f>
        <v/>
      </c>
      <c r="K545" s="37">
        <f>IF(OR(D545="",A545=""),"",A545+IF(AND(Config!$B$17="Sim",LEFT(D545,17)="Cartão de crédito"),1,IFERROR(INDEX(Config!$C$12:$C$15,MATCH(IF(AND(D545="Cartão de crédito",N(E545)&gt;1),"Cartão de crédito parcelado",D545),Config!$A$12:$A$15,0)),0)))</f>
        <v/>
      </c>
      <c r="L545" s="27">
        <f>IF(A545="","",MONTH(A545))</f>
        <v/>
      </c>
      <c r="M545" s="27">
        <f>IF(A545="","",YEAR(A545))</f>
        <v/>
      </c>
      <c r="N545" s="27">
        <f>IF(K545="","",IF(G545="Sim","Conferido",IF(K545&gt;Config!$B$8,"A cair","A conferir")))</f>
        <v/>
      </c>
      <c r="O545" s="50">
        <f>IF(N545="A conferir",(Config!$B$8-K545)*1000+N(F545)/1000+ROW()/100000,0)</f>
        <v>0</v>
      </c>
    </row>
    <row r="546">
      <c r="A546" s="48" t="n"/>
      <c r="B546" s="40" t="n"/>
      <c r="C546" s="40" t="n"/>
      <c r="D546" s="41" t="n"/>
      <c r="E546" s="41" t="n"/>
      <c r="F546" s="49" t="n"/>
      <c r="G546" s="41" t="n"/>
      <c r="H546" s="30">
        <f>IF(D546="","",IFERROR(INDEX(Config!$B$12:$B$15,MATCH(IF(AND(D546="Cartão de crédito",N(E546)&gt;1),"Cartão de crédito parcelado",D546),Config!$A$12:$A$15,0)),0)+IF(AND(Config!$B$17="Sim",LEFT(D546,17)="Cartão de crédito"),Config!$B$18*IFERROR(INDEX(Config!$C$12:$C$15,MATCH(IF(AND(D546="Cartão de crédito",N(E546)&gt;1),"Cartão de crédito parcelado",D546),Config!$A$12:$A$15,0)),0)/30*MAX(1,N(E546)),0))</f>
        <v/>
      </c>
      <c r="I546" s="29">
        <f>IF(OR(D546="",F546=""),"",ROUND(F546*H546,2))</f>
        <v/>
      </c>
      <c r="J546" s="29">
        <f>IF(I546="","",F546-I546)</f>
        <v/>
      </c>
      <c r="K546" s="37">
        <f>IF(OR(D546="",A546=""),"",A546+IF(AND(Config!$B$17="Sim",LEFT(D546,17)="Cartão de crédito"),1,IFERROR(INDEX(Config!$C$12:$C$15,MATCH(IF(AND(D546="Cartão de crédito",N(E546)&gt;1),"Cartão de crédito parcelado",D546),Config!$A$12:$A$15,0)),0)))</f>
        <v/>
      </c>
      <c r="L546" s="27">
        <f>IF(A546="","",MONTH(A546))</f>
        <v/>
      </c>
      <c r="M546" s="27">
        <f>IF(A546="","",YEAR(A546))</f>
        <v/>
      </c>
      <c r="N546" s="27">
        <f>IF(K546="","",IF(G546="Sim","Conferido",IF(K546&gt;Config!$B$8,"A cair","A conferir")))</f>
        <v/>
      </c>
      <c r="O546" s="50">
        <f>IF(N546="A conferir",(Config!$B$8-K546)*1000+N(F546)/1000+ROW()/100000,0)</f>
        <v>0</v>
      </c>
    </row>
    <row r="547">
      <c r="A547" s="48" t="n"/>
      <c r="B547" s="40" t="n"/>
      <c r="C547" s="40" t="n"/>
      <c r="D547" s="41" t="n"/>
      <c r="E547" s="41" t="n"/>
      <c r="F547" s="49" t="n"/>
      <c r="G547" s="41" t="n"/>
      <c r="H547" s="30">
        <f>IF(D547="","",IFERROR(INDEX(Config!$B$12:$B$15,MATCH(IF(AND(D547="Cartão de crédito",N(E547)&gt;1),"Cartão de crédito parcelado",D547),Config!$A$12:$A$15,0)),0)+IF(AND(Config!$B$17="Sim",LEFT(D547,17)="Cartão de crédito"),Config!$B$18*IFERROR(INDEX(Config!$C$12:$C$15,MATCH(IF(AND(D547="Cartão de crédito",N(E547)&gt;1),"Cartão de crédito parcelado",D547),Config!$A$12:$A$15,0)),0)/30*MAX(1,N(E547)),0))</f>
        <v/>
      </c>
      <c r="I547" s="29">
        <f>IF(OR(D547="",F547=""),"",ROUND(F547*H547,2))</f>
        <v/>
      </c>
      <c r="J547" s="29">
        <f>IF(I547="","",F547-I547)</f>
        <v/>
      </c>
      <c r="K547" s="37">
        <f>IF(OR(D547="",A547=""),"",A547+IF(AND(Config!$B$17="Sim",LEFT(D547,17)="Cartão de crédito"),1,IFERROR(INDEX(Config!$C$12:$C$15,MATCH(IF(AND(D547="Cartão de crédito",N(E547)&gt;1),"Cartão de crédito parcelado",D547),Config!$A$12:$A$15,0)),0)))</f>
        <v/>
      </c>
      <c r="L547" s="27">
        <f>IF(A547="","",MONTH(A547))</f>
        <v/>
      </c>
      <c r="M547" s="27">
        <f>IF(A547="","",YEAR(A547))</f>
        <v/>
      </c>
      <c r="N547" s="27">
        <f>IF(K547="","",IF(G547="Sim","Conferido",IF(K547&gt;Config!$B$8,"A cair","A conferir")))</f>
        <v/>
      </c>
      <c r="O547" s="50">
        <f>IF(N547="A conferir",(Config!$B$8-K547)*1000+N(F547)/1000+ROW()/100000,0)</f>
        <v>0</v>
      </c>
    </row>
    <row r="548">
      <c r="A548" s="48" t="n"/>
      <c r="B548" s="40" t="n"/>
      <c r="C548" s="40" t="n"/>
      <c r="D548" s="41" t="n"/>
      <c r="E548" s="41" t="n"/>
      <c r="F548" s="49" t="n"/>
      <c r="G548" s="41" t="n"/>
      <c r="H548" s="30">
        <f>IF(D548="","",IFERROR(INDEX(Config!$B$12:$B$15,MATCH(IF(AND(D548="Cartão de crédito",N(E548)&gt;1),"Cartão de crédito parcelado",D548),Config!$A$12:$A$15,0)),0)+IF(AND(Config!$B$17="Sim",LEFT(D548,17)="Cartão de crédito"),Config!$B$18*IFERROR(INDEX(Config!$C$12:$C$15,MATCH(IF(AND(D548="Cartão de crédito",N(E548)&gt;1),"Cartão de crédito parcelado",D548),Config!$A$12:$A$15,0)),0)/30*MAX(1,N(E548)),0))</f>
        <v/>
      </c>
      <c r="I548" s="29">
        <f>IF(OR(D548="",F548=""),"",ROUND(F548*H548,2))</f>
        <v/>
      </c>
      <c r="J548" s="29">
        <f>IF(I548="","",F548-I548)</f>
        <v/>
      </c>
      <c r="K548" s="37">
        <f>IF(OR(D548="",A548=""),"",A548+IF(AND(Config!$B$17="Sim",LEFT(D548,17)="Cartão de crédito"),1,IFERROR(INDEX(Config!$C$12:$C$15,MATCH(IF(AND(D548="Cartão de crédito",N(E548)&gt;1),"Cartão de crédito parcelado",D548),Config!$A$12:$A$15,0)),0)))</f>
        <v/>
      </c>
      <c r="L548" s="27">
        <f>IF(A548="","",MONTH(A548))</f>
        <v/>
      </c>
      <c r="M548" s="27">
        <f>IF(A548="","",YEAR(A548))</f>
        <v/>
      </c>
      <c r="N548" s="27">
        <f>IF(K548="","",IF(G548="Sim","Conferido",IF(K548&gt;Config!$B$8,"A cair","A conferir")))</f>
        <v/>
      </c>
      <c r="O548" s="50">
        <f>IF(N548="A conferir",(Config!$B$8-K548)*1000+N(F548)/1000+ROW()/100000,0)</f>
        <v>0</v>
      </c>
    </row>
    <row r="549">
      <c r="A549" s="48" t="n"/>
      <c r="B549" s="40" t="n"/>
      <c r="C549" s="40" t="n"/>
      <c r="D549" s="41" t="n"/>
      <c r="E549" s="41" t="n"/>
      <c r="F549" s="49" t="n"/>
      <c r="G549" s="41" t="n"/>
      <c r="H549" s="30">
        <f>IF(D549="","",IFERROR(INDEX(Config!$B$12:$B$15,MATCH(IF(AND(D549="Cartão de crédito",N(E549)&gt;1),"Cartão de crédito parcelado",D549),Config!$A$12:$A$15,0)),0)+IF(AND(Config!$B$17="Sim",LEFT(D549,17)="Cartão de crédito"),Config!$B$18*IFERROR(INDEX(Config!$C$12:$C$15,MATCH(IF(AND(D549="Cartão de crédito",N(E549)&gt;1),"Cartão de crédito parcelado",D549),Config!$A$12:$A$15,0)),0)/30*MAX(1,N(E549)),0))</f>
        <v/>
      </c>
      <c r="I549" s="29">
        <f>IF(OR(D549="",F549=""),"",ROUND(F549*H549,2))</f>
        <v/>
      </c>
      <c r="J549" s="29">
        <f>IF(I549="","",F549-I549)</f>
        <v/>
      </c>
      <c r="K549" s="37">
        <f>IF(OR(D549="",A549=""),"",A549+IF(AND(Config!$B$17="Sim",LEFT(D549,17)="Cartão de crédito"),1,IFERROR(INDEX(Config!$C$12:$C$15,MATCH(IF(AND(D549="Cartão de crédito",N(E549)&gt;1),"Cartão de crédito parcelado",D549),Config!$A$12:$A$15,0)),0)))</f>
        <v/>
      </c>
      <c r="L549" s="27">
        <f>IF(A549="","",MONTH(A549))</f>
        <v/>
      </c>
      <c r="M549" s="27">
        <f>IF(A549="","",YEAR(A549))</f>
        <v/>
      </c>
      <c r="N549" s="27">
        <f>IF(K549="","",IF(G549="Sim","Conferido",IF(K549&gt;Config!$B$8,"A cair","A conferir")))</f>
        <v/>
      </c>
      <c r="O549" s="50">
        <f>IF(N549="A conferir",(Config!$B$8-K549)*1000+N(F549)/1000+ROW()/100000,0)</f>
        <v>0</v>
      </c>
    </row>
    <row r="550">
      <c r="A550" s="48" t="n"/>
      <c r="B550" s="40" t="n"/>
      <c r="C550" s="40" t="n"/>
      <c r="D550" s="41" t="n"/>
      <c r="E550" s="41" t="n"/>
      <c r="F550" s="49" t="n"/>
      <c r="G550" s="41" t="n"/>
      <c r="H550" s="30">
        <f>IF(D550="","",IFERROR(INDEX(Config!$B$12:$B$15,MATCH(IF(AND(D550="Cartão de crédito",N(E550)&gt;1),"Cartão de crédito parcelado",D550),Config!$A$12:$A$15,0)),0)+IF(AND(Config!$B$17="Sim",LEFT(D550,17)="Cartão de crédito"),Config!$B$18*IFERROR(INDEX(Config!$C$12:$C$15,MATCH(IF(AND(D550="Cartão de crédito",N(E550)&gt;1),"Cartão de crédito parcelado",D550),Config!$A$12:$A$15,0)),0)/30*MAX(1,N(E550)),0))</f>
        <v/>
      </c>
      <c r="I550" s="29">
        <f>IF(OR(D550="",F550=""),"",ROUND(F550*H550,2))</f>
        <v/>
      </c>
      <c r="J550" s="29">
        <f>IF(I550="","",F550-I550)</f>
        <v/>
      </c>
      <c r="K550" s="37">
        <f>IF(OR(D550="",A550=""),"",A550+IF(AND(Config!$B$17="Sim",LEFT(D550,17)="Cartão de crédito"),1,IFERROR(INDEX(Config!$C$12:$C$15,MATCH(IF(AND(D550="Cartão de crédito",N(E550)&gt;1),"Cartão de crédito parcelado",D550),Config!$A$12:$A$15,0)),0)))</f>
        <v/>
      </c>
      <c r="L550" s="27">
        <f>IF(A550="","",MONTH(A550))</f>
        <v/>
      </c>
      <c r="M550" s="27">
        <f>IF(A550="","",YEAR(A550))</f>
        <v/>
      </c>
      <c r="N550" s="27">
        <f>IF(K550="","",IF(G550="Sim","Conferido",IF(K550&gt;Config!$B$8,"A cair","A conferir")))</f>
        <v/>
      </c>
      <c r="O550" s="50">
        <f>IF(N550="A conferir",(Config!$B$8-K550)*1000+N(F550)/1000+ROW()/100000,0)</f>
        <v>0</v>
      </c>
    </row>
    <row r="551">
      <c r="A551" s="48" t="n"/>
      <c r="B551" s="40" t="n"/>
      <c r="C551" s="40" t="n"/>
      <c r="D551" s="41" t="n"/>
      <c r="E551" s="41" t="n"/>
      <c r="F551" s="49" t="n"/>
      <c r="G551" s="41" t="n"/>
      <c r="H551" s="30">
        <f>IF(D551="","",IFERROR(INDEX(Config!$B$12:$B$15,MATCH(IF(AND(D551="Cartão de crédito",N(E551)&gt;1),"Cartão de crédito parcelado",D551),Config!$A$12:$A$15,0)),0)+IF(AND(Config!$B$17="Sim",LEFT(D551,17)="Cartão de crédito"),Config!$B$18*IFERROR(INDEX(Config!$C$12:$C$15,MATCH(IF(AND(D551="Cartão de crédito",N(E551)&gt;1),"Cartão de crédito parcelado",D551),Config!$A$12:$A$15,0)),0)/30*MAX(1,N(E551)),0))</f>
        <v/>
      </c>
      <c r="I551" s="29">
        <f>IF(OR(D551="",F551=""),"",ROUND(F551*H551,2))</f>
        <v/>
      </c>
      <c r="J551" s="29">
        <f>IF(I551="","",F551-I551)</f>
        <v/>
      </c>
      <c r="K551" s="37">
        <f>IF(OR(D551="",A551=""),"",A551+IF(AND(Config!$B$17="Sim",LEFT(D551,17)="Cartão de crédito"),1,IFERROR(INDEX(Config!$C$12:$C$15,MATCH(IF(AND(D551="Cartão de crédito",N(E551)&gt;1),"Cartão de crédito parcelado",D551),Config!$A$12:$A$15,0)),0)))</f>
        <v/>
      </c>
      <c r="L551" s="27">
        <f>IF(A551="","",MONTH(A551))</f>
        <v/>
      </c>
      <c r="M551" s="27">
        <f>IF(A551="","",YEAR(A551))</f>
        <v/>
      </c>
      <c r="N551" s="27">
        <f>IF(K551="","",IF(G551="Sim","Conferido",IF(K551&gt;Config!$B$8,"A cair","A conferir")))</f>
        <v/>
      </c>
      <c r="O551" s="50">
        <f>IF(N551="A conferir",(Config!$B$8-K551)*1000+N(F551)/1000+ROW()/100000,0)</f>
        <v>0</v>
      </c>
    </row>
    <row r="552">
      <c r="A552" s="48" t="n"/>
      <c r="B552" s="40" t="n"/>
      <c r="C552" s="40" t="n"/>
      <c r="D552" s="41" t="n"/>
      <c r="E552" s="41" t="n"/>
      <c r="F552" s="49" t="n"/>
      <c r="G552" s="41" t="n"/>
      <c r="H552" s="30">
        <f>IF(D552="","",IFERROR(INDEX(Config!$B$12:$B$15,MATCH(IF(AND(D552="Cartão de crédito",N(E552)&gt;1),"Cartão de crédito parcelado",D552),Config!$A$12:$A$15,0)),0)+IF(AND(Config!$B$17="Sim",LEFT(D552,17)="Cartão de crédito"),Config!$B$18*IFERROR(INDEX(Config!$C$12:$C$15,MATCH(IF(AND(D552="Cartão de crédito",N(E552)&gt;1),"Cartão de crédito parcelado",D552),Config!$A$12:$A$15,0)),0)/30*MAX(1,N(E552)),0))</f>
        <v/>
      </c>
      <c r="I552" s="29">
        <f>IF(OR(D552="",F552=""),"",ROUND(F552*H552,2))</f>
        <v/>
      </c>
      <c r="J552" s="29">
        <f>IF(I552="","",F552-I552)</f>
        <v/>
      </c>
      <c r="K552" s="37">
        <f>IF(OR(D552="",A552=""),"",A552+IF(AND(Config!$B$17="Sim",LEFT(D552,17)="Cartão de crédito"),1,IFERROR(INDEX(Config!$C$12:$C$15,MATCH(IF(AND(D552="Cartão de crédito",N(E552)&gt;1),"Cartão de crédito parcelado",D552),Config!$A$12:$A$15,0)),0)))</f>
        <v/>
      </c>
      <c r="L552" s="27">
        <f>IF(A552="","",MONTH(A552))</f>
        <v/>
      </c>
      <c r="M552" s="27">
        <f>IF(A552="","",YEAR(A552))</f>
        <v/>
      </c>
      <c r="N552" s="27">
        <f>IF(K552="","",IF(G552="Sim","Conferido",IF(K552&gt;Config!$B$8,"A cair","A conferir")))</f>
        <v/>
      </c>
      <c r="O552" s="50">
        <f>IF(N552="A conferir",(Config!$B$8-K552)*1000+N(F552)/1000+ROW()/100000,0)</f>
        <v>0</v>
      </c>
    </row>
    <row r="553">
      <c r="A553" s="48" t="n"/>
      <c r="B553" s="40" t="n"/>
      <c r="C553" s="40" t="n"/>
      <c r="D553" s="41" t="n"/>
      <c r="E553" s="41" t="n"/>
      <c r="F553" s="49" t="n"/>
      <c r="G553" s="41" t="n"/>
      <c r="H553" s="30">
        <f>IF(D553="","",IFERROR(INDEX(Config!$B$12:$B$15,MATCH(IF(AND(D553="Cartão de crédito",N(E553)&gt;1),"Cartão de crédito parcelado",D553),Config!$A$12:$A$15,0)),0)+IF(AND(Config!$B$17="Sim",LEFT(D553,17)="Cartão de crédito"),Config!$B$18*IFERROR(INDEX(Config!$C$12:$C$15,MATCH(IF(AND(D553="Cartão de crédito",N(E553)&gt;1),"Cartão de crédito parcelado",D553),Config!$A$12:$A$15,0)),0)/30*MAX(1,N(E553)),0))</f>
        <v/>
      </c>
      <c r="I553" s="29">
        <f>IF(OR(D553="",F553=""),"",ROUND(F553*H553,2))</f>
        <v/>
      </c>
      <c r="J553" s="29">
        <f>IF(I553="","",F553-I553)</f>
        <v/>
      </c>
      <c r="K553" s="37">
        <f>IF(OR(D553="",A553=""),"",A553+IF(AND(Config!$B$17="Sim",LEFT(D553,17)="Cartão de crédito"),1,IFERROR(INDEX(Config!$C$12:$C$15,MATCH(IF(AND(D553="Cartão de crédito",N(E553)&gt;1),"Cartão de crédito parcelado",D553),Config!$A$12:$A$15,0)),0)))</f>
        <v/>
      </c>
      <c r="L553" s="27">
        <f>IF(A553="","",MONTH(A553))</f>
        <v/>
      </c>
      <c r="M553" s="27">
        <f>IF(A553="","",YEAR(A553))</f>
        <v/>
      </c>
      <c r="N553" s="27">
        <f>IF(K553="","",IF(G553="Sim","Conferido",IF(K553&gt;Config!$B$8,"A cair","A conferir")))</f>
        <v/>
      </c>
      <c r="O553" s="50">
        <f>IF(N553="A conferir",(Config!$B$8-K553)*1000+N(F553)/1000+ROW()/100000,0)</f>
        <v>0</v>
      </c>
    </row>
    <row r="554">
      <c r="A554" s="48" t="n"/>
      <c r="B554" s="40" t="n"/>
      <c r="C554" s="40" t="n"/>
      <c r="D554" s="41" t="n"/>
      <c r="E554" s="41" t="n"/>
      <c r="F554" s="49" t="n"/>
      <c r="G554" s="41" t="n"/>
      <c r="H554" s="30">
        <f>IF(D554="","",IFERROR(INDEX(Config!$B$12:$B$15,MATCH(IF(AND(D554="Cartão de crédito",N(E554)&gt;1),"Cartão de crédito parcelado",D554),Config!$A$12:$A$15,0)),0)+IF(AND(Config!$B$17="Sim",LEFT(D554,17)="Cartão de crédito"),Config!$B$18*IFERROR(INDEX(Config!$C$12:$C$15,MATCH(IF(AND(D554="Cartão de crédito",N(E554)&gt;1),"Cartão de crédito parcelado",D554),Config!$A$12:$A$15,0)),0)/30*MAX(1,N(E554)),0))</f>
        <v/>
      </c>
      <c r="I554" s="29">
        <f>IF(OR(D554="",F554=""),"",ROUND(F554*H554,2))</f>
        <v/>
      </c>
      <c r="J554" s="29">
        <f>IF(I554="","",F554-I554)</f>
        <v/>
      </c>
      <c r="K554" s="37">
        <f>IF(OR(D554="",A554=""),"",A554+IF(AND(Config!$B$17="Sim",LEFT(D554,17)="Cartão de crédito"),1,IFERROR(INDEX(Config!$C$12:$C$15,MATCH(IF(AND(D554="Cartão de crédito",N(E554)&gt;1),"Cartão de crédito parcelado",D554),Config!$A$12:$A$15,0)),0)))</f>
        <v/>
      </c>
      <c r="L554" s="27">
        <f>IF(A554="","",MONTH(A554))</f>
        <v/>
      </c>
      <c r="M554" s="27">
        <f>IF(A554="","",YEAR(A554))</f>
        <v/>
      </c>
      <c r="N554" s="27">
        <f>IF(K554="","",IF(G554="Sim","Conferido",IF(K554&gt;Config!$B$8,"A cair","A conferir")))</f>
        <v/>
      </c>
      <c r="O554" s="50">
        <f>IF(N554="A conferir",(Config!$B$8-K554)*1000+N(F554)/1000+ROW()/100000,0)</f>
        <v>0</v>
      </c>
    </row>
    <row r="555">
      <c r="A555" s="48" t="n"/>
      <c r="B555" s="40" t="n"/>
      <c r="C555" s="40" t="n"/>
      <c r="D555" s="41" t="n"/>
      <c r="E555" s="41" t="n"/>
      <c r="F555" s="49" t="n"/>
      <c r="G555" s="41" t="n"/>
      <c r="H555" s="30">
        <f>IF(D555="","",IFERROR(INDEX(Config!$B$12:$B$15,MATCH(IF(AND(D555="Cartão de crédito",N(E555)&gt;1),"Cartão de crédito parcelado",D555),Config!$A$12:$A$15,0)),0)+IF(AND(Config!$B$17="Sim",LEFT(D555,17)="Cartão de crédito"),Config!$B$18*IFERROR(INDEX(Config!$C$12:$C$15,MATCH(IF(AND(D555="Cartão de crédito",N(E555)&gt;1),"Cartão de crédito parcelado",D555),Config!$A$12:$A$15,0)),0)/30*MAX(1,N(E555)),0))</f>
        <v/>
      </c>
      <c r="I555" s="29">
        <f>IF(OR(D555="",F555=""),"",ROUND(F555*H555,2))</f>
        <v/>
      </c>
      <c r="J555" s="29">
        <f>IF(I555="","",F555-I555)</f>
        <v/>
      </c>
      <c r="K555" s="37">
        <f>IF(OR(D555="",A555=""),"",A555+IF(AND(Config!$B$17="Sim",LEFT(D555,17)="Cartão de crédito"),1,IFERROR(INDEX(Config!$C$12:$C$15,MATCH(IF(AND(D555="Cartão de crédito",N(E555)&gt;1),"Cartão de crédito parcelado",D555),Config!$A$12:$A$15,0)),0)))</f>
        <v/>
      </c>
      <c r="L555" s="27">
        <f>IF(A555="","",MONTH(A555))</f>
        <v/>
      </c>
      <c r="M555" s="27">
        <f>IF(A555="","",YEAR(A555))</f>
        <v/>
      </c>
      <c r="N555" s="27">
        <f>IF(K555="","",IF(G555="Sim","Conferido",IF(K555&gt;Config!$B$8,"A cair","A conferir")))</f>
        <v/>
      </c>
      <c r="O555" s="50">
        <f>IF(N555="A conferir",(Config!$B$8-K555)*1000+N(F555)/1000+ROW()/100000,0)</f>
        <v>0</v>
      </c>
    </row>
    <row r="556">
      <c r="A556" s="48" t="n"/>
      <c r="B556" s="40" t="n"/>
      <c r="C556" s="40" t="n"/>
      <c r="D556" s="41" t="n"/>
      <c r="E556" s="41" t="n"/>
      <c r="F556" s="49" t="n"/>
      <c r="G556" s="41" t="n"/>
      <c r="H556" s="30">
        <f>IF(D556="","",IFERROR(INDEX(Config!$B$12:$B$15,MATCH(IF(AND(D556="Cartão de crédito",N(E556)&gt;1),"Cartão de crédito parcelado",D556),Config!$A$12:$A$15,0)),0)+IF(AND(Config!$B$17="Sim",LEFT(D556,17)="Cartão de crédito"),Config!$B$18*IFERROR(INDEX(Config!$C$12:$C$15,MATCH(IF(AND(D556="Cartão de crédito",N(E556)&gt;1),"Cartão de crédito parcelado",D556),Config!$A$12:$A$15,0)),0)/30*MAX(1,N(E556)),0))</f>
        <v/>
      </c>
      <c r="I556" s="29">
        <f>IF(OR(D556="",F556=""),"",ROUND(F556*H556,2))</f>
        <v/>
      </c>
      <c r="J556" s="29">
        <f>IF(I556="","",F556-I556)</f>
        <v/>
      </c>
      <c r="K556" s="37">
        <f>IF(OR(D556="",A556=""),"",A556+IF(AND(Config!$B$17="Sim",LEFT(D556,17)="Cartão de crédito"),1,IFERROR(INDEX(Config!$C$12:$C$15,MATCH(IF(AND(D556="Cartão de crédito",N(E556)&gt;1),"Cartão de crédito parcelado",D556),Config!$A$12:$A$15,0)),0)))</f>
        <v/>
      </c>
      <c r="L556" s="27">
        <f>IF(A556="","",MONTH(A556))</f>
        <v/>
      </c>
      <c r="M556" s="27">
        <f>IF(A556="","",YEAR(A556))</f>
        <v/>
      </c>
      <c r="N556" s="27">
        <f>IF(K556="","",IF(G556="Sim","Conferido",IF(K556&gt;Config!$B$8,"A cair","A conferir")))</f>
        <v/>
      </c>
      <c r="O556" s="50">
        <f>IF(N556="A conferir",(Config!$B$8-K556)*1000+N(F556)/1000+ROW()/100000,0)</f>
        <v>0</v>
      </c>
    </row>
    <row r="557">
      <c r="A557" s="48" t="n"/>
      <c r="B557" s="40" t="n"/>
      <c r="C557" s="40" t="n"/>
      <c r="D557" s="41" t="n"/>
      <c r="E557" s="41" t="n"/>
      <c r="F557" s="49" t="n"/>
      <c r="G557" s="41" t="n"/>
      <c r="H557" s="30">
        <f>IF(D557="","",IFERROR(INDEX(Config!$B$12:$B$15,MATCH(IF(AND(D557="Cartão de crédito",N(E557)&gt;1),"Cartão de crédito parcelado",D557),Config!$A$12:$A$15,0)),0)+IF(AND(Config!$B$17="Sim",LEFT(D557,17)="Cartão de crédito"),Config!$B$18*IFERROR(INDEX(Config!$C$12:$C$15,MATCH(IF(AND(D557="Cartão de crédito",N(E557)&gt;1),"Cartão de crédito parcelado",D557),Config!$A$12:$A$15,0)),0)/30*MAX(1,N(E557)),0))</f>
        <v/>
      </c>
      <c r="I557" s="29">
        <f>IF(OR(D557="",F557=""),"",ROUND(F557*H557,2))</f>
        <v/>
      </c>
      <c r="J557" s="29">
        <f>IF(I557="","",F557-I557)</f>
        <v/>
      </c>
      <c r="K557" s="37">
        <f>IF(OR(D557="",A557=""),"",A557+IF(AND(Config!$B$17="Sim",LEFT(D557,17)="Cartão de crédito"),1,IFERROR(INDEX(Config!$C$12:$C$15,MATCH(IF(AND(D557="Cartão de crédito",N(E557)&gt;1),"Cartão de crédito parcelado",D557),Config!$A$12:$A$15,0)),0)))</f>
        <v/>
      </c>
      <c r="L557" s="27">
        <f>IF(A557="","",MONTH(A557))</f>
        <v/>
      </c>
      <c r="M557" s="27">
        <f>IF(A557="","",YEAR(A557))</f>
        <v/>
      </c>
      <c r="N557" s="27">
        <f>IF(K557="","",IF(G557="Sim","Conferido",IF(K557&gt;Config!$B$8,"A cair","A conferir")))</f>
        <v/>
      </c>
      <c r="O557" s="50">
        <f>IF(N557="A conferir",(Config!$B$8-K557)*1000+N(F557)/1000+ROW()/100000,0)</f>
        <v>0</v>
      </c>
    </row>
    <row r="558">
      <c r="A558" s="48" t="n"/>
      <c r="B558" s="40" t="n"/>
      <c r="C558" s="40" t="n"/>
      <c r="D558" s="41" t="n"/>
      <c r="E558" s="41" t="n"/>
      <c r="F558" s="49" t="n"/>
      <c r="G558" s="41" t="n"/>
      <c r="H558" s="30">
        <f>IF(D558="","",IFERROR(INDEX(Config!$B$12:$B$15,MATCH(IF(AND(D558="Cartão de crédito",N(E558)&gt;1),"Cartão de crédito parcelado",D558),Config!$A$12:$A$15,0)),0)+IF(AND(Config!$B$17="Sim",LEFT(D558,17)="Cartão de crédito"),Config!$B$18*IFERROR(INDEX(Config!$C$12:$C$15,MATCH(IF(AND(D558="Cartão de crédito",N(E558)&gt;1),"Cartão de crédito parcelado",D558),Config!$A$12:$A$15,0)),0)/30*MAX(1,N(E558)),0))</f>
        <v/>
      </c>
      <c r="I558" s="29">
        <f>IF(OR(D558="",F558=""),"",ROUND(F558*H558,2))</f>
        <v/>
      </c>
      <c r="J558" s="29">
        <f>IF(I558="","",F558-I558)</f>
        <v/>
      </c>
      <c r="K558" s="37">
        <f>IF(OR(D558="",A558=""),"",A558+IF(AND(Config!$B$17="Sim",LEFT(D558,17)="Cartão de crédito"),1,IFERROR(INDEX(Config!$C$12:$C$15,MATCH(IF(AND(D558="Cartão de crédito",N(E558)&gt;1),"Cartão de crédito parcelado",D558),Config!$A$12:$A$15,0)),0)))</f>
        <v/>
      </c>
      <c r="L558" s="27">
        <f>IF(A558="","",MONTH(A558))</f>
        <v/>
      </c>
      <c r="M558" s="27">
        <f>IF(A558="","",YEAR(A558))</f>
        <v/>
      </c>
      <c r="N558" s="27">
        <f>IF(K558="","",IF(G558="Sim","Conferido",IF(K558&gt;Config!$B$8,"A cair","A conferir")))</f>
        <v/>
      </c>
      <c r="O558" s="50">
        <f>IF(N558="A conferir",(Config!$B$8-K558)*1000+N(F558)/1000+ROW()/100000,0)</f>
        <v>0</v>
      </c>
    </row>
    <row r="559">
      <c r="A559" s="48" t="n"/>
      <c r="B559" s="40" t="n"/>
      <c r="C559" s="40" t="n"/>
      <c r="D559" s="41" t="n"/>
      <c r="E559" s="41" t="n"/>
      <c r="F559" s="49" t="n"/>
      <c r="G559" s="41" t="n"/>
      <c r="H559" s="30">
        <f>IF(D559="","",IFERROR(INDEX(Config!$B$12:$B$15,MATCH(IF(AND(D559="Cartão de crédito",N(E559)&gt;1),"Cartão de crédito parcelado",D559),Config!$A$12:$A$15,0)),0)+IF(AND(Config!$B$17="Sim",LEFT(D559,17)="Cartão de crédito"),Config!$B$18*IFERROR(INDEX(Config!$C$12:$C$15,MATCH(IF(AND(D559="Cartão de crédito",N(E559)&gt;1),"Cartão de crédito parcelado",D559),Config!$A$12:$A$15,0)),0)/30*MAX(1,N(E559)),0))</f>
        <v/>
      </c>
      <c r="I559" s="29">
        <f>IF(OR(D559="",F559=""),"",ROUND(F559*H559,2))</f>
        <v/>
      </c>
      <c r="J559" s="29">
        <f>IF(I559="","",F559-I559)</f>
        <v/>
      </c>
      <c r="K559" s="37">
        <f>IF(OR(D559="",A559=""),"",A559+IF(AND(Config!$B$17="Sim",LEFT(D559,17)="Cartão de crédito"),1,IFERROR(INDEX(Config!$C$12:$C$15,MATCH(IF(AND(D559="Cartão de crédito",N(E559)&gt;1),"Cartão de crédito parcelado",D559),Config!$A$12:$A$15,0)),0)))</f>
        <v/>
      </c>
      <c r="L559" s="27">
        <f>IF(A559="","",MONTH(A559))</f>
        <v/>
      </c>
      <c r="M559" s="27">
        <f>IF(A559="","",YEAR(A559))</f>
        <v/>
      </c>
      <c r="N559" s="27">
        <f>IF(K559="","",IF(G559="Sim","Conferido",IF(K559&gt;Config!$B$8,"A cair","A conferir")))</f>
        <v/>
      </c>
      <c r="O559" s="50">
        <f>IF(N559="A conferir",(Config!$B$8-K559)*1000+N(F559)/1000+ROW()/100000,0)</f>
        <v>0</v>
      </c>
    </row>
    <row r="560">
      <c r="A560" s="48" t="n"/>
      <c r="B560" s="40" t="n"/>
      <c r="C560" s="40" t="n"/>
      <c r="D560" s="41" t="n"/>
      <c r="E560" s="41" t="n"/>
      <c r="F560" s="49" t="n"/>
      <c r="G560" s="41" t="n"/>
      <c r="H560" s="30">
        <f>IF(D560="","",IFERROR(INDEX(Config!$B$12:$B$15,MATCH(IF(AND(D560="Cartão de crédito",N(E560)&gt;1),"Cartão de crédito parcelado",D560),Config!$A$12:$A$15,0)),0)+IF(AND(Config!$B$17="Sim",LEFT(D560,17)="Cartão de crédito"),Config!$B$18*IFERROR(INDEX(Config!$C$12:$C$15,MATCH(IF(AND(D560="Cartão de crédito",N(E560)&gt;1),"Cartão de crédito parcelado",D560),Config!$A$12:$A$15,0)),0)/30*MAX(1,N(E560)),0))</f>
        <v/>
      </c>
      <c r="I560" s="29">
        <f>IF(OR(D560="",F560=""),"",ROUND(F560*H560,2))</f>
        <v/>
      </c>
      <c r="J560" s="29">
        <f>IF(I560="","",F560-I560)</f>
        <v/>
      </c>
      <c r="K560" s="37">
        <f>IF(OR(D560="",A560=""),"",A560+IF(AND(Config!$B$17="Sim",LEFT(D560,17)="Cartão de crédito"),1,IFERROR(INDEX(Config!$C$12:$C$15,MATCH(IF(AND(D560="Cartão de crédito",N(E560)&gt;1),"Cartão de crédito parcelado",D560),Config!$A$12:$A$15,0)),0)))</f>
        <v/>
      </c>
      <c r="L560" s="27">
        <f>IF(A560="","",MONTH(A560))</f>
        <v/>
      </c>
      <c r="M560" s="27">
        <f>IF(A560="","",YEAR(A560))</f>
        <v/>
      </c>
      <c r="N560" s="27">
        <f>IF(K560="","",IF(G560="Sim","Conferido",IF(K560&gt;Config!$B$8,"A cair","A conferir")))</f>
        <v/>
      </c>
      <c r="O560" s="50">
        <f>IF(N560="A conferir",(Config!$B$8-K560)*1000+N(F560)/1000+ROW()/100000,0)</f>
        <v>0</v>
      </c>
    </row>
    <row r="561">
      <c r="A561" s="48" t="n"/>
      <c r="B561" s="40" t="n"/>
      <c r="C561" s="40" t="n"/>
      <c r="D561" s="41" t="n"/>
      <c r="E561" s="41" t="n"/>
      <c r="F561" s="49" t="n"/>
      <c r="G561" s="41" t="n"/>
      <c r="H561" s="30">
        <f>IF(D561="","",IFERROR(INDEX(Config!$B$12:$B$15,MATCH(IF(AND(D561="Cartão de crédito",N(E561)&gt;1),"Cartão de crédito parcelado",D561),Config!$A$12:$A$15,0)),0)+IF(AND(Config!$B$17="Sim",LEFT(D561,17)="Cartão de crédito"),Config!$B$18*IFERROR(INDEX(Config!$C$12:$C$15,MATCH(IF(AND(D561="Cartão de crédito",N(E561)&gt;1),"Cartão de crédito parcelado",D561),Config!$A$12:$A$15,0)),0)/30*MAX(1,N(E561)),0))</f>
        <v/>
      </c>
      <c r="I561" s="29">
        <f>IF(OR(D561="",F561=""),"",ROUND(F561*H561,2))</f>
        <v/>
      </c>
      <c r="J561" s="29">
        <f>IF(I561="","",F561-I561)</f>
        <v/>
      </c>
      <c r="K561" s="37">
        <f>IF(OR(D561="",A561=""),"",A561+IF(AND(Config!$B$17="Sim",LEFT(D561,17)="Cartão de crédito"),1,IFERROR(INDEX(Config!$C$12:$C$15,MATCH(IF(AND(D561="Cartão de crédito",N(E561)&gt;1),"Cartão de crédito parcelado",D561),Config!$A$12:$A$15,0)),0)))</f>
        <v/>
      </c>
      <c r="L561" s="27">
        <f>IF(A561="","",MONTH(A561))</f>
        <v/>
      </c>
      <c r="M561" s="27">
        <f>IF(A561="","",YEAR(A561))</f>
        <v/>
      </c>
      <c r="N561" s="27">
        <f>IF(K561="","",IF(G561="Sim","Conferido",IF(K561&gt;Config!$B$8,"A cair","A conferir")))</f>
        <v/>
      </c>
      <c r="O561" s="50">
        <f>IF(N561="A conferir",(Config!$B$8-K561)*1000+N(F561)/1000+ROW()/100000,0)</f>
        <v>0</v>
      </c>
    </row>
    <row r="562">
      <c r="A562" s="48" t="n"/>
      <c r="B562" s="40" t="n"/>
      <c r="C562" s="40" t="n"/>
      <c r="D562" s="41" t="n"/>
      <c r="E562" s="41" t="n"/>
      <c r="F562" s="49" t="n"/>
      <c r="G562" s="41" t="n"/>
      <c r="H562" s="30">
        <f>IF(D562="","",IFERROR(INDEX(Config!$B$12:$B$15,MATCH(IF(AND(D562="Cartão de crédito",N(E562)&gt;1),"Cartão de crédito parcelado",D562),Config!$A$12:$A$15,0)),0)+IF(AND(Config!$B$17="Sim",LEFT(D562,17)="Cartão de crédito"),Config!$B$18*IFERROR(INDEX(Config!$C$12:$C$15,MATCH(IF(AND(D562="Cartão de crédito",N(E562)&gt;1),"Cartão de crédito parcelado",D562),Config!$A$12:$A$15,0)),0)/30*MAX(1,N(E562)),0))</f>
        <v/>
      </c>
      <c r="I562" s="29">
        <f>IF(OR(D562="",F562=""),"",ROUND(F562*H562,2))</f>
        <v/>
      </c>
      <c r="J562" s="29">
        <f>IF(I562="","",F562-I562)</f>
        <v/>
      </c>
      <c r="K562" s="37">
        <f>IF(OR(D562="",A562=""),"",A562+IF(AND(Config!$B$17="Sim",LEFT(D562,17)="Cartão de crédito"),1,IFERROR(INDEX(Config!$C$12:$C$15,MATCH(IF(AND(D562="Cartão de crédito",N(E562)&gt;1),"Cartão de crédito parcelado",D562),Config!$A$12:$A$15,0)),0)))</f>
        <v/>
      </c>
      <c r="L562" s="27">
        <f>IF(A562="","",MONTH(A562))</f>
        <v/>
      </c>
      <c r="M562" s="27">
        <f>IF(A562="","",YEAR(A562))</f>
        <v/>
      </c>
      <c r="N562" s="27">
        <f>IF(K562="","",IF(G562="Sim","Conferido",IF(K562&gt;Config!$B$8,"A cair","A conferir")))</f>
        <v/>
      </c>
      <c r="O562" s="50">
        <f>IF(N562="A conferir",(Config!$B$8-K562)*1000+N(F562)/1000+ROW()/100000,0)</f>
        <v>0</v>
      </c>
    </row>
    <row r="563">
      <c r="A563" s="48" t="n"/>
      <c r="B563" s="40" t="n"/>
      <c r="C563" s="40" t="n"/>
      <c r="D563" s="41" t="n"/>
      <c r="E563" s="41" t="n"/>
      <c r="F563" s="49" t="n"/>
      <c r="G563" s="41" t="n"/>
      <c r="H563" s="30">
        <f>IF(D563="","",IFERROR(INDEX(Config!$B$12:$B$15,MATCH(IF(AND(D563="Cartão de crédito",N(E563)&gt;1),"Cartão de crédito parcelado",D563),Config!$A$12:$A$15,0)),0)+IF(AND(Config!$B$17="Sim",LEFT(D563,17)="Cartão de crédito"),Config!$B$18*IFERROR(INDEX(Config!$C$12:$C$15,MATCH(IF(AND(D563="Cartão de crédito",N(E563)&gt;1),"Cartão de crédito parcelado",D563),Config!$A$12:$A$15,0)),0)/30*MAX(1,N(E563)),0))</f>
        <v/>
      </c>
      <c r="I563" s="29">
        <f>IF(OR(D563="",F563=""),"",ROUND(F563*H563,2))</f>
        <v/>
      </c>
      <c r="J563" s="29">
        <f>IF(I563="","",F563-I563)</f>
        <v/>
      </c>
      <c r="K563" s="37">
        <f>IF(OR(D563="",A563=""),"",A563+IF(AND(Config!$B$17="Sim",LEFT(D563,17)="Cartão de crédito"),1,IFERROR(INDEX(Config!$C$12:$C$15,MATCH(IF(AND(D563="Cartão de crédito",N(E563)&gt;1),"Cartão de crédito parcelado",D563),Config!$A$12:$A$15,0)),0)))</f>
        <v/>
      </c>
      <c r="L563" s="27">
        <f>IF(A563="","",MONTH(A563))</f>
        <v/>
      </c>
      <c r="M563" s="27">
        <f>IF(A563="","",YEAR(A563))</f>
        <v/>
      </c>
      <c r="N563" s="27">
        <f>IF(K563="","",IF(G563="Sim","Conferido",IF(K563&gt;Config!$B$8,"A cair","A conferir")))</f>
        <v/>
      </c>
      <c r="O563" s="50">
        <f>IF(N563="A conferir",(Config!$B$8-K563)*1000+N(F563)/1000+ROW()/100000,0)</f>
        <v>0</v>
      </c>
    </row>
    <row r="564">
      <c r="A564" s="48" t="n"/>
      <c r="B564" s="40" t="n"/>
      <c r="C564" s="40" t="n"/>
      <c r="D564" s="41" t="n"/>
      <c r="E564" s="41" t="n"/>
      <c r="F564" s="49" t="n"/>
      <c r="G564" s="41" t="n"/>
      <c r="H564" s="30">
        <f>IF(D564="","",IFERROR(INDEX(Config!$B$12:$B$15,MATCH(IF(AND(D564="Cartão de crédito",N(E564)&gt;1),"Cartão de crédito parcelado",D564),Config!$A$12:$A$15,0)),0)+IF(AND(Config!$B$17="Sim",LEFT(D564,17)="Cartão de crédito"),Config!$B$18*IFERROR(INDEX(Config!$C$12:$C$15,MATCH(IF(AND(D564="Cartão de crédito",N(E564)&gt;1),"Cartão de crédito parcelado",D564),Config!$A$12:$A$15,0)),0)/30*MAX(1,N(E564)),0))</f>
        <v/>
      </c>
      <c r="I564" s="29">
        <f>IF(OR(D564="",F564=""),"",ROUND(F564*H564,2))</f>
        <v/>
      </c>
      <c r="J564" s="29">
        <f>IF(I564="","",F564-I564)</f>
        <v/>
      </c>
      <c r="K564" s="37">
        <f>IF(OR(D564="",A564=""),"",A564+IF(AND(Config!$B$17="Sim",LEFT(D564,17)="Cartão de crédito"),1,IFERROR(INDEX(Config!$C$12:$C$15,MATCH(IF(AND(D564="Cartão de crédito",N(E564)&gt;1),"Cartão de crédito parcelado",D564),Config!$A$12:$A$15,0)),0)))</f>
        <v/>
      </c>
      <c r="L564" s="27">
        <f>IF(A564="","",MONTH(A564))</f>
        <v/>
      </c>
      <c r="M564" s="27">
        <f>IF(A564="","",YEAR(A564))</f>
        <v/>
      </c>
      <c r="N564" s="27">
        <f>IF(K564="","",IF(G564="Sim","Conferido",IF(K564&gt;Config!$B$8,"A cair","A conferir")))</f>
        <v/>
      </c>
      <c r="O564" s="50">
        <f>IF(N564="A conferir",(Config!$B$8-K564)*1000+N(F564)/1000+ROW()/100000,0)</f>
        <v>0</v>
      </c>
    </row>
    <row r="565">
      <c r="A565" s="48" t="n"/>
      <c r="B565" s="40" t="n"/>
      <c r="C565" s="40" t="n"/>
      <c r="D565" s="41" t="n"/>
      <c r="E565" s="41" t="n"/>
      <c r="F565" s="49" t="n"/>
      <c r="G565" s="41" t="n"/>
      <c r="H565" s="30">
        <f>IF(D565="","",IFERROR(INDEX(Config!$B$12:$B$15,MATCH(IF(AND(D565="Cartão de crédito",N(E565)&gt;1),"Cartão de crédito parcelado",D565),Config!$A$12:$A$15,0)),0)+IF(AND(Config!$B$17="Sim",LEFT(D565,17)="Cartão de crédito"),Config!$B$18*IFERROR(INDEX(Config!$C$12:$C$15,MATCH(IF(AND(D565="Cartão de crédito",N(E565)&gt;1),"Cartão de crédito parcelado",D565),Config!$A$12:$A$15,0)),0)/30*MAX(1,N(E565)),0))</f>
        <v/>
      </c>
      <c r="I565" s="29">
        <f>IF(OR(D565="",F565=""),"",ROUND(F565*H565,2))</f>
        <v/>
      </c>
      <c r="J565" s="29">
        <f>IF(I565="","",F565-I565)</f>
        <v/>
      </c>
      <c r="K565" s="37">
        <f>IF(OR(D565="",A565=""),"",A565+IF(AND(Config!$B$17="Sim",LEFT(D565,17)="Cartão de crédito"),1,IFERROR(INDEX(Config!$C$12:$C$15,MATCH(IF(AND(D565="Cartão de crédito",N(E565)&gt;1),"Cartão de crédito parcelado",D565),Config!$A$12:$A$15,0)),0)))</f>
        <v/>
      </c>
      <c r="L565" s="27">
        <f>IF(A565="","",MONTH(A565))</f>
        <v/>
      </c>
      <c r="M565" s="27">
        <f>IF(A565="","",YEAR(A565))</f>
        <v/>
      </c>
      <c r="N565" s="27">
        <f>IF(K565="","",IF(G565="Sim","Conferido",IF(K565&gt;Config!$B$8,"A cair","A conferir")))</f>
        <v/>
      </c>
      <c r="O565" s="50">
        <f>IF(N565="A conferir",(Config!$B$8-K565)*1000+N(F565)/1000+ROW()/100000,0)</f>
        <v>0</v>
      </c>
    </row>
    <row r="566">
      <c r="A566" s="48" t="n"/>
      <c r="B566" s="40" t="n"/>
      <c r="C566" s="40" t="n"/>
      <c r="D566" s="41" t="n"/>
      <c r="E566" s="41" t="n"/>
      <c r="F566" s="49" t="n"/>
      <c r="G566" s="41" t="n"/>
      <c r="H566" s="30">
        <f>IF(D566="","",IFERROR(INDEX(Config!$B$12:$B$15,MATCH(IF(AND(D566="Cartão de crédito",N(E566)&gt;1),"Cartão de crédito parcelado",D566),Config!$A$12:$A$15,0)),0)+IF(AND(Config!$B$17="Sim",LEFT(D566,17)="Cartão de crédito"),Config!$B$18*IFERROR(INDEX(Config!$C$12:$C$15,MATCH(IF(AND(D566="Cartão de crédito",N(E566)&gt;1),"Cartão de crédito parcelado",D566),Config!$A$12:$A$15,0)),0)/30*MAX(1,N(E566)),0))</f>
        <v/>
      </c>
      <c r="I566" s="29">
        <f>IF(OR(D566="",F566=""),"",ROUND(F566*H566,2))</f>
        <v/>
      </c>
      <c r="J566" s="29">
        <f>IF(I566="","",F566-I566)</f>
        <v/>
      </c>
      <c r="K566" s="37">
        <f>IF(OR(D566="",A566=""),"",A566+IF(AND(Config!$B$17="Sim",LEFT(D566,17)="Cartão de crédito"),1,IFERROR(INDEX(Config!$C$12:$C$15,MATCH(IF(AND(D566="Cartão de crédito",N(E566)&gt;1),"Cartão de crédito parcelado",D566),Config!$A$12:$A$15,0)),0)))</f>
        <v/>
      </c>
      <c r="L566" s="27">
        <f>IF(A566="","",MONTH(A566))</f>
        <v/>
      </c>
      <c r="M566" s="27">
        <f>IF(A566="","",YEAR(A566))</f>
        <v/>
      </c>
      <c r="N566" s="27">
        <f>IF(K566="","",IF(G566="Sim","Conferido",IF(K566&gt;Config!$B$8,"A cair","A conferir")))</f>
        <v/>
      </c>
      <c r="O566" s="50">
        <f>IF(N566="A conferir",(Config!$B$8-K566)*1000+N(F566)/1000+ROW()/100000,0)</f>
        <v>0</v>
      </c>
    </row>
    <row r="567">
      <c r="A567" s="48" t="n"/>
      <c r="B567" s="40" t="n"/>
      <c r="C567" s="40" t="n"/>
      <c r="D567" s="41" t="n"/>
      <c r="E567" s="41" t="n"/>
      <c r="F567" s="49" t="n"/>
      <c r="G567" s="41" t="n"/>
      <c r="H567" s="30">
        <f>IF(D567="","",IFERROR(INDEX(Config!$B$12:$B$15,MATCH(IF(AND(D567="Cartão de crédito",N(E567)&gt;1),"Cartão de crédito parcelado",D567),Config!$A$12:$A$15,0)),0)+IF(AND(Config!$B$17="Sim",LEFT(D567,17)="Cartão de crédito"),Config!$B$18*IFERROR(INDEX(Config!$C$12:$C$15,MATCH(IF(AND(D567="Cartão de crédito",N(E567)&gt;1),"Cartão de crédito parcelado",D567),Config!$A$12:$A$15,0)),0)/30*MAX(1,N(E567)),0))</f>
        <v/>
      </c>
      <c r="I567" s="29">
        <f>IF(OR(D567="",F567=""),"",ROUND(F567*H567,2))</f>
        <v/>
      </c>
      <c r="J567" s="29">
        <f>IF(I567="","",F567-I567)</f>
        <v/>
      </c>
      <c r="K567" s="37">
        <f>IF(OR(D567="",A567=""),"",A567+IF(AND(Config!$B$17="Sim",LEFT(D567,17)="Cartão de crédito"),1,IFERROR(INDEX(Config!$C$12:$C$15,MATCH(IF(AND(D567="Cartão de crédito",N(E567)&gt;1),"Cartão de crédito parcelado",D567),Config!$A$12:$A$15,0)),0)))</f>
        <v/>
      </c>
      <c r="L567" s="27">
        <f>IF(A567="","",MONTH(A567))</f>
        <v/>
      </c>
      <c r="M567" s="27">
        <f>IF(A567="","",YEAR(A567))</f>
        <v/>
      </c>
      <c r="N567" s="27">
        <f>IF(K567="","",IF(G567="Sim","Conferido",IF(K567&gt;Config!$B$8,"A cair","A conferir")))</f>
        <v/>
      </c>
      <c r="O567" s="50">
        <f>IF(N567="A conferir",(Config!$B$8-K567)*1000+N(F567)/1000+ROW()/100000,0)</f>
        <v>0</v>
      </c>
    </row>
    <row r="568">
      <c r="A568" s="48" t="n"/>
      <c r="B568" s="40" t="n"/>
      <c r="C568" s="40" t="n"/>
      <c r="D568" s="41" t="n"/>
      <c r="E568" s="41" t="n"/>
      <c r="F568" s="49" t="n"/>
      <c r="G568" s="41" t="n"/>
      <c r="H568" s="30">
        <f>IF(D568="","",IFERROR(INDEX(Config!$B$12:$B$15,MATCH(IF(AND(D568="Cartão de crédito",N(E568)&gt;1),"Cartão de crédito parcelado",D568),Config!$A$12:$A$15,0)),0)+IF(AND(Config!$B$17="Sim",LEFT(D568,17)="Cartão de crédito"),Config!$B$18*IFERROR(INDEX(Config!$C$12:$C$15,MATCH(IF(AND(D568="Cartão de crédito",N(E568)&gt;1),"Cartão de crédito parcelado",D568),Config!$A$12:$A$15,0)),0)/30*MAX(1,N(E568)),0))</f>
        <v/>
      </c>
      <c r="I568" s="29">
        <f>IF(OR(D568="",F568=""),"",ROUND(F568*H568,2))</f>
        <v/>
      </c>
      <c r="J568" s="29">
        <f>IF(I568="","",F568-I568)</f>
        <v/>
      </c>
      <c r="K568" s="37">
        <f>IF(OR(D568="",A568=""),"",A568+IF(AND(Config!$B$17="Sim",LEFT(D568,17)="Cartão de crédito"),1,IFERROR(INDEX(Config!$C$12:$C$15,MATCH(IF(AND(D568="Cartão de crédito",N(E568)&gt;1),"Cartão de crédito parcelado",D568),Config!$A$12:$A$15,0)),0)))</f>
        <v/>
      </c>
      <c r="L568" s="27">
        <f>IF(A568="","",MONTH(A568))</f>
        <v/>
      </c>
      <c r="M568" s="27">
        <f>IF(A568="","",YEAR(A568))</f>
        <v/>
      </c>
      <c r="N568" s="27">
        <f>IF(K568="","",IF(G568="Sim","Conferido",IF(K568&gt;Config!$B$8,"A cair","A conferir")))</f>
        <v/>
      </c>
      <c r="O568" s="50">
        <f>IF(N568="A conferir",(Config!$B$8-K568)*1000+N(F568)/1000+ROW()/100000,0)</f>
        <v>0</v>
      </c>
    </row>
    <row r="569">
      <c r="A569" s="48" t="n"/>
      <c r="B569" s="40" t="n"/>
      <c r="C569" s="40" t="n"/>
      <c r="D569" s="41" t="n"/>
      <c r="E569" s="41" t="n"/>
      <c r="F569" s="49" t="n"/>
      <c r="G569" s="41" t="n"/>
      <c r="H569" s="30">
        <f>IF(D569="","",IFERROR(INDEX(Config!$B$12:$B$15,MATCH(IF(AND(D569="Cartão de crédito",N(E569)&gt;1),"Cartão de crédito parcelado",D569),Config!$A$12:$A$15,0)),0)+IF(AND(Config!$B$17="Sim",LEFT(D569,17)="Cartão de crédito"),Config!$B$18*IFERROR(INDEX(Config!$C$12:$C$15,MATCH(IF(AND(D569="Cartão de crédito",N(E569)&gt;1),"Cartão de crédito parcelado",D569),Config!$A$12:$A$15,0)),0)/30*MAX(1,N(E569)),0))</f>
        <v/>
      </c>
      <c r="I569" s="29">
        <f>IF(OR(D569="",F569=""),"",ROUND(F569*H569,2))</f>
        <v/>
      </c>
      <c r="J569" s="29">
        <f>IF(I569="","",F569-I569)</f>
        <v/>
      </c>
      <c r="K569" s="37">
        <f>IF(OR(D569="",A569=""),"",A569+IF(AND(Config!$B$17="Sim",LEFT(D569,17)="Cartão de crédito"),1,IFERROR(INDEX(Config!$C$12:$C$15,MATCH(IF(AND(D569="Cartão de crédito",N(E569)&gt;1),"Cartão de crédito parcelado",D569),Config!$A$12:$A$15,0)),0)))</f>
        <v/>
      </c>
      <c r="L569" s="27">
        <f>IF(A569="","",MONTH(A569))</f>
        <v/>
      </c>
      <c r="M569" s="27">
        <f>IF(A569="","",YEAR(A569))</f>
        <v/>
      </c>
      <c r="N569" s="27">
        <f>IF(K569="","",IF(G569="Sim","Conferido",IF(K569&gt;Config!$B$8,"A cair","A conferir")))</f>
        <v/>
      </c>
      <c r="O569" s="50">
        <f>IF(N569="A conferir",(Config!$B$8-K569)*1000+N(F569)/1000+ROW()/100000,0)</f>
        <v>0</v>
      </c>
    </row>
    <row r="570">
      <c r="A570" s="48" t="n"/>
      <c r="B570" s="40" t="n"/>
      <c r="C570" s="40" t="n"/>
      <c r="D570" s="41" t="n"/>
      <c r="E570" s="41" t="n"/>
      <c r="F570" s="49" t="n"/>
      <c r="G570" s="41" t="n"/>
      <c r="H570" s="30">
        <f>IF(D570="","",IFERROR(INDEX(Config!$B$12:$B$15,MATCH(IF(AND(D570="Cartão de crédito",N(E570)&gt;1),"Cartão de crédito parcelado",D570),Config!$A$12:$A$15,0)),0)+IF(AND(Config!$B$17="Sim",LEFT(D570,17)="Cartão de crédito"),Config!$B$18*IFERROR(INDEX(Config!$C$12:$C$15,MATCH(IF(AND(D570="Cartão de crédito",N(E570)&gt;1),"Cartão de crédito parcelado",D570),Config!$A$12:$A$15,0)),0)/30*MAX(1,N(E570)),0))</f>
        <v/>
      </c>
      <c r="I570" s="29">
        <f>IF(OR(D570="",F570=""),"",ROUND(F570*H570,2))</f>
        <v/>
      </c>
      <c r="J570" s="29">
        <f>IF(I570="","",F570-I570)</f>
        <v/>
      </c>
      <c r="K570" s="37">
        <f>IF(OR(D570="",A570=""),"",A570+IF(AND(Config!$B$17="Sim",LEFT(D570,17)="Cartão de crédito"),1,IFERROR(INDEX(Config!$C$12:$C$15,MATCH(IF(AND(D570="Cartão de crédito",N(E570)&gt;1),"Cartão de crédito parcelado",D570),Config!$A$12:$A$15,0)),0)))</f>
        <v/>
      </c>
      <c r="L570" s="27">
        <f>IF(A570="","",MONTH(A570))</f>
        <v/>
      </c>
      <c r="M570" s="27">
        <f>IF(A570="","",YEAR(A570))</f>
        <v/>
      </c>
      <c r="N570" s="27">
        <f>IF(K570="","",IF(G570="Sim","Conferido",IF(K570&gt;Config!$B$8,"A cair","A conferir")))</f>
        <v/>
      </c>
      <c r="O570" s="50">
        <f>IF(N570="A conferir",(Config!$B$8-K570)*1000+N(F570)/1000+ROW()/100000,0)</f>
        <v>0</v>
      </c>
    </row>
    <row r="571">
      <c r="A571" s="48" t="n"/>
      <c r="B571" s="40" t="n"/>
      <c r="C571" s="40" t="n"/>
      <c r="D571" s="41" t="n"/>
      <c r="E571" s="41" t="n"/>
      <c r="F571" s="49" t="n"/>
      <c r="G571" s="41" t="n"/>
      <c r="H571" s="30">
        <f>IF(D571="","",IFERROR(INDEX(Config!$B$12:$B$15,MATCH(IF(AND(D571="Cartão de crédito",N(E571)&gt;1),"Cartão de crédito parcelado",D571),Config!$A$12:$A$15,0)),0)+IF(AND(Config!$B$17="Sim",LEFT(D571,17)="Cartão de crédito"),Config!$B$18*IFERROR(INDEX(Config!$C$12:$C$15,MATCH(IF(AND(D571="Cartão de crédito",N(E571)&gt;1),"Cartão de crédito parcelado",D571),Config!$A$12:$A$15,0)),0)/30*MAX(1,N(E571)),0))</f>
        <v/>
      </c>
      <c r="I571" s="29">
        <f>IF(OR(D571="",F571=""),"",ROUND(F571*H571,2))</f>
        <v/>
      </c>
      <c r="J571" s="29">
        <f>IF(I571="","",F571-I571)</f>
        <v/>
      </c>
      <c r="K571" s="37">
        <f>IF(OR(D571="",A571=""),"",A571+IF(AND(Config!$B$17="Sim",LEFT(D571,17)="Cartão de crédito"),1,IFERROR(INDEX(Config!$C$12:$C$15,MATCH(IF(AND(D571="Cartão de crédito",N(E571)&gt;1),"Cartão de crédito parcelado",D571),Config!$A$12:$A$15,0)),0)))</f>
        <v/>
      </c>
      <c r="L571" s="27">
        <f>IF(A571="","",MONTH(A571))</f>
        <v/>
      </c>
      <c r="M571" s="27">
        <f>IF(A571="","",YEAR(A571))</f>
        <v/>
      </c>
      <c r="N571" s="27">
        <f>IF(K571="","",IF(G571="Sim","Conferido",IF(K571&gt;Config!$B$8,"A cair","A conferir")))</f>
        <v/>
      </c>
      <c r="O571" s="50">
        <f>IF(N571="A conferir",(Config!$B$8-K571)*1000+N(F571)/1000+ROW()/100000,0)</f>
        <v>0</v>
      </c>
    </row>
    <row r="572">
      <c r="A572" s="48" t="n"/>
      <c r="B572" s="40" t="n"/>
      <c r="C572" s="40" t="n"/>
      <c r="D572" s="41" t="n"/>
      <c r="E572" s="41" t="n"/>
      <c r="F572" s="49" t="n"/>
      <c r="G572" s="41" t="n"/>
      <c r="H572" s="30">
        <f>IF(D572="","",IFERROR(INDEX(Config!$B$12:$B$15,MATCH(IF(AND(D572="Cartão de crédito",N(E572)&gt;1),"Cartão de crédito parcelado",D572),Config!$A$12:$A$15,0)),0)+IF(AND(Config!$B$17="Sim",LEFT(D572,17)="Cartão de crédito"),Config!$B$18*IFERROR(INDEX(Config!$C$12:$C$15,MATCH(IF(AND(D572="Cartão de crédito",N(E572)&gt;1),"Cartão de crédito parcelado",D572),Config!$A$12:$A$15,0)),0)/30*MAX(1,N(E572)),0))</f>
        <v/>
      </c>
      <c r="I572" s="29">
        <f>IF(OR(D572="",F572=""),"",ROUND(F572*H572,2))</f>
        <v/>
      </c>
      <c r="J572" s="29">
        <f>IF(I572="","",F572-I572)</f>
        <v/>
      </c>
      <c r="K572" s="37">
        <f>IF(OR(D572="",A572=""),"",A572+IF(AND(Config!$B$17="Sim",LEFT(D572,17)="Cartão de crédito"),1,IFERROR(INDEX(Config!$C$12:$C$15,MATCH(IF(AND(D572="Cartão de crédito",N(E572)&gt;1),"Cartão de crédito parcelado",D572),Config!$A$12:$A$15,0)),0)))</f>
        <v/>
      </c>
      <c r="L572" s="27">
        <f>IF(A572="","",MONTH(A572))</f>
        <v/>
      </c>
      <c r="M572" s="27">
        <f>IF(A572="","",YEAR(A572))</f>
        <v/>
      </c>
      <c r="N572" s="27">
        <f>IF(K572="","",IF(G572="Sim","Conferido",IF(K572&gt;Config!$B$8,"A cair","A conferir")))</f>
        <v/>
      </c>
      <c r="O572" s="50">
        <f>IF(N572="A conferir",(Config!$B$8-K572)*1000+N(F572)/1000+ROW()/100000,0)</f>
        <v>0</v>
      </c>
    </row>
    <row r="573">
      <c r="A573" s="48" t="n"/>
      <c r="B573" s="40" t="n"/>
      <c r="C573" s="40" t="n"/>
      <c r="D573" s="41" t="n"/>
      <c r="E573" s="41" t="n"/>
      <c r="F573" s="49" t="n"/>
      <c r="G573" s="41" t="n"/>
      <c r="H573" s="30">
        <f>IF(D573="","",IFERROR(INDEX(Config!$B$12:$B$15,MATCH(IF(AND(D573="Cartão de crédito",N(E573)&gt;1),"Cartão de crédito parcelado",D573),Config!$A$12:$A$15,0)),0)+IF(AND(Config!$B$17="Sim",LEFT(D573,17)="Cartão de crédito"),Config!$B$18*IFERROR(INDEX(Config!$C$12:$C$15,MATCH(IF(AND(D573="Cartão de crédito",N(E573)&gt;1),"Cartão de crédito parcelado",D573),Config!$A$12:$A$15,0)),0)/30*MAX(1,N(E573)),0))</f>
        <v/>
      </c>
      <c r="I573" s="29">
        <f>IF(OR(D573="",F573=""),"",ROUND(F573*H573,2))</f>
        <v/>
      </c>
      <c r="J573" s="29">
        <f>IF(I573="","",F573-I573)</f>
        <v/>
      </c>
      <c r="K573" s="37">
        <f>IF(OR(D573="",A573=""),"",A573+IF(AND(Config!$B$17="Sim",LEFT(D573,17)="Cartão de crédito"),1,IFERROR(INDEX(Config!$C$12:$C$15,MATCH(IF(AND(D573="Cartão de crédito",N(E573)&gt;1),"Cartão de crédito parcelado",D573),Config!$A$12:$A$15,0)),0)))</f>
        <v/>
      </c>
      <c r="L573" s="27">
        <f>IF(A573="","",MONTH(A573))</f>
        <v/>
      </c>
      <c r="M573" s="27">
        <f>IF(A573="","",YEAR(A573))</f>
        <v/>
      </c>
      <c r="N573" s="27">
        <f>IF(K573="","",IF(G573="Sim","Conferido",IF(K573&gt;Config!$B$8,"A cair","A conferir")))</f>
        <v/>
      </c>
      <c r="O573" s="50">
        <f>IF(N573="A conferir",(Config!$B$8-K573)*1000+N(F573)/1000+ROW()/100000,0)</f>
        <v>0</v>
      </c>
    </row>
    <row r="574">
      <c r="A574" s="48" t="n"/>
      <c r="B574" s="40" t="n"/>
      <c r="C574" s="40" t="n"/>
      <c r="D574" s="41" t="n"/>
      <c r="E574" s="41" t="n"/>
      <c r="F574" s="49" t="n"/>
      <c r="G574" s="41" t="n"/>
      <c r="H574" s="30">
        <f>IF(D574="","",IFERROR(INDEX(Config!$B$12:$B$15,MATCH(IF(AND(D574="Cartão de crédito",N(E574)&gt;1),"Cartão de crédito parcelado",D574),Config!$A$12:$A$15,0)),0)+IF(AND(Config!$B$17="Sim",LEFT(D574,17)="Cartão de crédito"),Config!$B$18*IFERROR(INDEX(Config!$C$12:$C$15,MATCH(IF(AND(D574="Cartão de crédito",N(E574)&gt;1),"Cartão de crédito parcelado",D574),Config!$A$12:$A$15,0)),0)/30*MAX(1,N(E574)),0))</f>
        <v/>
      </c>
      <c r="I574" s="29">
        <f>IF(OR(D574="",F574=""),"",ROUND(F574*H574,2))</f>
        <v/>
      </c>
      <c r="J574" s="29">
        <f>IF(I574="","",F574-I574)</f>
        <v/>
      </c>
      <c r="K574" s="37">
        <f>IF(OR(D574="",A574=""),"",A574+IF(AND(Config!$B$17="Sim",LEFT(D574,17)="Cartão de crédito"),1,IFERROR(INDEX(Config!$C$12:$C$15,MATCH(IF(AND(D574="Cartão de crédito",N(E574)&gt;1),"Cartão de crédito parcelado",D574),Config!$A$12:$A$15,0)),0)))</f>
        <v/>
      </c>
      <c r="L574" s="27">
        <f>IF(A574="","",MONTH(A574))</f>
        <v/>
      </c>
      <c r="M574" s="27">
        <f>IF(A574="","",YEAR(A574))</f>
        <v/>
      </c>
      <c r="N574" s="27">
        <f>IF(K574="","",IF(G574="Sim","Conferido",IF(K574&gt;Config!$B$8,"A cair","A conferir")))</f>
        <v/>
      </c>
      <c r="O574" s="50">
        <f>IF(N574="A conferir",(Config!$B$8-K574)*1000+N(F574)/1000+ROW()/100000,0)</f>
        <v>0</v>
      </c>
    </row>
    <row r="575">
      <c r="A575" s="48" t="n"/>
      <c r="B575" s="40" t="n"/>
      <c r="C575" s="40" t="n"/>
      <c r="D575" s="41" t="n"/>
      <c r="E575" s="41" t="n"/>
      <c r="F575" s="49" t="n"/>
      <c r="G575" s="41" t="n"/>
      <c r="H575" s="30">
        <f>IF(D575="","",IFERROR(INDEX(Config!$B$12:$B$15,MATCH(IF(AND(D575="Cartão de crédito",N(E575)&gt;1),"Cartão de crédito parcelado",D575),Config!$A$12:$A$15,0)),0)+IF(AND(Config!$B$17="Sim",LEFT(D575,17)="Cartão de crédito"),Config!$B$18*IFERROR(INDEX(Config!$C$12:$C$15,MATCH(IF(AND(D575="Cartão de crédito",N(E575)&gt;1),"Cartão de crédito parcelado",D575),Config!$A$12:$A$15,0)),0)/30*MAX(1,N(E575)),0))</f>
        <v/>
      </c>
      <c r="I575" s="29">
        <f>IF(OR(D575="",F575=""),"",ROUND(F575*H575,2))</f>
        <v/>
      </c>
      <c r="J575" s="29">
        <f>IF(I575="","",F575-I575)</f>
        <v/>
      </c>
      <c r="K575" s="37">
        <f>IF(OR(D575="",A575=""),"",A575+IF(AND(Config!$B$17="Sim",LEFT(D575,17)="Cartão de crédito"),1,IFERROR(INDEX(Config!$C$12:$C$15,MATCH(IF(AND(D575="Cartão de crédito",N(E575)&gt;1),"Cartão de crédito parcelado",D575),Config!$A$12:$A$15,0)),0)))</f>
        <v/>
      </c>
      <c r="L575" s="27">
        <f>IF(A575="","",MONTH(A575))</f>
        <v/>
      </c>
      <c r="M575" s="27">
        <f>IF(A575="","",YEAR(A575))</f>
        <v/>
      </c>
      <c r="N575" s="27">
        <f>IF(K575="","",IF(G575="Sim","Conferido",IF(K575&gt;Config!$B$8,"A cair","A conferir")))</f>
        <v/>
      </c>
      <c r="O575" s="50">
        <f>IF(N575="A conferir",(Config!$B$8-K575)*1000+N(F575)/1000+ROW()/100000,0)</f>
        <v>0</v>
      </c>
    </row>
    <row r="576">
      <c r="A576" s="48" t="n"/>
      <c r="B576" s="40" t="n"/>
      <c r="C576" s="40" t="n"/>
      <c r="D576" s="41" t="n"/>
      <c r="E576" s="41" t="n"/>
      <c r="F576" s="49" t="n"/>
      <c r="G576" s="41" t="n"/>
      <c r="H576" s="30">
        <f>IF(D576="","",IFERROR(INDEX(Config!$B$12:$B$15,MATCH(IF(AND(D576="Cartão de crédito",N(E576)&gt;1),"Cartão de crédito parcelado",D576),Config!$A$12:$A$15,0)),0)+IF(AND(Config!$B$17="Sim",LEFT(D576,17)="Cartão de crédito"),Config!$B$18*IFERROR(INDEX(Config!$C$12:$C$15,MATCH(IF(AND(D576="Cartão de crédito",N(E576)&gt;1),"Cartão de crédito parcelado",D576),Config!$A$12:$A$15,0)),0)/30*MAX(1,N(E576)),0))</f>
        <v/>
      </c>
      <c r="I576" s="29">
        <f>IF(OR(D576="",F576=""),"",ROUND(F576*H576,2))</f>
        <v/>
      </c>
      <c r="J576" s="29">
        <f>IF(I576="","",F576-I576)</f>
        <v/>
      </c>
      <c r="K576" s="37">
        <f>IF(OR(D576="",A576=""),"",A576+IF(AND(Config!$B$17="Sim",LEFT(D576,17)="Cartão de crédito"),1,IFERROR(INDEX(Config!$C$12:$C$15,MATCH(IF(AND(D576="Cartão de crédito",N(E576)&gt;1),"Cartão de crédito parcelado",D576),Config!$A$12:$A$15,0)),0)))</f>
        <v/>
      </c>
      <c r="L576" s="27">
        <f>IF(A576="","",MONTH(A576))</f>
        <v/>
      </c>
      <c r="M576" s="27">
        <f>IF(A576="","",YEAR(A576))</f>
        <v/>
      </c>
      <c r="N576" s="27">
        <f>IF(K576="","",IF(G576="Sim","Conferido",IF(K576&gt;Config!$B$8,"A cair","A conferir")))</f>
        <v/>
      </c>
      <c r="O576" s="50">
        <f>IF(N576="A conferir",(Config!$B$8-K576)*1000+N(F576)/1000+ROW()/100000,0)</f>
        <v>0</v>
      </c>
    </row>
    <row r="577">
      <c r="A577" s="48" t="n"/>
      <c r="B577" s="40" t="n"/>
      <c r="C577" s="40" t="n"/>
      <c r="D577" s="41" t="n"/>
      <c r="E577" s="41" t="n"/>
      <c r="F577" s="49" t="n"/>
      <c r="G577" s="41" t="n"/>
      <c r="H577" s="30">
        <f>IF(D577="","",IFERROR(INDEX(Config!$B$12:$B$15,MATCH(IF(AND(D577="Cartão de crédito",N(E577)&gt;1),"Cartão de crédito parcelado",D577),Config!$A$12:$A$15,0)),0)+IF(AND(Config!$B$17="Sim",LEFT(D577,17)="Cartão de crédito"),Config!$B$18*IFERROR(INDEX(Config!$C$12:$C$15,MATCH(IF(AND(D577="Cartão de crédito",N(E577)&gt;1),"Cartão de crédito parcelado",D577),Config!$A$12:$A$15,0)),0)/30*MAX(1,N(E577)),0))</f>
        <v/>
      </c>
      <c r="I577" s="29">
        <f>IF(OR(D577="",F577=""),"",ROUND(F577*H577,2))</f>
        <v/>
      </c>
      <c r="J577" s="29">
        <f>IF(I577="","",F577-I577)</f>
        <v/>
      </c>
      <c r="K577" s="37">
        <f>IF(OR(D577="",A577=""),"",A577+IF(AND(Config!$B$17="Sim",LEFT(D577,17)="Cartão de crédito"),1,IFERROR(INDEX(Config!$C$12:$C$15,MATCH(IF(AND(D577="Cartão de crédito",N(E577)&gt;1),"Cartão de crédito parcelado",D577),Config!$A$12:$A$15,0)),0)))</f>
        <v/>
      </c>
      <c r="L577" s="27">
        <f>IF(A577="","",MONTH(A577))</f>
        <v/>
      </c>
      <c r="M577" s="27">
        <f>IF(A577="","",YEAR(A577))</f>
        <v/>
      </c>
      <c r="N577" s="27">
        <f>IF(K577="","",IF(G577="Sim","Conferido",IF(K577&gt;Config!$B$8,"A cair","A conferir")))</f>
        <v/>
      </c>
      <c r="O577" s="50">
        <f>IF(N577="A conferir",(Config!$B$8-K577)*1000+N(F577)/1000+ROW()/100000,0)</f>
        <v>0</v>
      </c>
    </row>
    <row r="578">
      <c r="A578" s="48" t="n"/>
      <c r="B578" s="40" t="n"/>
      <c r="C578" s="40" t="n"/>
      <c r="D578" s="41" t="n"/>
      <c r="E578" s="41" t="n"/>
      <c r="F578" s="49" t="n"/>
      <c r="G578" s="41" t="n"/>
      <c r="H578" s="30">
        <f>IF(D578="","",IFERROR(INDEX(Config!$B$12:$B$15,MATCH(IF(AND(D578="Cartão de crédito",N(E578)&gt;1),"Cartão de crédito parcelado",D578),Config!$A$12:$A$15,0)),0)+IF(AND(Config!$B$17="Sim",LEFT(D578,17)="Cartão de crédito"),Config!$B$18*IFERROR(INDEX(Config!$C$12:$C$15,MATCH(IF(AND(D578="Cartão de crédito",N(E578)&gt;1),"Cartão de crédito parcelado",D578),Config!$A$12:$A$15,0)),0)/30*MAX(1,N(E578)),0))</f>
        <v/>
      </c>
      <c r="I578" s="29">
        <f>IF(OR(D578="",F578=""),"",ROUND(F578*H578,2))</f>
        <v/>
      </c>
      <c r="J578" s="29">
        <f>IF(I578="","",F578-I578)</f>
        <v/>
      </c>
      <c r="K578" s="37">
        <f>IF(OR(D578="",A578=""),"",A578+IF(AND(Config!$B$17="Sim",LEFT(D578,17)="Cartão de crédito"),1,IFERROR(INDEX(Config!$C$12:$C$15,MATCH(IF(AND(D578="Cartão de crédito",N(E578)&gt;1),"Cartão de crédito parcelado",D578),Config!$A$12:$A$15,0)),0)))</f>
        <v/>
      </c>
      <c r="L578" s="27">
        <f>IF(A578="","",MONTH(A578))</f>
        <v/>
      </c>
      <c r="M578" s="27">
        <f>IF(A578="","",YEAR(A578))</f>
        <v/>
      </c>
      <c r="N578" s="27">
        <f>IF(K578="","",IF(G578="Sim","Conferido",IF(K578&gt;Config!$B$8,"A cair","A conferir")))</f>
        <v/>
      </c>
      <c r="O578" s="50">
        <f>IF(N578="A conferir",(Config!$B$8-K578)*1000+N(F578)/1000+ROW()/100000,0)</f>
        <v>0</v>
      </c>
    </row>
    <row r="579">
      <c r="A579" s="48" t="n"/>
      <c r="B579" s="40" t="n"/>
      <c r="C579" s="40" t="n"/>
      <c r="D579" s="41" t="n"/>
      <c r="E579" s="41" t="n"/>
      <c r="F579" s="49" t="n"/>
      <c r="G579" s="41" t="n"/>
      <c r="H579" s="30">
        <f>IF(D579="","",IFERROR(INDEX(Config!$B$12:$B$15,MATCH(IF(AND(D579="Cartão de crédito",N(E579)&gt;1),"Cartão de crédito parcelado",D579),Config!$A$12:$A$15,0)),0)+IF(AND(Config!$B$17="Sim",LEFT(D579,17)="Cartão de crédito"),Config!$B$18*IFERROR(INDEX(Config!$C$12:$C$15,MATCH(IF(AND(D579="Cartão de crédito",N(E579)&gt;1),"Cartão de crédito parcelado",D579),Config!$A$12:$A$15,0)),0)/30*MAX(1,N(E579)),0))</f>
        <v/>
      </c>
      <c r="I579" s="29">
        <f>IF(OR(D579="",F579=""),"",ROUND(F579*H579,2))</f>
        <v/>
      </c>
      <c r="J579" s="29">
        <f>IF(I579="","",F579-I579)</f>
        <v/>
      </c>
      <c r="K579" s="37">
        <f>IF(OR(D579="",A579=""),"",A579+IF(AND(Config!$B$17="Sim",LEFT(D579,17)="Cartão de crédito"),1,IFERROR(INDEX(Config!$C$12:$C$15,MATCH(IF(AND(D579="Cartão de crédito",N(E579)&gt;1),"Cartão de crédito parcelado",D579),Config!$A$12:$A$15,0)),0)))</f>
        <v/>
      </c>
      <c r="L579" s="27">
        <f>IF(A579="","",MONTH(A579))</f>
        <v/>
      </c>
      <c r="M579" s="27">
        <f>IF(A579="","",YEAR(A579))</f>
        <v/>
      </c>
      <c r="N579" s="27">
        <f>IF(K579="","",IF(G579="Sim","Conferido",IF(K579&gt;Config!$B$8,"A cair","A conferir")))</f>
        <v/>
      </c>
      <c r="O579" s="50">
        <f>IF(N579="A conferir",(Config!$B$8-K579)*1000+N(F579)/1000+ROW()/100000,0)</f>
        <v>0</v>
      </c>
    </row>
    <row r="580">
      <c r="A580" s="48" t="n"/>
      <c r="B580" s="40" t="n"/>
      <c r="C580" s="40" t="n"/>
      <c r="D580" s="41" t="n"/>
      <c r="E580" s="41" t="n"/>
      <c r="F580" s="49" t="n"/>
      <c r="G580" s="41" t="n"/>
      <c r="H580" s="30">
        <f>IF(D580="","",IFERROR(INDEX(Config!$B$12:$B$15,MATCH(IF(AND(D580="Cartão de crédito",N(E580)&gt;1),"Cartão de crédito parcelado",D580),Config!$A$12:$A$15,0)),0)+IF(AND(Config!$B$17="Sim",LEFT(D580,17)="Cartão de crédito"),Config!$B$18*IFERROR(INDEX(Config!$C$12:$C$15,MATCH(IF(AND(D580="Cartão de crédito",N(E580)&gt;1),"Cartão de crédito parcelado",D580),Config!$A$12:$A$15,0)),0)/30*MAX(1,N(E580)),0))</f>
        <v/>
      </c>
      <c r="I580" s="29">
        <f>IF(OR(D580="",F580=""),"",ROUND(F580*H580,2))</f>
        <v/>
      </c>
      <c r="J580" s="29">
        <f>IF(I580="","",F580-I580)</f>
        <v/>
      </c>
      <c r="K580" s="37">
        <f>IF(OR(D580="",A580=""),"",A580+IF(AND(Config!$B$17="Sim",LEFT(D580,17)="Cartão de crédito"),1,IFERROR(INDEX(Config!$C$12:$C$15,MATCH(IF(AND(D580="Cartão de crédito",N(E580)&gt;1),"Cartão de crédito parcelado",D580),Config!$A$12:$A$15,0)),0)))</f>
        <v/>
      </c>
      <c r="L580" s="27">
        <f>IF(A580="","",MONTH(A580))</f>
        <v/>
      </c>
      <c r="M580" s="27">
        <f>IF(A580="","",YEAR(A580))</f>
        <v/>
      </c>
      <c r="N580" s="27">
        <f>IF(K580="","",IF(G580="Sim","Conferido",IF(K580&gt;Config!$B$8,"A cair","A conferir")))</f>
        <v/>
      </c>
      <c r="O580" s="50">
        <f>IF(N580="A conferir",(Config!$B$8-K580)*1000+N(F580)/1000+ROW()/100000,0)</f>
        <v>0</v>
      </c>
    </row>
    <row r="581">
      <c r="A581" s="48" t="n"/>
      <c r="B581" s="40" t="n"/>
      <c r="C581" s="40" t="n"/>
      <c r="D581" s="41" t="n"/>
      <c r="E581" s="41" t="n"/>
      <c r="F581" s="49" t="n"/>
      <c r="G581" s="41" t="n"/>
      <c r="H581" s="30">
        <f>IF(D581="","",IFERROR(INDEX(Config!$B$12:$B$15,MATCH(IF(AND(D581="Cartão de crédito",N(E581)&gt;1),"Cartão de crédito parcelado",D581),Config!$A$12:$A$15,0)),0)+IF(AND(Config!$B$17="Sim",LEFT(D581,17)="Cartão de crédito"),Config!$B$18*IFERROR(INDEX(Config!$C$12:$C$15,MATCH(IF(AND(D581="Cartão de crédito",N(E581)&gt;1),"Cartão de crédito parcelado",D581),Config!$A$12:$A$15,0)),0)/30*MAX(1,N(E581)),0))</f>
        <v/>
      </c>
      <c r="I581" s="29">
        <f>IF(OR(D581="",F581=""),"",ROUND(F581*H581,2))</f>
        <v/>
      </c>
      <c r="J581" s="29">
        <f>IF(I581="","",F581-I581)</f>
        <v/>
      </c>
      <c r="K581" s="37">
        <f>IF(OR(D581="",A581=""),"",A581+IF(AND(Config!$B$17="Sim",LEFT(D581,17)="Cartão de crédito"),1,IFERROR(INDEX(Config!$C$12:$C$15,MATCH(IF(AND(D581="Cartão de crédito",N(E581)&gt;1),"Cartão de crédito parcelado",D581),Config!$A$12:$A$15,0)),0)))</f>
        <v/>
      </c>
      <c r="L581" s="27">
        <f>IF(A581="","",MONTH(A581))</f>
        <v/>
      </c>
      <c r="M581" s="27">
        <f>IF(A581="","",YEAR(A581))</f>
        <v/>
      </c>
      <c r="N581" s="27">
        <f>IF(K581="","",IF(G581="Sim","Conferido",IF(K581&gt;Config!$B$8,"A cair","A conferir")))</f>
        <v/>
      </c>
      <c r="O581" s="50">
        <f>IF(N581="A conferir",(Config!$B$8-K581)*1000+N(F581)/1000+ROW()/100000,0)</f>
        <v>0</v>
      </c>
    </row>
    <row r="582">
      <c r="A582" s="48" t="n"/>
      <c r="B582" s="40" t="n"/>
      <c r="C582" s="40" t="n"/>
      <c r="D582" s="41" t="n"/>
      <c r="E582" s="41" t="n"/>
      <c r="F582" s="49" t="n"/>
      <c r="G582" s="41" t="n"/>
      <c r="H582" s="30">
        <f>IF(D582="","",IFERROR(INDEX(Config!$B$12:$B$15,MATCH(IF(AND(D582="Cartão de crédito",N(E582)&gt;1),"Cartão de crédito parcelado",D582),Config!$A$12:$A$15,0)),0)+IF(AND(Config!$B$17="Sim",LEFT(D582,17)="Cartão de crédito"),Config!$B$18*IFERROR(INDEX(Config!$C$12:$C$15,MATCH(IF(AND(D582="Cartão de crédito",N(E582)&gt;1),"Cartão de crédito parcelado",D582),Config!$A$12:$A$15,0)),0)/30*MAX(1,N(E582)),0))</f>
        <v/>
      </c>
      <c r="I582" s="29">
        <f>IF(OR(D582="",F582=""),"",ROUND(F582*H582,2))</f>
        <v/>
      </c>
      <c r="J582" s="29">
        <f>IF(I582="","",F582-I582)</f>
        <v/>
      </c>
      <c r="K582" s="37">
        <f>IF(OR(D582="",A582=""),"",A582+IF(AND(Config!$B$17="Sim",LEFT(D582,17)="Cartão de crédito"),1,IFERROR(INDEX(Config!$C$12:$C$15,MATCH(IF(AND(D582="Cartão de crédito",N(E582)&gt;1),"Cartão de crédito parcelado",D582),Config!$A$12:$A$15,0)),0)))</f>
        <v/>
      </c>
      <c r="L582" s="27">
        <f>IF(A582="","",MONTH(A582))</f>
        <v/>
      </c>
      <c r="M582" s="27">
        <f>IF(A582="","",YEAR(A582))</f>
        <v/>
      </c>
      <c r="N582" s="27">
        <f>IF(K582="","",IF(G582="Sim","Conferido",IF(K582&gt;Config!$B$8,"A cair","A conferir")))</f>
        <v/>
      </c>
      <c r="O582" s="50">
        <f>IF(N582="A conferir",(Config!$B$8-K582)*1000+N(F582)/1000+ROW()/100000,0)</f>
        <v>0</v>
      </c>
    </row>
    <row r="583">
      <c r="A583" s="48" t="n"/>
      <c r="B583" s="40" t="n"/>
      <c r="C583" s="40" t="n"/>
      <c r="D583" s="41" t="n"/>
      <c r="E583" s="41" t="n"/>
      <c r="F583" s="49" t="n"/>
      <c r="G583" s="41" t="n"/>
      <c r="H583" s="30">
        <f>IF(D583="","",IFERROR(INDEX(Config!$B$12:$B$15,MATCH(IF(AND(D583="Cartão de crédito",N(E583)&gt;1),"Cartão de crédito parcelado",D583),Config!$A$12:$A$15,0)),0)+IF(AND(Config!$B$17="Sim",LEFT(D583,17)="Cartão de crédito"),Config!$B$18*IFERROR(INDEX(Config!$C$12:$C$15,MATCH(IF(AND(D583="Cartão de crédito",N(E583)&gt;1),"Cartão de crédito parcelado",D583),Config!$A$12:$A$15,0)),0)/30*MAX(1,N(E583)),0))</f>
        <v/>
      </c>
      <c r="I583" s="29">
        <f>IF(OR(D583="",F583=""),"",ROUND(F583*H583,2))</f>
        <v/>
      </c>
      <c r="J583" s="29">
        <f>IF(I583="","",F583-I583)</f>
        <v/>
      </c>
      <c r="K583" s="37">
        <f>IF(OR(D583="",A583=""),"",A583+IF(AND(Config!$B$17="Sim",LEFT(D583,17)="Cartão de crédito"),1,IFERROR(INDEX(Config!$C$12:$C$15,MATCH(IF(AND(D583="Cartão de crédito",N(E583)&gt;1),"Cartão de crédito parcelado",D583),Config!$A$12:$A$15,0)),0)))</f>
        <v/>
      </c>
      <c r="L583" s="27">
        <f>IF(A583="","",MONTH(A583))</f>
        <v/>
      </c>
      <c r="M583" s="27">
        <f>IF(A583="","",YEAR(A583))</f>
        <v/>
      </c>
      <c r="N583" s="27">
        <f>IF(K583="","",IF(G583="Sim","Conferido",IF(K583&gt;Config!$B$8,"A cair","A conferir")))</f>
        <v/>
      </c>
      <c r="O583" s="50">
        <f>IF(N583="A conferir",(Config!$B$8-K583)*1000+N(F583)/1000+ROW()/100000,0)</f>
        <v>0</v>
      </c>
    </row>
    <row r="584">
      <c r="A584" s="48" t="n"/>
      <c r="B584" s="40" t="n"/>
      <c r="C584" s="40" t="n"/>
      <c r="D584" s="41" t="n"/>
      <c r="E584" s="41" t="n"/>
      <c r="F584" s="49" t="n"/>
      <c r="G584" s="41" t="n"/>
      <c r="H584" s="30">
        <f>IF(D584="","",IFERROR(INDEX(Config!$B$12:$B$15,MATCH(IF(AND(D584="Cartão de crédito",N(E584)&gt;1),"Cartão de crédito parcelado",D584),Config!$A$12:$A$15,0)),0)+IF(AND(Config!$B$17="Sim",LEFT(D584,17)="Cartão de crédito"),Config!$B$18*IFERROR(INDEX(Config!$C$12:$C$15,MATCH(IF(AND(D584="Cartão de crédito",N(E584)&gt;1),"Cartão de crédito parcelado",D584),Config!$A$12:$A$15,0)),0)/30*MAX(1,N(E584)),0))</f>
        <v/>
      </c>
      <c r="I584" s="29">
        <f>IF(OR(D584="",F584=""),"",ROUND(F584*H584,2))</f>
        <v/>
      </c>
      <c r="J584" s="29">
        <f>IF(I584="","",F584-I584)</f>
        <v/>
      </c>
      <c r="K584" s="37">
        <f>IF(OR(D584="",A584=""),"",A584+IF(AND(Config!$B$17="Sim",LEFT(D584,17)="Cartão de crédito"),1,IFERROR(INDEX(Config!$C$12:$C$15,MATCH(IF(AND(D584="Cartão de crédito",N(E584)&gt;1),"Cartão de crédito parcelado",D584),Config!$A$12:$A$15,0)),0)))</f>
        <v/>
      </c>
      <c r="L584" s="27">
        <f>IF(A584="","",MONTH(A584))</f>
        <v/>
      </c>
      <c r="M584" s="27">
        <f>IF(A584="","",YEAR(A584))</f>
        <v/>
      </c>
      <c r="N584" s="27">
        <f>IF(K584="","",IF(G584="Sim","Conferido",IF(K584&gt;Config!$B$8,"A cair","A conferir")))</f>
        <v/>
      </c>
      <c r="O584" s="50">
        <f>IF(N584="A conferir",(Config!$B$8-K584)*1000+N(F584)/1000+ROW()/100000,0)</f>
        <v>0</v>
      </c>
    </row>
    <row r="585">
      <c r="A585" s="48" t="n"/>
      <c r="B585" s="40" t="n"/>
      <c r="C585" s="40" t="n"/>
      <c r="D585" s="41" t="n"/>
      <c r="E585" s="41" t="n"/>
      <c r="F585" s="49" t="n"/>
      <c r="G585" s="41" t="n"/>
      <c r="H585" s="30">
        <f>IF(D585="","",IFERROR(INDEX(Config!$B$12:$B$15,MATCH(IF(AND(D585="Cartão de crédito",N(E585)&gt;1),"Cartão de crédito parcelado",D585),Config!$A$12:$A$15,0)),0)+IF(AND(Config!$B$17="Sim",LEFT(D585,17)="Cartão de crédito"),Config!$B$18*IFERROR(INDEX(Config!$C$12:$C$15,MATCH(IF(AND(D585="Cartão de crédito",N(E585)&gt;1),"Cartão de crédito parcelado",D585),Config!$A$12:$A$15,0)),0)/30*MAX(1,N(E585)),0))</f>
        <v/>
      </c>
      <c r="I585" s="29">
        <f>IF(OR(D585="",F585=""),"",ROUND(F585*H585,2))</f>
        <v/>
      </c>
      <c r="J585" s="29">
        <f>IF(I585="","",F585-I585)</f>
        <v/>
      </c>
      <c r="K585" s="37">
        <f>IF(OR(D585="",A585=""),"",A585+IF(AND(Config!$B$17="Sim",LEFT(D585,17)="Cartão de crédito"),1,IFERROR(INDEX(Config!$C$12:$C$15,MATCH(IF(AND(D585="Cartão de crédito",N(E585)&gt;1),"Cartão de crédito parcelado",D585),Config!$A$12:$A$15,0)),0)))</f>
        <v/>
      </c>
      <c r="L585" s="27">
        <f>IF(A585="","",MONTH(A585))</f>
        <v/>
      </c>
      <c r="M585" s="27">
        <f>IF(A585="","",YEAR(A585))</f>
        <v/>
      </c>
      <c r="N585" s="27">
        <f>IF(K585="","",IF(G585="Sim","Conferido",IF(K585&gt;Config!$B$8,"A cair","A conferir")))</f>
        <v/>
      </c>
      <c r="O585" s="50">
        <f>IF(N585="A conferir",(Config!$B$8-K585)*1000+N(F585)/1000+ROW()/100000,0)</f>
        <v>0</v>
      </c>
    </row>
    <row r="586">
      <c r="A586" s="48" t="n"/>
      <c r="B586" s="40" t="n"/>
      <c r="C586" s="40" t="n"/>
      <c r="D586" s="41" t="n"/>
      <c r="E586" s="41" t="n"/>
      <c r="F586" s="49" t="n"/>
      <c r="G586" s="41" t="n"/>
      <c r="H586" s="30">
        <f>IF(D586="","",IFERROR(INDEX(Config!$B$12:$B$15,MATCH(IF(AND(D586="Cartão de crédito",N(E586)&gt;1),"Cartão de crédito parcelado",D586),Config!$A$12:$A$15,0)),0)+IF(AND(Config!$B$17="Sim",LEFT(D586,17)="Cartão de crédito"),Config!$B$18*IFERROR(INDEX(Config!$C$12:$C$15,MATCH(IF(AND(D586="Cartão de crédito",N(E586)&gt;1),"Cartão de crédito parcelado",D586),Config!$A$12:$A$15,0)),0)/30*MAX(1,N(E586)),0))</f>
        <v/>
      </c>
      <c r="I586" s="29">
        <f>IF(OR(D586="",F586=""),"",ROUND(F586*H586,2))</f>
        <v/>
      </c>
      <c r="J586" s="29">
        <f>IF(I586="","",F586-I586)</f>
        <v/>
      </c>
      <c r="K586" s="37">
        <f>IF(OR(D586="",A586=""),"",A586+IF(AND(Config!$B$17="Sim",LEFT(D586,17)="Cartão de crédito"),1,IFERROR(INDEX(Config!$C$12:$C$15,MATCH(IF(AND(D586="Cartão de crédito",N(E586)&gt;1),"Cartão de crédito parcelado",D586),Config!$A$12:$A$15,0)),0)))</f>
        <v/>
      </c>
      <c r="L586" s="27">
        <f>IF(A586="","",MONTH(A586))</f>
        <v/>
      </c>
      <c r="M586" s="27">
        <f>IF(A586="","",YEAR(A586))</f>
        <v/>
      </c>
      <c r="N586" s="27">
        <f>IF(K586="","",IF(G586="Sim","Conferido",IF(K586&gt;Config!$B$8,"A cair","A conferir")))</f>
        <v/>
      </c>
      <c r="O586" s="50">
        <f>IF(N586="A conferir",(Config!$B$8-K586)*1000+N(F586)/1000+ROW()/100000,0)</f>
        <v>0</v>
      </c>
    </row>
    <row r="587">
      <c r="A587" s="48" t="n"/>
      <c r="B587" s="40" t="n"/>
      <c r="C587" s="40" t="n"/>
      <c r="D587" s="41" t="n"/>
      <c r="E587" s="41" t="n"/>
      <c r="F587" s="49" t="n"/>
      <c r="G587" s="41" t="n"/>
      <c r="H587" s="30">
        <f>IF(D587="","",IFERROR(INDEX(Config!$B$12:$B$15,MATCH(IF(AND(D587="Cartão de crédito",N(E587)&gt;1),"Cartão de crédito parcelado",D587),Config!$A$12:$A$15,0)),0)+IF(AND(Config!$B$17="Sim",LEFT(D587,17)="Cartão de crédito"),Config!$B$18*IFERROR(INDEX(Config!$C$12:$C$15,MATCH(IF(AND(D587="Cartão de crédito",N(E587)&gt;1),"Cartão de crédito parcelado",D587),Config!$A$12:$A$15,0)),0)/30*MAX(1,N(E587)),0))</f>
        <v/>
      </c>
      <c r="I587" s="29">
        <f>IF(OR(D587="",F587=""),"",ROUND(F587*H587,2))</f>
        <v/>
      </c>
      <c r="J587" s="29">
        <f>IF(I587="","",F587-I587)</f>
        <v/>
      </c>
      <c r="K587" s="37">
        <f>IF(OR(D587="",A587=""),"",A587+IF(AND(Config!$B$17="Sim",LEFT(D587,17)="Cartão de crédito"),1,IFERROR(INDEX(Config!$C$12:$C$15,MATCH(IF(AND(D587="Cartão de crédito",N(E587)&gt;1),"Cartão de crédito parcelado",D587),Config!$A$12:$A$15,0)),0)))</f>
        <v/>
      </c>
      <c r="L587" s="27">
        <f>IF(A587="","",MONTH(A587))</f>
        <v/>
      </c>
      <c r="M587" s="27">
        <f>IF(A587="","",YEAR(A587))</f>
        <v/>
      </c>
      <c r="N587" s="27">
        <f>IF(K587="","",IF(G587="Sim","Conferido",IF(K587&gt;Config!$B$8,"A cair","A conferir")))</f>
        <v/>
      </c>
      <c r="O587" s="50">
        <f>IF(N587="A conferir",(Config!$B$8-K587)*1000+N(F587)/1000+ROW()/100000,0)</f>
        <v>0</v>
      </c>
    </row>
    <row r="588">
      <c r="A588" s="48" t="n"/>
      <c r="B588" s="40" t="n"/>
      <c r="C588" s="40" t="n"/>
      <c r="D588" s="41" t="n"/>
      <c r="E588" s="41" t="n"/>
      <c r="F588" s="49" t="n"/>
      <c r="G588" s="41" t="n"/>
      <c r="H588" s="30">
        <f>IF(D588="","",IFERROR(INDEX(Config!$B$12:$B$15,MATCH(IF(AND(D588="Cartão de crédito",N(E588)&gt;1),"Cartão de crédito parcelado",D588),Config!$A$12:$A$15,0)),0)+IF(AND(Config!$B$17="Sim",LEFT(D588,17)="Cartão de crédito"),Config!$B$18*IFERROR(INDEX(Config!$C$12:$C$15,MATCH(IF(AND(D588="Cartão de crédito",N(E588)&gt;1),"Cartão de crédito parcelado",D588),Config!$A$12:$A$15,0)),0)/30*MAX(1,N(E588)),0))</f>
        <v/>
      </c>
      <c r="I588" s="29">
        <f>IF(OR(D588="",F588=""),"",ROUND(F588*H588,2))</f>
        <v/>
      </c>
      <c r="J588" s="29">
        <f>IF(I588="","",F588-I588)</f>
        <v/>
      </c>
      <c r="K588" s="37">
        <f>IF(OR(D588="",A588=""),"",A588+IF(AND(Config!$B$17="Sim",LEFT(D588,17)="Cartão de crédito"),1,IFERROR(INDEX(Config!$C$12:$C$15,MATCH(IF(AND(D588="Cartão de crédito",N(E588)&gt;1),"Cartão de crédito parcelado",D588),Config!$A$12:$A$15,0)),0)))</f>
        <v/>
      </c>
      <c r="L588" s="27">
        <f>IF(A588="","",MONTH(A588))</f>
        <v/>
      </c>
      <c r="M588" s="27">
        <f>IF(A588="","",YEAR(A588))</f>
        <v/>
      </c>
      <c r="N588" s="27">
        <f>IF(K588="","",IF(G588="Sim","Conferido",IF(K588&gt;Config!$B$8,"A cair","A conferir")))</f>
        <v/>
      </c>
      <c r="O588" s="50">
        <f>IF(N588="A conferir",(Config!$B$8-K588)*1000+N(F588)/1000+ROW()/100000,0)</f>
        <v>0</v>
      </c>
    </row>
    <row r="589">
      <c r="A589" s="48" t="n"/>
      <c r="B589" s="40" t="n"/>
      <c r="C589" s="40" t="n"/>
      <c r="D589" s="41" t="n"/>
      <c r="E589" s="41" t="n"/>
      <c r="F589" s="49" t="n"/>
      <c r="G589" s="41" t="n"/>
      <c r="H589" s="30">
        <f>IF(D589="","",IFERROR(INDEX(Config!$B$12:$B$15,MATCH(IF(AND(D589="Cartão de crédito",N(E589)&gt;1),"Cartão de crédito parcelado",D589),Config!$A$12:$A$15,0)),0)+IF(AND(Config!$B$17="Sim",LEFT(D589,17)="Cartão de crédito"),Config!$B$18*IFERROR(INDEX(Config!$C$12:$C$15,MATCH(IF(AND(D589="Cartão de crédito",N(E589)&gt;1),"Cartão de crédito parcelado",D589),Config!$A$12:$A$15,0)),0)/30*MAX(1,N(E589)),0))</f>
        <v/>
      </c>
      <c r="I589" s="29">
        <f>IF(OR(D589="",F589=""),"",ROUND(F589*H589,2))</f>
        <v/>
      </c>
      <c r="J589" s="29">
        <f>IF(I589="","",F589-I589)</f>
        <v/>
      </c>
      <c r="K589" s="37">
        <f>IF(OR(D589="",A589=""),"",A589+IF(AND(Config!$B$17="Sim",LEFT(D589,17)="Cartão de crédito"),1,IFERROR(INDEX(Config!$C$12:$C$15,MATCH(IF(AND(D589="Cartão de crédito",N(E589)&gt;1),"Cartão de crédito parcelado",D589),Config!$A$12:$A$15,0)),0)))</f>
        <v/>
      </c>
      <c r="L589" s="27">
        <f>IF(A589="","",MONTH(A589))</f>
        <v/>
      </c>
      <c r="M589" s="27">
        <f>IF(A589="","",YEAR(A589))</f>
        <v/>
      </c>
      <c r="N589" s="27">
        <f>IF(K589="","",IF(G589="Sim","Conferido",IF(K589&gt;Config!$B$8,"A cair","A conferir")))</f>
        <v/>
      </c>
      <c r="O589" s="50">
        <f>IF(N589="A conferir",(Config!$B$8-K589)*1000+N(F589)/1000+ROW()/100000,0)</f>
        <v>0</v>
      </c>
    </row>
    <row r="590">
      <c r="A590" s="48" t="n"/>
      <c r="B590" s="40" t="n"/>
      <c r="C590" s="40" t="n"/>
      <c r="D590" s="41" t="n"/>
      <c r="E590" s="41" t="n"/>
      <c r="F590" s="49" t="n"/>
      <c r="G590" s="41" t="n"/>
      <c r="H590" s="30">
        <f>IF(D590="","",IFERROR(INDEX(Config!$B$12:$B$15,MATCH(IF(AND(D590="Cartão de crédito",N(E590)&gt;1),"Cartão de crédito parcelado",D590),Config!$A$12:$A$15,0)),0)+IF(AND(Config!$B$17="Sim",LEFT(D590,17)="Cartão de crédito"),Config!$B$18*IFERROR(INDEX(Config!$C$12:$C$15,MATCH(IF(AND(D590="Cartão de crédito",N(E590)&gt;1),"Cartão de crédito parcelado",D590),Config!$A$12:$A$15,0)),0)/30*MAX(1,N(E590)),0))</f>
        <v/>
      </c>
      <c r="I590" s="29">
        <f>IF(OR(D590="",F590=""),"",ROUND(F590*H590,2))</f>
        <v/>
      </c>
      <c r="J590" s="29">
        <f>IF(I590="","",F590-I590)</f>
        <v/>
      </c>
      <c r="K590" s="37">
        <f>IF(OR(D590="",A590=""),"",A590+IF(AND(Config!$B$17="Sim",LEFT(D590,17)="Cartão de crédito"),1,IFERROR(INDEX(Config!$C$12:$C$15,MATCH(IF(AND(D590="Cartão de crédito",N(E590)&gt;1),"Cartão de crédito parcelado",D590),Config!$A$12:$A$15,0)),0)))</f>
        <v/>
      </c>
      <c r="L590" s="27">
        <f>IF(A590="","",MONTH(A590))</f>
        <v/>
      </c>
      <c r="M590" s="27">
        <f>IF(A590="","",YEAR(A590))</f>
        <v/>
      </c>
      <c r="N590" s="27">
        <f>IF(K590="","",IF(G590="Sim","Conferido",IF(K590&gt;Config!$B$8,"A cair","A conferir")))</f>
        <v/>
      </c>
      <c r="O590" s="50">
        <f>IF(N590="A conferir",(Config!$B$8-K590)*1000+N(F590)/1000+ROW()/100000,0)</f>
        <v>0</v>
      </c>
    </row>
    <row r="591">
      <c r="A591" s="48" t="n"/>
      <c r="B591" s="40" t="n"/>
      <c r="C591" s="40" t="n"/>
      <c r="D591" s="41" t="n"/>
      <c r="E591" s="41" t="n"/>
      <c r="F591" s="49" t="n"/>
      <c r="G591" s="41" t="n"/>
      <c r="H591" s="30">
        <f>IF(D591="","",IFERROR(INDEX(Config!$B$12:$B$15,MATCH(IF(AND(D591="Cartão de crédito",N(E591)&gt;1),"Cartão de crédito parcelado",D591),Config!$A$12:$A$15,0)),0)+IF(AND(Config!$B$17="Sim",LEFT(D591,17)="Cartão de crédito"),Config!$B$18*IFERROR(INDEX(Config!$C$12:$C$15,MATCH(IF(AND(D591="Cartão de crédito",N(E591)&gt;1),"Cartão de crédito parcelado",D591),Config!$A$12:$A$15,0)),0)/30*MAX(1,N(E591)),0))</f>
        <v/>
      </c>
      <c r="I591" s="29">
        <f>IF(OR(D591="",F591=""),"",ROUND(F591*H591,2))</f>
        <v/>
      </c>
      <c r="J591" s="29">
        <f>IF(I591="","",F591-I591)</f>
        <v/>
      </c>
      <c r="K591" s="37">
        <f>IF(OR(D591="",A591=""),"",A591+IF(AND(Config!$B$17="Sim",LEFT(D591,17)="Cartão de crédito"),1,IFERROR(INDEX(Config!$C$12:$C$15,MATCH(IF(AND(D591="Cartão de crédito",N(E591)&gt;1),"Cartão de crédito parcelado",D591),Config!$A$12:$A$15,0)),0)))</f>
        <v/>
      </c>
      <c r="L591" s="27">
        <f>IF(A591="","",MONTH(A591))</f>
        <v/>
      </c>
      <c r="M591" s="27">
        <f>IF(A591="","",YEAR(A591))</f>
        <v/>
      </c>
      <c r="N591" s="27">
        <f>IF(K591="","",IF(G591="Sim","Conferido",IF(K591&gt;Config!$B$8,"A cair","A conferir")))</f>
        <v/>
      </c>
      <c r="O591" s="50">
        <f>IF(N591="A conferir",(Config!$B$8-K591)*1000+N(F591)/1000+ROW()/100000,0)</f>
        <v>0</v>
      </c>
    </row>
    <row r="592">
      <c r="A592" s="48" t="n"/>
      <c r="B592" s="40" t="n"/>
      <c r="C592" s="40" t="n"/>
      <c r="D592" s="41" t="n"/>
      <c r="E592" s="41" t="n"/>
      <c r="F592" s="49" t="n"/>
      <c r="G592" s="41" t="n"/>
      <c r="H592" s="30">
        <f>IF(D592="","",IFERROR(INDEX(Config!$B$12:$B$15,MATCH(IF(AND(D592="Cartão de crédito",N(E592)&gt;1),"Cartão de crédito parcelado",D592),Config!$A$12:$A$15,0)),0)+IF(AND(Config!$B$17="Sim",LEFT(D592,17)="Cartão de crédito"),Config!$B$18*IFERROR(INDEX(Config!$C$12:$C$15,MATCH(IF(AND(D592="Cartão de crédito",N(E592)&gt;1),"Cartão de crédito parcelado",D592),Config!$A$12:$A$15,0)),0)/30*MAX(1,N(E592)),0))</f>
        <v/>
      </c>
      <c r="I592" s="29">
        <f>IF(OR(D592="",F592=""),"",ROUND(F592*H592,2))</f>
        <v/>
      </c>
      <c r="J592" s="29">
        <f>IF(I592="","",F592-I592)</f>
        <v/>
      </c>
      <c r="K592" s="37">
        <f>IF(OR(D592="",A592=""),"",A592+IF(AND(Config!$B$17="Sim",LEFT(D592,17)="Cartão de crédito"),1,IFERROR(INDEX(Config!$C$12:$C$15,MATCH(IF(AND(D592="Cartão de crédito",N(E592)&gt;1),"Cartão de crédito parcelado",D592),Config!$A$12:$A$15,0)),0)))</f>
        <v/>
      </c>
      <c r="L592" s="27">
        <f>IF(A592="","",MONTH(A592))</f>
        <v/>
      </c>
      <c r="M592" s="27">
        <f>IF(A592="","",YEAR(A592))</f>
        <v/>
      </c>
      <c r="N592" s="27">
        <f>IF(K592="","",IF(G592="Sim","Conferido",IF(K592&gt;Config!$B$8,"A cair","A conferir")))</f>
        <v/>
      </c>
      <c r="O592" s="50">
        <f>IF(N592="A conferir",(Config!$B$8-K592)*1000+N(F592)/1000+ROW()/100000,0)</f>
        <v>0</v>
      </c>
    </row>
    <row r="593">
      <c r="A593" s="48" t="n"/>
      <c r="B593" s="40" t="n"/>
      <c r="C593" s="40" t="n"/>
      <c r="D593" s="41" t="n"/>
      <c r="E593" s="41" t="n"/>
      <c r="F593" s="49" t="n"/>
      <c r="G593" s="41" t="n"/>
      <c r="H593" s="30">
        <f>IF(D593="","",IFERROR(INDEX(Config!$B$12:$B$15,MATCH(IF(AND(D593="Cartão de crédito",N(E593)&gt;1),"Cartão de crédito parcelado",D593),Config!$A$12:$A$15,0)),0)+IF(AND(Config!$B$17="Sim",LEFT(D593,17)="Cartão de crédito"),Config!$B$18*IFERROR(INDEX(Config!$C$12:$C$15,MATCH(IF(AND(D593="Cartão de crédito",N(E593)&gt;1),"Cartão de crédito parcelado",D593),Config!$A$12:$A$15,0)),0)/30*MAX(1,N(E593)),0))</f>
        <v/>
      </c>
      <c r="I593" s="29">
        <f>IF(OR(D593="",F593=""),"",ROUND(F593*H593,2))</f>
        <v/>
      </c>
      <c r="J593" s="29">
        <f>IF(I593="","",F593-I593)</f>
        <v/>
      </c>
      <c r="K593" s="37">
        <f>IF(OR(D593="",A593=""),"",A593+IF(AND(Config!$B$17="Sim",LEFT(D593,17)="Cartão de crédito"),1,IFERROR(INDEX(Config!$C$12:$C$15,MATCH(IF(AND(D593="Cartão de crédito",N(E593)&gt;1),"Cartão de crédito parcelado",D593),Config!$A$12:$A$15,0)),0)))</f>
        <v/>
      </c>
      <c r="L593" s="27">
        <f>IF(A593="","",MONTH(A593))</f>
        <v/>
      </c>
      <c r="M593" s="27">
        <f>IF(A593="","",YEAR(A593))</f>
        <v/>
      </c>
      <c r="N593" s="27">
        <f>IF(K593="","",IF(G593="Sim","Conferido",IF(K593&gt;Config!$B$8,"A cair","A conferir")))</f>
        <v/>
      </c>
      <c r="O593" s="50">
        <f>IF(N593="A conferir",(Config!$B$8-K593)*1000+N(F593)/1000+ROW()/100000,0)</f>
        <v>0</v>
      </c>
    </row>
    <row r="594">
      <c r="A594" s="48" t="n"/>
      <c r="B594" s="40" t="n"/>
      <c r="C594" s="40" t="n"/>
      <c r="D594" s="41" t="n"/>
      <c r="E594" s="41" t="n"/>
      <c r="F594" s="49" t="n"/>
      <c r="G594" s="41" t="n"/>
      <c r="H594" s="30">
        <f>IF(D594="","",IFERROR(INDEX(Config!$B$12:$B$15,MATCH(IF(AND(D594="Cartão de crédito",N(E594)&gt;1),"Cartão de crédito parcelado",D594),Config!$A$12:$A$15,0)),0)+IF(AND(Config!$B$17="Sim",LEFT(D594,17)="Cartão de crédito"),Config!$B$18*IFERROR(INDEX(Config!$C$12:$C$15,MATCH(IF(AND(D594="Cartão de crédito",N(E594)&gt;1),"Cartão de crédito parcelado",D594),Config!$A$12:$A$15,0)),0)/30*MAX(1,N(E594)),0))</f>
        <v/>
      </c>
      <c r="I594" s="29">
        <f>IF(OR(D594="",F594=""),"",ROUND(F594*H594,2))</f>
        <v/>
      </c>
      <c r="J594" s="29">
        <f>IF(I594="","",F594-I594)</f>
        <v/>
      </c>
      <c r="K594" s="37">
        <f>IF(OR(D594="",A594=""),"",A594+IF(AND(Config!$B$17="Sim",LEFT(D594,17)="Cartão de crédito"),1,IFERROR(INDEX(Config!$C$12:$C$15,MATCH(IF(AND(D594="Cartão de crédito",N(E594)&gt;1),"Cartão de crédito parcelado",D594),Config!$A$12:$A$15,0)),0)))</f>
        <v/>
      </c>
      <c r="L594" s="27">
        <f>IF(A594="","",MONTH(A594))</f>
        <v/>
      </c>
      <c r="M594" s="27">
        <f>IF(A594="","",YEAR(A594))</f>
        <v/>
      </c>
      <c r="N594" s="27">
        <f>IF(K594="","",IF(G594="Sim","Conferido",IF(K594&gt;Config!$B$8,"A cair","A conferir")))</f>
        <v/>
      </c>
      <c r="O594" s="50">
        <f>IF(N594="A conferir",(Config!$B$8-K594)*1000+N(F594)/1000+ROW()/100000,0)</f>
        <v>0</v>
      </c>
    </row>
    <row r="595">
      <c r="A595" s="48" t="n"/>
      <c r="B595" s="40" t="n"/>
      <c r="C595" s="40" t="n"/>
      <c r="D595" s="41" t="n"/>
      <c r="E595" s="41" t="n"/>
      <c r="F595" s="49" t="n"/>
      <c r="G595" s="41" t="n"/>
      <c r="H595" s="30">
        <f>IF(D595="","",IFERROR(INDEX(Config!$B$12:$B$15,MATCH(IF(AND(D595="Cartão de crédito",N(E595)&gt;1),"Cartão de crédito parcelado",D595),Config!$A$12:$A$15,0)),0)+IF(AND(Config!$B$17="Sim",LEFT(D595,17)="Cartão de crédito"),Config!$B$18*IFERROR(INDEX(Config!$C$12:$C$15,MATCH(IF(AND(D595="Cartão de crédito",N(E595)&gt;1),"Cartão de crédito parcelado",D595),Config!$A$12:$A$15,0)),0)/30*MAX(1,N(E595)),0))</f>
        <v/>
      </c>
      <c r="I595" s="29">
        <f>IF(OR(D595="",F595=""),"",ROUND(F595*H595,2))</f>
        <v/>
      </c>
      <c r="J595" s="29">
        <f>IF(I595="","",F595-I595)</f>
        <v/>
      </c>
      <c r="K595" s="37">
        <f>IF(OR(D595="",A595=""),"",A595+IF(AND(Config!$B$17="Sim",LEFT(D595,17)="Cartão de crédito"),1,IFERROR(INDEX(Config!$C$12:$C$15,MATCH(IF(AND(D595="Cartão de crédito",N(E595)&gt;1),"Cartão de crédito parcelado",D595),Config!$A$12:$A$15,0)),0)))</f>
        <v/>
      </c>
      <c r="L595" s="27">
        <f>IF(A595="","",MONTH(A595))</f>
        <v/>
      </c>
      <c r="M595" s="27">
        <f>IF(A595="","",YEAR(A595))</f>
        <v/>
      </c>
      <c r="N595" s="27">
        <f>IF(K595="","",IF(G595="Sim","Conferido",IF(K595&gt;Config!$B$8,"A cair","A conferir")))</f>
        <v/>
      </c>
      <c r="O595" s="50">
        <f>IF(N595="A conferir",(Config!$B$8-K595)*1000+N(F595)/1000+ROW()/100000,0)</f>
        <v>0</v>
      </c>
    </row>
    <row r="596">
      <c r="A596" s="48" t="n"/>
      <c r="B596" s="40" t="n"/>
      <c r="C596" s="40" t="n"/>
      <c r="D596" s="41" t="n"/>
      <c r="E596" s="41" t="n"/>
      <c r="F596" s="49" t="n"/>
      <c r="G596" s="41" t="n"/>
      <c r="H596" s="30">
        <f>IF(D596="","",IFERROR(INDEX(Config!$B$12:$B$15,MATCH(IF(AND(D596="Cartão de crédito",N(E596)&gt;1),"Cartão de crédito parcelado",D596),Config!$A$12:$A$15,0)),0)+IF(AND(Config!$B$17="Sim",LEFT(D596,17)="Cartão de crédito"),Config!$B$18*IFERROR(INDEX(Config!$C$12:$C$15,MATCH(IF(AND(D596="Cartão de crédito",N(E596)&gt;1),"Cartão de crédito parcelado",D596),Config!$A$12:$A$15,0)),0)/30*MAX(1,N(E596)),0))</f>
        <v/>
      </c>
      <c r="I596" s="29">
        <f>IF(OR(D596="",F596=""),"",ROUND(F596*H596,2))</f>
        <v/>
      </c>
      <c r="J596" s="29">
        <f>IF(I596="","",F596-I596)</f>
        <v/>
      </c>
      <c r="K596" s="37">
        <f>IF(OR(D596="",A596=""),"",A596+IF(AND(Config!$B$17="Sim",LEFT(D596,17)="Cartão de crédito"),1,IFERROR(INDEX(Config!$C$12:$C$15,MATCH(IF(AND(D596="Cartão de crédito",N(E596)&gt;1),"Cartão de crédito parcelado",D596),Config!$A$12:$A$15,0)),0)))</f>
        <v/>
      </c>
      <c r="L596" s="27">
        <f>IF(A596="","",MONTH(A596))</f>
        <v/>
      </c>
      <c r="M596" s="27">
        <f>IF(A596="","",YEAR(A596))</f>
        <v/>
      </c>
      <c r="N596" s="27">
        <f>IF(K596="","",IF(G596="Sim","Conferido",IF(K596&gt;Config!$B$8,"A cair","A conferir")))</f>
        <v/>
      </c>
      <c r="O596" s="50">
        <f>IF(N596="A conferir",(Config!$B$8-K596)*1000+N(F596)/1000+ROW()/100000,0)</f>
        <v>0</v>
      </c>
    </row>
    <row r="597">
      <c r="A597" s="48" t="n"/>
      <c r="B597" s="40" t="n"/>
      <c r="C597" s="40" t="n"/>
      <c r="D597" s="41" t="n"/>
      <c r="E597" s="41" t="n"/>
      <c r="F597" s="49" t="n"/>
      <c r="G597" s="41" t="n"/>
      <c r="H597" s="30">
        <f>IF(D597="","",IFERROR(INDEX(Config!$B$12:$B$15,MATCH(IF(AND(D597="Cartão de crédito",N(E597)&gt;1),"Cartão de crédito parcelado",D597),Config!$A$12:$A$15,0)),0)+IF(AND(Config!$B$17="Sim",LEFT(D597,17)="Cartão de crédito"),Config!$B$18*IFERROR(INDEX(Config!$C$12:$C$15,MATCH(IF(AND(D597="Cartão de crédito",N(E597)&gt;1),"Cartão de crédito parcelado",D597),Config!$A$12:$A$15,0)),0)/30*MAX(1,N(E597)),0))</f>
        <v/>
      </c>
      <c r="I597" s="29">
        <f>IF(OR(D597="",F597=""),"",ROUND(F597*H597,2))</f>
        <v/>
      </c>
      <c r="J597" s="29">
        <f>IF(I597="","",F597-I597)</f>
        <v/>
      </c>
      <c r="K597" s="37">
        <f>IF(OR(D597="",A597=""),"",A597+IF(AND(Config!$B$17="Sim",LEFT(D597,17)="Cartão de crédito"),1,IFERROR(INDEX(Config!$C$12:$C$15,MATCH(IF(AND(D597="Cartão de crédito",N(E597)&gt;1),"Cartão de crédito parcelado",D597),Config!$A$12:$A$15,0)),0)))</f>
        <v/>
      </c>
      <c r="L597" s="27">
        <f>IF(A597="","",MONTH(A597))</f>
        <v/>
      </c>
      <c r="M597" s="27">
        <f>IF(A597="","",YEAR(A597))</f>
        <v/>
      </c>
      <c r="N597" s="27">
        <f>IF(K597="","",IF(G597="Sim","Conferido",IF(K597&gt;Config!$B$8,"A cair","A conferir")))</f>
        <v/>
      </c>
      <c r="O597" s="50">
        <f>IF(N597="A conferir",(Config!$B$8-K597)*1000+N(F597)/1000+ROW()/100000,0)</f>
        <v>0</v>
      </c>
    </row>
    <row r="598">
      <c r="A598" s="48" t="n"/>
      <c r="B598" s="40" t="n"/>
      <c r="C598" s="40" t="n"/>
      <c r="D598" s="41" t="n"/>
      <c r="E598" s="41" t="n"/>
      <c r="F598" s="49" t="n"/>
      <c r="G598" s="41" t="n"/>
      <c r="H598" s="30">
        <f>IF(D598="","",IFERROR(INDEX(Config!$B$12:$B$15,MATCH(IF(AND(D598="Cartão de crédito",N(E598)&gt;1),"Cartão de crédito parcelado",D598),Config!$A$12:$A$15,0)),0)+IF(AND(Config!$B$17="Sim",LEFT(D598,17)="Cartão de crédito"),Config!$B$18*IFERROR(INDEX(Config!$C$12:$C$15,MATCH(IF(AND(D598="Cartão de crédito",N(E598)&gt;1),"Cartão de crédito parcelado",D598),Config!$A$12:$A$15,0)),0)/30*MAX(1,N(E598)),0))</f>
        <v/>
      </c>
      <c r="I598" s="29">
        <f>IF(OR(D598="",F598=""),"",ROUND(F598*H598,2))</f>
        <v/>
      </c>
      <c r="J598" s="29">
        <f>IF(I598="","",F598-I598)</f>
        <v/>
      </c>
      <c r="K598" s="37">
        <f>IF(OR(D598="",A598=""),"",A598+IF(AND(Config!$B$17="Sim",LEFT(D598,17)="Cartão de crédito"),1,IFERROR(INDEX(Config!$C$12:$C$15,MATCH(IF(AND(D598="Cartão de crédito",N(E598)&gt;1),"Cartão de crédito parcelado",D598),Config!$A$12:$A$15,0)),0)))</f>
        <v/>
      </c>
      <c r="L598" s="27">
        <f>IF(A598="","",MONTH(A598))</f>
        <v/>
      </c>
      <c r="M598" s="27">
        <f>IF(A598="","",YEAR(A598))</f>
        <v/>
      </c>
      <c r="N598" s="27">
        <f>IF(K598="","",IF(G598="Sim","Conferido",IF(K598&gt;Config!$B$8,"A cair","A conferir")))</f>
        <v/>
      </c>
      <c r="O598" s="50">
        <f>IF(N598="A conferir",(Config!$B$8-K598)*1000+N(F598)/1000+ROW()/100000,0)</f>
        <v>0</v>
      </c>
    </row>
    <row r="599">
      <c r="A599" s="48" t="n"/>
      <c r="B599" s="40" t="n"/>
      <c r="C599" s="40" t="n"/>
      <c r="D599" s="41" t="n"/>
      <c r="E599" s="41" t="n"/>
      <c r="F599" s="49" t="n"/>
      <c r="G599" s="41" t="n"/>
      <c r="H599" s="30">
        <f>IF(D599="","",IFERROR(INDEX(Config!$B$12:$B$15,MATCH(IF(AND(D599="Cartão de crédito",N(E599)&gt;1),"Cartão de crédito parcelado",D599),Config!$A$12:$A$15,0)),0)+IF(AND(Config!$B$17="Sim",LEFT(D599,17)="Cartão de crédito"),Config!$B$18*IFERROR(INDEX(Config!$C$12:$C$15,MATCH(IF(AND(D599="Cartão de crédito",N(E599)&gt;1),"Cartão de crédito parcelado",D599),Config!$A$12:$A$15,0)),0)/30*MAX(1,N(E599)),0))</f>
        <v/>
      </c>
      <c r="I599" s="29">
        <f>IF(OR(D599="",F599=""),"",ROUND(F599*H599,2))</f>
        <v/>
      </c>
      <c r="J599" s="29">
        <f>IF(I599="","",F599-I599)</f>
        <v/>
      </c>
      <c r="K599" s="37">
        <f>IF(OR(D599="",A599=""),"",A599+IF(AND(Config!$B$17="Sim",LEFT(D599,17)="Cartão de crédito"),1,IFERROR(INDEX(Config!$C$12:$C$15,MATCH(IF(AND(D599="Cartão de crédito",N(E599)&gt;1),"Cartão de crédito parcelado",D599),Config!$A$12:$A$15,0)),0)))</f>
        <v/>
      </c>
      <c r="L599" s="27">
        <f>IF(A599="","",MONTH(A599))</f>
        <v/>
      </c>
      <c r="M599" s="27">
        <f>IF(A599="","",YEAR(A599))</f>
        <v/>
      </c>
      <c r="N599" s="27">
        <f>IF(K599="","",IF(G599="Sim","Conferido",IF(K599&gt;Config!$B$8,"A cair","A conferir")))</f>
        <v/>
      </c>
      <c r="O599" s="50">
        <f>IF(N599="A conferir",(Config!$B$8-K599)*1000+N(F599)/1000+ROW()/100000,0)</f>
        <v>0</v>
      </c>
    </row>
    <row r="600">
      <c r="A600" s="48" t="n"/>
      <c r="B600" s="40" t="n"/>
      <c r="C600" s="40" t="n"/>
      <c r="D600" s="41" t="n"/>
      <c r="E600" s="41" t="n"/>
      <c r="F600" s="49" t="n"/>
      <c r="G600" s="41" t="n"/>
      <c r="H600" s="30">
        <f>IF(D600="","",IFERROR(INDEX(Config!$B$12:$B$15,MATCH(IF(AND(D600="Cartão de crédito",N(E600)&gt;1),"Cartão de crédito parcelado",D600),Config!$A$12:$A$15,0)),0)+IF(AND(Config!$B$17="Sim",LEFT(D600,17)="Cartão de crédito"),Config!$B$18*IFERROR(INDEX(Config!$C$12:$C$15,MATCH(IF(AND(D600="Cartão de crédito",N(E600)&gt;1),"Cartão de crédito parcelado",D600),Config!$A$12:$A$15,0)),0)/30*MAX(1,N(E600)),0))</f>
        <v/>
      </c>
      <c r="I600" s="29">
        <f>IF(OR(D600="",F600=""),"",ROUND(F600*H600,2))</f>
        <v/>
      </c>
      <c r="J600" s="29">
        <f>IF(I600="","",F600-I600)</f>
        <v/>
      </c>
      <c r="K600" s="37">
        <f>IF(OR(D600="",A600=""),"",A600+IF(AND(Config!$B$17="Sim",LEFT(D600,17)="Cartão de crédito"),1,IFERROR(INDEX(Config!$C$12:$C$15,MATCH(IF(AND(D600="Cartão de crédito",N(E600)&gt;1),"Cartão de crédito parcelado",D600),Config!$A$12:$A$15,0)),0)))</f>
        <v/>
      </c>
      <c r="L600" s="27">
        <f>IF(A600="","",MONTH(A600))</f>
        <v/>
      </c>
      <c r="M600" s="27">
        <f>IF(A600="","",YEAR(A600))</f>
        <v/>
      </c>
      <c r="N600" s="27">
        <f>IF(K600="","",IF(G600="Sim","Conferido",IF(K600&gt;Config!$B$8,"A cair","A conferir")))</f>
        <v/>
      </c>
      <c r="O600" s="50">
        <f>IF(N600="A conferir",(Config!$B$8-K600)*1000+N(F600)/1000+ROW()/100000,0)</f>
        <v>0</v>
      </c>
    </row>
    <row r="601">
      <c r="A601" s="48" t="n"/>
      <c r="B601" s="40" t="n"/>
      <c r="C601" s="40" t="n"/>
      <c r="D601" s="41" t="n"/>
      <c r="E601" s="41" t="n"/>
      <c r="F601" s="49" t="n"/>
      <c r="G601" s="41" t="n"/>
      <c r="H601" s="30">
        <f>IF(D601="","",IFERROR(INDEX(Config!$B$12:$B$15,MATCH(IF(AND(D601="Cartão de crédito",N(E601)&gt;1),"Cartão de crédito parcelado",D601),Config!$A$12:$A$15,0)),0)+IF(AND(Config!$B$17="Sim",LEFT(D601,17)="Cartão de crédito"),Config!$B$18*IFERROR(INDEX(Config!$C$12:$C$15,MATCH(IF(AND(D601="Cartão de crédito",N(E601)&gt;1),"Cartão de crédito parcelado",D601),Config!$A$12:$A$15,0)),0)/30*MAX(1,N(E601)),0))</f>
        <v/>
      </c>
      <c r="I601" s="29">
        <f>IF(OR(D601="",F601=""),"",ROUND(F601*H601,2))</f>
        <v/>
      </c>
      <c r="J601" s="29">
        <f>IF(I601="","",F601-I601)</f>
        <v/>
      </c>
      <c r="K601" s="37">
        <f>IF(OR(D601="",A601=""),"",A601+IF(AND(Config!$B$17="Sim",LEFT(D601,17)="Cartão de crédito"),1,IFERROR(INDEX(Config!$C$12:$C$15,MATCH(IF(AND(D601="Cartão de crédito",N(E601)&gt;1),"Cartão de crédito parcelado",D601),Config!$A$12:$A$15,0)),0)))</f>
        <v/>
      </c>
      <c r="L601" s="27">
        <f>IF(A601="","",MONTH(A601))</f>
        <v/>
      </c>
      <c r="M601" s="27">
        <f>IF(A601="","",YEAR(A601))</f>
        <v/>
      </c>
      <c r="N601" s="27">
        <f>IF(K601="","",IF(G601="Sim","Conferido",IF(K601&gt;Config!$B$8,"A cair","A conferir")))</f>
        <v/>
      </c>
      <c r="O601" s="50">
        <f>IF(N601="A conferir",(Config!$B$8-K601)*1000+N(F601)/1000+ROW()/100000,0)</f>
        <v>0</v>
      </c>
    </row>
    <row r="602">
      <c r="A602" s="48" t="n"/>
      <c r="B602" s="40" t="n"/>
      <c r="C602" s="40" t="n"/>
      <c r="D602" s="41" t="n"/>
      <c r="E602" s="41" t="n"/>
      <c r="F602" s="49" t="n"/>
      <c r="G602" s="41" t="n"/>
      <c r="H602" s="30">
        <f>IF(D602="","",IFERROR(INDEX(Config!$B$12:$B$15,MATCH(IF(AND(D602="Cartão de crédito",N(E602)&gt;1),"Cartão de crédito parcelado",D602),Config!$A$12:$A$15,0)),0)+IF(AND(Config!$B$17="Sim",LEFT(D602,17)="Cartão de crédito"),Config!$B$18*IFERROR(INDEX(Config!$C$12:$C$15,MATCH(IF(AND(D602="Cartão de crédito",N(E602)&gt;1),"Cartão de crédito parcelado",D602),Config!$A$12:$A$15,0)),0)/30*MAX(1,N(E602)),0))</f>
        <v/>
      </c>
      <c r="I602" s="29">
        <f>IF(OR(D602="",F602=""),"",ROUND(F602*H602,2))</f>
        <v/>
      </c>
      <c r="J602" s="29">
        <f>IF(I602="","",F602-I602)</f>
        <v/>
      </c>
      <c r="K602" s="37">
        <f>IF(OR(D602="",A602=""),"",A602+IF(AND(Config!$B$17="Sim",LEFT(D602,17)="Cartão de crédito"),1,IFERROR(INDEX(Config!$C$12:$C$15,MATCH(IF(AND(D602="Cartão de crédito",N(E602)&gt;1),"Cartão de crédito parcelado",D602),Config!$A$12:$A$15,0)),0)))</f>
        <v/>
      </c>
      <c r="L602" s="27">
        <f>IF(A602="","",MONTH(A602))</f>
        <v/>
      </c>
      <c r="M602" s="27">
        <f>IF(A602="","",YEAR(A602))</f>
        <v/>
      </c>
      <c r="N602" s="27">
        <f>IF(K602="","",IF(G602="Sim","Conferido",IF(K602&gt;Config!$B$8,"A cair","A conferir")))</f>
        <v/>
      </c>
      <c r="O602" s="50">
        <f>IF(N602="A conferir",(Config!$B$8-K602)*1000+N(F602)/1000+ROW()/100000,0)</f>
        <v>0</v>
      </c>
    </row>
    <row r="603">
      <c r="A603" s="48" t="n"/>
      <c r="B603" s="40" t="n"/>
      <c r="C603" s="40" t="n"/>
      <c r="D603" s="41" t="n"/>
      <c r="E603" s="41" t="n"/>
      <c r="F603" s="49" t="n"/>
      <c r="G603" s="41" t="n"/>
      <c r="H603" s="30">
        <f>IF(D603="","",IFERROR(INDEX(Config!$B$12:$B$15,MATCH(IF(AND(D603="Cartão de crédito",N(E603)&gt;1),"Cartão de crédito parcelado",D603),Config!$A$12:$A$15,0)),0)+IF(AND(Config!$B$17="Sim",LEFT(D603,17)="Cartão de crédito"),Config!$B$18*IFERROR(INDEX(Config!$C$12:$C$15,MATCH(IF(AND(D603="Cartão de crédito",N(E603)&gt;1),"Cartão de crédito parcelado",D603),Config!$A$12:$A$15,0)),0)/30*MAX(1,N(E603)),0))</f>
        <v/>
      </c>
      <c r="I603" s="29">
        <f>IF(OR(D603="",F603=""),"",ROUND(F603*H603,2))</f>
        <v/>
      </c>
      <c r="J603" s="29">
        <f>IF(I603="","",F603-I603)</f>
        <v/>
      </c>
      <c r="K603" s="37">
        <f>IF(OR(D603="",A603=""),"",A603+IF(AND(Config!$B$17="Sim",LEFT(D603,17)="Cartão de crédito"),1,IFERROR(INDEX(Config!$C$12:$C$15,MATCH(IF(AND(D603="Cartão de crédito",N(E603)&gt;1),"Cartão de crédito parcelado",D603),Config!$A$12:$A$15,0)),0)))</f>
        <v/>
      </c>
      <c r="L603" s="27">
        <f>IF(A603="","",MONTH(A603))</f>
        <v/>
      </c>
      <c r="M603" s="27">
        <f>IF(A603="","",YEAR(A603))</f>
        <v/>
      </c>
      <c r="N603" s="27">
        <f>IF(K603="","",IF(G603="Sim","Conferido",IF(K603&gt;Config!$B$8,"A cair","A conferir")))</f>
        <v/>
      </c>
      <c r="O603" s="50">
        <f>IF(N603="A conferir",(Config!$B$8-K603)*1000+N(F603)/1000+ROW()/100000,0)</f>
        <v>0</v>
      </c>
    </row>
    <row r="604">
      <c r="A604" s="48" t="n"/>
      <c r="B604" s="40" t="n"/>
      <c r="C604" s="40" t="n"/>
      <c r="D604" s="41" t="n"/>
      <c r="E604" s="41" t="n"/>
      <c r="F604" s="49" t="n"/>
      <c r="G604" s="41" t="n"/>
      <c r="H604" s="30">
        <f>IF(D604="","",IFERROR(INDEX(Config!$B$12:$B$15,MATCH(IF(AND(D604="Cartão de crédito",N(E604)&gt;1),"Cartão de crédito parcelado",D604),Config!$A$12:$A$15,0)),0)+IF(AND(Config!$B$17="Sim",LEFT(D604,17)="Cartão de crédito"),Config!$B$18*IFERROR(INDEX(Config!$C$12:$C$15,MATCH(IF(AND(D604="Cartão de crédito",N(E604)&gt;1),"Cartão de crédito parcelado",D604),Config!$A$12:$A$15,0)),0)/30*MAX(1,N(E604)),0))</f>
        <v/>
      </c>
      <c r="I604" s="29">
        <f>IF(OR(D604="",F604=""),"",ROUND(F604*H604,2))</f>
        <v/>
      </c>
      <c r="J604" s="29">
        <f>IF(I604="","",F604-I604)</f>
        <v/>
      </c>
      <c r="K604" s="37">
        <f>IF(OR(D604="",A604=""),"",A604+IF(AND(Config!$B$17="Sim",LEFT(D604,17)="Cartão de crédito"),1,IFERROR(INDEX(Config!$C$12:$C$15,MATCH(IF(AND(D604="Cartão de crédito",N(E604)&gt;1),"Cartão de crédito parcelado",D604),Config!$A$12:$A$15,0)),0)))</f>
        <v/>
      </c>
      <c r="L604" s="27">
        <f>IF(A604="","",MONTH(A604))</f>
        <v/>
      </c>
      <c r="M604" s="27">
        <f>IF(A604="","",YEAR(A604))</f>
        <v/>
      </c>
      <c r="N604" s="27">
        <f>IF(K604="","",IF(G604="Sim","Conferido",IF(K604&gt;Config!$B$8,"A cair","A conferir")))</f>
        <v/>
      </c>
      <c r="O604" s="50">
        <f>IF(N604="A conferir",(Config!$B$8-K604)*1000+N(F604)/1000+ROW()/100000,0)</f>
        <v>0</v>
      </c>
    </row>
    <row r="606">
      <c r="A606" s="21" t="inlineStr">
        <is>
          <t>Vermelho: a previsão passou e ninguém conferiu no extrato (ou não caiu). Lilás: ainda vai cair. Verde: conferido. Parcelado: a previsão é da 1ª parcela; as seguintes caem de 30 em 30 dias.</t>
        </is>
      </c>
    </row>
    <row r="607">
      <c r="A607" s="21" t="inlineStr">
        <is>
          <t>No exemplo, as vendas vêm da Agenda da 01 (01/07 a 11/09/2026); conferidas as que tinham previsão até 09/09. O caixa (09) registra o valor bruto no dia da venda e as taxas do mês numa saída única no fim do mês.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N604"/>
  <mergeCells count="2">
    <mergeCell ref="A1:O1"/>
    <mergeCell ref="A2:O2"/>
  </mergeCells>
  <conditionalFormatting sqref="A5:N604">
    <cfRule type="expression" priority="1" dxfId="3">
      <formula>$N5="A conferir"</formula>
    </cfRule>
    <cfRule type="expression" priority="2" dxfId="4">
      <formula>$N5="Conferido"</formula>
    </cfRule>
    <cfRule type="expression" priority="3" dxfId="5">
      <formula>$N5="A cair"</formula>
    </cfRule>
  </conditionalFormatting>
  <dataValidations count="5">
    <dataValidation sqref="D5:D604" showDropDown="0" showInputMessage="0" showErrorMessage="1" allowBlank="1" type="list">
      <formula1>"Pix,Cartão de débito,Cartão de crédito"</formula1>
    </dataValidation>
    <dataValidation sqref="G5:G604" showDropDown="0" showInputMessage="0" showErrorMessage="1" allowBlank="1" type="list">
      <formula1>"Sim,Não"</formula1>
    </dataValidation>
    <dataValidation sqref="E5:E604" showDropDown="0" showInputMessage="0" showErrorMessage="0" allowBlank="1" type="whole" operator="between">
      <formula1>1</formula1>
      <formula2>12</formula2>
    </dataValidation>
    <dataValidation sqref="A5:A604" showDropDown="0" showInputMessage="0" showErrorMessage="0" allowBlank="1" type="date" operator="greaterThan">
      <formula1>1</formula1>
    </dataValidation>
    <dataValidation sqref="F5:F6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Conciliação de cartão e taxas · Kit de Gestão para Médicos</dc:title>
  <dcterms:created xmlns:dcterms="http://purl.org/dc/terms/" xmlns:xsi="http://www.w3.org/2001/XMLSchema-instance" xsi:type="dcterms:W3CDTF">2026-09-14T21:29:16Z</dcterms:created>
  <dcterms:modified xmlns:dcterms="http://purl.org/dc/terms/" xmlns:xsi="http://www.w3.org/2001/XMLSchema-instance" xsi:type="dcterms:W3CDTF">2026-09-14T21:29:17Z</dcterms:modified>
</cp:coreProperties>
</file>